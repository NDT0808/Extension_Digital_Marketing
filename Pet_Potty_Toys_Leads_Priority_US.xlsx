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US Hot Leads (Cap A &gt;=61d)" sheetId="2" state="visible" r:id="rId2"/>
    <sheet xmlns:r="http://schemas.openxmlformats.org/officeDocument/2006/relationships" name="All US Valid Leads (2343)" sheetId="3" state="visible" r:id="rId3"/>
    <sheet xmlns:r="http://schemas.openxmlformats.org/officeDocument/2006/relationships" name="Product &amp; Competitor Matches" sheetId="4" state="visible" r:id="rId4"/>
    <sheet xmlns:r="http://schemas.openxmlformats.org/officeDocument/2006/relationships" name="International Expansion" sheetId="5" state="visible" r:id="rId5"/>
    <sheet xmlns:r="http://schemas.openxmlformats.org/officeDocument/2006/relationships" name="Negative Excluded List" sheetId="6" state="visible" r:id="rId6"/>
  </sheets>
  <definedNames>
    <definedName name="_xlnm._FilterDatabase" localSheetId="1" hidden="1">'US Hot Leads (Cap A &gt;=61d)'!$A$4:$S$302</definedName>
    <definedName name="_xlnm._FilterDatabase" localSheetId="2" hidden="1">'All US Valid Leads (2343)'!$A$4:$S$2347</definedName>
    <definedName name="_xlnm._FilterDatabase" localSheetId="3" hidden="1">'Product &amp; Competitor Matches'!$A$4:$S$26</definedName>
    <definedName name="_xlnm._FilterDatabase" localSheetId="4" hidden="1">'International Expansion'!$A$4:$S$220</definedName>
    <definedName name="_xlnm._FilterDatabase" localSheetId="5" hidden="1">'Negative Excluded List'!$A$4:$S$964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86581"/>
      <sz val="10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color rgb="001F2933"/>
      <sz val="10"/>
    </font>
    <font>
      <name val="Calibri"/>
      <b val="1"/>
      <color rgb="001F2933"/>
      <sz val="10"/>
    </font>
    <font>
      <name val="Calibri"/>
      <color rgb="001D4ED8"/>
      <sz val="10"/>
      <u val="single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  <fill>
      <patternFill patternType="solid">
        <fgColor rgb="00D1FAE5"/>
        <bgColor rgb="00D1FAE5"/>
      </patternFill>
    </fill>
    <fill>
      <patternFill patternType="solid">
        <fgColor rgb="002C5E7A"/>
        <bgColor rgb="002C5E7A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E4E7EB"/>
        <bgColor rgb="00E4E7EB"/>
      </patternFill>
    </fill>
  </fills>
  <borders count="4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medium">
        <color rgb="001B365D"/>
      </bottom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  <border>
      <left style="thin">
        <color rgb="00CBD2D9"/>
      </left>
      <right style="thin">
        <color rgb="00CBD2D9"/>
      </right>
      <top style="thin">
        <color rgb="00CBD2D9"/>
      </top>
      <bottom style="double">
        <color rgb="001B365D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5" fillId="4" borderId="2" pivotButton="0" quotePrefix="0" xfId="0"/>
    <xf numFmtId="3" fontId="5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6" fillId="3" borderId="2" pivotButton="0" quotePrefix="0" xfId="0"/>
    <xf numFmtId="3" fontId="6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6" fillId="5" borderId="2" pivotButton="0" quotePrefix="0" xfId="0"/>
    <xf numFmtId="3" fontId="6" fillId="5" borderId="2" applyAlignment="1" pivotButton="0" quotePrefix="0" xfId="0">
      <alignment horizontal="right"/>
    </xf>
    <xf numFmtId="164" fontId="6" fillId="5" borderId="2" applyAlignment="1" pivotButton="0" quotePrefix="0" xfId="0">
      <alignment horizontal="right"/>
    </xf>
    <xf numFmtId="0" fontId="5" fillId="5" borderId="2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7" borderId="2" pivotButton="0" quotePrefix="0" xfId="0"/>
    <xf numFmtId="3" fontId="6" fillId="7" borderId="2" applyAlignment="1" pivotButton="0" quotePrefix="0" xfId="0">
      <alignment horizontal="right"/>
    </xf>
    <xf numFmtId="164" fontId="5" fillId="7" borderId="2" applyAlignment="1" pivotButton="0" quotePrefix="0" xfId="0">
      <alignment horizontal="right"/>
    </xf>
    <xf numFmtId="0" fontId="5" fillId="7" borderId="2" applyAlignment="1" pivotButton="0" quotePrefix="0" xfId="0">
      <alignment horizontal="center"/>
    </xf>
    <xf numFmtId="0" fontId="5" fillId="7" borderId="2" pivotButton="0" quotePrefix="0" xfId="0"/>
    <xf numFmtId="0" fontId="6" fillId="8" borderId="2" pivotButton="0" quotePrefix="0" xfId="0"/>
    <xf numFmtId="3" fontId="6" fillId="8" borderId="2" applyAlignment="1" pivotButton="0" quotePrefix="0" xfId="0">
      <alignment horizontal="right"/>
    </xf>
    <xf numFmtId="164" fontId="5" fillId="8" borderId="2" applyAlignment="1" pivotButton="0" quotePrefix="0" xfId="0">
      <alignment horizontal="right"/>
    </xf>
    <xf numFmtId="0" fontId="5" fillId="8" borderId="2" applyAlignment="1" pivotButton="0" quotePrefix="0" xfId="0">
      <alignment horizontal="center"/>
    </xf>
    <xf numFmtId="0" fontId="5" fillId="8" borderId="2" pivotButton="0" quotePrefix="0" xfId="0"/>
    <xf numFmtId="0" fontId="6" fillId="9" borderId="2" pivotButton="0" quotePrefix="0" xfId="0"/>
    <xf numFmtId="3" fontId="6" fillId="9" borderId="2" applyAlignment="1" pivotButton="0" quotePrefix="0" xfId="0">
      <alignment horizontal="right"/>
    </xf>
    <xf numFmtId="164" fontId="5" fillId="9" borderId="2" applyAlignment="1" pivotButton="0" quotePrefix="0" xfId="0">
      <alignment horizontal="right"/>
    </xf>
    <xf numFmtId="0" fontId="5" fillId="9" borderId="2" applyAlignment="1" pivotButton="0" quotePrefix="0" xfId="0">
      <alignment horizontal="center"/>
    </xf>
    <xf numFmtId="0" fontId="5" fillId="9" borderId="2" pivotButton="0" quotePrefix="0" xfId="0"/>
    <xf numFmtId="0" fontId="6" fillId="10" borderId="2" pivotButton="0" quotePrefix="0" xfId="0"/>
    <xf numFmtId="3" fontId="6" fillId="10" borderId="2" applyAlignment="1" pivotButton="0" quotePrefix="0" xfId="0">
      <alignment horizontal="right"/>
    </xf>
    <xf numFmtId="164" fontId="5" fillId="10" borderId="2" applyAlignment="1" pivotButton="0" quotePrefix="0" xfId="0">
      <alignment horizontal="right"/>
    </xf>
    <xf numFmtId="0" fontId="5" fillId="10" borderId="2" applyAlignment="1" pivotButton="0" quotePrefix="0" xfId="0">
      <alignment horizontal="center"/>
    </xf>
    <xf numFmtId="0" fontId="5" fillId="10" borderId="2" pivotButton="0" quotePrefix="0" xfId="0"/>
    <xf numFmtId="0" fontId="6" fillId="11" borderId="3" pivotButton="0" quotePrefix="0" xfId="0"/>
    <xf numFmtId="3" fontId="6" fillId="11" borderId="3" applyAlignment="1" pivotButton="0" quotePrefix="0" xfId="0">
      <alignment horizontal="right"/>
    </xf>
    <xf numFmtId="164" fontId="6" fillId="11" borderId="3" applyAlignment="1" pivotButton="0" quotePrefix="0" xfId="0">
      <alignment horizontal="right"/>
    </xf>
    <xf numFmtId="0" fontId="6" fillId="11" borderId="3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165" fontId="6" fillId="11" borderId="3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0" fontId="7" fillId="3" borderId="2" pivotButton="0" quotePrefix="0" xfId="0"/>
    <xf numFmtId="2" fontId="5" fillId="3" borderId="2" applyAlignment="1" pivotButton="0" quotePrefix="0" xfId="0">
      <alignment horizontal="right"/>
    </xf>
    <xf numFmtId="1" fontId="5" fillId="3" borderId="2" applyAlignment="1" pivotButton="0" quotePrefix="0" xfId="0">
      <alignment horizontal="center"/>
    </xf>
    <xf numFmtId="1" fontId="6" fillId="5" borderId="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7" fillId="4" borderId="2" pivotButton="0" quotePrefix="0" xfId="0"/>
    <xf numFmtId="2" fontId="5" fillId="4" borderId="2" applyAlignment="1" pivotButton="0" quotePrefix="0" xfId="0">
      <alignment horizontal="right"/>
    </xf>
    <xf numFmtId="1" fontId="5" fillId="4" borderId="2" applyAlignment="1" pivotButton="0" quotePrefix="0" xfId="0">
      <alignment horizontal="center"/>
    </xf>
    <xf numFmtId="1" fontId="6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1" fontId="6" fillId="3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1" fontId="6" fillId="4" borderId="2" applyAlignment="1" pivotButton="0" quotePrefix="0" xfId="0">
      <alignment horizontal="center"/>
    </xf>
    <xf numFmtId="0" fontId="6" fillId="10" borderId="2" applyAlignment="1" pivotButton="0" quotePrefix="0" xfId="0">
      <alignment horizontal="center"/>
    </xf>
    <xf numFmtId="0" fontId="6" fillId="9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bổ Hạng Khách hàng Nội địa Mỹ (US Leads by Tier)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Summary'!$A$17:$A$22</f>
            </numRef>
          </cat>
          <val>
            <numRef>
              <f>'Dashboard &amp; Summary'!$B$17:$B$22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Phân hạng (Tier)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Hồ sơ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Khách hàng Mỹ theo Nhóm Chân dung (ICP Fit)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Summary'!$A$28:$A$31</f>
            </numRef>
          </cat>
          <val>
            <numRef>
              <f>'Dashboard &amp; Summary'!$B$28:$B$31</f>
            </numRef>
          </val>
        </ser>
        <ser>
          <idx val="1"/>
          <order val="1"/>
          <tx>
            <strRef>
              <f>'Dashboard &amp; Summary'!C27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Summary'!$A$28:$A$31</f>
            </numRef>
          </cat>
          <val>
            <numRef>
              <f>'Dashboard &amp; Summary'!$C$28:$C$31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Hồ sơ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frenchiepetsupply" TargetMode="External" Id="rId1"/><Relationship Type="http://schemas.openxmlformats.org/officeDocument/2006/relationships/hyperlink" Target="https://www.facebook.com/profile.php?id=100045637753004" TargetMode="External" Id="rId2"/><Relationship Type="http://schemas.openxmlformats.org/officeDocument/2006/relationships/hyperlink" Target="https://www.facebook.com/GocheeLabPuppies" TargetMode="External" Id="rId3"/><Relationship Type="http://schemas.openxmlformats.org/officeDocument/2006/relationships/hyperlink" Target="https://www.facebook.com/BlueBuddhaFrenchies" TargetMode="External" Id="rId4"/><Relationship Type="http://schemas.openxmlformats.org/officeDocument/2006/relationships/hyperlink" Target="https://www.facebook.com/fireattack86" TargetMode="External" Id="rId5"/><Relationship Type="http://schemas.openxmlformats.org/officeDocument/2006/relationships/hyperlink" Target="https://www.facebook.com/profile.php?id=100069804441424" TargetMode="External" Id="rId6"/><Relationship Type="http://schemas.openxmlformats.org/officeDocument/2006/relationships/hyperlink" Target="https://www.facebook.com/profile.php?id=61570931233134" TargetMode="External" Id="rId7"/><Relationship Type="http://schemas.openxmlformats.org/officeDocument/2006/relationships/hyperlink" Target="https://www.facebook.com/goldendogfarmvt" TargetMode="External" Id="rId8"/><Relationship Type="http://schemas.openxmlformats.org/officeDocument/2006/relationships/hyperlink" Target="https://www.facebook.com/english.bulldog.shop" TargetMode="External" Id="rId9"/><Relationship Type="http://schemas.openxmlformats.org/officeDocument/2006/relationships/hyperlink" Target="https://www.facebook.com/madeinbulldog" TargetMode="External" Id="rId10"/><Relationship Type="http://schemas.openxmlformats.org/officeDocument/2006/relationships/hyperlink" Target="https://www.facebook.com/fcfgoldendoodles" TargetMode="External" Id="rId11"/><Relationship Type="http://schemas.openxmlformats.org/officeDocument/2006/relationships/hyperlink" Target="https://www.facebook.com/butlerkennelsRottweilersofficial" TargetMode="External" Id="rId12"/><Relationship Type="http://schemas.openxmlformats.org/officeDocument/2006/relationships/hyperlink" Target="https://www.facebook.com/profile.php?id=61564897457360" TargetMode="External" Id="rId13"/><Relationship Type="http://schemas.openxmlformats.org/officeDocument/2006/relationships/hyperlink" Target="https://www.facebook.com/Labradorcouchpotato" TargetMode="External" Id="rId14"/><Relationship Type="http://schemas.openxmlformats.org/officeDocument/2006/relationships/hyperlink" Target="https://www.facebook.com/SeaDogPWDpuppies" TargetMode="External" Id="rId15"/><Relationship Type="http://schemas.openxmlformats.org/officeDocument/2006/relationships/hyperlink" Target="https://www.facebook.com/profile.php?id=100060832497072" TargetMode="External" Id="rId16"/><Relationship Type="http://schemas.openxmlformats.org/officeDocument/2006/relationships/hyperlink" Target="https://www.facebook.com/profile.php?id=100071498224701" TargetMode="External" Id="rId17"/><Relationship Type="http://schemas.openxmlformats.org/officeDocument/2006/relationships/hyperlink" Target="https://www.facebook.com/profile.php?id=100082103677996" TargetMode="External" Id="rId18"/><Relationship Type="http://schemas.openxmlformats.org/officeDocument/2006/relationships/hyperlink" Target="https://www.facebook.com/pmofpopfarm" TargetMode="External" Id="rId19"/><Relationship Type="http://schemas.openxmlformats.org/officeDocument/2006/relationships/hyperlink" Target="https://www.facebook.com/EclipseKennels" TargetMode="External" Id="rId20"/><Relationship Type="http://schemas.openxmlformats.org/officeDocument/2006/relationships/hyperlink" Target="https://www.facebook.com/tnbkennelsbulldogges" TargetMode="External" Id="rId21"/><Relationship Type="http://schemas.openxmlformats.org/officeDocument/2006/relationships/hyperlink" Target="https://www.facebook.com/EnduranceKennelsSprintMushing" TargetMode="External" Id="rId22"/><Relationship Type="http://schemas.openxmlformats.org/officeDocument/2006/relationships/hyperlink" Target="https://www.facebook.com/rockycreekfarmaussies" TargetMode="External" Id="rId23"/><Relationship Type="http://schemas.openxmlformats.org/officeDocument/2006/relationships/hyperlink" Target="https://www.facebook.com/BailiwickRetrievers" TargetMode="External" Id="rId24"/><Relationship Type="http://schemas.openxmlformats.org/officeDocument/2006/relationships/hyperlink" Target="https://www.facebook.com/CaneCorsoKennelAprioriBest" TargetMode="External" Id="rId25"/><Relationship Type="http://schemas.openxmlformats.org/officeDocument/2006/relationships/hyperlink" Target="https://www.facebook.com/brunosbulldogranch" TargetMode="External" Id="rId26"/><Relationship Type="http://schemas.openxmlformats.org/officeDocument/2006/relationships/hyperlink" Target="https://www.facebook.com/atfrenchiesofficial" TargetMode="External" Id="rId27"/><Relationship Type="http://schemas.openxmlformats.org/officeDocument/2006/relationships/hyperlink" Target="https://www.facebook.com/profile.php?id=61570701478685" TargetMode="External" Id="rId28"/><Relationship Type="http://schemas.openxmlformats.org/officeDocument/2006/relationships/hyperlink" Target="https://www.facebook.com/profile.php?id=100064316126658" TargetMode="External" Id="rId29"/><Relationship Type="http://schemas.openxmlformats.org/officeDocument/2006/relationships/hyperlink" Target="https://www.facebook.com/profile.php?id=61583795781324" TargetMode="External" Id="rId30"/><Relationship Type="http://schemas.openxmlformats.org/officeDocument/2006/relationships/hyperlink" Target="https://www.facebook.com/profile.php?id=100041857255193" TargetMode="External" Id="rId31"/><Relationship Type="http://schemas.openxmlformats.org/officeDocument/2006/relationships/hyperlink" Target="https://www.facebook.com/profile.php?id=61559272850812" TargetMode="External" Id="rId32"/><Relationship Type="http://schemas.openxmlformats.org/officeDocument/2006/relationships/hyperlink" Target="https://www.facebook.com/GNF603" TargetMode="External" Id="rId33"/><Relationship Type="http://schemas.openxmlformats.org/officeDocument/2006/relationships/hyperlink" Target="https://www.facebook.com/KyroFrenchBulldogs" TargetMode="External" Id="rId34"/><Relationship Type="http://schemas.openxmlformats.org/officeDocument/2006/relationships/hyperlink" Target="https://www.facebook.com/profile.php?id=100094416961961" TargetMode="External" Id="rId35"/><Relationship Type="http://schemas.openxmlformats.org/officeDocument/2006/relationships/hyperlink" Target="https://www.facebook.com/theemeraldpet" TargetMode="External" Id="rId36"/><Relationship Type="http://schemas.openxmlformats.org/officeDocument/2006/relationships/hyperlink" Target="https://www.facebook.com/reddirtdawgz" TargetMode="External" Id="rId37"/><Relationship Type="http://schemas.openxmlformats.org/officeDocument/2006/relationships/hyperlink" Target="https://www.facebook.com/profile.php?id=100063497116073" TargetMode="External" Id="rId38"/><Relationship Type="http://schemas.openxmlformats.org/officeDocument/2006/relationships/hyperlink" Target="https://www.facebook.com/FrenchBulldogKennels" TargetMode="External" Id="rId39"/><Relationship Type="http://schemas.openxmlformats.org/officeDocument/2006/relationships/hyperlink" Target="https://www.facebook.com/simplykindfrenchies" TargetMode="External" Id="rId40"/><Relationship Type="http://schemas.openxmlformats.org/officeDocument/2006/relationships/hyperlink" Target="https://www.facebook.com/profile.php?id=100031896956562" TargetMode="External" Id="rId41"/><Relationship Type="http://schemas.openxmlformats.org/officeDocument/2006/relationships/hyperlink" Target="https://www.facebook.com/sokotabulldogges" TargetMode="External" Id="rId42"/><Relationship Type="http://schemas.openxmlformats.org/officeDocument/2006/relationships/hyperlink" Target="https://www.facebook.com/profile.php?id=100095542921970" TargetMode="External" Id="rId43"/><Relationship Type="http://schemas.openxmlformats.org/officeDocument/2006/relationships/hyperlink" Target="https://www.facebook.com/ShawhanFamilyFrenchies" TargetMode="External" Id="rId44"/><Relationship Type="http://schemas.openxmlformats.org/officeDocument/2006/relationships/hyperlink" Target="https://www.facebook.com/BeYardcoreBullies" TargetMode="External" Id="rId45"/><Relationship Type="http://schemas.openxmlformats.org/officeDocument/2006/relationships/hyperlink" Target="https://www.facebook.com/gatorheadbullies" TargetMode="External" Id="rId46"/><Relationship Type="http://schemas.openxmlformats.org/officeDocument/2006/relationships/hyperlink" Target="https://www.facebook.com/profile.php?id=100075881257339" TargetMode="External" Id="rId47"/><Relationship Type="http://schemas.openxmlformats.org/officeDocument/2006/relationships/hyperlink" Target="https://www.facebook.com/doodledoggiesmillhill" TargetMode="External" Id="rId48"/><Relationship Type="http://schemas.openxmlformats.org/officeDocument/2006/relationships/hyperlink" Target="https://www.facebook.com/griffinfrenchie" TargetMode="External" Id="rId49"/><Relationship Type="http://schemas.openxmlformats.org/officeDocument/2006/relationships/hyperlink" Target="https://www.facebook.com/southlamaniskennel" TargetMode="External" Id="rId50"/><Relationship Type="http://schemas.openxmlformats.org/officeDocument/2006/relationships/hyperlink" Target="https://www.facebook.com/HungryHoundsPetSupplies" TargetMode="External" Id="rId51"/><Relationship Type="http://schemas.openxmlformats.org/officeDocument/2006/relationships/hyperlink" Target="https://www.facebook.com/KatiesCorgis" TargetMode="External" Id="rId52"/><Relationship Type="http://schemas.openxmlformats.org/officeDocument/2006/relationships/hyperlink" Target="https://www.facebook.com/SeelenvollShepherds" TargetMode="External" Id="rId53"/><Relationship Type="http://schemas.openxmlformats.org/officeDocument/2006/relationships/hyperlink" Target="https://www.facebook.com/outskirts.kennels.llc" TargetMode="External" Id="rId54"/><Relationship Type="http://schemas.openxmlformats.org/officeDocument/2006/relationships/hyperlink" Target="https://www.facebook.com/61588559050568" TargetMode="External" Id="rId55"/><Relationship Type="http://schemas.openxmlformats.org/officeDocument/2006/relationships/hyperlink" Target="https://www.facebook.com/profile.php?id=100090438180677" TargetMode="External" Id="rId56"/><Relationship Type="http://schemas.openxmlformats.org/officeDocument/2006/relationships/hyperlink" Target="https://www.facebook.com/profile.php?id=100071849751829" TargetMode="External" Id="rId57"/><Relationship Type="http://schemas.openxmlformats.org/officeDocument/2006/relationships/hyperlink" Target="https://www.facebook.com/profile.php?id=61590146927480" TargetMode="External" Id="rId58"/><Relationship Type="http://schemas.openxmlformats.org/officeDocument/2006/relationships/hyperlink" Target="https://www.facebook.com/evercrestkennels" TargetMode="External" Id="rId59"/><Relationship Type="http://schemas.openxmlformats.org/officeDocument/2006/relationships/hyperlink" Target="https://www.facebook.com/stonewallbassethounds" TargetMode="External" Id="rId60"/><Relationship Type="http://schemas.openxmlformats.org/officeDocument/2006/relationships/hyperlink" Target="https://www.facebook.com/TopQualityBostons" TargetMode="External" Id="rId61"/><Relationship Type="http://schemas.openxmlformats.org/officeDocument/2006/relationships/hyperlink" Target="https://www.facebook.com/profile.php?id=100057424660915" TargetMode="External" Id="rId62"/><Relationship Type="http://schemas.openxmlformats.org/officeDocument/2006/relationships/hyperlink" Target="https://www.facebook.com/profile.php?id=100057048746149" TargetMode="External" Id="rId63"/><Relationship Type="http://schemas.openxmlformats.org/officeDocument/2006/relationships/hyperlink" Target="https://www.facebook.com/lcdoodlefarmllc" TargetMode="External" Id="rId64"/><Relationship Type="http://schemas.openxmlformats.org/officeDocument/2006/relationships/hyperlink" Target="https://www.facebook.com/singingsands" TargetMode="External" Id="rId65"/><Relationship Type="http://schemas.openxmlformats.org/officeDocument/2006/relationships/hyperlink" Target="https://www.facebook.com/childsbulldog" TargetMode="External" Id="rId66"/><Relationship Type="http://schemas.openxmlformats.org/officeDocument/2006/relationships/hyperlink" Target="https://www.facebook.com/damedogslabradors" TargetMode="External" Id="rId67"/><Relationship Type="http://schemas.openxmlformats.org/officeDocument/2006/relationships/hyperlink" Target="https://www.facebook.com/profile.php?id=100063198220891" TargetMode="External" Id="rId68"/><Relationship Type="http://schemas.openxmlformats.org/officeDocument/2006/relationships/hyperlink" Target="https://www.facebook.com/TheFifthElementkennel" TargetMode="External" Id="rId69"/><Relationship Type="http://schemas.openxmlformats.org/officeDocument/2006/relationships/hyperlink" Target="https://www.facebook.com/tryhardkennel" TargetMode="External" Id="rId70"/><Relationship Type="http://schemas.openxmlformats.org/officeDocument/2006/relationships/hyperlink" Target="https://www.facebook.com/powerline.kennels" TargetMode="External" Id="rId71"/><Relationship Type="http://schemas.openxmlformats.org/officeDocument/2006/relationships/hyperlink" Target="https://www.facebook.com/reflectionkennels" TargetMode="External" Id="rId72"/><Relationship Type="http://schemas.openxmlformats.org/officeDocument/2006/relationships/hyperlink" Target="https://www.facebook.com/profile.php?id=100088505165566" TargetMode="External" Id="rId73"/><Relationship Type="http://schemas.openxmlformats.org/officeDocument/2006/relationships/hyperlink" Target="https://www.facebook.com/masterofpuppies.hq" TargetMode="External" Id="rId74"/><Relationship Type="http://schemas.openxmlformats.org/officeDocument/2006/relationships/hyperlink" Target="https://www.facebook.com/flusingkimberkennels" TargetMode="External" Id="rId75"/><Relationship Type="http://schemas.openxmlformats.org/officeDocument/2006/relationships/hyperlink" Target="https://www.facebook.com/profile.php?id=100092531616837" TargetMode="External" Id="rId76"/><Relationship Type="http://schemas.openxmlformats.org/officeDocument/2006/relationships/hyperlink" Target="https://www.facebook.com/HouseofFrenchiez" TargetMode="External" Id="rId77"/><Relationship Type="http://schemas.openxmlformats.org/officeDocument/2006/relationships/hyperlink" Target="https://www.facebook.com/PetWorld111" TargetMode="External" Id="rId78"/><Relationship Type="http://schemas.openxmlformats.org/officeDocument/2006/relationships/hyperlink" Target="https://www.facebook.com/HoneyMountainKennels" TargetMode="External" Id="rId79"/><Relationship Type="http://schemas.openxmlformats.org/officeDocument/2006/relationships/hyperlink" Target="https://www.facebook.com/profile.php?id=61552182017852" TargetMode="External" Id="rId80"/><Relationship Type="http://schemas.openxmlformats.org/officeDocument/2006/relationships/hyperlink" Target="https://www.facebook.com/pauline.victor.7" TargetMode="External" Id="rId81"/><Relationship Type="http://schemas.openxmlformats.org/officeDocument/2006/relationships/hyperlink" Target="https://www.facebook.com/CGGSP" TargetMode="External" Id="rId82"/><Relationship Type="http://schemas.openxmlformats.org/officeDocument/2006/relationships/hyperlink" Target="https://www.facebook.com/CurlyOakKennels" TargetMode="External" Id="rId83"/><Relationship Type="http://schemas.openxmlformats.org/officeDocument/2006/relationships/hyperlink" Target="https://www.facebook.com/profile.php?id=100091660117056" TargetMode="External" Id="rId84"/><Relationship Type="http://schemas.openxmlformats.org/officeDocument/2006/relationships/hyperlink" Target="https://www.facebook.com/RuffLandKennels" TargetMode="External" Id="rId85"/><Relationship Type="http://schemas.openxmlformats.org/officeDocument/2006/relationships/hyperlink" Target="https://www.facebook.com/HALLEDENZEL" TargetMode="External" Id="rId86"/><Relationship Type="http://schemas.openxmlformats.org/officeDocument/2006/relationships/hyperlink" Target="https://www.facebook.com/toedtersisleoffrenchies2.0" TargetMode="External" Id="rId87"/><Relationship Type="http://schemas.openxmlformats.org/officeDocument/2006/relationships/hyperlink" Target="https://www.facebook.com/profile.php?id=61556753282237" TargetMode="External" Id="rId88"/><Relationship Type="http://schemas.openxmlformats.org/officeDocument/2006/relationships/hyperlink" Target="https://www.facebook.com/tinylasvegaschihuahua" TargetMode="External" Id="rId89"/><Relationship Type="http://schemas.openxmlformats.org/officeDocument/2006/relationships/hyperlink" Target="https://www.facebook.com/HustleLineKennels" TargetMode="External" Id="rId90"/><Relationship Type="http://schemas.openxmlformats.org/officeDocument/2006/relationships/hyperlink" Target="https://www.facebook.com/vixbull" TargetMode="External" Id="rId91"/><Relationship Type="http://schemas.openxmlformats.org/officeDocument/2006/relationships/hyperlink" Target="https://www.facebook.com/profile.php?id=61589220058115" TargetMode="External" Id="rId92"/><Relationship Type="http://schemas.openxmlformats.org/officeDocument/2006/relationships/hyperlink" Target="https://www.facebook.com/profile.php?id=100079571530843" TargetMode="External" Id="rId93"/><Relationship Type="http://schemas.openxmlformats.org/officeDocument/2006/relationships/hyperlink" Target="https://www.facebook.com/swfrenchies" TargetMode="External" Id="rId94"/><Relationship Type="http://schemas.openxmlformats.org/officeDocument/2006/relationships/hyperlink" Target="https://www.facebook.com/norcalbulldoggerphotos" TargetMode="External" Id="rId95"/><Relationship Type="http://schemas.openxmlformats.org/officeDocument/2006/relationships/hyperlink" Target="https://www.facebook.com/longearsandlongdogs" TargetMode="External" Id="rId96"/><Relationship Type="http://schemas.openxmlformats.org/officeDocument/2006/relationships/hyperlink" Target="https://www.facebook.com/eMacBulldogs" TargetMode="External" Id="rId97"/><Relationship Type="http://schemas.openxmlformats.org/officeDocument/2006/relationships/hyperlink" Target="https://www.facebook.com/BulldogPabs" TargetMode="External" Id="rId98"/><Relationship Type="http://schemas.openxmlformats.org/officeDocument/2006/relationships/hyperlink" Target="https://www.facebook.com/maltesebichonfrisepoodletcupdogpuppy" TargetMode="External" Id="rId99"/><Relationship Type="http://schemas.openxmlformats.org/officeDocument/2006/relationships/hyperlink" Target="https://www.facebook.com/nogoark" TargetMode="External" Id="rId100"/><Relationship Type="http://schemas.openxmlformats.org/officeDocument/2006/relationships/hyperlink" Target="https://www.facebook.com/profile.php?id=100072290205127" TargetMode="External" Id="rId101"/><Relationship Type="http://schemas.openxmlformats.org/officeDocument/2006/relationships/hyperlink" Target="https://www.facebook.com/balthropbendspringers" TargetMode="External" Id="rId102"/><Relationship Type="http://schemas.openxmlformats.org/officeDocument/2006/relationships/hyperlink" Target="https://www.facebook.com/Venomline" TargetMode="External" Id="rId103"/><Relationship Type="http://schemas.openxmlformats.org/officeDocument/2006/relationships/hyperlink" Target="https://www.facebook.com/diamondcitybulldogs" TargetMode="External" Id="rId104"/><Relationship Type="http://schemas.openxmlformats.org/officeDocument/2006/relationships/hyperlink" Target="https://www.facebook.com/BlueLakeTurfFarm" TargetMode="External" Id="rId105"/><Relationship Type="http://schemas.openxmlformats.org/officeDocument/2006/relationships/hyperlink" Target="https://www.facebook.com/mannyparkpuppies" TargetMode="External" Id="rId106"/><Relationship Type="http://schemas.openxmlformats.org/officeDocument/2006/relationships/hyperlink" Target="https://www.facebook.com/profile.php?id=100064872934755" TargetMode="External" Id="rId107"/><Relationship Type="http://schemas.openxmlformats.org/officeDocument/2006/relationships/hyperlink" Target="https://www.facebook.com/waltandgusthebernese" TargetMode="External" Id="rId108"/><Relationship Type="http://schemas.openxmlformats.org/officeDocument/2006/relationships/hyperlink" Target="https://www.facebook.com/spoileddogco" TargetMode="External" Id="rId109"/><Relationship Type="http://schemas.openxmlformats.org/officeDocument/2006/relationships/hyperlink" Target="https://www.facebook.com/profile.php?id=61591907463807" TargetMode="External" Id="rId110"/><Relationship Type="http://schemas.openxmlformats.org/officeDocument/2006/relationships/hyperlink" Target="https://www.facebook.com/southeasternguidedogs" TargetMode="External" Id="rId111"/><Relationship Type="http://schemas.openxmlformats.org/officeDocument/2006/relationships/hyperlink" Target="https://www.facebook.com/ForTheLoveOfDogsLlc" TargetMode="External" Id="rId112"/><Relationship Type="http://schemas.openxmlformats.org/officeDocument/2006/relationships/hyperlink" Target="https://www.facebook.com/profile.php?id=61574902920954" TargetMode="External" Id="rId113"/><Relationship Type="http://schemas.openxmlformats.org/officeDocument/2006/relationships/hyperlink" Target="https://www.facebook.com/profile.php?id=100063685532640" TargetMode="External" Id="rId114"/><Relationship Type="http://schemas.openxmlformats.org/officeDocument/2006/relationships/hyperlink" Target="https://www.facebook.com/HPetexpress22" TargetMode="External" Id="rId115"/><Relationship Type="http://schemas.openxmlformats.org/officeDocument/2006/relationships/hyperlink" Target="https://www.facebook.com/pasturegreenbernese" TargetMode="External" Id="rId116"/><Relationship Type="http://schemas.openxmlformats.org/officeDocument/2006/relationships/hyperlink" Target="https://www.facebook.com/HoundDown" TargetMode="External" Id="rId117"/><Relationship Type="http://schemas.openxmlformats.org/officeDocument/2006/relationships/hyperlink" Target="https://www.facebook.com/puppyculture" TargetMode="External" Id="rId118"/><Relationship Type="http://schemas.openxmlformats.org/officeDocument/2006/relationships/hyperlink" Target="https://www.facebook.com/nationalsheepdogfinals" TargetMode="External" Id="rId119"/><Relationship Type="http://schemas.openxmlformats.org/officeDocument/2006/relationships/hyperlink" Target="https://www.facebook.com/profile.php?id=100083007921203" TargetMode="External" Id="rId120"/><Relationship Type="http://schemas.openxmlformats.org/officeDocument/2006/relationships/hyperlink" Target="https://www.facebook.com/PuppyPerfectionist" TargetMode="External" Id="rId121"/><Relationship Type="http://schemas.openxmlformats.org/officeDocument/2006/relationships/hyperlink" Target="https://www.facebook.com/profile.php?id=61563064265916" TargetMode="External" Id="rId122"/><Relationship Type="http://schemas.openxmlformats.org/officeDocument/2006/relationships/hyperlink" Target="https://www.facebook.com/centerpiecepuppies" TargetMode="External" Id="rId123"/><Relationship Type="http://schemas.openxmlformats.org/officeDocument/2006/relationships/hyperlink" Target="https://www.facebook.com/profile.php?id=61555434625291" TargetMode="External" Id="rId124"/><Relationship Type="http://schemas.openxmlformats.org/officeDocument/2006/relationships/hyperlink" Target="https://www.facebook.com/blackmajestypbgvgbgv" TargetMode="External" Id="rId125"/><Relationship Type="http://schemas.openxmlformats.org/officeDocument/2006/relationships/hyperlink" Target="https://www.facebook.com/Bernedale" TargetMode="External" Id="rId126"/><Relationship Type="http://schemas.openxmlformats.org/officeDocument/2006/relationships/hyperlink" Target="https://www.facebook.com/profile.php?id=100079171431889" TargetMode="External" Id="rId127"/><Relationship Type="http://schemas.openxmlformats.org/officeDocument/2006/relationships/hyperlink" Target="https://www.facebook.com/originalsnugglepuppy" TargetMode="External" Id="rId128"/><Relationship Type="http://schemas.openxmlformats.org/officeDocument/2006/relationships/hyperlink" Target="https://www.facebook.com/aussiesedgefarm" TargetMode="External" Id="rId129"/><Relationship Type="http://schemas.openxmlformats.org/officeDocument/2006/relationships/hyperlink" Target="https://www.facebook.com/profile.php?id=61568374033195" TargetMode="External" Id="rId130"/><Relationship Type="http://schemas.openxmlformats.org/officeDocument/2006/relationships/hyperlink" Target="https://www.facebook.com/profile.php?id=61556023387069" TargetMode="External" Id="rId131"/><Relationship Type="http://schemas.openxmlformats.org/officeDocument/2006/relationships/hyperlink" Target="https://www.facebook.com/GBKpuppies" TargetMode="External" Id="rId132"/><Relationship Type="http://schemas.openxmlformats.org/officeDocument/2006/relationships/hyperlink" Target="https://www.facebook.com/copperheadcockers" TargetMode="External" Id="rId133"/><Relationship Type="http://schemas.openxmlformats.org/officeDocument/2006/relationships/hyperlink" Target="https://www.facebook.com/profile.php?id=100088590342349" TargetMode="External" Id="rId134"/><Relationship Type="http://schemas.openxmlformats.org/officeDocument/2006/relationships/hyperlink" Target="https://www.facebook.com/profile.php?id=61577749116481" TargetMode="External" Id="rId135"/><Relationship Type="http://schemas.openxmlformats.org/officeDocument/2006/relationships/hyperlink" Target="https://www.facebook.com/profile.php?id=100090548577796" TargetMode="External" Id="rId136"/><Relationship Type="http://schemas.openxmlformats.org/officeDocument/2006/relationships/hyperlink" Target="https://www.facebook.com/profile.php?id=100069319780668" TargetMode="External" Id="rId137"/><Relationship Type="http://schemas.openxmlformats.org/officeDocument/2006/relationships/hyperlink" Target="https://www.facebook.com/KraftworkK9Pro" TargetMode="External" Id="rId138"/><Relationship Type="http://schemas.openxmlformats.org/officeDocument/2006/relationships/hyperlink" Target="https://www.facebook.com/profile.php?id=61582933661033" TargetMode="External" Id="rId139"/><Relationship Type="http://schemas.openxmlformats.org/officeDocument/2006/relationships/hyperlink" Target="https://www.facebook.com/legacy.Kennels.30" TargetMode="External" Id="rId140"/><Relationship Type="http://schemas.openxmlformats.org/officeDocument/2006/relationships/hyperlink" Target="https://www.facebook.com/profile.php?id=100086323076953" TargetMode="External" Id="rId141"/><Relationship Type="http://schemas.openxmlformats.org/officeDocument/2006/relationships/hyperlink" Target="https://www.facebook.com/profile.php?id=100057549485719" TargetMode="External" Id="rId142"/><Relationship Type="http://schemas.openxmlformats.org/officeDocument/2006/relationships/hyperlink" Target="https://www.facebook.com/profile.php?id=61588895140909" TargetMode="External" Id="rId143"/><Relationship Type="http://schemas.openxmlformats.org/officeDocument/2006/relationships/hyperlink" Target="https://www.facebook.com/sportinglifekennels" TargetMode="External" Id="rId144"/><Relationship Type="http://schemas.openxmlformats.org/officeDocument/2006/relationships/hyperlink" Target="https://www.facebook.com/profile.php?id=100091341034275" TargetMode="External" Id="rId145"/><Relationship Type="http://schemas.openxmlformats.org/officeDocument/2006/relationships/hyperlink" Target="https://www.facebook.com/beagpointkennel" TargetMode="External" Id="rId146"/><Relationship Type="http://schemas.openxmlformats.org/officeDocument/2006/relationships/hyperlink" Target="https://www.facebook.com/RoseGardenKennels" TargetMode="External" Id="rId147"/><Relationship Type="http://schemas.openxmlformats.org/officeDocument/2006/relationships/hyperlink" Target="https://www.facebook.com/TrueDynastyKennel" TargetMode="External" Id="rId148"/><Relationship Type="http://schemas.openxmlformats.org/officeDocument/2006/relationships/hyperlink" Target="https://www.facebook.com/profile.php?id=100057857791233" TargetMode="External" Id="rId149"/><Relationship Type="http://schemas.openxmlformats.org/officeDocument/2006/relationships/hyperlink" Target="https://www.facebook.com/profile.php?id=100094471027393" TargetMode="External" Id="rId150"/><Relationship Type="http://schemas.openxmlformats.org/officeDocument/2006/relationships/hyperlink" Target="https://www.facebook.com/profile.php?id=100047634134462" TargetMode="External" Id="rId151"/><Relationship Type="http://schemas.openxmlformats.org/officeDocument/2006/relationships/hyperlink" Target="https://www.facebook.com/C4KennelsAndOutdoors" TargetMode="External" Id="rId152"/><Relationship Type="http://schemas.openxmlformats.org/officeDocument/2006/relationships/hyperlink" Target="https://www.facebook.com/QBNKennel" TargetMode="External" Id="rId153"/><Relationship Type="http://schemas.openxmlformats.org/officeDocument/2006/relationships/hyperlink" Target="https://www.facebook.com/RockeysKennels" TargetMode="External" Id="rId154"/><Relationship Type="http://schemas.openxmlformats.org/officeDocument/2006/relationships/hyperlink" Target="https://www.facebook.com/100063491363244" TargetMode="External" Id="rId155"/><Relationship Type="http://schemas.openxmlformats.org/officeDocument/2006/relationships/hyperlink" Target="https://www.facebook.com/fivestarfarms55" TargetMode="External" Id="rId156"/><Relationship Type="http://schemas.openxmlformats.org/officeDocument/2006/relationships/hyperlink" Target="https://www.facebook.com/profile.php?id=100063488533281" TargetMode="External" Id="rId157"/><Relationship Type="http://schemas.openxmlformats.org/officeDocument/2006/relationships/hyperlink" Target="https://www.facebook.com/kennelconnect" TargetMode="External" Id="rId158"/><Relationship Type="http://schemas.openxmlformats.org/officeDocument/2006/relationships/hyperlink" Target="https://www.facebook.com/Joshuashouseforgoldenretrieverrescue" TargetMode="External" Id="rId159"/><Relationship Type="http://schemas.openxmlformats.org/officeDocument/2006/relationships/hyperlink" Target="https://www.facebook.com/lakevalleybulldogs" TargetMode="External" Id="rId160"/><Relationship Type="http://schemas.openxmlformats.org/officeDocument/2006/relationships/hyperlink" Target="https://www.facebook.com/profile.php?id=61592373347337" TargetMode="External" Id="rId161"/><Relationship Type="http://schemas.openxmlformats.org/officeDocument/2006/relationships/hyperlink" Target="https://www.facebook.com/girlwiththebullies" TargetMode="External" Id="rId162"/><Relationship Type="http://schemas.openxmlformats.org/officeDocument/2006/relationships/hyperlink" Target="https://www.facebook.com/bulldogsbymrshermanandhugo" TargetMode="External" Id="rId163"/><Relationship Type="http://schemas.openxmlformats.org/officeDocument/2006/relationships/hyperlink" Target="https://www.facebook.com/profile.php?id=100088376396316" TargetMode="External" Id="rId164"/><Relationship Type="http://schemas.openxmlformats.org/officeDocument/2006/relationships/hyperlink" Target="https://www.facebook.com/wichitafrenchies" TargetMode="External" Id="rId165"/><Relationship Type="http://schemas.openxmlformats.org/officeDocument/2006/relationships/hyperlink" Target="https://www.facebook.com/NextLevelBulldogs" TargetMode="External" Id="rId166"/><Relationship Type="http://schemas.openxmlformats.org/officeDocument/2006/relationships/hyperlink" Target="https://www.facebook.com/BrandNameBullies" TargetMode="External" Id="rId167"/><Relationship Type="http://schemas.openxmlformats.org/officeDocument/2006/relationships/hyperlink" Target="https://www.facebook.com/awesomeoldeenglishbulldogges" TargetMode="External" Id="rId168"/><Relationship Type="http://schemas.openxmlformats.org/officeDocument/2006/relationships/hyperlink" Target="https://www.facebook.com/letsget.pop.5" TargetMode="External" Id="rId169"/><Relationship Type="http://schemas.openxmlformats.org/officeDocument/2006/relationships/hyperlink" Target="https://www.facebook.com/MikantribeBulldogs" TargetMode="External" Id="rId170"/><Relationship Type="http://schemas.openxmlformats.org/officeDocument/2006/relationships/hyperlink" Target="https://www.facebook.com/HeroicusBritishBulldogs" TargetMode="External" Id="rId171"/><Relationship Type="http://schemas.openxmlformats.org/officeDocument/2006/relationships/hyperlink" Target="https://www.facebook.com/chababullies" TargetMode="External" Id="rId172"/><Relationship Type="http://schemas.openxmlformats.org/officeDocument/2006/relationships/hyperlink" Target="https://www.facebook.com/profile.php?id=100083226076300" TargetMode="External" Id="rId173"/><Relationship Type="http://schemas.openxmlformats.org/officeDocument/2006/relationships/hyperlink" Target="https://www.facebook.com/profile.php?id=100065229351243" TargetMode="External" Id="rId174"/><Relationship Type="http://schemas.openxmlformats.org/officeDocument/2006/relationships/hyperlink" Target="https://www.facebook.com/profile.php?id=61590486507258" TargetMode="External" Id="rId175"/><Relationship Type="http://schemas.openxmlformats.org/officeDocument/2006/relationships/hyperlink" Target="https://www.facebook.com/profile.php?id=100066661808450" TargetMode="External" Id="rId176"/><Relationship Type="http://schemas.openxmlformats.org/officeDocument/2006/relationships/hyperlink" Target="https://www.facebook.com/hatcreekbulldogges" TargetMode="External" Id="rId177"/><Relationship Type="http://schemas.openxmlformats.org/officeDocument/2006/relationships/hyperlink" Target="https://www.facebook.com/profile.php?id=61594140756322" TargetMode="External" Id="rId178"/><Relationship Type="http://schemas.openxmlformats.org/officeDocument/2006/relationships/hyperlink" Target="https://www.facebook.com/AltaTollhausGSD" TargetMode="External" Id="rId179"/><Relationship Type="http://schemas.openxmlformats.org/officeDocument/2006/relationships/hyperlink" Target="https://www.facebook.com/SoftBellybulldogs" TargetMode="External" Id="rId180"/><Relationship Type="http://schemas.openxmlformats.org/officeDocument/2006/relationships/hyperlink" Target="https://www.facebook.com/profile.php?id=61550672294369" TargetMode="External" Id="rId181"/><Relationship Type="http://schemas.openxmlformats.org/officeDocument/2006/relationships/hyperlink" Target="https://www.facebook.com/profile.php?id=100064662194920" TargetMode="External" Id="rId182"/><Relationship Type="http://schemas.openxmlformats.org/officeDocument/2006/relationships/hyperlink" Target="https://www.facebook.com/profile.php?id=61556624661362" TargetMode="External" Id="rId183"/><Relationship Type="http://schemas.openxmlformats.org/officeDocument/2006/relationships/hyperlink" Target="https://www.facebook.com/Bodybuilderbulldogs" TargetMode="External" Id="rId184"/><Relationship Type="http://schemas.openxmlformats.org/officeDocument/2006/relationships/hyperlink" Target="https://www.facebook.com/carbonitefrenchbulldogs" TargetMode="External" Id="rId185"/><Relationship Type="http://schemas.openxmlformats.org/officeDocument/2006/relationships/hyperlink" Target="https://www.facebook.com/FallenTimbersBulldogs" TargetMode="External" Id="rId186"/><Relationship Type="http://schemas.openxmlformats.org/officeDocument/2006/relationships/hyperlink" Target="https://www.facebook.com/profile.php?id=61571900258811" TargetMode="External" Id="rId187"/><Relationship Type="http://schemas.openxmlformats.org/officeDocument/2006/relationships/hyperlink" Target="https://www.facebook.com/profile.php?id=61559962702347" TargetMode="External" Id="rId188"/><Relationship Type="http://schemas.openxmlformats.org/officeDocument/2006/relationships/hyperlink" Target="https://www.facebook.com/vik9s" TargetMode="External" Id="rId189"/><Relationship Type="http://schemas.openxmlformats.org/officeDocument/2006/relationships/hyperlink" Target="https://www.facebook.com/UruguayCaneCorso" TargetMode="External" Id="rId190"/><Relationship Type="http://schemas.openxmlformats.org/officeDocument/2006/relationships/hyperlink" Target="https://www.facebook.com/specializedpetsolutions" TargetMode="External" Id="rId191"/><Relationship Type="http://schemas.openxmlformats.org/officeDocument/2006/relationships/hyperlink" Target="https://www.facebook.com/178farmhusky" TargetMode="External" Id="rId192"/><Relationship Type="http://schemas.openxmlformats.org/officeDocument/2006/relationships/hyperlink" Target="https://www.facebook.com/MysticRiverPugs" TargetMode="External" Id="rId193"/><Relationship Type="http://schemas.openxmlformats.org/officeDocument/2006/relationships/hyperlink" Target="https://www.facebook.com/farmtopet" TargetMode="External" Id="rId194"/><Relationship Type="http://schemas.openxmlformats.org/officeDocument/2006/relationships/hyperlink" Target="https://www.facebook.com/nononsensepetfood" TargetMode="External" Id="rId195"/><Relationship Type="http://schemas.openxmlformats.org/officeDocument/2006/relationships/hyperlink" Target="https://www.facebook.com/misspoppetthesamoyed" TargetMode="External" Id="rId196"/><Relationship Type="http://schemas.openxmlformats.org/officeDocument/2006/relationships/hyperlink" Target="https://www.facebook.com/profile.php?id=100057232068567" TargetMode="External" Id="rId197"/><Relationship Type="http://schemas.openxmlformats.org/officeDocument/2006/relationships/hyperlink" Target="https://www.facebook.com/alfiedream" TargetMode="External" Id="rId198"/><Relationship Type="http://schemas.openxmlformats.org/officeDocument/2006/relationships/hyperlink" Target="https://www.facebook.com/TheHappiestHound" TargetMode="External" Id="rId199"/><Relationship Type="http://schemas.openxmlformats.org/officeDocument/2006/relationships/hyperlink" Target="https://www.facebook.com/RingsideHounds" TargetMode="External" Id="rId200"/><Relationship Type="http://schemas.openxmlformats.org/officeDocument/2006/relationships/hyperlink" Target="https://www.facebook.com/longsmtolympusbh" TargetMode="External" Id="rId201"/><Relationship Type="http://schemas.openxmlformats.org/officeDocument/2006/relationships/hyperlink" Target="https://www.facebook.com/profile.php?id=61583964194952" TargetMode="External" Id="rId202"/><Relationship Type="http://schemas.openxmlformats.org/officeDocument/2006/relationships/hyperlink" Target="https://www.facebook.com/profile.php?id=100063602379429" TargetMode="External" Id="rId203"/><Relationship Type="http://schemas.openxmlformats.org/officeDocument/2006/relationships/hyperlink" Target="https://www.facebook.com/SpoiledRottenBullies" TargetMode="External" Id="rId204"/><Relationship Type="http://schemas.openxmlformats.org/officeDocument/2006/relationships/hyperlink" Target="https://www.facebook.com/profile.php?id=100063754752416" TargetMode="External" Id="rId205"/><Relationship Type="http://schemas.openxmlformats.org/officeDocument/2006/relationships/hyperlink" Target="https://www.facebook.com/McLeodKennels" TargetMode="External" Id="rId206"/><Relationship Type="http://schemas.openxmlformats.org/officeDocument/2006/relationships/hyperlink" Target="https://www.facebook.com/AddybullBulldogs" TargetMode="External" Id="rId207"/><Relationship Type="http://schemas.openxmlformats.org/officeDocument/2006/relationships/hyperlink" Target="https://www.facebook.com/profile.php?id=100057379632480" TargetMode="External" Id="rId208"/><Relationship Type="http://schemas.openxmlformats.org/officeDocument/2006/relationships/hyperlink" Target="https://www.facebook.com/profile.php?id=100063805402187" TargetMode="External" Id="rId209"/><Relationship Type="http://schemas.openxmlformats.org/officeDocument/2006/relationships/hyperlink" Target="https://www.facebook.com/GuideDogsofAmerica" TargetMode="External" Id="rId210"/><Relationship Type="http://schemas.openxmlformats.org/officeDocument/2006/relationships/hyperlink" Target="https://www.facebook.com/ServiceDogsofVirginia" TargetMode="External" Id="rId211"/><Relationship Type="http://schemas.openxmlformats.org/officeDocument/2006/relationships/hyperlink" Target="https://www.facebook.com/whisperingwillowkennels" TargetMode="External" Id="rId212"/><Relationship Type="http://schemas.openxmlformats.org/officeDocument/2006/relationships/hyperlink" Target="https://www.facebook.com/OzziesPoundPuppies" TargetMode="External" Id="rId213"/><Relationship Type="http://schemas.openxmlformats.org/officeDocument/2006/relationships/hyperlink" Target="https://www.facebook.com/HandMkennels" TargetMode="External" Id="rId214"/><Relationship Type="http://schemas.openxmlformats.org/officeDocument/2006/relationships/hyperlink" Target="https://www.facebook.com/vanghytten" TargetMode="External" Id="rId215"/><Relationship Type="http://schemas.openxmlformats.org/officeDocument/2006/relationships/hyperlink" Target="https://www.facebook.com/profile.php?id=100058838389097" TargetMode="External" Id="rId216"/><Relationship Type="http://schemas.openxmlformats.org/officeDocument/2006/relationships/hyperlink" Target="https://www.facebook.com/profile.php?id=100057520715789" TargetMode="External" Id="rId217"/><Relationship Type="http://schemas.openxmlformats.org/officeDocument/2006/relationships/hyperlink" Target="https://www.facebook.com/NEKtraining" TargetMode="External" Id="rId218"/><Relationship Type="http://schemas.openxmlformats.org/officeDocument/2006/relationships/hyperlink" Target="https://www.facebook.com/fitmin.kennel" TargetMode="External" Id="rId219"/><Relationship Type="http://schemas.openxmlformats.org/officeDocument/2006/relationships/hyperlink" Target="https://www.facebook.com/SmokinAceKennels" TargetMode="External" Id="rId220"/><Relationship Type="http://schemas.openxmlformats.org/officeDocument/2006/relationships/hyperlink" Target="https://www.facebook.com/kennelsonsofnorth" TargetMode="External" Id="rId221"/><Relationship Type="http://schemas.openxmlformats.org/officeDocument/2006/relationships/hyperlink" Target="https://www.facebook.com/genstat.kennel" TargetMode="External" Id="rId222"/><Relationship Type="http://schemas.openxmlformats.org/officeDocument/2006/relationships/hyperlink" Target="https://www.facebook.com/kacifantoskennel" TargetMode="External" Id="rId223"/><Relationship Type="http://schemas.openxmlformats.org/officeDocument/2006/relationships/hyperlink" Target="https://www.facebook.com/NadaStojanoski" TargetMode="External" Id="rId224"/><Relationship Type="http://schemas.openxmlformats.org/officeDocument/2006/relationships/hyperlink" Target="https://www.facebook.com/profile.php?id=100075829101420" TargetMode="External" Id="rId225"/><Relationship Type="http://schemas.openxmlformats.org/officeDocument/2006/relationships/hyperlink" Target="https://www.facebook.com/profile.php?id=100041166525359" TargetMode="External" Id="rId226"/><Relationship Type="http://schemas.openxmlformats.org/officeDocument/2006/relationships/hyperlink" Target="https://www.facebook.com/profile.php?id=100054540486161" TargetMode="External" Id="rId227"/><Relationship Type="http://schemas.openxmlformats.org/officeDocument/2006/relationships/hyperlink" Target="https://www.facebook.com/kennelparadise88" TargetMode="External" Id="rId228"/><Relationship Type="http://schemas.openxmlformats.org/officeDocument/2006/relationships/hyperlink" Target="https://www.facebook.com/glenriska" TargetMode="External" Id="rId229"/><Relationship Type="http://schemas.openxmlformats.org/officeDocument/2006/relationships/hyperlink" Target="https://www.facebook.com/profile.php?id=100088558417637" TargetMode="External" Id="rId230"/><Relationship Type="http://schemas.openxmlformats.org/officeDocument/2006/relationships/hyperlink" Target="https://www.facebook.com/leongoldenkennel" TargetMode="External" Id="rId231"/><Relationship Type="http://schemas.openxmlformats.org/officeDocument/2006/relationships/hyperlink" Target="https://www.facebook.com/GrandOaksKennelTX" TargetMode="External" Id="rId232"/><Relationship Type="http://schemas.openxmlformats.org/officeDocument/2006/relationships/hyperlink" Target="https://www.facebook.com/charmingverve" TargetMode="External" Id="rId233"/><Relationship Type="http://schemas.openxmlformats.org/officeDocument/2006/relationships/hyperlink" Target="https://www.facebook.com/kennelzaijas" TargetMode="External" Id="rId234"/><Relationship Type="http://schemas.openxmlformats.org/officeDocument/2006/relationships/hyperlink" Target="https://www.facebook.com/doodranchmaui" TargetMode="External" Id="rId235"/><Relationship Type="http://schemas.openxmlformats.org/officeDocument/2006/relationships/hyperlink" Target="https://www.facebook.com/profile.php?id=100095075891304" TargetMode="External" Id="rId236"/><Relationship Type="http://schemas.openxmlformats.org/officeDocument/2006/relationships/hyperlink" Target="https://www.facebook.com/pitterpatterpup" TargetMode="External" Id="rId237"/><Relationship Type="http://schemas.openxmlformats.org/officeDocument/2006/relationships/hyperlink" Target="https://www.facebook.com/profile.php?id=61580587514041" TargetMode="External" Id="rId238"/><Relationship Type="http://schemas.openxmlformats.org/officeDocument/2006/relationships/hyperlink" Target="https://www.facebook.com/profile.php?id=61577059083903" TargetMode="External" Id="rId239"/><Relationship Type="http://schemas.openxmlformats.org/officeDocument/2006/relationships/hyperlink" Target="https://www.facebook.com/basiadankennel" TargetMode="External" Id="rId240"/><Relationship Type="http://schemas.openxmlformats.org/officeDocument/2006/relationships/hyperlink" Target="https://www.facebook.com/roancreekkennels" TargetMode="External" Id="rId241"/><Relationship Type="http://schemas.openxmlformats.org/officeDocument/2006/relationships/hyperlink" Target="https://www.facebook.com/profile.php?id=100077811506711" TargetMode="External" Id="rId242"/><Relationship Type="http://schemas.openxmlformats.org/officeDocument/2006/relationships/hyperlink" Target="https://www.facebook.com/peggyspuppiesatgraystone" TargetMode="External" Id="rId243"/><Relationship Type="http://schemas.openxmlformats.org/officeDocument/2006/relationships/hyperlink" Target="https://www.facebook.com/profile.php?id=61556955868341" TargetMode="External" Id="rId244"/><Relationship Type="http://schemas.openxmlformats.org/officeDocument/2006/relationships/hyperlink" Target="https://www.facebook.com/profile.php?id=100064336616280" TargetMode="External" Id="rId245"/><Relationship Type="http://schemas.openxmlformats.org/officeDocument/2006/relationships/hyperlink" Target="https://www.facebook.com/WoodlandViewKennels" TargetMode="External" Id="rId246"/><Relationship Type="http://schemas.openxmlformats.org/officeDocument/2006/relationships/hyperlink" Target="https://www.facebook.com/profile.php?id=100089843413795" TargetMode="External" Id="rId247"/><Relationship Type="http://schemas.openxmlformats.org/officeDocument/2006/relationships/hyperlink" Target="https://www.facebook.com/elitekennelfertility" TargetMode="External" Id="rId248"/><Relationship Type="http://schemas.openxmlformats.org/officeDocument/2006/relationships/hyperlink" Target="https://www.facebook.com/profile.php?id=100050507964837" TargetMode="External" Id="rId249"/><Relationship Type="http://schemas.openxmlformats.org/officeDocument/2006/relationships/hyperlink" Target="https://www.facebook.com/profile.php?id=100063481155747" TargetMode="External" Id="rId250"/><Relationship Type="http://schemas.openxmlformats.org/officeDocument/2006/relationships/hyperlink" Target="https://www.facebook.com/profile.php?id=100057535686133" TargetMode="External" Id="rId251"/><Relationship Type="http://schemas.openxmlformats.org/officeDocument/2006/relationships/hyperlink" Target="https://www.facebook.com/Nikkis.Pet.Services.Scot" TargetMode="External" Id="rId252"/><Relationship Type="http://schemas.openxmlformats.org/officeDocument/2006/relationships/hyperlink" Target="https://www.facebook.com/K9roamco" TargetMode="External" Id="rId253"/><Relationship Type="http://schemas.openxmlformats.org/officeDocument/2006/relationships/hyperlink" Target="https://www.facebook.com/CunningshotDogTraining" TargetMode="External" Id="rId254"/><Relationship Type="http://schemas.openxmlformats.org/officeDocument/2006/relationships/hyperlink" Target="https://www.facebook.com/diamondsnpearlspetservices" TargetMode="External" Id="rId255"/><Relationship Type="http://schemas.openxmlformats.org/officeDocument/2006/relationships/hyperlink" Target="https://www.facebook.com/NeighCareLLC" TargetMode="External" Id="rId256"/><Relationship Type="http://schemas.openxmlformats.org/officeDocument/2006/relationships/hyperlink" Target="https://www.facebook.com/profile.php?id=61586626431863" TargetMode="External" Id="rId257"/><Relationship Type="http://schemas.openxmlformats.org/officeDocument/2006/relationships/hyperlink" Target="https://www.facebook.com/bestbuddydogtrainer" TargetMode="External" Id="rId258"/><Relationship Type="http://schemas.openxmlformats.org/officeDocument/2006/relationships/hyperlink" Target="https://www.facebook.com/BubblePuppySwimAndPlayhouse" TargetMode="External" Id="rId259"/><Relationship Type="http://schemas.openxmlformats.org/officeDocument/2006/relationships/hyperlink" Target="https://www.facebook.com/profile.php?id=61550725015891" TargetMode="External" Id="rId260"/><Relationship Type="http://schemas.openxmlformats.org/officeDocument/2006/relationships/hyperlink" Target="https://www.facebook.com/WGSRescue" TargetMode="External" Id="rId261"/><Relationship Type="http://schemas.openxmlformats.org/officeDocument/2006/relationships/hyperlink" Target="https://www.facebook.com/GSROCdogs" TargetMode="External" Id="rId262"/><Relationship Type="http://schemas.openxmlformats.org/officeDocument/2006/relationships/hyperlink" Target="https://www.facebook.com/profile.php?id=61585143501577" TargetMode="External" Id="rId263"/><Relationship Type="http://schemas.openxmlformats.org/officeDocument/2006/relationships/hyperlink" Target="https://www.facebook.com/GCGSR" TargetMode="External" Id="rId264"/><Relationship Type="http://schemas.openxmlformats.org/officeDocument/2006/relationships/hyperlink" Target="https://www.facebook.com/blessedbethebullies" TargetMode="External" Id="rId265"/><Relationship Type="http://schemas.openxmlformats.org/officeDocument/2006/relationships/hyperlink" Target="https://www.facebook.com/CollieRescueofGreaterIL" TargetMode="External" Id="rId266"/><Relationship Type="http://schemas.openxmlformats.org/officeDocument/2006/relationships/hyperlink" Target="https://www.facebook.com/TeaTimewithEarlGreyhound" TargetMode="External" Id="rId267"/><Relationship Type="http://schemas.openxmlformats.org/officeDocument/2006/relationships/hyperlink" Target="https://www.facebook.com/SerenityBassetHounds" TargetMode="External" Id="rId268"/><Relationship Type="http://schemas.openxmlformats.org/officeDocument/2006/relationships/hyperlink" Target="https://www.facebook.com/YapYapDoxieDogClayDachshundDesigns" TargetMode="External" Id="rId269"/><Relationship Type="http://schemas.openxmlformats.org/officeDocument/2006/relationships/hyperlink" Target="https://www.facebook.com/profile.php?id=100079016053007" TargetMode="External" Id="rId270"/><Relationship Type="http://schemas.openxmlformats.org/officeDocument/2006/relationships/hyperlink" Target="https://www.facebook.com/timmikinshelties" TargetMode="External" Id="rId271"/><Relationship Type="http://schemas.openxmlformats.org/officeDocument/2006/relationships/hyperlink" Target="https://www.facebook.com/profile.php?id=61565520434277" TargetMode="External" Id="rId272"/><Relationship Type="http://schemas.openxmlformats.org/officeDocument/2006/relationships/hyperlink" Target="https://www.facebook.com/LuvOfDogzFund" TargetMode="External" Id="rId273"/><Relationship Type="http://schemas.openxmlformats.org/officeDocument/2006/relationships/hyperlink" Target="https://www.facebook.com/Movingyourpets" TargetMode="External" Id="rId274"/><Relationship Type="http://schemas.openxmlformats.org/officeDocument/2006/relationships/hyperlink" Target="https://www.facebook.com/profile.php?id=61573768274207" TargetMode="External" Id="rId275"/><Relationship Type="http://schemas.openxmlformats.org/officeDocument/2006/relationships/hyperlink" Target="https://www.facebook.com/StonesEdgeBMD" TargetMode="External" Id="rId276"/><Relationship Type="http://schemas.openxmlformats.org/officeDocument/2006/relationships/hyperlink" Target="https://www.facebook.com/profile.php?id=100086032986670" TargetMode="External" Id="rId277"/><Relationship Type="http://schemas.openxmlformats.org/officeDocument/2006/relationships/hyperlink" Target="https://www.facebook.com/profile.php?id=61581612007097" TargetMode="External" Id="rId278"/><Relationship Type="http://schemas.openxmlformats.org/officeDocument/2006/relationships/hyperlink" Target="https://www.facebook.com/RidgyDidgeCobberdogs" TargetMode="External" Id="rId279"/><Relationship Type="http://schemas.openxmlformats.org/officeDocument/2006/relationships/hyperlink" Target="https://www.facebook.com/lowridingdachshunds" TargetMode="External" Id="rId280"/><Relationship Type="http://schemas.openxmlformats.org/officeDocument/2006/relationships/hyperlink" Target="https://www.facebook.com/updoghotdogcart" TargetMode="External" Id="rId281"/><Relationship Type="http://schemas.openxmlformats.org/officeDocument/2006/relationships/hyperlink" Target="https://www.facebook.com/bavarianhoundclub" TargetMode="External" Id="rId282"/><Relationship Type="http://schemas.openxmlformats.org/officeDocument/2006/relationships/hyperlink" Target="https://www.facebook.com/cocothemaltesedog" TargetMode="External" Id="rId283"/><Relationship Type="http://schemas.openxmlformats.org/officeDocument/2006/relationships/hyperlink" Target="https://www.facebook.com/SchachnersBerneseMountainDogs" TargetMode="External" Id="rId284"/><Relationship Type="http://schemas.openxmlformats.org/officeDocument/2006/relationships/hyperlink" Target="https://www.facebook.com/foreverpuppyltd" TargetMode="External" Id="rId285"/><Relationship Type="http://schemas.openxmlformats.org/officeDocument/2006/relationships/hyperlink" Target="https://www.facebook.com/NorthernMichiganBernese" TargetMode="External" Id="rId286"/><Relationship Type="http://schemas.openxmlformats.org/officeDocument/2006/relationships/hyperlink" Target="https://www.facebook.com/profile.php?id=100069869744771" TargetMode="External" Id="rId287"/><Relationship Type="http://schemas.openxmlformats.org/officeDocument/2006/relationships/hyperlink" Target="https://www.facebook.com/profile.php?id=100090413510031" TargetMode="External" Id="rId288"/><Relationship Type="http://schemas.openxmlformats.org/officeDocument/2006/relationships/hyperlink" Target="https://www.facebook.com/profile.php?id=61553376334170" TargetMode="External" Id="rId289"/><Relationship Type="http://schemas.openxmlformats.org/officeDocument/2006/relationships/hyperlink" Target="https://www.facebook.com/saddledogfarm" TargetMode="External" Id="rId290"/><Relationship Type="http://schemas.openxmlformats.org/officeDocument/2006/relationships/hyperlink" Target="https://www.facebook.com/Houndstoothhouse" TargetMode="External" Id="rId291"/><Relationship Type="http://schemas.openxmlformats.org/officeDocument/2006/relationships/hyperlink" Target="https://www.facebook.com/5houndsbydrwill" TargetMode="External" Id="rId292"/><Relationship Type="http://schemas.openxmlformats.org/officeDocument/2006/relationships/hyperlink" Target="https://www.facebook.com/seattledogguard" TargetMode="External" Id="rId293"/><Relationship Type="http://schemas.openxmlformats.org/officeDocument/2006/relationships/hyperlink" Target="https://www.facebook.com/PuppyPlayGroundcom" TargetMode="External" Id="rId294"/><Relationship Type="http://schemas.openxmlformats.org/officeDocument/2006/relationships/hyperlink" Target="https://www.facebook.com/greyhoundsinneed" TargetMode="External" Id="rId295"/><Relationship Type="http://schemas.openxmlformats.org/officeDocument/2006/relationships/hyperlink" Target="https://www.facebook.com/doglawsolicitors" TargetMode="External" Id="rId296"/><Relationship Type="http://schemas.openxmlformats.org/officeDocument/2006/relationships/hyperlink" Target="https://www.facebook.com/GFDkennels" TargetMode="External" Id="rId297"/><Relationship Type="http://schemas.openxmlformats.org/officeDocument/2006/relationships/hyperlink" Target="https://www.facebook.com/openfarmpet" TargetMode="External" Id="rId29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frenchiepetsupply" TargetMode="External" Id="rId1"/><Relationship Type="http://schemas.openxmlformats.org/officeDocument/2006/relationships/hyperlink" Target="https://www.facebook.com/profile.php?id=100045637753004" TargetMode="External" Id="rId2"/><Relationship Type="http://schemas.openxmlformats.org/officeDocument/2006/relationships/hyperlink" Target="https://www.facebook.com/GocheeLabPuppies" TargetMode="External" Id="rId3"/><Relationship Type="http://schemas.openxmlformats.org/officeDocument/2006/relationships/hyperlink" Target="https://www.facebook.com/BlueBuddhaFrenchies" TargetMode="External" Id="rId4"/><Relationship Type="http://schemas.openxmlformats.org/officeDocument/2006/relationships/hyperlink" Target="https://www.facebook.com/fireattack86" TargetMode="External" Id="rId5"/><Relationship Type="http://schemas.openxmlformats.org/officeDocument/2006/relationships/hyperlink" Target="https://www.facebook.com/profile.php?id=100069804441424" TargetMode="External" Id="rId6"/><Relationship Type="http://schemas.openxmlformats.org/officeDocument/2006/relationships/hyperlink" Target="https://www.facebook.com/profile.php?id=61570931233134" TargetMode="External" Id="rId7"/><Relationship Type="http://schemas.openxmlformats.org/officeDocument/2006/relationships/hyperlink" Target="https://www.facebook.com/goldendogfarmvt" TargetMode="External" Id="rId8"/><Relationship Type="http://schemas.openxmlformats.org/officeDocument/2006/relationships/hyperlink" Target="https://www.facebook.com/english.bulldog.shop" TargetMode="External" Id="rId9"/><Relationship Type="http://schemas.openxmlformats.org/officeDocument/2006/relationships/hyperlink" Target="https://www.facebook.com/madeinbulldog" TargetMode="External" Id="rId10"/><Relationship Type="http://schemas.openxmlformats.org/officeDocument/2006/relationships/hyperlink" Target="https://www.facebook.com/fcfgoldendoodles" TargetMode="External" Id="rId11"/><Relationship Type="http://schemas.openxmlformats.org/officeDocument/2006/relationships/hyperlink" Target="https://www.facebook.com/butlerkennelsRottweilersofficial" TargetMode="External" Id="rId12"/><Relationship Type="http://schemas.openxmlformats.org/officeDocument/2006/relationships/hyperlink" Target="https://www.facebook.com/profile.php?id=61564897457360" TargetMode="External" Id="rId13"/><Relationship Type="http://schemas.openxmlformats.org/officeDocument/2006/relationships/hyperlink" Target="https://www.facebook.com/Labradorcouchpotato" TargetMode="External" Id="rId14"/><Relationship Type="http://schemas.openxmlformats.org/officeDocument/2006/relationships/hyperlink" Target="https://www.facebook.com/SeaDogPWDpuppies" TargetMode="External" Id="rId15"/><Relationship Type="http://schemas.openxmlformats.org/officeDocument/2006/relationships/hyperlink" Target="https://www.facebook.com/profile.php?id=100060832497072" TargetMode="External" Id="rId16"/><Relationship Type="http://schemas.openxmlformats.org/officeDocument/2006/relationships/hyperlink" Target="https://www.facebook.com/profile.php?id=100071498224701" TargetMode="External" Id="rId17"/><Relationship Type="http://schemas.openxmlformats.org/officeDocument/2006/relationships/hyperlink" Target="https://www.facebook.com/profile.php?id=100082103677996" TargetMode="External" Id="rId18"/><Relationship Type="http://schemas.openxmlformats.org/officeDocument/2006/relationships/hyperlink" Target="https://www.facebook.com/pmofpopfarm" TargetMode="External" Id="rId19"/><Relationship Type="http://schemas.openxmlformats.org/officeDocument/2006/relationships/hyperlink" Target="https://www.facebook.com/EclipseKennels" TargetMode="External" Id="rId20"/><Relationship Type="http://schemas.openxmlformats.org/officeDocument/2006/relationships/hyperlink" Target="https://www.facebook.com/tnbkennelsbulldogges" TargetMode="External" Id="rId21"/><Relationship Type="http://schemas.openxmlformats.org/officeDocument/2006/relationships/hyperlink" Target="https://www.facebook.com/EnduranceKennelsSprintMushing" TargetMode="External" Id="rId22"/><Relationship Type="http://schemas.openxmlformats.org/officeDocument/2006/relationships/hyperlink" Target="https://www.facebook.com/rockycreekfarmaussies" TargetMode="External" Id="rId23"/><Relationship Type="http://schemas.openxmlformats.org/officeDocument/2006/relationships/hyperlink" Target="https://www.facebook.com/BailiwickRetrievers" TargetMode="External" Id="rId24"/><Relationship Type="http://schemas.openxmlformats.org/officeDocument/2006/relationships/hyperlink" Target="https://www.facebook.com/CaneCorsoKennelAprioriBest" TargetMode="External" Id="rId25"/><Relationship Type="http://schemas.openxmlformats.org/officeDocument/2006/relationships/hyperlink" Target="https://www.facebook.com/brunosbulldogranch" TargetMode="External" Id="rId26"/><Relationship Type="http://schemas.openxmlformats.org/officeDocument/2006/relationships/hyperlink" Target="https://www.facebook.com/atfrenchiesofficial" TargetMode="External" Id="rId27"/><Relationship Type="http://schemas.openxmlformats.org/officeDocument/2006/relationships/hyperlink" Target="https://www.facebook.com/profile.php?id=61570701478685" TargetMode="External" Id="rId28"/><Relationship Type="http://schemas.openxmlformats.org/officeDocument/2006/relationships/hyperlink" Target="https://www.facebook.com/profile.php?id=100064316126658" TargetMode="External" Id="rId29"/><Relationship Type="http://schemas.openxmlformats.org/officeDocument/2006/relationships/hyperlink" Target="https://www.facebook.com/profile.php?id=61583795781324" TargetMode="External" Id="rId30"/><Relationship Type="http://schemas.openxmlformats.org/officeDocument/2006/relationships/hyperlink" Target="https://www.facebook.com/profile.php?id=100041857255193" TargetMode="External" Id="rId31"/><Relationship Type="http://schemas.openxmlformats.org/officeDocument/2006/relationships/hyperlink" Target="https://www.facebook.com/profile.php?id=61559272850812" TargetMode="External" Id="rId32"/><Relationship Type="http://schemas.openxmlformats.org/officeDocument/2006/relationships/hyperlink" Target="https://www.facebook.com/GNF603" TargetMode="External" Id="rId33"/><Relationship Type="http://schemas.openxmlformats.org/officeDocument/2006/relationships/hyperlink" Target="https://www.facebook.com/KyroFrenchBulldogs" TargetMode="External" Id="rId34"/><Relationship Type="http://schemas.openxmlformats.org/officeDocument/2006/relationships/hyperlink" Target="https://www.facebook.com/profile.php?id=100094416961961" TargetMode="External" Id="rId35"/><Relationship Type="http://schemas.openxmlformats.org/officeDocument/2006/relationships/hyperlink" Target="https://www.facebook.com/theemeraldpet" TargetMode="External" Id="rId36"/><Relationship Type="http://schemas.openxmlformats.org/officeDocument/2006/relationships/hyperlink" Target="https://www.facebook.com/reddirtdawgz" TargetMode="External" Id="rId37"/><Relationship Type="http://schemas.openxmlformats.org/officeDocument/2006/relationships/hyperlink" Target="https://www.facebook.com/profile.php?id=100063497116073" TargetMode="External" Id="rId38"/><Relationship Type="http://schemas.openxmlformats.org/officeDocument/2006/relationships/hyperlink" Target="https://www.facebook.com/FrenchBulldogKennels" TargetMode="External" Id="rId39"/><Relationship Type="http://schemas.openxmlformats.org/officeDocument/2006/relationships/hyperlink" Target="https://www.facebook.com/simplykindfrenchies" TargetMode="External" Id="rId40"/><Relationship Type="http://schemas.openxmlformats.org/officeDocument/2006/relationships/hyperlink" Target="https://www.facebook.com/profile.php?id=100031896956562" TargetMode="External" Id="rId41"/><Relationship Type="http://schemas.openxmlformats.org/officeDocument/2006/relationships/hyperlink" Target="https://www.facebook.com/sokotabulldogges" TargetMode="External" Id="rId42"/><Relationship Type="http://schemas.openxmlformats.org/officeDocument/2006/relationships/hyperlink" Target="https://www.facebook.com/profile.php?id=100095542921970" TargetMode="External" Id="rId43"/><Relationship Type="http://schemas.openxmlformats.org/officeDocument/2006/relationships/hyperlink" Target="https://www.facebook.com/ShawhanFamilyFrenchies" TargetMode="External" Id="rId44"/><Relationship Type="http://schemas.openxmlformats.org/officeDocument/2006/relationships/hyperlink" Target="https://www.facebook.com/BeYardcoreBullies" TargetMode="External" Id="rId45"/><Relationship Type="http://schemas.openxmlformats.org/officeDocument/2006/relationships/hyperlink" Target="https://www.facebook.com/gatorheadbullies" TargetMode="External" Id="rId46"/><Relationship Type="http://schemas.openxmlformats.org/officeDocument/2006/relationships/hyperlink" Target="https://www.facebook.com/profile.php?id=100075881257339" TargetMode="External" Id="rId47"/><Relationship Type="http://schemas.openxmlformats.org/officeDocument/2006/relationships/hyperlink" Target="https://www.facebook.com/doodledoggiesmillhill" TargetMode="External" Id="rId48"/><Relationship Type="http://schemas.openxmlformats.org/officeDocument/2006/relationships/hyperlink" Target="https://www.facebook.com/griffinfrenchie" TargetMode="External" Id="rId49"/><Relationship Type="http://schemas.openxmlformats.org/officeDocument/2006/relationships/hyperlink" Target="https://www.facebook.com/southlamaniskennel" TargetMode="External" Id="rId50"/><Relationship Type="http://schemas.openxmlformats.org/officeDocument/2006/relationships/hyperlink" Target="https://www.facebook.com/HungryHoundsPetSupplies" TargetMode="External" Id="rId51"/><Relationship Type="http://schemas.openxmlformats.org/officeDocument/2006/relationships/hyperlink" Target="https://www.facebook.com/KatiesCorgis" TargetMode="External" Id="rId52"/><Relationship Type="http://schemas.openxmlformats.org/officeDocument/2006/relationships/hyperlink" Target="https://www.facebook.com/SeelenvollShepherds" TargetMode="External" Id="rId53"/><Relationship Type="http://schemas.openxmlformats.org/officeDocument/2006/relationships/hyperlink" Target="https://www.facebook.com/outskirts.kennels.llc" TargetMode="External" Id="rId54"/><Relationship Type="http://schemas.openxmlformats.org/officeDocument/2006/relationships/hyperlink" Target="https://www.facebook.com/61588559050568" TargetMode="External" Id="rId55"/><Relationship Type="http://schemas.openxmlformats.org/officeDocument/2006/relationships/hyperlink" Target="https://www.facebook.com/profile.php?id=100090438180677" TargetMode="External" Id="rId56"/><Relationship Type="http://schemas.openxmlformats.org/officeDocument/2006/relationships/hyperlink" Target="https://www.facebook.com/profile.php?id=100071849751829" TargetMode="External" Id="rId57"/><Relationship Type="http://schemas.openxmlformats.org/officeDocument/2006/relationships/hyperlink" Target="https://www.facebook.com/profile.php?id=61590146927480" TargetMode="External" Id="rId58"/><Relationship Type="http://schemas.openxmlformats.org/officeDocument/2006/relationships/hyperlink" Target="https://www.facebook.com/evercrestkennels" TargetMode="External" Id="rId59"/><Relationship Type="http://schemas.openxmlformats.org/officeDocument/2006/relationships/hyperlink" Target="https://www.facebook.com/stonewallbassethounds" TargetMode="External" Id="rId60"/><Relationship Type="http://schemas.openxmlformats.org/officeDocument/2006/relationships/hyperlink" Target="https://www.facebook.com/TopQualityBostons" TargetMode="External" Id="rId61"/><Relationship Type="http://schemas.openxmlformats.org/officeDocument/2006/relationships/hyperlink" Target="https://www.facebook.com/profile.php?id=100057424660915" TargetMode="External" Id="rId62"/><Relationship Type="http://schemas.openxmlformats.org/officeDocument/2006/relationships/hyperlink" Target="https://www.facebook.com/profile.php?id=100057048746149" TargetMode="External" Id="rId63"/><Relationship Type="http://schemas.openxmlformats.org/officeDocument/2006/relationships/hyperlink" Target="https://www.facebook.com/lcdoodlefarmllc" TargetMode="External" Id="rId64"/><Relationship Type="http://schemas.openxmlformats.org/officeDocument/2006/relationships/hyperlink" Target="https://www.facebook.com/singingsands" TargetMode="External" Id="rId65"/><Relationship Type="http://schemas.openxmlformats.org/officeDocument/2006/relationships/hyperlink" Target="https://www.facebook.com/childsbulldog" TargetMode="External" Id="rId66"/><Relationship Type="http://schemas.openxmlformats.org/officeDocument/2006/relationships/hyperlink" Target="https://www.facebook.com/damedogslabradors" TargetMode="External" Id="rId67"/><Relationship Type="http://schemas.openxmlformats.org/officeDocument/2006/relationships/hyperlink" Target="https://www.facebook.com/profile.php?id=100063198220891" TargetMode="External" Id="rId68"/><Relationship Type="http://schemas.openxmlformats.org/officeDocument/2006/relationships/hyperlink" Target="https://www.facebook.com/TheFifthElementkennel" TargetMode="External" Id="rId69"/><Relationship Type="http://schemas.openxmlformats.org/officeDocument/2006/relationships/hyperlink" Target="https://www.facebook.com/tryhardkennel" TargetMode="External" Id="rId70"/><Relationship Type="http://schemas.openxmlformats.org/officeDocument/2006/relationships/hyperlink" Target="https://www.facebook.com/powerline.kennels" TargetMode="External" Id="rId71"/><Relationship Type="http://schemas.openxmlformats.org/officeDocument/2006/relationships/hyperlink" Target="https://www.facebook.com/reflectionkennels" TargetMode="External" Id="rId72"/><Relationship Type="http://schemas.openxmlformats.org/officeDocument/2006/relationships/hyperlink" Target="https://www.facebook.com/profile.php?id=100088505165566" TargetMode="External" Id="rId73"/><Relationship Type="http://schemas.openxmlformats.org/officeDocument/2006/relationships/hyperlink" Target="https://www.facebook.com/masterofpuppies.hq" TargetMode="External" Id="rId74"/><Relationship Type="http://schemas.openxmlformats.org/officeDocument/2006/relationships/hyperlink" Target="https://www.facebook.com/flusingkimberkennels" TargetMode="External" Id="rId75"/><Relationship Type="http://schemas.openxmlformats.org/officeDocument/2006/relationships/hyperlink" Target="https://www.facebook.com/profile.php?id=100092531616837" TargetMode="External" Id="rId76"/><Relationship Type="http://schemas.openxmlformats.org/officeDocument/2006/relationships/hyperlink" Target="https://www.facebook.com/HouseofFrenchiez" TargetMode="External" Id="rId77"/><Relationship Type="http://schemas.openxmlformats.org/officeDocument/2006/relationships/hyperlink" Target="https://www.facebook.com/PetWorld111" TargetMode="External" Id="rId78"/><Relationship Type="http://schemas.openxmlformats.org/officeDocument/2006/relationships/hyperlink" Target="https://www.facebook.com/HoneyMountainKennels" TargetMode="External" Id="rId79"/><Relationship Type="http://schemas.openxmlformats.org/officeDocument/2006/relationships/hyperlink" Target="https://www.facebook.com/profile.php?id=61552182017852" TargetMode="External" Id="rId80"/><Relationship Type="http://schemas.openxmlformats.org/officeDocument/2006/relationships/hyperlink" Target="https://www.facebook.com/pauline.victor.7" TargetMode="External" Id="rId81"/><Relationship Type="http://schemas.openxmlformats.org/officeDocument/2006/relationships/hyperlink" Target="https://www.facebook.com/CGGSP" TargetMode="External" Id="rId82"/><Relationship Type="http://schemas.openxmlformats.org/officeDocument/2006/relationships/hyperlink" Target="https://www.facebook.com/CurlyOakKennels" TargetMode="External" Id="rId83"/><Relationship Type="http://schemas.openxmlformats.org/officeDocument/2006/relationships/hyperlink" Target="https://www.facebook.com/profile.php?id=100091660117056" TargetMode="External" Id="rId84"/><Relationship Type="http://schemas.openxmlformats.org/officeDocument/2006/relationships/hyperlink" Target="https://www.facebook.com/RuffLandKennels" TargetMode="External" Id="rId85"/><Relationship Type="http://schemas.openxmlformats.org/officeDocument/2006/relationships/hyperlink" Target="https://www.facebook.com/HALLEDENZEL" TargetMode="External" Id="rId86"/><Relationship Type="http://schemas.openxmlformats.org/officeDocument/2006/relationships/hyperlink" Target="https://www.facebook.com/toedtersisleoffrenchies2.0" TargetMode="External" Id="rId87"/><Relationship Type="http://schemas.openxmlformats.org/officeDocument/2006/relationships/hyperlink" Target="https://www.facebook.com/profile.php?id=61556753282237" TargetMode="External" Id="rId88"/><Relationship Type="http://schemas.openxmlformats.org/officeDocument/2006/relationships/hyperlink" Target="https://www.facebook.com/tinylasvegaschihuahua" TargetMode="External" Id="rId89"/><Relationship Type="http://schemas.openxmlformats.org/officeDocument/2006/relationships/hyperlink" Target="https://www.facebook.com/HustleLineKennels" TargetMode="External" Id="rId90"/><Relationship Type="http://schemas.openxmlformats.org/officeDocument/2006/relationships/hyperlink" Target="https://www.facebook.com/vixbull" TargetMode="External" Id="rId91"/><Relationship Type="http://schemas.openxmlformats.org/officeDocument/2006/relationships/hyperlink" Target="https://www.facebook.com/profile.php?id=61589220058115" TargetMode="External" Id="rId92"/><Relationship Type="http://schemas.openxmlformats.org/officeDocument/2006/relationships/hyperlink" Target="https://www.facebook.com/profile.php?id=100079571530843" TargetMode="External" Id="rId93"/><Relationship Type="http://schemas.openxmlformats.org/officeDocument/2006/relationships/hyperlink" Target="https://www.facebook.com/swfrenchies" TargetMode="External" Id="rId94"/><Relationship Type="http://schemas.openxmlformats.org/officeDocument/2006/relationships/hyperlink" Target="https://www.facebook.com/norcalbulldoggerphotos" TargetMode="External" Id="rId95"/><Relationship Type="http://schemas.openxmlformats.org/officeDocument/2006/relationships/hyperlink" Target="https://www.facebook.com/longearsandlongdogs" TargetMode="External" Id="rId96"/><Relationship Type="http://schemas.openxmlformats.org/officeDocument/2006/relationships/hyperlink" Target="https://www.facebook.com/eMacBulldogs" TargetMode="External" Id="rId97"/><Relationship Type="http://schemas.openxmlformats.org/officeDocument/2006/relationships/hyperlink" Target="https://www.facebook.com/BulldogPabs" TargetMode="External" Id="rId98"/><Relationship Type="http://schemas.openxmlformats.org/officeDocument/2006/relationships/hyperlink" Target="https://www.facebook.com/maltesebichonfrisepoodletcupdogpuppy" TargetMode="External" Id="rId99"/><Relationship Type="http://schemas.openxmlformats.org/officeDocument/2006/relationships/hyperlink" Target="https://www.facebook.com/nogoark" TargetMode="External" Id="rId100"/><Relationship Type="http://schemas.openxmlformats.org/officeDocument/2006/relationships/hyperlink" Target="https://www.facebook.com/profile.php?id=100072290205127" TargetMode="External" Id="rId101"/><Relationship Type="http://schemas.openxmlformats.org/officeDocument/2006/relationships/hyperlink" Target="https://www.facebook.com/balthropbendspringers" TargetMode="External" Id="rId102"/><Relationship Type="http://schemas.openxmlformats.org/officeDocument/2006/relationships/hyperlink" Target="https://www.facebook.com/Venomline" TargetMode="External" Id="rId103"/><Relationship Type="http://schemas.openxmlformats.org/officeDocument/2006/relationships/hyperlink" Target="https://www.facebook.com/diamondcitybulldogs" TargetMode="External" Id="rId104"/><Relationship Type="http://schemas.openxmlformats.org/officeDocument/2006/relationships/hyperlink" Target="https://www.facebook.com/BlueLakeTurfFarm" TargetMode="External" Id="rId105"/><Relationship Type="http://schemas.openxmlformats.org/officeDocument/2006/relationships/hyperlink" Target="https://www.facebook.com/mannyparkpuppies" TargetMode="External" Id="rId106"/><Relationship Type="http://schemas.openxmlformats.org/officeDocument/2006/relationships/hyperlink" Target="https://www.facebook.com/profile.php?id=100064872934755" TargetMode="External" Id="rId107"/><Relationship Type="http://schemas.openxmlformats.org/officeDocument/2006/relationships/hyperlink" Target="https://www.facebook.com/waltandgusthebernese" TargetMode="External" Id="rId108"/><Relationship Type="http://schemas.openxmlformats.org/officeDocument/2006/relationships/hyperlink" Target="https://www.facebook.com/spoileddogco" TargetMode="External" Id="rId109"/><Relationship Type="http://schemas.openxmlformats.org/officeDocument/2006/relationships/hyperlink" Target="https://www.facebook.com/profile.php?id=61591907463807" TargetMode="External" Id="rId110"/><Relationship Type="http://schemas.openxmlformats.org/officeDocument/2006/relationships/hyperlink" Target="https://www.facebook.com/southeasternguidedogs" TargetMode="External" Id="rId111"/><Relationship Type="http://schemas.openxmlformats.org/officeDocument/2006/relationships/hyperlink" Target="https://www.facebook.com/ForTheLoveOfDogsLlc" TargetMode="External" Id="rId112"/><Relationship Type="http://schemas.openxmlformats.org/officeDocument/2006/relationships/hyperlink" Target="https://www.facebook.com/profile.php?id=61574902920954" TargetMode="External" Id="rId113"/><Relationship Type="http://schemas.openxmlformats.org/officeDocument/2006/relationships/hyperlink" Target="https://www.facebook.com/profile.php?id=100063685532640" TargetMode="External" Id="rId114"/><Relationship Type="http://schemas.openxmlformats.org/officeDocument/2006/relationships/hyperlink" Target="https://www.facebook.com/HPetexpress22" TargetMode="External" Id="rId115"/><Relationship Type="http://schemas.openxmlformats.org/officeDocument/2006/relationships/hyperlink" Target="https://www.facebook.com/pasturegreenbernese" TargetMode="External" Id="rId116"/><Relationship Type="http://schemas.openxmlformats.org/officeDocument/2006/relationships/hyperlink" Target="https://www.facebook.com/HoundDown" TargetMode="External" Id="rId117"/><Relationship Type="http://schemas.openxmlformats.org/officeDocument/2006/relationships/hyperlink" Target="https://www.facebook.com/puppyculture" TargetMode="External" Id="rId118"/><Relationship Type="http://schemas.openxmlformats.org/officeDocument/2006/relationships/hyperlink" Target="https://www.facebook.com/nationalsheepdogfinals" TargetMode="External" Id="rId119"/><Relationship Type="http://schemas.openxmlformats.org/officeDocument/2006/relationships/hyperlink" Target="https://www.facebook.com/profile.php?id=100083007921203" TargetMode="External" Id="rId120"/><Relationship Type="http://schemas.openxmlformats.org/officeDocument/2006/relationships/hyperlink" Target="https://www.facebook.com/PuppyPerfectionist" TargetMode="External" Id="rId121"/><Relationship Type="http://schemas.openxmlformats.org/officeDocument/2006/relationships/hyperlink" Target="https://www.facebook.com/profile.php?id=61563064265916" TargetMode="External" Id="rId122"/><Relationship Type="http://schemas.openxmlformats.org/officeDocument/2006/relationships/hyperlink" Target="https://www.facebook.com/centerpiecepuppies" TargetMode="External" Id="rId123"/><Relationship Type="http://schemas.openxmlformats.org/officeDocument/2006/relationships/hyperlink" Target="https://www.facebook.com/profile.php?id=61555434625291" TargetMode="External" Id="rId124"/><Relationship Type="http://schemas.openxmlformats.org/officeDocument/2006/relationships/hyperlink" Target="https://www.facebook.com/blackmajestypbgvgbgv" TargetMode="External" Id="rId125"/><Relationship Type="http://schemas.openxmlformats.org/officeDocument/2006/relationships/hyperlink" Target="https://www.facebook.com/Bernedale" TargetMode="External" Id="rId126"/><Relationship Type="http://schemas.openxmlformats.org/officeDocument/2006/relationships/hyperlink" Target="https://www.facebook.com/profile.php?id=100079171431889" TargetMode="External" Id="rId127"/><Relationship Type="http://schemas.openxmlformats.org/officeDocument/2006/relationships/hyperlink" Target="https://www.facebook.com/originalsnugglepuppy" TargetMode="External" Id="rId128"/><Relationship Type="http://schemas.openxmlformats.org/officeDocument/2006/relationships/hyperlink" Target="https://www.facebook.com/aussiesedgefarm" TargetMode="External" Id="rId129"/><Relationship Type="http://schemas.openxmlformats.org/officeDocument/2006/relationships/hyperlink" Target="https://www.facebook.com/profile.php?id=61568374033195" TargetMode="External" Id="rId130"/><Relationship Type="http://schemas.openxmlformats.org/officeDocument/2006/relationships/hyperlink" Target="https://www.facebook.com/profile.php?id=61556023387069" TargetMode="External" Id="rId131"/><Relationship Type="http://schemas.openxmlformats.org/officeDocument/2006/relationships/hyperlink" Target="https://www.facebook.com/GBKpuppies" TargetMode="External" Id="rId132"/><Relationship Type="http://schemas.openxmlformats.org/officeDocument/2006/relationships/hyperlink" Target="https://www.facebook.com/copperheadcockers" TargetMode="External" Id="rId133"/><Relationship Type="http://schemas.openxmlformats.org/officeDocument/2006/relationships/hyperlink" Target="https://www.facebook.com/profile.php?id=100088590342349" TargetMode="External" Id="rId134"/><Relationship Type="http://schemas.openxmlformats.org/officeDocument/2006/relationships/hyperlink" Target="https://www.facebook.com/profile.php?id=61577749116481" TargetMode="External" Id="rId135"/><Relationship Type="http://schemas.openxmlformats.org/officeDocument/2006/relationships/hyperlink" Target="https://www.facebook.com/profile.php?id=100090548577796" TargetMode="External" Id="rId136"/><Relationship Type="http://schemas.openxmlformats.org/officeDocument/2006/relationships/hyperlink" Target="https://www.facebook.com/profile.php?id=100069319780668" TargetMode="External" Id="rId137"/><Relationship Type="http://schemas.openxmlformats.org/officeDocument/2006/relationships/hyperlink" Target="https://www.facebook.com/KraftworkK9Pro" TargetMode="External" Id="rId138"/><Relationship Type="http://schemas.openxmlformats.org/officeDocument/2006/relationships/hyperlink" Target="https://www.facebook.com/profile.php?id=61582933661033" TargetMode="External" Id="rId139"/><Relationship Type="http://schemas.openxmlformats.org/officeDocument/2006/relationships/hyperlink" Target="https://www.facebook.com/legacy.Kennels.30" TargetMode="External" Id="rId140"/><Relationship Type="http://schemas.openxmlformats.org/officeDocument/2006/relationships/hyperlink" Target="https://www.facebook.com/profile.php?id=100086323076953" TargetMode="External" Id="rId141"/><Relationship Type="http://schemas.openxmlformats.org/officeDocument/2006/relationships/hyperlink" Target="https://www.facebook.com/profile.php?id=100057549485719" TargetMode="External" Id="rId142"/><Relationship Type="http://schemas.openxmlformats.org/officeDocument/2006/relationships/hyperlink" Target="https://www.facebook.com/profile.php?id=61588895140909" TargetMode="External" Id="rId143"/><Relationship Type="http://schemas.openxmlformats.org/officeDocument/2006/relationships/hyperlink" Target="https://www.facebook.com/sportinglifekennels" TargetMode="External" Id="rId144"/><Relationship Type="http://schemas.openxmlformats.org/officeDocument/2006/relationships/hyperlink" Target="https://www.facebook.com/profile.php?id=100091341034275" TargetMode="External" Id="rId145"/><Relationship Type="http://schemas.openxmlformats.org/officeDocument/2006/relationships/hyperlink" Target="https://www.facebook.com/beagpointkennel" TargetMode="External" Id="rId146"/><Relationship Type="http://schemas.openxmlformats.org/officeDocument/2006/relationships/hyperlink" Target="https://www.facebook.com/RoseGardenKennels" TargetMode="External" Id="rId147"/><Relationship Type="http://schemas.openxmlformats.org/officeDocument/2006/relationships/hyperlink" Target="https://www.facebook.com/TrueDynastyKennel" TargetMode="External" Id="rId148"/><Relationship Type="http://schemas.openxmlformats.org/officeDocument/2006/relationships/hyperlink" Target="https://www.facebook.com/profile.php?id=100057857791233" TargetMode="External" Id="rId149"/><Relationship Type="http://schemas.openxmlformats.org/officeDocument/2006/relationships/hyperlink" Target="https://www.facebook.com/profile.php?id=100094471027393" TargetMode="External" Id="rId150"/><Relationship Type="http://schemas.openxmlformats.org/officeDocument/2006/relationships/hyperlink" Target="https://www.facebook.com/profile.php?id=100047634134462" TargetMode="External" Id="rId151"/><Relationship Type="http://schemas.openxmlformats.org/officeDocument/2006/relationships/hyperlink" Target="https://www.facebook.com/C4KennelsAndOutdoors" TargetMode="External" Id="rId152"/><Relationship Type="http://schemas.openxmlformats.org/officeDocument/2006/relationships/hyperlink" Target="https://www.facebook.com/QBNKennel" TargetMode="External" Id="rId153"/><Relationship Type="http://schemas.openxmlformats.org/officeDocument/2006/relationships/hyperlink" Target="https://www.facebook.com/RockeysKennels" TargetMode="External" Id="rId154"/><Relationship Type="http://schemas.openxmlformats.org/officeDocument/2006/relationships/hyperlink" Target="https://www.facebook.com/100063491363244" TargetMode="External" Id="rId155"/><Relationship Type="http://schemas.openxmlformats.org/officeDocument/2006/relationships/hyperlink" Target="https://www.facebook.com/fivestarfarms55" TargetMode="External" Id="rId156"/><Relationship Type="http://schemas.openxmlformats.org/officeDocument/2006/relationships/hyperlink" Target="https://www.facebook.com/profile.php?id=100063488533281" TargetMode="External" Id="rId157"/><Relationship Type="http://schemas.openxmlformats.org/officeDocument/2006/relationships/hyperlink" Target="https://www.facebook.com/kennelconnect" TargetMode="External" Id="rId158"/><Relationship Type="http://schemas.openxmlformats.org/officeDocument/2006/relationships/hyperlink" Target="https://www.facebook.com/Joshuashouseforgoldenretrieverrescue" TargetMode="External" Id="rId159"/><Relationship Type="http://schemas.openxmlformats.org/officeDocument/2006/relationships/hyperlink" Target="https://www.facebook.com/lakevalleybulldogs" TargetMode="External" Id="rId160"/><Relationship Type="http://schemas.openxmlformats.org/officeDocument/2006/relationships/hyperlink" Target="https://www.facebook.com/profile.php?id=61592373347337" TargetMode="External" Id="rId161"/><Relationship Type="http://schemas.openxmlformats.org/officeDocument/2006/relationships/hyperlink" Target="https://www.facebook.com/girlwiththebullies" TargetMode="External" Id="rId162"/><Relationship Type="http://schemas.openxmlformats.org/officeDocument/2006/relationships/hyperlink" Target="https://www.facebook.com/bulldogsbymrshermanandhugo" TargetMode="External" Id="rId163"/><Relationship Type="http://schemas.openxmlformats.org/officeDocument/2006/relationships/hyperlink" Target="https://www.facebook.com/profile.php?id=100088376396316" TargetMode="External" Id="rId164"/><Relationship Type="http://schemas.openxmlformats.org/officeDocument/2006/relationships/hyperlink" Target="https://www.facebook.com/wichitafrenchies" TargetMode="External" Id="rId165"/><Relationship Type="http://schemas.openxmlformats.org/officeDocument/2006/relationships/hyperlink" Target="https://www.facebook.com/NextLevelBulldogs" TargetMode="External" Id="rId166"/><Relationship Type="http://schemas.openxmlformats.org/officeDocument/2006/relationships/hyperlink" Target="https://www.facebook.com/BrandNameBullies" TargetMode="External" Id="rId167"/><Relationship Type="http://schemas.openxmlformats.org/officeDocument/2006/relationships/hyperlink" Target="https://www.facebook.com/awesomeoldeenglishbulldogges" TargetMode="External" Id="rId168"/><Relationship Type="http://schemas.openxmlformats.org/officeDocument/2006/relationships/hyperlink" Target="https://www.facebook.com/letsget.pop.5" TargetMode="External" Id="rId169"/><Relationship Type="http://schemas.openxmlformats.org/officeDocument/2006/relationships/hyperlink" Target="https://www.facebook.com/MikantribeBulldogs" TargetMode="External" Id="rId170"/><Relationship Type="http://schemas.openxmlformats.org/officeDocument/2006/relationships/hyperlink" Target="https://www.facebook.com/HeroicusBritishBulldogs" TargetMode="External" Id="rId171"/><Relationship Type="http://schemas.openxmlformats.org/officeDocument/2006/relationships/hyperlink" Target="https://www.facebook.com/chababullies" TargetMode="External" Id="rId172"/><Relationship Type="http://schemas.openxmlformats.org/officeDocument/2006/relationships/hyperlink" Target="https://www.facebook.com/profile.php?id=100083226076300" TargetMode="External" Id="rId173"/><Relationship Type="http://schemas.openxmlformats.org/officeDocument/2006/relationships/hyperlink" Target="https://www.facebook.com/profile.php?id=100065229351243" TargetMode="External" Id="rId174"/><Relationship Type="http://schemas.openxmlformats.org/officeDocument/2006/relationships/hyperlink" Target="https://www.facebook.com/profile.php?id=61590486507258" TargetMode="External" Id="rId175"/><Relationship Type="http://schemas.openxmlformats.org/officeDocument/2006/relationships/hyperlink" Target="https://www.facebook.com/profile.php?id=100066661808450" TargetMode="External" Id="rId176"/><Relationship Type="http://schemas.openxmlformats.org/officeDocument/2006/relationships/hyperlink" Target="https://www.facebook.com/hatcreekbulldogges" TargetMode="External" Id="rId177"/><Relationship Type="http://schemas.openxmlformats.org/officeDocument/2006/relationships/hyperlink" Target="https://www.facebook.com/profile.php?id=61594140756322" TargetMode="External" Id="rId178"/><Relationship Type="http://schemas.openxmlformats.org/officeDocument/2006/relationships/hyperlink" Target="https://www.facebook.com/AltaTollhausGSD" TargetMode="External" Id="rId179"/><Relationship Type="http://schemas.openxmlformats.org/officeDocument/2006/relationships/hyperlink" Target="https://www.facebook.com/SoftBellybulldogs" TargetMode="External" Id="rId180"/><Relationship Type="http://schemas.openxmlformats.org/officeDocument/2006/relationships/hyperlink" Target="https://www.facebook.com/profile.php?id=61550672294369" TargetMode="External" Id="rId181"/><Relationship Type="http://schemas.openxmlformats.org/officeDocument/2006/relationships/hyperlink" Target="https://www.facebook.com/profile.php?id=100064662194920" TargetMode="External" Id="rId182"/><Relationship Type="http://schemas.openxmlformats.org/officeDocument/2006/relationships/hyperlink" Target="https://www.facebook.com/profile.php?id=61556624661362" TargetMode="External" Id="rId183"/><Relationship Type="http://schemas.openxmlformats.org/officeDocument/2006/relationships/hyperlink" Target="https://www.facebook.com/Bodybuilderbulldogs" TargetMode="External" Id="rId184"/><Relationship Type="http://schemas.openxmlformats.org/officeDocument/2006/relationships/hyperlink" Target="https://www.facebook.com/carbonitefrenchbulldogs" TargetMode="External" Id="rId185"/><Relationship Type="http://schemas.openxmlformats.org/officeDocument/2006/relationships/hyperlink" Target="https://www.facebook.com/FallenTimbersBulldogs" TargetMode="External" Id="rId186"/><Relationship Type="http://schemas.openxmlformats.org/officeDocument/2006/relationships/hyperlink" Target="https://www.facebook.com/profile.php?id=61571900258811" TargetMode="External" Id="rId187"/><Relationship Type="http://schemas.openxmlformats.org/officeDocument/2006/relationships/hyperlink" Target="https://www.facebook.com/profile.php?id=61559962702347" TargetMode="External" Id="rId188"/><Relationship Type="http://schemas.openxmlformats.org/officeDocument/2006/relationships/hyperlink" Target="https://www.facebook.com/vik9s" TargetMode="External" Id="rId189"/><Relationship Type="http://schemas.openxmlformats.org/officeDocument/2006/relationships/hyperlink" Target="https://www.facebook.com/UruguayCaneCorso" TargetMode="External" Id="rId190"/><Relationship Type="http://schemas.openxmlformats.org/officeDocument/2006/relationships/hyperlink" Target="https://www.facebook.com/specializedpetsolutions" TargetMode="External" Id="rId191"/><Relationship Type="http://schemas.openxmlformats.org/officeDocument/2006/relationships/hyperlink" Target="https://www.facebook.com/178farmhusky" TargetMode="External" Id="rId192"/><Relationship Type="http://schemas.openxmlformats.org/officeDocument/2006/relationships/hyperlink" Target="https://www.facebook.com/MysticRiverPugs" TargetMode="External" Id="rId193"/><Relationship Type="http://schemas.openxmlformats.org/officeDocument/2006/relationships/hyperlink" Target="https://www.facebook.com/farmtopet" TargetMode="External" Id="rId194"/><Relationship Type="http://schemas.openxmlformats.org/officeDocument/2006/relationships/hyperlink" Target="https://www.facebook.com/nononsensepetfood" TargetMode="External" Id="rId195"/><Relationship Type="http://schemas.openxmlformats.org/officeDocument/2006/relationships/hyperlink" Target="https://www.facebook.com/misspoppetthesamoyed" TargetMode="External" Id="rId196"/><Relationship Type="http://schemas.openxmlformats.org/officeDocument/2006/relationships/hyperlink" Target="https://www.facebook.com/profile.php?id=100057232068567" TargetMode="External" Id="rId197"/><Relationship Type="http://schemas.openxmlformats.org/officeDocument/2006/relationships/hyperlink" Target="https://www.facebook.com/alfiedream" TargetMode="External" Id="rId198"/><Relationship Type="http://schemas.openxmlformats.org/officeDocument/2006/relationships/hyperlink" Target="https://www.facebook.com/TheHappiestHound" TargetMode="External" Id="rId199"/><Relationship Type="http://schemas.openxmlformats.org/officeDocument/2006/relationships/hyperlink" Target="https://www.facebook.com/RingsideHounds" TargetMode="External" Id="rId200"/><Relationship Type="http://schemas.openxmlformats.org/officeDocument/2006/relationships/hyperlink" Target="https://www.facebook.com/longsmtolympusbh" TargetMode="External" Id="rId201"/><Relationship Type="http://schemas.openxmlformats.org/officeDocument/2006/relationships/hyperlink" Target="https://www.facebook.com/profile.php?id=61583964194952" TargetMode="External" Id="rId202"/><Relationship Type="http://schemas.openxmlformats.org/officeDocument/2006/relationships/hyperlink" Target="https://www.facebook.com/profile.php?id=100063602379429" TargetMode="External" Id="rId203"/><Relationship Type="http://schemas.openxmlformats.org/officeDocument/2006/relationships/hyperlink" Target="https://www.facebook.com/SpoiledRottenBullies" TargetMode="External" Id="rId204"/><Relationship Type="http://schemas.openxmlformats.org/officeDocument/2006/relationships/hyperlink" Target="https://www.facebook.com/profile.php?id=100063754752416" TargetMode="External" Id="rId205"/><Relationship Type="http://schemas.openxmlformats.org/officeDocument/2006/relationships/hyperlink" Target="https://www.facebook.com/McLeodKennels" TargetMode="External" Id="rId206"/><Relationship Type="http://schemas.openxmlformats.org/officeDocument/2006/relationships/hyperlink" Target="https://www.facebook.com/AddybullBulldogs" TargetMode="External" Id="rId207"/><Relationship Type="http://schemas.openxmlformats.org/officeDocument/2006/relationships/hyperlink" Target="https://www.facebook.com/profile.php?id=100057379632480" TargetMode="External" Id="rId208"/><Relationship Type="http://schemas.openxmlformats.org/officeDocument/2006/relationships/hyperlink" Target="https://www.facebook.com/profile.php?id=100063805402187" TargetMode="External" Id="rId209"/><Relationship Type="http://schemas.openxmlformats.org/officeDocument/2006/relationships/hyperlink" Target="https://www.facebook.com/GuideDogsofAmerica" TargetMode="External" Id="rId210"/><Relationship Type="http://schemas.openxmlformats.org/officeDocument/2006/relationships/hyperlink" Target="https://www.facebook.com/ServiceDogsofVirginia" TargetMode="External" Id="rId211"/><Relationship Type="http://schemas.openxmlformats.org/officeDocument/2006/relationships/hyperlink" Target="https://www.facebook.com/whisperingwillowkennels" TargetMode="External" Id="rId212"/><Relationship Type="http://schemas.openxmlformats.org/officeDocument/2006/relationships/hyperlink" Target="https://www.facebook.com/OzziesPoundPuppies" TargetMode="External" Id="rId213"/><Relationship Type="http://schemas.openxmlformats.org/officeDocument/2006/relationships/hyperlink" Target="https://www.facebook.com/HandMkennels" TargetMode="External" Id="rId214"/><Relationship Type="http://schemas.openxmlformats.org/officeDocument/2006/relationships/hyperlink" Target="https://www.facebook.com/vanghytten" TargetMode="External" Id="rId215"/><Relationship Type="http://schemas.openxmlformats.org/officeDocument/2006/relationships/hyperlink" Target="https://www.facebook.com/profile.php?id=100058838389097" TargetMode="External" Id="rId216"/><Relationship Type="http://schemas.openxmlformats.org/officeDocument/2006/relationships/hyperlink" Target="https://www.facebook.com/profile.php?id=100057520715789" TargetMode="External" Id="rId217"/><Relationship Type="http://schemas.openxmlformats.org/officeDocument/2006/relationships/hyperlink" Target="https://www.facebook.com/NEKtraining" TargetMode="External" Id="rId218"/><Relationship Type="http://schemas.openxmlformats.org/officeDocument/2006/relationships/hyperlink" Target="https://www.facebook.com/fitmin.kennel" TargetMode="External" Id="rId219"/><Relationship Type="http://schemas.openxmlformats.org/officeDocument/2006/relationships/hyperlink" Target="https://www.facebook.com/SmokinAceKennels" TargetMode="External" Id="rId220"/><Relationship Type="http://schemas.openxmlformats.org/officeDocument/2006/relationships/hyperlink" Target="https://www.facebook.com/kennelsonsofnorth" TargetMode="External" Id="rId221"/><Relationship Type="http://schemas.openxmlformats.org/officeDocument/2006/relationships/hyperlink" Target="https://www.facebook.com/genstat.kennel" TargetMode="External" Id="rId222"/><Relationship Type="http://schemas.openxmlformats.org/officeDocument/2006/relationships/hyperlink" Target="https://www.facebook.com/kacifantoskennel" TargetMode="External" Id="rId223"/><Relationship Type="http://schemas.openxmlformats.org/officeDocument/2006/relationships/hyperlink" Target="https://www.facebook.com/NadaStojanoski" TargetMode="External" Id="rId224"/><Relationship Type="http://schemas.openxmlformats.org/officeDocument/2006/relationships/hyperlink" Target="https://www.facebook.com/profile.php?id=100075829101420" TargetMode="External" Id="rId225"/><Relationship Type="http://schemas.openxmlformats.org/officeDocument/2006/relationships/hyperlink" Target="https://www.facebook.com/profile.php?id=100041166525359" TargetMode="External" Id="rId226"/><Relationship Type="http://schemas.openxmlformats.org/officeDocument/2006/relationships/hyperlink" Target="https://www.facebook.com/profile.php?id=100054540486161" TargetMode="External" Id="rId227"/><Relationship Type="http://schemas.openxmlformats.org/officeDocument/2006/relationships/hyperlink" Target="https://www.facebook.com/kennelparadise88" TargetMode="External" Id="rId228"/><Relationship Type="http://schemas.openxmlformats.org/officeDocument/2006/relationships/hyperlink" Target="https://www.facebook.com/glenriska" TargetMode="External" Id="rId229"/><Relationship Type="http://schemas.openxmlformats.org/officeDocument/2006/relationships/hyperlink" Target="https://www.facebook.com/profile.php?id=100088558417637" TargetMode="External" Id="rId230"/><Relationship Type="http://schemas.openxmlformats.org/officeDocument/2006/relationships/hyperlink" Target="https://www.facebook.com/leongoldenkennel" TargetMode="External" Id="rId231"/><Relationship Type="http://schemas.openxmlformats.org/officeDocument/2006/relationships/hyperlink" Target="https://www.facebook.com/GrandOaksKennelTX" TargetMode="External" Id="rId232"/><Relationship Type="http://schemas.openxmlformats.org/officeDocument/2006/relationships/hyperlink" Target="https://www.facebook.com/charmingverve" TargetMode="External" Id="rId233"/><Relationship Type="http://schemas.openxmlformats.org/officeDocument/2006/relationships/hyperlink" Target="https://www.facebook.com/kennelzaijas" TargetMode="External" Id="rId234"/><Relationship Type="http://schemas.openxmlformats.org/officeDocument/2006/relationships/hyperlink" Target="https://www.facebook.com/doodranchmaui" TargetMode="External" Id="rId235"/><Relationship Type="http://schemas.openxmlformats.org/officeDocument/2006/relationships/hyperlink" Target="https://www.facebook.com/profile.php?id=100095075891304" TargetMode="External" Id="rId236"/><Relationship Type="http://schemas.openxmlformats.org/officeDocument/2006/relationships/hyperlink" Target="https://www.facebook.com/pitterpatterpup" TargetMode="External" Id="rId237"/><Relationship Type="http://schemas.openxmlformats.org/officeDocument/2006/relationships/hyperlink" Target="https://www.facebook.com/profile.php?id=61580587514041" TargetMode="External" Id="rId238"/><Relationship Type="http://schemas.openxmlformats.org/officeDocument/2006/relationships/hyperlink" Target="https://www.facebook.com/profile.php?id=61577059083903" TargetMode="External" Id="rId239"/><Relationship Type="http://schemas.openxmlformats.org/officeDocument/2006/relationships/hyperlink" Target="https://www.facebook.com/basiadankennel" TargetMode="External" Id="rId240"/><Relationship Type="http://schemas.openxmlformats.org/officeDocument/2006/relationships/hyperlink" Target="https://www.facebook.com/roancreekkennels" TargetMode="External" Id="rId241"/><Relationship Type="http://schemas.openxmlformats.org/officeDocument/2006/relationships/hyperlink" Target="https://www.facebook.com/profile.php?id=100077811506711" TargetMode="External" Id="rId242"/><Relationship Type="http://schemas.openxmlformats.org/officeDocument/2006/relationships/hyperlink" Target="https://www.facebook.com/peggyspuppiesatgraystone" TargetMode="External" Id="rId243"/><Relationship Type="http://schemas.openxmlformats.org/officeDocument/2006/relationships/hyperlink" Target="https://www.facebook.com/profile.php?id=61556955868341" TargetMode="External" Id="rId244"/><Relationship Type="http://schemas.openxmlformats.org/officeDocument/2006/relationships/hyperlink" Target="https://www.facebook.com/profile.php?id=100064336616280" TargetMode="External" Id="rId245"/><Relationship Type="http://schemas.openxmlformats.org/officeDocument/2006/relationships/hyperlink" Target="https://www.facebook.com/WoodlandViewKennels" TargetMode="External" Id="rId246"/><Relationship Type="http://schemas.openxmlformats.org/officeDocument/2006/relationships/hyperlink" Target="https://www.facebook.com/profile.php?id=100089843413795" TargetMode="External" Id="rId247"/><Relationship Type="http://schemas.openxmlformats.org/officeDocument/2006/relationships/hyperlink" Target="https://www.facebook.com/elitekennelfertility" TargetMode="External" Id="rId248"/><Relationship Type="http://schemas.openxmlformats.org/officeDocument/2006/relationships/hyperlink" Target="https://www.facebook.com/profile.php?id=100050507964837" TargetMode="External" Id="rId249"/><Relationship Type="http://schemas.openxmlformats.org/officeDocument/2006/relationships/hyperlink" Target="https://www.facebook.com/profile.php?id=100063481155747" TargetMode="External" Id="rId250"/><Relationship Type="http://schemas.openxmlformats.org/officeDocument/2006/relationships/hyperlink" Target="https://www.facebook.com/profile.php?id=100057535686133" TargetMode="External" Id="rId251"/><Relationship Type="http://schemas.openxmlformats.org/officeDocument/2006/relationships/hyperlink" Target="https://www.facebook.com/Nikkis.Pet.Services.Scot" TargetMode="External" Id="rId252"/><Relationship Type="http://schemas.openxmlformats.org/officeDocument/2006/relationships/hyperlink" Target="https://www.facebook.com/K9roamco" TargetMode="External" Id="rId253"/><Relationship Type="http://schemas.openxmlformats.org/officeDocument/2006/relationships/hyperlink" Target="https://www.facebook.com/CunningshotDogTraining" TargetMode="External" Id="rId254"/><Relationship Type="http://schemas.openxmlformats.org/officeDocument/2006/relationships/hyperlink" Target="https://www.facebook.com/diamondsnpearlspetservices" TargetMode="External" Id="rId255"/><Relationship Type="http://schemas.openxmlformats.org/officeDocument/2006/relationships/hyperlink" Target="https://www.facebook.com/NeighCareLLC" TargetMode="External" Id="rId256"/><Relationship Type="http://schemas.openxmlformats.org/officeDocument/2006/relationships/hyperlink" Target="https://www.facebook.com/profile.php?id=61586626431863" TargetMode="External" Id="rId257"/><Relationship Type="http://schemas.openxmlformats.org/officeDocument/2006/relationships/hyperlink" Target="https://www.facebook.com/bestbuddydogtrainer" TargetMode="External" Id="rId258"/><Relationship Type="http://schemas.openxmlformats.org/officeDocument/2006/relationships/hyperlink" Target="https://www.facebook.com/BubblePuppySwimAndPlayhouse" TargetMode="External" Id="rId259"/><Relationship Type="http://schemas.openxmlformats.org/officeDocument/2006/relationships/hyperlink" Target="https://www.facebook.com/profile.php?id=61550725015891" TargetMode="External" Id="rId260"/><Relationship Type="http://schemas.openxmlformats.org/officeDocument/2006/relationships/hyperlink" Target="https://www.facebook.com/WGSRescue" TargetMode="External" Id="rId261"/><Relationship Type="http://schemas.openxmlformats.org/officeDocument/2006/relationships/hyperlink" Target="https://www.facebook.com/GSROCdogs" TargetMode="External" Id="rId262"/><Relationship Type="http://schemas.openxmlformats.org/officeDocument/2006/relationships/hyperlink" Target="https://www.facebook.com/profile.php?id=61585143501577" TargetMode="External" Id="rId263"/><Relationship Type="http://schemas.openxmlformats.org/officeDocument/2006/relationships/hyperlink" Target="https://www.facebook.com/GCGSR" TargetMode="External" Id="rId264"/><Relationship Type="http://schemas.openxmlformats.org/officeDocument/2006/relationships/hyperlink" Target="https://www.facebook.com/blessedbethebullies" TargetMode="External" Id="rId265"/><Relationship Type="http://schemas.openxmlformats.org/officeDocument/2006/relationships/hyperlink" Target="https://www.facebook.com/CollieRescueofGreaterIL" TargetMode="External" Id="rId266"/><Relationship Type="http://schemas.openxmlformats.org/officeDocument/2006/relationships/hyperlink" Target="https://www.facebook.com/TeaTimewithEarlGreyhound" TargetMode="External" Id="rId267"/><Relationship Type="http://schemas.openxmlformats.org/officeDocument/2006/relationships/hyperlink" Target="https://www.facebook.com/SerenityBassetHounds" TargetMode="External" Id="rId268"/><Relationship Type="http://schemas.openxmlformats.org/officeDocument/2006/relationships/hyperlink" Target="https://www.facebook.com/YapYapDoxieDogClayDachshundDesigns" TargetMode="External" Id="rId269"/><Relationship Type="http://schemas.openxmlformats.org/officeDocument/2006/relationships/hyperlink" Target="https://www.facebook.com/profile.php?id=100079016053007" TargetMode="External" Id="rId270"/><Relationship Type="http://schemas.openxmlformats.org/officeDocument/2006/relationships/hyperlink" Target="https://www.facebook.com/timmikinshelties" TargetMode="External" Id="rId271"/><Relationship Type="http://schemas.openxmlformats.org/officeDocument/2006/relationships/hyperlink" Target="https://www.facebook.com/profile.php?id=61565520434277" TargetMode="External" Id="rId272"/><Relationship Type="http://schemas.openxmlformats.org/officeDocument/2006/relationships/hyperlink" Target="https://www.facebook.com/LuvOfDogzFund" TargetMode="External" Id="rId273"/><Relationship Type="http://schemas.openxmlformats.org/officeDocument/2006/relationships/hyperlink" Target="https://www.facebook.com/Movingyourpets" TargetMode="External" Id="rId274"/><Relationship Type="http://schemas.openxmlformats.org/officeDocument/2006/relationships/hyperlink" Target="https://www.facebook.com/profile.php?id=61573768274207" TargetMode="External" Id="rId275"/><Relationship Type="http://schemas.openxmlformats.org/officeDocument/2006/relationships/hyperlink" Target="https://www.facebook.com/StonesEdgeBMD" TargetMode="External" Id="rId276"/><Relationship Type="http://schemas.openxmlformats.org/officeDocument/2006/relationships/hyperlink" Target="https://www.facebook.com/profile.php?id=100086032986670" TargetMode="External" Id="rId277"/><Relationship Type="http://schemas.openxmlformats.org/officeDocument/2006/relationships/hyperlink" Target="https://www.facebook.com/profile.php?id=61581612007097" TargetMode="External" Id="rId278"/><Relationship Type="http://schemas.openxmlformats.org/officeDocument/2006/relationships/hyperlink" Target="https://www.facebook.com/RidgyDidgeCobberdogs" TargetMode="External" Id="rId279"/><Relationship Type="http://schemas.openxmlformats.org/officeDocument/2006/relationships/hyperlink" Target="https://www.facebook.com/lowridingdachshunds" TargetMode="External" Id="rId280"/><Relationship Type="http://schemas.openxmlformats.org/officeDocument/2006/relationships/hyperlink" Target="https://www.facebook.com/updoghotdogcart" TargetMode="External" Id="rId281"/><Relationship Type="http://schemas.openxmlformats.org/officeDocument/2006/relationships/hyperlink" Target="https://www.facebook.com/bavarianhoundclub" TargetMode="External" Id="rId282"/><Relationship Type="http://schemas.openxmlformats.org/officeDocument/2006/relationships/hyperlink" Target="https://www.facebook.com/cocothemaltesedog" TargetMode="External" Id="rId283"/><Relationship Type="http://schemas.openxmlformats.org/officeDocument/2006/relationships/hyperlink" Target="https://www.facebook.com/SchachnersBerneseMountainDogs" TargetMode="External" Id="rId284"/><Relationship Type="http://schemas.openxmlformats.org/officeDocument/2006/relationships/hyperlink" Target="https://www.facebook.com/foreverpuppyltd" TargetMode="External" Id="rId285"/><Relationship Type="http://schemas.openxmlformats.org/officeDocument/2006/relationships/hyperlink" Target="https://www.facebook.com/NorthernMichiganBernese" TargetMode="External" Id="rId286"/><Relationship Type="http://schemas.openxmlformats.org/officeDocument/2006/relationships/hyperlink" Target="https://www.facebook.com/profile.php?id=100069869744771" TargetMode="External" Id="rId287"/><Relationship Type="http://schemas.openxmlformats.org/officeDocument/2006/relationships/hyperlink" Target="https://www.facebook.com/profile.php?id=100090413510031" TargetMode="External" Id="rId288"/><Relationship Type="http://schemas.openxmlformats.org/officeDocument/2006/relationships/hyperlink" Target="https://www.facebook.com/profile.php?id=61553376334170" TargetMode="External" Id="rId289"/><Relationship Type="http://schemas.openxmlformats.org/officeDocument/2006/relationships/hyperlink" Target="https://www.facebook.com/saddledogfarm" TargetMode="External" Id="rId290"/><Relationship Type="http://schemas.openxmlformats.org/officeDocument/2006/relationships/hyperlink" Target="https://www.facebook.com/Houndstoothhouse" TargetMode="External" Id="rId291"/><Relationship Type="http://schemas.openxmlformats.org/officeDocument/2006/relationships/hyperlink" Target="https://www.facebook.com/5houndsbydrwill" TargetMode="External" Id="rId292"/><Relationship Type="http://schemas.openxmlformats.org/officeDocument/2006/relationships/hyperlink" Target="https://www.facebook.com/seattledogguard" TargetMode="External" Id="rId293"/><Relationship Type="http://schemas.openxmlformats.org/officeDocument/2006/relationships/hyperlink" Target="https://www.facebook.com/PuppyPlayGroundcom" TargetMode="External" Id="rId294"/><Relationship Type="http://schemas.openxmlformats.org/officeDocument/2006/relationships/hyperlink" Target="https://www.facebook.com/greyhoundsinneed" TargetMode="External" Id="rId295"/><Relationship Type="http://schemas.openxmlformats.org/officeDocument/2006/relationships/hyperlink" Target="https://www.facebook.com/doglawsolicitors" TargetMode="External" Id="rId296"/><Relationship Type="http://schemas.openxmlformats.org/officeDocument/2006/relationships/hyperlink" Target="https://www.facebook.com/GFDkennels" TargetMode="External" Id="rId297"/><Relationship Type="http://schemas.openxmlformats.org/officeDocument/2006/relationships/hyperlink" Target="https://www.facebook.com/openfarmpet" TargetMode="External" Id="rId298"/><Relationship Type="http://schemas.openxmlformats.org/officeDocument/2006/relationships/hyperlink" Target="https://www.facebook.com/StoicGunDogs" TargetMode="External" Id="rId299"/><Relationship Type="http://schemas.openxmlformats.org/officeDocument/2006/relationships/hyperlink" Target="https://www.facebook.com/ryglengundogs" TargetMode="External" Id="rId300"/><Relationship Type="http://schemas.openxmlformats.org/officeDocument/2006/relationships/hyperlink" Target="https://www.facebook.com/ronelkcreekgundogs" TargetMode="External" Id="rId301"/><Relationship Type="http://schemas.openxmlformats.org/officeDocument/2006/relationships/hyperlink" Target="https://www.facebook.com/nithvalley.gundogs" TargetMode="External" Id="rId302"/><Relationship Type="http://schemas.openxmlformats.org/officeDocument/2006/relationships/hyperlink" Target="https://www.facebook.com/profile.php?id=100079568750862" TargetMode="External" Id="rId303"/><Relationship Type="http://schemas.openxmlformats.org/officeDocument/2006/relationships/hyperlink" Target="https://www.facebook.com/profile.php?id=61576615854562" TargetMode="External" Id="rId304"/><Relationship Type="http://schemas.openxmlformats.org/officeDocument/2006/relationships/hyperlink" Target="https://www.facebook.com/tattneygundogs" TargetMode="External" Id="rId305"/><Relationship Type="http://schemas.openxmlformats.org/officeDocument/2006/relationships/hyperlink" Target="https://www.facebook.com/GundogJournal" TargetMode="External" Id="rId306"/><Relationship Type="http://schemas.openxmlformats.org/officeDocument/2006/relationships/hyperlink" Target="https://www.facebook.com/zenenhundai" TargetMode="External" Id="rId307"/><Relationship Type="http://schemas.openxmlformats.org/officeDocument/2006/relationships/hyperlink" Target="https://www.facebook.com/PawtCakeRefuge" TargetMode="External" Id="rId308"/><Relationship Type="http://schemas.openxmlformats.org/officeDocument/2006/relationships/hyperlink" Target="https://www.facebook.com/profile.php?id=100064261287014" TargetMode="External" Id="rId309"/><Relationship Type="http://schemas.openxmlformats.org/officeDocument/2006/relationships/hyperlink" Target="https://www.facebook.com/profile.php?id=100089324989767" TargetMode="External" Id="rId310"/><Relationship Type="http://schemas.openxmlformats.org/officeDocument/2006/relationships/hyperlink" Target="https://www.facebook.com/AylorFarmCockerSpaniels" TargetMode="External" Id="rId311"/><Relationship Type="http://schemas.openxmlformats.org/officeDocument/2006/relationships/hyperlink" Target="https://www.facebook.com/AfterhoursKennelsGermanWirehairedPointers" TargetMode="External" Id="rId312"/><Relationship Type="http://schemas.openxmlformats.org/officeDocument/2006/relationships/hyperlink" Target="https://www.facebook.com/ReneauFarmsSchnauzers" TargetMode="External" Id="rId313"/><Relationship Type="http://schemas.openxmlformats.org/officeDocument/2006/relationships/hyperlink" Target="https://www.facebook.com/Chuandonghound" TargetMode="External" Id="rId314"/><Relationship Type="http://schemas.openxmlformats.org/officeDocument/2006/relationships/hyperlink" Target="https://www.facebook.com/profile.php?id=61559178285515" TargetMode="External" Id="rId315"/><Relationship Type="http://schemas.openxmlformats.org/officeDocument/2006/relationships/hyperlink" Target="https://www.facebook.com/profile.php?id=100076442462891" TargetMode="External" Id="rId316"/><Relationship Type="http://schemas.openxmlformats.org/officeDocument/2006/relationships/hyperlink" Target="https://www.facebook.com/lorispups" TargetMode="External" Id="rId317"/><Relationship Type="http://schemas.openxmlformats.org/officeDocument/2006/relationships/hyperlink" Target="https://www.facebook.com/bayoubostons" TargetMode="External" Id="rId318"/><Relationship Type="http://schemas.openxmlformats.org/officeDocument/2006/relationships/hyperlink" Target="https://www.facebook.com/profile.php?id=61551300338545" TargetMode="External" Id="rId319"/><Relationship Type="http://schemas.openxmlformats.org/officeDocument/2006/relationships/hyperlink" Target="https://www.facebook.com/silverdalebmdpuppies" TargetMode="External" Id="rId320"/><Relationship Type="http://schemas.openxmlformats.org/officeDocument/2006/relationships/hyperlink" Target="https://www.facebook.com/imperiumrottkennel" TargetMode="External" Id="rId321"/><Relationship Type="http://schemas.openxmlformats.org/officeDocument/2006/relationships/hyperlink" Target="https://www.facebook.com/ovi.american.bully" TargetMode="External" Id="rId322"/><Relationship Type="http://schemas.openxmlformats.org/officeDocument/2006/relationships/hyperlink" Target="https://www.facebook.com/profile.php?id=100077963580496" TargetMode="External" Id="rId323"/><Relationship Type="http://schemas.openxmlformats.org/officeDocument/2006/relationships/hyperlink" Target="https://www.facebook.com/sporting.saint" TargetMode="External" Id="rId324"/><Relationship Type="http://schemas.openxmlformats.org/officeDocument/2006/relationships/hyperlink" Target="https://www.facebook.com/PeachonaLeash" TargetMode="External" Id="rId325"/><Relationship Type="http://schemas.openxmlformats.org/officeDocument/2006/relationships/hyperlink" Target="https://www.facebook.com/ListenDog" TargetMode="External" Id="rId326"/><Relationship Type="http://schemas.openxmlformats.org/officeDocument/2006/relationships/hyperlink" Target="https://www.facebook.com/pawsacadamydogtraining" TargetMode="External" Id="rId327"/><Relationship Type="http://schemas.openxmlformats.org/officeDocument/2006/relationships/hyperlink" Target="https://www.facebook.com/kcdawgz" TargetMode="External" Id="rId328"/><Relationship Type="http://schemas.openxmlformats.org/officeDocument/2006/relationships/hyperlink" Target="https://www.facebook.com/dogonlinetraining" TargetMode="External" Id="rId329"/><Relationship Type="http://schemas.openxmlformats.org/officeDocument/2006/relationships/hyperlink" Target="https://www.facebook.com/callK9academy" TargetMode="External" Id="rId330"/><Relationship Type="http://schemas.openxmlformats.org/officeDocument/2006/relationships/hyperlink" Target="https://www.facebook.com/profile.php?id=61562094890499" TargetMode="External" Id="rId331"/><Relationship Type="http://schemas.openxmlformats.org/officeDocument/2006/relationships/hyperlink" Target="https://www.facebook.com/Rainbowdogcenter" TargetMode="External" Id="rId332"/><Relationship Type="http://schemas.openxmlformats.org/officeDocument/2006/relationships/hyperlink" Target="https://www.facebook.com/profile.php?id=100063671258001" TargetMode="External" Id="rId333"/><Relationship Type="http://schemas.openxmlformats.org/officeDocument/2006/relationships/hyperlink" Target="https://www.facebook.com/profile.php?id=100074308820594" TargetMode="External" Id="rId334"/><Relationship Type="http://schemas.openxmlformats.org/officeDocument/2006/relationships/hyperlink" Target="https://www.facebook.com/katycroppersheepdogs" TargetMode="External" Id="rId335"/><Relationship Type="http://schemas.openxmlformats.org/officeDocument/2006/relationships/hyperlink" Target="https://www.facebook.com/ShieldK9Online" TargetMode="External" Id="rId336"/><Relationship Type="http://schemas.openxmlformats.org/officeDocument/2006/relationships/hyperlink" Target="https://www.facebook.com/www.iwdba.org" TargetMode="External" Id="rId337"/><Relationship Type="http://schemas.openxmlformats.org/officeDocument/2006/relationships/hyperlink" Target="https://www.facebook.com/petcentercat" TargetMode="External" Id="rId338"/><Relationship Type="http://schemas.openxmlformats.org/officeDocument/2006/relationships/hyperlink" Target="https://www.facebook.com/fbrescue" TargetMode="External" Id="rId339"/><Relationship Type="http://schemas.openxmlformats.org/officeDocument/2006/relationships/hyperlink" Target="https://www.facebook.com/coastalk9GSRSD" TargetMode="External" Id="rId340"/><Relationship Type="http://schemas.openxmlformats.org/officeDocument/2006/relationships/hyperlink" Target="https://www.facebook.com/profile.php?id=61594832151976" TargetMode="External" Id="rId341"/><Relationship Type="http://schemas.openxmlformats.org/officeDocument/2006/relationships/hyperlink" Target="https://www.facebook.com/profile.php?id=100064841494420" TargetMode="External" Id="rId342"/><Relationship Type="http://schemas.openxmlformats.org/officeDocument/2006/relationships/hyperlink" Target="https://www.facebook.com/FLBostonRescue" TargetMode="External" Id="rId343"/><Relationship Type="http://schemas.openxmlformats.org/officeDocument/2006/relationships/hyperlink" Target="https://www.facebook.com/nbgrescue" TargetMode="External" Id="rId344"/><Relationship Type="http://schemas.openxmlformats.org/officeDocument/2006/relationships/hyperlink" Target="https://www.facebook.com/californiabullyrescue" TargetMode="External" Id="rId345"/><Relationship Type="http://schemas.openxmlformats.org/officeDocument/2006/relationships/hyperlink" Target="https://www.facebook.com/FreedomCollieRescue" TargetMode="External" Id="rId346"/><Relationship Type="http://schemas.openxmlformats.org/officeDocument/2006/relationships/hyperlink" Target="https://www.facebook.com/tinytankfrenchies" TargetMode="External" Id="rId347"/><Relationship Type="http://schemas.openxmlformats.org/officeDocument/2006/relationships/hyperlink" Target="https://www.facebook.com/diamondpeakgsd" TargetMode="External" Id="rId348"/><Relationship Type="http://schemas.openxmlformats.org/officeDocument/2006/relationships/hyperlink" Target="https://www.facebook.com/SouthPeachFrenchies" TargetMode="External" Id="rId349"/><Relationship Type="http://schemas.openxmlformats.org/officeDocument/2006/relationships/hyperlink" Target="https://www.facebook.com/ShortyIrishjacks" TargetMode="External" Id="rId350"/><Relationship Type="http://schemas.openxmlformats.org/officeDocument/2006/relationships/hyperlink" Target="https://www.facebook.com/profile.php?id=61581676064512" TargetMode="External" Id="rId351"/><Relationship Type="http://schemas.openxmlformats.org/officeDocument/2006/relationships/hyperlink" Target="https://www.facebook.com/SpringerHillsFarm" TargetMode="External" Id="rId352"/><Relationship Type="http://schemas.openxmlformats.org/officeDocument/2006/relationships/hyperlink" Target="https://www.facebook.com/bulldogkarma" TargetMode="External" Id="rId353"/><Relationship Type="http://schemas.openxmlformats.org/officeDocument/2006/relationships/hyperlink" Target="https://www.facebook.com/texasbasedbullies" TargetMode="External" Id="rId354"/><Relationship Type="http://schemas.openxmlformats.org/officeDocument/2006/relationships/hyperlink" Target="https://www.facebook.com/CreeksideFrenchies" TargetMode="External" Id="rId355"/><Relationship Type="http://schemas.openxmlformats.org/officeDocument/2006/relationships/hyperlink" Target="https://www.facebook.com/hardysbulldoggesVA" TargetMode="External" Id="rId356"/><Relationship Type="http://schemas.openxmlformats.org/officeDocument/2006/relationships/hyperlink" Target="https://www.facebook.com/profile.php?id=100077795019173" TargetMode="External" Id="rId357"/><Relationship Type="http://schemas.openxmlformats.org/officeDocument/2006/relationships/hyperlink" Target="https://www.facebook.com/OtVitoshaMalinois.PremierProtectionDogs" TargetMode="External" Id="rId358"/><Relationship Type="http://schemas.openxmlformats.org/officeDocument/2006/relationships/hyperlink" Target="https://www.facebook.com/waterdoggear" TargetMode="External" Id="rId359"/><Relationship Type="http://schemas.openxmlformats.org/officeDocument/2006/relationships/hyperlink" Target="https://www.facebook.com/cuddlebuddybulldogges" TargetMode="External" Id="rId360"/><Relationship Type="http://schemas.openxmlformats.org/officeDocument/2006/relationships/hyperlink" Target="https://www.facebook.com/profile.php?id=61550615572824" TargetMode="External" Id="rId361"/><Relationship Type="http://schemas.openxmlformats.org/officeDocument/2006/relationships/hyperlink" Target="https://www.facebook.com/profile.php?id=61555335432661" TargetMode="External" Id="rId362"/><Relationship Type="http://schemas.openxmlformats.org/officeDocument/2006/relationships/hyperlink" Target="https://www.facebook.com/profile.php?id=100063573219004" TargetMode="External" Id="rId363"/><Relationship Type="http://schemas.openxmlformats.org/officeDocument/2006/relationships/hyperlink" Target="https://www.facebook.com/bostonspettransport" TargetMode="External" Id="rId364"/><Relationship Type="http://schemas.openxmlformats.org/officeDocument/2006/relationships/hyperlink" Target="https://www.facebook.com/dogtownbulliesma" TargetMode="External" Id="rId365"/><Relationship Type="http://schemas.openxmlformats.org/officeDocument/2006/relationships/hyperlink" Target="https://www.facebook.com/profile.php?id=61578593821574" TargetMode="External" Id="rId366"/><Relationship Type="http://schemas.openxmlformats.org/officeDocument/2006/relationships/hyperlink" Target="https://www.facebook.com/profile.php?id=100091636224667" TargetMode="External" Id="rId367"/><Relationship Type="http://schemas.openxmlformats.org/officeDocument/2006/relationships/hyperlink" Target="https://www.facebook.com/boxersandbullies" TargetMode="External" Id="rId368"/><Relationship Type="http://schemas.openxmlformats.org/officeDocument/2006/relationships/hyperlink" Target="https://www.facebook.com/reynoldsfarmscavaliers" TargetMode="External" Id="rId369"/><Relationship Type="http://schemas.openxmlformats.org/officeDocument/2006/relationships/hyperlink" Target="https://www.facebook.com/pointandhowldogtraining" TargetMode="External" Id="rId370"/><Relationship Type="http://schemas.openxmlformats.org/officeDocument/2006/relationships/hyperlink" Target="https://www.facebook.com/K9creedheroes" TargetMode="External" Id="rId371"/><Relationship Type="http://schemas.openxmlformats.org/officeDocument/2006/relationships/hyperlink" Target="https://www.facebook.com/electronicdetectionk9" TargetMode="External" Id="rId372"/><Relationship Type="http://schemas.openxmlformats.org/officeDocument/2006/relationships/hyperlink" Target="https://www.facebook.com/Ruckerdogtraining" TargetMode="External" Id="rId373"/><Relationship Type="http://schemas.openxmlformats.org/officeDocument/2006/relationships/hyperlink" Target="https://www.facebook.com/profile.php?id=61575802710225" TargetMode="External" Id="rId374"/><Relationship Type="http://schemas.openxmlformats.org/officeDocument/2006/relationships/hyperlink" Target="https://www.facebook.com/k9comfort" TargetMode="External" Id="rId375"/><Relationship Type="http://schemas.openxmlformats.org/officeDocument/2006/relationships/hyperlink" Target="https://www.facebook.com/TheGoodDogTraining" TargetMode="External" Id="rId376"/><Relationship Type="http://schemas.openxmlformats.org/officeDocument/2006/relationships/hyperlink" Target="https://www.facebook.com/SolidK9TrainingRI" TargetMode="External" Id="rId377"/><Relationship Type="http://schemas.openxmlformats.org/officeDocument/2006/relationships/hyperlink" Target="https://www.facebook.com/k9pro" TargetMode="External" Id="rId378"/><Relationship Type="http://schemas.openxmlformats.org/officeDocument/2006/relationships/hyperlink" Target="https://www.facebook.com/OmahaDogTraining" TargetMode="External" Id="rId379"/><Relationship Type="http://schemas.openxmlformats.org/officeDocument/2006/relationships/hyperlink" Target="https://www.facebook.com/profile.php?id=100063911540111" TargetMode="External" Id="rId380"/><Relationship Type="http://schemas.openxmlformats.org/officeDocument/2006/relationships/hyperlink" Target="https://www.facebook.com/happychappydogtraining" TargetMode="External" Id="rId381"/><Relationship Type="http://schemas.openxmlformats.org/officeDocument/2006/relationships/hyperlink" Target="https://www.facebook.com/profile.php?id=100057286487026" TargetMode="External" Id="rId382"/><Relationship Type="http://schemas.openxmlformats.org/officeDocument/2006/relationships/hyperlink" Target="https://www.facebook.com/profile.php?id=100087915525904" TargetMode="External" Id="rId383"/><Relationship Type="http://schemas.openxmlformats.org/officeDocument/2006/relationships/hyperlink" Target="https://www.facebook.com/K9Nut" TargetMode="External" Id="rId384"/><Relationship Type="http://schemas.openxmlformats.org/officeDocument/2006/relationships/hyperlink" Target="https://www.facebook.com/Campk9fun" TargetMode="External" Id="rId385"/><Relationship Type="http://schemas.openxmlformats.org/officeDocument/2006/relationships/hyperlink" Target="https://www.facebook.com/Gundersondogtrainingandboarding" TargetMode="External" Id="rId386"/><Relationship Type="http://schemas.openxmlformats.org/officeDocument/2006/relationships/hyperlink" Target="https://www.facebook.com/profile.php?id=100090580474722" TargetMode="External" Id="rId387"/><Relationship Type="http://schemas.openxmlformats.org/officeDocument/2006/relationships/hyperlink" Target="https://www.facebook.com/profile.php?id=61554724832090" TargetMode="External" Id="rId388"/><Relationship Type="http://schemas.openxmlformats.org/officeDocument/2006/relationships/hyperlink" Target="https://www.facebook.com/twfod" TargetMode="External" Id="rId389"/><Relationship Type="http://schemas.openxmlformats.org/officeDocument/2006/relationships/hyperlink" Target="https://www.facebook.com/ChrisTaylorReaDogTraining" TargetMode="External" Id="rId390"/><Relationship Type="http://schemas.openxmlformats.org/officeDocument/2006/relationships/hyperlink" Target="https://www.facebook.com/AmericasCanineEducator" TargetMode="External" Id="rId391"/><Relationship Type="http://schemas.openxmlformats.org/officeDocument/2006/relationships/hyperlink" Target="https://www.facebook.com/JuliusK9USA" TargetMode="External" Id="rId392"/><Relationship Type="http://schemas.openxmlformats.org/officeDocument/2006/relationships/hyperlink" Target="https://www.facebook.com/methodk9" TargetMode="External" Id="rId393"/><Relationship Type="http://schemas.openxmlformats.org/officeDocument/2006/relationships/hyperlink" Target="https://www.facebook.com/JAdorablesPnD" TargetMode="External" Id="rId394"/><Relationship Type="http://schemas.openxmlformats.org/officeDocument/2006/relationships/hyperlink" Target="https://www.facebook.com/badhabitgundogs" TargetMode="External" Id="rId395"/><Relationship Type="http://schemas.openxmlformats.org/officeDocument/2006/relationships/hyperlink" Target="https://www.facebook.com/westcoastcanecorsorescue" TargetMode="External" Id="rId396"/><Relationship Type="http://schemas.openxmlformats.org/officeDocument/2006/relationships/hyperlink" Target="https://www.facebook.com/therescueranch" TargetMode="External" Id="rId397"/><Relationship Type="http://schemas.openxmlformats.org/officeDocument/2006/relationships/hyperlink" Target="https://www.facebook.com/lonestardogranch" TargetMode="External" Id="rId398"/><Relationship Type="http://schemas.openxmlformats.org/officeDocument/2006/relationships/hyperlink" Target="https://www.facebook.com/SandyPawsRescue" TargetMode="External" Id="rId399"/><Relationship Type="http://schemas.openxmlformats.org/officeDocument/2006/relationships/hyperlink" Target="https://www.facebook.com/Great.Plains.Mastiff.Rescue" TargetMode="External" Id="rId400"/><Relationship Type="http://schemas.openxmlformats.org/officeDocument/2006/relationships/hyperlink" Target="https://www.facebook.com/nationalbernesemountiandogrescuenetwork" TargetMode="External" Id="rId401"/><Relationship Type="http://schemas.openxmlformats.org/officeDocument/2006/relationships/hyperlink" Target="https://www.facebook.com/RidgetopRescue" TargetMode="External" Id="rId402"/><Relationship Type="http://schemas.openxmlformats.org/officeDocument/2006/relationships/hyperlink" Target="https://www.facebook.com/profile.php?id=61553081333127" TargetMode="External" Id="rId403"/><Relationship Type="http://schemas.openxmlformats.org/officeDocument/2006/relationships/hyperlink" Target="https://www.facebook.com/bigdogranchrescue" TargetMode="External" Id="rId404"/><Relationship Type="http://schemas.openxmlformats.org/officeDocument/2006/relationships/hyperlink" Target="https://www.facebook.com/profile.php?id=100064563736699" TargetMode="External" Id="rId405"/><Relationship Type="http://schemas.openxmlformats.org/officeDocument/2006/relationships/hyperlink" Target="https://www.facebook.com/mnbassetrescue" TargetMode="External" Id="rId406"/><Relationship Type="http://schemas.openxmlformats.org/officeDocument/2006/relationships/hyperlink" Target="https://www.facebook.com/CarolinaPoodleRescue" TargetMode="External" Id="rId407"/><Relationship Type="http://schemas.openxmlformats.org/officeDocument/2006/relationships/hyperlink" Target="https://www.facebook.com/whisperingwillowsseniordogsanctuary" TargetMode="External" Id="rId408"/><Relationship Type="http://schemas.openxmlformats.org/officeDocument/2006/relationships/hyperlink" Target="https://www.facebook.com/AtchafalayaRiverRescue" TargetMode="External" Id="rId409"/><Relationship Type="http://schemas.openxmlformats.org/officeDocument/2006/relationships/hyperlink" Target="https://www.facebook.com/utahbulldoglife" TargetMode="External" Id="rId410"/><Relationship Type="http://schemas.openxmlformats.org/officeDocument/2006/relationships/hyperlink" Target="https://www.facebook.com/somefrenchienamedapollo" TargetMode="External" Id="rId411"/><Relationship Type="http://schemas.openxmlformats.org/officeDocument/2006/relationships/hyperlink" Target="https://www.facebook.com/100093900725065" TargetMode="External" Id="rId412"/><Relationship Type="http://schemas.openxmlformats.org/officeDocument/2006/relationships/hyperlink" Target="https://www.facebook.com/USDAA" TargetMode="External" Id="rId413"/><Relationship Type="http://schemas.openxmlformats.org/officeDocument/2006/relationships/hyperlink" Target="https://www.facebook.com/frenchbulldogloverspage" TargetMode="External" Id="rId414"/><Relationship Type="http://schemas.openxmlformats.org/officeDocument/2006/relationships/hyperlink" Target="https://www.facebook.com/Torathebelgianmalinoisdog" TargetMode="External" Id="rId415"/><Relationship Type="http://schemas.openxmlformats.org/officeDocument/2006/relationships/hyperlink" Target="https://www.facebook.com/goldengatedogsports" TargetMode="External" Id="rId416"/><Relationship Type="http://schemas.openxmlformats.org/officeDocument/2006/relationships/hyperlink" Target="https://www.facebook.com/Iheartfrenchbulldogs" TargetMode="External" Id="rId417"/><Relationship Type="http://schemas.openxmlformats.org/officeDocument/2006/relationships/hyperlink" Target="https://www.facebook.com/bugalugspetcare" TargetMode="External" Id="rId418"/><Relationship Type="http://schemas.openxmlformats.org/officeDocument/2006/relationships/hyperlink" Target="https://www.facebook.com/profile.php?id=100080290106972" TargetMode="External" Id="rId419"/><Relationship Type="http://schemas.openxmlformats.org/officeDocument/2006/relationships/hyperlink" Target="https://www.facebook.com/bjpetresort" TargetMode="External" Id="rId420"/><Relationship Type="http://schemas.openxmlformats.org/officeDocument/2006/relationships/hyperlink" Target="https://www.facebook.com/profile.php?id=61584700992217" TargetMode="External" Id="rId421"/><Relationship Type="http://schemas.openxmlformats.org/officeDocument/2006/relationships/hyperlink" Target="https://www.facebook.com/lakelandcanineacademy" TargetMode="External" Id="rId422"/><Relationship Type="http://schemas.openxmlformats.org/officeDocument/2006/relationships/hyperlink" Target="https://www.facebook.com/crayellworkingdogs" TargetMode="External" Id="rId423"/><Relationship Type="http://schemas.openxmlformats.org/officeDocument/2006/relationships/hyperlink" Target="https://www.facebook.com/maherandhounddogtraining" TargetMode="External" Id="rId424"/><Relationship Type="http://schemas.openxmlformats.org/officeDocument/2006/relationships/hyperlink" Target="https://www.facebook.com/profile.php?id=61578093398674" TargetMode="External" Id="rId425"/><Relationship Type="http://schemas.openxmlformats.org/officeDocument/2006/relationships/hyperlink" Target="https://www.facebook.com/ClubMegDogTraining" TargetMode="External" Id="rId426"/><Relationship Type="http://schemas.openxmlformats.org/officeDocument/2006/relationships/hyperlink" Target="https://www.facebook.com/K9TrainingAcademyNorCal" TargetMode="External" Id="rId427"/><Relationship Type="http://schemas.openxmlformats.org/officeDocument/2006/relationships/hyperlink" Target="https://www.facebook.com/NextGenerationGunDogTraining" TargetMode="External" Id="rId428"/><Relationship Type="http://schemas.openxmlformats.org/officeDocument/2006/relationships/hyperlink" Target="https://www.facebook.com/WillowCreekDogsGA" TargetMode="External" Id="rId429"/><Relationship Type="http://schemas.openxmlformats.org/officeDocument/2006/relationships/hyperlink" Target="https://www.facebook.com/profile.php?id=61559021933424" TargetMode="External" Id="rId430"/><Relationship Type="http://schemas.openxmlformats.org/officeDocument/2006/relationships/hyperlink" Target="https://www.facebook.com/profile.php?id=61577175699454" TargetMode="External" Id="rId431"/><Relationship Type="http://schemas.openxmlformats.org/officeDocument/2006/relationships/hyperlink" Target="https://www.facebook.com/profile.php?id=61561820042604" TargetMode="External" Id="rId432"/><Relationship Type="http://schemas.openxmlformats.org/officeDocument/2006/relationships/hyperlink" Target="https://www.facebook.com/KennelwoodAcademy" TargetMode="External" Id="rId433"/><Relationship Type="http://schemas.openxmlformats.org/officeDocument/2006/relationships/hyperlink" Target="https://www.facebook.com/rytexgundogtraining" TargetMode="External" Id="rId434"/><Relationship Type="http://schemas.openxmlformats.org/officeDocument/2006/relationships/hyperlink" Target="https://www.facebook.com/CapeCodDogCenter" TargetMode="External" Id="rId435"/><Relationship Type="http://schemas.openxmlformats.org/officeDocument/2006/relationships/hyperlink" Target="https://www.facebook.com/profile.php?id=100089780643597" TargetMode="External" Id="rId436"/><Relationship Type="http://schemas.openxmlformats.org/officeDocument/2006/relationships/hyperlink" Target="https://www.facebook.com/theonlinepuppyschool" TargetMode="External" Id="rId437"/><Relationship Type="http://schemas.openxmlformats.org/officeDocument/2006/relationships/hyperlink" Target="https://www.facebook.com/bluestark9" TargetMode="External" Id="rId438"/><Relationship Type="http://schemas.openxmlformats.org/officeDocument/2006/relationships/hyperlink" Target="https://www.facebook.com/BowCreekKennels" TargetMode="External" Id="rId439"/><Relationship Type="http://schemas.openxmlformats.org/officeDocument/2006/relationships/hyperlink" Target="https://www.facebook.com/tammys.puppies.16" TargetMode="External" Id="rId440"/><Relationship Type="http://schemas.openxmlformats.org/officeDocument/2006/relationships/hyperlink" Target="https://www.facebook.com/vonvimal" TargetMode="External" Id="rId441"/><Relationship Type="http://schemas.openxmlformats.org/officeDocument/2006/relationships/hyperlink" Target="https://www.facebook.com/triumphantkennels" TargetMode="External" Id="rId442"/><Relationship Type="http://schemas.openxmlformats.org/officeDocument/2006/relationships/hyperlink" Target="https://www.facebook.com/jokisteretsteveseden" TargetMode="External" Id="rId443"/><Relationship Type="http://schemas.openxmlformats.org/officeDocument/2006/relationships/hyperlink" Target="https://www.facebook.com/petra.rottw" TargetMode="External" Id="rId444"/><Relationship Type="http://schemas.openxmlformats.org/officeDocument/2006/relationships/hyperlink" Target="https://www.facebook.com/kokrus.kennel" TargetMode="External" Id="rId445"/><Relationship Type="http://schemas.openxmlformats.org/officeDocument/2006/relationships/hyperlink" Target="https://www.facebook.com/GatorKennels" TargetMode="External" Id="rId446"/><Relationship Type="http://schemas.openxmlformats.org/officeDocument/2006/relationships/hyperlink" Target="https://www.facebook.com/4ekennelshealinghearts" TargetMode="External" Id="rId447"/><Relationship Type="http://schemas.openxmlformats.org/officeDocument/2006/relationships/hyperlink" Target="https://www.facebook.com/graesmarkens" TargetMode="External" Id="rId448"/><Relationship Type="http://schemas.openxmlformats.org/officeDocument/2006/relationships/hyperlink" Target="https://www.facebook.com/profile.php?id=100057560014996" TargetMode="External" Id="rId449"/><Relationship Type="http://schemas.openxmlformats.org/officeDocument/2006/relationships/hyperlink" Target="https://www.facebook.com/suresh.raja.9250" TargetMode="External" Id="rId450"/><Relationship Type="http://schemas.openxmlformats.org/officeDocument/2006/relationships/hyperlink" Target="https://www.facebook.com/bossykennels15" TargetMode="External" Id="rId451"/><Relationship Type="http://schemas.openxmlformats.org/officeDocument/2006/relationships/hyperlink" Target="https://www.facebook.com/JusticeKennels" TargetMode="External" Id="rId452"/><Relationship Type="http://schemas.openxmlformats.org/officeDocument/2006/relationships/hyperlink" Target="https://www.facebook.com/profile.php?id=100063656492467" TargetMode="External" Id="rId453"/><Relationship Type="http://schemas.openxmlformats.org/officeDocument/2006/relationships/hyperlink" Target="https://www.facebook.com/cordoba.kennel" TargetMode="External" Id="rId454"/><Relationship Type="http://schemas.openxmlformats.org/officeDocument/2006/relationships/hyperlink" Target="https://www.facebook.com/JitterbugKennel" TargetMode="External" Id="rId455"/><Relationship Type="http://schemas.openxmlformats.org/officeDocument/2006/relationships/hyperlink" Target="https://www.facebook.com/profile.php?id=61592187434362" TargetMode="External" Id="rId456"/><Relationship Type="http://schemas.openxmlformats.org/officeDocument/2006/relationships/hyperlink" Target="https://www.facebook.com/derek.william.10" TargetMode="External" Id="rId457"/><Relationship Type="http://schemas.openxmlformats.org/officeDocument/2006/relationships/hyperlink" Target="https://www.facebook.com/deGrandeVinko" TargetMode="External" Id="rId458"/><Relationship Type="http://schemas.openxmlformats.org/officeDocument/2006/relationships/hyperlink" Target="https://www.facebook.com/blacksmithraven" TargetMode="External" Id="rId459"/><Relationship Type="http://schemas.openxmlformats.org/officeDocument/2006/relationships/hyperlink" Target="https://www.facebook.com/Fieldstonekennels" TargetMode="External" Id="rId460"/><Relationship Type="http://schemas.openxmlformats.org/officeDocument/2006/relationships/hyperlink" Target="https://www.facebook.com/profile.php?id=61550479265151" TargetMode="External" Id="rId461"/><Relationship Type="http://schemas.openxmlformats.org/officeDocument/2006/relationships/hyperlink" Target="https://www.facebook.com/okelanikennels" TargetMode="External" Id="rId462"/><Relationship Type="http://schemas.openxmlformats.org/officeDocument/2006/relationships/hyperlink" Target="https://www.facebook.com/profile.php?id=100063583932931" TargetMode="External" Id="rId463"/><Relationship Type="http://schemas.openxmlformats.org/officeDocument/2006/relationships/hyperlink" Target="https://www.facebook.com/allclaritykennels" TargetMode="External" Id="rId464"/><Relationship Type="http://schemas.openxmlformats.org/officeDocument/2006/relationships/hyperlink" Target="https://www.facebook.com/KennelSnowtroopers" TargetMode="External" Id="rId465"/><Relationship Type="http://schemas.openxmlformats.org/officeDocument/2006/relationships/hyperlink" Target="https://www.facebook.com/LightSpeedKennels" TargetMode="External" Id="rId466"/><Relationship Type="http://schemas.openxmlformats.org/officeDocument/2006/relationships/hyperlink" Target="https://www.facebook.com/WhiteRewyr" TargetMode="External" Id="rId467"/><Relationship Type="http://schemas.openxmlformats.org/officeDocument/2006/relationships/hyperlink" Target="https://www.facebook.com/BeaverCreekKennels1" TargetMode="External" Id="rId468"/><Relationship Type="http://schemas.openxmlformats.org/officeDocument/2006/relationships/hyperlink" Target="https://www.facebook.com/tdfkennels" TargetMode="External" Id="rId469"/><Relationship Type="http://schemas.openxmlformats.org/officeDocument/2006/relationships/hyperlink" Target="https://www.facebook.com/TAKEABULL" TargetMode="External" Id="rId470"/><Relationship Type="http://schemas.openxmlformats.org/officeDocument/2006/relationships/hyperlink" Target="https://www.facebook.com/robulfedorkennel" TargetMode="External" Id="rId471"/><Relationship Type="http://schemas.openxmlformats.org/officeDocument/2006/relationships/hyperlink" Target="https://www.facebook.com/Aavistuksen.kennel" TargetMode="External" Id="rId472"/><Relationship Type="http://schemas.openxmlformats.org/officeDocument/2006/relationships/hyperlink" Target="https://www.facebook.com/waltonkennnels" TargetMode="External" Id="rId473"/><Relationship Type="http://schemas.openxmlformats.org/officeDocument/2006/relationships/hyperlink" Target="https://www.facebook.com/LadyDarlingPuppies" TargetMode="External" Id="rId474"/><Relationship Type="http://schemas.openxmlformats.org/officeDocument/2006/relationships/hyperlink" Target="https://www.facebook.com/shylostar" TargetMode="External" Id="rId475"/><Relationship Type="http://schemas.openxmlformats.org/officeDocument/2006/relationships/hyperlink" Target="https://www.facebook.com/dlyayulii" TargetMode="External" Id="rId476"/><Relationship Type="http://schemas.openxmlformats.org/officeDocument/2006/relationships/hyperlink" Target="https://www.facebook.com/royalpacifickennels" TargetMode="External" Id="rId477"/><Relationship Type="http://schemas.openxmlformats.org/officeDocument/2006/relationships/hyperlink" Target="https://www.facebook.com/robmondkennels" TargetMode="External" Id="rId478"/><Relationship Type="http://schemas.openxmlformats.org/officeDocument/2006/relationships/hyperlink" Target="https://www.facebook.com/KennelLegendKelixa" TargetMode="External" Id="rId479"/><Relationship Type="http://schemas.openxmlformats.org/officeDocument/2006/relationships/hyperlink" Target="https://www.facebook.com/dogkennelcollection" TargetMode="External" Id="rId480"/><Relationship Type="http://schemas.openxmlformats.org/officeDocument/2006/relationships/hyperlink" Target="https://www.facebook.com/DriftwoodKennel" TargetMode="External" Id="rId481"/><Relationship Type="http://schemas.openxmlformats.org/officeDocument/2006/relationships/hyperlink" Target="https://www.facebook.com/Salhiast.bernards" TargetMode="External" Id="rId482"/><Relationship Type="http://schemas.openxmlformats.org/officeDocument/2006/relationships/hyperlink" Target="https://www.facebook.com/santapaulaarc" TargetMode="External" Id="rId483"/><Relationship Type="http://schemas.openxmlformats.org/officeDocument/2006/relationships/hyperlink" Target="https://www.facebook.com/puppyluvar" TargetMode="External" Id="rId484"/><Relationship Type="http://schemas.openxmlformats.org/officeDocument/2006/relationships/hyperlink" Target="https://www.facebook.com/MidwestAnimalRescue" TargetMode="External" Id="rId485"/><Relationship Type="http://schemas.openxmlformats.org/officeDocument/2006/relationships/hyperlink" Target="https://www.facebook.com/Precisioncaninedogtraining" TargetMode="External" Id="rId486"/><Relationship Type="http://schemas.openxmlformats.org/officeDocument/2006/relationships/hyperlink" Target="https://www.facebook.com/secondhomepetboarding" TargetMode="External" Id="rId487"/><Relationship Type="http://schemas.openxmlformats.org/officeDocument/2006/relationships/hyperlink" Target="https://www.facebook.com/juliusk9" TargetMode="External" Id="rId488"/><Relationship Type="http://schemas.openxmlformats.org/officeDocument/2006/relationships/hyperlink" Target="https://www.facebook.com/juliusk9de" TargetMode="External" Id="rId489"/><Relationship Type="http://schemas.openxmlformats.org/officeDocument/2006/relationships/hyperlink" Target="https://www.facebook.com/juliusk9hu" TargetMode="External" Id="rId490"/><Relationship Type="http://schemas.openxmlformats.org/officeDocument/2006/relationships/hyperlink" Target="https://www.facebook.com/www.cchdrescue.org" TargetMode="External" Id="rId491"/><Relationship Type="http://schemas.openxmlformats.org/officeDocument/2006/relationships/hyperlink" Target="https://www.facebook.com/LuckyDogLuxuryDaycare" TargetMode="External" Id="rId492"/><Relationship Type="http://schemas.openxmlformats.org/officeDocument/2006/relationships/hyperlink" Target="https://www.facebook.com/k9officers1" TargetMode="External" Id="rId493"/><Relationship Type="http://schemas.openxmlformats.org/officeDocument/2006/relationships/hyperlink" Target="https://www.facebook.com/dogtrainingelitecolumbus" TargetMode="External" Id="rId494"/><Relationship Type="http://schemas.openxmlformats.org/officeDocument/2006/relationships/hyperlink" Target="https://www.facebook.com/charleysangelsdogs" TargetMode="External" Id="rId495"/><Relationship Type="http://schemas.openxmlformats.org/officeDocument/2006/relationships/hyperlink" Target="https://www.facebook.com/OLK9Detroit" TargetMode="External" Id="rId496"/><Relationship Type="http://schemas.openxmlformats.org/officeDocument/2006/relationships/hyperlink" Target="https://www.facebook.com/fortheloveofdogoroville" TargetMode="External" Id="rId497"/><Relationship Type="http://schemas.openxmlformats.org/officeDocument/2006/relationships/hyperlink" Target="https://www.facebook.com/caninerevolutiondogtraining" TargetMode="External" Id="rId498"/><Relationship Type="http://schemas.openxmlformats.org/officeDocument/2006/relationships/hyperlink" Target="https://www.facebook.com/k9funzone" TargetMode="External" Id="rId499"/><Relationship Type="http://schemas.openxmlformats.org/officeDocument/2006/relationships/hyperlink" Target="https://www.facebook.com/k9optima" TargetMode="External" Id="rId500"/><Relationship Type="http://schemas.openxmlformats.org/officeDocument/2006/relationships/hyperlink" Target="https://www.facebook.com/dynamitedogtraining" TargetMode="External" Id="rId501"/><Relationship Type="http://schemas.openxmlformats.org/officeDocument/2006/relationships/hyperlink" Target="https://www.facebook.com/profile.php?id=61573318749080" TargetMode="External" Id="rId502"/><Relationship Type="http://schemas.openxmlformats.org/officeDocument/2006/relationships/hyperlink" Target="https://www.facebook.com/DarwinsDogTrainingSchool" TargetMode="External" Id="rId503"/><Relationship Type="http://schemas.openxmlformats.org/officeDocument/2006/relationships/hyperlink" Target="https://www.facebook.com/catcombefarmsomerton" TargetMode="External" Id="rId504"/><Relationship Type="http://schemas.openxmlformats.org/officeDocument/2006/relationships/hyperlink" Target="https://www.facebook.com/profile.php?id=100064906321761" TargetMode="External" Id="rId505"/><Relationship Type="http://schemas.openxmlformats.org/officeDocument/2006/relationships/hyperlink" Target="https://www.facebook.com/tmb.dogtraining" TargetMode="External" Id="rId506"/><Relationship Type="http://schemas.openxmlformats.org/officeDocument/2006/relationships/hyperlink" Target="https://www.facebook.com/voyagersk9apparel" TargetMode="External" Id="rId507"/><Relationship Type="http://schemas.openxmlformats.org/officeDocument/2006/relationships/hyperlink" Target="https://www.facebook.com/profile.php?id=61552708209957" TargetMode="External" Id="rId508"/><Relationship Type="http://schemas.openxmlformats.org/officeDocument/2006/relationships/hyperlink" Target="https://www.facebook.com/K9H4H" TargetMode="External" Id="rId509"/><Relationship Type="http://schemas.openxmlformats.org/officeDocument/2006/relationships/hyperlink" Target="https://www.facebook.com/celtick9" TargetMode="External" Id="rId510"/><Relationship Type="http://schemas.openxmlformats.org/officeDocument/2006/relationships/hyperlink" Target="https://www.facebook.com/profile.php?id=61575490034394" TargetMode="External" Id="rId511"/><Relationship Type="http://schemas.openxmlformats.org/officeDocument/2006/relationships/hyperlink" Target="https://www.facebook.com/MakPackAZ" TargetMode="External" Id="rId512"/><Relationship Type="http://schemas.openxmlformats.org/officeDocument/2006/relationships/hyperlink" Target="https://www.facebook.com/profile.php?id=100089686290366" TargetMode="External" Id="rId513"/><Relationship Type="http://schemas.openxmlformats.org/officeDocument/2006/relationships/hyperlink" Target="https://www.facebook.com/abk9training" TargetMode="External" Id="rId514"/><Relationship Type="http://schemas.openxmlformats.org/officeDocument/2006/relationships/hyperlink" Target="https://www.facebook.com/aboveandbeyonddogtrainingandrehabilitation" TargetMode="External" Id="rId515"/><Relationship Type="http://schemas.openxmlformats.org/officeDocument/2006/relationships/hyperlink" Target="https://www.facebook.com/profile.php?id=61557027566977" TargetMode="External" Id="rId516"/><Relationship Type="http://schemas.openxmlformats.org/officeDocument/2006/relationships/hyperlink" Target="https://www.facebook.com/twoamigospetsupplieslimited" TargetMode="External" Id="rId517"/><Relationship Type="http://schemas.openxmlformats.org/officeDocument/2006/relationships/hyperlink" Target="https://www.facebook.com/profile.php?id=100070135712074" TargetMode="External" Id="rId518"/><Relationship Type="http://schemas.openxmlformats.org/officeDocument/2006/relationships/hyperlink" Target="https://www.facebook.com/profile.php?id=100090459896484" TargetMode="External" Id="rId519"/><Relationship Type="http://schemas.openxmlformats.org/officeDocument/2006/relationships/hyperlink" Target="https://www.facebook.com/prodogtrainingmelbourne" TargetMode="External" Id="rId520"/><Relationship Type="http://schemas.openxmlformats.org/officeDocument/2006/relationships/hyperlink" Target="https://www.facebook.com/krakenk9" TargetMode="External" Id="rId521"/><Relationship Type="http://schemas.openxmlformats.org/officeDocument/2006/relationships/hyperlink" Target="https://www.facebook.com/AimingHighDogTraining" TargetMode="External" Id="rId522"/><Relationship Type="http://schemas.openxmlformats.org/officeDocument/2006/relationships/hyperlink" Target="https://www.facebook.com/gsrnc" TargetMode="External" Id="rId523"/><Relationship Type="http://schemas.openxmlformats.org/officeDocument/2006/relationships/hyperlink" Target="https://www.facebook.com/DoxieandFriends" TargetMode="External" Id="rId524"/><Relationship Type="http://schemas.openxmlformats.org/officeDocument/2006/relationships/hyperlink" Target="https://www.facebook.com/RescuePup585" TargetMode="External" Id="rId525"/><Relationship Type="http://schemas.openxmlformats.org/officeDocument/2006/relationships/hyperlink" Target="https://www.facebook.com/Mustluvboxersrescue" TargetMode="External" Id="rId526"/><Relationship Type="http://schemas.openxmlformats.org/officeDocument/2006/relationships/hyperlink" Target="https://www.facebook.com/GlenHighlandFarm" TargetMode="External" Id="rId527"/><Relationship Type="http://schemas.openxmlformats.org/officeDocument/2006/relationships/hyperlink" Target="https://www.facebook.com/americanbrittanyrescue" TargetMode="External" Id="rId528"/><Relationship Type="http://schemas.openxmlformats.org/officeDocument/2006/relationships/hyperlink" Target="https://www.facebook.com/DachshundHausRescue" TargetMode="External" Id="rId529"/><Relationship Type="http://schemas.openxmlformats.org/officeDocument/2006/relationships/hyperlink" Target="https://www.facebook.com/GreatPyreneesRescueMontana" TargetMode="External" Id="rId530"/><Relationship Type="http://schemas.openxmlformats.org/officeDocument/2006/relationships/hyperlink" Target="https://www.facebook.com/Knine.rescue.inc.1" TargetMode="External" Id="rId531"/><Relationship Type="http://schemas.openxmlformats.org/officeDocument/2006/relationships/hyperlink" Target="https://www.facebook.com/profile.php?id=100046841779357" TargetMode="External" Id="rId532"/><Relationship Type="http://schemas.openxmlformats.org/officeDocument/2006/relationships/hyperlink" Target="https://www.facebook.com/Wintercoombe" TargetMode="External" Id="rId533"/><Relationship Type="http://schemas.openxmlformats.org/officeDocument/2006/relationships/hyperlink" Target="https://www.facebook.com/goldengrouse" TargetMode="External" Id="rId534"/><Relationship Type="http://schemas.openxmlformats.org/officeDocument/2006/relationships/hyperlink" Target="https://www.facebook.com/profile.php?id=100080072311031" TargetMode="External" Id="rId535"/><Relationship Type="http://schemas.openxmlformats.org/officeDocument/2006/relationships/hyperlink" Target="https://www.facebook.com/HampshireGundogSociety" TargetMode="External" Id="rId536"/><Relationship Type="http://schemas.openxmlformats.org/officeDocument/2006/relationships/hyperlink" Target="https://www.facebook.com/NationalGundogAssociation" TargetMode="External" Id="rId537"/><Relationship Type="http://schemas.openxmlformats.org/officeDocument/2006/relationships/hyperlink" Target="https://www.facebook.com/profile.php?id=100057515736200" TargetMode="External" Id="rId538"/><Relationship Type="http://schemas.openxmlformats.org/officeDocument/2006/relationships/hyperlink" Target="https://www.facebook.com/profile.php?id=100086625580910" TargetMode="External" Id="rId539"/><Relationship Type="http://schemas.openxmlformats.org/officeDocument/2006/relationships/hyperlink" Target="https://www.facebook.com/profile.php?id=61556296920880" TargetMode="External" Id="rId540"/><Relationship Type="http://schemas.openxmlformats.org/officeDocument/2006/relationships/hyperlink" Target="https://www.facebook.com/BassethoundPavia" TargetMode="External" Id="rId541"/><Relationship Type="http://schemas.openxmlformats.org/officeDocument/2006/relationships/hyperlink" Target="https://www.facebook.com/MultipetInternational" TargetMode="External" Id="rId542"/><Relationship Type="http://schemas.openxmlformats.org/officeDocument/2006/relationships/hyperlink" Target="https://www.facebook.com/OutwardHound" TargetMode="External" Id="rId543"/><Relationship Type="http://schemas.openxmlformats.org/officeDocument/2006/relationships/hyperlink" Target="https://www.facebook.com/SandyHillBassetHounds" TargetMode="External" Id="rId544"/><Relationship Type="http://schemas.openxmlformats.org/officeDocument/2006/relationships/hyperlink" Target="https://www.facebook.com/Berneselookingback" TargetMode="External" Id="rId545"/><Relationship Type="http://schemas.openxmlformats.org/officeDocument/2006/relationships/hyperlink" Target="https://www.facebook.com/profile.php?id=61575113287671" TargetMode="External" Id="rId546"/><Relationship Type="http://schemas.openxmlformats.org/officeDocument/2006/relationships/hyperlink" Target="https://www.facebook.com/profile.php?id=100063886251612" TargetMode="External" Id="rId547"/><Relationship Type="http://schemas.openxmlformats.org/officeDocument/2006/relationships/hyperlink" Target="https://www.facebook.com/profile.php?id=61555788640769" TargetMode="External" Id="rId548"/><Relationship Type="http://schemas.openxmlformats.org/officeDocument/2006/relationships/hyperlink" Target="https://www.facebook.com/profile.php?id=61572398502706" TargetMode="External" Id="rId549"/><Relationship Type="http://schemas.openxmlformats.org/officeDocument/2006/relationships/hyperlink" Target="https://www.facebook.com/northstarhounds" TargetMode="External" Id="rId550"/><Relationship Type="http://schemas.openxmlformats.org/officeDocument/2006/relationships/hyperlink" Target="https://www.facebook.com/arohahounds" TargetMode="External" Id="rId551"/><Relationship Type="http://schemas.openxmlformats.org/officeDocument/2006/relationships/hyperlink" Target="https://www.facebook.com/farmoreboxers" TargetMode="External" Id="rId552"/><Relationship Type="http://schemas.openxmlformats.org/officeDocument/2006/relationships/hyperlink" Target="https://www.facebook.com/SaltyBunsDogCo" TargetMode="External" Id="rId553"/><Relationship Type="http://schemas.openxmlformats.org/officeDocument/2006/relationships/hyperlink" Target="https://www.facebook.com/profile.php?id=100063629705806" TargetMode="External" Id="rId554"/><Relationship Type="http://schemas.openxmlformats.org/officeDocument/2006/relationships/hyperlink" Target="https://www.facebook.com/AmericanWhippetClub" TargetMode="External" Id="rId555"/><Relationship Type="http://schemas.openxmlformats.org/officeDocument/2006/relationships/hyperlink" Target="https://www.facebook.com/ConformationandmovementBMD" TargetMode="External" Id="rId556"/><Relationship Type="http://schemas.openxmlformats.org/officeDocument/2006/relationships/hyperlink" Target="https://www.facebook.com/walnutcreekbernese" TargetMode="External" Id="rId557"/><Relationship Type="http://schemas.openxmlformats.org/officeDocument/2006/relationships/hyperlink" Target="https://www.facebook.com/littledalemafia" TargetMode="External" Id="rId558"/><Relationship Type="http://schemas.openxmlformats.org/officeDocument/2006/relationships/hyperlink" Target="https://www.facebook.com/AllAboardPetTransport" TargetMode="External" Id="rId559"/><Relationship Type="http://schemas.openxmlformats.org/officeDocument/2006/relationships/hyperlink" Target="https://www.facebook.com/IslandBoundSheepdogs" TargetMode="External" Id="rId560"/><Relationship Type="http://schemas.openxmlformats.org/officeDocument/2006/relationships/hyperlink" Target="https://www.facebook.com/profile.php?id=100054442753137" TargetMode="External" Id="rId561"/><Relationship Type="http://schemas.openxmlformats.org/officeDocument/2006/relationships/hyperlink" Target="https://www.facebook.com/profile.php?id=61588954546290" TargetMode="External" Id="rId562"/><Relationship Type="http://schemas.openxmlformats.org/officeDocument/2006/relationships/hyperlink" Target="https://www.facebook.com/dogfriendlyco" TargetMode="External" Id="rId563"/><Relationship Type="http://schemas.openxmlformats.org/officeDocument/2006/relationships/hyperlink" Target="https://www.facebook.com/badlandsranchpets" TargetMode="External" Id="rId564"/><Relationship Type="http://schemas.openxmlformats.org/officeDocument/2006/relationships/hyperlink" Target="https://www.facebook.com/westernskiesdoodles" TargetMode="External" Id="rId565"/><Relationship Type="http://schemas.openxmlformats.org/officeDocument/2006/relationships/hyperlink" Target="https://www.facebook.com/cutepiggytails" TargetMode="External" Id="rId566"/><Relationship Type="http://schemas.openxmlformats.org/officeDocument/2006/relationships/hyperlink" Target="https://www.facebook.com/profile.php?id=100063570191481" TargetMode="External" Id="rId567"/><Relationship Type="http://schemas.openxmlformats.org/officeDocument/2006/relationships/hyperlink" Target="https://www.facebook.com/ourhousefrenchies" TargetMode="External" Id="rId568"/><Relationship Type="http://schemas.openxmlformats.org/officeDocument/2006/relationships/hyperlink" Target="https://www.facebook.com/solutionspetproductsllc" TargetMode="External" Id="rId569"/><Relationship Type="http://schemas.openxmlformats.org/officeDocument/2006/relationships/hyperlink" Target="https://www.facebook.com/BulldogEmma" TargetMode="External" Id="rId570"/><Relationship Type="http://schemas.openxmlformats.org/officeDocument/2006/relationships/hyperlink" Target="https://www.facebook.com/RavenbullsFrenchies" TargetMode="External" Id="rId571"/><Relationship Type="http://schemas.openxmlformats.org/officeDocument/2006/relationships/hyperlink" Target="https://www.facebook.com/RioBravoBulldogges" TargetMode="External" Id="rId572"/><Relationship Type="http://schemas.openxmlformats.org/officeDocument/2006/relationships/hyperlink" Target="https://www.facebook.com/doodlesquad1" TargetMode="External" Id="rId573"/><Relationship Type="http://schemas.openxmlformats.org/officeDocument/2006/relationships/hyperlink" Target="https://www.facebook.com/ShortstopFrenchies" TargetMode="External" Id="rId574"/><Relationship Type="http://schemas.openxmlformats.org/officeDocument/2006/relationships/hyperlink" Target="https://www.facebook.com/profile.php?id=61583358357375" TargetMode="External" Id="rId575"/><Relationship Type="http://schemas.openxmlformats.org/officeDocument/2006/relationships/hyperlink" Target="https://www.facebook.com/profile.php?id=100084743220489" TargetMode="External" Id="rId576"/><Relationship Type="http://schemas.openxmlformats.org/officeDocument/2006/relationships/hyperlink" Target="https://www.facebook.com/profile.php?id=61565757941530" TargetMode="External" Id="rId577"/><Relationship Type="http://schemas.openxmlformats.org/officeDocument/2006/relationships/hyperlink" Target="https://www.facebook.com/rsdcsk" TargetMode="External" Id="rId578"/><Relationship Type="http://schemas.openxmlformats.org/officeDocument/2006/relationships/hyperlink" Target="https://www.facebook.com/profile.php?id=100063650526397" TargetMode="External" Id="rId579"/><Relationship Type="http://schemas.openxmlformats.org/officeDocument/2006/relationships/hyperlink" Target="https://www.facebook.com/KruisinKaninesDogAgilityClub" TargetMode="External" Id="rId580"/><Relationship Type="http://schemas.openxmlformats.org/officeDocument/2006/relationships/hyperlink" Target="https://www.facebook.com/trainandsimpledogs" TargetMode="External" Id="rId581"/><Relationship Type="http://schemas.openxmlformats.org/officeDocument/2006/relationships/hyperlink" Target="https://www.facebook.com/profile.php?id=100090450523865" TargetMode="External" Id="rId582"/><Relationship Type="http://schemas.openxmlformats.org/officeDocument/2006/relationships/hyperlink" Target="https://www.facebook.com/profile.php?id=100082131992324" TargetMode="External" Id="rId583"/><Relationship Type="http://schemas.openxmlformats.org/officeDocument/2006/relationships/hyperlink" Target="https://www.facebook.com/BulldogLoverinusa50" TargetMode="External" Id="rId584"/><Relationship Type="http://schemas.openxmlformats.org/officeDocument/2006/relationships/hyperlink" Target="https://www.facebook.com/TheMuttMaster1111" TargetMode="External" Id="rId585"/><Relationship Type="http://schemas.openxmlformats.org/officeDocument/2006/relationships/hyperlink" Target="https://www.facebook.com/anyathegsd" TargetMode="External" Id="rId586"/><Relationship Type="http://schemas.openxmlformats.org/officeDocument/2006/relationships/hyperlink" Target="https://www.facebook.com/tjthefrenchie" TargetMode="External" Id="rId587"/><Relationship Type="http://schemas.openxmlformats.org/officeDocument/2006/relationships/hyperlink" Target="https://www.facebook.com/profile.php?id=100063792361738" TargetMode="External" Id="rId588"/><Relationship Type="http://schemas.openxmlformats.org/officeDocument/2006/relationships/hyperlink" Target="https://www.facebook.com/workingdog.agility" TargetMode="External" Id="rId589"/><Relationship Type="http://schemas.openxmlformats.org/officeDocument/2006/relationships/hyperlink" Target="https://www.facebook.com/ameliathedogtrainer" TargetMode="External" Id="rId590"/><Relationship Type="http://schemas.openxmlformats.org/officeDocument/2006/relationships/hyperlink" Target="https://www.facebook.com/profile.php?id=100085589439015" TargetMode="External" Id="rId591"/><Relationship Type="http://schemas.openxmlformats.org/officeDocument/2006/relationships/hyperlink" Target="https://www.facebook.com/australiandoggroomingschool" TargetMode="External" Id="rId592"/><Relationship Type="http://schemas.openxmlformats.org/officeDocument/2006/relationships/hyperlink" Target="https://www.facebook.com/profile.php?id=100091919752419" TargetMode="External" Id="rId593"/><Relationship Type="http://schemas.openxmlformats.org/officeDocument/2006/relationships/hyperlink" Target="https://www.facebook.com/profile.php?id=100091780843168" TargetMode="External" Id="rId594"/><Relationship Type="http://schemas.openxmlformats.org/officeDocument/2006/relationships/hyperlink" Target="https://www.facebook.com/ryzhkovadaria" TargetMode="External" Id="rId595"/><Relationship Type="http://schemas.openxmlformats.org/officeDocument/2006/relationships/hyperlink" Target="https://www.facebook.com/alldogssportspark" TargetMode="External" Id="rId596"/><Relationship Type="http://schemas.openxmlformats.org/officeDocument/2006/relationships/hyperlink" Target="https://www.facebook.com/PawsWClaws" TargetMode="External" Id="rId597"/><Relationship Type="http://schemas.openxmlformats.org/officeDocument/2006/relationships/hyperlink" Target="https://www.facebook.com/americassportdogs" TargetMode="External" Id="rId598"/><Relationship Type="http://schemas.openxmlformats.org/officeDocument/2006/relationships/hyperlink" Target="https://www.facebook.com/profile.php?id=61556077353700" TargetMode="External" Id="rId599"/><Relationship Type="http://schemas.openxmlformats.org/officeDocument/2006/relationships/hyperlink" Target="https://www.facebook.com/positivek9trainingcenter" TargetMode="External" Id="rId600"/><Relationship Type="http://schemas.openxmlformats.org/officeDocument/2006/relationships/hyperlink" Target="https://www.facebook.com/www.stcloudsrescue.org" TargetMode="External" Id="rId601"/><Relationship Type="http://schemas.openxmlformats.org/officeDocument/2006/relationships/hyperlink" Target="https://www.facebook.com/TheLuckyPuppy" TargetMode="External" Id="rId602"/><Relationship Type="http://schemas.openxmlformats.org/officeDocument/2006/relationships/hyperlink" Target="https://www.facebook.com/www.pawsforthoughtrescue.com.au" TargetMode="External" Id="rId603"/><Relationship Type="http://schemas.openxmlformats.org/officeDocument/2006/relationships/hyperlink" Target="https://www.facebook.com/NolaluEmergencyServicesTeam" TargetMode="External" Id="rId604"/><Relationship Type="http://schemas.openxmlformats.org/officeDocument/2006/relationships/hyperlink" Target="https://www.facebook.com/animalloverescuecenter" TargetMode="External" Id="rId605"/><Relationship Type="http://schemas.openxmlformats.org/officeDocument/2006/relationships/hyperlink" Target="https://www.facebook.com/HomewardBoundGoldens" TargetMode="External" Id="rId606"/><Relationship Type="http://schemas.openxmlformats.org/officeDocument/2006/relationships/hyperlink" Target="https://www.facebook.com/MavisDukeHintonsBooks" TargetMode="External" Id="rId607"/><Relationship Type="http://schemas.openxmlformats.org/officeDocument/2006/relationships/hyperlink" Target="https://www.facebook.com/petsnacksonline" TargetMode="External" Id="rId608"/><Relationship Type="http://schemas.openxmlformats.org/officeDocument/2006/relationships/hyperlink" Target="https://www.facebook.com/iloveeverydogofficial" TargetMode="External" Id="rId609"/><Relationship Type="http://schemas.openxmlformats.org/officeDocument/2006/relationships/hyperlink" Target="https://www.facebook.com/pugloverstee" TargetMode="External" Id="rId610"/><Relationship Type="http://schemas.openxmlformats.org/officeDocument/2006/relationships/hyperlink" Target="https://www.facebook.com/ThePugQueen" TargetMode="External" Id="rId611"/><Relationship Type="http://schemas.openxmlformats.org/officeDocument/2006/relationships/hyperlink" Target="https://www.facebook.com/livingstondogs" TargetMode="External" Id="rId612"/><Relationship Type="http://schemas.openxmlformats.org/officeDocument/2006/relationships/hyperlink" Target="https://www.facebook.com/K9sorg" TargetMode="External" Id="rId613"/><Relationship Type="http://schemas.openxmlformats.org/officeDocument/2006/relationships/hyperlink" Target="https://www.facebook.com/DogsMakeMeHappyOfficial" TargetMode="External" Id="rId614"/><Relationship Type="http://schemas.openxmlformats.org/officeDocument/2006/relationships/hyperlink" Target="https://www.facebook.com/UnhingedSarcasm" TargetMode="External" Id="rId615"/><Relationship Type="http://schemas.openxmlformats.org/officeDocument/2006/relationships/hyperlink" Target="https://www.facebook.com/VillalobosRescueCenter" TargetMode="External" Id="rId616"/><Relationship Type="http://schemas.openxmlformats.org/officeDocument/2006/relationships/hyperlink" Target="https://www.facebook.com/CelebratingTopPets" TargetMode="External" Id="rId617"/><Relationship Type="http://schemas.openxmlformats.org/officeDocument/2006/relationships/hyperlink" Target="https://www.facebook.com/NaturalDogCompany" TargetMode="External" Id="rId618"/><Relationship Type="http://schemas.openxmlformats.org/officeDocument/2006/relationships/hyperlink" Target="https://www.facebook.com/PetersDesignCompany" TargetMode="External" Id="rId619"/><Relationship Type="http://schemas.openxmlformats.org/officeDocument/2006/relationships/hyperlink" Target="https://www.facebook.com/atlaspetcompany" TargetMode="External" Id="rId620"/><Relationship Type="http://schemas.openxmlformats.org/officeDocument/2006/relationships/hyperlink" Target="https://www.facebook.com/officialdogpack" TargetMode="External" Id="rId621"/><Relationship Type="http://schemas.openxmlformats.org/officeDocument/2006/relationships/hyperlink" Target="https://www.facebook.com/totalk9c" TargetMode="External" Id="rId622"/><Relationship Type="http://schemas.openxmlformats.org/officeDocument/2006/relationships/hyperlink" Target="https://www.facebook.com/profile.php?id=61590253547431" TargetMode="External" Id="rId623"/><Relationship Type="http://schemas.openxmlformats.org/officeDocument/2006/relationships/hyperlink" Target="https://www.facebook.com/findyourbalancedogtraining" TargetMode="External" Id="rId624"/><Relationship Type="http://schemas.openxmlformats.org/officeDocument/2006/relationships/hyperlink" Target="https://www.facebook.com/ChanieceDesrochersGrooming" TargetMode="External" Id="rId625"/><Relationship Type="http://schemas.openxmlformats.org/officeDocument/2006/relationships/hyperlink" Target="https://www.facebook.com/profile.php?id=61557159721172" TargetMode="External" Id="rId626"/><Relationship Type="http://schemas.openxmlformats.org/officeDocument/2006/relationships/hyperlink" Target="https://www.facebook.com/k9jets" TargetMode="External" Id="rId627"/><Relationship Type="http://schemas.openxmlformats.org/officeDocument/2006/relationships/hyperlink" Target="https://www.facebook.com/profile.php?id=61580987213139" TargetMode="External" Id="rId628"/><Relationship Type="http://schemas.openxmlformats.org/officeDocument/2006/relationships/hyperlink" Target="https://www.facebook.com/trainingtipsfordogs" TargetMode="External" Id="rId629"/><Relationship Type="http://schemas.openxmlformats.org/officeDocument/2006/relationships/hyperlink" Target="https://www.facebook.com/TRCSK9Comfort" TargetMode="External" Id="rId630"/><Relationship Type="http://schemas.openxmlformats.org/officeDocument/2006/relationships/hyperlink" Target="https://www.facebook.com/pawsitivechancedogtraining" TargetMode="External" Id="rId631"/><Relationship Type="http://schemas.openxmlformats.org/officeDocument/2006/relationships/hyperlink" Target="https://www.facebook.com/Shicklek9" TargetMode="External" Id="rId632"/><Relationship Type="http://schemas.openxmlformats.org/officeDocument/2006/relationships/hyperlink" Target="https://www.facebook.com/profile.php?id=61558421985910" TargetMode="External" Id="rId633"/><Relationship Type="http://schemas.openxmlformats.org/officeDocument/2006/relationships/hyperlink" Target="https://www.facebook.com/synchrodog" TargetMode="External" Id="rId634"/><Relationship Type="http://schemas.openxmlformats.org/officeDocument/2006/relationships/hyperlink" Target="https://www.facebook.com/profile.php?id=61583344166692" TargetMode="External" Id="rId635"/><Relationship Type="http://schemas.openxmlformats.org/officeDocument/2006/relationships/hyperlink" Target="https://www.facebook.com/100091574593586" TargetMode="External" Id="rId636"/><Relationship Type="http://schemas.openxmlformats.org/officeDocument/2006/relationships/hyperlink" Target="https://www.facebook.com/alldogsk9" TargetMode="External" Id="rId637"/><Relationship Type="http://schemas.openxmlformats.org/officeDocument/2006/relationships/hyperlink" Target="https://www.facebook.com/profile.php?id=100094923648210" TargetMode="External" Id="rId638"/><Relationship Type="http://schemas.openxmlformats.org/officeDocument/2006/relationships/hyperlink" Target="https://www.facebook.com/profile.php?id=61591030300885" TargetMode="External" Id="rId639"/><Relationship Type="http://schemas.openxmlformats.org/officeDocument/2006/relationships/hyperlink" Target="https://www.facebook.com/STSK9nino" TargetMode="External" Id="rId640"/><Relationship Type="http://schemas.openxmlformats.org/officeDocument/2006/relationships/hyperlink" Target="https://www.facebook.com/KissableK9Care" TargetMode="External" Id="rId641"/><Relationship Type="http://schemas.openxmlformats.org/officeDocument/2006/relationships/hyperlink" Target="https://www.facebook.com/StandWithMeAssistanceDogTeamTraining" TargetMode="External" Id="rId642"/><Relationship Type="http://schemas.openxmlformats.org/officeDocument/2006/relationships/hyperlink" Target="https://www.facebook.com/onpointdogtraining" TargetMode="External" Id="rId643"/><Relationship Type="http://schemas.openxmlformats.org/officeDocument/2006/relationships/hyperlink" Target="https://www.facebook.com/CharlestonDogTrainingClub" TargetMode="External" Id="rId644"/><Relationship Type="http://schemas.openxmlformats.org/officeDocument/2006/relationships/hyperlink" Target="https://www.facebook.com/profile.php?id=61576111135759" TargetMode="External" Id="rId645"/><Relationship Type="http://schemas.openxmlformats.org/officeDocument/2006/relationships/hyperlink" Target="https://www.facebook.com/profile.php?id=61571315684945" TargetMode="External" Id="rId646"/><Relationship Type="http://schemas.openxmlformats.org/officeDocument/2006/relationships/hyperlink" Target="https://www.facebook.com/K9Storm" TargetMode="External" Id="rId647"/><Relationship Type="http://schemas.openxmlformats.org/officeDocument/2006/relationships/hyperlink" Target="https://www.facebook.com/profile.php?id=100047660035850" TargetMode="External" Id="rId648"/><Relationship Type="http://schemas.openxmlformats.org/officeDocument/2006/relationships/hyperlink" Target="https://www.facebook.com/cartmellkennels" TargetMode="External" Id="rId649"/><Relationship Type="http://schemas.openxmlformats.org/officeDocument/2006/relationships/hyperlink" Target="https://www.facebook.com/profile.php?id=100071154683006" TargetMode="External" Id="rId650"/><Relationship Type="http://schemas.openxmlformats.org/officeDocument/2006/relationships/hyperlink" Target="https://www.facebook.com/profile.php?id=100064843996826" TargetMode="External" Id="rId651"/><Relationship Type="http://schemas.openxmlformats.org/officeDocument/2006/relationships/hyperlink" Target="https://www.facebook.com/poledux" TargetMode="External" Id="rId652"/><Relationship Type="http://schemas.openxmlformats.org/officeDocument/2006/relationships/hyperlink" Target="https://www.facebook.com/SilverblueKennels" TargetMode="External" Id="rId653"/><Relationship Type="http://schemas.openxmlformats.org/officeDocument/2006/relationships/hyperlink" Target="https://www.facebook.com/profile.php?id=100093478863671" TargetMode="External" Id="rId654"/><Relationship Type="http://schemas.openxmlformats.org/officeDocument/2006/relationships/hyperlink" Target="https://www.facebook.com/LAWKennelsFL" TargetMode="External" Id="rId655"/><Relationship Type="http://schemas.openxmlformats.org/officeDocument/2006/relationships/hyperlink" Target="https://www.facebook.com/KennelLatmon" TargetMode="External" Id="rId656"/><Relationship Type="http://schemas.openxmlformats.org/officeDocument/2006/relationships/hyperlink" Target="https://www.facebook.com/kennelbullworks" TargetMode="External" Id="rId657"/><Relationship Type="http://schemas.openxmlformats.org/officeDocument/2006/relationships/hyperlink" Target="https://www.facebook.com/HockleyKennels" TargetMode="External" Id="rId658"/><Relationship Type="http://schemas.openxmlformats.org/officeDocument/2006/relationships/hyperlink" Target="https://www.facebook.com/manipulus.kennel" TargetMode="External" Id="rId659"/><Relationship Type="http://schemas.openxmlformats.org/officeDocument/2006/relationships/hyperlink" Target="https://www.facebook.com/profile.php?id=100063831384103" TargetMode="External" Id="rId660"/><Relationship Type="http://schemas.openxmlformats.org/officeDocument/2006/relationships/hyperlink" Target="https://www.facebook.com/willynwoodamstaffs" TargetMode="External" Id="rId661"/><Relationship Type="http://schemas.openxmlformats.org/officeDocument/2006/relationships/hyperlink" Target="https://www.facebook.com/ashrosekennels" TargetMode="External" Id="rId662"/><Relationship Type="http://schemas.openxmlformats.org/officeDocument/2006/relationships/hyperlink" Target="https://www.facebook.com/BergsFarmDoodlesPoodles" TargetMode="External" Id="rId663"/><Relationship Type="http://schemas.openxmlformats.org/officeDocument/2006/relationships/hyperlink" Target="https://www.facebook.com/profile.php?id=100064331906026" TargetMode="External" Id="rId664"/><Relationship Type="http://schemas.openxmlformats.org/officeDocument/2006/relationships/hyperlink" Target="https://www.facebook.com/woodsidewildliferescue" TargetMode="External" Id="rId665"/><Relationship Type="http://schemas.openxmlformats.org/officeDocument/2006/relationships/hyperlink" Target="https://www.facebook.com/WiltonAnimalRescue" TargetMode="External" Id="rId666"/><Relationship Type="http://schemas.openxmlformats.org/officeDocument/2006/relationships/hyperlink" Target="https://www.facebook.com/LostandFoundPetsLongIslandNassauSuffolkCounty" TargetMode="External" Id="rId667"/><Relationship Type="http://schemas.openxmlformats.org/officeDocument/2006/relationships/hyperlink" Target="https://www.facebook.com/packleadersrescuect" TargetMode="External" Id="rId668"/><Relationship Type="http://schemas.openxmlformats.org/officeDocument/2006/relationships/hyperlink" Target="https://www.facebook.com/vintagepetrescue" TargetMode="External" Id="rId669"/><Relationship Type="http://schemas.openxmlformats.org/officeDocument/2006/relationships/hyperlink" Target="https://www.facebook.com/palmbeachparrotrescue" TargetMode="External" Id="rId670"/><Relationship Type="http://schemas.openxmlformats.org/officeDocument/2006/relationships/hyperlink" Target="https://www.facebook.com/DogwoodAnimalRescue" TargetMode="External" Id="rId671"/><Relationship Type="http://schemas.openxmlformats.org/officeDocument/2006/relationships/hyperlink" Target="https://www.facebook.com/secondchancerescueoffayettecounty" TargetMode="External" Id="rId672"/><Relationship Type="http://schemas.openxmlformats.org/officeDocument/2006/relationships/hyperlink" Target="https://www.facebook.com/profile.php?id=100091509333551" TargetMode="External" Id="rId673"/><Relationship Type="http://schemas.openxmlformats.org/officeDocument/2006/relationships/hyperlink" Target="https://www.facebook.com/rottsoffriends" TargetMode="External" Id="rId674"/><Relationship Type="http://schemas.openxmlformats.org/officeDocument/2006/relationships/hyperlink" Target="https://www.facebook.com/profile.php?id=61573454595534" TargetMode="External" Id="rId675"/><Relationship Type="http://schemas.openxmlformats.org/officeDocument/2006/relationships/hyperlink" Target="https://www.facebook.com/profile.php?id=61552321181593" TargetMode="External" Id="rId676"/><Relationship Type="http://schemas.openxmlformats.org/officeDocument/2006/relationships/hyperlink" Target="https://www.facebook.com/droneanimalrescue" TargetMode="External" Id="rId677"/><Relationship Type="http://schemas.openxmlformats.org/officeDocument/2006/relationships/hyperlink" Target="https://www.facebook.com/RescueDogsRockNyc" TargetMode="External" Id="rId678"/><Relationship Type="http://schemas.openxmlformats.org/officeDocument/2006/relationships/hyperlink" Target="https://www.facebook.com/PawSafeAR" TargetMode="External" Id="rId679"/><Relationship Type="http://schemas.openxmlformats.org/officeDocument/2006/relationships/hyperlink" Target="https://www.facebook.com/profile.php?id=100080288994585" TargetMode="External" Id="rId680"/><Relationship Type="http://schemas.openxmlformats.org/officeDocument/2006/relationships/hyperlink" Target="https://www.facebook.com/ItsAPittieRescue" TargetMode="External" Id="rId681"/><Relationship Type="http://schemas.openxmlformats.org/officeDocument/2006/relationships/hyperlink" Target="https://www.facebook.com/mostlymuttz" TargetMode="External" Id="rId682"/><Relationship Type="http://schemas.openxmlformats.org/officeDocument/2006/relationships/hyperlink" Target="https://www.facebook.com/SaveMonroeStraysRescue" TargetMode="External" Id="rId683"/><Relationship Type="http://schemas.openxmlformats.org/officeDocument/2006/relationships/hyperlink" Target="https://www.facebook.com/NoPawLeftBehindAR" TargetMode="External" Id="rId684"/><Relationship Type="http://schemas.openxmlformats.org/officeDocument/2006/relationships/hyperlink" Target="https://www.facebook.com/TOHAnimalShelter" TargetMode="External" Id="rId685"/><Relationship Type="http://schemas.openxmlformats.org/officeDocument/2006/relationships/hyperlink" Target="https://www.facebook.com/profile.php?id=61566479226739" TargetMode="External" Id="rId686"/><Relationship Type="http://schemas.openxmlformats.org/officeDocument/2006/relationships/hyperlink" Target="https://www.facebook.com/haseyasnewbeginning" TargetMode="External" Id="rId687"/><Relationship Type="http://schemas.openxmlformats.org/officeDocument/2006/relationships/hyperlink" Target="https://www.facebook.com/boomersbestbuddiesrescue" TargetMode="External" Id="rId688"/><Relationship Type="http://schemas.openxmlformats.org/officeDocument/2006/relationships/hyperlink" Target="https://www.facebook.com/DITRWNY" TargetMode="External" Id="rId689"/><Relationship Type="http://schemas.openxmlformats.org/officeDocument/2006/relationships/hyperlink" Target="https://www.facebook.com/RuffDayRescue" TargetMode="External" Id="rId690"/><Relationship Type="http://schemas.openxmlformats.org/officeDocument/2006/relationships/hyperlink" Target="https://www.facebook.com/SlaughterhouseSurvivors" TargetMode="External" Id="rId691"/><Relationship Type="http://schemas.openxmlformats.org/officeDocument/2006/relationships/hyperlink" Target="https://www.facebook.com/MARLshelter" TargetMode="External" Id="rId692"/><Relationship Type="http://schemas.openxmlformats.org/officeDocument/2006/relationships/hyperlink" Target="https://www.facebook.com/maysgalgorescue" TargetMode="External" Id="rId693"/><Relationship Type="http://schemas.openxmlformats.org/officeDocument/2006/relationships/hyperlink" Target="https://www.facebook.com/santuariodarna" TargetMode="External" Id="rId694"/><Relationship Type="http://schemas.openxmlformats.org/officeDocument/2006/relationships/hyperlink" Target="https://www.facebook.com/CRUrescue" TargetMode="External" Id="rId695"/><Relationship Type="http://schemas.openxmlformats.org/officeDocument/2006/relationships/hyperlink" Target="https://www.facebook.com/ArfAnageDogRescue" TargetMode="External" Id="rId696"/><Relationship Type="http://schemas.openxmlformats.org/officeDocument/2006/relationships/hyperlink" Target="https://www.facebook.com/AnimalRescueCorps" TargetMode="External" Id="rId697"/><Relationship Type="http://schemas.openxmlformats.org/officeDocument/2006/relationships/hyperlink" Target="https://www.facebook.com/kyhopefulpaws" TargetMode="External" Id="rId698"/><Relationship Type="http://schemas.openxmlformats.org/officeDocument/2006/relationships/hyperlink" Target="https://www.facebook.com/BadassAnimalRescue" TargetMode="External" Id="rId699"/><Relationship Type="http://schemas.openxmlformats.org/officeDocument/2006/relationships/hyperlink" Target="https://www.facebook.com/ArrowsHeartAnimalRescue" TargetMode="External" Id="rId700"/><Relationship Type="http://schemas.openxmlformats.org/officeDocument/2006/relationships/hyperlink" Target="https://www.facebook.com/profile.php?id=100084749073316" TargetMode="External" Id="rId701"/><Relationship Type="http://schemas.openxmlformats.org/officeDocument/2006/relationships/hyperlink" Target="https://www.facebook.com/profile.php?id=100088005750668" TargetMode="External" Id="rId702"/><Relationship Type="http://schemas.openxmlformats.org/officeDocument/2006/relationships/hyperlink" Target="https://www.facebook.com/alleganyshelter" TargetMode="External" Id="rId703"/><Relationship Type="http://schemas.openxmlformats.org/officeDocument/2006/relationships/hyperlink" Target="https://www.facebook.com/aadogrescue" TargetMode="External" Id="rId704"/><Relationship Type="http://schemas.openxmlformats.org/officeDocument/2006/relationships/hyperlink" Target="https://www.facebook.com/strongislandrescue" TargetMode="External" Id="rId705"/><Relationship Type="http://schemas.openxmlformats.org/officeDocument/2006/relationships/hyperlink" Target="https://www.facebook.com/levithehuskyrescue" TargetMode="External" Id="rId706"/><Relationship Type="http://schemas.openxmlformats.org/officeDocument/2006/relationships/hyperlink" Target="https://www.facebook.com/BTRofWesternWA" TargetMode="External" Id="rId707"/><Relationship Type="http://schemas.openxmlformats.org/officeDocument/2006/relationships/hyperlink" Target="https://www.facebook.com/RanchPawsRescue" TargetMode="External" Id="rId708"/><Relationship Type="http://schemas.openxmlformats.org/officeDocument/2006/relationships/hyperlink" Target="https://www.facebook.com/ABCRInc" TargetMode="External" Id="rId709"/><Relationship Type="http://schemas.openxmlformats.org/officeDocument/2006/relationships/hyperlink" Target="https://www.facebook.com/profile.php?id=100063628987348" TargetMode="External" Id="rId710"/><Relationship Type="http://schemas.openxmlformats.org/officeDocument/2006/relationships/hyperlink" Target="https://www.facebook.com/profile.php?id=61588218372860" TargetMode="External" Id="rId711"/><Relationship Type="http://schemas.openxmlformats.org/officeDocument/2006/relationships/hyperlink" Target="https://www.facebook.com/TrailsandTailsFergus" TargetMode="External" Id="rId712"/><Relationship Type="http://schemas.openxmlformats.org/officeDocument/2006/relationships/hyperlink" Target="https://www.facebook.com/thebulldognest" TargetMode="External" Id="rId713"/><Relationship Type="http://schemas.openxmlformats.org/officeDocument/2006/relationships/hyperlink" Target="https://www.facebook.com/PackLeaderDogs" TargetMode="External" Id="rId714"/><Relationship Type="http://schemas.openxmlformats.org/officeDocument/2006/relationships/hyperlink" Target="https://www.facebook.com/wontonthebulldog" TargetMode="External" Id="rId715"/><Relationship Type="http://schemas.openxmlformats.org/officeDocument/2006/relationships/hyperlink" Target="https://www.facebook.com/Ipetjaxon" TargetMode="External" Id="rId716"/><Relationship Type="http://schemas.openxmlformats.org/officeDocument/2006/relationships/hyperlink" Target="https://www.facebook.com/woofgangstpete" TargetMode="External" Id="rId717"/><Relationship Type="http://schemas.openxmlformats.org/officeDocument/2006/relationships/hyperlink" Target="https://www.facebook.com/Artero.PetCare" TargetMode="External" Id="rId718"/><Relationship Type="http://schemas.openxmlformats.org/officeDocument/2006/relationships/hyperlink" Target="https://www.facebook.com/BlackHawkPetCare" TargetMode="External" Id="rId719"/><Relationship Type="http://schemas.openxmlformats.org/officeDocument/2006/relationships/hyperlink" Target="https://www.facebook.com/McCannDogsAgility" TargetMode="External" Id="rId720"/><Relationship Type="http://schemas.openxmlformats.org/officeDocument/2006/relationships/hyperlink" Target="https://www.facebook.com/profile.php?id=100092585629125" TargetMode="External" Id="rId721"/><Relationship Type="http://schemas.openxmlformats.org/officeDocument/2006/relationships/hyperlink" Target="https://www.facebook.com/cammiesdoggrooming" TargetMode="External" Id="rId722"/><Relationship Type="http://schemas.openxmlformats.org/officeDocument/2006/relationships/hyperlink" Target="https://www.facebook.com/npcs.international" TargetMode="External" Id="rId723"/><Relationship Type="http://schemas.openxmlformats.org/officeDocument/2006/relationships/hyperlink" Target="https://www.facebook.com/Aneliya.Shankova.Petkova" TargetMode="External" Id="rId724"/><Relationship Type="http://schemas.openxmlformats.org/officeDocument/2006/relationships/hyperlink" Target="https://www.facebook.com/DoggieGandT" TargetMode="External" Id="rId725"/><Relationship Type="http://schemas.openxmlformats.org/officeDocument/2006/relationships/hyperlink" Target="https://www.facebook.com/assistancedogsofthewestSF" TargetMode="External" Id="rId726"/><Relationship Type="http://schemas.openxmlformats.org/officeDocument/2006/relationships/hyperlink" Target="https://www.facebook.com/profile.php?id=100087902356724" TargetMode="External" Id="rId727"/><Relationship Type="http://schemas.openxmlformats.org/officeDocument/2006/relationships/hyperlink" Target="https://www.facebook.com/thefoxandthehoundstreats" TargetMode="External" Id="rId728"/><Relationship Type="http://schemas.openxmlformats.org/officeDocument/2006/relationships/hyperlink" Target="https://www.facebook.com/puppysmilees" TargetMode="External" Id="rId729"/><Relationship Type="http://schemas.openxmlformats.org/officeDocument/2006/relationships/hyperlink" Target="https://www.facebook.com/Aussiedorofsouldog" TargetMode="External" Id="rId730"/><Relationship Type="http://schemas.openxmlformats.org/officeDocument/2006/relationships/hyperlink" Target="https://www.facebook.com/puppyscapes" TargetMode="External" Id="rId731"/><Relationship Type="http://schemas.openxmlformats.org/officeDocument/2006/relationships/hyperlink" Target="https://www.facebook.com/AzHowlinHounds" TargetMode="External" Id="rId732"/><Relationship Type="http://schemas.openxmlformats.org/officeDocument/2006/relationships/hyperlink" Target="https://www.facebook.com/cobberdogcofounder" TargetMode="External" Id="rId733"/><Relationship Type="http://schemas.openxmlformats.org/officeDocument/2006/relationships/hyperlink" Target="https://www.facebook.com/Dudswelriver.bouvier.bernois" TargetMode="External" Id="rId734"/><Relationship Type="http://schemas.openxmlformats.org/officeDocument/2006/relationships/hyperlink" Target="https://www.facebook.com/BarksatBracksFarm" TargetMode="External" Id="rId735"/><Relationship Type="http://schemas.openxmlformats.org/officeDocument/2006/relationships/hyperlink" Target="https://www.facebook.com/bostonterriereurope" TargetMode="External" Id="rId736"/><Relationship Type="http://schemas.openxmlformats.org/officeDocument/2006/relationships/hyperlink" Target="https://www.facebook.com/profile.php?id=100063891120116" TargetMode="External" Id="rId737"/><Relationship Type="http://schemas.openxmlformats.org/officeDocument/2006/relationships/hyperlink" Target="https://www.facebook.com/truckthedogofficial" TargetMode="External" Id="rId738"/><Relationship Type="http://schemas.openxmlformats.org/officeDocument/2006/relationships/hyperlink" Target="https://www.facebook.com/profile.php?id=100057308416310" TargetMode="External" Id="rId739"/><Relationship Type="http://schemas.openxmlformats.org/officeDocument/2006/relationships/hyperlink" Target="https://www.facebook.com/profile.php?id=100057304936264" TargetMode="External" Id="rId740"/><Relationship Type="http://schemas.openxmlformats.org/officeDocument/2006/relationships/hyperlink" Target="https://www.facebook.com/profile.php?id=61592851124074" TargetMode="External" Id="rId741"/><Relationship Type="http://schemas.openxmlformats.org/officeDocument/2006/relationships/hyperlink" Target="https://www.facebook.com/pugloversinc" TargetMode="External" Id="rId742"/><Relationship Type="http://schemas.openxmlformats.org/officeDocument/2006/relationships/hyperlink" Target="https://www.facebook.com/PetRelocation" TargetMode="External" Id="rId743"/><Relationship Type="http://schemas.openxmlformats.org/officeDocument/2006/relationships/hyperlink" Target="https://www.facebook.com/saradogpetshop" TargetMode="External" Id="rId744"/><Relationship Type="http://schemas.openxmlformats.org/officeDocument/2006/relationships/hyperlink" Target="https://www.facebook.com/lds1875" TargetMode="External" Id="rId745"/><Relationship Type="http://schemas.openxmlformats.org/officeDocument/2006/relationships/hyperlink" Target="https://www.facebook.com/profile.php?id=61580981100579" TargetMode="External" Id="rId746"/><Relationship Type="http://schemas.openxmlformats.org/officeDocument/2006/relationships/hyperlink" Target="https://www.facebook.com/dogfoto" TargetMode="External" Id="rId747"/><Relationship Type="http://schemas.openxmlformats.org/officeDocument/2006/relationships/hyperlink" Target="https://www.facebook.com/Cutepuppy316" TargetMode="External" Id="rId748"/><Relationship Type="http://schemas.openxmlformats.org/officeDocument/2006/relationships/hyperlink" Target="https://www.facebook.com/Prowildofficial" TargetMode="External" Id="rId749"/><Relationship Type="http://schemas.openxmlformats.org/officeDocument/2006/relationships/hyperlink" Target="https://www.facebook.com/pinkpigletpuppy" TargetMode="External" Id="rId750"/><Relationship Type="http://schemas.openxmlformats.org/officeDocument/2006/relationships/hyperlink" Target="https://www.facebook.com/caninecoresort" TargetMode="External" Id="rId751"/><Relationship Type="http://schemas.openxmlformats.org/officeDocument/2006/relationships/hyperlink" Target="https://www.facebook.com/profile.php?id=61586293392245" TargetMode="External" Id="rId752"/><Relationship Type="http://schemas.openxmlformats.org/officeDocument/2006/relationships/hyperlink" Target="https://www.facebook.com/profile.php?id=100059349500611" TargetMode="External" Id="rId753"/><Relationship Type="http://schemas.openxmlformats.org/officeDocument/2006/relationships/hyperlink" Target="https://www.facebook.com/TrackingObedienceProtection" TargetMode="External" Id="rId754"/><Relationship Type="http://schemas.openxmlformats.org/officeDocument/2006/relationships/hyperlink" Target="https://www.facebook.com/dgsswims" TargetMode="External" Id="rId755"/><Relationship Type="http://schemas.openxmlformats.org/officeDocument/2006/relationships/hyperlink" Target="https://www.facebook.com/XbonesDog" TargetMode="External" Id="rId756"/><Relationship Type="http://schemas.openxmlformats.org/officeDocument/2006/relationships/hyperlink" Target="https://www.facebook.com/dayhilltraining" TargetMode="External" Id="rId757"/><Relationship Type="http://schemas.openxmlformats.org/officeDocument/2006/relationships/hyperlink" Target="https://www.facebook.com/PawsPackAgility" TargetMode="External" Id="rId758"/><Relationship Type="http://schemas.openxmlformats.org/officeDocument/2006/relationships/hyperlink" Target="https://www.facebook.com/profile.php?id=61561304873395" TargetMode="External" Id="rId759"/><Relationship Type="http://schemas.openxmlformats.org/officeDocument/2006/relationships/hyperlink" Target="https://www.facebook.com/INBTI" TargetMode="External" Id="rId760"/><Relationship Type="http://schemas.openxmlformats.org/officeDocument/2006/relationships/hyperlink" Target="https://www.facebook.com/profile.php?id=61578534628660" TargetMode="External" Id="rId761"/><Relationship Type="http://schemas.openxmlformats.org/officeDocument/2006/relationships/hyperlink" Target="https://www.facebook.com/profile.php?id=100063645996594" TargetMode="External" Id="rId762"/><Relationship Type="http://schemas.openxmlformats.org/officeDocument/2006/relationships/hyperlink" Target="https://www.facebook.com/hannabeepuppyschool" TargetMode="External" Id="rId763"/><Relationship Type="http://schemas.openxmlformats.org/officeDocument/2006/relationships/hyperlink" Target="https://www.facebook.com/profile.php?id=61579053176745" TargetMode="External" Id="rId764"/><Relationship Type="http://schemas.openxmlformats.org/officeDocument/2006/relationships/hyperlink" Target="https://www.facebook.com/dogs4motion" TargetMode="External" Id="rId765"/><Relationship Type="http://schemas.openxmlformats.org/officeDocument/2006/relationships/hyperlink" Target="https://www.facebook.com/websteranimalshelter" TargetMode="External" Id="rId766"/><Relationship Type="http://schemas.openxmlformats.org/officeDocument/2006/relationships/hyperlink" Target="https://www.facebook.com/wagoninnrescue" TargetMode="External" Id="rId767"/><Relationship Type="http://schemas.openxmlformats.org/officeDocument/2006/relationships/hyperlink" Target="https://www.facebook.com/seviercoanimalshelter" TargetMode="External" Id="rId768"/><Relationship Type="http://schemas.openxmlformats.org/officeDocument/2006/relationships/hyperlink" Target="https://www.facebook.com/gimmeloveanimalshelter" TargetMode="External" Id="rId769"/><Relationship Type="http://schemas.openxmlformats.org/officeDocument/2006/relationships/hyperlink" Target="https://www.facebook.com/WingsofRescue" TargetMode="External" Id="rId770"/><Relationship Type="http://schemas.openxmlformats.org/officeDocument/2006/relationships/hyperlink" Target="https://www.facebook.com/thestaffordanimalshelter" TargetMode="External" Id="rId771"/><Relationship Type="http://schemas.openxmlformats.org/officeDocument/2006/relationships/hyperlink" Target="https://www.facebook.com/mazscaninerescue" TargetMode="External" Id="rId772"/><Relationship Type="http://schemas.openxmlformats.org/officeDocument/2006/relationships/hyperlink" Target="https://www.facebook.com/petfinderfoundation" TargetMode="External" Id="rId773"/><Relationship Type="http://schemas.openxmlformats.org/officeDocument/2006/relationships/hyperlink" Target="https://www.facebook.com/reigningcatanddogsrescue" TargetMode="External" Id="rId774"/><Relationship Type="http://schemas.openxmlformats.org/officeDocument/2006/relationships/hyperlink" Target="https://www.facebook.com/MandysRescueDogs" TargetMode="External" Id="rId775"/><Relationship Type="http://schemas.openxmlformats.org/officeDocument/2006/relationships/hyperlink" Target="https://www.facebook.com/Skydogsanctuary" TargetMode="External" Id="rId776"/><Relationship Type="http://schemas.openxmlformats.org/officeDocument/2006/relationships/hyperlink" Target="https://www.facebook.com/WoodrockAnimalRescue" TargetMode="External" Id="rId777"/><Relationship Type="http://schemas.openxmlformats.org/officeDocument/2006/relationships/hyperlink" Target="https://www.facebook.com/PeggyAdamsARL" TargetMode="External" Id="rId778"/><Relationship Type="http://schemas.openxmlformats.org/officeDocument/2006/relationships/hyperlink" Target="https://www.facebook.com/WigglyTailsDogRescue" TargetMode="External" Id="rId779"/><Relationship Type="http://schemas.openxmlformats.org/officeDocument/2006/relationships/hyperlink" Target="https://www.facebook.com/BubblesDogRescue" TargetMode="External" Id="rId780"/><Relationship Type="http://schemas.openxmlformats.org/officeDocument/2006/relationships/hyperlink" Target="https://www.facebook.com/arfms" TargetMode="External" Id="rId781"/><Relationship Type="http://schemas.openxmlformats.org/officeDocument/2006/relationships/hyperlink" Target="https://www.facebook.com/OrangeBeachSurfRescue" TargetMode="External" Id="rId782"/><Relationship Type="http://schemas.openxmlformats.org/officeDocument/2006/relationships/hyperlink" Target="https://www.facebook.com/ScituateAnimalShelter" TargetMode="External" Id="rId783"/><Relationship Type="http://schemas.openxmlformats.org/officeDocument/2006/relationships/hyperlink" Target="https://www.facebook.com/WildatHeartRescue" TargetMode="External" Id="rId784"/><Relationship Type="http://schemas.openxmlformats.org/officeDocument/2006/relationships/hyperlink" Target="https://www.facebook.com/profile.php?id=61566331880297" TargetMode="External" Id="rId785"/><Relationship Type="http://schemas.openxmlformats.org/officeDocument/2006/relationships/hyperlink" Target="https://www.facebook.com/headrockdogs" TargetMode="External" Id="rId786"/><Relationship Type="http://schemas.openxmlformats.org/officeDocument/2006/relationships/hyperlink" Target="https://www.facebook.com/sos.podencorescue.7" TargetMode="External" Id="rId787"/><Relationship Type="http://schemas.openxmlformats.org/officeDocument/2006/relationships/hyperlink" Target="https://www.facebook.com/profile.php?id=61591539430754" TargetMode="External" Id="rId788"/><Relationship Type="http://schemas.openxmlformats.org/officeDocument/2006/relationships/hyperlink" Target="https://www.facebook.com/LincolnParkAnimalShelter" TargetMode="External" Id="rId789"/><Relationship Type="http://schemas.openxmlformats.org/officeDocument/2006/relationships/hyperlink" Target="https://www.facebook.com/FAASAttleboroPets" TargetMode="External" Id="rId790"/><Relationship Type="http://schemas.openxmlformats.org/officeDocument/2006/relationships/hyperlink" Target="https://www.facebook.com/ARLIowa" TargetMode="External" Id="rId791"/><Relationship Type="http://schemas.openxmlformats.org/officeDocument/2006/relationships/hyperlink" Target="https://www.facebook.com/MilesToFreedomAnimalRescue" TargetMode="External" Id="rId792"/><Relationship Type="http://schemas.openxmlformats.org/officeDocument/2006/relationships/hyperlink" Target="https://www.facebook.com/karmasplacerescue" TargetMode="External" Id="rId793"/><Relationship Type="http://schemas.openxmlformats.org/officeDocument/2006/relationships/hyperlink" Target="https://www.facebook.com/poundpawsrescue" TargetMode="External" Id="rId794"/><Relationship Type="http://schemas.openxmlformats.org/officeDocument/2006/relationships/hyperlink" Target="https://www.facebook.com/packlyferescueinc" TargetMode="External" Id="rId795"/><Relationship Type="http://schemas.openxmlformats.org/officeDocument/2006/relationships/hyperlink" Target="https://www.facebook.com/ChristchurchBullBreedRescue" TargetMode="External" Id="rId796"/><Relationship Type="http://schemas.openxmlformats.org/officeDocument/2006/relationships/hyperlink" Target="https://www.facebook.com/profile.php?id=61551033241366" TargetMode="External" Id="rId797"/><Relationship Type="http://schemas.openxmlformats.org/officeDocument/2006/relationships/hyperlink" Target="https://www.facebook.com/profile.php?id=61574049467445" TargetMode="External" Id="rId798"/><Relationship Type="http://schemas.openxmlformats.org/officeDocument/2006/relationships/hyperlink" Target="https://www.facebook.com/profile.php?id=61593756683693" TargetMode="External" Id="rId799"/><Relationship Type="http://schemas.openxmlformats.org/officeDocument/2006/relationships/hyperlink" Target="https://www.facebook.com/fearlesskittyrescue" TargetMode="External" Id="rId800"/><Relationship Type="http://schemas.openxmlformats.org/officeDocument/2006/relationships/hyperlink" Target="https://www.facebook.com/almostthererescue" TargetMode="External" Id="rId801"/><Relationship Type="http://schemas.openxmlformats.org/officeDocument/2006/relationships/hyperlink" Target="https://www.facebook.com/hfhelpnokillrescue" TargetMode="External" Id="rId802"/><Relationship Type="http://schemas.openxmlformats.org/officeDocument/2006/relationships/hyperlink" Target="https://www.facebook.com/NortheastPyrRescue" TargetMode="External" Id="rId803"/><Relationship Type="http://schemas.openxmlformats.org/officeDocument/2006/relationships/hyperlink" Target="https://www.facebook.com/profile.php?id=61589605042469" TargetMode="External" Id="rId804"/><Relationship Type="http://schemas.openxmlformats.org/officeDocument/2006/relationships/hyperlink" Target="https://www.facebook.com/profile.php?id=100091499516427" TargetMode="External" Id="rId805"/><Relationship Type="http://schemas.openxmlformats.org/officeDocument/2006/relationships/hyperlink" Target="https://www.facebook.com/perfectpaws" TargetMode="External" Id="rId806"/><Relationship Type="http://schemas.openxmlformats.org/officeDocument/2006/relationships/hyperlink" Target="https://www.facebook.com/houstoncollie" TargetMode="External" Id="rId807"/><Relationship Type="http://schemas.openxmlformats.org/officeDocument/2006/relationships/hyperlink" Target="https://www.facebook.com/profile.php?id=100035390276450" TargetMode="External" Id="rId808"/><Relationship Type="http://schemas.openxmlformats.org/officeDocument/2006/relationships/hyperlink" Target="https://www.facebook.com/profile.php?id=61561051756533" TargetMode="External" Id="rId809"/><Relationship Type="http://schemas.openxmlformats.org/officeDocument/2006/relationships/hyperlink" Target="https://www.facebook.com/Irasbulls" TargetMode="External" Id="rId810"/><Relationship Type="http://schemas.openxmlformats.org/officeDocument/2006/relationships/hyperlink" Target="https://www.facebook.com/profile.php?id=100083141660335" TargetMode="External" Id="rId811"/><Relationship Type="http://schemas.openxmlformats.org/officeDocument/2006/relationships/hyperlink" Target="https://www.facebook.com/PetyPup" TargetMode="External" Id="rId812"/><Relationship Type="http://schemas.openxmlformats.org/officeDocument/2006/relationships/hyperlink" Target="https://www.facebook.com/oh.lovely.dog" TargetMode="External" Id="rId813"/><Relationship Type="http://schemas.openxmlformats.org/officeDocument/2006/relationships/hyperlink" Target="https://www.facebook.com/profile.php?id=61585501622247" TargetMode="External" Id="rId814"/><Relationship Type="http://schemas.openxmlformats.org/officeDocument/2006/relationships/hyperlink" Target="https://www.facebook.com/PeteKozaMetalArt" TargetMode="External" Id="rId815"/><Relationship Type="http://schemas.openxmlformats.org/officeDocument/2006/relationships/hyperlink" Target="https://www.facebook.com/thedogdaddyy" TargetMode="External" Id="rId816"/><Relationship Type="http://schemas.openxmlformats.org/officeDocument/2006/relationships/hyperlink" Target="https://www.facebook.com/profile.php?id=61585450823497" TargetMode="External" Id="rId817"/><Relationship Type="http://schemas.openxmlformats.org/officeDocument/2006/relationships/hyperlink" Target="https://www.facebook.com/PetstockAustralia" TargetMode="External" Id="rId818"/><Relationship Type="http://schemas.openxmlformats.org/officeDocument/2006/relationships/hyperlink" Target="https://www.facebook.com/thepetcollective" TargetMode="External" Id="rId819"/><Relationship Type="http://schemas.openxmlformats.org/officeDocument/2006/relationships/hyperlink" Target="https://www.facebook.com/mysoggiedoggie" TargetMode="External" Id="rId820"/><Relationship Type="http://schemas.openxmlformats.org/officeDocument/2006/relationships/hyperlink" Target="https://www.facebook.com/snowdogsvlogs" TargetMode="External" Id="rId821"/><Relationship Type="http://schemas.openxmlformats.org/officeDocument/2006/relationships/hyperlink" Target="https://www.facebook.com/upsdogs" TargetMode="External" Id="rId822"/><Relationship Type="http://schemas.openxmlformats.org/officeDocument/2006/relationships/hyperlink" Target="https://www.facebook.com/profile.php?id=61587652760888" TargetMode="External" Id="rId823"/><Relationship Type="http://schemas.openxmlformats.org/officeDocument/2006/relationships/hyperlink" Target="https://www.facebook.com/gbtitan" TargetMode="External" Id="rId824"/><Relationship Type="http://schemas.openxmlformats.org/officeDocument/2006/relationships/hyperlink" Target="https://www.facebook.com/peoplepets" TargetMode="External" Id="rId825"/><Relationship Type="http://schemas.openxmlformats.org/officeDocument/2006/relationships/hyperlink" Target="https://www.facebook.com/DogsAreFamily" TargetMode="External" Id="rId826"/><Relationship Type="http://schemas.openxmlformats.org/officeDocument/2006/relationships/hyperlink" Target="https://www.facebook.com/IRONSIDEBRITISHBULLDOG" TargetMode="External" Id="rId827"/><Relationship Type="http://schemas.openxmlformats.org/officeDocument/2006/relationships/hyperlink" Target="https://www.facebook.com/WAALrescue" TargetMode="External" Id="rId828"/><Relationship Type="http://schemas.openxmlformats.org/officeDocument/2006/relationships/hyperlink" Target="https://www.facebook.com/JLADjoydogs" TargetMode="External" Id="rId829"/><Relationship Type="http://schemas.openxmlformats.org/officeDocument/2006/relationships/hyperlink" Target="https://www.facebook.com/MaineLostDogRecovery" TargetMode="External" Id="rId830"/><Relationship Type="http://schemas.openxmlformats.org/officeDocument/2006/relationships/hyperlink" Target="https://www.facebook.com/foreverwildanimalrescue" TargetMode="External" Id="rId831"/><Relationship Type="http://schemas.openxmlformats.org/officeDocument/2006/relationships/hyperlink" Target="https://www.facebook.com/DogGurt" TargetMode="External" Id="rId832"/><Relationship Type="http://schemas.openxmlformats.org/officeDocument/2006/relationships/hyperlink" Target="https://www.facebook.com/profile.php?id=61587145799154" TargetMode="External" Id="rId833"/><Relationship Type="http://schemas.openxmlformats.org/officeDocument/2006/relationships/hyperlink" Target="https://www.facebook.com/petrafordtrainer" TargetMode="External" Id="rId834"/><Relationship Type="http://schemas.openxmlformats.org/officeDocument/2006/relationships/hyperlink" Target="https://www.facebook.com/profile.php?id=61554134321326" TargetMode="External" Id="rId835"/><Relationship Type="http://schemas.openxmlformats.org/officeDocument/2006/relationships/hyperlink" Target="https://www.facebook.com/profile.php?id=61575427798685" TargetMode="External" Id="rId836"/><Relationship Type="http://schemas.openxmlformats.org/officeDocument/2006/relationships/hyperlink" Target="https://www.facebook.com/tamalitosdogmx" TargetMode="External" Id="rId837"/><Relationship Type="http://schemas.openxmlformats.org/officeDocument/2006/relationships/hyperlink" Target="https://www.facebook.com/Anibal.viralpets" TargetMode="External" Id="rId838"/><Relationship Type="http://schemas.openxmlformats.org/officeDocument/2006/relationships/hyperlink" Target="https://www.facebook.com/thetrumpetsoftruth" TargetMode="External" Id="rId839"/><Relationship Type="http://schemas.openxmlformats.org/officeDocument/2006/relationships/hyperlink" Target="https://www.facebook.com/peter.johnson.840389" TargetMode="External" Id="rId840"/><Relationship Type="http://schemas.openxmlformats.org/officeDocument/2006/relationships/hyperlink" Target="https://www.facebook.com/profile.php?id=61584093722822" TargetMode="External" Id="rId841"/><Relationship Type="http://schemas.openxmlformats.org/officeDocument/2006/relationships/hyperlink" Target="https://www.facebook.com/Dr.PeteSulack" TargetMode="External" Id="rId842"/><Relationship Type="http://schemas.openxmlformats.org/officeDocument/2006/relationships/hyperlink" Target="https://www.facebook.com/profile.php?id=61579753079909" TargetMode="External" Id="rId843"/><Relationship Type="http://schemas.openxmlformats.org/officeDocument/2006/relationships/hyperlink" Target="https://www.facebook.com/Lostdogzzz" TargetMode="External" Id="rId844"/><Relationship Type="http://schemas.openxmlformats.org/officeDocument/2006/relationships/hyperlink" Target="https://www.facebook.com/profile.php?id=100070592586635" TargetMode="External" Id="rId845"/><Relationship Type="http://schemas.openxmlformats.org/officeDocument/2006/relationships/hyperlink" Target="https://www.facebook.com/PetSafeBrand" TargetMode="External" Id="rId846"/><Relationship Type="http://schemas.openxmlformats.org/officeDocument/2006/relationships/hyperlink" Target="https://www.facebook.com/TheNaturalDog" TargetMode="External" Id="rId847"/><Relationship Type="http://schemas.openxmlformats.org/officeDocument/2006/relationships/hyperlink" Target="https://www.facebook.com/PugHeadTilt" TargetMode="External" Id="rId848"/><Relationship Type="http://schemas.openxmlformats.org/officeDocument/2006/relationships/hyperlink" Target="https://www.facebook.com/profile.php?id=61576564600067" TargetMode="External" Id="rId849"/><Relationship Type="http://schemas.openxmlformats.org/officeDocument/2006/relationships/hyperlink" Target="https://www.facebook.com/rebeldogsdetroit" TargetMode="External" Id="rId850"/><Relationship Type="http://schemas.openxmlformats.org/officeDocument/2006/relationships/hyperlink" Target="https://www.facebook.com/Petalsbakehouse" TargetMode="External" Id="rId851"/><Relationship Type="http://schemas.openxmlformats.org/officeDocument/2006/relationships/hyperlink" Target="https://www.facebook.com/zachary.peter.92" TargetMode="External" Id="rId852"/><Relationship Type="http://schemas.openxmlformats.org/officeDocument/2006/relationships/hyperlink" Target="https://www.facebook.com/tetonbirddogs" TargetMode="External" Id="rId853"/><Relationship Type="http://schemas.openxmlformats.org/officeDocument/2006/relationships/hyperlink" Target="https://www.facebook.com/dogzibit" TargetMode="External" Id="rId854"/><Relationship Type="http://schemas.openxmlformats.org/officeDocument/2006/relationships/hyperlink" Target="https://www.facebook.com/MarathonPetroleumCorporation" TargetMode="External" Id="rId855"/><Relationship Type="http://schemas.openxmlformats.org/officeDocument/2006/relationships/hyperlink" Target="https://www.facebook.com/renspets" TargetMode="External" Id="rId856"/><Relationship Type="http://schemas.openxmlformats.org/officeDocument/2006/relationships/hyperlink" Target="https://www.facebook.com/petMD" TargetMode="External" Id="rId857"/><Relationship Type="http://schemas.openxmlformats.org/officeDocument/2006/relationships/hyperlink" Target="https://www.facebook.com/yummypets" TargetMode="External" Id="rId858"/><Relationship Type="http://schemas.openxmlformats.org/officeDocument/2006/relationships/hyperlink" Target="https://www.facebook.com/profile.php?id=61575526607567" TargetMode="External" Id="rId859"/><Relationship Type="http://schemas.openxmlformats.org/officeDocument/2006/relationships/hyperlink" Target="https://www.facebook.com/JackBradshawDogShows" TargetMode="External" Id="rId860"/><Relationship Type="http://schemas.openxmlformats.org/officeDocument/2006/relationships/hyperlink" Target="https://www.facebook.com/dogagingproject" TargetMode="External" Id="rId861"/><Relationship Type="http://schemas.openxmlformats.org/officeDocument/2006/relationships/hyperlink" Target="https://www.facebook.com/polkadogtreats" TargetMode="External" Id="rId862"/><Relationship Type="http://schemas.openxmlformats.org/officeDocument/2006/relationships/hyperlink" Target="https://www.facebook.com/thedogrescueproject" TargetMode="External" Id="rId863"/><Relationship Type="http://schemas.openxmlformats.org/officeDocument/2006/relationships/hyperlink" Target="https://www.facebook.com/profile.php?id=100064655654090" TargetMode="External" Id="rId864"/><Relationship Type="http://schemas.openxmlformats.org/officeDocument/2006/relationships/hyperlink" Target="https://www.facebook.com/karnikannarbor" TargetMode="External" Id="rId865"/><Relationship Type="http://schemas.openxmlformats.org/officeDocument/2006/relationships/hyperlink" Target="https://www.facebook.com/profile.php?id=100092289976284" TargetMode="External" Id="rId866"/><Relationship Type="http://schemas.openxmlformats.org/officeDocument/2006/relationships/hyperlink" Target="https://www.facebook.com/dogppl" TargetMode="External" Id="rId867"/><Relationship Type="http://schemas.openxmlformats.org/officeDocument/2006/relationships/hyperlink" Target="https://www.facebook.com/drpeterdobias" TargetMode="External" Id="rId868"/><Relationship Type="http://schemas.openxmlformats.org/officeDocument/2006/relationships/hyperlink" Target="https://www.facebook.com/DarkDynastyK9s" TargetMode="External" Id="rId869"/><Relationship Type="http://schemas.openxmlformats.org/officeDocument/2006/relationships/hyperlink" Target="https://www.facebook.com/SierraPetersenCCIM" TargetMode="External" Id="rId870"/><Relationship Type="http://schemas.openxmlformats.org/officeDocument/2006/relationships/hyperlink" Target="https://www.facebook.com/PetsLifelineSonoma" TargetMode="External" Id="rId871"/><Relationship Type="http://schemas.openxmlformats.org/officeDocument/2006/relationships/hyperlink" Target="https://www.facebook.com/profile.php?id=61594736826482" TargetMode="External" Id="rId872"/><Relationship Type="http://schemas.openxmlformats.org/officeDocument/2006/relationships/hyperlink" Target="https://www.facebook.com/profile.php?id=61572115613486" TargetMode="External" Id="rId873"/><Relationship Type="http://schemas.openxmlformats.org/officeDocument/2006/relationships/hyperlink" Target="https://www.facebook.com/C4PETPHOTOS" TargetMode="External" Id="rId874"/><Relationship Type="http://schemas.openxmlformats.org/officeDocument/2006/relationships/hyperlink" Target="https://www.facebook.com/mourastockdogs" TargetMode="External" Id="rId875"/><Relationship Type="http://schemas.openxmlformats.org/officeDocument/2006/relationships/hyperlink" Target="https://www.facebook.com/profile.php?id=100063748232797" TargetMode="External" Id="rId876"/><Relationship Type="http://schemas.openxmlformats.org/officeDocument/2006/relationships/hyperlink" Target="https://www.facebook.com/ORIJENPetFoods" TargetMode="External" Id="rId877"/><Relationship Type="http://schemas.openxmlformats.org/officeDocument/2006/relationships/hyperlink" Target="https://www.facebook.com/DogsPlayingForLife" TargetMode="External" Id="rId878"/><Relationship Type="http://schemas.openxmlformats.org/officeDocument/2006/relationships/hyperlink" Target="https://www.facebook.com/profile.php?id=61584169142887" TargetMode="External" Id="rId879"/><Relationship Type="http://schemas.openxmlformats.org/officeDocument/2006/relationships/hyperlink" Target="https://www.facebook.com/profile.php?id=61582489124797" TargetMode="External" Id="rId880"/><Relationship Type="http://schemas.openxmlformats.org/officeDocument/2006/relationships/hyperlink" Target="https://www.facebook.com/brightleafhotdogs" TargetMode="External" Id="rId881"/><Relationship Type="http://schemas.openxmlformats.org/officeDocument/2006/relationships/hyperlink" Target="https://www.facebook.com/dogtrainingwithlaura" TargetMode="External" Id="rId882"/><Relationship Type="http://schemas.openxmlformats.org/officeDocument/2006/relationships/hyperlink" Target="https://www.facebook.com/mydogmakesmehappy" TargetMode="External" Id="rId883"/><Relationship Type="http://schemas.openxmlformats.org/officeDocument/2006/relationships/hyperlink" Target="https://www.facebook.com/profile.php?id=61584790846418" TargetMode="External" Id="rId884"/><Relationship Type="http://schemas.openxmlformats.org/officeDocument/2006/relationships/hyperlink" Target="https://www.facebook.com/dogsStuffhandmade" TargetMode="External" Id="rId885"/><Relationship Type="http://schemas.openxmlformats.org/officeDocument/2006/relationships/hyperlink" Target="https://www.facebook.com/toupetetbarbichette" TargetMode="External" Id="rId886"/><Relationship Type="http://schemas.openxmlformats.org/officeDocument/2006/relationships/hyperlink" Target="https://www.facebook.com/LostPetsofOmahaArea" TargetMode="External" Id="rId887"/><Relationship Type="http://schemas.openxmlformats.org/officeDocument/2006/relationships/hyperlink" Target="https://www.facebook.com/ILoveDogs5" TargetMode="External" Id="rId888"/><Relationship Type="http://schemas.openxmlformats.org/officeDocument/2006/relationships/hyperlink" Target="https://www.facebook.com/caninecarecentral" TargetMode="External" Id="rId889"/><Relationship Type="http://schemas.openxmlformats.org/officeDocument/2006/relationships/hyperlink" Target="https://www.facebook.com/abcdogsnz" TargetMode="External" Id="rId890"/><Relationship Type="http://schemas.openxmlformats.org/officeDocument/2006/relationships/hyperlink" Target="https://www.facebook.com/KurandaDogBeds" TargetMode="External" Id="rId891"/><Relationship Type="http://schemas.openxmlformats.org/officeDocument/2006/relationships/hyperlink" Target="https://www.facebook.com/DogBoneHunter" TargetMode="External" Id="rId892"/><Relationship Type="http://schemas.openxmlformats.org/officeDocument/2006/relationships/hyperlink" Target="https://www.facebook.com/Artwoolcarpet" TargetMode="External" Id="rId893"/><Relationship Type="http://schemas.openxmlformats.org/officeDocument/2006/relationships/hyperlink" Target="https://www.facebook.com/iHeartDogscom" TargetMode="External" Id="rId894"/><Relationship Type="http://schemas.openxmlformats.org/officeDocument/2006/relationships/hyperlink" Target="https://www.facebook.com/DragonsPitKennel" TargetMode="External" Id="rId895"/><Relationship Type="http://schemas.openxmlformats.org/officeDocument/2006/relationships/hyperlink" Target="https://www.facebook.com/dogcopenhagen" TargetMode="External" Id="rId896"/><Relationship Type="http://schemas.openxmlformats.org/officeDocument/2006/relationships/hyperlink" Target="https://www.facebook.com/dogsandgoodvibes" TargetMode="External" Id="rId897"/><Relationship Type="http://schemas.openxmlformats.org/officeDocument/2006/relationships/hyperlink" Target="https://www.facebook.com/deafdogsrock" TargetMode="External" Id="rId898"/><Relationship Type="http://schemas.openxmlformats.org/officeDocument/2006/relationships/hyperlink" Target="https://www.facebook.com/appetizingtv" TargetMode="External" Id="rId899"/><Relationship Type="http://schemas.openxmlformats.org/officeDocument/2006/relationships/hyperlink" Target="https://www.facebook.com/Adoptapetcom" TargetMode="External" Id="rId900"/><Relationship Type="http://schemas.openxmlformats.org/officeDocument/2006/relationships/hyperlink" Target="https://www.facebook.com/gonetothesnowdogs" TargetMode="External" Id="rId901"/><Relationship Type="http://schemas.openxmlformats.org/officeDocument/2006/relationships/hyperlink" Target="https://www.facebook.com/Benidormdoghoming" TargetMode="External" Id="rId902"/><Relationship Type="http://schemas.openxmlformats.org/officeDocument/2006/relationships/hyperlink" Target="https://www.facebook.com/bigdogchains" TargetMode="External" Id="rId903"/><Relationship Type="http://schemas.openxmlformats.org/officeDocument/2006/relationships/hyperlink" Target="https://www.facebook.com/decor.snippets" TargetMode="External" Id="rId904"/><Relationship Type="http://schemas.openxmlformats.org/officeDocument/2006/relationships/hyperlink" Target="https://www.facebook.com/profile.php?id=61562087498493" TargetMode="External" Id="rId905"/><Relationship Type="http://schemas.openxmlformats.org/officeDocument/2006/relationships/hyperlink" Target="https://www.facebook.com/dogtv" TargetMode="External" Id="rId906"/><Relationship Type="http://schemas.openxmlformats.org/officeDocument/2006/relationships/hyperlink" Target="https://www.facebook.com/thefarmersdog" TargetMode="External" Id="rId907"/><Relationship Type="http://schemas.openxmlformats.org/officeDocument/2006/relationships/hyperlink" Target="https://www.facebook.com/eggnogthebulldog" TargetMode="External" Id="rId908"/><Relationship Type="http://schemas.openxmlformats.org/officeDocument/2006/relationships/hyperlink" Target="https://www.facebook.com/profile.php?id=100069769682353" TargetMode="External" Id="rId909"/><Relationship Type="http://schemas.openxmlformats.org/officeDocument/2006/relationships/hyperlink" Target="https://www.facebook.com/goldenchilidog" TargetMode="External" Id="rId910"/><Relationship Type="http://schemas.openxmlformats.org/officeDocument/2006/relationships/hyperlink" Target="https://www.facebook.com/wholedogjournal" TargetMode="External" Id="rId911"/><Relationship Type="http://schemas.openxmlformats.org/officeDocument/2006/relationships/hyperlink" Target="https://www.facebook.com/profile.php?id=61576623871566" TargetMode="External" Id="rId912"/><Relationship Type="http://schemas.openxmlformats.org/officeDocument/2006/relationships/hyperlink" Target="https://www.facebook.com/impactdogcrates" TargetMode="External" Id="rId913"/><Relationship Type="http://schemas.openxmlformats.org/officeDocument/2006/relationships/hyperlink" Target="https://www.facebook.com/JudyMorganDVM" TargetMode="External" Id="rId914"/><Relationship Type="http://schemas.openxmlformats.org/officeDocument/2006/relationships/hyperlink" Target="https://www.facebook.com/DogKindnessbyRockyKanaka" TargetMode="External" Id="rId915"/><Relationship Type="http://schemas.openxmlformats.org/officeDocument/2006/relationships/hyperlink" Target="https://www.facebook.com/bjsrawpetfood" TargetMode="External" Id="rId916"/><Relationship Type="http://schemas.openxmlformats.org/officeDocument/2006/relationships/hyperlink" Target="https://www.facebook.com/susangarrettdogagility" TargetMode="External" Id="rId917"/><Relationship Type="http://schemas.openxmlformats.org/officeDocument/2006/relationships/hyperlink" Target="https://www.facebook.com/SweetPetsOasis" TargetMode="External" Id="rId918"/><Relationship Type="http://schemas.openxmlformats.org/officeDocument/2006/relationships/hyperlink" Target="https://www.facebook.com/SayItOnceDogTraining" TargetMode="External" Id="rId919"/><Relationship Type="http://schemas.openxmlformats.org/officeDocument/2006/relationships/hyperlink" Target="https://www.facebook.com/interquestschoolcounselingdogs" TargetMode="External" Id="rId920"/><Relationship Type="http://schemas.openxmlformats.org/officeDocument/2006/relationships/hyperlink" Target="https://www.facebook.com/LostPetsAuburnCA" TargetMode="External" Id="rId921"/><Relationship Type="http://schemas.openxmlformats.org/officeDocument/2006/relationships/hyperlink" Target="https://www.facebook.com/dognamedstella" TargetMode="External" Id="rId922"/><Relationship Type="http://schemas.openxmlformats.org/officeDocument/2006/relationships/hyperlink" Target="https://www.facebook.com/AmericanStandardK9" TargetMode="External" Id="rId923"/><Relationship Type="http://schemas.openxmlformats.org/officeDocument/2006/relationships/hyperlink" Target="https://www.facebook.com/HillsPet" TargetMode="External" Id="rId924"/><Relationship Type="http://schemas.openxmlformats.org/officeDocument/2006/relationships/hyperlink" Target="https://www.facebook.com/profile.php?id=61553109467385" TargetMode="External" Id="rId925"/><Relationship Type="http://schemas.openxmlformats.org/officeDocument/2006/relationships/hyperlink" Target="https://www.facebook.com/forcefreegundog" TargetMode="External" Id="rId926"/><Relationship Type="http://schemas.openxmlformats.org/officeDocument/2006/relationships/hyperlink" Target="https://www.facebook.com/profile.php?id=61559904878872" TargetMode="External" Id="rId927"/><Relationship Type="http://schemas.openxmlformats.org/officeDocument/2006/relationships/hyperlink" Target="https://www.facebook.com/DoggieLawn" TargetMode="External" Id="rId928"/><Relationship Type="http://schemas.openxmlformats.org/officeDocument/2006/relationships/hyperlink" Target="https://www.facebook.com/profile.php?id=100070814741208" TargetMode="External" Id="rId929"/><Relationship Type="http://schemas.openxmlformats.org/officeDocument/2006/relationships/hyperlink" Target="https://www.facebook.com/WinterValleyLabs" TargetMode="External" Id="rId930"/><Relationship Type="http://schemas.openxmlformats.org/officeDocument/2006/relationships/hyperlink" Target="https://www.facebook.com/SoundviewFarm" TargetMode="External" Id="rId931"/><Relationship Type="http://schemas.openxmlformats.org/officeDocument/2006/relationships/hyperlink" Target="https://www.facebook.com/ammcmalinois" TargetMode="External" Id="rId932"/><Relationship Type="http://schemas.openxmlformats.org/officeDocument/2006/relationships/hyperlink" Target="https://www.facebook.com/desertsoulfrenchies" TargetMode="External" Id="rId933"/><Relationship Type="http://schemas.openxmlformats.org/officeDocument/2006/relationships/hyperlink" Target="https://www.facebook.com/goldengoosegoldens" TargetMode="External" Id="rId934"/><Relationship Type="http://schemas.openxmlformats.org/officeDocument/2006/relationships/hyperlink" Target="https://www.facebook.com/profile.php?id=100068236126997" TargetMode="External" Id="rId935"/><Relationship Type="http://schemas.openxmlformats.org/officeDocument/2006/relationships/hyperlink" Target="https://www.facebook.com/MonsterBullyKennels" TargetMode="External" Id="rId936"/><Relationship Type="http://schemas.openxmlformats.org/officeDocument/2006/relationships/hyperlink" Target="https://www.facebook.com/highlanbullykennels" TargetMode="External" Id="rId937"/><Relationship Type="http://schemas.openxmlformats.org/officeDocument/2006/relationships/hyperlink" Target="https://www.facebook.com/Fresh.Fab.Frenchies" TargetMode="External" Id="rId938"/><Relationship Type="http://schemas.openxmlformats.org/officeDocument/2006/relationships/hyperlink" Target="https://www.facebook.com/profile.php?id=100064260875946" TargetMode="External" Id="rId939"/><Relationship Type="http://schemas.openxmlformats.org/officeDocument/2006/relationships/hyperlink" Target="https://www.facebook.com/profile.php?id=100064160342225" TargetMode="External" Id="rId940"/><Relationship Type="http://schemas.openxmlformats.org/officeDocument/2006/relationships/hyperlink" Target="https://www.facebook.com/TexasBullyKennel" TargetMode="External" Id="rId941"/><Relationship Type="http://schemas.openxmlformats.org/officeDocument/2006/relationships/hyperlink" Target="https://www.facebook.com/profile.php?id=100071801079937" TargetMode="External" Id="rId942"/><Relationship Type="http://schemas.openxmlformats.org/officeDocument/2006/relationships/hyperlink" Target="https://www.facebook.com/Washingtonrottie" TargetMode="External" Id="rId943"/><Relationship Type="http://schemas.openxmlformats.org/officeDocument/2006/relationships/hyperlink" Target="https://www.facebook.com/TrottyRottiesKennel" TargetMode="External" Id="rId944"/><Relationship Type="http://schemas.openxmlformats.org/officeDocument/2006/relationships/hyperlink" Target="https://www.facebook.com/profile.php?id=100063223150996" TargetMode="External" Id="rId945"/><Relationship Type="http://schemas.openxmlformats.org/officeDocument/2006/relationships/hyperlink" Target="https://www.facebook.com/KBBKRottweilers" TargetMode="External" Id="rId946"/><Relationship Type="http://schemas.openxmlformats.org/officeDocument/2006/relationships/hyperlink" Target="https://www.facebook.com/labrador.puppylove" TargetMode="External" Id="rId947"/><Relationship Type="http://schemas.openxmlformats.org/officeDocument/2006/relationships/hyperlink" Target="https://www.facebook.com/canaanfarmcorgis" TargetMode="External" Id="rId948"/><Relationship Type="http://schemas.openxmlformats.org/officeDocument/2006/relationships/hyperlink" Target="https://www.facebook.com/profile.php?id=100063604515163" TargetMode="External" Id="rId949"/><Relationship Type="http://schemas.openxmlformats.org/officeDocument/2006/relationships/hyperlink" Target="https://www.facebook.com/profile.php?id=100063749330440" TargetMode="External" Id="rId950"/><Relationship Type="http://schemas.openxmlformats.org/officeDocument/2006/relationships/hyperlink" Target="https://www.facebook.com/profile.php?id=100078783352336" TargetMode="External" Id="rId951"/><Relationship Type="http://schemas.openxmlformats.org/officeDocument/2006/relationships/hyperlink" Target="https://www.facebook.com/bigthunderlabradors" TargetMode="External" Id="rId952"/><Relationship Type="http://schemas.openxmlformats.org/officeDocument/2006/relationships/hyperlink" Target="https://www.facebook.com/profile.php?id=100048369957251" TargetMode="External" Id="rId953"/><Relationship Type="http://schemas.openxmlformats.org/officeDocument/2006/relationships/hyperlink" Target="https://www.facebook.com/ckccwsgpuppies" TargetMode="External" Id="rId954"/><Relationship Type="http://schemas.openxmlformats.org/officeDocument/2006/relationships/hyperlink" Target="https://www.facebook.com/kalikennelsrottweiler" TargetMode="External" Id="rId955"/><Relationship Type="http://schemas.openxmlformats.org/officeDocument/2006/relationships/hyperlink" Target="https://www.facebook.com/labradorssarracenia" TargetMode="External" Id="rId956"/><Relationship Type="http://schemas.openxmlformats.org/officeDocument/2006/relationships/hyperlink" Target="https://www.facebook.com/grrkennel" TargetMode="External" Id="rId957"/><Relationship Type="http://schemas.openxmlformats.org/officeDocument/2006/relationships/hyperlink" Target="https://www.facebook.com/nvousfrenchies" TargetMode="External" Id="rId958"/><Relationship Type="http://schemas.openxmlformats.org/officeDocument/2006/relationships/hyperlink" Target="https://www.facebook.com/brutalbullykennel" TargetMode="External" Id="rId959"/><Relationship Type="http://schemas.openxmlformats.org/officeDocument/2006/relationships/hyperlink" Target="https://www.facebook.com/PuppyPower93" TargetMode="External" Id="rId960"/><Relationship Type="http://schemas.openxmlformats.org/officeDocument/2006/relationships/hyperlink" Target="https://www.facebook.com/chocobluefrenchbulldogkennel" TargetMode="External" Id="rId961"/><Relationship Type="http://schemas.openxmlformats.org/officeDocument/2006/relationships/hyperlink" Target="https://www.facebook.com/bernesedogs" TargetMode="External" Id="rId962"/><Relationship Type="http://schemas.openxmlformats.org/officeDocument/2006/relationships/hyperlink" Target="https://www.facebook.com/odtnorway" TargetMode="External" Id="rId963"/><Relationship Type="http://schemas.openxmlformats.org/officeDocument/2006/relationships/hyperlink" Target="https://www.facebook.com/profile.php?id=61568196196514" TargetMode="External" Id="rId964"/><Relationship Type="http://schemas.openxmlformats.org/officeDocument/2006/relationships/hyperlink" Target="https://www.facebook.com/PetDoorProducts" TargetMode="External" Id="rId965"/><Relationship Type="http://schemas.openxmlformats.org/officeDocument/2006/relationships/hyperlink" Target="https://www.facebook.com/RamboThePuppy" TargetMode="External" Id="rId966"/><Relationship Type="http://schemas.openxmlformats.org/officeDocument/2006/relationships/hyperlink" Target="https://www.facebook.com/officialsuperdogs" TargetMode="External" Id="rId967"/><Relationship Type="http://schemas.openxmlformats.org/officeDocument/2006/relationships/hyperlink" Target="https://www.facebook.com/WindyCityPetStoreWY" TargetMode="External" Id="rId968"/><Relationship Type="http://schemas.openxmlformats.org/officeDocument/2006/relationships/hyperlink" Target="https://www.facebook.com/profile.php?id=61584148455242" TargetMode="External" Id="rId969"/><Relationship Type="http://schemas.openxmlformats.org/officeDocument/2006/relationships/hyperlink" Target="https://www.facebook.com/profile.php?id=100066960834968" TargetMode="External" Id="rId970"/><Relationship Type="http://schemas.openxmlformats.org/officeDocument/2006/relationships/hyperlink" Target="https://www.facebook.com/www.petshop.lv" TargetMode="External" Id="rId971"/><Relationship Type="http://schemas.openxmlformats.org/officeDocument/2006/relationships/hyperlink" Target="https://www.facebook.com/azpet.com.vn" TargetMode="External" Id="rId972"/><Relationship Type="http://schemas.openxmlformats.org/officeDocument/2006/relationships/hyperlink" Target="https://www.facebook.com/harbourcitydoggear" TargetMode="External" Id="rId973"/><Relationship Type="http://schemas.openxmlformats.org/officeDocument/2006/relationships/hyperlink" Target="https://www.facebook.com/officialgooddog" TargetMode="External" Id="rId974"/><Relationship Type="http://schemas.openxmlformats.org/officeDocument/2006/relationships/hyperlink" Target="https://www.facebook.com/dazydogofficial" TargetMode="External" Id="rId975"/><Relationship Type="http://schemas.openxmlformats.org/officeDocument/2006/relationships/hyperlink" Target="https://www.facebook.com/Petfinder" TargetMode="External" Id="rId976"/><Relationship Type="http://schemas.openxmlformats.org/officeDocument/2006/relationships/hyperlink" Target="https://www.facebook.com/profile.php?id=61563074888181" TargetMode="External" Id="rId977"/><Relationship Type="http://schemas.openxmlformats.org/officeDocument/2006/relationships/hyperlink" Target="https://www.facebook.com/punsookpetshop" TargetMode="External" Id="rId978"/><Relationship Type="http://schemas.openxmlformats.org/officeDocument/2006/relationships/hyperlink" Target="https://www.facebook.com/RawDogSupplies" TargetMode="External" Id="rId979"/><Relationship Type="http://schemas.openxmlformats.org/officeDocument/2006/relationships/hyperlink" Target="https://www.facebook.com/Blue9PetProducts" TargetMode="External" Id="rId980"/><Relationship Type="http://schemas.openxmlformats.org/officeDocument/2006/relationships/hyperlink" Target="https://www.facebook.com/profile.php?id=100057065005714" TargetMode="External" Id="rId981"/><Relationship Type="http://schemas.openxmlformats.org/officeDocument/2006/relationships/hyperlink" Target="https://www.facebook.com/hugmestrongly" TargetMode="External" Id="rId982"/><Relationship Type="http://schemas.openxmlformats.org/officeDocument/2006/relationships/hyperlink" Target="https://www.facebook.com/P3KENNEL" TargetMode="External" Id="rId983"/><Relationship Type="http://schemas.openxmlformats.org/officeDocument/2006/relationships/hyperlink" Target="https://www.facebook.com/profile.php?id=61585666710452" TargetMode="External" Id="rId984"/><Relationship Type="http://schemas.openxmlformats.org/officeDocument/2006/relationships/hyperlink" Target="https://www.facebook.com/profile.php?id=100082986444510" TargetMode="External" Id="rId985"/><Relationship Type="http://schemas.openxmlformats.org/officeDocument/2006/relationships/hyperlink" Target="https://www.facebook.com/carterbrittanykennels" TargetMode="External" Id="rId986"/><Relationship Type="http://schemas.openxmlformats.org/officeDocument/2006/relationships/hyperlink" Target="https://www.facebook.com/profile.php?id=100070045295791" TargetMode="External" Id="rId987"/><Relationship Type="http://schemas.openxmlformats.org/officeDocument/2006/relationships/hyperlink" Target="https://www.facebook.com/RenaultKennels" TargetMode="External" Id="rId988"/><Relationship Type="http://schemas.openxmlformats.org/officeDocument/2006/relationships/hyperlink" Target="https://www.facebook.com/profile.php?id=61554432277187" TargetMode="External" Id="rId989"/><Relationship Type="http://schemas.openxmlformats.org/officeDocument/2006/relationships/hyperlink" Target="https://www.facebook.com/ZaporozhiyeDepartmentOfUkrainianKennelUnion" TargetMode="External" Id="rId990"/><Relationship Type="http://schemas.openxmlformats.org/officeDocument/2006/relationships/hyperlink" Target="https://www.facebook.com/winnercivikennel" TargetMode="External" Id="rId991"/><Relationship Type="http://schemas.openxmlformats.org/officeDocument/2006/relationships/hyperlink" Target="https://www.facebook.com/profile.php?id=100078405896616" TargetMode="External" Id="rId992"/><Relationship Type="http://schemas.openxmlformats.org/officeDocument/2006/relationships/hyperlink" Target="https://www.facebook.com/GisborneBoardingKennelsCattery" TargetMode="External" Id="rId993"/><Relationship Type="http://schemas.openxmlformats.org/officeDocument/2006/relationships/hyperlink" Target="https://www.facebook.com/vomgolf" TargetMode="External" Id="rId994"/><Relationship Type="http://schemas.openxmlformats.org/officeDocument/2006/relationships/hyperlink" Target="https://www.facebook.com/profile.php?id=100068666796102" TargetMode="External" Id="rId995"/><Relationship Type="http://schemas.openxmlformats.org/officeDocument/2006/relationships/hyperlink" Target="https://www.facebook.com/rhavakafrenchbulldogs" TargetMode="External" Id="rId996"/><Relationship Type="http://schemas.openxmlformats.org/officeDocument/2006/relationships/hyperlink" Target="https://www.facebook.com/slobberybulldog" TargetMode="External" Id="rId997"/><Relationship Type="http://schemas.openxmlformats.org/officeDocument/2006/relationships/hyperlink" Target="https://www.facebook.com/bulldog.francez.1" TargetMode="External" Id="rId998"/><Relationship Type="http://schemas.openxmlformats.org/officeDocument/2006/relationships/hyperlink" Target="https://www.facebook.com/MoonBulldogs.official" TargetMode="External" Id="rId999"/><Relationship Type="http://schemas.openxmlformats.org/officeDocument/2006/relationships/hyperlink" Target="https://www.facebook.com/weerasak.khajonpet" TargetMode="External" Id="rId1000"/><Relationship Type="http://schemas.openxmlformats.org/officeDocument/2006/relationships/hyperlink" Target="https://www.facebook.com/profile.php?id=61552223755161" TargetMode="External" Id="rId1001"/><Relationship Type="http://schemas.openxmlformats.org/officeDocument/2006/relationships/hyperlink" Target="https://www.facebook.com/mimiscarpetcare" TargetMode="External" Id="rId1002"/><Relationship Type="http://schemas.openxmlformats.org/officeDocument/2006/relationships/hyperlink" Target="https://www.facebook.com/MeadowRidgePetLodge" TargetMode="External" Id="rId1003"/><Relationship Type="http://schemas.openxmlformats.org/officeDocument/2006/relationships/hyperlink" Target="https://www.facebook.com/Holzerlandprotectiondogs" TargetMode="External" Id="rId1004"/><Relationship Type="http://schemas.openxmlformats.org/officeDocument/2006/relationships/hyperlink" Target="https://www.facebook.com/profile.php?id=61551380265426" TargetMode="External" Id="rId1005"/><Relationship Type="http://schemas.openxmlformats.org/officeDocument/2006/relationships/hyperlink" Target="https://www.facebook.com/profile.php?id=100023398376290" TargetMode="External" Id="rId1006"/><Relationship Type="http://schemas.openxmlformats.org/officeDocument/2006/relationships/hyperlink" Target="https://www.facebook.com/profile.php?id=61576241803197" TargetMode="External" Id="rId1007"/><Relationship Type="http://schemas.openxmlformats.org/officeDocument/2006/relationships/hyperlink" Target="https://www.facebook.com/profile.php?id=61584031725551" TargetMode="External" Id="rId1008"/><Relationship Type="http://schemas.openxmlformats.org/officeDocument/2006/relationships/hyperlink" Target="https://www.facebook.com/thestreetdogcoalition" TargetMode="External" Id="rId1009"/><Relationship Type="http://schemas.openxmlformats.org/officeDocument/2006/relationships/hyperlink" Target="https://www.facebook.com/MuensterPetFoods" TargetMode="External" Id="rId1010"/><Relationship Type="http://schemas.openxmlformats.org/officeDocument/2006/relationships/hyperlink" Target="https://www.facebook.com/petitekeep" TargetMode="External" Id="rId1011"/><Relationship Type="http://schemas.openxmlformats.org/officeDocument/2006/relationships/hyperlink" Target="https://www.facebook.com/petra.genco" TargetMode="External" Id="rId1012"/><Relationship Type="http://schemas.openxmlformats.org/officeDocument/2006/relationships/hyperlink" Target="https://www.facebook.com/SaintFrancisservicedogs" TargetMode="External" Id="rId1013"/><Relationship Type="http://schemas.openxmlformats.org/officeDocument/2006/relationships/hyperlink" Target="https://www.facebook.com/profile.php?id=61579134000257" TargetMode="External" Id="rId1014"/><Relationship Type="http://schemas.openxmlformats.org/officeDocument/2006/relationships/hyperlink" Target="https://www.facebook.com/thedogsdish" TargetMode="External" Id="rId1015"/><Relationship Type="http://schemas.openxmlformats.org/officeDocument/2006/relationships/hyperlink" Target="https://www.facebook.com/skadiunleashed" TargetMode="External" Id="rId1016"/><Relationship Type="http://schemas.openxmlformats.org/officeDocument/2006/relationships/hyperlink" Target="https://www.facebook.com/profile.php?id=100050458129149" TargetMode="External" Id="rId1017"/><Relationship Type="http://schemas.openxmlformats.org/officeDocument/2006/relationships/hyperlink" Target="https://www.facebook.com/southenddogtrainingandwalking" TargetMode="External" Id="rId1018"/><Relationship Type="http://schemas.openxmlformats.org/officeDocument/2006/relationships/hyperlink" Target="https://www.facebook.com/Springlandpets" TargetMode="External" Id="rId1019"/><Relationship Type="http://schemas.openxmlformats.org/officeDocument/2006/relationships/hyperlink" Target="https://www.facebook.com/jaxanimals" TargetMode="External" Id="rId1020"/><Relationship Type="http://schemas.openxmlformats.org/officeDocument/2006/relationships/hyperlink" Target="https://www.facebook.com/herboozytails" TargetMode="External" Id="rId1021"/><Relationship Type="http://schemas.openxmlformats.org/officeDocument/2006/relationships/hyperlink" Target="https://www.facebook.com/profile.php?id=61582025930093" TargetMode="External" Id="rId1022"/><Relationship Type="http://schemas.openxmlformats.org/officeDocument/2006/relationships/hyperlink" Target="https://www.facebook.com/kamalfernandezdogtraining" TargetMode="External" Id="rId1023"/><Relationship Type="http://schemas.openxmlformats.org/officeDocument/2006/relationships/hyperlink" Target="https://www.facebook.com/fielddoglife1" TargetMode="External" Id="rId1024"/><Relationship Type="http://schemas.openxmlformats.org/officeDocument/2006/relationships/hyperlink" Target="https://www.facebook.com/Oxydogcin.de" TargetMode="External" Id="rId1025"/><Relationship Type="http://schemas.openxmlformats.org/officeDocument/2006/relationships/hyperlink" Target="https://www.facebook.com/Kermit.the.Dogge" TargetMode="External" Id="rId1026"/><Relationship Type="http://schemas.openxmlformats.org/officeDocument/2006/relationships/hyperlink" Target="https://www.facebook.com/dogtopiaofprairieville" TargetMode="External" Id="rId1027"/><Relationship Type="http://schemas.openxmlformats.org/officeDocument/2006/relationships/hyperlink" Target="https://www.facebook.com/profile.php?id=100084038048400" TargetMode="External" Id="rId1028"/><Relationship Type="http://schemas.openxmlformats.org/officeDocument/2006/relationships/hyperlink" Target="https://www.facebook.com/profile.php?id=100083583427622" TargetMode="External" Id="rId1029"/><Relationship Type="http://schemas.openxmlformats.org/officeDocument/2006/relationships/hyperlink" Target="https://www.facebook.com/HumaneWorldforAnimals" TargetMode="External" Id="rId1030"/><Relationship Type="http://schemas.openxmlformats.org/officeDocument/2006/relationships/hyperlink" Target="https://www.facebook.com/profile.php?id=61579264826760" TargetMode="External" Id="rId1031"/><Relationship Type="http://schemas.openxmlformats.org/officeDocument/2006/relationships/hyperlink" Target="https://www.facebook.com/Purepetfood" TargetMode="External" Id="rId1032"/><Relationship Type="http://schemas.openxmlformats.org/officeDocument/2006/relationships/hyperlink" Target="https://www.facebook.com/jozodogs" TargetMode="External" Id="rId1033"/><Relationship Type="http://schemas.openxmlformats.org/officeDocument/2006/relationships/hyperlink" Target="https://www.facebook.com/profile.php?id=100073988264665" TargetMode="External" Id="rId1034"/><Relationship Type="http://schemas.openxmlformats.org/officeDocument/2006/relationships/hyperlink" Target="https://www.facebook.com/HillsPetUkraine" TargetMode="External" Id="rId1035"/><Relationship Type="http://schemas.openxmlformats.org/officeDocument/2006/relationships/hyperlink" Target="https://www.facebook.com/ferapets" TargetMode="External" Id="rId1036"/><Relationship Type="http://schemas.openxmlformats.org/officeDocument/2006/relationships/hyperlink" Target="https://www.facebook.com/CarterPetHospital" TargetMode="External" Id="rId1037"/><Relationship Type="http://schemas.openxmlformats.org/officeDocument/2006/relationships/hyperlink" Target="https://www.facebook.com/profile.php?id=61558508670346" TargetMode="External" Id="rId1038"/><Relationship Type="http://schemas.openxmlformats.org/officeDocument/2006/relationships/hyperlink" Target="https://www.facebook.com/profile.php?id=61583797254230" TargetMode="External" Id="rId1039"/><Relationship Type="http://schemas.openxmlformats.org/officeDocument/2006/relationships/hyperlink" Target="https://www.facebook.com/DogHelpKharkivUA" TargetMode="External" Id="rId1040"/><Relationship Type="http://schemas.openxmlformats.org/officeDocument/2006/relationships/hyperlink" Target="https://www.facebook.com/Stevescarpetcare" TargetMode="External" Id="rId1041"/><Relationship Type="http://schemas.openxmlformats.org/officeDocument/2006/relationships/hyperlink" Target="https://www.facebook.com/LostPetsFortWayneIN" TargetMode="External" Id="rId1042"/><Relationship Type="http://schemas.openxmlformats.org/officeDocument/2006/relationships/hyperlink" Target="https://www.facebook.com/profile.php?id=100064779186960" TargetMode="External" Id="rId1043"/><Relationship Type="http://schemas.openxmlformats.org/officeDocument/2006/relationships/hyperlink" Target="https://www.facebook.com/profile.php?id=100085934199512" TargetMode="External" Id="rId1044"/><Relationship Type="http://schemas.openxmlformats.org/officeDocument/2006/relationships/hyperlink" Target="https://www.facebook.com/OldFriendsSeniorDogSanctuary" TargetMode="External" Id="rId1045"/><Relationship Type="http://schemas.openxmlformats.org/officeDocument/2006/relationships/hyperlink" Target="https://www.facebook.com/profile.php?id=61590268533998" TargetMode="External" Id="rId1046"/><Relationship Type="http://schemas.openxmlformats.org/officeDocument/2006/relationships/hyperlink" Target="https://www.facebook.com/profile.php?id=100063011630357" TargetMode="External" Id="rId1047"/><Relationship Type="http://schemas.openxmlformats.org/officeDocument/2006/relationships/hyperlink" Target="https://www.facebook.com/RestoringLoveMarriage" TargetMode="External" Id="rId1048"/><Relationship Type="http://schemas.openxmlformats.org/officeDocument/2006/relationships/hyperlink" Target="https://www.facebook.com/PurplePupGo" TargetMode="External" Id="rId1049"/><Relationship Type="http://schemas.openxmlformats.org/officeDocument/2006/relationships/hyperlink" Target="https://www.facebook.com/raggiedogretreat" TargetMode="External" Id="rId1050"/><Relationship Type="http://schemas.openxmlformats.org/officeDocument/2006/relationships/hyperlink" Target="https://www.facebook.com/doggoramps" TargetMode="External" Id="rId1051"/><Relationship Type="http://schemas.openxmlformats.org/officeDocument/2006/relationships/hyperlink" Target="https://www.facebook.com/kuoserdogapparel" TargetMode="External" Id="rId1052"/><Relationship Type="http://schemas.openxmlformats.org/officeDocument/2006/relationships/hyperlink" Target="https://www.facebook.com/Rabbitgoopets" TargetMode="External" Id="rId1053"/><Relationship Type="http://schemas.openxmlformats.org/officeDocument/2006/relationships/hyperlink" Target="https://www.facebook.com/chopperthebikerdog" TargetMode="External" Id="rId1054"/><Relationship Type="http://schemas.openxmlformats.org/officeDocument/2006/relationships/hyperlink" Target="https://www.facebook.com/BougieDogwear" TargetMode="External" Id="rId1055"/><Relationship Type="http://schemas.openxmlformats.org/officeDocument/2006/relationships/hyperlink" Target="https://www.facebook.com/buzzpetsfood" TargetMode="External" Id="rId1056"/><Relationship Type="http://schemas.openxmlformats.org/officeDocument/2006/relationships/hyperlink" Target="https://www.facebook.com/profile.php?id=61561873925540" TargetMode="External" Id="rId1057"/><Relationship Type="http://schemas.openxmlformats.org/officeDocument/2006/relationships/hyperlink" Target="https://www.facebook.com/NoviPetExpo" TargetMode="External" Id="rId1058"/><Relationship Type="http://schemas.openxmlformats.org/officeDocument/2006/relationships/hyperlink" Target="https://www.facebook.com/peter.stoiber.944" TargetMode="External" Id="rId1059"/><Relationship Type="http://schemas.openxmlformats.org/officeDocument/2006/relationships/hyperlink" Target="https://www.facebook.com/thepuggysmalls" TargetMode="External" Id="rId1060"/><Relationship Type="http://schemas.openxmlformats.org/officeDocument/2006/relationships/hyperlink" Target="https://www.facebook.com/NitradogCarnivalCup" TargetMode="External" Id="rId1061"/><Relationship Type="http://schemas.openxmlformats.org/officeDocument/2006/relationships/hyperlink" Target="https://www.facebook.com/dogsfestival" TargetMode="External" Id="rId1062"/><Relationship Type="http://schemas.openxmlformats.org/officeDocument/2006/relationships/hyperlink" Target="https://www.facebook.com/profile.php?id=61569880622789" TargetMode="External" Id="rId1063"/><Relationship Type="http://schemas.openxmlformats.org/officeDocument/2006/relationships/hyperlink" Target="https://www.facebook.com/travis.gammage" TargetMode="External" Id="rId1064"/><Relationship Type="http://schemas.openxmlformats.org/officeDocument/2006/relationships/hyperlink" Target="https://www.facebook.com/SEVAGoldenRescue" TargetMode="External" Id="rId1065"/><Relationship Type="http://schemas.openxmlformats.org/officeDocument/2006/relationships/hyperlink" Target="https://www.facebook.com/moppetbrandnameth" TargetMode="External" Id="rId1066"/><Relationship Type="http://schemas.openxmlformats.org/officeDocument/2006/relationships/hyperlink" Target="https://www.facebook.com/anjospetsderua" TargetMode="External" Id="rId1067"/><Relationship Type="http://schemas.openxmlformats.org/officeDocument/2006/relationships/hyperlink" Target="https://www.facebook.com/betterdogproduct" TargetMode="External" Id="rId1068"/><Relationship Type="http://schemas.openxmlformats.org/officeDocument/2006/relationships/hyperlink" Target="https://www.facebook.com/ReedleyHomelessPets" TargetMode="External" Id="rId1069"/><Relationship Type="http://schemas.openxmlformats.org/officeDocument/2006/relationships/hyperlink" Target="https://www.facebook.com/profile.php?id=61571887103835" TargetMode="External" Id="rId1070"/><Relationship Type="http://schemas.openxmlformats.org/officeDocument/2006/relationships/hyperlink" Target="https://www.facebook.com/magnusthetherapydog" TargetMode="External" Id="rId1071"/><Relationship Type="http://schemas.openxmlformats.org/officeDocument/2006/relationships/hyperlink" Target="https://www.facebook.com/SvenskaKennelklubben" TargetMode="External" Id="rId1072"/><Relationship Type="http://schemas.openxmlformats.org/officeDocument/2006/relationships/hyperlink" Target="https://www.facebook.com/prehistoricpets" TargetMode="External" Id="rId1073"/><Relationship Type="http://schemas.openxmlformats.org/officeDocument/2006/relationships/hyperlink" Target="https://www.facebook.com/myfamilypethospital" TargetMode="External" Id="rId1074"/><Relationship Type="http://schemas.openxmlformats.org/officeDocument/2006/relationships/hyperlink" Target="https://www.facebook.com/pettorina.pet" TargetMode="External" Id="rId1075"/><Relationship Type="http://schemas.openxmlformats.org/officeDocument/2006/relationships/hyperlink" Target="https://www.facebook.com/Bloopina" TargetMode="External" Id="rId1076"/><Relationship Type="http://schemas.openxmlformats.org/officeDocument/2006/relationships/hyperlink" Target="https://www.facebook.com/therapydogsnationwide" TargetMode="External" Id="rId1077"/><Relationship Type="http://schemas.openxmlformats.org/officeDocument/2006/relationships/hyperlink" Target="https://www.facebook.com/DogtopiaSouthAnnArbor" TargetMode="External" Id="rId1078"/><Relationship Type="http://schemas.openxmlformats.org/officeDocument/2006/relationships/hyperlink" Target="https://www.facebook.com/beaumont.anastasiia" TargetMode="External" Id="rId1079"/><Relationship Type="http://schemas.openxmlformats.org/officeDocument/2006/relationships/hyperlink" Target="https://www.facebook.com/DogMomDK" TargetMode="External" Id="rId1080"/><Relationship Type="http://schemas.openxmlformats.org/officeDocument/2006/relationships/hyperlink" Target="https://www.facebook.com/dogsbestcoach" TargetMode="External" Id="rId1081"/><Relationship Type="http://schemas.openxmlformats.org/officeDocument/2006/relationships/hyperlink" Target="https://www.facebook.com/Alokathepeacedog" TargetMode="External" Id="rId1082"/><Relationship Type="http://schemas.openxmlformats.org/officeDocument/2006/relationships/hyperlink" Target="https://www.facebook.com/PetHead" TargetMode="External" Id="rId1083"/><Relationship Type="http://schemas.openxmlformats.org/officeDocument/2006/relationships/hyperlink" Target="https://www.facebook.com/anglebarbstockdogs" TargetMode="External" Id="rId1084"/><Relationship Type="http://schemas.openxmlformats.org/officeDocument/2006/relationships/hyperlink" Target="https://www.facebook.com/whatsupdogdevon" TargetMode="External" Id="rId1085"/><Relationship Type="http://schemas.openxmlformats.org/officeDocument/2006/relationships/hyperlink" Target="https://www.facebook.com/dogshowmentor" TargetMode="External" Id="rId1086"/><Relationship Type="http://schemas.openxmlformats.org/officeDocument/2006/relationships/hyperlink" Target="https://www.facebook.com/protectiondogworldwide" TargetMode="External" Id="rId1087"/><Relationship Type="http://schemas.openxmlformats.org/officeDocument/2006/relationships/hyperlink" Target="https://www.facebook.com/profile.php?id=61574139339900" TargetMode="External" Id="rId1088"/><Relationship Type="http://schemas.openxmlformats.org/officeDocument/2006/relationships/hyperlink" Target="https://www.facebook.com/BluePathServiceDogs" TargetMode="External" Id="rId1089"/><Relationship Type="http://schemas.openxmlformats.org/officeDocument/2006/relationships/hyperlink" Target="https://www.facebook.com/jamiedogtrainer" TargetMode="External" Id="rId1090"/><Relationship Type="http://schemas.openxmlformats.org/officeDocument/2006/relationships/hyperlink" Target="https://www.facebook.com/absolutedogs" TargetMode="External" Id="rId1091"/><Relationship Type="http://schemas.openxmlformats.org/officeDocument/2006/relationships/hyperlink" Target="https://www.facebook.com/InukshukPro" TargetMode="External" Id="rId1092"/><Relationship Type="http://schemas.openxmlformats.org/officeDocument/2006/relationships/hyperlink" Target="https://www.facebook.com/canineadventuresmk" TargetMode="External" Id="rId1093"/><Relationship Type="http://schemas.openxmlformats.org/officeDocument/2006/relationships/hyperlink" Target="https://www.facebook.com/bijoupetspa" TargetMode="External" Id="rId1094"/><Relationship Type="http://schemas.openxmlformats.org/officeDocument/2006/relationships/hyperlink" Target="https://www.facebook.com/profile.php?id=100064403421149" TargetMode="External" Id="rId1095"/><Relationship Type="http://schemas.openxmlformats.org/officeDocument/2006/relationships/hyperlink" Target="https://www.facebook.com/hopeforabandoneddogs" TargetMode="External" Id="rId1096"/><Relationship Type="http://schemas.openxmlformats.org/officeDocument/2006/relationships/hyperlink" Target="https://www.facebook.com/Pet.Alert.Wallonie" TargetMode="External" Id="rId1097"/><Relationship Type="http://schemas.openxmlformats.org/officeDocument/2006/relationships/hyperlink" Target="https://www.facebook.com/DogsRevelation" TargetMode="External" Id="rId1098"/><Relationship Type="http://schemas.openxmlformats.org/officeDocument/2006/relationships/hyperlink" Target="https://www.facebook.com/profile.php?id=61593747899127" TargetMode="External" Id="rId1099"/><Relationship Type="http://schemas.openxmlformats.org/officeDocument/2006/relationships/hyperlink" Target="https://www.facebook.com/LuxCanisPetTransport" TargetMode="External" Id="rId1100"/><Relationship Type="http://schemas.openxmlformats.org/officeDocument/2006/relationships/hyperlink" Target="https://www.facebook.com/Ranjodhsingh1234" TargetMode="External" Id="rId1101"/><Relationship Type="http://schemas.openxmlformats.org/officeDocument/2006/relationships/hyperlink" Target="https://www.facebook.com/profile.php?id=61561725712325" TargetMode="External" Id="rId1102"/><Relationship Type="http://schemas.openxmlformats.org/officeDocument/2006/relationships/hyperlink" Target="https://www.facebook.com/washdogparis" TargetMode="External" Id="rId1103"/><Relationship Type="http://schemas.openxmlformats.org/officeDocument/2006/relationships/hyperlink" Target="https://www.facebook.com/DogtainersPetTransport" TargetMode="External" Id="rId1104"/><Relationship Type="http://schemas.openxmlformats.org/officeDocument/2006/relationships/hyperlink" Target="https://www.facebook.com/lykapetfood" TargetMode="External" Id="rId1105"/><Relationship Type="http://schemas.openxmlformats.org/officeDocument/2006/relationships/hyperlink" Target="https://www.facebook.com/profile.php?id=61583951337941" TargetMode="External" Id="rId1106"/><Relationship Type="http://schemas.openxmlformats.org/officeDocument/2006/relationships/hyperlink" Target="https://www.facebook.com/farmerpetes" TargetMode="External" Id="rId1107"/><Relationship Type="http://schemas.openxmlformats.org/officeDocument/2006/relationships/hyperlink" Target="https://www.facebook.com/mydogisa" TargetMode="External" Id="rId1108"/><Relationship Type="http://schemas.openxmlformats.org/officeDocument/2006/relationships/hyperlink" Target="https://www.facebook.com/journeydogtrainingnz" TargetMode="External" Id="rId1109"/><Relationship Type="http://schemas.openxmlformats.org/officeDocument/2006/relationships/hyperlink" Target="https://www.facebook.com/longdogsquad" TargetMode="External" Id="rId1110"/><Relationship Type="http://schemas.openxmlformats.org/officeDocument/2006/relationships/hyperlink" Target="https://www.facebook.com/waggingdogtreats" TargetMode="External" Id="rId1111"/><Relationship Type="http://schemas.openxmlformats.org/officeDocument/2006/relationships/hyperlink" Target="https://www.facebook.com/doggytopiaaus" TargetMode="External" Id="rId1112"/><Relationship Type="http://schemas.openxmlformats.org/officeDocument/2006/relationships/hyperlink" Target="https://www.facebook.com/epicdogtrainingadventures" TargetMode="External" Id="rId1113"/><Relationship Type="http://schemas.openxmlformats.org/officeDocument/2006/relationships/hyperlink" Target="https://www.facebook.com/BigDogFellas" TargetMode="External" Id="rId1114"/><Relationship Type="http://schemas.openxmlformats.org/officeDocument/2006/relationships/hyperlink" Target="https://www.facebook.com/profile.php?id=100095416836090" TargetMode="External" Id="rId1115"/><Relationship Type="http://schemas.openxmlformats.org/officeDocument/2006/relationships/hyperlink" Target="https://www.facebook.com/MedicalDetectionDogs" TargetMode="External" Id="rId1116"/><Relationship Type="http://schemas.openxmlformats.org/officeDocument/2006/relationships/hyperlink" Target="https://www.facebook.com/profile.php?id=61576330030667" TargetMode="External" Id="rId1117"/><Relationship Type="http://schemas.openxmlformats.org/officeDocument/2006/relationships/hyperlink" Target="https://www.facebook.com/plkm22" TargetMode="External" Id="rId1118"/><Relationship Type="http://schemas.openxmlformats.org/officeDocument/2006/relationships/hyperlink" Target="https://www.facebook.com/RalunKennels" TargetMode="External" Id="rId1119"/><Relationship Type="http://schemas.openxmlformats.org/officeDocument/2006/relationships/hyperlink" Target="https://www.facebook.com/dogdeliver" TargetMode="External" Id="rId1120"/><Relationship Type="http://schemas.openxmlformats.org/officeDocument/2006/relationships/hyperlink" Target="https://www.facebook.com/olk9atx" TargetMode="External" Id="rId1121"/><Relationship Type="http://schemas.openxmlformats.org/officeDocument/2006/relationships/hyperlink" Target="https://www.facebook.com/profile.php?id=61584340632929" TargetMode="External" Id="rId1122"/><Relationship Type="http://schemas.openxmlformats.org/officeDocument/2006/relationships/hyperlink" Target="https://www.facebook.com/profile.php?id=61588028086032" TargetMode="External" Id="rId1123"/><Relationship Type="http://schemas.openxmlformats.org/officeDocument/2006/relationships/hyperlink" Target="https://www.facebook.com/dogonastringshowleads" TargetMode="External" Id="rId1124"/><Relationship Type="http://schemas.openxmlformats.org/officeDocument/2006/relationships/hyperlink" Target="https://www.facebook.com/profile.php?id=100068832098020" TargetMode="External" Id="rId1125"/><Relationship Type="http://schemas.openxmlformats.org/officeDocument/2006/relationships/hyperlink" Target="https://www.facebook.com/nauticaldogwilliamsburg" TargetMode="External" Id="rId1126"/><Relationship Type="http://schemas.openxmlformats.org/officeDocument/2006/relationships/hyperlink" Target="https://www.facebook.com/ilovemydogfans" TargetMode="External" Id="rId1127"/><Relationship Type="http://schemas.openxmlformats.org/officeDocument/2006/relationships/hyperlink" Target="https://www.facebook.com/CATZandDOGZofTheNorthState" TargetMode="External" Id="rId1128"/><Relationship Type="http://schemas.openxmlformats.org/officeDocument/2006/relationships/hyperlink" Target="https://www.facebook.com/MyPetCarnivoreUS" TargetMode="External" Id="rId1129"/><Relationship Type="http://schemas.openxmlformats.org/officeDocument/2006/relationships/hyperlink" Target="https://www.facebook.com/lilaccitybullies2.0" TargetMode="External" Id="rId1130"/><Relationship Type="http://schemas.openxmlformats.org/officeDocument/2006/relationships/hyperlink" Target="https://www.facebook.com/profile.php?id=61584786695822" TargetMode="External" Id="rId1131"/><Relationship Type="http://schemas.openxmlformats.org/officeDocument/2006/relationships/hyperlink" Target="https://www.facebook.com/OneMindDogs" TargetMode="External" Id="rId1132"/><Relationship Type="http://schemas.openxmlformats.org/officeDocument/2006/relationships/hyperlink" Target="https://www.facebook.com/DogShowSuits" TargetMode="External" Id="rId1133"/><Relationship Type="http://schemas.openxmlformats.org/officeDocument/2006/relationships/hyperlink" Target="https://www.facebook.com/dogsoutsidethering" TargetMode="External" Id="rId1134"/><Relationship Type="http://schemas.openxmlformats.org/officeDocument/2006/relationships/hyperlink" Target="https://www.facebook.com/bigalphadogsph" TargetMode="External" Id="rId1135"/><Relationship Type="http://schemas.openxmlformats.org/officeDocument/2006/relationships/hyperlink" Target="https://www.facebook.com/ANANKENNEL" TargetMode="External" Id="rId1136"/><Relationship Type="http://schemas.openxmlformats.org/officeDocument/2006/relationships/hyperlink" Target="https://www.facebook.com/resilientdogrescue" TargetMode="External" Id="rId1137"/><Relationship Type="http://schemas.openxmlformats.org/officeDocument/2006/relationships/hyperlink" Target="https://www.facebook.com/profile.php?id=61578033296217" TargetMode="External" Id="rId1138"/><Relationship Type="http://schemas.openxmlformats.org/officeDocument/2006/relationships/hyperlink" Target="https://www.facebook.com/allianceoftherapydogs" TargetMode="External" Id="rId1139"/><Relationship Type="http://schemas.openxmlformats.org/officeDocument/2006/relationships/hyperlink" Target="https://www.facebook.com/AllaBorisovnaPugacheva" TargetMode="External" Id="rId1140"/><Relationship Type="http://schemas.openxmlformats.org/officeDocument/2006/relationships/hyperlink" Target="https://www.facebook.com/petercronethemindarchitect" TargetMode="External" Id="rId1141"/><Relationship Type="http://schemas.openxmlformats.org/officeDocument/2006/relationships/hyperlink" Target="https://www.facebook.com/profile.php?id=100083445006029" TargetMode="External" Id="rId1142"/><Relationship Type="http://schemas.openxmlformats.org/officeDocument/2006/relationships/hyperlink" Target="https://www.facebook.com/nitradog.sk" TargetMode="External" Id="rId1143"/><Relationship Type="http://schemas.openxmlformats.org/officeDocument/2006/relationships/hyperlink" Target="https://www.facebook.com/BondiRescueTV" TargetMode="External" Id="rId1144"/><Relationship Type="http://schemas.openxmlformats.org/officeDocument/2006/relationships/hyperlink" Target="https://www.facebook.com/rileysrescue" TargetMode="External" Id="rId1145"/><Relationship Type="http://schemas.openxmlformats.org/officeDocument/2006/relationships/hyperlink" Target="https://www.facebook.com/rockymountaindog" TargetMode="External" Id="rId1146"/><Relationship Type="http://schemas.openxmlformats.org/officeDocument/2006/relationships/hyperlink" Target="https://www.facebook.com/drjordanpeterson" TargetMode="External" Id="rId1147"/><Relationship Type="http://schemas.openxmlformats.org/officeDocument/2006/relationships/hyperlink" Target="https://www.facebook.com/WagsNWishes" TargetMode="External" Id="rId1148"/><Relationship Type="http://schemas.openxmlformats.org/officeDocument/2006/relationships/hyperlink" Target="https://www.facebook.com/westmemphisanimalshelter" TargetMode="External" Id="rId1149"/><Relationship Type="http://schemas.openxmlformats.org/officeDocument/2006/relationships/hyperlink" Target="https://www.facebook.com/HerdingDogRescueofCentralOregon" TargetMode="External" Id="rId1150"/><Relationship Type="http://schemas.openxmlformats.org/officeDocument/2006/relationships/hyperlink" Target="https://www.facebook.com/zivadogrescue" TargetMode="External" Id="rId1151"/><Relationship Type="http://schemas.openxmlformats.org/officeDocument/2006/relationships/hyperlink" Target="https://www.facebook.com/mr.and.mrs.beerescue" TargetMode="External" Id="rId1152"/><Relationship Type="http://schemas.openxmlformats.org/officeDocument/2006/relationships/hyperlink" Target="https://www.facebook.com/takemypaw.rescue" TargetMode="External" Id="rId1153"/><Relationship Type="http://schemas.openxmlformats.org/officeDocument/2006/relationships/hyperlink" Target="https://www.facebook.com/K9rougerescue" TargetMode="External" Id="rId1154"/><Relationship Type="http://schemas.openxmlformats.org/officeDocument/2006/relationships/hyperlink" Target="https://www.facebook.com/RodneyAnimalRescue" TargetMode="External" Id="rId1155"/><Relationship Type="http://schemas.openxmlformats.org/officeDocument/2006/relationships/hyperlink" Target="https://www.facebook.com/profile.php?id=100079752657061" TargetMode="External" Id="rId1156"/><Relationship Type="http://schemas.openxmlformats.org/officeDocument/2006/relationships/hyperlink" Target="https://www.facebook.com/profile.php?id=100064871280897" TargetMode="External" Id="rId1157"/><Relationship Type="http://schemas.openxmlformats.org/officeDocument/2006/relationships/hyperlink" Target="https://www.facebook.com/DustyPawsDogRescue" TargetMode="External" Id="rId1158"/><Relationship Type="http://schemas.openxmlformats.org/officeDocument/2006/relationships/hyperlink" Target="https://www.facebook.com/profile.php?id=100087468042328" TargetMode="External" Id="rId1159"/><Relationship Type="http://schemas.openxmlformats.org/officeDocument/2006/relationships/hyperlink" Target="https://www.facebook.com/MedfieldAnimalShelter" TargetMode="External" Id="rId1160"/><Relationship Type="http://schemas.openxmlformats.org/officeDocument/2006/relationships/hyperlink" Target="https://www.facebook.com/TheArkOregon" TargetMode="External" Id="rId1161"/><Relationship Type="http://schemas.openxmlformats.org/officeDocument/2006/relationships/hyperlink" Target="https://www.facebook.com/profile.php?id=61591909553862" TargetMode="External" Id="rId1162"/><Relationship Type="http://schemas.openxmlformats.org/officeDocument/2006/relationships/hyperlink" Target="https://www.facebook.com/secondchancesforblinddogs" TargetMode="External" Id="rId1163"/><Relationship Type="http://schemas.openxmlformats.org/officeDocument/2006/relationships/hyperlink" Target="https://www.facebook.com/ChristianCoAnimalShelter" TargetMode="External" Id="rId1164"/><Relationship Type="http://schemas.openxmlformats.org/officeDocument/2006/relationships/hyperlink" Target="https://www.facebook.com/StrayandOrphanedAnimalRescue" TargetMode="External" Id="rId1165"/><Relationship Type="http://schemas.openxmlformats.org/officeDocument/2006/relationships/hyperlink" Target="https://www.facebook.com/WhitleyCountyHumaneSociety" TargetMode="External" Id="rId1166"/><Relationship Type="http://schemas.openxmlformats.org/officeDocument/2006/relationships/hyperlink" Target="https://www.facebook.com/dbxadoption" TargetMode="External" Id="rId1167"/><Relationship Type="http://schemas.openxmlformats.org/officeDocument/2006/relationships/hyperlink" Target="https://www.facebook.com/PNKAR17" TargetMode="External" Id="rId1168"/><Relationship Type="http://schemas.openxmlformats.org/officeDocument/2006/relationships/hyperlink" Target="https://www.facebook.com/profile.php?id=61573970760969" TargetMode="External" Id="rId1169"/><Relationship Type="http://schemas.openxmlformats.org/officeDocument/2006/relationships/hyperlink" Target="https://www.facebook.com/communityeffortanimalrescue" TargetMode="External" Id="rId1170"/><Relationship Type="http://schemas.openxmlformats.org/officeDocument/2006/relationships/hyperlink" Target="https://www.facebook.com/Pawsitivelysaved" TargetMode="External" Id="rId1171"/><Relationship Type="http://schemas.openxmlformats.org/officeDocument/2006/relationships/hyperlink" Target="https://www.facebook.com/paradiseparrotrescue" TargetMode="External" Id="rId1172"/><Relationship Type="http://schemas.openxmlformats.org/officeDocument/2006/relationships/hyperlink" Target="https://www.facebook.com/brighterdaysdogrescue" TargetMode="External" Id="rId1173"/><Relationship Type="http://schemas.openxmlformats.org/officeDocument/2006/relationships/hyperlink" Target="https://www.facebook.com/SeminoleCountyParrotRescue" TargetMode="External" Id="rId1174"/><Relationship Type="http://schemas.openxmlformats.org/officeDocument/2006/relationships/hyperlink" Target="https://www.facebook.com/BecauseWeCareRescue" TargetMode="External" Id="rId1175"/><Relationship Type="http://schemas.openxmlformats.org/officeDocument/2006/relationships/hyperlink" Target="https://www.facebook.com/profile.php?id=100064469751377" TargetMode="External" Id="rId1176"/><Relationship Type="http://schemas.openxmlformats.org/officeDocument/2006/relationships/hyperlink" Target="https://www.facebook.com/PandaPawsRescue501c3" TargetMode="External" Id="rId1177"/><Relationship Type="http://schemas.openxmlformats.org/officeDocument/2006/relationships/hyperlink" Target="https://www.facebook.com/northfloridaanimalrescue" TargetMode="External" Id="rId1178"/><Relationship Type="http://schemas.openxmlformats.org/officeDocument/2006/relationships/hyperlink" Target="https://www.facebook.com/amudoggies" TargetMode="External" Id="rId1179"/><Relationship Type="http://schemas.openxmlformats.org/officeDocument/2006/relationships/hyperlink" Target="https://www.facebook.com/HappyHeartsAnimalRescue" TargetMode="External" Id="rId1180"/><Relationship Type="http://schemas.openxmlformats.org/officeDocument/2006/relationships/hyperlink" Target="https://www.facebook.com/Califidpets" TargetMode="External" Id="rId1181"/><Relationship Type="http://schemas.openxmlformats.org/officeDocument/2006/relationships/hyperlink" Target="https://www.facebook.com/turkeycreekk9" TargetMode="External" Id="rId1182"/><Relationship Type="http://schemas.openxmlformats.org/officeDocument/2006/relationships/hyperlink" Target="https://www.facebook.com/SLKcreation" TargetMode="External" Id="rId1183"/><Relationship Type="http://schemas.openxmlformats.org/officeDocument/2006/relationships/hyperlink" Target="https://www.facebook.com/riverbottomdogtraining" TargetMode="External" Id="rId1184"/><Relationship Type="http://schemas.openxmlformats.org/officeDocument/2006/relationships/hyperlink" Target="https://www.facebook.com/SolwayDogTraingClub" TargetMode="External" Id="rId1185"/><Relationship Type="http://schemas.openxmlformats.org/officeDocument/2006/relationships/hyperlink" Target="https://www.facebook.com/profile.php?id=61586972462287" TargetMode="External" Id="rId1186"/><Relationship Type="http://schemas.openxmlformats.org/officeDocument/2006/relationships/hyperlink" Target="https://www.facebook.com/dogdaysagility" TargetMode="External" Id="rId1187"/><Relationship Type="http://schemas.openxmlformats.org/officeDocument/2006/relationships/hyperlink" Target="https://www.facebook.com/jackandjilldogtraining" TargetMode="External" Id="rId1188"/><Relationship Type="http://schemas.openxmlformats.org/officeDocument/2006/relationships/hyperlink" Target="https://www.facebook.com/dogmantics" TargetMode="External" Id="rId1189"/><Relationship Type="http://schemas.openxmlformats.org/officeDocument/2006/relationships/hyperlink" Target="https://www.facebook.com/katiesKaninesni" TargetMode="External" Id="rId1190"/><Relationship Type="http://schemas.openxmlformats.org/officeDocument/2006/relationships/hyperlink" Target="https://www.facebook.com/MotifGrooming" TargetMode="External" Id="rId1191"/><Relationship Type="http://schemas.openxmlformats.org/officeDocument/2006/relationships/hyperlink" Target="https://www.facebook.com/K9FALKENBERG" TargetMode="External" Id="rId1192"/><Relationship Type="http://schemas.openxmlformats.org/officeDocument/2006/relationships/hyperlink" Target="https://www.facebook.com/profile.php?id=100088191168494" TargetMode="External" Id="rId1193"/><Relationship Type="http://schemas.openxmlformats.org/officeDocument/2006/relationships/hyperlink" Target="https://www.facebook.com/americank9country" TargetMode="External" Id="rId1194"/><Relationship Type="http://schemas.openxmlformats.org/officeDocument/2006/relationships/hyperlink" Target="https://www.facebook.com/profile.php?id=61557603206008" TargetMode="External" Id="rId1195"/><Relationship Type="http://schemas.openxmlformats.org/officeDocument/2006/relationships/hyperlink" Target="https://www.facebook.com/dtctampa" TargetMode="External" Id="rId1196"/><Relationship Type="http://schemas.openxmlformats.org/officeDocument/2006/relationships/hyperlink" Target="https://www.facebook.com/leaderofthepacklv" TargetMode="External" Id="rId1197"/><Relationship Type="http://schemas.openxmlformats.org/officeDocument/2006/relationships/hyperlink" Target="https://www.facebook.com/annaherzogdogsports" TargetMode="External" Id="rId1198"/><Relationship Type="http://schemas.openxmlformats.org/officeDocument/2006/relationships/hyperlink" Target="https://www.facebook.com/LilcrackaPetSupplies" TargetMode="External" Id="rId1199"/><Relationship Type="http://schemas.openxmlformats.org/officeDocument/2006/relationships/hyperlink" Target="https://www.facebook.com/rockwoodanimals" TargetMode="External" Id="rId1200"/><Relationship Type="http://schemas.openxmlformats.org/officeDocument/2006/relationships/hyperlink" Target="https://www.facebook.com/graysk9academy" TargetMode="External" Id="rId1201"/><Relationship Type="http://schemas.openxmlformats.org/officeDocument/2006/relationships/hyperlink" Target="https://www.facebook.com/profile.php?id=61573591543276" TargetMode="External" Id="rId1202"/><Relationship Type="http://schemas.openxmlformats.org/officeDocument/2006/relationships/hyperlink" Target="https://www.facebook.com/greenbeltturffarm" TargetMode="External" Id="rId1203"/><Relationship Type="http://schemas.openxmlformats.org/officeDocument/2006/relationships/hyperlink" Target="https://www.facebook.com/nebtr" TargetMode="External" Id="rId1204"/><Relationship Type="http://schemas.openxmlformats.org/officeDocument/2006/relationships/hyperlink" Target="https://www.facebook.com/profile.php?id=61560855697264" TargetMode="External" Id="rId1205"/><Relationship Type="http://schemas.openxmlformats.org/officeDocument/2006/relationships/hyperlink" Target="https://www.facebook.com/DHDRofAZ" TargetMode="External" Id="rId1206"/><Relationship Type="http://schemas.openxmlformats.org/officeDocument/2006/relationships/hyperlink" Target="https://www.facebook.com/arcticfoxdaily" TargetMode="External" Id="rId1207"/><Relationship Type="http://schemas.openxmlformats.org/officeDocument/2006/relationships/hyperlink" Target="https://www.facebook.com/profile.php?id=100064283365216" TargetMode="External" Id="rId1208"/><Relationship Type="http://schemas.openxmlformats.org/officeDocument/2006/relationships/hyperlink" Target="https://www.facebook.com/IllinoisSaintBernardRescue" TargetMode="External" Id="rId1209"/><Relationship Type="http://schemas.openxmlformats.org/officeDocument/2006/relationships/hyperlink" Target="https://www.facebook.com/AussieRescueSoCal" TargetMode="External" Id="rId1210"/><Relationship Type="http://schemas.openxmlformats.org/officeDocument/2006/relationships/hyperlink" Target="https://www.facebook.com/SAZGRR" TargetMode="External" Id="rId1211"/><Relationship Type="http://schemas.openxmlformats.org/officeDocument/2006/relationships/hyperlink" Target="https://www.facebook.com/downtownhoundowosso" TargetMode="External" Id="rId1212"/><Relationship Type="http://schemas.openxmlformats.org/officeDocument/2006/relationships/hyperlink" Target="https://www.facebook.com/sitstaywithstacyslade" TargetMode="External" Id="rId1213"/><Relationship Type="http://schemas.openxmlformats.org/officeDocument/2006/relationships/hyperlink" Target="https://www.facebook.com/spitfirethewhippet" TargetMode="External" Id="rId1214"/><Relationship Type="http://schemas.openxmlformats.org/officeDocument/2006/relationships/hyperlink" Target="https://www.facebook.com/wagwash" TargetMode="External" Id="rId1215"/><Relationship Type="http://schemas.openxmlformats.org/officeDocument/2006/relationships/hyperlink" Target="https://www.facebook.com/USFSS" TargetMode="External" Id="rId1216"/><Relationship Type="http://schemas.openxmlformats.org/officeDocument/2006/relationships/hyperlink" Target="https://www.facebook.com/lowcountrydogagility" TargetMode="External" Id="rId1217"/><Relationship Type="http://schemas.openxmlformats.org/officeDocument/2006/relationships/hyperlink" Target="https://www.facebook.com/profile.php?id=100090077674454" TargetMode="External" Id="rId1218"/><Relationship Type="http://schemas.openxmlformats.org/officeDocument/2006/relationships/hyperlink" Target="https://www.facebook.com/FinavonDogAgility" TargetMode="External" Id="rId1219"/><Relationship Type="http://schemas.openxmlformats.org/officeDocument/2006/relationships/hyperlink" Target="https://www.facebook.com/beautyandbeastdoggrooming" TargetMode="External" Id="rId1220"/><Relationship Type="http://schemas.openxmlformats.org/officeDocument/2006/relationships/hyperlink" Target="https://www.facebook.com/profile.php?id=100088182214629" TargetMode="External" Id="rId1221"/><Relationship Type="http://schemas.openxmlformats.org/officeDocument/2006/relationships/hyperlink" Target="https://www.facebook.com/sleddog.sports" TargetMode="External" Id="rId1222"/><Relationship Type="http://schemas.openxmlformats.org/officeDocument/2006/relationships/hyperlink" Target="https://www.facebook.com/idsdogsports" TargetMode="External" Id="rId1223"/><Relationship Type="http://schemas.openxmlformats.org/officeDocument/2006/relationships/hyperlink" Target="https://www.facebook.com/profile.php?id=61580232925779" TargetMode="External" Id="rId1224"/><Relationship Type="http://schemas.openxmlformats.org/officeDocument/2006/relationships/hyperlink" Target="https://www.facebook.com/DogmasterDogHotel" TargetMode="External" Id="rId1225"/><Relationship Type="http://schemas.openxmlformats.org/officeDocument/2006/relationships/hyperlink" Target="https://www.facebook.com/chattanoogadogagilityclub" TargetMode="External" Id="rId1226"/><Relationship Type="http://schemas.openxmlformats.org/officeDocument/2006/relationships/hyperlink" Target="https://www.facebook.com/merrickpetcare" TargetMode="External" Id="rId1227"/><Relationship Type="http://schemas.openxmlformats.org/officeDocument/2006/relationships/hyperlink" Target="https://www.facebook.com/profile.php?id=61550533214350" TargetMode="External" Id="rId1228"/><Relationship Type="http://schemas.openxmlformats.org/officeDocument/2006/relationships/hyperlink" Target="https://www.facebook.com/tayvalleygundogassoc" TargetMode="External" Id="rId1229"/><Relationship Type="http://schemas.openxmlformats.org/officeDocument/2006/relationships/hyperlink" Target="https://www.facebook.com/profile.php?id=61570493391638" TargetMode="External" Id="rId1230"/><Relationship Type="http://schemas.openxmlformats.org/officeDocument/2006/relationships/hyperlink" Target="https://www.facebook.com/carnochwaygundogs" TargetMode="External" Id="rId1231"/><Relationship Type="http://schemas.openxmlformats.org/officeDocument/2006/relationships/hyperlink" Target="https://www.facebook.com/twinoaksranchpuppies" TargetMode="External" Id="rId1232"/><Relationship Type="http://schemas.openxmlformats.org/officeDocument/2006/relationships/hyperlink" Target="https://www.facebook.com/profile.php?id=100064618304721" TargetMode="External" Id="rId1233"/><Relationship Type="http://schemas.openxmlformats.org/officeDocument/2006/relationships/hyperlink" Target="https://www.facebook.com/profile.php?id=100054511642693" TargetMode="External" Id="rId1234"/><Relationship Type="http://schemas.openxmlformats.org/officeDocument/2006/relationships/hyperlink" Target="https://www.facebook.com/bernersennenhundlviv" TargetMode="External" Id="rId1235"/><Relationship Type="http://schemas.openxmlformats.org/officeDocument/2006/relationships/hyperlink" Target="https://www.facebook.com/mdbaofficial" TargetMode="External" Id="rId1236"/><Relationship Type="http://schemas.openxmlformats.org/officeDocument/2006/relationships/hyperlink" Target="https://www.facebook.com/psyborderskennel" TargetMode="External" Id="rId1237"/><Relationship Type="http://schemas.openxmlformats.org/officeDocument/2006/relationships/hyperlink" Target="https://www.facebook.com/farmhoundstreats" TargetMode="External" Id="rId1238"/><Relationship Type="http://schemas.openxmlformats.org/officeDocument/2006/relationships/hyperlink" Target="https://www.facebook.com/bluewolfcollies" TargetMode="External" Id="rId1239"/><Relationship Type="http://schemas.openxmlformats.org/officeDocument/2006/relationships/hyperlink" Target="https://www.facebook.com/kennelcockergold" TargetMode="External" Id="rId1240"/><Relationship Type="http://schemas.openxmlformats.org/officeDocument/2006/relationships/hyperlink" Target="https://www.facebook.com/TxBerneseMountainDogs" TargetMode="External" Id="rId1241"/><Relationship Type="http://schemas.openxmlformats.org/officeDocument/2006/relationships/hyperlink" Target="https://www.facebook.com/mayrosebordercollies" TargetMode="External" Id="rId1242"/><Relationship Type="http://schemas.openxmlformats.org/officeDocument/2006/relationships/hyperlink" Target="https://www.facebook.com/allischalberg2017" TargetMode="External" Id="rId1243"/><Relationship Type="http://schemas.openxmlformats.org/officeDocument/2006/relationships/hyperlink" Target="https://www.facebook.com/profile.php?id=100056245995607" TargetMode="External" Id="rId1244"/><Relationship Type="http://schemas.openxmlformats.org/officeDocument/2006/relationships/hyperlink" Target="https://www.facebook.com/corsoimperiumkennel" TargetMode="External" Id="rId1245"/><Relationship Type="http://schemas.openxmlformats.org/officeDocument/2006/relationships/hyperlink" Target="https://www.facebook.com/profile.php?id=100083675605544" TargetMode="External" Id="rId1246"/><Relationship Type="http://schemas.openxmlformats.org/officeDocument/2006/relationships/hyperlink" Target="https://www.facebook.com/kartskennels" TargetMode="External" Id="rId1247"/><Relationship Type="http://schemas.openxmlformats.org/officeDocument/2006/relationships/hyperlink" Target="https://www.facebook.com/HuskyWoodmark" TargetMode="External" Id="rId1248"/><Relationship Type="http://schemas.openxmlformats.org/officeDocument/2006/relationships/hyperlink" Target="https://www.facebook.com/maltipoopuppiesofallcolors" TargetMode="External" Id="rId1249"/><Relationship Type="http://schemas.openxmlformats.org/officeDocument/2006/relationships/hyperlink" Target="https://www.facebook.com/profile.php?id=100067552450945" TargetMode="External" Id="rId1250"/><Relationship Type="http://schemas.openxmlformats.org/officeDocument/2006/relationships/hyperlink" Target="https://www.facebook.com/profile.php?id=100068041147094" TargetMode="External" Id="rId1251"/><Relationship Type="http://schemas.openxmlformats.org/officeDocument/2006/relationships/hyperlink" Target="https://www.facebook.com/montbright.bernese" TargetMode="External" Id="rId1252"/><Relationship Type="http://schemas.openxmlformats.org/officeDocument/2006/relationships/hyperlink" Target="https://www.facebook.com/VivaVestlandia" TargetMode="External" Id="rId1253"/><Relationship Type="http://schemas.openxmlformats.org/officeDocument/2006/relationships/hyperlink" Target="https://www.facebook.com/treecefarmsbassets" TargetMode="External" Id="rId1254"/><Relationship Type="http://schemas.openxmlformats.org/officeDocument/2006/relationships/hyperlink" Target="https://www.facebook.com/JonusJrKennelJackRussell" TargetMode="External" Id="rId1255"/><Relationship Type="http://schemas.openxmlformats.org/officeDocument/2006/relationships/hyperlink" Target="https://www.facebook.com/cockerrykennel" TargetMode="External" Id="rId1256"/><Relationship Type="http://schemas.openxmlformats.org/officeDocument/2006/relationships/hyperlink" Target="https://www.facebook.com/canecorsocluj" TargetMode="External" Id="rId1257"/><Relationship Type="http://schemas.openxmlformats.org/officeDocument/2006/relationships/hyperlink" Target="https://www.facebook.com/profile.php?id=100064598625761" TargetMode="External" Id="rId1258"/><Relationship Type="http://schemas.openxmlformats.org/officeDocument/2006/relationships/hyperlink" Target="https://www.facebook.com/spacewaykennel" TargetMode="External" Id="rId1259"/><Relationship Type="http://schemas.openxmlformats.org/officeDocument/2006/relationships/hyperlink" Target="https://www.facebook.com/dachshunds.puppies" TargetMode="External" Id="rId1260"/><Relationship Type="http://schemas.openxmlformats.org/officeDocument/2006/relationships/hyperlink" Target="https://www.facebook.com/BCTSDragon" TargetMode="External" Id="rId1261"/><Relationship Type="http://schemas.openxmlformats.org/officeDocument/2006/relationships/hyperlink" Target="https://www.facebook.com/maroussia.org" TargetMode="External" Id="rId1262"/><Relationship Type="http://schemas.openxmlformats.org/officeDocument/2006/relationships/hyperlink" Target="https://www.facebook.com/profile.php?id=100054223850566" TargetMode="External" Id="rId1263"/><Relationship Type="http://schemas.openxmlformats.org/officeDocument/2006/relationships/hyperlink" Target="https://www.facebook.com/DeBoxemaBoxerKennel" TargetMode="External" Id="rId1264"/><Relationship Type="http://schemas.openxmlformats.org/officeDocument/2006/relationships/hyperlink" Target="https://www.facebook.com/ironmastiffkennel.doguedebordeaux" TargetMode="External" Id="rId1265"/><Relationship Type="http://schemas.openxmlformats.org/officeDocument/2006/relationships/hyperlink" Target="https://www.facebook.com/profile.php?id=100064670695900" TargetMode="External" Id="rId1266"/><Relationship Type="http://schemas.openxmlformats.org/officeDocument/2006/relationships/hyperlink" Target="https://www.facebook.com/LaMastinoKennelCaneCorso" TargetMode="External" Id="rId1267"/><Relationship Type="http://schemas.openxmlformats.org/officeDocument/2006/relationships/hyperlink" Target="https://www.facebook.com/profile.php?id=100081701374226" TargetMode="External" Id="rId1268"/><Relationship Type="http://schemas.openxmlformats.org/officeDocument/2006/relationships/hyperlink" Target="https://www.facebook.com/profile.php?id=100054351529218" TargetMode="External" Id="rId1269"/><Relationship Type="http://schemas.openxmlformats.org/officeDocument/2006/relationships/hyperlink" Target="https://www.facebook.com/Houseofstraysofficial" TargetMode="External" Id="rId1270"/><Relationship Type="http://schemas.openxmlformats.org/officeDocument/2006/relationships/hyperlink" Target="https://www.facebook.com/ThePetFoodPantry" TargetMode="External" Id="rId1271"/><Relationship Type="http://schemas.openxmlformats.org/officeDocument/2006/relationships/hyperlink" Target="https://www.facebook.com/PawsUpCertifiedDogTraining" TargetMode="External" Id="rId1272"/><Relationship Type="http://schemas.openxmlformats.org/officeDocument/2006/relationships/hyperlink" Target="https://www.facebook.com/Helpapetfindahome" TargetMode="External" Id="rId1273"/><Relationship Type="http://schemas.openxmlformats.org/officeDocument/2006/relationships/hyperlink" Target="https://www.facebook.com/profile.php?id=61550981697633" TargetMode="External" Id="rId1274"/><Relationship Type="http://schemas.openxmlformats.org/officeDocument/2006/relationships/hyperlink" Target="https://www.facebook.com/PragueExpoDog" TargetMode="External" Id="rId1275"/><Relationship Type="http://schemas.openxmlformats.org/officeDocument/2006/relationships/hyperlink" Target="https://www.facebook.com/shunakodp" TargetMode="External" Id="rId1276"/><Relationship Type="http://schemas.openxmlformats.org/officeDocument/2006/relationships/hyperlink" Target="https://www.facebook.com/pawsitivevc" TargetMode="External" Id="rId1277"/><Relationship Type="http://schemas.openxmlformats.org/officeDocument/2006/relationships/hyperlink" Target="https://www.facebook.com/profile.php?id=61573794633320" TargetMode="External" Id="rId1278"/><Relationship Type="http://schemas.openxmlformats.org/officeDocument/2006/relationships/hyperlink" Target="https://www.facebook.com/charliethetherapy" TargetMode="External" Id="rId1279"/><Relationship Type="http://schemas.openxmlformats.org/officeDocument/2006/relationships/hyperlink" Target="https://www.facebook.com/IQDogsport" TargetMode="External" Id="rId1280"/><Relationship Type="http://schemas.openxmlformats.org/officeDocument/2006/relationships/hyperlink" Target="https://www.facebook.com/pugloulou" TargetMode="External" Id="rId1281"/><Relationship Type="http://schemas.openxmlformats.org/officeDocument/2006/relationships/hyperlink" Target="https://www.facebook.com/wellnesspetfood" TargetMode="External" Id="rId1282"/><Relationship Type="http://schemas.openxmlformats.org/officeDocument/2006/relationships/hyperlink" Target="https://www.facebook.com/AquaDogNormandie14" TargetMode="External" Id="rId1283"/><Relationship Type="http://schemas.openxmlformats.org/officeDocument/2006/relationships/hyperlink" Target="https://www.facebook.com/truf.pet" TargetMode="External" Id="rId1284"/><Relationship Type="http://schemas.openxmlformats.org/officeDocument/2006/relationships/hyperlink" Target="https://www.facebook.com/clearlylovedpets" TargetMode="External" Id="rId1285"/><Relationship Type="http://schemas.openxmlformats.org/officeDocument/2006/relationships/hyperlink" Target="https://www.facebook.com/profile.php?id=61552519411489" TargetMode="External" Id="rId1286"/><Relationship Type="http://schemas.openxmlformats.org/officeDocument/2006/relationships/hyperlink" Target="https://www.facebook.com/profile.php?id=61570069250504" TargetMode="External" Id="rId1287"/><Relationship Type="http://schemas.openxmlformats.org/officeDocument/2006/relationships/hyperlink" Target="https://www.facebook.com/profile.php?id=61577344693630" TargetMode="External" Id="rId1288"/><Relationship Type="http://schemas.openxmlformats.org/officeDocument/2006/relationships/hyperlink" Target="https://www.facebook.com/justin.peterson.5623" TargetMode="External" Id="rId1289"/><Relationship Type="http://schemas.openxmlformats.org/officeDocument/2006/relationships/hyperlink" Target="https://www.facebook.com/OgilvieDogs" TargetMode="External" Id="rId1290"/><Relationship Type="http://schemas.openxmlformats.org/officeDocument/2006/relationships/hyperlink" Target="https://www.facebook.com/hd.doghouse" TargetMode="External" Id="rId1291"/><Relationship Type="http://schemas.openxmlformats.org/officeDocument/2006/relationships/hyperlink" Target="https://www.facebook.com/petitfitbycris" TargetMode="External" Id="rId1292"/><Relationship Type="http://schemas.openxmlformats.org/officeDocument/2006/relationships/hyperlink" Target="https://www.facebook.com/kentuckianacluster" TargetMode="External" Id="rId1293"/><Relationship Type="http://schemas.openxmlformats.org/officeDocument/2006/relationships/hyperlink" Target="https://www.facebook.com/perfectpoochesgrooming" TargetMode="External" Id="rId1294"/><Relationship Type="http://schemas.openxmlformats.org/officeDocument/2006/relationships/hyperlink" Target="https://www.facebook.com/DNACSRA" TargetMode="External" Id="rId1295"/><Relationship Type="http://schemas.openxmlformats.org/officeDocument/2006/relationships/hyperlink" Target="https://www.facebook.com/dixietheprayingdog" TargetMode="External" Id="rId1296"/><Relationship Type="http://schemas.openxmlformats.org/officeDocument/2006/relationships/hyperlink" Target="https://www.facebook.com/profile.php?id=100064839212383" TargetMode="External" Id="rId1297"/><Relationship Type="http://schemas.openxmlformats.org/officeDocument/2006/relationships/hyperlink" Target="https://www.facebook.com/petvalu" TargetMode="External" Id="rId1298"/><Relationship Type="http://schemas.openxmlformats.org/officeDocument/2006/relationships/hyperlink" Target="https://www.facebook.com/profile.php?id=100063595902764" TargetMode="External" Id="rId1299"/><Relationship Type="http://schemas.openxmlformats.org/officeDocument/2006/relationships/hyperlink" Target="https://www.facebook.com/profile.php?id=61574677094544" TargetMode="External" Id="rId1300"/><Relationship Type="http://schemas.openxmlformats.org/officeDocument/2006/relationships/hyperlink" Target="https://www.facebook.com/mountaindogcompanion" TargetMode="External" Id="rId1301"/><Relationship Type="http://schemas.openxmlformats.org/officeDocument/2006/relationships/hyperlink" Target="https://www.facebook.com/RodneyHabibBlog" TargetMode="External" Id="rId1302"/><Relationship Type="http://schemas.openxmlformats.org/officeDocument/2006/relationships/hyperlink" Target="https://www.facebook.com/profile.php?id=61581411606302" TargetMode="External" Id="rId1303"/><Relationship Type="http://schemas.openxmlformats.org/officeDocument/2006/relationships/hyperlink" Target="https://www.facebook.com/DogManee.Yancey" TargetMode="External" Id="rId1304"/><Relationship Type="http://schemas.openxmlformats.org/officeDocument/2006/relationships/hyperlink" Target="https://www.facebook.com/doggosandpuppersph" TargetMode="External" Id="rId1305"/><Relationship Type="http://schemas.openxmlformats.org/officeDocument/2006/relationships/hyperlink" Target="https://www.facebook.com/barkingmadanimalrescue" TargetMode="External" Id="rId1306"/><Relationship Type="http://schemas.openxmlformats.org/officeDocument/2006/relationships/hyperlink" Target="https://www.facebook.com/profile.php?id=61571861524964" TargetMode="External" Id="rId1307"/><Relationship Type="http://schemas.openxmlformats.org/officeDocument/2006/relationships/hyperlink" Target="https://www.facebook.com/womenindog" TargetMode="External" Id="rId1308"/><Relationship Type="http://schemas.openxmlformats.org/officeDocument/2006/relationships/hyperlink" Target="https://www.facebook.com/danieletaxidog" TargetMode="External" Id="rId1309"/><Relationship Type="http://schemas.openxmlformats.org/officeDocument/2006/relationships/hyperlink" Target="https://www.facebook.com/dogelthy" TargetMode="External" Id="rId1310"/><Relationship Type="http://schemas.openxmlformats.org/officeDocument/2006/relationships/hyperlink" Target="https://www.facebook.com/jetfastpetexpress" TargetMode="External" Id="rId1311"/><Relationship Type="http://schemas.openxmlformats.org/officeDocument/2006/relationships/hyperlink" Target="https://www.facebook.com/petprinted" TargetMode="External" Id="rId1312"/><Relationship Type="http://schemas.openxmlformats.org/officeDocument/2006/relationships/hyperlink" Target="https://www.facebook.com/bigdogpetfoods" TargetMode="External" Id="rId1313"/><Relationship Type="http://schemas.openxmlformats.org/officeDocument/2006/relationships/hyperlink" Target="https://www.facebook.com/petrafishermovement" TargetMode="External" Id="rId1314"/><Relationship Type="http://schemas.openxmlformats.org/officeDocument/2006/relationships/hyperlink" Target="https://www.facebook.com/QPPetHospital" TargetMode="External" Id="rId1315"/><Relationship Type="http://schemas.openxmlformats.org/officeDocument/2006/relationships/hyperlink" Target="https://www.facebook.com/deardognz" TargetMode="External" Id="rId1316"/><Relationship Type="http://schemas.openxmlformats.org/officeDocument/2006/relationships/hyperlink" Target="https://www.facebook.com/feedwell1962" TargetMode="External" Id="rId1317"/><Relationship Type="http://schemas.openxmlformats.org/officeDocument/2006/relationships/hyperlink" Target="https://www.facebook.com/peter.firic.92" TargetMode="External" Id="rId1318"/><Relationship Type="http://schemas.openxmlformats.org/officeDocument/2006/relationships/hyperlink" Target="https://www.facebook.com/siberiansisaket" TargetMode="External" Id="rId1319"/><Relationship Type="http://schemas.openxmlformats.org/officeDocument/2006/relationships/hyperlink" Target="https://www.facebook.com/petepamana" TargetMode="External" Id="rId1320"/><Relationship Type="http://schemas.openxmlformats.org/officeDocument/2006/relationships/hyperlink" Target="https://www.facebook.com/jiraporn.petchanon" TargetMode="External" Id="rId1321"/><Relationship Type="http://schemas.openxmlformats.org/officeDocument/2006/relationships/hyperlink" Target="https://www.facebook.com/JustFoodForDogs" TargetMode="External" Id="rId1322"/><Relationship Type="http://schemas.openxmlformats.org/officeDocument/2006/relationships/hyperlink" Target="https://www.facebook.com/byloverescued17" TargetMode="External" Id="rId1323"/><Relationship Type="http://schemas.openxmlformats.org/officeDocument/2006/relationships/hyperlink" Target="https://www.facebook.com/Fuzzywumpets" TargetMode="External" Id="rId1324"/><Relationship Type="http://schemas.openxmlformats.org/officeDocument/2006/relationships/hyperlink" Target="https://www.facebook.com/profile.php?id=61568979924539" TargetMode="External" Id="rId1325"/><Relationship Type="http://schemas.openxmlformats.org/officeDocument/2006/relationships/hyperlink" Target="https://www.facebook.com/FlamboTheDog" TargetMode="External" Id="rId1326"/><Relationship Type="http://schemas.openxmlformats.org/officeDocument/2006/relationships/hyperlink" Target="https://www.facebook.com/LeadMeToItDogShowLeads" TargetMode="External" Id="rId1327"/><Relationship Type="http://schemas.openxmlformats.org/officeDocument/2006/relationships/hyperlink" Target="https://www.facebook.com/theunstoppabledogs" TargetMode="External" Id="rId1328"/><Relationship Type="http://schemas.openxmlformats.org/officeDocument/2006/relationships/hyperlink" Target="https://www.facebook.com/fancypetsoficial" TargetMode="External" Id="rId1329"/><Relationship Type="http://schemas.openxmlformats.org/officeDocument/2006/relationships/hyperlink" Target="https://www.facebook.com/Renthegooddog" TargetMode="External" Id="rId1330"/><Relationship Type="http://schemas.openxmlformats.org/officeDocument/2006/relationships/hyperlink" Target="https://www.facebook.com/PetMarkt" TargetMode="External" Id="rId1331"/><Relationship Type="http://schemas.openxmlformats.org/officeDocument/2006/relationships/hyperlink" Target="https://www.facebook.com/DogArtistry" TargetMode="External" Id="rId1332"/><Relationship Type="http://schemas.openxmlformats.org/officeDocument/2006/relationships/hyperlink" Target="https://www.facebook.com/homesalivepets" TargetMode="External" Id="rId1333"/><Relationship Type="http://schemas.openxmlformats.org/officeDocument/2006/relationships/hyperlink" Target="https://www.facebook.com/airplanethedog" TargetMode="External" Id="rId1334"/><Relationship Type="http://schemas.openxmlformats.org/officeDocument/2006/relationships/hyperlink" Target="https://www.facebook.com/profile.php?id=61555751757562" TargetMode="External" Id="rId1335"/><Relationship Type="http://schemas.openxmlformats.org/officeDocument/2006/relationships/hyperlink" Target="https://www.facebook.com/thedogist" TargetMode="External" Id="rId1336"/><Relationship Type="http://schemas.openxmlformats.org/officeDocument/2006/relationships/hyperlink" Target="https://www.facebook.com/QuantockCottages" TargetMode="External" Id="rId1337"/><Relationship Type="http://schemas.openxmlformats.org/officeDocument/2006/relationships/hyperlink" Target="https://www.facebook.com/nonstopdogwear" TargetMode="External" Id="rId1338"/><Relationship Type="http://schemas.openxmlformats.org/officeDocument/2006/relationships/hyperlink" Target="https://www.facebook.com/Pet.Alert.Murcia" TargetMode="External" Id="rId1339"/><Relationship Type="http://schemas.openxmlformats.org/officeDocument/2006/relationships/hyperlink" Target="https://www.facebook.com/RideDogGPS" TargetMode="External" Id="rId1340"/><Relationship Type="http://schemas.openxmlformats.org/officeDocument/2006/relationships/hyperlink" Target="https://www.facebook.com/primalpetfoods" TargetMode="External" Id="rId1341"/><Relationship Type="http://schemas.openxmlformats.org/officeDocument/2006/relationships/hyperlink" Target="https://www.facebook.com/HealthyPetsofWedgewood" TargetMode="External" Id="rId1342"/><Relationship Type="http://schemas.openxmlformats.org/officeDocument/2006/relationships/hyperlink" Target="https://www.facebook.com/petpartnersorg" TargetMode="External" Id="rId1343"/><Relationship Type="http://schemas.openxmlformats.org/officeDocument/2006/relationships/hyperlink" Target="https://www.facebook.com/TransK9USA" TargetMode="External" Id="rId1344"/><Relationship Type="http://schemas.openxmlformats.org/officeDocument/2006/relationships/hyperlink" Target="https://www.facebook.com/Rescatandogvalencia" TargetMode="External" Id="rId1345"/><Relationship Type="http://schemas.openxmlformats.org/officeDocument/2006/relationships/hyperlink" Target="https://www.facebook.com/BostonDogLawyers" TargetMode="External" Id="rId1346"/><Relationship Type="http://schemas.openxmlformats.org/officeDocument/2006/relationships/hyperlink" Target="https://www.facebook.com/lapetiteindienne" TargetMode="External" Id="rId1347"/><Relationship Type="http://schemas.openxmlformats.org/officeDocument/2006/relationships/hyperlink" Target="https://www.facebook.com/moaspets" TargetMode="External" Id="rId1348"/><Relationship Type="http://schemas.openxmlformats.org/officeDocument/2006/relationships/hyperlink" Target="https://www.facebook.com/mlapets" TargetMode="External" Id="rId1349"/><Relationship Type="http://schemas.openxmlformats.org/officeDocument/2006/relationships/hyperlink" Target="https://www.facebook.com/StaffAssAmicoDog" TargetMode="External" Id="rId1350"/><Relationship Type="http://schemas.openxmlformats.org/officeDocument/2006/relationships/hyperlink" Target="https://www.facebook.com/PrettyPennysuk" TargetMode="External" Id="rId1351"/><Relationship Type="http://schemas.openxmlformats.org/officeDocument/2006/relationships/hyperlink" Target="https://www.facebook.com/KanivaThailand" TargetMode="External" Id="rId1352"/><Relationship Type="http://schemas.openxmlformats.org/officeDocument/2006/relationships/hyperlink" Target="https://www.facebook.com/dibaq.petcare" TargetMode="External" Id="rId1353"/><Relationship Type="http://schemas.openxmlformats.org/officeDocument/2006/relationships/hyperlink" Target="https://www.facebook.com/profile.php?id=61588617067436" TargetMode="External" Id="rId1354"/><Relationship Type="http://schemas.openxmlformats.org/officeDocument/2006/relationships/hyperlink" Target="https://www.facebook.com/sakanaev" TargetMode="External" Id="rId1355"/><Relationship Type="http://schemas.openxmlformats.org/officeDocument/2006/relationships/hyperlink" Target="https://www.facebook.com/DogsDeliUK" TargetMode="External" Id="rId1356"/><Relationship Type="http://schemas.openxmlformats.org/officeDocument/2006/relationships/hyperlink" Target="https://www.facebook.com/RuffAndTumbleDogCoats" TargetMode="External" Id="rId1357"/><Relationship Type="http://schemas.openxmlformats.org/officeDocument/2006/relationships/hyperlink" Target="https://www.facebook.com/angelpettransport" TargetMode="External" Id="rId1358"/><Relationship Type="http://schemas.openxmlformats.org/officeDocument/2006/relationships/hyperlink" Target="https://www.facebook.com/diegodogscoast" TargetMode="External" Id="rId1359"/><Relationship Type="http://schemas.openxmlformats.org/officeDocument/2006/relationships/hyperlink" Target="https://www.facebook.com/petharmonytraining" TargetMode="External" Id="rId1360"/><Relationship Type="http://schemas.openxmlformats.org/officeDocument/2006/relationships/hyperlink" Target="https://www.facebook.com/ourshamelesspets" TargetMode="External" Id="rId1361"/><Relationship Type="http://schemas.openxmlformats.org/officeDocument/2006/relationships/hyperlink" Target="https://www.facebook.com/ASAPpettransportflightnanny" TargetMode="External" Id="rId1362"/><Relationship Type="http://schemas.openxmlformats.org/officeDocument/2006/relationships/hyperlink" Target="https://www.facebook.com/max200com" TargetMode="External" Id="rId1363"/><Relationship Type="http://schemas.openxmlformats.org/officeDocument/2006/relationships/hyperlink" Target="https://www.facebook.com/AnimalHavenShelter" TargetMode="External" Id="rId1364"/><Relationship Type="http://schemas.openxmlformats.org/officeDocument/2006/relationships/hyperlink" Target="https://www.facebook.com/kriserspets" TargetMode="External" Id="rId1365"/><Relationship Type="http://schemas.openxmlformats.org/officeDocument/2006/relationships/hyperlink" Target="https://www.facebook.com/TriStateDogGuard" TargetMode="External" Id="rId1366"/><Relationship Type="http://schemas.openxmlformats.org/officeDocument/2006/relationships/hyperlink" Target="https://www.facebook.com/DogGuardOfNorthernMichigan" TargetMode="External" Id="rId1367"/><Relationship Type="http://schemas.openxmlformats.org/officeDocument/2006/relationships/hyperlink" Target="https://www.facebook.com/alabamadogguard" TargetMode="External" Id="rId1368"/><Relationship Type="http://schemas.openxmlformats.org/officeDocument/2006/relationships/hyperlink" Target="https://www.facebook.com/dogguardofflorida" TargetMode="External" Id="rId1369"/><Relationship Type="http://schemas.openxmlformats.org/officeDocument/2006/relationships/hyperlink" Target="https://www.facebook.com/DogGuardUSA" TargetMode="External" Id="rId1370"/><Relationship Type="http://schemas.openxmlformats.org/officeDocument/2006/relationships/hyperlink" Target="https://www.facebook.com/BanfieldPetHospital" TargetMode="External" Id="rId1371"/><Relationship Type="http://schemas.openxmlformats.org/officeDocument/2006/relationships/hyperlink" Target="https://www.facebook.com/TJGray1126" TargetMode="External" Id="rId1372"/><Relationship Type="http://schemas.openxmlformats.org/officeDocument/2006/relationships/hyperlink" Target="https://www.facebook.com/GrandPETmx" TargetMode="External" Id="rId1373"/><Relationship Type="http://schemas.openxmlformats.org/officeDocument/2006/relationships/hyperlink" Target="https://www.facebook.com/BlueValleyOfDogs" TargetMode="External" Id="rId1374"/><Relationship Type="http://schemas.openxmlformats.org/officeDocument/2006/relationships/hyperlink" Target="https://www.facebook.com/marina.canestrale" TargetMode="External" Id="rId1375"/><Relationship Type="http://schemas.openxmlformats.org/officeDocument/2006/relationships/hyperlink" Target="https://www.facebook.com/escuelacaninaquercus" TargetMode="External" Id="rId1376"/><Relationship Type="http://schemas.openxmlformats.org/officeDocument/2006/relationships/hyperlink" Target="https://www.facebook.com/acdogcollars" TargetMode="External" Id="rId1377"/><Relationship Type="http://schemas.openxmlformats.org/officeDocument/2006/relationships/hyperlink" Target="https://www.facebook.com/exploredogs" TargetMode="External" Id="rId1378"/><Relationship Type="http://schemas.openxmlformats.org/officeDocument/2006/relationships/hyperlink" Target="https://www.facebook.com/MyPetsBrace" TargetMode="External" Id="rId1379"/><Relationship Type="http://schemas.openxmlformats.org/officeDocument/2006/relationships/hyperlink" Target="https://www.facebook.com/whiskerandhowl" TargetMode="External" Id="rId1380"/><Relationship Type="http://schemas.openxmlformats.org/officeDocument/2006/relationships/hyperlink" Target="https://www.facebook.com/Showdogmedia" TargetMode="External" Id="rId1381"/><Relationship Type="http://schemas.openxmlformats.org/officeDocument/2006/relationships/hyperlink" Target="https://www.facebook.com/eukanubasportingdog" TargetMode="External" Id="rId1382"/><Relationship Type="http://schemas.openxmlformats.org/officeDocument/2006/relationships/hyperlink" Target="https://www.facebook.com/IpswichDogDayCare" TargetMode="External" Id="rId1383"/><Relationship Type="http://schemas.openxmlformats.org/officeDocument/2006/relationships/hyperlink" Target="https://www.facebook.com/fruitablespettreats" TargetMode="External" Id="rId1384"/><Relationship Type="http://schemas.openxmlformats.org/officeDocument/2006/relationships/hyperlink" Target="https://www.facebook.com/mistermixmagyarorszag" TargetMode="External" Id="rId1385"/><Relationship Type="http://schemas.openxmlformats.org/officeDocument/2006/relationships/hyperlink" Target="https://www.facebook.com/lapetnoira" TargetMode="External" Id="rId1386"/><Relationship Type="http://schemas.openxmlformats.org/officeDocument/2006/relationships/hyperlink" Target="https://www.facebook.com/LapkiPets" TargetMode="External" Id="rId1387"/><Relationship Type="http://schemas.openxmlformats.org/officeDocument/2006/relationships/hyperlink" Target="https://www.facebook.com/profile.php?id=61576199054628" TargetMode="External" Id="rId1388"/><Relationship Type="http://schemas.openxmlformats.org/officeDocument/2006/relationships/hyperlink" Target="https://www.facebook.com/KakaakoPetHospital" TargetMode="External" Id="rId1389"/><Relationship Type="http://schemas.openxmlformats.org/officeDocument/2006/relationships/hyperlink" Target="https://www.facebook.com/ahwatukeecarpets" TargetMode="External" Id="rId1390"/><Relationship Type="http://schemas.openxmlformats.org/officeDocument/2006/relationships/hyperlink" Target="https://www.facebook.com/henrythecoloradodog" TargetMode="External" Id="rId1391"/><Relationship Type="http://schemas.openxmlformats.org/officeDocument/2006/relationships/hyperlink" Target="https://www.facebook.com/busydogbox" TargetMode="External" Id="rId1392"/><Relationship Type="http://schemas.openxmlformats.org/officeDocument/2006/relationships/hyperlink" Target="https://www.facebook.com/dogsdeservebetter" TargetMode="External" Id="rId1393"/><Relationship Type="http://schemas.openxmlformats.org/officeDocument/2006/relationships/hyperlink" Target="https://www.facebook.com/ReptilePetDadQimeng" TargetMode="External" Id="rId1394"/><Relationship Type="http://schemas.openxmlformats.org/officeDocument/2006/relationships/hyperlink" Target="https://www.facebook.com/Clarityk9LLC" TargetMode="External" Id="rId1395"/><Relationship Type="http://schemas.openxmlformats.org/officeDocument/2006/relationships/hyperlink" Target="https://www.facebook.com/ACANAPetFoods" TargetMode="External" Id="rId1396"/><Relationship Type="http://schemas.openxmlformats.org/officeDocument/2006/relationships/hyperlink" Target="https://www.facebook.com/profile.php?id=61579676722984" TargetMode="External" Id="rId1397"/><Relationship Type="http://schemas.openxmlformats.org/officeDocument/2006/relationships/hyperlink" Target="https://www.facebook.com/profile.php?id=100050645477316" TargetMode="External" Id="rId1398"/><Relationship Type="http://schemas.openxmlformats.org/officeDocument/2006/relationships/hyperlink" Target="https://www.facebook.com/profile.php?id=61565517291069" TargetMode="External" Id="rId1399"/><Relationship Type="http://schemas.openxmlformats.org/officeDocument/2006/relationships/hyperlink" Target="https://www.facebook.com/SouthshoreFrenchie" TargetMode="External" Id="rId1400"/><Relationship Type="http://schemas.openxmlformats.org/officeDocument/2006/relationships/hyperlink" Target="https://www.facebook.com/brickhousefrenchiesmt" TargetMode="External" Id="rId1401"/><Relationship Type="http://schemas.openxmlformats.org/officeDocument/2006/relationships/hyperlink" Target="https://www.facebook.com/profile.php?id=100064515452891" TargetMode="External" Id="rId1402"/><Relationship Type="http://schemas.openxmlformats.org/officeDocument/2006/relationships/hyperlink" Target="https://www.facebook.com/southernfrenchiesandsons" TargetMode="External" Id="rId1403"/><Relationship Type="http://schemas.openxmlformats.org/officeDocument/2006/relationships/hyperlink" Target="https://www.facebook.com/profile.php?id=61592022564622" TargetMode="External" Id="rId1404"/><Relationship Type="http://schemas.openxmlformats.org/officeDocument/2006/relationships/hyperlink" Target="https://www.facebook.com/profile.php?id=61577143373204" TargetMode="External" Id="rId1405"/><Relationship Type="http://schemas.openxmlformats.org/officeDocument/2006/relationships/hyperlink" Target="https://www.facebook.com/AndersonOEB" TargetMode="External" Id="rId1406"/><Relationship Type="http://schemas.openxmlformats.org/officeDocument/2006/relationships/hyperlink" Target="https://www.facebook.com/blackhillsbullies" TargetMode="External" Id="rId1407"/><Relationship Type="http://schemas.openxmlformats.org/officeDocument/2006/relationships/hyperlink" Target="https://www.facebook.com/WishmadiBulldogs" TargetMode="External" Id="rId1408"/><Relationship Type="http://schemas.openxmlformats.org/officeDocument/2006/relationships/hyperlink" Target="https://www.facebook.com/profile.php?id=100057281965099" TargetMode="External" Id="rId1409"/><Relationship Type="http://schemas.openxmlformats.org/officeDocument/2006/relationships/hyperlink" Target="https://www.facebook.com/SphynxBulldog" TargetMode="External" Id="rId1410"/><Relationship Type="http://schemas.openxmlformats.org/officeDocument/2006/relationships/hyperlink" Target="https://www.facebook.com/profile.php?id=100090229851762" TargetMode="External" Id="rId1411"/><Relationship Type="http://schemas.openxmlformats.org/officeDocument/2006/relationships/hyperlink" Target="https://www.facebook.com/tkofrenchieneuhaus" TargetMode="External" Id="rId1412"/><Relationship Type="http://schemas.openxmlformats.org/officeDocument/2006/relationships/hyperlink" Target="https://www.facebook.com/CelebrityEnghlishBulldogs" TargetMode="External" Id="rId1413"/><Relationship Type="http://schemas.openxmlformats.org/officeDocument/2006/relationships/hyperlink" Target="https://www.facebook.com/riverridgefrenchiesptx" TargetMode="External" Id="rId1414"/><Relationship Type="http://schemas.openxmlformats.org/officeDocument/2006/relationships/hyperlink" Target="https://www.facebook.com/profile.php?id=61577586599698" TargetMode="External" Id="rId1415"/><Relationship Type="http://schemas.openxmlformats.org/officeDocument/2006/relationships/hyperlink" Target="https://www.facebook.com/DubfireEnglishbulldogs" TargetMode="External" Id="rId1416"/><Relationship Type="http://schemas.openxmlformats.org/officeDocument/2006/relationships/hyperlink" Target="https://www.facebook.com/fantasyrottweilerkennel" TargetMode="External" Id="rId1417"/><Relationship Type="http://schemas.openxmlformats.org/officeDocument/2006/relationships/hyperlink" Target="https://www.facebook.com/profile.php?id=61589188854204" TargetMode="External" Id="rId1418"/><Relationship Type="http://schemas.openxmlformats.org/officeDocument/2006/relationships/hyperlink" Target="https://www.facebook.com/Bulldog212e" TargetMode="External" Id="rId1419"/><Relationship Type="http://schemas.openxmlformats.org/officeDocument/2006/relationships/hyperlink" Target="https://www.facebook.com/micro.ville.frenchies" TargetMode="External" Id="rId1420"/><Relationship Type="http://schemas.openxmlformats.org/officeDocument/2006/relationships/hyperlink" Target="https://www.facebook.com/californiadreamfrenchies" TargetMode="External" Id="rId1421"/><Relationship Type="http://schemas.openxmlformats.org/officeDocument/2006/relationships/hyperlink" Target="https://www.facebook.com/redbottomfrenchies" TargetMode="External" Id="rId1422"/><Relationship Type="http://schemas.openxmlformats.org/officeDocument/2006/relationships/hyperlink" Target="https://www.facebook.com/frenchielamarbosa" TargetMode="External" Id="rId1423"/><Relationship Type="http://schemas.openxmlformats.org/officeDocument/2006/relationships/hyperlink" Target="https://www.facebook.com/ngakautoabulldogs" TargetMode="External" Id="rId1424"/><Relationship Type="http://schemas.openxmlformats.org/officeDocument/2006/relationships/hyperlink" Target="https://www.facebook.com/m4bullies" TargetMode="External" Id="rId1425"/><Relationship Type="http://schemas.openxmlformats.org/officeDocument/2006/relationships/hyperlink" Target="https://www.facebook.com/bigrigfrenchies" TargetMode="External" Id="rId1426"/><Relationship Type="http://schemas.openxmlformats.org/officeDocument/2006/relationships/hyperlink" Target="https://www.facebook.com/RoseCityFrenchies" TargetMode="External" Id="rId1427"/><Relationship Type="http://schemas.openxmlformats.org/officeDocument/2006/relationships/hyperlink" Target="https://www.facebook.com/greenhavenbulldogs" TargetMode="External" Id="rId1428"/><Relationship Type="http://schemas.openxmlformats.org/officeDocument/2006/relationships/hyperlink" Target="https://www.facebook.com/CapitalBottles613" TargetMode="External" Id="rId1429"/><Relationship Type="http://schemas.openxmlformats.org/officeDocument/2006/relationships/hyperlink" Target="https://www.facebook.com/cruzinbullies" TargetMode="External" Id="rId1430"/><Relationship Type="http://schemas.openxmlformats.org/officeDocument/2006/relationships/hyperlink" Target="https://www.facebook.com/gemstonebulldogges" TargetMode="External" Id="rId1431"/><Relationship Type="http://schemas.openxmlformats.org/officeDocument/2006/relationships/hyperlink" Target="https://www.facebook.com/BarkleySC" TargetMode="External" Id="rId1432"/><Relationship Type="http://schemas.openxmlformats.org/officeDocument/2006/relationships/hyperlink" Target="https://www.facebook.com/lindorfrenchbulldogs" TargetMode="External" Id="rId1433"/><Relationship Type="http://schemas.openxmlformats.org/officeDocument/2006/relationships/hyperlink" Target="https://www.facebook.com/KCIChampionDog" TargetMode="External" Id="rId1434"/><Relationship Type="http://schemas.openxmlformats.org/officeDocument/2006/relationships/hyperlink" Target="https://www.facebook.com/honeyholefrenchies" TargetMode="External" Id="rId1435"/><Relationship Type="http://schemas.openxmlformats.org/officeDocument/2006/relationships/hyperlink" Target="https://www.facebook.com/nwfrenchies" TargetMode="External" Id="rId1436"/><Relationship Type="http://schemas.openxmlformats.org/officeDocument/2006/relationships/hyperlink" Target="https://www.facebook.com/profile.php?id=100057191270689" TargetMode="External" Id="rId1437"/><Relationship Type="http://schemas.openxmlformats.org/officeDocument/2006/relationships/hyperlink" Target="https://www.facebook.com/bigbenefitbullies" TargetMode="External" Id="rId1438"/><Relationship Type="http://schemas.openxmlformats.org/officeDocument/2006/relationships/hyperlink" Target="https://www.facebook.com/profile.php?id=100063457664984" TargetMode="External" Id="rId1439"/><Relationship Type="http://schemas.openxmlformats.org/officeDocument/2006/relationships/hyperlink" Target="https://www.facebook.com/profile.php?id=100087967724474" TargetMode="External" Id="rId1440"/><Relationship Type="http://schemas.openxmlformats.org/officeDocument/2006/relationships/hyperlink" Target="https://www.facebook.com/profile.php?id=100080484122611" TargetMode="External" Id="rId1441"/><Relationship Type="http://schemas.openxmlformats.org/officeDocument/2006/relationships/hyperlink" Target="https://www.facebook.com/poshbarkfrenchbulldogs" TargetMode="External" Id="rId1442"/><Relationship Type="http://schemas.openxmlformats.org/officeDocument/2006/relationships/hyperlink" Target="https://www.facebook.com/BANKUPBULLIES" TargetMode="External" Id="rId1443"/><Relationship Type="http://schemas.openxmlformats.org/officeDocument/2006/relationships/hyperlink" Target="https://www.facebook.com/southerncharmfrenchiellc" TargetMode="External" Id="rId1444"/><Relationship Type="http://schemas.openxmlformats.org/officeDocument/2006/relationships/hyperlink" Target="https://www.facebook.com/Andresbulldogfrances" TargetMode="External" Id="rId1445"/><Relationship Type="http://schemas.openxmlformats.org/officeDocument/2006/relationships/hyperlink" Target="https://www.facebook.com/texaselitebulldogs" TargetMode="External" Id="rId1446"/><Relationship Type="http://schemas.openxmlformats.org/officeDocument/2006/relationships/hyperlink" Target="https://www.facebook.com/profile.php?id=61557529042788" TargetMode="External" Id="rId1447"/><Relationship Type="http://schemas.openxmlformats.org/officeDocument/2006/relationships/hyperlink" Target="https://www.facebook.com/MDTXBulldogges" TargetMode="External" Id="rId1448"/><Relationship Type="http://schemas.openxmlformats.org/officeDocument/2006/relationships/hyperlink" Target="https://www.facebook.com/profile.php?id=100071538645344" TargetMode="External" Id="rId1449"/><Relationship Type="http://schemas.openxmlformats.org/officeDocument/2006/relationships/hyperlink" Target="https://www.facebook.com/phoenixsfrenchies" TargetMode="External" Id="rId1450"/><Relationship Type="http://schemas.openxmlformats.org/officeDocument/2006/relationships/hyperlink" Target="https://www.facebook.com/AtlasBulldogs" TargetMode="External" Id="rId1451"/><Relationship Type="http://schemas.openxmlformats.org/officeDocument/2006/relationships/hyperlink" Target="https://www.facebook.com/profile.php?id=100084284827275" TargetMode="External" Id="rId1452"/><Relationship Type="http://schemas.openxmlformats.org/officeDocument/2006/relationships/hyperlink" Target="https://www.facebook.com/profile.php?id=61565669129264" TargetMode="External" Id="rId1453"/><Relationship Type="http://schemas.openxmlformats.org/officeDocument/2006/relationships/hyperlink" Target="https://www.facebook.com/profile.php?id=100093679972061" TargetMode="External" Id="rId1454"/><Relationship Type="http://schemas.openxmlformats.org/officeDocument/2006/relationships/hyperlink" Target="https://www.facebook.com/fawndrivefrenchies" TargetMode="External" Id="rId1455"/><Relationship Type="http://schemas.openxmlformats.org/officeDocument/2006/relationships/hyperlink" Target="https://www.facebook.com/profile.php?id=100064382965406" TargetMode="External" Id="rId1456"/><Relationship Type="http://schemas.openxmlformats.org/officeDocument/2006/relationships/hyperlink" Target="https://www.facebook.com/KaizenFiberFarm" TargetMode="External" Id="rId1457"/><Relationship Type="http://schemas.openxmlformats.org/officeDocument/2006/relationships/hyperlink" Target="https://www.facebook.com/TEXASSIZEDFRENCHIES" TargetMode="External" Id="rId1458"/><Relationship Type="http://schemas.openxmlformats.org/officeDocument/2006/relationships/hyperlink" Target="https://www.facebook.com/profile.php?id=100064859558023" TargetMode="External" Id="rId1459"/><Relationship Type="http://schemas.openxmlformats.org/officeDocument/2006/relationships/hyperlink" Target="https://www.facebook.com/hermitageestatebulldogs" TargetMode="External" Id="rId1460"/><Relationship Type="http://schemas.openxmlformats.org/officeDocument/2006/relationships/hyperlink" Target="https://www.facebook.com/profile.php?id=61553589004186" TargetMode="External" Id="rId1461"/><Relationship Type="http://schemas.openxmlformats.org/officeDocument/2006/relationships/hyperlink" Target="https://www.facebook.com/thefrenchieempire" TargetMode="External" Id="rId1462"/><Relationship Type="http://schemas.openxmlformats.org/officeDocument/2006/relationships/hyperlink" Target="https://www.facebook.com/guardianbulliesau" TargetMode="External" Id="rId1463"/><Relationship Type="http://schemas.openxmlformats.org/officeDocument/2006/relationships/hyperlink" Target="https://www.facebook.com/fluentinfrenchie" TargetMode="External" Id="rId1464"/><Relationship Type="http://schemas.openxmlformats.org/officeDocument/2006/relationships/hyperlink" Target="https://www.facebook.com/carolinabullies" TargetMode="External" Id="rId1465"/><Relationship Type="http://schemas.openxmlformats.org/officeDocument/2006/relationships/hyperlink" Target="https://www.facebook.com/4wbullies" TargetMode="External" Id="rId1466"/><Relationship Type="http://schemas.openxmlformats.org/officeDocument/2006/relationships/hyperlink" Target="https://www.facebook.com/MillenniumBullies" TargetMode="External" Id="rId1467"/><Relationship Type="http://schemas.openxmlformats.org/officeDocument/2006/relationships/hyperlink" Target="https://www.facebook.com/BustertheFrenchbulldog" TargetMode="External" Id="rId1468"/><Relationship Type="http://schemas.openxmlformats.org/officeDocument/2006/relationships/hyperlink" Target="https://www.facebook.com/profile.php?id=100063618630421" TargetMode="External" Id="rId1469"/><Relationship Type="http://schemas.openxmlformats.org/officeDocument/2006/relationships/hyperlink" Target="https://www.facebook.com/albondyga" TargetMode="External" Id="rId1470"/><Relationship Type="http://schemas.openxmlformats.org/officeDocument/2006/relationships/hyperlink" Target="https://www.facebook.com/Frenchiesofthemidwest" TargetMode="External" Id="rId1471"/><Relationship Type="http://schemas.openxmlformats.org/officeDocument/2006/relationships/hyperlink" Target="https://www.facebook.com/bulldogbrothersenglish" TargetMode="External" Id="rId1472"/><Relationship Type="http://schemas.openxmlformats.org/officeDocument/2006/relationships/hyperlink" Target="https://www.facebook.com/Bulldoggerie" TargetMode="External" Id="rId1473"/><Relationship Type="http://schemas.openxmlformats.org/officeDocument/2006/relationships/hyperlink" Target="https://www.facebook.com/toedtersisleoffrenchies" TargetMode="External" Id="rId1474"/><Relationship Type="http://schemas.openxmlformats.org/officeDocument/2006/relationships/hyperlink" Target="https://www.facebook.com/FrenchieGangFG" TargetMode="External" Id="rId1475"/><Relationship Type="http://schemas.openxmlformats.org/officeDocument/2006/relationships/hyperlink" Target="https://www.facebook.com/profile.php?id=100081779490512" TargetMode="External" Id="rId1476"/><Relationship Type="http://schemas.openxmlformats.org/officeDocument/2006/relationships/hyperlink" Target="https://www.facebook.com/RenayLakesidebullies" TargetMode="External" Id="rId1477"/><Relationship Type="http://schemas.openxmlformats.org/officeDocument/2006/relationships/hyperlink" Target="https://www.facebook.com/Doglingual" TargetMode="External" Id="rId1478"/><Relationship Type="http://schemas.openxmlformats.org/officeDocument/2006/relationships/hyperlink" Target="https://www.facebook.com/micksdogtraining" TargetMode="External" Id="rId1479"/><Relationship Type="http://schemas.openxmlformats.org/officeDocument/2006/relationships/hyperlink" Target="https://www.facebook.com/tressia.agility" TargetMode="External" Id="rId1480"/><Relationship Type="http://schemas.openxmlformats.org/officeDocument/2006/relationships/hyperlink" Target="https://www.facebook.com/LuckyDogTrainingClub" TargetMode="External" Id="rId1481"/><Relationship Type="http://schemas.openxmlformats.org/officeDocument/2006/relationships/hyperlink" Target="https://www.facebook.com/profile.php?id=61585599557375" TargetMode="External" Id="rId1482"/><Relationship Type="http://schemas.openxmlformats.org/officeDocument/2006/relationships/hyperlink" Target="https://www.facebook.com/K9OEMSUK" TargetMode="External" Id="rId1483"/><Relationship Type="http://schemas.openxmlformats.org/officeDocument/2006/relationships/hyperlink" Target="https://www.facebook.com/MyCleverCanine" TargetMode="External" Id="rId1484"/><Relationship Type="http://schemas.openxmlformats.org/officeDocument/2006/relationships/hyperlink" Target="https://www.facebook.com/profile.php?id=100091391079330" TargetMode="External" Id="rId1485"/><Relationship Type="http://schemas.openxmlformats.org/officeDocument/2006/relationships/hyperlink" Target="https://www.facebook.com/OfficialPeterAntoniou" TargetMode="External" Id="rId1486"/><Relationship Type="http://schemas.openxmlformats.org/officeDocument/2006/relationships/hyperlink" Target="https://www.facebook.com/profile.php?id=61572837287946" TargetMode="External" Id="rId1487"/><Relationship Type="http://schemas.openxmlformats.org/officeDocument/2006/relationships/hyperlink" Target="https://www.facebook.com/PhillipsPetFoodandSupplies" TargetMode="External" Id="rId1488"/><Relationship Type="http://schemas.openxmlformats.org/officeDocument/2006/relationships/hyperlink" Target="https://www.facebook.com/profile.php?id=61592865428149" TargetMode="External" Id="rId1489"/><Relationship Type="http://schemas.openxmlformats.org/officeDocument/2006/relationships/hyperlink" Target="https://www.facebook.com/TopShelfDogSupply" TargetMode="External" Id="rId1490"/><Relationship Type="http://schemas.openxmlformats.org/officeDocument/2006/relationships/hyperlink" Target="https://www.facebook.com/naturalpetshop.es" TargetMode="External" Id="rId1491"/><Relationship Type="http://schemas.openxmlformats.org/officeDocument/2006/relationships/hyperlink" Target="https://www.facebook.com/profile.php?id=61552926202334" TargetMode="External" Id="rId1492"/><Relationship Type="http://schemas.openxmlformats.org/officeDocument/2006/relationships/hyperlink" Target="https://www.facebook.com/PerfectPetStudio" TargetMode="External" Id="rId1493"/><Relationship Type="http://schemas.openxmlformats.org/officeDocument/2006/relationships/hyperlink" Target="https://www.facebook.com/GoodboyzPetshop" TargetMode="External" Id="rId1494"/><Relationship Type="http://schemas.openxmlformats.org/officeDocument/2006/relationships/hyperlink" Target="https://www.facebook.com/dogsupplieswarehouse" TargetMode="External" Id="rId1495"/><Relationship Type="http://schemas.openxmlformats.org/officeDocument/2006/relationships/hyperlink" Target="https://www.facebook.com/ligerinhospetshopoficial" TargetMode="External" Id="rId1496"/><Relationship Type="http://schemas.openxmlformats.org/officeDocument/2006/relationships/hyperlink" Target="https://www.facebook.com/profile.php?id=100064175280972" TargetMode="External" Id="rId1497"/><Relationship Type="http://schemas.openxmlformats.org/officeDocument/2006/relationships/hyperlink" Target="https://www.facebook.com/Dogoni.store" TargetMode="External" Id="rId1498"/><Relationship Type="http://schemas.openxmlformats.org/officeDocument/2006/relationships/hyperlink" Target="https://www.facebook.com/profile.php?id=100089286956912" TargetMode="External" Id="rId1499"/><Relationship Type="http://schemas.openxmlformats.org/officeDocument/2006/relationships/hyperlink" Target="https://www.facebook.com/profile.php?id=100089807237910" TargetMode="External" Id="rId1500"/><Relationship Type="http://schemas.openxmlformats.org/officeDocument/2006/relationships/hyperlink" Target="https://www.facebook.com/havedogwilltrain" TargetMode="External" Id="rId1501"/><Relationship Type="http://schemas.openxmlformats.org/officeDocument/2006/relationships/hyperlink" Target="https://www.facebook.com/dogonitsports" TargetMode="External" Id="rId1502"/><Relationship Type="http://schemas.openxmlformats.org/officeDocument/2006/relationships/hyperlink" Target="https://www.facebook.com/OxfordDogSports" TargetMode="External" Id="rId1503"/><Relationship Type="http://schemas.openxmlformats.org/officeDocument/2006/relationships/hyperlink" Target="https://www.facebook.com/profile.php?id=100087954556437" TargetMode="External" Id="rId1504"/><Relationship Type="http://schemas.openxmlformats.org/officeDocument/2006/relationships/hyperlink" Target="https://www.facebook.com/profile.php?id=100094049033615" TargetMode="External" Id="rId1505"/><Relationship Type="http://schemas.openxmlformats.org/officeDocument/2006/relationships/hyperlink" Target="https://www.facebook.com/TwistedWhiskersPetDeliAndSpa" TargetMode="External" Id="rId1506"/><Relationship Type="http://schemas.openxmlformats.org/officeDocument/2006/relationships/hyperlink" Target="https://www.facebook.com/DerbyshireAgility" TargetMode="External" Id="rId1507"/><Relationship Type="http://schemas.openxmlformats.org/officeDocument/2006/relationships/hyperlink" Target="https://www.facebook.com/profile.php?id=61570747320641" TargetMode="External" Id="rId1508"/><Relationship Type="http://schemas.openxmlformats.org/officeDocument/2006/relationships/hyperlink" Target="https://www.facebook.com/groomhappy" TargetMode="External" Id="rId1509"/><Relationship Type="http://schemas.openxmlformats.org/officeDocument/2006/relationships/hyperlink" Target="https://www.facebook.com/profile.php?id=61582067104527" TargetMode="External" Id="rId1510"/><Relationship Type="http://schemas.openxmlformats.org/officeDocument/2006/relationships/hyperlink" Target="https://www.facebook.com/snaggletooths" TargetMode="External" Id="rId1511"/><Relationship Type="http://schemas.openxmlformats.org/officeDocument/2006/relationships/hyperlink" Target="https://www.facebook.com/SweetPinePuppies" TargetMode="External" Id="rId1512"/><Relationship Type="http://schemas.openxmlformats.org/officeDocument/2006/relationships/hyperlink" Target="https://www.facebook.com/profile.php?id=100057169131571" TargetMode="External" Id="rId1513"/><Relationship Type="http://schemas.openxmlformats.org/officeDocument/2006/relationships/hyperlink" Target="https://www.facebook.com/profile.php?id=100064975391834" TargetMode="External" Id="rId1514"/><Relationship Type="http://schemas.openxmlformats.org/officeDocument/2006/relationships/hyperlink" Target="https://www.facebook.com/profile.php?id=100063475899275" TargetMode="External" Id="rId1515"/><Relationship Type="http://schemas.openxmlformats.org/officeDocument/2006/relationships/hyperlink" Target="https://www.facebook.com/profile.php?id=100077338486981" TargetMode="External" Id="rId1516"/><Relationship Type="http://schemas.openxmlformats.org/officeDocument/2006/relationships/hyperlink" Target="https://www.facebook.com/grafika.psy" TargetMode="External" Id="rId1517"/><Relationship Type="http://schemas.openxmlformats.org/officeDocument/2006/relationships/hyperlink" Target="https://www.facebook.com/kennel.opalina" TargetMode="External" Id="rId1518"/><Relationship Type="http://schemas.openxmlformats.org/officeDocument/2006/relationships/hyperlink" Target="https://www.facebook.com/KennelWhistledown" TargetMode="External" Id="rId1519"/><Relationship Type="http://schemas.openxmlformats.org/officeDocument/2006/relationships/hyperlink" Target="https://www.facebook.com/profile.php?id=61574732826847" TargetMode="External" Id="rId1520"/><Relationship Type="http://schemas.openxmlformats.org/officeDocument/2006/relationships/hyperlink" Target="https://www.facebook.com/pinecliffclumbers" TargetMode="External" Id="rId1521"/><Relationship Type="http://schemas.openxmlformats.org/officeDocument/2006/relationships/hyperlink" Target="https://www.facebook.com/honorpointkennels" TargetMode="External" Id="rId1522"/><Relationship Type="http://schemas.openxmlformats.org/officeDocument/2006/relationships/hyperlink" Target="https://www.facebook.com/profile.php?id=100093950252877" TargetMode="External" Id="rId1523"/><Relationship Type="http://schemas.openxmlformats.org/officeDocument/2006/relationships/hyperlink" Target="https://www.facebook.com/doglyfe.ke.kennels" TargetMode="External" Id="rId1524"/><Relationship Type="http://schemas.openxmlformats.org/officeDocument/2006/relationships/hyperlink" Target="https://www.facebook.com/profile.php?id=61565964727721" TargetMode="External" Id="rId1525"/><Relationship Type="http://schemas.openxmlformats.org/officeDocument/2006/relationships/hyperlink" Target="https://www.facebook.com/profile.php?id=100064185751170" TargetMode="External" Id="rId1526"/><Relationship Type="http://schemas.openxmlformats.org/officeDocument/2006/relationships/hyperlink" Target="https://www.facebook.com/KennelRottFrauFortuna" TargetMode="External" Id="rId1527"/><Relationship Type="http://schemas.openxmlformats.org/officeDocument/2006/relationships/hyperlink" Target="https://www.facebook.com/oxiboga" TargetMode="External" Id="rId1528"/><Relationship Type="http://schemas.openxmlformats.org/officeDocument/2006/relationships/hyperlink" Target="https://www.facebook.com/kulturekennelsllc" TargetMode="External" Id="rId1529"/><Relationship Type="http://schemas.openxmlformats.org/officeDocument/2006/relationships/hyperlink" Target="https://www.facebook.com/greenridgekennels" TargetMode="External" Id="rId1530"/><Relationship Type="http://schemas.openxmlformats.org/officeDocument/2006/relationships/hyperlink" Target="https://www.facebook.com/profile.php?id=100089945260030" TargetMode="External" Id="rId1531"/><Relationship Type="http://schemas.openxmlformats.org/officeDocument/2006/relationships/hyperlink" Target="https://www.facebook.com/KennelDreams" TargetMode="External" Id="rId1532"/><Relationship Type="http://schemas.openxmlformats.org/officeDocument/2006/relationships/hyperlink" Target="https://www.facebook.com/profile.php?id=100068880685173" TargetMode="External" Id="rId1533"/><Relationship Type="http://schemas.openxmlformats.org/officeDocument/2006/relationships/hyperlink" Target="https://www.facebook.com/maplehills.kennel" TargetMode="External" Id="rId1534"/><Relationship Type="http://schemas.openxmlformats.org/officeDocument/2006/relationships/hyperlink" Target="https://www.facebook.com/BernHausOnOka" TargetMode="External" Id="rId1535"/><Relationship Type="http://schemas.openxmlformats.org/officeDocument/2006/relationships/hyperlink" Target="https://www.facebook.com/profile.php?id=100063717656054" TargetMode="External" Id="rId1536"/><Relationship Type="http://schemas.openxmlformats.org/officeDocument/2006/relationships/hyperlink" Target="https://www.facebook.com/profile.php?id=100038995313375" TargetMode="External" Id="rId1537"/><Relationship Type="http://schemas.openxmlformats.org/officeDocument/2006/relationships/hyperlink" Target="https://www.facebook.com/profile.php?id=100071217535399" TargetMode="External" Id="rId1538"/><Relationship Type="http://schemas.openxmlformats.org/officeDocument/2006/relationships/hyperlink" Target="https://www.facebook.com/TpKennels" TargetMode="External" Id="rId1539"/><Relationship Type="http://schemas.openxmlformats.org/officeDocument/2006/relationships/hyperlink" Target="https://www.facebook.com/profile.php?id=61555033113749" TargetMode="External" Id="rId1540"/><Relationship Type="http://schemas.openxmlformats.org/officeDocument/2006/relationships/hyperlink" Target="https://www.facebook.com/DLeriher" TargetMode="External" Id="rId1541"/><Relationship Type="http://schemas.openxmlformats.org/officeDocument/2006/relationships/hyperlink" Target="https://www.facebook.com/transformationkennel" TargetMode="External" Id="rId1542"/><Relationship Type="http://schemas.openxmlformats.org/officeDocument/2006/relationships/hyperlink" Target="https://www.facebook.com/profile.php?id=61568341680323" TargetMode="External" Id="rId1543"/><Relationship Type="http://schemas.openxmlformats.org/officeDocument/2006/relationships/hyperlink" Target="https://www.facebook.com/profile.php?id=100063580933790" TargetMode="External" Id="rId1544"/><Relationship Type="http://schemas.openxmlformats.org/officeDocument/2006/relationships/hyperlink" Target="https://www.facebook.com/profile.php?id=100057130553106" TargetMode="External" Id="rId1545"/><Relationship Type="http://schemas.openxmlformats.org/officeDocument/2006/relationships/hyperlink" Target="https://www.facebook.com/profile.php?id=100083366439071" TargetMode="External" Id="rId1546"/><Relationship Type="http://schemas.openxmlformats.org/officeDocument/2006/relationships/hyperlink" Target="https://www.facebook.com/profile.php?id=100093978677164" TargetMode="External" Id="rId1547"/><Relationship Type="http://schemas.openxmlformats.org/officeDocument/2006/relationships/hyperlink" Target="https://www.facebook.com/abemarx" TargetMode="External" Id="rId1548"/><Relationship Type="http://schemas.openxmlformats.org/officeDocument/2006/relationships/hyperlink" Target="https://www.facebook.com/stanricdogeasy" TargetMode="External" Id="rId1549"/><Relationship Type="http://schemas.openxmlformats.org/officeDocument/2006/relationships/hyperlink" Target="https://www.facebook.com/profile.php?id=100058505514554" TargetMode="External" Id="rId1550"/><Relationship Type="http://schemas.openxmlformats.org/officeDocument/2006/relationships/hyperlink" Target="https://www.facebook.com/cottonkisskennel" TargetMode="External" Id="rId1551"/><Relationship Type="http://schemas.openxmlformats.org/officeDocument/2006/relationships/hyperlink" Target="https://www.facebook.com/profile.php?id=100047350361904" TargetMode="External" Id="rId1552"/><Relationship Type="http://schemas.openxmlformats.org/officeDocument/2006/relationships/hyperlink" Target="https://www.facebook.com/profile.php?id=100041817589195" TargetMode="External" Id="rId1553"/><Relationship Type="http://schemas.openxmlformats.org/officeDocument/2006/relationships/hyperlink" Target="https://www.facebook.com/oldredkennelsoninsta" TargetMode="External" Id="rId1554"/><Relationship Type="http://schemas.openxmlformats.org/officeDocument/2006/relationships/hyperlink" Target="https://www.facebook.com/labranzh" TargetMode="External" Id="rId1555"/><Relationship Type="http://schemas.openxmlformats.org/officeDocument/2006/relationships/hyperlink" Target="https://www.facebook.com/doubleluckkennel" TargetMode="External" Id="rId1556"/><Relationship Type="http://schemas.openxmlformats.org/officeDocument/2006/relationships/hyperlink" Target="https://www.facebook.com/profile.php?id=61555700740322" TargetMode="External" Id="rId1557"/><Relationship Type="http://schemas.openxmlformats.org/officeDocument/2006/relationships/hyperlink" Target="https://www.facebook.com/profile.php?id=100064779169323" TargetMode="External" Id="rId1558"/><Relationship Type="http://schemas.openxmlformats.org/officeDocument/2006/relationships/hyperlink" Target="https://www.facebook.com/angelsilvestrekennel" TargetMode="External" Id="rId1559"/><Relationship Type="http://schemas.openxmlformats.org/officeDocument/2006/relationships/hyperlink" Target="https://www.facebook.com/BerjissUA" TargetMode="External" Id="rId1560"/><Relationship Type="http://schemas.openxmlformats.org/officeDocument/2006/relationships/hyperlink" Target="https://www.facebook.com/RoyalKennelsID" TargetMode="External" Id="rId1561"/><Relationship Type="http://schemas.openxmlformats.org/officeDocument/2006/relationships/hyperlink" Target="https://www.facebook.com/StarspitzKennel" TargetMode="External" Id="rId1562"/><Relationship Type="http://schemas.openxmlformats.org/officeDocument/2006/relationships/hyperlink" Target="https://www.facebook.com/raii.kennel" TargetMode="External" Id="rId1563"/><Relationship Type="http://schemas.openxmlformats.org/officeDocument/2006/relationships/hyperlink" Target="https://www.facebook.com/profile.php?id=100054317688722" TargetMode="External" Id="rId1564"/><Relationship Type="http://schemas.openxmlformats.org/officeDocument/2006/relationships/hyperlink" Target="https://www.facebook.com/hausoskokennel" TargetMode="External" Id="rId1565"/><Relationship Type="http://schemas.openxmlformats.org/officeDocument/2006/relationships/hyperlink" Target="https://www.facebook.com/profile.php?id=100093492861211" TargetMode="External" Id="rId1566"/><Relationship Type="http://schemas.openxmlformats.org/officeDocument/2006/relationships/hyperlink" Target="https://www.facebook.com/whitearcticmist" TargetMode="External" Id="rId1567"/><Relationship Type="http://schemas.openxmlformats.org/officeDocument/2006/relationships/hyperlink" Target="https://www.facebook.com/IslandGrovePetKennels" TargetMode="External" Id="rId1568"/><Relationship Type="http://schemas.openxmlformats.org/officeDocument/2006/relationships/hyperlink" Target="https://www.facebook.com/animalloverdesign" TargetMode="External" Id="rId1569"/><Relationship Type="http://schemas.openxmlformats.org/officeDocument/2006/relationships/hyperlink" Target="https://www.facebook.com/profile.php?id=100064303621958" TargetMode="External" Id="rId1570"/><Relationship Type="http://schemas.openxmlformats.org/officeDocument/2006/relationships/hyperlink" Target="https://www.facebook.com/Larigosh1" TargetMode="External" Id="rId1571"/><Relationship Type="http://schemas.openxmlformats.org/officeDocument/2006/relationships/hyperlink" Target="https://www.facebook.com/profile.php?id=100072258877970" TargetMode="External" Id="rId1572"/><Relationship Type="http://schemas.openxmlformats.org/officeDocument/2006/relationships/hyperlink" Target="https://www.facebook.com/swannburg" TargetMode="External" Id="rId1573"/><Relationship Type="http://schemas.openxmlformats.org/officeDocument/2006/relationships/hyperlink" Target="https://www.facebook.com/Linquaskennel" TargetMode="External" Id="rId1574"/><Relationship Type="http://schemas.openxmlformats.org/officeDocument/2006/relationships/hyperlink" Target="https://www.facebook.com/profile.php?id=100063601898651" TargetMode="External" Id="rId1575"/><Relationship Type="http://schemas.openxmlformats.org/officeDocument/2006/relationships/hyperlink" Target="https://www.facebook.com/angelsinleashkennel" TargetMode="External" Id="rId1576"/><Relationship Type="http://schemas.openxmlformats.org/officeDocument/2006/relationships/hyperlink" Target="https://www.facebook.com/profile.php?id=100057390440492" TargetMode="External" Id="rId1577"/><Relationship Type="http://schemas.openxmlformats.org/officeDocument/2006/relationships/hyperlink" Target="https://www.facebook.com/petar.mudrinski" TargetMode="External" Id="rId1578"/><Relationship Type="http://schemas.openxmlformats.org/officeDocument/2006/relationships/hyperlink" Target="https://www.facebook.com/profile.php?id=100089624950296" TargetMode="External" Id="rId1579"/><Relationship Type="http://schemas.openxmlformats.org/officeDocument/2006/relationships/hyperlink" Target="https://www.facebook.com/demidionysiusvomklosterhornbach" TargetMode="External" Id="rId1580"/><Relationship Type="http://schemas.openxmlformats.org/officeDocument/2006/relationships/hyperlink" Target="https://www.facebook.com/obhkennels" TargetMode="External" Id="rId1581"/><Relationship Type="http://schemas.openxmlformats.org/officeDocument/2006/relationships/hyperlink" Target="https://www.facebook.com/SpinazdeCan" TargetMode="External" Id="rId1582"/><Relationship Type="http://schemas.openxmlformats.org/officeDocument/2006/relationships/hyperlink" Target="https://www.facebook.com/rudethekennel" TargetMode="External" Id="rId1583"/><Relationship Type="http://schemas.openxmlformats.org/officeDocument/2006/relationships/hyperlink" Target="https://www.facebook.com/legendaslavyan" TargetMode="External" Id="rId1584"/><Relationship Type="http://schemas.openxmlformats.org/officeDocument/2006/relationships/hyperlink" Target="https://www.facebook.com/wizardmontenegrorott" TargetMode="External" Id="rId1585"/><Relationship Type="http://schemas.openxmlformats.org/officeDocument/2006/relationships/hyperlink" Target="https://www.facebook.com/franetallc" TargetMode="External" Id="rId1586"/><Relationship Type="http://schemas.openxmlformats.org/officeDocument/2006/relationships/hyperlink" Target="https://www.facebook.com/firecrestkennel" TargetMode="External" Id="rId1587"/><Relationship Type="http://schemas.openxmlformats.org/officeDocument/2006/relationships/hyperlink" Target="https://www.facebook.com/Atlanta1978" TargetMode="External" Id="rId1588"/><Relationship Type="http://schemas.openxmlformats.org/officeDocument/2006/relationships/hyperlink" Target="https://www.facebook.com/profile.php?id=100089965091573" TargetMode="External" Id="rId1589"/><Relationship Type="http://schemas.openxmlformats.org/officeDocument/2006/relationships/hyperlink" Target="https://www.facebook.com/Contarinokennel" TargetMode="External" Id="rId1590"/><Relationship Type="http://schemas.openxmlformats.org/officeDocument/2006/relationships/hyperlink" Target="https://www.facebook.com/shaggytale" TargetMode="External" Id="rId1591"/><Relationship Type="http://schemas.openxmlformats.org/officeDocument/2006/relationships/hyperlink" Target="https://www.facebook.com/KATILIANI" TargetMode="External" Id="rId1592"/><Relationship Type="http://schemas.openxmlformats.org/officeDocument/2006/relationships/hyperlink" Target="https://www.facebook.com/profile.php?id=61554294596056" TargetMode="External" Id="rId1593"/><Relationship Type="http://schemas.openxmlformats.org/officeDocument/2006/relationships/hyperlink" Target="https://www.facebook.com/canisadmirabilis" TargetMode="External" Id="rId1594"/><Relationship Type="http://schemas.openxmlformats.org/officeDocument/2006/relationships/hyperlink" Target="https://www.facebook.com/kennelTrials" TargetMode="External" Id="rId1595"/><Relationship Type="http://schemas.openxmlformats.org/officeDocument/2006/relationships/hyperlink" Target="https://www.facebook.com/kennelstarzhy" TargetMode="External" Id="rId1596"/><Relationship Type="http://schemas.openxmlformats.org/officeDocument/2006/relationships/hyperlink" Target="https://www.facebook.com/garmondkennel" TargetMode="External" Id="rId1597"/><Relationship Type="http://schemas.openxmlformats.org/officeDocument/2006/relationships/hyperlink" Target="https://www.facebook.com/profile.php?id=100091367095519" TargetMode="External" Id="rId1598"/><Relationship Type="http://schemas.openxmlformats.org/officeDocument/2006/relationships/hyperlink" Target="https://www.facebook.com/hodowlaprima" TargetMode="External" Id="rId1599"/><Relationship Type="http://schemas.openxmlformats.org/officeDocument/2006/relationships/hyperlink" Target="https://www.facebook.com/jrpena500" TargetMode="External" Id="rId1600"/><Relationship Type="http://schemas.openxmlformats.org/officeDocument/2006/relationships/hyperlink" Target="https://www.facebook.com/Kaimongerheil" TargetMode="External" Id="rId1601"/><Relationship Type="http://schemas.openxmlformats.org/officeDocument/2006/relationships/hyperlink" Target="https://www.facebook.com/profile.php?id=100063703565969" TargetMode="External" Id="rId1602"/><Relationship Type="http://schemas.openxmlformats.org/officeDocument/2006/relationships/hyperlink" Target="https://www.facebook.com/profile.php?id=100063608880697" TargetMode="External" Id="rId1603"/><Relationship Type="http://schemas.openxmlformats.org/officeDocument/2006/relationships/hyperlink" Target="https://www.facebook.com/profile.php?id=100058321696679" TargetMode="External" Id="rId1604"/><Relationship Type="http://schemas.openxmlformats.org/officeDocument/2006/relationships/hyperlink" Target="https://www.facebook.com/profile.php?id=100083031564394" TargetMode="External" Id="rId1605"/><Relationship Type="http://schemas.openxmlformats.org/officeDocument/2006/relationships/hyperlink" Target="https://www.facebook.com/laika.kennels.9" TargetMode="External" Id="rId1606"/><Relationship Type="http://schemas.openxmlformats.org/officeDocument/2006/relationships/hyperlink" Target="https://www.facebook.com/sheamanfarm" TargetMode="External" Id="rId1607"/><Relationship Type="http://schemas.openxmlformats.org/officeDocument/2006/relationships/hyperlink" Target="https://www.facebook.com/emboldenbulldogs" TargetMode="External" Id="rId1608"/><Relationship Type="http://schemas.openxmlformats.org/officeDocument/2006/relationships/hyperlink" Target="https://www.facebook.com/zezo.beek" TargetMode="External" Id="rId1609"/><Relationship Type="http://schemas.openxmlformats.org/officeDocument/2006/relationships/hyperlink" Target="https://www.facebook.com/Superdachs" TargetMode="External" Id="rId1610"/><Relationship Type="http://schemas.openxmlformats.org/officeDocument/2006/relationships/hyperlink" Target="https://www.facebook.com/twintowers.kennel" TargetMode="External" Id="rId1611"/><Relationship Type="http://schemas.openxmlformats.org/officeDocument/2006/relationships/hyperlink" Target="https://www.facebook.com/WestergaardKennelsOakRidgeNC" TargetMode="External" Id="rId1612"/><Relationship Type="http://schemas.openxmlformats.org/officeDocument/2006/relationships/hyperlink" Target="https://www.facebook.com/Ygeiakennel" TargetMode="External" Id="rId1613"/><Relationship Type="http://schemas.openxmlformats.org/officeDocument/2006/relationships/hyperlink" Target="https://www.facebook.com/gladiatorbulls.kennel" TargetMode="External" Id="rId1614"/><Relationship Type="http://schemas.openxmlformats.org/officeDocument/2006/relationships/hyperlink" Target="https://www.facebook.com/kenneldalegudbrand" TargetMode="External" Id="rId1615"/><Relationship Type="http://schemas.openxmlformats.org/officeDocument/2006/relationships/hyperlink" Target="https://www.facebook.com/BamfordPremiumKennel" TargetMode="External" Id="rId1616"/><Relationship Type="http://schemas.openxmlformats.org/officeDocument/2006/relationships/hyperlink" Target="https://www.facebook.com/dognrollkennel" TargetMode="External" Id="rId1617"/><Relationship Type="http://schemas.openxmlformats.org/officeDocument/2006/relationships/hyperlink" Target="https://www.facebook.com/profile.php?id=100054484748804" TargetMode="External" Id="rId1618"/><Relationship Type="http://schemas.openxmlformats.org/officeDocument/2006/relationships/hyperlink" Target="https://www.facebook.com/profile.php?id=100075998886283" TargetMode="External" Id="rId1619"/><Relationship Type="http://schemas.openxmlformats.org/officeDocument/2006/relationships/hyperlink" Target="https://www.facebook.com/bernomanija" TargetMode="External" Id="rId1620"/><Relationship Type="http://schemas.openxmlformats.org/officeDocument/2006/relationships/hyperlink" Target="https://www.facebook.com/MightyWorkers" TargetMode="External" Id="rId1621"/><Relationship Type="http://schemas.openxmlformats.org/officeDocument/2006/relationships/hyperlink" Target="https://www.facebook.com/profile.php?id=100066548225937" TargetMode="External" Id="rId1622"/><Relationship Type="http://schemas.openxmlformats.org/officeDocument/2006/relationships/hyperlink" Target="https://www.facebook.com/profile.php?id=100042841916020" TargetMode="External" Id="rId1623"/><Relationship Type="http://schemas.openxmlformats.org/officeDocument/2006/relationships/hyperlink" Target="https://www.facebook.com/profile.php?id=100055372521103" TargetMode="External" Id="rId1624"/><Relationship Type="http://schemas.openxmlformats.org/officeDocument/2006/relationships/hyperlink" Target="https://www.facebook.com/bayoubloodkennels" TargetMode="External" Id="rId1625"/><Relationship Type="http://schemas.openxmlformats.org/officeDocument/2006/relationships/hyperlink" Target="https://www.facebook.com/TheRusticGuardian" TargetMode="External" Id="rId1626"/><Relationship Type="http://schemas.openxmlformats.org/officeDocument/2006/relationships/hyperlink" Target="https://www.facebook.com/LejuLagusKennel" TargetMode="External" Id="rId1627"/><Relationship Type="http://schemas.openxmlformats.org/officeDocument/2006/relationships/hyperlink" Target="https://www.facebook.com/D1Kennels" TargetMode="External" Id="rId1628"/><Relationship Type="http://schemas.openxmlformats.org/officeDocument/2006/relationships/hyperlink" Target="https://www.facebook.com/PinkRibbonPuppies" TargetMode="External" Id="rId1629"/><Relationship Type="http://schemas.openxmlformats.org/officeDocument/2006/relationships/hyperlink" Target="https://www.facebook.com/Chrishantha.senasinghe" TargetMode="External" Id="rId1630"/><Relationship Type="http://schemas.openxmlformats.org/officeDocument/2006/relationships/hyperlink" Target="https://www.facebook.com/profile.php?id=100072473670694" TargetMode="External" Id="rId1631"/><Relationship Type="http://schemas.openxmlformats.org/officeDocument/2006/relationships/hyperlink" Target="https://www.facebook.com/Kennelrevestreken" TargetMode="External" Id="rId1632"/><Relationship Type="http://schemas.openxmlformats.org/officeDocument/2006/relationships/hyperlink" Target="https://www.facebook.com/varmick.kennels" TargetMode="External" Id="rId1633"/><Relationship Type="http://schemas.openxmlformats.org/officeDocument/2006/relationships/hyperlink" Target="https://www.facebook.com/asokoto.kennel" TargetMode="External" Id="rId1634"/><Relationship Type="http://schemas.openxmlformats.org/officeDocument/2006/relationships/hyperlink" Target="https://www.facebook.com/profile.php?id=100054296001095" TargetMode="External" Id="rId1635"/><Relationship Type="http://schemas.openxmlformats.org/officeDocument/2006/relationships/hyperlink" Target="https://www.facebook.com/kvietukas" TargetMode="External" Id="rId1636"/><Relationship Type="http://schemas.openxmlformats.org/officeDocument/2006/relationships/hyperlink" Target="https://www.facebook.com/profile.php?id=100078452800598" TargetMode="External" Id="rId1637"/><Relationship Type="http://schemas.openxmlformats.org/officeDocument/2006/relationships/hyperlink" Target="https://www.facebook.com/scituatedogpark" TargetMode="External" Id="rId1638"/><Relationship Type="http://schemas.openxmlformats.org/officeDocument/2006/relationships/hyperlink" Target="https://www.facebook.com/profile.php?id=100064644551399" TargetMode="External" Id="rId1639"/><Relationship Type="http://schemas.openxmlformats.org/officeDocument/2006/relationships/hyperlink" Target="https://www.facebook.com/profile.php?id=100080126600145" TargetMode="External" Id="rId1640"/><Relationship Type="http://schemas.openxmlformats.org/officeDocument/2006/relationships/hyperlink" Target="https://www.facebook.com/profile.php?id=61567618980112" TargetMode="External" Id="rId1641"/><Relationship Type="http://schemas.openxmlformats.org/officeDocument/2006/relationships/hyperlink" Target="https://www.facebook.com/pilotstotherescue" TargetMode="External" Id="rId1642"/><Relationship Type="http://schemas.openxmlformats.org/officeDocument/2006/relationships/hyperlink" Target="https://www.facebook.com/profile.php?id=61594746661288" TargetMode="External" Id="rId1643"/><Relationship Type="http://schemas.openxmlformats.org/officeDocument/2006/relationships/hyperlink" Target="https://www.facebook.com/profile.php?id=61577753970399" TargetMode="External" Id="rId1644"/><Relationship Type="http://schemas.openxmlformats.org/officeDocument/2006/relationships/hyperlink" Target="https://www.facebook.com/rebeldogrescue" TargetMode="External" Id="rId1645"/><Relationship Type="http://schemas.openxmlformats.org/officeDocument/2006/relationships/hyperlink" Target="https://www.facebook.com/dogsforadoptionchristchurchcitycouncil" TargetMode="External" Id="rId1646"/><Relationship Type="http://schemas.openxmlformats.org/officeDocument/2006/relationships/hyperlink" Target="https://www.facebook.com/VSRDA" TargetMode="External" Id="rId1647"/><Relationship Type="http://schemas.openxmlformats.org/officeDocument/2006/relationships/hyperlink" Target="https://www.facebook.com/VidaDogRescue" TargetMode="External" Id="rId1648"/><Relationship Type="http://schemas.openxmlformats.org/officeDocument/2006/relationships/hyperlink" Target="https://www.facebook.com/noahsarkanimalhavenandrescue" TargetMode="External" Id="rId1649"/><Relationship Type="http://schemas.openxmlformats.org/officeDocument/2006/relationships/hyperlink" Target="https://www.facebook.com/woofdenrescue" TargetMode="External" Id="rId1650"/><Relationship Type="http://schemas.openxmlformats.org/officeDocument/2006/relationships/hyperlink" Target="https://www.facebook.com/littlelegsdogsrehoming" TargetMode="External" Id="rId1651"/><Relationship Type="http://schemas.openxmlformats.org/officeDocument/2006/relationships/hyperlink" Target="https://www.facebook.com/Catsanimalrescue" TargetMode="External" Id="rId1652"/><Relationship Type="http://schemas.openxmlformats.org/officeDocument/2006/relationships/hyperlink" Target="https://www.facebook.com/DogoRsq" TargetMode="External" Id="rId1653"/><Relationship Type="http://schemas.openxmlformats.org/officeDocument/2006/relationships/hyperlink" Target="https://www.facebook.com/profile.php?id=61594955549014" TargetMode="External" Id="rId1654"/><Relationship Type="http://schemas.openxmlformats.org/officeDocument/2006/relationships/hyperlink" Target="https://www.facebook.com/c2crescue" TargetMode="External" Id="rId1655"/><Relationship Type="http://schemas.openxmlformats.org/officeDocument/2006/relationships/hyperlink" Target="https://www.facebook.com/drumindoney" TargetMode="External" Id="rId1656"/><Relationship Type="http://schemas.openxmlformats.org/officeDocument/2006/relationships/hyperlink" Target="https://www.facebook.com/profile.php?id=61576555204707" TargetMode="External" Id="rId1657"/><Relationship Type="http://schemas.openxmlformats.org/officeDocument/2006/relationships/hyperlink" Target="https://www.facebook.com/serenitybmd" TargetMode="External" Id="rId1658"/><Relationship Type="http://schemas.openxmlformats.org/officeDocument/2006/relationships/hyperlink" Target="https://www.facebook.com/lehmanbernesemountaindogs" TargetMode="External" Id="rId1659"/><Relationship Type="http://schemas.openxmlformats.org/officeDocument/2006/relationships/hyperlink" Target="https://www.facebook.com/AmSheltieAssn" TargetMode="External" Id="rId1660"/><Relationship Type="http://schemas.openxmlformats.org/officeDocument/2006/relationships/hyperlink" Target="https://www.facebook.com/profile.php?id=100089425025943" TargetMode="External" Id="rId1661"/><Relationship Type="http://schemas.openxmlformats.org/officeDocument/2006/relationships/hyperlink" Target="https://www.facebook.com/RedRanchDogs" TargetMode="External" Id="rId1662"/><Relationship Type="http://schemas.openxmlformats.org/officeDocument/2006/relationships/hyperlink" Target="https://www.facebook.com/profile.php?id=100063694713232" TargetMode="External" Id="rId1663"/><Relationship Type="http://schemas.openxmlformats.org/officeDocument/2006/relationships/hyperlink" Target="https://www.facebook.com/ShaggyBeautyOldEnglishSheepdogs" TargetMode="External" Id="rId1664"/><Relationship Type="http://schemas.openxmlformats.org/officeDocument/2006/relationships/hyperlink" Target="https://www.facebook.com/profile.php?id=100057320033767" TargetMode="External" Id="rId1665"/><Relationship Type="http://schemas.openxmlformats.org/officeDocument/2006/relationships/hyperlink" Target="https://www.facebook.com/oliviathepuppyprincess" TargetMode="External" Id="rId1666"/><Relationship Type="http://schemas.openxmlformats.org/officeDocument/2006/relationships/hyperlink" Target="https://www.facebook.com/ThePetShipper" TargetMode="External" Id="rId1667"/><Relationship Type="http://schemas.openxmlformats.org/officeDocument/2006/relationships/hyperlink" Target="https://www.facebook.com/funkydogsofwindsor" TargetMode="External" Id="rId1668"/><Relationship Type="http://schemas.openxmlformats.org/officeDocument/2006/relationships/hyperlink" Target="https://www.facebook.com/thepetlabco" TargetMode="External" Id="rId1669"/><Relationship Type="http://schemas.openxmlformats.org/officeDocument/2006/relationships/hyperlink" Target="https://www.facebook.com/profile.php?id=61571455807094" TargetMode="External" Id="rId1670"/><Relationship Type="http://schemas.openxmlformats.org/officeDocument/2006/relationships/hyperlink" Target="https://www.facebook.com/wallabywaycobberdogs" TargetMode="External" Id="rId1671"/><Relationship Type="http://schemas.openxmlformats.org/officeDocument/2006/relationships/hyperlink" Target="https://www.facebook.com/profile.php?id=61578261784965" TargetMode="External" Id="rId1672"/><Relationship Type="http://schemas.openxmlformats.org/officeDocument/2006/relationships/hyperlink" Target="https://www.facebook.com/profile.php?id=100057037586740" TargetMode="External" Id="rId1673"/><Relationship Type="http://schemas.openxmlformats.org/officeDocument/2006/relationships/hyperlink" Target="https://www.facebook.com/profile.php?id=61587185803536" TargetMode="External" Id="rId1674"/><Relationship Type="http://schemas.openxmlformats.org/officeDocument/2006/relationships/hyperlink" Target="https://www.facebook.com/profile.php?id=100091325905847" TargetMode="External" Id="rId1675"/><Relationship Type="http://schemas.openxmlformats.org/officeDocument/2006/relationships/hyperlink" Target="https://www.facebook.com/profile.php?id=100066518446392" TargetMode="External" Id="rId1676"/><Relationship Type="http://schemas.openxmlformats.org/officeDocument/2006/relationships/hyperlink" Target="https://www.facebook.com/northstarbmd" TargetMode="External" Id="rId1677"/><Relationship Type="http://schemas.openxmlformats.org/officeDocument/2006/relationships/hyperlink" Target="https://www.facebook.com/profile.php?id=61588276973531" TargetMode="External" Id="rId1678"/><Relationship Type="http://schemas.openxmlformats.org/officeDocument/2006/relationships/hyperlink" Target="https://www.facebook.com/profile.php?id=100067997065392" TargetMode="External" Id="rId1679"/><Relationship Type="http://schemas.openxmlformats.org/officeDocument/2006/relationships/hyperlink" Target="https://www.facebook.com/OliviaTheBlueHound" TargetMode="External" Id="rId1680"/><Relationship Type="http://schemas.openxmlformats.org/officeDocument/2006/relationships/hyperlink" Target="https://www.facebook.com/HRBMDF" TargetMode="External" Id="rId1681"/><Relationship Type="http://schemas.openxmlformats.org/officeDocument/2006/relationships/hyperlink" Target="https://www.facebook.com/HickoryBerneseMountainDogs" TargetMode="External" Id="rId1682"/><Relationship Type="http://schemas.openxmlformats.org/officeDocument/2006/relationships/hyperlink" Target="https://www.facebook.com/profile.php?id=100066792144987" TargetMode="External" Id="rId1683"/><Relationship Type="http://schemas.openxmlformats.org/officeDocument/2006/relationships/hyperlink" Target="https://www.facebook.com/profile.php?id=100077443095389" TargetMode="External" Id="rId1684"/><Relationship Type="http://schemas.openxmlformats.org/officeDocument/2006/relationships/hyperlink" Target="https://www.facebook.com/DoubleGDogs" TargetMode="External" Id="rId1685"/><Relationship Type="http://schemas.openxmlformats.org/officeDocument/2006/relationships/hyperlink" Target="https://www.facebook.com/profile.php?id=100067132381515" TargetMode="External" Id="rId1686"/><Relationship Type="http://schemas.openxmlformats.org/officeDocument/2006/relationships/hyperlink" Target="https://www.facebook.com/profile.php?id=61574683565110" TargetMode="External" Id="rId1687"/><Relationship Type="http://schemas.openxmlformats.org/officeDocument/2006/relationships/hyperlink" Target="https://www.facebook.com/thepuppygym" TargetMode="External" Id="rId1688"/><Relationship Type="http://schemas.openxmlformats.org/officeDocument/2006/relationships/hyperlink" Target="https://www.facebook.com/GundogsUK" TargetMode="External" Id="rId1689"/><Relationship Type="http://schemas.openxmlformats.org/officeDocument/2006/relationships/hyperlink" Target="https://www.facebook.com/profile.php?id=100057547055889" TargetMode="External" Id="rId1690"/><Relationship Type="http://schemas.openxmlformats.org/officeDocument/2006/relationships/hyperlink" Target="https://www.facebook.com/whippetreview" TargetMode="External" Id="rId1691"/><Relationship Type="http://schemas.openxmlformats.org/officeDocument/2006/relationships/hyperlink" Target="https://www.facebook.com/Smith7883" TargetMode="External" Id="rId1692"/><Relationship Type="http://schemas.openxmlformats.org/officeDocument/2006/relationships/hyperlink" Target="https://www.facebook.com/kalnusuo.bernesemountainkennel" TargetMode="External" Id="rId1693"/><Relationship Type="http://schemas.openxmlformats.org/officeDocument/2006/relationships/hyperlink" Target="https://www.facebook.com/vasciabloodhound" TargetMode="External" Id="rId1694"/><Relationship Type="http://schemas.openxmlformats.org/officeDocument/2006/relationships/hyperlink" Target="https://www.facebook.com/sillybeagledog" TargetMode="External" Id="rId1695"/><Relationship Type="http://schemas.openxmlformats.org/officeDocument/2006/relationships/hyperlink" Target="https://www.facebook.com/LillyTheBerneseMountainDog" TargetMode="External" Id="rId1696"/><Relationship Type="http://schemas.openxmlformats.org/officeDocument/2006/relationships/hyperlink" Target="https://www.facebook.com/RCBMD" TargetMode="External" Id="rId1697"/><Relationship Type="http://schemas.openxmlformats.org/officeDocument/2006/relationships/hyperlink" Target="https://www.facebook.com/profile.php?id=100063651274445" TargetMode="External" Id="rId1698"/><Relationship Type="http://schemas.openxmlformats.org/officeDocument/2006/relationships/hyperlink" Target="https://www.facebook.com/bellavitabmd" TargetMode="External" Id="rId1699"/><Relationship Type="http://schemas.openxmlformats.org/officeDocument/2006/relationships/hyperlink" Target="https://www.facebook.com/profile.php?id=100031026622639" TargetMode="External" Id="rId1700"/><Relationship Type="http://schemas.openxmlformats.org/officeDocument/2006/relationships/hyperlink" Target="https://www.facebook.com/profile.php?id=100066305601937" TargetMode="External" Id="rId1701"/><Relationship Type="http://schemas.openxmlformats.org/officeDocument/2006/relationships/hyperlink" Target="https://www.facebook.com/doggieleaks" TargetMode="External" Id="rId1702"/><Relationship Type="http://schemas.openxmlformats.org/officeDocument/2006/relationships/hyperlink" Target="https://www.facebook.com/profile.php?id=100088441307380" TargetMode="External" Id="rId1703"/><Relationship Type="http://schemas.openxmlformats.org/officeDocument/2006/relationships/hyperlink" Target="https://www.facebook.com/MadMaplesMyGirlVada" TargetMode="External" Id="rId1704"/><Relationship Type="http://schemas.openxmlformats.org/officeDocument/2006/relationships/hyperlink" Target="https://www.facebook.com/dogalleyfarmllc" TargetMode="External" Id="rId1705"/><Relationship Type="http://schemas.openxmlformats.org/officeDocument/2006/relationships/hyperlink" Target="https://www.facebook.com/1BerneseMountainDog" TargetMode="External" Id="rId1706"/><Relationship Type="http://schemas.openxmlformats.org/officeDocument/2006/relationships/hyperlink" Target="https://www.facebook.com/profile.php?id=100064833754105" TargetMode="External" Id="rId1707"/><Relationship Type="http://schemas.openxmlformats.org/officeDocument/2006/relationships/hyperlink" Target="https://www.facebook.com/profile.php?id=100063560447648" TargetMode="External" Id="rId1708"/><Relationship Type="http://schemas.openxmlformats.org/officeDocument/2006/relationships/hyperlink" Target="https://www.facebook.com/profile.php?id=100070255400533" TargetMode="External" Id="rId1709"/><Relationship Type="http://schemas.openxmlformats.org/officeDocument/2006/relationships/hyperlink" Target="https://www.facebook.com/ABigDogTacticalLlc" TargetMode="External" Id="rId1710"/><Relationship Type="http://schemas.openxmlformats.org/officeDocument/2006/relationships/hyperlink" Target="https://www.facebook.com/nashemsbernese" TargetMode="External" Id="rId1711"/><Relationship Type="http://schemas.openxmlformats.org/officeDocument/2006/relationships/hyperlink" Target="https://www.facebook.com/profile.php?id=100063782467252" TargetMode="External" Id="rId1712"/><Relationship Type="http://schemas.openxmlformats.org/officeDocument/2006/relationships/hyperlink" Target="https://www.facebook.com/profile.php?id=100054528576133" TargetMode="External" Id="rId1713"/><Relationship Type="http://schemas.openxmlformats.org/officeDocument/2006/relationships/hyperlink" Target="https://www.facebook.com/magicberners" TargetMode="External" Id="rId1714"/><Relationship Type="http://schemas.openxmlformats.org/officeDocument/2006/relationships/hyperlink" Target="https://www.facebook.com/AUSTRALIAN.COBBER.DOGS" TargetMode="External" Id="rId1715"/><Relationship Type="http://schemas.openxmlformats.org/officeDocument/2006/relationships/hyperlink" Target="https://www.facebook.com/Perfect.Puppy.Care" TargetMode="External" Id="rId1716"/><Relationship Type="http://schemas.openxmlformats.org/officeDocument/2006/relationships/hyperlink" Target="https://www.facebook.com/SFSamoyedRescue" TargetMode="External" Id="rId1717"/><Relationship Type="http://schemas.openxmlformats.org/officeDocument/2006/relationships/hyperlink" Target="https://www.facebook.com/BandogdelosGladiadores" TargetMode="External" Id="rId1718"/><Relationship Type="http://schemas.openxmlformats.org/officeDocument/2006/relationships/hyperlink" Target="https://www.facebook.com/bernesemountaindogpage" TargetMode="External" Id="rId1719"/><Relationship Type="http://schemas.openxmlformats.org/officeDocument/2006/relationships/hyperlink" Target="https://www.facebook.com/profile.php?id=100081464883636" TargetMode="External" Id="rId1720"/><Relationship Type="http://schemas.openxmlformats.org/officeDocument/2006/relationships/hyperlink" Target="https://www.facebook.com/profile.php?id=100067538316333" TargetMode="External" Id="rId1721"/><Relationship Type="http://schemas.openxmlformats.org/officeDocument/2006/relationships/hyperlink" Target="https://www.facebook.com/profile.php?id=100069745567009" TargetMode="External" Id="rId1722"/><Relationship Type="http://schemas.openxmlformats.org/officeDocument/2006/relationships/hyperlink" Target="https://www.facebook.com/houstonk9academy" TargetMode="External" Id="rId1723"/><Relationship Type="http://schemas.openxmlformats.org/officeDocument/2006/relationships/hyperlink" Target="https://www.facebook.com/Ryanslawncareservicellc" TargetMode="External" Id="rId1724"/><Relationship Type="http://schemas.openxmlformats.org/officeDocument/2006/relationships/hyperlink" Target="https://www.facebook.com/profile.php?id=100076011995529" TargetMode="External" Id="rId1725"/><Relationship Type="http://schemas.openxmlformats.org/officeDocument/2006/relationships/hyperlink" Target="https://www.facebook.com/pps2006" TargetMode="External" Id="rId1726"/><Relationship Type="http://schemas.openxmlformats.org/officeDocument/2006/relationships/hyperlink" Target="https://www.facebook.com/mccanndogs" TargetMode="External" Id="rId1727"/><Relationship Type="http://schemas.openxmlformats.org/officeDocument/2006/relationships/hyperlink" Target="https://www.facebook.com/naturedietpets" TargetMode="External" Id="rId1728"/><Relationship Type="http://schemas.openxmlformats.org/officeDocument/2006/relationships/hyperlink" Target="https://www.facebook.com/naturalbalance" TargetMode="External" Id="rId1729"/><Relationship Type="http://schemas.openxmlformats.org/officeDocument/2006/relationships/hyperlink" Target="https://www.facebook.com/jessmeyer66" TargetMode="External" Id="rId1730"/><Relationship Type="http://schemas.openxmlformats.org/officeDocument/2006/relationships/hyperlink" Target="https://www.facebook.com/profile.php?id=100063510404556" TargetMode="External" Id="rId1731"/><Relationship Type="http://schemas.openxmlformats.org/officeDocument/2006/relationships/hyperlink" Target="https://www.facebook.com/TheDogHousePage" TargetMode="External" Id="rId1732"/><Relationship Type="http://schemas.openxmlformats.org/officeDocument/2006/relationships/hyperlink" Target="https://www.facebook.com/nativepet" TargetMode="External" Id="rId1733"/><Relationship Type="http://schemas.openxmlformats.org/officeDocument/2006/relationships/hyperlink" Target="https://www.facebook.com/cityofdogs" TargetMode="External" Id="rId1734"/><Relationship Type="http://schemas.openxmlformats.org/officeDocument/2006/relationships/hyperlink" Target="https://www.facebook.com/PetsAddLife" TargetMode="External" Id="rId1735"/><Relationship Type="http://schemas.openxmlformats.org/officeDocument/2006/relationships/hyperlink" Target="https://www.facebook.com/expositioncaninegeneve" TargetMode="External" Id="rId1736"/><Relationship Type="http://schemas.openxmlformats.org/officeDocument/2006/relationships/hyperlink" Target="https://www.facebook.com/DiamondBirdDogs" TargetMode="External" Id="rId1737"/><Relationship Type="http://schemas.openxmlformats.org/officeDocument/2006/relationships/hyperlink" Target="https://www.facebook.com/profile.php?id=61571568916153" TargetMode="External" Id="rId1738"/><Relationship Type="http://schemas.openxmlformats.org/officeDocument/2006/relationships/hyperlink" Target="https://www.facebook.com/holycowtfp" TargetMode="External" Id="rId1739"/><Relationship Type="http://schemas.openxmlformats.org/officeDocument/2006/relationships/hyperlink" Target="https://www.facebook.com/dogfoodadvisor" TargetMode="External" Id="rId1740"/><Relationship Type="http://schemas.openxmlformats.org/officeDocument/2006/relationships/hyperlink" Target="https://www.facebook.com/adrianstoica.dogcoach" TargetMode="External" Id="rId1741"/><Relationship Type="http://schemas.openxmlformats.org/officeDocument/2006/relationships/hyperlink" Target="https://www.facebook.com/Equiderma" TargetMode="External" Id="rId1742"/><Relationship Type="http://schemas.openxmlformats.org/officeDocument/2006/relationships/hyperlink" Target="https://www.facebook.com/PetFoodWarehouse" TargetMode="External" Id="rId1743"/><Relationship Type="http://schemas.openxmlformats.org/officeDocument/2006/relationships/hyperlink" Target="https://www.facebook.com/profile.php?id=100018432656717" TargetMode="External" Id="rId1744"/><Relationship Type="http://schemas.openxmlformats.org/officeDocument/2006/relationships/hyperlink" Target="https://www.facebook.com/PetMunchies" TargetMode="External" Id="rId1745"/><Relationship Type="http://schemas.openxmlformats.org/officeDocument/2006/relationships/hyperlink" Target="https://www.facebook.com/perrosdebusqueda" TargetMode="External" Id="rId1746"/><Relationship Type="http://schemas.openxmlformats.org/officeDocument/2006/relationships/hyperlink" Target="https://www.facebook.com/DogsDayOutMawsonLakes" TargetMode="External" Id="rId1747"/><Relationship Type="http://schemas.openxmlformats.org/officeDocument/2006/relationships/hyperlink" Target="https://www.facebook.com/DogsShutter" TargetMode="External" Id="rId1748"/><Relationship Type="http://schemas.openxmlformats.org/officeDocument/2006/relationships/hyperlink" Target="https://www.facebook.com/connectivek9" TargetMode="External" Id="rId1749"/><Relationship Type="http://schemas.openxmlformats.org/officeDocument/2006/relationships/hyperlink" Target="https://www.facebook.com/tripdogphotography" TargetMode="External" Id="rId1750"/><Relationship Type="http://schemas.openxmlformats.org/officeDocument/2006/relationships/hyperlink" Target="https://www.facebook.com/dogaginginstitute" TargetMode="External" Id="rId1751"/><Relationship Type="http://schemas.openxmlformats.org/officeDocument/2006/relationships/hyperlink" Target="https://www.facebook.com/akcmuseumofthedog" TargetMode="External" Id="rId1752"/><Relationship Type="http://schemas.openxmlformats.org/officeDocument/2006/relationships/hyperlink" Target="https://www.facebook.com/profile.php?id=100076068285620" TargetMode="External" Id="rId1753"/><Relationship Type="http://schemas.openxmlformats.org/officeDocument/2006/relationships/hyperlink" Target="https://www.facebook.com/snoggydogs" TargetMode="External" Id="rId1754"/><Relationship Type="http://schemas.openxmlformats.org/officeDocument/2006/relationships/hyperlink" Target="https://www.facebook.com/OglalaPetProject" TargetMode="External" Id="rId1755"/><Relationship Type="http://schemas.openxmlformats.org/officeDocument/2006/relationships/hyperlink" Target="https://www.facebook.com/moosemountaindog" TargetMode="External" Id="rId1756"/><Relationship Type="http://schemas.openxmlformats.org/officeDocument/2006/relationships/hyperlink" Target="https://www.facebook.com/charleysangelspet" TargetMode="External" Id="rId1757"/><Relationship Type="http://schemas.openxmlformats.org/officeDocument/2006/relationships/hyperlink" Target="https://www.facebook.com/profile.php?id=61552970423091" TargetMode="External" Id="rId1758"/><Relationship Type="http://schemas.openxmlformats.org/officeDocument/2006/relationships/hyperlink" Target="https://www.facebook.com/petlandaps" TargetMode="External" Id="rId1759"/><Relationship Type="http://schemas.openxmlformats.org/officeDocument/2006/relationships/hyperlink" Target="https://www.facebook.com/bucharestdogshows" TargetMode="External" Id="rId1760"/><Relationship Type="http://schemas.openxmlformats.org/officeDocument/2006/relationships/hyperlink" Target="https://www.facebook.com/Dogshowlive" TargetMode="External" Id="rId1761"/><Relationship Type="http://schemas.openxmlformats.org/officeDocument/2006/relationships/hyperlink" Target="https://www.facebook.com/petguru.ro" TargetMode="External" Id="rId1762"/><Relationship Type="http://schemas.openxmlformats.org/officeDocument/2006/relationships/hyperlink" Target="https://www.facebook.com/dogsdisclosed" TargetMode="External" Id="rId1763"/><Relationship Type="http://schemas.openxmlformats.org/officeDocument/2006/relationships/hyperlink" Target="https://www.facebook.com/tastylife.petfood" TargetMode="External" Id="rId1764"/><Relationship Type="http://schemas.openxmlformats.org/officeDocument/2006/relationships/hyperlink" Target="https://www.facebook.com/TopDogXLBullies" TargetMode="External" Id="rId1765"/><Relationship Type="http://schemas.openxmlformats.org/officeDocument/2006/relationships/hyperlink" Target="https://www.facebook.com/hittdog" TargetMode="External" Id="rId1766"/><Relationship Type="http://schemas.openxmlformats.org/officeDocument/2006/relationships/hyperlink" Target="https://www.facebook.com/kennelnadshell" TargetMode="External" Id="rId1767"/><Relationship Type="http://schemas.openxmlformats.org/officeDocument/2006/relationships/hyperlink" Target="https://www.facebook.com/skipthedogtrainer" TargetMode="External" Id="rId1768"/><Relationship Type="http://schemas.openxmlformats.org/officeDocument/2006/relationships/hyperlink" Target="https://www.facebook.com/happytails.spc" TargetMode="External" Id="rId1769"/><Relationship Type="http://schemas.openxmlformats.org/officeDocument/2006/relationships/hyperlink" Target="https://www.facebook.com/raudogshows" TargetMode="External" Id="rId1770"/><Relationship Type="http://schemas.openxmlformats.org/officeDocument/2006/relationships/hyperlink" Target="https://www.facebook.com/dogstv9" TargetMode="External" Id="rId1771"/><Relationship Type="http://schemas.openxmlformats.org/officeDocument/2006/relationships/hyperlink" Target="https://www.facebook.com/SexyBeastK9" TargetMode="External" Id="rId1772"/><Relationship Type="http://schemas.openxmlformats.org/officeDocument/2006/relationships/hyperlink" Target="https://www.facebook.com/thepublicpet" TargetMode="External" Id="rId1773"/><Relationship Type="http://schemas.openxmlformats.org/officeDocument/2006/relationships/hyperlink" Target="https://www.facebook.com/profile.php?id=100070135980077" TargetMode="External" Id="rId1774"/><Relationship Type="http://schemas.openxmlformats.org/officeDocument/2006/relationships/hyperlink" Target="https://www.facebook.com/profile.php?id=61586336013637" TargetMode="External" Id="rId1775"/><Relationship Type="http://schemas.openxmlformats.org/officeDocument/2006/relationships/hyperlink" Target="https://www.facebook.com/RoadiesAndRescues" TargetMode="External" Id="rId1776"/><Relationship Type="http://schemas.openxmlformats.org/officeDocument/2006/relationships/hyperlink" Target="https://www.facebook.com/dogshowph" TargetMode="External" Id="rId1777"/><Relationship Type="http://schemas.openxmlformats.org/officeDocument/2006/relationships/hyperlink" Target="https://www.facebook.com/K7Stockdogs" TargetMode="External" Id="rId1778"/><Relationship Type="http://schemas.openxmlformats.org/officeDocument/2006/relationships/hyperlink" Target="https://www.facebook.com/profile.php?id=61579853403450" TargetMode="External" Id="rId1779"/><Relationship Type="http://schemas.openxmlformats.org/officeDocument/2006/relationships/hyperlink" Target="https://www.facebook.com/amazdog" TargetMode="External" Id="rId1780"/><Relationship Type="http://schemas.openxmlformats.org/officeDocument/2006/relationships/hyperlink" Target="https://www.facebook.com/TruthaboutPetFood" TargetMode="External" Id="rId1781"/><Relationship Type="http://schemas.openxmlformats.org/officeDocument/2006/relationships/hyperlink" Target="https://www.facebook.com/rescuebeaconorg" TargetMode="External" Id="rId1782"/><Relationship Type="http://schemas.openxmlformats.org/officeDocument/2006/relationships/hyperlink" Target="https://www.facebook.com/profile.php?id=61582927860179" TargetMode="External" Id="rId1783"/><Relationship Type="http://schemas.openxmlformats.org/officeDocument/2006/relationships/hyperlink" Target="https://www.facebook.com/dog.house.asd" TargetMode="External" Id="rId1784"/><Relationship Type="http://schemas.openxmlformats.org/officeDocument/2006/relationships/hyperlink" Target="https://www.facebook.com/victorpetfood" TargetMode="External" Id="rId1785"/><Relationship Type="http://schemas.openxmlformats.org/officeDocument/2006/relationships/hyperlink" Target="https://www.facebook.com/barkerydogtreats" TargetMode="External" Id="rId1786"/><Relationship Type="http://schemas.openxmlformats.org/officeDocument/2006/relationships/hyperlink" Target="https://www.facebook.com/Pettour.eu" TargetMode="External" Id="rId1787"/><Relationship Type="http://schemas.openxmlformats.org/officeDocument/2006/relationships/hyperlink" Target="https://www.facebook.com/BayCityPetTravel" TargetMode="External" Id="rId1788"/><Relationship Type="http://schemas.openxmlformats.org/officeDocument/2006/relationships/hyperlink" Target="https://www.facebook.com/dogtailski" TargetMode="External" Id="rId1789"/><Relationship Type="http://schemas.openxmlformats.org/officeDocument/2006/relationships/hyperlink" Target="https://www.facebook.com/profile.php?id=61586618194885" TargetMode="External" Id="rId1790"/><Relationship Type="http://schemas.openxmlformats.org/officeDocument/2006/relationships/hyperlink" Target="https://www.facebook.com/aireqro" TargetMode="External" Id="rId1791"/><Relationship Type="http://schemas.openxmlformats.org/officeDocument/2006/relationships/hyperlink" Target="https://www.facebook.com/BrigadoonServiceDogs" TargetMode="External" Id="rId1792"/><Relationship Type="http://schemas.openxmlformats.org/officeDocument/2006/relationships/hyperlink" Target="https://www.facebook.com/profile.php?id=100048569958700" TargetMode="External" Id="rId1793"/><Relationship Type="http://schemas.openxmlformats.org/officeDocument/2006/relationships/hyperlink" Target="https://www.facebook.com/DogNosticseducation" TargetMode="External" Id="rId1794"/><Relationship Type="http://schemas.openxmlformats.org/officeDocument/2006/relationships/hyperlink" Target="https://www.facebook.com/DynamicDogUK" TargetMode="External" Id="rId1795"/><Relationship Type="http://schemas.openxmlformats.org/officeDocument/2006/relationships/hyperlink" Target="https://www.facebook.com/dogtalentchioggia" TargetMode="External" Id="rId1796"/><Relationship Type="http://schemas.openxmlformats.org/officeDocument/2006/relationships/hyperlink" Target="https://www.facebook.com/Pet.Alert.Castilla.Leon" TargetMode="External" Id="rId1797"/><Relationship Type="http://schemas.openxmlformats.org/officeDocument/2006/relationships/hyperlink" Target="https://www.facebook.com/DogMemesGalore" TargetMode="External" Id="rId1798"/><Relationship Type="http://schemas.openxmlformats.org/officeDocument/2006/relationships/hyperlink" Target="https://www.facebook.com/SpinifexDogShowPhotography" TargetMode="External" Id="rId1799"/><Relationship Type="http://schemas.openxmlformats.org/officeDocument/2006/relationships/hyperlink" Target="https://www.facebook.com/profile.php?id=61561026205790" TargetMode="External" Id="rId1800"/><Relationship Type="http://schemas.openxmlformats.org/officeDocument/2006/relationships/hyperlink" Target="https://www.facebook.com/MountainStatesStockdog" TargetMode="External" Id="rId1801"/><Relationship Type="http://schemas.openxmlformats.org/officeDocument/2006/relationships/hyperlink" Target="https://www.facebook.com/lokithewolfdog" TargetMode="External" Id="rId1802"/><Relationship Type="http://schemas.openxmlformats.org/officeDocument/2006/relationships/hyperlink" Target="https://www.facebook.com/ShadowDogDesign" TargetMode="External" Id="rId1803"/><Relationship Type="http://schemas.openxmlformats.org/officeDocument/2006/relationships/hyperlink" Target="https://www.facebook.com/profile.php?id=100057143212725" TargetMode="External" Id="rId1804"/><Relationship Type="http://schemas.openxmlformats.org/officeDocument/2006/relationships/hyperlink" Target="https://www.facebook.com/profile.php?id=61556373790195" TargetMode="External" Id="rId1805"/><Relationship Type="http://schemas.openxmlformats.org/officeDocument/2006/relationships/hyperlink" Target="https://www.facebook.com/DoggieAdventuresInDubai" TargetMode="External" Id="rId1806"/><Relationship Type="http://schemas.openxmlformats.org/officeDocument/2006/relationships/hyperlink" Target="https://www.facebook.com/chinh.phan.5855" TargetMode="External" Id="rId1807"/><Relationship Type="http://schemas.openxmlformats.org/officeDocument/2006/relationships/hyperlink" Target="https://www.facebook.com/petru.muntean1" TargetMode="External" Id="rId1808"/><Relationship Type="http://schemas.openxmlformats.org/officeDocument/2006/relationships/hyperlink" Target="https://www.facebook.com/freespiritdogs" TargetMode="External" Id="rId1809"/><Relationship Type="http://schemas.openxmlformats.org/officeDocument/2006/relationships/hyperlink" Target="https://www.facebook.com/DogsMoveExtreme" TargetMode="External" Id="rId1810"/><Relationship Type="http://schemas.openxmlformats.org/officeDocument/2006/relationships/hyperlink" Target="https://www.facebook.com/mxlpetfriendly" TargetMode="External" Id="rId1811"/><Relationship Type="http://schemas.openxmlformats.org/officeDocument/2006/relationships/hyperlink" Target="https://www.facebook.com/TheISDS" TargetMode="External" Id="rId1812"/><Relationship Type="http://schemas.openxmlformats.org/officeDocument/2006/relationships/hyperlink" Target="https://www.facebook.com/peterbeckett.player" TargetMode="External" Id="rId1813"/><Relationship Type="http://schemas.openxmlformats.org/officeDocument/2006/relationships/hyperlink" Target="https://www.facebook.com/NCJCarpetCare" TargetMode="External" Id="rId1814"/><Relationship Type="http://schemas.openxmlformats.org/officeDocument/2006/relationships/hyperlink" Target="https://www.facebook.com/profile.php?id=100086026507743" TargetMode="External" Id="rId1815"/><Relationship Type="http://schemas.openxmlformats.org/officeDocument/2006/relationships/hyperlink" Target="https://www.facebook.com/riverdogrun" TargetMode="External" Id="rId1816"/><Relationship Type="http://schemas.openxmlformats.org/officeDocument/2006/relationships/hyperlink" Target="https://www.facebook.com/profile.php?id=61552692923727" TargetMode="External" Id="rId1817"/><Relationship Type="http://schemas.openxmlformats.org/officeDocument/2006/relationships/hyperlink" Target="https://www.facebook.com/PetsenseRome" TargetMode="External" Id="rId1818"/><Relationship Type="http://schemas.openxmlformats.org/officeDocument/2006/relationships/hyperlink" Target="https://www.facebook.com/PetsenseHobbs" TargetMode="External" Id="rId1819"/><Relationship Type="http://schemas.openxmlformats.org/officeDocument/2006/relationships/hyperlink" Target="https://www.facebook.com/dogfitnesscz" TargetMode="External" Id="rId1820"/><Relationship Type="http://schemas.openxmlformats.org/officeDocument/2006/relationships/hyperlink" Target="https://www.facebook.com/dogoargentinoindiapunjab" TargetMode="External" Id="rId1821"/><Relationship Type="http://schemas.openxmlformats.org/officeDocument/2006/relationships/hyperlink" Target="https://www.facebook.com/dogssa" TargetMode="External" Id="rId1822"/><Relationship Type="http://schemas.openxmlformats.org/officeDocument/2006/relationships/hyperlink" Target="https://www.facebook.com/EzyDogTaiwan" TargetMode="External" Id="rId1823"/><Relationship Type="http://schemas.openxmlformats.org/officeDocument/2006/relationships/hyperlink" Target="https://www.facebook.com/greatamericandogshow" TargetMode="External" Id="rId1824"/><Relationship Type="http://schemas.openxmlformats.org/officeDocument/2006/relationships/hyperlink" Target="https://www.facebook.com/FluentPet" TargetMode="External" Id="rId1825"/><Relationship Type="http://schemas.openxmlformats.org/officeDocument/2006/relationships/hyperlink" Target="https://www.facebook.com/TedsHotDogs" TargetMode="External" Id="rId1826"/><Relationship Type="http://schemas.openxmlformats.org/officeDocument/2006/relationships/hyperlink" Target="https://www.facebook.com/profile.php?id=61558993335763" TargetMode="External" Id="rId1827"/><Relationship Type="http://schemas.openxmlformats.org/officeDocument/2006/relationships/hyperlink" Target="https://www.facebook.com/profile.php?id=61550704602823" TargetMode="External" Id="rId1828"/><Relationship Type="http://schemas.openxmlformats.org/officeDocument/2006/relationships/hyperlink" Target="https://www.facebook.com/barkingdogimages" TargetMode="External" Id="rId1829"/><Relationship Type="http://schemas.openxmlformats.org/officeDocument/2006/relationships/hyperlink" Target="https://www.facebook.com/profile.php?id=100067421134182" TargetMode="External" Id="rId1830"/><Relationship Type="http://schemas.openxmlformats.org/officeDocument/2006/relationships/hyperlink" Target="https://www.facebook.com/flexipets.es" TargetMode="External" Id="rId1831"/><Relationship Type="http://schemas.openxmlformats.org/officeDocument/2006/relationships/hyperlink" Target="https://www.facebook.com/FlatOutDogs" TargetMode="External" Id="rId1832"/><Relationship Type="http://schemas.openxmlformats.org/officeDocument/2006/relationships/hyperlink" Target="https://www.facebook.com/profile.php?id=100057197540716" TargetMode="External" Id="rId1833"/><Relationship Type="http://schemas.openxmlformats.org/officeDocument/2006/relationships/hyperlink" Target="https://www.facebook.com/YANPets.ONVTB" TargetMode="External" Id="rId1834"/><Relationship Type="http://schemas.openxmlformats.org/officeDocument/2006/relationships/hyperlink" Target="https://www.facebook.com/ASPETGA" TargetMode="External" Id="rId1835"/><Relationship Type="http://schemas.openxmlformats.org/officeDocument/2006/relationships/hyperlink" Target="https://www.facebook.com/DynamoDogsports" TargetMode="External" Id="rId1836"/><Relationship Type="http://schemas.openxmlformats.org/officeDocument/2006/relationships/hyperlink" Target="https://www.facebook.com/PetFoodAndFun" TargetMode="External" Id="rId1837"/><Relationship Type="http://schemas.openxmlformats.org/officeDocument/2006/relationships/hyperlink" Target="https://www.facebook.com/Stuntdogshow" TargetMode="External" Id="rId1838"/><Relationship Type="http://schemas.openxmlformats.org/officeDocument/2006/relationships/hyperlink" Target="https://www.facebook.com/profile.php?id=61577597588097" TargetMode="External" Id="rId1839"/><Relationship Type="http://schemas.openxmlformats.org/officeDocument/2006/relationships/hyperlink" Target="https://www.facebook.com/allsantPETPCare" TargetMode="External" Id="rId1840"/><Relationship Type="http://schemas.openxmlformats.org/officeDocument/2006/relationships/hyperlink" Target="https://www.facebook.com/Petsupermarketanimali" TargetMode="External" Id="rId1841"/><Relationship Type="http://schemas.openxmlformats.org/officeDocument/2006/relationships/hyperlink" Target="https://www.facebook.com/profile.php?id=100086550452656" TargetMode="External" Id="rId1842"/><Relationship Type="http://schemas.openxmlformats.org/officeDocument/2006/relationships/hyperlink" Target="https://www.facebook.com/bearthedogbehaviourist" TargetMode="External" Id="rId1843"/><Relationship Type="http://schemas.openxmlformats.org/officeDocument/2006/relationships/hyperlink" Target="https://www.facebook.com/profile.php?id=61552552443943" TargetMode="External" Id="rId1844"/><Relationship Type="http://schemas.openxmlformats.org/officeDocument/2006/relationships/hyperlink" Target="https://www.facebook.com/Minhpetshop" TargetMode="External" Id="rId1845"/><Relationship Type="http://schemas.openxmlformats.org/officeDocument/2006/relationships/hyperlink" Target="https://www.facebook.com/HeartsofGoldSDWV" TargetMode="External" Id="rId1846"/><Relationship Type="http://schemas.openxmlformats.org/officeDocument/2006/relationships/hyperlink" Target="https://www.facebook.com/TheK9BackPack" TargetMode="External" Id="rId1847"/><Relationship Type="http://schemas.openxmlformats.org/officeDocument/2006/relationships/hyperlink" Target="https://www.facebook.com/KDSK9GmbH" TargetMode="External" Id="rId1848"/><Relationship Type="http://schemas.openxmlformats.org/officeDocument/2006/relationships/hyperlink" Target="https://www.facebook.com/profile.php?id=61581461515109" TargetMode="External" Id="rId1849"/><Relationship Type="http://schemas.openxmlformats.org/officeDocument/2006/relationships/hyperlink" Target="https://www.facebook.com/queenbulliecamp" TargetMode="External" Id="rId1850"/><Relationship Type="http://schemas.openxmlformats.org/officeDocument/2006/relationships/hyperlink" Target="https://www.facebook.com/profile.php?id=100064944630376" TargetMode="External" Id="rId1851"/><Relationship Type="http://schemas.openxmlformats.org/officeDocument/2006/relationships/hyperlink" Target="https://www.facebook.com/b2erescue" TargetMode="External" Id="rId1852"/><Relationship Type="http://schemas.openxmlformats.org/officeDocument/2006/relationships/hyperlink" Target="https://www.facebook.com/tggwr" TargetMode="External" Id="rId1853"/><Relationship Type="http://schemas.openxmlformats.org/officeDocument/2006/relationships/hyperlink" Target="https://www.facebook.com/AmericanBTRescueRehab" TargetMode="External" Id="rId1854"/><Relationship Type="http://schemas.openxmlformats.org/officeDocument/2006/relationships/hyperlink" Target="https://www.facebook.com/profile.php?id=100077637526245" TargetMode="External" Id="rId1855"/><Relationship Type="http://schemas.openxmlformats.org/officeDocument/2006/relationships/hyperlink" Target="https://www.facebook.com/Kimsexclusivedoggrooming" TargetMode="External" Id="rId1856"/><Relationship Type="http://schemas.openxmlformats.org/officeDocument/2006/relationships/hyperlink" Target="https://www.facebook.com/profile.php?id=61558197670437" TargetMode="External" Id="rId1857"/><Relationship Type="http://schemas.openxmlformats.org/officeDocument/2006/relationships/hyperlink" Target="https://www.facebook.com/profile.php?id=100068866504578" TargetMode="External" Id="rId1858"/><Relationship Type="http://schemas.openxmlformats.org/officeDocument/2006/relationships/hyperlink" Target="https://www.facebook.com/profile.php?id=61571988235447" TargetMode="External" Id="rId1859"/><Relationship Type="http://schemas.openxmlformats.org/officeDocument/2006/relationships/hyperlink" Target="https://www.facebook.com/Longhornlawncareservices" TargetMode="External" Id="rId1860"/><Relationship Type="http://schemas.openxmlformats.org/officeDocument/2006/relationships/hyperlink" Target="https://www.facebook.com/profile.php?id=100063821071215" TargetMode="External" Id="rId1861"/><Relationship Type="http://schemas.openxmlformats.org/officeDocument/2006/relationships/hyperlink" Target="https://www.facebook.com/progressivecanine" TargetMode="External" Id="rId1862"/><Relationship Type="http://schemas.openxmlformats.org/officeDocument/2006/relationships/hyperlink" Target="https://www.facebook.com/profile.php?id=61560566367911" TargetMode="External" Id="rId1863"/><Relationship Type="http://schemas.openxmlformats.org/officeDocument/2006/relationships/hyperlink" Target="https://www.facebook.com/profile.php?id=100085385078935" TargetMode="External" Id="rId1864"/><Relationship Type="http://schemas.openxmlformats.org/officeDocument/2006/relationships/hyperlink" Target="https://www.facebook.com/ReeveCrewGundogs" TargetMode="External" Id="rId1865"/><Relationship Type="http://schemas.openxmlformats.org/officeDocument/2006/relationships/hyperlink" Target="https://www.facebook.com/suffolkk9fertilityservices" TargetMode="External" Id="rId1866"/><Relationship Type="http://schemas.openxmlformats.org/officeDocument/2006/relationships/hyperlink" Target="https://www.facebook.com/profile.php?id=100057383803830" TargetMode="External" Id="rId1867"/><Relationship Type="http://schemas.openxmlformats.org/officeDocument/2006/relationships/hyperlink" Target="https://www.facebook.com/profile.php?id=100063495911130" TargetMode="External" Id="rId1868"/><Relationship Type="http://schemas.openxmlformats.org/officeDocument/2006/relationships/hyperlink" Target="https://www.facebook.com/cloudtenndtc" TargetMode="External" Id="rId1869"/><Relationship Type="http://schemas.openxmlformats.org/officeDocument/2006/relationships/hyperlink" Target="https://www.facebook.com/GoldHeartGoldenRetriever" TargetMode="External" Id="rId1870"/><Relationship Type="http://schemas.openxmlformats.org/officeDocument/2006/relationships/hyperlink" Target="https://www.facebook.com/CollieRescueInc" TargetMode="External" Id="rId1871"/><Relationship Type="http://schemas.openxmlformats.org/officeDocument/2006/relationships/hyperlink" Target="https://www.facebook.com/profile.php?id=61592431477088" TargetMode="External" Id="rId1872"/><Relationship Type="http://schemas.openxmlformats.org/officeDocument/2006/relationships/hyperlink" Target="https://www.facebook.com/ncgrr" TargetMode="External" Id="rId1873"/><Relationship Type="http://schemas.openxmlformats.org/officeDocument/2006/relationships/hyperlink" Target="https://www.facebook.com/profile.php?id=100064519216743" TargetMode="External" Id="rId1874"/><Relationship Type="http://schemas.openxmlformats.org/officeDocument/2006/relationships/hyperlink" Target="https://www.facebook.com/profile.php?id=100056817812897" TargetMode="External" Id="rId1875"/><Relationship Type="http://schemas.openxmlformats.org/officeDocument/2006/relationships/hyperlink" Target="https://www.facebook.com/profile.php?id=100095446124936" TargetMode="External" Id="rId1876"/><Relationship Type="http://schemas.openxmlformats.org/officeDocument/2006/relationships/hyperlink" Target="https://www.facebook.com/australianshepherd.rescueme.org" TargetMode="External" Id="rId1877"/><Relationship Type="http://schemas.openxmlformats.org/officeDocument/2006/relationships/hyperlink" Target="https://www.facebook.com/headrush.ptbo" TargetMode="External" Id="rId1878"/><Relationship Type="http://schemas.openxmlformats.org/officeDocument/2006/relationships/hyperlink" Target="https://www.facebook.com/kennelpiirikainuu" TargetMode="External" Id="rId1879"/><Relationship Type="http://schemas.openxmlformats.org/officeDocument/2006/relationships/hyperlink" Target="https://www.facebook.com/profile.php?id=61592475463022" TargetMode="External" Id="rId1880"/><Relationship Type="http://schemas.openxmlformats.org/officeDocument/2006/relationships/hyperlink" Target="https://www.facebook.com/dogalize" TargetMode="External" Id="rId1881"/><Relationship Type="http://schemas.openxmlformats.org/officeDocument/2006/relationships/hyperlink" Target="https://www.facebook.com/profile.php?id=61591579802033" TargetMode="External" Id="rId1882"/><Relationship Type="http://schemas.openxmlformats.org/officeDocument/2006/relationships/hyperlink" Target="https://www.facebook.com/profile.php?id=100094536465951" TargetMode="External" Id="rId1883"/><Relationship Type="http://schemas.openxmlformats.org/officeDocument/2006/relationships/hyperlink" Target="https://www.facebook.com/FLYYOURPET" TargetMode="External" Id="rId1884"/><Relationship Type="http://schemas.openxmlformats.org/officeDocument/2006/relationships/hyperlink" Target="https://www.facebook.com/SurfDogRicochet" TargetMode="External" Id="rId1885"/><Relationship Type="http://schemas.openxmlformats.org/officeDocument/2006/relationships/hyperlink" Target="https://www.facebook.com/grundysk9" TargetMode="External" Id="rId1886"/><Relationship Type="http://schemas.openxmlformats.org/officeDocument/2006/relationships/hyperlink" Target="https://www.facebook.com/rachelthedogtrainerforyou" TargetMode="External" Id="rId1887"/><Relationship Type="http://schemas.openxmlformats.org/officeDocument/2006/relationships/hyperlink" Target="https://www.facebook.com/fetch.dogs.5" TargetMode="External" Id="rId1888"/><Relationship Type="http://schemas.openxmlformats.org/officeDocument/2006/relationships/hyperlink" Target="https://www.facebook.com/rescuedeansdogs" TargetMode="External" Id="rId1889"/><Relationship Type="http://schemas.openxmlformats.org/officeDocument/2006/relationships/hyperlink" Target="https://www.facebook.com/profile.php?id=100064566284148" TargetMode="External" Id="rId1890"/><Relationship Type="http://schemas.openxmlformats.org/officeDocument/2006/relationships/hyperlink" Target="https://www.facebook.com/happydogleague" TargetMode="External" Id="rId1891"/><Relationship Type="http://schemas.openxmlformats.org/officeDocument/2006/relationships/hyperlink" Target="https://www.facebook.com/cutenessdogs" TargetMode="External" Id="rId1892"/><Relationship Type="http://schemas.openxmlformats.org/officeDocument/2006/relationships/hyperlink" Target="https://www.facebook.com/morena.fecchio" TargetMode="External" Id="rId1893"/><Relationship Type="http://schemas.openxmlformats.org/officeDocument/2006/relationships/hyperlink" Target="https://www.facebook.com/webstersnaturaldogfood" TargetMode="External" Id="rId1894"/><Relationship Type="http://schemas.openxmlformats.org/officeDocument/2006/relationships/hyperlink" Target="https://www.facebook.com/NGABHDA" TargetMode="External" Id="rId1895"/><Relationship Type="http://schemas.openxmlformats.org/officeDocument/2006/relationships/hyperlink" Target="https://www.facebook.com/BillingsBestPets" TargetMode="External" Id="rId1896"/><Relationship Type="http://schemas.openxmlformats.org/officeDocument/2006/relationships/hyperlink" Target="https://www.facebook.com/Petkind" TargetMode="External" Id="rId1897"/><Relationship Type="http://schemas.openxmlformats.org/officeDocument/2006/relationships/hyperlink" Target="https://www.facebook.com/dognerdtalent" TargetMode="External" Id="rId1898"/><Relationship Type="http://schemas.openxmlformats.org/officeDocument/2006/relationships/hyperlink" Target="https://www.facebook.com/doggyplaycare" TargetMode="External" Id="rId1899"/><Relationship Type="http://schemas.openxmlformats.org/officeDocument/2006/relationships/hyperlink" Target="https://www.facebook.com/kellandbrookGundogs" TargetMode="External" Id="rId1900"/><Relationship Type="http://schemas.openxmlformats.org/officeDocument/2006/relationships/hyperlink" Target="https://www.facebook.com/profile.php?id=100066815336208" TargetMode="External" Id="rId1901"/><Relationship Type="http://schemas.openxmlformats.org/officeDocument/2006/relationships/hyperlink" Target="https://www.facebook.com/mikequins1" TargetMode="External" Id="rId1902"/><Relationship Type="http://schemas.openxmlformats.org/officeDocument/2006/relationships/hyperlink" Target="https://www.facebook.com/gallowaygundogassociation" TargetMode="External" Id="rId1903"/><Relationship Type="http://schemas.openxmlformats.org/officeDocument/2006/relationships/hyperlink" Target="https://www.facebook.com/workinggundog" TargetMode="External" Id="rId1904"/><Relationship Type="http://schemas.openxmlformats.org/officeDocument/2006/relationships/hyperlink" Target="https://www.facebook.com/rivergginsgundogs" TargetMode="External" Id="rId1905"/><Relationship Type="http://schemas.openxmlformats.org/officeDocument/2006/relationships/hyperlink" Target="https://www.facebook.com/HarperrigGundogs" TargetMode="External" Id="rId1906"/><Relationship Type="http://schemas.openxmlformats.org/officeDocument/2006/relationships/hyperlink" Target="https://www.facebook.com/birdsgreengundog" TargetMode="External" Id="rId1907"/><Relationship Type="http://schemas.openxmlformats.org/officeDocument/2006/relationships/hyperlink" Target="https://www.facebook.com/nigundogs" TargetMode="External" Id="rId1908"/><Relationship Type="http://schemas.openxmlformats.org/officeDocument/2006/relationships/hyperlink" Target="https://www.facebook.com/profile.php?id=100054356927851" TargetMode="External" Id="rId1909"/><Relationship Type="http://schemas.openxmlformats.org/officeDocument/2006/relationships/hyperlink" Target="https://www.facebook.com/gundogdesigns" TargetMode="External" Id="rId1910"/><Relationship Type="http://schemas.openxmlformats.org/officeDocument/2006/relationships/hyperlink" Target="https://www.facebook.com/profile.php?id=100080037331394" TargetMode="External" Id="rId1911"/><Relationship Type="http://schemas.openxmlformats.org/officeDocument/2006/relationships/hyperlink" Target="https://www.facebook.com/korespecialtyproducts" TargetMode="External" Id="rId1912"/><Relationship Type="http://schemas.openxmlformats.org/officeDocument/2006/relationships/hyperlink" Target="https://www.facebook.com/dogpac.org" TargetMode="External" Id="rId1913"/><Relationship Type="http://schemas.openxmlformats.org/officeDocument/2006/relationships/hyperlink" Target="https://www.facebook.com/topdogbulliesofficial" TargetMode="External" Id="rId1914"/><Relationship Type="http://schemas.openxmlformats.org/officeDocument/2006/relationships/hyperlink" Target="https://www.facebook.com/BlueprintPetProducts" TargetMode="External" Id="rId1915"/><Relationship Type="http://schemas.openxmlformats.org/officeDocument/2006/relationships/hyperlink" Target="https://www.facebook.com/TheVetShed" TargetMode="External" Id="rId1916"/><Relationship Type="http://schemas.openxmlformats.org/officeDocument/2006/relationships/hyperlink" Target="https://www.facebook.com/profile.php?id=61573853487437" TargetMode="External" Id="rId1917"/><Relationship Type="http://schemas.openxmlformats.org/officeDocument/2006/relationships/hyperlink" Target="https://www.facebook.com/profile.php?id=61558832041142" TargetMode="External" Id="rId1918"/><Relationship Type="http://schemas.openxmlformats.org/officeDocument/2006/relationships/hyperlink" Target="https://www.facebook.com/SpiritDogTrain" TargetMode="External" Id="rId1919"/><Relationship Type="http://schemas.openxmlformats.org/officeDocument/2006/relationships/hyperlink" Target="https://www.facebook.com/vombosqueriver" TargetMode="External" Id="rId1920"/><Relationship Type="http://schemas.openxmlformats.org/officeDocument/2006/relationships/hyperlink" Target="https://www.facebook.com/9Paulok9" TargetMode="External" Id="rId1921"/><Relationship Type="http://schemas.openxmlformats.org/officeDocument/2006/relationships/hyperlink" Target="https://www.facebook.com/K9HopeBroker" TargetMode="External" Id="rId1922"/><Relationship Type="http://schemas.openxmlformats.org/officeDocument/2006/relationships/hyperlink" Target="https://www.facebook.com/shorelinek9" TargetMode="External" Id="rId1923"/><Relationship Type="http://schemas.openxmlformats.org/officeDocument/2006/relationships/hyperlink" Target="https://www.facebook.com/cornerstonedog" TargetMode="External" Id="rId1924"/><Relationship Type="http://schemas.openxmlformats.org/officeDocument/2006/relationships/hyperlink" Target="https://www.facebook.com/RapportShowDogTraining" TargetMode="External" Id="rId1925"/><Relationship Type="http://schemas.openxmlformats.org/officeDocument/2006/relationships/hyperlink" Target="https://www.facebook.com/goodboypetsupplies" TargetMode="External" Id="rId1926"/><Relationship Type="http://schemas.openxmlformats.org/officeDocument/2006/relationships/hyperlink" Target="https://www.facebook.com/profile.php?id=100080115960281" TargetMode="External" Id="rId1927"/><Relationship Type="http://schemas.openxmlformats.org/officeDocument/2006/relationships/hyperlink" Target="https://www.facebook.com/K9MUSCLETHERAPY" TargetMode="External" Id="rId1928"/><Relationship Type="http://schemas.openxmlformats.org/officeDocument/2006/relationships/hyperlink" Target="https://www.facebook.com/PositiveK9Training" TargetMode="External" Id="rId1929"/><Relationship Type="http://schemas.openxmlformats.org/officeDocument/2006/relationships/hyperlink" Target="https://www.facebook.com/profile.php?id=100057745566272" TargetMode="External" Id="rId1930"/><Relationship Type="http://schemas.openxmlformats.org/officeDocument/2006/relationships/hyperlink" Target="https://www.facebook.com/OlympusDogTraining" TargetMode="External" Id="rId1931"/><Relationship Type="http://schemas.openxmlformats.org/officeDocument/2006/relationships/hyperlink" Target="https://www.facebook.com/Ourwaydogtraining" TargetMode="External" Id="rId1932"/><Relationship Type="http://schemas.openxmlformats.org/officeDocument/2006/relationships/hyperlink" Target="https://www.facebook.com/NorthwayK9" TargetMode="External" Id="rId1933"/><Relationship Type="http://schemas.openxmlformats.org/officeDocument/2006/relationships/hyperlink" Target="https://www.facebook.com/FindMyK9Match" TargetMode="External" Id="rId1934"/><Relationship Type="http://schemas.openxmlformats.org/officeDocument/2006/relationships/hyperlink" Target="https://www.facebook.com/profile.php?id=100063580721068" TargetMode="External" Id="rId1935"/><Relationship Type="http://schemas.openxmlformats.org/officeDocument/2006/relationships/hyperlink" Target="https://www.facebook.com/forevercompanions" TargetMode="External" Id="rId1936"/><Relationship Type="http://schemas.openxmlformats.org/officeDocument/2006/relationships/hyperlink" Target="https://www.facebook.com/profile.php?id=61568139603942" TargetMode="External" Id="rId1937"/><Relationship Type="http://schemas.openxmlformats.org/officeDocument/2006/relationships/hyperlink" Target="https://www.facebook.com/profile.php?id=100065207460117" TargetMode="External" Id="rId1938"/><Relationship Type="http://schemas.openxmlformats.org/officeDocument/2006/relationships/hyperlink" Target="https://www.facebook.com/SchmidPascal" TargetMode="External" Id="rId1939"/><Relationship Type="http://schemas.openxmlformats.org/officeDocument/2006/relationships/hyperlink" Target="https://www.facebook.com/profile.php?id=100036470209739" TargetMode="External" Id="rId1940"/><Relationship Type="http://schemas.openxmlformats.org/officeDocument/2006/relationships/hyperlink" Target="https://www.facebook.com/NicolaGarrettDogAgilityTraining" TargetMode="External" Id="rId1941"/><Relationship Type="http://schemas.openxmlformats.org/officeDocument/2006/relationships/hyperlink" Target="https://www.facebook.com/Matthewthedogtrainer" TargetMode="External" Id="rId1942"/><Relationship Type="http://schemas.openxmlformats.org/officeDocument/2006/relationships/hyperlink" Target="https://www.facebook.com/Meraki.K9.NM" TargetMode="External" Id="rId1943"/><Relationship Type="http://schemas.openxmlformats.org/officeDocument/2006/relationships/hyperlink" Target="https://www.facebook.com/HomesteadRescue" TargetMode="External" Id="rId1944"/><Relationship Type="http://schemas.openxmlformats.org/officeDocument/2006/relationships/hyperlink" Target="https://www.facebook.com/packethicrescueinc" TargetMode="External" Id="rId1945"/><Relationship Type="http://schemas.openxmlformats.org/officeDocument/2006/relationships/hyperlink" Target="https://www.facebook.com/NorthwestSamoyedRescue" TargetMode="External" Id="rId1946"/><Relationship Type="http://schemas.openxmlformats.org/officeDocument/2006/relationships/hyperlink" Target="https://www.facebook.com/bgsardogs" TargetMode="External" Id="rId1947"/><Relationship Type="http://schemas.openxmlformats.org/officeDocument/2006/relationships/hyperlink" Target="https://www.facebook.com/dobiesos" TargetMode="External" Id="rId1948"/><Relationship Type="http://schemas.openxmlformats.org/officeDocument/2006/relationships/hyperlink" Target="https://www.facebook.com/HilltopGreatPyreneesRescue" TargetMode="External" Id="rId1949"/><Relationship Type="http://schemas.openxmlformats.org/officeDocument/2006/relationships/hyperlink" Target="https://www.facebook.com/BorderCollieRescueUK" TargetMode="External" Id="rId1950"/><Relationship Type="http://schemas.openxmlformats.org/officeDocument/2006/relationships/hyperlink" Target="https://www.facebook.com/profile.php?id=100069102194497" TargetMode="External" Id="rId1951"/><Relationship Type="http://schemas.openxmlformats.org/officeDocument/2006/relationships/hyperlink" Target="https://www.facebook.com/profile.php?id=100069598779393" TargetMode="External" Id="rId1952"/><Relationship Type="http://schemas.openxmlformats.org/officeDocument/2006/relationships/hyperlink" Target="https://www.facebook.com/PlayToBehave" TargetMode="External" Id="rId1953"/><Relationship Type="http://schemas.openxmlformats.org/officeDocument/2006/relationships/hyperlink" Target="https://www.facebook.com/BulldoggeBlueprint" TargetMode="External" Id="rId1954"/><Relationship Type="http://schemas.openxmlformats.org/officeDocument/2006/relationships/hyperlink" Target="https://www.facebook.com/ifcsdogsports" TargetMode="External" Id="rId1955"/><Relationship Type="http://schemas.openxmlformats.org/officeDocument/2006/relationships/hyperlink" Target="https://www.facebook.com/daisypawsdoggroomers" TargetMode="External" Id="rId1956"/><Relationship Type="http://schemas.openxmlformats.org/officeDocument/2006/relationships/hyperlink" Target="https://www.facebook.com/profile.php?id=100057638312117" TargetMode="External" Id="rId1957"/><Relationship Type="http://schemas.openxmlformats.org/officeDocument/2006/relationships/hyperlink" Target="https://www.facebook.com/AustinPetCare" TargetMode="External" Id="rId1958"/><Relationship Type="http://schemas.openxmlformats.org/officeDocument/2006/relationships/hyperlink" Target="https://www.facebook.com/BadDogAgility" TargetMode="External" Id="rId1959"/><Relationship Type="http://schemas.openxmlformats.org/officeDocument/2006/relationships/hyperlink" Target="https://www.facebook.com/profile.php?id=61587750016544" TargetMode="External" Id="rId1960"/><Relationship Type="http://schemas.openxmlformats.org/officeDocument/2006/relationships/hyperlink" Target="https://www.facebook.com/CarloFazioAgilityDogJudgeandTrainer" TargetMode="External" Id="rId1961"/><Relationship Type="http://schemas.openxmlformats.org/officeDocument/2006/relationships/hyperlink" Target="https://www.facebook.com/profile.php?id=61559681164964" TargetMode="External" Id="rId1962"/><Relationship Type="http://schemas.openxmlformats.org/officeDocument/2006/relationships/hyperlink" Target="https://www.facebook.com/bubblesandbowsdoggrooming" TargetMode="External" Id="rId1963"/><Relationship Type="http://schemas.openxmlformats.org/officeDocument/2006/relationships/hyperlink" Target="https://www.facebook.com/profile.php?id=100057217968686" TargetMode="External" Id="rId1964"/><Relationship Type="http://schemas.openxmlformats.org/officeDocument/2006/relationships/hyperlink" Target="https://www.facebook.com/IzzyTheFrenchie" TargetMode="External" Id="rId1965"/><Relationship Type="http://schemas.openxmlformats.org/officeDocument/2006/relationships/hyperlink" Target="https://www.facebook.com/profile.php?id=100054567034889" TargetMode="External" Id="rId1966"/><Relationship Type="http://schemas.openxmlformats.org/officeDocument/2006/relationships/hyperlink" Target="https://www.facebook.com/profile.php?id=61573641020724" TargetMode="External" Id="rId1967"/><Relationship Type="http://schemas.openxmlformats.org/officeDocument/2006/relationships/hyperlink" Target="https://www.facebook.com/profile.php?id=100064650403263" TargetMode="External" Id="rId1968"/><Relationship Type="http://schemas.openxmlformats.org/officeDocument/2006/relationships/hyperlink" Target="https://www.facebook.com/archerthefrenchie.to" TargetMode="External" Id="rId1969"/><Relationship Type="http://schemas.openxmlformats.org/officeDocument/2006/relationships/hyperlink" Target="https://www.facebook.com/Lucypetsportsdogteam" TargetMode="External" Id="rId1970"/><Relationship Type="http://schemas.openxmlformats.org/officeDocument/2006/relationships/hyperlink" Target="https://www.facebook.com/sopawsdog" TargetMode="External" Id="rId1971"/><Relationship Type="http://schemas.openxmlformats.org/officeDocument/2006/relationships/hyperlink" Target="https://www.facebook.com/WorkingDogMuseumTobysSitStay" TargetMode="External" Id="rId1972"/><Relationship Type="http://schemas.openxmlformats.org/officeDocument/2006/relationships/hyperlink" Target="https://www.facebook.com/harveyshopeanimalrescue" TargetMode="External" Id="rId1973"/><Relationship Type="http://schemas.openxmlformats.org/officeDocument/2006/relationships/hyperlink" Target="https://www.facebook.com/victorylaneclassic" TargetMode="External" Id="rId1974"/><Relationship Type="http://schemas.openxmlformats.org/officeDocument/2006/relationships/hyperlink" Target="https://www.facebook.com/vet.cryodog" TargetMode="External" Id="rId1975"/><Relationship Type="http://schemas.openxmlformats.org/officeDocument/2006/relationships/hyperlink" Target="https://www.facebook.com/profile.php?id=100093080605503" TargetMode="External" Id="rId1976"/><Relationship Type="http://schemas.openxmlformats.org/officeDocument/2006/relationships/hyperlink" Target="https://www.facebook.com/pointingdogjournal" TargetMode="External" Id="rId1977"/><Relationship Type="http://schemas.openxmlformats.org/officeDocument/2006/relationships/hyperlink" Target="https://www.facebook.com/profile.php?id=61552060206072" TargetMode="External" Id="rId1978"/><Relationship Type="http://schemas.openxmlformats.org/officeDocument/2006/relationships/hyperlink" Target="https://www.facebook.com/profile.php?id=61590067120412" TargetMode="External" Id="rId1979"/><Relationship Type="http://schemas.openxmlformats.org/officeDocument/2006/relationships/hyperlink" Target="https://www.facebook.com/elena.corpetti" TargetMode="External" Id="rId1980"/><Relationship Type="http://schemas.openxmlformats.org/officeDocument/2006/relationships/hyperlink" Target="https://www.facebook.com/dynamopet" TargetMode="External" Id="rId1981"/><Relationship Type="http://schemas.openxmlformats.org/officeDocument/2006/relationships/hyperlink" Target="https://www.facebook.com/lilysnugglebug" TargetMode="External" Id="rId1982"/><Relationship Type="http://schemas.openxmlformats.org/officeDocument/2006/relationships/hyperlink" Target="https://www.facebook.com/profile.php?id=100077194314405" TargetMode="External" Id="rId1983"/><Relationship Type="http://schemas.openxmlformats.org/officeDocument/2006/relationships/hyperlink" Target="https://www.facebook.com/profile.php?id=61561738297334" TargetMode="External" Id="rId1984"/><Relationship Type="http://schemas.openxmlformats.org/officeDocument/2006/relationships/hyperlink" Target="https://www.facebook.com/bebeckp" TargetMode="External" Id="rId1985"/><Relationship Type="http://schemas.openxmlformats.org/officeDocument/2006/relationships/hyperlink" Target="https://www.facebook.com/MustLoveDogsSA" TargetMode="External" Id="rId1986"/><Relationship Type="http://schemas.openxmlformats.org/officeDocument/2006/relationships/hyperlink" Target="https://www.facebook.com/megapetmexico" TargetMode="External" Id="rId1987"/><Relationship Type="http://schemas.openxmlformats.org/officeDocument/2006/relationships/hyperlink" Target="https://www.facebook.com/weareloveanimals" TargetMode="External" Id="rId1988"/><Relationship Type="http://schemas.openxmlformats.org/officeDocument/2006/relationships/hyperlink" Target="https://www.facebook.com/profile.php?id=100060329311078" TargetMode="External" Id="rId1989"/><Relationship Type="http://schemas.openxmlformats.org/officeDocument/2006/relationships/hyperlink" Target="https://www.facebook.com/profile.php?id=61586666626590" TargetMode="External" Id="rId1990"/><Relationship Type="http://schemas.openxmlformats.org/officeDocument/2006/relationships/hyperlink" Target="https://www.facebook.com/profile.php?id=61556096736396" TargetMode="External" Id="rId1991"/><Relationship Type="http://schemas.openxmlformats.org/officeDocument/2006/relationships/hyperlink" Target="https://www.facebook.com/gwenbaileypuppyschool" TargetMode="External" Id="rId1992"/><Relationship Type="http://schemas.openxmlformats.org/officeDocument/2006/relationships/hyperlink" Target="https://www.facebook.com/LakeviewDG" TargetMode="External" Id="rId1993"/><Relationship Type="http://schemas.openxmlformats.org/officeDocument/2006/relationships/hyperlink" Target="https://www.facebook.com/hugsmartpet" TargetMode="External" Id="rId1994"/><Relationship Type="http://schemas.openxmlformats.org/officeDocument/2006/relationships/hyperlink" Target="https://www.facebook.com/61583918805095" TargetMode="External" Id="rId1995"/><Relationship Type="http://schemas.openxmlformats.org/officeDocument/2006/relationships/hyperlink" Target="https://www.facebook.com/Doggroomersrockstore" TargetMode="External" Id="rId1996"/><Relationship Type="http://schemas.openxmlformats.org/officeDocument/2006/relationships/hyperlink" Target="https://www.facebook.com/HighTechPetPage2" TargetMode="External" Id="rId1997"/><Relationship Type="http://schemas.openxmlformats.org/officeDocument/2006/relationships/hyperlink" Target="https://www.facebook.com/dogssuppliesrus" TargetMode="External" Id="rId1998"/><Relationship Type="http://schemas.openxmlformats.org/officeDocument/2006/relationships/hyperlink" Target="https://www.facebook.com/profile.php?id=61561547760655" TargetMode="External" Id="rId1999"/><Relationship Type="http://schemas.openxmlformats.org/officeDocument/2006/relationships/hyperlink" Target="https://www.facebook.com/profile.php?id=61575529791729" TargetMode="External" Id="rId2000"/><Relationship Type="http://schemas.openxmlformats.org/officeDocument/2006/relationships/hyperlink" Target="https://www.facebook.com/profile.php?id=100063529435662" TargetMode="External" Id="rId2001"/><Relationship Type="http://schemas.openxmlformats.org/officeDocument/2006/relationships/hyperlink" Target="https://www.facebook.com/Rockdogshop" TargetMode="External" Id="rId2002"/><Relationship Type="http://schemas.openxmlformats.org/officeDocument/2006/relationships/hyperlink" Target="https://www.facebook.com/profile.php?id=100071491094404" TargetMode="External" Id="rId2003"/><Relationship Type="http://schemas.openxmlformats.org/officeDocument/2006/relationships/hyperlink" Target="https://www.facebook.com/dogforceboxofficial" TargetMode="External" Id="rId2004"/><Relationship Type="http://schemas.openxmlformats.org/officeDocument/2006/relationships/hyperlink" Target="https://www.facebook.com/PetNaturalsOfficial" TargetMode="External" Id="rId2005"/><Relationship Type="http://schemas.openxmlformats.org/officeDocument/2006/relationships/hyperlink" Target="https://www.facebook.com/profile.php?id=61570083464217" TargetMode="External" Id="rId2006"/><Relationship Type="http://schemas.openxmlformats.org/officeDocument/2006/relationships/hyperlink" Target="https://www.facebook.com/profile.php?id=61563007174333" TargetMode="External" Id="rId2007"/><Relationship Type="http://schemas.openxmlformats.org/officeDocument/2006/relationships/hyperlink" Target="https://www.facebook.com/profile.php?id=100023720203247" TargetMode="External" Id="rId2008"/><Relationship Type="http://schemas.openxmlformats.org/officeDocument/2006/relationships/hyperlink" Target="https://www.facebook.com/profile.php?id=100063536378455" TargetMode="External" Id="rId2009"/><Relationship Type="http://schemas.openxmlformats.org/officeDocument/2006/relationships/hyperlink" Target="https://www.facebook.com/petsy.online" TargetMode="External" Id="rId2010"/><Relationship Type="http://schemas.openxmlformats.org/officeDocument/2006/relationships/hyperlink" Target="https://www.facebook.com/BETAPETSHOPP" TargetMode="External" Id="rId2011"/><Relationship Type="http://schemas.openxmlformats.org/officeDocument/2006/relationships/hyperlink" Target="https://www.facebook.com/puppyloveidentificationcollars" TargetMode="External" Id="rId2012"/><Relationship Type="http://schemas.openxmlformats.org/officeDocument/2006/relationships/hyperlink" Target="https://www.facebook.com/best4dogs.com.ua" TargetMode="External" Id="rId2013"/><Relationship Type="http://schemas.openxmlformats.org/officeDocument/2006/relationships/hyperlink" Target="https://www.facebook.com/WorldOfBerneseMountainDogs" TargetMode="External" Id="rId2014"/><Relationship Type="http://schemas.openxmlformats.org/officeDocument/2006/relationships/hyperlink" Target="https://www.facebook.com/familypet.com.ua" TargetMode="External" Id="rId2015"/><Relationship Type="http://schemas.openxmlformats.org/officeDocument/2006/relationships/hyperlink" Target="https://www.facebook.com/profile.php?id=100095063364670" TargetMode="External" Id="rId2016"/><Relationship Type="http://schemas.openxmlformats.org/officeDocument/2006/relationships/hyperlink" Target="https://www.facebook.com/cutestpuppiesforyou" TargetMode="External" Id="rId2017"/><Relationship Type="http://schemas.openxmlformats.org/officeDocument/2006/relationships/hyperlink" Target="https://www.facebook.com/puppieshappiness" TargetMode="External" Id="rId2018"/><Relationship Type="http://schemas.openxmlformats.org/officeDocument/2006/relationships/hyperlink" Target="https://www.facebook.com/vanitydogboutique" TargetMode="External" Id="rId2019"/><Relationship Type="http://schemas.openxmlformats.org/officeDocument/2006/relationships/hyperlink" Target="https://www.facebook.com/Thepetspanda" TargetMode="External" Id="rId2020"/><Relationship Type="http://schemas.openxmlformats.org/officeDocument/2006/relationships/hyperlink" Target="https://www.facebook.com/profile.php?id=100063881384563" TargetMode="External" Id="rId2021"/><Relationship Type="http://schemas.openxmlformats.org/officeDocument/2006/relationships/hyperlink" Target="https://www.facebook.com/petswelcome" TargetMode="External" Id="rId2022"/><Relationship Type="http://schemas.openxmlformats.org/officeDocument/2006/relationships/hyperlink" Target="https://www.facebook.com/albsscrapbook" TargetMode="External" Id="rId2023"/><Relationship Type="http://schemas.openxmlformats.org/officeDocument/2006/relationships/hyperlink" Target="https://www.facebook.com/profile.php?id=100071613917108" TargetMode="External" Id="rId2024"/><Relationship Type="http://schemas.openxmlformats.org/officeDocument/2006/relationships/hyperlink" Target="https://www.facebook.com/PetsHomeShop.net" TargetMode="External" Id="rId2025"/><Relationship Type="http://schemas.openxmlformats.org/officeDocument/2006/relationships/hyperlink" Target="https://www.facebook.com/SierraPetProducts" TargetMode="External" Id="rId2026"/><Relationship Type="http://schemas.openxmlformats.org/officeDocument/2006/relationships/hyperlink" Target="https://www.facebook.com/3eyeblindpetrescue" TargetMode="External" Id="rId2027"/><Relationship Type="http://schemas.openxmlformats.org/officeDocument/2006/relationships/hyperlink" Target="https://www.facebook.com/paws52" TargetMode="External" Id="rId2028"/><Relationship Type="http://schemas.openxmlformats.org/officeDocument/2006/relationships/hyperlink" Target="https://www.facebook.com/profile.php?id=100064921830767" TargetMode="External" Id="rId2029"/><Relationship Type="http://schemas.openxmlformats.org/officeDocument/2006/relationships/hyperlink" Target="https://www.facebook.com/profile.php?id=100064759925780" TargetMode="External" Id="rId2030"/><Relationship Type="http://schemas.openxmlformats.org/officeDocument/2006/relationships/hyperlink" Target="https://www.facebook.com/profile.php?id=61552483175673" TargetMode="External" Id="rId2031"/><Relationship Type="http://schemas.openxmlformats.org/officeDocument/2006/relationships/hyperlink" Target="https://www.facebook.com/HotMessPooches" TargetMode="External" Id="rId2032"/><Relationship Type="http://schemas.openxmlformats.org/officeDocument/2006/relationships/hyperlink" Target="https://www.facebook.com/friendsoffreddiepetrescue" TargetMode="External" Id="rId2033"/><Relationship Type="http://schemas.openxmlformats.org/officeDocument/2006/relationships/hyperlink" Target="https://www.facebook.com/spotwa" TargetMode="External" Id="rId2034"/><Relationship Type="http://schemas.openxmlformats.org/officeDocument/2006/relationships/hyperlink" Target="https://www.facebook.com/serenitylgdrescue" TargetMode="External" Id="rId2035"/><Relationship Type="http://schemas.openxmlformats.org/officeDocument/2006/relationships/hyperlink" Target="https://www.facebook.com/profile.php?id=100071517606678" TargetMode="External" Id="rId2036"/><Relationship Type="http://schemas.openxmlformats.org/officeDocument/2006/relationships/hyperlink" Target="https://www.facebook.com/profile.php?id=61555201373662" TargetMode="External" Id="rId2037"/><Relationship Type="http://schemas.openxmlformats.org/officeDocument/2006/relationships/hyperlink" Target="https://www.facebook.com/profile.php?id=100080093738512" TargetMode="External" Id="rId2038"/><Relationship Type="http://schemas.openxmlformats.org/officeDocument/2006/relationships/hyperlink" Target="https://www.facebook.com/profile.php?id=100066865804142" TargetMode="External" Id="rId2039"/><Relationship Type="http://schemas.openxmlformats.org/officeDocument/2006/relationships/hyperlink" Target="https://www.facebook.com/profile.php?id=100070306023589" TargetMode="External" Id="rId2040"/><Relationship Type="http://schemas.openxmlformats.org/officeDocument/2006/relationships/hyperlink" Target="https://www.facebook.com/BEAUTYDOG77" TargetMode="External" Id="rId2041"/><Relationship Type="http://schemas.openxmlformats.org/officeDocument/2006/relationships/hyperlink" Target="https://www.facebook.com/profile.php?id=61551987458126" TargetMode="External" Id="rId2042"/><Relationship Type="http://schemas.openxmlformats.org/officeDocument/2006/relationships/hyperlink" Target="https://www.facebook.com/profile.php?id=61572166472599" TargetMode="External" Id="rId2043"/><Relationship Type="http://schemas.openxmlformats.org/officeDocument/2006/relationships/hyperlink" Target="https://www.facebook.com/TherapyDogsInternational" TargetMode="External" Id="rId2044"/><Relationship Type="http://schemas.openxmlformats.org/officeDocument/2006/relationships/hyperlink" Target="https://www.facebook.com/dogguardne" TargetMode="External" Id="rId2045"/><Relationship Type="http://schemas.openxmlformats.org/officeDocument/2006/relationships/hyperlink" Target="https://www.facebook.com/PeterLouisandco" TargetMode="External" Id="rId2046"/><Relationship Type="http://schemas.openxmlformats.org/officeDocument/2006/relationships/hyperlink" Target="https://www.facebook.com/karamellmuveszet" TargetMode="External" Id="rId2047"/><Relationship Type="http://schemas.openxmlformats.org/officeDocument/2006/relationships/hyperlink" Target="https://www.facebook.com/luxeypets" TargetMode="External" Id="rId2048"/><Relationship Type="http://schemas.openxmlformats.org/officeDocument/2006/relationships/hyperlink" Target="https://www.facebook.com/iamflothedog" TargetMode="External" Id="rId2049"/><Relationship Type="http://schemas.openxmlformats.org/officeDocument/2006/relationships/hyperlink" Target="https://www.facebook.com/projektydlahodowcow" TargetMode="External" Id="rId2050"/><Relationship Type="http://schemas.openxmlformats.org/officeDocument/2006/relationships/hyperlink" Target="https://www.facebook.com/profile.php?id=61579755115420" TargetMode="External" Id="rId2051"/><Relationship Type="http://schemas.openxmlformats.org/officeDocument/2006/relationships/hyperlink" Target="https://www.facebook.com/BlackDogK9Dogs" TargetMode="External" Id="rId2052"/><Relationship Type="http://schemas.openxmlformats.org/officeDocument/2006/relationships/hyperlink" Target="https://www.facebook.com/PetsbusTransportZwierzatLiveAnimalTransport" TargetMode="External" Id="rId2053"/><Relationship Type="http://schemas.openxmlformats.org/officeDocument/2006/relationships/hyperlink" Target="https://www.facebook.com/MtHoodPetMedical" TargetMode="External" Id="rId2054"/><Relationship Type="http://schemas.openxmlformats.org/officeDocument/2006/relationships/hyperlink" Target="https://www.facebook.com/nextleveldogs" TargetMode="External" Id="rId2055"/><Relationship Type="http://schemas.openxmlformats.org/officeDocument/2006/relationships/hyperlink" Target="https://www.facebook.com/dogparkour" TargetMode="External" Id="rId2056"/><Relationship Type="http://schemas.openxmlformats.org/officeDocument/2006/relationships/hyperlink" Target="https://www.facebook.com/iodogs" TargetMode="External" Id="rId2057"/><Relationship Type="http://schemas.openxmlformats.org/officeDocument/2006/relationships/hyperlink" Target="https://www.facebook.com/profile.php?id=100095564105677" TargetMode="External" Id="rId2058"/><Relationship Type="http://schemas.openxmlformats.org/officeDocument/2006/relationships/hyperlink" Target="https://www.facebook.com/profile.php?id=100067333032268" TargetMode="External" Id="rId2059"/><Relationship Type="http://schemas.openxmlformats.org/officeDocument/2006/relationships/hyperlink" Target="https://www.facebook.com/50dogs.global" TargetMode="External" Id="rId2060"/><Relationship Type="http://schemas.openxmlformats.org/officeDocument/2006/relationships/hyperlink" Target="https://www.facebook.com/upetwellness" TargetMode="External" Id="rId2061"/><Relationship Type="http://schemas.openxmlformats.org/officeDocument/2006/relationships/hyperlink" Target="https://www.facebook.com/labradoggerzz" TargetMode="External" Id="rId2062"/><Relationship Type="http://schemas.openxmlformats.org/officeDocument/2006/relationships/hyperlink" Target="https://www.facebook.com/meupetsquerido" TargetMode="External" Id="rId2063"/><Relationship Type="http://schemas.openxmlformats.org/officeDocument/2006/relationships/hyperlink" Target="https://www.facebook.com/petsthetics" TargetMode="External" Id="rId2064"/><Relationship Type="http://schemas.openxmlformats.org/officeDocument/2006/relationships/hyperlink" Target="https://www.facebook.com/dogcancerseries" TargetMode="External" Id="rId2065"/><Relationship Type="http://schemas.openxmlformats.org/officeDocument/2006/relationships/hyperlink" Target="https://www.facebook.com/agkdog" TargetMode="External" Id="rId2066"/><Relationship Type="http://schemas.openxmlformats.org/officeDocument/2006/relationships/hyperlink" Target="https://www.facebook.com/Onlyimportsaustralia" TargetMode="External" Id="rId2067"/><Relationship Type="http://schemas.openxmlformats.org/officeDocument/2006/relationships/hyperlink" Target="https://www.facebook.com/drcruznpets" TargetMode="External" Id="rId2068"/><Relationship Type="http://schemas.openxmlformats.org/officeDocument/2006/relationships/hyperlink" Target="https://www.facebook.com/calmdogmethod" TargetMode="External" Id="rId2069"/><Relationship Type="http://schemas.openxmlformats.org/officeDocument/2006/relationships/hyperlink" Target="https://www.facebook.com/profile.php?id=100065023237899" TargetMode="External" Id="rId2070"/><Relationship Type="http://schemas.openxmlformats.org/officeDocument/2006/relationships/hyperlink" Target="https://www.facebook.com/profile.php?id=61578422488631" TargetMode="External" Id="rId2071"/><Relationship Type="http://schemas.openxmlformats.org/officeDocument/2006/relationships/hyperlink" Target="https://www.facebook.com/duodanube.sk" TargetMode="External" Id="rId2072"/><Relationship Type="http://schemas.openxmlformats.org/officeDocument/2006/relationships/hyperlink" Target="https://www.facebook.com/dogsatwebdesign" TargetMode="External" Id="rId2073"/><Relationship Type="http://schemas.openxmlformats.org/officeDocument/2006/relationships/hyperlink" Target="https://www.facebook.com/profile.php?id=100064543246213" TargetMode="External" Id="rId2074"/><Relationship Type="http://schemas.openxmlformats.org/officeDocument/2006/relationships/hyperlink" Target="https://www.facebook.com/dogslikediamondss" TargetMode="External" Id="rId2075"/><Relationship Type="http://schemas.openxmlformats.org/officeDocument/2006/relationships/hyperlink" Target="https://www.facebook.com/jetpet.francis.2025" TargetMode="External" Id="rId2076"/><Relationship Type="http://schemas.openxmlformats.org/officeDocument/2006/relationships/hyperlink" Target="https://www.facebook.com/NormantheScooterDog" TargetMode="External" Id="rId2077"/><Relationship Type="http://schemas.openxmlformats.org/officeDocument/2006/relationships/hyperlink" Target="https://www.facebook.com/DogsTasmania" TargetMode="External" Id="rId2078"/><Relationship Type="http://schemas.openxmlformats.org/officeDocument/2006/relationships/hyperlink" Target="https://www.facebook.com/reddogtruckercaps" TargetMode="External" Id="rId2079"/><Relationship Type="http://schemas.openxmlformats.org/officeDocument/2006/relationships/hyperlink" Target="https://www.facebook.com/itvfortheloveofdogs" TargetMode="External" Id="rId2080"/><Relationship Type="http://schemas.openxmlformats.org/officeDocument/2006/relationships/hyperlink" Target="https://www.facebook.com/lazydogphotographyy" TargetMode="External" Id="rId2081"/><Relationship Type="http://schemas.openxmlformats.org/officeDocument/2006/relationships/hyperlink" Target="https://www.facebook.com/NMGBullies" TargetMode="External" Id="rId2082"/><Relationship Type="http://schemas.openxmlformats.org/officeDocument/2006/relationships/hyperlink" Target="https://www.facebook.com/beppepetsoficial" TargetMode="External" Id="rId2083"/><Relationship Type="http://schemas.openxmlformats.org/officeDocument/2006/relationships/hyperlink" Target="https://www.facebook.com/TobyTheExploringWonderdog" TargetMode="External" Id="rId2084"/><Relationship Type="http://schemas.openxmlformats.org/officeDocument/2006/relationships/hyperlink" Target="https://www.facebook.com/fabibandanaspet" TargetMode="External" Id="rId2085"/><Relationship Type="http://schemas.openxmlformats.org/officeDocument/2006/relationships/hyperlink" Target="https://www.facebook.com/profile.php?id=61559574725493" TargetMode="External" Id="rId2086"/><Relationship Type="http://schemas.openxmlformats.org/officeDocument/2006/relationships/hyperlink" Target="https://www.facebook.com/profile.php?id=61590806190516" TargetMode="External" Id="rId2087"/><Relationship Type="http://schemas.openxmlformats.org/officeDocument/2006/relationships/hyperlink" Target="https://www.facebook.com/profile.php?id=61578529737401" TargetMode="External" Id="rId2088"/><Relationship Type="http://schemas.openxmlformats.org/officeDocument/2006/relationships/hyperlink" Target="https://www.facebook.com/northamericadivingdogs" TargetMode="External" Id="rId2089"/><Relationship Type="http://schemas.openxmlformats.org/officeDocument/2006/relationships/hyperlink" Target="https://www.facebook.com/profile.php?id=100069847105979" TargetMode="External" Id="rId2090"/><Relationship Type="http://schemas.openxmlformats.org/officeDocument/2006/relationships/hyperlink" Target="https://www.facebook.com/agung.peterpan.7" TargetMode="External" Id="rId2091"/><Relationship Type="http://schemas.openxmlformats.org/officeDocument/2006/relationships/hyperlink" Target="https://www.facebook.com/thedogorchard" TargetMode="External" Id="rId2092"/><Relationship Type="http://schemas.openxmlformats.org/officeDocument/2006/relationships/hyperlink" Target="https://www.facebook.com/revistahealthypetmexicali" TargetMode="External" Id="rId2093"/><Relationship Type="http://schemas.openxmlformats.org/officeDocument/2006/relationships/hyperlink" Target="https://www.facebook.com/profile.php?id=100063748172896" TargetMode="External" Id="rId2094"/><Relationship Type="http://schemas.openxmlformats.org/officeDocument/2006/relationships/hyperlink" Target="https://www.facebook.com/PetExpoSA" TargetMode="External" Id="rId2095"/><Relationship Type="http://schemas.openxmlformats.org/officeDocument/2006/relationships/hyperlink" Target="https://www.facebook.com/peter.christopher.672045" TargetMode="External" Id="rId2096"/><Relationship Type="http://schemas.openxmlformats.org/officeDocument/2006/relationships/hyperlink" Target="https://www.facebook.com/JamesWellbelovedUK" TargetMode="External" Id="rId2097"/><Relationship Type="http://schemas.openxmlformats.org/officeDocument/2006/relationships/hyperlink" Target="https://www.facebook.com/DDBG971" TargetMode="External" Id="rId2098"/><Relationship Type="http://schemas.openxmlformats.org/officeDocument/2006/relationships/hyperlink" Target="https://www.facebook.com/profile.php?id=61589968491984" TargetMode="External" Id="rId2099"/><Relationship Type="http://schemas.openxmlformats.org/officeDocument/2006/relationships/hyperlink" Target="https://www.facebook.com/DogShowCentral" TargetMode="External" Id="rId2100"/><Relationship Type="http://schemas.openxmlformats.org/officeDocument/2006/relationships/hyperlink" Target="https://www.facebook.com/profile.php?id=100037344051604" TargetMode="External" Id="rId2101"/><Relationship Type="http://schemas.openxmlformats.org/officeDocument/2006/relationships/hyperlink" Target="https://www.facebook.com/likepageifyouloveanimalsus" TargetMode="External" Id="rId2102"/><Relationship Type="http://schemas.openxmlformats.org/officeDocument/2006/relationships/hyperlink" Target="https://www.facebook.com/MiramarCarpetCleaning" TargetMode="External" Id="rId2103"/><Relationship Type="http://schemas.openxmlformats.org/officeDocument/2006/relationships/hyperlink" Target="https://www.facebook.com/SteffisDogAccessories" TargetMode="External" Id="rId2104"/><Relationship Type="http://schemas.openxmlformats.org/officeDocument/2006/relationships/hyperlink" Target="https://www.facebook.com/yourpetwantsthis" TargetMode="External" Id="rId2105"/><Relationship Type="http://schemas.openxmlformats.org/officeDocument/2006/relationships/hyperlink" Target="https://www.facebook.com/adogswayinn" TargetMode="External" Id="rId2106"/><Relationship Type="http://schemas.openxmlformats.org/officeDocument/2006/relationships/hyperlink" Target="https://www.facebook.com/albrightsrawdogfood" TargetMode="External" Id="rId2107"/><Relationship Type="http://schemas.openxmlformats.org/officeDocument/2006/relationships/hyperlink" Target="https://www.facebook.com/profile.php?id=100085413648506" TargetMode="External" Id="rId2108"/><Relationship Type="http://schemas.openxmlformats.org/officeDocument/2006/relationships/hyperlink" Target="https://www.facebook.com/westdogbulls" TargetMode="External" Id="rId2109"/><Relationship Type="http://schemas.openxmlformats.org/officeDocument/2006/relationships/hyperlink" Target="https://www.facebook.com/alamujerselarespetavideos" TargetMode="External" Id="rId2110"/><Relationship Type="http://schemas.openxmlformats.org/officeDocument/2006/relationships/hyperlink" Target="https://www.facebook.com/ThePetPsychicTV" TargetMode="External" Id="rId2111"/><Relationship Type="http://schemas.openxmlformats.org/officeDocument/2006/relationships/hyperlink" Target="https://www.facebook.com/fanko.doguedebordeaux" TargetMode="External" Id="rId2112"/><Relationship Type="http://schemas.openxmlformats.org/officeDocument/2006/relationships/hyperlink" Target="https://www.facebook.com/dogexponitra" TargetMode="External" Id="rId2113"/><Relationship Type="http://schemas.openxmlformats.org/officeDocument/2006/relationships/hyperlink" Target="https://www.facebook.com/BIGDOGZSHOW" TargetMode="External" Id="rId2114"/><Relationship Type="http://schemas.openxmlformats.org/officeDocument/2006/relationships/hyperlink" Target="https://www.facebook.com/profile.php?id=61581423909802" TargetMode="External" Id="rId2115"/><Relationship Type="http://schemas.openxmlformats.org/officeDocument/2006/relationships/hyperlink" Target="https://www.facebook.com/profile.php?id=100057578284985" TargetMode="External" Id="rId2116"/><Relationship Type="http://schemas.openxmlformats.org/officeDocument/2006/relationships/hyperlink" Target="https://www.facebook.com/profile.php?id=100063627141546" TargetMode="External" Id="rId2117"/><Relationship Type="http://schemas.openxmlformats.org/officeDocument/2006/relationships/hyperlink" Target="https://www.facebook.com/AnnenbergPetSpace" TargetMode="External" Id="rId2118"/><Relationship Type="http://schemas.openxmlformats.org/officeDocument/2006/relationships/hyperlink" Target="https://www.facebook.com/Pawfectionpetfoods" TargetMode="External" Id="rId2119"/><Relationship Type="http://schemas.openxmlformats.org/officeDocument/2006/relationships/hyperlink" Target="https://www.facebook.com/profile.php?id=100054414253540" TargetMode="External" Id="rId2120"/><Relationship Type="http://schemas.openxmlformats.org/officeDocument/2006/relationships/hyperlink" Target="https://www.facebook.com/K9s4KIDsORG" TargetMode="External" Id="rId2121"/><Relationship Type="http://schemas.openxmlformats.org/officeDocument/2006/relationships/hyperlink" Target="https://www.facebook.com/dogs.dz" TargetMode="External" Id="rId2122"/><Relationship Type="http://schemas.openxmlformats.org/officeDocument/2006/relationships/hyperlink" Target="https://www.facebook.com/EzyDogWorldwide" TargetMode="External" Id="rId2123"/><Relationship Type="http://schemas.openxmlformats.org/officeDocument/2006/relationships/hyperlink" Target="https://www.facebook.com/VenturaPetTours" TargetMode="External" Id="rId2124"/><Relationship Type="http://schemas.openxmlformats.org/officeDocument/2006/relationships/hyperlink" Target="https://www.facebook.com/PETULAJEWELRY" TargetMode="External" Id="rId2125"/><Relationship Type="http://schemas.openxmlformats.org/officeDocument/2006/relationships/hyperlink" Target="https://www.facebook.com/profile.php?id=100081798356816" TargetMode="External" Id="rId2126"/><Relationship Type="http://schemas.openxmlformats.org/officeDocument/2006/relationships/hyperlink" Target="https://www.facebook.com/scarescuehealthfoundation" TargetMode="External" Id="rId2127"/><Relationship Type="http://schemas.openxmlformats.org/officeDocument/2006/relationships/hyperlink" Target="https://www.facebook.com/doddlefordogs.de" TargetMode="External" Id="rId2128"/><Relationship Type="http://schemas.openxmlformats.org/officeDocument/2006/relationships/hyperlink" Target="https://www.facebook.com/profile.php?id=61574568027823" TargetMode="External" Id="rId2129"/><Relationship Type="http://schemas.openxmlformats.org/officeDocument/2006/relationships/hyperlink" Target="https://www.facebook.com/AniRepAllatorvosiRendelo" TargetMode="External" Id="rId2130"/><Relationship Type="http://schemas.openxmlformats.org/officeDocument/2006/relationships/hyperlink" Target="https://www.facebook.com/adorabledogcollars" TargetMode="External" Id="rId2131"/><Relationship Type="http://schemas.openxmlformats.org/officeDocument/2006/relationships/hyperlink" Target="https://www.facebook.com/profile.php?id=61575538207895" TargetMode="External" Id="rId2132"/><Relationship Type="http://schemas.openxmlformats.org/officeDocument/2006/relationships/hyperlink" Target="https://www.facebook.com/doglovers09" TargetMode="External" Id="rId2133"/><Relationship Type="http://schemas.openxmlformats.org/officeDocument/2006/relationships/hyperlink" Target="https://www.facebook.com/Naturallyholisticpet" TargetMode="External" Id="rId2134"/><Relationship Type="http://schemas.openxmlformats.org/officeDocument/2006/relationships/hyperlink" Target="https://www.facebook.com/profile.php?id=100077692248213" TargetMode="External" Id="rId2135"/><Relationship Type="http://schemas.openxmlformats.org/officeDocument/2006/relationships/hyperlink" Target="https://www.facebook.com/ritzenberger360" TargetMode="External" Id="rId2136"/><Relationship Type="http://schemas.openxmlformats.org/officeDocument/2006/relationships/hyperlink" Target="https://www.facebook.com/petchnil23" TargetMode="External" Id="rId2137"/><Relationship Type="http://schemas.openxmlformats.org/officeDocument/2006/relationships/hyperlink" Target="https://www.facebook.com/profile.php?id=100087971288244" TargetMode="External" Id="rId2138"/><Relationship Type="http://schemas.openxmlformats.org/officeDocument/2006/relationships/hyperlink" Target="https://www.facebook.com/profile.php?id=100054397724732" TargetMode="External" Id="rId2139"/><Relationship Type="http://schemas.openxmlformats.org/officeDocument/2006/relationships/hyperlink" Target="https://www.facebook.com/profile.php?id=100057074904348" TargetMode="External" Id="rId2140"/><Relationship Type="http://schemas.openxmlformats.org/officeDocument/2006/relationships/hyperlink" Target="https://www.facebook.com/profile.php?id=61586871814553" TargetMode="External" Id="rId2141"/><Relationship Type="http://schemas.openxmlformats.org/officeDocument/2006/relationships/hyperlink" Target="https://www.facebook.com/doggitapp" TargetMode="External" Id="rId2142"/><Relationship Type="http://schemas.openxmlformats.org/officeDocument/2006/relationships/hyperlink" Target="https://www.facebook.com/xmassbulldogs" TargetMode="External" Id="rId2143"/><Relationship Type="http://schemas.openxmlformats.org/officeDocument/2006/relationships/hyperlink" Target="https://www.facebook.com/chapa.longdog" TargetMode="External" Id="rId2144"/><Relationship Type="http://schemas.openxmlformats.org/officeDocument/2006/relationships/hyperlink" Target="https://www.facebook.com/profile.php?id=100070331558367" TargetMode="External" Id="rId2145"/><Relationship Type="http://schemas.openxmlformats.org/officeDocument/2006/relationships/hyperlink" Target="https://www.facebook.com/AnAnPets" TargetMode="External" Id="rId2146"/><Relationship Type="http://schemas.openxmlformats.org/officeDocument/2006/relationships/hyperlink" Target="https://www.facebook.com/rawpetmedics" TargetMode="External" Id="rId2147"/><Relationship Type="http://schemas.openxmlformats.org/officeDocument/2006/relationships/hyperlink" Target="https://www.facebook.com/profile.php?id=61585358107518" TargetMode="External" Id="rId2148"/><Relationship Type="http://schemas.openxmlformats.org/officeDocument/2006/relationships/hyperlink" Target="https://www.facebook.com/profile.php?id=61575628390714" TargetMode="External" Id="rId2149"/><Relationship Type="http://schemas.openxmlformats.org/officeDocument/2006/relationships/hyperlink" Target="https://www.facebook.com/ShowPetsPhotography" TargetMode="External" Id="rId2150"/><Relationship Type="http://schemas.openxmlformats.org/officeDocument/2006/relationships/hyperlink" Target="https://www.facebook.com/JollyPets" TargetMode="External" Id="rId2151"/><Relationship Type="http://schemas.openxmlformats.org/officeDocument/2006/relationships/hyperlink" Target="https://www.facebook.com/dogadojo" TargetMode="External" Id="rId2152"/><Relationship Type="http://schemas.openxmlformats.org/officeDocument/2006/relationships/hyperlink" Target="https://www.facebook.com/pets.city1" TargetMode="External" Id="rId2153"/><Relationship Type="http://schemas.openxmlformats.org/officeDocument/2006/relationships/hyperlink" Target="https://www.facebook.com/Doggosdoingthings" TargetMode="External" Id="rId2154"/><Relationship Type="http://schemas.openxmlformats.org/officeDocument/2006/relationships/hyperlink" Target="https://www.facebook.com/49thstatesleddogs" TargetMode="External" Id="rId2155"/><Relationship Type="http://schemas.openxmlformats.org/officeDocument/2006/relationships/hyperlink" Target="https://www.facebook.com/photographer.petrafurstova" TargetMode="External" Id="rId2156"/><Relationship Type="http://schemas.openxmlformats.org/officeDocument/2006/relationships/hyperlink" Target="https://www.facebook.com/profile.php?id=61575035074547" TargetMode="External" Id="rId2157"/><Relationship Type="http://schemas.openxmlformats.org/officeDocument/2006/relationships/hyperlink" Target="https://www.facebook.com/dynamicdogsmassage" TargetMode="External" Id="rId2158"/><Relationship Type="http://schemas.openxmlformats.org/officeDocument/2006/relationships/hyperlink" Target="https://www.facebook.com/doggoaddicts" TargetMode="External" Id="rId2159"/><Relationship Type="http://schemas.openxmlformats.org/officeDocument/2006/relationships/hyperlink" Target="https://www.facebook.com/profile.php?id=61575101968545" TargetMode="External" Id="rId2160"/><Relationship Type="http://schemas.openxmlformats.org/officeDocument/2006/relationships/hyperlink" Target="https://www.facebook.com/profile.php?id=61586852056062" TargetMode="External" Id="rId2161"/><Relationship Type="http://schemas.openxmlformats.org/officeDocument/2006/relationships/hyperlink" Target="https://www.facebook.com/peterdogworks" TargetMode="External" Id="rId2162"/><Relationship Type="http://schemas.openxmlformats.org/officeDocument/2006/relationships/hyperlink" Target="https://www.facebook.com/sklep.maluvforpets" TargetMode="External" Id="rId2163"/><Relationship Type="http://schemas.openxmlformats.org/officeDocument/2006/relationships/hyperlink" Target="https://www.facebook.com/profile.php?id=61566866291688" TargetMode="External" Id="rId2164"/><Relationship Type="http://schemas.openxmlformats.org/officeDocument/2006/relationships/hyperlink" Target="https://www.facebook.com/NaspiBulldogs" TargetMode="External" Id="rId2165"/><Relationship Type="http://schemas.openxmlformats.org/officeDocument/2006/relationships/hyperlink" Target="https://www.facebook.com/Bordeauxdoggenzucht" TargetMode="External" Id="rId2166"/><Relationship Type="http://schemas.openxmlformats.org/officeDocument/2006/relationships/hyperlink" Target="https://www.facebook.com/ShubiePark" TargetMode="External" Id="rId2167"/><Relationship Type="http://schemas.openxmlformats.org/officeDocument/2006/relationships/hyperlink" Target="https://www.facebook.com/profile.php?id=100063472145543" TargetMode="External" Id="rId2168"/><Relationship Type="http://schemas.openxmlformats.org/officeDocument/2006/relationships/hyperlink" Target="https://www.facebook.com/HannahTheMountainDog" TargetMode="External" Id="rId2169"/><Relationship Type="http://schemas.openxmlformats.org/officeDocument/2006/relationships/hyperlink" Target="https://www.facebook.com/m1.mone" TargetMode="External" Id="rId2170"/><Relationship Type="http://schemas.openxmlformats.org/officeDocument/2006/relationships/hyperlink" Target="https://www.facebook.com/dogshowsanmarino" TargetMode="External" Id="rId2171"/><Relationship Type="http://schemas.openxmlformats.org/officeDocument/2006/relationships/hyperlink" Target="https://www.facebook.com/petsvoyagepoland" TargetMode="External" Id="rId2172"/><Relationship Type="http://schemas.openxmlformats.org/officeDocument/2006/relationships/hyperlink" Target="https://www.facebook.com/dogguardillinoisiowa" TargetMode="External" Id="rId2173"/><Relationship Type="http://schemas.openxmlformats.org/officeDocument/2006/relationships/hyperlink" Target="https://www.facebook.com/profile.php?id=100079782923993" TargetMode="External" Id="rId2174"/><Relationship Type="http://schemas.openxmlformats.org/officeDocument/2006/relationships/hyperlink" Target="https://www.facebook.com/profile.php?id=100078549799874" TargetMode="External" Id="rId2175"/><Relationship Type="http://schemas.openxmlformats.org/officeDocument/2006/relationships/hyperlink" Target="https://www.facebook.com/AZassistancedogs" TargetMode="External" Id="rId2176"/><Relationship Type="http://schemas.openxmlformats.org/officeDocument/2006/relationships/hyperlink" Target="https://www.facebook.com/herdingeaststockdogs" TargetMode="External" Id="rId2177"/><Relationship Type="http://schemas.openxmlformats.org/officeDocument/2006/relationships/hyperlink" Target="https://www.facebook.com/graciesdoghousellc" TargetMode="External" Id="rId2178"/><Relationship Type="http://schemas.openxmlformats.org/officeDocument/2006/relationships/hyperlink" Target="https://www.facebook.com/DogsInSight" TargetMode="External" Id="rId2179"/><Relationship Type="http://schemas.openxmlformats.org/officeDocument/2006/relationships/hyperlink" Target="https://www.facebook.com/NoxDogs" TargetMode="External" Id="rId2180"/><Relationship Type="http://schemas.openxmlformats.org/officeDocument/2006/relationships/hyperlink" Target="https://www.facebook.com/profile.php?id=100064029245618" TargetMode="External" Id="rId2181"/><Relationship Type="http://schemas.openxmlformats.org/officeDocument/2006/relationships/hyperlink" Target="https://www.facebook.com/profile.php?id=100057326474790" TargetMode="External" Id="rId2182"/><Relationship Type="http://schemas.openxmlformats.org/officeDocument/2006/relationships/hyperlink" Target="https://www.facebook.com/petplanet.ru" TargetMode="External" Id="rId2183"/><Relationship Type="http://schemas.openxmlformats.org/officeDocument/2006/relationships/hyperlink" Target="https://www.facebook.com/profile.php?id=61561224762263" TargetMode="External" Id="rId2184"/><Relationship Type="http://schemas.openxmlformats.org/officeDocument/2006/relationships/hyperlink" Target="https://www.facebook.com/EDS2025.cz" TargetMode="External" Id="rId2185"/><Relationship Type="http://schemas.openxmlformats.org/officeDocument/2006/relationships/hyperlink" Target="https://www.facebook.com/profile.php?id=100088106606259" TargetMode="External" Id="rId2186"/><Relationship Type="http://schemas.openxmlformats.org/officeDocument/2006/relationships/hyperlink" Target="https://www.facebook.com/WallyBed" TargetMode="External" Id="rId2187"/><Relationship Type="http://schemas.openxmlformats.org/officeDocument/2006/relationships/hyperlink" Target="https://www.facebook.com/dogsfavoritehundebetten" TargetMode="External" Id="rId2188"/><Relationship Type="http://schemas.openxmlformats.org/officeDocument/2006/relationships/hyperlink" Target="https://www.facebook.com/MarnieTheDog" TargetMode="External" Id="rId2189"/><Relationship Type="http://schemas.openxmlformats.org/officeDocument/2006/relationships/hyperlink" Target="https://www.facebook.com/61578455650507" TargetMode="External" Id="rId2190"/><Relationship Type="http://schemas.openxmlformats.org/officeDocument/2006/relationships/hyperlink" Target="https://www.facebook.com/profile.php?id=61577220118246" TargetMode="External" Id="rId2191"/><Relationship Type="http://schemas.openxmlformats.org/officeDocument/2006/relationships/hyperlink" Target="https://www.facebook.com/ArtbyTamo" TargetMode="External" Id="rId2192"/><Relationship Type="http://schemas.openxmlformats.org/officeDocument/2006/relationships/hyperlink" Target="https://www.facebook.com/IceDogShows" TargetMode="External" Id="rId2193"/><Relationship Type="http://schemas.openxmlformats.org/officeDocument/2006/relationships/hyperlink" Target="https://www.facebook.com/MrSilverTrumpet" TargetMode="External" Id="rId2194"/><Relationship Type="http://schemas.openxmlformats.org/officeDocument/2006/relationships/hyperlink" Target="https://www.facebook.com/grizlee56" TargetMode="External" Id="rId2195"/><Relationship Type="http://schemas.openxmlformats.org/officeDocument/2006/relationships/hyperlink" Target="https://www.facebook.com/landingtrailstockdogs" TargetMode="External" Id="rId2196"/><Relationship Type="http://schemas.openxmlformats.org/officeDocument/2006/relationships/hyperlink" Target="https://www.facebook.com/profile.php?id=100067628705024" TargetMode="External" Id="rId2197"/><Relationship Type="http://schemas.openxmlformats.org/officeDocument/2006/relationships/hyperlink" Target="https://www.facebook.com/profile.php?id=61560574871378" TargetMode="External" Id="rId2198"/><Relationship Type="http://schemas.openxmlformats.org/officeDocument/2006/relationships/hyperlink" Target="https://www.facebook.com/BeMoreDogAU" TargetMode="External" Id="rId2199"/><Relationship Type="http://schemas.openxmlformats.org/officeDocument/2006/relationships/hyperlink" Target="https://www.facebook.com/profile.php?id=61554420895667" TargetMode="External" Id="rId2200"/><Relationship Type="http://schemas.openxmlformats.org/officeDocument/2006/relationships/hyperlink" Target="https://www.facebook.com/sierrapetmeds" TargetMode="External" Id="rId2201"/><Relationship Type="http://schemas.openxmlformats.org/officeDocument/2006/relationships/hyperlink" Target="https://www.facebook.com/dogsmusic" TargetMode="External" Id="rId2202"/><Relationship Type="http://schemas.openxmlformats.org/officeDocument/2006/relationships/hyperlink" Target="https://www.facebook.com/doggytalesga" TargetMode="External" Id="rId2203"/><Relationship Type="http://schemas.openxmlformats.org/officeDocument/2006/relationships/hyperlink" Target="https://www.facebook.com/profile.php?id=61573830718645" TargetMode="External" Id="rId2204"/><Relationship Type="http://schemas.openxmlformats.org/officeDocument/2006/relationships/hyperlink" Target="https://www.facebook.com/dogguardfencing" TargetMode="External" Id="rId2205"/><Relationship Type="http://schemas.openxmlformats.org/officeDocument/2006/relationships/hyperlink" Target="https://www.facebook.com/petfriendlysouthafrica" TargetMode="External" Id="rId2206"/><Relationship Type="http://schemas.openxmlformats.org/officeDocument/2006/relationships/hyperlink" Target="https://www.facebook.com/profile.php?id=100082485678011" TargetMode="External" Id="rId2207"/><Relationship Type="http://schemas.openxmlformats.org/officeDocument/2006/relationships/hyperlink" Target="https://www.facebook.com/profile.php?id=61554704524745" TargetMode="External" Id="rId2208"/><Relationship Type="http://schemas.openxmlformats.org/officeDocument/2006/relationships/hyperlink" Target="https://www.facebook.com/profile.php?id=100065186003255" TargetMode="External" Id="rId2209"/><Relationship Type="http://schemas.openxmlformats.org/officeDocument/2006/relationships/hyperlink" Target="https://www.facebook.com/DogsvilleDoc" TargetMode="External" Id="rId2210"/><Relationship Type="http://schemas.openxmlformats.org/officeDocument/2006/relationships/hyperlink" Target="https://www.facebook.com/dogs2foster" TargetMode="External" Id="rId2211"/><Relationship Type="http://schemas.openxmlformats.org/officeDocument/2006/relationships/hyperlink" Target="https://www.facebook.com/profile.php?id=100088658513284" TargetMode="External" Id="rId2212"/><Relationship Type="http://schemas.openxmlformats.org/officeDocument/2006/relationships/hyperlink" Target="https://www.facebook.com/ValorShowDogs" TargetMode="External" Id="rId2213"/><Relationship Type="http://schemas.openxmlformats.org/officeDocument/2006/relationships/hyperlink" Target="https://www.facebook.com/petshuttles" TargetMode="External" Id="rId2214"/><Relationship Type="http://schemas.openxmlformats.org/officeDocument/2006/relationships/hyperlink" Target="https://www.facebook.com/dogparentsindubai" TargetMode="External" Id="rId2215"/><Relationship Type="http://schemas.openxmlformats.org/officeDocument/2006/relationships/hyperlink" Target="https://www.facebook.com/thepetcorner.kn" TargetMode="External" Id="rId2216"/><Relationship Type="http://schemas.openxmlformats.org/officeDocument/2006/relationships/hyperlink" Target="https://www.facebook.com/DUTCHDOGSHOWPROMO" TargetMode="External" Id="rId2217"/><Relationship Type="http://schemas.openxmlformats.org/officeDocument/2006/relationships/hyperlink" Target="https://www.facebook.com/ForLoveofaDogJewelry" TargetMode="External" Id="rId2218"/><Relationship Type="http://schemas.openxmlformats.org/officeDocument/2006/relationships/hyperlink" Target="https://www.facebook.com/profile.php?id=61552339633491" TargetMode="External" Id="rId2219"/><Relationship Type="http://schemas.openxmlformats.org/officeDocument/2006/relationships/hyperlink" Target="https://www.facebook.com/crazys.adventure" TargetMode="External" Id="rId2220"/><Relationship Type="http://schemas.openxmlformats.org/officeDocument/2006/relationships/hyperlink" Target="https://www.facebook.com/dogguardmaine" TargetMode="External" Id="rId2221"/><Relationship Type="http://schemas.openxmlformats.org/officeDocument/2006/relationships/hyperlink" Target="https://www.facebook.com/newcitypettransport" TargetMode="External" Id="rId2222"/><Relationship Type="http://schemas.openxmlformats.org/officeDocument/2006/relationships/hyperlink" Target="https://www.facebook.com/petcabaret" TargetMode="External" Id="rId2223"/><Relationship Type="http://schemas.openxmlformats.org/officeDocument/2006/relationships/hyperlink" Target="https://www.facebook.com/alohadogmom" TargetMode="External" Id="rId2224"/><Relationship Type="http://schemas.openxmlformats.org/officeDocument/2006/relationships/hyperlink" Target="https://www.facebook.com/ThePetHealthWellnessAdvocate" TargetMode="External" Id="rId2225"/><Relationship Type="http://schemas.openxmlformats.org/officeDocument/2006/relationships/hyperlink" Target="https://www.facebook.com/profile.php?id=61564594382835" TargetMode="External" Id="rId2226"/><Relationship Type="http://schemas.openxmlformats.org/officeDocument/2006/relationships/hyperlink" Target="https://www.facebook.com/petbrokers" TargetMode="External" Id="rId2227"/><Relationship Type="http://schemas.openxmlformats.org/officeDocument/2006/relationships/hyperlink" Target="https://www.facebook.com/campettopronissafutsal" TargetMode="External" Id="rId2228"/><Relationship Type="http://schemas.openxmlformats.org/officeDocument/2006/relationships/hyperlink" Target="https://www.facebook.com/kenneloesfromwhiteblueangels" TargetMode="External" Id="rId2229"/><Relationship Type="http://schemas.openxmlformats.org/officeDocument/2006/relationships/hyperlink" Target="https://www.facebook.com/CCdogguard" TargetMode="External" Id="rId2230"/><Relationship Type="http://schemas.openxmlformats.org/officeDocument/2006/relationships/hyperlink" Target="https://www.facebook.com/profile.php?id=100071657672598" TargetMode="External" Id="rId2231"/><Relationship Type="http://schemas.openxmlformats.org/officeDocument/2006/relationships/hyperlink" Target="https://www.facebook.com/profile.php?id=61555716137649" TargetMode="External" Id="rId2232"/><Relationship Type="http://schemas.openxmlformats.org/officeDocument/2006/relationships/hyperlink" Target="https://www.facebook.com/profile.php?id=100068155273918" TargetMode="External" Id="rId2233"/><Relationship Type="http://schemas.openxmlformats.org/officeDocument/2006/relationships/hyperlink" Target="https://www.facebook.com/profile.php?id=100069553232855" TargetMode="External" Id="rId2234"/><Relationship Type="http://schemas.openxmlformats.org/officeDocument/2006/relationships/hyperlink" Target="https://www.facebook.com/profile.php?id=100054427122309" TargetMode="External" Id="rId2235"/><Relationship Type="http://schemas.openxmlformats.org/officeDocument/2006/relationships/hyperlink" Target="https://www.facebook.com/DogsFanPage" TargetMode="External" Id="rId2236"/><Relationship Type="http://schemas.openxmlformats.org/officeDocument/2006/relationships/hyperlink" Target="https://www.facebook.com/JOSIPetfood" TargetMode="External" Id="rId2237"/><Relationship Type="http://schemas.openxmlformats.org/officeDocument/2006/relationships/hyperlink" Target="https://www.facebook.com/profile.php?id=61551384792395" TargetMode="External" Id="rId2238"/><Relationship Type="http://schemas.openxmlformats.org/officeDocument/2006/relationships/hyperlink" Target="https://www.facebook.com/animalactorsnationwide" TargetMode="External" Id="rId2239"/><Relationship Type="http://schemas.openxmlformats.org/officeDocument/2006/relationships/hyperlink" Target="https://www.facebook.com/profile.php?id=100057275927498" TargetMode="External" Id="rId2240"/><Relationship Type="http://schemas.openxmlformats.org/officeDocument/2006/relationships/hyperlink" Target="https://www.facebook.com/linda.norgaardpeterson" TargetMode="External" Id="rId2241"/><Relationship Type="http://schemas.openxmlformats.org/officeDocument/2006/relationships/hyperlink" Target="https://www.facebook.com/petitbananapr" TargetMode="External" Id="rId2242"/><Relationship Type="http://schemas.openxmlformats.org/officeDocument/2006/relationships/hyperlink" Target="https://www.facebook.com/birchthetherapydog" TargetMode="External" Id="rId2243"/><Relationship Type="http://schemas.openxmlformats.org/officeDocument/2006/relationships/hyperlink" Target="https://www.facebook.com/finotrajemodapet" TargetMode="External" Id="rId2244"/><Relationship Type="http://schemas.openxmlformats.org/officeDocument/2006/relationships/hyperlink" Target="https://www.facebook.com/petitmonstersmx" TargetMode="External" Id="rId2245"/><Relationship Type="http://schemas.openxmlformats.org/officeDocument/2006/relationships/hyperlink" Target="https://www.facebook.com/latrufapetfood" TargetMode="External" Id="rId2246"/><Relationship Type="http://schemas.openxmlformats.org/officeDocument/2006/relationships/hyperlink" Target="https://www.facebook.com/sabaidog.jj" TargetMode="External" Id="rId2247"/><Relationship Type="http://schemas.openxmlformats.org/officeDocument/2006/relationships/hyperlink" Target="https://www.facebook.com/profile.php?id=100063718071044" TargetMode="External" Id="rId2248"/><Relationship Type="http://schemas.openxmlformats.org/officeDocument/2006/relationships/hyperlink" Target="https://www.facebook.com/BayerMiniDog" TargetMode="External" Id="rId2249"/><Relationship Type="http://schemas.openxmlformats.org/officeDocument/2006/relationships/hyperlink" Target="https://www.facebook.com/mmdoghsowleads" TargetMode="External" Id="rId2250"/><Relationship Type="http://schemas.openxmlformats.org/officeDocument/2006/relationships/hyperlink" Target="https://www.facebook.com/maxminidog" TargetMode="External" Id="rId2251"/><Relationship Type="http://schemas.openxmlformats.org/officeDocument/2006/relationships/hyperlink" Target="https://www.facebook.com/revivolutiondogs" TargetMode="External" Id="rId2252"/><Relationship Type="http://schemas.openxmlformats.org/officeDocument/2006/relationships/hyperlink" Target="https://www.facebook.com/macrisdog" TargetMode="External" Id="rId2253"/><Relationship Type="http://schemas.openxmlformats.org/officeDocument/2006/relationships/hyperlink" Target="https://www.facebook.com/soposhdog" TargetMode="External" Id="rId2254"/><Relationship Type="http://schemas.openxmlformats.org/officeDocument/2006/relationships/hyperlink" Target="https://www.facebook.com/yourdogknows" TargetMode="External" Id="rId2255"/><Relationship Type="http://schemas.openxmlformats.org/officeDocument/2006/relationships/hyperlink" Target="https://www.facebook.com/DubaiDogsSociety" TargetMode="External" Id="rId2256"/><Relationship Type="http://schemas.openxmlformats.org/officeDocument/2006/relationships/hyperlink" Target="https://www.facebook.com/tripfordog" TargetMode="External" Id="rId2257"/><Relationship Type="http://schemas.openxmlformats.org/officeDocument/2006/relationships/hyperlink" Target="https://www.facebook.com/DogsBeingBasic" TargetMode="External" Id="rId2258"/><Relationship Type="http://schemas.openxmlformats.org/officeDocument/2006/relationships/hyperlink" Target="https://www.facebook.com/profile.php?id=100057128807017" TargetMode="External" Id="rId2259"/><Relationship Type="http://schemas.openxmlformats.org/officeDocument/2006/relationships/hyperlink" Target="https://www.facebook.com/holistapethelps" TargetMode="External" Id="rId2260"/><Relationship Type="http://schemas.openxmlformats.org/officeDocument/2006/relationships/hyperlink" Target="https://www.facebook.com/PetersonExperience" TargetMode="External" Id="rId2261"/><Relationship Type="http://schemas.openxmlformats.org/officeDocument/2006/relationships/hyperlink" Target="https://www.facebook.com/profile.php?id=100063627308702" TargetMode="External" Id="rId2262"/><Relationship Type="http://schemas.openxmlformats.org/officeDocument/2006/relationships/hyperlink" Target="https://www.facebook.com/amazonpets" TargetMode="External" Id="rId2263"/><Relationship Type="http://schemas.openxmlformats.org/officeDocument/2006/relationships/hyperlink" Target="https://www.facebook.com/oneProfesscrapets" TargetMode="External" Id="rId2264"/><Relationship Type="http://schemas.openxmlformats.org/officeDocument/2006/relationships/hyperlink" Target="https://www.facebook.com/withherdogs" TargetMode="External" Id="rId2265"/><Relationship Type="http://schemas.openxmlformats.org/officeDocument/2006/relationships/hyperlink" Target="https://www.facebook.com/DogsAreOurFamily" TargetMode="External" Id="rId2266"/><Relationship Type="http://schemas.openxmlformats.org/officeDocument/2006/relationships/hyperlink" Target="https://www.facebook.com/DEGENERATIVEMYELOPATHY" TargetMode="External" Id="rId2267"/><Relationship Type="http://schemas.openxmlformats.org/officeDocument/2006/relationships/hyperlink" Target="https://www.facebook.com/PetsPescaraedintorni" TargetMode="External" Id="rId2268"/><Relationship Type="http://schemas.openxmlformats.org/officeDocument/2006/relationships/hyperlink" Target="https://www.facebook.com/profile.php?id=100078632360756" TargetMode="External" Id="rId2269"/><Relationship Type="http://schemas.openxmlformats.org/officeDocument/2006/relationships/hyperlink" Target="https://www.facebook.com/LiamTheTherapyDog" TargetMode="External" Id="rId2270"/><Relationship Type="http://schemas.openxmlformats.org/officeDocument/2006/relationships/hyperlink" Target="https://www.facebook.com/dogsportsvideos" TargetMode="External" Id="rId2271"/><Relationship Type="http://schemas.openxmlformats.org/officeDocument/2006/relationships/hyperlink" Target="https://www.facebook.com/profile.php?id=100077178042397" TargetMode="External" Id="rId2272"/><Relationship Type="http://schemas.openxmlformats.org/officeDocument/2006/relationships/hyperlink" Target="https://www.facebook.com/lecpetsworld" TargetMode="External" Id="rId2273"/><Relationship Type="http://schemas.openxmlformats.org/officeDocument/2006/relationships/hyperlink" Target="https://www.facebook.com/AnnWPeterson" TargetMode="External" Id="rId2274"/><Relationship Type="http://schemas.openxmlformats.org/officeDocument/2006/relationships/hyperlink" Target="https://www.facebook.com/Dogguardofwesternmonmouth" TargetMode="External" Id="rId2275"/><Relationship Type="http://schemas.openxmlformats.org/officeDocument/2006/relationships/hyperlink" Target="https://www.facebook.com/profile.php?id=100063890718908" TargetMode="External" Id="rId2276"/><Relationship Type="http://schemas.openxmlformats.org/officeDocument/2006/relationships/hyperlink" Target="https://www.facebook.com/profile.php?id=100080635031571" TargetMode="External" Id="rId2277"/><Relationship Type="http://schemas.openxmlformats.org/officeDocument/2006/relationships/hyperlink" Target="https://www.facebook.com/profile.php?id=100063548028259" TargetMode="External" Id="rId2278"/><Relationship Type="http://schemas.openxmlformats.org/officeDocument/2006/relationships/hyperlink" Target="https://www.facebook.com/doggybag.apparel" TargetMode="External" Id="rId2279"/><Relationship Type="http://schemas.openxmlformats.org/officeDocument/2006/relationships/hyperlink" Target="https://www.facebook.com/YetiAdorableSnowDog" TargetMode="External" Id="rId2280"/><Relationship Type="http://schemas.openxmlformats.org/officeDocument/2006/relationships/hyperlink" Target="https://www.facebook.com/wordlpettravel" TargetMode="External" Id="rId2281"/><Relationship Type="http://schemas.openxmlformats.org/officeDocument/2006/relationships/hyperlink" Target="https://www.facebook.com/profile.php?id=100006056658369" TargetMode="External" Id="rId2282"/><Relationship Type="http://schemas.openxmlformats.org/officeDocument/2006/relationships/hyperlink" Target="https://www.facebook.com/profile.php?id=100063624323712" TargetMode="External" Id="rId2283"/><Relationship Type="http://schemas.openxmlformats.org/officeDocument/2006/relationships/hyperlink" Target="https://www.facebook.com/suncoastpets" TargetMode="External" Id="rId2284"/><Relationship Type="http://schemas.openxmlformats.org/officeDocument/2006/relationships/hyperlink" Target="https://www.facebook.com/profile.php?id=100044141454012" TargetMode="External" Id="rId2285"/><Relationship Type="http://schemas.openxmlformats.org/officeDocument/2006/relationships/hyperlink" Target="https://www.facebook.com/gooddog2018" TargetMode="External" Id="rId2286"/><Relationship Type="http://schemas.openxmlformats.org/officeDocument/2006/relationships/hyperlink" Target="https://www.facebook.com/Dido14041983" TargetMode="External" Id="rId2287"/><Relationship Type="http://schemas.openxmlformats.org/officeDocument/2006/relationships/hyperlink" Target="https://www.facebook.com/PforPets" TargetMode="External" Id="rId2288"/><Relationship Type="http://schemas.openxmlformats.org/officeDocument/2006/relationships/hyperlink" Target="https://www.facebook.com/bangkokbullieshouse" TargetMode="External" Id="rId2289"/><Relationship Type="http://schemas.openxmlformats.org/officeDocument/2006/relationships/hyperlink" Target="https://www.facebook.com/DogWalking" TargetMode="External" Id="rId2290"/><Relationship Type="http://schemas.openxmlformats.org/officeDocument/2006/relationships/hyperlink" Target="https://www.facebook.com/profile.php?id=100042755930128" TargetMode="External" Id="rId2291"/><Relationship Type="http://schemas.openxmlformats.org/officeDocument/2006/relationships/hyperlink" Target="https://www.facebook.com/patrickray.pugliese.1" TargetMode="External" Id="rId2292"/><Relationship Type="http://schemas.openxmlformats.org/officeDocument/2006/relationships/hyperlink" Target="https://www.facebook.com/wuffclickpic" TargetMode="External" Id="rId2293"/><Relationship Type="http://schemas.openxmlformats.org/officeDocument/2006/relationships/hyperlink" Target="https://www.facebook.com/profile.php?id=100063627933830" TargetMode="External" Id="rId2294"/><Relationship Type="http://schemas.openxmlformats.org/officeDocument/2006/relationships/hyperlink" Target="https://www.facebook.com/DIGitDogDesigns" TargetMode="External" Id="rId2295"/><Relationship Type="http://schemas.openxmlformats.org/officeDocument/2006/relationships/hyperlink" Target="https://www.facebook.com/BlueDogNW" TargetMode="External" Id="rId2296"/><Relationship Type="http://schemas.openxmlformats.org/officeDocument/2006/relationships/hyperlink" Target="https://www.facebook.com/lrassurpets" TargetMode="External" Id="rId2297"/><Relationship Type="http://schemas.openxmlformats.org/officeDocument/2006/relationships/hyperlink" Target="https://www.facebook.com/profile.php?id=100068656218010" TargetMode="External" Id="rId2298"/><Relationship Type="http://schemas.openxmlformats.org/officeDocument/2006/relationships/hyperlink" Target="https://www.facebook.com/DogsMakeMeHappy7" TargetMode="External" Id="rId2299"/><Relationship Type="http://schemas.openxmlformats.org/officeDocument/2006/relationships/hyperlink" Target="https://www.facebook.com/RavenscroftPetFood" TargetMode="External" Id="rId2300"/><Relationship Type="http://schemas.openxmlformats.org/officeDocument/2006/relationships/hyperlink" Target="https://www.facebook.com/rawfeedingdogs" TargetMode="External" Id="rId2301"/><Relationship Type="http://schemas.openxmlformats.org/officeDocument/2006/relationships/hyperlink" Target="https://www.facebook.com/profile.php?id=100077952366975" TargetMode="External" Id="rId2302"/><Relationship Type="http://schemas.openxmlformats.org/officeDocument/2006/relationships/hyperlink" Target="https://www.facebook.com/profile.php?id=100063945732881" TargetMode="External" Id="rId2303"/><Relationship Type="http://schemas.openxmlformats.org/officeDocument/2006/relationships/hyperlink" Target="https://www.facebook.com/wholeheartedpets" TargetMode="External" Id="rId2304"/><Relationship Type="http://schemas.openxmlformats.org/officeDocument/2006/relationships/hyperlink" Target="https://www.facebook.com/profile.php?id=100068528165961" TargetMode="External" Id="rId2305"/><Relationship Type="http://schemas.openxmlformats.org/officeDocument/2006/relationships/hyperlink" Target="https://www.facebook.com/dogs.sculptures" TargetMode="External" Id="rId2306"/><Relationship Type="http://schemas.openxmlformats.org/officeDocument/2006/relationships/hyperlink" Target="https://www.facebook.com/mypetpawtrait" TargetMode="External" Id="rId2307"/><Relationship Type="http://schemas.openxmlformats.org/officeDocument/2006/relationships/hyperlink" Target="https://www.facebook.com/profile.php?id=100057154612092" TargetMode="External" Id="rId2308"/><Relationship Type="http://schemas.openxmlformats.org/officeDocument/2006/relationships/hyperlink" Target="https://www.facebook.com/PetsOfTheCastle" TargetMode="External" Id="rId2309"/><Relationship Type="http://schemas.openxmlformats.org/officeDocument/2006/relationships/hyperlink" Target="https://www.facebook.com/AllSafePet" TargetMode="External" Id="rId2310"/><Relationship Type="http://schemas.openxmlformats.org/officeDocument/2006/relationships/hyperlink" Target="https://www.facebook.com/WorldDogShow" TargetMode="External" Id="rId2311"/><Relationship Type="http://schemas.openxmlformats.org/officeDocument/2006/relationships/hyperlink" Target="https://www.facebook.com/profile.php?id=100063562997801" TargetMode="External" Id="rId2312"/><Relationship Type="http://schemas.openxmlformats.org/officeDocument/2006/relationships/hyperlink" Target="https://www.facebook.com/pleasedontpetme" TargetMode="External" Id="rId2313"/><Relationship Type="http://schemas.openxmlformats.org/officeDocument/2006/relationships/hyperlink" Target="https://www.facebook.com/DogLoversForum" TargetMode="External" Id="rId2314"/><Relationship Type="http://schemas.openxmlformats.org/officeDocument/2006/relationships/hyperlink" Target="https://www.facebook.com/aonikenkddb" TargetMode="External" Id="rId2315"/><Relationship Type="http://schemas.openxmlformats.org/officeDocument/2006/relationships/hyperlink" Target="https://www.facebook.com/DogOPoil" TargetMode="External" Id="rId2316"/><Relationship Type="http://schemas.openxmlformats.org/officeDocument/2006/relationships/hyperlink" Target="https://www.facebook.com/profile.php?id=100075816973281" TargetMode="External" Id="rId2317"/><Relationship Type="http://schemas.openxmlformats.org/officeDocument/2006/relationships/hyperlink" Target="https://www.facebook.com/VBPETJewelleryCollection" TargetMode="External" Id="rId2318"/><Relationship Type="http://schemas.openxmlformats.org/officeDocument/2006/relationships/hyperlink" Target="https://www.facebook.com/dogshowbook" TargetMode="External" Id="rId2319"/><Relationship Type="http://schemas.openxmlformats.org/officeDocument/2006/relationships/hyperlink" Target="https://www.facebook.com/CelebrateDogs" TargetMode="External" Id="rId2320"/><Relationship Type="http://schemas.openxmlformats.org/officeDocument/2006/relationships/hyperlink" Target="https://www.facebook.com/profile.php?id=100075816137792" TargetMode="External" Id="rId2321"/><Relationship Type="http://schemas.openxmlformats.org/officeDocument/2006/relationships/hyperlink" Target="https://www.facebook.com/profile.php?id=100067333541978" TargetMode="External" Id="rId2322"/><Relationship Type="http://schemas.openxmlformats.org/officeDocument/2006/relationships/hyperlink" Target="https://www.facebook.com/profile.php?id=100057551603252" TargetMode="External" Id="rId2323"/><Relationship Type="http://schemas.openxmlformats.org/officeDocument/2006/relationships/hyperlink" Target="https://www.facebook.com/dogANGEL10" TargetMode="External" Id="rId2324"/><Relationship Type="http://schemas.openxmlformats.org/officeDocument/2006/relationships/hyperlink" Target="https://www.facebook.com/profile.php?id=100076356000750" TargetMode="External" Id="rId2325"/><Relationship Type="http://schemas.openxmlformats.org/officeDocument/2006/relationships/hyperlink" Target="https://www.facebook.com/dogguardofcf" TargetMode="External" Id="rId2326"/><Relationship Type="http://schemas.openxmlformats.org/officeDocument/2006/relationships/hyperlink" Target="https://www.facebook.com/dogguardflorida" TargetMode="External" Id="rId2327"/><Relationship Type="http://schemas.openxmlformats.org/officeDocument/2006/relationships/hyperlink" Target="https://www.facebook.com/profile.php?id=100076173065285" TargetMode="External" Id="rId2328"/><Relationship Type="http://schemas.openxmlformats.org/officeDocument/2006/relationships/hyperlink" Target="https://www.facebook.com/profile.php?id=100076255297534" TargetMode="External" Id="rId2329"/><Relationship Type="http://schemas.openxmlformats.org/officeDocument/2006/relationships/hyperlink" Target="https://www.facebook.com/profile.php?id=100076196625918" TargetMode="External" Id="rId2330"/><Relationship Type="http://schemas.openxmlformats.org/officeDocument/2006/relationships/hyperlink" Target="https://www.facebook.com/DogGuardOfSouthDakota" TargetMode="External" Id="rId2331"/><Relationship Type="http://schemas.openxmlformats.org/officeDocument/2006/relationships/hyperlink" Target="https://www.facebook.com/profile.php?id=100075984287024" TargetMode="External" Id="rId2332"/><Relationship Type="http://schemas.openxmlformats.org/officeDocument/2006/relationships/hyperlink" Target="https://www.facebook.com/profile.php?id=100076575723104" TargetMode="External" Id="rId2333"/><Relationship Type="http://schemas.openxmlformats.org/officeDocument/2006/relationships/hyperlink" Target="https://www.facebook.com/dogisgood" TargetMode="External" Id="rId2334"/><Relationship Type="http://schemas.openxmlformats.org/officeDocument/2006/relationships/hyperlink" Target="https://www.facebook.com/doglandaus" TargetMode="External" Id="rId2335"/><Relationship Type="http://schemas.openxmlformats.org/officeDocument/2006/relationships/hyperlink" Target="https://www.facebook.com/DogPrint.cz" TargetMode="External" Id="rId2336"/><Relationship Type="http://schemas.openxmlformats.org/officeDocument/2006/relationships/hyperlink" Target="https://www.facebook.com/dogs0000" TargetMode="External" Id="rId2337"/><Relationship Type="http://schemas.openxmlformats.org/officeDocument/2006/relationships/hyperlink" Target="https://www.facebook.com/dogworld.tv" TargetMode="External" Id="rId2338"/><Relationship Type="http://schemas.openxmlformats.org/officeDocument/2006/relationships/hyperlink" Target="https://www.facebook.com/profile.php?id=100063467569898" TargetMode="External" Id="rId2339"/><Relationship Type="http://schemas.openxmlformats.org/officeDocument/2006/relationships/hyperlink" Target="https://www.facebook.com/hdogsdesign" TargetMode="External" Id="rId2340"/><Relationship Type="http://schemas.openxmlformats.org/officeDocument/2006/relationships/hyperlink" Target="https://www.facebook.com/profile.php?id=100069472781271" TargetMode="External" Id="rId2341"/><Relationship Type="http://schemas.openxmlformats.org/officeDocument/2006/relationships/hyperlink" Target="https://www.facebook.com/PBKSISK" TargetMode="External" Id="rId2342"/><Relationship Type="http://schemas.openxmlformats.org/officeDocument/2006/relationships/hyperlink" Target="https://www.facebook.com/urbanrescueranch" TargetMode="External" Id="rId234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frenchiepetsupply" TargetMode="External" Id="rId1"/><Relationship Type="http://schemas.openxmlformats.org/officeDocument/2006/relationships/hyperlink" Target="https://www.facebook.com/lloydminsterpetpad" TargetMode="External" Id="rId2"/><Relationship Type="http://schemas.openxmlformats.org/officeDocument/2006/relationships/hyperlink" Target="https://www.facebook.com/herbalpetsupplies.co.uk" TargetMode="External" Id="rId3"/><Relationship Type="http://schemas.openxmlformats.org/officeDocument/2006/relationships/hyperlink" Target="https://www.facebook.com/HungryHoundsPetSupplies" TargetMode="External" Id="rId4"/><Relationship Type="http://schemas.openxmlformats.org/officeDocument/2006/relationships/hyperlink" Target="https://www.facebook.com/profile.php?id=61590146927480" TargetMode="External" Id="rId5"/><Relationship Type="http://schemas.openxmlformats.org/officeDocument/2006/relationships/hyperlink" Target="https://www.facebook.com/BlueLakeTurfFarm" TargetMode="External" Id="rId6"/><Relationship Type="http://schemas.openxmlformats.org/officeDocument/2006/relationships/hyperlink" Target="https://www.facebook.com/puppyculture" TargetMode="External" Id="rId7"/><Relationship Type="http://schemas.openxmlformats.org/officeDocument/2006/relationships/hyperlink" Target="https://www.facebook.com/originalsnugglepuppy" TargetMode="External" Id="rId8"/><Relationship Type="http://schemas.openxmlformats.org/officeDocument/2006/relationships/hyperlink" Target="https://www.facebook.com/TheGoodDogTraining" TargetMode="External" Id="rId9"/><Relationship Type="http://schemas.openxmlformats.org/officeDocument/2006/relationships/hyperlink" Target="https://www.facebook.com/twoamigospetsupplieslimited" TargetMode="External" Id="rId10"/><Relationship Type="http://schemas.openxmlformats.org/officeDocument/2006/relationships/hyperlink" Target="https://www.facebook.com/petsuppliesplus" TargetMode="External" Id="rId11"/><Relationship Type="http://schemas.openxmlformats.org/officeDocument/2006/relationships/hyperlink" Target="https://www.facebook.com/hkkennelclub" TargetMode="External" Id="rId12"/><Relationship Type="http://schemas.openxmlformats.org/officeDocument/2006/relationships/hyperlink" Target="https://www.facebook.com/profile.php?id=100064331906026" TargetMode="External" Id="rId13"/><Relationship Type="http://schemas.openxmlformats.org/officeDocument/2006/relationships/hyperlink" Target="https://www.facebook.com/impactdogcrates" TargetMode="External" Id="rId14"/><Relationship Type="http://schemas.openxmlformats.org/officeDocument/2006/relationships/hyperlink" Target="https://www.facebook.com/DoggieLawn" TargetMode="External" Id="rId15"/><Relationship Type="http://schemas.openxmlformats.org/officeDocument/2006/relationships/hyperlink" Target="https://www.facebook.com/officialgooddog" TargetMode="External" Id="rId16"/><Relationship Type="http://schemas.openxmlformats.org/officeDocument/2006/relationships/hyperlink" Target="https://www.facebook.com/LilcrackaPetSupplies" TargetMode="External" Id="rId17"/><Relationship Type="http://schemas.openxmlformats.org/officeDocument/2006/relationships/hyperlink" Target="https://www.facebook.com/greenbeltturffarm" TargetMode="External" Id="rId18"/><Relationship Type="http://schemas.openxmlformats.org/officeDocument/2006/relationships/hyperlink" Target="https://www.facebook.com/Renthegooddog" TargetMode="External" Id="rId19"/><Relationship Type="http://schemas.openxmlformats.org/officeDocument/2006/relationships/hyperlink" Target="https://www.facebook.com/goodboypetsupplies" TargetMode="External" Id="rId20"/><Relationship Type="http://schemas.openxmlformats.org/officeDocument/2006/relationships/hyperlink" Target="https://www.facebook.com/PetSuppliesPlusCoupons" TargetMode="External" Id="rId21"/><Relationship Type="http://schemas.openxmlformats.org/officeDocument/2006/relationships/hyperlink" Target="https://www.facebook.com/gooddog2018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lloydminsterpetpad" TargetMode="External" Id="rId1"/><Relationship Type="http://schemas.openxmlformats.org/officeDocument/2006/relationships/hyperlink" Target="https://www.facebook.com/profile.php?id=61594713178854" TargetMode="External" Id="rId2"/><Relationship Type="http://schemas.openxmlformats.org/officeDocument/2006/relationships/hyperlink" Target="https://www.facebook.com/tirmizi.kennel" TargetMode="External" Id="rId3"/><Relationship Type="http://schemas.openxmlformats.org/officeDocument/2006/relationships/hyperlink" Target="https://www.facebook.com/herbalpetsupplies.co.uk" TargetMode="External" Id="rId4"/><Relationship Type="http://schemas.openxmlformats.org/officeDocument/2006/relationships/hyperlink" Target="https://www.facebook.com/von.haus.moon" TargetMode="External" Id="rId5"/><Relationship Type="http://schemas.openxmlformats.org/officeDocument/2006/relationships/hyperlink" Target="https://www.facebook.com/profile.php?id=100064752907265" TargetMode="External" Id="rId6"/><Relationship Type="http://schemas.openxmlformats.org/officeDocument/2006/relationships/hyperlink" Target="https://www.facebook.com/profile.php?id=100063469394842" TargetMode="External" Id="rId7"/><Relationship Type="http://schemas.openxmlformats.org/officeDocument/2006/relationships/hyperlink" Target="https://www.facebook.com/profile.php?id=61584394978206" TargetMode="External" Id="rId8"/><Relationship Type="http://schemas.openxmlformats.org/officeDocument/2006/relationships/hyperlink" Target="https://www.facebook.com/uppercarniolashelties" TargetMode="External" Id="rId9"/><Relationship Type="http://schemas.openxmlformats.org/officeDocument/2006/relationships/hyperlink" Target="https://www.facebook.com/JavabeagleKennel" TargetMode="External" Id="rId10"/><Relationship Type="http://schemas.openxmlformats.org/officeDocument/2006/relationships/hyperlink" Target="https://www.facebook.com/profile.php?id=61571757369339" TargetMode="External" Id="rId11"/><Relationship Type="http://schemas.openxmlformats.org/officeDocument/2006/relationships/hyperlink" Target="https://www.facebook.com/almazchihuas" TargetMode="External" Id="rId12"/><Relationship Type="http://schemas.openxmlformats.org/officeDocument/2006/relationships/hyperlink" Target="https://www.facebook.com/negraland.dobermankennel" TargetMode="External" Id="rId13"/><Relationship Type="http://schemas.openxmlformats.org/officeDocument/2006/relationships/hyperlink" Target="https://www.facebook.com/custodedeltrono" TargetMode="External" Id="rId14"/><Relationship Type="http://schemas.openxmlformats.org/officeDocument/2006/relationships/hyperlink" Target="https://www.facebook.com/VonReevesRottweilers" TargetMode="External" Id="rId15"/><Relationship Type="http://schemas.openxmlformats.org/officeDocument/2006/relationships/hyperlink" Target="https://www.facebook.com/frenchiestoremy" TargetMode="External" Id="rId16"/><Relationship Type="http://schemas.openxmlformats.org/officeDocument/2006/relationships/hyperlink" Target="https://www.facebook.com/goldennretrievercostarica" TargetMode="External" Id="rId17"/><Relationship Type="http://schemas.openxmlformats.org/officeDocument/2006/relationships/hyperlink" Target="https://www.facebook.com/SunshineCoastQueenslandFrenchBulldogs" TargetMode="External" Id="rId18"/><Relationship Type="http://schemas.openxmlformats.org/officeDocument/2006/relationships/hyperlink" Target="https://www.facebook.com/vonbartkennels" TargetMode="External" Id="rId19"/><Relationship Type="http://schemas.openxmlformats.org/officeDocument/2006/relationships/hyperlink" Target="https://www.facebook.com/profile.php?id=100088726666474" TargetMode="External" Id="rId20"/><Relationship Type="http://schemas.openxmlformats.org/officeDocument/2006/relationships/hyperlink" Target="https://www.facebook.com/rmspridekennel" TargetMode="External" Id="rId21"/><Relationship Type="http://schemas.openxmlformats.org/officeDocument/2006/relationships/hyperlink" Target="https://www.facebook.com/buchankennels" TargetMode="External" Id="rId22"/><Relationship Type="http://schemas.openxmlformats.org/officeDocument/2006/relationships/hyperlink" Target="https://www.facebook.com/BMkennelsLTD" TargetMode="External" Id="rId23"/><Relationship Type="http://schemas.openxmlformats.org/officeDocument/2006/relationships/hyperlink" Target="https://www.facebook.com/PlushPuppyAustralia" TargetMode="External" Id="rId24"/><Relationship Type="http://schemas.openxmlformats.org/officeDocument/2006/relationships/hyperlink" Target="https://www.facebook.com/profile.php?id=61569052386808" TargetMode="External" Id="rId25"/><Relationship Type="http://schemas.openxmlformats.org/officeDocument/2006/relationships/hyperlink" Target="https://www.facebook.com/puppy.country.boutique" TargetMode="External" Id="rId26"/><Relationship Type="http://schemas.openxmlformats.org/officeDocument/2006/relationships/hyperlink" Target="https://www.facebook.com/Digrandezoi" TargetMode="External" Id="rId27"/><Relationship Type="http://schemas.openxmlformats.org/officeDocument/2006/relationships/hyperlink" Target="https://www.facebook.com/profile.php?id=61586522400235" TargetMode="External" Id="rId28"/><Relationship Type="http://schemas.openxmlformats.org/officeDocument/2006/relationships/hyperlink" Target="https://www.facebook.com/silverlakeojickenel" TargetMode="External" Id="rId29"/><Relationship Type="http://schemas.openxmlformats.org/officeDocument/2006/relationships/hyperlink" Target="https://www.facebook.com/profile.php?id=100063550593617" TargetMode="External" Id="rId30"/><Relationship Type="http://schemas.openxmlformats.org/officeDocument/2006/relationships/hyperlink" Target="https://www.facebook.com/bantamshepherds" TargetMode="External" Id="rId31"/><Relationship Type="http://schemas.openxmlformats.org/officeDocument/2006/relationships/hyperlink" Target="https://www.facebook.com/zoldmali.kennel" TargetMode="External" Id="rId32"/><Relationship Type="http://schemas.openxmlformats.org/officeDocument/2006/relationships/hyperlink" Target="https://www.facebook.com/vonschwarzdobermanns" TargetMode="External" Id="rId33"/><Relationship Type="http://schemas.openxmlformats.org/officeDocument/2006/relationships/hyperlink" Target="https://www.facebook.com/ukrainiankennelunionofficial" TargetMode="External" Id="rId34"/><Relationship Type="http://schemas.openxmlformats.org/officeDocument/2006/relationships/hyperlink" Target="https://www.facebook.com/swissridgekennels" TargetMode="External" Id="rId35"/><Relationship Type="http://schemas.openxmlformats.org/officeDocument/2006/relationships/hyperlink" Target="https://www.facebook.com/profile.php?id=100085091804856" TargetMode="External" Id="rId36"/><Relationship Type="http://schemas.openxmlformats.org/officeDocument/2006/relationships/hyperlink" Target="https://www.facebook.com/unserbund" TargetMode="External" Id="rId37"/><Relationship Type="http://schemas.openxmlformats.org/officeDocument/2006/relationships/hyperlink" Target="https://www.facebook.com/profile.php?id=100063608917401" TargetMode="External" Id="rId38"/><Relationship Type="http://schemas.openxmlformats.org/officeDocument/2006/relationships/hyperlink" Target="https://www.facebook.com/profile.php?id=100080465882512" TargetMode="External" Id="rId39"/><Relationship Type="http://schemas.openxmlformats.org/officeDocument/2006/relationships/hyperlink" Target="https://www.facebook.com/profile.php?id=100082016169569" TargetMode="External" Id="rId40"/><Relationship Type="http://schemas.openxmlformats.org/officeDocument/2006/relationships/hyperlink" Target="https://www.facebook.com/PerthFrenchBulldogAwarenessGroupofWA" TargetMode="External" Id="rId41"/><Relationship Type="http://schemas.openxmlformats.org/officeDocument/2006/relationships/hyperlink" Target="https://www.facebook.com/profile.php?id=100063554951460" TargetMode="External" Id="rId42"/><Relationship Type="http://schemas.openxmlformats.org/officeDocument/2006/relationships/hyperlink" Target="https://www.facebook.com/profile.php?id=100064771360160" TargetMode="External" Id="rId43"/><Relationship Type="http://schemas.openxmlformats.org/officeDocument/2006/relationships/hyperlink" Target="https://www.facebook.com/profile.php?id=100064574956737" TargetMode="External" Id="rId44"/><Relationship Type="http://schemas.openxmlformats.org/officeDocument/2006/relationships/hyperlink" Target="https://www.facebook.com/greyhoundtrust" TargetMode="External" Id="rId45"/><Relationship Type="http://schemas.openxmlformats.org/officeDocument/2006/relationships/hyperlink" Target="https://www.facebook.com/www.lapetitefrog.co.uk" TargetMode="External" Id="rId46"/><Relationship Type="http://schemas.openxmlformats.org/officeDocument/2006/relationships/hyperlink" Target="https://www.facebook.com/profile.php?id=100064627010906" TargetMode="External" Id="rId47"/><Relationship Type="http://schemas.openxmlformats.org/officeDocument/2006/relationships/hyperlink" Target="https://www.facebook.com/planetofpawsaa" TargetMode="External" Id="rId48"/><Relationship Type="http://schemas.openxmlformats.org/officeDocument/2006/relationships/hyperlink" Target="https://www.facebook.com/profile.php?id=61560761705695" TargetMode="External" Id="rId49"/><Relationship Type="http://schemas.openxmlformats.org/officeDocument/2006/relationships/hyperlink" Target="https://www.facebook.com/baydunord" TargetMode="External" Id="rId50"/><Relationship Type="http://schemas.openxmlformats.org/officeDocument/2006/relationships/hyperlink" Target="https://www.facebook.com/blackdownhillspuppydogpark" TargetMode="External" Id="rId51"/><Relationship Type="http://schemas.openxmlformats.org/officeDocument/2006/relationships/hyperlink" Target="https://www.facebook.com/profile.php?id=100063486701461" TargetMode="External" Id="rId52"/><Relationship Type="http://schemas.openxmlformats.org/officeDocument/2006/relationships/hyperlink" Target="https://www.facebook.com/Alpenspirit" TargetMode="External" Id="rId53"/><Relationship Type="http://schemas.openxmlformats.org/officeDocument/2006/relationships/hyperlink" Target="https://www.facebook.com/NakoaCaneCorso" TargetMode="External" Id="rId54"/><Relationship Type="http://schemas.openxmlformats.org/officeDocument/2006/relationships/hyperlink" Target="https://www.facebook.com/bouledoguesfrancais77" TargetMode="External" Id="rId55"/><Relationship Type="http://schemas.openxmlformats.org/officeDocument/2006/relationships/hyperlink" Target="https://www.facebook.com/wembholtbulldogs.england" TargetMode="External" Id="rId56"/><Relationship Type="http://schemas.openxmlformats.org/officeDocument/2006/relationships/hyperlink" Target="https://www.facebook.com/GuardDogTrainingCentre" TargetMode="External" Id="rId57"/><Relationship Type="http://schemas.openxmlformats.org/officeDocument/2006/relationships/hyperlink" Target="https://www.facebook.com/edamentusK9training" TargetMode="External" Id="rId58"/><Relationship Type="http://schemas.openxmlformats.org/officeDocument/2006/relationships/hyperlink" Target="https://www.facebook.com/profile.php?id=61585423213668" TargetMode="External" Id="rId59"/><Relationship Type="http://schemas.openxmlformats.org/officeDocument/2006/relationships/hyperlink" Target="https://www.facebook.com/CockersAngelODV" TargetMode="External" Id="rId60"/><Relationship Type="http://schemas.openxmlformats.org/officeDocument/2006/relationships/hyperlink" Target="https://www.facebook.com/CCRT.Rescue" TargetMode="External" Id="rId61"/><Relationship Type="http://schemas.openxmlformats.org/officeDocument/2006/relationships/hyperlink" Target="https://www.facebook.com/profile.php?id=61573738175475" TargetMode="External" Id="rId62"/><Relationship Type="http://schemas.openxmlformats.org/officeDocument/2006/relationships/hyperlink" Target="https://www.facebook.com/OLD.INUIT.DOG" TargetMode="External" Id="rId63"/><Relationship Type="http://schemas.openxmlformats.org/officeDocument/2006/relationships/hyperlink" Target="https://www.facebook.com/VGHKennels" TargetMode="External" Id="rId64"/><Relationship Type="http://schemas.openxmlformats.org/officeDocument/2006/relationships/hyperlink" Target="https://www.facebook.com/stuckeyshepherds" TargetMode="External" Id="rId65"/><Relationship Type="http://schemas.openxmlformats.org/officeDocument/2006/relationships/hyperlink" Target="https://www.facebook.com/fenjasellinorstaxar" TargetMode="External" Id="rId66"/><Relationship Type="http://schemas.openxmlformats.org/officeDocument/2006/relationships/hyperlink" Target="https://www.facebook.com/profile.php?id=100064812093604" TargetMode="External" Id="rId67"/><Relationship Type="http://schemas.openxmlformats.org/officeDocument/2006/relationships/hyperlink" Target="https://www.facebook.com/k9perrosdebusquedayrescate" TargetMode="External" Id="rId68"/><Relationship Type="http://schemas.openxmlformats.org/officeDocument/2006/relationships/hyperlink" Target="https://www.facebook.com/k9usarthailand" TargetMode="External" Id="rId69"/><Relationship Type="http://schemas.openxmlformats.org/officeDocument/2006/relationships/hyperlink" Target="https://www.facebook.com/thegermanshepherdrescueallianceaustralia" TargetMode="External" Id="rId70"/><Relationship Type="http://schemas.openxmlformats.org/officeDocument/2006/relationships/hyperlink" Target="https://www.facebook.com/PugRescueSA" TargetMode="External" Id="rId71"/><Relationship Type="http://schemas.openxmlformats.org/officeDocument/2006/relationships/hyperlink" Target="https://www.facebook.com/BostonTerrierSA" TargetMode="External" Id="rId72"/><Relationship Type="http://schemas.openxmlformats.org/officeDocument/2006/relationships/hyperlink" Target="https://www.facebook.com/HappyhoundsScottishBorders" TargetMode="External" Id="rId73"/><Relationship Type="http://schemas.openxmlformats.org/officeDocument/2006/relationships/hyperlink" Target="https://www.facebook.com/profile.php?id=61565647241374" TargetMode="External" Id="rId74"/><Relationship Type="http://schemas.openxmlformats.org/officeDocument/2006/relationships/hyperlink" Target="https://www.facebook.com/PugsLifeMexico" TargetMode="External" Id="rId75"/><Relationship Type="http://schemas.openxmlformats.org/officeDocument/2006/relationships/hyperlink" Target="https://www.facebook.com/TheKennelClubOfThailand" TargetMode="External" Id="rId76"/><Relationship Type="http://schemas.openxmlformats.org/officeDocument/2006/relationships/hyperlink" Target="https://www.facebook.com/RebelRescueSK" TargetMode="External" Id="rId77"/><Relationship Type="http://schemas.openxmlformats.org/officeDocument/2006/relationships/hyperlink" Target="https://www.facebook.com/CollieRescueLeague" TargetMode="External" Id="rId78"/><Relationship Type="http://schemas.openxmlformats.org/officeDocument/2006/relationships/hyperlink" Target="https://www.facebook.com/profile.php?id=61564811071651" TargetMode="External" Id="rId79"/><Relationship Type="http://schemas.openxmlformats.org/officeDocument/2006/relationships/hyperlink" Target="https://www.facebook.com/petsukofficial" TargetMode="External" Id="rId80"/><Relationship Type="http://schemas.openxmlformats.org/officeDocument/2006/relationships/hyperlink" Target="https://www.facebook.com/locpetshopbr" TargetMode="External" Id="rId81"/><Relationship Type="http://schemas.openxmlformats.org/officeDocument/2006/relationships/hyperlink" Target="https://www.facebook.com/petprofi.com.ua" TargetMode="External" Id="rId82"/><Relationship Type="http://schemas.openxmlformats.org/officeDocument/2006/relationships/hyperlink" Target="https://www.facebook.com/aucklandpuppyrescue" TargetMode="External" Id="rId83"/><Relationship Type="http://schemas.openxmlformats.org/officeDocument/2006/relationships/hyperlink" Target="https://www.facebook.com/profile.php?id=61585693112332" TargetMode="External" Id="rId84"/><Relationship Type="http://schemas.openxmlformats.org/officeDocument/2006/relationships/hyperlink" Target="https://www.facebook.com/aucklandairportpets" TargetMode="External" Id="rId85"/><Relationship Type="http://schemas.openxmlformats.org/officeDocument/2006/relationships/hyperlink" Target="https://www.facebook.com/MIARRescue" TargetMode="External" Id="rId86"/><Relationship Type="http://schemas.openxmlformats.org/officeDocument/2006/relationships/hyperlink" Target="https://www.facebook.com/profile.php?id=100008766332900" TargetMode="External" Id="rId87"/><Relationship Type="http://schemas.openxmlformats.org/officeDocument/2006/relationships/hyperlink" Target="https://www.facebook.com/bulldogsdelboqueron" TargetMode="External" Id="rId88"/><Relationship Type="http://schemas.openxmlformats.org/officeDocument/2006/relationships/hyperlink" Target="https://www.facebook.com/passionfrenchiess" TargetMode="External" Id="rId89"/><Relationship Type="http://schemas.openxmlformats.org/officeDocument/2006/relationships/hyperlink" Target="https://www.facebook.com/frenchiesdelile" TargetMode="External" Id="rId90"/><Relationship Type="http://schemas.openxmlformats.org/officeDocument/2006/relationships/hyperlink" Target="https://www.facebook.com/profile.php?id=61559622055421" TargetMode="External" Id="rId91"/><Relationship Type="http://schemas.openxmlformats.org/officeDocument/2006/relationships/hyperlink" Target="https://www.facebook.com/petsocialfun" TargetMode="External" Id="rId92"/><Relationship Type="http://schemas.openxmlformats.org/officeDocument/2006/relationships/hyperlink" Target="https://www.facebook.com/DogTour" TargetMode="External" Id="rId93"/><Relationship Type="http://schemas.openxmlformats.org/officeDocument/2006/relationships/hyperlink" Target="https://www.facebook.com/OurDogsIre" TargetMode="External" Id="rId94"/><Relationship Type="http://schemas.openxmlformats.org/officeDocument/2006/relationships/hyperlink" Target="https://www.facebook.com/NSWPFDogUnit" TargetMode="External" Id="rId95"/><Relationship Type="http://schemas.openxmlformats.org/officeDocument/2006/relationships/hyperlink" Target="https://www.facebook.com/DogsQueensland" TargetMode="External" Id="rId96"/><Relationship Type="http://schemas.openxmlformats.org/officeDocument/2006/relationships/hyperlink" Target="https://www.facebook.com/LostPetsVancouverBC" TargetMode="External" Id="rId97"/><Relationship Type="http://schemas.openxmlformats.org/officeDocument/2006/relationships/hyperlink" Target="https://www.facebook.com/petitepattesducausses" TargetMode="External" Id="rId98"/><Relationship Type="http://schemas.openxmlformats.org/officeDocument/2006/relationships/hyperlink" Target="https://www.facebook.com/profile.php?id=100057141082902" TargetMode="External" Id="rId99"/><Relationship Type="http://schemas.openxmlformats.org/officeDocument/2006/relationships/hyperlink" Target="https://www.facebook.com/profile.php?id=100063754461950" TargetMode="External" Id="rId100"/><Relationship Type="http://schemas.openxmlformats.org/officeDocument/2006/relationships/hyperlink" Target="https://www.facebook.com/vomhauseimperial" TargetMode="External" Id="rId101"/><Relationship Type="http://schemas.openxmlformats.org/officeDocument/2006/relationships/hyperlink" Target="https://www.facebook.com/vomtommyrott.rottweilerkennel" TargetMode="External" Id="rId102"/><Relationship Type="http://schemas.openxmlformats.org/officeDocument/2006/relationships/hyperlink" Target="https://www.facebook.com/PigDogSupplies.Australia" TargetMode="External" Id="rId103"/><Relationship Type="http://schemas.openxmlformats.org/officeDocument/2006/relationships/hyperlink" Target="https://www.facebook.com/petbuddyphofficial" TargetMode="External" Id="rId104"/><Relationship Type="http://schemas.openxmlformats.org/officeDocument/2006/relationships/hyperlink" Target="https://www.facebook.com/profile.php?id=61553046643462" TargetMode="External" Id="rId105"/><Relationship Type="http://schemas.openxmlformats.org/officeDocument/2006/relationships/hyperlink" Target="https://www.facebook.com/uniquedogbeds" TargetMode="External" Id="rId106"/><Relationship Type="http://schemas.openxmlformats.org/officeDocument/2006/relationships/hyperlink" Target="https://www.facebook.com/PetlogUK" TargetMode="External" Id="rId107"/><Relationship Type="http://schemas.openxmlformats.org/officeDocument/2006/relationships/hyperlink" Target="https://www.facebook.com/dandrealovedog" TargetMode="External" Id="rId108"/><Relationship Type="http://schemas.openxmlformats.org/officeDocument/2006/relationships/hyperlink" Target="https://www.facebook.com/locpetbaria" TargetMode="External" Id="rId109"/><Relationship Type="http://schemas.openxmlformats.org/officeDocument/2006/relationships/hyperlink" Target="https://www.facebook.com/DogTown2017" TargetMode="External" Id="rId110"/><Relationship Type="http://schemas.openxmlformats.org/officeDocument/2006/relationships/hyperlink" Target="https://www.facebook.com/born2dog" TargetMode="External" Id="rId111"/><Relationship Type="http://schemas.openxmlformats.org/officeDocument/2006/relationships/hyperlink" Target="https://www.facebook.com/GuideDogsUK" TargetMode="External" Id="rId112"/><Relationship Type="http://schemas.openxmlformats.org/officeDocument/2006/relationships/hyperlink" Target="https://www.facebook.com/doggie.hk" TargetMode="External" Id="rId113"/><Relationship Type="http://schemas.openxmlformats.org/officeDocument/2006/relationships/hyperlink" Target="https://www.facebook.com/ElevageDesPetitsBouls" TargetMode="External" Id="rId114"/><Relationship Type="http://schemas.openxmlformats.org/officeDocument/2006/relationships/hyperlink" Target="https://www.facebook.com/petscannorfolk" TargetMode="External" Id="rId115"/><Relationship Type="http://schemas.openxmlformats.org/officeDocument/2006/relationships/hyperlink" Target="https://www.facebook.com/fundraisingforimpoundeddogs" TargetMode="External" Id="rId116"/><Relationship Type="http://schemas.openxmlformats.org/officeDocument/2006/relationships/hyperlink" Target="https://www.facebook.com/LDpetbed" TargetMode="External" Id="rId117"/><Relationship Type="http://schemas.openxmlformats.org/officeDocument/2006/relationships/hyperlink" Target="https://www.facebook.com/dogsaus" TargetMode="External" Id="rId118"/><Relationship Type="http://schemas.openxmlformats.org/officeDocument/2006/relationships/hyperlink" Target="https://www.facebook.com/BaanlaesuanPets" TargetMode="External" Id="rId119"/><Relationship Type="http://schemas.openxmlformats.org/officeDocument/2006/relationships/hyperlink" Target="https://www.facebook.com/profile.php?id=100064299807068" TargetMode="External" Id="rId120"/><Relationship Type="http://schemas.openxmlformats.org/officeDocument/2006/relationships/hyperlink" Target="https://www.facebook.com/CRDAidUK" TargetMode="External" Id="rId121"/><Relationship Type="http://schemas.openxmlformats.org/officeDocument/2006/relationships/hyperlink" Target="https://www.facebook.com/newenglandworkingdogs" TargetMode="External" Id="rId122"/><Relationship Type="http://schemas.openxmlformats.org/officeDocument/2006/relationships/hyperlink" Target="https://www.facebook.com/LRRSScio" TargetMode="External" Id="rId123"/><Relationship Type="http://schemas.openxmlformats.org/officeDocument/2006/relationships/hyperlink" Target="https://www.facebook.com/surreydogschool" TargetMode="External" Id="rId124"/><Relationship Type="http://schemas.openxmlformats.org/officeDocument/2006/relationships/hyperlink" Target="https://www.facebook.com/traichocanhquangteo" TargetMode="External" Id="rId125"/><Relationship Type="http://schemas.openxmlformats.org/officeDocument/2006/relationships/hyperlink" Target="https://www.facebook.com/stephanie.mcgraw.dogmom" TargetMode="External" Id="rId126"/><Relationship Type="http://schemas.openxmlformats.org/officeDocument/2006/relationships/hyperlink" Target="https://www.facebook.com/HungarianKennelClubDogshows" TargetMode="External" Id="rId127"/><Relationship Type="http://schemas.openxmlformats.org/officeDocument/2006/relationships/hyperlink" Target="https://www.facebook.com/profile.php?id=100081060047779" TargetMode="External" Id="rId128"/><Relationship Type="http://schemas.openxmlformats.org/officeDocument/2006/relationships/hyperlink" Target="https://www.facebook.com/VonTeufelhohleShowbulldogs" TargetMode="External" Id="rId129"/><Relationship Type="http://schemas.openxmlformats.org/officeDocument/2006/relationships/hyperlink" Target="https://www.facebook.com/DOGSNSW" TargetMode="External" Id="rId130"/><Relationship Type="http://schemas.openxmlformats.org/officeDocument/2006/relationships/hyperlink" Target="https://www.facebook.com/Amvqenpratiquedespetitsanimaux" TargetMode="External" Id="rId131"/><Relationship Type="http://schemas.openxmlformats.org/officeDocument/2006/relationships/hyperlink" Target="https://www.facebook.com/assistancedogsaustralia" TargetMode="External" Id="rId132"/><Relationship Type="http://schemas.openxmlformats.org/officeDocument/2006/relationships/hyperlink" Target="https://www.facebook.com/mypets.thailand" TargetMode="External" Id="rId133"/><Relationship Type="http://schemas.openxmlformats.org/officeDocument/2006/relationships/hyperlink" Target="https://www.facebook.com/Perfectdoggroomingschool" TargetMode="External" Id="rId134"/><Relationship Type="http://schemas.openxmlformats.org/officeDocument/2006/relationships/hyperlink" Target="https://www.facebook.com/ChinookDogCentre" TargetMode="External" Id="rId135"/><Relationship Type="http://schemas.openxmlformats.org/officeDocument/2006/relationships/hyperlink" Target="https://www.facebook.com/latourfarmina" TargetMode="External" Id="rId136"/><Relationship Type="http://schemas.openxmlformats.org/officeDocument/2006/relationships/hyperlink" Target="https://www.facebook.com/Vincent28122Bully" TargetMode="External" Id="rId137"/><Relationship Type="http://schemas.openxmlformats.org/officeDocument/2006/relationships/hyperlink" Target="https://www.facebook.com/profile.php?id=61573884274017" TargetMode="External" Id="rId138"/><Relationship Type="http://schemas.openxmlformats.org/officeDocument/2006/relationships/hyperlink" Target="https://www.facebook.com/profile.php?id=100069222401673" TargetMode="External" Id="rId139"/><Relationship Type="http://schemas.openxmlformats.org/officeDocument/2006/relationships/hyperlink" Target="https://www.facebook.com/profile.php?id=100064852321702" TargetMode="External" Id="rId140"/><Relationship Type="http://schemas.openxmlformats.org/officeDocument/2006/relationships/hyperlink" Target="https://www.facebook.com/leperledelsud.it" TargetMode="External" Id="rId141"/><Relationship Type="http://schemas.openxmlformats.org/officeDocument/2006/relationships/hyperlink" Target="https://www.facebook.com/famousfrenchiesaustralia" TargetMode="External" Id="rId142"/><Relationship Type="http://schemas.openxmlformats.org/officeDocument/2006/relationships/hyperlink" Target="https://www.facebook.com/MYBESTFRENCHIE" TargetMode="External" Id="rId143"/><Relationship Type="http://schemas.openxmlformats.org/officeDocument/2006/relationships/hyperlink" Target="https://www.facebook.com/profile.php?id=100077385414825" TargetMode="External" Id="rId144"/><Relationship Type="http://schemas.openxmlformats.org/officeDocument/2006/relationships/hyperlink" Target="https://www.facebook.com/kenneldelsacrofiume" TargetMode="External" Id="rId145"/><Relationship Type="http://schemas.openxmlformats.org/officeDocument/2006/relationships/hyperlink" Target="https://www.facebook.com/profile.php?id=100067471381317" TargetMode="External" Id="rId146"/><Relationship Type="http://schemas.openxmlformats.org/officeDocument/2006/relationships/hyperlink" Target="https://www.facebook.com/profile.php?id=100069515074033" TargetMode="External" Id="rId147"/><Relationship Type="http://schemas.openxmlformats.org/officeDocument/2006/relationships/hyperlink" Target="https://www.facebook.com/VomHausserKennel" TargetMode="External" Id="rId148"/><Relationship Type="http://schemas.openxmlformats.org/officeDocument/2006/relationships/hyperlink" Target="https://www.facebook.com/profile.php?id=100066585679625" TargetMode="External" Id="rId149"/><Relationship Type="http://schemas.openxmlformats.org/officeDocument/2006/relationships/hyperlink" Target="https://www.facebook.com/CKU.ChinaKennelUnion" TargetMode="External" Id="rId150"/><Relationship Type="http://schemas.openxmlformats.org/officeDocument/2006/relationships/hyperlink" Target="https://www.facebook.com/profile.php?id=100084453919906" TargetMode="External" Id="rId151"/><Relationship Type="http://schemas.openxmlformats.org/officeDocument/2006/relationships/hyperlink" Target="https://www.facebook.com/profile.php?id=100063582342386" TargetMode="External" Id="rId152"/><Relationship Type="http://schemas.openxmlformats.org/officeDocument/2006/relationships/hyperlink" Target="https://www.facebook.com/profile.php?id=100076601445207" TargetMode="External" Id="rId153"/><Relationship Type="http://schemas.openxmlformats.org/officeDocument/2006/relationships/hyperlink" Target="https://www.facebook.com/guardianodeipirenei" TargetMode="External" Id="rId154"/><Relationship Type="http://schemas.openxmlformats.org/officeDocument/2006/relationships/hyperlink" Target="https://www.facebook.com/vonkopfeschutzengel" TargetMode="External" Id="rId155"/><Relationship Type="http://schemas.openxmlformats.org/officeDocument/2006/relationships/hyperlink" Target="https://www.facebook.com/dogue.delgarda" TargetMode="External" Id="rId156"/><Relationship Type="http://schemas.openxmlformats.org/officeDocument/2006/relationships/hyperlink" Target="https://www.facebook.com/SennenhundRossii" TargetMode="External" Id="rId157"/><Relationship Type="http://schemas.openxmlformats.org/officeDocument/2006/relationships/hyperlink" Target="https://www.facebook.com/Saigola72" TargetMode="External" Id="rId158"/><Relationship Type="http://schemas.openxmlformats.org/officeDocument/2006/relationships/hyperlink" Target="https://www.facebook.com/profile.php?id=61578161463898" TargetMode="External" Id="rId159"/><Relationship Type="http://schemas.openxmlformats.org/officeDocument/2006/relationships/hyperlink" Target="https://www.facebook.com/bagatelleberger" TargetMode="External" Id="rId160"/><Relationship Type="http://schemas.openxmlformats.org/officeDocument/2006/relationships/hyperlink" Target="https://www.facebook.com/admfscebo" TargetMode="External" Id="rId161"/><Relationship Type="http://schemas.openxmlformats.org/officeDocument/2006/relationships/hyperlink" Target="https://www.facebook.com/boksrox" TargetMode="External" Id="rId162"/><Relationship Type="http://schemas.openxmlformats.org/officeDocument/2006/relationships/hyperlink" Target="https://www.facebook.com/profile.php?id=100064149605757" TargetMode="External" Id="rId163"/><Relationship Type="http://schemas.openxmlformats.org/officeDocument/2006/relationships/hyperlink" Target="https://www.facebook.com/CotonfieldDogCentre" TargetMode="External" Id="rId164"/><Relationship Type="http://schemas.openxmlformats.org/officeDocument/2006/relationships/hyperlink" Target="https://www.facebook.com/marlawirishwolfhounds.scotland" TargetMode="External" Id="rId165"/><Relationship Type="http://schemas.openxmlformats.org/officeDocument/2006/relationships/hyperlink" Target="https://www.facebook.com/maxipetromania" TargetMode="External" Id="rId166"/><Relationship Type="http://schemas.openxmlformats.org/officeDocument/2006/relationships/hyperlink" Target="https://www.facebook.com/profile.php?id=100083450252324" TargetMode="External" Id="rId167"/><Relationship Type="http://schemas.openxmlformats.org/officeDocument/2006/relationships/hyperlink" Target="https://www.facebook.com/profile.php?id=100064633695952" TargetMode="External" Id="rId168"/><Relationship Type="http://schemas.openxmlformats.org/officeDocument/2006/relationships/hyperlink" Target="https://www.facebook.com/aumigasdopet" TargetMode="External" Id="rId169"/><Relationship Type="http://schemas.openxmlformats.org/officeDocument/2006/relationships/hyperlink" Target="https://www.facebook.com/PetArtRomania" TargetMode="External" Id="rId170"/><Relationship Type="http://schemas.openxmlformats.org/officeDocument/2006/relationships/hyperlink" Target="https://www.facebook.com/hause.edelstein" TargetMode="External" Id="rId171"/><Relationship Type="http://schemas.openxmlformats.org/officeDocument/2006/relationships/hyperlink" Target="https://www.facebook.com/profile.php?id=100057165831282" TargetMode="External" Id="rId172"/><Relationship Type="http://schemas.openxmlformats.org/officeDocument/2006/relationships/hyperlink" Target="https://www.facebook.com/chatteriedespetitsmuseaux" TargetMode="External" Id="rId173"/><Relationship Type="http://schemas.openxmlformats.org/officeDocument/2006/relationships/hyperlink" Target="https://www.facebook.com/profile.php?id=61553860357939" TargetMode="External" Id="rId174"/><Relationship Type="http://schemas.openxmlformats.org/officeDocument/2006/relationships/hyperlink" Target="https://www.facebook.com/TopDogCenterA.Szydlowska" TargetMode="External" Id="rId175"/><Relationship Type="http://schemas.openxmlformats.org/officeDocument/2006/relationships/hyperlink" Target="https://www.facebook.com/EMMIPETTOOTHBRUSHLADYKARENCHAPMAN" TargetMode="External" Id="rId176"/><Relationship Type="http://schemas.openxmlformats.org/officeDocument/2006/relationships/hyperlink" Target="https://www.facebook.com/profile.php?id=61572486785956" TargetMode="External" Id="rId177"/><Relationship Type="http://schemas.openxmlformats.org/officeDocument/2006/relationships/hyperlink" Target="https://www.facebook.com/ohmydog44" TargetMode="External" Id="rId178"/><Relationship Type="http://schemas.openxmlformats.org/officeDocument/2006/relationships/hyperlink" Target="https://www.facebook.com/SouthWestScotlandGundogAssociationShow" TargetMode="External" Id="rId179"/><Relationship Type="http://schemas.openxmlformats.org/officeDocument/2006/relationships/hyperlink" Target="https://www.facebook.com/bgandt" TargetMode="External" Id="rId180"/><Relationship Type="http://schemas.openxmlformats.org/officeDocument/2006/relationships/hyperlink" Target="https://www.facebook.com/amakarona12345" TargetMode="External" Id="rId181"/><Relationship Type="http://schemas.openxmlformats.org/officeDocument/2006/relationships/hyperlink" Target="https://www.facebook.com/profile.php?id=61555479712055" TargetMode="External" Id="rId182"/><Relationship Type="http://schemas.openxmlformats.org/officeDocument/2006/relationships/hyperlink" Target="https://www.facebook.com/WoofLtd" TargetMode="External" Id="rId183"/><Relationship Type="http://schemas.openxmlformats.org/officeDocument/2006/relationships/hyperlink" Target="https://www.facebook.com/profile.php?id=61593011305328" TargetMode="External" Id="rId184"/><Relationship Type="http://schemas.openxmlformats.org/officeDocument/2006/relationships/hyperlink" Target="https://www.facebook.com/vietnampettravel" TargetMode="External" Id="rId185"/><Relationship Type="http://schemas.openxmlformats.org/officeDocument/2006/relationships/hyperlink" Target="https://www.facebook.com/ThailandInternationalDogShow" TargetMode="External" Id="rId186"/><Relationship Type="http://schemas.openxmlformats.org/officeDocument/2006/relationships/hyperlink" Target="https://www.facebook.com/profile.php?id=100095217068973" TargetMode="External" Id="rId187"/><Relationship Type="http://schemas.openxmlformats.org/officeDocument/2006/relationships/hyperlink" Target="https://www.facebook.com/vickkingofficial" TargetMode="External" Id="rId188"/><Relationship Type="http://schemas.openxmlformats.org/officeDocument/2006/relationships/hyperlink" Target="https://www.facebook.com/TheYellowDogCompany" TargetMode="External" Id="rId189"/><Relationship Type="http://schemas.openxmlformats.org/officeDocument/2006/relationships/hyperlink" Target="https://www.facebook.com/brisbane.the.rescue" TargetMode="External" Id="rId190"/><Relationship Type="http://schemas.openxmlformats.org/officeDocument/2006/relationships/hyperlink" Target="https://www.facebook.com/rescuemontagnadeipirenei" TargetMode="External" Id="rId191"/><Relationship Type="http://schemas.openxmlformats.org/officeDocument/2006/relationships/hyperlink" Target="https://www.facebook.com/profile.php?id=61578006201093" TargetMode="External" Id="rId192"/><Relationship Type="http://schemas.openxmlformats.org/officeDocument/2006/relationships/hyperlink" Target="https://www.facebook.com/profile.php?id=100089090832023" TargetMode="External" Id="rId193"/><Relationship Type="http://schemas.openxmlformats.org/officeDocument/2006/relationships/hyperlink" Target="https://www.facebook.com/profile.php?id=100063587020255" TargetMode="External" Id="rId194"/><Relationship Type="http://schemas.openxmlformats.org/officeDocument/2006/relationships/hyperlink" Target="https://www.facebook.com/Jo.And.Dog.Educateur.Canin" TargetMode="External" Id="rId195"/><Relationship Type="http://schemas.openxmlformats.org/officeDocument/2006/relationships/hyperlink" Target="https://www.facebook.com/profile.php?id=100076474027593" TargetMode="External" Id="rId196"/><Relationship Type="http://schemas.openxmlformats.org/officeDocument/2006/relationships/hyperlink" Target="https://www.facebook.com/profile.php?id=100070480833239" TargetMode="External" Id="rId197"/><Relationship Type="http://schemas.openxmlformats.org/officeDocument/2006/relationships/hyperlink" Target="https://www.facebook.com/ORIJENPetFoodMexico" TargetMode="External" Id="rId198"/><Relationship Type="http://schemas.openxmlformats.org/officeDocument/2006/relationships/hyperlink" Target="https://www.facebook.com/u.love.dog" TargetMode="External" Id="rId199"/><Relationship Type="http://schemas.openxmlformats.org/officeDocument/2006/relationships/hyperlink" Target="https://www.facebook.com/BeautyDogsMobilePflegeFuerHundeKatzen" TargetMode="External" Id="rId200"/><Relationship Type="http://schemas.openxmlformats.org/officeDocument/2006/relationships/hyperlink" Target="https://www.facebook.com/profile.php?id=100063610718510" TargetMode="External" Id="rId201"/><Relationship Type="http://schemas.openxmlformats.org/officeDocument/2006/relationships/hyperlink" Target="https://www.facebook.com/profile.php?id=100047723055700" TargetMode="External" Id="rId202"/><Relationship Type="http://schemas.openxmlformats.org/officeDocument/2006/relationships/hyperlink" Target="https://www.facebook.com/profile.php?id=61574491448539" TargetMode="External" Id="rId203"/><Relationship Type="http://schemas.openxmlformats.org/officeDocument/2006/relationships/hyperlink" Target="https://www.facebook.com/Dogilike" TargetMode="External" Id="rId204"/><Relationship Type="http://schemas.openxmlformats.org/officeDocument/2006/relationships/hyperlink" Target="https://www.facebook.com/100094549806231" TargetMode="External" Id="rId205"/><Relationship Type="http://schemas.openxmlformats.org/officeDocument/2006/relationships/hyperlink" Target="https://www.facebook.com/profile.php?id=61556460231013" TargetMode="External" Id="rId206"/><Relationship Type="http://schemas.openxmlformats.org/officeDocument/2006/relationships/hyperlink" Target="https://www.facebook.com/doggylife.ru" TargetMode="External" Id="rId207"/><Relationship Type="http://schemas.openxmlformats.org/officeDocument/2006/relationships/hyperlink" Target="https://www.facebook.com/PETspotAU" TargetMode="External" Id="rId208"/><Relationship Type="http://schemas.openxmlformats.org/officeDocument/2006/relationships/hyperlink" Target="https://www.facebook.com/I.love.dogssssss" TargetMode="External" Id="rId209"/><Relationship Type="http://schemas.openxmlformats.org/officeDocument/2006/relationships/hyperlink" Target="https://www.facebook.com/bestpetsawards" TargetMode="External" Id="rId210"/><Relationship Type="http://schemas.openxmlformats.org/officeDocument/2006/relationships/hyperlink" Target="https://www.facebook.com/peterhof.museum" TargetMode="External" Id="rId211"/><Relationship Type="http://schemas.openxmlformats.org/officeDocument/2006/relationships/hyperlink" Target="https://www.facebook.com/lookdog.ru" TargetMode="External" Id="rId212"/><Relationship Type="http://schemas.openxmlformats.org/officeDocument/2006/relationships/hyperlink" Target="https://www.facebook.com/Trainerodessaua" TargetMode="External" Id="rId213"/><Relationship Type="http://schemas.openxmlformats.org/officeDocument/2006/relationships/hyperlink" Target="https://www.facebook.com/peruthepup" TargetMode="External" Id="rId214"/><Relationship Type="http://schemas.openxmlformats.org/officeDocument/2006/relationships/hyperlink" Target="https://www.facebook.com/pitomcy.ua" TargetMode="External" Id="rId215"/><Relationship Type="http://schemas.openxmlformats.org/officeDocument/2006/relationships/hyperlink" Target="https://www.facebook.com/profile.php?id=100075630085857" TargetMode="External" Id="rId21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facebook.com/TheABKC" TargetMode="External" Id="rId1"/><Relationship Type="http://schemas.openxmlformats.org/officeDocument/2006/relationships/hyperlink" Target="https://www.facebook.com/Bulldog.Roofing.Co" TargetMode="External" Id="rId2"/><Relationship Type="http://schemas.openxmlformats.org/officeDocument/2006/relationships/hyperlink" Target="https://www.facebook.com/foxhoundbeeco" TargetMode="External" Id="rId3"/><Relationship Type="http://schemas.openxmlformats.org/officeDocument/2006/relationships/hyperlink" Target="https://www.facebook.com/profile.php?id=61560584383020" TargetMode="External" Id="rId4"/><Relationship Type="http://schemas.openxmlformats.org/officeDocument/2006/relationships/hyperlink" Target="https://www.facebook.com/Goldenretrievercluboftheozarks" TargetMode="External" Id="rId5"/><Relationship Type="http://schemas.openxmlformats.org/officeDocument/2006/relationships/hyperlink" Target="https://www.facebook.com/americanfarmcompany" TargetMode="External" Id="rId6"/><Relationship Type="http://schemas.openxmlformats.org/officeDocument/2006/relationships/hyperlink" Target="https://www.facebook.com/valartikennel" TargetMode="External" Id="rId7"/><Relationship Type="http://schemas.openxmlformats.org/officeDocument/2006/relationships/hyperlink" Target="https://www.facebook.com/LabradorRetrieverKennelAmbasadoriusFci" TargetMode="External" Id="rId8"/><Relationship Type="http://schemas.openxmlformats.org/officeDocument/2006/relationships/hyperlink" Target="https://www.facebook.com/Look4dog" TargetMode="External" Id="rId9"/><Relationship Type="http://schemas.openxmlformats.org/officeDocument/2006/relationships/hyperlink" Target="https://www.facebook.com/zakatekizi" TargetMode="External" Id="rId10"/><Relationship Type="http://schemas.openxmlformats.org/officeDocument/2006/relationships/hyperlink" Target="https://www.facebook.com/www.Ibizanhounds.de" TargetMode="External" Id="rId11"/><Relationship Type="http://schemas.openxmlformats.org/officeDocument/2006/relationships/hyperlink" Target="https://www.facebook.com/kennelzchatyleona" TargetMode="External" Id="rId12"/><Relationship Type="http://schemas.openxmlformats.org/officeDocument/2006/relationships/hyperlink" Target="https://www.facebook.com/WKCDogShow" TargetMode="External" Id="rId13"/><Relationship Type="http://schemas.openxmlformats.org/officeDocument/2006/relationships/hyperlink" Target="https://www.facebook.com/midwestveterinarysupply" TargetMode="External" Id="rId14"/><Relationship Type="http://schemas.openxmlformats.org/officeDocument/2006/relationships/hyperlink" Target="https://www.facebook.com/shopthegoodfarm" TargetMode="External" Id="rId15"/><Relationship Type="http://schemas.openxmlformats.org/officeDocument/2006/relationships/hyperlink" Target="https://www.facebook.com/TheHideawayFarmBonAquaTN" TargetMode="External" Id="rId16"/><Relationship Type="http://schemas.openxmlformats.org/officeDocument/2006/relationships/hyperlink" Target="https://www.facebook.com/RebelHollow" TargetMode="External" Id="rId17"/><Relationship Type="http://schemas.openxmlformats.org/officeDocument/2006/relationships/hyperlink" Target="https://www.facebook.com/thetuckerfarm" TargetMode="External" Id="rId18"/><Relationship Type="http://schemas.openxmlformats.org/officeDocument/2006/relationships/hyperlink" Target="https://www.facebook.com/NaturesFarmacyInc" TargetMode="External" Id="rId19"/><Relationship Type="http://schemas.openxmlformats.org/officeDocument/2006/relationships/hyperlink" Target="https://www.facebook.com/SandyAcresFarms" TargetMode="External" Id="rId20"/><Relationship Type="http://schemas.openxmlformats.org/officeDocument/2006/relationships/hyperlink" Target="https://www.facebook.com/Greennaturefarmreel" TargetMode="External" Id="rId21"/><Relationship Type="http://schemas.openxmlformats.org/officeDocument/2006/relationships/hyperlink" Target="https://www.facebook.com/farmtotablecreations" TargetMode="External" Id="rId22"/><Relationship Type="http://schemas.openxmlformats.org/officeDocument/2006/relationships/hyperlink" Target="https://www.facebook.com/outskirtsfarms" TargetMode="External" Id="rId23"/><Relationship Type="http://schemas.openxmlformats.org/officeDocument/2006/relationships/hyperlink" Target="https://www.facebook.com/profile.php?id=61589350972494" TargetMode="External" Id="rId24"/><Relationship Type="http://schemas.openxmlformats.org/officeDocument/2006/relationships/hyperlink" Target="https://www.facebook.com/profile.php?id=61556253429966" TargetMode="External" Id="rId25"/><Relationship Type="http://schemas.openxmlformats.org/officeDocument/2006/relationships/hyperlink" Target="https://www.facebook.com/FiveOaksFarmAL" TargetMode="External" Id="rId26"/><Relationship Type="http://schemas.openxmlformats.org/officeDocument/2006/relationships/hyperlink" Target="https://www.facebook.com/MadMaresFarm" TargetMode="External" Id="rId27"/><Relationship Type="http://schemas.openxmlformats.org/officeDocument/2006/relationships/hyperlink" Target="https://www.facebook.com/ozarkmtnkunekune" TargetMode="External" Id="rId28"/><Relationship Type="http://schemas.openxmlformats.org/officeDocument/2006/relationships/hyperlink" Target="https://www.facebook.com/riverrocksprings" TargetMode="External" Id="rId29"/><Relationship Type="http://schemas.openxmlformats.org/officeDocument/2006/relationships/hyperlink" Target="https://www.facebook.com/Schnepffarms" TargetMode="External" Id="rId30"/><Relationship Type="http://schemas.openxmlformats.org/officeDocument/2006/relationships/hyperlink" Target="https://www.facebook.com/marshallvillefarmsllc" TargetMode="External" Id="rId31"/><Relationship Type="http://schemas.openxmlformats.org/officeDocument/2006/relationships/hyperlink" Target="https://www.facebook.com/larson.farmscorrellmn" TargetMode="External" Id="rId32"/><Relationship Type="http://schemas.openxmlformats.org/officeDocument/2006/relationships/hyperlink" Target="https://www.facebook.com/franklinflowerfields" TargetMode="External" Id="rId33"/><Relationship Type="http://schemas.openxmlformats.org/officeDocument/2006/relationships/hyperlink" Target="https://www.facebook.com/horseandhound" TargetMode="External" Id="rId34"/><Relationship Type="http://schemas.openxmlformats.org/officeDocument/2006/relationships/hyperlink" Target="https://www.facebook.com/profile.php?id=61561531622717" TargetMode="External" Id="rId35"/><Relationship Type="http://schemas.openxmlformats.org/officeDocument/2006/relationships/hyperlink" Target="https://www.facebook.com/profile.php?id=100066763406548" TargetMode="External" Id="rId36"/><Relationship Type="http://schemas.openxmlformats.org/officeDocument/2006/relationships/hyperlink" Target="https://www.facebook.com/profile.php?id=61586893430274" TargetMode="External" Id="rId37"/><Relationship Type="http://schemas.openxmlformats.org/officeDocument/2006/relationships/hyperlink" Target="https://www.facebook.com/HeidrichsCTFN" TargetMode="External" Id="rId38"/><Relationship Type="http://schemas.openxmlformats.org/officeDocument/2006/relationships/hyperlink" Target="https://www.facebook.com/lemonledgefarm" TargetMode="External" Id="rId39"/><Relationship Type="http://schemas.openxmlformats.org/officeDocument/2006/relationships/hyperlink" Target="https://www.facebook.com/profile.php?id=100064238667129" TargetMode="External" Id="rId40"/><Relationship Type="http://schemas.openxmlformats.org/officeDocument/2006/relationships/hyperlink" Target="https://www.facebook.com/BriarwoodFarmsLLC" TargetMode="External" Id="rId41"/><Relationship Type="http://schemas.openxmlformats.org/officeDocument/2006/relationships/hyperlink" Target="https://www.facebook.com/profile.php?id=100066684035398" TargetMode="External" Id="rId42"/><Relationship Type="http://schemas.openxmlformats.org/officeDocument/2006/relationships/hyperlink" Target="https://www.facebook.com/butchranchcolorado" TargetMode="External" Id="rId43"/><Relationship Type="http://schemas.openxmlformats.org/officeDocument/2006/relationships/hyperlink" Target="https://www.facebook.com/dalscone" TargetMode="External" Id="rId44"/><Relationship Type="http://schemas.openxmlformats.org/officeDocument/2006/relationships/hyperlink" Target="https://www.facebook.com/StreamvaleFarm" TargetMode="External" Id="rId45"/><Relationship Type="http://schemas.openxmlformats.org/officeDocument/2006/relationships/hyperlink" Target="https://www.facebook.com/bloomsandberries" TargetMode="External" Id="rId46"/><Relationship Type="http://schemas.openxmlformats.org/officeDocument/2006/relationships/hyperlink" Target="https://www.facebook.com/curtpat351" TargetMode="External" Id="rId47"/><Relationship Type="http://schemas.openxmlformats.org/officeDocument/2006/relationships/hyperlink" Target="https://www.facebook.com/www.ourdogs.co.uk" TargetMode="External" Id="rId48"/><Relationship Type="http://schemas.openxmlformats.org/officeDocument/2006/relationships/hyperlink" Target="https://www.facebook.com/willowcreekfarms17" TargetMode="External" Id="rId49"/><Relationship Type="http://schemas.openxmlformats.org/officeDocument/2006/relationships/hyperlink" Target="https://www.facebook.com/bestspitz" TargetMode="External" Id="rId50"/><Relationship Type="http://schemas.openxmlformats.org/officeDocument/2006/relationships/hyperlink" Target="https://www.facebook.com/RapidCityKC" TargetMode="External" Id="rId51"/><Relationship Type="http://schemas.openxmlformats.org/officeDocument/2006/relationships/hyperlink" Target="https://www.facebook.com/OleanKennelClub" TargetMode="External" Id="rId52"/><Relationship Type="http://schemas.openxmlformats.org/officeDocument/2006/relationships/hyperlink" Target="https://www.facebook.com/profile.php?id=100021732566470" TargetMode="External" Id="rId53"/><Relationship Type="http://schemas.openxmlformats.org/officeDocument/2006/relationships/hyperlink" Target="https://www.facebook.com/profile.php?id=61554855726846" TargetMode="External" Id="rId54"/><Relationship Type="http://schemas.openxmlformats.org/officeDocument/2006/relationships/hyperlink" Target="https://www.facebook.com/profile.php?id=100087405154569" TargetMode="External" Id="rId55"/><Relationship Type="http://schemas.openxmlformats.org/officeDocument/2006/relationships/hyperlink" Target="https://www.facebook.com/profile.php?id=100075886577624" TargetMode="External" Id="rId56"/><Relationship Type="http://schemas.openxmlformats.org/officeDocument/2006/relationships/hyperlink" Target="https://www.facebook.com/RAWFARMUSA" TargetMode="External" Id="rId57"/><Relationship Type="http://schemas.openxmlformats.org/officeDocument/2006/relationships/hyperlink" Target="https://www.facebook.com/HootOwlFarm" TargetMode="External" Id="rId58"/><Relationship Type="http://schemas.openxmlformats.org/officeDocument/2006/relationships/hyperlink" Target="https://www.facebook.com/Whitepepperfarms" TargetMode="External" Id="rId59"/><Relationship Type="http://schemas.openxmlformats.org/officeDocument/2006/relationships/hyperlink" Target="https://www.facebook.com/Vertucciofarms" TargetMode="External" Id="rId60"/><Relationship Type="http://schemas.openxmlformats.org/officeDocument/2006/relationships/hyperlink" Target="https://www.facebook.com/MaanFarms" TargetMode="External" Id="rId61"/><Relationship Type="http://schemas.openxmlformats.org/officeDocument/2006/relationships/hyperlink" Target="https://www.facebook.com/KennonKamp" TargetMode="External" Id="rId62"/><Relationship Type="http://schemas.openxmlformats.org/officeDocument/2006/relationships/hyperlink" Target="https://www.facebook.com/zoefarmscanton" TargetMode="External" Id="rId63"/><Relationship Type="http://schemas.openxmlformats.org/officeDocument/2006/relationships/hyperlink" Target="https://www.facebook.com/greenhillfarmsharpsburg" TargetMode="External" Id="rId64"/><Relationship Type="http://schemas.openxmlformats.org/officeDocument/2006/relationships/hyperlink" Target="https://www.facebook.com/HarvestingLightPhotography" TargetMode="External" Id="rId65"/><Relationship Type="http://schemas.openxmlformats.org/officeDocument/2006/relationships/hyperlink" Target="https://www.facebook.com/boltfarmtreehouse" TargetMode="External" Id="rId66"/><Relationship Type="http://schemas.openxmlformats.org/officeDocument/2006/relationships/hyperlink" Target="https://www.facebook.com/profile.php?id=61593871844752" TargetMode="External" Id="rId67"/><Relationship Type="http://schemas.openxmlformats.org/officeDocument/2006/relationships/hyperlink" Target="https://www.facebook.com/profile.php?id=100084125586294" TargetMode="External" Id="rId68"/><Relationship Type="http://schemas.openxmlformats.org/officeDocument/2006/relationships/hyperlink" Target="https://www.facebook.com/NorthFreshFarm" TargetMode="External" Id="rId69"/><Relationship Type="http://schemas.openxmlformats.org/officeDocument/2006/relationships/hyperlink" Target="https://www.facebook.com/sheminiatzeretfarms" TargetMode="External" Id="rId70"/><Relationship Type="http://schemas.openxmlformats.org/officeDocument/2006/relationships/hyperlink" Target="https://www.facebook.com/portageviewfarm" TargetMode="External" Id="rId71"/><Relationship Type="http://schemas.openxmlformats.org/officeDocument/2006/relationships/hyperlink" Target="https://www.facebook.com/profile.php?id=61553849754008" TargetMode="External" Id="rId72"/><Relationship Type="http://schemas.openxmlformats.org/officeDocument/2006/relationships/hyperlink" Target="https://www.facebook.com/profile.php?id=61566573076200" TargetMode="External" Id="rId73"/><Relationship Type="http://schemas.openxmlformats.org/officeDocument/2006/relationships/hyperlink" Target="https://www.facebook.com/bmdca" TargetMode="External" Id="rId74"/><Relationship Type="http://schemas.openxmlformats.org/officeDocument/2006/relationships/hyperlink" Target="https://www.facebook.com/profile.php?id=100057570544328" TargetMode="External" Id="rId75"/><Relationship Type="http://schemas.openxmlformats.org/officeDocument/2006/relationships/hyperlink" Target="https://www.facebook.com/SusanKirkRosalesStateFarm" TargetMode="External" Id="rId76"/><Relationship Type="http://schemas.openxmlformats.org/officeDocument/2006/relationships/hyperlink" Target="https://www.facebook.com/profile.php?id=100057525735137" TargetMode="External" Id="rId77"/><Relationship Type="http://schemas.openxmlformats.org/officeDocument/2006/relationships/hyperlink" Target="https://www.facebook.com/ArdrossFarm" TargetMode="External" Id="rId78"/><Relationship Type="http://schemas.openxmlformats.org/officeDocument/2006/relationships/hyperlink" Target="https://www.facebook.com/RedDocFarm" TargetMode="External" Id="rId79"/><Relationship Type="http://schemas.openxmlformats.org/officeDocument/2006/relationships/hyperlink" Target="https://www.facebook.com/profile.php?id=61595242371143" TargetMode="External" Id="rId80"/><Relationship Type="http://schemas.openxmlformats.org/officeDocument/2006/relationships/hyperlink" Target="https://www.facebook.com/profile.php?id=61584656129735" TargetMode="External" Id="rId81"/><Relationship Type="http://schemas.openxmlformats.org/officeDocument/2006/relationships/hyperlink" Target="https://www.facebook.com/profile.php?id=100057693698251" TargetMode="External" Id="rId82"/><Relationship Type="http://schemas.openxmlformats.org/officeDocument/2006/relationships/hyperlink" Target="https://www.facebook.com/profile.php?id=100064268275801" TargetMode="External" Id="rId83"/><Relationship Type="http://schemas.openxmlformats.org/officeDocument/2006/relationships/hyperlink" Target="https://www.facebook.com/falcoflowers" TargetMode="External" Id="rId84"/><Relationship Type="http://schemas.openxmlformats.org/officeDocument/2006/relationships/hyperlink" Target="https://www.facebook.com/LewisFarmConcord" TargetMode="External" Id="rId85"/><Relationship Type="http://schemas.openxmlformats.org/officeDocument/2006/relationships/hyperlink" Target="https://www.facebook.com/akccoonhounds" TargetMode="External" Id="rId86"/><Relationship Type="http://schemas.openxmlformats.org/officeDocument/2006/relationships/hyperlink" Target="https://www.facebook.com/profile.php?id=61566848592262" TargetMode="External" Id="rId87"/><Relationship Type="http://schemas.openxmlformats.org/officeDocument/2006/relationships/hyperlink" Target="https://www.facebook.com/ElginNursery" TargetMode="External" Id="rId88"/><Relationship Type="http://schemas.openxmlformats.org/officeDocument/2006/relationships/hyperlink" Target="https://www.facebook.com/profile.php?id=100064851483979" TargetMode="External" Id="rId89"/><Relationship Type="http://schemas.openxmlformats.org/officeDocument/2006/relationships/hyperlink" Target="https://www.facebook.com/BaltimoreCountyKennelClub" TargetMode="External" Id="rId90"/><Relationship Type="http://schemas.openxmlformats.org/officeDocument/2006/relationships/hyperlink" Target="https://www.facebook.com/Marynalifespark" TargetMode="External" Id="rId91"/><Relationship Type="http://schemas.openxmlformats.org/officeDocument/2006/relationships/hyperlink" Target="https://www.facebook.com/ikcchicago" TargetMode="External" Id="rId92"/><Relationship Type="http://schemas.openxmlformats.org/officeDocument/2006/relationships/hyperlink" Target="https://www.facebook.com/RoyalKennelClubUK" TargetMode="External" Id="rId93"/><Relationship Type="http://schemas.openxmlformats.org/officeDocument/2006/relationships/hyperlink" Target="https://www.facebook.com/profile.php?id=100069191070307" TargetMode="External" Id="rId94"/><Relationship Type="http://schemas.openxmlformats.org/officeDocument/2006/relationships/hyperlink" Target="https://www.facebook.com/plumcreekkennelclub" TargetMode="External" Id="rId95"/><Relationship Type="http://schemas.openxmlformats.org/officeDocument/2006/relationships/hyperlink" Target="https://www.facebook.com/MoroccanKennelClub" TargetMode="External" Id="rId96"/><Relationship Type="http://schemas.openxmlformats.org/officeDocument/2006/relationships/hyperlink" Target="https://www.facebook.com/profile.php?id=61588199079844" TargetMode="External" Id="rId97"/><Relationship Type="http://schemas.openxmlformats.org/officeDocument/2006/relationships/hyperlink" Target="https://www.facebook.com/frenchbulldogclubofvictoria" TargetMode="External" Id="rId98"/><Relationship Type="http://schemas.openxmlformats.org/officeDocument/2006/relationships/hyperlink" Target="https://www.facebook.com/BellsStrawberryFarmDobermanPuppies" TargetMode="External" Id="rId99"/><Relationship Type="http://schemas.openxmlformats.org/officeDocument/2006/relationships/hyperlink" Target="https://www.facebook.com/QLDBulldogClub" TargetMode="External" Id="rId100"/><Relationship Type="http://schemas.openxmlformats.org/officeDocument/2006/relationships/hyperlink" Target="https://www.facebook.com/JarrettsvilleVet" TargetMode="External" Id="rId101"/><Relationship Type="http://schemas.openxmlformats.org/officeDocument/2006/relationships/hyperlink" Target="https://www.facebook.com/profile.php?id=61567819224253" TargetMode="External" Id="rId102"/><Relationship Type="http://schemas.openxmlformats.org/officeDocument/2006/relationships/hyperlink" Target="https://www.facebook.com/NewFrontierAnimalMedicalCenter" TargetMode="External" Id="rId103"/><Relationship Type="http://schemas.openxmlformats.org/officeDocument/2006/relationships/hyperlink" Target="https://www.facebook.com/CrawfordTechCenter" TargetMode="External" Id="rId104"/><Relationship Type="http://schemas.openxmlformats.org/officeDocument/2006/relationships/hyperlink" Target="https://www.facebook.com/FresnoAnimalCenter" TargetMode="External" Id="rId105"/><Relationship Type="http://schemas.openxmlformats.org/officeDocument/2006/relationships/hyperlink" Target="https://www.facebook.com/profile.php?id=100094575615499" TargetMode="External" Id="rId106"/><Relationship Type="http://schemas.openxmlformats.org/officeDocument/2006/relationships/hyperlink" Target="https://www.facebook.com/KCFarmstn" TargetMode="External" Id="rId107"/><Relationship Type="http://schemas.openxmlformats.org/officeDocument/2006/relationships/hyperlink" Target="https://www.facebook.com/MatthewsLegacyFarm" TargetMode="External" Id="rId108"/><Relationship Type="http://schemas.openxmlformats.org/officeDocument/2006/relationships/hyperlink" Target="https://www.facebook.com/profile.php?id=100057435250415" TargetMode="External" Id="rId109"/><Relationship Type="http://schemas.openxmlformats.org/officeDocument/2006/relationships/hyperlink" Target="https://www.facebook.com/granjavillacabras" TargetMode="External" Id="rId110"/><Relationship Type="http://schemas.openxmlformats.org/officeDocument/2006/relationships/hyperlink" Target="https://www.facebook.com/MossburnCommunityFarm" TargetMode="External" Id="rId111"/><Relationship Type="http://schemas.openxmlformats.org/officeDocument/2006/relationships/hyperlink" Target="https://www.facebook.com/FireWaterFarms" TargetMode="External" Id="rId112"/><Relationship Type="http://schemas.openxmlformats.org/officeDocument/2006/relationships/hyperlink" Target="https://www.facebook.com/vogelsbergfamilyfarm" TargetMode="External" Id="rId113"/><Relationship Type="http://schemas.openxmlformats.org/officeDocument/2006/relationships/hyperlink" Target="https://www.facebook.com/eveshillfarm" TargetMode="External" Id="rId114"/><Relationship Type="http://schemas.openxmlformats.org/officeDocument/2006/relationships/hyperlink" Target="https://www.facebook.com/alsmelons" TargetMode="External" Id="rId115"/><Relationship Type="http://schemas.openxmlformats.org/officeDocument/2006/relationships/hyperlink" Target="https://www.facebook.com/barringtonlodgevetclinic.co.uk" TargetMode="External" Id="rId116"/><Relationship Type="http://schemas.openxmlformats.org/officeDocument/2006/relationships/hyperlink" Target="https://www.facebook.com/binsamad.farm" TargetMode="External" Id="rId117"/><Relationship Type="http://schemas.openxmlformats.org/officeDocument/2006/relationships/hyperlink" Target="https://www.facebook.com/myinsurancealexa" TargetMode="External" Id="rId118"/><Relationship Type="http://schemas.openxmlformats.org/officeDocument/2006/relationships/hyperlink" Target="https://www.facebook.com/profile.php?id=61591464338033" TargetMode="External" Id="rId119"/><Relationship Type="http://schemas.openxmlformats.org/officeDocument/2006/relationships/hyperlink" Target="https://www.facebook.com/profile.php?id=61553678341842" TargetMode="External" Id="rId120"/><Relationship Type="http://schemas.openxmlformats.org/officeDocument/2006/relationships/hyperlink" Target="https://www.facebook.com/profile.php?id=61594066406582" TargetMode="External" Id="rId121"/><Relationship Type="http://schemas.openxmlformats.org/officeDocument/2006/relationships/hyperlink" Target="https://www.facebook.com/greenfirefarms" TargetMode="External" Id="rId122"/><Relationship Type="http://schemas.openxmlformats.org/officeDocument/2006/relationships/hyperlink" Target="https://www.facebook.com/StonewallFarmNH" TargetMode="External" Id="rId123"/><Relationship Type="http://schemas.openxmlformats.org/officeDocument/2006/relationships/hyperlink" Target="https://www.facebook.com/woollyshirefarm" TargetMode="External" Id="rId124"/><Relationship Type="http://schemas.openxmlformats.org/officeDocument/2006/relationships/hyperlink" Target="https://www.facebook.com/profile.php?id=100071108545336" TargetMode="External" Id="rId125"/><Relationship Type="http://schemas.openxmlformats.org/officeDocument/2006/relationships/hyperlink" Target="https://www.facebook.com/profile.php?id=100029619591597" TargetMode="External" Id="rId126"/><Relationship Type="http://schemas.openxmlformats.org/officeDocument/2006/relationships/hyperlink" Target="https://www.facebook.com/rootsandrefugefarm" TargetMode="External" Id="rId127"/><Relationship Type="http://schemas.openxmlformats.org/officeDocument/2006/relationships/hyperlink" Target="https://www.facebook.com/profile.php?id=100086984787598" TargetMode="External" Id="rId128"/><Relationship Type="http://schemas.openxmlformats.org/officeDocument/2006/relationships/hyperlink" Target="https://www.facebook.com/profile.php?id=100081188983809" TargetMode="External" Id="rId129"/><Relationship Type="http://schemas.openxmlformats.org/officeDocument/2006/relationships/hyperlink" Target="https://www.facebook.com/HoneyAppleFarms" TargetMode="External" Id="rId130"/><Relationship Type="http://schemas.openxmlformats.org/officeDocument/2006/relationships/hyperlink" Target="https://www.facebook.com/bergefarms34" TargetMode="External" Id="rId131"/><Relationship Type="http://schemas.openxmlformats.org/officeDocument/2006/relationships/hyperlink" Target="https://www.facebook.com/olimegafarm" TargetMode="External" Id="rId132"/><Relationship Type="http://schemas.openxmlformats.org/officeDocument/2006/relationships/hyperlink" Target="https://www.facebook.com/WatsonFarmsProcessing" TargetMode="External" Id="rId133"/><Relationship Type="http://schemas.openxmlformats.org/officeDocument/2006/relationships/hyperlink" Target="https://www.facebook.com/OESclubUSA" TargetMode="External" Id="rId134"/><Relationship Type="http://schemas.openxmlformats.org/officeDocument/2006/relationships/hyperlink" Target="https://www.facebook.com/GingueFamilyFarm" TargetMode="External" Id="rId135"/><Relationship Type="http://schemas.openxmlformats.org/officeDocument/2006/relationships/hyperlink" Target="https://www.facebook.com/vilchishomecare" TargetMode="External" Id="rId136"/><Relationship Type="http://schemas.openxmlformats.org/officeDocument/2006/relationships/hyperlink" Target="https://www.facebook.com/LegendaryStardustborders" TargetMode="External" Id="rId137"/><Relationship Type="http://schemas.openxmlformats.org/officeDocument/2006/relationships/hyperlink" Target="https://www.facebook.com/mabeefarm" TargetMode="External" Id="rId138"/><Relationship Type="http://schemas.openxmlformats.org/officeDocument/2006/relationships/hyperlink" Target="https://www.facebook.com/JTTreefarm" TargetMode="External" Id="rId139"/><Relationship Type="http://schemas.openxmlformats.org/officeDocument/2006/relationships/hyperlink" Target="https://www.facebook.com/spotonfarmgirl" TargetMode="External" Id="rId140"/><Relationship Type="http://schemas.openxmlformats.org/officeDocument/2006/relationships/hyperlink" Target="https://www.facebook.com/NuvetLabsOfficial" TargetMode="External" Id="rId141"/><Relationship Type="http://schemas.openxmlformats.org/officeDocument/2006/relationships/hyperlink" Target="https://www.facebook.com/BossFarmsFamily" TargetMode="External" Id="rId142"/><Relationship Type="http://schemas.openxmlformats.org/officeDocument/2006/relationships/hyperlink" Target="https://www.facebook.com/bmdcv" TargetMode="External" Id="rId143"/><Relationship Type="http://schemas.openxmlformats.org/officeDocument/2006/relationships/hyperlink" Target="https://www.facebook.com/threeoaksvet" TargetMode="External" Id="rId144"/><Relationship Type="http://schemas.openxmlformats.org/officeDocument/2006/relationships/hyperlink" Target="https://www.facebook.com/VCAAnimalMedicalCenterofPasadena" TargetMode="External" Id="rId145"/><Relationship Type="http://schemas.openxmlformats.org/officeDocument/2006/relationships/hyperlink" Target="https://www.facebook.com/dogshowacademy" TargetMode="External" Id="rId146"/><Relationship Type="http://schemas.openxmlformats.org/officeDocument/2006/relationships/hyperlink" Target="https://www.facebook.com/apollo.animal" TargetMode="External" Id="rId147"/><Relationship Type="http://schemas.openxmlformats.org/officeDocument/2006/relationships/hyperlink" Target="https://www.facebook.com/thedrakecenter" TargetMode="External" Id="rId148"/><Relationship Type="http://schemas.openxmlformats.org/officeDocument/2006/relationships/hyperlink" Target="https://www.facebook.com/fhspringfieldeast" TargetMode="External" Id="rId149"/><Relationship Type="http://schemas.openxmlformats.org/officeDocument/2006/relationships/hyperlink" Target="https://www.facebook.com/Butterhofs" TargetMode="External" Id="rId150"/><Relationship Type="http://schemas.openxmlformats.org/officeDocument/2006/relationships/hyperlink" Target="https://www.facebook.com/nbmdc.org.uk" TargetMode="External" Id="rId151"/><Relationship Type="http://schemas.openxmlformats.org/officeDocument/2006/relationships/hyperlink" Target="https://www.facebook.com/profile.php?id=61563779918472" TargetMode="External" Id="rId152"/><Relationship Type="http://schemas.openxmlformats.org/officeDocument/2006/relationships/hyperlink" Target="https://www.facebook.com/MidHertsGundogClub" TargetMode="External" Id="rId153"/><Relationship Type="http://schemas.openxmlformats.org/officeDocument/2006/relationships/hyperlink" Target="https://www.facebook.com/tmmafarms" TargetMode="External" Id="rId154"/><Relationship Type="http://schemas.openxmlformats.org/officeDocument/2006/relationships/hyperlink" Target="https://www.facebook.com/friendsoha" TargetMode="External" Id="rId155"/><Relationship Type="http://schemas.openxmlformats.org/officeDocument/2006/relationships/hyperlink" Target="https://www.facebook.com/akcfamilydog" TargetMode="External" Id="rId156"/><Relationship Type="http://schemas.openxmlformats.org/officeDocument/2006/relationships/hyperlink" Target="https://www.facebook.com/TheDaycareTeacher" TargetMode="External" Id="rId157"/><Relationship Type="http://schemas.openxmlformats.org/officeDocument/2006/relationships/hyperlink" Target="https://www.facebook.com/bulldogclubofamerica" TargetMode="External" Id="rId158"/><Relationship Type="http://schemas.openxmlformats.org/officeDocument/2006/relationships/hyperlink" Target="https://www.facebook.com/brightsideanimals" TargetMode="External" Id="rId159"/><Relationship Type="http://schemas.openxmlformats.org/officeDocument/2006/relationships/hyperlink" Target="https://www.facebook.com/profile.php?id=61558065184377" TargetMode="External" Id="rId160"/><Relationship Type="http://schemas.openxmlformats.org/officeDocument/2006/relationships/hyperlink" Target="https://www.facebook.com/VCAVeterinarySpecialtyEmergencyCenterofKalamazoo" TargetMode="External" Id="rId161"/><Relationship Type="http://schemas.openxmlformats.org/officeDocument/2006/relationships/hyperlink" Target="https://www.facebook.com/PalmdaleAnimalsLACo" TargetMode="External" Id="rId162"/><Relationship Type="http://schemas.openxmlformats.org/officeDocument/2006/relationships/hyperlink" Target="https://www.facebook.com/profile.php?id=61574830820966" TargetMode="External" Id="rId163"/><Relationship Type="http://schemas.openxmlformats.org/officeDocument/2006/relationships/hyperlink" Target="https://www.facebook.com/CKC4thedogs" TargetMode="External" Id="rId164"/><Relationship Type="http://schemas.openxmlformats.org/officeDocument/2006/relationships/hyperlink" Target="https://www.facebook.com/MorrisandEssexKennelClub" TargetMode="External" Id="rId165"/><Relationship Type="http://schemas.openxmlformats.org/officeDocument/2006/relationships/hyperlink" Target="https://www.facebook.com/saratoganewyorkkennelclub" TargetMode="External" Id="rId166"/><Relationship Type="http://schemas.openxmlformats.org/officeDocument/2006/relationships/hyperlink" Target="https://www.facebook.com/profile.php?id=100064575348706" TargetMode="External" Id="rId167"/><Relationship Type="http://schemas.openxmlformats.org/officeDocument/2006/relationships/hyperlink" Target="https://www.facebook.com/Ottawakennelclub" TargetMode="External" Id="rId168"/><Relationship Type="http://schemas.openxmlformats.org/officeDocument/2006/relationships/hyperlink" Target="https://www.facebook.com/saltakennelclub" TargetMode="External" Id="rId169"/><Relationship Type="http://schemas.openxmlformats.org/officeDocument/2006/relationships/hyperlink" Target="https://www.facebook.com/jujuy.kennel" TargetMode="External" Id="rId170"/><Relationship Type="http://schemas.openxmlformats.org/officeDocument/2006/relationships/hyperlink" Target="https://www.facebook.com/scottishkennelclub" TargetMode="External" Id="rId171"/><Relationship Type="http://schemas.openxmlformats.org/officeDocument/2006/relationships/hyperlink" Target="https://www.facebook.com/profile.php?id=100049057791778" TargetMode="External" Id="rId172"/><Relationship Type="http://schemas.openxmlformats.org/officeDocument/2006/relationships/hyperlink" Target="https://www.facebook.com/AsociatiaChinologicaRomanaACHR" TargetMode="External" Id="rId173"/><Relationship Type="http://schemas.openxmlformats.org/officeDocument/2006/relationships/hyperlink" Target="https://www.facebook.com/birminghamkc" TargetMode="External" Id="rId174"/><Relationship Type="http://schemas.openxmlformats.org/officeDocument/2006/relationships/hyperlink" Target="https://www.facebook.com/renokennelclub" TargetMode="External" Id="rId175"/><Relationship Type="http://schemas.openxmlformats.org/officeDocument/2006/relationships/hyperlink" Target="https://www.facebook.com/clemsonkennelclub" TargetMode="External" Id="rId176"/><Relationship Type="http://schemas.openxmlformats.org/officeDocument/2006/relationships/hyperlink" Target="https://www.facebook.com/CheyenneKennelClub" TargetMode="External" Id="rId177"/><Relationship Type="http://schemas.openxmlformats.org/officeDocument/2006/relationships/hyperlink" Target="https://www.facebook.com/profile.php?id=100057407051014" TargetMode="External" Id="rId178"/><Relationship Type="http://schemas.openxmlformats.org/officeDocument/2006/relationships/hyperlink" Target="https://www.facebook.com/profile.php?id=100077290000374" TargetMode="External" Id="rId179"/><Relationship Type="http://schemas.openxmlformats.org/officeDocument/2006/relationships/hyperlink" Target="https://www.facebook.com/GreenvilleKC.Org" TargetMode="External" Id="rId180"/><Relationship Type="http://schemas.openxmlformats.org/officeDocument/2006/relationships/hyperlink" Target="https://www.facebook.com/VCAnimalServices" TargetMode="External" Id="rId181"/><Relationship Type="http://schemas.openxmlformats.org/officeDocument/2006/relationships/hyperlink" Target="https://www.facebook.com/memphisanimalservices" TargetMode="External" Id="rId182"/><Relationship Type="http://schemas.openxmlformats.org/officeDocument/2006/relationships/hyperlink" Target="https://www.facebook.com/HotSpringsAnimalServices" TargetMode="External" Id="rId183"/><Relationship Type="http://schemas.openxmlformats.org/officeDocument/2006/relationships/hyperlink" Target="https://www.facebook.com/CritterCreekFarmSanctuary" TargetMode="External" Id="rId184"/><Relationship Type="http://schemas.openxmlformats.org/officeDocument/2006/relationships/hyperlink" Target="https://www.facebook.com/stoneyacressanctuary" TargetMode="External" Id="rId185"/><Relationship Type="http://schemas.openxmlformats.org/officeDocument/2006/relationships/hyperlink" Target="https://www.facebook.com/profile.php?id=100069164662224" TargetMode="External" Id="rId186"/><Relationship Type="http://schemas.openxmlformats.org/officeDocument/2006/relationships/hyperlink" Target="https://www.facebook.com/arizonawormfarm" TargetMode="External" Id="rId187"/><Relationship Type="http://schemas.openxmlformats.org/officeDocument/2006/relationships/hyperlink" Target="https://www.facebook.com/profile.php?id=61553776349557" TargetMode="External" Id="rId188"/><Relationship Type="http://schemas.openxmlformats.org/officeDocument/2006/relationships/hyperlink" Target="https://www.facebook.com/HilltopFarmTN" TargetMode="External" Id="rId189"/><Relationship Type="http://schemas.openxmlformats.org/officeDocument/2006/relationships/hyperlink" Target="https://www.facebook.com/bernardsfarmuk" TargetMode="External" Id="rId190"/><Relationship Type="http://schemas.openxmlformats.org/officeDocument/2006/relationships/hyperlink" Target="https://www.facebook.com/profile.php?id=61557894448339" TargetMode="External" Id="rId191"/><Relationship Type="http://schemas.openxmlformats.org/officeDocument/2006/relationships/hyperlink" Target="https://www.facebook.com/CVBMDC" TargetMode="External" Id="rId192"/><Relationship Type="http://schemas.openxmlformats.org/officeDocument/2006/relationships/hyperlink" Target="https://www.facebook.com/100095293235988" TargetMode="External" Id="rId193"/><Relationship Type="http://schemas.openxmlformats.org/officeDocument/2006/relationships/hyperlink" Target="https://www.facebook.com/ticefamilyfarms" TargetMode="External" Id="rId194"/><Relationship Type="http://schemas.openxmlformats.org/officeDocument/2006/relationships/hyperlink" Target="https://www.facebook.com/SwanFarmAkhalTekes" TargetMode="External" Id="rId195"/><Relationship Type="http://schemas.openxmlformats.org/officeDocument/2006/relationships/hyperlink" Target="https://www.facebook.com/profile.php?id=61557542270571" TargetMode="External" Id="rId196"/><Relationship Type="http://schemas.openxmlformats.org/officeDocument/2006/relationships/hyperlink" Target="https://www.facebook.com/chhexpo" TargetMode="External" Id="rId197"/><Relationship Type="http://schemas.openxmlformats.org/officeDocument/2006/relationships/hyperlink" Target="https://www.facebook.com/profile.php?id=100087629554573" TargetMode="External" Id="rId198"/><Relationship Type="http://schemas.openxmlformats.org/officeDocument/2006/relationships/hyperlink" Target="https://www.facebook.com/stoneycreekfarmminigoats" TargetMode="External" Id="rId199"/><Relationship Type="http://schemas.openxmlformats.org/officeDocument/2006/relationships/hyperlink" Target="https://www.facebook.com/profile.php?id=100064251087049" TargetMode="External" Id="rId200"/><Relationship Type="http://schemas.openxmlformats.org/officeDocument/2006/relationships/hyperlink" Target="https://www.facebook.com/bordomax.farm" TargetMode="External" Id="rId201"/><Relationship Type="http://schemas.openxmlformats.org/officeDocument/2006/relationships/hyperlink" Target="https://www.facebook.com/Soulridgefarm" TargetMode="External" Id="rId202"/><Relationship Type="http://schemas.openxmlformats.org/officeDocument/2006/relationships/hyperlink" Target="https://www.facebook.com/briggsfarmmaine" TargetMode="External" Id="rId203"/><Relationship Type="http://schemas.openxmlformats.org/officeDocument/2006/relationships/hyperlink" Target="https://www.facebook.com/grandviewmtnstrwbrryfarm" TargetMode="External" Id="rId204"/><Relationship Type="http://schemas.openxmlformats.org/officeDocument/2006/relationships/hyperlink" Target="https://www.facebook.com/woodcockcreekfarms" TargetMode="External" Id="rId205"/><Relationship Type="http://schemas.openxmlformats.org/officeDocument/2006/relationships/hyperlink" Target="https://www.facebook.com/bmdcnc" TargetMode="External" Id="rId206"/><Relationship Type="http://schemas.openxmlformats.org/officeDocument/2006/relationships/hyperlink" Target="https://www.facebook.com/blissfulfarm" TargetMode="External" Id="rId207"/><Relationship Type="http://schemas.openxmlformats.org/officeDocument/2006/relationships/hyperlink" Target="https://www.facebook.com/goderiestreefarm" TargetMode="External" Id="rId208"/><Relationship Type="http://schemas.openxmlformats.org/officeDocument/2006/relationships/hyperlink" Target="https://www.facebook.com/24carrot" TargetMode="External" Id="rId209"/><Relationship Type="http://schemas.openxmlformats.org/officeDocument/2006/relationships/hyperlink" Target="https://www.facebook.com/profile.php?id=61581074226771" TargetMode="External" Id="rId210"/><Relationship Type="http://schemas.openxmlformats.org/officeDocument/2006/relationships/hyperlink" Target="https://www.facebook.com/ClarksCoveFarmInn" TargetMode="External" Id="rId211"/><Relationship Type="http://schemas.openxmlformats.org/officeDocument/2006/relationships/hyperlink" Target="https://www.facebook.com/sicklerscircleviewfarm" TargetMode="External" Id="rId212"/><Relationship Type="http://schemas.openxmlformats.org/officeDocument/2006/relationships/hyperlink" Target="https://www.facebook.com/FARWindFarmSmallMillMade" TargetMode="External" Id="rId213"/><Relationship Type="http://schemas.openxmlformats.org/officeDocument/2006/relationships/hyperlink" Target="https://www.facebook.com/novakfarmswv" TargetMode="External" Id="rId214"/><Relationship Type="http://schemas.openxmlformats.org/officeDocument/2006/relationships/hyperlink" Target="https://www.facebook.com/FrenchBulldogClubNSW" TargetMode="External" Id="rId215"/><Relationship Type="http://schemas.openxmlformats.org/officeDocument/2006/relationships/hyperlink" Target="https://www.facebook.com/profile.php?id=61594836838388" TargetMode="External" Id="rId216"/><Relationship Type="http://schemas.openxmlformats.org/officeDocument/2006/relationships/hyperlink" Target="https://www.facebook.com/LSUSVM" TargetMode="External" Id="rId217"/><Relationship Type="http://schemas.openxmlformats.org/officeDocument/2006/relationships/hyperlink" Target="https://www.facebook.com/WashoeAnimals" TargetMode="External" Id="rId218"/><Relationship Type="http://schemas.openxmlformats.org/officeDocument/2006/relationships/hyperlink" Target="https://www.facebook.com/McGeeEquineLivestockFarrierServiceandrescuecenter" TargetMode="External" Id="rId219"/><Relationship Type="http://schemas.openxmlformats.org/officeDocument/2006/relationships/hyperlink" Target="https://www.facebook.com/normasbasketshop" TargetMode="External" Id="rId220"/><Relationship Type="http://schemas.openxmlformats.org/officeDocument/2006/relationships/hyperlink" Target="https://www.facebook.com/NewYorkVeterans" TargetMode="External" Id="rId221"/><Relationship Type="http://schemas.openxmlformats.org/officeDocument/2006/relationships/hyperlink" Target="https://www.facebook.com/RobesonCountyAnimalProtectiveServices" TargetMode="External" Id="rId222"/><Relationship Type="http://schemas.openxmlformats.org/officeDocument/2006/relationships/hyperlink" Target="https://www.facebook.com/lakelandvetservices" TargetMode="External" Id="rId223"/><Relationship Type="http://schemas.openxmlformats.org/officeDocument/2006/relationships/hyperlink" Target="https://www.facebook.com/americanveteranscenter" TargetMode="External" Id="rId224"/><Relationship Type="http://schemas.openxmlformats.org/officeDocument/2006/relationships/hyperlink" Target="https://www.facebook.com/petsuppliesplus" TargetMode="External" Id="rId225"/><Relationship Type="http://schemas.openxmlformats.org/officeDocument/2006/relationships/hyperlink" Target="https://www.facebook.com/profile.php?id=100064395623869" TargetMode="External" Id="rId226"/><Relationship Type="http://schemas.openxmlformats.org/officeDocument/2006/relationships/hyperlink" Target="https://www.facebook.com/hkkennelclub" TargetMode="External" Id="rId227"/><Relationship Type="http://schemas.openxmlformats.org/officeDocument/2006/relationships/hyperlink" Target="https://www.facebook.com/TrioAnimalFoundation" TargetMode="External" Id="rId228"/><Relationship Type="http://schemas.openxmlformats.org/officeDocument/2006/relationships/hyperlink" Target="https://www.facebook.com/FriendsofSCAC" TargetMode="External" Id="rId229"/><Relationship Type="http://schemas.openxmlformats.org/officeDocument/2006/relationships/hyperlink" Target="https://www.facebook.com/woodstockanimalfoundation" TargetMode="External" Id="rId230"/><Relationship Type="http://schemas.openxmlformats.org/officeDocument/2006/relationships/hyperlink" Target="https://www.facebook.com/FriendsOfMA" TargetMode="External" Id="rId231"/><Relationship Type="http://schemas.openxmlformats.org/officeDocument/2006/relationships/hyperlink" Target="https://www.facebook.com/workingdogmagazine" TargetMode="External" Id="rId232"/><Relationship Type="http://schemas.openxmlformats.org/officeDocument/2006/relationships/hyperlink" Target="https://www.facebook.com/UCDavisVetMed" TargetMode="External" Id="rId233"/><Relationship Type="http://schemas.openxmlformats.org/officeDocument/2006/relationships/hyperlink" Target="https://www.facebook.com/BMDCO.ON.CA" TargetMode="External" Id="rId234"/><Relationship Type="http://schemas.openxmlformats.org/officeDocument/2006/relationships/hyperlink" Target="https://www.facebook.com/profile.php?id=61554915112964" TargetMode="External" Id="rId235"/><Relationship Type="http://schemas.openxmlformats.org/officeDocument/2006/relationships/hyperlink" Target="https://www.facebook.com/profile.php?id=100042938839931" TargetMode="External" Id="rId236"/><Relationship Type="http://schemas.openxmlformats.org/officeDocument/2006/relationships/hyperlink" Target="https://www.facebook.com/profile.php?id=100064568776868" TargetMode="External" Id="rId237"/><Relationship Type="http://schemas.openxmlformats.org/officeDocument/2006/relationships/hyperlink" Target="https://www.facebook.com/profile.php?id=61572109524652" TargetMode="External" Id="rId238"/><Relationship Type="http://schemas.openxmlformats.org/officeDocument/2006/relationships/hyperlink" Target="https://www.facebook.com/profile.php?id=61568248794021" TargetMode="External" Id="rId239"/><Relationship Type="http://schemas.openxmlformats.org/officeDocument/2006/relationships/hyperlink" Target="https://www.facebook.com/profile.php?id=61562500157426" TargetMode="External" Id="rId240"/><Relationship Type="http://schemas.openxmlformats.org/officeDocument/2006/relationships/hyperlink" Target="https://www.facebook.com/HavenHeritageFarm" TargetMode="External" Id="rId241"/><Relationship Type="http://schemas.openxmlformats.org/officeDocument/2006/relationships/hyperlink" Target="https://www.facebook.com/profile.php?id=100090692052696" TargetMode="External" Id="rId242"/><Relationship Type="http://schemas.openxmlformats.org/officeDocument/2006/relationships/hyperlink" Target="https://www.facebook.com/amberskyfarm" TargetMode="External" Id="rId243"/><Relationship Type="http://schemas.openxmlformats.org/officeDocument/2006/relationships/hyperlink" Target="https://www.facebook.com/millhousevetservices" TargetMode="External" Id="rId244"/><Relationship Type="http://schemas.openxmlformats.org/officeDocument/2006/relationships/hyperlink" Target="https://www.facebook.com/wecareallnight" TargetMode="External" Id="rId245"/><Relationship Type="http://schemas.openxmlformats.org/officeDocument/2006/relationships/hyperlink" Target="https://www.facebook.com/HomemadeHappinesscafe" TargetMode="External" Id="rId246"/><Relationship Type="http://schemas.openxmlformats.org/officeDocument/2006/relationships/hyperlink" Target="https://www.facebook.com/FluffyOfficial" TargetMode="External" Id="rId247"/><Relationship Type="http://schemas.openxmlformats.org/officeDocument/2006/relationships/hyperlink" Target="https://www.facebook.com/bondivetofficial" TargetMode="External" Id="rId248"/><Relationship Type="http://schemas.openxmlformats.org/officeDocument/2006/relationships/hyperlink" Target="https://www.facebook.com/PittCountyAnimalServices" TargetMode="External" Id="rId249"/><Relationship Type="http://schemas.openxmlformats.org/officeDocument/2006/relationships/hyperlink" Target="https://www.facebook.com/OshawaAnimalServices" TargetMode="External" Id="rId250"/><Relationship Type="http://schemas.openxmlformats.org/officeDocument/2006/relationships/hyperlink" Target="https://www.facebook.com/profile.php?id=61559787986439" TargetMode="External" Id="rId251"/><Relationship Type="http://schemas.openxmlformats.org/officeDocument/2006/relationships/hyperlink" Target="https://www.facebook.com/profile.php?id=100077082312560" TargetMode="External" Id="rId252"/><Relationship Type="http://schemas.openxmlformats.org/officeDocument/2006/relationships/hyperlink" Target="https://www.facebook.com/AnimalAidSociety" TargetMode="External" Id="rId253"/><Relationship Type="http://schemas.openxmlformats.org/officeDocument/2006/relationships/hyperlink" Target="https://www.facebook.com/GSDCI" TargetMode="External" Id="rId254"/><Relationship Type="http://schemas.openxmlformats.org/officeDocument/2006/relationships/hyperlink" Target="https://www.facebook.com/thebbbteam" TargetMode="External" Id="rId255"/><Relationship Type="http://schemas.openxmlformats.org/officeDocument/2006/relationships/hyperlink" Target="https://www.facebook.com/yoveterinariooficial" TargetMode="External" Id="rId256"/><Relationship Type="http://schemas.openxmlformats.org/officeDocument/2006/relationships/hyperlink" Target="https://www.facebook.com/SkincareREGlowMedan" TargetMode="External" Id="rId257"/><Relationship Type="http://schemas.openxmlformats.org/officeDocument/2006/relationships/hyperlink" Target="https://www.facebook.com/tdfhonestfarming" TargetMode="External" Id="rId258"/><Relationship Type="http://schemas.openxmlformats.org/officeDocument/2006/relationships/hyperlink" Target="https://www.facebook.com/profile.php?id=61587177208801" TargetMode="External" Id="rId259"/><Relationship Type="http://schemas.openxmlformats.org/officeDocument/2006/relationships/hyperlink" Target="https://www.facebook.com/WacoDowntownFarmersMarket" TargetMode="External" Id="rId260"/><Relationship Type="http://schemas.openxmlformats.org/officeDocument/2006/relationships/hyperlink" Target="https://www.facebook.com/SpokAnimal" TargetMode="External" Id="rId261"/><Relationship Type="http://schemas.openxmlformats.org/officeDocument/2006/relationships/hyperlink" Target="https://www.facebook.com/TerapeutRomanFarkas" TargetMode="External" Id="rId262"/><Relationship Type="http://schemas.openxmlformats.org/officeDocument/2006/relationships/hyperlink" Target="https://www.facebook.com/SausageDogCentral" TargetMode="External" Id="rId263"/><Relationship Type="http://schemas.openxmlformats.org/officeDocument/2006/relationships/hyperlink" Target="https://www.facebook.com/nomadsanimalencounter" TargetMode="External" Id="rId264"/><Relationship Type="http://schemas.openxmlformats.org/officeDocument/2006/relationships/hyperlink" Target="https://www.facebook.com/profile.php?id=100088195686788" TargetMode="External" Id="rId265"/><Relationship Type="http://schemas.openxmlformats.org/officeDocument/2006/relationships/hyperlink" Target="https://www.facebook.com/mundodoacaisorvetes" TargetMode="External" Id="rId266"/><Relationship Type="http://schemas.openxmlformats.org/officeDocument/2006/relationships/hyperlink" Target="https://www.facebook.com/wecare.autos" TargetMode="External" Id="rId267"/><Relationship Type="http://schemas.openxmlformats.org/officeDocument/2006/relationships/hyperlink" Target="https://www.facebook.com/levette01" TargetMode="External" Id="rId268"/><Relationship Type="http://schemas.openxmlformats.org/officeDocument/2006/relationships/hyperlink" Target="https://www.facebook.com/LizzySavetsky" TargetMode="External" Id="rId269"/><Relationship Type="http://schemas.openxmlformats.org/officeDocument/2006/relationships/hyperlink" Target="https://www.facebook.com/profile.php?id=61593520525112" TargetMode="External" Id="rId270"/><Relationship Type="http://schemas.openxmlformats.org/officeDocument/2006/relationships/hyperlink" Target="https://www.facebook.com/PFEPetaluma" TargetMode="External" Id="rId271"/><Relationship Type="http://schemas.openxmlformats.org/officeDocument/2006/relationships/hyperlink" Target="https://www.facebook.com/stablesidefarmstand" TargetMode="External" Id="rId272"/><Relationship Type="http://schemas.openxmlformats.org/officeDocument/2006/relationships/hyperlink" Target="https://www.facebook.com/ifreakingloveanimals" TargetMode="External" Id="rId273"/><Relationship Type="http://schemas.openxmlformats.org/officeDocument/2006/relationships/hyperlink" Target="https://www.facebook.com/rescateanimal" TargetMode="External" Id="rId274"/><Relationship Type="http://schemas.openxmlformats.org/officeDocument/2006/relationships/hyperlink" Target="https://www.facebook.com/profile.php?id=100084840087398" TargetMode="External" Id="rId275"/><Relationship Type="http://schemas.openxmlformats.org/officeDocument/2006/relationships/hyperlink" Target="https://www.facebook.com/hairsmithclinic" TargetMode="External" Id="rId276"/><Relationship Type="http://schemas.openxmlformats.org/officeDocument/2006/relationships/hyperlink" Target="https://www.facebook.com/TheeSingingBarber" TargetMode="External" Id="rId277"/><Relationship Type="http://schemas.openxmlformats.org/officeDocument/2006/relationships/hyperlink" Target="https://www.facebook.com/TheFarmersAlmanac" TargetMode="External" Id="rId278"/><Relationship Type="http://schemas.openxmlformats.org/officeDocument/2006/relationships/hyperlink" Target="https://www.facebook.com/profile.php?id=61576535632178" TargetMode="External" Id="rId279"/><Relationship Type="http://schemas.openxmlformats.org/officeDocument/2006/relationships/hyperlink" Target="https://www.facebook.com/fosterdadflipper" TargetMode="External" Id="rId280"/><Relationship Type="http://schemas.openxmlformats.org/officeDocument/2006/relationships/hyperlink" Target="https://www.facebook.com/profile.php?id=100063617346642" TargetMode="External" Id="rId281"/><Relationship Type="http://schemas.openxmlformats.org/officeDocument/2006/relationships/hyperlink" Target="https://www.facebook.com/profile.php?id=61584338726411" TargetMode="External" Id="rId282"/><Relationship Type="http://schemas.openxmlformats.org/officeDocument/2006/relationships/hyperlink" Target="https://www.facebook.com/NCStateVetMed" TargetMode="External" Id="rId283"/><Relationship Type="http://schemas.openxmlformats.org/officeDocument/2006/relationships/hyperlink" Target="https://www.facebook.com/FundacionDeBlanckProteccionAnimal" TargetMode="External" Id="rId284"/><Relationship Type="http://schemas.openxmlformats.org/officeDocument/2006/relationships/hyperlink" Target="https://www.facebook.com/noahs.crossingvet" TargetMode="External" Id="rId285"/><Relationship Type="http://schemas.openxmlformats.org/officeDocument/2006/relationships/hyperlink" Target="https://www.facebook.com/UTCVM" TargetMode="External" Id="rId286"/><Relationship Type="http://schemas.openxmlformats.org/officeDocument/2006/relationships/hyperlink" Target="https://www.facebook.com/theanimalleague" TargetMode="External" Id="rId287"/><Relationship Type="http://schemas.openxmlformats.org/officeDocument/2006/relationships/hyperlink" Target="https://www.facebook.com/UselessFarmCanada" TargetMode="External" Id="rId288"/><Relationship Type="http://schemas.openxmlformats.org/officeDocument/2006/relationships/hyperlink" Target="https://www.facebook.com/FarmtruckandAzn" TargetMode="External" Id="rId289"/><Relationship Type="http://schemas.openxmlformats.org/officeDocument/2006/relationships/hyperlink" Target="https://www.facebook.com/profile.php?id=61585868700188" TargetMode="External" Id="rId290"/><Relationship Type="http://schemas.openxmlformats.org/officeDocument/2006/relationships/hyperlink" Target="https://www.facebook.com/dr.edunugra17" TargetMode="External" Id="rId291"/><Relationship Type="http://schemas.openxmlformats.org/officeDocument/2006/relationships/hyperlink" Target="https://www.facebook.com/profile.php?id=100057592234267" TargetMode="External" Id="rId292"/><Relationship Type="http://schemas.openxmlformats.org/officeDocument/2006/relationships/hyperlink" Target="https://www.facebook.com/drmurrayhospicevet" TargetMode="External" Id="rId293"/><Relationship Type="http://schemas.openxmlformats.org/officeDocument/2006/relationships/hyperlink" Target="https://www.facebook.com/farmhandmike686" TargetMode="External" Id="rId294"/><Relationship Type="http://schemas.openxmlformats.org/officeDocument/2006/relationships/hyperlink" Target="https://www.facebook.com/youngf4rmer" TargetMode="External" Id="rId295"/><Relationship Type="http://schemas.openxmlformats.org/officeDocument/2006/relationships/hyperlink" Target="https://www.facebook.com/profile.php?id=61576031116351" TargetMode="External" Id="rId296"/><Relationship Type="http://schemas.openxmlformats.org/officeDocument/2006/relationships/hyperlink" Target="https://www.facebook.com/profile.php?id=61565631253182" TargetMode="External" Id="rId297"/><Relationship Type="http://schemas.openxmlformats.org/officeDocument/2006/relationships/hyperlink" Target="https://www.facebook.com/fusionvetortho" TargetMode="External" Id="rId298"/><Relationship Type="http://schemas.openxmlformats.org/officeDocument/2006/relationships/hyperlink" Target="https://www.facebook.com/FayeRogersAnimalCommunicator" TargetMode="External" Id="rId299"/><Relationship Type="http://schemas.openxmlformats.org/officeDocument/2006/relationships/hyperlink" Target="https://www.facebook.com/profile.php?id=100063639217161" TargetMode="External" Id="rId300"/><Relationship Type="http://schemas.openxmlformats.org/officeDocument/2006/relationships/hyperlink" Target="https://www.facebook.com/VaVetSpecialists" TargetMode="External" Id="rId301"/><Relationship Type="http://schemas.openxmlformats.org/officeDocument/2006/relationships/hyperlink" Target="https://www.facebook.com/profile.php?id=61571672498214" TargetMode="External" Id="rId302"/><Relationship Type="http://schemas.openxmlformats.org/officeDocument/2006/relationships/hyperlink" Target="https://www.facebook.com/MarkVetteAnimalBehaviourist" TargetMode="External" Id="rId303"/><Relationship Type="http://schemas.openxmlformats.org/officeDocument/2006/relationships/hyperlink" Target="https://www.facebook.com/mainstreetvetmadison" TargetMode="External" Id="rId304"/><Relationship Type="http://schemas.openxmlformats.org/officeDocument/2006/relationships/hyperlink" Target="https://www.facebook.com/FarmersCooperative" TargetMode="External" Id="rId305"/><Relationship Type="http://schemas.openxmlformats.org/officeDocument/2006/relationships/hyperlink" Target="https://www.facebook.com/nateandminion" TargetMode="External" Id="rId306"/><Relationship Type="http://schemas.openxmlformats.org/officeDocument/2006/relationships/hyperlink" Target="https://www.facebook.com/nationalanimalnews" TargetMode="External" Id="rId307"/><Relationship Type="http://schemas.openxmlformats.org/officeDocument/2006/relationships/hyperlink" Target="https://www.facebook.com/drosuchclinic" TargetMode="External" Id="rId308"/><Relationship Type="http://schemas.openxmlformats.org/officeDocument/2006/relationships/hyperlink" Target="https://www.facebook.com/ospalleiros" TargetMode="External" Id="rId309"/><Relationship Type="http://schemas.openxmlformats.org/officeDocument/2006/relationships/hyperlink" Target="https://www.facebook.com/southpointevet" TargetMode="External" Id="rId310"/><Relationship Type="http://schemas.openxmlformats.org/officeDocument/2006/relationships/hyperlink" Target="https://www.facebook.com/profile.php?id=100050519453935" TargetMode="External" Id="rId311"/><Relationship Type="http://schemas.openxmlformats.org/officeDocument/2006/relationships/hyperlink" Target="https://www.facebook.com/TheVetOnTheHill" TargetMode="External" Id="rId312"/><Relationship Type="http://schemas.openxmlformats.org/officeDocument/2006/relationships/hyperlink" Target="https://www.facebook.com/FetchPetInsurance" TargetMode="External" Id="rId313"/><Relationship Type="http://schemas.openxmlformats.org/officeDocument/2006/relationships/hyperlink" Target="https://www.facebook.com/CityVetUSA" TargetMode="External" Id="rId314"/><Relationship Type="http://schemas.openxmlformats.org/officeDocument/2006/relationships/hyperlink" Target="https://www.facebook.com/millelacscountyanimalcontrol" TargetMode="External" Id="rId315"/><Relationship Type="http://schemas.openxmlformats.org/officeDocument/2006/relationships/hyperlink" Target="https://www.facebook.com/profile.php?id=100087317267544" TargetMode="External" Id="rId316"/><Relationship Type="http://schemas.openxmlformats.org/officeDocument/2006/relationships/hyperlink" Target="https://www.facebook.com/profile.php?id=100095463375885" TargetMode="External" Id="rId317"/><Relationship Type="http://schemas.openxmlformats.org/officeDocument/2006/relationships/hyperlink" Target="https://www.facebook.com/AnimalesLumbreras" TargetMode="External" Id="rId318"/><Relationship Type="http://schemas.openxmlformats.org/officeDocument/2006/relationships/hyperlink" Target="https://www.facebook.com/mentalwellnessfarms" TargetMode="External" Id="rId319"/><Relationship Type="http://schemas.openxmlformats.org/officeDocument/2006/relationships/hyperlink" Target="https://www.facebook.com/Protectora.LASA.Sevilla" TargetMode="External" Id="rId320"/><Relationship Type="http://schemas.openxmlformats.org/officeDocument/2006/relationships/hyperlink" Target="https://www.facebook.com/DisgruntledVets" TargetMode="External" Id="rId321"/><Relationship Type="http://schemas.openxmlformats.org/officeDocument/2006/relationships/hyperlink" Target="https://www.facebook.com/lesanimauxstopmaltraitance" TargetMode="External" Id="rId322"/><Relationship Type="http://schemas.openxmlformats.org/officeDocument/2006/relationships/hyperlink" Target="https://www.facebook.com/mundoanimalpagina" TargetMode="External" Id="rId323"/><Relationship Type="http://schemas.openxmlformats.org/officeDocument/2006/relationships/hyperlink" Target="https://www.facebook.com/profile.php?id=61561902706482" TargetMode="External" Id="rId324"/><Relationship Type="http://schemas.openxmlformats.org/officeDocument/2006/relationships/hyperlink" Target="https://www.facebook.com/AnimalPlanet" TargetMode="External" Id="rId325"/><Relationship Type="http://schemas.openxmlformats.org/officeDocument/2006/relationships/hyperlink" Target="https://www.facebook.com/farmersweeklyuk" TargetMode="External" Id="rId326"/><Relationship Type="http://schemas.openxmlformats.org/officeDocument/2006/relationships/hyperlink" Target="https://www.facebook.com/Taverhamvet" TargetMode="External" Id="rId327"/><Relationship Type="http://schemas.openxmlformats.org/officeDocument/2006/relationships/hyperlink" Target="https://www.facebook.com/BuzzFeedAnimals" TargetMode="External" Id="rId328"/><Relationship Type="http://schemas.openxmlformats.org/officeDocument/2006/relationships/hyperlink" Target="https://www.facebook.com/FPAnimalTherapyCentre" TargetMode="External" Id="rId329"/><Relationship Type="http://schemas.openxmlformats.org/officeDocument/2006/relationships/hyperlink" Target="https://www.facebook.com/PureDogTalk" TargetMode="External" Id="rId330"/><Relationship Type="http://schemas.openxmlformats.org/officeDocument/2006/relationships/hyperlink" Target="https://www.facebook.com/MetroDetroitAnimals" TargetMode="External" Id="rId331"/><Relationship Type="http://schemas.openxmlformats.org/officeDocument/2006/relationships/hyperlink" Target="https://www.facebook.com/Animalchiropractorelite" TargetMode="External" Id="rId332"/><Relationship Type="http://schemas.openxmlformats.org/officeDocument/2006/relationships/hyperlink" Target="https://www.facebook.com/actua.animalista" TargetMode="External" Id="rId333"/><Relationship Type="http://schemas.openxmlformats.org/officeDocument/2006/relationships/hyperlink" Target="https://www.facebook.com/NationalPurebredDogDay" TargetMode="External" Id="rId334"/><Relationship Type="http://schemas.openxmlformats.org/officeDocument/2006/relationships/hyperlink" Target="https://www.facebook.com/canadiandogfancier" TargetMode="External" Id="rId335"/><Relationship Type="http://schemas.openxmlformats.org/officeDocument/2006/relationships/hyperlink" Target="https://www.facebook.com/profile.php?id=61555084228368" TargetMode="External" Id="rId336"/><Relationship Type="http://schemas.openxmlformats.org/officeDocument/2006/relationships/hyperlink" Target="https://www.facebook.com/animalsalmanzora" TargetMode="External" Id="rId337"/><Relationship Type="http://schemas.openxmlformats.org/officeDocument/2006/relationships/hyperlink" Target="https://www.facebook.com/jessicasanimalfriends" TargetMode="External" Id="rId338"/><Relationship Type="http://schemas.openxmlformats.org/officeDocument/2006/relationships/hyperlink" Target="https://www.facebook.com/profile.php?id=61575017161944" TargetMode="External" Id="rId339"/><Relationship Type="http://schemas.openxmlformats.org/officeDocument/2006/relationships/hyperlink" Target="https://www.facebook.com/CareVision.de" TargetMode="External" Id="rId340"/><Relationship Type="http://schemas.openxmlformats.org/officeDocument/2006/relationships/hyperlink" Target="https://www.facebook.com/momentsrwnd" TargetMode="External" Id="rId341"/><Relationship Type="http://schemas.openxmlformats.org/officeDocument/2006/relationships/hyperlink" Target="https://www.facebook.com/spirevets" TargetMode="External" Id="rId342"/><Relationship Type="http://schemas.openxmlformats.org/officeDocument/2006/relationships/hyperlink" Target="https://www.facebook.com/avmavets" TargetMode="External" Id="rId343"/><Relationship Type="http://schemas.openxmlformats.org/officeDocument/2006/relationships/hyperlink" Target="https://www.facebook.com/familyfriendsvet" TargetMode="External" Id="rId344"/><Relationship Type="http://schemas.openxmlformats.org/officeDocument/2006/relationships/hyperlink" Target="https://www.facebook.com/caringwayvets" TargetMode="External" Id="rId345"/><Relationship Type="http://schemas.openxmlformats.org/officeDocument/2006/relationships/hyperlink" Target="https://www.facebook.com/DogNewsMag" TargetMode="External" Id="rId346"/><Relationship Type="http://schemas.openxmlformats.org/officeDocument/2006/relationships/hyperlink" Target="https://www.facebook.com/animalstarawards" TargetMode="External" Id="rId347"/><Relationship Type="http://schemas.openxmlformats.org/officeDocument/2006/relationships/hyperlink" Target="https://www.facebook.com/fearfreepets" TargetMode="External" Id="rId348"/><Relationship Type="http://schemas.openxmlformats.org/officeDocument/2006/relationships/hyperlink" Target="https://www.facebook.com/veterinarysecrets" TargetMode="External" Id="rId349"/><Relationship Type="http://schemas.openxmlformats.org/officeDocument/2006/relationships/hyperlink" Target="https://www.facebook.com/profile.php?id=100063479921739" TargetMode="External" Id="rId350"/><Relationship Type="http://schemas.openxmlformats.org/officeDocument/2006/relationships/hyperlink" Target="https://www.facebook.com/profile.php?id=61555309449199" TargetMode="External" Id="rId351"/><Relationship Type="http://schemas.openxmlformats.org/officeDocument/2006/relationships/hyperlink" Target="https://www.facebook.com/careandsharefb" TargetMode="External" Id="rId352"/><Relationship Type="http://schemas.openxmlformats.org/officeDocument/2006/relationships/hyperlink" Target="https://www.facebook.com/LACoAnimals" TargetMode="External" Id="rId353"/><Relationship Type="http://schemas.openxmlformats.org/officeDocument/2006/relationships/hyperlink" Target="https://www.facebook.com/APAPTheAnimalsHome" TargetMode="External" Id="rId354"/><Relationship Type="http://schemas.openxmlformats.org/officeDocument/2006/relationships/hyperlink" Target="https://www.facebook.com/farmhouseonboone" TargetMode="External" Id="rId355"/><Relationship Type="http://schemas.openxmlformats.org/officeDocument/2006/relationships/hyperlink" Target="https://www.facebook.com/animall.ua" TargetMode="External" Id="rId356"/><Relationship Type="http://schemas.openxmlformats.org/officeDocument/2006/relationships/hyperlink" Target="https://www.facebook.com/AmericanDogFancier" TargetMode="External" Id="rId357"/><Relationship Type="http://schemas.openxmlformats.org/officeDocument/2006/relationships/hyperlink" Target="https://www.facebook.com/profile.php?id=100092406759321" TargetMode="External" Id="rId358"/><Relationship Type="http://schemas.openxmlformats.org/officeDocument/2006/relationships/hyperlink" Target="https://www.facebook.com/Petco" TargetMode="External" Id="rId359"/><Relationship Type="http://schemas.openxmlformats.org/officeDocument/2006/relationships/hyperlink" Target="https://www.facebook.com/WeRateDogs" TargetMode="External" Id="rId360"/><Relationship Type="http://schemas.openxmlformats.org/officeDocument/2006/relationships/hyperlink" Target="https://www.facebook.com/CarefreeCaveCreekChamberofCommerce" TargetMode="External" Id="rId361"/><Relationship Type="http://schemas.openxmlformats.org/officeDocument/2006/relationships/hyperlink" Target="https://www.facebook.com/iloveveterinary" TargetMode="External" Id="rId362"/><Relationship Type="http://schemas.openxmlformats.org/officeDocument/2006/relationships/hyperlink" Target="https://www.facebook.com/CreeksideAnimalClinicVernon" TargetMode="External" Id="rId363"/><Relationship Type="http://schemas.openxmlformats.org/officeDocument/2006/relationships/hyperlink" Target="https://www.facebook.com/AngelsAnimalsHolisticCareandSeminars" TargetMode="External" Id="rId364"/><Relationship Type="http://schemas.openxmlformats.org/officeDocument/2006/relationships/hyperlink" Target="https://www.facebook.com/AnimalEDventurePark" TargetMode="External" Id="rId365"/><Relationship Type="http://schemas.openxmlformats.org/officeDocument/2006/relationships/hyperlink" Target="https://www.facebook.com/profile.php?id=61551797925417" TargetMode="External" Id="rId366"/><Relationship Type="http://schemas.openxmlformats.org/officeDocument/2006/relationships/hyperlink" Target="https://www.facebook.com/AnnArborAnimalHospital" TargetMode="External" Id="rId367"/><Relationship Type="http://schemas.openxmlformats.org/officeDocument/2006/relationships/hyperlink" Target="https://www.facebook.com/ErekaV" TargetMode="External" Id="rId368"/><Relationship Type="http://schemas.openxmlformats.org/officeDocument/2006/relationships/hyperlink" Target="https://www.facebook.com/Petco.Mexico" TargetMode="External" Id="rId369"/><Relationship Type="http://schemas.openxmlformats.org/officeDocument/2006/relationships/hyperlink" Target="https://www.facebook.com/AnimalEDventureSafari" TargetMode="External" Id="rId370"/><Relationship Type="http://schemas.openxmlformats.org/officeDocument/2006/relationships/hyperlink" Target="https://www.facebook.com/profile.php?id=100091548831343" TargetMode="External" Id="rId371"/><Relationship Type="http://schemas.openxmlformats.org/officeDocument/2006/relationships/hyperlink" Target="https://www.facebook.com/PhilippineBullyKennelClub" TargetMode="External" Id="rId372"/><Relationship Type="http://schemas.openxmlformats.org/officeDocument/2006/relationships/hyperlink" Target="https://www.facebook.com/profile.php?id=100064492132109" TargetMode="External" Id="rId373"/><Relationship Type="http://schemas.openxmlformats.org/officeDocument/2006/relationships/hyperlink" Target="https://www.facebook.com/SproutsMesaGilbertAndBrown" TargetMode="External" Id="rId374"/><Relationship Type="http://schemas.openxmlformats.org/officeDocument/2006/relationships/hyperlink" Target="https://www.facebook.com/farmingscotland" TargetMode="External" Id="rId375"/><Relationship Type="http://schemas.openxmlformats.org/officeDocument/2006/relationships/hyperlink" Target="https://www.facebook.com/profile.php?id=100091003181219" TargetMode="External" Id="rId376"/><Relationship Type="http://schemas.openxmlformats.org/officeDocument/2006/relationships/hyperlink" Target="https://www.facebook.com/diddlysquatfarmshop" TargetMode="External" Id="rId377"/><Relationship Type="http://schemas.openxmlformats.org/officeDocument/2006/relationships/hyperlink" Target="https://www.facebook.com/ZymoxProducts" TargetMode="External" Id="rId378"/><Relationship Type="http://schemas.openxmlformats.org/officeDocument/2006/relationships/hyperlink" Target="https://www.facebook.com/profile.php?id=61566339334403" TargetMode="External" Id="rId379"/><Relationship Type="http://schemas.openxmlformats.org/officeDocument/2006/relationships/hyperlink" Target="https://www.facebook.com/laroseclinichaircenter" TargetMode="External" Id="rId380"/><Relationship Type="http://schemas.openxmlformats.org/officeDocument/2006/relationships/hyperlink" Target="https://www.facebook.com/bushvet" TargetMode="External" Id="rId381"/><Relationship Type="http://schemas.openxmlformats.org/officeDocument/2006/relationships/hyperlink" Target="https://www.facebook.com/hartwellequineveterinaryservices" TargetMode="External" Id="rId382"/><Relationship Type="http://schemas.openxmlformats.org/officeDocument/2006/relationships/hyperlink" Target="https://www.facebook.com/FetchTheVetDVM" TargetMode="External" Id="rId383"/><Relationship Type="http://schemas.openxmlformats.org/officeDocument/2006/relationships/hyperlink" Target="https://www.facebook.com/montgomerykennelclub" TargetMode="External" Id="rId384"/><Relationship Type="http://schemas.openxmlformats.org/officeDocument/2006/relationships/hyperlink" Target="https://www.facebook.com/profile.php?id=100064662072808" TargetMode="External" Id="rId385"/><Relationship Type="http://schemas.openxmlformats.org/officeDocument/2006/relationships/hyperlink" Target="https://www.facebook.com/Savannahkennelclub" TargetMode="External" Id="rId386"/><Relationship Type="http://schemas.openxmlformats.org/officeDocument/2006/relationships/hyperlink" Target="https://www.facebook.com/profile.php?id=100063922995540" TargetMode="External" Id="rId387"/><Relationship Type="http://schemas.openxmlformats.org/officeDocument/2006/relationships/hyperlink" Target="https://www.facebook.com/goldshawfarm" TargetMode="External" Id="rId388"/><Relationship Type="http://schemas.openxmlformats.org/officeDocument/2006/relationships/hyperlink" Target="https://www.facebook.com/MayhavenFarms" TargetMode="External" Id="rId389"/><Relationship Type="http://schemas.openxmlformats.org/officeDocument/2006/relationships/hyperlink" Target="https://www.facebook.com/Vitalyzdtv" TargetMode="External" Id="rId390"/><Relationship Type="http://schemas.openxmlformats.org/officeDocument/2006/relationships/hyperlink" Target="https://www.facebook.com/profile.php?id=100089198723785" TargetMode="External" Id="rId391"/><Relationship Type="http://schemas.openxmlformats.org/officeDocument/2006/relationships/hyperlink" Target="https://www.facebook.com/oakswarren1" TargetMode="External" Id="rId392"/><Relationship Type="http://schemas.openxmlformats.org/officeDocument/2006/relationships/hyperlink" Target="https://www.facebook.com/100063649959197" TargetMode="External" Id="rId393"/><Relationship Type="http://schemas.openxmlformats.org/officeDocument/2006/relationships/hyperlink" Target="https://www.facebook.com/weloveanimalssv" TargetMode="External" Id="rId394"/><Relationship Type="http://schemas.openxmlformats.org/officeDocument/2006/relationships/hyperlink" Target="https://www.facebook.com/veterinaryvoicesuk" TargetMode="External" Id="rId395"/><Relationship Type="http://schemas.openxmlformats.org/officeDocument/2006/relationships/hyperlink" Target="https://www.facebook.com/santuariocompasionanimal" TargetMode="External" Id="rId396"/><Relationship Type="http://schemas.openxmlformats.org/officeDocument/2006/relationships/hyperlink" Target="https://www.facebook.com/statefarm" TargetMode="External" Id="rId397"/><Relationship Type="http://schemas.openxmlformats.org/officeDocument/2006/relationships/hyperlink" Target="https://www.facebook.com/WoodhavenAnimalHosp" TargetMode="External" Id="rId398"/><Relationship Type="http://schemas.openxmlformats.org/officeDocument/2006/relationships/hyperlink" Target="https://www.facebook.com/profile.php?id=100067685552184" TargetMode="External" Id="rId399"/><Relationship Type="http://schemas.openxmlformats.org/officeDocument/2006/relationships/hyperlink" Target="https://www.facebook.com/RackheathVets" TargetMode="External" Id="rId400"/><Relationship Type="http://schemas.openxmlformats.org/officeDocument/2006/relationships/hyperlink" Target="https://www.facebook.com/raintreevetbc" TargetMode="External" Id="rId401"/><Relationship Type="http://schemas.openxmlformats.org/officeDocument/2006/relationships/hyperlink" Target="https://www.facebook.com/PETCO1163" TargetMode="External" Id="rId402"/><Relationship Type="http://schemas.openxmlformats.org/officeDocument/2006/relationships/hyperlink" Target="https://www.facebook.com/PETCO2768" TargetMode="External" Id="rId403"/><Relationship Type="http://schemas.openxmlformats.org/officeDocument/2006/relationships/hyperlink" Target="https://www.facebook.com/handlerliza" TargetMode="External" Id="rId404"/><Relationship Type="http://schemas.openxmlformats.org/officeDocument/2006/relationships/hyperlink" Target="https://www.facebook.com/tiendanimal" TargetMode="External" Id="rId405"/><Relationship Type="http://schemas.openxmlformats.org/officeDocument/2006/relationships/hyperlink" Target="https://www.facebook.com/profile.php?id=61559952963784" TargetMode="External" Id="rId406"/><Relationship Type="http://schemas.openxmlformats.org/officeDocument/2006/relationships/hyperlink" Target="https://www.facebook.com/TravelersCare1" TargetMode="External" Id="rId407"/><Relationship Type="http://schemas.openxmlformats.org/officeDocument/2006/relationships/hyperlink" Target="https://www.facebook.com/rdrfarma" TargetMode="External" Id="rId408"/><Relationship Type="http://schemas.openxmlformats.org/officeDocument/2006/relationships/hyperlink" Target="https://www.facebook.com/magnoliaveterinaryhospital" TargetMode="External" Id="rId409"/><Relationship Type="http://schemas.openxmlformats.org/officeDocument/2006/relationships/hyperlink" Target="https://www.facebook.com/profile.php?id=100083344730345" TargetMode="External" Id="rId410"/><Relationship Type="http://schemas.openxmlformats.org/officeDocument/2006/relationships/hyperlink" Target="https://www.facebook.com/VEGAnnArbor" TargetMode="External" Id="rId411"/><Relationship Type="http://schemas.openxmlformats.org/officeDocument/2006/relationships/hyperlink" Target="https://www.facebook.com/profile.php?id=61593692344392" TargetMode="External" Id="rId412"/><Relationship Type="http://schemas.openxmlformats.org/officeDocument/2006/relationships/hyperlink" Target="https://www.facebook.com/petervandelft.flowers" TargetMode="External" Id="rId413"/><Relationship Type="http://schemas.openxmlformats.org/officeDocument/2006/relationships/hyperlink" Target="https://www.facebook.com/FarminaNorthAmerica" TargetMode="External" Id="rId414"/><Relationship Type="http://schemas.openxmlformats.org/officeDocument/2006/relationships/hyperlink" Target="https://www.facebook.com/eduardofumagalliveterinario" TargetMode="External" Id="rId415"/><Relationship Type="http://schemas.openxmlformats.org/officeDocument/2006/relationships/hyperlink" Target="https://www.facebook.com/profile.php?id=100023966092575" TargetMode="External" Id="rId416"/><Relationship Type="http://schemas.openxmlformats.org/officeDocument/2006/relationships/hyperlink" Target="https://www.facebook.com/profile.php?id=61590825466160" TargetMode="External" Id="rId417"/><Relationship Type="http://schemas.openxmlformats.org/officeDocument/2006/relationships/hyperlink" Target="https://www.facebook.com/protectoradeanimalesyplantasdeceuta" TargetMode="External" Id="rId418"/><Relationship Type="http://schemas.openxmlformats.org/officeDocument/2006/relationships/hyperlink" Target="https://www.facebook.com/LoveAnimalsUK" TargetMode="External" Id="rId419"/><Relationship Type="http://schemas.openxmlformats.org/officeDocument/2006/relationships/hyperlink" Target="https://www.facebook.com/profile.php?id=100052160273441" TargetMode="External" Id="rId420"/><Relationship Type="http://schemas.openxmlformats.org/officeDocument/2006/relationships/hyperlink" Target="https://www.facebook.com/fetchgreenville" TargetMode="External" Id="rId421"/><Relationship Type="http://schemas.openxmlformats.org/officeDocument/2006/relationships/hyperlink" Target="https://www.facebook.com/MVPMergingVetsandPlayers" TargetMode="External" Id="rId422"/><Relationship Type="http://schemas.openxmlformats.org/officeDocument/2006/relationships/hyperlink" Target="https://www.facebook.com/ClinicaVeterinariaMediterranea" TargetMode="External" Id="rId423"/><Relationship Type="http://schemas.openxmlformats.org/officeDocument/2006/relationships/hyperlink" Target="https://www.facebook.com/PleasantValleyAnimalHosp" TargetMode="External" Id="rId424"/><Relationship Type="http://schemas.openxmlformats.org/officeDocument/2006/relationships/hyperlink" Target="https://www.facebook.com/AAHAHealthyPet" TargetMode="External" Id="rId425"/><Relationship Type="http://schemas.openxmlformats.org/officeDocument/2006/relationships/hyperlink" Target="https://www.facebook.com/PetSmartKelownaBC" TargetMode="External" Id="rId426"/><Relationship Type="http://schemas.openxmlformats.org/officeDocument/2006/relationships/hyperlink" Target="https://www.facebook.com/Solutionnutritionanimale" TargetMode="External" Id="rId427"/><Relationship Type="http://schemas.openxmlformats.org/officeDocument/2006/relationships/hyperlink" Target="https://www.facebook.com/AnimalAidUnlimited" TargetMode="External" Id="rId428"/><Relationship Type="http://schemas.openxmlformats.org/officeDocument/2006/relationships/hyperlink" Target="https://www.facebook.com/Farmhousechictables" TargetMode="External" Id="rId429"/><Relationship Type="http://schemas.openxmlformats.org/officeDocument/2006/relationships/hyperlink" Target="https://www.facebook.com/animaltalesbywaggle" TargetMode="External" Id="rId430"/><Relationship Type="http://schemas.openxmlformats.org/officeDocument/2006/relationships/hyperlink" Target="https://www.facebook.com/profile.php?id=100070159218126" TargetMode="External" Id="rId431"/><Relationship Type="http://schemas.openxmlformats.org/officeDocument/2006/relationships/hyperlink" Target="https://www.facebook.com/profile.php?id=100092528859480" TargetMode="External" Id="rId432"/><Relationship Type="http://schemas.openxmlformats.org/officeDocument/2006/relationships/hyperlink" Target="https://www.facebook.com/protectoraUSKAR" TargetMode="External" Id="rId433"/><Relationship Type="http://schemas.openxmlformats.org/officeDocument/2006/relationships/hyperlink" Target="https://www.facebook.com/profile.php?id=61551125551932" TargetMode="External" Id="rId434"/><Relationship Type="http://schemas.openxmlformats.org/officeDocument/2006/relationships/hyperlink" Target="https://www.facebook.com/MCV.LoveTV" TargetMode="External" Id="rId435"/><Relationship Type="http://schemas.openxmlformats.org/officeDocument/2006/relationships/hyperlink" Target="https://www.facebook.com/CapitalCarePlumbing" TargetMode="External" Id="rId436"/><Relationship Type="http://schemas.openxmlformats.org/officeDocument/2006/relationships/hyperlink" Target="https://www.facebook.com/junovet" TargetMode="External" Id="rId437"/><Relationship Type="http://schemas.openxmlformats.org/officeDocument/2006/relationships/hyperlink" Target="https://www.facebook.com/avmajournals" TargetMode="External" Id="rId438"/><Relationship Type="http://schemas.openxmlformats.org/officeDocument/2006/relationships/hyperlink" Target="https://www.facebook.com/bryanroadvets" TargetMode="External" Id="rId439"/><Relationship Type="http://schemas.openxmlformats.org/officeDocument/2006/relationships/hyperlink" Target="https://www.facebook.com/MoreThanFarmers" TargetMode="External" Id="rId440"/><Relationship Type="http://schemas.openxmlformats.org/officeDocument/2006/relationships/hyperlink" Target="https://www.facebook.com/dogster" TargetMode="External" Id="rId441"/><Relationship Type="http://schemas.openxmlformats.org/officeDocument/2006/relationships/hyperlink" Target="https://www.facebook.com/spapma" TargetMode="External" Id="rId442"/><Relationship Type="http://schemas.openxmlformats.org/officeDocument/2006/relationships/hyperlink" Target="https://www.facebook.com/AmericanKennelClub" TargetMode="External" Id="rId443"/><Relationship Type="http://schemas.openxmlformats.org/officeDocument/2006/relationships/hyperlink" Target="https://www.facebook.com/EMEVC" TargetMode="External" Id="rId444"/><Relationship Type="http://schemas.openxmlformats.org/officeDocument/2006/relationships/hyperlink" Target="https://www.facebook.com/hoope.ong" TargetMode="External" Id="rId445"/><Relationship Type="http://schemas.openxmlformats.org/officeDocument/2006/relationships/hyperlink" Target="https://www.facebook.com/andrethefarmer" TargetMode="External" Id="rId446"/><Relationship Type="http://schemas.openxmlformats.org/officeDocument/2006/relationships/hyperlink" Target="https://www.facebook.com/Julfacer" TargetMode="External" Id="rId447"/><Relationship Type="http://schemas.openxmlformats.org/officeDocument/2006/relationships/hyperlink" Target="https://www.facebook.com/profile.php?id=100046519757044" TargetMode="External" Id="rId448"/><Relationship Type="http://schemas.openxmlformats.org/officeDocument/2006/relationships/hyperlink" Target="https://www.facebook.com/meadowoodveterinaryhospital" TargetMode="External" Id="rId449"/><Relationship Type="http://schemas.openxmlformats.org/officeDocument/2006/relationships/hyperlink" Target="https://www.facebook.com/propatas.va" TargetMode="External" Id="rId450"/><Relationship Type="http://schemas.openxmlformats.org/officeDocument/2006/relationships/hyperlink" Target="https://www.facebook.com/animallovergaza" TargetMode="External" Id="rId451"/><Relationship Type="http://schemas.openxmlformats.org/officeDocument/2006/relationships/hyperlink" Target="https://www.facebook.com/yourdogmagazine" TargetMode="External" Id="rId452"/><Relationship Type="http://schemas.openxmlformats.org/officeDocument/2006/relationships/hyperlink" Target="https://www.facebook.com/profile.php?id=61575833181480" TargetMode="External" Id="rId453"/><Relationship Type="http://schemas.openxmlformats.org/officeDocument/2006/relationships/hyperlink" Target="https://www.facebook.com/profile.php?id=100095379756431" TargetMode="External" Id="rId454"/><Relationship Type="http://schemas.openxmlformats.org/officeDocument/2006/relationships/hyperlink" Target="https://www.facebook.com/refugioelcortijillodelalola" TargetMode="External" Id="rId455"/><Relationship Type="http://schemas.openxmlformats.org/officeDocument/2006/relationships/hyperlink" Target="https://www.facebook.com/RibbleVets" TargetMode="External" Id="rId456"/><Relationship Type="http://schemas.openxmlformats.org/officeDocument/2006/relationships/hyperlink" Target="https://www.facebook.com/AnimalClinicNorthview" TargetMode="External" Id="rId457"/><Relationship Type="http://schemas.openxmlformats.org/officeDocument/2006/relationships/hyperlink" Target="https://www.facebook.com/113motivoanimales" TargetMode="External" Id="rId458"/><Relationship Type="http://schemas.openxmlformats.org/officeDocument/2006/relationships/hyperlink" Target="https://www.facebook.com/veturgentysveterinairedegardetoulouse" TargetMode="External" Id="rId459"/><Relationship Type="http://schemas.openxmlformats.org/officeDocument/2006/relationships/hyperlink" Target="https://www.facebook.com/profile.php?id=61594281756131" TargetMode="External" Id="rId460"/><Relationship Type="http://schemas.openxmlformats.org/officeDocument/2006/relationships/hyperlink" Target="https://www.facebook.com/AsociacionRefugioSierraNevada" TargetMode="External" Id="rId461"/><Relationship Type="http://schemas.openxmlformats.org/officeDocument/2006/relationships/hyperlink" Target="https://www.facebook.com/FarminaUkraine" TargetMode="External" Id="rId462"/><Relationship Type="http://schemas.openxmlformats.org/officeDocument/2006/relationships/hyperlink" Target="https://www.facebook.com/profile.php?id=61584352616389" TargetMode="External" Id="rId463"/><Relationship Type="http://schemas.openxmlformats.org/officeDocument/2006/relationships/hyperlink" Target="https://www.facebook.com/TroyAnimalHospital" TargetMode="External" Id="rId464"/><Relationship Type="http://schemas.openxmlformats.org/officeDocument/2006/relationships/hyperlink" Target="https://www.facebook.com/MornuimnimClinic" TargetMode="External" Id="rId465"/><Relationship Type="http://schemas.openxmlformats.org/officeDocument/2006/relationships/hyperlink" Target="https://www.facebook.com/mmedphisanulok" TargetMode="External" Id="rId466"/><Relationship Type="http://schemas.openxmlformats.org/officeDocument/2006/relationships/hyperlink" Target="https://www.facebook.com/Seixovet" TargetMode="External" Id="rId467"/><Relationship Type="http://schemas.openxmlformats.org/officeDocument/2006/relationships/hyperlink" Target="https://www.facebook.com/ClinicaBichopolis" TargetMode="External" Id="rId468"/><Relationship Type="http://schemas.openxmlformats.org/officeDocument/2006/relationships/hyperlink" Target="https://www.facebook.com/FlorenzaCilnicRamintra2" TargetMode="External" Id="rId469"/><Relationship Type="http://schemas.openxmlformats.org/officeDocument/2006/relationships/hyperlink" Target="https://www.facebook.com/communicationanimaleannaevans" TargetMode="External" Id="rId470"/><Relationship Type="http://schemas.openxmlformats.org/officeDocument/2006/relationships/hyperlink" Target="https://www.facebook.com/TolmanSelfCare" TargetMode="External" Id="rId471"/><Relationship Type="http://schemas.openxmlformats.org/officeDocument/2006/relationships/hyperlink" Target="https://www.facebook.com/bakewellvets" TargetMode="External" Id="rId472"/><Relationship Type="http://schemas.openxmlformats.org/officeDocument/2006/relationships/hyperlink" Target="https://www.facebook.com/profile.php?id=61568642579193" TargetMode="External" Id="rId473"/><Relationship Type="http://schemas.openxmlformats.org/officeDocument/2006/relationships/hyperlink" Target="https://www.facebook.com/RyedaleVets" TargetMode="External" Id="rId474"/><Relationship Type="http://schemas.openxmlformats.org/officeDocument/2006/relationships/hyperlink" Target="https://www.facebook.com/jeanette.carey.478885" TargetMode="External" Id="rId475"/><Relationship Type="http://schemas.openxmlformats.org/officeDocument/2006/relationships/hyperlink" Target="https://www.facebook.com/veterinacunovo" TargetMode="External" Id="rId476"/><Relationship Type="http://schemas.openxmlformats.org/officeDocument/2006/relationships/hyperlink" Target="https://www.facebook.com/102petfriends" TargetMode="External" Id="rId477"/><Relationship Type="http://schemas.openxmlformats.org/officeDocument/2006/relationships/hyperlink" Target="https://www.facebook.com/ponikaland" TargetMode="External" Id="rId478"/><Relationship Type="http://schemas.openxmlformats.org/officeDocument/2006/relationships/hyperlink" Target="https://www.facebook.com/profile.php?id=100077335196252" TargetMode="External" Id="rId479"/><Relationship Type="http://schemas.openxmlformats.org/officeDocument/2006/relationships/hyperlink" Target="https://www.facebook.com/frenchbulldogclubofamerica" TargetMode="External" Id="rId480"/><Relationship Type="http://schemas.openxmlformats.org/officeDocument/2006/relationships/hyperlink" Target="https://www.facebook.com/lenoraclinic" TargetMode="External" Id="rId481"/><Relationship Type="http://schemas.openxmlformats.org/officeDocument/2006/relationships/hyperlink" Target="https://www.facebook.com/CANC.CentroAnimaliNonConvenzionali" TargetMode="External" Id="rId482"/><Relationship Type="http://schemas.openxmlformats.org/officeDocument/2006/relationships/hyperlink" Target="https://www.facebook.com/GallagherAnimalManagementNorthAmerica" TargetMode="External" Id="rId483"/><Relationship Type="http://schemas.openxmlformats.org/officeDocument/2006/relationships/hyperlink" Target="https://www.facebook.com/RichfieldVeterinaryClinic" TargetMode="External" Id="rId484"/><Relationship Type="http://schemas.openxmlformats.org/officeDocument/2006/relationships/hyperlink" Target="https://www.facebook.com/profile.php?id=100084195026591" TargetMode="External" Id="rId485"/><Relationship Type="http://schemas.openxmlformats.org/officeDocument/2006/relationships/hyperlink" Target="https://www.facebook.com/PatrickNauPhotography" TargetMode="External" Id="rId486"/><Relationship Type="http://schemas.openxmlformats.org/officeDocument/2006/relationships/hyperlink" Target="https://www.facebook.com/petbarn" TargetMode="External" Id="rId487"/><Relationship Type="http://schemas.openxmlformats.org/officeDocument/2006/relationships/hyperlink" Target="https://www.facebook.com/profile.php?id=100063465705959" TargetMode="External" Id="rId488"/><Relationship Type="http://schemas.openxmlformats.org/officeDocument/2006/relationships/hyperlink" Target="https://www.facebook.com/HarrisonAnimalHosp" TargetMode="External" Id="rId489"/><Relationship Type="http://schemas.openxmlformats.org/officeDocument/2006/relationships/hyperlink" Target="https://www.facebook.com/IowaDairyFarmer" TargetMode="External" Id="rId490"/><Relationship Type="http://schemas.openxmlformats.org/officeDocument/2006/relationships/hyperlink" Target="https://www.facebook.com/profile.php?id=61577264640966" TargetMode="External" Id="rId491"/><Relationship Type="http://schemas.openxmlformats.org/officeDocument/2006/relationships/hyperlink" Target="https://www.facebook.com/OKCanimalwelfare" TargetMode="External" Id="rId492"/><Relationship Type="http://schemas.openxmlformats.org/officeDocument/2006/relationships/hyperlink" Target="https://www.facebook.com/profile.php?id=61590725226473" TargetMode="External" Id="rId493"/><Relationship Type="http://schemas.openxmlformats.org/officeDocument/2006/relationships/hyperlink" Target="https://www.facebook.com/ohkaytacos" TargetMode="External" Id="rId494"/><Relationship Type="http://schemas.openxmlformats.org/officeDocument/2006/relationships/hyperlink" Target="https://www.facebook.com/PetSmart" TargetMode="External" Id="rId495"/><Relationship Type="http://schemas.openxmlformats.org/officeDocument/2006/relationships/hyperlink" Target="https://www.facebook.com/profile.php?id=100087638511525" TargetMode="External" Id="rId496"/><Relationship Type="http://schemas.openxmlformats.org/officeDocument/2006/relationships/hyperlink" Target="https://www.facebook.com/AnimalAidVerm" TargetMode="External" Id="rId497"/><Relationship Type="http://schemas.openxmlformats.org/officeDocument/2006/relationships/hyperlink" Target="https://www.facebook.com/morrisanimal" TargetMode="External" Id="rId498"/><Relationship Type="http://schemas.openxmlformats.org/officeDocument/2006/relationships/hyperlink" Target="https://www.facebook.com/yuccaveterinary" TargetMode="External" Id="rId499"/><Relationship Type="http://schemas.openxmlformats.org/officeDocument/2006/relationships/hyperlink" Target="https://www.facebook.com/nuisancefarm" TargetMode="External" Id="rId500"/><Relationship Type="http://schemas.openxmlformats.org/officeDocument/2006/relationships/hyperlink" Target="https://www.facebook.com/profile.php?id=61554872740925" TargetMode="External" Id="rId501"/><Relationship Type="http://schemas.openxmlformats.org/officeDocument/2006/relationships/hyperlink" Target="https://www.facebook.com/paintedpinesfarm" TargetMode="External" Id="rId502"/><Relationship Type="http://schemas.openxmlformats.org/officeDocument/2006/relationships/hyperlink" Target="https://www.facebook.com/profile.php?id=61555632366891" TargetMode="External" Id="rId503"/><Relationship Type="http://schemas.openxmlformats.org/officeDocument/2006/relationships/hyperlink" Target="https://www.facebook.com/profile.php?id=100063668825286" TargetMode="External" Id="rId504"/><Relationship Type="http://schemas.openxmlformats.org/officeDocument/2006/relationships/hyperlink" Target="https://www.facebook.com/profile.php?id=100057222559668" TargetMode="External" Id="rId505"/><Relationship Type="http://schemas.openxmlformats.org/officeDocument/2006/relationships/hyperlink" Target="https://www.facebook.com/avsabfb" TargetMode="External" Id="rId506"/><Relationship Type="http://schemas.openxmlformats.org/officeDocument/2006/relationships/hyperlink" Target="https://www.facebook.com/FAKC.org" TargetMode="External" Id="rId507"/><Relationship Type="http://schemas.openxmlformats.org/officeDocument/2006/relationships/hyperlink" Target="https://www.facebook.com/FitbullFCI" TargetMode="External" Id="rId508"/><Relationship Type="http://schemas.openxmlformats.org/officeDocument/2006/relationships/hyperlink" Target="https://www.facebook.com/helveticavalliskennel" TargetMode="External" Id="rId509"/><Relationship Type="http://schemas.openxmlformats.org/officeDocument/2006/relationships/hyperlink" Target="https://www.facebook.com/omrirelizan" TargetMode="External" Id="rId510"/><Relationship Type="http://schemas.openxmlformats.org/officeDocument/2006/relationships/hyperlink" Target="https://www.facebook.com/FavoritTimbernes" TargetMode="External" Id="rId511"/><Relationship Type="http://schemas.openxmlformats.org/officeDocument/2006/relationships/hyperlink" Target="https://www.facebook.com/KermanAnimalServices" TargetMode="External" Id="rId512"/><Relationship Type="http://schemas.openxmlformats.org/officeDocument/2006/relationships/hyperlink" Target="https://www.facebook.com/villegivet" TargetMode="External" Id="rId513"/><Relationship Type="http://schemas.openxmlformats.org/officeDocument/2006/relationships/hyperlink" Target="https://www.facebook.com/PetSmartCanada" TargetMode="External" Id="rId514"/><Relationship Type="http://schemas.openxmlformats.org/officeDocument/2006/relationships/hyperlink" Target="https://www.facebook.com/camillehphotographie" TargetMode="External" Id="rId515"/><Relationship Type="http://schemas.openxmlformats.org/officeDocument/2006/relationships/hyperlink" Target="https://www.facebook.com/beachroadvet" TargetMode="External" Id="rId516"/><Relationship Type="http://schemas.openxmlformats.org/officeDocument/2006/relationships/hyperlink" Target="https://www.facebook.com/dr.tannetje.crocker" TargetMode="External" Id="rId517"/><Relationship Type="http://schemas.openxmlformats.org/officeDocument/2006/relationships/hyperlink" Target="https://www.facebook.com/DeerRunFarmstand02" TargetMode="External" Id="rId518"/><Relationship Type="http://schemas.openxmlformats.org/officeDocument/2006/relationships/hyperlink" Target="https://www.facebook.com/KnuckleBumpFarms" TargetMode="External" Id="rId519"/><Relationship Type="http://schemas.openxmlformats.org/officeDocument/2006/relationships/hyperlink" Target="https://www.facebook.com/thehonestvet" TargetMode="External" Id="rId520"/><Relationship Type="http://schemas.openxmlformats.org/officeDocument/2006/relationships/hyperlink" Target="https://www.facebook.com/profile.php?id=61575572335408" TargetMode="External" Id="rId521"/><Relationship Type="http://schemas.openxmlformats.org/officeDocument/2006/relationships/hyperlink" Target="https://www.facebook.com/kelownafarmersandcraftersmarket" TargetMode="External" Id="rId522"/><Relationship Type="http://schemas.openxmlformats.org/officeDocument/2006/relationships/hyperlink" Target="https://www.facebook.com/animallifelineofiowa" TargetMode="External" Id="rId523"/><Relationship Type="http://schemas.openxmlformats.org/officeDocument/2006/relationships/hyperlink" Target="https://www.facebook.com/bestfriendsanimalsociety" TargetMode="External" Id="rId524"/><Relationship Type="http://schemas.openxmlformats.org/officeDocument/2006/relationships/hyperlink" Target="https://www.facebook.com/profile.php?id=100064000988872" TargetMode="External" Id="rId525"/><Relationship Type="http://schemas.openxmlformats.org/officeDocument/2006/relationships/hyperlink" Target="https://www.facebook.com/profile.php?id=61594854891237" TargetMode="External" Id="rId526"/><Relationship Type="http://schemas.openxmlformats.org/officeDocument/2006/relationships/hyperlink" Target="https://www.facebook.com/BriarPatchVet" TargetMode="External" Id="rId527"/><Relationship Type="http://schemas.openxmlformats.org/officeDocument/2006/relationships/hyperlink" Target="https://www.facebook.com/DVCNH" TargetMode="External" Id="rId528"/><Relationship Type="http://schemas.openxmlformats.org/officeDocument/2006/relationships/hyperlink" Target="https://www.facebook.com/contralaintoleranciaanimal" TargetMode="External" Id="rId529"/><Relationship Type="http://schemas.openxmlformats.org/officeDocument/2006/relationships/hyperlink" Target="https://www.facebook.com/VeteranOwnedBusiness" TargetMode="External" Id="rId530"/><Relationship Type="http://schemas.openxmlformats.org/officeDocument/2006/relationships/hyperlink" Target="https://www.facebook.com/revivalanimal" TargetMode="External" Id="rId531"/><Relationship Type="http://schemas.openxmlformats.org/officeDocument/2006/relationships/hyperlink" Target="https://www.facebook.com/profile.php?id=61577955770995" TargetMode="External" Id="rId532"/><Relationship Type="http://schemas.openxmlformats.org/officeDocument/2006/relationships/hyperlink" Target="https://www.facebook.com/ForeverDogBook" TargetMode="External" Id="rId533"/><Relationship Type="http://schemas.openxmlformats.org/officeDocument/2006/relationships/hyperlink" Target="https://www.facebook.com/ForeverDogLife" TargetMode="External" Id="rId534"/><Relationship Type="http://schemas.openxmlformats.org/officeDocument/2006/relationships/hyperlink" Target="https://www.facebook.com/mironenko.svetlana" TargetMode="External" Id="rId535"/><Relationship Type="http://schemas.openxmlformats.org/officeDocument/2006/relationships/hyperlink" Target="https://www.facebook.com/concienciaanimalcr" TargetMode="External" Id="rId536"/><Relationship Type="http://schemas.openxmlformats.org/officeDocument/2006/relationships/hyperlink" Target="https://www.facebook.com/BrandywineValleyVeterinaryhospital" TargetMode="External" Id="rId537"/><Relationship Type="http://schemas.openxmlformats.org/officeDocument/2006/relationships/hyperlink" Target="https://www.facebook.com/drvet.lean" TargetMode="External" Id="rId538"/><Relationship Type="http://schemas.openxmlformats.org/officeDocument/2006/relationships/hyperlink" Target="https://www.facebook.com/AnimalFood" TargetMode="External" Id="rId539"/><Relationship Type="http://schemas.openxmlformats.org/officeDocument/2006/relationships/hyperlink" Target="https://www.facebook.com/KANVETDRK" TargetMode="External" Id="rId540"/><Relationship Type="http://schemas.openxmlformats.org/officeDocument/2006/relationships/hyperlink" Target="https://www.facebook.com/ilrifugiopecorella" TargetMode="External" Id="rId541"/><Relationship Type="http://schemas.openxmlformats.org/officeDocument/2006/relationships/hyperlink" Target="https://www.facebook.com/AuToutouCanin00" TargetMode="External" Id="rId542"/><Relationship Type="http://schemas.openxmlformats.org/officeDocument/2006/relationships/hyperlink" Target="https://www.facebook.com/MovesDClinic" TargetMode="External" Id="rId543"/><Relationship Type="http://schemas.openxmlformats.org/officeDocument/2006/relationships/hyperlink" Target="https://www.facebook.com/profile.php?id=61575804271155" TargetMode="External" Id="rId544"/><Relationship Type="http://schemas.openxmlformats.org/officeDocument/2006/relationships/hyperlink" Target="https://www.facebook.com/profile.php?id=61550238596088" TargetMode="External" Id="rId545"/><Relationship Type="http://schemas.openxmlformats.org/officeDocument/2006/relationships/hyperlink" Target="https://www.facebook.com/cedarwoodvethospital" TargetMode="External" Id="rId546"/><Relationship Type="http://schemas.openxmlformats.org/officeDocument/2006/relationships/hyperlink" Target="https://www.facebook.com/profile.php?id=100044169532830" TargetMode="External" Id="rId547"/><Relationship Type="http://schemas.openxmlformats.org/officeDocument/2006/relationships/hyperlink" Target="https://www.facebook.com/profile.php?id=61569052695747" TargetMode="External" Id="rId548"/><Relationship Type="http://schemas.openxmlformats.org/officeDocument/2006/relationships/hyperlink" Target="https://www.facebook.com/UniqueFitnessFarmingville" TargetMode="External" Id="rId549"/><Relationship Type="http://schemas.openxmlformats.org/officeDocument/2006/relationships/hyperlink" Target="https://www.facebook.com/AnchorageAnimalCareAndControl" TargetMode="External" Id="rId550"/><Relationship Type="http://schemas.openxmlformats.org/officeDocument/2006/relationships/hyperlink" Target="https://www.facebook.com/civtedu" TargetMode="External" Id="rId551"/><Relationship Type="http://schemas.openxmlformats.org/officeDocument/2006/relationships/hyperlink" Target="https://www.facebook.com/Caring.Hearts.Animal.Hospital" TargetMode="External" Id="rId552"/><Relationship Type="http://schemas.openxmlformats.org/officeDocument/2006/relationships/hyperlink" Target="https://www.facebook.com/DarlingtonCourt" TargetMode="External" Id="rId553"/><Relationship Type="http://schemas.openxmlformats.org/officeDocument/2006/relationships/hyperlink" Target="https://www.facebook.com/profile.php?id=61576127954844" TargetMode="External" Id="rId554"/><Relationship Type="http://schemas.openxmlformats.org/officeDocument/2006/relationships/hyperlink" Target="https://www.facebook.com/vanislevet" TargetMode="External" Id="rId555"/><Relationship Type="http://schemas.openxmlformats.org/officeDocument/2006/relationships/hyperlink" Target="https://www.facebook.com/agrotonomy" TargetMode="External" Id="rId556"/><Relationship Type="http://schemas.openxmlformats.org/officeDocument/2006/relationships/hyperlink" Target="https://www.facebook.com/licketysplitmobilescanning" TargetMode="External" Id="rId557"/><Relationship Type="http://schemas.openxmlformats.org/officeDocument/2006/relationships/hyperlink" Target="https://www.facebook.com/profile.php?id=61569386473592" TargetMode="External" Id="rId558"/><Relationship Type="http://schemas.openxmlformats.org/officeDocument/2006/relationships/hyperlink" Target="https://www.facebook.com/PetcoLove" TargetMode="External" Id="rId559"/><Relationship Type="http://schemas.openxmlformats.org/officeDocument/2006/relationships/hyperlink" Target="https://www.facebook.com/profile.php?id=100057189801247" TargetMode="External" Id="rId560"/><Relationship Type="http://schemas.openxmlformats.org/officeDocument/2006/relationships/hyperlink" Target="https://www.facebook.com/TroyWaterfrontFarmersMarket" TargetMode="External" Id="rId561"/><Relationship Type="http://schemas.openxmlformats.org/officeDocument/2006/relationships/hyperlink" Target="https://www.facebook.com/GLOBALCANZARAGOZA" TargetMode="External" Id="rId562"/><Relationship Type="http://schemas.openxmlformats.org/officeDocument/2006/relationships/hyperlink" Target="https://www.facebook.com/profile.php?id=61573739884302" TargetMode="External" Id="rId563"/><Relationship Type="http://schemas.openxmlformats.org/officeDocument/2006/relationships/hyperlink" Target="https://www.facebook.com/profile.php?id=61590569886151" TargetMode="External" Id="rId564"/><Relationship Type="http://schemas.openxmlformats.org/officeDocument/2006/relationships/hyperlink" Target="https://www.facebook.com/CascadeHospitalandBretonVillageAnimalClinic" TargetMode="External" Id="rId565"/><Relationship Type="http://schemas.openxmlformats.org/officeDocument/2006/relationships/hyperlink" Target="https://www.facebook.com/NatalieSkinAesthetics" TargetMode="External" Id="rId566"/><Relationship Type="http://schemas.openxmlformats.org/officeDocument/2006/relationships/hyperlink" Target="https://www.facebook.com/GilbertMarket" TargetMode="External" Id="rId567"/><Relationship Type="http://schemas.openxmlformats.org/officeDocument/2006/relationships/hyperlink" Target="https://www.facebook.com/MaryvilleFarmersMarket" TargetMode="External" Id="rId568"/><Relationship Type="http://schemas.openxmlformats.org/officeDocument/2006/relationships/hyperlink" Target="https://www.facebook.com/farmcraftraw" TargetMode="External" Id="rId569"/><Relationship Type="http://schemas.openxmlformats.org/officeDocument/2006/relationships/hyperlink" Target="https://www.facebook.com/animalsdoingthings" TargetMode="External" Id="rId570"/><Relationship Type="http://schemas.openxmlformats.org/officeDocument/2006/relationships/hyperlink" Target="https://www.facebook.com/LanceAnimalHospital" TargetMode="External" Id="rId571"/><Relationship Type="http://schemas.openxmlformats.org/officeDocument/2006/relationships/hyperlink" Target="https://www.facebook.com/PineBluffAnimalHospitalMorris" TargetMode="External" Id="rId572"/><Relationship Type="http://schemas.openxmlformats.org/officeDocument/2006/relationships/hyperlink" Target="https://www.facebook.com/RiverbankAH" TargetMode="External" Id="rId573"/><Relationship Type="http://schemas.openxmlformats.org/officeDocument/2006/relationships/hyperlink" Target="https://www.facebook.com/MidlandVeterinarySurgery" TargetMode="External" Id="rId574"/><Relationship Type="http://schemas.openxmlformats.org/officeDocument/2006/relationships/hyperlink" Target="https://www.facebook.com/issarayut.luesiripanich.5" TargetMode="External" Id="rId575"/><Relationship Type="http://schemas.openxmlformats.org/officeDocument/2006/relationships/hyperlink" Target="https://www.facebook.com/PetSmartCharities" TargetMode="External" Id="rId576"/><Relationship Type="http://schemas.openxmlformats.org/officeDocument/2006/relationships/hyperlink" Target="https://www.facebook.com/bcfarmersinsurance" TargetMode="External" Id="rId577"/><Relationship Type="http://schemas.openxmlformats.org/officeDocument/2006/relationships/hyperlink" Target="https://www.facebook.com/healthyeatingclinicwoden" TargetMode="External" Id="rId578"/><Relationship Type="http://schemas.openxmlformats.org/officeDocument/2006/relationships/hyperlink" Target="https://www.facebook.com/profile.php?id=100063484034090" TargetMode="External" Id="rId579"/><Relationship Type="http://schemas.openxmlformats.org/officeDocument/2006/relationships/hyperlink" Target="https://www.facebook.com/carexdesigntours" TargetMode="External" Id="rId580"/><Relationship Type="http://schemas.openxmlformats.org/officeDocument/2006/relationships/hyperlink" Target="https://www.facebook.com/CCAEsperanzaCanina" TargetMode="External" Id="rId581"/><Relationship Type="http://schemas.openxmlformats.org/officeDocument/2006/relationships/hyperlink" Target="https://www.facebook.com/profile.php?id=61559130059736" TargetMode="External" Id="rId582"/><Relationship Type="http://schemas.openxmlformats.org/officeDocument/2006/relationships/hyperlink" Target="https://www.facebook.com/Abejitasvet" TargetMode="External" Id="rId583"/><Relationship Type="http://schemas.openxmlformats.org/officeDocument/2006/relationships/hyperlink" Target="https://www.facebook.com/profile.php?id=61552781390199" TargetMode="External" Id="rId584"/><Relationship Type="http://schemas.openxmlformats.org/officeDocument/2006/relationships/hyperlink" Target="https://www.facebook.com/calhouncountyanimalhospital" TargetMode="External" Id="rId585"/><Relationship Type="http://schemas.openxmlformats.org/officeDocument/2006/relationships/hyperlink" Target="https://www.facebook.com/santananimalhospital" TargetMode="External" Id="rId586"/><Relationship Type="http://schemas.openxmlformats.org/officeDocument/2006/relationships/hyperlink" Target="https://www.facebook.com/vancouverfarmersmarket" TargetMode="External" Id="rId587"/><Relationship Type="http://schemas.openxmlformats.org/officeDocument/2006/relationships/hyperlink" Target="https://www.facebook.com/vitalityanimalchiropractic" TargetMode="External" Id="rId588"/><Relationship Type="http://schemas.openxmlformats.org/officeDocument/2006/relationships/hyperlink" Target="https://www.facebook.com/sosanimalgalicia.es" TargetMode="External" Id="rId589"/><Relationship Type="http://schemas.openxmlformats.org/officeDocument/2006/relationships/hyperlink" Target="https://www.facebook.com/MyHopeAC" TargetMode="External" Id="rId590"/><Relationship Type="http://schemas.openxmlformats.org/officeDocument/2006/relationships/hyperlink" Target="https://www.facebook.com/chezchanel" TargetMode="External" Id="rId591"/><Relationship Type="http://schemas.openxmlformats.org/officeDocument/2006/relationships/hyperlink" Target="https://www.facebook.com/ShaverRoadAnimalHospital" TargetMode="External" Id="rId592"/><Relationship Type="http://schemas.openxmlformats.org/officeDocument/2006/relationships/hyperlink" Target="https://www.facebook.com/LAARENACLONE" TargetMode="External" Id="rId593"/><Relationship Type="http://schemas.openxmlformats.org/officeDocument/2006/relationships/hyperlink" Target="https://www.facebook.com/aurorabiofarma" TargetMode="External" Id="rId594"/><Relationship Type="http://schemas.openxmlformats.org/officeDocument/2006/relationships/hyperlink" Target="https://www.facebook.com/premium.equine.hoof.care" TargetMode="External" Id="rId595"/><Relationship Type="http://schemas.openxmlformats.org/officeDocument/2006/relationships/hyperlink" Target="https://www.facebook.com/profile.php?id=61568507566761" TargetMode="External" Id="rId596"/><Relationship Type="http://schemas.openxmlformats.org/officeDocument/2006/relationships/hyperlink" Target="https://www.facebook.com/profile.php?id=61573566494129" TargetMode="External" Id="rId597"/><Relationship Type="http://schemas.openxmlformats.org/officeDocument/2006/relationships/hyperlink" Target="https://www.facebook.com/MetDaanAnimals" TargetMode="External" Id="rId598"/><Relationship Type="http://schemas.openxmlformats.org/officeDocument/2006/relationships/hyperlink" Target="https://www.facebook.com/GlobeMiamiFarmBureau" TargetMode="External" Id="rId599"/><Relationship Type="http://schemas.openxmlformats.org/officeDocument/2006/relationships/hyperlink" Target="https://www.facebook.com/MiniNubians.org" TargetMode="External" Id="rId600"/><Relationship Type="http://schemas.openxmlformats.org/officeDocument/2006/relationships/hyperlink" Target="https://www.facebook.com/OliDoriBulldogsResidence" TargetMode="External" Id="rId601"/><Relationship Type="http://schemas.openxmlformats.org/officeDocument/2006/relationships/hyperlink" Target="https://www.facebook.com/GermanShepherdDogClubofAmerica" TargetMode="External" Id="rId602"/><Relationship Type="http://schemas.openxmlformats.org/officeDocument/2006/relationships/hyperlink" Target="https://www.facebook.com/FrenchBulldogClubOfQld" TargetMode="External" Id="rId603"/><Relationship Type="http://schemas.openxmlformats.org/officeDocument/2006/relationships/hyperlink" Target="https://www.facebook.com/farmandyardproducts" TargetMode="External" Id="rId604"/><Relationship Type="http://schemas.openxmlformats.org/officeDocument/2006/relationships/hyperlink" Target="https://www.facebook.com/kvsdoc" TargetMode="External" Id="rId605"/><Relationship Type="http://schemas.openxmlformats.org/officeDocument/2006/relationships/hyperlink" Target="https://www.facebook.com/berrybrookbullies" TargetMode="External" Id="rId606"/><Relationship Type="http://schemas.openxmlformats.org/officeDocument/2006/relationships/hyperlink" Target="https://www.facebook.com/akldbulldogs" TargetMode="External" Id="rId607"/><Relationship Type="http://schemas.openxmlformats.org/officeDocument/2006/relationships/hyperlink" Target="https://www.facebook.com/profile.php?id=100049612569537" TargetMode="External" Id="rId608"/><Relationship Type="http://schemas.openxmlformats.org/officeDocument/2006/relationships/hyperlink" Target="https://www.facebook.com/profile.php?id=61591493286268" TargetMode="External" Id="rId609"/><Relationship Type="http://schemas.openxmlformats.org/officeDocument/2006/relationships/hyperlink" Target="https://www.facebook.com/profile.php?id=61582596458072" TargetMode="External" Id="rId610"/><Relationship Type="http://schemas.openxmlformats.org/officeDocument/2006/relationships/hyperlink" Target="https://www.facebook.com/profile.php?id=100060537705713" TargetMode="External" Id="rId611"/><Relationship Type="http://schemas.openxmlformats.org/officeDocument/2006/relationships/hyperlink" Target="https://www.facebook.com/sookjai.goatmilk.organicfarm" TargetMode="External" Id="rId612"/><Relationship Type="http://schemas.openxmlformats.org/officeDocument/2006/relationships/hyperlink" Target="https://www.facebook.com/Homewardbound2021" TargetMode="External" Id="rId613"/><Relationship Type="http://schemas.openxmlformats.org/officeDocument/2006/relationships/hyperlink" Target="https://www.facebook.com/thebulldogclubincorporated" TargetMode="External" Id="rId614"/><Relationship Type="http://schemas.openxmlformats.org/officeDocument/2006/relationships/hyperlink" Target="https://www.facebook.com/NashvilleKennelClub" TargetMode="External" Id="rId615"/><Relationship Type="http://schemas.openxmlformats.org/officeDocument/2006/relationships/hyperlink" Target="https://www.facebook.com/DurhamKennelClub" TargetMode="External" Id="rId616"/><Relationship Type="http://schemas.openxmlformats.org/officeDocument/2006/relationships/hyperlink" Target="https://www.facebook.com/ArkansasKennelClub" TargetMode="External" Id="rId617"/><Relationship Type="http://schemas.openxmlformats.org/officeDocument/2006/relationships/hyperlink" Target="https://www.facebook.com/andersonkennelclub" TargetMode="External" Id="rId618"/><Relationship Type="http://schemas.openxmlformats.org/officeDocument/2006/relationships/hyperlink" Target="https://www.facebook.com/TuscaloosaKennelClub" TargetMode="External" Id="rId619"/><Relationship Type="http://schemas.openxmlformats.org/officeDocument/2006/relationships/hyperlink" Target="https://www.facebook.com/latgaledog" TargetMode="External" Id="rId620"/><Relationship Type="http://schemas.openxmlformats.org/officeDocument/2006/relationships/hyperlink" Target="https://www.facebook.com/profile.php?id=100057459048004" TargetMode="External" Id="rId621"/><Relationship Type="http://schemas.openxmlformats.org/officeDocument/2006/relationships/hyperlink" Target="https://www.facebook.com/Buckscountykennelclub" TargetMode="External" Id="rId622"/><Relationship Type="http://schemas.openxmlformats.org/officeDocument/2006/relationships/hyperlink" Target="https://www.facebook.com/mplskennelclub" TargetMode="External" Id="rId623"/><Relationship Type="http://schemas.openxmlformats.org/officeDocument/2006/relationships/hyperlink" Target="https://www.facebook.com/arrowheadkennelclub" TargetMode="External" Id="rId624"/><Relationship Type="http://schemas.openxmlformats.org/officeDocument/2006/relationships/hyperlink" Target="https://www.facebook.com/PiedmontKennelClub" TargetMode="External" Id="rId625"/><Relationship Type="http://schemas.openxmlformats.org/officeDocument/2006/relationships/hyperlink" Target="https://www.facebook.com/EKF.FCI" TargetMode="External" Id="rId626"/><Relationship Type="http://schemas.openxmlformats.org/officeDocument/2006/relationships/hyperlink" Target="https://www.facebook.com/akclibrary" TargetMode="External" Id="rId627"/><Relationship Type="http://schemas.openxmlformats.org/officeDocument/2006/relationships/hyperlink" Target="https://www.facebook.com/jrt.spinnyandtwisty" TargetMode="External" Id="rId628"/><Relationship Type="http://schemas.openxmlformats.org/officeDocument/2006/relationships/hyperlink" Target="https://www.facebook.com/fostercreekveterinaryhospital" TargetMode="External" Id="rId629"/><Relationship Type="http://schemas.openxmlformats.org/officeDocument/2006/relationships/hyperlink" Target="https://www.facebook.com/cityofselmaanimalservices" TargetMode="External" Id="rId630"/><Relationship Type="http://schemas.openxmlformats.org/officeDocument/2006/relationships/hyperlink" Target="https://www.facebook.com/ORGANICVEGGIES1" TargetMode="External" Id="rId631"/><Relationship Type="http://schemas.openxmlformats.org/officeDocument/2006/relationships/hyperlink" Target="https://www.facebook.com/profile.php?id=100063737822507" TargetMode="External" Id="rId632"/><Relationship Type="http://schemas.openxmlformats.org/officeDocument/2006/relationships/hyperlink" Target="https://www.facebook.com/oldsilofarm904" TargetMode="External" Id="rId633"/><Relationship Type="http://schemas.openxmlformats.org/officeDocument/2006/relationships/hyperlink" Target="https://www.facebook.com/FennerForestFarm" TargetMode="External" Id="rId634"/><Relationship Type="http://schemas.openxmlformats.org/officeDocument/2006/relationships/hyperlink" Target="https://www.facebook.com/regenfarmingcollective" TargetMode="External" Id="rId635"/><Relationship Type="http://schemas.openxmlformats.org/officeDocument/2006/relationships/hyperlink" Target="https://www.facebook.com/bradleyshrops" TargetMode="External" Id="rId636"/><Relationship Type="http://schemas.openxmlformats.org/officeDocument/2006/relationships/hyperlink" Target="https://www.facebook.com/profile.php?id=61562035596532" TargetMode="External" Id="rId637"/><Relationship Type="http://schemas.openxmlformats.org/officeDocument/2006/relationships/hyperlink" Target="https://www.facebook.com/BMDCNI" TargetMode="External" Id="rId638"/><Relationship Type="http://schemas.openxmlformats.org/officeDocument/2006/relationships/hyperlink" Target="https://www.facebook.com/vetbeddinguk.co.uk" TargetMode="External" Id="rId639"/><Relationship Type="http://schemas.openxmlformats.org/officeDocument/2006/relationships/hyperlink" Target="https://www.facebook.com/ourfitchfarm" TargetMode="External" Id="rId640"/><Relationship Type="http://schemas.openxmlformats.org/officeDocument/2006/relationships/hyperlink" Target="https://www.facebook.com/SunshinesFarmStand" TargetMode="External" Id="rId641"/><Relationship Type="http://schemas.openxmlformats.org/officeDocument/2006/relationships/hyperlink" Target="https://www.facebook.com/lockbriarfarms" TargetMode="External" Id="rId642"/><Relationship Type="http://schemas.openxmlformats.org/officeDocument/2006/relationships/hyperlink" Target="https://www.facebook.com/MDBMDC" TargetMode="External" Id="rId643"/><Relationship Type="http://schemas.openxmlformats.org/officeDocument/2006/relationships/hyperlink" Target="https://www.facebook.com/profile.php?id=61592603230666" TargetMode="External" Id="rId644"/><Relationship Type="http://schemas.openxmlformats.org/officeDocument/2006/relationships/hyperlink" Target="https://www.facebook.com/ConnettsFarm" TargetMode="External" Id="rId645"/><Relationship Type="http://schemas.openxmlformats.org/officeDocument/2006/relationships/hyperlink" Target="https://www.facebook.com/profile.php?id=61555289218072" TargetMode="External" Id="rId646"/><Relationship Type="http://schemas.openxmlformats.org/officeDocument/2006/relationships/hyperlink" Target="https://www.facebook.com/profile.php?id=100091142142735" TargetMode="External" Id="rId647"/><Relationship Type="http://schemas.openxmlformats.org/officeDocument/2006/relationships/hyperlink" Target="https://www.facebook.com/alchemistfarm" TargetMode="External" Id="rId648"/><Relationship Type="http://schemas.openxmlformats.org/officeDocument/2006/relationships/hyperlink" Target="https://www.facebook.com/BMDCC" TargetMode="External" Id="rId649"/><Relationship Type="http://schemas.openxmlformats.org/officeDocument/2006/relationships/hyperlink" Target="https://www.facebook.com/FarmFlanagan" TargetMode="External" Id="rId650"/><Relationship Type="http://schemas.openxmlformats.org/officeDocument/2006/relationships/hyperlink" Target="https://www.facebook.com/profile.php?id=100065049428925" TargetMode="External" Id="rId651"/><Relationship Type="http://schemas.openxmlformats.org/officeDocument/2006/relationships/hyperlink" Target="https://www.facebook.com/profile.php?id=61560253328981" TargetMode="External" Id="rId652"/><Relationship Type="http://schemas.openxmlformats.org/officeDocument/2006/relationships/hyperlink" Target="https://www.facebook.com/Streeterheritagefarms" TargetMode="External" Id="rId653"/><Relationship Type="http://schemas.openxmlformats.org/officeDocument/2006/relationships/hyperlink" Target="https://www.facebook.com/profile.php?id=61557295079830" TargetMode="External" Id="rId654"/><Relationship Type="http://schemas.openxmlformats.org/officeDocument/2006/relationships/hyperlink" Target="https://www.facebook.com/profile.php?id=61560611279587" TargetMode="External" Id="rId655"/><Relationship Type="http://schemas.openxmlformats.org/officeDocument/2006/relationships/hyperlink" Target="https://www.facebook.com/covespringsfarmky" TargetMode="External" Id="rId656"/><Relationship Type="http://schemas.openxmlformats.org/officeDocument/2006/relationships/hyperlink" Target="https://www.facebook.com/Stallingspoultry" TargetMode="External" Id="rId657"/><Relationship Type="http://schemas.openxmlformats.org/officeDocument/2006/relationships/hyperlink" Target="https://www.facebook.com/thecorbettfarms" TargetMode="External" Id="rId658"/><Relationship Type="http://schemas.openxmlformats.org/officeDocument/2006/relationships/hyperlink" Target="https://www.facebook.com/profile.php?id=100082121467212" TargetMode="External" Id="rId659"/><Relationship Type="http://schemas.openxmlformats.org/officeDocument/2006/relationships/hyperlink" Target="https://www.facebook.com/profile.php?id=100069148134756" TargetMode="External" Id="rId660"/><Relationship Type="http://schemas.openxmlformats.org/officeDocument/2006/relationships/hyperlink" Target="https://www.facebook.com/Videoswithai" TargetMode="External" Id="rId661"/><Relationship Type="http://schemas.openxmlformats.org/officeDocument/2006/relationships/hyperlink" Target="https://www.facebook.com/profile.php?id=100064494350269" TargetMode="External" Id="rId662"/><Relationship Type="http://schemas.openxmlformats.org/officeDocument/2006/relationships/hyperlink" Target="https://www.facebook.com/HewettsHoney" TargetMode="External" Id="rId663"/><Relationship Type="http://schemas.openxmlformats.org/officeDocument/2006/relationships/hyperlink" Target="https://www.facebook.com/profile.php?id=100094686165833" TargetMode="External" Id="rId664"/><Relationship Type="http://schemas.openxmlformats.org/officeDocument/2006/relationships/hyperlink" Target="https://www.facebook.com/profile.php?id=100064970642538" TargetMode="External" Id="rId665"/><Relationship Type="http://schemas.openxmlformats.org/officeDocument/2006/relationships/hyperlink" Target="https://www.facebook.com/BristerButtercupFarm" TargetMode="External" Id="rId666"/><Relationship Type="http://schemas.openxmlformats.org/officeDocument/2006/relationships/hyperlink" Target="https://www.facebook.com/profile.php?id=100064816113645" TargetMode="External" Id="rId667"/><Relationship Type="http://schemas.openxmlformats.org/officeDocument/2006/relationships/hyperlink" Target="https://www.facebook.com/profile.php?id=100063504485150" TargetMode="External" Id="rId668"/><Relationship Type="http://schemas.openxmlformats.org/officeDocument/2006/relationships/hyperlink" Target="https://www.facebook.com/PhillipsfarmMAS" TargetMode="External" Id="rId669"/><Relationship Type="http://schemas.openxmlformats.org/officeDocument/2006/relationships/hyperlink" Target="https://www.facebook.com/profile.php?id=100083638290657" TargetMode="External" Id="rId670"/><Relationship Type="http://schemas.openxmlformats.org/officeDocument/2006/relationships/hyperlink" Target="https://www.facebook.com/greenhillssod" TargetMode="External" Id="rId671"/><Relationship Type="http://schemas.openxmlformats.org/officeDocument/2006/relationships/hyperlink" Target="https://www.facebook.com/heritageangusfarms" TargetMode="External" Id="rId672"/><Relationship Type="http://schemas.openxmlformats.org/officeDocument/2006/relationships/hyperlink" Target="https://www.facebook.com/profile.php?id=100066273442648" TargetMode="External" Id="rId673"/><Relationship Type="http://schemas.openxmlformats.org/officeDocument/2006/relationships/hyperlink" Target="https://www.facebook.com/GreaterOcalaDogClub" TargetMode="External" Id="rId674"/><Relationship Type="http://schemas.openxmlformats.org/officeDocument/2006/relationships/hyperlink" Target="https://www.facebook.com/artagnan.farm" TargetMode="External" Id="rId675"/><Relationship Type="http://schemas.openxmlformats.org/officeDocument/2006/relationships/hyperlink" Target="https://www.facebook.com/profile.php?id=100083336301203" TargetMode="External" Id="rId676"/><Relationship Type="http://schemas.openxmlformats.org/officeDocument/2006/relationships/hyperlink" Target="https://www.facebook.com/WilderMountainFarm" TargetMode="External" Id="rId677"/><Relationship Type="http://schemas.openxmlformats.org/officeDocument/2006/relationships/hyperlink" Target="https://www.facebook.com/profile.php?id=61564573297225" TargetMode="External" Id="rId678"/><Relationship Type="http://schemas.openxmlformats.org/officeDocument/2006/relationships/hyperlink" Target="https://www.facebook.com/profile.php?id=100076758854002" TargetMode="External" Id="rId679"/><Relationship Type="http://schemas.openxmlformats.org/officeDocument/2006/relationships/hyperlink" Target="https://www.facebook.com/profile.php?id=100069742002387" TargetMode="External" Id="rId680"/><Relationship Type="http://schemas.openxmlformats.org/officeDocument/2006/relationships/hyperlink" Target="https://www.facebook.com/prestoncofarmcrawl" TargetMode="External" Id="rId681"/><Relationship Type="http://schemas.openxmlformats.org/officeDocument/2006/relationships/hyperlink" Target="https://www.facebook.com/profile.php?id=100068905699033" TargetMode="External" Id="rId682"/><Relationship Type="http://schemas.openxmlformats.org/officeDocument/2006/relationships/hyperlink" Target="https://www.facebook.com/colourfastfarm" TargetMode="External" Id="rId683"/><Relationship Type="http://schemas.openxmlformats.org/officeDocument/2006/relationships/hyperlink" Target="https://www.facebook.com/pbcdfa" TargetMode="External" Id="rId684"/><Relationship Type="http://schemas.openxmlformats.org/officeDocument/2006/relationships/hyperlink" Target="https://www.facebook.com/profile.php?id=100076206463675" TargetMode="External" Id="rId685"/><Relationship Type="http://schemas.openxmlformats.org/officeDocument/2006/relationships/hyperlink" Target="https://www.facebook.com/naturligtfarmandforest" TargetMode="External" Id="rId686"/><Relationship Type="http://schemas.openxmlformats.org/officeDocument/2006/relationships/hyperlink" Target="https://www.facebook.com/lanetinyfarm" TargetMode="External" Id="rId687"/><Relationship Type="http://schemas.openxmlformats.org/officeDocument/2006/relationships/hyperlink" Target="https://www.facebook.com/terriblefarm" TargetMode="External" Id="rId688"/><Relationship Type="http://schemas.openxmlformats.org/officeDocument/2006/relationships/hyperlink" Target="https://www.facebook.com/EverfieldFarmNC" TargetMode="External" Id="rId689"/><Relationship Type="http://schemas.openxmlformats.org/officeDocument/2006/relationships/hyperlink" Target="https://www.facebook.com/thefarmhouse9" TargetMode="External" Id="rId690"/><Relationship Type="http://schemas.openxmlformats.org/officeDocument/2006/relationships/hyperlink" Target="https://www.facebook.com/profile.php?id=100091253686790" TargetMode="External" Id="rId691"/><Relationship Type="http://schemas.openxmlformats.org/officeDocument/2006/relationships/hyperlink" Target="https://www.facebook.com/jonesfarmsuite" TargetMode="External" Id="rId692"/><Relationship Type="http://schemas.openxmlformats.org/officeDocument/2006/relationships/hyperlink" Target="https://www.facebook.com/GunDogMag" TargetMode="External" Id="rId693"/><Relationship Type="http://schemas.openxmlformats.org/officeDocument/2006/relationships/hyperlink" Target="https://www.facebook.com/profile.php?id=100069050642500" TargetMode="External" Id="rId694"/><Relationship Type="http://schemas.openxmlformats.org/officeDocument/2006/relationships/hyperlink" Target="https://www.facebook.com/profile.php?id=100090402927733" TargetMode="External" Id="rId695"/><Relationship Type="http://schemas.openxmlformats.org/officeDocument/2006/relationships/hyperlink" Target="https://www.facebook.com/Stateroadfarmyardgardencenter" TargetMode="External" Id="rId696"/><Relationship Type="http://schemas.openxmlformats.org/officeDocument/2006/relationships/hyperlink" Target="https://www.facebook.com/thevetclinicangaston" TargetMode="External" Id="rId697"/><Relationship Type="http://schemas.openxmlformats.org/officeDocument/2006/relationships/hyperlink" Target="https://www.facebook.com/prestigevets" TargetMode="External" Id="rId698"/><Relationship Type="http://schemas.openxmlformats.org/officeDocument/2006/relationships/hyperlink" Target="https://www.facebook.com/VCADelawareValleyAnimalHospital" TargetMode="External" Id="rId699"/><Relationship Type="http://schemas.openxmlformats.org/officeDocument/2006/relationships/hyperlink" Target="https://www.facebook.com/plataformaanimalistamarinaalta" TargetMode="External" Id="rId700"/><Relationship Type="http://schemas.openxmlformats.org/officeDocument/2006/relationships/hyperlink" Target="https://www.facebook.com/MillerAnimalHospitalNC" TargetMode="External" Id="rId701"/><Relationship Type="http://schemas.openxmlformats.org/officeDocument/2006/relationships/hyperlink" Target="https://www.facebook.com/lobisiemprefielasociacionprotectoraanimales" TargetMode="External" Id="rId702"/><Relationship Type="http://schemas.openxmlformats.org/officeDocument/2006/relationships/hyperlink" Target="https://www.facebook.com/veteranauto207" TargetMode="External" Id="rId703"/><Relationship Type="http://schemas.openxmlformats.org/officeDocument/2006/relationships/hyperlink" Target="https://www.facebook.com/I20.Animal.Hospital" TargetMode="External" Id="rId704"/><Relationship Type="http://schemas.openxmlformats.org/officeDocument/2006/relationships/hyperlink" Target="https://www.facebook.com/profile.php?id=61588716046784" TargetMode="External" Id="rId705"/><Relationship Type="http://schemas.openxmlformats.org/officeDocument/2006/relationships/hyperlink" Target="https://www.facebook.com/techs4clefts" TargetMode="External" Id="rId706"/><Relationship Type="http://schemas.openxmlformats.org/officeDocument/2006/relationships/hyperlink" Target="https://www.facebook.com/KnowleParkCareUK" TargetMode="External" Id="rId707"/><Relationship Type="http://schemas.openxmlformats.org/officeDocument/2006/relationships/hyperlink" Target="https://www.facebook.com/FAAFundacionDeAyudaALosAnimales" TargetMode="External" Id="rId708"/><Relationship Type="http://schemas.openxmlformats.org/officeDocument/2006/relationships/hyperlink" Target="https://www.facebook.com/ChestertownFarmersMarketMD" TargetMode="External" Id="rId709"/><Relationship Type="http://schemas.openxmlformats.org/officeDocument/2006/relationships/hyperlink" Target="https://www.facebook.com/agrovet.taragui" TargetMode="External" Id="rId710"/><Relationship Type="http://schemas.openxmlformats.org/officeDocument/2006/relationships/hyperlink" Target="https://www.facebook.com/kompatasbyvidanimal" TargetMode="External" Id="rId711"/><Relationship Type="http://schemas.openxmlformats.org/officeDocument/2006/relationships/hyperlink" Target="https://www.facebook.com/ashfordfarmersmarketct" TargetMode="External" Id="rId712"/><Relationship Type="http://schemas.openxmlformats.org/officeDocument/2006/relationships/hyperlink" Target="https://www.facebook.com/ProtectoraLaMadrilena" TargetMode="External" Id="rId713"/><Relationship Type="http://schemas.openxmlformats.org/officeDocument/2006/relationships/hyperlink" Target="https://www.facebook.com/animalpoisonshelpline" TargetMode="External" Id="rId714"/><Relationship Type="http://schemas.openxmlformats.org/officeDocument/2006/relationships/hyperlink" Target="https://www.facebook.com/Thehumananimalbond" TargetMode="External" Id="rId715"/><Relationship Type="http://schemas.openxmlformats.org/officeDocument/2006/relationships/hyperlink" Target="https://www.facebook.com/thingsdoghandlerssay" TargetMode="External" Id="rId716"/><Relationship Type="http://schemas.openxmlformats.org/officeDocument/2006/relationships/hyperlink" Target="https://www.facebook.com/HarmonyMobileVet" TargetMode="External" Id="rId717"/><Relationship Type="http://schemas.openxmlformats.org/officeDocument/2006/relationships/hyperlink" Target="https://www.facebook.com/liveoakveterinaryclinic" TargetMode="External" Id="rId718"/><Relationship Type="http://schemas.openxmlformats.org/officeDocument/2006/relationships/hyperlink" Target="https://www.facebook.com/EmbarkVet" TargetMode="External" Id="rId719"/><Relationship Type="http://schemas.openxmlformats.org/officeDocument/2006/relationships/hyperlink" Target="https://www.facebook.com/drmelissamagnuson" TargetMode="External" Id="rId720"/><Relationship Type="http://schemas.openxmlformats.org/officeDocument/2006/relationships/hyperlink" Target="https://www.facebook.com/profile.php?id=100063703863324" TargetMode="External" Id="rId721"/><Relationship Type="http://schemas.openxmlformats.org/officeDocument/2006/relationships/hyperlink" Target="https://www.facebook.com/UWPA.be" TargetMode="External" Id="rId722"/><Relationship Type="http://schemas.openxmlformats.org/officeDocument/2006/relationships/hyperlink" Target="https://www.facebook.com/franklin.camilocarela" TargetMode="External" Id="rId723"/><Relationship Type="http://schemas.openxmlformats.org/officeDocument/2006/relationships/hyperlink" Target="https://www.facebook.com/khunjomanimal" TargetMode="External" Id="rId724"/><Relationship Type="http://schemas.openxmlformats.org/officeDocument/2006/relationships/hyperlink" Target="https://www.facebook.com/communityvetproject" TargetMode="External" Id="rId725"/><Relationship Type="http://schemas.openxmlformats.org/officeDocument/2006/relationships/hyperlink" Target="https://www.facebook.com/FairviewAnimalHosp" TargetMode="External" Id="rId726"/><Relationship Type="http://schemas.openxmlformats.org/officeDocument/2006/relationships/hyperlink" Target="https://www.facebook.com/4HRAH" TargetMode="External" Id="rId727"/><Relationship Type="http://schemas.openxmlformats.org/officeDocument/2006/relationships/hyperlink" Target="https://www.facebook.com/healingcareanimalhospital" TargetMode="External" Id="rId728"/><Relationship Type="http://schemas.openxmlformats.org/officeDocument/2006/relationships/hyperlink" Target="https://www.facebook.com/profile.php?id=100088866156306" TargetMode="External" Id="rId729"/><Relationship Type="http://schemas.openxmlformats.org/officeDocument/2006/relationships/hyperlink" Target="https://www.facebook.com/profile.php?id=100057447848518" TargetMode="External" Id="rId730"/><Relationship Type="http://schemas.openxmlformats.org/officeDocument/2006/relationships/hyperlink" Target="https://www.facebook.com/CornellUniversityVeterinarySpecialists" TargetMode="External" Id="rId731"/><Relationship Type="http://schemas.openxmlformats.org/officeDocument/2006/relationships/hyperlink" Target="https://www.facebook.com/profile.php?id=61577781384294" TargetMode="External" Id="rId732"/><Relationship Type="http://schemas.openxmlformats.org/officeDocument/2006/relationships/hyperlink" Target="https://www.facebook.com/profile.php?id=61565083858443" TargetMode="External" Id="rId733"/><Relationship Type="http://schemas.openxmlformats.org/officeDocument/2006/relationships/hyperlink" Target="https://www.facebook.com/SpringsCareers" TargetMode="External" Id="rId734"/><Relationship Type="http://schemas.openxmlformats.org/officeDocument/2006/relationships/hyperlink" Target="https://www.facebook.com/AcaciaVeterinarySurgery" TargetMode="External" Id="rId735"/><Relationship Type="http://schemas.openxmlformats.org/officeDocument/2006/relationships/hyperlink" Target="https://www.facebook.com/DogsNaturallyMagazine" TargetMode="External" Id="rId736"/><Relationship Type="http://schemas.openxmlformats.org/officeDocument/2006/relationships/hyperlink" Target="https://www.facebook.com/MedivetLeckhampton" TargetMode="External" Id="rId737"/><Relationship Type="http://schemas.openxmlformats.org/officeDocument/2006/relationships/hyperlink" Target="https://www.facebook.com/ANIMALCASTINGATLANTA" TargetMode="External" Id="rId738"/><Relationship Type="http://schemas.openxmlformats.org/officeDocument/2006/relationships/hyperlink" Target="https://www.facebook.com/afhnz" TargetMode="External" Id="rId739"/><Relationship Type="http://schemas.openxmlformats.org/officeDocument/2006/relationships/hyperlink" Target="https://www.facebook.com/profile.php?id=100094061432471" TargetMode="External" Id="rId740"/><Relationship Type="http://schemas.openxmlformats.org/officeDocument/2006/relationships/hyperlink" Target="https://www.facebook.com/TecnovetSRL" TargetMode="External" Id="rId741"/><Relationship Type="http://schemas.openxmlformats.org/officeDocument/2006/relationships/hyperlink" Target="https://www.facebook.com/profile.php?id=100048562002112" TargetMode="External" Id="rId742"/><Relationship Type="http://schemas.openxmlformats.org/officeDocument/2006/relationships/hyperlink" Target="https://www.facebook.com/Protectora.Arume" TargetMode="External" Id="rId743"/><Relationship Type="http://schemas.openxmlformats.org/officeDocument/2006/relationships/hyperlink" Target="https://www.facebook.com/profile.php?id=61559017763764" TargetMode="External" Id="rId744"/><Relationship Type="http://schemas.openxmlformats.org/officeDocument/2006/relationships/hyperlink" Target="https://www.facebook.com/DryfeVets" TargetMode="External" Id="rId745"/><Relationship Type="http://schemas.openxmlformats.org/officeDocument/2006/relationships/hyperlink" Target="https://www.facebook.com/GabinetMediVet" TargetMode="External" Id="rId746"/><Relationship Type="http://schemas.openxmlformats.org/officeDocument/2006/relationships/hyperlink" Target="https://www.facebook.com/profile.php?id=100064620584106" TargetMode="External" Id="rId747"/><Relationship Type="http://schemas.openxmlformats.org/officeDocument/2006/relationships/hyperlink" Target="https://www.facebook.com/karen.carey.1272" TargetMode="External" Id="rId748"/><Relationship Type="http://schemas.openxmlformats.org/officeDocument/2006/relationships/hyperlink" Target="https://www.facebook.com/centro.veterinario.animalia.valladolid" TargetMode="External" Id="rId749"/><Relationship Type="http://schemas.openxmlformats.org/officeDocument/2006/relationships/hyperlink" Target="https://www.facebook.com/ToneMarcoJoel" TargetMode="External" Id="rId750"/><Relationship Type="http://schemas.openxmlformats.org/officeDocument/2006/relationships/hyperlink" Target="https://www.facebook.com/profile.php?id=61577645070352" TargetMode="External" Id="rId751"/><Relationship Type="http://schemas.openxmlformats.org/officeDocument/2006/relationships/hyperlink" Target="https://www.facebook.com/agnewvrs" TargetMode="External" Id="rId752"/><Relationship Type="http://schemas.openxmlformats.org/officeDocument/2006/relationships/hyperlink" Target="https://www.facebook.com/vetmedcornerpage" TargetMode="External" Id="rId753"/><Relationship Type="http://schemas.openxmlformats.org/officeDocument/2006/relationships/hyperlink" Target="https://www.facebook.com/imcacorregidora" TargetMode="External" Id="rId754"/><Relationship Type="http://schemas.openxmlformats.org/officeDocument/2006/relationships/hyperlink" Target="https://www.facebook.com/asa.animalista.5" TargetMode="External" Id="rId755"/><Relationship Type="http://schemas.openxmlformats.org/officeDocument/2006/relationships/hyperlink" Target="https://www.facebook.com/BlueRidgeVeterinaryImaging" TargetMode="External" Id="rId756"/><Relationship Type="http://schemas.openxmlformats.org/officeDocument/2006/relationships/hyperlink" Target="https://www.facebook.com/profile.php?id=100086544026168" TargetMode="External" Id="rId757"/><Relationship Type="http://schemas.openxmlformats.org/officeDocument/2006/relationships/hyperlink" Target="https://www.facebook.com/profile.php?id=100063807601155" TargetMode="External" Id="rId758"/><Relationship Type="http://schemas.openxmlformats.org/officeDocument/2006/relationships/hyperlink" Target="https://www.facebook.com/profile.php?id=61591334337361" TargetMode="External" Id="rId759"/><Relationship Type="http://schemas.openxmlformats.org/officeDocument/2006/relationships/hyperlink" Target="https://www.facebook.com/farmaciafavia" TargetMode="External" Id="rId760"/><Relationship Type="http://schemas.openxmlformats.org/officeDocument/2006/relationships/hyperlink" Target="https://www.facebook.com/centroveterinarioaxarvet" TargetMode="External" Id="rId761"/><Relationship Type="http://schemas.openxmlformats.org/officeDocument/2006/relationships/hyperlink" Target="https://www.facebook.com/scmvets" TargetMode="External" Id="rId762"/><Relationship Type="http://schemas.openxmlformats.org/officeDocument/2006/relationships/hyperlink" Target="https://www.facebook.com/Bentstreetvet" TargetMode="External" Id="rId763"/><Relationship Type="http://schemas.openxmlformats.org/officeDocument/2006/relationships/hyperlink" Target="https://www.facebook.com/profile.php?id=100089576508254" TargetMode="External" Id="rId764"/><Relationship Type="http://schemas.openxmlformats.org/officeDocument/2006/relationships/hyperlink" Target="https://www.facebook.com/profile.php?id=100063646778136" TargetMode="External" Id="rId765"/><Relationship Type="http://schemas.openxmlformats.org/officeDocument/2006/relationships/hyperlink" Target="https://www.facebook.com/bradshawdvm" TargetMode="External" Id="rId766"/><Relationship Type="http://schemas.openxmlformats.org/officeDocument/2006/relationships/hyperlink" Target="https://www.facebook.com/profile.php?id=100063821372470" TargetMode="External" Id="rId767"/><Relationship Type="http://schemas.openxmlformats.org/officeDocument/2006/relationships/hyperlink" Target="https://www.facebook.com/barakaldotiendaveterinaria" TargetMode="External" Id="rId768"/><Relationship Type="http://schemas.openxmlformats.org/officeDocument/2006/relationships/hyperlink" Target="https://www.facebook.com/profile.php?id=61560148902031" TargetMode="External" Id="rId769"/><Relationship Type="http://schemas.openxmlformats.org/officeDocument/2006/relationships/hyperlink" Target="https://www.facebook.com/protectorabaeza" TargetMode="External" Id="rId770"/><Relationship Type="http://schemas.openxmlformats.org/officeDocument/2006/relationships/hyperlink" Target="https://www.facebook.com/profile.php?id=61581259141821" TargetMode="External" Id="rId771"/><Relationship Type="http://schemas.openxmlformats.org/officeDocument/2006/relationships/hyperlink" Target="https://www.facebook.com/Ophtavet" TargetMode="External" Id="rId772"/><Relationship Type="http://schemas.openxmlformats.org/officeDocument/2006/relationships/hyperlink" Target="https://www.facebook.com/lewisandclarkvet" TargetMode="External" Id="rId773"/><Relationship Type="http://schemas.openxmlformats.org/officeDocument/2006/relationships/hyperlink" Target="https://www.facebook.com/svetomirdj" TargetMode="External" Id="rId774"/><Relationship Type="http://schemas.openxmlformats.org/officeDocument/2006/relationships/hyperlink" Target="https://www.facebook.com/countrysidevetservices" TargetMode="External" Id="rId775"/><Relationship Type="http://schemas.openxmlformats.org/officeDocument/2006/relationships/hyperlink" Target="https://www.facebook.com/dogsofinstagram" TargetMode="External" Id="rId776"/><Relationship Type="http://schemas.openxmlformats.org/officeDocument/2006/relationships/hyperlink" Target="https://www.facebook.com/profile.php?id=61553493219921" TargetMode="External" Id="rId777"/><Relationship Type="http://schemas.openxmlformats.org/officeDocument/2006/relationships/hyperlink" Target="https://www.facebook.com/wildside.vet" TargetMode="External" Id="rId778"/><Relationship Type="http://schemas.openxmlformats.org/officeDocument/2006/relationships/hyperlink" Target="https://www.facebook.com/vetorthoctr" TargetMode="External" Id="rId779"/><Relationship Type="http://schemas.openxmlformats.org/officeDocument/2006/relationships/hyperlink" Target="https://www.facebook.com/profile.php?id=100067023396357" TargetMode="External" Id="rId780"/><Relationship Type="http://schemas.openxmlformats.org/officeDocument/2006/relationships/hyperlink" Target="https://www.facebook.com/bordeauxdogclubnederland" TargetMode="External" Id="rId781"/><Relationship Type="http://schemas.openxmlformats.org/officeDocument/2006/relationships/hyperlink" Target="https://www.facebook.com/profile.php?id=100064907281266" TargetMode="External" Id="rId782"/><Relationship Type="http://schemas.openxmlformats.org/officeDocument/2006/relationships/hyperlink" Target="https://www.facebook.com/KarunaSocietyforAnimalsandNature" TargetMode="External" Id="rId783"/><Relationship Type="http://schemas.openxmlformats.org/officeDocument/2006/relationships/hyperlink" Target="https://www.facebook.com/arianephotographeanimaliere" TargetMode="External" Id="rId784"/><Relationship Type="http://schemas.openxmlformats.org/officeDocument/2006/relationships/hyperlink" Target="https://www.facebook.com/DvernitskiyAleksandrPhotography" TargetMode="External" Id="rId785"/><Relationship Type="http://schemas.openxmlformats.org/officeDocument/2006/relationships/hyperlink" Target="https://www.facebook.com/michaudville123" TargetMode="External" Id="rId786"/><Relationship Type="http://schemas.openxmlformats.org/officeDocument/2006/relationships/hyperlink" Target="https://www.facebook.com/profile.php?id=61591040716421" TargetMode="External" Id="rId787"/><Relationship Type="http://schemas.openxmlformats.org/officeDocument/2006/relationships/hyperlink" Target="https://www.facebook.com/vetson.fi" TargetMode="External" Id="rId788"/><Relationship Type="http://schemas.openxmlformats.org/officeDocument/2006/relationships/hyperlink" Target="https://www.facebook.com/zonantimaltrattamentoprotezioneanimali" TargetMode="External" Id="rId789"/><Relationship Type="http://schemas.openxmlformats.org/officeDocument/2006/relationships/hyperlink" Target="https://www.facebook.com/casafeyallevamento" TargetMode="External" Id="rId790"/><Relationship Type="http://schemas.openxmlformats.org/officeDocument/2006/relationships/hyperlink" Target="https://www.facebook.com/sarveranimalhospital" TargetMode="External" Id="rId791"/><Relationship Type="http://schemas.openxmlformats.org/officeDocument/2006/relationships/hyperlink" Target="https://www.facebook.com/wilopawAH" TargetMode="External" Id="rId792"/><Relationship Type="http://schemas.openxmlformats.org/officeDocument/2006/relationships/hyperlink" Target="https://www.facebook.com/profile.php?id=100051590719566" TargetMode="External" Id="rId793"/><Relationship Type="http://schemas.openxmlformats.org/officeDocument/2006/relationships/hyperlink" Target="https://www.facebook.com/WellingtonEyeCO" TargetMode="External" Id="rId794"/><Relationship Type="http://schemas.openxmlformats.org/officeDocument/2006/relationships/hyperlink" Target="https://www.facebook.com/MundaoAnimal" TargetMode="External" Id="rId795"/><Relationship Type="http://schemas.openxmlformats.org/officeDocument/2006/relationships/hyperlink" Target="https://www.facebook.com/ScanvetPoland" TargetMode="External" Id="rId796"/><Relationship Type="http://schemas.openxmlformats.org/officeDocument/2006/relationships/hyperlink" Target="https://www.facebook.com/Leurspattesmapatte" TargetMode="External" Id="rId797"/><Relationship Type="http://schemas.openxmlformats.org/officeDocument/2006/relationships/hyperlink" Target="https://www.facebook.com/LakelandGundogClub" TargetMode="External" Id="rId798"/><Relationship Type="http://schemas.openxmlformats.org/officeDocument/2006/relationships/hyperlink" Target="https://www.facebook.com/profile.php?id=100064783923859" TargetMode="External" Id="rId799"/><Relationship Type="http://schemas.openxmlformats.org/officeDocument/2006/relationships/hyperlink" Target="https://www.facebook.com/tateanimals" TargetMode="External" Id="rId800"/><Relationship Type="http://schemas.openxmlformats.org/officeDocument/2006/relationships/hyperlink" Target="https://www.facebook.com/profile.php?id=61550639469003" TargetMode="External" Id="rId801"/><Relationship Type="http://schemas.openxmlformats.org/officeDocument/2006/relationships/hyperlink" Target="https://www.facebook.com/PetSuppliesPlusCoupons" TargetMode="External" Id="rId802"/><Relationship Type="http://schemas.openxmlformats.org/officeDocument/2006/relationships/hyperlink" Target="https://www.facebook.com/thetotalcanine" TargetMode="External" Id="rId803"/><Relationship Type="http://schemas.openxmlformats.org/officeDocument/2006/relationships/hyperlink" Target="https://www.facebook.com/orivetgenetics" TargetMode="External" Id="rId804"/><Relationship Type="http://schemas.openxmlformats.org/officeDocument/2006/relationships/hyperlink" Target="https://www.facebook.com/crazyladiesanimalservices" TargetMode="External" Id="rId805"/><Relationship Type="http://schemas.openxmlformats.org/officeDocument/2006/relationships/hyperlink" Target="https://www.facebook.com/profile.php?id=100068010770850" TargetMode="External" Id="rId806"/><Relationship Type="http://schemas.openxmlformats.org/officeDocument/2006/relationships/hyperlink" Target="https://www.facebook.com/profile.php?id=100079910089515" TargetMode="External" Id="rId807"/><Relationship Type="http://schemas.openxmlformats.org/officeDocument/2006/relationships/hyperlink" Target="https://www.facebook.com/Greenbankvet" TargetMode="External" Id="rId808"/><Relationship Type="http://schemas.openxmlformats.org/officeDocument/2006/relationships/hyperlink" Target="https://www.facebook.com/animalprideit" TargetMode="External" Id="rId809"/><Relationship Type="http://schemas.openxmlformats.org/officeDocument/2006/relationships/hyperlink" Target="https://www.facebook.com/premieranimalhousing" TargetMode="External" Id="rId810"/><Relationship Type="http://schemas.openxmlformats.org/officeDocument/2006/relationships/hyperlink" Target="https://www.facebook.com/profile.php?id=100077163384145" TargetMode="External" Id="rId811"/><Relationship Type="http://schemas.openxmlformats.org/officeDocument/2006/relationships/hyperlink" Target="https://www.facebook.com/profile.php?id=61573383688910" TargetMode="External" Id="rId812"/><Relationship Type="http://schemas.openxmlformats.org/officeDocument/2006/relationships/hyperlink" Target="https://www.facebook.com/profile.php?id=61558552682037" TargetMode="External" Id="rId813"/><Relationship Type="http://schemas.openxmlformats.org/officeDocument/2006/relationships/hyperlink" Target="https://www.facebook.com/DogdanceWorldchampionship" TargetMode="External" Id="rId814"/><Relationship Type="http://schemas.openxmlformats.org/officeDocument/2006/relationships/hyperlink" Target="https://www.facebook.com/stroudroadvets" TargetMode="External" Id="rId815"/><Relationship Type="http://schemas.openxmlformats.org/officeDocument/2006/relationships/hyperlink" Target="https://www.facebook.com/perdidosencastillayleon" TargetMode="External" Id="rId816"/><Relationship Type="http://schemas.openxmlformats.org/officeDocument/2006/relationships/hyperlink" Target="https://www.facebook.com/universalanimalsatl" TargetMode="External" Id="rId817"/><Relationship Type="http://schemas.openxmlformats.org/officeDocument/2006/relationships/hyperlink" Target="https://www.facebook.com/AkindheartAZ" TargetMode="External" Id="rId818"/><Relationship Type="http://schemas.openxmlformats.org/officeDocument/2006/relationships/hyperlink" Target="https://www.facebook.com/profile.php?id=61579043523153" TargetMode="External" Id="rId819"/><Relationship Type="http://schemas.openxmlformats.org/officeDocument/2006/relationships/hyperlink" Target="https://www.facebook.com/animalstripsofficial" TargetMode="External" Id="rId820"/><Relationship Type="http://schemas.openxmlformats.org/officeDocument/2006/relationships/hyperlink" Target="https://www.facebook.com/percheronesmucare.com.ar" TargetMode="External" Id="rId821"/><Relationship Type="http://schemas.openxmlformats.org/officeDocument/2006/relationships/hyperlink" Target="https://www.facebook.com/profile.php?id=61566375265489" TargetMode="External" Id="rId822"/><Relationship Type="http://schemas.openxmlformats.org/officeDocument/2006/relationships/hyperlink" Target="https://www.facebook.com/MisAnimalesOfficial" TargetMode="External" Id="rId823"/><Relationship Type="http://schemas.openxmlformats.org/officeDocument/2006/relationships/hyperlink" Target="https://www.facebook.com/VIETWONDER.Official" TargetMode="External" Id="rId824"/><Relationship Type="http://schemas.openxmlformats.org/officeDocument/2006/relationships/hyperlink" Target="https://www.facebook.com/bovitec.com.ar" TargetMode="External" Id="rId825"/><Relationship Type="http://schemas.openxmlformats.org/officeDocument/2006/relationships/hyperlink" Target="https://www.facebook.com/BSASanctuary" TargetMode="External" Id="rId826"/><Relationship Type="http://schemas.openxmlformats.org/officeDocument/2006/relationships/hyperlink" Target="https://www.facebook.com/profile.php?id=100064452199334" TargetMode="External" Id="rId827"/><Relationship Type="http://schemas.openxmlformats.org/officeDocument/2006/relationships/hyperlink" Target="https://www.facebook.com/profile.php?id=100080073026064" TargetMode="External" Id="rId828"/><Relationship Type="http://schemas.openxmlformats.org/officeDocument/2006/relationships/hyperlink" Target="https://www.facebook.com/profile.php?id=61565871982717" TargetMode="External" Id="rId829"/><Relationship Type="http://schemas.openxmlformats.org/officeDocument/2006/relationships/hyperlink" Target="https://www.facebook.com/profile.php?id=100072300284225" TargetMode="External" Id="rId830"/><Relationship Type="http://schemas.openxmlformats.org/officeDocument/2006/relationships/hyperlink" Target="https://www.facebook.com/cliniczakaria" TargetMode="External" Id="rId831"/><Relationship Type="http://schemas.openxmlformats.org/officeDocument/2006/relationships/hyperlink" Target="https://www.facebook.com/profile.php?id=61574047695821" TargetMode="External" Id="rId832"/><Relationship Type="http://schemas.openxmlformats.org/officeDocument/2006/relationships/hyperlink" Target="https://www.facebook.com/domesticjobsworldwide" TargetMode="External" Id="rId833"/><Relationship Type="http://schemas.openxmlformats.org/officeDocument/2006/relationships/hyperlink" Target="https://www.facebook.com/VetHCentreville" TargetMode="External" Id="rId834"/><Relationship Type="http://schemas.openxmlformats.org/officeDocument/2006/relationships/hyperlink" Target="https://www.facebook.com/profile.php?id=100083003757267" TargetMode="External" Id="rId835"/><Relationship Type="http://schemas.openxmlformats.org/officeDocument/2006/relationships/hyperlink" Target="https://www.facebook.com/profile.php?id=61552150933925" TargetMode="External" Id="rId836"/><Relationship Type="http://schemas.openxmlformats.org/officeDocument/2006/relationships/hyperlink" Target="https://www.facebook.com/AnimalAnticsNewsflare" TargetMode="External" Id="rId837"/><Relationship Type="http://schemas.openxmlformats.org/officeDocument/2006/relationships/hyperlink" Target="https://www.facebook.com/georgiaanimalactors" TargetMode="External" Id="rId838"/><Relationship Type="http://schemas.openxmlformats.org/officeDocument/2006/relationships/hyperlink" Target="https://www.facebook.com/profile.php?id=100057324383533" TargetMode="External" Id="rId839"/><Relationship Type="http://schemas.openxmlformats.org/officeDocument/2006/relationships/hyperlink" Target="https://www.facebook.com/MWACvet" TargetMode="External" Id="rId840"/><Relationship Type="http://schemas.openxmlformats.org/officeDocument/2006/relationships/hyperlink" Target="https://www.facebook.com/fabriziocombavet" TargetMode="External" Id="rId841"/><Relationship Type="http://schemas.openxmlformats.org/officeDocument/2006/relationships/hyperlink" Target="https://www.facebook.com/ForeverDogRepairManual" TargetMode="External" Id="rId842"/><Relationship Type="http://schemas.openxmlformats.org/officeDocument/2006/relationships/hyperlink" Target="https://www.facebook.com/DviKojoTes" TargetMode="External" Id="rId843"/><Relationship Type="http://schemas.openxmlformats.org/officeDocument/2006/relationships/hyperlink" Target="https://www.facebook.com/farmhillvets" TargetMode="External" Id="rId844"/><Relationship Type="http://schemas.openxmlformats.org/officeDocument/2006/relationships/hyperlink" Target="https://www.facebook.com/SchaeferVeterinaryService" TargetMode="External" Id="rId845"/><Relationship Type="http://schemas.openxmlformats.org/officeDocument/2006/relationships/hyperlink" Target="https://www.facebook.com/Veterinariovelletri" TargetMode="External" Id="rId846"/><Relationship Type="http://schemas.openxmlformats.org/officeDocument/2006/relationships/hyperlink" Target="https://www.facebook.com/drcarenhull" TargetMode="External" Id="rId847"/><Relationship Type="http://schemas.openxmlformats.org/officeDocument/2006/relationships/hyperlink" Target="https://www.facebook.com/TheGSDC" TargetMode="External" Id="rId848"/><Relationship Type="http://schemas.openxmlformats.org/officeDocument/2006/relationships/hyperlink" Target="https://www.facebook.com/sambadegaveta" TargetMode="External" Id="rId849"/><Relationship Type="http://schemas.openxmlformats.org/officeDocument/2006/relationships/hyperlink" Target="https://www.facebook.com/remedialmassageforhealth" TargetMode="External" Id="rId850"/><Relationship Type="http://schemas.openxmlformats.org/officeDocument/2006/relationships/hyperlink" Target="https://www.facebook.com/profile.php?id=100066339559515" TargetMode="External" Id="rId851"/><Relationship Type="http://schemas.openxmlformats.org/officeDocument/2006/relationships/hyperlink" Target="https://www.facebook.com/profile.php?id=100063526301621" TargetMode="External" Id="rId852"/><Relationship Type="http://schemas.openxmlformats.org/officeDocument/2006/relationships/hyperlink" Target="https://www.facebook.com/Amigos.de.los.Animales.ADLA" TargetMode="External" Id="rId853"/><Relationship Type="http://schemas.openxmlformats.org/officeDocument/2006/relationships/hyperlink" Target="https://www.facebook.com/profile.php?id=100057143302446" TargetMode="External" Id="rId854"/><Relationship Type="http://schemas.openxmlformats.org/officeDocument/2006/relationships/hyperlink" Target="https://www.facebook.com/Lusisstars" TargetMode="External" Id="rId855"/><Relationship Type="http://schemas.openxmlformats.org/officeDocument/2006/relationships/hyperlink" Target="https://www.facebook.com/profile.php?id=100063639486264" TargetMode="External" Id="rId856"/><Relationship Type="http://schemas.openxmlformats.org/officeDocument/2006/relationships/hyperlink" Target="https://www.facebook.com/FMLobsterNC" TargetMode="External" Id="rId857"/><Relationship Type="http://schemas.openxmlformats.org/officeDocument/2006/relationships/hyperlink" Target="https://www.facebook.com/clarkanimalhospitalnj" TargetMode="External" Id="rId858"/><Relationship Type="http://schemas.openxmlformats.org/officeDocument/2006/relationships/hyperlink" Target="https://www.facebook.com/PostingCuteness" TargetMode="External" Id="rId859"/><Relationship Type="http://schemas.openxmlformats.org/officeDocument/2006/relationships/hyperlink" Target="https://www.facebook.com/animalsmilesclips2023" TargetMode="External" Id="rId860"/><Relationship Type="http://schemas.openxmlformats.org/officeDocument/2006/relationships/hyperlink" Target="https://www.facebook.com/AnimalCargoBus" TargetMode="External" Id="rId861"/><Relationship Type="http://schemas.openxmlformats.org/officeDocument/2006/relationships/hyperlink" Target="https://www.facebook.com/DingoAnimalTaxi" TargetMode="External" Id="rId862"/><Relationship Type="http://schemas.openxmlformats.org/officeDocument/2006/relationships/hyperlink" Target="https://www.facebook.com/profile.php?id=100057396551520" TargetMode="External" Id="rId863"/><Relationship Type="http://schemas.openxmlformats.org/officeDocument/2006/relationships/hyperlink" Target="https://www.facebook.com/profile.php?id=100040267275754" TargetMode="External" Id="rId864"/><Relationship Type="http://schemas.openxmlformats.org/officeDocument/2006/relationships/hyperlink" Target="https://www.facebook.com/profile.php?id=61572968593830" TargetMode="External" Id="rId865"/><Relationship Type="http://schemas.openxmlformats.org/officeDocument/2006/relationships/hyperlink" Target="https://www.facebook.com/ServeiAcollidaAnimalsGirona" TargetMode="External" Id="rId866"/><Relationship Type="http://schemas.openxmlformats.org/officeDocument/2006/relationships/hyperlink" Target="https://www.facebook.com/Faromobilebathanghai" TargetMode="External" Id="rId867"/><Relationship Type="http://schemas.openxmlformats.org/officeDocument/2006/relationships/hyperlink" Target="https://www.facebook.com/providencescf" TargetMode="External" Id="rId868"/><Relationship Type="http://schemas.openxmlformats.org/officeDocument/2006/relationships/hyperlink" Target="https://www.facebook.com/zoetislivestockfarminguk" TargetMode="External" Id="rId869"/><Relationship Type="http://schemas.openxmlformats.org/officeDocument/2006/relationships/hyperlink" Target="https://www.facebook.com/profile.php?id=61558411727578" TargetMode="External" Id="rId870"/><Relationship Type="http://schemas.openxmlformats.org/officeDocument/2006/relationships/hyperlink" Target="https://www.facebook.com/kisskecskefarm" TargetMode="External" Id="rId871"/><Relationship Type="http://schemas.openxmlformats.org/officeDocument/2006/relationships/hyperlink" Target="https://www.facebook.com/profile.php?id=100089005555617" TargetMode="External" Id="rId872"/><Relationship Type="http://schemas.openxmlformats.org/officeDocument/2006/relationships/hyperlink" Target="https://www.facebook.com/profile.php?id=61578539638528" TargetMode="External" Id="rId873"/><Relationship Type="http://schemas.openxmlformats.org/officeDocument/2006/relationships/hyperlink" Target="https://www.facebook.com/DuckCreekAnimalHospital" TargetMode="External" Id="rId874"/><Relationship Type="http://schemas.openxmlformats.org/officeDocument/2006/relationships/hyperlink" Target="https://www.facebook.com/PregnaVet" TargetMode="External" Id="rId875"/><Relationship Type="http://schemas.openxmlformats.org/officeDocument/2006/relationships/hyperlink" Target="https://www.facebook.com/profile.php?id=61577199184985" TargetMode="External" Id="rId876"/><Relationship Type="http://schemas.openxmlformats.org/officeDocument/2006/relationships/hyperlink" Target="https://www.facebook.com/AnimalFactoryEuropa" TargetMode="External" Id="rId877"/><Relationship Type="http://schemas.openxmlformats.org/officeDocument/2006/relationships/hyperlink" Target="https://www.facebook.com/profile.php?id=100067181749849" TargetMode="External" Id="rId878"/><Relationship Type="http://schemas.openxmlformats.org/officeDocument/2006/relationships/hyperlink" Target="https://www.facebook.com/Petardeo" TargetMode="External" Id="rId879"/><Relationship Type="http://schemas.openxmlformats.org/officeDocument/2006/relationships/hyperlink" Target="https://www.facebook.com/Safariwildanimalpark" TargetMode="External" Id="rId880"/><Relationship Type="http://schemas.openxmlformats.org/officeDocument/2006/relationships/hyperlink" Target="https://www.facebook.com/profile.php?id=100090930706006" TargetMode="External" Id="rId881"/><Relationship Type="http://schemas.openxmlformats.org/officeDocument/2006/relationships/hyperlink" Target="https://www.facebook.com/medveterinariabrasil" TargetMode="External" Id="rId882"/><Relationship Type="http://schemas.openxmlformats.org/officeDocument/2006/relationships/hyperlink" Target="https://www.facebook.com/AnimaltalkMagazine" TargetMode="External" Id="rId883"/><Relationship Type="http://schemas.openxmlformats.org/officeDocument/2006/relationships/hyperlink" Target="https://www.facebook.com/jingarafarm" TargetMode="External" Id="rId884"/><Relationship Type="http://schemas.openxmlformats.org/officeDocument/2006/relationships/hyperlink" Target="https://www.facebook.com/profile.php?id=100089107682994" TargetMode="External" Id="rId885"/><Relationship Type="http://schemas.openxmlformats.org/officeDocument/2006/relationships/hyperlink" Target="https://www.facebook.com/profile.php?id=100085573891347" TargetMode="External" Id="rId886"/><Relationship Type="http://schemas.openxmlformats.org/officeDocument/2006/relationships/hyperlink" Target="https://www.facebook.com/aapropeludos" TargetMode="External" Id="rId887"/><Relationship Type="http://schemas.openxmlformats.org/officeDocument/2006/relationships/hyperlink" Target="https://www.facebook.com/mesmiledentalclinic" TargetMode="External" Id="rId888"/><Relationship Type="http://schemas.openxmlformats.org/officeDocument/2006/relationships/hyperlink" Target="https://www.facebook.com/animalesdiscapacitados" TargetMode="External" Id="rId889"/><Relationship Type="http://schemas.openxmlformats.org/officeDocument/2006/relationships/hyperlink" Target="https://www.facebook.com/TEZWIC" TargetMode="External" Id="rId890"/><Relationship Type="http://schemas.openxmlformats.org/officeDocument/2006/relationships/hyperlink" Target="https://www.facebook.com/profile.php?id=61561991500276" TargetMode="External" Id="rId891"/><Relationship Type="http://schemas.openxmlformats.org/officeDocument/2006/relationships/hyperlink" Target="https://www.facebook.com/profile.php?id=100083167370933" TargetMode="External" Id="rId892"/><Relationship Type="http://schemas.openxmlformats.org/officeDocument/2006/relationships/hyperlink" Target="https://www.facebook.com/AnimalStoriesVideos" TargetMode="External" Id="rId893"/><Relationship Type="http://schemas.openxmlformats.org/officeDocument/2006/relationships/hyperlink" Target="https://www.facebook.com/animaldietformulator" TargetMode="External" Id="rId894"/><Relationship Type="http://schemas.openxmlformats.org/officeDocument/2006/relationships/hyperlink" Target="https://www.facebook.com/velvetandlinen" TargetMode="External" Id="rId895"/><Relationship Type="http://schemas.openxmlformats.org/officeDocument/2006/relationships/hyperlink" Target="https://www.facebook.com/veterinariogratisoficial" TargetMode="External" Id="rId896"/><Relationship Type="http://schemas.openxmlformats.org/officeDocument/2006/relationships/hyperlink" Target="https://www.facebook.com/VCAJolietAnimalHospital" TargetMode="External" Id="rId897"/><Relationship Type="http://schemas.openxmlformats.org/officeDocument/2006/relationships/hyperlink" Target="https://www.facebook.com/profile.php?id=100063583996391" TargetMode="External" Id="rId898"/><Relationship Type="http://schemas.openxmlformats.org/officeDocument/2006/relationships/hyperlink" Target="https://www.facebook.com/profile.php?id=61570891085894" TargetMode="External" Id="rId899"/><Relationship Type="http://schemas.openxmlformats.org/officeDocument/2006/relationships/hyperlink" Target="https://www.facebook.com/liviavilelaultrassom" TargetMode="External" Id="rId900"/><Relationship Type="http://schemas.openxmlformats.org/officeDocument/2006/relationships/hyperlink" Target="https://www.facebook.com/mundoAnimalia" TargetMode="External" Id="rId901"/><Relationship Type="http://schemas.openxmlformats.org/officeDocument/2006/relationships/hyperlink" Target="https://www.facebook.com/profile.php?id=100064141896216" TargetMode="External" Id="rId902"/><Relationship Type="http://schemas.openxmlformats.org/officeDocument/2006/relationships/hyperlink" Target="https://www.facebook.com/livrosvetgratis" TargetMode="External" Id="rId903"/><Relationship Type="http://schemas.openxmlformats.org/officeDocument/2006/relationships/hyperlink" Target="https://www.facebook.com/FundacionDeBlanck" TargetMode="External" Id="rId904"/><Relationship Type="http://schemas.openxmlformats.org/officeDocument/2006/relationships/hyperlink" Target="https://www.facebook.com/DRNA.Southeastern" TargetMode="External" Id="rId905"/><Relationship Type="http://schemas.openxmlformats.org/officeDocument/2006/relationships/hyperlink" Target="https://www.facebook.com/profile.php?id=100067098895308" TargetMode="External" Id="rId906"/><Relationship Type="http://schemas.openxmlformats.org/officeDocument/2006/relationships/hyperlink" Target="https://www.facebook.com/TagametBenadrylCancerRemissionProtocol" TargetMode="External" Id="rId907"/><Relationship Type="http://schemas.openxmlformats.org/officeDocument/2006/relationships/hyperlink" Target="https://www.facebook.com/GFMDogClub" TargetMode="External" Id="rId908"/><Relationship Type="http://schemas.openxmlformats.org/officeDocument/2006/relationships/hyperlink" Target="https://www.facebook.com/AnimaliSConfini" TargetMode="External" Id="rId909"/><Relationship Type="http://schemas.openxmlformats.org/officeDocument/2006/relationships/hyperlink" Target="https://www.facebook.com/profile.php?id=100088386670232" TargetMode="External" Id="rId910"/><Relationship Type="http://schemas.openxmlformats.org/officeDocument/2006/relationships/hyperlink" Target="https://www.facebook.com/SvitlanaBachurina82" TargetMode="External" Id="rId911"/><Relationship Type="http://schemas.openxmlformats.org/officeDocument/2006/relationships/hyperlink" Target="https://www.facebook.com/svetlana.simankovich" TargetMode="External" Id="rId912"/><Relationship Type="http://schemas.openxmlformats.org/officeDocument/2006/relationships/hyperlink" Target="https://www.facebook.com/veterifarmaalghero" TargetMode="External" Id="rId913"/><Relationship Type="http://schemas.openxmlformats.org/officeDocument/2006/relationships/hyperlink" Target="https://www.facebook.com/SilvaCalvet" TargetMode="External" Id="rId914"/><Relationship Type="http://schemas.openxmlformats.org/officeDocument/2006/relationships/hyperlink" Target="https://www.facebook.com/100040275135206" TargetMode="External" Id="rId915"/><Relationship Type="http://schemas.openxmlformats.org/officeDocument/2006/relationships/hyperlink" Target="https://www.facebook.com/mesafarmersmarket" TargetMode="External" Id="rId916"/><Relationship Type="http://schemas.openxmlformats.org/officeDocument/2006/relationships/hyperlink" Target="https://www.facebook.com/HarrisParkwayAnimalHospital" TargetMode="External" Id="rId917"/><Relationship Type="http://schemas.openxmlformats.org/officeDocument/2006/relationships/hyperlink" Target="https://www.facebook.com/profile.php?id=100064709662642" TargetMode="External" Id="rId918"/><Relationship Type="http://schemas.openxmlformats.org/officeDocument/2006/relationships/hyperlink" Target="https://www.facebook.com/profile.php?id=100069465615090" TargetMode="External" Id="rId919"/><Relationship Type="http://schemas.openxmlformats.org/officeDocument/2006/relationships/hyperlink" Target="https://www.facebook.com/IronhorseVeterinaryCare" TargetMode="External" Id="rId920"/><Relationship Type="http://schemas.openxmlformats.org/officeDocument/2006/relationships/hyperlink" Target="https://www.facebook.com/vetzooumsnh" TargetMode="External" Id="rId921"/><Relationship Type="http://schemas.openxmlformats.org/officeDocument/2006/relationships/hyperlink" Target="https://www.facebook.com/papromaan" TargetMode="External" Id="rId922"/><Relationship Type="http://schemas.openxmlformats.org/officeDocument/2006/relationships/hyperlink" Target="https://www.facebook.com/DansMasterAuto" TargetMode="External" Id="rId923"/><Relationship Type="http://schemas.openxmlformats.org/officeDocument/2006/relationships/hyperlink" Target="https://www.facebook.com/profile.php?id=100069997883289" TargetMode="External" Id="rId924"/><Relationship Type="http://schemas.openxmlformats.org/officeDocument/2006/relationships/hyperlink" Target="https://www.facebook.com/NativeAmerican12" TargetMode="External" Id="rId925"/><Relationship Type="http://schemas.openxmlformats.org/officeDocument/2006/relationships/hyperlink" Target="https://www.facebook.com/clinicasveterinariassolaresyvillanueva" TargetMode="External" Id="rId926"/><Relationship Type="http://schemas.openxmlformats.org/officeDocument/2006/relationships/hyperlink" Target="https://www.facebook.com/PurinaVeterinaryExchange" TargetMode="External" Id="rId927"/><Relationship Type="http://schemas.openxmlformats.org/officeDocument/2006/relationships/hyperlink" Target="https://www.facebook.com/drtacio" TargetMode="External" Id="rId928"/><Relationship Type="http://schemas.openxmlformats.org/officeDocument/2006/relationships/hyperlink" Target="https://www.facebook.com/Regenvet" TargetMode="External" Id="rId929"/><Relationship Type="http://schemas.openxmlformats.org/officeDocument/2006/relationships/hyperlink" Target="https://www.facebook.com/grafikadlazwierzaka" TargetMode="External" Id="rId930"/><Relationship Type="http://schemas.openxmlformats.org/officeDocument/2006/relationships/hyperlink" Target="https://www.facebook.com/profile.php?id=100063602105636" TargetMode="External" Id="rId931"/><Relationship Type="http://schemas.openxmlformats.org/officeDocument/2006/relationships/hyperlink" Target="https://www.facebook.com/AArgTPA" TargetMode="External" Id="rId932"/><Relationship Type="http://schemas.openxmlformats.org/officeDocument/2006/relationships/hyperlink" Target="https://www.facebook.com/villagecoon" TargetMode="External" Id="rId933"/><Relationship Type="http://schemas.openxmlformats.org/officeDocument/2006/relationships/hyperlink" Target="https://www.facebook.com/EyeCareforAnimals" TargetMode="External" Id="rId934"/><Relationship Type="http://schemas.openxmlformats.org/officeDocument/2006/relationships/hyperlink" Target="https://www.facebook.com/AnthemFarmersMarket" TargetMode="External" Id="rId935"/><Relationship Type="http://schemas.openxmlformats.org/officeDocument/2006/relationships/hyperlink" Target="https://www.facebook.com/lungoneraveterinarioterni" TargetMode="External" Id="rId936"/><Relationship Type="http://schemas.openxmlformats.org/officeDocument/2006/relationships/hyperlink" Target="https://www.facebook.com/animalsfirst" TargetMode="External" Id="rId937"/><Relationship Type="http://schemas.openxmlformats.org/officeDocument/2006/relationships/hyperlink" Target="https://www.facebook.com/profile.php?id=100063543731123" TargetMode="External" Id="rId938"/><Relationship Type="http://schemas.openxmlformats.org/officeDocument/2006/relationships/hyperlink" Target="https://www.facebook.com/profile.php?id=100050180722596" TargetMode="External" Id="rId939"/><Relationship Type="http://schemas.openxmlformats.org/officeDocument/2006/relationships/hyperlink" Target="https://www.facebook.com/svetlana.senicheva.2025" TargetMode="External" Id="rId940"/><Relationship Type="http://schemas.openxmlformats.org/officeDocument/2006/relationships/hyperlink" Target="https://www.facebook.com/mwspachuyentrimun" TargetMode="External" Id="rId941"/><Relationship Type="http://schemas.openxmlformats.org/officeDocument/2006/relationships/hyperlink" Target="https://www.facebook.com/profile.php?id=100082737900281" TargetMode="External" Id="rId942"/><Relationship Type="http://schemas.openxmlformats.org/officeDocument/2006/relationships/hyperlink" Target="https://www.facebook.com/profile.php?id=61594627902046" TargetMode="External" Id="rId943"/><Relationship Type="http://schemas.openxmlformats.org/officeDocument/2006/relationships/hyperlink" Target="https://www.facebook.com/profile.php?id=100070662799191" TargetMode="External" Id="rId944"/><Relationship Type="http://schemas.openxmlformats.org/officeDocument/2006/relationships/hyperlink" Target="https://www.facebook.com/profile.php?id=100064677435223" TargetMode="External" Id="rId945"/><Relationship Type="http://schemas.openxmlformats.org/officeDocument/2006/relationships/hyperlink" Target="https://www.facebook.com/profile.php?id=100067784017873" TargetMode="External" Id="rId946"/><Relationship Type="http://schemas.openxmlformats.org/officeDocument/2006/relationships/hyperlink" Target="https://www.facebook.com/profile.php?id=61586573000286" TargetMode="External" Id="rId947"/><Relationship Type="http://schemas.openxmlformats.org/officeDocument/2006/relationships/hyperlink" Target="https://www.facebook.com/profile.php?id=61594242844957" TargetMode="External" Id="rId948"/><Relationship Type="http://schemas.openxmlformats.org/officeDocument/2006/relationships/hyperlink" Target="https://www.facebook.com/allevamentodeiSeccarrccia" TargetMode="External" Id="rId949"/><Relationship Type="http://schemas.openxmlformats.org/officeDocument/2006/relationships/hyperlink" Target="https://www.facebook.com/profile.php?id=61592209383158" TargetMode="External" Id="rId950"/><Relationship Type="http://schemas.openxmlformats.org/officeDocument/2006/relationships/hyperlink" Target="https://www.facebook.com/profile.php?id=61577225673064" TargetMode="External" Id="rId951"/><Relationship Type="http://schemas.openxmlformats.org/officeDocument/2006/relationships/hyperlink" Target="https://www.facebook.com/profile.php?id=100092263547338" TargetMode="External" Id="rId952"/><Relationship Type="http://schemas.openxmlformats.org/officeDocument/2006/relationships/hyperlink" Target="https://www.facebook.com/L.A.Tails" TargetMode="External" Id="rId953"/><Relationship Type="http://schemas.openxmlformats.org/officeDocument/2006/relationships/hyperlink" Target="https://www.facebook.com/profile.php?id=100066688197346" TargetMode="External" Id="rId954"/><Relationship Type="http://schemas.openxmlformats.org/officeDocument/2006/relationships/hyperlink" Target="https://www.facebook.com/profile.php?id=61587731259549" TargetMode="External" Id="rId955"/><Relationship Type="http://schemas.openxmlformats.org/officeDocument/2006/relationships/hyperlink" Target="https://www.facebook.com/profile.php?id=61559962422137" TargetMode="External" Id="rId956"/><Relationship Type="http://schemas.openxmlformats.org/officeDocument/2006/relationships/hyperlink" Target="https://www.facebook.com/profile.php?id=61573434686912" TargetMode="External" Id="rId957"/><Relationship Type="http://schemas.openxmlformats.org/officeDocument/2006/relationships/hyperlink" Target="https://www.facebook.com/SpiritAnimalsCollection" TargetMode="External" Id="rId958"/><Relationship Type="http://schemas.openxmlformats.org/officeDocument/2006/relationships/hyperlink" Target="https://www.facebook.com/sweetfieldfarms" TargetMode="External" Id="rId959"/><Relationship Type="http://schemas.openxmlformats.org/officeDocument/2006/relationships/hyperlink" Target="https://www.facebook.com/TriplelakeFarms" TargetMode="External" Id="rId9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6" customWidth="1" min="4" max="4"/>
    <col width="68" customWidth="1" min="5" max="5"/>
  </cols>
  <sheetData>
    <row r="1" ht="24" customHeight="1">
      <c r="A1" s="1" t="inlineStr">
        <is>
          <t>BÁO CÁO PHÂN LOẠI &amp; CHẤM ĐIỂM KHÁCH HÀNG TIỀM NĂNG (PET GRASS, POTTY &amp; TOYS)</t>
        </is>
      </c>
    </row>
    <row r="2">
      <c r="A2" s="2" t="inlineStr">
        <is>
          <t>Hệ thống Chấm điểm 5 Trục Chống Bão Hòa | Phạm vi Chiến lược: 100% Thị trường Hoa Kỳ (USA Target Market)</t>
        </is>
      </c>
    </row>
    <row r="4">
      <c r="A4" s="3" t="inlineStr">
        <is>
          <t>1. THỐNG KÊ PHỄU LỌC DỮ LIỆU ĐẦU VÀO (DATA CLEANING &amp; FILTERING FUNNEL)</t>
        </is>
      </c>
    </row>
    <row r="5" ht="24" customHeight="1">
      <c r="A5" s="4" t="inlineStr">
        <is>
          <t>Giai đoạn Phễu Lọc (Funnel Stage)</t>
        </is>
      </c>
      <c r="B5" s="5" t="inlineStr">
        <is>
          <t>Số lượng Hồ sơ</t>
        </is>
      </c>
      <c r="C5" s="5" t="inlineStr">
        <is>
          <t>Tỷ lệ (%)</t>
        </is>
      </c>
      <c r="D5" s="4" t="inlineStr">
        <is>
          <t>Ghi chú &amp; Quy tắc Vận hành</t>
        </is>
      </c>
    </row>
    <row r="6">
      <c r="A6" s="6" t="inlineStr">
        <is>
          <t>Tổng số dòng dữ liệu thô ban đầu (Raw CSV Rows)</t>
        </is>
      </c>
      <c r="B6" s="7" t="n">
        <v>5993</v>
      </c>
      <c r="C6" s="8">
        <f>B6/B6</f>
        <v/>
      </c>
      <c r="D6" s="6" t="inlineStr">
        <is>
          <t>Dữ liệu gốc từ FB_PublishTime_1791866762111.csv</t>
        </is>
      </c>
    </row>
    <row r="7">
      <c r="A7" s="9" t="inlineStr">
        <is>
          <t>Bản ghi trùng lặp đã loại bỏ (Deduplicated Rows)</t>
        </is>
      </c>
      <c r="B7" s="10" t="n">
        <v>2474</v>
      </c>
      <c r="C7" s="11">
        <f>B7/$B$6</f>
        <v/>
      </c>
      <c r="D7" s="9" t="inlineStr">
        <is>
          <t>Khử trùng lặp theo URL &amp; ID Facebook chuẩn hóa, giữ bài đăng mới nhất</t>
        </is>
      </c>
    </row>
    <row r="8">
      <c r="A8" s="12" t="inlineStr">
        <is>
          <t>Tổng số Profile/Fanpage duy nhất (Unique Profiles)</t>
        </is>
      </c>
      <c r="B8" s="13" t="n">
        <v>3519</v>
      </c>
      <c r="C8" s="14">
        <f>B8/$B$6</f>
        <v/>
      </c>
      <c r="D8" s="6" t="inlineStr">
        <is>
          <t>100% cơ sở dữ liệu sau khi khử trùng lặp</t>
        </is>
      </c>
    </row>
    <row r="9">
      <c r="A9" s="9" t="inlineStr">
        <is>
          <t>Loại trừ theo Bộ lọc Âm tính &amp; Phi khách hàng (Excluded)</t>
        </is>
      </c>
      <c r="B9" s="10" t="n">
        <v>960</v>
      </c>
      <c r="C9" s="11">
        <f>B9/$B$8</f>
        <v/>
      </c>
      <c r="D9" s="9" t="inlineStr">
        <is>
          <t>Hiệp hội AKC/UKC/FCI, Siêu thị lớn, Kênh Meme, Thú y/DNA, FB User ẩn danh</t>
        </is>
      </c>
    </row>
    <row r="10">
      <c r="A10" s="6" t="inlineStr">
        <is>
          <t>Lưu trữ Thị trường Quốc tế (International Expansion)</t>
        </is>
      </c>
      <c r="B10" s="7" t="n">
        <v>216</v>
      </c>
      <c r="C10" s="8">
        <f>B10/$B$8</f>
        <v/>
      </c>
      <c r="D10" s="6" t="inlineStr">
        <is>
          <t>Canada, UK, Úc, Châu Âu, Châu Á... Lưu phễu mở rộng Giai đoạn 2</t>
        </is>
      </c>
    </row>
    <row r="11">
      <c r="A11" s="15" t="inlineStr">
        <is>
          <t>Khách hàng Hợp lệ Nội địa Mỹ (US Valid Leads)</t>
        </is>
      </c>
      <c r="B11" s="16" t="n">
        <v>2343</v>
      </c>
      <c r="C11" s="17">
        <f>B11/$B$8</f>
        <v/>
      </c>
      <c r="D11" s="9" t="inlineStr">
        <is>
          <t>100% thuộc thị trường mục tiêu Hoa Kỳ (Đưa vào chấm điểm 5 trục)</t>
        </is>
      </c>
    </row>
    <row r="12">
      <c r="A12" s="18" t="inlineStr">
        <is>
          <t>Hot Leads Cấp A Trọng điểm Sales (Điểm &gt;= 61)</t>
        </is>
      </c>
      <c r="B12" s="19" t="n">
        <v>298</v>
      </c>
      <c r="C12" s="20">
        <f>B12/$B$11</f>
        <v/>
      </c>
      <c r="D12" s="21" t="inlineStr">
        <is>
          <t>Ưu tiên số 1 cho Đội Sales gọi điện &amp; chào gói Take-Home Kit V2/V3</t>
        </is>
      </c>
    </row>
    <row r="15">
      <c r="A15" s="3" t="inlineStr">
        <is>
          <t>2. PHÂN BỔ CẤP BẬC KHÁCH HÀNG NỘI ĐỊA MỸ (US LEAD TIER DISTRIBUTION)</t>
        </is>
      </c>
    </row>
    <row r="16" ht="24" customHeight="1">
      <c r="A16" s="22" t="inlineStr">
        <is>
          <t>Phân hạng (Tier &amp; Cấp độ)</t>
        </is>
      </c>
      <c r="B16" s="23" t="inlineStr">
        <is>
          <t>Số lượng (US Leads)</t>
        </is>
      </c>
      <c r="C16" s="23" t="inlineStr">
        <is>
          <t>Tỷ trọng (%)</t>
        </is>
      </c>
      <c r="D16" s="23" t="inlineStr">
        <is>
          <t>Điểm Chuẩn</t>
        </is>
      </c>
      <c r="E16" s="22" t="inlineStr">
        <is>
          <t>Chiến lược Tiếp cận của Đội Sales &amp; Marketing</t>
        </is>
      </c>
    </row>
    <row r="17">
      <c r="A17" s="18" t="inlineStr">
        <is>
          <t>Tier S (Kim Cương: 85-100đ)</t>
        </is>
      </c>
      <c r="B17" s="19" t="n">
        <v>1</v>
      </c>
      <c r="C17" s="24">
        <f>B17/$B$23</f>
        <v/>
      </c>
      <c r="D17" s="25" t="inlineStr">
        <is>
          <t>85 - 100 điểm</t>
        </is>
      </c>
      <c r="E17" s="21" t="inlineStr">
        <is>
          <t>Gọi điện chốt hợp đồng ngay trong ngày + Chào Take-Home Kit V3 in logo độc quyền</t>
        </is>
      </c>
    </row>
    <row r="18">
      <c r="A18" s="26" t="inlineStr">
        <is>
          <t>Tier A (Vàng: 70-84đ)</t>
        </is>
      </c>
      <c r="B18" s="27" t="n">
        <v>105</v>
      </c>
      <c r="C18" s="28">
        <f>B18/$B$23</f>
        <v/>
      </c>
      <c r="D18" s="29" t="inlineStr">
        <is>
          <t>70 - 84 điểm</t>
        </is>
      </c>
      <c r="E18" s="30" t="inlineStr">
        <is>
          <t>Ưu tiên gọi Telesale trực tiếp trong ngày + Email cá nhân hóa chào Puppy Kit V2/V3</t>
        </is>
      </c>
    </row>
    <row r="19">
      <c r="A19" s="26" t="inlineStr">
        <is>
          <t>Tier B+ (Cấp A Hot Lead: 61-69đ)</t>
        </is>
      </c>
      <c r="B19" s="27" t="n">
        <v>192</v>
      </c>
      <c r="C19" s="28">
        <f>B19/$B$23</f>
        <v/>
      </c>
      <c r="D19" s="29" t="inlineStr">
        <is>
          <t>61 - 69 điểm</t>
        </is>
      </c>
      <c r="E19" s="30" t="inlineStr">
        <is>
          <t>Hot Lead Cấp A (≥61đ): Telesale + Email chào gói Starter Kit &amp; Báo giá sỉ chiết khấu BOM</t>
        </is>
      </c>
    </row>
    <row r="20">
      <c r="A20" s="31" t="inlineStr">
        <is>
          <t>Tier B (Bạc: 50-60đ)</t>
        </is>
      </c>
      <c r="B20" s="32" t="n">
        <v>363</v>
      </c>
      <c r="C20" s="33">
        <f>B20/$B$23</f>
        <v/>
      </c>
      <c r="D20" s="34" t="inlineStr">
        <is>
          <t>50 - 60 điểm</t>
        </is>
      </c>
      <c r="E20" s="35" t="inlineStr">
        <is>
          <t>Tiếp cận tự động qua chuỗi Email Marketing + Chăm sóc bổ sung bằng Telesale</t>
        </is>
      </c>
    </row>
    <row r="21">
      <c r="A21" s="36" t="inlineStr">
        <is>
          <t>Tier C (Đồng: 30-49đ)</t>
        </is>
      </c>
      <c r="B21" s="37" t="n">
        <v>830</v>
      </c>
      <c r="C21" s="38">
        <f>B21/$B$23</f>
        <v/>
      </c>
      <c r="D21" s="39" t="inlineStr">
        <is>
          <t>30 - 49 điểm</t>
        </is>
      </c>
      <c r="E21" s="40" t="inlineStr">
        <is>
          <t>Nhắn tin trực tiếp chi phí thấp qua Fanpage Facebook/Instagram + Nuôi dưỡng nội dung</t>
        </is>
      </c>
    </row>
    <row r="22">
      <c r="A22" s="41" t="inlineStr">
        <is>
          <t>Tier D (Đóng băng: &lt;30đ / &gt;30 ngày)</t>
        </is>
      </c>
      <c r="B22" s="42" t="n">
        <v>852</v>
      </c>
      <c r="C22" s="43">
        <f>B22/$B$23</f>
        <v/>
      </c>
      <c r="D22" s="44" t="inlineStr">
        <is>
          <t>&lt; 30đ / &gt;30 ngày</t>
        </is>
      </c>
      <c r="E22" s="45" t="inlineStr">
        <is>
          <t>Tạm thời lưu trữ chờ kích hoạt lại, không phân bổ ngân sách Telesale</t>
        </is>
      </c>
    </row>
    <row r="23">
      <c r="A23" s="46" t="inlineStr">
        <is>
          <t>Tổng cộng US Valid Leads</t>
        </is>
      </c>
      <c r="B23" s="47">
        <f>SUM(B17:B22)</f>
        <v/>
      </c>
      <c r="C23" s="48">
        <f>SUM(C17:C22)</f>
        <v/>
      </c>
      <c r="D23" s="49" t="inlineStr">
        <is>
          <t>0 - 100 điểm</t>
        </is>
      </c>
      <c r="E23" s="46" t="inlineStr">
        <is>
          <t>Trong đó Tổng Hot Leads Cấp A (≥61 điểm) = 298 hồ sơ</t>
        </is>
      </c>
    </row>
    <row r="26">
      <c r="A26" s="3" t="inlineStr">
        <is>
          <t>3. PHÂN BỔ THEO NHÓM KHÁCH HÀNG MỤC TIÊU (US ICP FIT BREAKDOWN)</t>
        </is>
      </c>
    </row>
    <row r="27" ht="24" customHeight="1">
      <c r="A27" s="4" t="inlineStr">
        <is>
          <t>Nhóm Chân dung Khách hàng (ICP Segment)</t>
        </is>
      </c>
      <c r="B27" s="5" t="inlineStr">
        <is>
          <t>Tổng Hồ sơ Mỹ</t>
        </is>
      </c>
      <c r="C27" s="5" t="inlineStr">
        <is>
          <t>Đang Hoạt động (&lt;=30 ngày)</t>
        </is>
      </c>
      <c r="D27" s="5" t="inlineStr">
        <is>
          <t>Điểm TB (Active)</t>
        </is>
      </c>
      <c r="E27" s="4" t="inlineStr">
        <is>
          <t>Sản phẩm Chủ lực Đề xuất (Core Product Angle)</t>
        </is>
      </c>
    </row>
    <row r="28">
      <c r="A28" s="12" t="inlineStr">
        <is>
          <t>Dog Breeder / Trại chó chuyên nghiệp (28-30đ)</t>
        </is>
      </c>
      <c r="B28" s="7" t="n">
        <v>794</v>
      </c>
      <c r="C28" s="13" t="n">
        <v>438</v>
      </c>
      <c r="D28" s="50" t="n">
        <v>62.3</v>
      </c>
      <c r="E28" s="6" t="inlineStr">
        <is>
          <t>Trọn bộ Take-Home Starter Kit V2/V3 (Cỏ nhân tạo + Khay Potty + Đồ chơi Teething/Snuggle)</t>
        </is>
      </c>
    </row>
    <row r="29">
      <c r="A29" s="9" t="inlineStr">
        <is>
          <t>Pet Boarding / Huấn luyện K9 &amp; Dịch vụ (20-22đ)</t>
        </is>
      </c>
      <c r="B29" s="10" t="n">
        <v>336</v>
      </c>
      <c r="C29" s="10" t="n">
        <v>267</v>
      </c>
      <c r="D29" s="51" t="n">
        <v>50.9</v>
      </c>
      <c r="E29" s="9" t="inlineStr">
        <is>
          <t>Cỏ nhân tạo sân chơi/huấn luyện (Dog Turf) + Đồ chơi nhai chịu lực (KONG/Chew Toys)</t>
        </is>
      </c>
    </row>
    <row r="30">
      <c r="A30" s="6" t="inlineStr">
        <is>
          <t>Pet Rescue / Trạm cứu trợ (14-16đ)</t>
        </is>
      </c>
      <c r="B30" s="7" t="n">
        <v>239</v>
      </c>
      <c r="C30" s="7" t="n">
        <v>206</v>
      </c>
      <c r="D30" s="50" t="n">
        <v>46.4</v>
      </c>
      <c r="E30" s="6" t="inlineStr">
        <is>
          <t>Tã lót vệ sinh (Pee Pads) + Khay vệ sinh trong nhà (Potty Tray) + Cỏ lót chuồng</t>
        </is>
      </c>
    </row>
    <row r="31">
      <c r="A31" s="9" t="inlineStr">
        <is>
          <t>Pet Owner / Kênh cá nhân &amp; Cộng đồng (10đ)</t>
        </is>
      </c>
      <c r="B31" s="10" t="n">
        <v>974</v>
      </c>
      <c r="C31" s="10" t="n">
        <v>630</v>
      </c>
      <c r="D31" s="51" t="n">
        <v>38.5</v>
      </c>
      <c r="E31" s="9" t="inlineStr">
        <is>
          <t>Khay vệ sinh chung cư (Indoor Dog Potty) + Thảm cỏ ban công (Grass Patch)</t>
        </is>
      </c>
    </row>
    <row r="32">
      <c r="A32" s="46" t="inlineStr">
        <is>
          <t>Tổng cộng</t>
        </is>
      </c>
      <c r="B32" s="47">
        <f>SUM(B28:B31)</f>
        <v/>
      </c>
      <c r="C32" s="47">
        <f>SUM(C28:C31)</f>
        <v/>
      </c>
      <c r="D32" s="52">
        <f>AVERAGE(D28:D31)</f>
        <v/>
      </c>
      <c r="E32" s="46" t="inlineStr">
        <is>
          <t>100% tập trung thị trường Hoa Kỳ (US Target Market)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6" customWidth="1" min="4" max="4"/>
    <col width="20" customWidth="1" min="5" max="5"/>
    <col width="18" customWidth="1" min="6" max="6"/>
    <col width="14" customWidth="1" min="7" max="7"/>
    <col width="14" customWidth="1" min="8" max="8"/>
    <col width="34" customWidth="1" min="9" max="9"/>
    <col width="13" customWidth="1" min="10" max="10"/>
    <col width="32" customWidth="1" min="11" max="11"/>
    <col width="14" customWidth="1" min="12" max="12"/>
    <col width="14" customWidth="1" min="13" max="13"/>
    <col width="38" customWidth="1" min="14" max="14"/>
    <col width="14" customWidth="1" min="15" max="15"/>
    <col width="15" customWidth="1" min="16" max="16"/>
    <col width="28" customWidth="1" min="17" max="17"/>
    <col width="48" customWidth="1" min="18" max="18"/>
    <col width="52" customWidth="1" min="19" max="19"/>
  </cols>
  <sheetData>
    <row r="1">
      <c r="A1" s="1" t="inlineStr">
        <is>
          <t>DANH SÁCH KHÁCH HÀNG TRỌNG ĐIỂM NỘI ĐỊA MỸ - HOT LEADS CẤP A &amp; TIER S/A (ĐIỂM &gt;= 61)</t>
        </is>
      </c>
    </row>
    <row r="2">
      <c r="A2" s="2" t="inlineStr">
        <is>
          <t>Tổng cộng: 298 Hot Leads tại Mỹ | Ưu tiên Đội Sales liên hệ Telesale/Email chào gói Take-Home Kit V2/V3 (Chọn cột Amazon Status để tự động cộng điểm)</t>
        </is>
      </c>
    </row>
    <row r="4" ht="28" customHeight="1">
      <c r="A4" s="5" t="inlineStr">
        <is>
          <t>STT Gốc</t>
        </is>
      </c>
      <c r="B4" s="5" t="inlineStr">
        <is>
          <t>Tên Profile / Fanpage</t>
        </is>
      </c>
      <c r="C4" s="5" t="inlineStr">
        <is>
          <t>URL Facebook</t>
        </is>
      </c>
      <c r="D4" s="5" t="inlineStr">
        <is>
          <t>Website</t>
        </is>
      </c>
      <c r="E4" s="5" t="inlineStr">
        <is>
          <t>Thời gian Đăng gần nhất</t>
        </is>
      </c>
      <c r="F4" s="5" t="inlineStr">
        <is>
          <t>Thời gian Tương đối</t>
        </is>
      </c>
      <c r="G4" s="5" t="inlineStr">
        <is>
          <t>Số ngày (lastActiveDays)</t>
        </is>
      </c>
      <c r="H4" s="5" t="inlineStr">
        <is>
          <t>Điểm Tương tác (Recency 0-35)</t>
        </is>
      </c>
      <c r="I4" s="5" t="inlineStr">
        <is>
          <t>Phân loại ICP (ICP Segment)</t>
        </is>
      </c>
      <c r="J4" s="5" t="inlineStr">
        <is>
          <t>Điểm ICP (10-30)</t>
        </is>
      </c>
      <c r="K4" s="5" t="inlineStr">
        <is>
          <t>Giống Chó Nhận diện (Breed)</t>
        </is>
      </c>
      <c r="L4" s="5" t="inlineStr">
        <is>
          <t>Điểm Giống (Breed 0-15)</t>
        </is>
      </c>
      <c r="M4" s="5" t="inlineStr">
        <is>
          <t>Điểm Hạ tầng (Infra 0-10)</t>
        </is>
      </c>
      <c r="N4" s="5" t="inlineStr">
        <is>
          <t>Trạng thái Amazon (Amazon Status)</t>
        </is>
      </c>
      <c r="O4" s="5" t="inlineStr">
        <is>
          <t>Điểm Amazon (0-15)</t>
        </is>
      </c>
      <c r="P4" s="5" t="inlineStr">
        <is>
          <t>Tổng Điểm (Lead Score)</t>
        </is>
      </c>
      <c r="Q4" s="5" t="inlineStr">
        <is>
          <t>Phân hạng (Tier)</t>
        </is>
      </c>
      <c r="R4" s="5" t="inlineStr">
        <is>
          <t>Phân loại Nhu cầu Sản phẩm</t>
        </is>
      </c>
      <c r="S4" s="5" t="inlineStr">
        <is>
          <t>Hành động Sales / Kịch bản</t>
        </is>
      </c>
    </row>
    <row r="5">
      <c r="A5" s="53" t="n">
        <v>3914</v>
      </c>
      <c r="B5" s="12" t="inlineStr">
        <is>
          <t>Frenchie Bulldog Pet Supply</t>
        </is>
      </c>
      <c r="C5" s="54" t="inlineStr">
        <is>
          <t>https://www.facebook.com/frenchiepetsupply</t>
        </is>
      </c>
      <c r="D5" s="6" t="inlineStr">
        <is>
          <t>Cần quét Bio Fanpage</t>
        </is>
      </c>
      <c r="E5" s="53" t="inlineStr">
        <is>
          <t>13/10/2026 06:18:32</t>
        </is>
      </c>
      <c r="F5" s="53" t="inlineStr">
        <is>
          <t>1 giờ trước</t>
        </is>
      </c>
      <c r="G5" s="55" t="n">
        <v>0.04</v>
      </c>
      <c r="H5" s="56" t="n">
        <v>35</v>
      </c>
      <c r="I5" s="6" t="inlineStr">
        <is>
          <t>Dog Breeder / Trại nhân giống (28-30đ)</t>
        </is>
      </c>
      <c r="J5" s="56" t="n">
        <v>28</v>
      </c>
      <c r="K5" s="6" t="inlineStr">
        <is>
          <t>French Bulldog</t>
        </is>
      </c>
      <c r="L5" s="56" t="n">
        <v>10</v>
      </c>
      <c r="M5" s="56" t="n">
        <v>5</v>
      </c>
      <c r="N5" s="6" t="inlineStr">
        <is>
          <t>Selling pet toys</t>
        </is>
      </c>
      <c r="O5" s="56">
        <f>IF(N5="Selling pet toys + Artificial grass/Pet toilets (TARGET)",15,IF(N5="Selling artificial grass/pet toilets (TARGET)",10,IF(N5="Selling pet toys",7,IF(N5="There's an Amazon link, but no target sales.",3,0))))</f>
        <v/>
      </c>
      <c r="P5" s="57">
        <f>H5+J5+L5+M5+O5</f>
        <v/>
      </c>
      <c r="Q5" s="58">
        <f>IF(OR(H5=0,P5&lt;30),"Tier D (Đóng băng)",IF(P5&gt;=85,"Tier S (Kim Cương: 85-100đ)",IF(P5&gt;=70,"Tier A (Vàng: 70-84đ)",IF(P5&gt;=61,"Tier B+ / Cấp A (Hot Lead: 61-69đ)",IF(P5&gt;=50,"Tier B (Bạc: 50-60đ)","Tier C (Đồng: 30-49đ)")))))</f>
        <v/>
      </c>
      <c r="R5" s="6" t="inlineStr">
        <is>
          <t>Trọn gói Take-Home Starter Kit V2/V3 (Cỏ nhân tạo + Khay Potty + Đồ chơi cún con)</t>
        </is>
      </c>
      <c r="S5" s="6" t="inlineStr">
        <is>
          <t>ƯU TIÊN SỐ 1: Gọi điện chốt hợp đồng ngay trong ngày + Chào Take-Home Kit V3 in logo độc quyền</t>
        </is>
      </c>
    </row>
    <row r="6">
      <c r="A6" s="59" t="n">
        <v>4468</v>
      </c>
      <c r="B6" s="15" t="inlineStr">
        <is>
          <t>Leadhill Labradors- Yellow/White/Red Puppies</t>
        </is>
      </c>
      <c r="C6" s="60" t="inlineStr">
        <is>
          <t>https://www.facebook.com/profile.php?id=100045637753004</t>
        </is>
      </c>
      <c r="D6" s="9" t="inlineStr">
        <is>
          <t>Cần quét Bio Fanpage</t>
        </is>
      </c>
      <c r="E6" s="59" t="inlineStr">
        <is>
          <t>13/10/2026 07:31:19</t>
        </is>
      </c>
      <c r="F6" s="59" t="inlineStr">
        <is>
          <t>1 giờ trước</t>
        </is>
      </c>
      <c r="G6" s="61" t="n">
        <v>0.04</v>
      </c>
      <c r="H6" s="62" t="n">
        <v>35</v>
      </c>
      <c r="I6" s="9" t="inlineStr">
        <is>
          <t>Dog Breeder / Trại chó chuyên nghiệp (28-30đ)</t>
        </is>
      </c>
      <c r="J6" s="62" t="n">
        <v>30</v>
      </c>
      <c r="K6" s="9" t="inlineStr">
        <is>
          <t>Labrador</t>
        </is>
      </c>
      <c r="L6" s="62" t="n">
        <v>10</v>
      </c>
      <c r="M6" s="62" t="n">
        <v>5</v>
      </c>
      <c r="N6" s="9" t="inlineStr">
        <is>
          <t>Amazon link not found</t>
        </is>
      </c>
      <c r="O6" s="62">
        <f>IF(N6="Selling pet toys + Artificial grass/Pet toilets (TARGET)",15,IF(N6="Selling artificial grass/pet toilets (TARGET)",10,IF(N6="Selling pet toys",7,IF(N6="There's an Amazon link, but no target sales.",3,0))))</f>
        <v/>
      </c>
      <c r="P6" s="63">
        <f>H6+J6+L6+M6+O6</f>
        <v/>
      </c>
      <c r="Q6" s="64">
        <f>IF(OR(H6=0,P6&lt;30),"Tier D (Đóng băng)",IF(P6&gt;=85,"Tier S (Kim Cương: 85-100đ)",IF(P6&gt;=70,"Tier A (Vàng: 70-84đ)",IF(P6&gt;=61,"Tier B+ / Cấp A (Hot Lead: 61-69đ)",IF(P6&gt;=50,"Tier B (Bạc: 50-60đ)","Tier C (Đồng: 30-49đ)")))))</f>
        <v/>
      </c>
      <c r="R6" s="9" t="inlineStr">
        <is>
          <t>Trọn gói Take-Home Starter Kit V2/V3 (Cỏ nhân tạo + Khay Potty + Đồ chơi Teething/Snuggle)</t>
        </is>
      </c>
      <c r="S6" s="9" t="inlineStr">
        <is>
          <t>HOT LEAD CẤP A: Gọi Telesale trực tiếp trong ngày + Email cá nhân hóa chào Puppy Kit V2/V3</t>
        </is>
      </c>
    </row>
    <row r="7">
      <c r="A7" s="53" t="n">
        <v>1514</v>
      </c>
      <c r="B7" s="12" t="inlineStr">
        <is>
          <t>Gochee Labradors - Primed With Puppy Culture</t>
        </is>
      </c>
      <c r="C7" s="54" t="inlineStr">
        <is>
          <t>https://www.facebook.com/GocheeLabPuppies</t>
        </is>
      </c>
      <c r="D7" s="6" t="inlineStr">
        <is>
          <t>Cần quét Bio Fanpage</t>
        </is>
      </c>
      <c r="E7" s="53" t="inlineStr">
        <is>
          <t>13/10/2026 03:03:49</t>
        </is>
      </c>
      <c r="F7" s="53" t="inlineStr">
        <is>
          <t>34 phút trước</t>
        </is>
      </c>
      <c r="G7" s="55" t="n">
        <v>0.02</v>
      </c>
      <c r="H7" s="56" t="n">
        <v>35</v>
      </c>
      <c r="I7" s="6" t="inlineStr">
        <is>
          <t>Dog Breeder / Trại chó chuyên nghiệp (28-30đ)</t>
        </is>
      </c>
      <c r="J7" s="56" t="n">
        <v>30</v>
      </c>
      <c r="K7" s="6" t="inlineStr">
        <is>
          <t>Labrador</t>
        </is>
      </c>
      <c r="L7" s="56" t="n">
        <v>10</v>
      </c>
      <c r="M7" s="56" t="n">
        <v>5</v>
      </c>
      <c r="N7" s="6" t="inlineStr">
        <is>
          <t>Amazon link not found</t>
        </is>
      </c>
      <c r="O7" s="56">
        <f>IF(N7="Selling pet toys + Artificial grass/Pet toilets (TARGET)",15,IF(N7="Selling artificial grass/pet toilets (TARGET)",10,IF(N7="Selling pet toys",7,IF(N7="There's an Amazon link, but no target sales.",3,0))))</f>
        <v/>
      </c>
      <c r="P7" s="63">
        <f>H7+J7+L7+M7+O7</f>
        <v/>
      </c>
      <c r="Q7" s="64">
        <f>IF(OR(H7=0,P7&lt;30),"Tier D (Đóng băng)",IF(P7&gt;=85,"Tier S (Kim Cương: 85-100đ)",IF(P7&gt;=70,"Tier A (Vàng: 70-84đ)",IF(P7&gt;=61,"Tier B+ / Cấp A (Hot Lead: 61-69đ)",IF(P7&gt;=50,"Tier B (Bạc: 50-60đ)","Tier C (Đồng: 30-49đ)")))))</f>
        <v/>
      </c>
      <c r="R7" s="6" t="inlineStr">
        <is>
          <t>Trọn gói Take-Home Starter Kit V2/V3 (Cỏ nhân tạo + Khay Potty + Đồ chơi Teething/Snuggle)</t>
        </is>
      </c>
      <c r="S7" s="6" t="inlineStr">
        <is>
          <t>HOT LEAD CẤP A: Gọi Telesale trực tiếp trong ngày + Email cá nhân hóa chào Puppy Kit V2/V3</t>
        </is>
      </c>
    </row>
    <row r="8">
      <c r="A8" s="59" t="n">
        <v>702</v>
      </c>
      <c r="B8" s="15" t="inlineStr">
        <is>
          <t>Blue Buddha Frenchies LLC</t>
        </is>
      </c>
      <c r="C8" s="60" t="inlineStr">
        <is>
          <t>https://www.facebook.com/BlueBuddhaFrenchies</t>
        </is>
      </c>
      <c r="D8" s="9" t="inlineStr">
        <is>
          <t>Cần quét Bio Fanpage</t>
        </is>
      </c>
      <c r="E8" s="59" t="inlineStr">
        <is>
          <t>13/10/2026 00:54:43</t>
        </is>
      </c>
      <c r="F8" s="59" t="inlineStr">
        <is>
          <t>1 giờ trước</t>
        </is>
      </c>
      <c r="G8" s="61" t="n">
        <v>0.04</v>
      </c>
      <c r="H8" s="62" t="n">
        <v>35</v>
      </c>
      <c r="I8" s="9" t="inlineStr">
        <is>
          <t>Dog Breeder / Trại chó chuyên nghiệp (28-30đ)</t>
        </is>
      </c>
      <c r="J8" s="62" t="n">
        <v>30</v>
      </c>
      <c r="K8" s="9" t="inlineStr">
        <is>
          <t>French Bulldog</t>
        </is>
      </c>
      <c r="L8" s="62" t="n">
        <v>10</v>
      </c>
      <c r="M8" s="62" t="n">
        <v>5</v>
      </c>
      <c r="N8" s="9" t="inlineStr">
        <is>
          <t>Amazon link not found</t>
        </is>
      </c>
      <c r="O8" s="62">
        <f>IF(N8="Selling pet toys + Artificial grass/Pet toilets (TARGET)",15,IF(N8="Selling artificial grass/pet toilets (TARGET)",10,IF(N8="Selling pet toys",7,IF(N8="There's an Amazon link, but no target sales.",3,0))))</f>
        <v/>
      </c>
      <c r="P8" s="63">
        <f>H8+J8+L8+M8+O8</f>
        <v/>
      </c>
      <c r="Q8" s="64">
        <f>IF(OR(H8=0,P8&lt;30),"Tier D (Đóng băng)",IF(P8&gt;=85,"Tier S (Kim Cương: 85-100đ)",IF(P8&gt;=70,"Tier A (Vàng: 70-84đ)",IF(P8&gt;=61,"Tier B+ / Cấp A (Hot Lead: 61-69đ)",IF(P8&gt;=50,"Tier B (Bạc: 50-60đ)","Tier C (Đồng: 30-49đ)")))))</f>
        <v/>
      </c>
      <c r="R8" s="9" t="inlineStr">
        <is>
          <t>Trọn gói Take-Home Starter Kit V2/V3 (Cỏ nhân tạo + Khay Potty + Đồ chơi Teething/Snuggle)</t>
        </is>
      </c>
      <c r="S8" s="9" t="inlineStr">
        <is>
          <t>HOT LEAD CẤP A: Gọi Telesale trực tiếp trong ngày + Email cá nhân hóa chào Puppy Kit V2/V3</t>
        </is>
      </c>
    </row>
    <row r="9">
      <c r="A9" s="53" t="n">
        <v>1384</v>
      </c>
      <c r="B9" s="12" t="inlineStr">
        <is>
          <t>FIRE ATTACK 86 Rottweiler kennel</t>
        </is>
      </c>
      <c r="C9" s="54" t="inlineStr">
        <is>
          <t>https://www.facebook.com/fireattack86</t>
        </is>
      </c>
      <c r="D9" s="6" t="inlineStr">
        <is>
          <t>Cần quét Bio Fanpage</t>
        </is>
      </c>
      <c r="E9" s="53" t="inlineStr">
        <is>
          <t>12/10/2026 23:44:58</t>
        </is>
      </c>
      <c r="F9" s="53" t="inlineStr">
        <is>
          <t>3 giờ trước</t>
        </is>
      </c>
      <c r="G9" s="55" t="n">
        <v>0.12</v>
      </c>
      <c r="H9" s="56" t="n">
        <v>35</v>
      </c>
      <c r="I9" s="6" t="inlineStr">
        <is>
          <t>Dog Breeder / Trại chó chuyên nghiệp (28-30đ)</t>
        </is>
      </c>
      <c r="J9" s="56" t="n">
        <v>30</v>
      </c>
      <c r="K9" s="6" t="inlineStr">
        <is>
          <t>Rottweiler</t>
        </is>
      </c>
      <c r="L9" s="56" t="n">
        <v>10</v>
      </c>
      <c r="M9" s="56" t="n">
        <v>5</v>
      </c>
      <c r="N9" s="6" t="inlineStr">
        <is>
          <t>Amazon link not found</t>
        </is>
      </c>
      <c r="O9" s="56">
        <f>IF(N9="Selling pet toys + Artificial grass/Pet toilets (TARGET)",15,IF(N9="Selling artificial grass/pet toilets (TARGET)",10,IF(N9="Selling pet toys",7,IF(N9="There's an Amazon link, but no target sales.",3,0))))</f>
        <v/>
      </c>
      <c r="P9" s="63">
        <f>H9+J9+L9+M9+O9</f>
        <v/>
      </c>
      <c r="Q9" s="64">
        <f>IF(OR(H9=0,P9&lt;30),"Tier D (Đóng băng)",IF(P9&gt;=85,"Tier S (Kim Cương: 85-100đ)",IF(P9&gt;=70,"Tier A (Vàng: 70-84đ)",IF(P9&gt;=61,"Tier B+ / Cấp A (Hot Lead: 61-69đ)",IF(P9&gt;=50,"Tier B (Bạc: 50-60đ)","Tier C (Đồng: 30-49đ)")))))</f>
        <v/>
      </c>
      <c r="R9" s="6" t="inlineStr">
        <is>
          <t>Trọn gói Take-Home Starter Kit V2/V3 (Cỏ nhân tạo + Khay Potty + Đồ chơi Teething/Snuggle)</t>
        </is>
      </c>
      <c r="S9" s="6" t="inlineStr">
        <is>
          <t>HOT LEAD CẤP A: Gọi Telesale trực tiếp trong ngày + Email cá nhân hóa chào Puppy Kit V2/V3</t>
        </is>
      </c>
    </row>
    <row r="10">
      <c r="A10" s="59" t="n">
        <v>1771</v>
      </c>
      <c r="B10" s="15" t="inlineStr">
        <is>
          <t>Johnson Farms English Labradors</t>
        </is>
      </c>
      <c r="C10" s="60" t="inlineStr">
        <is>
          <t>https://www.facebook.com/profile.php?id=100069804441424</t>
        </is>
      </c>
      <c r="D10" s="9" t="inlineStr">
        <is>
          <t>Cần quét Bio Fanpage</t>
        </is>
      </c>
      <c r="E10" s="59" t="inlineStr">
        <is>
          <t>13/10/2026 03:50:39</t>
        </is>
      </c>
      <c r="F10" s="59" t="inlineStr">
        <is>
          <t>15 phút trước</t>
        </is>
      </c>
      <c r="G10" s="61" t="n">
        <v>0.01</v>
      </c>
      <c r="H10" s="62" t="n">
        <v>35</v>
      </c>
      <c r="I10" s="9" t="inlineStr">
        <is>
          <t>Dog Breeder / Trại nhân giống (28-30đ)</t>
        </is>
      </c>
      <c r="J10" s="62" t="n">
        <v>28</v>
      </c>
      <c r="K10" s="9" t="inlineStr">
        <is>
          <t>Labrador</t>
        </is>
      </c>
      <c r="L10" s="62" t="n">
        <v>10</v>
      </c>
      <c r="M10" s="62" t="n">
        <v>5</v>
      </c>
      <c r="N10" s="9" t="inlineStr">
        <is>
          <t>Amazon link not found</t>
        </is>
      </c>
      <c r="O10" s="62">
        <f>IF(N10="Selling pet toys + Artificial grass/Pet toilets (TARGET)",15,IF(N10="Selling artificial grass/pet toilets (TARGET)",10,IF(N10="Selling pet toys",7,IF(N10="There's an Amazon link, but no target sales.",3,0))))</f>
        <v/>
      </c>
      <c r="P10" s="63">
        <f>H10+J10+L10+M10+O10</f>
        <v/>
      </c>
      <c r="Q10" s="64">
        <f>IF(OR(H10=0,P10&lt;30),"Tier D (Đóng băng)",IF(P10&gt;=85,"Tier S (Kim Cương: 85-100đ)",IF(P10&gt;=70,"Tier A (Vàng: 70-84đ)",IF(P10&gt;=61,"Tier B+ / Cấp A (Hot Lead: 61-69đ)",IF(P10&gt;=50,"Tier B (Bạc: 50-60đ)","Tier C (Đồng: 30-49đ)")))))</f>
        <v/>
      </c>
      <c r="R10" s="9" t="inlineStr">
        <is>
          <t>Trọn gói Take-Home Starter Kit V2/V3 (Cỏ nhân tạo + Khay Potty + Đồ chơi cún con)</t>
        </is>
      </c>
      <c r="S10" s="9" t="inlineStr">
        <is>
          <t>HOT LEAD CẤP A: Gọi Telesale trực tiếp trong ngày + Email cá nhân hóa chào Puppy Kit V2/V3</t>
        </is>
      </c>
    </row>
    <row r="11">
      <c r="A11" s="53" t="n">
        <v>2001</v>
      </c>
      <c r="B11" s="12" t="inlineStr">
        <is>
          <t>Legacy Aussie Bulldogs</t>
        </is>
      </c>
      <c r="C11" s="54" t="inlineStr">
        <is>
          <t>https://www.facebook.com/profile.php?id=61570931233134</t>
        </is>
      </c>
      <c r="D11" s="6" t="inlineStr">
        <is>
          <t>Cần quét Bio Fanpage</t>
        </is>
      </c>
      <c r="E11" s="53" t="inlineStr">
        <is>
          <t>13/10/2026 03:04:40</t>
        </is>
      </c>
      <c r="F11" s="53" t="inlineStr">
        <is>
          <t>1 giờ trước</t>
        </is>
      </c>
      <c r="G11" s="55" t="n">
        <v>0.04</v>
      </c>
      <c r="H11" s="56" t="n">
        <v>35</v>
      </c>
      <c r="I11" s="6" t="inlineStr">
        <is>
          <t>Dog Breeder / Trại chó chuyên nghiệp (28-30đ)</t>
        </is>
      </c>
      <c r="J11" s="56" t="n">
        <v>28</v>
      </c>
      <c r="K11" s="6" t="inlineStr">
        <is>
          <t>English Bulldog, Australian Shepherd / Herding</t>
        </is>
      </c>
      <c r="L11" s="56" t="n">
        <v>15</v>
      </c>
      <c r="M11" s="56" t="n">
        <v>0</v>
      </c>
      <c r="N11" s="6" t="inlineStr">
        <is>
          <t>Amazon link not found</t>
        </is>
      </c>
      <c r="O11" s="56">
        <f>IF(N11="Selling pet toys + Artificial grass/Pet toilets (TARGET)",15,IF(N11="Selling artificial grass/pet toilets (TARGET)",10,IF(N11="Selling pet toys",7,IF(N11="There's an Amazon link, but no target sales.",3,0))))</f>
        <v/>
      </c>
      <c r="P11" s="63">
        <f>H11+J11+L11+M11+O11</f>
        <v/>
      </c>
      <c r="Q11" s="64">
        <f>IF(OR(H11=0,P11&lt;30),"Tier D (Đóng băng)",IF(P11&gt;=85,"Tier S (Kim Cương: 85-100đ)",IF(P11&gt;=70,"Tier A (Vàng: 70-84đ)",IF(P11&gt;=61,"Tier B+ / Cấp A (Hot Lead: 61-69đ)",IF(P11&gt;=50,"Tier B (Bạc: 50-60đ)","Tier C (Đồng: 30-49đ)")))))</f>
        <v/>
      </c>
      <c r="R11" s="6" t="inlineStr">
        <is>
          <t>Trọn gói Take-Home Starter Kit V2/V3 (Cỏ nhân tạo + Khay Potty + Đồ chơi Teething/Snuggle)</t>
        </is>
      </c>
      <c r="S11" s="6" t="inlineStr">
        <is>
          <t>HOT LEAD CẤP A: Gọi Telesale trực tiếp trong ngày + Email cá nhân hóa chào Puppy Kit V2/V3</t>
        </is>
      </c>
    </row>
    <row r="12">
      <c r="A12" s="59" t="n">
        <v>41</v>
      </c>
      <c r="B12" s="15" t="inlineStr">
        <is>
          <t>Golden Dog Farm Vermont</t>
        </is>
      </c>
      <c r="C12" s="60" t="inlineStr">
        <is>
          <t>https://www.facebook.com/goldendogfarmvt</t>
        </is>
      </c>
      <c r="D12" s="9" t="inlineStr">
        <is>
          <t>Cần quét Bio Fanpage</t>
        </is>
      </c>
      <c r="E12" s="59" t="inlineStr">
        <is>
          <t>13/10/2026 00:53:48</t>
        </is>
      </c>
      <c r="F12" s="59" t="inlineStr">
        <is>
          <t>5 phút trước</t>
        </is>
      </c>
      <c r="G12" s="61" t="n">
        <v>0</v>
      </c>
      <c r="H12" s="62" t="n">
        <v>35</v>
      </c>
      <c r="I12" s="9" t="inlineStr">
        <is>
          <t>Dog Breeder / Trại nhân giống (28-30đ)</t>
        </is>
      </c>
      <c r="J12" s="62" t="n">
        <v>28</v>
      </c>
      <c r="K12" s="9" t="inlineStr">
        <is>
          <t>Golden Retriever</t>
        </is>
      </c>
      <c r="L12" s="62" t="n">
        <v>10</v>
      </c>
      <c r="M12" s="62" t="n">
        <v>5</v>
      </c>
      <c r="N12" s="9" t="inlineStr">
        <is>
          <t>Amazon link not found</t>
        </is>
      </c>
      <c r="O12" s="62">
        <f>IF(N12="Selling pet toys + Artificial grass/Pet toilets (TARGET)",15,IF(N12="Selling artificial grass/pet toilets (TARGET)",10,IF(N12="Selling pet toys",7,IF(N12="There's an Amazon link, but no target sales.",3,0))))</f>
        <v/>
      </c>
      <c r="P12" s="63">
        <f>H12+J12+L12+M12+O12</f>
        <v/>
      </c>
      <c r="Q12" s="64">
        <f>IF(OR(H12=0,P12&lt;30),"Tier D (Đóng băng)",IF(P12&gt;=85,"Tier S (Kim Cương: 85-100đ)",IF(P12&gt;=70,"Tier A (Vàng: 70-84đ)",IF(P12&gt;=61,"Tier B+ / Cấp A (Hot Lead: 61-69đ)",IF(P12&gt;=50,"Tier B (Bạc: 50-60đ)","Tier C (Đồng: 30-49đ)")))))</f>
        <v/>
      </c>
      <c r="R12" s="9" t="inlineStr">
        <is>
          <t>Trọn gói Take-Home Starter Kit V2/V3 (Cỏ nhân tạo + Khay Potty + Đồ chơi cún con)</t>
        </is>
      </c>
      <c r="S12" s="9" t="inlineStr">
        <is>
          <t>HOT LEAD CẤP A: Gọi Telesale trực tiếp trong ngày + Email cá nhân hóa chào Puppy Kit V2/V3</t>
        </is>
      </c>
    </row>
    <row r="13">
      <c r="A13" s="53" t="n">
        <v>1287</v>
      </c>
      <c r="B13" s="12" t="inlineStr">
        <is>
          <t>English Bulldog</t>
        </is>
      </c>
      <c r="C13" s="54" t="inlineStr">
        <is>
          <t>https://www.facebook.com/english.bulldog.shop</t>
        </is>
      </c>
      <c r="D13" s="6" t="inlineStr">
        <is>
          <t>Cần quét Bio Fanpage</t>
        </is>
      </c>
      <c r="E13" s="53" t="inlineStr">
        <is>
          <t>12/10/2026 23:25:29</t>
        </is>
      </c>
      <c r="F13" s="53" t="inlineStr">
        <is>
          <t>3 giờ trước</t>
        </is>
      </c>
      <c r="G13" s="55" t="n">
        <v>0.12</v>
      </c>
      <c r="H13" s="56" t="n">
        <v>35</v>
      </c>
      <c r="I13" s="6" t="inlineStr">
        <is>
          <t>Dog Breeder / Trại nhân giống (28-30đ)</t>
        </is>
      </c>
      <c r="J13" s="56" t="n">
        <v>28</v>
      </c>
      <c r="K13" s="6" t="inlineStr">
        <is>
          <t>English Bulldog</t>
        </is>
      </c>
      <c r="L13" s="56" t="n">
        <v>10</v>
      </c>
      <c r="M13" s="56" t="n">
        <v>5</v>
      </c>
      <c r="N13" s="6" t="inlineStr">
        <is>
          <t>Amazon link not found</t>
        </is>
      </c>
      <c r="O13" s="56">
        <f>IF(N13="Selling pet toys + Artificial grass/Pet toilets (TARGET)",15,IF(N13="Selling artificial grass/pet toilets (TARGET)",10,IF(N13="Selling pet toys",7,IF(N13="There's an Amazon link, but no target sales.",3,0))))</f>
        <v/>
      </c>
      <c r="P13" s="63">
        <f>H13+J13+L13+M13+O13</f>
        <v/>
      </c>
      <c r="Q13" s="64">
        <f>IF(OR(H13=0,P13&lt;30),"Tier D (Đóng băng)",IF(P13&gt;=85,"Tier S (Kim Cương: 85-100đ)",IF(P13&gt;=70,"Tier A (Vàng: 70-84đ)",IF(P13&gt;=61,"Tier B+ / Cấp A (Hot Lead: 61-69đ)",IF(P13&gt;=50,"Tier B (Bạc: 50-60đ)","Tier C (Đồng: 30-49đ)")))))</f>
        <v/>
      </c>
      <c r="R13" s="6" t="inlineStr">
        <is>
          <t>Trọn gói Take-Home Starter Kit V2/V3 (Cỏ nhân tạo + Khay Potty + Đồ chơi cún con)</t>
        </is>
      </c>
      <c r="S13" s="6" t="inlineStr">
        <is>
          <t>HOT LEAD CẤP A: Gọi Telesale trực tiếp trong ngày + Email cá nhân hóa chào Puppy Kit V2/V3</t>
        </is>
      </c>
    </row>
    <row r="14">
      <c r="A14" s="59" t="n">
        <v>216</v>
      </c>
      <c r="B14" s="15" t="inlineStr">
        <is>
          <t>Made in Bulldog and Co</t>
        </is>
      </c>
      <c r="C14" s="60" t="inlineStr">
        <is>
          <t>https://www.facebook.com/madeinbulldog</t>
        </is>
      </c>
      <c r="D14" s="9" t="inlineStr">
        <is>
          <t>Cần quét Bio Fanpage</t>
        </is>
      </c>
      <c r="E14" s="59" t="inlineStr">
        <is>
          <t>12/10/2026 21:58:00</t>
        </is>
      </c>
      <c r="F14" s="59" t="inlineStr">
        <is>
          <t>3 giờ trước</t>
        </is>
      </c>
      <c r="G14" s="61" t="n">
        <v>0.12</v>
      </c>
      <c r="H14" s="62" t="n">
        <v>35</v>
      </c>
      <c r="I14" s="9" t="inlineStr">
        <is>
          <t>Dog Breeder / Trại nhân giống (28-30đ)</t>
        </is>
      </c>
      <c r="J14" s="62" t="n">
        <v>28</v>
      </c>
      <c r="K14" s="9" t="inlineStr">
        <is>
          <t>English Bulldog</t>
        </is>
      </c>
      <c r="L14" s="62" t="n">
        <v>10</v>
      </c>
      <c r="M14" s="62" t="n">
        <v>5</v>
      </c>
      <c r="N14" s="9" t="inlineStr">
        <is>
          <t>Amazon link not found</t>
        </is>
      </c>
      <c r="O14" s="62">
        <f>IF(N14="Selling pet toys + Artificial grass/Pet toilets (TARGET)",15,IF(N14="Selling artificial grass/pet toilets (TARGET)",10,IF(N14="Selling pet toys",7,IF(N14="There's an Amazon link, but no target sales.",3,0))))</f>
        <v/>
      </c>
      <c r="P14" s="63">
        <f>H14+J14+L14+M14+O14</f>
        <v/>
      </c>
      <c r="Q14" s="64">
        <f>IF(OR(H14=0,P14&lt;30),"Tier D (Đóng băng)",IF(P14&gt;=85,"Tier S (Kim Cương: 85-100đ)",IF(P14&gt;=70,"Tier A (Vàng: 70-84đ)",IF(P14&gt;=61,"Tier B+ / Cấp A (Hot Lead: 61-69đ)",IF(P14&gt;=50,"Tier B (Bạc: 50-60đ)","Tier C (Đồng: 30-49đ)")))))</f>
        <v/>
      </c>
      <c r="R14" s="9" t="inlineStr">
        <is>
          <t>Trọn gói Take-Home Starter Kit V2/V3 (Cỏ nhân tạo + Khay Potty + Đồ chơi cún con)</t>
        </is>
      </c>
      <c r="S14" s="9" t="inlineStr">
        <is>
          <t>HOT LEAD CẤP A: Gọi Telesale trực tiếp trong ngày + Email cá nhân hóa chào Puppy Kit V2/V3</t>
        </is>
      </c>
    </row>
    <row r="15">
      <c r="A15" s="53" t="n">
        <v>1425</v>
      </c>
      <c r="B15" s="12" t="inlineStr">
        <is>
          <t>Fox Creek Farm Goldendoodles &amp; Bernedoodles</t>
        </is>
      </c>
      <c r="C15" s="54" t="inlineStr">
        <is>
          <t>https://www.facebook.com/fcfgoldendoodles</t>
        </is>
      </c>
      <c r="D15" s="6" t="inlineStr">
        <is>
          <t>Cần quét Bio Fanpage</t>
        </is>
      </c>
      <c r="E15" s="53" t="inlineStr">
        <is>
          <t>11/10/2026 19:36:06</t>
        </is>
      </c>
      <c r="F15" s="53" t="inlineStr">
        <is>
          <t>1 ngày trước</t>
        </is>
      </c>
      <c r="G15" s="55" t="n">
        <v>1</v>
      </c>
      <c r="H15" s="56" t="n">
        <v>28</v>
      </c>
      <c r="I15" s="6" t="inlineStr">
        <is>
          <t>Dog Breeder / Trại chó chuyên nghiệp (28-30đ)</t>
        </is>
      </c>
      <c r="J15" s="56" t="n">
        <v>30</v>
      </c>
      <c r="K15" s="6" t="inlineStr">
        <is>
          <t>Bernedoodle, Goldendoodle</t>
        </is>
      </c>
      <c r="L15" s="56" t="n">
        <v>15</v>
      </c>
      <c r="M15" s="56" t="n">
        <v>5</v>
      </c>
      <c r="N15" s="6" t="inlineStr">
        <is>
          <t>Amazon link not found</t>
        </is>
      </c>
      <c r="O15" s="56">
        <f>IF(N15="Selling pet toys + Artificial grass/Pet toilets (TARGET)",15,IF(N15="Selling artificial grass/pet toilets (TARGET)",10,IF(N15="Selling pet toys",7,IF(N15="There's an Amazon link, but no target sales.",3,0))))</f>
        <v/>
      </c>
      <c r="P15" s="63">
        <f>H15+J15+L15+M15+O15</f>
        <v/>
      </c>
      <c r="Q15" s="64">
        <f>IF(OR(H15=0,P15&lt;30),"Tier D (Đóng băng)",IF(P15&gt;=85,"Tier S (Kim Cương: 85-100đ)",IF(P15&gt;=70,"Tier A (Vàng: 70-84đ)",IF(P15&gt;=61,"Tier B+ / Cấp A (Hot Lead: 61-69đ)",IF(P15&gt;=50,"Tier B (Bạc: 50-60đ)","Tier C (Đồng: 30-49đ)")))))</f>
        <v/>
      </c>
      <c r="R15" s="6" t="inlineStr">
        <is>
          <t>Trọn gói Take-Home Starter Kit V2/V3 (Cỏ nhân tạo + Khay Potty + Đồ chơi Teething/Snuggle)</t>
        </is>
      </c>
      <c r="S15" s="6" t="inlineStr">
        <is>
          <t>HOT LEAD CẤP A: Gọi Telesale trực tiếp trong ngày + Email cá nhân hóa chào Puppy Kit V2/V3</t>
        </is>
      </c>
    </row>
    <row r="16">
      <c r="A16" s="59" t="n">
        <v>126</v>
      </c>
      <c r="B16" s="15" t="inlineStr">
        <is>
          <t>Butler Kennels Rottweilers</t>
        </is>
      </c>
      <c r="C16" s="60" t="inlineStr">
        <is>
          <t>https://www.facebook.com/butlerkennelsRottweilersofficial</t>
        </is>
      </c>
      <c r="D16" s="9" t="inlineStr">
        <is>
          <t>Cần quét Bio Fanpage</t>
        </is>
      </c>
      <c r="E16" s="59" t="inlineStr">
        <is>
          <t>11/10/2026 09:17:19</t>
        </is>
      </c>
      <c r="F16" s="59" t="inlineStr">
        <is>
          <t>1 ngày trước</t>
        </is>
      </c>
      <c r="G16" s="61" t="n">
        <v>1</v>
      </c>
      <c r="H16" s="62" t="n">
        <v>28</v>
      </c>
      <c r="I16" s="9" t="inlineStr">
        <is>
          <t>Dog Breeder / Trại chó chuyên nghiệp (28-30đ)</t>
        </is>
      </c>
      <c r="J16" s="62" t="n">
        <v>30</v>
      </c>
      <c r="K16" s="9" t="inlineStr">
        <is>
          <t>Rottweiler</t>
        </is>
      </c>
      <c r="L16" s="62" t="n">
        <v>10</v>
      </c>
      <c r="M16" s="62" t="n">
        <v>10</v>
      </c>
      <c r="N16" s="9" t="inlineStr">
        <is>
          <t>Amazon link not found</t>
        </is>
      </c>
      <c r="O16" s="62">
        <f>IF(N16="Selling pet toys + Artificial grass/Pet toilets (TARGET)",15,IF(N16="Selling artificial grass/pet toilets (TARGET)",10,IF(N16="Selling pet toys",7,IF(N16="There's an Amazon link, but no target sales.",3,0))))</f>
        <v/>
      </c>
      <c r="P16" s="63">
        <f>H16+J16+L16+M16+O16</f>
        <v/>
      </c>
      <c r="Q16" s="64">
        <f>IF(OR(H16=0,P16&lt;30),"Tier D (Đóng băng)",IF(P16&gt;=85,"Tier S (Kim Cương: 85-100đ)",IF(P16&gt;=70,"Tier A (Vàng: 70-84đ)",IF(P16&gt;=61,"Tier B+ / Cấp A (Hot Lead: 61-69đ)",IF(P16&gt;=50,"Tier B (Bạc: 50-60đ)","Tier C (Đồng: 30-49đ)")))))</f>
        <v/>
      </c>
      <c r="R16" s="9" t="inlineStr">
        <is>
          <t>Trọn gói Take-Home Starter Kit V2/V3 (Cỏ nhân tạo + Khay Potty + Đồ chơi Teething/Snuggle)</t>
        </is>
      </c>
      <c r="S16" s="9" t="inlineStr">
        <is>
          <t>HOT LEAD CẤP A: Gọi Telesale trực tiếp trong ngày + Email cá nhân hóa chào Puppy Kit V2/V3</t>
        </is>
      </c>
    </row>
    <row r="17">
      <c r="A17" s="53" t="n">
        <v>2874</v>
      </c>
      <c r="B17" s="12" t="inlineStr">
        <is>
          <t>Shaka Bully Kennels</t>
        </is>
      </c>
      <c r="C17" s="54" t="inlineStr">
        <is>
          <t>https://www.facebook.com/profile.php?id=61564897457360</t>
        </is>
      </c>
      <c r="D17" s="6" t="inlineStr">
        <is>
          <t>Cần quét Bio Fanpage</t>
        </is>
      </c>
      <c r="E17" s="53" t="inlineStr">
        <is>
          <t>13/10/2026 01:47:15</t>
        </is>
      </c>
      <c r="F17" s="53" t="inlineStr">
        <is>
          <t>4 giờ trước</t>
        </is>
      </c>
      <c r="G17" s="55" t="n">
        <v>0.17</v>
      </c>
      <c r="H17" s="56" t="n">
        <v>32</v>
      </c>
      <c r="I17" s="6" t="inlineStr">
        <is>
          <t>Dog Breeder / Trại chó chuyên nghiệp (28-30đ)</t>
        </is>
      </c>
      <c r="J17" s="56" t="n">
        <v>30</v>
      </c>
      <c r="K17" s="6" t="inlineStr">
        <is>
          <t>American Bully / Bully</t>
        </is>
      </c>
      <c r="L17" s="56" t="n">
        <v>10</v>
      </c>
      <c r="M17" s="56" t="n">
        <v>5</v>
      </c>
      <c r="N17" s="6" t="inlineStr">
        <is>
          <t>Amazon link not found</t>
        </is>
      </c>
      <c r="O17" s="56">
        <f>IF(N17="Selling pet toys + Artificial grass/Pet toilets (TARGET)",15,IF(N17="Selling artificial grass/pet toilets (TARGET)",10,IF(N17="Selling pet toys",7,IF(N17="There's an Amazon link, but no target sales.",3,0))))</f>
        <v/>
      </c>
      <c r="P17" s="63">
        <f>H17+J17+L17+M17+O17</f>
        <v/>
      </c>
      <c r="Q17" s="64">
        <f>IF(OR(H17=0,P17&lt;30),"Tier D (Đóng băng)",IF(P17&gt;=85,"Tier S (Kim Cương: 85-100đ)",IF(P17&gt;=70,"Tier A (Vàng: 70-84đ)",IF(P17&gt;=61,"Tier B+ / Cấp A (Hot Lead: 61-69đ)",IF(P17&gt;=50,"Tier B (Bạc: 50-60đ)","Tier C (Đồng: 30-49đ)")))))</f>
        <v/>
      </c>
      <c r="R17" s="6" t="inlineStr">
        <is>
          <t>Trọn gói Take-Home Starter Kit V2/V3 (Cỏ nhân tạo + Khay Potty + Đồ chơi Teething/Snuggle)</t>
        </is>
      </c>
      <c r="S17" s="6" t="inlineStr">
        <is>
          <t>HOT LEAD CẤP A: Gọi Telesale trực tiếp trong ngày + Email cá nhân hóa chào Puppy Kit V2/V3</t>
        </is>
      </c>
    </row>
    <row r="18">
      <c r="A18" s="59" t="n">
        <v>3255</v>
      </c>
      <c r="B18" s="15" t="inlineStr">
        <is>
          <t>Turtle CREEK Kennel Labrador Retrievers</t>
        </is>
      </c>
      <c r="C18" s="60" t="inlineStr">
        <is>
          <t>https://www.facebook.com/Labradorcouchpotato</t>
        </is>
      </c>
      <c r="D18" s="9" t="inlineStr">
        <is>
          <t>Cần quét Bio Fanpage</t>
        </is>
      </c>
      <c r="E18" s="59" t="inlineStr">
        <is>
          <t>12/10/2026 23:26:55</t>
        </is>
      </c>
      <c r="F18" s="59" t="inlineStr">
        <is>
          <t>7 giờ trước</t>
        </is>
      </c>
      <c r="G18" s="61" t="n">
        <v>0.29</v>
      </c>
      <c r="H18" s="62" t="n">
        <v>32</v>
      </c>
      <c r="I18" s="9" t="inlineStr">
        <is>
          <t>Dog Breeder / Trại chó chuyên nghiệp (28-30đ)</t>
        </is>
      </c>
      <c r="J18" s="62" t="n">
        <v>30</v>
      </c>
      <c r="K18" s="9" t="inlineStr">
        <is>
          <t>Labrador</t>
        </is>
      </c>
      <c r="L18" s="62" t="n">
        <v>10</v>
      </c>
      <c r="M18" s="62" t="n">
        <v>5</v>
      </c>
      <c r="N18" s="9" t="inlineStr">
        <is>
          <t>Amazon link not found</t>
        </is>
      </c>
      <c r="O18" s="62">
        <f>IF(N18="Selling pet toys + Artificial grass/Pet toilets (TARGET)",15,IF(N18="Selling artificial grass/pet toilets (TARGET)",10,IF(N18="Selling pet toys",7,IF(N18="There's an Amazon link, but no target sales.",3,0))))</f>
        <v/>
      </c>
      <c r="P18" s="63">
        <f>H18+J18+L18+M18+O18</f>
        <v/>
      </c>
      <c r="Q18" s="64">
        <f>IF(OR(H18=0,P18&lt;30),"Tier D (Đóng băng)",IF(P18&gt;=85,"Tier S (Kim Cương: 85-100đ)",IF(P18&gt;=70,"Tier A (Vàng: 70-84đ)",IF(P18&gt;=61,"Tier B+ / Cấp A (Hot Lead: 61-69đ)",IF(P18&gt;=50,"Tier B (Bạc: 50-60đ)","Tier C (Đồng: 30-49đ)")))))</f>
        <v/>
      </c>
      <c r="R18" s="9" t="inlineStr">
        <is>
          <t>Trọn gói Take-Home Starter Kit V2/V3 (Cỏ nhân tạo + Khay Potty + Đồ chơi Teething/Snuggle)</t>
        </is>
      </c>
      <c r="S18" s="9" t="inlineStr">
        <is>
          <t>HOT LEAD CẤP A: Gọi Telesale trực tiếp trong ngày + Email cá nhân hóa chào Puppy Kit V2/V3</t>
        </is>
      </c>
    </row>
    <row r="19">
      <c r="A19" s="53" t="n">
        <v>2848</v>
      </c>
      <c r="B19" s="12" t="inlineStr">
        <is>
          <t>Sea Dog Kennels</t>
        </is>
      </c>
      <c r="C19" s="54" t="inlineStr">
        <is>
          <t>https://www.facebook.com/SeaDogPWDpuppies</t>
        </is>
      </c>
      <c r="D19" s="6" t="inlineStr">
        <is>
          <t>Cần quét Bio Fanpage</t>
        </is>
      </c>
      <c r="E19" s="53" t="inlineStr">
        <is>
          <t>12/10/2026 21:49:47</t>
        </is>
      </c>
      <c r="F19" s="53" t="inlineStr">
        <is>
          <t>8 giờ trước</t>
        </is>
      </c>
      <c r="G19" s="55" t="n">
        <v>0.33</v>
      </c>
      <c r="H19" s="56" t="n">
        <v>32</v>
      </c>
      <c r="I19" s="6" t="inlineStr">
        <is>
          <t>Dog Breeder / Trại chó chuyên nghiệp (28-30đ)</t>
        </is>
      </c>
      <c r="J19" s="56" t="n">
        <v>30</v>
      </c>
      <c r="K19" s="6" t="inlineStr">
        <is>
          <t>Spaniel / Gun Dog / Retriever</t>
        </is>
      </c>
      <c r="L19" s="56" t="n">
        <v>5</v>
      </c>
      <c r="M19" s="56" t="n">
        <v>10</v>
      </c>
      <c r="N19" s="6" t="inlineStr">
        <is>
          <t>Amazon link not found</t>
        </is>
      </c>
      <c r="O19" s="56">
        <f>IF(N19="Selling pet toys + Artificial grass/Pet toilets (TARGET)",15,IF(N19="Selling artificial grass/pet toilets (TARGET)",10,IF(N19="Selling pet toys",7,IF(N19="There's an Amazon link, but no target sales.",3,0))))</f>
        <v/>
      </c>
      <c r="P19" s="63">
        <f>H19+J19+L19+M19+O19</f>
        <v/>
      </c>
      <c r="Q19" s="64">
        <f>IF(OR(H19=0,P19&lt;30),"Tier D (Đóng băng)",IF(P19&gt;=85,"Tier S (Kim Cương: 85-100đ)",IF(P19&gt;=70,"Tier A (Vàng: 70-84đ)",IF(P19&gt;=61,"Tier B+ / Cấp A (Hot Lead: 61-69đ)",IF(P19&gt;=50,"Tier B (Bạc: 50-60đ)","Tier C (Đồng: 30-49đ)")))))</f>
        <v/>
      </c>
      <c r="R19" s="6" t="inlineStr">
        <is>
          <t>Trọn gói Take-Home Starter Kit V2/V3 (Cỏ nhân tạo + Khay Potty + Đồ chơi Teething/Snuggle)</t>
        </is>
      </c>
      <c r="S19" s="6" t="inlineStr">
        <is>
          <t>HOT LEAD CẤP A: Gọi Telesale trực tiếp trong ngày + Email cá nhân hóa chào Puppy Kit V2/V3</t>
        </is>
      </c>
    </row>
    <row r="20">
      <c r="A20" s="59" t="n">
        <v>3423</v>
      </c>
      <c r="B20" s="15" t="inlineStr">
        <is>
          <t>Wilson’s Kennels Rottweilers &amp; Security</t>
        </is>
      </c>
      <c r="C20" s="60" t="inlineStr">
        <is>
          <t>https://www.facebook.com/profile.php?id=100060832497072</t>
        </is>
      </c>
      <c r="D20" s="9" t="inlineStr">
        <is>
          <t>Cần quét Bio Fanpage</t>
        </is>
      </c>
      <c r="E20" s="59" t="inlineStr">
        <is>
          <t>12/10/2026 21:46:49</t>
        </is>
      </c>
      <c r="F20" s="59" t="inlineStr">
        <is>
          <t>9 giờ trước</t>
        </is>
      </c>
      <c r="G20" s="61" t="n">
        <v>0.38</v>
      </c>
      <c r="H20" s="62" t="n">
        <v>32</v>
      </c>
      <c r="I20" s="9" t="inlineStr">
        <is>
          <t>Dog Breeder / Trại chó chuyên nghiệp (28-30đ)</t>
        </is>
      </c>
      <c r="J20" s="62" t="n">
        <v>30</v>
      </c>
      <c r="K20" s="9" t="inlineStr">
        <is>
          <t>Rottweiler</t>
        </is>
      </c>
      <c r="L20" s="62" t="n">
        <v>10</v>
      </c>
      <c r="M20" s="62" t="n">
        <v>5</v>
      </c>
      <c r="N20" s="9" t="inlineStr">
        <is>
          <t>Amazon link not found</t>
        </is>
      </c>
      <c r="O20" s="62">
        <f>IF(N20="Selling pet toys + Artificial grass/Pet toilets (TARGET)",15,IF(N20="Selling artificial grass/pet toilets (TARGET)",10,IF(N20="Selling pet toys",7,IF(N20="There's an Amazon link, but no target sales.",3,0))))</f>
        <v/>
      </c>
      <c r="P20" s="63">
        <f>H20+J20+L20+M20+O20</f>
        <v/>
      </c>
      <c r="Q20" s="64">
        <f>IF(OR(H20=0,P20&lt;30),"Tier D (Đóng băng)",IF(P20&gt;=85,"Tier S (Kim Cương: 85-100đ)",IF(P20&gt;=70,"Tier A (Vàng: 70-84đ)",IF(P20&gt;=61,"Tier B+ / Cấp A (Hot Lead: 61-69đ)",IF(P20&gt;=50,"Tier B (Bạc: 50-60đ)","Tier C (Đồng: 30-49đ)")))))</f>
        <v/>
      </c>
      <c r="R20" s="9" t="inlineStr">
        <is>
          <t>Trọn gói Take-Home Starter Kit V2/V3 (Cỏ nhân tạo + Khay Potty + Đồ chơi Teething/Snuggle)</t>
        </is>
      </c>
      <c r="S20" s="9" t="inlineStr">
        <is>
          <t>HOT LEAD CẤP A: Gọi Telesale trực tiếp trong ngày + Email cá nhân hóa chào Puppy Kit V2/V3</t>
        </is>
      </c>
    </row>
    <row r="21">
      <c r="A21" s="53" t="n">
        <v>2094</v>
      </c>
      <c r="B21" s="12" t="inlineStr">
        <is>
          <t>MadCity Frenchies LLC</t>
        </is>
      </c>
      <c r="C21" s="54" t="inlineStr">
        <is>
          <t>https://www.facebook.com/profile.php?id=100071498224701</t>
        </is>
      </c>
      <c r="D21" s="6" t="inlineStr">
        <is>
          <t>Cần quét Bio Fanpage</t>
        </is>
      </c>
      <c r="E21" s="53" t="inlineStr">
        <is>
          <t>12/10/2026 17:00:13</t>
        </is>
      </c>
      <c r="F21" s="53" t="inlineStr">
        <is>
          <t>11 giờ trước</t>
        </is>
      </c>
      <c r="G21" s="55" t="n">
        <v>0.46</v>
      </c>
      <c r="H21" s="56" t="n">
        <v>32</v>
      </c>
      <c r="I21" s="6" t="inlineStr">
        <is>
          <t>Dog Breeder / Trại chó chuyên nghiệp (28-30đ)</t>
        </is>
      </c>
      <c r="J21" s="56" t="n">
        <v>30</v>
      </c>
      <c r="K21" s="6" t="inlineStr">
        <is>
          <t>French Bulldog</t>
        </is>
      </c>
      <c r="L21" s="56" t="n">
        <v>10</v>
      </c>
      <c r="M21" s="56" t="n">
        <v>5</v>
      </c>
      <c r="N21" s="6" t="inlineStr">
        <is>
          <t>Amazon link not found</t>
        </is>
      </c>
      <c r="O21" s="56">
        <f>IF(N21="Selling pet toys + Artificial grass/Pet toilets (TARGET)",15,IF(N21="Selling artificial grass/pet toilets (TARGET)",10,IF(N21="Selling pet toys",7,IF(N21="There's an Amazon link, but no target sales.",3,0))))</f>
        <v/>
      </c>
      <c r="P21" s="63">
        <f>H21+J21+L21+M21+O21</f>
        <v/>
      </c>
      <c r="Q21" s="64">
        <f>IF(OR(H21=0,P21&lt;30),"Tier D (Đóng băng)",IF(P21&gt;=85,"Tier S (Kim Cương: 85-100đ)",IF(P21&gt;=70,"Tier A (Vàng: 70-84đ)",IF(P21&gt;=61,"Tier B+ / Cấp A (Hot Lead: 61-69đ)",IF(P21&gt;=50,"Tier B (Bạc: 50-60đ)","Tier C (Đồng: 30-49đ)")))))</f>
        <v/>
      </c>
      <c r="R21" s="6" t="inlineStr">
        <is>
          <t>Trọn gói Take-Home Starter Kit V2/V3 (Cỏ nhân tạo + Khay Potty + Đồ chơi Teething/Snuggle)</t>
        </is>
      </c>
      <c r="S21" s="6" t="inlineStr">
        <is>
          <t>HOT LEAD CẤP A: Gọi Telesale trực tiếp trong ngày + Email cá nhân hóa chào Puppy Kit V2/V3</t>
        </is>
      </c>
    </row>
    <row r="22">
      <c r="A22" s="59" t="n">
        <v>209</v>
      </c>
      <c r="B22" s="15" t="inlineStr">
        <is>
          <t>Lakeside Bullies, LLC</t>
        </is>
      </c>
      <c r="C22" s="60" t="inlineStr">
        <is>
          <t>https://www.facebook.com/profile.php?id=100082103677996</t>
        </is>
      </c>
      <c r="D22" s="9" t="inlineStr">
        <is>
          <t>Cần quét Bio Fanpage</t>
        </is>
      </c>
      <c r="E22" s="59" t="inlineStr">
        <is>
          <t>12/10/2026 11:00:00</t>
        </is>
      </c>
      <c r="F22" s="59" t="inlineStr">
        <is>
          <t>14 giờ trước</t>
        </is>
      </c>
      <c r="G22" s="61" t="n">
        <v>0.58</v>
      </c>
      <c r="H22" s="62" t="n">
        <v>32</v>
      </c>
      <c r="I22" s="9" t="inlineStr">
        <is>
          <t>Dog Breeder / Trại chó chuyên nghiệp (28-30đ)</t>
        </is>
      </c>
      <c r="J22" s="62" t="n">
        <v>30</v>
      </c>
      <c r="K22" s="9" t="inlineStr">
        <is>
          <t>American Bully / Bully</t>
        </is>
      </c>
      <c r="L22" s="62" t="n">
        <v>10</v>
      </c>
      <c r="M22" s="62" t="n">
        <v>5</v>
      </c>
      <c r="N22" s="9" t="inlineStr">
        <is>
          <t>Amazon link not found</t>
        </is>
      </c>
      <c r="O22" s="62">
        <f>IF(N22="Selling pet toys + Artificial grass/Pet toilets (TARGET)",15,IF(N22="Selling artificial grass/pet toilets (TARGET)",10,IF(N22="Selling pet toys",7,IF(N22="There's an Amazon link, but no target sales.",3,0))))</f>
        <v/>
      </c>
      <c r="P22" s="63">
        <f>H22+J22+L22+M22+O22</f>
        <v/>
      </c>
      <c r="Q22" s="64">
        <f>IF(OR(H22=0,P22&lt;30),"Tier D (Đóng băng)",IF(P22&gt;=85,"Tier S (Kim Cương: 85-100đ)",IF(P22&gt;=70,"Tier A (Vàng: 70-84đ)",IF(P22&gt;=61,"Tier B+ / Cấp A (Hot Lead: 61-69đ)",IF(P22&gt;=50,"Tier B (Bạc: 50-60đ)","Tier C (Đồng: 30-49đ)")))))</f>
        <v/>
      </c>
      <c r="R22" s="9" t="inlineStr">
        <is>
          <t>Trọn gói Take-Home Starter Kit V2/V3 (Cỏ nhân tạo + Khay Potty + Đồ chơi Teething/Snuggle)</t>
        </is>
      </c>
      <c r="S22" s="9" t="inlineStr">
        <is>
          <t>HOT LEAD CẤP A: Gọi Telesale trực tiếp trong ngày + Email cá nhân hóa chào Puppy Kit V2/V3</t>
        </is>
      </c>
    </row>
    <row r="23">
      <c r="A23" s="53" t="n">
        <v>5147</v>
      </c>
      <c r="B23" s="12" t="inlineStr">
        <is>
          <t>Pyrenean Mastiffs of Pu'uwai O Pokela Farm</t>
        </is>
      </c>
      <c r="C23" s="54" t="inlineStr">
        <is>
          <t>https://www.facebook.com/pmofpopfarm</t>
        </is>
      </c>
      <c r="D23" s="6" t="inlineStr">
        <is>
          <t>Cần quét Bio Fanpage</t>
        </is>
      </c>
      <c r="E23" s="53" t="inlineStr">
        <is>
          <t>13/10/2026 09:09:49</t>
        </is>
      </c>
      <c r="F23" s="53" t="inlineStr">
        <is>
          <t>1 giờ trước</t>
        </is>
      </c>
      <c r="G23" s="55" t="n">
        <v>0.04</v>
      </c>
      <c r="H23" s="56" t="n">
        <v>35</v>
      </c>
      <c r="I23" s="6" t="inlineStr">
        <is>
          <t>Dog Breeder / Trại chó chuyên nghiệp (28-30đ)</t>
        </is>
      </c>
      <c r="J23" s="56" t="n">
        <v>30</v>
      </c>
      <c r="K23" s="6" t="inlineStr">
        <is>
          <t>Cane Corso / Mastiff, Great Dane / Working Giant</t>
        </is>
      </c>
      <c r="L23" s="56" t="n">
        <v>5</v>
      </c>
      <c r="M23" s="56" t="n">
        <v>5</v>
      </c>
      <c r="N23" s="6" t="inlineStr">
        <is>
          <t>Amazon link not found</t>
        </is>
      </c>
      <c r="O23" s="56">
        <f>IF(N23="Selling pet toys + Artificial grass/Pet toilets (TARGET)",15,IF(N23="Selling artificial grass/pet toilets (TARGET)",10,IF(N23="Selling pet toys",7,IF(N23="There's an Amazon link, but no target sales.",3,0))))</f>
        <v/>
      </c>
      <c r="P23" s="63">
        <f>H23+J23+L23+M23+O23</f>
        <v/>
      </c>
      <c r="Q23" s="64">
        <f>IF(OR(H23=0,P23&lt;30),"Tier D (Đóng băng)",IF(P23&gt;=85,"Tier S (Kim Cương: 85-100đ)",IF(P23&gt;=70,"Tier A (Vàng: 70-84đ)",IF(P23&gt;=61,"Tier B+ / Cấp A (Hot Lead: 61-69đ)",IF(P23&gt;=50,"Tier B (Bạc: 50-60đ)","Tier C (Đồng: 30-49đ)")))))</f>
        <v/>
      </c>
      <c r="R23" s="6" t="inlineStr">
        <is>
          <t>Trọn gói Take-Home Starter Kit V2/V3 (Cỏ nhân tạo + Khay Potty + Đồ chơi Teething/Snuggle)</t>
        </is>
      </c>
      <c r="S23" s="6" t="inlineStr">
        <is>
          <t>HOT LEAD CẤP A: Gọi Telesale trực tiếp trong ngày + Email cá nhân hóa chào Puppy Kit V2/V3</t>
        </is>
      </c>
    </row>
    <row r="24">
      <c r="A24" s="59" t="n">
        <v>3735</v>
      </c>
      <c r="B24" s="15" t="inlineStr">
        <is>
          <t>Eclipse Kennels Berger Picards</t>
        </is>
      </c>
      <c r="C24" s="60" t="inlineStr">
        <is>
          <t>https://www.facebook.com/EclipseKennels</t>
        </is>
      </c>
      <c r="D24" s="9" t="inlineStr">
        <is>
          <t>Cần quét Bio Fanpage</t>
        </is>
      </c>
      <c r="E24" s="59" t="inlineStr">
        <is>
          <t>13/10/2026 06:58:06</t>
        </is>
      </c>
      <c r="F24" s="59" t="inlineStr">
        <is>
          <t>40 phút trước</t>
        </is>
      </c>
      <c r="G24" s="61" t="n">
        <v>0.03</v>
      </c>
      <c r="H24" s="62" t="n">
        <v>35</v>
      </c>
      <c r="I24" s="9" t="inlineStr">
        <is>
          <t>Dog Breeder / Trại chó chuyên nghiệp (28-30đ)</t>
        </is>
      </c>
      <c r="J24" s="62" t="n">
        <v>30</v>
      </c>
      <c r="K24" s="9" t="inlineStr">
        <is>
          <t>Australian Shepherd / Herding</t>
        </is>
      </c>
      <c r="L24" s="62" t="n">
        <v>5</v>
      </c>
      <c r="M24" s="62" t="n">
        <v>5</v>
      </c>
      <c r="N24" s="9" t="inlineStr">
        <is>
          <t>Amazon link not found</t>
        </is>
      </c>
      <c r="O24" s="62">
        <f>IF(N24="Selling pet toys + Artificial grass/Pet toilets (TARGET)",15,IF(N24="Selling artificial grass/pet toilets (TARGET)",10,IF(N24="Selling pet toys",7,IF(N24="There's an Amazon link, but no target sales.",3,0))))</f>
        <v/>
      </c>
      <c r="P24" s="63">
        <f>H24+J24+L24+M24+O24</f>
        <v/>
      </c>
      <c r="Q24" s="64">
        <f>IF(OR(H24=0,P24&lt;30),"Tier D (Đóng băng)",IF(P24&gt;=85,"Tier S (Kim Cương: 85-100đ)",IF(P24&gt;=70,"Tier A (Vàng: 70-84đ)",IF(P24&gt;=61,"Tier B+ / Cấp A (Hot Lead: 61-69đ)",IF(P24&gt;=50,"Tier B (Bạc: 50-60đ)","Tier C (Đồng: 30-49đ)")))))</f>
        <v/>
      </c>
      <c r="R24" s="9" t="inlineStr">
        <is>
          <t>Trọn gói Take-Home Starter Kit V2/V3 (Cỏ nhân tạo + Khay Potty + Đồ chơi Teething/Snuggle)</t>
        </is>
      </c>
      <c r="S24" s="9" t="inlineStr">
        <is>
          <t>HOT LEAD CẤP A: Gọi Telesale trực tiếp trong ngày + Email cá nhân hóa chào Puppy Kit V2/V3</t>
        </is>
      </c>
    </row>
    <row r="25">
      <c r="A25" s="53" t="n">
        <v>3196</v>
      </c>
      <c r="B25" s="12" t="inlineStr">
        <is>
          <t>TNB Bulldogges of Alabama</t>
        </is>
      </c>
      <c r="C25" s="54" t="inlineStr">
        <is>
          <t>https://www.facebook.com/tnbkennelsbulldogges</t>
        </is>
      </c>
      <c r="D25" s="6" t="inlineStr">
        <is>
          <t>Cần quét Bio Fanpage</t>
        </is>
      </c>
      <c r="E25" s="53" t="inlineStr">
        <is>
          <t>13/10/2026 06:00:16</t>
        </is>
      </c>
      <c r="F25" s="53" t="inlineStr">
        <is>
          <t>39 phút trước</t>
        </is>
      </c>
      <c r="G25" s="55" t="n">
        <v>0.03</v>
      </c>
      <c r="H25" s="56" t="n">
        <v>35</v>
      </c>
      <c r="I25" s="6" t="inlineStr">
        <is>
          <t>Dog Breeder / Trại chó chuyên nghiệp (28-30đ)</t>
        </is>
      </c>
      <c r="J25" s="56" t="n">
        <v>30</v>
      </c>
      <c r="K25" s="6" t="inlineStr">
        <is>
          <t>English Bulldog</t>
        </is>
      </c>
      <c r="L25" s="56" t="n">
        <v>10</v>
      </c>
      <c r="M25" s="56" t="n">
        <v>0</v>
      </c>
      <c r="N25" s="6" t="inlineStr">
        <is>
          <t>Amazon link not found</t>
        </is>
      </c>
      <c r="O25" s="56">
        <f>IF(N25="Selling pet toys + Artificial grass/Pet toilets (TARGET)",15,IF(N25="Selling artificial grass/pet toilets (TARGET)",10,IF(N25="Selling pet toys",7,IF(N25="There's an Amazon link, but no target sales.",3,0))))</f>
        <v/>
      </c>
      <c r="P25" s="63">
        <f>H25+J25+L25+M25+O25</f>
        <v/>
      </c>
      <c r="Q25" s="64">
        <f>IF(OR(H25=0,P25&lt;30),"Tier D (Đóng băng)",IF(P25&gt;=85,"Tier S (Kim Cương: 85-100đ)",IF(P25&gt;=70,"Tier A (Vàng: 70-84đ)",IF(P25&gt;=61,"Tier B+ / Cấp A (Hot Lead: 61-69đ)",IF(P25&gt;=50,"Tier B (Bạc: 50-60đ)","Tier C (Đồng: 30-49đ)")))))</f>
        <v/>
      </c>
      <c r="R25" s="6" t="inlineStr">
        <is>
          <t>Trọn gói Take-Home Starter Kit V2/V3 (Cỏ nhân tạo + Khay Potty + Đồ chơi Teething/Snuggle)</t>
        </is>
      </c>
      <c r="S25" s="6" t="inlineStr">
        <is>
          <t>HOT LEAD CẤP A: Gọi Telesale trực tiếp trong ngày + Email cá nhân hóa chào Puppy Kit V2/V3</t>
        </is>
      </c>
    </row>
    <row r="26">
      <c r="A26" s="59" t="n">
        <v>3756</v>
      </c>
      <c r="B26" s="15" t="inlineStr">
        <is>
          <t>Endurance Kennels LLC</t>
        </is>
      </c>
      <c r="C26" s="60" t="inlineStr">
        <is>
          <t>https://www.facebook.com/EnduranceKennelsSprintMushing</t>
        </is>
      </c>
      <c r="D26" s="9" t="inlineStr">
        <is>
          <t>Cần quét Bio Fanpage</t>
        </is>
      </c>
      <c r="E26" s="59" t="inlineStr">
        <is>
          <t>13/10/2026 05:45:57</t>
        </is>
      </c>
      <c r="F26" s="59" t="inlineStr">
        <is>
          <t>1 giờ trước</t>
        </is>
      </c>
      <c r="G26" s="61" t="n">
        <v>0.04</v>
      </c>
      <c r="H26" s="62" t="n">
        <v>35</v>
      </c>
      <c r="I26" s="9" t="inlineStr">
        <is>
          <t>Dog Breeder / Trại chó chuyên nghiệp (28-30đ)</t>
        </is>
      </c>
      <c r="J26" s="62" t="n">
        <v>30</v>
      </c>
      <c r="K26" s="9" t="inlineStr">
        <is>
          <t>Husky / Malamute / Samoyed / Spitz</t>
        </is>
      </c>
      <c r="L26" s="62" t="n">
        <v>5</v>
      </c>
      <c r="M26" s="62" t="n">
        <v>5</v>
      </c>
      <c r="N26" s="9" t="inlineStr">
        <is>
          <t>Amazon link not found</t>
        </is>
      </c>
      <c r="O26" s="62">
        <f>IF(N26="Selling pet toys + Artificial grass/Pet toilets (TARGET)",15,IF(N26="Selling artificial grass/pet toilets (TARGET)",10,IF(N26="Selling pet toys",7,IF(N26="There's an Amazon link, but no target sales.",3,0))))</f>
        <v/>
      </c>
      <c r="P26" s="63">
        <f>H26+J26+L26+M26+O26</f>
        <v/>
      </c>
      <c r="Q26" s="64">
        <f>IF(OR(H26=0,P26&lt;30),"Tier D (Đóng băng)",IF(P26&gt;=85,"Tier S (Kim Cương: 85-100đ)",IF(P26&gt;=70,"Tier A (Vàng: 70-84đ)",IF(P26&gt;=61,"Tier B+ / Cấp A (Hot Lead: 61-69đ)",IF(P26&gt;=50,"Tier B (Bạc: 50-60đ)","Tier C (Đồng: 30-49đ)")))))</f>
        <v/>
      </c>
      <c r="R26" s="9" t="inlineStr">
        <is>
          <t>Trọn gói Take-Home Starter Kit V2/V3 (Cỏ nhân tạo + Khay Potty + Đồ chơi Teething/Snuggle)</t>
        </is>
      </c>
      <c r="S26" s="9" t="inlineStr">
        <is>
          <t>HOT LEAD CẤP A: Gọi Telesale trực tiếp trong ngày + Email cá nhân hóa chào Puppy Kit V2/V3</t>
        </is>
      </c>
    </row>
    <row r="27">
      <c r="A27" s="53" t="n">
        <v>2770</v>
      </c>
      <c r="B27" s="12" t="inlineStr">
        <is>
          <t>Rocky Creek Farm Toy &amp; Mini Aussies</t>
        </is>
      </c>
      <c r="C27" s="54" t="inlineStr">
        <is>
          <t>https://www.facebook.com/rockycreekfarmaussies</t>
        </is>
      </c>
      <c r="D27" s="6" t="inlineStr">
        <is>
          <t>Cần quét Bio Fanpage</t>
        </is>
      </c>
      <c r="E27" s="53" t="inlineStr">
        <is>
          <t>13/10/2026 04:35:31</t>
        </is>
      </c>
      <c r="F27" s="53" t="inlineStr">
        <is>
          <t>1 giờ trước</t>
        </is>
      </c>
      <c r="G27" s="55" t="n">
        <v>0.04</v>
      </c>
      <c r="H27" s="56" t="n">
        <v>35</v>
      </c>
      <c r="I27" s="6" t="inlineStr">
        <is>
          <t>Dog Breeder / Trại chó chuyên nghiệp (28-30đ)</t>
        </is>
      </c>
      <c r="J27" s="56" t="n">
        <v>30</v>
      </c>
      <c r="K27" s="6" t="inlineStr">
        <is>
          <t>Australian Shepherd / Herding</t>
        </is>
      </c>
      <c r="L27" s="56" t="n">
        <v>5</v>
      </c>
      <c r="M27" s="56" t="n">
        <v>5</v>
      </c>
      <c r="N27" s="6" t="inlineStr">
        <is>
          <t>Amazon link not found</t>
        </is>
      </c>
      <c r="O27" s="56">
        <f>IF(N27="Selling pet toys + Artificial grass/Pet toilets (TARGET)",15,IF(N27="Selling artificial grass/pet toilets (TARGET)",10,IF(N27="Selling pet toys",7,IF(N27="There's an Amazon link, but no target sales.",3,0))))</f>
        <v/>
      </c>
      <c r="P27" s="63">
        <f>H27+J27+L27+M27+O27</f>
        <v/>
      </c>
      <c r="Q27" s="64">
        <f>IF(OR(H27=0,P27&lt;30),"Tier D (Đóng băng)",IF(P27&gt;=85,"Tier S (Kim Cương: 85-100đ)",IF(P27&gt;=70,"Tier A (Vàng: 70-84đ)",IF(P27&gt;=61,"Tier B+ / Cấp A (Hot Lead: 61-69đ)",IF(P27&gt;=50,"Tier B (Bạc: 50-60đ)","Tier C (Đồng: 30-49đ)")))))</f>
        <v/>
      </c>
      <c r="R27" s="6" t="inlineStr">
        <is>
          <t>Trọn gói Take-Home Starter Kit V2/V3 (Cỏ nhân tạo + Khay Potty + Đồ chơi Teething/Snuggle)</t>
        </is>
      </c>
      <c r="S27" s="6" t="inlineStr">
        <is>
          <t>HOT LEAD CẤP A: Gọi Telesale trực tiếp trong ngày + Email cá nhân hóa chào Puppy Kit V2/V3</t>
        </is>
      </c>
    </row>
    <row r="28">
      <c r="A28" s="59" t="n">
        <v>576</v>
      </c>
      <c r="B28" s="15" t="inlineStr">
        <is>
          <t>Bailiwick Kennel Page</t>
        </is>
      </c>
      <c r="C28" s="60" t="inlineStr">
        <is>
          <t>https://www.facebook.com/BailiwickRetrievers</t>
        </is>
      </c>
      <c r="D28" s="9" t="inlineStr">
        <is>
          <t>Cần quét Bio Fanpage</t>
        </is>
      </c>
      <c r="E28" s="59" t="inlineStr">
        <is>
          <t>13/10/2026 00:44:19</t>
        </is>
      </c>
      <c r="F28" s="59" t="inlineStr">
        <is>
          <t>1 giờ trước</t>
        </is>
      </c>
      <c r="G28" s="61" t="n">
        <v>0.04</v>
      </c>
      <c r="H28" s="62" t="n">
        <v>35</v>
      </c>
      <c r="I28" s="9" t="inlineStr">
        <is>
          <t>Dog Breeder / Trại chó chuyên nghiệp (28-30đ)</t>
        </is>
      </c>
      <c r="J28" s="62" t="n">
        <v>30</v>
      </c>
      <c r="K28" s="9" t="inlineStr">
        <is>
          <t>Spaniel / Gun Dog / Retriever</t>
        </is>
      </c>
      <c r="L28" s="62" t="n">
        <v>5</v>
      </c>
      <c r="M28" s="62" t="n">
        <v>5</v>
      </c>
      <c r="N28" s="9" t="inlineStr">
        <is>
          <t>Amazon link not found</t>
        </is>
      </c>
      <c r="O28" s="62">
        <f>IF(N28="Selling pet toys + Artificial grass/Pet toilets (TARGET)",15,IF(N28="Selling artificial grass/pet toilets (TARGET)",10,IF(N28="Selling pet toys",7,IF(N28="There's an Amazon link, but no target sales.",3,0))))</f>
        <v/>
      </c>
      <c r="P28" s="63">
        <f>H28+J28+L28+M28+O28</f>
        <v/>
      </c>
      <c r="Q28" s="64">
        <f>IF(OR(H28=0,P28&lt;30),"Tier D (Đóng băng)",IF(P28&gt;=85,"Tier S (Kim Cương: 85-100đ)",IF(P28&gt;=70,"Tier A (Vàng: 70-84đ)",IF(P28&gt;=61,"Tier B+ / Cấp A (Hot Lead: 61-69đ)",IF(P28&gt;=50,"Tier B (Bạc: 50-60đ)","Tier C (Đồng: 30-49đ)")))))</f>
        <v/>
      </c>
      <c r="R28" s="9" t="inlineStr">
        <is>
          <t>Trọn gói Take-Home Starter Kit V2/V3 (Cỏ nhân tạo + Khay Potty + Đồ chơi Teething/Snuggle)</t>
        </is>
      </c>
      <c r="S28" s="9" t="inlineStr">
        <is>
          <t>HOT LEAD CẤP A: Gọi Telesale trực tiếp trong ngày + Email cá nhân hóa chào Puppy Kit V2/V3</t>
        </is>
      </c>
    </row>
    <row r="29">
      <c r="A29" s="53" t="n">
        <v>823</v>
      </c>
      <c r="B29" s="12" t="inlineStr">
        <is>
          <t>Cane Corso kennel Apriori Best</t>
        </is>
      </c>
      <c r="C29" s="54" t="inlineStr">
        <is>
          <t>https://www.facebook.com/CaneCorsoKennelAprioriBest</t>
        </is>
      </c>
      <c r="D29" s="6" t="inlineStr">
        <is>
          <t>Cần quét Bio Fanpage</t>
        </is>
      </c>
      <c r="E29" s="53" t="inlineStr">
        <is>
          <t>12/10/2026 22:43:33</t>
        </is>
      </c>
      <c r="F29" s="53" t="inlineStr">
        <is>
          <t>3 giờ trước</t>
        </is>
      </c>
      <c r="G29" s="55" t="n">
        <v>0.12</v>
      </c>
      <c r="H29" s="56" t="n">
        <v>35</v>
      </c>
      <c r="I29" s="6" t="inlineStr">
        <is>
          <t>Dog Breeder / Trại chó chuyên nghiệp (28-30đ)</t>
        </is>
      </c>
      <c r="J29" s="56" t="n">
        <v>30</v>
      </c>
      <c r="K29" s="6" t="inlineStr">
        <is>
          <t>Cane Corso / Mastiff</t>
        </is>
      </c>
      <c r="L29" s="56" t="n">
        <v>5</v>
      </c>
      <c r="M29" s="56" t="n">
        <v>5</v>
      </c>
      <c r="N29" s="6" t="inlineStr">
        <is>
          <t>Amazon link not found</t>
        </is>
      </c>
      <c r="O29" s="56">
        <f>IF(N29="Selling pet toys + Artificial grass/Pet toilets (TARGET)",15,IF(N29="Selling artificial grass/pet toilets (TARGET)",10,IF(N29="Selling pet toys",7,IF(N29="There's an Amazon link, but no target sales.",3,0))))</f>
        <v/>
      </c>
      <c r="P29" s="63">
        <f>H29+J29+L29+M29+O29</f>
        <v/>
      </c>
      <c r="Q29" s="64">
        <f>IF(OR(H29=0,P29&lt;30),"Tier D (Đóng băng)",IF(P29&gt;=85,"Tier S (Kim Cương: 85-100đ)",IF(P29&gt;=70,"Tier A (Vàng: 70-84đ)",IF(P29&gt;=61,"Tier B+ / Cấp A (Hot Lead: 61-69đ)",IF(P29&gt;=50,"Tier B (Bạc: 50-60đ)","Tier C (Đồng: 30-49đ)")))))</f>
        <v/>
      </c>
      <c r="R29" s="6" t="inlineStr">
        <is>
          <t>Trọn gói Take-Home Starter Kit V2/V3 (Cỏ nhân tạo + Khay Potty + Đồ chơi Teething/Snuggle)</t>
        </is>
      </c>
      <c r="S29" s="6" t="inlineStr">
        <is>
          <t>HOT LEAD CẤP A: Gọi Telesale trực tiếp trong ngày + Email cá nhân hóa chào Puppy Kit V2/V3</t>
        </is>
      </c>
    </row>
    <row r="30">
      <c r="A30" s="59" t="n">
        <v>771</v>
      </c>
      <c r="B30" s="15" t="inlineStr">
        <is>
          <t>Bruno’s Bulldog Ranch</t>
        </is>
      </c>
      <c r="C30" s="60" t="inlineStr">
        <is>
          <t>https://www.facebook.com/brunosbulldogranch</t>
        </is>
      </c>
      <c r="D30" s="9" t="inlineStr">
        <is>
          <t>Cần quét Bio Fanpage</t>
        </is>
      </c>
      <c r="E30" s="59" t="inlineStr">
        <is>
          <t>12/10/2026 06:09:55</t>
        </is>
      </c>
      <c r="F30" s="59" t="inlineStr">
        <is>
          <t>20 giờ trước</t>
        </is>
      </c>
      <c r="G30" s="61" t="n">
        <v>0.83</v>
      </c>
      <c r="H30" s="62" t="n">
        <v>32</v>
      </c>
      <c r="I30" s="9" t="inlineStr">
        <is>
          <t>Dog Breeder / Trại nhân giống (28-30đ)</t>
        </is>
      </c>
      <c r="J30" s="62" t="n">
        <v>28</v>
      </c>
      <c r="K30" s="9" t="inlineStr">
        <is>
          <t>English Bulldog</t>
        </is>
      </c>
      <c r="L30" s="62" t="n">
        <v>10</v>
      </c>
      <c r="M30" s="62" t="n">
        <v>5</v>
      </c>
      <c r="N30" s="9" t="inlineStr">
        <is>
          <t>Amazon link not found</t>
        </is>
      </c>
      <c r="O30" s="62">
        <f>IF(N30="Selling pet toys + Artificial grass/Pet toilets (TARGET)",15,IF(N30="Selling artificial grass/pet toilets (TARGET)",10,IF(N30="Selling pet toys",7,IF(N30="There's an Amazon link, but no target sales.",3,0))))</f>
        <v/>
      </c>
      <c r="P30" s="63">
        <f>H30+J30+L30+M30+O30</f>
        <v/>
      </c>
      <c r="Q30" s="64">
        <f>IF(OR(H30=0,P30&lt;30),"Tier D (Đóng băng)",IF(P30&gt;=85,"Tier S (Kim Cương: 85-100đ)",IF(P30&gt;=70,"Tier A (Vàng: 70-84đ)",IF(P30&gt;=61,"Tier B+ / Cấp A (Hot Lead: 61-69đ)",IF(P30&gt;=50,"Tier B (Bạc: 50-60đ)","Tier C (Đồng: 30-49đ)")))))</f>
        <v/>
      </c>
      <c r="R30" s="9" t="inlineStr">
        <is>
          <t>Trọn gói Take-Home Starter Kit V2/V3 (Cỏ nhân tạo + Khay Potty + Đồ chơi cún con)</t>
        </is>
      </c>
      <c r="S30" s="9" t="inlineStr">
        <is>
          <t>HOT LEAD CẤP A: Gọi Telesale trực tiếp trong ngày + Email cá nhân hóa chào Puppy Kit V2/V3</t>
        </is>
      </c>
    </row>
    <row r="31">
      <c r="A31" s="53" t="n">
        <v>545</v>
      </c>
      <c r="B31" s="12" t="inlineStr">
        <is>
          <t>atfrenchiesofficial</t>
        </is>
      </c>
      <c r="C31" s="54" t="inlineStr">
        <is>
          <t>https://www.facebook.com/atfrenchiesofficial</t>
        </is>
      </c>
      <c r="D31" s="6" t="inlineStr">
        <is>
          <t>Cần quét Bio Fanpage</t>
        </is>
      </c>
      <c r="E31" s="53" t="inlineStr">
        <is>
          <t>12/10/2026 03:48:39</t>
        </is>
      </c>
      <c r="F31" s="53" t="inlineStr">
        <is>
          <t>22 giờ trước</t>
        </is>
      </c>
      <c r="G31" s="55" t="n">
        <v>0.92</v>
      </c>
      <c r="H31" s="56" t="n">
        <v>32</v>
      </c>
      <c r="I31" s="6" t="inlineStr">
        <is>
          <t>Dog Breeder / Trại nhân giống (28-30đ)</t>
        </is>
      </c>
      <c r="J31" s="56" t="n">
        <v>28</v>
      </c>
      <c r="K31" s="6" t="inlineStr">
        <is>
          <t>French Bulldog</t>
        </is>
      </c>
      <c r="L31" s="56" t="n">
        <v>10</v>
      </c>
      <c r="M31" s="56" t="n">
        <v>5</v>
      </c>
      <c r="N31" s="6" t="inlineStr">
        <is>
          <t>Amazon link not found</t>
        </is>
      </c>
      <c r="O31" s="56">
        <f>IF(N31="Selling pet toys + Artificial grass/Pet toilets (TARGET)",15,IF(N31="Selling artificial grass/pet toilets (TARGET)",10,IF(N31="Selling pet toys",7,IF(N31="There's an Amazon link, but no target sales.",3,0))))</f>
        <v/>
      </c>
      <c r="P31" s="63">
        <f>H31+J31+L31+M31+O31</f>
        <v/>
      </c>
      <c r="Q31" s="64">
        <f>IF(OR(H31=0,P31&lt;30),"Tier D (Đóng băng)",IF(P31&gt;=85,"Tier S (Kim Cương: 85-100đ)",IF(P31&gt;=70,"Tier A (Vàng: 70-84đ)",IF(P31&gt;=61,"Tier B+ / Cấp A (Hot Lead: 61-69đ)",IF(P31&gt;=50,"Tier B (Bạc: 50-60đ)","Tier C (Đồng: 30-49đ)")))))</f>
        <v/>
      </c>
      <c r="R31" s="6" t="inlineStr">
        <is>
          <t>Trọn gói Take-Home Starter Kit V2/V3 (Cỏ nhân tạo + Khay Potty + Đồ chơi cún con)</t>
        </is>
      </c>
      <c r="S31" s="6" t="inlineStr">
        <is>
          <t>HOT LEAD CẤP A: Gọi Telesale trực tiếp trong ngày + Email cá nhân hóa chào Puppy Kit V2/V3</t>
        </is>
      </c>
    </row>
    <row r="32">
      <c r="A32" s="59" t="n">
        <v>5265</v>
      </c>
      <c r="B32" s="15" t="inlineStr">
        <is>
          <t>Rumsey Elite XL Bullies</t>
        </is>
      </c>
      <c r="C32" s="60" t="inlineStr">
        <is>
          <t>https://www.facebook.com/profile.php?id=61570701478685</t>
        </is>
      </c>
      <c r="D32" s="9" t="inlineStr">
        <is>
          <t>Cần quét Bio Fanpage</t>
        </is>
      </c>
      <c r="E32" s="59" t="inlineStr">
        <is>
          <t>13/10/2026 08:13:57</t>
        </is>
      </c>
      <c r="F32" s="59" t="inlineStr">
        <is>
          <t>2 giờ trước</t>
        </is>
      </c>
      <c r="G32" s="61" t="n">
        <v>0.08</v>
      </c>
      <c r="H32" s="62" t="n">
        <v>35</v>
      </c>
      <c r="I32" s="9" t="inlineStr">
        <is>
          <t>Dog Breeder / Trại chó chuyên nghiệp (28-30đ)</t>
        </is>
      </c>
      <c r="J32" s="62" t="n">
        <v>28</v>
      </c>
      <c r="K32" s="9" t="inlineStr">
        <is>
          <t>American Bully / Bully</t>
        </is>
      </c>
      <c r="L32" s="62" t="n">
        <v>10</v>
      </c>
      <c r="M32" s="62" t="n">
        <v>0</v>
      </c>
      <c r="N32" s="9" t="inlineStr">
        <is>
          <t>Amazon link not found</t>
        </is>
      </c>
      <c r="O32" s="62">
        <f>IF(N32="Selling pet toys + Artificial grass/Pet toilets (TARGET)",15,IF(N32="Selling artificial grass/pet toilets (TARGET)",10,IF(N32="Selling pet toys",7,IF(N32="There's an Amazon link, but no target sales.",3,0))))</f>
        <v/>
      </c>
      <c r="P32" s="63">
        <f>H32+J32+L32+M32+O32</f>
        <v/>
      </c>
      <c r="Q32" s="64">
        <f>IF(OR(H32=0,P32&lt;30),"Tier D (Đóng băng)",IF(P32&gt;=85,"Tier S (Kim Cương: 85-100đ)",IF(P32&gt;=70,"Tier A (Vàng: 70-84đ)",IF(P32&gt;=61,"Tier B+ / Cấp A (Hot Lead: 61-69đ)",IF(P32&gt;=50,"Tier B (Bạc: 50-60đ)","Tier C (Đồng: 30-49đ)")))))</f>
        <v/>
      </c>
      <c r="R32" s="9" t="inlineStr">
        <is>
          <t>Trọn gói Take-Home Starter Kit V2/V3 (Cỏ nhân tạo + Khay Potty + Đồ chơi Teething/Snuggle)</t>
        </is>
      </c>
      <c r="S32" s="9" t="inlineStr">
        <is>
          <t>HOT LEAD CẤP A: Gọi Telesale trực tiếp trong ngày + Email cá nhân hóa chào Puppy Kit V2/V3</t>
        </is>
      </c>
    </row>
    <row r="33">
      <c r="A33" s="53" t="n">
        <v>4507</v>
      </c>
      <c r="B33" s="12" t="inlineStr">
        <is>
          <t>Little wrinkles bulldogs</t>
        </is>
      </c>
      <c r="C33" s="54" t="inlineStr">
        <is>
          <t>https://www.facebook.com/profile.php?id=100064316126658</t>
        </is>
      </c>
      <c r="D33" s="6" t="inlineStr">
        <is>
          <t>Cần quét Bio Fanpage</t>
        </is>
      </c>
      <c r="E33" s="53" t="inlineStr">
        <is>
          <t>13/10/2026 08:05:57</t>
        </is>
      </c>
      <c r="F33" s="53" t="inlineStr">
        <is>
          <t>57 phút trước</t>
        </is>
      </c>
      <c r="G33" s="55" t="n">
        <v>0.04</v>
      </c>
      <c r="H33" s="56" t="n">
        <v>35</v>
      </c>
      <c r="I33" s="6" t="inlineStr">
        <is>
          <t>Dog Breeder / Trại chó chuyên nghiệp (28-30đ)</t>
        </is>
      </c>
      <c r="J33" s="56" t="n">
        <v>28</v>
      </c>
      <c r="K33" s="6" t="inlineStr">
        <is>
          <t>English Bulldog</t>
        </is>
      </c>
      <c r="L33" s="56" t="n">
        <v>10</v>
      </c>
      <c r="M33" s="56" t="n">
        <v>0</v>
      </c>
      <c r="N33" s="6" t="inlineStr">
        <is>
          <t>Amazon link not found</t>
        </is>
      </c>
      <c r="O33" s="56">
        <f>IF(N33="Selling pet toys + Artificial grass/Pet toilets (TARGET)",15,IF(N33="Selling artificial grass/pet toilets (TARGET)",10,IF(N33="Selling pet toys",7,IF(N33="There's an Amazon link, but no target sales.",3,0))))</f>
        <v/>
      </c>
      <c r="P33" s="63">
        <f>H33+J33+L33+M33+O33</f>
        <v/>
      </c>
      <c r="Q33" s="64">
        <f>IF(OR(H33=0,P33&lt;30),"Tier D (Đóng băng)",IF(P33&gt;=85,"Tier S (Kim Cương: 85-100đ)",IF(P33&gt;=70,"Tier A (Vàng: 70-84đ)",IF(P33&gt;=61,"Tier B+ / Cấp A (Hot Lead: 61-69đ)",IF(P33&gt;=50,"Tier B (Bạc: 50-60đ)","Tier C (Đồng: 30-49đ)")))))</f>
        <v/>
      </c>
      <c r="R33" s="6" t="inlineStr">
        <is>
          <t>Trọn gói Take-Home Starter Kit V2/V3 (Cỏ nhân tạo + Khay Potty + Đồ chơi Teething/Snuggle)</t>
        </is>
      </c>
      <c r="S33" s="6" t="inlineStr">
        <is>
          <t>HOT LEAD CẤP A: Gọi Telesale trực tiếp trong ngày + Email cá nhân hóa chào Puppy Kit V2/V3</t>
        </is>
      </c>
    </row>
    <row r="34">
      <c r="A34" s="59" t="n">
        <v>5095</v>
      </c>
      <c r="B34" s="15" t="inlineStr">
        <is>
          <t>Prestige Empire XL Bullies</t>
        </is>
      </c>
      <c r="C34" s="60" t="inlineStr">
        <is>
          <t>https://www.facebook.com/profile.php?id=61583795781324</t>
        </is>
      </c>
      <c r="D34" s="9" t="inlineStr">
        <is>
          <t>Cần quét Bio Fanpage</t>
        </is>
      </c>
      <c r="E34" s="59" t="inlineStr">
        <is>
          <t>13/10/2026 08:03:14</t>
        </is>
      </c>
      <c r="F34" s="59" t="inlineStr">
        <is>
          <t>2 giờ trước</t>
        </is>
      </c>
      <c r="G34" s="61" t="n">
        <v>0.08</v>
      </c>
      <c r="H34" s="62" t="n">
        <v>35</v>
      </c>
      <c r="I34" s="9" t="inlineStr">
        <is>
          <t>Dog Breeder / Trại chó chuyên nghiệp (28-30đ)</t>
        </is>
      </c>
      <c r="J34" s="62" t="n">
        <v>28</v>
      </c>
      <c r="K34" s="9" t="inlineStr">
        <is>
          <t>American Bully / Bully</t>
        </is>
      </c>
      <c r="L34" s="62" t="n">
        <v>10</v>
      </c>
      <c r="M34" s="62" t="n">
        <v>0</v>
      </c>
      <c r="N34" s="9" t="inlineStr">
        <is>
          <t>Amazon link not found</t>
        </is>
      </c>
      <c r="O34" s="62">
        <f>IF(N34="Selling pet toys + Artificial grass/Pet toilets (TARGET)",15,IF(N34="Selling artificial grass/pet toilets (TARGET)",10,IF(N34="Selling pet toys",7,IF(N34="There's an Amazon link, but no target sales.",3,0))))</f>
        <v/>
      </c>
      <c r="P34" s="63">
        <f>H34+J34+L34+M34+O34</f>
        <v/>
      </c>
      <c r="Q34" s="64">
        <f>IF(OR(H34=0,P34&lt;30),"Tier D (Đóng băng)",IF(P34&gt;=85,"Tier S (Kim Cương: 85-100đ)",IF(P34&gt;=70,"Tier A (Vàng: 70-84đ)",IF(P34&gt;=61,"Tier B+ / Cấp A (Hot Lead: 61-69đ)",IF(P34&gt;=50,"Tier B (Bạc: 50-60đ)","Tier C (Đồng: 30-49đ)")))))</f>
        <v/>
      </c>
      <c r="R34" s="9" t="inlineStr">
        <is>
          <t>Trọn gói Take-Home Starter Kit V2/V3 (Cỏ nhân tạo + Khay Potty + Đồ chơi Teething/Snuggle)</t>
        </is>
      </c>
      <c r="S34" s="9" t="inlineStr">
        <is>
          <t>HOT LEAD CẤP A: Gọi Telesale trực tiếp trong ngày + Email cá nhân hóa chào Puppy Kit V2/V3</t>
        </is>
      </c>
    </row>
    <row r="35">
      <c r="A35" s="53" t="n">
        <v>3922</v>
      </c>
      <c r="B35" s="12" t="inlineStr">
        <is>
          <t>FrenchieGiorgia</t>
        </is>
      </c>
      <c r="C35" s="54" t="inlineStr">
        <is>
          <t>https://www.facebook.com/profile.php?id=100041857255193</t>
        </is>
      </c>
      <c r="D35" s="6" t="inlineStr">
        <is>
          <t>Cần quét Bio Fanpage</t>
        </is>
      </c>
      <c r="E35" s="53" t="inlineStr">
        <is>
          <t>13/10/2026 07:25:30</t>
        </is>
      </c>
      <c r="F35" s="53" t="inlineStr">
        <is>
          <t>34 phút trước</t>
        </is>
      </c>
      <c r="G35" s="55" t="n">
        <v>0.02</v>
      </c>
      <c r="H35" s="56" t="n">
        <v>35</v>
      </c>
      <c r="I35" s="6" t="inlineStr">
        <is>
          <t>Dog Breeder / Trại nhân giống (28-30đ)</t>
        </is>
      </c>
      <c r="J35" s="56" t="n">
        <v>28</v>
      </c>
      <c r="K35" s="6" t="inlineStr">
        <is>
          <t>French Bulldog</t>
        </is>
      </c>
      <c r="L35" s="56" t="n">
        <v>10</v>
      </c>
      <c r="M35" s="56" t="n">
        <v>0</v>
      </c>
      <c r="N35" s="6" t="inlineStr">
        <is>
          <t>Amazon link not found</t>
        </is>
      </c>
      <c r="O35" s="56">
        <f>IF(N35="Selling pet toys + Artificial grass/Pet toilets (TARGET)",15,IF(N35="Selling artificial grass/pet toilets (TARGET)",10,IF(N35="Selling pet toys",7,IF(N35="There's an Amazon link, but no target sales.",3,0))))</f>
        <v/>
      </c>
      <c r="P35" s="63">
        <f>H35+J35+L35+M35+O35</f>
        <v/>
      </c>
      <c r="Q35" s="64">
        <f>IF(OR(H35=0,P35&lt;30),"Tier D (Đóng băng)",IF(P35&gt;=85,"Tier S (Kim Cương: 85-100đ)",IF(P35&gt;=70,"Tier A (Vàng: 70-84đ)",IF(P35&gt;=61,"Tier B+ / Cấp A (Hot Lead: 61-69đ)",IF(P35&gt;=50,"Tier B (Bạc: 50-60đ)","Tier C (Đồng: 30-49đ)")))))</f>
        <v/>
      </c>
      <c r="R35" s="6" t="inlineStr">
        <is>
          <t>Trọn gói Take-Home Starter Kit V2/V3 (Cỏ nhân tạo + Khay Potty + Đồ chơi cún con)</t>
        </is>
      </c>
      <c r="S35" s="6" t="inlineStr">
        <is>
          <t>HOT LEAD CẤP A: Gọi Telesale trực tiếp trong ngày + Email cá nhân hóa chào Puppy Kit V2/V3</t>
        </is>
      </c>
    </row>
    <row r="36">
      <c r="A36" s="59" t="n">
        <v>4564</v>
      </c>
      <c r="B36" s="15" t="inlineStr">
        <is>
          <t>Mad Love Bullies</t>
        </is>
      </c>
      <c r="C36" s="60" t="inlineStr">
        <is>
          <t>https://www.facebook.com/profile.php?id=61559272850812</t>
        </is>
      </c>
      <c r="D36" s="9" t="inlineStr">
        <is>
          <t>Cần quét Bio Fanpage</t>
        </is>
      </c>
      <c r="E36" s="59" t="inlineStr">
        <is>
          <t>13/10/2026 06:57:26</t>
        </is>
      </c>
      <c r="F36" s="59" t="inlineStr">
        <is>
          <t>2 giờ trước</t>
        </is>
      </c>
      <c r="G36" s="61" t="n">
        <v>0.08</v>
      </c>
      <c r="H36" s="62" t="n">
        <v>35</v>
      </c>
      <c r="I36" s="9" t="inlineStr">
        <is>
          <t>Dog Breeder / Trại chó chuyên nghiệp (28-30đ)</t>
        </is>
      </c>
      <c r="J36" s="62" t="n">
        <v>28</v>
      </c>
      <c r="K36" s="9" t="inlineStr">
        <is>
          <t>American Bully / Bully</t>
        </is>
      </c>
      <c r="L36" s="62" t="n">
        <v>10</v>
      </c>
      <c r="M36" s="62" t="n">
        <v>0</v>
      </c>
      <c r="N36" s="9" t="inlineStr">
        <is>
          <t>Amazon link not found</t>
        </is>
      </c>
      <c r="O36" s="62">
        <f>IF(N36="Selling pet toys + Artificial grass/Pet toilets (TARGET)",15,IF(N36="Selling artificial grass/pet toilets (TARGET)",10,IF(N36="Selling pet toys",7,IF(N36="There's an Amazon link, but no target sales.",3,0))))</f>
        <v/>
      </c>
      <c r="P36" s="63">
        <f>H36+J36+L36+M36+O36</f>
        <v/>
      </c>
      <c r="Q36" s="64">
        <f>IF(OR(H36=0,P36&lt;30),"Tier D (Đóng băng)",IF(P36&gt;=85,"Tier S (Kim Cương: 85-100đ)",IF(P36&gt;=70,"Tier A (Vàng: 70-84đ)",IF(P36&gt;=61,"Tier B+ / Cấp A (Hot Lead: 61-69đ)",IF(P36&gt;=50,"Tier B (Bạc: 50-60đ)","Tier C (Đồng: 30-49đ)")))))</f>
        <v/>
      </c>
      <c r="R36" s="9" t="inlineStr">
        <is>
          <t>Trọn gói Take-Home Starter Kit V2/V3 (Cỏ nhân tạo + Khay Potty + Đồ chơi Teething/Snuggle)</t>
        </is>
      </c>
      <c r="S36" s="9" t="inlineStr">
        <is>
          <t>HOT LEAD CẤP A: Gọi Telesale trực tiếp trong ngày + Email cá nhân hóa chào Puppy Kit V2/V3</t>
        </is>
      </c>
    </row>
    <row r="37">
      <c r="A37" s="53" t="n">
        <v>4020</v>
      </c>
      <c r="B37" s="12" t="inlineStr">
        <is>
          <t>Great Northwoods Frenchie’s</t>
        </is>
      </c>
      <c r="C37" s="54" t="inlineStr">
        <is>
          <t>https://www.facebook.com/GNF603</t>
        </is>
      </c>
      <c r="D37" s="6" t="inlineStr">
        <is>
          <t>Cần quét Bio Fanpage</t>
        </is>
      </c>
      <c r="E37" s="53" t="inlineStr">
        <is>
          <t>13/10/2026 06:21:53</t>
        </is>
      </c>
      <c r="F37" s="53" t="inlineStr">
        <is>
          <t>1 giờ trước</t>
        </is>
      </c>
      <c r="G37" s="55" t="n">
        <v>0.04</v>
      </c>
      <c r="H37" s="56" t="n">
        <v>35</v>
      </c>
      <c r="I37" s="6" t="inlineStr">
        <is>
          <t>Dog Breeder / Trại nhân giống (28-30đ)</t>
        </is>
      </c>
      <c r="J37" s="56" t="n">
        <v>28</v>
      </c>
      <c r="K37" s="6" t="inlineStr">
        <is>
          <t>French Bulldog</t>
        </is>
      </c>
      <c r="L37" s="56" t="n">
        <v>10</v>
      </c>
      <c r="M37" s="56" t="n">
        <v>0</v>
      </c>
      <c r="N37" s="6" t="inlineStr">
        <is>
          <t>Amazon link not found</t>
        </is>
      </c>
      <c r="O37" s="56">
        <f>IF(N37="Selling pet toys + Artificial grass/Pet toilets (TARGET)",15,IF(N37="Selling artificial grass/pet toilets (TARGET)",10,IF(N37="Selling pet toys",7,IF(N37="There's an Amazon link, but no target sales.",3,0))))</f>
        <v/>
      </c>
      <c r="P37" s="63">
        <f>H37+J37+L37+M37+O37</f>
        <v/>
      </c>
      <c r="Q37" s="64">
        <f>IF(OR(H37=0,P37&lt;30),"Tier D (Đóng băng)",IF(P37&gt;=85,"Tier S (Kim Cương: 85-100đ)",IF(P37&gt;=70,"Tier A (Vàng: 70-84đ)",IF(P37&gt;=61,"Tier B+ / Cấp A (Hot Lead: 61-69đ)",IF(P37&gt;=50,"Tier B (Bạc: 50-60đ)","Tier C (Đồng: 30-49đ)")))))</f>
        <v/>
      </c>
      <c r="R37" s="6" t="inlineStr">
        <is>
          <t>Trọn gói Take-Home Starter Kit V2/V3 (Cỏ nhân tạo + Khay Potty + Đồ chơi cún con)</t>
        </is>
      </c>
      <c r="S37" s="6" t="inlineStr">
        <is>
          <t>HOT LEAD CẤP A: Gọi Telesale trực tiếp trong ngày + Email cá nhân hóa chào Puppy Kit V2/V3</t>
        </is>
      </c>
    </row>
    <row r="38">
      <c r="A38" s="59" t="n">
        <v>4422</v>
      </c>
      <c r="B38" s="15" t="inlineStr">
        <is>
          <t>Kyro French Bulldogs</t>
        </is>
      </c>
      <c r="C38" s="60" t="inlineStr">
        <is>
          <t>https://www.facebook.com/KyroFrenchBulldogs</t>
        </is>
      </c>
      <c r="D38" s="9" t="inlineStr">
        <is>
          <t>Cần quét Bio Fanpage</t>
        </is>
      </c>
      <c r="E38" s="59" t="inlineStr">
        <is>
          <t>13/10/2026 06:13:54</t>
        </is>
      </c>
      <c r="F38" s="59" t="inlineStr">
        <is>
          <t>2 giờ trước</t>
        </is>
      </c>
      <c r="G38" s="61" t="n">
        <v>0.08</v>
      </c>
      <c r="H38" s="62" t="n">
        <v>35</v>
      </c>
      <c r="I38" s="9" t="inlineStr">
        <is>
          <t>Dog Breeder / Trại chó chuyên nghiệp (28-30đ)</t>
        </is>
      </c>
      <c r="J38" s="62" t="n">
        <v>28</v>
      </c>
      <c r="K38" s="9" t="inlineStr">
        <is>
          <t>French Bulldog</t>
        </is>
      </c>
      <c r="L38" s="62" t="n">
        <v>10</v>
      </c>
      <c r="M38" s="62" t="n">
        <v>0</v>
      </c>
      <c r="N38" s="9" t="inlineStr">
        <is>
          <t>Amazon link not found</t>
        </is>
      </c>
      <c r="O38" s="62">
        <f>IF(N38="Selling pet toys + Artificial grass/Pet toilets (TARGET)",15,IF(N38="Selling artificial grass/pet toilets (TARGET)",10,IF(N38="Selling pet toys",7,IF(N38="There's an Amazon link, but no target sales.",3,0))))</f>
        <v/>
      </c>
      <c r="P38" s="63">
        <f>H38+J38+L38+M38+O38</f>
        <v/>
      </c>
      <c r="Q38" s="64">
        <f>IF(OR(H38=0,P38&lt;30),"Tier D (Đóng băng)",IF(P38&gt;=85,"Tier S (Kim Cương: 85-100đ)",IF(P38&gt;=70,"Tier A (Vàng: 70-84đ)",IF(P38&gt;=61,"Tier B+ / Cấp A (Hot Lead: 61-69đ)",IF(P38&gt;=50,"Tier B (Bạc: 50-60đ)","Tier C (Đồng: 30-49đ)")))))</f>
        <v/>
      </c>
      <c r="R38" s="9" t="inlineStr">
        <is>
          <t>Trọn gói Take-Home Starter Kit V2/V3 (Cỏ nhân tạo + Khay Potty + Đồ chơi Teething/Snuggle)</t>
        </is>
      </c>
      <c r="S38" s="9" t="inlineStr">
        <is>
          <t>HOT LEAD CẤP A: Gọi Telesale trực tiếp trong ngày + Email cá nhân hóa chào Puppy Kit V2/V3</t>
        </is>
      </c>
    </row>
    <row r="39">
      <c r="A39" s="53" t="n">
        <v>4599</v>
      </c>
      <c r="B39" s="12" t="inlineStr">
        <is>
          <t>MarqAttack Bullies</t>
        </is>
      </c>
      <c r="C39" s="54" t="inlineStr">
        <is>
          <t>https://www.facebook.com/profile.php?id=100094416961961</t>
        </is>
      </c>
      <c r="D39" s="6" t="inlineStr">
        <is>
          <t>Cần quét Bio Fanpage</t>
        </is>
      </c>
      <c r="E39" s="53" t="inlineStr">
        <is>
          <t>13/10/2026 05:42:25</t>
        </is>
      </c>
      <c r="F39" s="53" t="inlineStr">
        <is>
          <t>3 giờ trước</t>
        </is>
      </c>
      <c r="G39" s="55" t="n">
        <v>0.12</v>
      </c>
      <c r="H39" s="56" t="n">
        <v>35</v>
      </c>
      <c r="I39" s="6" t="inlineStr">
        <is>
          <t>Dog Breeder / Trại chó chuyên nghiệp (28-30đ)</t>
        </is>
      </c>
      <c r="J39" s="56" t="n">
        <v>28</v>
      </c>
      <c r="K39" s="6" t="inlineStr">
        <is>
          <t>American Bully / Bully</t>
        </is>
      </c>
      <c r="L39" s="56" t="n">
        <v>10</v>
      </c>
      <c r="M39" s="56" t="n">
        <v>0</v>
      </c>
      <c r="N39" s="6" t="inlineStr">
        <is>
          <t>Amazon link not found</t>
        </is>
      </c>
      <c r="O39" s="56">
        <f>IF(N39="Selling pet toys + Artificial grass/Pet toilets (TARGET)",15,IF(N39="Selling artificial grass/pet toilets (TARGET)",10,IF(N39="Selling pet toys",7,IF(N39="There's an Amazon link, but no target sales.",3,0))))</f>
        <v/>
      </c>
      <c r="P39" s="63">
        <f>H39+J39+L39+M39+O39</f>
        <v/>
      </c>
      <c r="Q39" s="64">
        <f>IF(OR(H39=0,P39&lt;30),"Tier D (Đóng băng)",IF(P39&gt;=85,"Tier S (Kim Cương: 85-100đ)",IF(P39&gt;=70,"Tier A (Vàng: 70-84đ)",IF(P39&gt;=61,"Tier B+ / Cấp A (Hot Lead: 61-69đ)",IF(P39&gt;=50,"Tier B (Bạc: 50-60đ)","Tier C (Đồng: 30-49đ)")))))</f>
        <v/>
      </c>
      <c r="R39" s="6" t="inlineStr">
        <is>
          <t>Trọn gói Take-Home Starter Kit V2/V3 (Cỏ nhân tạo + Khay Potty + Đồ chơi Teething/Snuggle)</t>
        </is>
      </c>
      <c r="S39" s="6" t="inlineStr">
        <is>
          <t>HOT LEAD CẤP A: Gọi Telesale trực tiếp trong ngày + Email cá nhân hóa chào Puppy Kit V2/V3</t>
        </is>
      </c>
    </row>
    <row r="40">
      <c r="A40" s="59" t="n">
        <v>3114</v>
      </c>
      <c r="B40" s="15" t="inlineStr">
        <is>
          <t>The Emerald Pet Groom Shop LLC</t>
        </is>
      </c>
      <c r="C40" s="60" t="inlineStr">
        <is>
          <t>https://www.facebook.com/theemeraldpet</t>
        </is>
      </c>
      <c r="D40" s="9" t="inlineStr">
        <is>
          <t>Cần quét Bio Fanpage</t>
        </is>
      </c>
      <c r="E40" s="59" t="inlineStr">
        <is>
          <t>13/10/2026 05:37:39</t>
        </is>
      </c>
      <c r="F40" s="59" t="inlineStr">
        <is>
          <t>53 phút trước</t>
        </is>
      </c>
      <c r="G40" s="61" t="n">
        <v>0.04</v>
      </c>
      <c r="H40" s="62" t="n">
        <v>35</v>
      </c>
      <c r="I40" s="9" t="inlineStr">
        <is>
          <t>Dog Breeder / Trại nhân giống (28-30đ)</t>
        </is>
      </c>
      <c r="J40" s="62" t="n">
        <v>28</v>
      </c>
      <c r="K40" s="9" t="inlineStr">
        <is>
          <t>Chưa rõ giống (Cần quét Bio)</t>
        </is>
      </c>
      <c r="L40" s="62" t="n">
        <v>0</v>
      </c>
      <c r="M40" s="62" t="n">
        <v>10</v>
      </c>
      <c r="N40" s="9" t="inlineStr">
        <is>
          <t>Amazon link not found</t>
        </is>
      </c>
      <c r="O40" s="62">
        <f>IF(N40="Selling pet toys + Artificial grass/Pet toilets (TARGET)",15,IF(N40="Selling artificial grass/pet toilets (TARGET)",10,IF(N40="Selling pet toys",7,IF(N40="There's an Amazon link, but no target sales.",3,0))))</f>
        <v/>
      </c>
      <c r="P40" s="63">
        <f>H40+J40+L40+M40+O40</f>
        <v/>
      </c>
      <c r="Q40" s="64">
        <f>IF(OR(H40=0,P40&lt;30),"Tier D (Đóng băng)",IF(P40&gt;=85,"Tier S (Kim Cương: 85-100đ)",IF(P40&gt;=70,"Tier A (Vàng: 70-84đ)",IF(P40&gt;=61,"Tier B+ / Cấp A (Hot Lead: 61-69đ)",IF(P40&gt;=50,"Tier B (Bạc: 50-60đ)","Tier C (Đồng: 30-49đ)")))))</f>
        <v/>
      </c>
      <c r="R40" s="9" t="inlineStr">
        <is>
          <t>Trọn gói Take-Home Starter Kit V2/V3 (Cỏ nhân tạo + Khay Potty + Đồ chơi cún con)</t>
        </is>
      </c>
      <c r="S40" s="9" t="inlineStr">
        <is>
          <t>HOT LEAD CẤP A: Gọi Telesale trực tiếp trong ngày + Email cá nhân hóa chào Puppy Kit V2/V3</t>
        </is>
      </c>
    </row>
    <row r="41">
      <c r="A41" s="53" t="n">
        <v>2709</v>
      </c>
      <c r="B41" s="12" t="inlineStr">
        <is>
          <t>Red Dirt Dawgz Olde English Bulldogges</t>
        </is>
      </c>
      <c r="C41" s="54" t="inlineStr">
        <is>
          <t>https://www.facebook.com/reddirtdawgz</t>
        </is>
      </c>
      <c r="D41" s="6" t="inlineStr">
        <is>
          <t>Cần quét Bio Fanpage</t>
        </is>
      </c>
      <c r="E41" s="53" t="inlineStr">
        <is>
          <t>13/10/2026 04:55:08</t>
        </is>
      </c>
      <c r="F41" s="53" t="inlineStr">
        <is>
          <t>52 phút trước</t>
        </is>
      </c>
      <c r="G41" s="55" t="n">
        <v>0.04</v>
      </c>
      <c r="H41" s="56" t="n">
        <v>35</v>
      </c>
      <c r="I41" s="6" t="inlineStr">
        <is>
          <t>Dog Breeder / Trại chó chuyên nghiệp (28-30đ)</t>
        </is>
      </c>
      <c r="J41" s="56" t="n">
        <v>28</v>
      </c>
      <c r="K41" s="6" t="inlineStr">
        <is>
          <t>English Bulldog</t>
        </is>
      </c>
      <c r="L41" s="56" t="n">
        <v>10</v>
      </c>
      <c r="M41" s="56" t="n">
        <v>0</v>
      </c>
      <c r="N41" s="6" t="inlineStr">
        <is>
          <t>Amazon link not found</t>
        </is>
      </c>
      <c r="O41" s="56">
        <f>IF(N41="Selling pet toys + Artificial grass/Pet toilets (TARGET)",15,IF(N41="Selling artificial grass/pet toilets (TARGET)",10,IF(N41="Selling pet toys",7,IF(N41="There's an Amazon link, but no target sales.",3,0))))</f>
        <v/>
      </c>
      <c r="P41" s="63">
        <f>H41+J41+L41+M41+O41</f>
        <v/>
      </c>
      <c r="Q41" s="64">
        <f>IF(OR(H41=0,P41&lt;30),"Tier D (Đóng băng)",IF(P41&gt;=85,"Tier S (Kim Cương: 85-100đ)",IF(P41&gt;=70,"Tier A (Vàng: 70-84đ)",IF(P41&gt;=61,"Tier B+ / Cấp A (Hot Lead: 61-69đ)",IF(P41&gt;=50,"Tier B (Bạc: 50-60đ)","Tier C (Đồng: 30-49đ)")))))</f>
        <v/>
      </c>
      <c r="R41" s="6" t="inlineStr">
        <is>
          <t>Trọn gói Take-Home Starter Kit V2/V3 (Cỏ nhân tạo + Khay Potty + Đồ chơi Teething/Snuggle)</t>
        </is>
      </c>
      <c r="S41" s="6" t="inlineStr">
        <is>
          <t>HOT LEAD CẤP A: Gọi Telesale trực tiếp trong ngày + Email cá nhân hóa chào Puppy Kit V2/V3</t>
        </is>
      </c>
    </row>
    <row r="42">
      <c r="A42" s="59" t="n">
        <v>3197</v>
      </c>
      <c r="B42" s="15" t="inlineStr">
        <is>
          <t>Toarus Bulldog's</t>
        </is>
      </c>
      <c r="C42" s="60" t="inlineStr">
        <is>
          <t>https://www.facebook.com/profile.php?id=100063497116073</t>
        </is>
      </c>
      <c r="D42" s="9" t="inlineStr">
        <is>
          <t>Cần quét Bio Fanpage</t>
        </is>
      </c>
      <c r="E42" s="59" t="inlineStr">
        <is>
          <t>13/10/2026 03:32:59</t>
        </is>
      </c>
      <c r="F42" s="59" t="inlineStr">
        <is>
          <t>3 giờ trước</t>
        </is>
      </c>
      <c r="G42" s="61" t="n">
        <v>0.12</v>
      </c>
      <c r="H42" s="62" t="n">
        <v>35</v>
      </c>
      <c r="I42" s="9" t="inlineStr">
        <is>
          <t>Dog Breeder / Trại nhân giống (28-30đ)</t>
        </is>
      </c>
      <c r="J42" s="62" t="n">
        <v>28</v>
      </c>
      <c r="K42" s="9" t="inlineStr">
        <is>
          <t>English Bulldog</t>
        </is>
      </c>
      <c r="L42" s="62" t="n">
        <v>10</v>
      </c>
      <c r="M42" s="62" t="n">
        <v>0</v>
      </c>
      <c r="N42" s="9" t="inlineStr">
        <is>
          <t>Amazon link not found</t>
        </is>
      </c>
      <c r="O42" s="62">
        <f>IF(N42="Selling pet toys + Artificial grass/Pet toilets (TARGET)",15,IF(N42="Selling artificial grass/pet toilets (TARGET)",10,IF(N42="Selling pet toys",7,IF(N42="There's an Amazon link, but no target sales.",3,0))))</f>
        <v/>
      </c>
      <c r="P42" s="63">
        <f>H42+J42+L42+M42+O42</f>
        <v/>
      </c>
      <c r="Q42" s="64">
        <f>IF(OR(H42=0,P42&lt;30),"Tier D (Đóng băng)",IF(P42&gt;=85,"Tier S (Kim Cương: 85-100đ)",IF(P42&gt;=70,"Tier A (Vàng: 70-84đ)",IF(P42&gt;=61,"Tier B+ / Cấp A (Hot Lead: 61-69đ)",IF(P42&gt;=50,"Tier B (Bạc: 50-60đ)","Tier C (Đồng: 30-49đ)")))))</f>
        <v/>
      </c>
      <c r="R42" s="9" t="inlineStr">
        <is>
          <t>Trọn gói Take-Home Starter Kit V2/V3 (Cỏ nhân tạo + Khay Potty + Đồ chơi cún con)</t>
        </is>
      </c>
      <c r="S42" s="9" t="inlineStr">
        <is>
          <t>HOT LEAD CẤP A: Gọi Telesale trực tiếp trong ngày + Email cá nhân hóa chào Puppy Kit V2/V3</t>
        </is>
      </c>
    </row>
    <row r="43">
      <c r="A43" s="53" t="n">
        <v>2079</v>
      </c>
      <c r="B43" s="12" t="inlineStr">
        <is>
          <t>Luxurious Frenchie House</t>
        </is>
      </c>
      <c r="C43" s="54" t="inlineStr">
        <is>
          <t>https://www.facebook.com/FrenchBulldogKennels</t>
        </is>
      </c>
      <c r="D43" s="6" t="inlineStr">
        <is>
          <t>Cần quét Bio Fanpage</t>
        </is>
      </c>
      <c r="E43" s="53" t="inlineStr">
        <is>
          <t>13/10/2026 01:34:00</t>
        </is>
      </c>
      <c r="F43" s="53" t="inlineStr">
        <is>
          <t>3 giờ trước</t>
        </is>
      </c>
      <c r="G43" s="55" t="n">
        <v>0.12</v>
      </c>
      <c r="H43" s="56" t="n">
        <v>35</v>
      </c>
      <c r="I43" s="6" t="inlineStr">
        <is>
          <t>Dog Breeder / Trại nhân giống (28-30đ)</t>
        </is>
      </c>
      <c r="J43" s="56" t="n">
        <v>28</v>
      </c>
      <c r="K43" s="6" t="inlineStr">
        <is>
          <t>French Bulldog</t>
        </is>
      </c>
      <c r="L43" s="56" t="n">
        <v>10</v>
      </c>
      <c r="M43" s="56" t="n">
        <v>0</v>
      </c>
      <c r="N43" s="6" t="inlineStr">
        <is>
          <t>Amazon link not found</t>
        </is>
      </c>
      <c r="O43" s="56">
        <f>IF(N43="Selling pet toys + Artificial grass/Pet toilets (TARGET)",15,IF(N43="Selling artificial grass/pet toilets (TARGET)",10,IF(N43="Selling pet toys",7,IF(N43="There's an Amazon link, but no target sales.",3,0))))</f>
        <v/>
      </c>
      <c r="P43" s="63">
        <f>H43+J43+L43+M43+O43</f>
        <v/>
      </c>
      <c r="Q43" s="64">
        <f>IF(OR(H43=0,P43&lt;30),"Tier D (Đóng băng)",IF(P43&gt;=85,"Tier S (Kim Cương: 85-100đ)",IF(P43&gt;=70,"Tier A (Vàng: 70-84đ)",IF(P43&gt;=61,"Tier B+ / Cấp A (Hot Lead: 61-69đ)",IF(P43&gt;=50,"Tier B (Bạc: 50-60đ)","Tier C (Đồng: 30-49đ)")))))</f>
        <v/>
      </c>
      <c r="R43" s="6" t="inlineStr">
        <is>
          <t>Trọn gói Take-Home Starter Kit V2/V3 (Cỏ nhân tạo + Khay Potty + Đồ chơi cún con)</t>
        </is>
      </c>
      <c r="S43" s="6" t="inlineStr">
        <is>
          <t>HOT LEAD CẤP A: Gọi Telesale trực tiếp trong ngày + Email cá nhân hóa chào Puppy Kit V2/V3</t>
        </is>
      </c>
    </row>
    <row r="44">
      <c r="A44" s="59" t="n">
        <v>264</v>
      </c>
      <c r="B44" s="15" t="inlineStr">
        <is>
          <t>Simply Kind Frenchies</t>
        </is>
      </c>
      <c r="C44" s="60" t="inlineStr">
        <is>
          <t>https://www.facebook.com/simplykindfrenchies</t>
        </is>
      </c>
      <c r="D44" s="9" t="inlineStr">
        <is>
          <t>Cần quét Bio Fanpage</t>
        </is>
      </c>
      <c r="E44" s="59" t="inlineStr">
        <is>
          <t>13/10/2026 00:45:07</t>
        </is>
      </c>
      <c r="F44" s="59" t="inlineStr">
        <is>
          <t>38 phút trước</t>
        </is>
      </c>
      <c r="G44" s="61" t="n">
        <v>0.03</v>
      </c>
      <c r="H44" s="62" t="n">
        <v>35</v>
      </c>
      <c r="I44" s="9" t="inlineStr">
        <is>
          <t>Dog Breeder / Trại chó chuyên nghiệp (28-30đ)</t>
        </is>
      </c>
      <c r="J44" s="62" t="n">
        <v>28</v>
      </c>
      <c r="K44" s="9" t="inlineStr">
        <is>
          <t>French Bulldog</t>
        </is>
      </c>
      <c r="L44" s="62" t="n">
        <v>10</v>
      </c>
      <c r="M44" s="62" t="n">
        <v>0</v>
      </c>
      <c r="N44" s="9" t="inlineStr">
        <is>
          <t>Amazon link not found</t>
        </is>
      </c>
      <c r="O44" s="62">
        <f>IF(N44="Selling pet toys + Artificial grass/Pet toilets (TARGET)",15,IF(N44="Selling artificial grass/pet toilets (TARGET)",10,IF(N44="Selling pet toys",7,IF(N44="There's an Amazon link, but no target sales.",3,0))))</f>
        <v/>
      </c>
      <c r="P44" s="63">
        <f>H44+J44+L44+M44+O44</f>
        <v/>
      </c>
      <c r="Q44" s="64">
        <f>IF(OR(H44=0,P44&lt;30),"Tier D (Đóng băng)",IF(P44&gt;=85,"Tier S (Kim Cương: 85-100đ)",IF(P44&gt;=70,"Tier A (Vàng: 70-84đ)",IF(P44&gt;=61,"Tier B+ / Cấp A (Hot Lead: 61-69đ)",IF(P44&gt;=50,"Tier B (Bạc: 50-60đ)","Tier C (Đồng: 30-49đ)")))))</f>
        <v/>
      </c>
      <c r="R44" s="9" t="inlineStr">
        <is>
          <t>Trọn gói Take-Home Starter Kit V2/V3 (Cỏ nhân tạo + Khay Potty + Đồ chơi Teething/Snuggle)</t>
        </is>
      </c>
      <c r="S44" s="9" t="inlineStr">
        <is>
          <t>HOT LEAD CẤP A: Gọi Telesale trực tiếp trong ngày + Email cá nhân hóa chào Puppy Kit V2/V3</t>
        </is>
      </c>
    </row>
    <row r="45">
      <c r="A45" s="53" t="n">
        <v>108</v>
      </c>
      <c r="B45" s="12" t="inlineStr">
        <is>
          <t>Bark Avenue frenchies</t>
        </is>
      </c>
      <c r="C45" s="54" t="inlineStr">
        <is>
          <t>https://www.facebook.com/profile.php?id=100031896956562</t>
        </is>
      </c>
      <c r="D45" s="6" t="inlineStr">
        <is>
          <t>Cần quét Bio Fanpage</t>
        </is>
      </c>
      <c r="E45" s="53" t="inlineStr">
        <is>
          <t>13/10/2026 00:13:19</t>
        </is>
      </c>
      <c r="F45" s="53" t="inlineStr">
        <is>
          <t>53 phút trước</t>
        </is>
      </c>
      <c r="G45" s="55" t="n">
        <v>0.04</v>
      </c>
      <c r="H45" s="56" t="n">
        <v>35</v>
      </c>
      <c r="I45" s="6" t="inlineStr">
        <is>
          <t>Dog Breeder / Trại chó chuyên nghiệp (28-30đ)</t>
        </is>
      </c>
      <c r="J45" s="56" t="n">
        <v>28</v>
      </c>
      <c r="K45" s="6" t="inlineStr">
        <is>
          <t>French Bulldog</t>
        </is>
      </c>
      <c r="L45" s="56" t="n">
        <v>10</v>
      </c>
      <c r="M45" s="56" t="n">
        <v>0</v>
      </c>
      <c r="N45" s="6" t="inlineStr">
        <is>
          <t>Amazon link not found</t>
        </is>
      </c>
      <c r="O45" s="56">
        <f>IF(N45="Selling pet toys + Artificial grass/Pet toilets (TARGET)",15,IF(N45="Selling artificial grass/pet toilets (TARGET)",10,IF(N45="Selling pet toys",7,IF(N45="There's an Amazon link, but no target sales.",3,0))))</f>
        <v/>
      </c>
      <c r="P45" s="63">
        <f>H45+J45+L45+M45+O45</f>
        <v/>
      </c>
      <c r="Q45" s="64">
        <f>IF(OR(H45=0,P45&lt;30),"Tier D (Đóng băng)",IF(P45&gt;=85,"Tier S (Kim Cương: 85-100đ)",IF(P45&gt;=70,"Tier A (Vàng: 70-84đ)",IF(P45&gt;=61,"Tier B+ / Cấp A (Hot Lead: 61-69đ)",IF(P45&gt;=50,"Tier B (Bạc: 50-60đ)","Tier C (Đồng: 30-49đ)")))))</f>
        <v/>
      </c>
      <c r="R45" s="6" t="inlineStr">
        <is>
          <t>Trọn gói Take-Home Starter Kit V2/V3 (Cỏ nhân tạo + Khay Potty + Đồ chơi Teething/Snuggle)</t>
        </is>
      </c>
      <c r="S45" s="6" t="inlineStr">
        <is>
          <t>HOT LEAD CẤP A: Gọi Telesale trực tiếp trong ngày + Email cá nhân hóa chào Puppy Kit V2/V3</t>
        </is>
      </c>
    </row>
    <row r="46">
      <c r="A46" s="59" t="n">
        <v>266</v>
      </c>
      <c r="B46" s="15" t="inlineStr">
        <is>
          <t>Sokota Bulldogges</t>
        </is>
      </c>
      <c r="C46" s="60" t="inlineStr">
        <is>
          <t>https://www.facebook.com/sokotabulldogges</t>
        </is>
      </c>
      <c r="D46" s="9" t="inlineStr">
        <is>
          <t>Cần quét Bio Fanpage</t>
        </is>
      </c>
      <c r="E46" s="59" t="inlineStr">
        <is>
          <t>13/10/2026 00:04:39</t>
        </is>
      </c>
      <c r="F46" s="59" t="inlineStr">
        <is>
          <t>1 giờ trước</t>
        </is>
      </c>
      <c r="G46" s="61" t="n">
        <v>0.04</v>
      </c>
      <c r="H46" s="62" t="n">
        <v>35</v>
      </c>
      <c r="I46" s="9" t="inlineStr">
        <is>
          <t>Dog Breeder / Trại chó chuyên nghiệp (28-30đ)</t>
        </is>
      </c>
      <c r="J46" s="62" t="n">
        <v>28</v>
      </c>
      <c r="K46" s="9" t="inlineStr">
        <is>
          <t>English Bulldog</t>
        </is>
      </c>
      <c r="L46" s="62" t="n">
        <v>10</v>
      </c>
      <c r="M46" s="62" t="n">
        <v>0</v>
      </c>
      <c r="N46" s="9" t="inlineStr">
        <is>
          <t>Amazon link not found</t>
        </is>
      </c>
      <c r="O46" s="62">
        <f>IF(N46="Selling pet toys + Artificial grass/Pet toilets (TARGET)",15,IF(N46="Selling artificial grass/pet toilets (TARGET)",10,IF(N46="Selling pet toys",7,IF(N46="There's an Amazon link, but no target sales.",3,0))))</f>
        <v/>
      </c>
      <c r="P46" s="63">
        <f>H46+J46+L46+M46+O46</f>
        <v/>
      </c>
      <c r="Q46" s="64">
        <f>IF(OR(H46=0,P46&lt;30),"Tier D (Đóng băng)",IF(P46&gt;=85,"Tier S (Kim Cương: 85-100đ)",IF(P46&gt;=70,"Tier A (Vàng: 70-84đ)",IF(P46&gt;=61,"Tier B+ / Cấp A (Hot Lead: 61-69đ)",IF(P46&gt;=50,"Tier B (Bạc: 50-60đ)","Tier C (Đồng: 30-49đ)")))))</f>
        <v/>
      </c>
      <c r="R46" s="9" t="inlineStr">
        <is>
          <t>Trọn gói Take-Home Starter Kit V2/V3 (Cỏ nhân tạo + Khay Potty + Đồ chơi Teething/Snuggle)</t>
        </is>
      </c>
      <c r="S46" s="9" t="inlineStr">
        <is>
          <t>HOT LEAD CẤP A: Gọi Telesale trực tiếp trong ngày + Email cá nhân hóa chào Puppy Kit V2/V3</t>
        </is>
      </c>
    </row>
    <row r="47">
      <c r="A47" s="53" t="n">
        <v>162</v>
      </c>
      <c r="B47" s="12" t="inlineStr">
        <is>
          <t>Duke City Frenchies</t>
        </is>
      </c>
      <c r="C47" s="54" t="inlineStr">
        <is>
          <t>https://www.facebook.com/profile.php?id=100095542921970</t>
        </is>
      </c>
      <c r="D47" s="6" t="inlineStr">
        <is>
          <t>Cần quét Bio Fanpage</t>
        </is>
      </c>
      <c r="E47" s="53" t="inlineStr">
        <is>
          <t>12/10/2026 23:40:17</t>
        </is>
      </c>
      <c r="F47" s="53" t="inlineStr">
        <is>
          <t>1 giờ trước</t>
        </is>
      </c>
      <c r="G47" s="55" t="n">
        <v>0.04</v>
      </c>
      <c r="H47" s="56" t="n">
        <v>35</v>
      </c>
      <c r="I47" s="6" t="inlineStr">
        <is>
          <t>Dog Breeder / Trại chó chuyên nghiệp (28-30đ)</t>
        </is>
      </c>
      <c r="J47" s="56" t="n">
        <v>28</v>
      </c>
      <c r="K47" s="6" t="inlineStr">
        <is>
          <t>French Bulldog</t>
        </is>
      </c>
      <c r="L47" s="56" t="n">
        <v>10</v>
      </c>
      <c r="M47" s="56" t="n">
        <v>0</v>
      </c>
      <c r="N47" s="6" t="inlineStr">
        <is>
          <t>Amazon link not found</t>
        </is>
      </c>
      <c r="O47" s="56">
        <f>IF(N47="Selling pet toys + Artificial grass/Pet toilets (TARGET)",15,IF(N47="Selling artificial grass/pet toilets (TARGET)",10,IF(N47="Selling pet toys",7,IF(N47="There's an Amazon link, but no target sales.",3,0))))</f>
        <v/>
      </c>
      <c r="P47" s="63">
        <f>H47+J47+L47+M47+O47</f>
        <v/>
      </c>
      <c r="Q47" s="64">
        <f>IF(OR(H47=0,P47&lt;30),"Tier D (Đóng băng)",IF(P47&gt;=85,"Tier S (Kim Cương: 85-100đ)",IF(P47&gt;=70,"Tier A (Vàng: 70-84đ)",IF(P47&gt;=61,"Tier B+ / Cấp A (Hot Lead: 61-69đ)",IF(P47&gt;=50,"Tier B (Bạc: 50-60đ)","Tier C (Đồng: 30-49đ)")))))</f>
        <v/>
      </c>
      <c r="R47" s="6" t="inlineStr">
        <is>
          <t>Trọn gói Take-Home Starter Kit V2/V3 (Cỏ nhân tạo + Khay Potty + Đồ chơi Teething/Snuggle)</t>
        </is>
      </c>
      <c r="S47" s="6" t="inlineStr">
        <is>
          <t>HOT LEAD CẤP A: Gọi Telesale trực tiếp trong ngày + Email cá nhân hóa chào Puppy Kit V2/V3</t>
        </is>
      </c>
    </row>
    <row r="48">
      <c r="A48" s="59" t="n">
        <v>263</v>
      </c>
      <c r="B48" s="15" t="inlineStr">
        <is>
          <t>Shawhan Family Frenchies</t>
        </is>
      </c>
      <c r="C48" s="60" t="inlineStr">
        <is>
          <t>https://www.facebook.com/ShawhanFamilyFrenchies</t>
        </is>
      </c>
      <c r="D48" s="9" t="inlineStr">
        <is>
          <t>Cần quét Bio Fanpage</t>
        </is>
      </c>
      <c r="E48" s="59" t="inlineStr">
        <is>
          <t>12/10/2026 23:31:04</t>
        </is>
      </c>
      <c r="F48" s="59" t="inlineStr">
        <is>
          <t>1 giờ trước</t>
        </is>
      </c>
      <c r="G48" s="61" t="n">
        <v>0.04</v>
      </c>
      <c r="H48" s="62" t="n">
        <v>35</v>
      </c>
      <c r="I48" s="9" t="inlineStr">
        <is>
          <t>Dog Breeder / Trại chó chuyên nghiệp (28-30đ)</t>
        </is>
      </c>
      <c r="J48" s="62" t="n">
        <v>28</v>
      </c>
      <c r="K48" s="9" t="inlineStr">
        <is>
          <t>French Bulldog</t>
        </is>
      </c>
      <c r="L48" s="62" t="n">
        <v>10</v>
      </c>
      <c r="M48" s="62" t="n">
        <v>0</v>
      </c>
      <c r="N48" s="9" t="inlineStr">
        <is>
          <t>Amazon link not found</t>
        </is>
      </c>
      <c r="O48" s="62">
        <f>IF(N48="Selling pet toys + Artificial grass/Pet toilets (TARGET)",15,IF(N48="Selling artificial grass/pet toilets (TARGET)",10,IF(N48="Selling pet toys",7,IF(N48="There's an Amazon link, but no target sales.",3,0))))</f>
        <v/>
      </c>
      <c r="P48" s="63">
        <f>H48+J48+L48+M48+O48</f>
        <v/>
      </c>
      <c r="Q48" s="64">
        <f>IF(OR(H48=0,P48&lt;30),"Tier D (Đóng băng)",IF(P48&gt;=85,"Tier S (Kim Cương: 85-100đ)",IF(P48&gt;=70,"Tier A (Vàng: 70-84đ)",IF(P48&gt;=61,"Tier B+ / Cấp A (Hot Lead: 61-69đ)",IF(P48&gt;=50,"Tier B (Bạc: 50-60đ)","Tier C (Đồng: 30-49đ)")))))</f>
        <v/>
      </c>
      <c r="R48" s="9" t="inlineStr">
        <is>
          <t>Trọn gói Take-Home Starter Kit V2/V3 (Cỏ nhân tạo + Khay Potty + Đồ chơi Teething/Snuggle)</t>
        </is>
      </c>
      <c r="S48" s="9" t="inlineStr">
        <is>
          <t>HOT LEAD CẤP A: Gọi Telesale trực tiếp trong ngày + Email cá nhân hóa chào Puppy Kit V2/V3</t>
        </is>
      </c>
    </row>
    <row r="49">
      <c r="A49" s="53" t="n">
        <v>659</v>
      </c>
      <c r="B49" s="12" t="inlineStr">
        <is>
          <t>Beyardcore Bullies</t>
        </is>
      </c>
      <c r="C49" s="54" t="inlineStr">
        <is>
          <t>https://www.facebook.com/BeYardcoreBullies</t>
        </is>
      </c>
      <c r="D49" s="6" t="inlineStr">
        <is>
          <t>Cần quét Bio Fanpage</t>
        </is>
      </c>
      <c r="E49" s="53" t="inlineStr">
        <is>
          <t>12/10/2026 23:24:44</t>
        </is>
      </c>
      <c r="F49" s="53" t="inlineStr">
        <is>
          <t>2 giờ trước</t>
        </is>
      </c>
      <c r="G49" s="55" t="n">
        <v>0.08</v>
      </c>
      <c r="H49" s="56" t="n">
        <v>35</v>
      </c>
      <c r="I49" s="6" t="inlineStr">
        <is>
          <t>Dog Breeder / Trại chó chuyên nghiệp (28-30đ)</t>
        </is>
      </c>
      <c r="J49" s="56" t="n">
        <v>28</v>
      </c>
      <c r="K49" s="6" t="inlineStr">
        <is>
          <t>American Bully / Bully</t>
        </is>
      </c>
      <c r="L49" s="56" t="n">
        <v>10</v>
      </c>
      <c r="M49" s="56" t="n">
        <v>0</v>
      </c>
      <c r="N49" s="6" t="inlineStr">
        <is>
          <t>Amazon link not found</t>
        </is>
      </c>
      <c r="O49" s="56">
        <f>IF(N49="Selling pet toys + Artificial grass/Pet toilets (TARGET)",15,IF(N49="Selling artificial grass/pet toilets (TARGET)",10,IF(N49="Selling pet toys",7,IF(N49="There's an Amazon link, but no target sales.",3,0))))</f>
        <v/>
      </c>
      <c r="P49" s="63">
        <f>H49+J49+L49+M49+O49</f>
        <v/>
      </c>
      <c r="Q49" s="64">
        <f>IF(OR(H49=0,P49&lt;30),"Tier D (Đóng băng)",IF(P49&gt;=85,"Tier S (Kim Cương: 85-100đ)",IF(P49&gt;=70,"Tier A (Vàng: 70-84đ)",IF(P49&gt;=61,"Tier B+ / Cấp A (Hot Lead: 61-69đ)",IF(P49&gt;=50,"Tier B (Bạc: 50-60đ)","Tier C (Đồng: 30-49đ)")))))</f>
        <v/>
      </c>
      <c r="R49" s="6" t="inlineStr">
        <is>
          <t>Trọn gói Take-Home Starter Kit V2/V3 (Cỏ nhân tạo + Khay Potty + Đồ chơi Teething/Snuggle)</t>
        </is>
      </c>
      <c r="S49" s="6" t="inlineStr">
        <is>
          <t>HOT LEAD CẤP A: Gọi Telesale trực tiếp trong ngày + Email cá nhân hóa chào Puppy Kit V2/V3</t>
        </is>
      </c>
    </row>
    <row r="50">
      <c r="A50" s="59" t="n">
        <v>61</v>
      </c>
      <c r="B50" s="15" t="inlineStr">
        <is>
          <t>GatorHead Bullies - GHB</t>
        </is>
      </c>
      <c r="C50" s="60" t="inlineStr">
        <is>
          <t>https://www.facebook.com/gatorheadbullies</t>
        </is>
      </c>
      <c r="D50" s="9" t="inlineStr">
        <is>
          <t>Cần quét Bio Fanpage</t>
        </is>
      </c>
      <c r="E50" s="59" t="inlineStr">
        <is>
          <t>12/10/2026 23:19:56</t>
        </is>
      </c>
      <c r="F50" s="59" t="inlineStr">
        <is>
          <t>1 giờ trước</t>
        </is>
      </c>
      <c r="G50" s="61" t="n">
        <v>0.04</v>
      </c>
      <c r="H50" s="62" t="n">
        <v>35</v>
      </c>
      <c r="I50" s="9" t="inlineStr">
        <is>
          <t>Dog Breeder / Trại chó chuyên nghiệp (28-30đ)</t>
        </is>
      </c>
      <c r="J50" s="62" t="n">
        <v>28</v>
      </c>
      <c r="K50" s="9" t="inlineStr">
        <is>
          <t>American Bully / Bully</t>
        </is>
      </c>
      <c r="L50" s="62" t="n">
        <v>10</v>
      </c>
      <c r="M50" s="62" t="n">
        <v>0</v>
      </c>
      <c r="N50" s="9" t="inlineStr">
        <is>
          <t>Amazon link not found</t>
        </is>
      </c>
      <c r="O50" s="62">
        <f>IF(N50="Selling pet toys + Artificial grass/Pet toilets (TARGET)",15,IF(N50="Selling artificial grass/pet toilets (TARGET)",10,IF(N50="Selling pet toys",7,IF(N50="There's an Amazon link, but no target sales.",3,0))))</f>
        <v/>
      </c>
      <c r="P50" s="63">
        <f>H50+J50+L50+M50+O50</f>
        <v/>
      </c>
      <c r="Q50" s="64">
        <f>IF(OR(H50=0,P50&lt;30),"Tier D (Đóng băng)",IF(P50&gt;=85,"Tier S (Kim Cương: 85-100đ)",IF(P50&gt;=70,"Tier A (Vàng: 70-84đ)",IF(P50&gt;=61,"Tier B+ / Cấp A (Hot Lead: 61-69đ)",IF(P50&gt;=50,"Tier B (Bạc: 50-60đ)","Tier C (Đồng: 30-49đ)")))))</f>
        <v/>
      </c>
      <c r="R50" s="9" t="inlineStr">
        <is>
          <t>Trọn gói Take-Home Starter Kit V2/V3 (Cỏ nhân tạo + Khay Potty + Đồ chơi Teething/Snuggle)</t>
        </is>
      </c>
      <c r="S50" s="9" t="inlineStr">
        <is>
          <t>HOT LEAD CẤP A: Gọi Telesale trực tiếp trong ngày + Email cá nhân hóa chào Puppy Kit V2/V3</t>
        </is>
      </c>
    </row>
    <row r="51">
      <c r="A51" s="53" t="n">
        <v>575</v>
      </c>
      <c r="B51" s="12" t="inlineStr">
        <is>
          <t>Bagamaja Frenchies  (Gede Julianna)</t>
        </is>
      </c>
      <c r="C51" s="54" t="inlineStr">
        <is>
          <t>https://www.facebook.com/profile.php?id=100075881257339</t>
        </is>
      </c>
      <c r="D51" s="6" t="inlineStr">
        <is>
          <t>Cần quét Bio Fanpage</t>
        </is>
      </c>
      <c r="E51" s="53" t="inlineStr">
        <is>
          <t>12/10/2026 22:48:20</t>
        </is>
      </c>
      <c r="F51" s="53" t="inlineStr">
        <is>
          <t>3 giờ trước</t>
        </is>
      </c>
      <c r="G51" s="55" t="n">
        <v>0.12</v>
      </c>
      <c r="H51" s="56" t="n">
        <v>35</v>
      </c>
      <c r="I51" s="6" t="inlineStr">
        <is>
          <t>Dog Breeder / Trại chó chuyên nghiệp (28-30đ)</t>
        </is>
      </c>
      <c r="J51" s="56" t="n">
        <v>28</v>
      </c>
      <c r="K51" s="6" t="inlineStr">
        <is>
          <t>French Bulldog</t>
        </is>
      </c>
      <c r="L51" s="56" t="n">
        <v>10</v>
      </c>
      <c r="M51" s="56" t="n">
        <v>0</v>
      </c>
      <c r="N51" s="6" t="inlineStr">
        <is>
          <t>Amazon link not found</t>
        </is>
      </c>
      <c r="O51" s="56">
        <f>IF(N51="Selling pet toys + Artificial grass/Pet toilets (TARGET)",15,IF(N51="Selling artificial grass/pet toilets (TARGET)",10,IF(N51="Selling pet toys",7,IF(N51="There's an Amazon link, but no target sales.",3,0))))</f>
        <v/>
      </c>
      <c r="P51" s="63">
        <f>H51+J51+L51+M51+O51</f>
        <v/>
      </c>
      <c r="Q51" s="64">
        <f>IF(OR(H51=0,P51&lt;30),"Tier D (Đóng băng)",IF(P51&gt;=85,"Tier S (Kim Cương: 85-100đ)",IF(P51&gt;=70,"Tier A (Vàng: 70-84đ)",IF(P51&gt;=61,"Tier B+ / Cấp A (Hot Lead: 61-69đ)",IF(P51&gt;=50,"Tier B (Bạc: 50-60đ)","Tier C (Đồng: 30-49đ)")))))</f>
        <v/>
      </c>
      <c r="R51" s="6" t="inlineStr">
        <is>
          <t>Trọn gói Take-Home Starter Kit V2/V3 (Cỏ nhân tạo + Khay Potty + Đồ chơi Teething/Snuggle)</t>
        </is>
      </c>
      <c r="S51" s="6" t="inlineStr">
        <is>
          <t>HOT LEAD CẤP A: Gọi Telesale trực tiếp trong ngày + Email cá nhân hóa chào Puppy Kit V2/V3</t>
        </is>
      </c>
    </row>
    <row r="52">
      <c r="A52" s="59" t="n">
        <v>159</v>
      </c>
      <c r="B52" s="15" t="inlineStr">
        <is>
          <t>Doodle Doggies  (Sara Perceval)</t>
        </is>
      </c>
      <c r="C52" s="60" t="inlineStr">
        <is>
          <t>https://www.facebook.com/doodledoggiesmillhill</t>
        </is>
      </c>
      <c r="D52" s="9" t="inlineStr">
        <is>
          <t>Cần quét Bio Fanpage</t>
        </is>
      </c>
      <c r="E52" s="59" t="inlineStr">
        <is>
          <t>12/10/2026 22:17:56</t>
        </is>
      </c>
      <c r="F52" s="59" t="inlineStr">
        <is>
          <t>2 giờ trước</t>
        </is>
      </c>
      <c r="G52" s="61" t="n">
        <v>0.08</v>
      </c>
      <c r="H52" s="62" t="n">
        <v>35</v>
      </c>
      <c r="I52" s="9" t="inlineStr">
        <is>
          <t>Dog Breeder / Trại nhân giống (28-30đ)</t>
        </is>
      </c>
      <c r="J52" s="62" t="n">
        <v>28</v>
      </c>
      <c r="K52" s="9" t="inlineStr">
        <is>
          <t>Goldendoodle</t>
        </is>
      </c>
      <c r="L52" s="62" t="n">
        <v>10</v>
      </c>
      <c r="M52" s="62" t="n">
        <v>0</v>
      </c>
      <c r="N52" s="9" t="inlineStr">
        <is>
          <t>Amazon link not found</t>
        </is>
      </c>
      <c r="O52" s="62">
        <f>IF(N52="Selling pet toys + Artificial grass/Pet toilets (TARGET)",15,IF(N52="Selling artificial grass/pet toilets (TARGET)",10,IF(N52="Selling pet toys",7,IF(N52="There's an Amazon link, but no target sales.",3,0))))</f>
        <v/>
      </c>
      <c r="P52" s="63">
        <f>H52+J52+L52+M52+O52</f>
        <v/>
      </c>
      <c r="Q52" s="64">
        <f>IF(OR(H52=0,P52&lt;30),"Tier D (Đóng băng)",IF(P52&gt;=85,"Tier S (Kim Cương: 85-100đ)",IF(P52&gt;=70,"Tier A (Vàng: 70-84đ)",IF(P52&gt;=61,"Tier B+ / Cấp A (Hot Lead: 61-69đ)",IF(P52&gt;=50,"Tier B (Bạc: 50-60đ)","Tier C (Đồng: 30-49đ)")))))</f>
        <v/>
      </c>
      <c r="R52" s="9" t="inlineStr">
        <is>
          <t>Trọn gói Take-Home Starter Kit V2/V3 (Cỏ nhân tạo + Khay Potty + Đồ chơi cún con)</t>
        </is>
      </c>
      <c r="S52" s="9" t="inlineStr">
        <is>
          <t>HOT LEAD CẤP A: Gọi Telesale trực tiếp trong ngày + Email cá nhân hóa chào Puppy Kit V2/V3</t>
        </is>
      </c>
    </row>
    <row r="53">
      <c r="A53" s="53" t="n">
        <v>62</v>
      </c>
      <c r="B53" s="12" t="inlineStr">
        <is>
          <t>griffinfrenchie</t>
        </is>
      </c>
      <c r="C53" s="54" t="inlineStr">
        <is>
          <t>https://www.facebook.com/griffinfrenchie</t>
        </is>
      </c>
      <c r="D53" s="6" t="inlineStr">
        <is>
          <t>Cần quét Bio Fanpage</t>
        </is>
      </c>
      <c r="E53" s="53" t="inlineStr">
        <is>
          <t>12/10/2026 21:32:39</t>
        </is>
      </c>
      <c r="F53" s="53" t="inlineStr">
        <is>
          <t>3 giờ trước</t>
        </is>
      </c>
      <c r="G53" s="55" t="n">
        <v>0.12</v>
      </c>
      <c r="H53" s="56" t="n">
        <v>35</v>
      </c>
      <c r="I53" s="6" t="inlineStr">
        <is>
          <t>Dog Breeder / Trại nhân giống (28-30đ)</t>
        </is>
      </c>
      <c r="J53" s="56" t="n">
        <v>28</v>
      </c>
      <c r="K53" s="6" t="inlineStr">
        <is>
          <t>French Bulldog</t>
        </is>
      </c>
      <c r="L53" s="56" t="n">
        <v>10</v>
      </c>
      <c r="M53" s="56" t="n">
        <v>0</v>
      </c>
      <c r="N53" s="6" t="inlineStr">
        <is>
          <t>Amazon link not found</t>
        </is>
      </c>
      <c r="O53" s="56">
        <f>IF(N53="Selling pet toys + Artificial grass/Pet toilets (TARGET)",15,IF(N53="Selling artificial grass/pet toilets (TARGET)",10,IF(N53="Selling pet toys",7,IF(N53="There's an Amazon link, but no target sales.",3,0))))</f>
        <v/>
      </c>
      <c r="P53" s="63">
        <f>H53+J53+L53+M53+O53</f>
        <v/>
      </c>
      <c r="Q53" s="64">
        <f>IF(OR(H53=0,P53&lt;30),"Tier D (Đóng băng)",IF(P53&gt;=85,"Tier S (Kim Cương: 85-100đ)",IF(P53&gt;=70,"Tier A (Vàng: 70-84đ)",IF(P53&gt;=61,"Tier B+ / Cấp A (Hot Lead: 61-69đ)",IF(P53&gt;=50,"Tier B (Bạc: 50-60đ)","Tier C (Đồng: 30-49đ)")))))</f>
        <v/>
      </c>
      <c r="R53" s="6" t="inlineStr">
        <is>
          <t>Trọn gói Take-Home Starter Kit V2/V3 (Cỏ nhân tạo + Khay Potty + Đồ chơi cún con)</t>
        </is>
      </c>
      <c r="S53" s="6" t="inlineStr">
        <is>
          <t>HOT LEAD CẤP A: Gọi Telesale trực tiếp trong ngày + Email cá nhân hóa chào Puppy Kit V2/V3</t>
        </is>
      </c>
    </row>
    <row r="54">
      <c r="A54" s="59" t="n">
        <v>2946</v>
      </c>
      <c r="B54" s="15" t="inlineStr">
        <is>
          <t>South Lamanis labradors kennel</t>
        </is>
      </c>
      <c r="C54" s="60" t="inlineStr">
        <is>
          <t>https://www.facebook.com/southlamaniskennel</t>
        </is>
      </c>
      <c r="D54" s="9" t="inlineStr">
        <is>
          <t>Cần quét Bio Fanpage</t>
        </is>
      </c>
      <c r="E54" s="59" t="inlineStr">
        <is>
          <t>11/10/2026 21:25:29</t>
        </is>
      </c>
      <c r="F54" s="59" t="inlineStr">
        <is>
          <t>1 ngày trước</t>
        </is>
      </c>
      <c r="G54" s="61" t="n">
        <v>1</v>
      </c>
      <c r="H54" s="62" t="n">
        <v>28</v>
      </c>
      <c r="I54" s="9" t="inlineStr">
        <is>
          <t>Dog Breeder / Trại chó chuyên nghiệp (28-30đ)</t>
        </is>
      </c>
      <c r="J54" s="62" t="n">
        <v>30</v>
      </c>
      <c r="K54" s="9" t="inlineStr">
        <is>
          <t>Labrador</t>
        </is>
      </c>
      <c r="L54" s="62" t="n">
        <v>10</v>
      </c>
      <c r="M54" s="62" t="n">
        <v>5</v>
      </c>
      <c r="N54" s="9" t="inlineStr">
        <is>
          <t>Amazon link not found</t>
        </is>
      </c>
      <c r="O54" s="62">
        <f>IF(N54="Selling pet toys + Artificial grass/Pet toilets (TARGET)",15,IF(N54="Selling artificial grass/pet toilets (TARGET)",10,IF(N54="Selling pet toys",7,IF(N54="There's an Amazon link, but no target sales.",3,0))))</f>
        <v/>
      </c>
      <c r="P54" s="63">
        <f>H54+J54+L54+M54+O54</f>
        <v/>
      </c>
      <c r="Q54" s="64">
        <f>IF(OR(H54=0,P54&lt;30),"Tier D (Đóng băng)",IF(P54&gt;=85,"Tier S (Kim Cương: 85-100đ)",IF(P54&gt;=70,"Tier A (Vàng: 70-84đ)",IF(P54&gt;=61,"Tier B+ / Cấp A (Hot Lead: 61-69đ)",IF(P54&gt;=50,"Tier B (Bạc: 50-60đ)","Tier C (Đồng: 30-49đ)")))))</f>
        <v/>
      </c>
      <c r="R54" s="9" t="inlineStr">
        <is>
          <t>Trọn gói Take-Home Starter Kit V2/V3 (Cỏ nhân tạo + Khay Potty + Đồ chơi Teething/Snuggle)</t>
        </is>
      </c>
      <c r="S54" s="9" t="inlineStr">
        <is>
          <t>HOT LEAD CẤP A: Gọi Telesale trực tiếp trong ngày + Email cá nhân hóa chào Puppy Kit V2/V3</t>
        </is>
      </c>
    </row>
    <row r="55">
      <c r="A55" s="53" t="n">
        <v>1700</v>
      </c>
      <c r="B55" s="12" t="inlineStr">
        <is>
          <t>Hungry Hounds PET Supplies</t>
        </is>
      </c>
      <c r="C55" s="54" t="inlineStr">
        <is>
          <t>https://www.facebook.com/HungryHoundsPetSupplies</t>
        </is>
      </c>
      <c r="D55" s="6" t="inlineStr">
        <is>
          <t>Cần quét Bio Fanpage</t>
        </is>
      </c>
      <c r="E55" s="53" t="inlineStr">
        <is>
          <t>09/10/2026 21:05:42</t>
        </is>
      </c>
      <c r="F55" s="53" t="inlineStr">
        <is>
          <t>3 ngày trước</t>
        </is>
      </c>
      <c r="G55" s="55" t="n">
        <v>3</v>
      </c>
      <c r="H55" s="56" t="n">
        <v>28</v>
      </c>
      <c r="I55" s="6" t="inlineStr">
        <is>
          <t>Dog Breeder / Trại chó chuyên nghiệp (28-30đ)</t>
        </is>
      </c>
      <c r="J55" s="56" t="n">
        <v>28</v>
      </c>
      <c r="K55" s="6" t="inlineStr">
        <is>
          <t>Hound / Beagle / Basset</t>
        </is>
      </c>
      <c r="L55" s="56" t="n">
        <v>5</v>
      </c>
      <c r="M55" s="56" t="n">
        <v>5</v>
      </c>
      <c r="N55" s="6" t="inlineStr">
        <is>
          <t>Selling pet toys</t>
        </is>
      </c>
      <c r="O55" s="56">
        <f>IF(N55="Selling pet toys + Artificial grass/Pet toilets (TARGET)",15,IF(N55="Selling artificial grass/pet toilets (TARGET)",10,IF(N55="Selling pet toys",7,IF(N55="There's an Amazon link, but no target sales.",3,0))))</f>
        <v/>
      </c>
      <c r="P55" s="63">
        <f>H55+J55+L55+M55+O55</f>
        <v/>
      </c>
      <c r="Q55" s="64">
        <f>IF(OR(H55=0,P55&lt;30),"Tier D (Đóng băng)",IF(P55&gt;=85,"Tier S (Kim Cương: 85-100đ)",IF(P55&gt;=70,"Tier A (Vàng: 70-84đ)",IF(P55&gt;=61,"Tier B+ / Cấp A (Hot Lead: 61-69đ)",IF(P55&gt;=50,"Tier B (Bạc: 50-60đ)","Tier C (Đồng: 30-49đ)")))))</f>
        <v/>
      </c>
      <c r="R55" s="6" t="inlineStr">
        <is>
          <t>Trọn gói Take-Home Starter Kit V2/V3 (Cỏ nhân tạo + Khay Potty + Đồ chơi Teething/Snuggle)</t>
        </is>
      </c>
      <c r="S55" s="6" t="inlineStr">
        <is>
          <t>HOT LEAD CẤP A: Gọi Telesale trực tiếp trong ngày + Email cá nhân hóa chào Puppy Kit V2/V3</t>
        </is>
      </c>
    </row>
    <row r="56">
      <c r="A56" s="59" t="n">
        <v>857</v>
      </c>
      <c r="B56" s="15" t="inlineStr">
        <is>
          <t>Castle KC Katie’s Corgis - VKM Farmstead</t>
        </is>
      </c>
      <c r="C56" s="60" t="inlineStr">
        <is>
          <t>https://www.facebook.com/KatiesCorgis</t>
        </is>
      </c>
      <c r="D56" s="9" t="inlineStr">
        <is>
          <t>Cần quét Bio Fanpage</t>
        </is>
      </c>
      <c r="E56" s="59" t="inlineStr">
        <is>
          <t>09/10/2026 19:55:14</t>
        </is>
      </c>
      <c r="F56" s="59" t="inlineStr">
        <is>
          <t>3 ngày trước</t>
        </is>
      </c>
      <c r="G56" s="61" t="n">
        <v>3</v>
      </c>
      <c r="H56" s="62" t="n">
        <v>28</v>
      </c>
      <c r="I56" s="9" t="inlineStr">
        <is>
          <t>Dog Breeder / Trại chó chuyên nghiệp (28-30đ)</t>
        </is>
      </c>
      <c r="J56" s="62" t="n">
        <v>30</v>
      </c>
      <c r="K56" s="9" t="inlineStr">
        <is>
          <t>Corgi</t>
        </is>
      </c>
      <c r="L56" s="62" t="n">
        <v>10</v>
      </c>
      <c r="M56" s="62" t="n">
        <v>5</v>
      </c>
      <c r="N56" s="9" t="inlineStr">
        <is>
          <t>Amazon link not found</t>
        </is>
      </c>
      <c r="O56" s="62">
        <f>IF(N56="Selling pet toys + Artificial grass/Pet toilets (TARGET)",15,IF(N56="Selling artificial grass/pet toilets (TARGET)",10,IF(N56="Selling pet toys",7,IF(N56="There's an Amazon link, but no target sales.",3,0))))</f>
        <v/>
      </c>
      <c r="P56" s="63">
        <f>H56+J56+L56+M56+O56</f>
        <v/>
      </c>
      <c r="Q56" s="64">
        <f>IF(OR(H56=0,P56&lt;30),"Tier D (Đóng băng)",IF(P56&gt;=85,"Tier S (Kim Cương: 85-100đ)",IF(P56&gt;=70,"Tier A (Vàng: 70-84đ)",IF(P56&gt;=61,"Tier B+ / Cấp A (Hot Lead: 61-69đ)",IF(P56&gt;=50,"Tier B (Bạc: 50-60đ)","Tier C (Đồng: 30-49đ)")))))</f>
        <v/>
      </c>
      <c r="R56" s="9" t="inlineStr">
        <is>
          <t>Trọn gói Take-Home Starter Kit V2/V3 (Cỏ nhân tạo + Khay Potty + Đồ chơi Teething/Snuggle)</t>
        </is>
      </c>
      <c r="S56" s="9" t="inlineStr">
        <is>
          <t>HOT LEAD CẤP A: Gọi Telesale trực tiếp trong ngày + Email cá nhân hóa chào Puppy Kit V2/V3</t>
        </is>
      </c>
    </row>
    <row r="57">
      <c r="A57" s="53" t="n">
        <v>1497</v>
      </c>
      <c r="B57" s="12" t="inlineStr">
        <is>
          <t>German Shepherd Puppies of Seelenvoll</t>
        </is>
      </c>
      <c r="C57" s="54" t="inlineStr">
        <is>
          <t>https://www.facebook.com/SeelenvollShepherds</t>
        </is>
      </c>
      <c r="D57" s="6" t="inlineStr">
        <is>
          <t>Cần quét Bio Fanpage</t>
        </is>
      </c>
      <c r="E57" s="53" t="inlineStr">
        <is>
          <t>09/10/2026 07:19:30</t>
        </is>
      </c>
      <c r="F57" s="53" t="inlineStr">
        <is>
          <t>3 ngày trước</t>
        </is>
      </c>
      <c r="G57" s="55" t="n">
        <v>3</v>
      </c>
      <c r="H57" s="56" t="n">
        <v>28</v>
      </c>
      <c r="I57" s="6" t="inlineStr">
        <is>
          <t>Dog Breeder / Trại chó chuyên nghiệp (28-30đ)</t>
        </is>
      </c>
      <c r="J57" s="56" t="n">
        <v>30</v>
      </c>
      <c r="K57" s="6" t="inlineStr">
        <is>
          <t>German Shepherd</t>
        </is>
      </c>
      <c r="L57" s="56" t="n">
        <v>10</v>
      </c>
      <c r="M57" s="56" t="n">
        <v>5</v>
      </c>
      <c r="N57" s="6" t="inlineStr">
        <is>
          <t>Amazon link not found</t>
        </is>
      </c>
      <c r="O57" s="56">
        <f>IF(N57="Selling pet toys + Artificial grass/Pet toilets (TARGET)",15,IF(N57="Selling artificial grass/pet toilets (TARGET)",10,IF(N57="Selling pet toys",7,IF(N57="There's an Amazon link, but no target sales.",3,0))))</f>
        <v/>
      </c>
      <c r="P57" s="63">
        <f>H57+J57+L57+M57+O57</f>
        <v/>
      </c>
      <c r="Q57" s="64">
        <f>IF(OR(H57=0,P57&lt;30),"Tier D (Đóng băng)",IF(P57&gt;=85,"Tier S (Kim Cương: 85-100đ)",IF(P57&gt;=70,"Tier A (Vàng: 70-84đ)",IF(P57&gt;=61,"Tier B+ / Cấp A (Hot Lead: 61-69đ)",IF(P57&gt;=50,"Tier B (Bạc: 50-60đ)","Tier C (Đồng: 30-49đ)")))))</f>
        <v/>
      </c>
      <c r="R57" s="6" t="inlineStr">
        <is>
          <t>Trọn gói Take-Home Starter Kit V2/V3 (Cỏ nhân tạo + Khay Potty + Đồ chơi Teething/Snuggle)</t>
        </is>
      </c>
      <c r="S57" s="6" t="inlineStr">
        <is>
          <t>HOT LEAD CẤP A: Gọi Telesale trực tiếp trong ngày + Email cá nhân hóa chào Puppy Kit V2/V3</t>
        </is>
      </c>
    </row>
    <row r="58">
      <c r="A58" s="59" t="n">
        <v>2383</v>
      </c>
      <c r="B58" s="15" t="inlineStr">
        <is>
          <t>Outskirts French Bulldogs</t>
        </is>
      </c>
      <c r="C58" s="60" t="inlineStr">
        <is>
          <t>https://www.facebook.com/outskirts.kennels.llc</t>
        </is>
      </c>
      <c r="D58" s="9" t="inlineStr">
        <is>
          <t>Cần quét Bio Fanpage</t>
        </is>
      </c>
      <c r="E58" s="59" t="inlineStr">
        <is>
          <t>09/10/2026 06:17:26</t>
        </is>
      </c>
      <c r="F58" s="59" t="inlineStr">
        <is>
          <t>3 ngày trước</t>
        </is>
      </c>
      <c r="G58" s="61" t="n">
        <v>3</v>
      </c>
      <c r="H58" s="62" t="n">
        <v>28</v>
      </c>
      <c r="I58" s="9" t="inlineStr">
        <is>
          <t>Dog Breeder / Trại chó chuyên nghiệp (28-30đ)</t>
        </is>
      </c>
      <c r="J58" s="62" t="n">
        <v>30</v>
      </c>
      <c r="K58" s="9" t="inlineStr">
        <is>
          <t>French Bulldog</t>
        </is>
      </c>
      <c r="L58" s="62" t="n">
        <v>10</v>
      </c>
      <c r="M58" s="62" t="n">
        <v>5</v>
      </c>
      <c r="N58" s="9" t="inlineStr">
        <is>
          <t>Amazon link not found</t>
        </is>
      </c>
      <c r="O58" s="62">
        <f>IF(N58="Selling pet toys + Artificial grass/Pet toilets (TARGET)",15,IF(N58="Selling artificial grass/pet toilets (TARGET)",10,IF(N58="Selling pet toys",7,IF(N58="There's an Amazon link, but no target sales.",3,0))))</f>
        <v/>
      </c>
      <c r="P58" s="63">
        <f>H58+J58+L58+M58+O58</f>
        <v/>
      </c>
      <c r="Q58" s="64">
        <f>IF(OR(H58=0,P58&lt;30),"Tier D (Đóng băng)",IF(P58&gt;=85,"Tier S (Kim Cương: 85-100đ)",IF(P58&gt;=70,"Tier A (Vàng: 70-84đ)",IF(P58&gt;=61,"Tier B+ / Cấp A (Hot Lead: 61-69đ)",IF(P58&gt;=50,"Tier B (Bạc: 50-60đ)","Tier C (Đồng: 30-49đ)")))))</f>
        <v/>
      </c>
      <c r="R58" s="9" t="inlineStr">
        <is>
          <t>Trọn gói Take-Home Starter Kit V2/V3 (Cỏ nhân tạo + Khay Potty + Đồ chơi Teething/Snuggle)</t>
        </is>
      </c>
      <c r="S58" s="9" t="inlineStr">
        <is>
          <t>HOT LEAD CẤP A: Gọi Telesale trực tiếp trong ngày + Email cá nhân hóa chào Puppy Kit V2/V3</t>
        </is>
      </c>
    </row>
    <row r="59">
      <c r="A59" s="53" t="n">
        <v>5248</v>
      </c>
      <c r="B59" s="12" t="inlineStr">
        <is>
          <t>Romer Farms Jack Russell Terriers</t>
        </is>
      </c>
      <c r="C59" s="54" t="inlineStr">
        <is>
          <t>https://www.facebook.com/61588559050568</t>
        </is>
      </c>
      <c r="D59" s="6" t="inlineStr">
        <is>
          <t>Cần quét Bio Fanpage</t>
        </is>
      </c>
      <c r="E59" s="53" t="inlineStr">
        <is>
          <t>13/10/2026 06:18:15</t>
        </is>
      </c>
      <c r="F59" s="53" t="inlineStr">
        <is>
          <t>4 giờ trước</t>
        </is>
      </c>
      <c r="G59" s="55" t="n">
        <v>0.17</v>
      </c>
      <c r="H59" s="56" t="n">
        <v>32</v>
      </c>
      <c r="I59" s="6" t="inlineStr">
        <is>
          <t>Dog Breeder / Trại chó chuyên nghiệp (28-30đ)</t>
        </is>
      </c>
      <c r="J59" s="56" t="n">
        <v>30</v>
      </c>
      <c r="K59" s="6" t="inlineStr">
        <is>
          <t>Terrier (Jack Russell/Yorkie/Boston/Staffy)</t>
        </is>
      </c>
      <c r="L59" s="56" t="n">
        <v>5</v>
      </c>
      <c r="M59" s="56" t="n">
        <v>5</v>
      </c>
      <c r="N59" s="6" t="inlineStr">
        <is>
          <t>Amazon link not found</t>
        </is>
      </c>
      <c r="O59" s="56">
        <f>IF(N59="Selling pet toys + Artificial grass/Pet toilets (TARGET)",15,IF(N59="Selling artificial grass/pet toilets (TARGET)",10,IF(N59="Selling pet toys",7,IF(N59="There's an Amazon link, but no target sales.",3,0))))</f>
        <v/>
      </c>
      <c r="P59" s="63">
        <f>H59+J59+L59+M59+O59</f>
        <v/>
      </c>
      <c r="Q59" s="64">
        <f>IF(OR(H59=0,P59&lt;30),"Tier D (Đóng băng)",IF(P59&gt;=85,"Tier S (Kim Cương: 85-100đ)",IF(P59&gt;=70,"Tier A (Vàng: 70-84đ)",IF(P59&gt;=61,"Tier B+ / Cấp A (Hot Lead: 61-69đ)",IF(P59&gt;=50,"Tier B (Bạc: 50-60đ)","Tier C (Đồng: 30-49đ)")))))</f>
        <v/>
      </c>
      <c r="R59" s="6" t="inlineStr">
        <is>
          <t>Trọn gói Take-Home Starter Kit V2/V3 (Cỏ nhân tạo + Khay Potty + Đồ chơi Teething/Snuggle)</t>
        </is>
      </c>
      <c r="S59" s="6" t="inlineStr">
        <is>
          <t>HOT LEAD CẤP A: Gọi Telesale trực tiếp trong ngày + Email cá nhân hóa chào Puppy Kit V2/V3</t>
        </is>
      </c>
    </row>
    <row r="60">
      <c r="A60" s="59" t="n">
        <v>2000</v>
      </c>
      <c r="B60" s="15" t="inlineStr">
        <is>
          <t>Leed's Infinity - Chinese Crested kennel</t>
        </is>
      </c>
      <c r="C60" s="60" t="inlineStr">
        <is>
          <t>https://www.facebook.com/profile.php?id=100090438180677</t>
        </is>
      </c>
      <c r="D60" s="9" t="inlineStr">
        <is>
          <t>Cần quét Bio Fanpage</t>
        </is>
      </c>
      <c r="E60" s="59" t="inlineStr">
        <is>
          <t>12/10/2026 21:51:43</t>
        </is>
      </c>
      <c r="F60" s="59" t="inlineStr">
        <is>
          <t>6 giờ trước</t>
        </is>
      </c>
      <c r="G60" s="61" t="n">
        <v>0.25</v>
      </c>
      <c r="H60" s="62" t="n">
        <v>32</v>
      </c>
      <c r="I60" s="9" t="inlineStr">
        <is>
          <t>Dog Breeder / Trại chó chuyên nghiệp (28-30đ)</t>
        </is>
      </c>
      <c r="J60" s="62" t="n">
        <v>30</v>
      </c>
      <c r="K60" s="9" t="inlineStr">
        <is>
          <t>Chihuahua / Toy Companion</t>
        </is>
      </c>
      <c r="L60" s="62" t="n">
        <v>5</v>
      </c>
      <c r="M60" s="62" t="n">
        <v>5</v>
      </c>
      <c r="N60" s="9" t="inlineStr">
        <is>
          <t>Amazon link not found</t>
        </is>
      </c>
      <c r="O60" s="62">
        <f>IF(N60="Selling pet toys + Artificial grass/Pet toilets (TARGET)",15,IF(N60="Selling artificial grass/pet toilets (TARGET)",10,IF(N60="Selling pet toys",7,IF(N60="There's an Amazon link, but no target sales.",3,0))))</f>
        <v/>
      </c>
      <c r="P60" s="63">
        <f>H60+J60+L60+M60+O60</f>
        <v/>
      </c>
      <c r="Q60" s="64">
        <f>IF(OR(H60=0,P60&lt;30),"Tier D (Đóng băng)",IF(P60&gt;=85,"Tier S (Kim Cương: 85-100đ)",IF(P60&gt;=70,"Tier A (Vàng: 70-84đ)",IF(P60&gt;=61,"Tier B+ / Cấp A (Hot Lead: 61-69đ)",IF(P60&gt;=50,"Tier B (Bạc: 50-60đ)","Tier C (Đồng: 30-49đ)")))))</f>
        <v/>
      </c>
      <c r="R60" s="9" t="inlineStr">
        <is>
          <t>Trọn gói Take-Home Starter Kit V2/V3 (Cỏ nhân tạo + Khay Potty + Đồ chơi Teething/Snuggle)</t>
        </is>
      </c>
      <c r="S60" s="9" t="inlineStr">
        <is>
          <t>HOT LEAD CẤP A: Gọi Telesale trực tiếp trong ngày + Email cá nhân hóa chào Puppy Kit V2/V3</t>
        </is>
      </c>
    </row>
    <row r="61">
      <c r="A61" s="53" t="n">
        <v>2872</v>
      </c>
      <c r="B61" s="12" t="inlineStr">
        <is>
          <t>Shady Pines Boxer Puppies</t>
        </is>
      </c>
      <c r="C61" s="54" t="inlineStr">
        <is>
          <t>https://www.facebook.com/profile.php?id=100071849751829</t>
        </is>
      </c>
      <c r="D61" s="6" t="inlineStr">
        <is>
          <t>Cần quét Bio Fanpage</t>
        </is>
      </c>
      <c r="E61" s="53" t="inlineStr">
        <is>
          <t>12/10/2026 21:27:27</t>
        </is>
      </c>
      <c r="F61" s="53" t="inlineStr">
        <is>
          <t>8 giờ trước</t>
        </is>
      </c>
      <c r="G61" s="55" t="n">
        <v>0.33</v>
      </c>
      <c r="H61" s="56" t="n">
        <v>32</v>
      </c>
      <c r="I61" s="6" t="inlineStr">
        <is>
          <t>Dog Breeder / Trại chó chuyên nghiệp (28-30đ)</t>
        </is>
      </c>
      <c r="J61" s="56" t="n">
        <v>30</v>
      </c>
      <c r="K61" s="6" t="inlineStr">
        <is>
          <t>Great Dane / Working Giant</t>
        </is>
      </c>
      <c r="L61" s="56" t="n">
        <v>5</v>
      </c>
      <c r="M61" s="56" t="n">
        <v>5</v>
      </c>
      <c r="N61" s="6" t="inlineStr">
        <is>
          <t>Amazon link not found</t>
        </is>
      </c>
      <c r="O61" s="56">
        <f>IF(N61="Selling pet toys + Artificial grass/Pet toilets (TARGET)",15,IF(N61="Selling artificial grass/pet toilets (TARGET)",10,IF(N61="Selling pet toys",7,IF(N61="There's an Amazon link, but no target sales.",3,0))))</f>
        <v/>
      </c>
      <c r="P61" s="63">
        <f>H61+J61+L61+M61+O61</f>
        <v/>
      </c>
      <c r="Q61" s="64">
        <f>IF(OR(H61=0,P61&lt;30),"Tier D (Đóng băng)",IF(P61&gt;=85,"Tier S (Kim Cương: 85-100đ)",IF(P61&gt;=70,"Tier A (Vàng: 70-84đ)",IF(P61&gt;=61,"Tier B+ / Cấp A (Hot Lead: 61-69đ)",IF(P61&gt;=50,"Tier B (Bạc: 50-60đ)","Tier C (Đồng: 30-49đ)")))))</f>
        <v/>
      </c>
      <c r="R61" s="6" t="inlineStr">
        <is>
          <t>Trọn gói Take-Home Starter Kit V2/V3 (Cỏ nhân tạo + Khay Potty + Đồ chơi Teething/Snuggle)</t>
        </is>
      </c>
      <c r="S61" s="6" t="inlineStr">
        <is>
          <t>HOT LEAD CẤP A: Gọi Telesale trực tiếp trong ngày + Email cá nhân hóa chào Puppy Kit V2/V3</t>
        </is>
      </c>
    </row>
    <row r="62">
      <c r="A62" s="59" t="n">
        <v>49</v>
      </c>
      <c r="B62" s="15" t="inlineStr">
        <is>
          <t>Artificial lawn fo pet  (Artificial lawn for pet)</t>
        </is>
      </c>
      <c r="C62" s="60" t="inlineStr">
        <is>
          <t>https://www.facebook.com/profile.php?id=61590146927480</t>
        </is>
      </c>
      <c r="D62" s="9" t="inlineStr">
        <is>
          <t>Cần quét Bio Fanpage</t>
        </is>
      </c>
      <c r="E62" s="59" t="inlineStr">
        <is>
          <t>12/10/2026 21:05:01</t>
        </is>
      </c>
      <c r="F62" s="59" t="inlineStr">
        <is>
          <t>3 giờ trước</t>
        </is>
      </c>
      <c r="G62" s="61" t="n">
        <v>0.12</v>
      </c>
      <c r="H62" s="62" t="n">
        <v>35</v>
      </c>
      <c r="I62" s="9" t="inlineStr">
        <is>
          <t>Pet Boarding / Huấn luyện K9 &amp; Dịch vụ (20-22đ)</t>
        </is>
      </c>
      <c r="J62" s="62" t="n">
        <v>22</v>
      </c>
      <c r="K62" s="9" t="inlineStr">
        <is>
          <t>Chưa rõ giống (Cần quét Bio)</t>
        </is>
      </c>
      <c r="L62" s="62" t="n">
        <v>0</v>
      </c>
      <c r="M62" s="62" t="n">
        <v>5</v>
      </c>
      <c r="N62" s="9" t="inlineStr">
        <is>
          <t>Selling artificial grass/pet toilets (TARGET)</t>
        </is>
      </c>
      <c r="O62" s="62">
        <f>IF(N62="Selling pet toys + Artificial grass/Pet toilets (TARGET)",15,IF(N62="Selling artificial grass/pet toilets (TARGET)",10,IF(N62="Selling pet toys",7,IF(N62="There's an Amazon link, but no target sales.",3,0))))</f>
        <v/>
      </c>
      <c r="P62" s="63">
        <f>H62+J62+L62+M62+O62</f>
        <v/>
      </c>
      <c r="Q62" s="64">
        <f>IF(OR(H62=0,P62&lt;30),"Tier D (Đóng băng)",IF(P62&gt;=85,"Tier S (Kim Cương: 85-100đ)",IF(P62&gt;=70,"Tier A (Vàng: 70-84đ)",IF(P62&gt;=61,"Tier B+ / Cấp A (Hot Lead: 61-69đ)",IF(P62&gt;=50,"Tier B (Bạc: 50-60đ)","Tier C (Đồng: 30-49đ)")))))</f>
        <v/>
      </c>
      <c r="R62" s="9" t="inlineStr">
        <is>
          <t>Cỏ nhân tạo sân chơi/huấn luyện (Dog Turf) + Đồ chơi nhai chịu lực (KONG/Chew Toys)</t>
        </is>
      </c>
      <c r="S62" s="9" t="inlineStr">
        <is>
          <t>HOT LEAD CẤP A: Gọi Telesale trực tiếp trong ngày + Email cá nhân hóa chào Puppy Kit V2/V3</t>
        </is>
      </c>
    </row>
    <row r="63">
      <c r="A63" s="53" t="n">
        <v>133</v>
      </c>
      <c r="B63" s="12" t="inlineStr">
        <is>
          <t>Chinese Cresteds - EverCrest Kennels</t>
        </is>
      </c>
      <c r="C63" s="54" t="inlineStr">
        <is>
          <t>https://www.facebook.com/evercrestkennels</t>
        </is>
      </c>
      <c r="D63" s="6" t="inlineStr">
        <is>
          <t>Cần quét Bio Fanpage</t>
        </is>
      </c>
      <c r="E63" s="53" t="inlineStr">
        <is>
          <t>12/10/2026 20:29:13</t>
        </is>
      </c>
      <c r="F63" s="53" t="inlineStr">
        <is>
          <t>4 giờ trước</t>
        </is>
      </c>
      <c r="G63" s="55" t="n">
        <v>0.17</v>
      </c>
      <c r="H63" s="56" t="n">
        <v>32</v>
      </c>
      <c r="I63" s="6" t="inlineStr">
        <is>
          <t>Dog Breeder / Trại chó chuyên nghiệp (28-30đ)</t>
        </is>
      </c>
      <c r="J63" s="56" t="n">
        <v>30</v>
      </c>
      <c r="K63" s="6" t="inlineStr">
        <is>
          <t>Chihuahua / Toy Companion</t>
        </is>
      </c>
      <c r="L63" s="56" t="n">
        <v>5</v>
      </c>
      <c r="M63" s="56" t="n">
        <v>5</v>
      </c>
      <c r="N63" s="6" t="inlineStr">
        <is>
          <t>Amazon link not found</t>
        </is>
      </c>
      <c r="O63" s="56">
        <f>IF(N63="Selling pet toys + Artificial grass/Pet toilets (TARGET)",15,IF(N63="Selling artificial grass/pet toilets (TARGET)",10,IF(N63="Selling pet toys",7,IF(N63="There's an Amazon link, but no target sales.",3,0))))</f>
        <v/>
      </c>
      <c r="P63" s="63">
        <f>H63+J63+L63+M63+O63</f>
        <v/>
      </c>
      <c r="Q63" s="64">
        <f>IF(OR(H63=0,P63&lt;30),"Tier D (Đóng băng)",IF(P63&gt;=85,"Tier S (Kim Cương: 85-100đ)",IF(P63&gt;=70,"Tier A (Vàng: 70-84đ)",IF(P63&gt;=61,"Tier B+ / Cấp A (Hot Lead: 61-69đ)",IF(P63&gt;=50,"Tier B (Bạc: 50-60đ)","Tier C (Đồng: 30-49đ)")))))</f>
        <v/>
      </c>
      <c r="R63" s="6" t="inlineStr">
        <is>
          <t>Trọn gói Take-Home Starter Kit V2/V3 (Cỏ nhân tạo + Khay Potty + Đồ chơi Teething/Snuggle)</t>
        </is>
      </c>
      <c r="S63" s="6" t="inlineStr">
        <is>
          <t>HOT LEAD CẤP A: Gọi Telesale trực tiếp trong ngày + Email cá nhân hóa chào Puppy Kit V2/V3</t>
        </is>
      </c>
    </row>
    <row r="64">
      <c r="A64" s="59" t="n">
        <v>48</v>
      </c>
      <c r="B64" s="15" t="inlineStr">
        <is>
          <t>Stonewall Farm Bassets</t>
        </is>
      </c>
      <c r="C64" s="60" t="inlineStr">
        <is>
          <t>https://www.facebook.com/stonewallbassethounds</t>
        </is>
      </c>
      <c r="D64" s="9" t="inlineStr">
        <is>
          <t>Cần quét Bio Fanpage</t>
        </is>
      </c>
      <c r="E64" s="59" t="inlineStr">
        <is>
          <t>12/10/2026 07:59:16</t>
        </is>
      </c>
      <c r="F64" s="59" t="inlineStr">
        <is>
          <t>17 giờ trước</t>
        </is>
      </c>
      <c r="G64" s="61" t="n">
        <v>0.71</v>
      </c>
      <c r="H64" s="62" t="n">
        <v>32</v>
      </c>
      <c r="I64" s="9" t="inlineStr">
        <is>
          <t>Dog Breeder / Trại chó chuyên nghiệp (28-30đ)</t>
        </is>
      </c>
      <c r="J64" s="62" t="n">
        <v>30</v>
      </c>
      <c r="K64" s="9" t="inlineStr">
        <is>
          <t>Hound / Beagle / Basset</t>
        </is>
      </c>
      <c r="L64" s="62" t="n">
        <v>5</v>
      </c>
      <c r="M64" s="62" t="n">
        <v>5</v>
      </c>
      <c r="N64" s="9" t="inlineStr">
        <is>
          <t>Amazon link not found</t>
        </is>
      </c>
      <c r="O64" s="62">
        <f>IF(N64="Selling pet toys + Artificial grass/Pet toilets (TARGET)",15,IF(N64="Selling artificial grass/pet toilets (TARGET)",10,IF(N64="Selling pet toys",7,IF(N64="There's an Amazon link, but no target sales.",3,0))))</f>
        <v/>
      </c>
      <c r="P64" s="63">
        <f>H64+J64+L64+M64+O64</f>
        <v/>
      </c>
      <c r="Q64" s="64">
        <f>IF(OR(H64=0,P64&lt;30),"Tier D (Đóng băng)",IF(P64&gt;=85,"Tier S (Kim Cương: 85-100đ)",IF(P64&gt;=70,"Tier A (Vàng: 70-84đ)",IF(P64&gt;=61,"Tier B+ / Cấp A (Hot Lead: 61-69đ)",IF(P64&gt;=50,"Tier B (Bạc: 50-60đ)","Tier C (Đồng: 30-49đ)")))))</f>
        <v/>
      </c>
      <c r="R64" s="9" t="inlineStr">
        <is>
          <t>Trọn gói Take-Home Starter Kit V2/V3 (Cỏ nhân tạo + Khay Potty + Đồ chơi Teething/Snuggle)</t>
        </is>
      </c>
      <c r="S64" s="9" t="inlineStr">
        <is>
          <t>HOT LEAD CẤP A: Gọi Telesale trực tiếp trong ngày + Email cá nhân hóa chào Puppy Kit V2/V3</t>
        </is>
      </c>
    </row>
    <row r="65">
      <c r="A65" s="53" t="n">
        <v>88</v>
      </c>
      <c r="B65" s="12" t="inlineStr">
        <is>
          <t>3B kennels -Beths Best Bostons</t>
        </is>
      </c>
      <c r="C65" s="54" t="inlineStr">
        <is>
          <t>https://www.facebook.com/TopQualityBostons</t>
        </is>
      </c>
      <c r="D65" s="6" t="inlineStr">
        <is>
          <t>Cần quét Bio Fanpage</t>
        </is>
      </c>
      <c r="E65" s="53" t="inlineStr">
        <is>
          <t>12/10/2026 07:28:33</t>
        </is>
      </c>
      <c r="F65" s="53" t="inlineStr">
        <is>
          <t>17 giờ trước</t>
        </is>
      </c>
      <c r="G65" s="55" t="n">
        <v>0.71</v>
      </c>
      <c r="H65" s="56" t="n">
        <v>32</v>
      </c>
      <c r="I65" s="6" t="inlineStr">
        <is>
          <t>Dog Breeder / Trại chó chuyên nghiệp (28-30đ)</t>
        </is>
      </c>
      <c r="J65" s="56" t="n">
        <v>30</v>
      </c>
      <c r="K65" s="6" t="inlineStr">
        <is>
          <t>Terrier (Jack Russell/Yorkie/Boston/Staffy)</t>
        </is>
      </c>
      <c r="L65" s="56" t="n">
        <v>5</v>
      </c>
      <c r="M65" s="56" t="n">
        <v>5</v>
      </c>
      <c r="N65" s="6" t="inlineStr">
        <is>
          <t>Amazon link not found</t>
        </is>
      </c>
      <c r="O65" s="56">
        <f>IF(N65="Selling pet toys + Artificial grass/Pet toilets (TARGET)",15,IF(N65="Selling artificial grass/pet toilets (TARGET)",10,IF(N65="Selling pet toys",7,IF(N65="There's an Amazon link, but no target sales.",3,0))))</f>
        <v/>
      </c>
      <c r="P65" s="63">
        <f>H65+J65+L65+M65+O65</f>
        <v/>
      </c>
      <c r="Q65" s="64">
        <f>IF(OR(H65=0,P65&lt;30),"Tier D (Đóng băng)",IF(P65&gt;=85,"Tier S (Kim Cương: 85-100đ)",IF(P65&gt;=70,"Tier A (Vàng: 70-84đ)",IF(P65&gt;=61,"Tier B+ / Cấp A (Hot Lead: 61-69đ)",IF(P65&gt;=50,"Tier B (Bạc: 50-60đ)","Tier C (Đồng: 30-49đ)")))))</f>
        <v/>
      </c>
      <c r="R65" s="6" t="inlineStr">
        <is>
          <t>Trọn gói Take-Home Starter Kit V2/V3 (Cỏ nhân tạo + Khay Potty + Đồ chơi Teething/Snuggle)</t>
        </is>
      </c>
      <c r="S65" s="6" t="inlineStr">
        <is>
          <t>HOT LEAD CẤP A: Gọi Telesale trực tiếp trong ngày + Email cá nhân hóa chào Puppy Kit V2/V3</t>
        </is>
      </c>
    </row>
    <row r="66">
      <c r="A66" s="59" t="n">
        <v>2101</v>
      </c>
      <c r="B66" s="15" t="inlineStr">
        <is>
          <t>Magnolia Farms Mini Schnauzers</t>
        </is>
      </c>
      <c r="C66" s="60" t="inlineStr">
        <is>
          <t>https://www.facebook.com/profile.php?id=100057424660915</t>
        </is>
      </c>
      <c r="D66" s="9" t="inlineStr">
        <is>
          <t>Cần quét Bio Fanpage</t>
        </is>
      </c>
      <c r="E66" s="59" t="inlineStr">
        <is>
          <t>12/10/2026 05:27:43</t>
        </is>
      </c>
      <c r="F66" s="59" t="inlineStr">
        <is>
          <t>23 giờ trước</t>
        </is>
      </c>
      <c r="G66" s="61" t="n">
        <v>0.96</v>
      </c>
      <c r="H66" s="62" t="n">
        <v>32</v>
      </c>
      <c r="I66" s="9" t="inlineStr">
        <is>
          <t>Dog Breeder / Trại chó chuyên nghiệp (28-30đ)</t>
        </is>
      </c>
      <c r="J66" s="62" t="n">
        <v>30</v>
      </c>
      <c r="K66" s="9" t="inlineStr">
        <is>
          <t>Great Dane / Working Giant</t>
        </is>
      </c>
      <c r="L66" s="62" t="n">
        <v>5</v>
      </c>
      <c r="M66" s="62" t="n">
        <v>5</v>
      </c>
      <c r="N66" s="9" t="inlineStr">
        <is>
          <t>Amazon link not found</t>
        </is>
      </c>
      <c r="O66" s="62">
        <f>IF(N66="Selling pet toys + Artificial grass/Pet toilets (TARGET)",15,IF(N66="Selling artificial grass/pet toilets (TARGET)",10,IF(N66="Selling pet toys",7,IF(N66="There's an Amazon link, but no target sales.",3,0))))</f>
        <v/>
      </c>
      <c r="P66" s="63">
        <f>H66+J66+L66+M66+O66</f>
        <v/>
      </c>
      <c r="Q66" s="64">
        <f>IF(OR(H66=0,P66&lt;30),"Tier D (Đóng băng)",IF(P66&gt;=85,"Tier S (Kim Cương: 85-100đ)",IF(P66&gt;=70,"Tier A (Vàng: 70-84đ)",IF(P66&gt;=61,"Tier B+ / Cấp A (Hot Lead: 61-69đ)",IF(P66&gt;=50,"Tier B (Bạc: 50-60đ)","Tier C (Đồng: 30-49đ)")))))</f>
        <v/>
      </c>
      <c r="R66" s="9" t="inlineStr">
        <is>
          <t>Trọn gói Take-Home Starter Kit V2/V3 (Cỏ nhân tạo + Khay Potty + Đồ chơi Teething/Snuggle)</t>
        </is>
      </c>
      <c r="S66" s="9" t="inlineStr">
        <is>
          <t>HOT LEAD CẤP A: Gọi Telesale trực tiếp trong ngày + Email cá nhân hóa chào Puppy Kit V2/V3</t>
        </is>
      </c>
    </row>
    <row r="67">
      <c r="A67" s="53" t="n">
        <v>94</v>
      </c>
      <c r="B67" s="12" t="inlineStr">
        <is>
          <t>AKC Saint Bernard Puppies</t>
        </is>
      </c>
      <c r="C67" s="54" t="inlineStr">
        <is>
          <t>https://www.facebook.com/profile.php?id=100057048746149</t>
        </is>
      </c>
      <c r="D67" s="6" t="inlineStr">
        <is>
          <t>Cần quét Bio Fanpage</t>
        </is>
      </c>
      <c r="E67" s="53" t="inlineStr">
        <is>
          <t>12/10/2026 02:29:30</t>
        </is>
      </c>
      <c r="F67" s="53" t="inlineStr">
        <is>
          <t>22 giờ trước</t>
        </is>
      </c>
      <c r="G67" s="55" t="n">
        <v>0.92</v>
      </c>
      <c r="H67" s="56" t="n">
        <v>32</v>
      </c>
      <c r="I67" s="6" t="inlineStr">
        <is>
          <t>Dog Breeder / Trại chó chuyên nghiệp (28-30đ)</t>
        </is>
      </c>
      <c r="J67" s="56" t="n">
        <v>30</v>
      </c>
      <c r="K67" s="6" t="inlineStr">
        <is>
          <t>Great Dane / Working Giant</t>
        </is>
      </c>
      <c r="L67" s="56" t="n">
        <v>5</v>
      </c>
      <c r="M67" s="56" t="n">
        <v>5</v>
      </c>
      <c r="N67" s="6" t="inlineStr">
        <is>
          <t>Amazon link not found</t>
        </is>
      </c>
      <c r="O67" s="56">
        <f>IF(N67="Selling pet toys + Artificial grass/Pet toilets (TARGET)",15,IF(N67="Selling artificial grass/pet toilets (TARGET)",10,IF(N67="Selling pet toys",7,IF(N67="There's an Amazon link, but no target sales.",3,0))))</f>
        <v/>
      </c>
      <c r="P67" s="63">
        <f>H67+J67+L67+M67+O67</f>
        <v/>
      </c>
      <c r="Q67" s="64">
        <f>IF(OR(H67=0,P67&lt;30),"Tier D (Đóng băng)",IF(P67&gt;=85,"Tier S (Kim Cương: 85-100đ)",IF(P67&gt;=70,"Tier A (Vàng: 70-84đ)",IF(P67&gt;=61,"Tier B+ / Cấp A (Hot Lead: 61-69đ)",IF(P67&gt;=50,"Tier B (Bạc: 50-60đ)","Tier C (Đồng: 30-49đ)")))))</f>
        <v/>
      </c>
      <c r="R67" s="6" t="inlineStr">
        <is>
          <t>Trọn gói Take-Home Starter Kit V2/V3 (Cỏ nhân tạo + Khay Potty + Đồ chơi Teething/Snuggle)</t>
        </is>
      </c>
      <c r="S67" s="6" t="inlineStr">
        <is>
          <t>HOT LEAD CẤP A: Gọi Telesale trực tiếp trong ngày + Email cá nhân hóa chào Puppy Kit V2/V3</t>
        </is>
      </c>
    </row>
    <row r="68">
      <c r="A68" s="59" t="n">
        <v>1973</v>
      </c>
      <c r="B68" s="15" t="inlineStr">
        <is>
          <t>Lake Cumberland Doodle Farm LLC</t>
        </is>
      </c>
      <c r="C68" s="60" t="inlineStr">
        <is>
          <t>https://www.facebook.com/lcdoodlefarmllc</t>
        </is>
      </c>
      <c r="D68" s="9" t="inlineStr">
        <is>
          <t>Cần quét Bio Fanpage</t>
        </is>
      </c>
      <c r="E68" s="59" t="inlineStr">
        <is>
          <t>12/10/2026 01:17:59</t>
        </is>
      </c>
      <c r="F68" s="59" t="inlineStr">
        <is>
          <t>1 ngày trước</t>
        </is>
      </c>
      <c r="G68" s="61" t="n">
        <v>1</v>
      </c>
      <c r="H68" s="62" t="n">
        <v>28</v>
      </c>
      <c r="I68" s="9" t="inlineStr">
        <is>
          <t>Dog Breeder / Trại nhân giống (28-30đ)</t>
        </is>
      </c>
      <c r="J68" s="62" t="n">
        <v>28</v>
      </c>
      <c r="K68" s="9" t="inlineStr">
        <is>
          <t>Goldendoodle</t>
        </is>
      </c>
      <c r="L68" s="62" t="n">
        <v>10</v>
      </c>
      <c r="M68" s="62" t="n">
        <v>5</v>
      </c>
      <c r="N68" s="9" t="inlineStr">
        <is>
          <t>Amazon link not found</t>
        </is>
      </c>
      <c r="O68" s="62">
        <f>IF(N68="Selling pet toys + Artificial grass/Pet toilets (TARGET)",15,IF(N68="Selling artificial grass/pet toilets (TARGET)",10,IF(N68="Selling pet toys",7,IF(N68="There's an Amazon link, but no target sales.",3,0))))</f>
        <v/>
      </c>
      <c r="P68" s="63">
        <f>H68+J68+L68+M68+O68</f>
        <v/>
      </c>
      <c r="Q68" s="64">
        <f>IF(OR(H68=0,P68&lt;30),"Tier D (Đóng băng)",IF(P68&gt;=85,"Tier S (Kim Cương: 85-100đ)",IF(P68&gt;=70,"Tier A (Vàng: 70-84đ)",IF(P68&gt;=61,"Tier B+ / Cấp A (Hot Lead: 61-69đ)",IF(P68&gt;=50,"Tier B (Bạc: 50-60đ)","Tier C (Đồng: 30-49đ)")))))</f>
        <v/>
      </c>
      <c r="R68" s="9" t="inlineStr">
        <is>
          <t>Trọn gói Take-Home Starter Kit V2/V3 (Cỏ nhân tạo + Khay Potty + Đồ chơi cún con)</t>
        </is>
      </c>
      <c r="S68" s="9" t="inlineStr">
        <is>
          <t>HOT LEAD CẤP A: Gọi Telesale trực tiếp trong ngày + Email cá nhân hóa chào Puppy Kit V2/V3</t>
        </is>
      </c>
    </row>
    <row r="69">
      <c r="A69" s="53" t="n">
        <v>2910</v>
      </c>
      <c r="B69" s="12" t="inlineStr">
        <is>
          <t>Singing Sands Bernese Mountain Dogs &amp; French Bulldogs</t>
        </is>
      </c>
      <c r="C69" s="54" t="inlineStr">
        <is>
          <t>https://www.facebook.com/singingsands</t>
        </is>
      </c>
      <c r="D69" s="6" t="inlineStr">
        <is>
          <t>Cần quét Bio Fanpage</t>
        </is>
      </c>
      <c r="E69" s="53" t="inlineStr">
        <is>
          <t>11/10/2026 06:59:55</t>
        </is>
      </c>
      <c r="F69" s="53" t="inlineStr">
        <is>
          <t>1 ngày trước</t>
        </is>
      </c>
      <c r="G69" s="55" t="n">
        <v>1</v>
      </c>
      <c r="H69" s="56" t="n">
        <v>28</v>
      </c>
      <c r="I69" s="6" t="inlineStr">
        <is>
          <t>Dog Breeder / Trại chó chuyên nghiệp (28-30đ)</t>
        </is>
      </c>
      <c r="J69" s="56" t="n">
        <v>28</v>
      </c>
      <c r="K69" s="6" t="inlineStr">
        <is>
          <t>French Bulldog, Bernese Mountain Dog</t>
        </is>
      </c>
      <c r="L69" s="56" t="n">
        <v>15</v>
      </c>
      <c r="M69" s="56" t="n">
        <v>0</v>
      </c>
      <c r="N69" s="6" t="inlineStr">
        <is>
          <t>Amazon link not found</t>
        </is>
      </c>
      <c r="O69" s="56">
        <f>IF(N69="Selling pet toys + Artificial grass/Pet toilets (TARGET)",15,IF(N69="Selling artificial grass/pet toilets (TARGET)",10,IF(N69="Selling pet toys",7,IF(N69="There's an Amazon link, but no target sales.",3,0))))</f>
        <v/>
      </c>
      <c r="P69" s="63">
        <f>H69+J69+L69+M69+O69</f>
        <v/>
      </c>
      <c r="Q69" s="64">
        <f>IF(OR(H69=0,P69&lt;30),"Tier D (Đóng băng)",IF(P69&gt;=85,"Tier S (Kim Cương: 85-100đ)",IF(P69&gt;=70,"Tier A (Vàng: 70-84đ)",IF(P69&gt;=61,"Tier B+ / Cấp A (Hot Lead: 61-69đ)",IF(P69&gt;=50,"Tier B (Bạc: 50-60đ)","Tier C (Đồng: 30-49đ)")))))</f>
        <v/>
      </c>
      <c r="R69" s="6" t="inlineStr">
        <is>
          <t>Trọn gói Take-Home Starter Kit V2/V3 (Cỏ nhân tạo + Khay Potty + Đồ chơi Teething/Snuggle)</t>
        </is>
      </c>
      <c r="S69" s="6" t="inlineStr">
        <is>
          <t>HOT LEAD CẤP A: Gọi Telesale trực tiếp trong ngày + Email cá nhân hóa chào Puppy Kit V2/V3</t>
        </is>
      </c>
    </row>
    <row r="70">
      <c r="A70" s="59" t="n">
        <v>890</v>
      </c>
      <c r="B70" s="15" t="inlineStr">
        <is>
          <t>Childs English &amp; French Bulldogs</t>
        </is>
      </c>
      <c r="C70" s="60" t="inlineStr">
        <is>
          <t>https://www.facebook.com/childsbulldog</t>
        </is>
      </c>
      <c r="D70" s="9" t="inlineStr">
        <is>
          <t>Cần quét Bio Fanpage</t>
        </is>
      </c>
      <c r="E70" s="59" t="inlineStr">
        <is>
          <t>10/10/2026 12:13:19</t>
        </is>
      </c>
      <c r="F70" s="59" t="inlineStr">
        <is>
          <t>2 ngày trước</t>
        </is>
      </c>
      <c r="G70" s="61" t="n">
        <v>2</v>
      </c>
      <c r="H70" s="62" t="n">
        <v>28</v>
      </c>
      <c r="I70" s="9" t="inlineStr">
        <is>
          <t>Dog Breeder / Trại chó chuyên nghiệp (28-30đ)</t>
        </is>
      </c>
      <c r="J70" s="62" t="n">
        <v>28</v>
      </c>
      <c r="K70" s="9" t="inlineStr">
        <is>
          <t>French Bulldog, English Bulldog</t>
        </is>
      </c>
      <c r="L70" s="62" t="n">
        <v>15</v>
      </c>
      <c r="M70" s="62" t="n">
        <v>0</v>
      </c>
      <c r="N70" s="9" t="inlineStr">
        <is>
          <t>Amazon link not found</t>
        </is>
      </c>
      <c r="O70" s="62">
        <f>IF(N70="Selling pet toys + Artificial grass/Pet toilets (TARGET)",15,IF(N70="Selling artificial grass/pet toilets (TARGET)",10,IF(N70="Selling pet toys",7,IF(N70="There's an Amazon link, but no target sales.",3,0))))</f>
        <v/>
      </c>
      <c r="P70" s="63">
        <f>H70+J70+L70+M70+O70</f>
        <v/>
      </c>
      <c r="Q70" s="64">
        <f>IF(OR(H70=0,P70&lt;30),"Tier D (Đóng băng)",IF(P70&gt;=85,"Tier S (Kim Cương: 85-100đ)",IF(P70&gt;=70,"Tier A (Vàng: 70-84đ)",IF(P70&gt;=61,"Tier B+ / Cấp A (Hot Lead: 61-69đ)",IF(P70&gt;=50,"Tier B (Bạc: 50-60đ)","Tier C (Đồng: 30-49đ)")))))</f>
        <v/>
      </c>
      <c r="R70" s="9" t="inlineStr">
        <is>
          <t>Trọn gói Take-Home Starter Kit V2/V3 (Cỏ nhân tạo + Khay Potty + Đồ chơi Teething/Snuggle)</t>
        </is>
      </c>
      <c r="S70" s="9" t="inlineStr">
        <is>
          <t>HOT LEAD CẤP A: Gọi Telesale trực tiếp trong ngày + Email cá nhân hóa chào Puppy Kit V2/V3</t>
        </is>
      </c>
    </row>
    <row r="71">
      <c r="A71" s="53" t="n">
        <v>996</v>
      </c>
      <c r="B71" s="12" t="inlineStr">
        <is>
          <t>Dame Dogs Labradors, LLC</t>
        </is>
      </c>
      <c r="C71" s="54" t="inlineStr">
        <is>
          <t>https://www.facebook.com/damedogslabradors</t>
        </is>
      </c>
      <c r="D71" s="6" t="inlineStr">
        <is>
          <t>Cần quét Bio Fanpage</t>
        </is>
      </c>
      <c r="E71" s="53" t="inlineStr">
        <is>
          <t>10/10/2026 10:32:38</t>
        </is>
      </c>
      <c r="F71" s="53" t="inlineStr">
        <is>
          <t>2 ngày trước</t>
        </is>
      </c>
      <c r="G71" s="55" t="n">
        <v>2</v>
      </c>
      <c r="H71" s="56" t="n">
        <v>28</v>
      </c>
      <c r="I71" s="6" t="inlineStr">
        <is>
          <t>Dog Breeder / Trại nhân giống (28-30đ)</t>
        </is>
      </c>
      <c r="J71" s="56" t="n">
        <v>28</v>
      </c>
      <c r="K71" s="6" t="inlineStr">
        <is>
          <t>Labrador</t>
        </is>
      </c>
      <c r="L71" s="56" t="n">
        <v>10</v>
      </c>
      <c r="M71" s="56" t="n">
        <v>5</v>
      </c>
      <c r="N71" s="6" t="inlineStr">
        <is>
          <t>Amazon link not found</t>
        </is>
      </c>
      <c r="O71" s="56">
        <f>IF(N71="Selling pet toys + Artificial grass/Pet toilets (TARGET)",15,IF(N71="Selling artificial grass/pet toilets (TARGET)",10,IF(N71="Selling pet toys",7,IF(N71="There's an Amazon link, but no target sales.",3,0))))</f>
        <v/>
      </c>
      <c r="P71" s="63">
        <f>H71+J71+L71+M71+O71</f>
        <v/>
      </c>
      <c r="Q71" s="64">
        <f>IF(OR(H71=0,P71&lt;30),"Tier D (Đóng băng)",IF(P71&gt;=85,"Tier S (Kim Cương: 85-100đ)",IF(P71&gt;=70,"Tier A (Vàng: 70-84đ)",IF(P71&gt;=61,"Tier B+ / Cấp A (Hot Lead: 61-69đ)",IF(P71&gt;=50,"Tier B (Bạc: 50-60đ)","Tier C (Đồng: 30-49đ)")))))</f>
        <v/>
      </c>
      <c r="R71" s="6" t="inlineStr">
        <is>
          <t>Trọn gói Take-Home Starter Kit V2/V3 (Cỏ nhân tạo + Khay Potty + Đồ chơi cún con)</t>
        </is>
      </c>
      <c r="S71" s="6" t="inlineStr">
        <is>
          <t>HOT LEAD CẤP A: Gọi Telesale trực tiếp trong ngày + Email cá nhân hóa chào Puppy Kit V2/V3</t>
        </is>
      </c>
    </row>
    <row r="72">
      <c r="A72" s="59" t="n">
        <v>5851</v>
      </c>
      <c r="B72" s="15" t="inlineStr">
        <is>
          <t>We Love Puppies</t>
        </is>
      </c>
      <c r="C72" s="60" t="inlineStr">
        <is>
          <t>https://www.facebook.com/profile.php?id=100063198220891</t>
        </is>
      </c>
      <c r="D72" s="9" t="inlineStr">
        <is>
          <t>Cần quét Bio Fanpage</t>
        </is>
      </c>
      <c r="E72" s="59" t="inlineStr">
        <is>
          <t>13/10/2026 10:34:34</t>
        </is>
      </c>
      <c r="F72" s="59" t="inlineStr">
        <is>
          <t>54 phút trước</t>
        </is>
      </c>
      <c r="G72" s="61" t="n">
        <v>0.04</v>
      </c>
      <c r="H72" s="62" t="n">
        <v>35</v>
      </c>
      <c r="I72" s="9" t="inlineStr">
        <is>
          <t>Dog Breeder / Trại chó chuyên nghiệp (28-30đ)</t>
        </is>
      </c>
      <c r="J72" s="62" t="n">
        <v>30</v>
      </c>
      <c r="K72" s="9" t="inlineStr">
        <is>
          <t>Chưa rõ giống (Cần quét Bio)</t>
        </is>
      </c>
      <c r="L72" s="62" t="n">
        <v>0</v>
      </c>
      <c r="M72" s="62" t="n">
        <v>5</v>
      </c>
      <c r="N72" s="9" t="inlineStr">
        <is>
          <t>Amazon link not found</t>
        </is>
      </c>
      <c r="O72" s="62">
        <f>IF(N72="Selling pet toys + Artificial grass/Pet toilets (TARGET)",15,IF(N72="Selling artificial grass/pet toilets (TARGET)",10,IF(N72="Selling pet toys",7,IF(N72="There's an Amazon link, but no target sales.",3,0))))</f>
        <v/>
      </c>
      <c r="P72" s="63">
        <f>H72+J72+L72+M72+O72</f>
        <v/>
      </c>
      <c r="Q72" s="64">
        <f>IF(OR(H72=0,P72&lt;30),"Tier D (Đóng băng)",IF(P72&gt;=85,"Tier S (Kim Cương: 85-100đ)",IF(P72&gt;=70,"Tier A (Vàng: 70-84đ)",IF(P72&gt;=61,"Tier B+ / Cấp A (Hot Lead: 61-69đ)",IF(P72&gt;=50,"Tier B (Bạc: 50-60đ)","Tier C (Đồng: 30-49đ)")))))</f>
        <v/>
      </c>
      <c r="R72" s="9" t="inlineStr">
        <is>
          <t>Trọn gói Take-Home Starter Kit V2/V3 (Cỏ nhân tạo + Khay Potty + Đồ chơi Teething/Snuggle)</t>
        </is>
      </c>
      <c r="S72" s="9" t="inlineStr">
        <is>
          <t>HOT LEAD CẤP A: Gọi Telesale trực tiếp trong ngày + Email cá nhân hóa chào Puppy Kit V2/V3</t>
        </is>
      </c>
    </row>
    <row r="73">
      <c r="A73" s="53" t="n">
        <v>5591</v>
      </c>
      <c r="B73" s="12" t="inlineStr">
        <is>
          <t>The Fifth Element Kennel</t>
        </is>
      </c>
      <c r="C73" s="54" t="inlineStr">
        <is>
          <t>https://www.facebook.com/TheFifthElementkennel</t>
        </is>
      </c>
      <c r="D73" s="6" t="inlineStr">
        <is>
          <t>Cần quét Bio Fanpage</t>
        </is>
      </c>
      <c r="E73" s="53" t="inlineStr">
        <is>
          <t>13/10/2026 09:50:56</t>
        </is>
      </c>
      <c r="F73" s="53" t="inlineStr">
        <is>
          <t>1 giờ trước</t>
        </is>
      </c>
      <c r="G73" s="55" t="n">
        <v>0.04</v>
      </c>
      <c r="H73" s="56" t="n">
        <v>35</v>
      </c>
      <c r="I73" s="6" t="inlineStr">
        <is>
          <t>Dog Breeder / Trại chó chuyên nghiệp (28-30đ)</t>
        </is>
      </c>
      <c r="J73" s="56" t="n">
        <v>30</v>
      </c>
      <c r="K73" s="6" t="inlineStr">
        <is>
          <t>Chưa rõ giống (Cần quét Bio)</t>
        </is>
      </c>
      <c r="L73" s="56" t="n">
        <v>0</v>
      </c>
      <c r="M73" s="56" t="n">
        <v>5</v>
      </c>
      <c r="N73" s="6" t="inlineStr">
        <is>
          <t>Amazon link not found</t>
        </is>
      </c>
      <c r="O73" s="56">
        <f>IF(N73="Selling pet toys + Artificial grass/Pet toilets (TARGET)",15,IF(N73="Selling artificial grass/pet toilets (TARGET)",10,IF(N73="Selling pet toys",7,IF(N73="There's an Amazon link, but no target sales.",3,0))))</f>
        <v/>
      </c>
      <c r="P73" s="63">
        <f>H73+J73+L73+M73+O73</f>
        <v/>
      </c>
      <c r="Q73" s="64">
        <f>IF(OR(H73=0,P73&lt;30),"Tier D (Đóng băng)",IF(P73&gt;=85,"Tier S (Kim Cương: 85-100đ)",IF(P73&gt;=70,"Tier A (Vàng: 70-84đ)",IF(P73&gt;=61,"Tier B+ / Cấp A (Hot Lead: 61-69đ)",IF(P73&gt;=50,"Tier B (Bạc: 50-60đ)","Tier C (Đồng: 30-49đ)")))))</f>
        <v/>
      </c>
      <c r="R73" s="6" t="inlineStr">
        <is>
          <t>Trọn gói Take-Home Starter Kit V2/V3 (Cỏ nhân tạo + Khay Potty + Đồ chơi Teething/Snuggle)</t>
        </is>
      </c>
      <c r="S73" s="6" t="inlineStr">
        <is>
          <t>HOT LEAD CẤP A: Gọi Telesale trực tiếp trong ngày + Email cá nhân hóa chào Puppy Kit V2/V3</t>
        </is>
      </c>
    </row>
    <row r="74">
      <c r="A74" s="59" t="n">
        <v>5721</v>
      </c>
      <c r="B74" s="15" t="inlineStr">
        <is>
          <t>Try Hard Kennels</t>
        </is>
      </c>
      <c r="C74" s="60" t="inlineStr">
        <is>
          <t>https://www.facebook.com/tryhardkennel</t>
        </is>
      </c>
      <c r="D74" s="9" t="inlineStr">
        <is>
          <t>Cần quét Bio Fanpage</t>
        </is>
      </c>
      <c r="E74" s="59" t="inlineStr">
        <is>
          <t>13/10/2026 08:05:00</t>
        </is>
      </c>
      <c r="F74" s="59" t="inlineStr">
        <is>
          <t>3 giờ trước</t>
        </is>
      </c>
      <c r="G74" s="61" t="n">
        <v>0.12</v>
      </c>
      <c r="H74" s="62" t="n">
        <v>35</v>
      </c>
      <c r="I74" s="9" t="inlineStr">
        <is>
          <t>Dog Breeder / Trại chó chuyên nghiệp (28-30đ)</t>
        </is>
      </c>
      <c r="J74" s="62" t="n">
        <v>30</v>
      </c>
      <c r="K74" s="9" t="inlineStr">
        <is>
          <t>Chưa rõ giống (Cần quét Bio)</t>
        </is>
      </c>
      <c r="L74" s="62" t="n">
        <v>0</v>
      </c>
      <c r="M74" s="62" t="n">
        <v>5</v>
      </c>
      <c r="N74" s="9" t="inlineStr">
        <is>
          <t>Amazon link not found</t>
        </is>
      </c>
      <c r="O74" s="62">
        <f>IF(N74="Selling pet toys + Artificial grass/Pet toilets (TARGET)",15,IF(N74="Selling artificial grass/pet toilets (TARGET)",10,IF(N74="Selling pet toys",7,IF(N74="There's an Amazon link, but no target sales.",3,0))))</f>
        <v/>
      </c>
      <c r="P74" s="63">
        <f>H74+J74+L74+M74+O74</f>
        <v/>
      </c>
      <c r="Q74" s="64">
        <f>IF(OR(H74=0,P74&lt;30),"Tier D (Đóng băng)",IF(P74&gt;=85,"Tier S (Kim Cương: 85-100đ)",IF(P74&gt;=70,"Tier A (Vàng: 70-84đ)",IF(P74&gt;=61,"Tier B+ / Cấp A (Hot Lead: 61-69đ)",IF(P74&gt;=50,"Tier B (Bạc: 50-60đ)","Tier C (Đồng: 30-49đ)")))))</f>
        <v/>
      </c>
      <c r="R74" s="9" t="inlineStr">
        <is>
          <t>Trọn gói Take-Home Starter Kit V2/V3 (Cỏ nhân tạo + Khay Potty + Đồ chơi Teething/Snuggle)</t>
        </is>
      </c>
      <c r="S74" s="9" t="inlineStr">
        <is>
          <t>HOT LEAD CẤP A: Gọi Telesale trực tiếp trong ngày + Email cá nhân hóa chào Puppy Kit V2/V3</t>
        </is>
      </c>
    </row>
    <row r="75">
      <c r="A75" s="53" t="n">
        <v>5083</v>
      </c>
      <c r="B75" s="12" t="inlineStr">
        <is>
          <t>Powerline Kennels</t>
        </is>
      </c>
      <c r="C75" s="54" t="inlineStr">
        <is>
          <t>https://www.facebook.com/powerline.kennels</t>
        </is>
      </c>
      <c r="D75" s="6" t="inlineStr">
        <is>
          <t>Cần quét Bio Fanpage</t>
        </is>
      </c>
      <c r="E75" s="53" t="inlineStr">
        <is>
          <t>13/10/2026 07:35:47</t>
        </is>
      </c>
      <c r="F75" s="53" t="inlineStr">
        <is>
          <t>2 giờ trước</t>
        </is>
      </c>
      <c r="G75" s="55" t="n">
        <v>0.08</v>
      </c>
      <c r="H75" s="56" t="n">
        <v>35</v>
      </c>
      <c r="I75" s="6" t="inlineStr">
        <is>
          <t>Dog Breeder / Trại chó chuyên nghiệp (28-30đ)</t>
        </is>
      </c>
      <c r="J75" s="56" t="n">
        <v>30</v>
      </c>
      <c r="K75" s="6" t="inlineStr">
        <is>
          <t>Chưa rõ giống (Cần quét Bio)</t>
        </is>
      </c>
      <c r="L75" s="56" t="n">
        <v>0</v>
      </c>
      <c r="M75" s="56" t="n">
        <v>5</v>
      </c>
      <c r="N75" s="6" t="inlineStr">
        <is>
          <t>Amazon link not found</t>
        </is>
      </c>
      <c r="O75" s="56">
        <f>IF(N75="Selling pet toys + Artificial grass/Pet toilets (TARGET)",15,IF(N75="Selling artificial grass/pet toilets (TARGET)",10,IF(N75="Selling pet toys",7,IF(N75="There's an Amazon link, but no target sales.",3,0))))</f>
        <v/>
      </c>
      <c r="P75" s="63">
        <f>H75+J75+L75+M75+O75</f>
        <v/>
      </c>
      <c r="Q75" s="64">
        <f>IF(OR(H75=0,P75&lt;30),"Tier D (Đóng băng)",IF(P75&gt;=85,"Tier S (Kim Cương: 85-100đ)",IF(P75&gt;=70,"Tier A (Vàng: 70-84đ)",IF(P75&gt;=61,"Tier B+ / Cấp A (Hot Lead: 61-69đ)",IF(P75&gt;=50,"Tier B (Bạc: 50-60đ)","Tier C (Đồng: 30-49đ)")))))</f>
        <v/>
      </c>
      <c r="R75" s="6" t="inlineStr">
        <is>
          <t>Trọn gói Take-Home Starter Kit V2/V3 (Cỏ nhân tạo + Khay Potty + Đồ chơi Teething/Snuggle)</t>
        </is>
      </c>
      <c r="S75" s="6" t="inlineStr">
        <is>
          <t>HOT LEAD CẤP A: Gọi Telesale trực tiếp trong ngày + Email cá nhân hóa chào Puppy Kit V2/V3</t>
        </is>
      </c>
    </row>
    <row r="76">
      <c r="A76" s="59" t="n">
        <v>5189</v>
      </c>
      <c r="B76" s="15" t="inlineStr">
        <is>
          <t>Reflection Kennels</t>
        </is>
      </c>
      <c r="C76" s="60" t="inlineStr">
        <is>
          <t>https://www.facebook.com/reflectionkennels</t>
        </is>
      </c>
      <c r="D76" s="9" t="inlineStr">
        <is>
          <t>Cần quét Bio Fanpage</t>
        </is>
      </c>
      <c r="E76" s="59" t="inlineStr">
        <is>
          <t>13/10/2026 07:34:39</t>
        </is>
      </c>
      <c r="F76" s="59" t="inlineStr">
        <is>
          <t>2 giờ trước</t>
        </is>
      </c>
      <c r="G76" s="61" t="n">
        <v>0.08</v>
      </c>
      <c r="H76" s="62" t="n">
        <v>35</v>
      </c>
      <c r="I76" s="9" t="inlineStr">
        <is>
          <t>Dog Breeder / Trại chó chuyên nghiệp (28-30đ)</t>
        </is>
      </c>
      <c r="J76" s="62" t="n">
        <v>30</v>
      </c>
      <c r="K76" s="9" t="inlineStr">
        <is>
          <t>Chưa rõ giống (Cần quét Bio)</t>
        </is>
      </c>
      <c r="L76" s="62" t="n">
        <v>0</v>
      </c>
      <c r="M76" s="62" t="n">
        <v>5</v>
      </c>
      <c r="N76" s="9" t="inlineStr">
        <is>
          <t>Amazon link not found</t>
        </is>
      </c>
      <c r="O76" s="62">
        <f>IF(N76="Selling pet toys + Artificial grass/Pet toilets (TARGET)",15,IF(N76="Selling artificial grass/pet toilets (TARGET)",10,IF(N76="Selling pet toys",7,IF(N76="There's an Amazon link, but no target sales.",3,0))))</f>
        <v/>
      </c>
      <c r="P76" s="63">
        <f>H76+J76+L76+M76+O76</f>
        <v/>
      </c>
      <c r="Q76" s="64">
        <f>IF(OR(H76=0,P76&lt;30),"Tier D (Đóng băng)",IF(P76&gt;=85,"Tier S (Kim Cương: 85-100đ)",IF(P76&gt;=70,"Tier A (Vàng: 70-84đ)",IF(P76&gt;=61,"Tier B+ / Cấp A (Hot Lead: 61-69đ)",IF(P76&gt;=50,"Tier B (Bạc: 50-60đ)","Tier C (Đồng: 30-49đ)")))))</f>
        <v/>
      </c>
      <c r="R76" s="9" t="inlineStr">
        <is>
          <t>Trọn gói Take-Home Starter Kit V2/V3 (Cỏ nhân tạo + Khay Potty + Đồ chơi Teething/Snuggle)</t>
        </is>
      </c>
      <c r="S76" s="9" t="inlineStr">
        <is>
          <t>HOT LEAD CẤP A: Gọi Telesale trực tiếp trong ngày + Email cá nhân hóa chào Puppy Kit V2/V3</t>
        </is>
      </c>
    </row>
    <row r="77">
      <c r="A77" s="53" t="n">
        <v>4806</v>
      </c>
      <c r="B77" s="12" t="inlineStr">
        <is>
          <t>Oak'N Stone Kennels</t>
        </is>
      </c>
      <c r="C77" s="54" t="inlineStr">
        <is>
          <t>https://www.facebook.com/profile.php?id=100088505165566</t>
        </is>
      </c>
      <c r="D77" s="6" t="inlineStr">
        <is>
          <t>Cần quét Bio Fanpage</t>
        </is>
      </c>
      <c r="E77" s="53" t="inlineStr">
        <is>
          <t>13/10/2026 06:57:52</t>
        </is>
      </c>
      <c r="F77" s="53" t="inlineStr">
        <is>
          <t>2 giờ trước</t>
        </is>
      </c>
      <c r="G77" s="55" t="n">
        <v>0.08</v>
      </c>
      <c r="H77" s="56" t="n">
        <v>35</v>
      </c>
      <c r="I77" s="6" t="inlineStr">
        <is>
          <t>Dog Breeder / Trại chó chuyên nghiệp (28-30đ)</t>
        </is>
      </c>
      <c r="J77" s="56" t="n">
        <v>30</v>
      </c>
      <c r="K77" s="6" t="inlineStr">
        <is>
          <t>Chưa rõ giống (Cần quét Bio)</t>
        </is>
      </c>
      <c r="L77" s="56" t="n">
        <v>0</v>
      </c>
      <c r="M77" s="56" t="n">
        <v>5</v>
      </c>
      <c r="N77" s="6" t="inlineStr">
        <is>
          <t>Amazon link not found</t>
        </is>
      </c>
      <c r="O77" s="56">
        <f>IF(N77="Selling pet toys + Artificial grass/Pet toilets (TARGET)",15,IF(N77="Selling artificial grass/pet toilets (TARGET)",10,IF(N77="Selling pet toys",7,IF(N77="There's an Amazon link, but no target sales.",3,0))))</f>
        <v/>
      </c>
      <c r="P77" s="63">
        <f>H77+J77+L77+M77+O77</f>
        <v/>
      </c>
      <c r="Q77" s="64">
        <f>IF(OR(H77=0,P77&lt;30),"Tier D (Đóng băng)",IF(P77&gt;=85,"Tier S (Kim Cương: 85-100đ)",IF(P77&gt;=70,"Tier A (Vàng: 70-84đ)",IF(P77&gt;=61,"Tier B+ / Cấp A (Hot Lead: 61-69đ)",IF(P77&gt;=50,"Tier B (Bạc: 50-60đ)","Tier C (Đồng: 30-49đ)")))))</f>
        <v/>
      </c>
      <c r="R77" s="6" t="inlineStr">
        <is>
          <t>Trọn gói Take-Home Starter Kit V2/V3 (Cỏ nhân tạo + Khay Potty + Đồ chơi Teething/Snuggle)</t>
        </is>
      </c>
      <c r="S77" s="6" t="inlineStr">
        <is>
          <t>HOT LEAD CẤP A: Gọi Telesale trực tiếp trong ngày + Email cá nhân hóa chào Puppy Kit V2/V3</t>
        </is>
      </c>
    </row>
    <row r="78">
      <c r="A78" s="59" t="n">
        <v>4603</v>
      </c>
      <c r="B78" s="15" t="inlineStr">
        <is>
          <t>Master Of Puppies</t>
        </is>
      </c>
      <c r="C78" s="60" t="inlineStr">
        <is>
          <t>https://www.facebook.com/masterofpuppies.hq</t>
        </is>
      </c>
      <c r="D78" s="9" t="inlineStr">
        <is>
          <t>Cần quét Bio Fanpage</t>
        </is>
      </c>
      <c r="E78" s="59" t="inlineStr">
        <is>
          <t>13/10/2026 05:28:27</t>
        </is>
      </c>
      <c r="F78" s="59" t="inlineStr">
        <is>
          <t>3 giờ trước</t>
        </is>
      </c>
      <c r="G78" s="61" t="n">
        <v>0.12</v>
      </c>
      <c r="H78" s="62" t="n">
        <v>35</v>
      </c>
      <c r="I78" s="9" t="inlineStr">
        <is>
          <t>Dog Breeder / Trại chó chuyên nghiệp (28-30đ)</t>
        </is>
      </c>
      <c r="J78" s="62" t="n">
        <v>30</v>
      </c>
      <c r="K78" s="9" t="inlineStr">
        <is>
          <t>Chưa rõ giống (Cần quét Bio)</t>
        </is>
      </c>
      <c r="L78" s="62" t="n">
        <v>0</v>
      </c>
      <c r="M78" s="62" t="n">
        <v>5</v>
      </c>
      <c r="N78" s="9" t="inlineStr">
        <is>
          <t>Amazon link not found</t>
        </is>
      </c>
      <c r="O78" s="62">
        <f>IF(N78="Selling pet toys + Artificial grass/Pet toilets (TARGET)",15,IF(N78="Selling artificial grass/pet toilets (TARGET)",10,IF(N78="Selling pet toys",7,IF(N78="There's an Amazon link, but no target sales.",3,0))))</f>
        <v/>
      </c>
      <c r="P78" s="63">
        <f>H78+J78+L78+M78+O78</f>
        <v/>
      </c>
      <c r="Q78" s="64">
        <f>IF(OR(H78=0,P78&lt;30),"Tier D (Đóng băng)",IF(P78&gt;=85,"Tier S (Kim Cương: 85-100đ)",IF(P78&gt;=70,"Tier A (Vàng: 70-84đ)",IF(P78&gt;=61,"Tier B+ / Cấp A (Hot Lead: 61-69đ)",IF(P78&gt;=50,"Tier B (Bạc: 50-60đ)","Tier C (Đồng: 30-49đ)")))))</f>
        <v/>
      </c>
      <c r="R78" s="9" t="inlineStr">
        <is>
          <t>Trọn gói Take-Home Starter Kit V2/V3 (Cỏ nhân tạo + Khay Potty + Đồ chơi Teething/Snuggle)</t>
        </is>
      </c>
      <c r="S78" s="9" t="inlineStr">
        <is>
          <t>HOT LEAD CẤP A: Gọi Telesale trực tiếp trong ngày + Email cá nhân hóa chào Puppy Kit V2/V3</t>
        </is>
      </c>
    </row>
    <row r="79">
      <c r="A79" s="53" t="n">
        <v>3881</v>
      </c>
      <c r="B79" s="12" t="inlineStr">
        <is>
          <t>Flushing Kimber Kennels</t>
        </is>
      </c>
      <c r="C79" s="54" t="inlineStr">
        <is>
          <t>https://www.facebook.com/flusingkimberkennels</t>
        </is>
      </c>
      <c r="D79" s="6" t="inlineStr">
        <is>
          <t>Cần quét Bio Fanpage</t>
        </is>
      </c>
      <c r="E79" s="53" t="inlineStr">
        <is>
          <t>13/10/2026 05:18:00</t>
        </is>
      </c>
      <c r="F79" s="53" t="inlineStr">
        <is>
          <t>2 giờ trước</t>
        </is>
      </c>
      <c r="G79" s="55" t="n">
        <v>0.08</v>
      </c>
      <c r="H79" s="56" t="n">
        <v>35</v>
      </c>
      <c r="I79" s="6" t="inlineStr">
        <is>
          <t>Dog Breeder / Trại chó chuyên nghiệp (28-30đ)</t>
        </is>
      </c>
      <c r="J79" s="56" t="n">
        <v>30</v>
      </c>
      <c r="K79" s="6" t="inlineStr">
        <is>
          <t>Chưa rõ giống (Cần quét Bio)</t>
        </is>
      </c>
      <c r="L79" s="56" t="n">
        <v>0</v>
      </c>
      <c r="M79" s="56" t="n">
        <v>5</v>
      </c>
      <c r="N79" s="6" t="inlineStr">
        <is>
          <t>Amazon link not found</t>
        </is>
      </c>
      <c r="O79" s="56">
        <f>IF(N79="Selling pet toys + Artificial grass/Pet toilets (TARGET)",15,IF(N79="Selling artificial grass/pet toilets (TARGET)",10,IF(N79="Selling pet toys",7,IF(N79="There's an Amazon link, but no target sales.",3,0))))</f>
        <v/>
      </c>
      <c r="P79" s="63">
        <f>H79+J79+L79+M79+O79</f>
        <v/>
      </c>
      <c r="Q79" s="64">
        <f>IF(OR(H79=0,P79&lt;30),"Tier D (Đóng băng)",IF(P79&gt;=85,"Tier S (Kim Cương: 85-100đ)",IF(P79&gt;=70,"Tier A (Vàng: 70-84đ)",IF(P79&gt;=61,"Tier B+ / Cấp A (Hot Lead: 61-69đ)",IF(P79&gt;=50,"Tier B (Bạc: 50-60đ)","Tier C (Đồng: 30-49đ)")))))</f>
        <v/>
      </c>
      <c r="R79" s="6" t="inlineStr">
        <is>
          <t>Trọn gói Take-Home Starter Kit V2/V3 (Cỏ nhân tạo + Khay Potty + Đồ chơi Teething/Snuggle)</t>
        </is>
      </c>
      <c r="S79" s="6" t="inlineStr">
        <is>
          <t>HOT LEAD CẤP A: Gọi Telesale trực tiếp trong ngày + Email cá nhân hóa chào Puppy Kit V2/V3</t>
        </is>
      </c>
    </row>
    <row r="80">
      <c r="A80" s="59" t="n">
        <v>1941</v>
      </c>
      <c r="B80" s="15" t="inlineStr">
        <is>
          <t>Kozmic Kennels</t>
        </is>
      </c>
      <c r="C80" s="60" t="inlineStr">
        <is>
          <t>https://www.facebook.com/profile.php?id=100092531616837</t>
        </is>
      </c>
      <c r="D80" s="9" t="inlineStr">
        <is>
          <t>Cần quét Bio Fanpage</t>
        </is>
      </c>
      <c r="E80" s="59" t="inlineStr">
        <is>
          <t>13/10/2026 04:15:45</t>
        </is>
      </c>
      <c r="F80" s="59" t="inlineStr">
        <is>
          <t>8 phút trước</t>
        </is>
      </c>
      <c r="G80" s="61" t="n">
        <v>0.01</v>
      </c>
      <c r="H80" s="62" t="n">
        <v>35</v>
      </c>
      <c r="I80" s="9" t="inlineStr">
        <is>
          <t>Dog Breeder / Trại chó chuyên nghiệp (28-30đ)</t>
        </is>
      </c>
      <c r="J80" s="62" t="n">
        <v>30</v>
      </c>
      <c r="K80" s="9" t="inlineStr">
        <is>
          <t>Chưa rõ giống (Cần quét Bio)</t>
        </is>
      </c>
      <c r="L80" s="62" t="n">
        <v>0</v>
      </c>
      <c r="M80" s="62" t="n">
        <v>5</v>
      </c>
      <c r="N80" s="9" t="inlineStr">
        <is>
          <t>Amazon link not found</t>
        </is>
      </c>
      <c r="O80" s="62">
        <f>IF(N80="Selling pet toys + Artificial grass/Pet toilets (TARGET)",15,IF(N80="Selling artificial grass/pet toilets (TARGET)",10,IF(N80="Selling pet toys",7,IF(N80="There's an Amazon link, but no target sales.",3,0))))</f>
        <v/>
      </c>
      <c r="P80" s="63">
        <f>H80+J80+L80+M80+O80</f>
        <v/>
      </c>
      <c r="Q80" s="64">
        <f>IF(OR(H80=0,P80&lt;30),"Tier D (Đóng băng)",IF(P80&gt;=85,"Tier S (Kim Cương: 85-100đ)",IF(P80&gt;=70,"Tier A (Vàng: 70-84đ)",IF(P80&gt;=61,"Tier B+ / Cấp A (Hot Lead: 61-69đ)",IF(P80&gt;=50,"Tier B (Bạc: 50-60đ)","Tier C (Đồng: 30-49đ)")))))</f>
        <v/>
      </c>
      <c r="R80" s="9" t="inlineStr">
        <is>
          <t>Trọn gói Take-Home Starter Kit V2/V3 (Cỏ nhân tạo + Khay Potty + Đồ chơi Teething/Snuggle)</t>
        </is>
      </c>
      <c r="S80" s="9" t="inlineStr">
        <is>
          <t>HOT LEAD CẤP A: Gọi Telesale trực tiếp trong ngày + Email cá nhân hóa chào Puppy Kit V2/V3</t>
        </is>
      </c>
    </row>
    <row r="81">
      <c r="A81" s="53" t="n">
        <v>4163</v>
      </c>
      <c r="B81" s="12" t="inlineStr">
        <is>
          <t>House of Frenchiez</t>
        </is>
      </c>
      <c r="C81" s="54" t="inlineStr">
        <is>
          <t>https://www.facebook.com/HouseofFrenchiez</t>
        </is>
      </c>
      <c r="D81" s="6" t="inlineStr">
        <is>
          <t>Cần quét Bio Fanpage</t>
        </is>
      </c>
      <c r="E81" s="53" t="inlineStr">
        <is>
          <t>13/10/2026 04:14:29</t>
        </is>
      </c>
      <c r="F81" s="53" t="inlineStr">
        <is>
          <t>4 giờ trước</t>
        </is>
      </c>
      <c r="G81" s="55" t="n">
        <v>0.17</v>
      </c>
      <c r="H81" s="56" t="n">
        <v>32</v>
      </c>
      <c r="I81" s="6" t="inlineStr">
        <is>
          <t>Dog Breeder / Trại chó chuyên nghiệp (28-30đ)</t>
        </is>
      </c>
      <c r="J81" s="56" t="n">
        <v>28</v>
      </c>
      <c r="K81" s="6" t="inlineStr">
        <is>
          <t>French Bulldog</t>
        </is>
      </c>
      <c r="L81" s="56" t="n">
        <v>10</v>
      </c>
      <c r="M81" s="56" t="n">
        <v>0</v>
      </c>
      <c r="N81" s="6" t="inlineStr">
        <is>
          <t>Amazon link not found</t>
        </is>
      </c>
      <c r="O81" s="56">
        <f>IF(N81="Selling pet toys + Artificial grass/Pet toilets (TARGET)",15,IF(N81="Selling artificial grass/pet toilets (TARGET)",10,IF(N81="Selling pet toys",7,IF(N81="There's an Amazon link, but no target sales.",3,0))))</f>
        <v/>
      </c>
      <c r="P81" s="63">
        <f>H81+J81+L81+M81+O81</f>
        <v/>
      </c>
      <c r="Q81" s="64">
        <f>IF(OR(H81=0,P81&lt;30),"Tier D (Đóng băng)",IF(P81&gt;=85,"Tier S (Kim Cương: 85-100đ)",IF(P81&gt;=70,"Tier A (Vàng: 70-84đ)",IF(P81&gt;=61,"Tier B+ / Cấp A (Hot Lead: 61-69đ)",IF(P81&gt;=50,"Tier B (Bạc: 50-60đ)","Tier C (Đồng: 30-49đ)")))))</f>
        <v/>
      </c>
      <c r="R81" s="6" t="inlineStr">
        <is>
          <t>Trọn gói Take-Home Starter Kit V2/V3 (Cỏ nhân tạo + Khay Potty + Đồ chơi Teething/Snuggle)</t>
        </is>
      </c>
      <c r="S81" s="6" t="inlineStr">
        <is>
          <t>HOT LEAD CẤP A: Gọi Telesale trực tiếp trong ngày + Email cá nhân hóa chào Puppy Kit V2/V3</t>
        </is>
      </c>
    </row>
    <row r="82">
      <c r="A82" s="59" t="n">
        <v>2660</v>
      </c>
      <c r="B82" s="15" t="inlineStr">
        <is>
          <t>Puppies World</t>
        </is>
      </c>
      <c r="C82" s="60" t="inlineStr">
        <is>
          <t>https://www.facebook.com/PetWorld111</t>
        </is>
      </c>
      <c r="D82" s="9" t="inlineStr">
        <is>
          <t>Cần quét Bio Fanpage</t>
        </is>
      </c>
      <c r="E82" s="59" t="inlineStr">
        <is>
          <t>13/10/2026 03:30:02</t>
        </is>
      </c>
      <c r="F82" s="59" t="inlineStr">
        <is>
          <t>2 giờ trước</t>
        </is>
      </c>
      <c r="G82" s="61" t="n">
        <v>0.08</v>
      </c>
      <c r="H82" s="62" t="n">
        <v>35</v>
      </c>
      <c r="I82" s="9" t="inlineStr">
        <is>
          <t>Dog Breeder / Trại chó chuyên nghiệp (28-30đ)</t>
        </is>
      </c>
      <c r="J82" s="62" t="n">
        <v>30</v>
      </c>
      <c r="K82" s="9" t="inlineStr">
        <is>
          <t>Chưa rõ giống (Cần quét Bio)</t>
        </is>
      </c>
      <c r="L82" s="62" t="n">
        <v>0</v>
      </c>
      <c r="M82" s="62" t="n">
        <v>5</v>
      </c>
      <c r="N82" s="9" t="inlineStr">
        <is>
          <t>Amazon link not found</t>
        </is>
      </c>
      <c r="O82" s="62">
        <f>IF(N82="Selling pet toys + Artificial grass/Pet toilets (TARGET)",15,IF(N82="Selling artificial grass/pet toilets (TARGET)",10,IF(N82="Selling pet toys",7,IF(N82="There's an Amazon link, but no target sales.",3,0))))</f>
        <v/>
      </c>
      <c r="P82" s="63">
        <f>H82+J82+L82+M82+O82</f>
        <v/>
      </c>
      <c r="Q82" s="64">
        <f>IF(OR(H82=0,P82&lt;30),"Tier D (Đóng băng)",IF(P82&gt;=85,"Tier S (Kim Cương: 85-100đ)",IF(P82&gt;=70,"Tier A (Vàng: 70-84đ)",IF(P82&gt;=61,"Tier B+ / Cấp A (Hot Lead: 61-69đ)",IF(P82&gt;=50,"Tier B (Bạc: 50-60đ)","Tier C (Đồng: 30-49đ)")))))</f>
        <v/>
      </c>
      <c r="R82" s="9" t="inlineStr">
        <is>
          <t>Trọn gói Take-Home Starter Kit V2/V3 (Cỏ nhân tạo + Khay Potty + Đồ chơi Teething/Snuggle)</t>
        </is>
      </c>
      <c r="S82" s="9" t="inlineStr">
        <is>
          <t>HOT LEAD CẤP A: Gọi Telesale trực tiếp trong ngày + Email cá nhân hóa chào Puppy Kit V2/V3</t>
        </is>
      </c>
    </row>
    <row r="83">
      <c r="A83" s="53" t="n">
        <v>1678</v>
      </c>
      <c r="B83" s="12" t="inlineStr">
        <is>
          <t>Honey Mountain Kennels</t>
        </is>
      </c>
      <c r="C83" s="54" t="inlineStr">
        <is>
          <t>https://www.facebook.com/HoneyMountainKennels</t>
        </is>
      </c>
      <c r="D83" s="6" t="inlineStr">
        <is>
          <t>Cần quét Bio Fanpage</t>
        </is>
      </c>
      <c r="E83" s="53" t="inlineStr">
        <is>
          <t>13/10/2026 03:17:01</t>
        </is>
      </c>
      <c r="F83" s="53" t="inlineStr">
        <is>
          <t>39 phút trước</t>
        </is>
      </c>
      <c r="G83" s="55" t="n">
        <v>0.03</v>
      </c>
      <c r="H83" s="56" t="n">
        <v>35</v>
      </c>
      <c r="I83" s="6" t="inlineStr">
        <is>
          <t>Dog Breeder / Trại chó chuyên nghiệp (28-30đ)</t>
        </is>
      </c>
      <c r="J83" s="56" t="n">
        <v>30</v>
      </c>
      <c r="K83" s="6" t="inlineStr">
        <is>
          <t>Chưa rõ giống (Cần quét Bio)</t>
        </is>
      </c>
      <c r="L83" s="56" t="n">
        <v>0</v>
      </c>
      <c r="M83" s="56" t="n">
        <v>5</v>
      </c>
      <c r="N83" s="6" t="inlineStr">
        <is>
          <t>Amazon link not found</t>
        </is>
      </c>
      <c r="O83" s="56">
        <f>IF(N83="Selling pet toys + Artificial grass/Pet toilets (TARGET)",15,IF(N83="Selling artificial grass/pet toilets (TARGET)",10,IF(N83="Selling pet toys",7,IF(N83="There's an Amazon link, but no target sales.",3,0))))</f>
        <v/>
      </c>
      <c r="P83" s="63">
        <f>H83+J83+L83+M83+O83</f>
        <v/>
      </c>
      <c r="Q83" s="64">
        <f>IF(OR(H83=0,P83&lt;30),"Tier D (Đóng băng)",IF(P83&gt;=85,"Tier S (Kim Cương: 85-100đ)",IF(P83&gt;=70,"Tier A (Vàng: 70-84đ)",IF(P83&gt;=61,"Tier B+ / Cấp A (Hot Lead: 61-69đ)",IF(P83&gt;=50,"Tier B (Bạc: 50-60đ)","Tier C (Đồng: 30-49đ)")))))</f>
        <v/>
      </c>
      <c r="R83" s="6" t="inlineStr">
        <is>
          <t>Trọn gói Take-Home Starter Kit V2/V3 (Cỏ nhân tạo + Khay Potty + Đồ chơi Teething/Snuggle)</t>
        </is>
      </c>
      <c r="S83" s="6" t="inlineStr">
        <is>
          <t>HOT LEAD CẤP A: Gọi Telesale trực tiếp trong ngày + Email cá nhân hóa chào Puppy Kit V2/V3</t>
        </is>
      </c>
    </row>
    <row r="84">
      <c r="A84" s="59" t="n">
        <v>2218</v>
      </c>
      <c r="B84" s="15" t="inlineStr">
        <is>
          <t>Mountain Breeze Kennels</t>
        </is>
      </c>
      <c r="C84" s="60" t="inlineStr">
        <is>
          <t>https://www.facebook.com/profile.php?id=61552182017852</t>
        </is>
      </c>
      <c r="D84" s="9" t="inlineStr">
        <is>
          <t>Cần quét Bio Fanpage</t>
        </is>
      </c>
      <c r="E84" s="59" t="inlineStr">
        <is>
          <t>13/10/2026 03:16:38</t>
        </is>
      </c>
      <c r="F84" s="59" t="inlineStr">
        <is>
          <t>1 giờ trước</t>
        </is>
      </c>
      <c r="G84" s="61" t="n">
        <v>0.04</v>
      </c>
      <c r="H84" s="62" t="n">
        <v>35</v>
      </c>
      <c r="I84" s="9" t="inlineStr">
        <is>
          <t>Dog Breeder / Trại chó chuyên nghiệp (28-30đ)</t>
        </is>
      </c>
      <c r="J84" s="62" t="n">
        <v>30</v>
      </c>
      <c r="K84" s="9" t="inlineStr">
        <is>
          <t>Chưa rõ giống (Cần quét Bio)</t>
        </is>
      </c>
      <c r="L84" s="62" t="n">
        <v>0</v>
      </c>
      <c r="M84" s="62" t="n">
        <v>5</v>
      </c>
      <c r="N84" s="9" t="inlineStr">
        <is>
          <t>Amazon link not found</t>
        </is>
      </c>
      <c r="O84" s="62">
        <f>IF(N84="Selling pet toys + Artificial grass/Pet toilets (TARGET)",15,IF(N84="Selling artificial grass/pet toilets (TARGET)",10,IF(N84="Selling pet toys",7,IF(N84="There's an Amazon link, but no target sales.",3,0))))</f>
        <v/>
      </c>
      <c r="P84" s="63">
        <f>H84+J84+L84+M84+O84</f>
        <v/>
      </c>
      <c r="Q84" s="64">
        <f>IF(OR(H84=0,P84&lt;30),"Tier D (Đóng băng)",IF(P84&gt;=85,"Tier S (Kim Cương: 85-100đ)",IF(P84&gt;=70,"Tier A (Vàng: 70-84đ)",IF(P84&gt;=61,"Tier B+ / Cấp A (Hot Lead: 61-69đ)",IF(P84&gt;=50,"Tier B (Bạc: 50-60đ)","Tier C (Đồng: 30-49đ)")))))</f>
        <v/>
      </c>
      <c r="R84" s="9" t="inlineStr">
        <is>
          <t>Trọn gói Take-Home Starter Kit V2/V3 (Cỏ nhân tạo + Khay Potty + Đồ chơi Teething/Snuggle)</t>
        </is>
      </c>
      <c r="S84" s="9" t="inlineStr">
        <is>
          <t>HOT LEAD CẤP A: Gọi Telesale trực tiếp trong ngày + Email cá nhân hóa chào Puppy Kit V2/V3</t>
        </is>
      </c>
    </row>
    <row r="85">
      <c r="A85" s="53" t="n">
        <v>2033</v>
      </c>
      <c r="B85" s="12" t="inlineStr">
        <is>
          <t>Little Freak Kennel</t>
        </is>
      </c>
      <c r="C85" s="54" t="inlineStr">
        <is>
          <t>https://www.facebook.com/pauline.victor.7</t>
        </is>
      </c>
      <c r="D85" s="6" t="inlineStr">
        <is>
          <t>Cần quét Bio Fanpage</t>
        </is>
      </c>
      <c r="E85" s="53" t="inlineStr">
        <is>
          <t>13/10/2026 02:30:51</t>
        </is>
      </c>
      <c r="F85" s="53" t="inlineStr">
        <is>
          <t>2 giờ trước</t>
        </is>
      </c>
      <c r="G85" s="55" t="n">
        <v>0.08</v>
      </c>
      <c r="H85" s="56" t="n">
        <v>35</v>
      </c>
      <c r="I85" s="6" t="inlineStr">
        <is>
          <t>Dog Breeder / Trại chó chuyên nghiệp (28-30đ)</t>
        </is>
      </c>
      <c r="J85" s="56" t="n">
        <v>30</v>
      </c>
      <c r="K85" s="6" t="inlineStr">
        <is>
          <t>Chưa rõ giống (Cần quét Bio)</t>
        </is>
      </c>
      <c r="L85" s="56" t="n">
        <v>0</v>
      </c>
      <c r="M85" s="56" t="n">
        <v>5</v>
      </c>
      <c r="N85" s="6" t="inlineStr">
        <is>
          <t>Amazon link not found</t>
        </is>
      </c>
      <c r="O85" s="56">
        <f>IF(N85="Selling pet toys + Artificial grass/Pet toilets (TARGET)",15,IF(N85="Selling artificial grass/pet toilets (TARGET)",10,IF(N85="Selling pet toys",7,IF(N85="There's an Amazon link, but no target sales.",3,0))))</f>
        <v/>
      </c>
      <c r="P85" s="63">
        <f>H85+J85+L85+M85+O85</f>
        <v/>
      </c>
      <c r="Q85" s="64">
        <f>IF(OR(H85=0,P85&lt;30),"Tier D (Đóng băng)",IF(P85&gt;=85,"Tier S (Kim Cương: 85-100đ)",IF(P85&gt;=70,"Tier A (Vàng: 70-84đ)",IF(P85&gt;=61,"Tier B+ / Cấp A (Hot Lead: 61-69đ)",IF(P85&gt;=50,"Tier B (Bạc: 50-60đ)","Tier C (Đồng: 30-49đ)")))))</f>
        <v/>
      </c>
      <c r="R85" s="6" t="inlineStr">
        <is>
          <t>Trọn gói Take-Home Starter Kit V2/V3 (Cỏ nhân tạo + Khay Potty + Đồ chơi Teething/Snuggle)</t>
        </is>
      </c>
      <c r="S85" s="6" t="inlineStr">
        <is>
          <t>HOT LEAD CẤP A: Gọi Telesale trực tiếp trong ngày + Email cá nhân hóa chào Puppy Kit V2/V3</t>
        </is>
      </c>
    </row>
    <row r="86">
      <c r="A86" s="59" t="n">
        <v>863</v>
      </c>
      <c r="B86" s="15" t="inlineStr">
        <is>
          <t>Cedar Grove Kennels</t>
        </is>
      </c>
      <c r="C86" s="60" t="inlineStr">
        <is>
          <t>https://www.facebook.com/CGGSP</t>
        </is>
      </c>
      <c r="D86" s="9" t="inlineStr">
        <is>
          <t>Cần quét Bio Fanpage</t>
        </is>
      </c>
      <c r="E86" s="59" t="inlineStr">
        <is>
          <t>13/10/2026 02:00:07</t>
        </is>
      </c>
      <c r="F86" s="59" t="inlineStr">
        <is>
          <t>28 phút trước</t>
        </is>
      </c>
      <c r="G86" s="61" t="n">
        <v>0.02</v>
      </c>
      <c r="H86" s="62" t="n">
        <v>35</v>
      </c>
      <c r="I86" s="9" t="inlineStr">
        <is>
          <t>Dog Breeder / Trại chó chuyên nghiệp (28-30đ)</t>
        </is>
      </c>
      <c r="J86" s="62" t="n">
        <v>30</v>
      </c>
      <c r="K86" s="9" t="inlineStr">
        <is>
          <t>Chưa rõ giống (Cần quét Bio)</t>
        </is>
      </c>
      <c r="L86" s="62" t="n">
        <v>0</v>
      </c>
      <c r="M86" s="62" t="n">
        <v>5</v>
      </c>
      <c r="N86" s="9" t="inlineStr">
        <is>
          <t>Amazon link not found</t>
        </is>
      </c>
      <c r="O86" s="62">
        <f>IF(N86="Selling pet toys + Artificial grass/Pet toilets (TARGET)",15,IF(N86="Selling artificial grass/pet toilets (TARGET)",10,IF(N86="Selling pet toys",7,IF(N86="There's an Amazon link, but no target sales.",3,0))))</f>
        <v/>
      </c>
      <c r="P86" s="63">
        <f>H86+J86+L86+M86+O86</f>
        <v/>
      </c>
      <c r="Q86" s="64">
        <f>IF(OR(H86=0,P86&lt;30),"Tier D (Đóng băng)",IF(P86&gt;=85,"Tier S (Kim Cương: 85-100đ)",IF(P86&gt;=70,"Tier A (Vàng: 70-84đ)",IF(P86&gt;=61,"Tier B+ / Cấp A (Hot Lead: 61-69đ)",IF(P86&gt;=50,"Tier B (Bạc: 50-60đ)","Tier C (Đồng: 30-49đ)")))))</f>
        <v/>
      </c>
      <c r="R86" s="9" t="inlineStr">
        <is>
          <t>Trọn gói Take-Home Starter Kit V2/V3 (Cỏ nhân tạo + Khay Potty + Đồ chơi Teething/Snuggle)</t>
        </is>
      </c>
      <c r="S86" s="9" t="inlineStr">
        <is>
          <t>HOT LEAD CẤP A: Gọi Telesale trực tiếp trong ngày + Email cá nhân hóa chào Puppy Kit V2/V3</t>
        </is>
      </c>
    </row>
    <row r="87">
      <c r="A87" s="53" t="n">
        <v>977</v>
      </c>
      <c r="B87" s="12" t="inlineStr">
        <is>
          <t>Curly Oak Kennels</t>
        </is>
      </c>
      <c r="C87" s="54" t="inlineStr">
        <is>
          <t>https://www.facebook.com/CurlyOakKennels</t>
        </is>
      </c>
      <c r="D87" s="6" t="inlineStr">
        <is>
          <t>Cần quét Bio Fanpage</t>
        </is>
      </c>
      <c r="E87" s="53" t="inlineStr">
        <is>
          <t>13/10/2026 01:20:03</t>
        </is>
      </c>
      <c r="F87" s="53" t="inlineStr">
        <is>
          <t>1 giờ trước</t>
        </is>
      </c>
      <c r="G87" s="55" t="n">
        <v>0.04</v>
      </c>
      <c r="H87" s="56" t="n">
        <v>35</v>
      </c>
      <c r="I87" s="6" t="inlineStr">
        <is>
          <t>Dog Breeder / Trại chó chuyên nghiệp (28-30đ)</t>
        </is>
      </c>
      <c r="J87" s="56" t="n">
        <v>30</v>
      </c>
      <c r="K87" s="6" t="inlineStr">
        <is>
          <t>Chưa rõ giống (Cần quét Bio)</t>
        </is>
      </c>
      <c r="L87" s="56" t="n">
        <v>0</v>
      </c>
      <c r="M87" s="56" t="n">
        <v>5</v>
      </c>
      <c r="N87" s="6" t="inlineStr">
        <is>
          <t>Amazon link not found</t>
        </is>
      </c>
      <c r="O87" s="56">
        <f>IF(N87="Selling pet toys + Artificial grass/Pet toilets (TARGET)",15,IF(N87="Selling artificial grass/pet toilets (TARGET)",10,IF(N87="Selling pet toys",7,IF(N87="There's an Amazon link, but no target sales.",3,0))))</f>
        <v/>
      </c>
      <c r="P87" s="63">
        <f>H87+J87+L87+M87+O87</f>
        <v/>
      </c>
      <c r="Q87" s="64">
        <f>IF(OR(H87=0,P87&lt;30),"Tier D (Đóng băng)",IF(P87&gt;=85,"Tier S (Kim Cương: 85-100đ)",IF(P87&gt;=70,"Tier A (Vàng: 70-84đ)",IF(P87&gt;=61,"Tier B+ / Cấp A (Hot Lead: 61-69đ)",IF(P87&gt;=50,"Tier B (Bạc: 50-60đ)","Tier C (Đồng: 30-49đ)")))))</f>
        <v/>
      </c>
      <c r="R87" s="6" t="inlineStr">
        <is>
          <t>Trọn gói Take-Home Starter Kit V2/V3 (Cỏ nhân tạo + Khay Potty + Đồ chơi Teething/Snuggle)</t>
        </is>
      </c>
      <c r="S87" s="6" t="inlineStr">
        <is>
          <t>HOT LEAD CẤP A: Gọi Telesale trực tiếp trong ngày + Email cá nhân hóa chào Puppy Kit V2/V3</t>
        </is>
      </c>
    </row>
    <row r="88">
      <c r="A88" s="59" t="n">
        <v>3057</v>
      </c>
      <c r="B88" s="15" t="inlineStr">
        <is>
          <t>Tank Tha Bulldog</t>
        </is>
      </c>
      <c r="C88" s="60" t="inlineStr">
        <is>
          <t>https://www.facebook.com/profile.php?id=100091660117056</t>
        </is>
      </c>
      <c r="D88" s="9" t="inlineStr">
        <is>
          <t>Cần quét Bio Fanpage</t>
        </is>
      </c>
      <c r="E88" s="59" t="inlineStr">
        <is>
          <t>13/10/2026 00:34:20</t>
        </is>
      </c>
      <c r="F88" s="59" t="inlineStr">
        <is>
          <t>5 giờ trước</t>
        </is>
      </c>
      <c r="G88" s="61" t="n">
        <v>0.21</v>
      </c>
      <c r="H88" s="62" t="n">
        <v>32</v>
      </c>
      <c r="I88" s="9" t="inlineStr">
        <is>
          <t>Dog Breeder / Trại nhân giống (28-30đ)</t>
        </is>
      </c>
      <c r="J88" s="62" t="n">
        <v>28</v>
      </c>
      <c r="K88" s="9" t="inlineStr">
        <is>
          <t>English Bulldog</t>
        </is>
      </c>
      <c r="L88" s="62" t="n">
        <v>10</v>
      </c>
      <c r="M88" s="62" t="n">
        <v>0</v>
      </c>
      <c r="N88" s="9" t="inlineStr">
        <is>
          <t>Amazon link not found</t>
        </is>
      </c>
      <c r="O88" s="62">
        <f>IF(N88="Selling pet toys + Artificial grass/Pet toilets (TARGET)",15,IF(N88="Selling artificial grass/pet toilets (TARGET)",10,IF(N88="Selling pet toys",7,IF(N88="There's an Amazon link, but no target sales.",3,0))))</f>
        <v/>
      </c>
      <c r="P88" s="63">
        <f>H88+J88+L88+M88+O88</f>
        <v/>
      </c>
      <c r="Q88" s="64">
        <f>IF(OR(H88=0,P88&lt;30),"Tier D (Đóng băng)",IF(P88&gt;=85,"Tier S (Kim Cương: 85-100đ)",IF(P88&gt;=70,"Tier A (Vàng: 70-84đ)",IF(P88&gt;=61,"Tier B+ / Cấp A (Hot Lead: 61-69đ)",IF(P88&gt;=50,"Tier B (Bạc: 50-60đ)","Tier C (Đồng: 30-49đ)")))))</f>
        <v/>
      </c>
      <c r="R88" s="9" t="inlineStr">
        <is>
          <t>Trọn gói Take-Home Starter Kit V2/V3 (Cỏ nhân tạo + Khay Potty + Đồ chơi cún con)</t>
        </is>
      </c>
      <c r="S88" s="9" t="inlineStr">
        <is>
          <t>HOT LEAD CẤP A: Gọi Telesale trực tiếp trong ngày + Email cá nhân hóa chào Puppy Kit V2/V3</t>
        </is>
      </c>
    </row>
    <row r="89">
      <c r="A89" s="53" t="n">
        <v>259</v>
      </c>
      <c r="B89" s="12" t="inlineStr">
        <is>
          <t>Ruff Land Performance Kennels</t>
        </is>
      </c>
      <c r="C89" s="54" t="inlineStr">
        <is>
          <t>https://www.facebook.com/RuffLandKennels</t>
        </is>
      </c>
      <c r="D89" s="6" t="inlineStr">
        <is>
          <t>Cần quét Bio Fanpage</t>
        </is>
      </c>
      <c r="E89" s="53" t="inlineStr">
        <is>
          <t>13/10/2026 00:30:38</t>
        </is>
      </c>
      <c r="F89" s="53" t="inlineStr">
        <is>
          <t>52 phút trước</t>
        </is>
      </c>
      <c r="G89" s="55" t="n">
        <v>0.04</v>
      </c>
      <c r="H89" s="56" t="n">
        <v>35</v>
      </c>
      <c r="I89" s="6" t="inlineStr">
        <is>
          <t>Dog Breeder / Trại chó chuyên nghiệp (28-30đ)</t>
        </is>
      </c>
      <c r="J89" s="56" t="n">
        <v>30</v>
      </c>
      <c r="K89" s="6" t="inlineStr">
        <is>
          <t>Chưa rõ giống (Cần quét Bio)</t>
        </is>
      </c>
      <c r="L89" s="56" t="n">
        <v>0</v>
      </c>
      <c r="M89" s="56" t="n">
        <v>5</v>
      </c>
      <c r="N89" s="6" t="inlineStr">
        <is>
          <t>Amazon link not found</t>
        </is>
      </c>
      <c r="O89" s="56">
        <f>IF(N89="Selling pet toys + Artificial grass/Pet toilets (TARGET)",15,IF(N89="Selling artificial grass/pet toilets (TARGET)",10,IF(N89="Selling pet toys",7,IF(N89="There's an Amazon link, but no target sales.",3,0))))</f>
        <v/>
      </c>
      <c r="P89" s="63">
        <f>H89+J89+L89+M89+O89</f>
        <v/>
      </c>
      <c r="Q89" s="64">
        <f>IF(OR(H89=0,P89&lt;30),"Tier D (Đóng băng)",IF(P89&gt;=85,"Tier S (Kim Cương: 85-100đ)",IF(P89&gt;=70,"Tier A (Vàng: 70-84đ)",IF(P89&gt;=61,"Tier B+ / Cấp A (Hot Lead: 61-69đ)",IF(P89&gt;=50,"Tier B (Bạc: 50-60đ)","Tier C (Đồng: 30-49đ)")))))</f>
        <v/>
      </c>
      <c r="R89" s="6" t="inlineStr">
        <is>
          <t>Trọn gói Take-Home Starter Kit V2/V3 (Cỏ nhân tạo + Khay Potty + Đồ chơi Teething/Snuggle)</t>
        </is>
      </c>
      <c r="S89" s="6" t="inlineStr">
        <is>
          <t>HOT LEAD CẤP A: Gọi Telesale trực tiếp trong ngày + Email cá nhân hóa chào Puppy Kit V2/V3</t>
        </is>
      </c>
    </row>
    <row r="90">
      <c r="A90" s="59" t="n">
        <v>1592</v>
      </c>
      <c r="B90" s="15" t="inlineStr">
        <is>
          <t>Hall Of Fame Bullies</t>
        </is>
      </c>
      <c r="C90" s="60" t="inlineStr">
        <is>
          <t>https://www.facebook.com/HALLEDENZEL</t>
        </is>
      </c>
      <c r="D90" s="9" t="inlineStr">
        <is>
          <t>Cần quét Bio Fanpage</t>
        </is>
      </c>
      <c r="E90" s="59" t="inlineStr">
        <is>
          <t>12/10/2026 23:41:41</t>
        </is>
      </c>
      <c r="F90" s="59" t="inlineStr">
        <is>
          <t>4 giờ trước</t>
        </is>
      </c>
      <c r="G90" s="61" t="n">
        <v>0.17</v>
      </c>
      <c r="H90" s="62" t="n">
        <v>32</v>
      </c>
      <c r="I90" s="9" t="inlineStr">
        <is>
          <t>Dog Breeder / Trại chó chuyên nghiệp (28-30đ)</t>
        </is>
      </c>
      <c r="J90" s="62" t="n">
        <v>28</v>
      </c>
      <c r="K90" s="9" t="inlineStr">
        <is>
          <t>American Bully / Bully</t>
        </is>
      </c>
      <c r="L90" s="62" t="n">
        <v>10</v>
      </c>
      <c r="M90" s="62" t="n">
        <v>0</v>
      </c>
      <c r="N90" s="9" t="inlineStr">
        <is>
          <t>Amazon link not found</t>
        </is>
      </c>
      <c r="O90" s="62">
        <f>IF(N90="Selling pet toys + Artificial grass/Pet toilets (TARGET)",15,IF(N90="Selling artificial grass/pet toilets (TARGET)",10,IF(N90="Selling pet toys",7,IF(N90="There's an Amazon link, but no target sales.",3,0))))</f>
        <v/>
      </c>
      <c r="P90" s="63">
        <f>H90+J90+L90+M90+O90</f>
        <v/>
      </c>
      <c r="Q90" s="64">
        <f>IF(OR(H90=0,P90&lt;30),"Tier D (Đóng băng)",IF(P90&gt;=85,"Tier S (Kim Cương: 85-100đ)",IF(P90&gt;=70,"Tier A (Vàng: 70-84đ)",IF(P90&gt;=61,"Tier B+ / Cấp A (Hot Lead: 61-69đ)",IF(P90&gt;=50,"Tier B (Bạc: 50-60đ)","Tier C (Đồng: 30-49đ)")))))</f>
        <v/>
      </c>
      <c r="R90" s="9" t="inlineStr">
        <is>
          <t>Trọn gói Take-Home Starter Kit V2/V3 (Cỏ nhân tạo + Khay Potty + Đồ chơi Teething/Snuggle)</t>
        </is>
      </c>
      <c r="S90" s="9" t="inlineStr">
        <is>
          <t>HOT LEAD CẤP A: Gọi Telesale trực tiếp trong ngày + Email cá nhân hóa chào Puppy Kit V2/V3</t>
        </is>
      </c>
    </row>
    <row r="91">
      <c r="A91" s="53" t="n">
        <v>3201</v>
      </c>
      <c r="B91" s="12" t="inlineStr">
        <is>
          <t>Toedters Isle of Frenchies</t>
        </is>
      </c>
      <c r="C91" s="54" t="inlineStr">
        <is>
          <t>https://www.facebook.com/toedtersisleoffrenchies2.0</t>
        </is>
      </c>
      <c r="D91" s="6" t="inlineStr">
        <is>
          <t>Cần quét Bio Fanpage</t>
        </is>
      </c>
      <c r="E91" s="53" t="inlineStr">
        <is>
          <t>12/10/2026 23:41:38</t>
        </is>
      </c>
      <c r="F91" s="53" t="inlineStr">
        <is>
          <t>6 giờ trước</t>
        </is>
      </c>
      <c r="G91" s="55" t="n">
        <v>0.25</v>
      </c>
      <c r="H91" s="56" t="n">
        <v>32</v>
      </c>
      <c r="I91" s="6" t="inlineStr">
        <is>
          <t>Dog Breeder / Trại chó chuyên nghiệp (28-30đ)</t>
        </is>
      </c>
      <c r="J91" s="56" t="n">
        <v>28</v>
      </c>
      <c r="K91" s="6" t="inlineStr">
        <is>
          <t>French Bulldog</t>
        </is>
      </c>
      <c r="L91" s="56" t="n">
        <v>10</v>
      </c>
      <c r="M91" s="56" t="n">
        <v>0</v>
      </c>
      <c r="N91" s="6" t="inlineStr">
        <is>
          <t>Amazon link not found</t>
        </is>
      </c>
      <c r="O91" s="56">
        <f>IF(N91="Selling pet toys + Artificial grass/Pet toilets (TARGET)",15,IF(N91="Selling artificial grass/pet toilets (TARGET)",10,IF(N91="Selling pet toys",7,IF(N91="There's an Amazon link, but no target sales.",3,0))))</f>
        <v/>
      </c>
      <c r="P91" s="63">
        <f>H91+J91+L91+M91+O91</f>
        <v/>
      </c>
      <c r="Q91" s="64">
        <f>IF(OR(H91=0,P91&lt;30),"Tier D (Đóng băng)",IF(P91&gt;=85,"Tier S (Kim Cương: 85-100đ)",IF(P91&gt;=70,"Tier A (Vàng: 70-84đ)",IF(P91&gt;=61,"Tier B+ / Cấp A (Hot Lead: 61-69đ)",IF(P91&gt;=50,"Tier B (Bạc: 50-60đ)","Tier C (Đồng: 30-49đ)")))))</f>
        <v/>
      </c>
      <c r="R91" s="6" t="inlineStr">
        <is>
          <t>Trọn gói Take-Home Starter Kit V2/V3 (Cỏ nhân tạo + Khay Potty + Đồ chơi Teething/Snuggle)</t>
        </is>
      </c>
      <c r="S91" s="6" t="inlineStr">
        <is>
          <t>HOT LEAD CẤP A: Gọi Telesale trực tiếp trong ngày + Email cá nhân hóa chào Puppy Kit V2/V3</t>
        </is>
      </c>
    </row>
    <row r="92">
      <c r="A92" s="59" t="n">
        <v>344</v>
      </c>
      <c r="B92" s="15" t="inlineStr">
        <is>
          <t>Adorable Puppies</t>
        </is>
      </c>
      <c r="C92" s="60" t="inlineStr">
        <is>
          <t>https://www.facebook.com/profile.php?id=61556753282237</t>
        </is>
      </c>
      <c r="D92" s="9" t="inlineStr">
        <is>
          <t>Cần quét Bio Fanpage</t>
        </is>
      </c>
      <c r="E92" s="59" t="inlineStr">
        <is>
          <t>12/10/2026 22:03:56</t>
        </is>
      </c>
      <c r="F92" s="59" t="inlineStr">
        <is>
          <t>3 giờ trước</t>
        </is>
      </c>
      <c r="G92" s="61" t="n">
        <v>0.12</v>
      </c>
      <c r="H92" s="62" t="n">
        <v>35</v>
      </c>
      <c r="I92" s="9" t="inlineStr">
        <is>
          <t>Dog Breeder / Trại chó chuyên nghiệp (28-30đ)</t>
        </is>
      </c>
      <c r="J92" s="62" t="n">
        <v>30</v>
      </c>
      <c r="K92" s="9" t="inlineStr">
        <is>
          <t>Chưa rõ giống (Cần quét Bio)</t>
        </is>
      </c>
      <c r="L92" s="62" t="n">
        <v>0</v>
      </c>
      <c r="M92" s="62" t="n">
        <v>5</v>
      </c>
      <c r="N92" s="9" t="inlineStr">
        <is>
          <t>Amazon link not found</t>
        </is>
      </c>
      <c r="O92" s="62">
        <f>IF(N92="Selling pet toys + Artificial grass/Pet toilets (TARGET)",15,IF(N92="Selling artificial grass/pet toilets (TARGET)",10,IF(N92="Selling pet toys",7,IF(N92="There's an Amazon link, but no target sales.",3,0))))</f>
        <v/>
      </c>
      <c r="P92" s="63">
        <f>H92+J92+L92+M92+O92</f>
        <v/>
      </c>
      <c r="Q92" s="64">
        <f>IF(OR(H92=0,P92&lt;30),"Tier D (Đóng băng)",IF(P92&gt;=85,"Tier S (Kim Cương: 85-100đ)",IF(P92&gt;=70,"Tier A (Vàng: 70-84đ)",IF(P92&gt;=61,"Tier B+ / Cấp A (Hot Lead: 61-69đ)",IF(P92&gt;=50,"Tier B (Bạc: 50-60đ)","Tier C (Đồng: 30-49đ)")))))</f>
        <v/>
      </c>
      <c r="R92" s="9" t="inlineStr">
        <is>
          <t>Trọn gói Take-Home Starter Kit V2/V3 (Cỏ nhân tạo + Khay Potty + Đồ chơi Teething/Snuggle)</t>
        </is>
      </c>
      <c r="S92" s="9" t="inlineStr">
        <is>
          <t>HOT LEAD CẤP A: Gọi Telesale trực tiếp trong ngày + Email cá nhân hóa chào Puppy Kit V2/V3</t>
        </is>
      </c>
    </row>
    <row r="93">
      <c r="A93" s="53" t="n">
        <v>2669</v>
      </c>
      <c r="B93" s="12" t="inlineStr">
        <is>
          <t>Puppyspot4chihuahua.com  (Blue dream Chihuahuas)</t>
        </is>
      </c>
      <c r="C93" s="54" t="inlineStr">
        <is>
          <t>https://www.facebook.com/tinylasvegaschihuahua</t>
        </is>
      </c>
      <c r="D93" s="6" t="inlineStr">
        <is>
          <t>https://puppyspot4chihuahua.com</t>
        </is>
      </c>
      <c r="E93" s="53" t="inlineStr">
        <is>
          <t>12/10/2026 21:46:57</t>
        </is>
      </c>
      <c r="F93" s="53" t="inlineStr">
        <is>
          <t>7 giờ trước</t>
        </is>
      </c>
      <c r="G93" s="55" t="n">
        <v>0.29</v>
      </c>
      <c r="H93" s="56" t="n">
        <v>32</v>
      </c>
      <c r="I93" s="6" t="inlineStr">
        <is>
          <t>Dog Breeder / Trại chó chuyên nghiệp (28-30đ)</t>
        </is>
      </c>
      <c r="J93" s="56" t="n">
        <v>28</v>
      </c>
      <c r="K93" s="6" t="inlineStr">
        <is>
          <t>Chihuahua / Toy Companion</t>
        </is>
      </c>
      <c r="L93" s="56" t="n">
        <v>5</v>
      </c>
      <c r="M93" s="56" t="n">
        <v>5</v>
      </c>
      <c r="N93" s="6" t="inlineStr">
        <is>
          <t>Amazon link not found</t>
        </is>
      </c>
      <c r="O93" s="56">
        <f>IF(N93="Selling pet toys + Artificial grass/Pet toilets (TARGET)",15,IF(N93="Selling artificial grass/pet toilets (TARGET)",10,IF(N93="Selling pet toys",7,IF(N93="There's an Amazon link, but no target sales.",3,0))))</f>
        <v/>
      </c>
      <c r="P93" s="63">
        <f>H93+J93+L93+M93+O93</f>
        <v/>
      </c>
      <c r="Q93" s="64">
        <f>IF(OR(H93=0,P93&lt;30),"Tier D (Đóng băng)",IF(P93&gt;=85,"Tier S (Kim Cương: 85-100đ)",IF(P93&gt;=70,"Tier A (Vàng: 70-84đ)",IF(P93&gt;=61,"Tier B+ / Cấp A (Hot Lead: 61-69đ)",IF(P93&gt;=50,"Tier B (Bạc: 50-60đ)","Tier C (Đồng: 30-49đ)")))))</f>
        <v/>
      </c>
      <c r="R93" s="6" t="inlineStr">
        <is>
          <t>Trọn gói Take-Home Starter Kit V2/V3 (Cỏ nhân tạo + Khay Potty + Đồ chơi Teething/Snuggle)</t>
        </is>
      </c>
      <c r="S93" s="6" t="inlineStr">
        <is>
          <t>HOT LEAD CẤP A: Gọi Telesale trực tiếp trong ngày + Email cá nhân hóa chào Puppy Kit V2/V3</t>
        </is>
      </c>
    </row>
    <row r="94">
      <c r="A94" s="59" t="n">
        <v>64</v>
      </c>
      <c r="B94" s="15" t="inlineStr">
        <is>
          <t>HustleLine Kennels</t>
        </is>
      </c>
      <c r="C94" s="60" t="inlineStr">
        <is>
          <t>https://www.facebook.com/HustleLineKennels</t>
        </is>
      </c>
      <c r="D94" s="9" t="inlineStr">
        <is>
          <t>Cần quét Bio Fanpage</t>
        </is>
      </c>
      <c r="E94" s="59" t="inlineStr">
        <is>
          <t>12/10/2026 21:12:54</t>
        </is>
      </c>
      <c r="F94" s="59" t="inlineStr">
        <is>
          <t>3 giờ trước</t>
        </is>
      </c>
      <c r="G94" s="61" t="n">
        <v>0.12</v>
      </c>
      <c r="H94" s="62" t="n">
        <v>35</v>
      </c>
      <c r="I94" s="9" t="inlineStr">
        <is>
          <t>Dog Breeder / Trại chó chuyên nghiệp (28-30đ)</t>
        </is>
      </c>
      <c r="J94" s="62" t="n">
        <v>30</v>
      </c>
      <c r="K94" s="9" t="inlineStr">
        <is>
          <t>Chưa rõ giống (Cần quét Bio)</t>
        </is>
      </c>
      <c r="L94" s="62" t="n">
        <v>0</v>
      </c>
      <c r="M94" s="62" t="n">
        <v>5</v>
      </c>
      <c r="N94" s="9" t="inlineStr">
        <is>
          <t>Amazon link not found</t>
        </is>
      </c>
      <c r="O94" s="62">
        <f>IF(N94="Selling pet toys + Artificial grass/Pet toilets (TARGET)",15,IF(N94="Selling artificial grass/pet toilets (TARGET)",10,IF(N94="Selling pet toys",7,IF(N94="There's an Amazon link, but no target sales.",3,0))))</f>
        <v/>
      </c>
      <c r="P94" s="63">
        <f>H94+J94+L94+M94+O94</f>
        <v/>
      </c>
      <c r="Q94" s="64">
        <f>IF(OR(H94=0,P94&lt;30),"Tier D (Đóng băng)",IF(P94&gt;=85,"Tier S (Kim Cương: 85-100đ)",IF(P94&gt;=70,"Tier A (Vàng: 70-84đ)",IF(P94&gt;=61,"Tier B+ / Cấp A (Hot Lead: 61-69đ)",IF(P94&gt;=50,"Tier B (Bạc: 50-60đ)","Tier C (Đồng: 30-49đ)")))))</f>
        <v/>
      </c>
      <c r="R94" s="9" t="inlineStr">
        <is>
          <t>Trọn gói Take-Home Starter Kit V2/V3 (Cỏ nhân tạo + Khay Potty + Đồ chơi Teething/Snuggle)</t>
        </is>
      </c>
      <c r="S94" s="9" t="inlineStr">
        <is>
          <t>HOT LEAD CẤP A: Gọi Telesale trực tiếp trong ngày + Email cá nhân hóa chào Puppy Kit V2/V3</t>
        </is>
      </c>
    </row>
    <row r="95">
      <c r="A95" s="53" t="n">
        <v>3336</v>
      </c>
      <c r="B95" s="12" t="inlineStr">
        <is>
          <t>Vixbull Frenchies</t>
        </is>
      </c>
      <c r="C95" s="54" t="inlineStr">
        <is>
          <t>https://www.facebook.com/vixbull</t>
        </is>
      </c>
      <c r="D95" s="6" t="inlineStr">
        <is>
          <t>Cần quét Bio Fanpage</t>
        </is>
      </c>
      <c r="E95" s="53" t="inlineStr">
        <is>
          <t>12/10/2026 20:57:17</t>
        </is>
      </c>
      <c r="F95" s="53" t="inlineStr">
        <is>
          <t>9 giờ trước</t>
        </is>
      </c>
      <c r="G95" s="55" t="n">
        <v>0.38</v>
      </c>
      <c r="H95" s="56" t="n">
        <v>32</v>
      </c>
      <c r="I95" s="6" t="inlineStr">
        <is>
          <t>Dog Breeder / Trại chó chuyên nghiệp (28-30đ)</t>
        </is>
      </c>
      <c r="J95" s="56" t="n">
        <v>28</v>
      </c>
      <c r="K95" s="6" t="inlineStr">
        <is>
          <t>French Bulldog</t>
        </is>
      </c>
      <c r="L95" s="56" t="n">
        <v>10</v>
      </c>
      <c r="M95" s="56" t="n">
        <v>0</v>
      </c>
      <c r="N95" s="6" t="inlineStr">
        <is>
          <t>Amazon link not found</t>
        </is>
      </c>
      <c r="O95" s="56">
        <f>IF(N95="Selling pet toys + Artificial grass/Pet toilets (TARGET)",15,IF(N95="Selling artificial grass/pet toilets (TARGET)",10,IF(N95="Selling pet toys",7,IF(N95="There's an Amazon link, but no target sales.",3,0))))</f>
        <v/>
      </c>
      <c r="P95" s="63">
        <f>H95+J95+L95+M95+O95</f>
        <v/>
      </c>
      <c r="Q95" s="64">
        <f>IF(OR(H95=0,P95&lt;30),"Tier D (Đóng băng)",IF(P95&gt;=85,"Tier S (Kim Cương: 85-100đ)",IF(P95&gt;=70,"Tier A (Vàng: 70-84đ)",IF(P95&gt;=61,"Tier B+ / Cấp A (Hot Lead: 61-69đ)",IF(P95&gt;=50,"Tier B (Bạc: 50-60đ)","Tier C (Đồng: 30-49đ)")))))</f>
        <v/>
      </c>
      <c r="R95" s="6" t="inlineStr">
        <is>
          <t>Trọn gói Take-Home Starter Kit V2/V3 (Cỏ nhân tạo + Khay Potty + Đồ chơi Teething/Snuggle)</t>
        </is>
      </c>
      <c r="S95" s="6" t="inlineStr">
        <is>
          <t>HOT LEAD CẤP A: Gọi Telesale trực tiếp trong ngày + Email cá nhân hóa chào Puppy Kit V2/V3</t>
        </is>
      </c>
    </row>
    <row r="96">
      <c r="A96" s="59" t="n">
        <v>3179</v>
      </c>
      <c r="B96" s="15" t="inlineStr">
        <is>
          <t>Three Oak Frenchies</t>
        </is>
      </c>
      <c r="C96" s="60" t="inlineStr">
        <is>
          <t>https://www.facebook.com/profile.php?id=61589220058115</t>
        </is>
      </c>
      <c r="D96" s="9" t="inlineStr">
        <is>
          <t>Cần quét Bio Fanpage</t>
        </is>
      </c>
      <c r="E96" s="59" t="inlineStr">
        <is>
          <t>12/10/2026 20:49:57</t>
        </is>
      </c>
      <c r="F96" s="59" t="inlineStr">
        <is>
          <t>9 giờ trước</t>
        </is>
      </c>
      <c r="G96" s="61" t="n">
        <v>0.38</v>
      </c>
      <c r="H96" s="62" t="n">
        <v>32</v>
      </c>
      <c r="I96" s="9" t="inlineStr">
        <is>
          <t>Dog Breeder / Trại chó chuyên nghiệp (28-30đ)</t>
        </is>
      </c>
      <c r="J96" s="62" t="n">
        <v>28</v>
      </c>
      <c r="K96" s="9" t="inlineStr">
        <is>
          <t>French Bulldog</t>
        </is>
      </c>
      <c r="L96" s="62" t="n">
        <v>10</v>
      </c>
      <c r="M96" s="62" t="n">
        <v>0</v>
      </c>
      <c r="N96" s="9" t="inlineStr">
        <is>
          <t>Amazon link not found</t>
        </is>
      </c>
      <c r="O96" s="62">
        <f>IF(N96="Selling pet toys + Artificial grass/Pet toilets (TARGET)",15,IF(N96="Selling artificial grass/pet toilets (TARGET)",10,IF(N96="Selling pet toys",7,IF(N96="There's an Amazon link, but no target sales.",3,0))))</f>
        <v/>
      </c>
      <c r="P96" s="63">
        <f>H96+J96+L96+M96+O96</f>
        <v/>
      </c>
      <c r="Q96" s="64">
        <f>IF(OR(H96=0,P96&lt;30),"Tier D (Đóng băng)",IF(P96&gt;=85,"Tier S (Kim Cương: 85-100đ)",IF(P96&gt;=70,"Tier A (Vàng: 70-84đ)",IF(P96&gt;=61,"Tier B+ / Cấp A (Hot Lead: 61-69đ)",IF(P96&gt;=50,"Tier B (Bạc: 50-60đ)","Tier C (Đồng: 30-49đ)")))))</f>
        <v/>
      </c>
      <c r="R96" s="9" t="inlineStr">
        <is>
          <t>Trọn gói Take-Home Starter Kit V2/V3 (Cỏ nhân tạo + Khay Potty + Đồ chơi Teething/Snuggle)</t>
        </is>
      </c>
      <c r="S96" s="9" t="inlineStr">
        <is>
          <t>HOT LEAD CẤP A: Gọi Telesale trực tiếp trong ngày + Email cá nhân hóa chào Puppy Kit V2/V3</t>
        </is>
      </c>
    </row>
    <row r="97">
      <c r="A97" s="53" t="n">
        <v>570</v>
      </c>
      <c r="B97" s="12" t="inlineStr">
        <is>
          <t>B-Town Bullies</t>
        </is>
      </c>
      <c r="C97" s="54" t="inlineStr">
        <is>
          <t>https://www.facebook.com/profile.php?id=100079571530843</t>
        </is>
      </c>
      <c r="D97" s="6" t="inlineStr">
        <is>
          <t>Cần quét Bio Fanpage</t>
        </is>
      </c>
      <c r="E97" s="53" t="inlineStr">
        <is>
          <t>12/10/2026 20:21:44</t>
        </is>
      </c>
      <c r="F97" s="53" t="inlineStr">
        <is>
          <t>5 giờ trước</t>
        </is>
      </c>
      <c r="G97" s="55" t="n">
        <v>0.21</v>
      </c>
      <c r="H97" s="56" t="n">
        <v>32</v>
      </c>
      <c r="I97" s="6" t="inlineStr">
        <is>
          <t>Dog Breeder / Trại chó chuyên nghiệp (28-30đ)</t>
        </is>
      </c>
      <c r="J97" s="56" t="n">
        <v>28</v>
      </c>
      <c r="K97" s="6" t="inlineStr">
        <is>
          <t>American Bully / Bully</t>
        </is>
      </c>
      <c r="L97" s="56" t="n">
        <v>10</v>
      </c>
      <c r="M97" s="56" t="n">
        <v>0</v>
      </c>
      <c r="N97" s="6" t="inlineStr">
        <is>
          <t>Amazon link not found</t>
        </is>
      </c>
      <c r="O97" s="56">
        <f>IF(N97="Selling pet toys + Artificial grass/Pet toilets (TARGET)",15,IF(N97="Selling artificial grass/pet toilets (TARGET)",10,IF(N97="Selling pet toys",7,IF(N97="There's an Amazon link, but no target sales.",3,0))))</f>
        <v/>
      </c>
      <c r="P97" s="63">
        <f>H97+J97+L97+M97+O97</f>
        <v/>
      </c>
      <c r="Q97" s="64">
        <f>IF(OR(H97=0,P97&lt;30),"Tier D (Đóng băng)",IF(P97&gt;=85,"Tier S (Kim Cương: 85-100đ)",IF(P97&gt;=70,"Tier A (Vàng: 70-84đ)",IF(P97&gt;=61,"Tier B+ / Cấp A (Hot Lead: 61-69đ)",IF(P97&gt;=50,"Tier B (Bạc: 50-60đ)","Tier C (Đồng: 30-49đ)")))))</f>
        <v/>
      </c>
      <c r="R97" s="6" t="inlineStr">
        <is>
          <t>Trọn gói Take-Home Starter Kit V2/V3 (Cỏ nhân tạo + Khay Potty + Đồ chơi Teething/Snuggle)</t>
        </is>
      </c>
      <c r="S97" s="6" t="inlineStr">
        <is>
          <t>HOT LEAD CẤP A: Gọi Telesale trực tiếp trong ngày + Email cá nhân hóa chào Puppy Kit V2/V3</t>
        </is>
      </c>
    </row>
    <row r="98">
      <c r="A98" s="59" t="n">
        <v>2816</v>
      </c>
      <c r="B98" s="15" t="inlineStr">
        <is>
          <t>Saltwater Frenchies</t>
        </is>
      </c>
      <c r="C98" s="60" t="inlineStr">
        <is>
          <t>https://www.facebook.com/swfrenchies</t>
        </is>
      </c>
      <c r="D98" s="9" t="inlineStr">
        <is>
          <t>Cần quét Bio Fanpage</t>
        </is>
      </c>
      <c r="E98" s="59" t="inlineStr">
        <is>
          <t>12/10/2026 20:00:14</t>
        </is>
      </c>
      <c r="F98" s="59" t="inlineStr">
        <is>
          <t>9 giờ trước</t>
        </is>
      </c>
      <c r="G98" s="61" t="n">
        <v>0.38</v>
      </c>
      <c r="H98" s="62" t="n">
        <v>32</v>
      </c>
      <c r="I98" s="9" t="inlineStr">
        <is>
          <t>Dog Breeder / Trại chó chuyên nghiệp (28-30đ)</t>
        </is>
      </c>
      <c r="J98" s="62" t="n">
        <v>28</v>
      </c>
      <c r="K98" s="9" t="inlineStr">
        <is>
          <t>French Bulldog</t>
        </is>
      </c>
      <c r="L98" s="62" t="n">
        <v>10</v>
      </c>
      <c r="M98" s="62" t="n">
        <v>0</v>
      </c>
      <c r="N98" s="9" t="inlineStr">
        <is>
          <t>Amazon link not found</t>
        </is>
      </c>
      <c r="O98" s="62">
        <f>IF(N98="Selling pet toys + Artificial grass/Pet toilets (TARGET)",15,IF(N98="Selling artificial grass/pet toilets (TARGET)",10,IF(N98="Selling pet toys",7,IF(N98="There's an Amazon link, but no target sales.",3,0))))</f>
        <v/>
      </c>
      <c r="P98" s="63">
        <f>H98+J98+L98+M98+O98</f>
        <v/>
      </c>
      <c r="Q98" s="64">
        <f>IF(OR(H98=0,P98&lt;30),"Tier D (Đóng băng)",IF(P98&gt;=85,"Tier S (Kim Cương: 85-100đ)",IF(P98&gt;=70,"Tier A (Vàng: 70-84đ)",IF(P98&gt;=61,"Tier B+ / Cấp A (Hot Lead: 61-69đ)",IF(P98&gt;=50,"Tier B (Bạc: 50-60đ)","Tier C (Đồng: 30-49đ)")))))</f>
        <v/>
      </c>
      <c r="R98" s="9" t="inlineStr">
        <is>
          <t>Trọn gói Take-Home Starter Kit V2/V3 (Cỏ nhân tạo + Khay Potty + Đồ chơi Teething/Snuggle)</t>
        </is>
      </c>
      <c r="S98" s="9" t="inlineStr">
        <is>
          <t>HOT LEAD CẤP A: Gọi Telesale trực tiếp trong ngày + Email cá nhân hóa chào Puppy Kit V2/V3</t>
        </is>
      </c>
    </row>
    <row r="99">
      <c r="A99" s="53" t="n">
        <v>16</v>
      </c>
      <c r="B99" s="12" t="inlineStr">
        <is>
          <t>Nor Cal Bulldogger</t>
        </is>
      </c>
      <c r="C99" s="54" t="inlineStr">
        <is>
          <t>https://www.facebook.com/norcalbulldoggerphotos</t>
        </is>
      </c>
      <c r="D99" s="6" t="inlineStr">
        <is>
          <t>Cần quét Bio Fanpage</t>
        </is>
      </c>
      <c r="E99" s="53" t="inlineStr">
        <is>
          <t>12/10/2026 19:55:56</t>
        </is>
      </c>
      <c r="F99" s="53" t="inlineStr">
        <is>
          <t>5 giờ trước</t>
        </is>
      </c>
      <c r="G99" s="55" t="n">
        <v>0.21</v>
      </c>
      <c r="H99" s="56" t="n">
        <v>32</v>
      </c>
      <c r="I99" s="6" t="inlineStr">
        <is>
          <t>Dog Breeder / Trại nhân giống (28-30đ)</t>
        </is>
      </c>
      <c r="J99" s="56" t="n">
        <v>28</v>
      </c>
      <c r="K99" s="6" t="inlineStr">
        <is>
          <t>English Bulldog</t>
        </is>
      </c>
      <c r="L99" s="56" t="n">
        <v>10</v>
      </c>
      <c r="M99" s="56" t="n">
        <v>0</v>
      </c>
      <c r="N99" s="6" t="inlineStr">
        <is>
          <t>Amazon link not found</t>
        </is>
      </c>
      <c r="O99" s="56">
        <f>IF(N99="Selling pet toys + Artificial grass/Pet toilets (TARGET)",15,IF(N99="Selling artificial grass/pet toilets (TARGET)",10,IF(N99="Selling pet toys",7,IF(N99="There's an Amazon link, but no target sales.",3,0))))</f>
        <v/>
      </c>
      <c r="P99" s="63">
        <f>H99+J99+L99+M99+O99</f>
        <v/>
      </c>
      <c r="Q99" s="64">
        <f>IF(OR(H99=0,P99&lt;30),"Tier D (Đóng băng)",IF(P99&gt;=85,"Tier S (Kim Cương: 85-100đ)",IF(P99&gt;=70,"Tier A (Vàng: 70-84đ)",IF(P99&gt;=61,"Tier B+ / Cấp A (Hot Lead: 61-69đ)",IF(P99&gt;=50,"Tier B (Bạc: 50-60đ)","Tier C (Đồng: 30-49đ)")))))</f>
        <v/>
      </c>
      <c r="R99" s="6" t="inlineStr">
        <is>
          <t>Trọn gói Take-Home Starter Kit V2/V3 (Cỏ nhân tạo + Khay Potty + Đồ chơi cún con)</t>
        </is>
      </c>
      <c r="S99" s="6" t="inlineStr">
        <is>
          <t>HOT LEAD CẤP A: Gọi Telesale trực tiếp trong ngày + Email cá nhân hóa chào Puppy Kit V2/V3</t>
        </is>
      </c>
    </row>
    <row r="100">
      <c r="A100" s="59" t="n">
        <v>2049</v>
      </c>
      <c r="B100" s="15" t="inlineStr">
        <is>
          <t>Long Ears and Long Dogs Ranch</t>
        </is>
      </c>
      <c r="C100" s="60" t="inlineStr">
        <is>
          <t>https://www.facebook.com/longearsandlongdogs</t>
        </is>
      </c>
      <c r="D100" s="9" t="inlineStr">
        <is>
          <t>Cần quét Bio Fanpage</t>
        </is>
      </c>
      <c r="E100" s="59" t="inlineStr">
        <is>
          <t>12/10/2026 19:32:11</t>
        </is>
      </c>
      <c r="F100" s="59" t="inlineStr">
        <is>
          <t>9 giờ trước</t>
        </is>
      </c>
      <c r="G100" s="61" t="n">
        <v>0.38</v>
      </c>
      <c r="H100" s="62" t="n">
        <v>32</v>
      </c>
      <c r="I100" s="9" t="inlineStr">
        <is>
          <t>Dog Breeder / Trại nhân giống (28-30đ)</t>
        </is>
      </c>
      <c r="J100" s="62" t="n">
        <v>28</v>
      </c>
      <c r="K100" s="9" t="inlineStr">
        <is>
          <t>Chưa rõ giống (Cần quét Bio)</t>
        </is>
      </c>
      <c r="L100" s="62" t="n">
        <v>0</v>
      </c>
      <c r="M100" s="62" t="n">
        <v>10</v>
      </c>
      <c r="N100" s="9" t="inlineStr">
        <is>
          <t>Amazon link not found</t>
        </is>
      </c>
      <c r="O100" s="62">
        <f>IF(N100="Selling pet toys + Artificial grass/Pet toilets (TARGET)",15,IF(N100="Selling artificial grass/pet toilets (TARGET)",10,IF(N100="Selling pet toys",7,IF(N100="There's an Amazon link, but no target sales.",3,0))))</f>
        <v/>
      </c>
      <c r="P100" s="63">
        <f>H100+J100+L100+M100+O100</f>
        <v/>
      </c>
      <c r="Q100" s="64">
        <f>IF(OR(H100=0,P100&lt;30),"Tier D (Đóng băng)",IF(P100&gt;=85,"Tier S (Kim Cương: 85-100đ)",IF(P100&gt;=70,"Tier A (Vàng: 70-84đ)",IF(P100&gt;=61,"Tier B+ / Cấp A (Hot Lead: 61-69đ)",IF(P100&gt;=50,"Tier B (Bạc: 50-60đ)","Tier C (Đồng: 30-49đ)")))))</f>
        <v/>
      </c>
      <c r="R100" s="9" t="inlineStr">
        <is>
          <t>Trọn gói Take-Home Starter Kit V2/V3 (Cỏ nhân tạo + Khay Potty + Đồ chơi cún con)</t>
        </is>
      </c>
      <c r="S100" s="9" t="inlineStr">
        <is>
          <t>HOT LEAD CẤP A: Gọi Telesale trực tiếp trong ngày + Email cá nhân hóa chào Puppy Kit V2/V3</t>
        </is>
      </c>
    </row>
    <row r="101">
      <c r="A101" s="53" t="n">
        <v>1277</v>
      </c>
      <c r="B101" s="12" t="inlineStr">
        <is>
          <t>eMac Bulldogs</t>
        </is>
      </c>
      <c r="C101" s="54" t="inlineStr">
        <is>
          <t>https://www.facebook.com/eMacBulldogs</t>
        </is>
      </c>
      <c r="D101" s="6" t="inlineStr">
        <is>
          <t>Cần quét Bio Fanpage</t>
        </is>
      </c>
      <c r="E101" s="53" t="inlineStr">
        <is>
          <t>12/10/2026 19:22:20</t>
        </is>
      </c>
      <c r="F101" s="53" t="inlineStr">
        <is>
          <t>7 giờ trước</t>
        </is>
      </c>
      <c r="G101" s="55" t="n">
        <v>0.29</v>
      </c>
      <c r="H101" s="56" t="n">
        <v>32</v>
      </c>
      <c r="I101" s="6" t="inlineStr">
        <is>
          <t>Dog Breeder / Trại chó chuyên nghiệp (28-30đ)</t>
        </is>
      </c>
      <c r="J101" s="56" t="n">
        <v>28</v>
      </c>
      <c r="K101" s="6" t="inlineStr">
        <is>
          <t>English Bulldog</t>
        </is>
      </c>
      <c r="L101" s="56" t="n">
        <v>10</v>
      </c>
      <c r="M101" s="56" t="n">
        <v>0</v>
      </c>
      <c r="N101" s="6" t="inlineStr">
        <is>
          <t>Amazon link not found</t>
        </is>
      </c>
      <c r="O101" s="56">
        <f>IF(N101="Selling pet toys + Artificial grass/Pet toilets (TARGET)",15,IF(N101="Selling artificial grass/pet toilets (TARGET)",10,IF(N101="Selling pet toys",7,IF(N101="There's an Amazon link, but no target sales.",3,0))))</f>
        <v/>
      </c>
      <c r="P101" s="63">
        <f>H101+J101+L101+M101+O101</f>
        <v/>
      </c>
      <c r="Q101" s="64">
        <f>IF(OR(H101=0,P101&lt;30),"Tier D (Đóng băng)",IF(P101&gt;=85,"Tier S (Kim Cương: 85-100đ)",IF(P101&gt;=70,"Tier A (Vàng: 70-84đ)",IF(P101&gt;=61,"Tier B+ / Cấp A (Hot Lead: 61-69đ)",IF(P101&gt;=50,"Tier B (Bạc: 50-60đ)","Tier C (Đồng: 30-49đ)")))))</f>
        <v/>
      </c>
      <c r="R101" s="6" t="inlineStr">
        <is>
          <t>Trọn gói Take-Home Starter Kit V2/V3 (Cỏ nhân tạo + Khay Potty + Đồ chơi Teething/Snuggle)</t>
        </is>
      </c>
      <c r="S101" s="6" t="inlineStr">
        <is>
          <t>HOT LEAD CẤP A: Gọi Telesale trực tiếp trong ngày + Email cá nhân hóa chào Puppy Kit V2/V3</t>
        </is>
      </c>
    </row>
    <row r="102">
      <c r="A102" s="59" t="n">
        <v>123</v>
      </c>
      <c r="B102" s="15" t="inlineStr">
        <is>
          <t>BulldogPabs</t>
        </is>
      </c>
      <c r="C102" s="60" t="inlineStr">
        <is>
          <t>https://www.facebook.com/BulldogPabs</t>
        </is>
      </c>
      <c r="D102" s="9" t="inlineStr">
        <is>
          <t>Cần quét Bio Fanpage</t>
        </is>
      </c>
      <c r="E102" s="59" t="inlineStr">
        <is>
          <t>12/10/2026 19:04:14</t>
        </is>
      </c>
      <c r="F102" s="59" t="inlineStr">
        <is>
          <t>6 giờ trước</t>
        </is>
      </c>
      <c r="G102" s="61" t="n">
        <v>0.25</v>
      </c>
      <c r="H102" s="62" t="n">
        <v>32</v>
      </c>
      <c r="I102" s="9" t="inlineStr">
        <is>
          <t>Dog Breeder / Trại nhân giống (28-30đ)</t>
        </is>
      </c>
      <c r="J102" s="62" t="n">
        <v>28</v>
      </c>
      <c r="K102" s="9" t="inlineStr">
        <is>
          <t>English Bulldog</t>
        </is>
      </c>
      <c r="L102" s="62" t="n">
        <v>10</v>
      </c>
      <c r="M102" s="62" t="n">
        <v>0</v>
      </c>
      <c r="N102" s="9" t="inlineStr">
        <is>
          <t>Amazon link not found</t>
        </is>
      </c>
      <c r="O102" s="62">
        <f>IF(N102="Selling pet toys + Artificial grass/Pet toilets (TARGET)",15,IF(N102="Selling artificial grass/pet toilets (TARGET)",10,IF(N102="Selling pet toys",7,IF(N102="There's an Amazon link, but no target sales.",3,0))))</f>
        <v/>
      </c>
      <c r="P102" s="63">
        <f>H102+J102+L102+M102+O102</f>
        <v/>
      </c>
      <c r="Q102" s="64">
        <f>IF(OR(H102=0,P102&lt;30),"Tier D (Đóng băng)",IF(P102&gt;=85,"Tier S (Kim Cương: 85-100đ)",IF(P102&gt;=70,"Tier A (Vàng: 70-84đ)",IF(P102&gt;=61,"Tier B+ / Cấp A (Hot Lead: 61-69đ)",IF(P102&gt;=50,"Tier B (Bạc: 50-60đ)","Tier C (Đồng: 30-49đ)")))))</f>
        <v/>
      </c>
      <c r="R102" s="9" t="inlineStr">
        <is>
          <t>Trọn gói Take-Home Starter Kit V2/V3 (Cỏ nhân tạo + Khay Potty + Đồ chơi cún con)</t>
        </is>
      </c>
      <c r="S102" s="9" t="inlineStr">
        <is>
          <t>HOT LEAD CẤP A: Gọi Telesale trực tiếp trong ngày + Email cá nhân hóa chào Puppy Kit V2/V3</t>
        </is>
      </c>
    </row>
    <row r="103">
      <c r="A103" s="53" t="n">
        <v>3407</v>
      </c>
      <c r="B103" s="12" t="inlineStr">
        <is>
          <t>Whitemagicgarden Maltese Bichonfrise Poodle Puppy</t>
        </is>
      </c>
      <c r="C103" s="54" t="inlineStr">
        <is>
          <t>https://www.facebook.com/maltesebichonfrisepoodletcupdogpuppy</t>
        </is>
      </c>
      <c r="D103" s="6" t="inlineStr">
        <is>
          <t>Cần quét Bio Fanpage</t>
        </is>
      </c>
      <c r="E103" s="53" t="inlineStr">
        <is>
          <t>12/10/2026 14:01:55</t>
        </is>
      </c>
      <c r="F103" s="53" t="inlineStr">
        <is>
          <t>17 giờ trước</t>
        </is>
      </c>
      <c r="G103" s="55" t="n">
        <v>0.71</v>
      </c>
      <c r="H103" s="56" t="n">
        <v>32</v>
      </c>
      <c r="I103" s="6" t="inlineStr">
        <is>
          <t>Dog Breeder / Trại chó chuyên nghiệp (28-30đ)</t>
        </is>
      </c>
      <c r="J103" s="56" t="n">
        <v>28</v>
      </c>
      <c r="K103" s="6" t="inlineStr">
        <is>
          <t>Poodle (Standard/Mini/Toy), Chihuahua / Toy Companion</t>
        </is>
      </c>
      <c r="L103" s="56" t="n">
        <v>5</v>
      </c>
      <c r="M103" s="56" t="n">
        <v>5</v>
      </c>
      <c r="N103" s="6" t="inlineStr">
        <is>
          <t>Amazon link not found</t>
        </is>
      </c>
      <c r="O103" s="56">
        <f>IF(N103="Selling pet toys + Artificial grass/Pet toilets (TARGET)",15,IF(N103="Selling artificial grass/pet toilets (TARGET)",10,IF(N103="Selling pet toys",7,IF(N103="There's an Amazon link, but no target sales.",3,0))))</f>
        <v/>
      </c>
      <c r="P103" s="63">
        <f>H103+J103+L103+M103+O103</f>
        <v/>
      </c>
      <c r="Q103" s="64">
        <f>IF(OR(H103=0,P103&lt;30),"Tier D (Đóng băng)",IF(P103&gt;=85,"Tier S (Kim Cương: 85-100đ)",IF(P103&gt;=70,"Tier A (Vàng: 70-84đ)",IF(P103&gt;=61,"Tier B+ / Cấp A (Hot Lead: 61-69đ)",IF(P103&gt;=50,"Tier B (Bạc: 50-60đ)","Tier C (Đồng: 30-49đ)")))))</f>
        <v/>
      </c>
      <c r="R103" s="6" t="inlineStr">
        <is>
          <t>Trọn gói Take-Home Starter Kit V2/V3 (Cỏ nhân tạo + Khay Potty + Đồ chơi Teething/Snuggle)</t>
        </is>
      </c>
      <c r="S103" s="6" t="inlineStr">
        <is>
          <t>HOT LEAD CẤP A: Gọi Telesale trực tiếp trong ngày + Email cá nhân hóa chào Puppy Kit V2/V3</t>
        </is>
      </c>
    </row>
    <row r="104">
      <c r="A104" s="59" t="n">
        <v>739</v>
      </c>
      <c r="B104" s="15" t="inlineStr">
        <is>
          <t>Boston Mountain Bulldogges</t>
        </is>
      </c>
      <c r="C104" s="60" t="inlineStr">
        <is>
          <t>https://www.facebook.com/nogoark</t>
        </is>
      </c>
      <c r="D104" s="9" t="inlineStr">
        <is>
          <t>Cần quét Bio Fanpage</t>
        </is>
      </c>
      <c r="E104" s="59" t="inlineStr">
        <is>
          <t>12/10/2026 11:53:45</t>
        </is>
      </c>
      <c r="F104" s="59" t="inlineStr">
        <is>
          <t>14 giờ trước</t>
        </is>
      </c>
      <c r="G104" s="61" t="n">
        <v>0.58</v>
      </c>
      <c r="H104" s="62" t="n">
        <v>32</v>
      </c>
      <c r="I104" s="9" t="inlineStr">
        <is>
          <t>Dog Breeder / Trại chó chuyên nghiệp (28-30đ)</t>
        </is>
      </c>
      <c r="J104" s="62" t="n">
        <v>28</v>
      </c>
      <c r="K104" s="9" t="inlineStr">
        <is>
          <t>English Bulldog</t>
        </is>
      </c>
      <c r="L104" s="62" t="n">
        <v>10</v>
      </c>
      <c r="M104" s="62" t="n">
        <v>0</v>
      </c>
      <c r="N104" s="9" t="inlineStr">
        <is>
          <t>Amazon link not found</t>
        </is>
      </c>
      <c r="O104" s="62">
        <f>IF(N104="Selling pet toys + Artificial grass/Pet toilets (TARGET)",15,IF(N104="Selling artificial grass/pet toilets (TARGET)",10,IF(N104="Selling pet toys",7,IF(N104="There's an Amazon link, but no target sales.",3,0))))</f>
        <v/>
      </c>
      <c r="P104" s="63">
        <f>H104+J104+L104+M104+O104</f>
        <v/>
      </c>
      <c r="Q104" s="64">
        <f>IF(OR(H104=0,P104&lt;30),"Tier D (Đóng băng)",IF(P104&gt;=85,"Tier S (Kim Cương: 85-100đ)",IF(P104&gt;=70,"Tier A (Vàng: 70-84đ)",IF(P104&gt;=61,"Tier B+ / Cấp A (Hot Lead: 61-69đ)",IF(P104&gt;=50,"Tier B (Bạc: 50-60đ)","Tier C (Đồng: 30-49đ)")))))</f>
        <v/>
      </c>
      <c r="R104" s="9" t="inlineStr">
        <is>
          <t>Trọn gói Take-Home Starter Kit V2/V3 (Cỏ nhân tạo + Khay Potty + Đồ chơi Teething/Snuggle)</t>
        </is>
      </c>
      <c r="S104" s="9" t="inlineStr">
        <is>
          <t>HOT LEAD CẤP A: Gọi Telesale trực tiếp trong ngày + Email cá nhân hóa chào Puppy Kit V2/V3</t>
        </is>
      </c>
    </row>
    <row r="105">
      <c r="A105" s="53" t="n">
        <v>2810</v>
      </c>
      <c r="B105" s="12" t="inlineStr">
        <is>
          <t>SaharaSunset Bulldogs</t>
        </is>
      </c>
      <c r="C105" s="54" t="inlineStr">
        <is>
          <t>https://www.facebook.com/profile.php?id=100072290205127</t>
        </is>
      </c>
      <c r="D105" s="6" t="inlineStr">
        <is>
          <t>Cần quét Bio Fanpage</t>
        </is>
      </c>
      <c r="E105" s="53" t="inlineStr">
        <is>
          <t>12/10/2026 08:20:57</t>
        </is>
      </c>
      <c r="F105" s="53" t="inlineStr">
        <is>
          <t>21 giờ trước</t>
        </is>
      </c>
      <c r="G105" s="55" t="n">
        <v>0.88</v>
      </c>
      <c r="H105" s="56" t="n">
        <v>32</v>
      </c>
      <c r="I105" s="6" t="inlineStr">
        <is>
          <t>Dog Breeder / Trại chó chuyên nghiệp (28-30đ)</t>
        </is>
      </c>
      <c r="J105" s="56" t="n">
        <v>28</v>
      </c>
      <c r="K105" s="6" t="inlineStr">
        <is>
          <t>English Bulldog</t>
        </is>
      </c>
      <c r="L105" s="56" t="n">
        <v>10</v>
      </c>
      <c r="M105" s="56" t="n">
        <v>0</v>
      </c>
      <c r="N105" s="6" t="inlineStr">
        <is>
          <t>Amazon link not found</t>
        </is>
      </c>
      <c r="O105" s="56">
        <f>IF(N105="Selling pet toys + Artificial grass/Pet toilets (TARGET)",15,IF(N105="Selling artificial grass/pet toilets (TARGET)",10,IF(N105="Selling pet toys",7,IF(N105="There's an Amazon link, but no target sales.",3,0))))</f>
        <v/>
      </c>
      <c r="P105" s="63">
        <f>H105+J105+L105+M105+O105</f>
        <v/>
      </c>
      <c r="Q105" s="64">
        <f>IF(OR(H105=0,P105&lt;30),"Tier D (Đóng băng)",IF(P105&gt;=85,"Tier S (Kim Cương: 85-100đ)",IF(P105&gt;=70,"Tier A (Vàng: 70-84đ)",IF(P105&gt;=61,"Tier B+ / Cấp A (Hot Lead: 61-69đ)",IF(P105&gt;=50,"Tier B (Bạc: 50-60đ)","Tier C (Đồng: 30-49đ)")))))</f>
        <v/>
      </c>
      <c r="R105" s="6" t="inlineStr">
        <is>
          <t>Trọn gói Take-Home Starter Kit V2/V3 (Cỏ nhân tạo + Khay Potty + Đồ chơi Teething/Snuggle)</t>
        </is>
      </c>
      <c r="S105" s="6" t="inlineStr">
        <is>
          <t>HOT LEAD CẤP A: Gọi Telesale trực tiếp trong ngày + Email cá nhân hóa chào Puppy Kit V2/V3</t>
        </is>
      </c>
    </row>
    <row r="106">
      <c r="A106" s="59" t="n">
        <v>580</v>
      </c>
      <c r="B106" s="15" t="inlineStr">
        <is>
          <t>Balthrop Bend Farms</t>
        </is>
      </c>
      <c r="C106" s="60" t="inlineStr">
        <is>
          <t>https://www.facebook.com/balthropbendspringers</t>
        </is>
      </c>
      <c r="D106" s="9" t="inlineStr">
        <is>
          <t>Cần quét Bio Fanpage</t>
        </is>
      </c>
      <c r="E106" s="59" t="inlineStr">
        <is>
          <t>12/10/2026 08:10:50</t>
        </is>
      </c>
      <c r="F106" s="59" t="inlineStr">
        <is>
          <t>17 giờ trước</t>
        </is>
      </c>
      <c r="G106" s="61" t="n">
        <v>0.71</v>
      </c>
      <c r="H106" s="62" t="n">
        <v>32</v>
      </c>
      <c r="I106" s="9" t="inlineStr">
        <is>
          <t>Dog Breeder / Trại nhân giống (28-30đ)</t>
        </is>
      </c>
      <c r="J106" s="62" t="n">
        <v>28</v>
      </c>
      <c r="K106" s="9" t="inlineStr">
        <is>
          <t>Spaniel / Gun Dog / Retriever</t>
        </is>
      </c>
      <c r="L106" s="62" t="n">
        <v>5</v>
      </c>
      <c r="M106" s="62" t="n">
        <v>5</v>
      </c>
      <c r="N106" s="9" t="inlineStr">
        <is>
          <t>Amazon link not found</t>
        </is>
      </c>
      <c r="O106" s="62">
        <f>IF(N106="Selling pet toys + Artificial grass/Pet toilets (TARGET)",15,IF(N106="Selling artificial grass/pet toilets (TARGET)",10,IF(N106="Selling pet toys",7,IF(N106="There's an Amazon link, but no target sales.",3,0))))</f>
        <v/>
      </c>
      <c r="P106" s="63">
        <f>H106+J106+L106+M106+O106</f>
        <v/>
      </c>
      <c r="Q106" s="64">
        <f>IF(OR(H106=0,P106&lt;30),"Tier D (Đóng băng)",IF(P106&gt;=85,"Tier S (Kim Cương: 85-100đ)",IF(P106&gt;=70,"Tier A (Vàng: 70-84đ)",IF(P106&gt;=61,"Tier B+ / Cấp A (Hot Lead: 61-69đ)",IF(P106&gt;=50,"Tier B (Bạc: 50-60đ)","Tier C (Đồng: 30-49đ)")))))</f>
        <v/>
      </c>
      <c r="R106" s="9" t="inlineStr">
        <is>
          <t>Trọn gói Take-Home Starter Kit V2/V3 (Cỏ nhân tạo + Khay Potty + Đồ chơi cún con)</t>
        </is>
      </c>
      <c r="S106" s="9" t="inlineStr">
        <is>
          <t>HOT LEAD CẤP A: Gọi Telesale trực tiếp trong ngày + Email cá nhân hóa chào Puppy Kit V2/V3</t>
        </is>
      </c>
    </row>
    <row r="107">
      <c r="A107" s="53" t="n">
        <v>3079</v>
      </c>
      <c r="B107" s="12" t="inlineStr">
        <is>
          <t>Texas Size Bullies-Delray Beach, FL</t>
        </is>
      </c>
      <c r="C107" s="54" t="inlineStr">
        <is>
          <t>https://www.facebook.com/Venomline</t>
        </is>
      </c>
      <c r="D107" s="6" t="inlineStr">
        <is>
          <t>Cần quét Bio Fanpage</t>
        </is>
      </c>
      <c r="E107" s="53" t="inlineStr">
        <is>
          <t>12/10/2026 07:38:37</t>
        </is>
      </c>
      <c r="F107" s="53" t="inlineStr">
        <is>
          <t>22 giờ trước</t>
        </is>
      </c>
      <c r="G107" s="55" t="n">
        <v>0.92</v>
      </c>
      <c r="H107" s="56" t="n">
        <v>32</v>
      </c>
      <c r="I107" s="6" t="inlineStr">
        <is>
          <t>Dog Breeder / Trại chó chuyên nghiệp (28-30đ)</t>
        </is>
      </c>
      <c r="J107" s="56" t="n">
        <v>28</v>
      </c>
      <c r="K107" s="6" t="inlineStr">
        <is>
          <t>American Bully / Bully</t>
        </is>
      </c>
      <c r="L107" s="56" t="n">
        <v>10</v>
      </c>
      <c r="M107" s="56" t="n">
        <v>0</v>
      </c>
      <c r="N107" s="6" t="inlineStr">
        <is>
          <t>Amazon link not found</t>
        </is>
      </c>
      <c r="O107" s="56">
        <f>IF(N107="Selling pet toys + Artificial grass/Pet toilets (TARGET)",15,IF(N107="Selling artificial grass/pet toilets (TARGET)",10,IF(N107="Selling pet toys",7,IF(N107="There's an Amazon link, but no target sales.",3,0))))</f>
        <v/>
      </c>
      <c r="P107" s="63">
        <f>H107+J107+L107+M107+O107</f>
        <v/>
      </c>
      <c r="Q107" s="64">
        <f>IF(OR(H107=0,P107&lt;30),"Tier D (Đóng băng)",IF(P107&gt;=85,"Tier S (Kim Cương: 85-100đ)",IF(P107&gt;=70,"Tier A (Vàng: 70-84đ)",IF(P107&gt;=61,"Tier B+ / Cấp A (Hot Lead: 61-69đ)",IF(P107&gt;=50,"Tier B (Bạc: 50-60đ)","Tier C (Đồng: 30-49đ)")))))</f>
        <v/>
      </c>
      <c r="R107" s="6" t="inlineStr">
        <is>
          <t>Trọn gói Take-Home Starter Kit V2/V3 (Cỏ nhân tạo + Khay Potty + Đồ chơi Teething/Snuggle)</t>
        </is>
      </c>
      <c r="S107" s="6" t="inlineStr">
        <is>
          <t>HOT LEAD CẤP A: Gọi Telesale trực tiếp trong ngày + Email cá nhân hóa chào Puppy Kit V2/V3</t>
        </is>
      </c>
    </row>
    <row r="108">
      <c r="A108" s="59" t="n">
        <v>1031</v>
      </c>
      <c r="B108" s="15" t="inlineStr">
        <is>
          <t>Diamond City Bulldogs - DCB</t>
        </is>
      </c>
      <c r="C108" s="60" t="inlineStr">
        <is>
          <t>https://www.facebook.com/diamondcitybulldogs</t>
        </is>
      </c>
      <c r="D108" s="9" t="inlineStr">
        <is>
          <t>Cần quét Bio Fanpage</t>
        </is>
      </c>
      <c r="E108" s="59" t="inlineStr">
        <is>
          <t>12/10/2026 04:53:38</t>
        </is>
      </c>
      <c r="F108" s="59" t="inlineStr">
        <is>
          <t>21 giờ trước</t>
        </is>
      </c>
      <c r="G108" s="61" t="n">
        <v>0.88</v>
      </c>
      <c r="H108" s="62" t="n">
        <v>32</v>
      </c>
      <c r="I108" s="9" t="inlineStr">
        <is>
          <t>Dog Breeder / Trại chó chuyên nghiệp (28-30đ)</t>
        </is>
      </c>
      <c r="J108" s="62" t="n">
        <v>28</v>
      </c>
      <c r="K108" s="9" t="inlineStr">
        <is>
          <t>English Bulldog</t>
        </is>
      </c>
      <c r="L108" s="62" t="n">
        <v>10</v>
      </c>
      <c r="M108" s="62" t="n">
        <v>0</v>
      </c>
      <c r="N108" s="9" t="inlineStr">
        <is>
          <t>Amazon link not found</t>
        </is>
      </c>
      <c r="O108" s="62">
        <f>IF(N108="Selling pet toys + Artificial grass/Pet toilets (TARGET)",15,IF(N108="Selling artificial grass/pet toilets (TARGET)",10,IF(N108="Selling pet toys",7,IF(N108="There's an Amazon link, but no target sales.",3,0))))</f>
        <v/>
      </c>
      <c r="P108" s="63">
        <f>H108+J108+L108+M108+O108</f>
        <v/>
      </c>
      <c r="Q108" s="64">
        <f>IF(OR(H108=0,P108&lt;30),"Tier D (Đóng băng)",IF(P108&gt;=85,"Tier S (Kim Cương: 85-100đ)",IF(P108&gt;=70,"Tier A (Vàng: 70-84đ)",IF(P108&gt;=61,"Tier B+ / Cấp A (Hot Lead: 61-69đ)",IF(P108&gt;=50,"Tier B (Bạc: 50-60đ)","Tier C (Đồng: 30-49đ)")))))</f>
        <v/>
      </c>
      <c r="R108" s="9" t="inlineStr">
        <is>
          <t>Trọn gói Take-Home Starter Kit V2/V3 (Cỏ nhân tạo + Khay Potty + Đồ chơi Teething/Snuggle)</t>
        </is>
      </c>
      <c r="S108" s="9" t="inlineStr">
        <is>
          <t>HOT LEAD CẤP A: Gọi Telesale trực tiếp trong ngày + Email cá nhân hóa chào Puppy Kit V2/V3</t>
        </is>
      </c>
    </row>
    <row r="109">
      <c r="A109" s="53" t="n">
        <v>706</v>
      </c>
      <c r="B109" s="12" t="inlineStr">
        <is>
          <t>Blue Lake Turf Farm</t>
        </is>
      </c>
      <c r="C109" s="54" t="inlineStr">
        <is>
          <t>https://www.facebook.com/BlueLakeTurfFarm</t>
        </is>
      </c>
      <c r="D109" s="6" t="inlineStr">
        <is>
          <t>Cần quét Bio Fanpage</t>
        </is>
      </c>
      <c r="E109" s="53" t="inlineStr">
        <is>
          <t>11/10/2026 17:13:22</t>
        </is>
      </c>
      <c r="F109" s="53" t="inlineStr">
        <is>
          <t>1 ngày trước</t>
        </is>
      </c>
      <c r="G109" s="55" t="n">
        <v>1</v>
      </c>
      <c r="H109" s="56" t="n">
        <v>28</v>
      </c>
      <c r="I109" s="6" t="inlineStr">
        <is>
          <t>Pet Boarding / Huấn luyện K9 &amp; Dịch vụ (20-22đ)</t>
        </is>
      </c>
      <c r="J109" s="56" t="n">
        <v>22</v>
      </c>
      <c r="K109" s="6" t="inlineStr">
        <is>
          <t>Chưa rõ giống (Cần quét Bio)</t>
        </is>
      </c>
      <c r="L109" s="56" t="n">
        <v>0</v>
      </c>
      <c r="M109" s="56" t="n">
        <v>10</v>
      </c>
      <c r="N109" s="6" t="inlineStr">
        <is>
          <t>Selling artificial grass/pet toilets (TARGET)</t>
        </is>
      </c>
      <c r="O109" s="56">
        <f>IF(N109="Selling pet toys + Artificial grass/Pet toilets (TARGET)",15,IF(N109="Selling artificial grass/pet toilets (TARGET)",10,IF(N109="Selling pet toys",7,IF(N109="There's an Amazon link, but no target sales.",3,0))))</f>
        <v/>
      </c>
      <c r="P109" s="63">
        <f>H109+J109+L109+M109+O109</f>
        <v/>
      </c>
      <c r="Q109" s="64">
        <f>IF(OR(H109=0,P109&lt;30),"Tier D (Đóng băng)",IF(P109&gt;=85,"Tier S (Kim Cương: 85-100đ)",IF(P109&gt;=70,"Tier A (Vàng: 70-84đ)",IF(P109&gt;=61,"Tier B+ / Cấp A (Hot Lead: 61-69đ)",IF(P109&gt;=50,"Tier B (Bạc: 50-60đ)","Tier C (Đồng: 30-49đ)")))))</f>
        <v/>
      </c>
      <c r="R109" s="6" t="inlineStr">
        <is>
          <t>Cỏ nhân tạo sân chơi/huấn luyện (Dog Turf) + Đồ chơi nhai chịu lực (KONG/Chew Toys)</t>
        </is>
      </c>
      <c r="S109" s="6" t="inlineStr">
        <is>
          <t>HOT LEAD CẤP A: Gọi Telesale trực tiếp trong ngày + Email cá nhân hóa chào Puppy Kit V2/V3</t>
        </is>
      </c>
    </row>
    <row r="110">
      <c r="A110" s="59" t="n">
        <v>2119</v>
      </c>
      <c r="B110" s="15" t="inlineStr">
        <is>
          <t>Manny Park Puppies Bernedoodles &amp; Aussie Mountain Doodles</t>
        </is>
      </c>
      <c r="C110" s="60" t="inlineStr">
        <is>
          <t>https://www.facebook.com/mannyparkpuppies</t>
        </is>
      </c>
      <c r="D110" s="9" t="inlineStr">
        <is>
          <t>Cần quét Bio Fanpage</t>
        </is>
      </c>
      <c r="E110" s="59" t="inlineStr">
        <is>
          <t>08/10/2026 06:25:00</t>
        </is>
      </c>
      <c r="F110" s="59" t="inlineStr">
        <is>
          <t>4 ngày trước</t>
        </is>
      </c>
      <c r="G110" s="61" t="n">
        <v>4</v>
      </c>
      <c r="H110" s="62" t="n">
        <v>20</v>
      </c>
      <c r="I110" s="9" t="inlineStr">
        <is>
          <t>Dog Breeder / Trại chó chuyên nghiệp (28-30đ)</t>
        </is>
      </c>
      <c r="J110" s="62" t="n">
        <v>30</v>
      </c>
      <c r="K110" s="9" t="inlineStr">
        <is>
          <t>Bernedoodle, Goldendoodle, Australian Shepherd / Herding</t>
        </is>
      </c>
      <c r="L110" s="62" t="n">
        <v>15</v>
      </c>
      <c r="M110" s="62" t="n">
        <v>5</v>
      </c>
      <c r="N110" s="9" t="inlineStr">
        <is>
          <t>Amazon link not found</t>
        </is>
      </c>
      <c r="O110" s="62">
        <f>IF(N110="Selling pet toys + Artificial grass/Pet toilets (TARGET)",15,IF(N110="Selling artificial grass/pet toilets (TARGET)",10,IF(N110="Selling pet toys",7,IF(N110="There's an Amazon link, but no target sales.",3,0))))</f>
        <v/>
      </c>
      <c r="P110" s="63">
        <f>H110+J110+L110+M110+O110</f>
        <v/>
      </c>
      <c r="Q110" s="64">
        <f>IF(OR(H110=0,P110&lt;30),"Tier D (Đóng băng)",IF(P110&gt;=85,"Tier S (Kim Cương: 85-100đ)",IF(P110&gt;=70,"Tier A (Vàng: 70-84đ)",IF(P110&gt;=61,"Tier B+ / Cấp A (Hot Lead: 61-69đ)",IF(P110&gt;=50,"Tier B (Bạc: 50-60đ)","Tier C (Đồng: 30-49đ)")))))</f>
        <v/>
      </c>
      <c r="R110" s="9" t="inlineStr">
        <is>
          <t>Trọn gói Take-Home Starter Kit V2/V3 (Cỏ nhân tạo + Khay Potty + Đồ chơi Teething/Snuggle)</t>
        </is>
      </c>
      <c r="S110" s="9" t="inlineStr">
        <is>
          <t>HOT LEAD CẤP A: Gọi Telesale trực tiếp trong ngày + Email cá nhân hóa chào Puppy Kit V2/V3</t>
        </is>
      </c>
    </row>
    <row r="111">
      <c r="A111" s="53" t="n">
        <v>4767</v>
      </c>
      <c r="B111" s="12" t="inlineStr">
        <is>
          <t>Nipetown Hollow Farm</t>
        </is>
      </c>
      <c r="C111" s="54" t="inlineStr">
        <is>
          <t>https://www.facebook.com/profile.php?id=100064872934755</t>
        </is>
      </c>
      <c r="D111" s="6" t="inlineStr">
        <is>
          <t>Cần quét Bio Fanpage</t>
        </is>
      </c>
      <c r="E111" s="53" t="inlineStr">
        <is>
          <t>13/10/2026 08:27:10</t>
        </is>
      </c>
      <c r="F111" s="53" t="inlineStr">
        <is>
          <t>1 giờ trước</t>
        </is>
      </c>
      <c r="G111" s="55" t="n">
        <v>0.04</v>
      </c>
      <c r="H111" s="56" t="n">
        <v>35</v>
      </c>
      <c r="I111" s="6" t="inlineStr">
        <is>
          <t>Dog Breeder / Trại nhân giống (28-30đ)</t>
        </is>
      </c>
      <c r="J111" s="56" t="n">
        <v>28</v>
      </c>
      <c r="K111" s="6" t="inlineStr">
        <is>
          <t>Chưa rõ giống (Cần quét Bio)</t>
        </is>
      </c>
      <c r="L111" s="56" t="n">
        <v>0</v>
      </c>
      <c r="M111" s="56" t="n">
        <v>5</v>
      </c>
      <c r="N111" s="6" t="inlineStr">
        <is>
          <t>Amazon link not found</t>
        </is>
      </c>
      <c r="O111" s="56">
        <f>IF(N111="Selling pet toys + Artificial grass/Pet toilets (TARGET)",15,IF(N111="Selling artificial grass/pet toilets (TARGET)",10,IF(N111="Selling pet toys",7,IF(N111="There's an Amazon link, but no target sales.",3,0))))</f>
        <v/>
      </c>
      <c r="P111" s="63">
        <f>H111+J111+L111+M111+O111</f>
        <v/>
      </c>
      <c r="Q111" s="64">
        <f>IF(OR(H111=0,P111&lt;30),"Tier D (Đóng băng)",IF(P111&gt;=85,"Tier S (Kim Cương: 85-100đ)",IF(P111&gt;=70,"Tier A (Vàng: 70-84đ)",IF(P111&gt;=61,"Tier B+ / Cấp A (Hot Lead: 61-69đ)",IF(P111&gt;=50,"Tier B (Bạc: 50-60đ)","Tier C (Đồng: 30-49đ)")))))</f>
        <v/>
      </c>
      <c r="R111" s="6" t="inlineStr">
        <is>
          <t>Trọn gói Take-Home Starter Kit V2/V3 (Cỏ nhân tạo + Khay Potty + Đồ chơi cún con)</t>
        </is>
      </c>
      <c r="S111" s="6" t="inlineStr">
        <is>
          <t>HOT LEAD (Điểm ≥61): Liên hệ Telesale/Email chào gói Starter Kit &amp; Báo giá sỉ chiết khấu BOM</t>
        </is>
      </c>
    </row>
    <row r="112">
      <c r="A112" s="59" t="n">
        <v>5840</v>
      </c>
      <c r="B112" s="15" t="inlineStr">
        <is>
          <t>Walt, Gus &amp; Hank The Bernese Mountain Dogs</t>
        </is>
      </c>
      <c r="C112" s="60" t="inlineStr">
        <is>
          <t>https://www.facebook.com/waltandgusthebernese</t>
        </is>
      </c>
      <c r="D112" s="9" t="inlineStr">
        <is>
          <t>Cần quét Bio Fanpage</t>
        </is>
      </c>
      <c r="E112" s="59" t="inlineStr">
        <is>
          <t>13/10/2026 08:21:31</t>
        </is>
      </c>
      <c r="F112" s="59" t="inlineStr">
        <is>
          <t>3 giờ trước</t>
        </is>
      </c>
      <c r="G112" s="61" t="n">
        <v>0.12</v>
      </c>
      <c r="H112" s="62" t="n">
        <v>35</v>
      </c>
      <c r="I112" s="9" t="inlineStr">
        <is>
          <t>Dog Breeder / Trại chó chuyên nghiệp (28-30đ)</t>
        </is>
      </c>
      <c r="J112" s="62" t="n">
        <v>28</v>
      </c>
      <c r="K112" s="9" t="inlineStr">
        <is>
          <t>Bernese Mountain Dog</t>
        </is>
      </c>
      <c r="L112" s="62" t="n">
        <v>5</v>
      </c>
      <c r="M112" s="62" t="n">
        <v>0</v>
      </c>
      <c r="N112" s="9" t="inlineStr">
        <is>
          <t>Amazon link not found</t>
        </is>
      </c>
      <c r="O112" s="62">
        <f>IF(N112="Selling pet toys + Artificial grass/Pet toilets (TARGET)",15,IF(N112="Selling artificial grass/pet toilets (TARGET)",10,IF(N112="Selling pet toys",7,IF(N112="There's an Amazon link, but no target sales.",3,0))))</f>
        <v/>
      </c>
      <c r="P112" s="63">
        <f>H112+J112+L112+M112+O112</f>
        <v/>
      </c>
      <c r="Q112" s="64">
        <f>IF(OR(H112=0,P112&lt;30),"Tier D (Đóng băng)",IF(P112&gt;=85,"Tier S (Kim Cương: 85-100đ)",IF(P112&gt;=70,"Tier A (Vàng: 70-84đ)",IF(P112&gt;=61,"Tier B+ / Cấp A (Hot Lead: 61-69đ)",IF(P112&gt;=50,"Tier B (Bạc: 50-60đ)","Tier C (Đồng: 30-49đ)")))))</f>
        <v/>
      </c>
      <c r="R112" s="9" t="inlineStr">
        <is>
          <t>Trọn gói Take-Home Starter Kit V2/V3 (Cỏ nhân tạo + Khay Potty + Đồ chơi Teething/Snuggle)</t>
        </is>
      </c>
      <c r="S112" s="9" t="inlineStr">
        <is>
          <t>HOT LEAD (Điểm ≥61): Liên hệ Telesale/Email chào gói Starter Kit &amp; Báo giá sỉ chiết khấu BOM</t>
        </is>
      </c>
    </row>
    <row r="113">
      <c r="A113" s="53" t="n">
        <v>5443</v>
      </c>
      <c r="B113" s="12" t="inlineStr">
        <is>
          <t>Spoiled Dog Co.</t>
        </is>
      </c>
      <c r="C113" s="54" t="inlineStr">
        <is>
          <t>https://www.facebook.com/spoileddogco</t>
        </is>
      </c>
      <c r="D113" s="6" t="inlineStr">
        <is>
          <t>Cần quét Bio Fanpage</t>
        </is>
      </c>
      <c r="E113" s="53" t="inlineStr">
        <is>
          <t>13/10/2026 07:49:51</t>
        </is>
      </c>
      <c r="F113" s="53" t="inlineStr">
        <is>
          <t>2 giờ trước</t>
        </is>
      </c>
      <c r="G113" s="55" t="n">
        <v>0.08</v>
      </c>
      <c r="H113" s="56" t="n">
        <v>35</v>
      </c>
      <c r="I113" s="6" t="inlineStr">
        <is>
          <t>Dog Breeder / Trại nhân giống (28-30đ)</t>
        </is>
      </c>
      <c r="J113" s="56" t="n">
        <v>28</v>
      </c>
      <c r="K113" s="6" t="inlineStr">
        <is>
          <t>Chưa rõ giống (Cần quét Bio)</t>
        </is>
      </c>
      <c r="L113" s="56" t="n">
        <v>0</v>
      </c>
      <c r="M113" s="56" t="n">
        <v>5</v>
      </c>
      <c r="N113" s="6" t="inlineStr">
        <is>
          <t>Amazon link not found</t>
        </is>
      </c>
      <c r="O113" s="56">
        <f>IF(N113="Selling pet toys + Artificial grass/Pet toilets (TARGET)",15,IF(N113="Selling artificial grass/pet toilets (TARGET)",10,IF(N113="Selling pet toys",7,IF(N113="There's an Amazon link, but no target sales.",3,0))))</f>
        <v/>
      </c>
      <c r="P113" s="63">
        <f>H113+J113+L113+M113+O113</f>
        <v/>
      </c>
      <c r="Q113" s="64">
        <f>IF(OR(H113=0,P113&lt;30),"Tier D (Đóng băng)",IF(P113&gt;=85,"Tier S (Kim Cương: 85-100đ)",IF(P113&gt;=70,"Tier A (Vàng: 70-84đ)",IF(P113&gt;=61,"Tier B+ / Cấp A (Hot Lead: 61-69đ)",IF(P113&gt;=50,"Tier B (Bạc: 50-60đ)","Tier C (Đồng: 30-49đ)")))))</f>
        <v/>
      </c>
      <c r="R113" s="6" t="inlineStr">
        <is>
          <t>Trọn gói Take-Home Starter Kit V2/V3 (Cỏ nhân tạo + Khay Potty + Đồ chơi cún con)</t>
        </is>
      </c>
      <c r="S113" s="6" t="inlineStr">
        <is>
          <t>HOT LEAD (Điểm ≥61): Liên hệ Telesale/Email chào gói Starter Kit &amp; Báo giá sỉ chiết khấu BOM</t>
        </is>
      </c>
    </row>
    <row r="114">
      <c r="A114" s="59" t="n">
        <v>3088</v>
      </c>
      <c r="B114" s="15" t="inlineStr">
        <is>
          <t>The Boundless Hound</t>
        </is>
      </c>
      <c r="C114" s="60" t="inlineStr">
        <is>
          <t>https://www.facebook.com/profile.php?id=61591907463807</t>
        </is>
      </c>
      <c r="D114" s="9" t="inlineStr">
        <is>
          <t>Cần quét Bio Fanpage</t>
        </is>
      </c>
      <c r="E114" s="59" t="inlineStr">
        <is>
          <t>13/10/2026 05:00:00</t>
        </is>
      </c>
      <c r="F114" s="59" t="inlineStr">
        <is>
          <t>1 giờ trước</t>
        </is>
      </c>
      <c r="G114" s="61" t="n">
        <v>0.04</v>
      </c>
      <c r="H114" s="62" t="n">
        <v>35</v>
      </c>
      <c r="I114" s="9" t="inlineStr">
        <is>
          <t>Dog Breeder / Trại nhân giống (28-30đ)</t>
        </is>
      </c>
      <c r="J114" s="62" t="n">
        <v>28</v>
      </c>
      <c r="K114" s="9" t="inlineStr">
        <is>
          <t>Hound / Beagle / Basset</t>
        </is>
      </c>
      <c r="L114" s="62" t="n">
        <v>5</v>
      </c>
      <c r="M114" s="62" t="n">
        <v>0</v>
      </c>
      <c r="N114" s="9" t="inlineStr">
        <is>
          <t>Amazon link not found</t>
        </is>
      </c>
      <c r="O114" s="62">
        <f>IF(N114="Selling pet toys + Artificial grass/Pet toilets (TARGET)",15,IF(N114="Selling artificial grass/pet toilets (TARGET)",10,IF(N114="Selling pet toys",7,IF(N114="There's an Amazon link, but no target sales.",3,0))))</f>
        <v/>
      </c>
      <c r="P114" s="63">
        <f>H114+J114+L114+M114+O114</f>
        <v/>
      </c>
      <c r="Q114" s="64">
        <f>IF(OR(H114=0,P114&lt;30),"Tier D (Đóng băng)",IF(P114&gt;=85,"Tier S (Kim Cương: 85-100đ)",IF(P114&gt;=70,"Tier A (Vàng: 70-84đ)",IF(P114&gt;=61,"Tier B+ / Cấp A (Hot Lead: 61-69đ)",IF(P114&gt;=50,"Tier B (Bạc: 50-60đ)","Tier C (Đồng: 30-49đ)")))))</f>
        <v/>
      </c>
      <c r="R114" s="9" t="inlineStr">
        <is>
          <t>Trọn gói Take-Home Starter Kit V2/V3 (Cỏ nhân tạo + Khay Potty + Đồ chơi cún con)</t>
        </is>
      </c>
      <c r="S114" s="9" t="inlineStr">
        <is>
          <t>HOT LEAD (Điểm ≥61): Liên hệ Telesale/Email chào gói Starter Kit &amp; Báo giá sỉ chiết khấu BOM</t>
        </is>
      </c>
    </row>
    <row r="115">
      <c r="A115" s="53" t="n">
        <v>3641</v>
      </c>
      <c r="B115" s="12" t="inlineStr">
        <is>
          <t>Dogs Inc</t>
        </is>
      </c>
      <c r="C115" s="54" t="inlineStr">
        <is>
          <t>https://www.facebook.com/southeasternguidedogs</t>
        </is>
      </c>
      <c r="D115" s="6" t="inlineStr">
        <is>
          <t>Cần quét Bio Fanpage</t>
        </is>
      </c>
      <c r="E115" s="53" t="inlineStr">
        <is>
          <t>13/10/2026 04:00:34</t>
        </is>
      </c>
      <c r="F115" s="53" t="inlineStr">
        <is>
          <t>3 giờ trước</t>
        </is>
      </c>
      <c r="G115" s="55" t="n">
        <v>0.12</v>
      </c>
      <c r="H115" s="56" t="n">
        <v>35</v>
      </c>
      <c r="I115" s="6" t="inlineStr">
        <is>
          <t>Dog Breeder / Trại nhân giống (28-30đ)</t>
        </is>
      </c>
      <c r="J115" s="56" t="n">
        <v>28</v>
      </c>
      <c r="K115" s="6" t="inlineStr">
        <is>
          <t>Chưa rõ giống (Cần quét Bio)</t>
        </is>
      </c>
      <c r="L115" s="56" t="n">
        <v>0</v>
      </c>
      <c r="M115" s="56" t="n">
        <v>5</v>
      </c>
      <c r="N115" s="6" t="inlineStr">
        <is>
          <t>Amazon link not found</t>
        </is>
      </c>
      <c r="O115" s="56">
        <f>IF(N115="Selling pet toys + Artificial grass/Pet toilets (TARGET)",15,IF(N115="Selling artificial grass/pet toilets (TARGET)",10,IF(N115="Selling pet toys",7,IF(N115="There's an Amazon link, but no target sales.",3,0))))</f>
        <v/>
      </c>
      <c r="P115" s="63">
        <f>H115+J115+L115+M115+O115</f>
        <v/>
      </c>
      <c r="Q115" s="64">
        <f>IF(OR(H115=0,P115&lt;30),"Tier D (Đóng băng)",IF(P115&gt;=85,"Tier S (Kim Cương: 85-100đ)",IF(P115&gt;=70,"Tier A (Vàng: 70-84đ)",IF(P115&gt;=61,"Tier B+ / Cấp A (Hot Lead: 61-69đ)",IF(P115&gt;=50,"Tier B (Bạc: 50-60đ)","Tier C (Đồng: 30-49đ)")))))</f>
        <v/>
      </c>
      <c r="R115" s="6" t="inlineStr">
        <is>
          <t>Trọn gói Take-Home Starter Kit V2/V3 (Cỏ nhân tạo + Khay Potty + Đồ chơi cún con)</t>
        </is>
      </c>
      <c r="S115" s="6" t="inlineStr">
        <is>
          <t>HOT LEAD (Điểm ≥61): Liên hệ Telesale/Email chào gói Starter Kit &amp; Báo giá sỉ chiết khấu BOM</t>
        </is>
      </c>
    </row>
    <row r="116">
      <c r="A116" s="59" t="n">
        <v>1415</v>
      </c>
      <c r="B116" s="15" t="inlineStr">
        <is>
          <t>For The Love of Dogs, LLC</t>
        </is>
      </c>
      <c r="C116" s="60" t="inlineStr">
        <is>
          <t>https://www.facebook.com/ForTheLoveOfDogsLlc</t>
        </is>
      </c>
      <c r="D116" s="9" t="inlineStr">
        <is>
          <t>Cần quét Bio Fanpage</t>
        </is>
      </c>
      <c r="E116" s="59" t="inlineStr">
        <is>
          <t>13/10/2026 01:35:56</t>
        </is>
      </c>
      <c r="F116" s="59" t="inlineStr">
        <is>
          <t>1 giờ trước</t>
        </is>
      </c>
      <c r="G116" s="61" t="n">
        <v>0.04</v>
      </c>
      <c r="H116" s="62" t="n">
        <v>35</v>
      </c>
      <c r="I116" s="9" t="inlineStr">
        <is>
          <t>Dog Breeder / Trại nhân giống (28-30đ)</t>
        </is>
      </c>
      <c r="J116" s="62" t="n">
        <v>28</v>
      </c>
      <c r="K116" s="9" t="inlineStr">
        <is>
          <t>Chưa rõ giống (Cần quét Bio)</t>
        </is>
      </c>
      <c r="L116" s="62" t="n">
        <v>0</v>
      </c>
      <c r="M116" s="62" t="n">
        <v>5</v>
      </c>
      <c r="N116" s="9" t="inlineStr">
        <is>
          <t>Amazon link not found</t>
        </is>
      </c>
      <c r="O116" s="62">
        <f>IF(N116="Selling pet toys + Artificial grass/Pet toilets (TARGET)",15,IF(N116="Selling artificial grass/pet toilets (TARGET)",10,IF(N116="Selling pet toys",7,IF(N116="There's an Amazon link, but no target sales.",3,0))))</f>
        <v/>
      </c>
      <c r="P116" s="63">
        <f>H116+J116+L116+M116+O116</f>
        <v/>
      </c>
      <c r="Q116" s="64">
        <f>IF(OR(H116=0,P116&lt;30),"Tier D (Đóng băng)",IF(P116&gt;=85,"Tier S (Kim Cương: 85-100đ)",IF(P116&gt;=70,"Tier A (Vàng: 70-84đ)",IF(P116&gt;=61,"Tier B+ / Cấp A (Hot Lead: 61-69đ)",IF(P116&gt;=50,"Tier B (Bạc: 50-60đ)","Tier C (Đồng: 30-49đ)")))))</f>
        <v/>
      </c>
      <c r="R116" s="9" t="inlineStr">
        <is>
          <t>Trọn gói Take-Home Starter Kit V2/V3 (Cỏ nhân tạo + Khay Potty + Đồ chơi cún con)</t>
        </is>
      </c>
      <c r="S116" s="9" t="inlineStr">
        <is>
          <t>HOT LEAD (Điểm ≥61): Liên hệ Telesale/Email chào gói Starter Kit &amp; Báo giá sỉ chiết khấu BOM</t>
        </is>
      </c>
    </row>
    <row r="117">
      <c r="A117" s="53" t="n">
        <v>1759</v>
      </c>
      <c r="B117" s="12" t="inlineStr">
        <is>
          <t>Jena’s Blissful Bernese Mountain Dogs</t>
        </is>
      </c>
      <c r="C117" s="54" t="inlineStr">
        <is>
          <t>https://www.facebook.com/profile.php?id=61574902920954</t>
        </is>
      </c>
      <c r="D117" s="6" t="inlineStr">
        <is>
          <t>Cần quét Bio Fanpage</t>
        </is>
      </c>
      <c r="E117" s="53" t="inlineStr">
        <is>
          <t>13/10/2026 00:55:50</t>
        </is>
      </c>
      <c r="F117" s="53" t="inlineStr">
        <is>
          <t>3 giờ trước</t>
        </is>
      </c>
      <c r="G117" s="55" t="n">
        <v>0.12</v>
      </c>
      <c r="H117" s="56" t="n">
        <v>35</v>
      </c>
      <c r="I117" s="6" t="inlineStr">
        <is>
          <t>Dog Breeder / Trại chó chuyên nghiệp (28-30đ)</t>
        </is>
      </c>
      <c r="J117" s="56" t="n">
        <v>28</v>
      </c>
      <c r="K117" s="6" t="inlineStr">
        <is>
          <t>Bernese Mountain Dog</t>
        </is>
      </c>
      <c r="L117" s="56" t="n">
        <v>5</v>
      </c>
      <c r="M117" s="56" t="n">
        <v>0</v>
      </c>
      <c r="N117" s="6" t="inlineStr">
        <is>
          <t>Amazon link not found</t>
        </is>
      </c>
      <c r="O117" s="56">
        <f>IF(N117="Selling pet toys + Artificial grass/Pet toilets (TARGET)",15,IF(N117="Selling artificial grass/pet toilets (TARGET)",10,IF(N117="Selling pet toys",7,IF(N117="There's an Amazon link, but no target sales.",3,0))))</f>
        <v/>
      </c>
      <c r="P117" s="63">
        <f>H117+J117+L117+M117+O117</f>
        <v/>
      </c>
      <c r="Q117" s="64">
        <f>IF(OR(H117=0,P117&lt;30),"Tier D (Đóng băng)",IF(P117&gt;=85,"Tier S (Kim Cương: 85-100đ)",IF(P117&gt;=70,"Tier A (Vàng: 70-84đ)",IF(P117&gt;=61,"Tier B+ / Cấp A (Hot Lead: 61-69đ)",IF(P117&gt;=50,"Tier B (Bạc: 50-60đ)","Tier C (Đồng: 30-49đ)")))))</f>
        <v/>
      </c>
      <c r="R117" s="6" t="inlineStr">
        <is>
          <t>Trọn gói Take-Home Starter Kit V2/V3 (Cỏ nhân tạo + Khay Potty + Đồ chơi Teething/Snuggle)</t>
        </is>
      </c>
      <c r="S117" s="6" t="inlineStr">
        <is>
          <t>HOT LEAD (Điểm ≥61): Liên hệ Telesale/Email chào gói Starter Kit &amp; Báo giá sỉ chiết khấu BOM</t>
        </is>
      </c>
    </row>
    <row r="118">
      <c r="A118" s="59" t="n">
        <v>506</v>
      </c>
      <c r="B118" s="15" t="inlineStr">
        <is>
          <t>Apricot Lane Puppy</t>
        </is>
      </c>
      <c r="C118" s="60" t="inlineStr">
        <is>
          <t>https://www.facebook.com/profile.php?id=100063685532640</t>
        </is>
      </c>
      <c r="D118" s="9" t="inlineStr">
        <is>
          <t>Cần quét Bio Fanpage</t>
        </is>
      </c>
      <c r="E118" s="59" t="inlineStr">
        <is>
          <t>13/10/2026 00:11:47</t>
        </is>
      </c>
      <c r="F118" s="59" t="inlineStr">
        <is>
          <t>1 giờ trước</t>
        </is>
      </c>
      <c r="G118" s="61" t="n">
        <v>0.04</v>
      </c>
      <c r="H118" s="62" t="n">
        <v>35</v>
      </c>
      <c r="I118" s="9" t="inlineStr">
        <is>
          <t>Dog Breeder / Trại chó chuyên nghiệp (28-30đ)</t>
        </is>
      </c>
      <c r="J118" s="62" t="n">
        <v>28</v>
      </c>
      <c r="K118" s="9" t="inlineStr">
        <is>
          <t>Chưa rõ giống (Cần quét Bio)</t>
        </is>
      </c>
      <c r="L118" s="62" t="n">
        <v>0</v>
      </c>
      <c r="M118" s="62" t="n">
        <v>5</v>
      </c>
      <c r="N118" s="9" t="inlineStr">
        <is>
          <t>Amazon link not found</t>
        </is>
      </c>
      <c r="O118" s="62">
        <f>IF(N118="Selling pet toys + Artificial grass/Pet toilets (TARGET)",15,IF(N118="Selling artificial grass/pet toilets (TARGET)",10,IF(N118="Selling pet toys",7,IF(N118="There's an Amazon link, but no target sales.",3,0))))</f>
        <v/>
      </c>
      <c r="P118" s="63">
        <f>H118+J118+L118+M118+O118</f>
        <v/>
      </c>
      <c r="Q118" s="64">
        <f>IF(OR(H118=0,P118&lt;30),"Tier D (Đóng băng)",IF(P118&gt;=85,"Tier S (Kim Cương: 85-100đ)",IF(P118&gt;=70,"Tier A (Vàng: 70-84đ)",IF(P118&gt;=61,"Tier B+ / Cấp A (Hot Lead: 61-69đ)",IF(P118&gt;=50,"Tier B (Bạc: 50-60đ)","Tier C (Đồng: 30-49đ)")))))</f>
        <v/>
      </c>
      <c r="R118" s="9" t="inlineStr">
        <is>
          <t>Trọn gói Take-Home Starter Kit V2/V3 (Cỏ nhân tạo + Khay Potty + Đồ chơi Teething/Snuggle)</t>
        </is>
      </c>
      <c r="S118" s="9" t="inlineStr">
        <is>
          <t>HOT LEAD (Điểm ≥61): Liên hệ Telesale/Email chào gói Starter Kit &amp; Báo giá sỉ chiết khấu BOM</t>
        </is>
      </c>
    </row>
    <row r="119">
      <c r="A119" s="53" t="n">
        <v>1682</v>
      </c>
      <c r="B119" s="12" t="inlineStr">
        <is>
          <t>Hood's Pet Express LLC</t>
        </is>
      </c>
      <c r="C119" s="54" t="inlineStr">
        <is>
          <t>https://www.facebook.com/HPetexpress22</t>
        </is>
      </c>
      <c r="D119" s="6" t="inlineStr">
        <is>
          <t>Cần quét Bio Fanpage</t>
        </is>
      </c>
      <c r="E119" s="53" t="inlineStr">
        <is>
          <t>13/10/2026 00:09:22</t>
        </is>
      </c>
      <c r="F119" s="53" t="inlineStr">
        <is>
          <t>3 giờ trước</t>
        </is>
      </c>
      <c r="G119" s="55" t="n">
        <v>0.12</v>
      </c>
      <c r="H119" s="56" t="n">
        <v>35</v>
      </c>
      <c r="I119" s="6" t="inlineStr">
        <is>
          <t>Dog Breeder / Trại nhân giống (28-30đ)</t>
        </is>
      </c>
      <c r="J119" s="56" t="n">
        <v>28</v>
      </c>
      <c r="K119" s="6" t="inlineStr">
        <is>
          <t>Chưa rõ giống (Cần quét Bio)</t>
        </is>
      </c>
      <c r="L119" s="56" t="n">
        <v>0</v>
      </c>
      <c r="M119" s="56" t="n">
        <v>5</v>
      </c>
      <c r="N119" s="6" t="inlineStr">
        <is>
          <t>Amazon link not found</t>
        </is>
      </c>
      <c r="O119" s="56">
        <f>IF(N119="Selling pet toys + Artificial grass/Pet toilets (TARGET)",15,IF(N119="Selling artificial grass/pet toilets (TARGET)",10,IF(N119="Selling pet toys",7,IF(N119="There's an Amazon link, but no target sales.",3,0))))</f>
        <v/>
      </c>
      <c r="P119" s="63">
        <f>H119+J119+L119+M119+O119</f>
        <v/>
      </c>
      <c r="Q119" s="64">
        <f>IF(OR(H119=0,P119&lt;30),"Tier D (Đóng băng)",IF(P119&gt;=85,"Tier S (Kim Cương: 85-100đ)",IF(P119&gt;=70,"Tier A (Vàng: 70-84đ)",IF(P119&gt;=61,"Tier B+ / Cấp A (Hot Lead: 61-69đ)",IF(P119&gt;=50,"Tier B (Bạc: 50-60đ)","Tier C (Đồng: 30-49đ)")))))</f>
        <v/>
      </c>
      <c r="R119" s="6" t="inlineStr">
        <is>
          <t>Trọn gói Take-Home Starter Kit V2/V3 (Cỏ nhân tạo + Khay Potty + Đồ chơi cún con)</t>
        </is>
      </c>
      <c r="S119" s="6" t="inlineStr">
        <is>
          <t>HOT LEAD (Điểm ≥61): Liên hệ Telesale/Email chào gói Starter Kit &amp; Báo giá sỉ chiết khấu BOM</t>
        </is>
      </c>
    </row>
    <row r="120">
      <c r="A120" s="59" t="n">
        <v>239</v>
      </c>
      <c r="B120" s="15" t="inlineStr">
        <is>
          <t>Pasturegreen Bernese Mountain Dogs</t>
        </is>
      </c>
      <c r="C120" s="60" t="inlineStr">
        <is>
          <t>https://www.facebook.com/pasturegreenbernese</t>
        </is>
      </c>
      <c r="D120" s="9" t="inlineStr">
        <is>
          <t>Cần quét Bio Fanpage</t>
        </is>
      </c>
      <c r="E120" s="59" t="inlineStr">
        <is>
          <t>13/10/2026 00:00:20</t>
        </is>
      </c>
      <c r="F120" s="59" t="inlineStr">
        <is>
          <t>1 giờ trước</t>
        </is>
      </c>
      <c r="G120" s="61" t="n">
        <v>0.04</v>
      </c>
      <c r="H120" s="62" t="n">
        <v>35</v>
      </c>
      <c r="I120" s="9" t="inlineStr">
        <is>
          <t>Dog Breeder / Trại chó chuyên nghiệp (28-30đ)</t>
        </is>
      </c>
      <c r="J120" s="62" t="n">
        <v>28</v>
      </c>
      <c r="K120" s="9" t="inlineStr">
        <is>
          <t>Bernese Mountain Dog</t>
        </is>
      </c>
      <c r="L120" s="62" t="n">
        <v>5</v>
      </c>
      <c r="M120" s="62" t="n">
        <v>0</v>
      </c>
      <c r="N120" s="9" t="inlineStr">
        <is>
          <t>Amazon link not found</t>
        </is>
      </c>
      <c r="O120" s="62">
        <f>IF(N120="Selling pet toys + Artificial grass/Pet toilets (TARGET)",15,IF(N120="Selling artificial grass/pet toilets (TARGET)",10,IF(N120="Selling pet toys",7,IF(N120="There's an Amazon link, but no target sales.",3,0))))</f>
        <v/>
      </c>
      <c r="P120" s="63">
        <f>H120+J120+L120+M120+O120</f>
        <v/>
      </c>
      <c r="Q120" s="64">
        <f>IF(OR(H120=0,P120&lt;30),"Tier D (Đóng băng)",IF(P120&gt;=85,"Tier S (Kim Cương: 85-100đ)",IF(P120&gt;=70,"Tier A (Vàng: 70-84đ)",IF(P120&gt;=61,"Tier B+ / Cấp A (Hot Lead: 61-69đ)",IF(P120&gt;=50,"Tier B (Bạc: 50-60đ)","Tier C (Đồng: 30-49đ)")))))</f>
        <v/>
      </c>
      <c r="R120" s="9" t="inlineStr">
        <is>
          <t>Trọn gói Take-Home Starter Kit V2/V3 (Cỏ nhân tạo + Khay Potty + Đồ chơi Teething/Snuggle)</t>
        </is>
      </c>
      <c r="S120" s="9" t="inlineStr">
        <is>
          <t>HOT LEAD (Điểm ≥61): Liên hệ Telesale/Email chào gói Starter Kit &amp; Báo giá sỉ chiết khấu BOM</t>
        </is>
      </c>
    </row>
    <row r="121">
      <c r="A121" s="53" t="n">
        <v>109</v>
      </c>
      <c r="B121" s="12" t="inlineStr">
        <is>
          <t>Basset Hound Down</t>
        </is>
      </c>
      <c r="C121" s="54" t="inlineStr">
        <is>
          <t>https://www.facebook.com/HoundDown</t>
        </is>
      </c>
      <c r="D121" s="6" t="inlineStr">
        <is>
          <t>Cần quét Bio Fanpage</t>
        </is>
      </c>
      <c r="E121" s="53" t="inlineStr">
        <is>
          <t>12/10/2026 23:37:07</t>
        </is>
      </c>
      <c r="F121" s="53" t="inlineStr">
        <is>
          <t>1 giờ trước</t>
        </is>
      </c>
      <c r="G121" s="55" t="n">
        <v>0.04</v>
      </c>
      <c r="H121" s="56" t="n">
        <v>35</v>
      </c>
      <c r="I121" s="6" t="inlineStr">
        <is>
          <t>Dog Breeder / Trại nhân giống (28-30đ)</t>
        </is>
      </c>
      <c r="J121" s="56" t="n">
        <v>28</v>
      </c>
      <c r="K121" s="6" t="inlineStr">
        <is>
          <t>Hound / Beagle / Basset</t>
        </is>
      </c>
      <c r="L121" s="56" t="n">
        <v>5</v>
      </c>
      <c r="M121" s="56" t="n">
        <v>0</v>
      </c>
      <c r="N121" s="6" t="inlineStr">
        <is>
          <t>Amazon link not found</t>
        </is>
      </c>
      <c r="O121" s="56">
        <f>IF(N121="Selling pet toys + Artificial grass/Pet toilets (TARGET)",15,IF(N121="Selling artificial grass/pet toilets (TARGET)",10,IF(N121="Selling pet toys",7,IF(N121="There's an Amazon link, but no target sales.",3,0))))</f>
        <v/>
      </c>
      <c r="P121" s="63">
        <f>H121+J121+L121+M121+O121</f>
        <v/>
      </c>
      <c r="Q121" s="64">
        <f>IF(OR(H121=0,P121&lt;30),"Tier D (Đóng băng)",IF(P121&gt;=85,"Tier S (Kim Cương: 85-100đ)",IF(P121&gt;=70,"Tier A (Vàng: 70-84đ)",IF(P121&gt;=61,"Tier B+ / Cấp A (Hot Lead: 61-69đ)",IF(P121&gt;=50,"Tier B (Bạc: 50-60đ)","Tier C (Đồng: 30-49đ)")))))</f>
        <v/>
      </c>
      <c r="R121" s="6" t="inlineStr">
        <is>
          <t>Trọn gói Take-Home Starter Kit V2/V3 (Cỏ nhân tạo + Khay Potty + Đồ chơi cún con)</t>
        </is>
      </c>
      <c r="S121" s="6" t="inlineStr">
        <is>
          <t>HOT LEAD (Điểm ≥61): Liên hệ Telesale/Email chào gói Starter Kit &amp; Báo giá sỉ chiết khấu BOM</t>
        </is>
      </c>
    </row>
    <row r="122">
      <c r="A122" s="59" t="n">
        <v>5</v>
      </c>
      <c r="B122" s="15" t="inlineStr">
        <is>
          <t>Puppy Culture</t>
        </is>
      </c>
      <c r="C122" s="60" t="inlineStr">
        <is>
          <t>https://www.facebook.com/puppyculture</t>
        </is>
      </c>
      <c r="D122" s="9" t="inlineStr">
        <is>
          <t>Cần quét Bio Fanpage</t>
        </is>
      </c>
      <c r="E122" s="59" t="inlineStr">
        <is>
          <t>12/10/2026 23:35:57</t>
        </is>
      </c>
      <c r="F122" s="59" t="inlineStr">
        <is>
          <t>1 giờ trước</t>
        </is>
      </c>
      <c r="G122" s="61" t="n">
        <v>0.04</v>
      </c>
      <c r="H122" s="62" t="n">
        <v>35</v>
      </c>
      <c r="I122" s="9" t="inlineStr">
        <is>
          <t>Dog Breeder / Trại chó chuyên nghiệp (28-30đ)</t>
        </is>
      </c>
      <c r="J122" s="62" t="n">
        <v>28</v>
      </c>
      <c r="K122" s="9" t="inlineStr">
        <is>
          <t>Chưa rõ giống (Cần quét Bio)</t>
        </is>
      </c>
      <c r="L122" s="62" t="n">
        <v>0</v>
      </c>
      <c r="M122" s="62" t="n">
        <v>5</v>
      </c>
      <c r="N122" s="9" t="inlineStr">
        <is>
          <t>Amazon link not found</t>
        </is>
      </c>
      <c r="O122" s="62">
        <f>IF(N122="Selling pet toys + Artificial grass/Pet toilets (TARGET)",15,IF(N122="Selling artificial grass/pet toilets (TARGET)",10,IF(N122="Selling pet toys",7,IF(N122="There's an Amazon link, but no target sales.",3,0))))</f>
        <v/>
      </c>
      <c r="P122" s="63">
        <f>H122+J122+L122+M122+O122</f>
        <v/>
      </c>
      <c r="Q122" s="64">
        <f>IF(OR(H122=0,P122&lt;30),"Tier D (Đóng băng)",IF(P122&gt;=85,"Tier S (Kim Cương: 85-100đ)",IF(P122&gt;=70,"Tier A (Vàng: 70-84đ)",IF(P122&gt;=61,"Tier B+ / Cấp A (Hot Lead: 61-69đ)",IF(P122&gt;=50,"Tier B (Bạc: 50-60đ)","Tier C (Đồng: 30-49đ)")))))</f>
        <v/>
      </c>
      <c r="R122" s="9" t="inlineStr">
        <is>
          <t>Trọn gói Take-Home Starter Kit V2/V3 (Cỏ nhân tạo + Khay Potty + Đồ chơi Teething/Snuggle)</t>
        </is>
      </c>
      <c r="S122" s="9" t="inlineStr">
        <is>
          <t>HOT LEAD (Điểm ≥61): Liên hệ Telesale/Email chào gói Starter Kit &amp; Báo giá sỉ chiết khấu BOM</t>
        </is>
      </c>
    </row>
    <row r="123">
      <c r="A123" s="53" t="n">
        <v>87</v>
      </c>
      <c r="B123" s="12" t="inlineStr">
        <is>
          <t>2026 National Sheepdog Finals</t>
        </is>
      </c>
      <c r="C123" s="54" t="inlineStr">
        <is>
          <t>https://www.facebook.com/nationalsheepdogfinals</t>
        </is>
      </c>
      <c r="D123" s="6" t="inlineStr">
        <is>
          <t>Cần quét Bio Fanpage</t>
        </is>
      </c>
      <c r="E123" s="53" t="inlineStr">
        <is>
          <t>12/10/2026 22:21:42</t>
        </is>
      </c>
      <c r="F123" s="53" t="inlineStr">
        <is>
          <t>2 giờ trước</t>
        </is>
      </c>
      <c r="G123" s="55" t="n">
        <v>0.08</v>
      </c>
      <c r="H123" s="56" t="n">
        <v>35</v>
      </c>
      <c r="I123" s="6" t="inlineStr">
        <is>
          <t>Dog Breeder / Trại nhân giống (28-30đ)</t>
        </is>
      </c>
      <c r="J123" s="56" t="n">
        <v>28</v>
      </c>
      <c r="K123" s="6" t="inlineStr">
        <is>
          <t>Australian Shepherd / Herding</t>
        </is>
      </c>
      <c r="L123" s="56" t="n">
        <v>5</v>
      </c>
      <c r="M123" s="56" t="n">
        <v>0</v>
      </c>
      <c r="N123" s="6" t="inlineStr">
        <is>
          <t>Amazon link not found</t>
        </is>
      </c>
      <c r="O123" s="56">
        <f>IF(N123="Selling pet toys + Artificial grass/Pet toilets (TARGET)",15,IF(N123="Selling artificial grass/pet toilets (TARGET)",10,IF(N123="Selling pet toys",7,IF(N123="There's an Amazon link, but no target sales.",3,0))))</f>
        <v/>
      </c>
      <c r="P123" s="63">
        <f>H123+J123+L123+M123+O123</f>
        <v/>
      </c>
      <c r="Q123" s="64">
        <f>IF(OR(H123=0,P123&lt;30),"Tier D (Đóng băng)",IF(P123&gt;=85,"Tier S (Kim Cương: 85-100đ)",IF(P123&gt;=70,"Tier A (Vàng: 70-84đ)",IF(P123&gt;=61,"Tier B+ / Cấp A (Hot Lead: 61-69đ)",IF(P123&gt;=50,"Tier B (Bạc: 50-60đ)","Tier C (Đồng: 30-49đ)")))))</f>
        <v/>
      </c>
      <c r="R123" s="6" t="inlineStr">
        <is>
          <t>Trọn gói Take-Home Starter Kit V2/V3 (Cỏ nhân tạo + Khay Potty + Đồ chơi cún con)</t>
        </is>
      </c>
      <c r="S123" s="6" t="inlineStr">
        <is>
          <t>HOT LEAD (Điểm ≥61): Liên hệ Telesale/Email chào gói Starter Kit &amp; Báo giá sỉ chiết khấu BOM</t>
        </is>
      </c>
    </row>
    <row r="124">
      <c r="A124" s="59" t="n">
        <v>622</v>
      </c>
      <c r="B124" s="15" t="inlineStr">
        <is>
          <t>Beldawn Shetland Sheepdogs</t>
        </is>
      </c>
      <c r="C124" s="60" t="inlineStr">
        <is>
          <t>https://www.facebook.com/profile.php?id=100083007921203</t>
        </is>
      </c>
      <c r="D124" s="9" t="inlineStr">
        <is>
          <t>Cần quét Bio Fanpage</t>
        </is>
      </c>
      <c r="E124" s="59" t="inlineStr">
        <is>
          <t>12/10/2026 22:19:16</t>
        </is>
      </c>
      <c r="F124" s="59" t="inlineStr">
        <is>
          <t>3 giờ trước</t>
        </is>
      </c>
      <c r="G124" s="61" t="n">
        <v>0.12</v>
      </c>
      <c r="H124" s="62" t="n">
        <v>35</v>
      </c>
      <c r="I124" s="9" t="inlineStr">
        <is>
          <t>Dog Breeder / Trại nhân giống (28-30đ)</t>
        </is>
      </c>
      <c r="J124" s="62" t="n">
        <v>28</v>
      </c>
      <c r="K124" s="9" t="inlineStr">
        <is>
          <t>Australian Shepherd / Herding</t>
        </is>
      </c>
      <c r="L124" s="62" t="n">
        <v>5</v>
      </c>
      <c r="M124" s="62" t="n">
        <v>0</v>
      </c>
      <c r="N124" s="9" t="inlineStr">
        <is>
          <t>Amazon link not found</t>
        </is>
      </c>
      <c r="O124" s="62">
        <f>IF(N124="Selling pet toys + Artificial grass/Pet toilets (TARGET)",15,IF(N124="Selling artificial grass/pet toilets (TARGET)",10,IF(N124="Selling pet toys",7,IF(N124="There's an Amazon link, but no target sales.",3,0))))</f>
        <v/>
      </c>
      <c r="P124" s="63">
        <f>H124+J124+L124+M124+O124</f>
        <v/>
      </c>
      <c r="Q124" s="64">
        <f>IF(OR(H124=0,P124&lt;30),"Tier D (Đóng băng)",IF(P124&gt;=85,"Tier S (Kim Cương: 85-100đ)",IF(P124&gt;=70,"Tier A (Vàng: 70-84đ)",IF(P124&gt;=61,"Tier B+ / Cấp A (Hot Lead: 61-69đ)",IF(P124&gt;=50,"Tier B (Bạc: 50-60đ)","Tier C (Đồng: 30-49đ)")))))</f>
        <v/>
      </c>
      <c r="R124" s="9" t="inlineStr">
        <is>
          <t>Trọn gói Take-Home Starter Kit V2/V3 (Cỏ nhân tạo + Khay Potty + Đồ chơi cún con)</t>
        </is>
      </c>
      <c r="S124" s="9" t="inlineStr">
        <is>
          <t>HOT LEAD (Điểm ≥61): Liên hệ Telesale/Email chào gói Starter Kit &amp; Báo giá sỉ chiết khấu BOM</t>
        </is>
      </c>
    </row>
    <row r="125">
      <c r="A125" s="53" t="n">
        <v>28</v>
      </c>
      <c r="B125" s="12" t="inlineStr">
        <is>
          <t>Puppy Perfectionist</t>
        </is>
      </c>
      <c r="C125" s="54" t="inlineStr">
        <is>
          <t>https://www.facebook.com/PuppyPerfectionist</t>
        </is>
      </c>
      <c r="D125" s="6" t="inlineStr">
        <is>
          <t>Cần quét Bio Fanpage</t>
        </is>
      </c>
      <c r="E125" s="53" t="inlineStr">
        <is>
          <t>12/10/2026 22:09:13</t>
        </is>
      </c>
      <c r="F125" s="53" t="inlineStr">
        <is>
          <t>2 giờ trước</t>
        </is>
      </c>
      <c r="G125" s="55" t="n">
        <v>0.08</v>
      </c>
      <c r="H125" s="56" t="n">
        <v>35</v>
      </c>
      <c r="I125" s="6" t="inlineStr">
        <is>
          <t>Dog Breeder / Trại chó chuyên nghiệp (28-30đ)</t>
        </is>
      </c>
      <c r="J125" s="56" t="n">
        <v>28</v>
      </c>
      <c r="K125" s="6" t="inlineStr">
        <is>
          <t>Chưa rõ giống (Cần quét Bio)</t>
        </is>
      </c>
      <c r="L125" s="56" t="n">
        <v>0</v>
      </c>
      <c r="M125" s="56" t="n">
        <v>5</v>
      </c>
      <c r="N125" s="6" t="inlineStr">
        <is>
          <t>Amazon link not found</t>
        </is>
      </c>
      <c r="O125" s="56">
        <f>IF(N125="Selling pet toys + Artificial grass/Pet toilets (TARGET)",15,IF(N125="Selling artificial grass/pet toilets (TARGET)",10,IF(N125="Selling pet toys",7,IF(N125="There's an Amazon link, but no target sales.",3,0))))</f>
        <v/>
      </c>
      <c r="P125" s="63">
        <f>H125+J125+L125+M125+O125</f>
        <v/>
      </c>
      <c r="Q125" s="64">
        <f>IF(OR(H125=0,P125&lt;30),"Tier D (Đóng băng)",IF(P125&gt;=85,"Tier S (Kim Cương: 85-100đ)",IF(P125&gt;=70,"Tier A (Vàng: 70-84đ)",IF(P125&gt;=61,"Tier B+ / Cấp A (Hot Lead: 61-69đ)",IF(P125&gt;=50,"Tier B (Bạc: 50-60đ)","Tier C (Đồng: 30-49đ)")))))</f>
        <v/>
      </c>
      <c r="R125" s="6" t="inlineStr">
        <is>
          <t>Trọn gói Take-Home Starter Kit V2/V3 (Cỏ nhân tạo + Khay Potty + Đồ chơi Teething/Snuggle)</t>
        </is>
      </c>
      <c r="S125" s="6" t="inlineStr">
        <is>
          <t>HOT LEAD (Điểm ≥61): Liên hệ Telesale/Email chào gói Starter Kit &amp; Báo giá sỉ chiết khấu BOM</t>
        </is>
      </c>
    </row>
    <row r="126">
      <c r="A126" s="59" t="n">
        <v>1626</v>
      </c>
      <c r="B126" s="15" t="inlineStr">
        <is>
          <t>Havanese &amp; Havaton Puppies</t>
        </is>
      </c>
      <c r="C126" s="60" t="inlineStr">
        <is>
          <t>https://www.facebook.com/profile.php?id=61563064265916</t>
        </is>
      </c>
      <c r="D126" s="9" t="inlineStr">
        <is>
          <t>Cần quét Bio Fanpage</t>
        </is>
      </c>
      <c r="E126" s="59" t="inlineStr">
        <is>
          <t>12/10/2026 03:34:51</t>
        </is>
      </c>
      <c r="F126" s="59" t="inlineStr">
        <is>
          <t>1 ngày trước</t>
        </is>
      </c>
      <c r="G126" s="61" t="n">
        <v>1</v>
      </c>
      <c r="H126" s="62" t="n">
        <v>28</v>
      </c>
      <c r="I126" s="9" t="inlineStr">
        <is>
          <t>Dog Breeder / Trại chó chuyên nghiệp (28-30đ)</t>
        </is>
      </c>
      <c r="J126" s="62" t="n">
        <v>30</v>
      </c>
      <c r="K126" s="9" t="inlineStr">
        <is>
          <t>Chihuahua / Toy Companion</t>
        </is>
      </c>
      <c r="L126" s="62" t="n">
        <v>5</v>
      </c>
      <c r="M126" s="62" t="n">
        <v>5</v>
      </c>
      <c r="N126" s="9" t="inlineStr">
        <is>
          <t>Amazon link not found</t>
        </is>
      </c>
      <c r="O126" s="62">
        <f>IF(N126="Selling pet toys + Artificial grass/Pet toilets (TARGET)",15,IF(N126="Selling artificial grass/pet toilets (TARGET)",10,IF(N126="Selling pet toys",7,IF(N126="There's an Amazon link, but no target sales.",3,0))))</f>
        <v/>
      </c>
      <c r="P126" s="63">
        <f>H126+J126+L126+M126+O126</f>
        <v/>
      </c>
      <c r="Q126" s="64">
        <f>IF(OR(H126=0,P126&lt;30),"Tier D (Đóng băng)",IF(P126&gt;=85,"Tier S (Kim Cương: 85-100đ)",IF(P126&gt;=70,"Tier A (Vàng: 70-84đ)",IF(P126&gt;=61,"Tier B+ / Cấp A (Hot Lead: 61-69đ)",IF(P126&gt;=50,"Tier B (Bạc: 50-60đ)","Tier C (Đồng: 30-49đ)")))))</f>
        <v/>
      </c>
      <c r="R126" s="9" t="inlineStr">
        <is>
          <t>Trọn gói Take-Home Starter Kit V2/V3 (Cỏ nhân tạo + Khay Potty + Đồ chơi Teething/Snuggle)</t>
        </is>
      </c>
      <c r="S126" s="9" t="inlineStr">
        <is>
          <t>HOT LEAD (Điểm ≥61): Liên hệ Telesale/Email chào gói Starter Kit &amp; Báo giá sỉ chiết khấu BOM</t>
        </is>
      </c>
    </row>
    <row r="127">
      <c r="A127" s="53" t="n">
        <v>869</v>
      </c>
      <c r="B127" s="12" t="inlineStr">
        <is>
          <t>Centerpiece Puppies LLC</t>
        </is>
      </c>
      <c r="C127" s="54" t="inlineStr">
        <is>
          <t>https://www.facebook.com/centerpiecepuppies</t>
        </is>
      </c>
      <c r="D127" s="6" t="inlineStr">
        <is>
          <t>Cần quét Bio Fanpage</t>
        </is>
      </c>
      <c r="E127" s="53" t="inlineStr">
        <is>
          <t>11/10/2026 23:02:04</t>
        </is>
      </c>
      <c r="F127" s="53" t="inlineStr">
        <is>
          <t>1 ngày trước</t>
        </is>
      </c>
      <c r="G127" s="55" t="n">
        <v>1</v>
      </c>
      <c r="H127" s="56" t="n">
        <v>28</v>
      </c>
      <c r="I127" s="6" t="inlineStr">
        <is>
          <t>Dog Breeder / Trại chó chuyên nghiệp (28-30đ)</t>
        </is>
      </c>
      <c r="J127" s="56" t="n">
        <v>30</v>
      </c>
      <c r="K127" s="6" t="inlineStr">
        <is>
          <t>Chưa rõ giống (Cần quét Bio)</t>
        </is>
      </c>
      <c r="L127" s="56" t="n">
        <v>0</v>
      </c>
      <c r="M127" s="56" t="n">
        <v>10</v>
      </c>
      <c r="N127" s="6" t="inlineStr">
        <is>
          <t>Amazon link not found</t>
        </is>
      </c>
      <c r="O127" s="56">
        <f>IF(N127="Selling pet toys + Artificial grass/Pet toilets (TARGET)",15,IF(N127="Selling artificial grass/pet toilets (TARGET)",10,IF(N127="Selling pet toys",7,IF(N127="There's an Amazon link, but no target sales.",3,0))))</f>
        <v/>
      </c>
      <c r="P127" s="63">
        <f>H127+J127+L127+M127+O127</f>
        <v/>
      </c>
      <c r="Q127" s="64">
        <f>IF(OR(H127=0,P127&lt;30),"Tier D (Đóng băng)",IF(P127&gt;=85,"Tier S (Kim Cương: 85-100đ)",IF(P127&gt;=70,"Tier A (Vàng: 70-84đ)",IF(P127&gt;=61,"Tier B+ / Cấp A (Hot Lead: 61-69đ)",IF(P127&gt;=50,"Tier B (Bạc: 50-60đ)","Tier C (Đồng: 30-49đ)")))))</f>
        <v/>
      </c>
      <c r="R127" s="6" t="inlineStr">
        <is>
          <t>Trọn gói Take-Home Starter Kit V2/V3 (Cỏ nhân tạo + Khay Potty + Đồ chơi Teething/Snuggle)</t>
        </is>
      </c>
      <c r="S127" s="6" t="inlineStr">
        <is>
          <t>HOT LEAD (Điểm ≥61): Liên hệ Telesale/Email chào gói Starter Kit &amp; Báo giá sỉ chiết khấu BOM</t>
        </is>
      </c>
    </row>
    <row r="128">
      <c r="A128" s="59" t="n">
        <v>2062</v>
      </c>
      <c r="B128" s="15" t="inlineStr">
        <is>
          <t>Love of a Lost World border collie kennel</t>
        </is>
      </c>
      <c r="C128" s="60" t="inlineStr">
        <is>
          <t>https://www.facebook.com/profile.php?id=61555434625291</t>
        </is>
      </c>
      <c r="D128" s="9" t="inlineStr">
        <is>
          <t>Cần quét Bio Fanpage</t>
        </is>
      </c>
      <c r="E128" s="59" t="inlineStr">
        <is>
          <t>11/10/2026 19:41:00</t>
        </is>
      </c>
      <c r="F128" s="59" t="inlineStr">
        <is>
          <t>1 ngày trước</t>
        </is>
      </c>
      <c r="G128" s="61" t="n">
        <v>1</v>
      </c>
      <c r="H128" s="62" t="n">
        <v>28</v>
      </c>
      <c r="I128" s="9" t="inlineStr">
        <is>
          <t>Dog Breeder / Trại chó chuyên nghiệp (28-30đ)</t>
        </is>
      </c>
      <c r="J128" s="62" t="n">
        <v>30</v>
      </c>
      <c r="K128" s="9" t="inlineStr">
        <is>
          <t>Australian Shepherd / Herding</t>
        </is>
      </c>
      <c r="L128" s="62" t="n">
        <v>5</v>
      </c>
      <c r="M128" s="62" t="n">
        <v>5</v>
      </c>
      <c r="N128" s="9" t="inlineStr">
        <is>
          <t>Amazon link not found</t>
        </is>
      </c>
      <c r="O128" s="62">
        <f>IF(N128="Selling pet toys + Artificial grass/Pet toilets (TARGET)",15,IF(N128="Selling artificial grass/pet toilets (TARGET)",10,IF(N128="Selling pet toys",7,IF(N128="There's an Amazon link, but no target sales.",3,0))))</f>
        <v/>
      </c>
      <c r="P128" s="63">
        <f>H128+J128+L128+M128+O128</f>
        <v/>
      </c>
      <c r="Q128" s="64">
        <f>IF(OR(H128=0,P128&lt;30),"Tier D (Đóng băng)",IF(P128&gt;=85,"Tier S (Kim Cương: 85-100đ)",IF(P128&gt;=70,"Tier A (Vàng: 70-84đ)",IF(P128&gt;=61,"Tier B+ / Cấp A (Hot Lead: 61-69đ)",IF(P128&gt;=50,"Tier B (Bạc: 50-60đ)","Tier C (Đồng: 30-49đ)")))))</f>
        <v/>
      </c>
      <c r="R128" s="9" t="inlineStr">
        <is>
          <t>Trọn gói Take-Home Starter Kit V2/V3 (Cỏ nhân tạo + Khay Potty + Đồ chơi Teething/Snuggle)</t>
        </is>
      </c>
      <c r="S128" s="9" t="inlineStr">
        <is>
          <t>HOT LEAD (Điểm ≥61): Liên hệ Telesale/Email chào gói Starter Kit &amp; Báo giá sỉ chiết khấu BOM</t>
        </is>
      </c>
    </row>
    <row r="129">
      <c r="A129" s="53" t="n">
        <v>2510</v>
      </c>
      <c r="B129" s="12" t="inlineStr">
        <is>
          <t>Petit Basset Griffon Vendeen- Black Majesty kennel</t>
        </is>
      </c>
      <c r="C129" s="54" t="inlineStr">
        <is>
          <t>https://www.facebook.com/blackmajestypbgvgbgv</t>
        </is>
      </c>
      <c r="D129" s="6" t="inlineStr">
        <is>
          <t>Cần quét Bio Fanpage</t>
        </is>
      </c>
      <c r="E129" s="53" t="inlineStr">
        <is>
          <t>11/10/2026 14:35:10</t>
        </is>
      </c>
      <c r="F129" s="53" t="inlineStr">
        <is>
          <t>1 ngày trước</t>
        </is>
      </c>
      <c r="G129" s="55" t="n">
        <v>1</v>
      </c>
      <c r="H129" s="56" t="n">
        <v>28</v>
      </c>
      <c r="I129" s="6" t="inlineStr">
        <is>
          <t>Dog Breeder / Trại chó chuyên nghiệp (28-30đ)</t>
        </is>
      </c>
      <c r="J129" s="56" t="n">
        <v>30</v>
      </c>
      <c r="K129" s="6" t="inlineStr">
        <is>
          <t>Hound / Beagle / Basset</t>
        </is>
      </c>
      <c r="L129" s="56" t="n">
        <v>5</v>
      </c>
      <c r="M129" s="56" t="n">
        <v>5</v>
      </c>
      <c r="N129" s="6" t="inlineStr">
        <is>
          <t>Amazon link not found</t>
        </is>
      </c>
      <c r="O129" s="56">
        <f>IF(N129="Selling pet toys + Artificial grass/Pet toilets (TARGET)",15,IF(N129="Selling artificial grass/pet toilets (TARGET)",10,IF(N129="Selling pet toys",7,IF(N129="There's an Amazon link, but no target sales.",3,0))))</f>
        <v/>
      </c>
      <c r="P129" s="63">
        <f>H129+J129+L129+M129+O129</f>
        <v/>
      </c>
      <c r="Q129" s="64">
        <f>IF(OR(H129=0,P129&lt;30),"Tier D (Đóng băng)",IF(P129&gt;=85,"Tier S (Kim Cương: 85-100đ)",IF(P129&gt;=70,"Tier A (Vàng: 70-84đ)",IF(P129&gt;=61,"Tier B+ / Cấp A (Hot Lead: 61-69đ)",IF(P129&gt;=50,"Tier B (Bạc: 50-60đ)","Tier C (Đồng: 30-49đ)")))))</f>
        <v/>
      </c>
      <c r="R129" s="6" t="inlineStr">
        <is>
          <t>Trọn gói Take-Home Starter Kit V2/V3 (Cỏ nhân tạo + Khay Potty + Đồ chơi Teething/Snuggle)</t>
        </is>
      </c>
      <c r="S129" s="6" t="inlineStr">
        <is>
          <t>HOT LEAD (Điểm ≥61): Liên hệ Telesale/Email chào gói Starter Kit &amp; Báo giá sỉ chiết khấu BOM</t>
        </is>
      </c>
    </row>
    <row r="130">
      <c r="A130" s="59" t="n">
        <v>634</v>
      </c>
      <c r="B130" s="15" t="inlineStr">
        <is>
          <t>Bernedale Kennels, Saint Bernards of Supreme Quality.</t>
        </is>
      </c>
      <c r="C130" s="60" t="inlineStr">
        <is>
          <t>https://www.facebook.com/Bernedale</t>
        </is>
      </c>
      <c r="D130" s="9" t="inlineStr">
        <is>
          <t>Cần quét Bio Fanpage</t>
        </is>
      </c>
      <c r="E130" s="59" t="inlineStr">
        <is>
          <t>11/10/2026 09:23:10</t>
        </is>
      </c>
      <c r="F130" s="59" t="inlineStr">
        <is>
          <t>1 ngày trước</t>
        </is>
      </c>
      <c r="G130" s="61" t="n">
        <v>1</v>
      </c>
      <c r="H130" s="62" t="n">
        <v>28</v>
      </c>
      <c r="I130" s="9" t="inlineStr">
        <is>
          <t>Dog Breeder / Trại chó chuyên nghiệp (28-30đ)</t>
        </is>
      </c>
      <c r="J130" s="62" t="n">
        <v>30</v>
      </c>
      <c r="K130" s="9" t="inlineStr">
        <is>
          <t>Great Dane / Working Giant</t>
        </is>
      </c>
      <c r="L130" s="62" t="n">
        <v>5</v>
      </c>
      <c r="M130" s="62" t="n">
        <v>5</v>
      </c>
      <c r="N130" s="9" t="inlineStr">
        <is>
          <t>Amazon link not found</t>
        </is>
      </c>
      <c r="O130" s="62">
        <f>IF(N130="Selling pet toys + Artificial grass/Pet toilets (TARGET)",15,IF(N130="Selling artificial grass/pet toilets (TARGET)",10,IF(N130="Selling pet toys",7,IF(N130="There's an Amazon link, but no target sales.",3,0))))</f>
        <v/>
      </c>
      <c r="P130" s="63">
        <f>H130+J130+L130+M130+O130</f>
        <v/>
      </c>
      <c r="Q130" s="64">
        <f>IF(OR(H130=0,P130&lt;30),"Tier D (Đóng băng)",IF(P130&gt;=85,"Tier S (Kim Cương: 85-100đ)",IF(P130&gt;=70,"Tier A (Vàng: 70-84đ)",IF(P130&gt;=61,"Tier B+ / Cấp A (Hot Lead: 61-69đ)",IF(P130&gt;=50,"Tier B (Bạc: 50-60đ)","Tier C (Đồng: 30-49đ)")))))</f>
        <v/>
      </c>
      <c r="R130" s="9" t="inlineStr">
        <is>
          <t>Trọn gói Take-Home Starter Kit V2/V3 (Cỏ nhân tạo + Khay Potty + Đồ chơi Teething/Snuggle)</t>
        </is>
      </c>
      <c r="S130" s="9" t="inlineStr">
        <is>
          <t>HOT LEAD (Điểm ≥61): Liên hệ Telesale/Email chào gói Starter Kit &amp; Báo giá sỉ chiết khấu BOM</t>
        </is>
      </c>
    </row>
    <row r="131">
      <c r="A131" s="53" t="n">
        <v>3098</v>
      </c>
      <c r="B131" s="12" t="inlineStr">
        <is>
          <t>The Devil wears Prada poodle kennel</t>
        </is>
      </c>
      <c r="C131" s="54" t="inlineStr">
        <is>
          <t>https://www.facebook.com/profile.php?id=100079171431889</t>
        </is>
      </c>
      <c r="D131" s="6" t="inlineStr">
        <is>
          <t>Cần quét Bio Fanpage</t>
        </is>
      </c>
      <c r="E131" s="53" t="inlineStr">
        <is>
          <t>11/10/2026 01:20:14</t>
        </is>
      </c>
      <c r="F131" s="53" t="inlineStr">
        <is>
          <t>2 ngày trước</t>
        </is>
      </c>
      <c r="G131" s="55" t="n">
        <v>2</v>
      </c>
      <c r="H131" s="56" t="n">
        <v>28</v>
      </c>
      <c r="I131" s="6" t="inlineStr">
        <is>
          <t>Dog Breeder / Trại chó chuyên nghiệp (28-30đ)</t>
        </is>
      </c>
      <c r="J131" s="56" t="n">
        <v>30</v>
      </c>
      <c r="K131" s="6" t="inlineStr">
        <is>
          <t>Poodle (Standard/Mini/Toy)</t>
        </is>
      </c>
      <c r="L131" s="56" t="n">
        <v>5</v>
      </c>
      <c r="M131" s="56" t="n">
        <v>5</v>
      </c>
      <c r="N131" s="6" t="inlineStr">
        <is>
          <t>Amazon link not found</t>
        </is>
      </c>
      <c r="O131" s="56">
        <f>IF(N131="Selling pet toys + Artificial grass/Pet toilets (TARGET)",15,IF(N131="Selling artificial grass/pet toilets (TARGET)",10,IF(N131="Selling pet toys",7,IF(N131="There's an Amazon link, but no target sales.",3,0))))</f>
        <v/>
      </c>
      <c r="P131" s="63">
        <f>H131+J131+L131+M131+O131</f>
        <v/>
      </c>
      <c r="Q131" s="64">
        <f>IF(OR(H131=0,P131&lt;30),"Tier D (Đóng băng)",IF(P131&gt;=85,"Tier S (Kim Cương: 85-100đ)",IF(P131&gt;=70,"Tier A (Vàng: 70-84đ)",IF(P131&gt;=61,"Tier B+ / Cấp A (Hot Lead: 61-69đ)",IF(P131&gt;=50,"Tier B (Bạc: 50-60đ)","Tier C (Đồng: 30-49đ)")))))</f>
        <v/>
      </c>
      <c r="R131" s="6" t="inlineStr">
        <is>
          <t>Trọn gói Take-Home Starter Kit V2/V3 (Cỏ nhân tạo + Khay Potty + Đồ chơi Teething/Snuggle)</t>
        </is>
      </c>
      <c r="S131" s="6" t="inlineStr">
        <is>
          <t>HOT LEAD (Điểm ≥61): Liên hệ Telesale/Email chào gói Starter Kit &amp; Báo giá sỉ chiết khấu BOM</t>
        </is>
      </c>
    </row>
    <row r="132">
      <c r="A132" s="59" t="n">
        <v>26</v>
      </c>
      <c r="B132" s="15" t="inlineStr">
        <is>
          <t>Original Snuggle Puppy</t>
        </is>
      </c>
      <c r="C132" s="60" t="inlineStr">
        <is>
          <t>https://www.facebook.com/originalsnugglepuppy</t>
        </is>
      </c>
      <c r="D132" s="9" t="inlineStr">
        <is>
          <t>Cần quét Bio Fanpage</t>
        </is>
      </c>
      <c r="E132" s="59" t="inlineStr">
        <is>
          <t>10/10/2026 22:02:02</t>
        </is>
      </c>
      <c r="F132" s="59" t="inlineStr">
        <is>
          <t>2 ngày trước</t>
        </is>
      </c>
      <c r="G132" s="61" t="n">
        <v>2</v>
      </c>
      <c r="H132" s="62" t="n">
        <v>28</v>
      </c>
      <c r="I132" s="9" t="inlineStr">
        <is>
          <t>Dog Breeder / Trại chó chuyên nghiệp (28-30đ)</t>
        </is>
      </c>
      <c r="J132" s="62" t="n">
        <v>28</v>
      </c>
      <c r="K132" s="9" t="inlineStr">
        <is>
          <t>Chưa rõ giống (Cần quét Bio)</t>
        </is>
      </c>
      <c r="L132" s="62" t="n">
        <v>0</v>
      </c>
      <c r="M132" s="62" t="n">
        <v>5</v>
      </c>
      <c r="N132" s="9" t="inlineStr">
        <is>
          <t>Selling pet toys</t>
        </is>
      </c>
      <c r="O132" s="62">
        <f>IF(N132="Selling pet toys + Artificial grass/Pet toilets (TARGET)",15,IF(N132="Selling artificial grass/pet toilets (TARGET)",10,IF(N132="Selling pet toys",7,IF(N132="There's an Amazon link, but no target sales.",3,0))))</f>
        <v/>
      </c>
      <c r="P132" s="63">
        <f>H132+J132+L132+M132+O132</f>
        <v/>
      </c>
      <c r="Q132" s="64">
        <f>IF(OR(H132=0,P132&lt;30),"Tier D (Đóng băng)",IF(P132&gt;=85,"Tier S (Kim Cương: 85-100đ)",IF(P132&gt;=70,"Tier A (Vàng: 70-84đ)",IF(P132&gt;=61,"Tier B+ / Cấp A (Hot Lead: 61-69đ)",IF(P132&gt;=50,"Tier B (Bạc: 50-60đ)","Tier C (Đồng: 30-49đ)")))))</f>
        <v/>
      </c>
      <c r="R132" s="9" t="inlineStr">
        <is>
          <t>Trọn gói Take-Home Starter Kit V2/V3 (Cỏ nhân tạo + Khay Potty + Đồ chơi Teething/Snuggle)</t>
        </is>
      </c>
      <c r="S132" s="9" t="inlineStr">
        <is>
          <t>HOT LEAD (Điểm ≥61): Liên hệ Telesale/Email chào gói Starter Kit &amp; Báo giá sỉ chiết khấu BOM</t>
        </is>
      </c>
    </row>
    <row r="133">
      <c r="A133" s="53" t="n">
        <v>559</v>
      </c>
      <c r="B133" s="12" t="inlineStr">
        <is>
          <t>Aussies Edge Farm</t>
        </is>
      </c>
      <c r="C133" s="54" t="inlineStr">
        <is>
          <t>https://www.facebook.com/aussiesedgefarm</t>
        </is>
      </c>
      <c r="D133" s="6" t="inlineStr">
        <is>
          <t>Cần quét Bio Fanpage</t>
        </is>
      </c>
      <c r="E133" s="53" t="inlineStr">
        <is>
          <t>10/10/2026 21:20:08</t>
        </is>
      </c>
      <c r="F133" s="53" t="inlineStr">
        <is>
          <t>2 ngày trước</t>
        </is>
      </c>
      <c r="G133" s="55" t="n">
        <v>2</v>
      </c>
      <c r="H133" s="56" t="n">
        <v>28</v>
      </c>
      <c r="I133" s="6" t="inlineStr">
        <is>
          <t>Dog Breeder / Trại chó chuyên nghiệp (28-30đ)</t>
        </is>
      </c>
      <c r="J133" s="56" t="n">
        <v>30</v>
      </c>
      <c r="K133" s="6" t="inlineStr">
        <is>
          <t>Australian Shepherd / Herding</t>
        </is>
      </c>
      <c r="L133" s="56" t="n">
        <v>5</v>
      </c>
      <c r="M133" s="56" t="n">
        <v>5</v>
      </c>
      <c r="N133" s="6" t="inlineStr">
        <is>
          <t>Amazon link not found</t>
        </is>
      </c>
      <c r="O133" s="56">
        <f>IF(N133="Selling pet toys + Artificial grass/Pet toilets (TARGET)",15,IF(N133="Selling artificial grass/pet toilets (TARGET)",10,IF(N133="Selling pet toys",7,IF(N133="There's an Amazon link, but no target sales.",3,0))))</f>
        <v/>
      </c>
      <c r="P133" s="63">
        <f>H133+J133+L133+M133+O133</f>
        <v/>
      </c>
      <c r="Q133" s="64">
        <f>IF(OR(H133=0,P133&lt;30),"Tier D (Đóng băng)",IF(P133&gt;=85,"Tier S (Kim Cương: 85-100đ)",IF(P133&gt;=70,"Tier A (Vàng: 70-84đ)",IF(P133&gt;=61,"Tier B+ / Cấp A (Hot Lead: 61-69đ)",IF(P133&gt;=50,"Tier B (Bạc: 50-60đ)","Tier C (Đồng: 30-49đ)")))))</f>
        <v/>
      </c>
      <c r="R133" s="6" t="inlineStr">
        <is>
          <t>Trọn gói Take-Home Starter Kit V2/V3 (Cỏ nhân tạo + Khay Potty + Đồ chơi Teething/Snuggle)</t>
        </is>
      </c>
      <c r="S133" s="6" t="inlineStr">
        <is>
          <t>HOT LEAD (Điểm ≥61): Liên hệ Telesale/Email chào gói Starter Kit &amp; Báo giá sỉ chiết khấu BOM</t>
        </is>
      </c>
    </row>
    <row r="134">
      <c r="A134" s="59" t="n">
        <v>1007</v>
      </c>
      <c r="B134" s="15" t="inlineStr">
        <is>
          <t>Dazzling Borders - BorderCollie Kennel</t>
        </is>
      </c>
      <c r="C134" s="60" t="inlineStr">
        <is>
          <t>https://www.facebook.com/profile.php?id=61568374033195</t>
        </is>
      </c>
      <c r="D134" s="9" t="inlineStr">
        <is>
          <t>Cần quét Bio Fanpage</t>
        </is>
      </c>
      <c r="E134" s="59" t="inlineStr">
        <is>
          <t>10/10/2026 20:58:21</t>
        </is>
      </c>
      <c r="F134" s="59" t="inlineStr">
        <is>
          <t>2 ngày trước</t>
        </is>
      </c>
      <c r="G134" s="61" t="n">
        <v>2</v>
      </c>
      <c r="H134" s="62" t="n">
        <v>28</v>
      </c>
      <c r="I134" s="9" t="inlineStr">
        <is>
          <t>Dog Breeder / Trại chó chuyên nghiệp (28-30đ)</t>
        </is>
      </c>
      <c r="J134" s="62" t="n">
        <v>30</v>
      </c>
      <c r="K134" s="9" t="inlineStr">
        <is>
          <t>Australian Shepherd / Herding</t>
        </is>
      </c>
      <c r="L134" s="62" t="n">
        <v>5</v>
      </c>
      <c r="M134" s="62" t="n">
        <v>5</v>
      </c>
      <c r="N134" s="9" t="inlineStr">
        <is>
          <t>Amazon link not found</t>
        </is>
      </c>
      <c r="O134" s="62">
        <f>IF(N134="Selling pet toys + Artificial grass/Pet toilets (TARGET)",15,IF(N134="Selling artificial grass/pet toilets (TARGET)",10,IF(N134="Selling pet toys",7,IF(N134="There's an Amazon link, but no target sales.",3,0))))</f>
        <v/>
      </c>
      <c r="P134" s="63">
        <f>H134+J134+L134+M134+O134</f>
        <v/>
      </c>
      <c r="Q134" s="64">
        <f>IF(OR(H134=0,P134&lt;30),"Tier D (Đóng băng)",IF(P134&gt;=85,"Tier S (Kim Cương: 85-100đ)",IF(P134&gt;=70,"Tier A (Vàng: 70-84đ)",IF(P134&gt;=61,"Tier B+ / Cấp A (Hot Lead: 61-69đ)",IF(P134&gt;=50,"Tier B (Bạc: 50-60đ)","Tier C (Đồng: 30-49đ)")))))</f>
        <v/>
      </c>
      <c r="R134" s="9" t="inlineStr">
        <is>
          <t>Trọn gói Take-Home Starter Kit V2/V3 (Cỏ nhân tạo + Khay Potty + Đồ chơi Teething/Snuggle)</t>
        </is>
      </c>
      <c r="S134" s="9" t="inlineStr">
        <is>
          <t>HOT LEAD (Điểm ≥61): Liên hệ Telesale/Email chào gói Starter Kit &amp; Báo giá sỉ chiết khấu BOM</t>
        </is>
      </c>
    </row>
    <row r="135">
      <c r="A135" s="53" t="n">
        <v>274</v>
      </c>
      <c r="B135" s="12" t="inlineStr">
        <is>
          <t>Sunshine’s Puppy Enrichment Co</t>
        </is>
      </c>
      <c r="C135" s="54" t="inlineStr">
        <is>
          <t>https://www.facebook.com/profile.php?id=61556023387069</t>
        </is>
      </c>
      <c r="D135" s="6" t="inlineStr">
        <is>
          <t>Cần quét Bio Fanpage</t>
        </is>
      </c>
      <c r="E135" s="53" t="inlineStr">
        <is>
          <t>09/10/2026 23:30:32</t>
        </is>
      </c>
      <c r="F135" s="53" t="inlineStr">
        <is>
          <t>3 ngày trước</t>
        </is>
      </c>
      <c r="G135" s="55" t="n">
        <v>3</v>
      </c>
      <c r="H135" s="56" t="n">
        <v>28</v>
      </c>
      <c r="I135" s="6" t="inlineStr">
        <is>
          <t>Dog Breeder / Trại chó chuyên nghiệp (28-30đ)</t>
        </is>
      </c>
      <c r="J135" s="56" t="n">
        <v>30</v>
      </c>
      <c r="K135" s="6" t="inlineStr">
        <is>
          <t>Chưa rõ giống (Cần quét Bio)</t>
        </is>
      </c>
      <c r="L135" s="56" t="n">
        <v>0</v>
      </c>
      <c r="M135" s="56" t="n">
        <v>10</v>
      </c>
      <c r="N135" s="6" t="inlineStr">
        <is>
          <t>Amazon link not found</t>
        </is>
      </c>
      <c r="O135" s="56">
        <f>IF(N135="Selling pet toys + Artificial grass/Pet toilets (TARGET)",15,IF(N135="Selling artificial grass/pet toilets (TARGET)",10,IF(N135="Selling pet toys",7,IF(N135="There's an Amazon link, but no target sales.",3,0))))</f>
        <v/>
      </c>
      <c r="P135" s="63">
        <f>H135+J135+L135+M135+O135</f>
        <v/>
      </c>
      <c r="Q135" s="64">
        <f>IF(OR(H135=0,P135&lt;30),"Tier D (Đóng băng)",IF(P135&gt;=85,"Tier S (Kim Cương: 85-100đ)",IF(P135&gt;=70,"Tier A (Vàng: 70-84đ)",IF(P135&gt;=61,"Tier B+ / Cấp A (Hot Lead: 61-69đ)",IF(P135&gt;=50,"Tier B (Bạc: 50-60đ)","Tier C (Đồng: 30-49đ)")))))</f>
        <v/>
      </c>
      <c r="R135" s="6" t="inlineStr">
        <is>
          <t>Trọn gói Take-Home Starter Kit V2/V3 (Cỏ nhân tạo + Khay Potty + Đồ chơi Teething/Snuggle)</t>
        </is>
      </c>
      <c r="S135" s="6" t="inlineStr">
        <is>
          <t>HOT LEAD (Điểm ≥61): Liên hệ Telesale/Email chào gói Starter Kit &amp; Báo giá sỉ chiết khấu BOM</t>
        </is>
      </c>
    </row>
    <row r="136">
      <c r="A136" s="59" t="n">
        <v>1580</v>
      </c>
      <c r="B136" s="15" t="inlineStr">
        <is>
          <t>Gulf Breeze Kennels</t>
        </is>
      </c>
      <c r="C136" s="60" t="inlineStr">
        <is>
          <t>https://www.facebook.com/GBKpuppies</t>
        </is>
      </c>
      <c r="D136" s="9" t="inlineStr">
        <is>
          <t>Cần quét Bio Fanpage</t>
        </is>
      </c>
      <c r="E136" s="59" t="inlineStr">
        <is>
          <t>09/10/2026 21:12:05</t>
        </is>
      </c>
      <c r="F136" s="59" t="inlineStr">
        <is>
          <t>3 ngày trước</t>
        </is>
      </c>
      <c r="G136" s="61" t="n">
        <v>3</v>
      </c>
      <c r="H136" s="62" t="n">
        <v>28</v>
      </c>
      <c r="I136" s="9" t="inlineStr">
        <is>
          <t>Dog Breeder / Trại chó chuyên nghiệp (28-30đ)</t>
        </is>
      </c>
      <c r="J136" s="62" t="n">
        <v>30</v>
      </c>
      <c r="K136" s="9" t="inlineStr">
        <is>
          <t>Chưa rõ giống (Cần quét Bio)</t>
        </is>
      </c>
      <c r="L136" s="62" t="n">
        <v>0</v>
      </c>
      <c r="M136" s="62" t="n">
        <v>10</v>
      </c>
      <c r="N136" s="9" t="inlineStr">
        <is>
          <t>Amazon link not found</t>
        </is>
      </c>
      <c r="O136" s="62">
        <f>IF(N136="Selling pet toys + Artificial grass/Pet toilets (TARGET)",15,IF(N136="Selling artificial grass/pet toilets (TARGET)",10,IF(N136="Selling pet toys",7,IF(N136="There's an Amazon link, but no target sales.",3,0))))</f>
        <v/>
      </c>
      <c r="P136" s="63">
        <f>H136+J136+L136+M136+O136</f>
        <v/>
      </c>
      <c r="Q136" s="64">
        <f>IF(OR(H136=0,P136&lt;30),"Tier D (Đóng băng)",IF(P136&gt;=85,"Tier S (Kim Cương: 85-100đ)",IF(P136&gt;=70,"Tier A (Vàng: 70-84đ)",IF(P136&gt;=61,"Tier B+ / Cấp A (Hot Lead: 61-69đ)",IF(P136&gt;=50,"Tier B (Bạc: 50-60đ)","Tier C (Đồng: 30-49đ)")))))</f>
        <v/>
      </c>
      <c r="R136" s="9" t="inlineStr">
        <is>
          <t>Trọn gói Take-Home Starter Kit V2/V3 (Cỏ nhân tạo + Khay Potty + Đồ chơi Teething/Snuggle)</t>
        </is>
      </c>
      <c r="S136" s="9" t="inlineStr">
        <is>
          <t>HOT LEAD (Điểm ≥61): Liên hệ Telesale/Email chào gói Starter Kit &amp; Báo giá sỉ chiết khấu BOM</t>
        </is>
      </c>
    </row>
    <row r="137">
      <c r="A137" s="53" t="n">
        <v>939</v>
      </c>
      <c r="B137" s="12" t="inlineStr">
        <is>
          <t>Copperhead Kennel</t>
        </is>
      </c>
      <c r="C137" s="54" t="inlineStr">
        <is>
          <t>https://www.facebook.com/copperheadcockers</t>
        </is>
      </c>
      <c r="D137" s="6" t="inlineStr">
        <is>
          <t>Cần quét Bio Fanpage</t>
        </is>
      </c>
      <c r="E137" s="53" t="inlineStr">
        <is>
          <t>09/10/2026 03:22:52</t>
        </is>
      </c>
      <c r="F137" s="53" t="inlineStr">
        <is>
          <t>3 ngày trước</t>
        </is>
      </c>
      <c r="G137" s="55" t="n">
        <v>3</v>
      </c>
      <c r="H137" s="56" t="n">
        <v>28</v>
      </c>
      <c r="I137" s="6" t="inlineStr">
        <is>
          <t>Dog Breeder / Trại chó chuyên nghiệp (28-30đ)</t>
        </is>
      </c>
      <c r="J137" s="56" t="n">
        <v>30</v>
      </c>
      <c r="K137" s="6" t="inlineStr">
        <is>
          <t>Spaniel / Gun Dog / Retriever</t>
        </is>
      </c>
      <c r="L137" s="56" t="n">
        <v>5</v>
      </c>
      <c r="M137" s="56" t="n">
        <v>5</v>
      </c>
      <c r="N137" s="6" t="inlineStr">
        <is>
          <t>Amazon link not found</t>
        </is>
      </c>
      <c r="O137" s="56">
        <f>IF(N137="Selling pet toys + Artificial grass/Pet toilets (TARGET)",15,IF(N137="Selling artificial grass/pet toilets (TARGET)",10,IF(N137="Selling pet toys",7,IF(N137="There's an Amazon link, but no target sales.",3,0))))</f>
        <v/>
      </c>
      <c r="P137" s="63">
        <f>H137+J137+L137+M137+O137</f>
        <v/>
      </c>
      <c r="Q137" s="64">
        <f>IF(OR(H137=0,P137&lt;30),"Tier D (Đóng băng)",IF(P137&gt;=85,"Tier S (Kim Cương: 85-100đ)",IF(P137&gt;=70,"Tier A (Vàng: 70-84đ)",IF(P137&gt;=61,"Tier B+ / Cấp A (Hot Lead: 61-69đ)",IF(P137&gt;=50,"Tier B (Bạc: 50-60đ)","Tier C (Đồng: 30-49đ)")))))</f>
        <v/>
      </c>
      <c r="R137" s="6" t="inlineStr">
        <is>
          <t>Trọn gói Take-Home Starter Kit V2/V3 (Cỏ nhân tạo + Khay Potty + Đồ chơi Teething/Snuggle)</t>
        </is>
      </c>
      <c r="S137" s="6" t="inlineStr">
        <is>
          <t>HOT LEAD (Điểm ≥61): Liên hệ Telesale/Email chào gói Starter Kit &amp; Báo giá sỉ chiết khấu BOM</t>
        </is>
      </c>
    </row>
    <row r="138">
      <c r="A138" s="59" t="n">
        <v>5270</v>
      </c>
      <c r="B138" s="15" t="inlineStr">
        <is>
          <t>Rustic Farm &amp; Pet Services</t>
        </is>
      </c>
      <c r="C138" s="60" t="inlineStr">
        <is>
          <t>https://www.facebook.com/profile.php?id=100088590342349</t>
        </is>
      </c>
      <c r="D138" s="9" t="inlineStr">
        <is>
          <t>Cần quét Bio Fanpage</t>
        </is>
      </c>
      <c r="E138" s="59" t="inlineStr">
        <is>
          <t>13/10/2026 09:00:09</t>
        </is>
      </c>
      <c r="F138" s="59" t="inlineStr">
        <is>
          <t>1 giờ trước</t>
        </is>
      </c>
      <c r="G138" s="61" t="n">
        <v>0.04</v>
      </c>
      <c r="H138" s="62" t="n">
        <v>35</v>
      </c>
      <c r="I138" s="9" t="inlineStr">
        <is>
          <t>Pet Boarding / Huấn luyện K9 &amp; Dịch vụ (20-22đ)</t>
        </is>
      </c>
      <c r="J138" s="62" t="n">
        <v>22</v>
      </c>
      <c r="K138" s="9" t="inlineStr">
        <is>
          <t>Chưa rõ giống (Cần quét Bio)</t>
        </is>
      </c>
      <c r="L138" s="62" t="n">
        <v>0</v>
      </c>
      <c r="M138" s="62" t="n">
        <v>10</v>
      </c>
      <c r="N138" s="9" t="inlineStr">
        <is>
          <t>Amazon link not found</t>
        </is>
      </c>
      <c r="O138" s="62">
        <f>IF(N138="Selling pet toys + Artificial grass/Pet toilets (TARGET)",15,IF(N138="Selling artificial grass/pet toilets (TARGET)",10,IF(N138="Selling pet toys",7,IF(N138="There's an Amazon link, but no target sales.",3,0))))</f>
        <v/>
      </c>
      <c r="P138" s="63">
        <f>H138+J138+L138+M138+O138</f>
        <v/>
      </c>
      <c r="Q138" s="64">
        <f>IF(OR(H138=0,P138&lt;30),"Tier D (Đóng băng)",IF(P138&gt;=85,"Tier S (Kim Cương: 85-100đ)",IF(P138&gt;=70,"Tier A (Vàng: 70-84đ)",IF(P138&gt;=61,"Tier B+ / Cấp A (Hot Lead: 61-69đ)",IF(P138&gt;=50,"Tier B (Bạc: 50-60đ)","Tier C (Đồng: 30-49đ)")))))</f>
        <v/>
      </c>
      <c r="R138" s="9" t="inlineStr">
        <is>
          <t>Cỏ nhân tạo sân chơi/huấn luyện (Dog Turf) + Đồ chơi nhai chịu lực (KONG/Chew Toys)</t>
        </is>
      </c>
      <c r="S138" s="9" t="inlineStr">
        <is>
          <t>HOT LEAD (Điểm ≥61): Liên hệ Telesale/Email chào gói Starter Kit &amp; Báo giá sỉ chiết khấu BOM</t>
        </is>
      </c>
    </row>
    <row r="139">
      <c r="A139" s="53" t="n">
        <v>2784</v>
      </c>
      <c r="B139" s="12" t="inlineStr">
        <is>
          <t>Royal Douch King kennel</t>
        </is>
      </c>
      <c r="C139" s="54" t="inlineStr">
        <is>
          <t>https://www.facebook.com/profile.php?id=61577749116481</t>
        </is>
      </c>
      <c r="D139" s="6" t="inlineStr">
        <is>
          <t>Cần quét Bio Fanpage</t>
        </is>
      </c>
      <c r="E139" s="53" t="inlineStr">
        <is>
          <t>13/10/2026 01:52:22</t>
        </is>
      </c>
      <c r="F139" s="53" t="inlineStr">
        <is>
          <t>4 giờ trước</t>
        </is>
      </c>
      <c r="G139" s="55" t="n">
        <v>0.17</v>
      </c>
      <c r="H139" s="56" t="n">
        <v>32</v>
      </c>
      <c r="I139" s="6" t="inlineStr">
        <is>
          <t>Dog Breeder / Trại chó chuyên nghiệp (28-30đ)</t>
        </is>
      </c>
      <c r="J139" s="56" t="n">
        <v>30</v>
      </c>
      <c r="K139" s="6" t="inlineStr">
        <is>
          <t>Chưa rõ giống (Cần quét Bio)</t>
        </is>
      </c>
      <c r="L139" s="56" t="n">
        <v>0</v>
      </c>
      <c r="M139" s="56" t="n">
        <v>5</v>
      </c>
      <c r="N139" s="6" t="inlineStr">
        <is>
          <t>Amazon link not found</t>
        </is>
      </c>
      <c r="O139" s="56">
        <f>IF(N139="Selling pet toys + Artificial grass/Pet toilets (TARGET)",15,IF(N139="Selling artificial grass/pet toilets (TARGET)",10,IF(N139="Selling pet toys",7,IF(N139="There's an Amazon link, but no target sales.",3,0))))</f>
        <v/>
      </c>
      <c r="P139" s="63">
        <f>H139+J139+L139+M139+O139</f>
        <v/>
      </c>
      <c r="Q139" s="64">
        <f>IF(OR(H139=0,P139&lt;30),"Tier D (Đóng băng)",IF(P139&gt;=85,"Tier S (Kim Cương: 85-100đ)",IF(P139&gt;=70,"Tier A (Vàng: 70-84đ)",IF(P139&gt;=61,"Tier B+ / Cấp A (Hot Lead: 61-69đ)",IF(P139&gt;=50,"Tier B (Bạc: 50-60đ)","Tier C (Đồng: 30-49đ)")))))</f>
        <v/>
      </c>
      <c r="R139" s="6" t="inlineStr">
        <is>
          <t>Trọn gói Take-Home Starter Kit V2/V3 (Cỏ nhân tạo + Khay Potty + Đồ chơi Teething/Snuggle)</t>
        </is>
      </c>
      <c r="S139" s="6" t="inlineStr">
        <is>
          <t>HOT LEAD (Điểm ≥61): Liên hệ Telesale/Email chào gói Starter Kit &amp; Báo giá sỉ chiết khấu BOM</t>
        </is>
      </c>
    </row>
    <row r="140">
      <c r="A140" s="59" t="n">
        <v>1870</v>
      </c>
      <c r="B140" s="15" t="inlineStr">
        <is>
          <t>Kennel Asperastars</t>
        </is>
      </c>
      <c r="C140" s="60" t="inlineStr">
        <is>
          <t>https://www.facebook.com/profile.php?id=100090548577796</t>
        </is>
      </c>
      <c r="D140" s="9" t="inlineStr">
        <is>
          <t>Cần quét Bio Fanpage</t>
        </is>
      </c>
      <c r="E140" s="59" t="inlineStr">
        <is>
          <t>12/10/2026 23:29:18</t>
        </is>
      </c>
      <c r="F140" s="59" t="inlineStr">
        <is>
          <t>4 giờ trước</t>
        </is>
      </c>
      <c r="G140" s="61" t="n">
        <v>0.17</v>
      </c>
      <c r="H140" s="62" t="n">
        <v>32</v>
      </c>
      <c r="I140" s="9" t="inlineStr">
        <is>
          <t>Dog Breeder / Trại chó chuyên nghiệp (28-30đ)</t>
        </is>
      </c>
      <c r="J140" s="62" t="n">
        <v>30</v>
      </c>
      <c r="K140" s="9" t="inlineStr">
        <is>
          <t>Chưa rõ giống (Cần quét Bio)</t>
        </is>
      </c>
      <c r="L140" s="62" t="n">
        <v>0</v>
      </c>
      <c r="M140" s="62" t="n">
        <v>5</v>
      </c>
      <c r="N140" s="9" t="inlineStr">
        <is>
          <t>Amazon link not found</t>
        </is>
      </c>
      <c r="O140" s="62">
        <f>IF(N140="Selling pet toys + Artificial grass/Pet toilets (TARGET)",15,IF(N140="Selling artificial grass/pet toilets (TARGET)",10,IF(N140="Selling pet toys",7,IF(N140="There's an Amazon link, but no target sales.",3,0))))</f>
        <v/>
      </c>
      <c r="P140" s="63">
        <f>H140+J140+L140+M140+O140</f>
        <v/>
      </c>
      <c r="Q140" s="64">
        <f>IF(OR(H140=0,P140&lt;30),"Tier D (Đóng băng)",IF(P140&gt;=85,"Tier S (Kim Cương: 85-100đ)",IF(P140&gt;=70,"Tier A (Vàng: 70-84đ)",IF(P140&gt;=61,"Tier B+ / Cấp A (Hot Lead: 61-69đ)",IF(P140&gt;=50,"Tier B (Bạc: 50-60đ)","Tier C (Đồng: 30-49đ)")))))</f>
        <v/>
      </c>
      <c r="R140" s="9" t="inlineStr">
        <is>
          <t>Trọn gói Take-Home Starter Kit V2/V3 (Cỏ nhân tạo + Khay Potty + Đồ chơi Teething/Snuggle)</t>
        </is>
      </c>
      <c r="S140" s="9" t="inlineStr">
        <is>
          <t>HOT LEAD (Điểm ≥61): Liên hệ Telesale/Email chào gói Starter Kit &amp; Báo giá sỉ chiết khấu BOM</t>
        </is>
      </c>
    </row>
    <row r="141">
      <c r="A141" s="53" t="n">
        <v>2072</v>
      </c>
      <c r="B141" s="12" t="inlineStr">
        <is>
          <t>Lucky For You Kennel</t>
        </is>
      </c>
      <c r="C141" s="54" t="inlineStr">
        <is>
          <t>https://www.facebook.com/profile.php?id=100069319780668</t>
        </is>
      </c>
      <c r="D141" s="6" t="inlineStr">
        <is>
          <t>Cần quét Bio Fanpage</t>
        </is>
      </c>
      <c r="E141" s="53" t="inlineStr">
        <is>
          <t>12/10/2026 23:29:18</t>
        </is>
      </c>
      <c r="F141" s="53" t="inlineStr">
        <is>
          <t>5 giờ trước</t>
        </is>
      </c>
      <c r="G141" s="55" t="n">
        <v>0.21</v>
      </c>
      <c r="H141" s="56" t="n">
        <v>32</v>
      </c>
      <c r="I141" s="6" t="inlineStr">
        <is>
          <t>Dog Breeder / Trại chó chuyên nghiệp (28-30đ)</t>
        </is>
      </c>
      <c r="J141" s="56" t="n">
        <v>30</v>
      </c>
      <c r="K141" s="6" t="inlineStr">
        <is>
          <t>Chưa rõ giống (Cần quét Bio)</t>
        </is>
      </c>
      <c r="L141" s="56" t="n">
        <v>0</v>
      </c>
      <c r="M141" s="56" t="n">
        <v>5</v>
      </c>
      <c r="N141" s="6" t="inlineStr">
        <is>
          <t>Amazon link not found</t>
        </is>
      </c>
      <c r="O141" s="56">
        <f>IF(N141="Selling pet toys + Artificial grass/Pet toilets (TARGET)",15,IF(N141="Selling artificial grass/pet toilets (TARGET)",10,IF(N141="Selling pet toys",7,IF(N141="There's an Amazon link, but no target sales.",3,0))))</f>
        <v/>
      </c>
      <c r="P141" s="63">
        <f>H141+J141+L141+M141+O141</f>
        <v/>
      </c>
      <c r="Q141" s="64">
        <f>IF(OR(H141=0,P141&lt;30),"Tier D (Đóng băng)",IF(P141&gt;=85,"Tier S (Kim Cương: 85-100đ)",IF(P141&gt;=70,"Tier A (Vàng: 70-84đ)",IF(P141&gt;=61,"Tier B+ / Cấp A (Hot Lead: 61-69đ)",IF(P141&gt;=50,"Tier B (Bạc: 50-60đ)","Tier C (Đồng: 30-49đ)")))))</f>
        <v/>
      </c>
      <c r="R141" s="6" t="inlineStr">
        <is>
          <t>Trọn gói Take-Home Starter Kit V2/V3 (Cỏ nhân tạo + Khay Potty + Đồ chơi Teething/Snuggle)</t>
        </is>
      </c>
      <c r="S141" s="6" t="inlineStr">
        <is>
          <t>HOT LEAD (Điểm ≥61): Liên hệ Telesale/Email chào gói Starter Kit &amp; Báo giá sỉ chiết khấu BOM</t>
        </is>
      </c>
    </row>
    <row r="142">
      <c r="A142" s="59" t="n">
        <v>205</v>
      </c>
      <c r="B142" s="15" t="inlineStr">
        <is>
          <t>Kraftwork K9 Pro German Shepherds</t>
        </is>
      </c>
      <c r="C142" s="60" t="inlineStr">
        <is>
          <t>https://www.facebook.com/KraftworkK9Pro</t>
        </is>
      </c>
      <c r="D142" s="9" t="inlineStr">
        <is>
          <t>Cần quét Bio Fanpage</t>
        </is>
      </c>
      <c r="E142" s="59" t="inlineStr">
        <is>
          <t>12/10/2026 23:24:02</t>
        </is>
      </c>
      <c r="F142" s="59" t="inlineStr">
        <is>
          <t>1 giờ trước</t>
        </is>
      </c>
      <c r="G142" s="61" t="n">
        <v>0.04</v>
      </c>
      <c r="H142" s="62" t="n">
        <v>35</v>
      </c>
      <c r="I142" s="9" t="inlineStr">
        <is>
          <t>Pet Boarding / Huấn luyện K9 &amp; Dịch vụ (20-22đ)</t>
        </is>
      </c>
      <c r="J142" s="62" t="n">
        <v>22</v>
      </c>
      <c r="K142" s="9" t="inlineStr">
        <is>
          <t>German Shepherd</t>
        </is>
      </c>
      <c r="L142" s="62" t="n">
        <v>10</v>
      </c>
      <c r="M142" s="62" t="n">
        <v>0</v>
      </c>
      <c r="N142" s="9" t="inlineStr">
        <is>
          <t>Amazon link not found</t>
        </is>
      </c>
      <c r="O142" s="62">
        <f>IF(N142="Selling pet toys + Artificial grass/Pet toilets (TARGET)",15,IF(N142="Selling artificial grass/pet toilets (TARGET)",10,IF(N142="Selling pet toys",7,IF(N142="There's an Amazon link, but no target sales.",3,0))))</f>
        <v/>
      </c>
      <c r="P142" s="63">
        <f>H142+J142+L142+M142+O142</f>
        <v/>
      </c>
      <c r="Q142" s="64">
        <f>IF(OR(H142=0,P142&lt;30),"Tier D (Đóng băng)",IF(P142&gt;=85,"Tier S (Kim Cương: 85-100đ)",IF(P142&gt;=70,"Tier A (Vàng: 70-84đ)",IF(P142&gt;=61,"Tier B+ / Cấp A (Hot Lead: 61-69đ)",IF(P142&gt;=50,"Tier B (Bạc: 50-60đ)","Tier C (Đồng: 30-49đ)")))))</f>
        <v/>
      </c>
      <c r="R142" s="9" t="inlineStr">
        <is>
          <t>Cỏ nhân tạo sân chơi/huấn luyện (Dog Turf) + Đồ chơi nhai chịu lực (KONG/Chew Toys)</t>
        </is>
      </c>
      <c r="S142" s="9" t="inlineStr">
        <is>
          <t>HOT LEAD (Điểm ≥61): Liên hệ Telesale/Email chào gói Starter Kit &amp; Báo giá sỉ chiết khấu BOM</t>
        </is>
      </c>
    </row>
    <row r="143">
      <c r="A143" s="53" t="n">
        <v>2661</v>
      </c>
      <c r="B143" s="12" t="inlineStr">
        <is>
          <t>Puppies&amp;Yoga Huntsville</t>
        </is>
      </c>
      <c r="C143" s="54" t="inlineStr">
        <is>
          <t>https://www.facebook.com/profile.php?id=61582933661033</t>
        </is>
      </c>
      <c r="D143" s="6" t="inlineStr">
        <is>
          <t>Cần quét Bio Fanpage</t>
        </is>
      </c>
      <c r="E143" s="53" t="inlineStr">
        <is>
          <t>12/10/2026 22:30:24</t>
        </is>
      </c>
      <c r="F143" s="53" t="inlineStr">
        <is>
          <t>7 giờ trước</t>
        </is>
      </c>
      <c r="G143" s="55" t="n">
        <v>0.29</v>
      </c>
      <c r="H143" s="56" t="n">
        <v>32</v>
      </c>
      <c r="I143" s="6" t="inlineStr">
        <is>
          <t>Dog Breeder / Trại chó chuyên nghiệp (28-30đ)</t>
        </is>
      </c>
      <c r="J143" s="56" t="n">
        <v>30</v>
      </c>
      <c r="K143" s="6" t="inlineStr">
        <is>
          <t>Chưa rõ giống (Cần quét Bio)</t>
        </is>
      </c>
      <c r="L143" s="56" t="n">
        <v>0</v>
      </c>
      <c r="M143" s="56" t="n">
        <v>5</v>
      </c>
      <c r="N143" s="6" t="inlineStr">
        <is>
          <t>Amazon link not found</t>
        </is>
      </c>
      <c r="O143" s="56">
        <f>IF(N143="Selling pet toys + Artificial grass/Pet toilets (TARGET)",15,IF(N143="Selling artificial grass/pet toilets (TARGET)",10,IF(N143="Selling pet toys",7,IF(N143="There's an Amazon link, but no target sales.",3,0))))</f>
        <v/>
      </c>
      <c r="P143" s="63">
        <f>H143+J143+L143+M143+O143</f>
        <v/>
      </c>
      <c r="Q143" s="64">
        <f>IF(OR(H143=0,P143&lt;30),"Tier D (Đóng băng)",IF(P143&gt;=85,"Tier S (Kim Cương: 85-100đ)",IF(P143&gt;=70,"Tier A (Vàng: 70-84đ)",IF(P143&gt;=61,"Tier B+ / Cấp A (Hot Lead: 61-69đ)",IF(P143&gt;=50,"Tier B (Bạc: 50-60đ)","Tier C (Đồng: 30-49đ)")))))</f>
        <v/>
      </c>
      <c r="R143" s="6" t="inlineStr">
        <is>
          <t>Trọn gói Take-Home Starter Kit V2/V3 (Cỏ nhân tạo + Khay Potty + Đồ chơi Teething/Snuggle)</t>
        </is>
      </c>
      <c r="S143" s="6" t="inlineStr">
        <is>
          <t>HOT LEAD (Điểm ≥61): Liên hệ Telesale/Email chào gói Starter Kit &amp; Báo giá sỉ chiết khấu BOM</t>
        </is>
      </c>
    </row>
    <row r="144">
      <c r="A144" s="59" t="n">
        <v>2003</v>
      </c>
      <c r="B144" s="15" t="inlineStr">
        <is>
          <t>Legacy Kennels</t>
        </is>
      </c>
      <c r="C144" s="60" t="inlineStr">
        <is>
          <t>https://www.facebook.com/legacy.Kennels.30</t>
        </is>
      </c>
      <c r="D144" s="9" t="inlineStr">
        <is>
          <t>Cần quét Bio Fanpage</t>
        </is>
      </c>
      <c r="E144" s="59" t="inlineStr">
        <is>
          <t>12/10/2026 22:15:52</t>
        </is>
      </c>
      <c r="F144" s="59" t="inlineStr">
        <is>
          <t>6 giờ trước</t>
        </is>
      </c>
      <c r="G144" s="61" t="n">
        <v>0.25</v>
      </c>
      <c r="H144" s="62" t="n">
        <v>32</v>
      </c>
      <c r="I144" s="9" t="inlineStr">
        <is>
          <t>Dog Breeder / Trại chó chuyên nghiệp (28-30đ)</t>
        </is>
      </c>
      <c r="J144" s="62" t="n">
        <v>30</v>
      </c>
      <c r="K144" s="9" t="inlineStr">
        <is>
          <t>Chưa rõ giống (Cần quét Bio)</t>
        </is>
      </c>
      <c r="L144" s="62" t="n">
        <v>0</v>
      </c>
      <c r="M144" s="62" t="n">
        <v>5</v>
      </c>
      <c r="N144" s="9" t="inlineStr">
        <is>
          <t>Amazon link not found</t>
        </is>
      </c>
      <c r="O144" s="62">
        <f>IF(N144="Selling pet toys + Artificial grass/Pet toilets (TARGET)",15,IF(N144="Selling artificial grass/pet toilets (TARGET)",10,IF(N144="Selling pet toys",7,IF(N144="There's an Amazon link, but no target sales.",3,0))))</f>
        <v/>
      </c>
      <c r="P144" s="63">
        <f>H144+J144+L144+M144+O144</f>
        <v/>
      </c>
      <c r="Q144" s="64">
        <f>IF(OR(H144=0,P144&lt;30),"Tier D (Đóng băng)",IF(P144&gt;=85,"Tier S (Kim Cương: 85-100đ)",IF(P144&gt;=70,"Tier A (Vàng: 70-84đ)",IF(P144&gt;=61,"Tier B+ / Cấp A (Hot Lead: 61-69đ)",IF(P144&gt;=50,"Tier B (Bạc: 50-60đ)","Tier C (Đồng: 30-49đ)")))))</f>
        <v/>
      </c>
      <c r="R144" s="9" t="inlineStr">
        <is>
          <t>Trọn gói Take-Home Starter Kit V2/V3 (Cỏ nhân tạo + Khay Potty + Đồ chơi Teething/Snuggle)</t>
        </is>
      </c>
      <c r="S144" s="9" t="inlineStr">
        <is>
          <t>HOT LEAD (Điểm ≥61): Liên hệ Telesale/Email chào gói Starter Kit &amp; Báo giá sỉ chiết khấu BOM</t>
        </is>
      </c>
    </row>
    <row r="145">
      <c r="A145" s="53" t="n">
        <v>2990</v>
      </c>
      <c r="B145" s="12" t="inlineStr">
        <is>
          <t>Stars of Endor kennel</t>
        </is>
      </c>
      <c r="C145" s="54" t="inlineStr">
        <is>
          <t>https://www.facebook.com/profile.php?id=100086323076953</t>
        </is>
      </c>
      <c r="D145" s="6" t="inlineStr">
        <is>
          <t>Cần quét Bio Fanpage</t>
        </is>
      </c>
      <c r="E145" s="53" t="inlineStr">
        <is>
          <t>12/10/2026 21:24:49</t>
        </is>
      </c>
      <c r="F145" s="53" t="inlineStr">
        <is>
          <t>8 giờ trước</t>
        </is>
      </c>
      <c r="G145" s="55" t="n">
        <v>0.33</v>
      </c>
      <c r="H145" s="56" t="n">
        <v>32</v>
      </c>
      <c r="I145" s="6" t="inlineStr">
        <is>
          <t>Dog Breeder / Trại chó chuyên nghiệp (28-30đ)</t>
        </is>
      </c>
      <c r="J145" s="56" t="n">
        <v>30</v>
      </c>
      <c r="K145" s="6" t="inlineStr">
        <is>
          <t>Chưa rõ giống (Cần quét Bio)</t>
        </is>
      </c>
      <c r="L145" s="56" t="n">
        <v>0</v>
      </c>
      <c r="M145" s="56" t="n">
        <v>5</v>
      </c>
      <c r="N145" s="6" t="inlineStr">
        <is>
          <t>Amazon link not found</t>
        </is>
      </c>
      <c r="O145" s="56">
        <f>IF(N145="Selling pet toys + Artificial grass/Pet toilets (TARGET)",15,IF(N145="Selling artificial grass/pet toilets (TARGET)",10,IF(N145="Selling pet toys",7,IF(N145="There's an Amazon link, but no target sales.",3,0))))</f>
        <v/>
      </c>
      <c r="P145" s="63">
        <f>H145+J145+L145+M145+O145</f>
        <v/>
      </c>
      <c r="Q145" s="64">
        <f>IF(OR(H145=0,P145&lt;30),"Tier D (Đóng băng)",IF(P145&gt;=85,"Tier S (Kim Cương: 85-100đ)",IF(P145&gt;=70,"Tier A (Vàng: 70-84đ)",IF(P145&gt;=61,"Tier B+ / Cấp A (Hot Lead: 61-69đ)",IF(P145&gt;=50,"Tier B (Bạc: 50-60đ)","Tier C (Đồng: 30-49đ)")))))</f>
        <v/>
      </c>
      <c r="R145" s="6" t="inlineStr">
        <is>
          <t>Trọn gói Take-Home Starter Kit V2/V3 (Cỏ nhân tạo + Khay Potty + Đồ chơi Teething/Snuggle)</t>
        </is>
      </c>
      <c r="S145" s="6" t="inlineStr">
        <is>
          <t>HOT LEAD (Điểm ≥61): Liên hệ Telesale/Email chào gói Starter Kit &amp; Báo giá sỉ chiết khấu BOM</t>
        </is>
      </c>
    </row>
    <row r="146">
      <c r="A146" s="59" t="n">
        <v>221</v>
      </c>
      <c r="B146" s="15" t="inlineStr">
        <is>
          <t>Mikes Uti Kennel</t>
        </is>
      </c>
      <c r="C146" s="60" t="inlineStr">
        <is>
          <t>https://www.facebook.com/profile.php?id=100057549485719</t>
        </is>
      </c>
      <c r="D146" s="9" t="inlineStr">
        <is>
          <t>Cần quét Bio Fanpage</t>
        </is>
      </c>
      <c r="E146" s="59" t="inlineStr">
        <is>
          <t>12/10/2026 20:36:56</t>
        </is>
      </c>
      <c r="F146" s="59" t="inlineStr">
        <is>
          <t>4 giờ trước</t>
        </is>
      </c>
      <c r="G146" s="61" t="n">
        <v>0.17</v>
      </c>
      <c r="H146" s="62" t="n">
        <v>32</v>
      </c>
      <c r="I146" s="9" t="inlineStr">
        <is>
          <t>Dog Breeder / Trại chó chuyên nghiệp (28-30đ)</t>
        </is>
      </c>
      <c r="J146" s="62" t="n">
        <v>30</v>
      </c>
      <c r="K146" s="9" t="inlineStr">
        <is>
          <t>Chưa rõ giống (Cần quét Bio)</t>
        </is>
      </c>
      <c r="L146" s="62" t="n">
        <v>0</v>
      </c>
      <c r="M146" s="62" t="n">
        <v>5</v>
      </c>
      <c r="N146" s="9" t="inlineStr">
        <is>
          <t>Amazon link not found</t>
        </is>
      </c>
      <c r="O146" s="62">
        <f>IF(N146="Selling pet toys + Artificial grass/Pet toilets (TARGET)",15,IF(N146="Selling artificial grass/pet toilets (TARGET)",10,IF(N146="Selling pet toys",7,IF(N146="There's an Amazon link, but no target sales.",3,0))))</f>
        <v/>
      </c>
      <c r="P146" s="63">
        <f>H146+J146+L146+M146+O146</f>
        <v/>
      </c>
      <c r="Q146" s="64">
        <f>IF(OR(H146=0,P146&lt;30),"Tier D (Đóng băng)",IF(P146&gt;=85,"Tier S (Kim Cương: 85-100đ)",IF(P146&gt;=70,"Tier A (Vàng: 70-84đ)",IF(P146&gt;=61,"Tier B+ / Cấp A (Hot Lead: 61-69đ)",IF(P146&gt;=50,"Tier B (Bạc: 50-60đ)","Tier C (Đồng: 30-49đ)")))))</f>
        <v/>
      </c>
      <c r="R146" s="9" t="inlineStr">
        <is>
          <t>Trọn gói Take-Home Starter Kit V2/V3 (Cỏ nhân tạo + Khay Potty + Đồ chơi Teething/Snuggle)</t>
        </is>
      </c>
      <c r="S146" s="9" t="inlineStr">
        <is>
          <t>HOT LEAD (Điểm ≥61): Liên hệ Telesale/Email chào gói Starter Kit &amp; Báo giá sỉ chiết khấu BOM</t>
        </is>
      </c>
    </row>
    <row r="147">
      <c r="A147" s="53" t="n">
        <v>141</v>
      </c>
      <c r="B147" s="12" t="inlineStr">
        <is>
          <t>Crimson Rose Puppies</t>
        </is>
      </c>
      <c r="C147" s="54" t="inlineStr">
        <is>
          <t>https://www.facebook.com/profile.php?id=61588895140909</t>
        </is>
      </c>
      <c r="D147" s="6" t="inlineStr">
        <is>
          <t>Cần quét Bio Fanpage</t>
        </is>
      </c>
      <c r="E147" s="53" t="inlineStr">
        <is>
          <t>12/10/2026 20:36:22</t>
        </is>
      </c>
      <c r="F147" s="53" t="inlineStr">
        <is>
          <t>4 giờ trước</t>
        </is>
      </c>
      <c r="G147" s="55" t="n">
        <v>0.17</v>
      </c>
      <c r="H147" s="56" t="n">
        <v>32</v>
      </c>
      <c r="I147" s="6" t="inlineStr">
        <is>
          <t>Dog Breeder / Trại chó chuyên nghiệp (28-30đ)</t>
        </is>
      </c>
      <c r="J147" s="56" t="n">
        <v>30</v>
      </c>
      <c r="K147" s="6" t="inlineStr">
        <is>
          <t>Chưa rõ giống (Cần quét Bio)</t>
        </is>
      </c>
      <c r="L147" s="56" t="n">
        <v>0</v>
      </c>
      <c r="M147" s="56" t="n">
        <v>5</v>
      </c>
      <c r="N147" s="6" t="inlineStr">
        <is>
          <t>Amazon link not found</t>
        </is>
      </c>
      <c r="O147" s="56">
        <f>IF(N147="Selling pet toys + Artificial grass/Pet toilets (TARGET)",15,IF(N147="Selling artificial grass/pet toilets (TARGET)",10,IF(N147="Selling pet toys",7,IF(N147="There's an Amazon link, but no target sales.",3,0))))</f>
        <v/>
      </c>
      <c r="P147" s="63">
        <f>H147+J147+L147+M147+O147</f>
        <v/>
      </c>
      <c r="Q147" s="64">
        <f>IF(OR(H147=0,P147&lt;30),"Tier D (Đóng băng)",IF(P147&gt;=85,"Tier S (Kim Cương: 85-100đ)",IF(P147&gt;=70,"Tier A (Vàng: 70-84đ)",IF(P147&gt;=61,"Tier B+ / Cấp A (Hot Lead: 61-69đ)",IF(P147&gt;=50,"Tier B (Bạc: 50-60đ)","Tier C (Đồng: 30-49đ)")))))</f>
        <v/>
      </c>
      <c r="R147" s="6" t="inlineStr">
        <is>
          <t>Trọn gói Take-Home Starter Kit V2/V3 (Cỏ nhân tạo + Khay Potty + Đồ chơi Teething/Snuggle)</t>
        </is>
      </c>
      <c r="S147" s="6" t="inlineStr">
        <is>
          <t>HOT LEAD (Điểm ≥61): Liên hệ Telesale/Email chào gói Starter Kit &amp; Báo giá sỉ chiết khấu BOM</t>
        </is>
      </c>
    </row>
    <row r="148">
      <c r="A148" s="59" t="n">
        <v>269</v>
      </c>
      <c r="B148" s="15" t="inlineStr">
        <is>
          <t>Sporting Life Kennels</t>
        </is>
      </c>
      <c r="C148" s="60" t="inlineStr">
        <is>
          <t>https://www.facebook.com/sportinglifekennels</t>
        </is>
      </c>
      <c r="D148" s="9" t="inlineStr">
        <is>
          <t>Cần quét Bio Fanpage</t>
        </is>
      </c>
      <c r="E148" s="59" t="inlineStr">
        <is>
          <t>12/10/2026 19:05:17</t>
        </is>
      </c>
      <c r="F148" s="59" t="inlineStr">
        <is>
          <t>6 giờ trước</t>
        </is>
      </c>
      <c r="G148" s="61" t="n">
        <v>0.25</v>
      </c>
      <c r="H148" s="62" t="n">
        <v>32</v>
      </c>
      <c r="I148" s="9" t="inlineStr">
        <is>
          <t>Dog Breeder / Trại chó chuyên nghiệp (28-30đ)</t>
        </is>
      </c>
      <c r="J148" s="62" t="n">
        <v>30</v>
      </c>
      <c r="K148" s="9" t="inlineStr">
        <is>
          <t>Chưa rõ giống (Cần quét Bio)</t>
        </is>
      </c>
      <c r="L148" s="62" t="n">
        <v>0</v>
      </c>
      <c r="M148" s="62" t="n">
        <v>5</v>
      </c>
      <c r="N148" s="9" t="inlineStr">
        <is>
          <t>Amazon link not found</t>
        </is>
      </c>
      <c r="O148" s="62">
        <f>IF(N148="Selling pet toys + Artificial grass/Pet toilets (TARGET)",15,IF(N148="Selling artificial grass/pet toilets (TARGET)",10,IF(N148="Selling pet toys",7,IF(N148="There's an Amazon link, but no target sales.",3,0))))</f>
        <v/>
      </c>
      <c r="P148" s="63">
        <f>H148+J148+L148+M148+O148</f>
        <v/>
      </c>
      <c r="Q148" s="64">
        <f>IF(OR(H148=0,P148&lt;30),"Tier D (Đóng băng)",IF(P148&gt;=85,"Tier S (Kim Cương: 85-100đ)",IF(P148&gt;=70,"Tier A (Vàng: 70-84đ)",IF(P148&gt;=61,"Tier B+ / Cấp A (Hot Lead: 61-69đ)",IF(P148&gt;=50,"Tier B (Bạc: 50-60đ)","Tier C (Đồng: 30-49đ)")))))</f>
        <v/>
      </c>
      <c r="R148" s="9" t="inlineStr">
        <is>
          <t>Trọn gói Take-Home Starter Kit V2/V3 (Cỏ nhân tạo + Khay Potty + Đồ chơi Teething/Snuggle)</t>
        </is>
      </c>
      <c r="S148" s="9" t="inlineStr">
        <is>
          <t>HOT LEAD (Điểm ≥61): Liên hệ Telesale/Email chào gói Starter Kit &amp; Báo giá sỉ chiết khấu BOM</t>
        </is>
      </c>
    </row>
    <row r="149">
      <c r="A149" s="53" t="n">
        <v>2232</v>
      </c>
      <c r="B149" s="12" t="inlineStr">
        <is>
          <t>Muddy Boggy Kennels</t>
        </is>
      </c>
      <c r="C149" s="54" t="inlineStr">
        <is>
          <t>https://www.facebook.com/profile.php?id=100091341034275</t>
        </is>
      </c>
      <c r="D149" s="6" t="inlineStr">
        <is>
          <t>Cần quét Bio Fanpage</t>
        </is>
      </c>
      <c r="E149" s="53" t="inlineStr">
        <is>
          <t>12/10/2026 18:49:42</t>
        </is>
      </c>
      <c r="F149" s="53" t="inlineStr">
        <is>
          <t>10 giờ trước</t>
        </is>
      </c>
      <c r="G149" s="55" t="n">
        <v>0.42</v>
      </c>
      <c r="H149" s="56" t="n">
        <v>32</v>
      </c>
      <c r="I149" s="6" t="inlineStr">
        <is>
          <t>Dog Breeder / Trại chó chuyên nghiệp (28-30đ)</t>
        </is>
      </c>
      <c r="J149" s="56" t="n">
        <v>30</v>
      </c>
      <c r="K149" s="6" t="inlineStr">
        <is>
          <t>Chưa rõ giống (Cần quét Bio)</t>
        </is>
      </c>
      <c r="L149" s="56" t="n">
        <v>0</v>
      </c>
      <c r="M149" s="56" t="n">
        <v>5</v>
      </c>
      <c r="N149" s="6" t="inlineStr">
        <is>
          <t>Amazon link not found</t>
        </is>
      </c>
      <c r="O149" s="56">
        <f>IF(N149="Selling pet toys + Artificial grass/Pet toilets (TARGET)",15,IF(N149="Selling artificial grass/pet toilets (TARGET)",10,IF(N149="Selling pet toys",7,IF(N149="There's an Amazon link, but no target sales.",3,0))))</f>
        <v/>
      </c>
      <c r="P149" s="63">
        <f>H149+J149+L149+M149+O149</f>
        <v/>
      </c>
      <c r="Q149" s="64">
        <f>IF(OR(H149=0,P149&lt;30),"Tier D (Đóng băng)",IF(P149&gt;=85,"Tier S (Kim Cương: 85-100đ)",IF(P149&gt;=70,"Tier A (Vàng: 70-84đ)",IF(P149&gt;=61,"Tier B+ / Cấp A (Hot Lead: 61-69đ)",IF(P149&gt;=50,"Tier B (Bạc: 50-60đ)","Tier C (Đồng: 30-49đ)")))))</f>
        <v/>
      </c>
      <c r="R149" s="6" t="inlineStr">
        <is>
          <t>Trọn gói Take-Home Starter Kit V2/V3 (Cỏ nhân tạo + Khay Potty + Đồ chơi Teething/Snuggle)</t>
        </is>
      </c>
      <c r="S149" s="6" t="inlineStr">
        <is>
          <t>HOT LEAD (Điểm ≥61): Liên hệ Telesale/Email chào gói Starter Kit &amp; Báo giá sỉ chiết khấu BOM</t>
        </is>
      </c>
    </row>
    <row r="150">
      <c r="A150" s="59" t="n">
        <v>611</v>
      </c>
      <c r="B150" s="15" t="inlineStr">
        <is>
          <t>BeagPoint kennel</t>
        </is>
      </c>
      <c r="C150" s="60" t="inlineStr">
        <is>
          <t>https://www.facebook.com/beagpointkennel</t>
        </is>
      </c>
      <c r="D150" s="9" t="inlineStr">
        <is>
          <t>Cần quét Bio Fanpage</t>
        </is>
      </c>
      <c r="E150" s="59" t="inlineStr">
        <is>
          <t>12/10/2026 18:30:42</t>
        </is>
      </c>
      <c r="F150" s="59" t="inlineStr">
        <is>
          <t>7 giờ trước</t>
        </is>
      </c>
      <c r="G150" s="61" t="n">
        <v>0.29</v>
      </c>
      <c r="H150" s="62" t="n">
        <v>32</v>
      </c>
      <c r="I150" s="9" t="inlineStr">
        <is>
          <t>Dog Breeder / Trại chó chuyên nghiệp (28-30đ)</t>
        </is>
      </c>
      <c r="J150" s="62" t="n">
        <v>30</v>
      </c>
      <c r="K150" s="9" t="inlineStr">
        <is>
          <t>Chưa rõ giống (Cần quét Bio)</t>
        </is>
      </c>
      <c r="L150" s="62" t="n">
        <v>0</v>
      </c>
      <c r="M150" s="62" t="n">
        <v>5</v>
      </c>
      <c r="N150" s="9" t="inlineStr">
        <is>
          <t>Amazon link not found</t>
        </is>
      </c>
      <c r="O150" s="62">
        <f>IF(N150="Selling pet toys + Artificial grass/Pet toilets (TARGET)",15,IF(N150="Selling artificial grass/pet toilets (TARGET)",10,IF(N150="Selling pet toys",7,IF(N150="There's an Amazon link, but no target sales.",3,0))))</f>
        <v/>
      </c>
      <c r="P150" s="63">
        <f>H150+J150+L150+M150+O150</f>
        <v/>
      </c>
      <c r="Q150" s="64">
        <f>IF(OR(H150=0,P150&lt;30),"Tier D (Đóng băng)",IF(P150&gt;=85,"Tier S (Kim Cương: 85-100đ)",IF(P150&gt;=70,"Tier A (Vàng: 70-84đ)",IF(P150&gt;=61,"Tier B+ / Cấp A (Hot Lead: 61-69đ)",IF(P150&gt;=50,"Tier B (Bạc: 50-60đ)","Tier C (Đồng: 30-49đ)")))))</f>
        <v/>
      </c>
      <c r="R150" s="9" t="inlineStr">
        <is>
          <t>Trọn gói Take-Home Starter Kit V2/V3 (Cỏ nhân tạo + Khay Potty + Đồ chơi Teething/Snuggle)</t>
        </is>
      </c>
      <c r="S150" s="9" t="inlineStr">
        <is>
          <t>HOT LEAD (Điểm ≥61): Liên hệ Telesale/Email chào gói Starter Kit &amp; Báo giá sỉ chiết khấu BOM</t>
        </is>
      </c>
    </row>
    <row r="151">
      <c r="A151" s="53" t="n">
        <v>2780</v>
      </c>
      <c r="B151" s="12" t="inlineStr">
        <is>
          <t>Rose Garden Kennels</t>
        </is>
      </c>
      <c r="C151" s="54" t="inlineStr">
        <is>
          <t>https://www.facebook.com/RoseGardenKennels</t>
        </is>
      </c>
      <c r="D151" s="6" t="inlineStr">
        <is>
          <t>Cần quét Bio Fanpage</t>
        </is>
      </c>
      <c r="E151" s="53" t="inlineStr">
        <is>
          <t>12/10/2026 10:05:22</t>
        </is>
      </c>
      <c r="F151" s="53" t="inlineStr">
        <is>
          <t>19 giờ trước</t>
        </is>
      </c>
      <c r="G151" s="55" t="n">
        <v>0.79</v>
      </c>
      <c r="H151" s="56" t="n">
        <v>32</v>
      </c>
      <c r="I151" s="6" t="inlineStr">
        <is>
          <t>Dog Breeder / Trại chó chuyên nghiệp (28-30đ)</t>
        </is>
      </c>
      <c r="J151" s="56" t="n">
        <v>30</v>
      </c>
      <c r="K151" s="6" t="inlineStr">
        <is>
          <t>Chưa rõ giống (Cần quét Bio)</t>
        </is>
      </c>
      <c r="L151" s="56" t="n">
        <v>0</v>
      </c>
      <c r="M151" s="56" t="n">
        <v>5</v>
      </c>
      <c r="N151" s="6" t="inlineStr">
        <is>
          <t>Amazon link not found</t>
        </is>
      </c>
      <c r="O151" s="56">
        <f>IF(N151="Selling pet toys + Artificial grass/Pet toilets (TARGET)",15,IF(N151="Selling artificial grass/pet toilets (TARGET)",10,IF(N151="Selling pet toys",7,IF(N151="There's an Amazon link, but no target sales.",3,0))))</f>
        <v/>
      </c>
      <c r="P151" s="63">
        <f>H151+J151+L151+M151+O151</f>
        <v/>
      </c>
      <c r="Q151" s="64">
        <f>IF(OR(H151=0,P151&lt;30),"Tier D (Đóng băng)",IF(P151&gt;=85,"Tier S (Kim Cương: 85-100đ)",IF(P151&gt;=70,"Tier A (Vàng: 70-84đ)",IF(P151&gt;=61,"Tier B+ / Cấp A (Hot Lead: 61-69đ)",IF(P151&gt;=50,"Tier B (Bạc: 50-60đ)","Tier C (Đồng: 30-49đ)")))))</f>
        <v/>
      </c>
      <c r="R151" s="6" t="inlineStr">
        <is>
          <t>Trọn gói Take-Home Starter Kit V2/V3 (Cỏ nhân tạo + Khay Potty + Đồ chơi Teething/Snuggle)</t>
        </is>
      </c>
      <c r="S151" s="6" t="inlineStr">
        <is>
          <t>HOT LEAD (Điểm ≥61): Liên hệ Telesale/Email chào gói Starter Kit &amp; Báo giá sỉ chiết khấu BOM</t>
        </is>
      </c>
    </row>
    <row r="152">
      <c r="A152" s="59" t="n">
        <v>3244</v>
      </c>
      <c r="B152" s="15" t="inlineStr">
        <is>
          <t>True Dynasty Kennel</t>
        </is>
      </c>
      <c r="C152" s="60" t="inlineStr">
        <is>
          <t>https://www.facebook.com/TrueDynastyKennel</t>
        </is>
      </c>
      <c r="D152" s="9" t="inlineStr">
        <is>
          <t>Cần quét Bio Fanpage</t>
        </is>
      </c>
      <c r="E152" s="59" t="inlineStr">
        <is>
          <t>12/10/2026 09:47:24</t>
        </is>
      </c>
      <c r="F152" s="59" t="inlineStr">
        <is>
          <t>20 giờ trước</t>
        </is>
      </c>
      <c r="G152" s="61" t="n">
        <v>0.83</v>
      </c>
      <c r="H152" s="62" t="n">
        <v>32</v>
      </c>
      <c r="I152" s="9" t="inlineStr">
        <is>
          <t>Dog Breeder / Trại chó chuyên nghiệp (28-30đ)</t>
        </is>
      </c>
      <c r="J152" s="62" t="n">
        <v>30</v>
      </c>
      <c r="K152" s="9" t="inlineStr">
        <is>
          <t>Chưa rõ giống (Cần quét Bio)</t>
        </is>
      </c>
      <c r="L152" s="62" t="n">
        <v>0</v>
      </c>
      <c r="M152" s="62" t="n">
        <v>5</v>
      </c>
      <c r="N152" s="9" t="inlineStr">
        <is>
          <t>Amazon link not found</t>
        </is>
      </c>
      <c r="O152" s="62">
        <f>IF(N152="Selling pet toys + Artificial grass/Pet toilets (TARGET)",15,IF(N152="Selling artificial grass/pet toilets (TARGET)",10,IF(N152="Selling pet toys",7,IF(N152="There's an Amazon link, but no target sales.",3,0))))</f>
        <v/>
      </c>
      <c r="P152" s="63">
        <f>H152+J152+L152+M152+O152</f>
        <v/>
      </c>
      <c r="Q152" s="64">
        <f>IF(OR(H152=0,P152&lt;30),"Tier D (Đóng băng)",IF(P152&gt;=85,"Tier S (Kim Cương: 85-100đ)",IF(P152&gt;=70,"Tier A (Vàng: 70-84đ)",IF(P152&gt;=61,"Tier B+ / Cấp A (Hot Lead: 61-69đ)",IF(P152&gt;=50,"Tier B (Bạc: 50-60đ)","Tier C (Đồng: 30-49đ)")))))</f>
        <v/>
      </c>
      <c r="R152" s="9" t="inlineStr">
        <is>
          <t>Trọn gói Take-Home Starter Kit V2/V3 (Cỏ nhân tạo + Khay Potty + Đồ chơi Teething/Snuggle)</t>
        </is>
      </c>
      <c r="S152" s="9" t="inlineStr">
        <is>
          <t>HOT LEAD (Điểm ≥61): Liên hệ Telesale/Email chào gói Starter Kit &amp; Báo giá sỉ chiết khấu BOM</t>
        </is>
      </c>
    </row>
    <row r="153">
      <c r="A153" s="53" t="n">
        <v>63</v>
      </c>
      <c r="B153" s="12" t="inlineStr">
        <is>
          <t>Hampshire Kennels</t>
        </is>
      </c>
      <c r="C153" s="54" t="inlineStr">
        <is>
          <t>https://www.facebook.com/profile.php?id=100057857791233</t>
        </is>
      </c>
      <c r="D153" s="6" t="inlineStr">
        <is>
          <t>Cần quét Bio Fanpage</t>
        </is>
      </c>
      <c r="E153" s="53" t="inlineStr">
        <is>
          <t>12/10/2026 09:41:39</t>
        </is>
      </c>
      <c r="F153" s="53" t="inlineStr">
        <is>
          <t>15 giờ trước</t>
        </is>
      </c>
      <c r="G153" s="55" t="n">
        <v>0.62</v>
      </c>
      <c r="H153" s="56" t="n">
        <v>32</v>
      </c>
      <c r="I153" s="6" t="inlineStr">
        <is>
          <t>Dog Breeder / Trại chó chuyên nghiệp (28-30đ)</t>
        </is>
      </c>
      <c r="J153" s="56" t="n">
        <v>30</v>
      </c>
      <c r="K153" s="6" t="inlineStr">
        <is>
          <t>Chưa rõ giống (Cần quét Bio)</t>
        </is>
      </c>
      <c r="L153" s="56" t="n">
        <v>0</v>
      </c>
      <c r="M153" s="56" t="n">
        <v>5</v>
      </c>
      <c r="N153" s="6" t="inlineStr">
        <is>
          <t>Amazon link not found</t>
        </is>
      </c>
      <c r="O153" s="56">
        <f>IF(N153="Selling pet toys + Artificial grass/Pet toilets (TARGET)",15,IF(N153="Selling artificial grass/pet toilets (TARGET)",10,IF(N153="Selling pet toys",7,IF(N153="There's an Amazon link, but no target sales.",3,0))))</f>
        <v/>
      </c>
      <c r="P153" s="63">
        <f>H153+J153+L153+M153+O153</f>
        <v/>
      </c>
      <c r="Q153" s="64">
        <f>IF(OR(H153=0,P153&lt;30),"Tier D (Đóng băng)",IF(P153&gt;=85,"Tier S (Kim Cương: 85-100đ)",IF(P153&gt;=70,"Tier A (Vàng: 70-84đ)",IF(P153&gt;=61,"Tier B+ / Cấp A (Hot Lead: 61-69đ)",IF(P153&gt;=50,"Tier B (Bạc: 50-60đ)","Tier C (Đồng: 30-49đ)")))))</f>
        <v/>
      </c>
      <c r="R153" s="6" t="inlineStr">
        <is>
          <t>Trọn gói Take-Home Starter Kit V2/V3 (Cỏ nhân tạo + Khay Potty + Đồ chơi Teething/Snuggle)</t>
        </is>
      </c>
      <c r="S153" s="6" t="inlineStr">
        <is>
          <t>HOT LEAD (Điểm ≥61): Liên hệ Telesale/Email chào gói Starter Kit &amp; Báo giá sỉ chiết khấu BOM</t>
        </is>
      </c>
    </row>
    <row r="154">
      <c r="A154" s="59" t="n">
        <v>685</v>
      </c>
      <c r="B154" s="15" t="inlineStr">
        <is>
          <t>Black Creek Kennels LLC</t>
        </is>
      </c>
      <c r="C154" s="60" t="inlineStr">
        <is>
          <t>https://www.facebook.com/profile.php?id=100094471027393</t>
        </is>
      </c>
      <c r="D154" s="9" t="inlineStr">
        <is>
          <t>Cần quét Bio Fanpage</t>
        </is>
      </c>
      <c r="E154" s="59" t="inlineStr">
        <is>
          <t>12/10/2026 09:16:11</t>
        </is>
      </c>
      <c r="F154" s="59" t="inlineStr">
        <is>
          <t>16 giờ trước</t>
        </is>
      </c>
      <c r="G154" s="61" t="n">
        <v>0.67</v>
      </c>
      <c r="H154" s="62" t="n">
        <v>32</v>
      </c>
      <c r="I154" s="9" t="inlineStr">
        <is>
          <t>Dog Breeder / Trại chó chuyên nghiệp (28-30đ)</t>
        </is>
      </c>
      <c r="J154" s="62" t="n">
        <v>30</v>
      </c>
      <c r="K154" s="9" t="inlineStr">
        <is>
          <t>Chưa rõ giống (Cần quét Bio)</t>
        </is>
      </c>
      <c r="L154" s="62" t="n">
        <v>0</v>
      </c>
      <c r="M154" s="62" t="n">
        <v>5</v>
      </c>
      <c r="N154" s="9" t="inlineStr">
        <is>
          <t>Amazon link not found</t>
        </is>
      </c>
      <c r="O154" s="62">
        <f>IF(N154="Selling pet toys + Artificial grass/Pet toilets (TARGET)",15,IF(N154="Selling artificial grass/pet toilets (TARGET)",10,IF(N154="Selling pet toys",7,IF(N154="There's an Amazon link, but no target sales.",3,0))))</f>
        <v/>
      </c>
      <c r="P154" s="63">
        <f>H154+J154+L154+M154+O154</f>
        <v/>
      </c>
      <c r="Q154" s="64">
        <f>IF(OR(H154=0,P154&lt;30),"Tier D (Đóng băng)",IF(P154&gt;=85,"Tier S (Kim Cương: 85-100đ)",IF(P154&gt;=70,"Tier A (Vàng: 70-84đ)",IF(P154&gt;=61,"Tier B+ / Cấp A (Hot Lead: 61-69đ)",IF(P154&gt;=50,"Tier B (Bạc: 50-60đ)","Tier C (Đồng: 30-49đ)")))))</f>
        <v/>
      </c>
      <c r="R154" s="9" t="inlineStr">
        <is>
          <t>Trọn gói Take-Home Starter Kit V2/V3 (Cỏ nhân tạo + Khay Potty + Đồ chơi Teething/Snuggle)</t>
        </is>
      </c>
      <c r="S154" s="9" t="inlineStr">
        <is>
          <t>HOT LEAD (Điểm ≥61): Liên hệ Telesale/Email chào gói Starter Kit &amp; Báo giá sỉ chiết khấu BOM</t>
        </is>
      </c>
    </row>
    <row r="155">
      <c r="A155" s="53" t="n">
        <v>855</v>
      </c>
      <c r="B155" s="12" t="inlineStr">
        <is>
          <t>Castile Creek Kennels</t>
        </is>
      </c>
      <c r="C155" s="54" t="inlineStr">
        <is>
          <t>https://www.facebook.com/profile.php?id=100047634134462</t>
        </is>
      </c>
      <c r="D155" s="6" t="inlineStr">
        <is>
          <t>Cần quét Bio Fanpage</t>
        </is>
      </c>
      <c r="E155" s="53" t="inlineStr">
        <is>
          <t>12/10/2026 08:38:01</t>
        </is>
      </c>
      <c r="F155" s="53" t="inlineStr">
        <is>
          <t>17 giờ trước</t>
        </is>
      </c>
      <c r="G155" s="55" t="n">
        <v>0.71</v>
      </c>
      <c r="H155" s="56" t="n">
        <v>32</v>
      </c>
      <c r="I155" s="6" t="inlineStr">
        <is>
          <t>Dog Breeder / Trại chó chuyên nghiệp (28-30đ)</t>
        </is>
      </c>
      <c r="J155" s="56" t="n">
        <v>30</v>
      </c>
      <c r="K155" s="6" t="inlineStr">
        <is>
          <t>Chưa rõ giống (Cần quét Bio)</t>
        </is>
      </c>
      <c r="L155" s="56" t="n">
        <v>0</v>
      </c>
      <c r="M155" s="56" t="n">
        <v>5</v>
      </c>
      <c r="N155" s="6" t="inlineStr">
        <is>
          <t>Amazon link not found</t>
        </is>
      </c>
      <c r="O155" s="56">
        <f>IF(N155="Selling pet toys + Artificial grass/Pet toilets (TARGET)",15,IF(N155="Selling artificial grass/pet toilets (TARGET)",10,IF(N155="Selling pet toys",7,IF(N155="There's an Amazon link, but no target sales.",3,0))))</f>
        <v/>
      </c>
      <c r="P155" s="63">
        <f>H155+J155+L155+M155+O155</f>
        <v/>
      </c>
      <c r="Q155" s="64">
        <f>IF(OR(H155=0,P155&lt;30),"Tier D (Đóng băng)",IF(P155&gt;=85,"Tier S (Kim Cương: 85-100đ)",IF(P155&gt;=70,"Tier A (Vàng: 70-84đ)",IF(P155&gt;=61,"Tier B+ / Cấp A (Hot Lead: 61-69đ)",IF(P155&gt;=50,"Tier B (Bạc: 50-60đ)","Tier C (Đồng: 30-49đ)")))))</f>
        <v/>
      </c>
      <c r="R155" s="6" t="inlineStr">
        <is>
          <t>Trọn gói Take-Home Starter Kit V2/V3 (Cỏ nhân tạo + Khay Potty + Đồ chơi Teething/Snuggle)</t>
        </is>
      </c>
      <c r="S155" s="6" t="inlineStr">
        <is>
          <t>HOT LEAD (Điểm ≥61): Liên hệ Telesale/Email chào gói Starter Kit &amp; Báo giá sỉ chiết khấu BOM</t>
        </is>
      </c>
    </row>
    <row r="156">
      <c r="A156" s="59" t="n">
        <v>804</v>
      </c>
      <c r="B156" s="15" t="inlineStr">
        <is>
          <t>C4 Kennels &amp; Outdoors</t>
        </is>
      </c>
      <c r="C156" s="60" t="inlineStr">
        <is>
          <t>https://www.facebook.com/C4KennelsAndOutdoors</t>
        </is>
      </c>
      <c r="D156" s="9" t="inlineStr">
        <is>
          <t>Cần quét Bio Fanpage</t>
        </is>
      </c>
      <c r="E156" s="59" t="inlineStr">
        <is>
          <t>12/10/2026 08:10:39</t>
        </is>
      </c>
      <c r="F156" s="59" t="inlineStr">
        <is>
          <t>18 giờ trước</t>
        </is>
      </c>
      <c r="G156" s="61" t="n">
        <v>0.75</v>
      </c>
      <c r="H156" s="62" t="n">
        <v>32</v>
      </c>
      <c r="I156" s="9" t="inlineStr">
        <is>
          <t>Dog Breeder / Trại chó chuyên nghiệp (28-30đ)</t>
        </is>
      </c>
      <c r="J156" s="62" t="n">
        <v>30</v>
      </c>
      <c r="K156" s="9" t="inlineStr">
        <is>
          <t>Chưa rõ giống (Cần quét Bio)</t>
        </is>
      </c>
      <c r="L156" s="62" t="n">
        <v>0</v>
      </c>
      <c r="M156" s="62" t="n">
        <v>5</v>
      </c>
      <c r="N156" s="9" t="inlineStr">
        <is>
          <t>Amazon link not found</t>
        </is>
      </c>
      <c r="O156" s="62">
        <f>IF(N156="Selling pet toys + Artificial grass/Pet toilets (TARGET)",15,IF(N156="Selling artificial grass/pet toilets (TARGET)",10,IF(N156="Selling pet toys",7,IF(N156="There's an Amazon link, but no target sales.",3,0))))</f>
        <v/>
      </c>
      <c r="P156" s="63">
        <f>H156+J156+L156+M156+O156</f>
        <v/>
      </c>
      <c r="Q156" s="64">
        <f>IF(OR(H156=0,P156&lt;30),"Tier D (Đóng băng)",IF(P156&gt;=85,"Tier S (Kim Cương: 85-100đ)",IF(P156&gt;=70,"Tier A (Vàng: 70-84đ)",IF(P156&gt;=61,"Tier B+ / Cấp A (Hot Lead: 61-69đ)",IF(P156&gt;=50,"Tier B (Bạc: 50-60đ)","Tier C (Đồng: 30-49đ)")))))</f>
        <v/>
      </c>
      <c r="R156" s="9" t="inlineStr">
        <is>
          <t>Trọn gói Take-Home Starter Kit V2/V3 (Cỏ nhân tạo + Khay Potty + Đồ chơi Teething/Snuggle)</t>
        </is>
      </c>
      <c r="S156" s="9" t="inlineStr">
        <is>
          <t>HOT LEAD (Điểm ≥61): Liên hệ Telesale/Email chào gói Starter Kit &amp; Báo giá sỉ chiết khấu BOM</t>
        </is>
      </c>
    </row>
    <row r="157">
      <c r="A157" s="53" t="n">
        <v>2678</v>
      </c>
      <c r="B157" s="12" t="inlineStr">
        <is>
          <t>QBN Kennel</t>
        </is>
      </c>
      <c r="C157" s="54" t="inlineStr">
        <is>
          <t>https://www.facebook.com/QBNKennel</t>
        </is>
      </c>
      <c r="D157" s="6" t="inlineStr">
        <is>
          <t>Cần quét Bio Fanpage</t>
        </is>
      </c>
      <c r="E157" s="53" t="inlineStr">
        <is>
          <t>12/10/2026 08:01:00</t>
        </is>
      </c>
      <c r="F157" s="53" t="inlineStr">
        <is>
          <t>21 giờ trước</t>
        </is>
      </c>
      <c r="G157" s="55" t="n">
        <v>0.88</v>
      </c>
      <c r="H157" s="56" t="n">
        <v>32</v>
      </c>
      <c r="I157" s="6" t="inlineStr">
        <is>
          <t>Dog Breeder / Trại chó chuyên nghiệp (28-30đ)</t>
        </is>
      </c>
      <c r="J157" s="56" t="n">
        <v>30</v>
      </c>
      <c r="K157" s="6" t="inlineStr">
        <is>
          <t>Chưa rõ giống (Cần quét Bio)</t>
        </is>
      </c>
      <c r="L157" s="56" t="n">
        <v>0</v>
      </c>
      <c r="M157" s="56" t="n">
        <v>5</v>
      </c>
      <c r="N157" s="6" t="inlineStr">
        <is>
          <t>Amazon link not found</t>
        </is>
      </c>
      <c r="O157" s="56">
        <f>IF(N157="Selling pet toys + Artificial grass/Pet toilets (TARGET)",15,IF(N157="Selling artificial grass/pet toilets (TARGET)",10,IF(N157="Selling pet toys",7,IF(N157="There's an Amazon link, but no target sales.",3,0))))</f>
        <v/>
      </c>
      <c r="P157" s="63">
        <f>H157+J157+L157+M157+O157</f>
        <v/>
      </c>
      <c r="Q157" s="64">
        <f>IF(OR(H157=0,P157&lt;30),"Tier D (Đóng băng)",IF(P157&gt;=85,"Tier S (Kim Cương: 85-100đ)",IF(P157&gt;=70,"Tier A (Vàng: 70-84đ)",IF(P157&gt;=61,"Tier B+ / Cấp A (Hot Lead: 61-69đ)",IF(P157&gt;=50,"Tier B (Bạc: 50-60đ)","Tier C (Đồng: 30-49đ)")))))</f>
        <v/>
      </c>
      <c r="R157" s="6" t="inlineStr">
        <is>
          <t>Trọn gói Take-Home Starter Kit V2/V3 (Cỏ nhân tạo + Khay Potty + Đồ chơi Teething/Snuggle)</t>
        </is>
      </c>
      <c r="S157" s="6" t="inlineStr">
        <is>
          <t>HOT LEAD (Điểm ≥61): Liên hệ Telesale/Email chào gói Starter Kit &amp; Báo giá sỉ chiết khấu BOM</t>
        </is>
      </c>
    </row>
    <row r="158">
      <c r="A158" s="59" t="n">
        <v>2767</v>
      </c>
      <c r="B158" s="15" t="inlineStr">
        <is>
          <t>Rockey's Kennels</t>
        </is>
      </c>
      <c r="C158" s="60" t="inlineStr">
        <is>
          <t>https://www.facebook.com/RockeysKennels</t>
        </is>
      </c>
      <c r="D158" s="9" t="inlineStr">
        <is>
          <t>Cần quét Bio Fanpage</t>
        </is>
      </c>
      <c r="E158" s="59" t="inlineStr">
        <is>
          <t>12/10/2026 06:36:14</t>
        </is>
      </c>
      <c r="F158" s="59" t="inlineStr">
        <is>
          <t>23 giờ trước</t>
        </is>
      </c>
      <c r="G158" s="61" t="n">
        <v>0.96</v>
      </c>
      <c r="H158" s="62" t="n">
        <v>32</v>
      </c>
      <c r="I158" s="9" t="inlineStr">
        <is>
          <t>Dog Breeder / Trại chó chuyên nghiệp (28-30đ)</t>
        </is>
      </c>
      <c r="J158" s="62" t="n">
        <v>30</v>
      </c>
      <c r="K158" s="9" t="inlineStr">
        <is>
          <t>Chưa rõ giống (Cần quét Bio)</t>
        </is>
      </c>
      <c r="L158" s="62" t="n">
        <v>0</v>
      </c>
      <c r="M158" s="62" t="n">
        <v>5</v>
      </c>
      <c r="N158" s="9" t="inlineStr">
        <is>
          <t>Amazon link not found</t>
        </is>
      </c>
      <c r="O158" s="62">
        <f>IF(N158="Selling pet toys + Artificial grass/Pet toilets (TARGET)",15,IF(N158="Selling artificial grass/pet toilets (TARGET)",10,IF(N158="Selling pet toys",7,IF(N158="There's an Amazon link, but no target sales.",3,0))))</f>
        <v/>
      </c>
      <c r="P158" s="63">
        <f>H158+J158+L158+M158+O158</f>
        <v/>
      </c>
      <c r="Q158" s="64">
        <f>IF(OR(H158=0,P158&lt;30),"Tier D (Đóng băng)",IF(P158&gt;=85,"Tier S (Kim Cương: 85-100đ)",IF(P158&gt;=70,"Tier A (Vàng: 70-84đ)",IF(P158&gt;=61,"Tier B+ / Cấp A (Hot Lead: 61-69đ)",IF(P158&gt;=50,"Tier B (Bạc: 50-60đ)","Tier C (Đồng: 30-49đ)")))))</f>
        <v/>
      </c>
      <c r="R158" s="9" t="inlineStr">
        <is>
          <t>Trọn gói Take-Home Starter Kit V2/V3 (Cỏ nhân tạo + Khay Potty + Đồ chơi Teething/Snuggle)</t>
        </is>
      </c>
      <c r="S158" s="9" t="inlineStr">
        <is>
          <t>HOT LEAD (Điểm ≥61): Liên hệ Telesale/Email chào gói Starter Kit &amp; Báo giá sỉ chiết khấu BOM</t>
        </is>
      </c>
    </row>
    <row r="159">
      <c r="A159" s="53" t="n">
        <v>921</v>
      </c>
      <c r="B159" s="12" t="inlineStr">
        <is>
          <t>CMarasigan Kennel</t>
        </is>
      </c>
      <c r="C159" s="54" t="inlineStr">
        <is>
          <t>https://www.facebook.com/100063491363244</t>
        </is>
      </c>
      <c r="D159" s="6" t="inlineStr">
        <is>
          <t>Cần quét Bio Fanpage</t>
        </is>
      </c>
      <c r="E159" s="53" t="inlineStr">
        <is>
          <t>12/10/2026 06:14:39</t>
        </is>
      </c>
      <c r="F159" s="53" t="inlineStr">
        <is>
          <t>20 giờ trước</t>
        </is>
      </c>
      <c r="G159" s="55" t="n">
        <v>0.83</v>
      </c>
      <c r="H159" s="56" t="n">
        <v>32</v>
      </c>
      <c r="I159" s="6" t="inlineStr">
        <is>
          <t>Dog Breeder / Trại chó chuyên nghiệp (28-30đ)</t>
        </is>
      </c>
      <c r="J159" s="56" t="n">
        <v>30</v>
      </c>
      <c r="K159" s="6" t="inlineStr">
        <is>
          <t>Chưa rõ giống (Cần quét Bio)</t>
        </is>
      </c>
      <c r="L159" s="56" t="n">
        <v>0</v>
      </c>
      <c r="M159" s="56" t="n">
        <v>5</v>
      </c>
      <c r="N159" s="6" t="inlineStr">
        <is>
          <t>Amazon link not found</t>
        </is>
      </c>
      <c r="O159" s="56">
        <f>IF(N159="Selling pet toys + Artificial grass/Pet toilets (TARGET)",15,IF(N159="Selling artificial grass/pet toilets (TARGET)",10,IF(N159="Selling pet toys",7,IF(N159="There's an Amazon link, but no target sales.",3,0))))</f>
        <v/>
      </c>
      <c r="P159" s="63">
        <f>H159+J159+L159+M159+O159</f>
        <v/>
      </c>
      <c r="Q159" s="64">
        <f>IF(OR(H159=0,P159&lt;30),"Tier D (Đóng băng)",IF(P159&gt;=85,"Tier S (Kim Cương: 85-100đ)",IF(P159&gt;=70,"Tier A (Vàng: 70-84đ)",IF(P159&gt;=61,"Tier B+ / Cấp A (Hot Lead: 61-69đ)",IF(P159&gt;=50,"Tier B (Bạc: 50-60đ)","Tier C (Đồng: 30-49đ)")))))</f>
        <v/>
      </c>
      <c r="R159" s="6" t="inlineStr">
        <is>
          <t>Trọn gói Take-Home Starter Kit V2/V3 (Cỏ nhân tạo + Khay Potty + Đồ chơi Teething/Snuggle)</t>
        </is>
      </c>
      <c r="S159" s="6" t="inlineStr">
        <is>
          <t>HOT LEAD (Điểm ≥61): Liên hệ Telesale/Email chào gói Starter Kit &amp; Báo giá sỉ chiết khấu BOM</t>
        </is>
      </c>
    </row>
    <row r="160">
      <c r="A160" s="59" t="n">
        <v>171</v>
      </c>
      <c r="B160" s="15" t="inlineStr">
        <is>
          <t>Five Star Puppies</t>
        </is>
      </c>
      <c r="C160" s="60" t="inlineStr">
        <is>
          <t>https://www.facebook.com/fivestarfarms55</t>
        </is>
      </c>
      <c r="D160" s="9" t="inlineStr">
        <is>
          <t>Cần quét Bio Fanpage</t>
        </is>
      </c>
      <c r="E160" s="59" t="inlineStr">
        <is>
          <t>12/10/2026 05:13:02</t>
        </is>
      </c>
      <c r="F160" s="59" t="inlineStr">
        <is>
          <t>20 giờ trước</t>
        </is>
      </c>
      <c r="G160" s="61" t="n">
        <v>0.83</v>
      </c>
      <c r="H160" s="62" t="n">
        <v>32</v>
      </c>
      <c r="I160" s="9" t="inlineStr">
        <is>
          <t>Dog Breeder / Trại chó chuyên nghiệp (28-30đ)</t>
        </is>
      </c>
      <c r="J160" s="62" t="n">
        <v>30</v>
      </c>
      <c r="K160" s="9" t="inlineStr">
        <is>
          <t>Chưa rõ giống (Cần quét Bio)</t>
        </is>
      </c>
      <c r="L160" s="62" t="n">
        <v>0</v>
      </c>
      <c r="M160" s="62" t="n">
        <v>5</v>
      </c>
      <c r="N160" s="9" t="inlineStr">
        <is>
          <t>Amazon link not found</t>
        </is>
      </c>
      <c r="O160" s="62">
        <f>IF(N160="Selling pet toys + Artificial grass/Pet toilets (TARGET)",15,IF(N160="Selling artificial grass/pet toilets (TARGET)",10,IF(N160="Selling pet toys",7,IF(N160="There's an Amazon link, but no target sales.",3,0))))</f>
        <v/>
      </c>
      <c r="P160" s="63">
        <f>H160+J160+L160+M160+O160</f>
        <v/>
      </c>
      <c r="Q160" s="64">
        <f>IF(OR(H160=0,P160&lt;30),"Tier D (Đóng băng)",IF(P160&gt;=85,"Tier S (Kim Cương: 85-100đ)",IF(P160&gt;=70,"Tier A (Vàng: 70-84đ)",IF(P160&gt;=61,"Tier B+ / Cấp A (Hot Lead: 61-69đ)",IF(P160&gt;=50,"Tier B (Bạc: 50-60đ)","Tier C (Đồng: 30-49đ)")))))</f>
        <v/>
      </c>
      <c r="R160" s="9" t="inlineStr">
        <is>
          <t>Trọn gói Take-Home Starter Kit V2/V3 (Cỏ nhân tạo + Khay Potty + Đồ chơi Teething/Snuggle)</t>
        </is>
      </c>
      <c r="S160" s="9" t="inlineStr">
        <is>
          <t>HOT LEAD (Điểm ≥61): Liên hệ Telesale/Email chào gói Starter Kit &amp; Báo giá sỉ chiết khấu BOM</t>
        </is>
      </c>
    </row>
    <row r="161">
      <c r="A161" s="53" t="n">
        <v>753</v>
      </c>
      <c r="B161" s="12" t="inlineStr">
        <is>
          <t>Breezewood Kennel</t>
        </is>
      </c>
      <c r="C161" s="54" t="inlineStr">
        <is>
          <t>https://www.facebook.com/profile.php?id=100063488533281</t>
        </is>
      </c>
      <c r="D161" s="6" t="inlineStr">
        <is>
          <t>Cần quét Bio Fanpage</t>
        </is>
      </c>
      <c r="E161" s="53" t="inlineStr">
        <is>
          <t>12/10/2026 03:00:18</t>
        </is>
      </c>
      <c r="F161" s="53" t="inlineStr">
        <is>
          <t>23 giờ trước</t>
        </is>
      </c>
      <c r="G161" s="55" t="n">
        <v>0.96</v>
      </c>
      <c r="H161" s="56" t="n">
        <v>32</v>
      </c>
      <c r="I161" s="6" t="inlineStr">
        <is>
          <t>Dog Breeder / Trại chó chuyên nghiệp (28-30đ)</t>
        </is>
      </c>
      <c r="J161" s="56" t="n">
        <v>30</v>
      </c>
      <c r="K161" s="6" t="inlineStr">
        <is>
          <t>Chưa rõ giống (Cần quét Bio)</t>
        </is>
      </c>
      <c r="L161" s="56" t="n">
        <v>0</v>
      </c>
      <c r="M161" s="56" t="n">
        <v>5</v>
      </c>
      <c r="N161" s="6" t="inlineStr">
        <is>
          <t>Amazon link not found</t>
        </is>
      </c>
      <c r="O161" s="56">
        <f>IF(N161="Selling pet toys + Artificial grass/Pet toilets (TARGET)",15,IF(N161="Selling artificial grass/pet toilets (TARGET)",10,IF(N161="Selling pet toys",7,IF(N161="There's an Amazon link, but no target sales.",3,0))))</f>
        <v/>
      </c>
      <c r="P161" s="63">
        <f>H161+J161+L161+M161+O161</f>
        <v/>
      </c>
      <c r="Q161" s="64">
        <f>IF(OR(H161=0,P161&lt;30),"Tier D (Đóng băng)",IF(P161&gt;=85,"Tier S (Kim Cương: 85-100đ)",IF(P161&gt;=70,"Tier A (Vàng: 70-84đ)",IF(P161&gt;=61,"Tier B+ / Cấp A (Hot Lead: 61-69đ)",IF(P161&gt;=50,"Tier B (Bạc: 50-60đ)","Tier C (Đồng: 30-49đ)")))))</f>
        <v/>
      </c>
      <c r="R161" s="6" t="inlineStr">
        <is>
          <t>Trọn gói Take-Home Starter Kit V2/V3 (Cỏ nhân tạo + Khay Potty + Đồ chơi Teething/Snuggle)</t>
        </is>
      </c>
      <c r="S161" s="6" t="inlineStr">
        <is>
          <t>HOT LEAD (Điểm ≥61): Liên hệ Telesale/Email chào gói Starter Kit &amp; Báo giá sỉ chiết khấu BOM</t>
        </is>
      </c>
    </row>
    <row r="162">
      <c r="A162" s="59" t="n">
        <v>25</v>
      </c>
      <c r="B162" s="15" t="inlineStr">
        <is>
          <t>Kennel Connect</t>
        </is>
      </c>
      <c r="C162" s="60" t="inlineStr">
        <is>
          <t>https://www.facebook.com/kennelconnect</t>
        </is>
      </c>
      <c r="D162" s="9" t="inlineStr">
        <is>
          <t>Cần quét Bio Fanpage</t>
        </is>
      </c>
      <c r="E162" s="59" t="inlineStr">
        <is>
          <t>12/10/2026 01:54:23</t>
        </is>
      </c>
      <c r="F162" s="59" t="inlineStr">
        <is>
          <t>23 giờ trước</t>
        </is>
      </c>
      <c r="G162" s="61" t="n">
        <v>0.96</v>
      </c>
      <c r="H162" s="62" t="n">
        <v>32</v>
      </c>
      <c r="I162" s="9" t="inlineStr">
        <is>
          <t>Dog Breeder / Trại chó chuyên nghiệp (28-30đ)</t>
        </is>
      </c>
      <c r="J162" s="62" t="n">
        <v>30</v>
      </c>
      <c r="K162" s="9" t="inlineStr">
        <is>
          <t>Chưa rõ giống (Cần quét Bio)</t>
        </is>
      </c>
      <c r="L162" s="62" t="n">
        <v>0</v>
      </c>
      <c r="M162" s="62" t="n">
        <v>5</v>
      </c>
      <c r="N162" s="9" t="inlineStr">
        <is>
          <t>Amazon link not found</t>
        </is>
      </c>
      <c r="O162" s="62">
        <f>IF(N162="Selling pet toys + Artificial grass/Pet toilets (TARGET)",15,IF(N162="Selling artificial grass/pet toilets (TARGET)",10,IF(N162="Selling pet toys",7,IF(N162="There's an Amazon link, but no target sales.",3,0))))</f>
        <v/>
      </c>
      <c r="P162" s="63">
        <f>H162+J162+L162+M162+O162</f>
        <v/>
      </c>
      <c r="Q162" s="64">
        <f>IF(OR(H162=0,P162&lt;30),"Tier D (Đóng băng)",IF(P162&gt;=85,"Tier S (Kim Cương: 85-100đ)",IF(P162&gt;=70,"Tier A (Vàng: 70-84đ)",IF(P162&gt;=61,"Tier B+ / Cấp A (Hot Lead: 61-69đ)",IF(P162&gt;=50,"Tier B (Bạc: 50-60đ)","Tier C (Đồng: 30-49đ)")))))</f>
        <v/>
      </c>
      <c r="R162" s="9" t="inlineStr">
        <is>
          <t>Trọn gói Take-Home Starter Kit V2/V3 (Cỏ nhân tạo + Khay Potty + Đồ chơi Teething/Snuggle)</t>
        </is>
      </c>
      <c r="S162" s="9" t="inlineStr">
        <is>
          <t>HOT LEAD (Điểm ≥61): Liên hệ Telesale/Email chào gói Starter Kit &amp; Báo giá sỉ chiết khấu BOM</t>
        </is>
      </c>
    </row>
    <row r="163">
      <c r="A163" s="53" t="n">
        <v>4250</v>
      </c>
      <c r="B163" s="12" t="inlineStr">
        <is>
          <t>Joshua's House for Golden Retriever Rescue &amp; Sanctuary Inc</t>
        </is>
      </c>
      <c r="C163" s="54" t="inlineStr">
        <is>
          <t>https://www.facebook.com/Joshuashouseforgoldenretrieverrescue</t>
        </is>
      </c>
      <c r="D163" s="6" t="inlineStr">
        <is>
          <t>Cần quét Bio Fanpage</t>
        </is>
      </c>
      <c r="E163" s="53" t="inlineStr">
        <is>
          <t>13/10/2026 07:25:46</t>
        </is>
      </c>
      <c r="F163" s="53" t="inlineStr">
        <is>
          <t>1 giờ trước</t>
        </is>
      </c>
      <c r="G163" s="55" t="n">
        <v>0.04</v>
      </c>
      <c r="H163" s="56" t="n">
        <v>35</v>
      </c>
      <c r="I163" s="6" t="inlineStr">
        <is>
          <t>Pet Rescue / Trạm cứu trợ (14-16đ)</t>
        </is>
      </c>
      <c r="J163" s="56" t="n">
        <v>16</v>
      </c>
      <c r="K163" s="6" t="inlineStr">
        <is>
          <t>Golden Retriever</t>
        </is>
      </c>
      <c r="L163" s="56" t="n">
        <v>10</v>
      </c>
      <c r="M163" s="56" t="n">
        <v>5</v>
      </c>
      <c r="N163" s="6" t="inlineStr">
        <is>
          <t>Amazon link not found</t>
        </is>
      </c>
      <c r="O163" s="56">
        <f>IF(N163="Selling pet toys + Artificial grass/Pet toilets (TARGET)",15,IF(N163="Selling artificial grass/pet toilets (TARGET)",10,IF(N163="Selling pet toys",7,IF(N163="There's an Amazon link, but no target sales.",3,0))))</f>
        <v/>
      </c>
      <c r="P163" s="63">
        <f>H163+J163+L163+M163+O163</f>
        <v/>
      </c>
      <c r="Q163" s="64">
        <f>IF(OR(H163=0,P163&lt;30),"Tier D (Đóng băng)",IF(P163&gt;=85,"Tier S (Kim Cương: 85-100đ)",IF(P163&gt;=70,"Tier A (Vàng: 70-84đ)",IF(P163&gt;=61,"Tier B+ / Cấp A (Hot Lead: 61-69đ)",IF(P163&gt;=50,"Tier B (Bạc: 50-60đ)","Tier C (Đồng: 30-49đ)")))))</f>
        <v/>
      </c>
      <c r="R163" s="6" t="inlineStr">
        <is>
          <t>Nhà vệ sinh &amp; Tã lót (Potty Tray / Pee Pads) + Cỏ nhân tạo lót chuồng</t>
        </is>
      </c>
      <c r="S163" s="6" t="inlineStr">
        <is>
          <t>HOT LEAD (Điểm ≥61): Liên hệ Telesale/Email chào gói Starter Kit &amp; Báo giá sỉ chiết khấu BOM</t>
        </is>
      </c>
    </row>
    <row r="164">
      <c r="A164" s="59" t="n">
        <v>1974</v>
      </c>
      <c r="B164" s="15" t="inlineStr">
        <is>
          <t>Lake Valley Bulldogs</t>
        </is>
      </c>
      <c r="C164" s="60" t="inlineStr">
        <is>
          <t>https://www.facebook.com/lakevalleybulldogs</t>
        </is>
      </c>
      <c r="D164" s="9" t="inlineStr">
        <is>
          <t>Cần quét Bio Fanpage</t>
        </is>
      </c>
      <c r="E164" s="59" t="inlineStr">
        <is>
          <t>12/10/2026 04:16:24</t>
        </is>
      </c>
      <c r="F164" s="59" t="inlineStr">
        <is>
          <t>1 ngày trước</t>
        </is>
      </c>
      <c r="G164" s="61" t="n">
        <v>1</v>
      </c>
      <c r="H164" s="62" t="n">
        <v>28</v>
      </c>
      <c r="I164" s="9" t="inlineStr">
        <is>
          <t>Dog Breeder / Trại chó chuyên nghiệp (28-30đ)</t>
        </is>
      </c>
      <c r="J164" s="62" t="n">
        <v>28</v>
      </c>
      <c r="K164" s="9" t="inlineStr">
        <is>
          <t>English Bulldog</t>
        </is>
      </c>
      <c r="L164" s="62" t="n">
        <v>10</v>
      </c>
      <c r="M164" s="62" t="n">
        <v>0</v>
      </c>
      <c r="N164" s="9" t="inlineStr">
        <is>
          <t>Amazon link not found</t>
        </is>
      </c>
      <c r="O164" s="62">
        <f>IF(N164="Selling pet toys + Artificial grass/Pet toilets (TARGET)",15,IF(N164="Selling artificial grass/pet toilets (TARGET)",10,IF(N164="Selling pet toys",7,IF(N164="There's an Amazon link, but no target sales.",3,0))))</f>
        <v/>
      </c>
      <c r="P164" s="63">
        <f>H164+J164+L164+M164+O164</f>
        <v/>
      </c>
      <c r="Q164" s="64">
        <f>IF(OR(H164=0,P164&lt;30),"Tier D (Đóng băng)",IF(P164&gt;=85,"Tier S (Kim Cương: 85-100đ)",IF(P164&gt;=70,"Tier A (Vàng: 70-84đ)",IF(P164&gt;=61,"Tier B+ / Cấp A (Hot Lead: 61-69đ)",IF(P164&gt;=50,"Tier B (Bạc: 50-60đ)","Tier C (Đồng: 30-49đ)")))))</f>
        <v/>
      </c>
      <c r="R164" s="9" t="inlineStr">
        <is>
          <t>Trọn gói Take-Home Starter Kit V2/V3 (Cỏ nhân tạo + Khay Potty + Đồ chơi Teething/Snuggle)</t>
        </is>
      </c>
      <c r="S164" s="9" t="inlineStr">
        <is>
          <t>HOT LEAD (Điểm ≥61): Liên hệ Telesale/Email chào gói Starter Kit &amp; Báo giá sỉ chiết khấu BOM</t>
        </is>
      </c>
    </row>
    <row r="165">
      <c r="A165" s="53" t="n">
        <v>2576</v>
      </c>
      <c r="B165" s="12" t="inlineStr">
        <is>
          <t>Pine State Bulldogs</t>
        </is>
      </c>
      <c r="C165" s="54" t="inlineStr">
        <is>
          <t>https://www.facebook.com/profile.php?id=61592373347337</t>
        </is>
      </c>
      <c r="D165" s="6" t="inlineStr">
        <is>
          <t>Cần quét Bio Fanpage</t>
        </is>
      </c>
      <c r="E165" s="53" t="inlineStr">
        <is>
          <t>12/10/2026 03:03:59</t>
        </is>
      </c>
      <c r="F165" s="53" t="inlineStr">
        <is>
          <t>1 ngày trước</t>
        </is>
      </c>
      <c r="G165" s="55" t="n">
        <v>1</v>
      </c>
      <c r="H165" s="56" t="n">
        <v>28</v>
      </c>
      <c r="I165" s="6" t="inlineStr">
        <is>
          <t>Dog Breeder / Trại chó chuyên nghiệp (28-30đ)</t>
        </is>
      </c>
      <c r="J165" s="56" t="n">
        <v>28</v>
      </c>
      <c r="K165" s="6" t="inlineStr">
        <is>
          <t>English Bulldog</t>
        </is>
      </c>
      <c r="L165" s="56" t="n">
        <v>10</v>
      </c>
      <c r="M165" s="56" t="n">
        <v>0</v>
      </c>
      <c r="N165" s="6" t="inlineStr">
        <is>
          <t>Amazon link not found</t>
        </is>
      </c>
      <c r="O165" s="56">
        <f>IF(N165="Selling pet toys + Artificial grass/Pet toilets (TARGET)",15,IF(N165="Selling artificial grass/pet toilets (TARGET)",10,IF(N165="Selling pet toys",7,IF(N165="There's an Amazon link, but no target sales.",3,0))))</f>
        <v/>
      </c>
      <c r="P165" s="63">
        <f>H165+J165+L165+M165+O165</f>
        <v/>
      </c>
      <c r="Q165" s="64">
        <f>IF(OR(H165=0,P165&lt;30),"Tier D (Đóng băng)",IF(P165&gt;=85,"Tier S (Kim Cương: 85-100đ)",IF(P165&gt;=70,"Tier A (Vàng: 70-84đ)",IF(P165&gt;=61,"Tier B+ / Cấp A (Hot Lead: 61-69đ)",IF(P165&gt;=50,"Tier B (Bạc: 50-60đ)","Tier C (Đồng: 30-49đ)")))))</f>
        <v/>
      </c>
      <c r="R165" s="6" t="inlineStr">
        <is>
          <t>Trọn gói Take-Home Starter Kit V2/V3 (Cỏ nhân tạo + Khay Potty + Đồ chơi Teething/Snuggle)</t>
        </is>
      </c>
      <c r="S165" s="6" t="inlineStr">
        <is>
          <t>HOT LEAD (Điểm ≥61): Liên hệ Telesale/Email chào gói Starter Kit &amp; Báo giá sỉ chiết khấu BOM</t>
        </is>
      </c>
    </row>
    <row r="166">
      <c r="A166" s="59" t="n">
        <v>1505</v>
      </c>
      <c r="B166" s="15" t="inlineStr">
        <is>
          <t>Girl with the Bullies</t>
        </is>
      </c>
      <c r="C166" s="60" t="inlineStr">
        <is>
          <t>https://www.facebook.com/girlwiththebullies</t>
        </is>
      </c>
      <c r="D166" s="9" t="inlineStr">
        <is>
          <t>Cần quét Bio Fanpage</t>
        </is>
      </c>
      <c r="E166" s="59" t="inlineStr">
        <is>
          <t>12/10/2026 02:07:08</t>
        </is>
      </c>
      <c r="F166" s="59" t="inlineStr">
        <is>
          <t>1 ngày trước</t>
        </is>
      </c>
      <c r="G166" s="61" t="n">
        <v>1</v>
      </c>
      <c r="H166" s="62" t="n">
        <v>28</v>
      </c>
      <c r="I166" s="9" t="inlineStr">
        <is>
          <t>Dog Breeder / Trại chó chuyên nghiệp (28-30đ)</t>
        </is>
      </c>
      <c r="J166" s="62" t="n">
        <v>28</v>
      </c>
      <c r="K166" s="9" t="inlineStr">
        <is>
          <t>American Bully / Bully</t>
        </is>
      </c>
      <c r="L166" s="62" t="n">
        <v>10</v>
      </c>
      <c r="M166" s="62" t="n">
        <v>0</v>
      </c>
      <c r="N166" s="9" t="inlineStr">
        <is>
          <t>Amazon link not found</t>
        </is>
      </c>
      <c r="O166" s="62">
        <f>IF(N166="Selling pet toys + Artificial grass/Pet toilets (TARGET)",15,IF(N166="Selling artificial grass/pet toilets (TARGET)",10,IF(N166="Selling pet toys",7,IF(N166="There's an Amazon link, but no target sales.",3,0))))</f>
        <v/>
      </c>
      <c r="P166" s="63">
        <f>H166+J166+L166+M166+O166</f>
        <v/>
      </c>
      <c r="Q166" s="64">
        <f>IF(OR(H166=0,P166&lt;30),"Tier D (Đóng băng)",IF(P166&gt;=85,"Tier S (Kim Cương: 85-100đ)",IF(P166&gt;=70,"Tier A (Vàng: 70-84đ)",IF(P166&gt;=61,"Tier B+ / Cấp A (Hot Lead: 61-69đ)",IF(P166&gt;=50,"Tier B (Bạc: 50-60đ)","Tier C (Đồng: 30-49đ)")))))</f>
        <v/>
      </c>
      <c r="R166" s="9" t="inlineStr">
        <is>
          <t>Trọn gói Take-Home Starter Kit V2/V3 (Cỏ nhân tạo + Khay Potty + Đồ chơi Teething/Snuggle)</t>
        </is>
      </c>
      <c r="S166" s="9" t="inlineStr">
        <is>
          <t>HOT LEAD (Điểm ≥61): Liên hệ Telesale/Email chào gói Starter Kit &amp; Báo giá sỉ chiết khấu BOM</t>
        </is>
      </c>
    </row>
    <row r="167">
      <c r="A167" s="53" t="n">
        <v>790</v>
      </c>
      <c r="B167" s="12" t="inlineStr">
        <is>
          <t>Bulldogs by Mr Sherman &amp; Hugo</t>
        </is>
      </c>
      <c r="C167" s="54" t="inlineStr">
        <is>
          <t>https://www.facebook.com/bulldogsbymrshermanandhugo</t>
        </is>
      </c>
      <c r="D167" s="6" t="inlineStr">
        <is>
          <t>Cần quét Bio Fanpage</t>
        </is>
      </c>
      <c r="E167" s="53" t="inlineStr">
        <is>
          <t>12/10/2026 00:44:59</t>
        </is>
      </c>
      <c r="F167" s="53" t="inlineStr">
        <is>
          <t>1 ngày trước</t>
        </is>
      </c>
      <c r="G167" s="55" t="n">
        <v>1</v>
      </c>
      <c r="H167" s="56" t="n">
        <v>28</v>
      </c>
      <c r="I167" s="6" t="inlineStr">
        <is>
          <t>Dog Breeder / Trại chó chuyên nghiệp (28-30đ)</t>
        </is>
      </c>
      <c r="J167" s="56" t="n">
        <v>28</v>
      </c>
      <c r="K167" s="6" t="inlineStr">
        <is>
          <t>English Bulldog</t>
        </is>
      </c>
      <c r="L167" s="56" t="n">
        <v>10</v>
      </c>
      <c r="M167" s="56" t="n">
        <v>0</v>
      </c>
      <c r="N167" s="6" t="inlineStr">
        <is>
          <t>Amazon link not found</t>
        </is>
      </c>
      <c r="O167" s="56">
        <f>IF(N167="Selling pet toys + Artificial grass/Pet toilets (TARGET)",15,IF(N167="Selling artificial grass/pet toilets (TARGET)",10,IF(N167="Selling pet toys",7,IF(N167="There's an Amazon link, but no target sales.",3,0))))</f>
        <v/>
      </c>
      <c r="P167" s="63">
        <f>H167+J167+L167+M167+O167</f>
        <v/>
      </c>
      <c r="Q167" s="64">
        <f>IF(OR(H167=0,P167&lt;30),"Tier D (Đóng băng)",IF(P167&gt;=85,"Tier S (Kim Cương: 85-100đ)",IF(P167&gt;=70,"Tier A (Vàng: 70-84đ)",IF(P167&gt;=61,"Tier B+ / Cấp A (Hot Lead: 61-69đ)",IF(P167&gt;=50,"Tier B (Bạc: 50-60đ)","Tier C (Đồng: 30-49đ)")))))</f>
        <v/>
      </c>
      <c r="R167" s="6" t="inlineStr">
        <is>
          <t>Trọn gói Take-Home Starter Kit V2/V3 (Cỏ nhân tạo + Khay Potty + Đồ chơi Teething/Snuggle)</t>
        </is>
      </c>
      <c r="S167" s="6" t="inlineStr">
        <is>
          <t>HOT LEAD (Điểm ≥61): Liên hệ Telesale/Email chào gói Starter Kit &amp; Báo giá sỉ chiết khấu BOM</t>
        </is>
      </c>
    </row>
    <row r="168">
      <c r="A168" s="59" t="n">
        <v>2310</v>
      </c>
      <c r="B168" s="15" t="inlineStr">
        <is>
          <t>North Country Bulldogges</t>
        </is>
      </c>
      <c r="C168" s="60" t="inlineStr">
        <is>
          <t>https://www.facebook.com/profile.php?id=100088376396316</t>
        </is>
      </c>
      <c r="D168" s="9" t="inlineStr">
        <is>
          <t>Cần quét Bio Fanpage</t>
        </is>
      </c>
      <c r="E168" s="59" t="inlineStr">
        <is>
          <t>12/10/2026 00:31:10</t>
        </is>
      </c>
      <c r="F168" s="59" t="inlineStr">
        <is>
          <t>1 ngày trước</t>
        </is>
      </c>
      <c r="G168" s="61" t="n">
        <v>1</v>
      </c>
      <c r="H168" s="62" t="n">
        <v>28</v>
      </c>
      <c r="I168" s="9" t="inlineStr">
        <is>
          <t>Dog Breeder / Trại chó chuyên nghiệp (28-30đ)</t>
        </is>
      </c>
      <c r="J168" s="62" t="n">
        <v>28</v>
      </c>
      <c r="K168" s="9" t="inlineStr">
        <is>
          <t>English Bulldog</t>
        </is>
      </c>
      <c r="L168" s="62" t="n">
        <v>10</v>
      </c>
      <c r="M168" s="62" t="n">
        <v>0</v>
      </c>
      <c r="N168" s="9" t="inlineStr">
        <is>
          <t>Amazon link not found</t>
        </is>
      </c>
      <c r="O168" s="62">
        <f>IF(N168="Selling pet toys + Artificial grass/Pet toilets (TARGET)",15,IF(N168="Selling artificial grass/pet toilets (TARGET)",10,IF(N168="Selling pet toys",7,IF(N168="There's an Amazon link, but no target sales.",3,0))))</f>
        <v/>
      </c>
      <c r="P168" s="63">
        <f>H168+J168+L168+M168+O168</f>
        <v/>
      </c>
      <c r="Q168" s="64">
        <f>IF(OR(H168=0,P168&lt;30),"Tier D (Đóng băng)",IF(P168&gt;=85,"Tier S (Kim Cương: 85-100đ)",IF(P168&gt;=70,"Tier A (Vàng: 70-84đ)",IF(P168&gt;=61,"Tier B+ / Cấp A (Hot Lead: 61-69đ)",IF(P168&gt;=50,"Tier B (Bạc: 50-60đ)","Tier C (Đồng: 30-49đ)")))))</f>
        <v/>
      </c>
      <c r="R168" s="9" t="inlineStr">
        <is>
          <t>Trọn gói Take-Home Starter Kit V2/V3 (Cỏ nhân tạo + Khay Potty + Đồ chơi Teething/Snuggle)</t>
        </is>
      </c>
      <c r="S168" s="9" t="inlineStr">
        <is>
          <t>HOT LEAD (Điểm ≥61): Liên hệ Telesale/Email chào gói Starter Kit &amp; Báo giá sỉ chiết khấu BOM</t>
        </is>
      </c>
    </row>
    <row r="169">
      <c r="A169" s="53" t="n">
        <v>2562</v>
      </c>
      <c r="B169" s="12" t="inlineStr">
        <is>
          <t>Phantasticus French Bulldogs</t>
        </is>
      </c>
      <c r="C169" s="54" t="inlineStr">
        <is>
          <t>https://www.facebook.com/wichitafrenchies</t>
        </is>
      </c>
      <c r="D169" s="6" t="inlineStr">
        <is>
          <t>Cần quét Bio Fanpage</t>
        </is>
      </c>
      <c r="E169" s="53" t="inlineStr">
        <is>
          <t>12/10/2026 00:10:29</t>
        </is>
      </c>
      <c r="F169" s="53" t="inlineStr">
        <is>
          <t>1 ngày trước</t>
        </is>
      </c>
      <c r="G169" s="55" t="n">
        <v>1</v>
      </c>
      <c r="H169" s="56" t="n">
        <v>28</v>
      </c>
      <c r="I169" s="6" t="inlineStr">
        <is>
          <t>Dog Breeder / Trại chó chuyên nghiệp (28-30đ)</t>
        </is>
      </c>
      <c r="J169" s="56" t="n">
        <v>28</v>
      </c>
      <c r="K169" s="6" t="inlineStr">
        <is>
          <t>French Bulldog</t>
        </is>
      </c>
      <c r="L169" s="56" t="n">
        <v>10</v>
      </c>
      <c r="M169" s="56" t="n">
        <v>0</v>
      </c>
      <c r="N169" s="6" t="inlineStr">
        <is>
          <t>Amazon link not found</t>
        </is>
      </c>
      <c r="O169" s="56">
        <f>IF(N169="Selling pet toys + Artificial grass/Pet toilets (TARGET)",15,IF(N169="Selling artificial grass/pet toilets (TARGET)",10,IF(N169="Selling pet toys",7,IF(N169="There's an Amazon link, but no target sales.",3,0))))</f>
        <v/>
      </c>
      <c r="P169" s="63">
        <f>H169+J169+L169+M169+O169</f>
        <v/>
      </c>
      <c r="Q169" s="64">
        <f>IF(OR(H169=0,P169&lt;30),"Tier D (Đóng băng)",IF(P169&gt;=85,"Tier S (Kim Cương: 85-100đ)",IF(P169&gt;=70,"Tier A (Vàng: 70-84đ)",IF(P169&gt;=61,"Tier B+ / Cấp A (Hot Lead: 61-69đ)",IF(P169&gt;=50,"Tier B (Bạc: 50-60đ)","Tier C (Đồng: 30-49đ)")))))</f>
        <v/>
      </c>
      <c r="R169" s="6" t="inlineStr">
        <is>
          <t>Trọn gói Take-Home Starter Kit V2/V3 (Cỏ nhân tạo + Khay Potty + Đồ chơi Teething/Snuggle)</t>
        </is>
      </c>
      <c r="S169" s="6" t="inlineStr">
        <is>
          <t>HOT LEAD (Điểm ≥61): Liên hệ Telesale/Email chào gói Starter Kit &amp; Báo giá sỉ chiết khấu BOM</t>
        </is>
      </c>
    </row>
    <row r="170">
      <c r="A170" s="59" t="n">
        <v>2288</v>
      </c>
      <c r="B170" s="15" t="inlineStr">
        <is>
          <t>Next Level Bulldogs</t>
        </is>
      </c>
      <c r="C170" s="60" t="inlineStr">
        <is>
          <t>https://www.facebook.com/NextLevelBulldogs</t>
        </is>
      </c>
      <c r="D170" s="9" t="inlineStr">
        <is>
          <t>Cần quét Bio Fanpage</t>
        </is>
      </c>
      <c r="E170" s="59" t="inlineStr">
        <is>
          <t>11/10/2026 23:40:31</t>
        </is>
      </c>
      <c r="F170" s="59" t="inlineStr">
        <is>
          <t>1 ngày trước</t>
        </is>
      </c>
      <c r="G170" s="61" t="n">
        <v>1</v>
      </c>
      <c r="H170" s="62" t="n">
        <v>28</v>
      </c>
      <c r="I170" s="9" t="inlineStr">
        <is>
          <t>Dog Breeder / Trại chó chuyên nghiệp (28-30đ)</t>
        </is>
      </c>
      <c r="J170" s="62" t="n">
        <v>28</v>
      </c>
      <c r="K170" s="9" t="inlineStr">
        <is>
          <t>English Bulldog</t>
        </is>
      </c>
      <c r="L170" s="62" t="n">
        <v>10</v>
      </c>
      <c r="M170" s="62" t="n">
        <v>0</v>
      </c>
      <c r="N170" s="9" t="inlineStr">
        <is>
          <t>Amazon link not found</t>
        </is>
      </c>
      <c r="O170" s="62">
        <f>IF(N170="Selling pet toys + Artificial grass/Pet toilets (TARGET)",15,IF(N170="Selling artificial grass/pet toilets (TARGET)",10,IF(N170="Selling pet toys",7,IF(N170="There's an Amazon link, but no target sales.",3,0))))</f>
        <v/>
      </c>
      <c r="P170" s="63">
        <f>H170+J170+L170+M170+O170</f>
        <v/>
      </c>
      <c r="Q170" s="64">
        <f>IF(OR(H170=0,P170&lt;30),"Tier D (Đóng băng)",IF(P170&gt;=85,"Tier S (Kim Cương: 85-100đ)",IF(P170&gt;=70,"Tier A (Vàng: 70-84đ)",IF(P170&gt;=61,"Tier B+ / Cấp A (Hot Lead: 61-69đ)",IF(P170&gt;=50,"Tier B (Bạc: 50-60đ)","Tier C (Đồng: 30-49đ)")))))</f>
        <v/>
      </c>
      <c r="R170" s="9" t="inlineStr">
        <is>
          <t>Trọn gói Take-Home Starter Kit V2/V3 (Cỏ nhân tạo + Khay Potty + Đồ chơi Teething/Snuggle)</t>
        </is>
      </c>
      <c r="S170" s="9" t="inlineStr">
        <is>
          <t>HOT LEAD (Điểm ≥61): Liên hệ Telesale/Email chào gói Starter Kit &amp; Báo giá sỉ chiết khấu BOM</t>
        </is>
      </c>
    </row>
    <row r="171">
      <c r="A171" s="53" t="n">
        <v>750</v>
      </c>
      <c r="B171" s="12" t="inlineStr">
        <is>
          <t>Brand Name Bullies</t>
        </is>
      </c>
      <c r="C171" s="54" t="inlineStr">
        <is>
          <t>https://www.facebook.com/BrandNameBullies</t>
        </is>
      </c>
      <c r="D171" s="6" t="inlineStr">
        <is>
          <t>Cần quét Bio Fanpage</t>
        </is>
      </c>
      <c r="E171" s="53" t="inlineStr">
        <is>
          <t>11/10/2026 23:21:03</t>
        </is>
      </c>
      <c r="F171" s="53" t="inlineStr">
        <is>
          <t>1 ngày trước</t>
        </is>
      </c>
      <c r="G171" s="55" t="n">
        <v>1</v>
      </c>
      <c r="H171" s="56" t="n">
        <v>28</v>
      </c>
      <c r="I171" s="6" t="inlineStr">
        <is>
          <t>Dog Breeder / Trại chó chuyên nghiệp (28-30đ)</t>
        </is>
      </c>
      <c r="J171" s="56" t="n">
        <v>28</v>
      </c>
      <c r="K171" s="6" t="inlineStr">
        <is>
          <t>American Bully / Bully</t>
        </is>
      </c>
      <c r="L171" s="56" t="n">
        <v>10</v>
      </c>
      <c r="M171" s="56" t="n">
        <v>0</v>
      </c>
      <c r="N171" s="6" t="inlineStr">
        <is>
          <t>Amazon link not found</t>
        </is>
      </c>
      <c r="O171" s="56">
        <f>IF(N171="Selling pet toys + Artificial grass/Pet toilets (TARGET)",15,IF(N171="Selling artificial grass/pet toilets (TARGET)",10,IF(N171="Selling pet toys",7,IF(N171="There's an Amazon link, but no target sales.",3,0))))</f>
        <v/>
      </c>
      <c r="P171" s="63">
        <f>H171+J171+L171+M171+O171</f>
        <v/>
      </c>
      <c r="Q171" s="64">
        <f>IF(OR(H171=0,P171&lt;30),"Tier D (Đóng băng)",IF(P171&gt;=85,"Tier S (Kim Cương: 85-100đ)",IF(P171&gt;=70,"Tier A (Vàng: 70-84đ)",IF(P171&gt;=61,"Tier B+ / Cấp A (Hot Lead: 61-69đ)",IF(P171&gt;=50,"Tier B (Bạc: 50-60đ)","Tier C (Đồng: 30-49đ)")))))</f>
        <v/>
      </c>
      <c r="R171" s="6" t="inlineStr">
        <is>
          <t>Trọn gói Take-Home Starter Kit V2/V3 (Cỏ nhân tạo + Khay Potty + Đồ chơi Teething/Snuggle)</t>
        </is>
      </c>
      <c r="S171" s="6" t="inlineStr">
        <is>
          <t>HOT LEAD (Điểm ≥61): Liên hệ Telesale/Email chào gói Starter Kit &amp; Báo giá sỉ chiết khấu BOM</t>
        </is>
      </c>
    </row>
    <row r="172">
      <c r="A172" s="59" t="n">
        <v>895</v>
      </c>
      <c r="B172" s="15" t="inlineStr">
        <is>
          <t>Chris and Gina Olde English Bulldogges</t>
        </is>
      </c>
      <c r="C172" s="60" t="inlineStr">
        <is>
          <t>https://www.facebook.com/awesomeoldeenglishbulldogges</t>
        </is>
      </c>
      <c r="D172" s="9" t="inlineStr">
        <is>
          <t>Cần quét Bio Fanpage</t>
        </is>
      </c>
      <c r="E172" s="59" t="inlineStr">
        <is>
          <t>11/10/2026 22:47:57</t>
        </is>
      </c>
      <c r="F172" s="59" t="inlineStr">
        <is>
          <t>1 ngày trước</t>
        </is>
      </c>
      <c r="G172" s="61" t="n">
        <v>1</v>
      </c>
      <c r="H172" s="62" t="n">
        <v>28</v>
      </c>
      <c r="I172" s="9" t="inlineStr">
        <is>
          <t>Dog Breeder / Trại chó chuyên nghiệp (28-30đ)</t>
        </is>
      </c>
      <c r="J172" s="62" t="n">
        <v>28</v>
      </c>
      <c r="K172" s="9" t="inlineStr">
        <is>
          <t>English Bulldog</t>
        </is>
      </c>
      <c r="L172" s="62" t="n">
        <v>10</v>
      </c>
      <c r="M172" s="62" t="n">
        <v>0</v>
      </c>
      <c r="N172" s="9" t="inlineStr">
        <is>
          <t>Amazon link not found</t>
        </is>
      </c>
      <c r="O172" s="62">
        <f>IF(N172="Selling pet toys + Artificial grass/Pet toilets (TARGET)",15,IF(N172="Selling artificial grass/pet toilets (TARGET)",10,IF(N172="Selling pet toys",7,IF(N172="There's an Amazon link, but no target sales.",3,0))))</f>
        <v/>
      </c>
      <c r="P172" s="63">
        <f>H172+J172+L172+M172+O172</f>
        <v/>
      </c>
      <c r="Q172" s="64">
        <f>IF(OR(H172=0,P172&lt;30),"Tier D (Đóng băng)",IF(P172&gt;=85,"Tier S (Kim Cương: 85-100đ)",IF(P172&gt;=70,"Tier A (Vàng: 70-84đ)",IF(P172&gt;=61,"Tier B+ / Cấp A (Hot Lead: 61-69đ)",IF(P172&gt;=50,"Tier B (Bạc: 50-60đ)","Tier C (Đồng: 30-49đ)")))))</f>
        <v/>
      </c>
      <c r="R172" s="9" t="inlineStr">
        <is>
          <t>Trọn gói Take-Home Starter Kit V2/V3 (Cỏ nhân tạo + Khay Potty + Đồ chơi Teething/Snuggle)</t>
        </is>
      </c>
      <c r="S172" s="9" t="inlineStr">
        <is>
          <t>HOT LEAD (Điểm ≥61): Liên hệ Telesale/Email chào gói Starter Kit &amp; Báo giá sỉ chiết khấu BOM</t>
        </is>
      </c>
    </row>
    <row r="173">
      <c r="A173" s="53" t="n">
        <v>964</v>
      </c>
      <c r="B173" s="12" t="inlineStr">
        <is>
          <t>Creme Brulee Frenchies</t>
        </is>
      </c>
      <c r="C173" s="54" t="inlineStr">
        <is>
          <t>https://www.facebook.com/letsget.pop.5</t>
        </is>
      </c>
      <c r="D173" s="6" t="inlineStr">
        <is>
          <t>Cần quét Bio Fanpage</t>
        </is>
      </c>
      <c r="E173" s="53" t="inlineStr">
        <is>
          <t>11/10/2026 22:12:47</t>
        </is>
      </c>
      <c r="F173" s="53" t="inlineStr">
        <is>
          <t>1 ngày trước</t>
        </is>
      </c>
      <c r="G173" s="55" t="n">
        <v>1</v>
      </c>
      <c r="H173" s="56" t="n">
        <v>28</v>
      </c>
      <c r="I173" s="6" t="inlineStr">
        <is>
          <t>Dog Breeder / Trại chó chuyên nghiệp (28-30đ)</t>
        </is>
      </c>
      <c r="J173" s="56" t="n">
        <v>28</v>
      </c>
      <c r="K173" s="6" t="inlineStr">
        <is>
          <t>French Bulldog</t>
        </is>
      </c>
      <c r="L173" s="56" t="n">
        <v>10</v>
      </c>
      <c r="M173" s="56" t="n">
        <v>0</v>
      </c>
      <c r="N173" s="6" t="inlineStr">
        <is>
          <t>Amazon link not found</t>
        </is>
      </c>
      <c r="O173" s="56">
        <f>IF(N173="Selling pet toys + Artificial grass/Pet toilets (TARGET)",15,IF(N173="Selling artificial grass/pet toilets (TARGET)",10,IF(N173="Selling pet toys",7,IF(N173="There's an Amazon link, but no target sales.",3,0))))</f>
        <v/>
      </c>
      <c r="P173" s="63">
        <f>H173+J173+L173+M173+O173</f>
        <v/>
      </c>
      <c r="Q173" s="64">
        <f>IF(OR(H173=0,P173&lt;30),"Tier D (Đóng băng)",IF(P173&gt;=85,"Tier S (Kim Cương: 85-100đ)",IF(P173&gt;=70,"Tier A (Vàng: 70-84đ)",IF(P173&gt;=61,"Tier B+ / Cấp A (Hot Lead: 61-69đ)",IF(P173&gt;=50,"Tier B (Bạc: 50-60đ)","Tier C (Đồng: 30-49đ)")))))</f>
        <v/>
      </c>
      <c r="R173" s="6" t="inlineStr">
        <is>
          <t>Trọn gói Take-Home Starter Kit V2/V3 (Cỏ nhân tạo + Khay Potty + Đồ chơi Teething/Snuggle)</t>
        </is>
      </c>
      <c r="S173" s="6" t="inlineStr">
        <is>
          <t>HOT LEAD (Điểm ≥61): Liên hệ Telesale/Email chào gói Starter Kit &amp; Báo giá sỉ chiết khấu BOM</t>
        </is>
      </c>
    </row>
    <row r="174">
      <c r="A174" s="59" t="n">
        <v>2178</v>
      </c>
      <c r="B174" s="15" t="inlineStr">
        <is>
          <t>Mikantribe Bulldogs</t>
        </is>
      </c>
      <c r="C174" s="60" t="inlineStr">
        <is>
          <t>https://www.facebook.com/MikantribeBulldogs</t>
        </is>
      </c>
      <c r="D174" s="9" t="inlineStr">
        <is>
          <t>Cần quét Bio Fanpage</t>
        </is>
      </c>
      <c r="E174" s="59" t="inlineStr">
        <is>
          <t>11/10/2026 16:45:35</t>
        </is>
      </c>
      <c r="F174" s="59" t="inlineStr">
        <is>
          <t>1 ngày trước</t>
        </is>
      </c>
      <c r="G174" s="61" t="n">
        <v>1</v>
      </c>
      <c r="H174" s="62" t="n">
        <v>28</v>
      </c>
      <c r="I174" s="9" t="inlineStr">
        <is>
          <t>Dog Breeder / Trại chó chuyên nghiệp (28-30đ)</t>
        </is>
      </c>
      <c r="J174" s="62" t="n">
        <v>28</v>
      </c>
      <c r="K174" s="9" t="inlineStr">
        <is>
          <t>English Bulldog</t>
        </is>
      </c>
      <c r="L174" s="62" t="n">
        <v>10</v>
      </c>
      <c r="M174" s="62" t="n">
        <v>0</v>
      </c>
      <c r="N174" s="9" t="inlineStr">
        <is>
          <t>Amazon link not found</t>
        </is>
      </c>
      <c r="O174" s="62">
        <f>IF(N174="Selling pet toys + Artificial grass/Pet toilets (TARGET)",15,IF(N174="Selling artificial grass/pet toilets (TARGET)",10,IF(N174="Selling pet toys",7,IF(N174="There's an Amazon link, but no target sales.",3,0))))</f>
        <v/>
      </c>
      <c r="P174" s="63">
        <f>H174+J174+L174+M174+O174</f>
        <v/>
      </c>
      <c r="Q174" s="64">
        <f>IF(OR(H174=0,P174&lt;30),"Tier D (Đóng băng)",IF(P174&gt;=85,"Tier S (Kim Cương: 85-100đ)",IF(P174&gt;=70,"Tier A (Vàng: 70-84đ)",IF(P174&gt;=61,"Tier B+ / Cấp A (Hot Lead: 61-69đ)",IF(P174&gt;=50,"Tier B (Bạc: 50-60đ)","Tier C (Đồng: 30-49đ)")))))</f>
        <v/>
      </c>
      <c r="R174" s="9" t="inlineStr">
        <is>
          <t>Trọn gói Take-Home Starter Kit V2/V3 (Cỏ nhân tạo + Khay Potty + Đồ chơi Teething/Snuggle)</t>
        </is>
      </c>
      <c r="S174" s="9" t="inlineStr">
        <is>
          <t>HOT LEAD (Điểm ≥61): Liên hệ Telesale/Email chào gói Starter Kit &amp; Báo giá sỉ chiết khấu BOM</t>
        </is>
      </c>
    </row>
    <row r="175">
      <c r="A175" s="53" t="n">
        <v>1651</v>
      </c>
      <c r="B175" s="12" t="inlineStr">
        <is>
          <t>Heroicus British Bulldogs</t>
        </is>
      </c>
      <c r="C175" s="54" t="inlineStr">
        <is>
          <t>https://www.facebook.com/HeroicusBritishBulldogs</t>
        </is>
      </c>
      <c r="D175" s="6" t="inlineStr">
        <is>
          <t>Cần quét Bio Fanpage</t>
        </is>
      </c>
      <c r="E175" s="53" t="inlineStr">
        <is>
          <t>11/10/2026 16:34:56</t>
        </is>
      </c>
      <c r="F175" s="53" t="inlineStr">
        <is>
          <t>1 ngày trước</t>
        </is>
      </c>
      <c r="G175" s="55" t="n">
        <v>1</v>
      </c>
      <c r="H175" s="56" t="n">
        <v>28</v>
      </c>
      <c r="I175" s="6" t="inlineStr">
        <is>
          <t>Dog Breeder / Trại chó chuyên nghiệp (28-30đ)</t>
        </is>
      </c>
      <c r="J175" s="56" t="n">
        <v>28</v>
      </c>
      <c r="K175" s="6" t="inlineStr">
        <is>
          <t>English Bulldog</t>
        </is>
      </c>
      <c r="L175" s="56" t="n">
        <v>10</v>
      </c>
      <c r="M175" s="56" t="n">
        <v>0</v>
      </c>
      <c r="N175" s="6" t="inlineStr">
        <is>
          <t>Amazon link not found</t>
        </is>
      </c>
      <c r="O175" s="56">
        <f>IF(N175="Selling pet toys + Artificial grass/Pet toilets (TARGET)",15,IF(N175="Selling artificial grass/pet toilets (TARGET)",10,IF(N175="Selling pet toys",7,IF(N175="There's an Amazon link, but no target sales.",3,0))))</f>
        <v/>
      </c>
      <c r="P175" s="63">
        <f>H175+J175+L175+M175+O175</f>
        <v/>
      </c>
      <c r="Q175" s="64">
        <f>IF(OR(H175=0,P175&lt;30),"Tier D (Đóng băng)",IF(P175&gt;=85,"Tier S (Kim Cương: 85-100đ)",IF(P175&gt;=70,"Tier A (Vàng: 70-84đ)",IF(P175&gt;=61,"Tier B+ / Cấp A (Hot Lead: 61-69đ)",IF(P175&gt;=50,"Tier B (Bạc: 50-60đ)","Tier C (Đồng: 30-49đ)")))))</f>
        <v/>
      </c>
      <c r="R175" s="6" t="inlineStr">
        <is>
          <t>Trọn gói Take-Home Starter Kit V2/V3 (Cỏ nhân tạo + Khay Potty + Đồ chơi Teething/Snuggle)</t>
        </is>
      </c>
      <c r="S175" s="6" t="inlineStr">
        <is>
          <t>HOT LEAD (Điểm ≥61): Liên hệ Telesale/Email chào gói Starter Kit &amp; Báo giá sỉ chiết khấu BOM</t>
        </is>
      </c>
    </row>
    <row r="176">
      <c r="A176" s="59" t="n">
        <v>131</v>
      </c>
      <c r="B176" s="15" t="inlineStr">
        <is>
          <t>CHABA BULLIES</t>
        </is>
      </c>
      <c r="C176" s="60" t="inlineStr">
        <is>
          <t>https://www.facebook.com/chababullies</t>
        </is>
      </c>
      <c r="D176" s="9" t="inlineStr">
        <is>
          <t>Cần quét Bio Fanpage</t>
        </is>
      </c>
      <c r="E176" s="59" t="inlineStr">
        <is>
          <t>11/10/2026 15:00:03</t>
        </is>
      </c>
      <c r="F176" s="59" t="inlineStr">
        <is>
          <t>1 ngày trước</t>
        </is>
      </c>
      <c r="G176" s="61" t="n">
        <v>1</v>
      </c>
      <c r="H176" s="62" t="n">
        <v>28</v>
      </c>
      <c r="I176" s="9" t="inlineStr">
        <is>
          <t>Dog Breeder / Trại chó chuyên nghiệp (28-30đ)</t>
        </is>
      </c>
      <c r="J176" s="62" t="n">
        <v>28</v>
      </c>
      <c r="K176" s="9" t="inlineStr">
        <is>
          <t>American Bully / Bully</t>
        </is>
      </c>
      <c r="L176" s="62" t="n">
        <v>10</v>
      </c>
      <c r="M176" s="62" t="n">
        <v>0</v>
      </c>
      <c r="N176" s="9" t="inlineStr">
        <is>
          <t>Amazon link not found</t>
        </is>
      </c>
      <c r="O176" s="62">
        <f>IF(N176="Selling pet toys + Artificial grass/Pet toilets (TARGET)",15,IF(N176="Selling artificial grass/pet toilets (TARGET)",10,IF(N176="Selling pet toys",7,IF(N176="There's an Amazon link, but no target sales.",3,0))))</f>
        <v/>
      </c>
      <c r="P176" s="63">
        <f>H176+J176+L176+M176+O176</f>
        <v/>
      </c>
      <c r="Q176" s="64">
        <f>IF(OR(H176=0,P176&lt;30),"Tier D (Đóng băng)",IF(P176&gt;=85,"Tier S (Kim Cương: 85-100đ)",IF(P176&gt;=70,"Tier A (Vàng: 70-84đ)",IF(P176&gt;=61,"Tier B+ / Cấp A (Hot Lead: 61-69đ)",IF(P176&gt;=50,"Tier B (Bạc: 50-60đ)","Tier C (Đồng: 30-49đ)")))))</f>
        <v/>
      </c>
      <c r="R176" s="9" t="inlineStr">
        <is>
          <t>Trọn gói Take-Home Starter Kit V2/V3 (Cỏ nhân tạo + Khay Potty + Đồ chơi Teething/Snuggle)</t>
        </is>
      </c>
      <c r="S176" s="9" t="inlineStr">
        <is>
          <t>HOT LEAD (Điểm ≥61): Liên hệ Telesale/Email chào gói Starter Kit &amp; Báo giá sỉ chiết khấu BOM</t>
        </is>
      </c>
    </row>
    <row r="177">
      <c r="A177" s="53" t="n">
        <v>267</v>
      </c>
      <c r="B177" s="12" t="inlineStr">
        <is>
          <t>Southern Oregon Knockout Bullies</t>
        </is>
      </c>
      <c r="C177" s="54" t="inlineStr">
        <is>
          <t>https://www.facebook.com/profile.php?id=100083226076300</t>
        </is>
      </c>
      <c r="D177" s="6" t="inlineStr">
        <is>
          <t>Cần quét Bio Fanpage</t>
        </is>
      </c>
      <c r="E177" s="53" t="inlineStr">
        <is>
          <t>11/10/2026 14:54:08</t>
        </is>
      </c>
      <c r="F177" s="53" t="inlineStr">
        <is>
          <t>1 ngày trước</t>
        </is>
      </c>
      <c r="G177" s="55" t="n">
        <v>1</v>
      </c>
      <c r="H177" s="56" t="n">
        <v>28</v>
      </c>
      <c r="I177" s="6" t="inlineStr">
        <is>
          <t>Dog Breeder / Trại chó chuyên nghiệp (28-30đ)</t>
        </is>
      </c>
      <c r="J177" s="56" t="n">
        <v>28</v>
      </c>
      <c r="K177" s="6" t="inlineStr">
        <is>
          <t>American Bully / Bully</t>
        </is>
      </c>
      <c r="L177" s="56" t="n">
        <v>10</v>
      </c>
      <c r="M177" s="56" t="n">
        <v>0</v>
      </c>
      <c r="N177" s="6" t="inlineStr">
        <is>
          <t>Amazon link not found</t>
        </is>
      </c>
      <c r="O177" s="56">
        <f>IF(N177="Selling pet toys + Artificial grass/Pet toilets (TARGET)",15,IF(N177="Selling artificial grass/pet toilets (TARGET)",10,IF(N177="Selling pet toys",7,IF(N177="There's an Amazon link, but no target sales.",3,0))))</f>
        <v/>
      </c>
      <c r="P177" s="63">
        <f>H177+J177+L177+M177+O177</f>
        <v/>
      </c>
      <c r="Q177" s="64">
        <f>IF(OR(H177=0,P177&lt;30),"Tier D (Đóng băng)",IF(P177&gt;=85,"Tier S (Kim Cương: 85-100đ)",IF(P177&gt;=70,"Tier A (Vàng: 70-84đ)",IF(P177&gt;=61,"Tier B+ / Cấp A (Hot Lead: 61-69đ)",IF(P177&gt;=50,"Tier B (Bạc: 50-60đ)","Tier C (Đồng: 30-49đ)")))))</f>
        <v/>
      </c>
      <c r="R177" s="6" t="inlineStr">
        <is>
          <t>Trọn gói Take-Home Starter Kit V2/V3 (Cỏ nhân tạo + Khay Potty + Đồ chơi Teething/Snuggle)</t>
        </is>
      </c>
      <c r="S177" s="6" t="inlineStr">
        <is>
          <t>HOT LEAD (Điểm ≥61): Liên hệ Telesale/Email chào gói Starter Kit &amp; Báo giá sỉ chiết khấu BOM</t>
        </is>
      </c>
    </row>
    <row r="178">
      <c r="A178" s="59" t="n">
        <v>1307</v>
      </c>
      <c r="B178" s="15" t="inlineStr">
        <is>
          <t>Exotic Frenchies Castle</t>
        </is>
      </c>
      <c r="C178" s="60" t="inlineStr">
        <is>
          <t>https://www.facebook.com/profile.php?id=100065229351243</t>
        </is>
      </c>
      <c r="D178" s="9" t="inlineStr">
        <is>
          <t>Cần quét Bio Fanpage</t>
        </is>
      </c>
      <c r="E178" s="59" t="inlineStr">
        <is>
          <t>11/10/2026 14:52:25</t>
        </is>
      </c>
      <c r="F178" s="59" t="inlineStr">
        <is>
          <t>1 ngày trước</t>
        </is>
      </c>
      <c r="G178" s="61" t="n">
        <v>1</v>
      </c>
      <c r="H178" s="62" t="n">
        <v>28</v>
      </c>
      <c r="I178" s="9" t="inlineStr">
        <is>
          <t>Dog Breeder / Trại chó chuyên nghiệp (28-30đ)</t>
        </is>
      </c>
      <c r="J178" s="62" t="n">
        <v>28</v>
      </c>
      <c r="K178" s="9" t="inlineStr">
        <is>
          <t>French Bulldog</t>
        </is>
      </c>
      <c r="L178" s="62" t="n">
        <v>10</v>
      </c>
      <c r="M178" s="62" t="n">
        <v>0</v>
      </c>
      <c r="N178" s="9" t="inlineStr">
        <is>
          <t>Amazon link not found</t>
        </is>
      </c>
      <c r="O178" s="62">
        <f>IF(N178="Selling pet toys + Artificial grass/Pet toilets (TARGET)",15,IF(N178="Selling artificial grass/pet toilets (TARGET)",10,IF(N178="Selling pet toys",7,IF(N178="There's an Amazon link, but no target sales.",3,0))))</f>
        <v/>
      </c>
      <c r="P178" s="63">
        <f>H178+J178+L178+M178+O178</f>
        <v/>
      </c>
      <c r="Q178" s="64">
        <f>IF(OR(H178=0,P178&lt;30),"Tier D (Đóng băng)",IF(P178&gt;=85,"Tier S (Kim Cương: 85-100đ)",IF(P178&gt;=70,"Tier A (Vàng: 70-84đ)",IF(P178&gt;=61,"Tier B+ / Cấp A (Hot Lead: 61-69đ)",IF(P178&gt;=50,"Tier B (Bạc: 50-60đ)","Tier C (Đồng: 30-49đ)")))))</f>
        <v/>
      </c>
      <c r="R178" s="9" t="inlineStr">
        <is>
          <t>Trọn gói Take-Home Starter Kit V2/V3 (Cỏ nhân tạo + Khay Potty + Đồ chơi Teething/Snuggle)</t>
        </is>
      </c>
      <c r="S178" s="9" t="inlineStr">
        <is>
          <t>HOT LEAD (Điểm ≥61): Liên hệ Telesale/Email chào gói Starter Kit &amp; Báo giá sỉ chiết khấu BOM</t>
        </is>
      </c>
    </row>
    <row r="179">
      <c r="A179" s="53" t="n">
        <v>3216</v>
      </c>
      <c r="B179" s="12" t="inlineStr">
        <is>
          <t>TopShelf Bullies</t>
        </is>
      </c>
      <c r="C179" s="54" t="inlineStr">
        <is>
          <t>https://www.facebook.com/profile.php?id=61590486507258</t>
        </is>
      </c>
      <c r="D179" s="6" t="inlineStr">
        <is>
          <t>Cần quét Bio Fanpage</t>
        </is>
      </c>
      <c r="E179" s="53" t="inlineStr">
        <is>
          <t>11/10/2026 12:35:22</t>
        </is>
      </c>
      <c r="F179" s="53" t="inlineStr">
        <is>
          <t>1 ngày trước</t>
        </is>
      </c>
      <c r="G179" s="55" t="n">
        <v>1</v>
      </c>
      <c r="H179" s="56" t="n">
        <v>28</v>
      </c>
      <c r="I179" s="6" t="inlineStr">
        <is>
          <t>Dog Breeder / Trại chó chuyên nghiệp (28-30đ)</t>
        </is>
      </c>
      <c r="J179" s="56" t="n">
        <v>28</v>
      </c>
      <c r="K179" s="6" t="inlineStr">
        <is>
          <t>American Bully / Bully</t>
        </is>
      </c>
      <c r="L179" s="56" t="n">
        <v>10</v>
      </c>
      <c r="M179" s="56" t="n">
        <v>0</v>
      </c>
      <c r="N179" s="6" t="inlineStr">
        <is>
          <t>Amazon link not found</t>
        </is>
      </c>
      <c r="O179" s="56">
        <f>IF(N179="Selling pet toys + Artificial grass/Pet toilets (TARGET)",15,IF(N179="Selling artificial grass/pet toilets (TARGET)",10,IF(N179="Selling pet toys",7,IF(N179="There's an Amazon link, but no target sales.",3,0))))</f>
        <v/>
      </c>
      <c r="P179" s="63">
        <f>H179+J179+L179+M179+O179</f>
        <v/>
      </c>
      <c r="Q179" s="64">
        <f>IF(OR(H179=0,P179&lt;30),"Tier D (Đóng băng)",IF(P179&gt;=85,"Tier S (Kim Cương: 85-100đ)",IF(P179&gt;=70,"Tier A (Vàng: 70-84đ)",IF(P179&gt;=61,"Tier B+ / Cấp A (Hot Lead: 61-69đ)",IF(P179&gt;=50,"Tier B (Bạc: 50-60đ)","Tier C (Đồng: 30-49đ)")))))</f>
        <v/>
      </c>
      <c r="R179" s="6" t="inlineStr">
        <is>
          <t>Trọn gói Take-Home Starter Kit V2/V3 (Cỏ nhân tạo + Khay Potty + Đồ chơi Teething/Snuggle)</t>
        </is>
      </c>
      <c r="S179" s="6" t="inlineStr">
        <is>
          <t>HOT LEAD (Điểm ≥61): Liên hệ Telesale/Email chào gói Starter Kit &amp; Báo giá sỉ chiết khấu BOM</t>
        </is>
      </c>
    </row>
    <row r="180">
      <c r="A180" s="59" t="n">
        <v>2766</v>
      </c>
      <c r="B180" s="15" t="inlineStr">
        <is>
          <t>Rock House Frenchies</t>
        </is>
      </c>
      <c r="C180" s="60" t="inlineStr">
        <is>
          <t>https://www.facebook.com/profile.php?id=100066661808450</t>
        </is>
      </c>
      <c r="D180" s="9" t="inlineStr">
        <is>
          <t>Cần quét Bio Fanpage</t>
        </is>
      </c>
      <c r="E180" s="59" t="inlineStr">
        <is>
          <t>11/10/2026 10:32:12</t>
        </is>
      </c>
      <c r="F180" s="59" t="inlineStr">
        <is>
          <t>1 ngày trước</t>
        </is>
      </c>
      <c r="G180" s="61" t="n">
        <v>1</v>
      </c>
      <c r="H180" s="62" t="n">
        <v>28</v>
      </c>
      <c r="I180" s="9" t="inlineStr">
        <is>
          <t>Dog Breeder / Trại chó chuyên nghiệp (28-30đ)</t>
        </is>
      </c>
      <c r="J180" s="62" t="n">
        <v>28</v>
      </c>
      <c r="K180" s="9" t="inlineStr">
        <is>
          <t>French Bulldog</t>
        </is>
      </c>
      <c r="L180" s="62" t="n">
        <v>10</v>
      </c>
      <c r="M180" s="62" t="n">
        <v>0</v>
      </c>
      <c r="N180" s="9" t="inlineStr">
        <is>
          <t>Amazon link not found</t>
        </is>
      </c>
      <c r="O180" s="62">
        <f>IF(N180="Selling pet toys + Artificial grass/Pet toilets (TARGET)",15,IF(N180="Selling artificial grass/pet toilets (TARGET)",10,IF(N180="Selling pet toys",7,IF(N180="There's an Amazon link, but no target sales.",3,0))))</f>
        <v/>
      </c>
      <c r="P180" s="63">
        <f>H180+J180+L180+M180+O180</f>
        <v/>
      </c>
      <c r="Q180" s="64">
        <f>IF(OR(H180=0,P180&lt;30),"Tier D (Đóng băng)",IF(P180&gt;=85,"Tier S (Kim Cương: 85-100đ)",IF(P180&gt;=70,"Tier A (Vàng: 70-84đ)",IF(P180&gt;=61,"Tier B+ / Cấp A (Hot Lead: 61-69đ)",IF(P180&gt;=50,"Tier B (Bạc: 50-60đ)","Tier C (Đồng: 30-49đ)")))))</f>
        <v/>
      </c>
      <c r="R180" s="9" t="inlineStr">
        <is>
          <t>Trọn gói Take-Home Starter Kit V2/V3 (Cỏ nhân tạo + Khay Potty + Đồ chơi Teething/Snuggle)</t>
        </is>
      </c>
      <c r="S180" s="9" t="inlineStr">
        <is>
          <t>HOT LEAD (Điểm ≥61): Liên hệ Telesale/Email chào gói Starter Kit &amp; Báo giá sỉ chiết khấu BOM</t>
        </is>
      </c>
    </row>
    <row r="181">
      <c r="A181" s="53" t="n">
        <v>184</v>
      </c>
      <c r="B181" s="12" t="inlineStr">
        <is>
          <t>Hat Creek Bulldogges</t>
        </is>
      </c>
      <c r="C181" s="54" t="inlineStr">
        <is>
          <t>https://www.facebook.com/hatcreekbulldogges</t>
        </is>
      </c>
      <c r="D181" s="6" t="inlineStr">
        <is>
          <t>Cần quét Bio Fanpage</t>
        </is>
      </c>
      <c r="E181" s="53" t="inlineStr">
        <is>
          <t>11/10/2026 08:52:09</t>
        </is>
      </c>
      <c r="F181" s="53" t="inlineStr">
        <is>
          <t>1 ngày trước</t>
        </is>
      </c>
      <c r="G181" s="55" t="n">
        <v>1</v>
      </c>
      <c r="H181" s="56" t="n">
        <v>28</v>
      </c>
      <c r="I181" s="6" t="inlineStr">
        <is>
          <t>Dog Breeder / Trại chó chuyên nghiệp (28-30đ)</t>
        </is>
      </c>
      <c r="J181" s="56" t="n">
        <v>28</v>
      </c>
      <c r="K181" s="6" t="inlineStr">
        <is>
          <t>English Bulldog</t>
        </is>
      </c>
      <c r="L181" s="56" t="n">
        <v>10</v>
      </c>
      <c r="M181" s="56" t="n">
        <v>0</v>
      </c>
      <c r="N181" s="6" t="inlineStr">
        <is>
          <t>Amazon link not found</t>
        </is>
      </c>
      <c r="O181" s="56">
        <f>IF(N181="Selling pet toys + Artificial grass/Pet toilets (TARGET)",15,IF(N181="Selling artificial grass/pet toilets (TARGET)",10,IF(N181="Selling pet toys",7,IF(N181="There's an Amazon link, but no target sales.",3,0))))</f>
        <v/>
      </c>
      <c r="P181" s="63">
        <f>H181+J181+L181+M181+O181</f>
        <v/>
      </c>
      <c r="Q181" s="64">
        <f>IF(OR(H181=0,P181&lt;30),"Tier D (Đóng băng)",IF(P181&gt;=85,"Tier S (Kim Cương: 85-100đ)",IF(P181&gt;=70,"Tier A (Vàng: 70-84đ)",IF(P181&gt;=61,"Tier B+ / Cấp A (Hot Lead: 61-69đ)",IF(P181&gt;=50,"Tier B (Bạc: 50-60đ)","Tier C (Đồng: 30-49đ)")))))</f>
        <v/>
      </c>
      <c r="R181" s="6" t="inlineStr">
        <is>
          <t>Trọn gói Take-Home Starter Kit V2/V3 (Cỏ nhân tạo + Khay Potty + Đồ chơi Teething/Snuggle)</t>
        </is>
      </c>
      <c r="S181" s="6" t="inlineStr">
        <is>
          <t>HOT LEAD (Điểm ≥61): Liên hệ Telesale/Email chào gói Starter Kit &amp; Báo giá sỉ chiết khấu BOM</t>
        </is>
      </c>
    </row>
    <row r="182">
      <c r="A182" s="59" t="n">
        <v>177</v>
      </c>
      <c r="B182" s="15" t="inlineStr">
        <is>
          <t>Grand Teton Bullies</t>
        </is>
      </c>
      <c r="C182" s="60" t="inlineStr">
        <is>
          <t>https://www.facebook.com/profile.php?id=61594140756322</t>
        </is>
      </c>
      <c r="D182" s="9" t="inlineStr">
        <is>
          <t>Cần quét Bio Fanpage</t>
        </is>
      </c>
      <c r="E182" s="59" t="inlineStr">
        <is>
          <t>11/10/2026 04:16:42</t>
        </is>
      </c>
      <c r="F182" s="59" t="inlineStr">
        <is>
          <t>1 ngày trước</t>
        </is>
      </c>
      <c r="G182" s="61" t="n">
        <v>1</v>
      </c>
      <c r="H182" s="62" t="n">
        <v>28</v>
      </c>
      <c r="I182" s="9" t="inlineStr">
        <is>
          <t>Dog Breeder / Trại chó chuyên nghiệp (28-30đ)</t>
        </is>
      </c>
      <c r="J182" s="62" t="n">
        <v>28</v>
      </c>
      <c r="K182" s="9" t="inlineStr">
        <is>
          <t>American Bully / Bully</t>
        </is>
      </c>
      <c r="L182" s="62" t="n">
        <v>10</v>
      </c>
      <c r="M182" s="62" t="n">
        <v>0</v>
      </c>
      <c r="N182" s="9" t="inlineStr">
        <is>
          <t>Amazon link not found</t>
        </is>
      </c>
      <c r="O182" s="62">
        <f>IF(N182="Selling pet toys + Artificial grass/Pet toilets (TARGET)",15,IF(N182="Selling artificial grass/pet toilets (TARGET)",10,IF(N182="Selling pet toys",7,IF(N182="There's an Amazon link, but no target sales.",3,0))))</f>
        <v/>
      </c>
      <c r="P182" s="63">
        <f>H182+J182+L182+M182+O182</f>
        <v/>
      </c>
      <c r="Q182" s="64">
        <f>IF(OR(H182=0,P182&lt;30),"Tier D (Đóng băng)",IF(P182&gt;=85,"Tier S (Kim Cương: 85-100đ)",IF(P182&gt;=70,"Tier A (Vàng: 70-84đ)",IF(P182&gt;=61,"Tier B+ / Cấp A (Hot Lead: 61-69đ)",IF(P182&gt;=50,"Tier B (Bạc: 50-60đ)","Tier C (Đồng: 30-49đ)")))))</f>
        <v/>
      </c>
      <c r="R182" s="9" t="inlineStr">
        <is>
          <t>Trọn gói Take-Home Starter Kit V2/V3 (Cỏ nhân tạo + Khay Potty + Đồ chơi Teething/Snuggle)</t>
        </is>
      </c>
      <c r="S182" s="9" t="inlineStr">
        <is>
          <t>HOT LEAD (Điểm ≥61): Liên hệ Telesale/Email chào gói Starter Kit &amp; Báo giá sỉ chiết khấu BOM</t>
        </is>
      </c>
    </row>
    <row r="183">
      <c r="A183" s="53" t="n">
        <v>397</v>
      </c>
      <c r="B183" s="12" t="inlineStr">
        <is>
          <t>Alta-Tollhaus German Shepherd Dogs</t>
        </is>
      </c>
      <c r="C183" s="54" t="inlineStr">
        <is>
          <t>https://www.facebook.com/AltaTollhausGSD</t>
        </is>
      </c>
      <c r="D183" s="6" t="inlineStr">
        <is>
          <t>Cần quét Bio Fanpage</t>
        </is>
      </c>
      <c r="E183" s="53" t="inlineStr">
        <is>
          <t>11/10/2026 03:31:09</t>
        </is>
      </c>
      <c r="F183" s="53" t="inlineStr">
        <is>
          <t>1 ngày trước</t>
        </is>
      </c>
      <c r="G183" s="55" t="n">
        <v>1</v>
      </c>
      <c r="H183" s="56" t="n">
        <v>28</v>
      </c>
      <c r="I183" s="6" t="inlineStr">
        <is>
          <t>Dog Breeder / Trại nhân giống (28-30đ)</t>
        </is>
      </c>
      <c r="J183" s="56" t="n">
        <v>28</v>
      </c>
      <c r="K183" s="6" t="inlineStr">
        <is>
          <t>German Shepherd</t>
        </is>
      </c>
      <c r="L183" s="56" t="n">
        <v>10</v>
      </c>
      <c r="M183" s="56" t="n">
        <v>0</v>
      </c>
      <c r="N183" s="6" t="inlineStr">
        <is>
          <t>Amazon link not found</t>
        </is>
      </c>
      <c r="O183" s="56">
        <f>IF(N183="Selling pet toys + Artificial grass/Pet toilets (TARGET)",15,IF(N183="Selling artificial grass/pet toilets (TARGET)",10,IF(N183="Selling pet toys",7,IF(N183="There's an Amazon link, but no target sales.",3,0))))</f>
        <v/>
      </c>
      <c r="P183" s="63">
        <f>H183+J183+L183+M183+O183</f>
        <v/>
      </c>
      <c r="Q183" s="64">
        <f>IF(OR(H183=0,P183&lt;30),"Tier D (Đóng băng)",IF(P183&gt;=85,"Tier S (Kim Cương: 85-100đ)",IF(P183&gt;=70,"Tier A (Vàng: 70-84đ)",IF(P183&gt;=61,"Tier B+ / Cấp A (Hot Lead: 61-69đ)",IF(P183&gt;=50,"Tier B (Bạc: 50-60đ)","Tier C (Đồng: 30-49đ)")))))</f>
        <v/>
      </c>
      <c r="R183" s="6" t="inlineStr">
        <is>
          <t>Trọn gói Take-Home Starter Kit V2/V3 (Cỏ nhân tạo + Khay Potty + Đồ chơi cún con)</t>
        </is>
      </c>
      <c r="S183" s="6" t="inlineStr">
        <is>
          <t>HOT LEAD (Điểm ≥61): Liên hệ Telesale/Email chào gói Starter Kit &amp; Báo giá sỉ chiết khấu BOM</t>
        </is>
      </c>
    </row>
    <row r="184">
      <c r="A184" s="59" t="n">
        <v>76</v>
      </c>
      <c r="B184" s="15" t="inlineStr">
        <is>
          <t>Softbelly Bulldogs</t>
        </is>
      </c>
      <c r="C184" s="60" t="inlineStr">
        <is>
          <t>https://www.facebook.com/SoftBellybulldogs</t>
        </is>
      </c>
      <c r="D184" s="9" t="inlineStr">
        <is>
          <t>Cần quét Bio Fanpage</t>
        </is>
      </c>
      <c r="E184" s="59" t="inlineStr">
        <is>
          <t>11/10/2026 02:52:25</t>
        </is>
      </c>
      <c r="F184" s="59" t="inlineStr">
        <is>
          <t>1 ngày trước</t>
        </is>
      </c>
      <c r="G184" s="61" t="n">
        <v>1</v>
      </c>
      <c r="H184" s="62" t="n">
        <v>28</v>
      </c>
      <c r="I184" s="9" t="inlineStr">
        <is>
          <t>Dog Breeder / Trại chó chuyên nghiệp (28-30đ)</t>
        </is>
      </c>
      <c r="J184" s="62" t="n">
        <v>28</v>
      </c>
      <c r="K184" s="9" t="inlineStr">
        <is>
          <t>English Bulldog</t>
        </is>
      </c>
      <c r="L184" s="62" t="n">
        <v>10</v>
      </c>
      <c r="M184" s="62" t="n">
        <v>0</v>
      </c>
      <c r="N184" s="9" t="inlineStr">
        <is>
          <t>Amazon link not found</t>
        </is>
      </c>
      <c r="O184" s="62">
        <f>IF(N184="Selling pet toys + Artificial grass/Pet toilets (TARGET)",15,IF(N184="Selling artificial grass/pet toilets (TARGET)",10,IF(N184="Selling pet toys",7,IF(N184="There's an Amazon link, but no target sales.",3,0))))</f>
        <v/>
      </c>
      <c r="P184" s="63">
        <f>H184+J184+L184+M184+O184</f>
        <v/>
      </c>
      <c r="Q184" s="64">
        <f>IF(OR(H184=0,P184&lt;30),"Tier D (Đóng băng)",IF(P184&gt;=85,"Tier S (Kim Cương: 85-100đ)",IF(P184&gt;=70,"Tier A (Vàng: 70-84đ)",IF(P184&gt;=61,"Tier B+ / Cấp A (Hot Lead: 61-69đ)",IF(P184&gt;=50,"Tier B (Bạc: 50-60đ)","Tier C (Đồng: 30-49đ)")))))</f>
        <v/>
      </c>
      <c r="R184" s="9" t="inlineStr">
        <is>
          <t>Trọn gói Take-Home Starter Kit V2/V3 (Cỏ nhân tạo + Khay Potty + Đồ chơi Teething/Snuggle)</t>
        </is>
      </c>
      <c r="S184" s="9" t="inlineStr">
        <is>
          <t>HOT LEAD (Điểm ≥61): Liên hệ Telesale/Email chào gói Starter Kit &amp; Báo giá sỉ chiết khấu BOM</t>
        </is>
      </c>
    </row>
    <row r="185">
      <c r="A185" s="53" t="n">
        <v>1398</v>
      </c>
      <c r="B185" s="12" t="inlineStr">
        <is>
          <t>Flat Rock Frenchies</t>
        </is>
      </c>
      <c r="C185" s="54" t="inlineStr">
        <is>
          <t>https://www.facebook.com/profile.php?id=61550672294369</t>
        </is>
      </c>
      <c r="D185" s="6" t="inlineStr">
        <is>
          <t>Cần quét Bio Fanpage</t>
        </is>
      </c>
      <c r="E185" s="53" t="inlineStr">
        <is>
          <t>10/10/2026 22:23:59</t>
        </is>
      </c>
      <c r="F185" s="53" t="inlineStr">
        <is>
          <t>2 ngày trước</t>
        </is>
      </c>
      <c r="G185" s="55" t="n">
        <v>2</v>
      </c>
      <c r="H185" s="56" t="n">
        <v>28</v>
      </c>
      <c r="I185" s="6" t="inlineStr">
        <is>
          <t>Dog Breeder / Trại chó chuyên nghiệp (28-30đ)</t>
        </is>
      </c>
      <c r="J185" s="56" t="n">
        <v>28</v>
      </c>
      <c r="K185" s="6" t="inlineStr">
        <is>
          <t>French Bulldog</t>
        </is>
      </c>
      <c r="L185" s="56" t="n">
        <v>10</v>
      </c>
      <c r="M185" s="56" t="n">
        <v>0</v>
      </c>
      <c r="N185" s="6" t="inlineStr">
        <is>
          <t>Amazon link not found</t>
        </is>
      </c>
      <c r="O185" s="56">
        <f>IF(N185="Selling pet toys + Artificial grass/Pet toilets (TARGET)",15,IF(N185="Selling artificial grass/pet toilets (TARGET)",10,IF(N185="Selling pet toys",7,IF(N185="There's an Amazon link, but no target sales.",3,0))))</f>
        <v/>
      </c>
      <c r="P185" s="63">
        <f>H185+J185+L185+M185+O185</f>
        <v/>
      </c>
      <c r="Q185" s="64">
        <f>IF(OR(H185=0,P185&lt;30),"Tier D (Đóng băng)",IF(P185&gt;=85,"Tier S (Kim Cương: 85-100đ)",IF(P185&gt;=70,"Tier A (Vàng: 70-84đ)",IF(P185&gt;=61,"Tier B+ / Cấp A (Hot Lead: 61-69đ)",IF(P185&gt;=50,"Tier B (Bạc: 50-60đ)","Tier C (Đồng: 30-49đ)")))))</f>
        <v/>
      </c>
      <c r="R185" s="6" t="inlineStr">
        <is>
          <t>Trọn gói Take-Home Starter Kit V2/V3 (Cỏ nhân tạo + Khay Potty + Đồ chơi Teething/Snuggle)</t>
        </is>
      </c>
      <c r="S185" s="6" t="inlineStr">
        <is>
          <t>HOT LEAD (Điểm ≥61): Liên hệ Telesale/Email chào gói Starter Kit &amp; Báo giá sỉ chiết khấu BOM</t>
        </is>
      </c>
    </row>
    <row r="186">
      <c r="A186" s="59" t="n">
        <v>711</v>
      </c>
      <c r="B186" s="15" t="inlineStr">
        <is>
          <t>Bluegate Bulldogges</t>
        </is>
      </c>
      <c r="C186" s="60" t="inlineStr">
        <is>
          <t>https://www.facebook.com/profile.php?id=100064662194920</t>
        </is>
      </c>
      <c r="D186" s="9" t="inlineStr">
        <is>
          <t>Cần quét Bio Fanpage</t>
        </is>
      </c>
      <c r="E186" s="59" t="inlineStr">
        <is>
          <t>10/10/2026 09:00:45</t>
        </is>
      </c>
      <c r="F186" s="59" t="inlineStr">
        <is>
          <t>2 ngày trước</t>
        </is>
      </c>
      <c r="G186" s="61" t="n">
        <v>2</v>
      </c>
      <c r="H186" s="62" t="n">
        <v>28</v>
      </c>
      <c r="I186" s="9" t="inlineStr">
        <is>
          <t>Dog Breeder / Trại chó chuyên nghiệp (28-30đ)</t>
        </is>
      </c>
      <c r="J186" s="62" t="n">
        <v>28</v>
      </c>
      <c r="K186" s="9" t="inlineStr">
        <is>
          <t>English Bulldog</t>
        </is>
      </c>
      <c r="L186" s="62" t="n">
        <v>10</v>
      </c>
      <c r="M186" s="62" t="n">
        <v>0</v>
      </c>
      <c r="N186" s="9" t="inlineStr">
        <is>
          <t>Amazon link not found</t>
        </is>
      </c>
      <c r="O186" s="62">
        <f>IF(N186="Selling pet toys + Artificial grass/Pet toilets (TARGET)",15,IF(N186="Selling artificial grass/pet toilets (TARGET)",10,IF(N186="Selling pet toys",7,IF(N186="There's an Amazon link, but no target sales.",3,0))))</f>
        <v/>
      </c>
      <c r="P186" s="63">
        <f>H186+J186+L186+M186+O186</f>
        <v/>
      </c>
      <c r="Q186" s="64">
        <f>IF(OR(H186=0,P186&lt;30),"Tier D (Đóng băng)",IF(P186&gt;=85,"Tier S (Kim Cương: 85-100đ)",IF(P186&gt;=70,"Tier A (Vàng: 70-84đ)",IF(P186&gt;=61,"Tier B+ / Cấp A (Hot Lead: 61-69đ)",IF(P186&gt;=50,"Tier B (Bạc: 50-60đ)","Tier C (Đồng: 30-49đ)")))))</f>
        <v/>
      </c>
      <c r="R186" s="9" t="inlineStr">
        <is>
          <t>Trọn gói Take-Home Starter Kit V2/V3 (Cỏ nhân tạo + Khay Potty + Đồ chơi Teething/Snuggle)</t>
        </is>
      </c>
      <c r="S186" s="9" t="inlineStr">
        <is>
          <t>HOT LEAD (Điểm ≥61): Liên hệ Telesale/Email chào gói Starter Kit &amp; Báo giá sỉ chiết khấu BOM</t>
        </is>
      </c>
    </row>
    <row r="187">
      <c r="A187" s="53" t="n">
        <v>3121</v>
      </c>
      <c r="B187" s="12" t="inlineStr">
        <is>
          <t>The Gentle Bullies</t>
        </is>
      </c>
      <c r="C187" s="54" t="inlineStr">
        <is>
          <t>https://www.facebook.com/profile.php?id=61556624661362</t>
        </is>
      </c>
      <c r="D187" s="6" t="inlineStr">
        <is>
          <t>Cần quét Bio Fanpage</t>
        </is>
      </c>
      <c r="E187" s="53" t="inlineStr">
        <is>
          <t>10/10/2026 02:37:42</t>
        </is>
      </c>
      <c r="F187" s="53" t="inlineStr">
        <is>
          <t>3 ngày trước</t>
        </is>
      </c>
      <c r="G187" s="55" t="n">
        <v>3</v>
      </c>
      <c r="H187" s="56" t="n">
        <v>28</v>
      </c>
      <c r="I187" s="6" t="inlineStr">
        <is>
          <t>Dog Breeder / Trại chó chuyên nghiệp (28-30đ)</t>
        </is>
      </c>
      <c r="J187" s="56" t="n">
        <v>28</v>
      </c>
      <c r="K187" s="6" t="inlineStr">
        <is>
          <t>American Bully / Bully</t>
        </is>
      </c>
      <c r="L187" s="56" t="n">
        <v>10</v>
      </c>
      <c r="M187" s="56" t="n">
        <v>0</v>
      </c>
      <c r="N187" s="6" t="inlineStr">
        <is>
          <t>Amazon link not found</t>
        </is>
      </c>
      <c r="O187" s="56">
        <f>IF(N187="Selling pet toys + Artificial grass/Pet toilets (TARGET)",15,IF(N187="Selling artificial grass/pet toilets (TARGET)",10,IF(N187="Selling pet toys",7,IF(N187="There's an Amazon link, but no target sales.",3,0))))</f>
        <v/>
      </c>
      <c r="P187" s="63">
        <f>H187+J187+L187+M187+O187</f>
        <v/>
      </c>
      <c r="Q187" s="64">
        <f>IF(OR(H187=0,P187&lt;30),"Tier D (Đóng băng)",IF(P187&gt;=85,"Tier S (Kim Cương: 85-100đ)",IF(P187&gt;=70,"Tier A (Vàng: 70-84đ)",IF(P187&gt;=61,"Tier B+ / Cấp A (Hot Lead: 61-69đ)",IF(P187&gt;=50,"Tier B (Bạc: 50-60đ)","Tier C (Đồng: 30-49đ)")))))</f>
        <v/>
      </c>
      <c r="R187" s="6" t="inlineStr">
        <is>
          <t>Trọn gói Take-Home Starter Kit V2/V3 (Cỏ nhân tạo + Khay Potty + Đồ chơi Teething/Snuggle)</t>
        </is>
      </c>
      <c r="S187" s="6" t="inlineStr">
        <is>
          <t>HOT LEAD (Điểm ≥61): Liên hệ Telesale/Email chào gói Starter Kit &amp; Báo giá sỉ chiết khấu BOM</t>
        </is>
      </c>
    </row>
    <row r="188">
      <c r="A188" s="59" t="n">
        <v>715</v>
      </c>
      <c r="B188" s="15" t="inlineStr">
        <is>
          <t>Bodybuilder Bulldogs</t>
        </is>
      </c>
      <c r="C188" s="60" t="inlineStr">
        <is>
          <t>https://www.facebook.com/Bodybuilderbulldogs</t>
        </is>
      </c>
      <c r="D188" s="9" t="inlineStr">
        <is>
          <t>Cần quét Bio Fanpage</t>
        </is>
      </c>
      <c r="E188" s="59" t="inlineStr">
        <is>
          <t>10/10/2026 01:20:26</t>
        </is>
      </c>
      <c r="F188" s="59" t="inlineStr">
        <is>
          <t>3 ngày trước</t>
        </is>
      </c>
      <c r="G188" s="61" t="n">
        <v>3</v>
      </c>
      <c r="H188" s="62" t="n">
        <v>28</v>
      </c>
      <c r="I188" s="9" t="inlineStr">
        <is>
          <t>Dog Breeder / Trại chó chuyên nghiệp (28-30đ)</t>
        </is>
      </c>
      <c r="J188" s="62" t="n">
        <v>28</v>
      </c>
      <c r="K188" s="9" t="inlineStr">
        <is>
          <t>English Bulldog</t>
        </is>
      </c>
      <c r="L188" s="62" t="n">
        <v>10</v>
      </c>
      <c r="M188" s="62" t="n">
        <v>0</v>
      </c>
      <c r="N188" s="9" t="inlineStr">
        <is>
          <t>Amazon link not found</t>
        </is>
      </c>
      <c r="O188" s="62">
        <f>IF(N188="Selling pet toys + Artificial grass/Pet toilets (TARGET)",15,IF(N188="Selling artificial grass/pet toilets (TARGET)",10,IF(N188="Selling pet toys",7,IF(N188="There's an Amazon link, but no target sales.",3,0))))</f>
        <v/>
      </c>
      <c r="P188" s="63">
        <f>H188+J188+L188+M188+O188</f>
        <v/>
      </c>
      <c r="Q188" s="64">
        <f>IF(OR(H188=0,P188&lt;30),"Tier D (Đóng băng)",IF(P188&gt;=85,"Tier S (Kim Cương: 85-100đ)",IF(P188&gt;=70,"Tier A (Vàng: 70-84đ)",IF(P188&gt;=61,"Tier B+ / Cấp A (Hot Lead: 61-69đ)",IF(P188&gt;=50,"Tier B (Bạc: 50-60đ)","Tier C (Đồng: 30-49đ)")))))</f>
        <v/>
      </c>
      <c r="R188" s="9" t="inlineStr">
        <is>
          <t>Trọn gói Take-Home Starter Kit V2/V3 (Cỏ nhân tạo + Khay Potty + Đồ chơi Teething/Snuggle)</t>
        </is>
      </c>
      <c r="S188" s="9" t="inlineStr">
        <is>
          <t>HOT LEAD (Điểm ≥61): Liên hệ Telesale/Email chào gói Starter Kit &amp; Báo giá sỉ chiết khấu BOM</t>
        </is>
      </c>
    </row>
    <row r="189">
      <c r="A189" s="53" t="n">
        <v>835</v>
      </c>
      <c r="B189" s="12" t="inlineStr">
        <is>
          <t>Carbonite French Bulldogs</t>
        </is>
      </c>
      <c r="C189" s="54" t="inlineStr">
        <is>
          <t>https://www.facebook.com/carbonitefrenchbulldogs</t>
        </is>
      </c>
      <c r="D189" s="6" t="inlineStr">
        <is>
          <t>Cần quét Bio Fanpage</t>
        </is>
      </c>
      <c r="E189" s="53" t="inlineStr">
        <is>
          <t>09/10/2026 23:34:28</t>
        </is>
      </c>
      <c r="F189" s="53" t="inlineStr">
        <is>
          <t>3 ngày trước</t>
        </is>
      </c>
      <c r="G189" s="55" t="n">
        <v>3</v>
      </c>
      <c r="H189" s="56" t="n">
        <v>28</v>
      </c>
      <c r="I189" s="6" t="inlineStr">
        <is>
          <t>Dog Breeder / Trại chó chuyên nghiệp (28-30đ)</t>
        </is>
      </c>
      <c r="J189" s="56" t="n">
        <v>28</v>
      </c>
      <c r="K189" s="6" t="inlineStr">
        <is>
          <t>French Bulldog</t>
        </is>
      </c>
      <c r="L189" s="56" t="n">
        <v>10</v>
      </c>
      <c r="M189" s="56" t="n">
        <v>0</v>
      </c>
      <c r="N189" s="6" t="inlineStr">
        <is>
          <t>Amazon link not found</t>
        </is>
      </c>
      <c r="O189" s="56">
        <f>IF(N189="Selling pet toys + Artificial grass/Pet toilets (TARGET)",15,IF(N189="Selling artificial grass/pet toilets (TARGET)",10,IF(N189="Selling pet toys",7,IF(N189="There's an Amazon link, but no target sales.",3,0))))</f>
        <v/>
      </c>
      <c r="P189" s="63">
        <f>H189+J189+L189+M189+O189</f>
        <v/>
      </c>
      <c r="Q189" s="64">
        <f>IF(OR(H189=0,P189&lt;30),"Tier D (Đóng băng)",IF(P189&gt;=85,"Tier S (Kim Cương: 85-100đ)",IF(P189&gt;=70,"Tier A (Vàng: 70-84đ)",IF(P189&gt;=61,"Tier B+ / Cấp A (Hot Lead: 61-69đ)",IF(P189&gt;=50,"Tier B (Bạc: 50-60đ)","Tier C (Đồng: 30-49đ)")))))</f>
        <v/>
      </c>
      <c r="R189" s="6" t="inlineStr">
        <is>
          <t>Trọn gói Take-Home Starter Kit V2/V3 (Cỏ nhân tạo + Khay Potty + Đồ chơi Teething/Snuggle)</t>
        </is>
      </c>
      <c r="S189" s="6" t="inlineStr">
        <is>
          <t>HOT LEAD (Điểm ≥61): Liên hệ Telesale/Email chào gói Starter Kit &amp; Báo giá sỉ chiết khấu BOM</t>
        </is>
      </c>
    </row>
    <row r="190">
      <c r="A190" s="59" t="n">
        <v>1320</v>
      </c>
      <c r="B190" s="15" t="inlineStr">
        <is>
          <t>Fallen Timbers Bulldogs</t>
        </is>
      </c>
      <c r="C190" s="60" t="inlineStr">
        <is>
          <t>https://www.facebook.com/FallenTimbersBulldogs</t>
        </is>
      </c>
      <c r="D190" s="9" t="inlineStr">
        <is>
          <t>Cần quét Bio Fanpage</t>
        </is>
      </c>
      <c r="E190" s="59" t="inlineStr">
        <is>
          <t>09/10/2026 22:32:43</t>
        </is>
      </c>
      <c r="F190" s="59" t="inlineStr">
        <is>
          <t>3 ngày trước</t>
        </is>
      </c>
      <c r="G190" s="61" t="n">
        <v>3</v>
      </c>
      <c r="H190" s="62" t="n">
        <v>28</v>
      </c>
      <c r="I190" s="9" t="inlineStr">
        <is>
          <t>Dog Breeder / Trại chó chuyên nghiệp (28-30đ)</t>
        </is>
      </c>
      <c r="J190" s="62" t="n">
        <v>28</v>
      </c>
      <c r="K190" s="9" t="inlineStr">
        <is>
          <t>English Bulldog</t>
        </is>
      </c>
      <c r="L190" s="62" t="n">
        <v>10</v>
      </c>
      <c r="M190" s="62" t="n">
        <v>0</v>
      </c>
      <c r="N190" s="9" t="inlineStr">
        <is>
          <t>Amazon link not found</t>
        </is>
      </c>
      <c r="O190" s="62">
        <f>IF(N190="Selling pet toys + Artificial grass/Pet toilets (TARGET)",15,IF(N190="Selling artificial grass/pet toilets (TARGET)",10,IF(N190="Selling pet toys",7,IF(N190="There's an Amazon link, but no target sales.",3,0))))</f>
        <v/>
      </c>
      <c r="P190" s="63">
        <f>H190+J190+L190+M190+O190</f>
        <v/>
      </c>
      <c r="Q190" s="64">
        <f>IF(OR(H190=0,P190&lt;30),"Tier D (Đóng băng)",IF(P190&gt;=85,"Tier S (Kim Cương: 85-100đ)",IF(P190&gt;=70,"Tier A (Vàng: 70-84đ)",IF(P190&gt;=61,"Tier B+ / Cấp A (Hot Lead: 61-69đ)",IF(P190&gt;=50,"Tier B (Bạc: 50-60đ)","Tier C (Đồng: 30-49đ)")))))</f>
        <v/>
      </c>
      <c r="R190" s="9" t="inlineStr">
        <is>
          <t>Trọn gói Take-Home Starter Kit V2/V3 (Cỏ nhân tạo + Khay Potty + Đồ chơi Teething/Snuggle)</t>
        </is>
      </c>
      <c r="S190" s="9" t="inlineStr">
        <is>
          <t>HOT LEAD (Điểm ≥61): Liên hệ Telesale/Email chào gói Starter Kit &amp; Báo giá sỉ chiết khấu BOM</t>
        </is>
      </c>
    </row>
    <row r="191">
      <c r="A191" s="53" t="n">
        <v>2628</v>
      </c>
      <c r="B191" s="12" t="inlineStr">
        <is>
          <t>Pride Bullies</t>
        </is>
      </c>
      <c r="C191" s="54" t="inlineStr">
        <is>
          <t>https://www.facebook.com/profile.php?id=61571900258811</t>
        </is>
      </c>
      <c r="D191" s="6" t="inlineStr">
        <is>
          <t>Cần quét Bio Fanpage</t>
        </is>
      </c>
      <c r="E191" s="53" t="inlineStr">
        <is>
          <t>09/10/2026 22:26:12</t>
        </is>
      </c>
      <c r="F191" s="53" t="inlineStr">
        <is>
          <t>3 ngày trước</t>
        </is>
      </c>
      <c r="G191" s="55" t="n">
        <v>3</v>
      </c>
      <c r="H191" s="56" t="n">
        <v>28</v>
      </c>
      <c r="I191" s="6" t="inlineStr">
        <is>
          <t>Dog Breeder / Trại chó chuyên nghiệp (28-30đ)</t>
        </is>
      </c>
      <c r="J191" s="56" t="n">
        <v>28</v>
      </c>
      <c r="K191" s="6" t="inlineStr">
        <is>
          <t>American Bully / Bully</t>
        </is>
      </c>
      <c r="L191" s="56" t="n">
        <v>10</v>
      </c>
      <c r="M191" s="56" t="n">
        <v>0</v>
      </c>
      <c r="N191" s="6" t="inlineStr">
        <is>
          <t>Amazon link not found</t>
        </is>
      </c>
      <c r="O191" s="56">
        <f>IF(N191="Selling pet toys + Artificial grass/Pet toilets (TARGET)",15,IF(N191="Selling artificial grass/pet toilets (TARGET)",10,IF(N191="Selling pet toys",7,IF(N191="There's an Amazon link, but no target sales.",3,0))))</f>
        <v/>
      </c>
      <c r="P191" s="63">
        <f>H191+J191+L191+M191+O191</f>
        <v/>
      </c>
      <c r="Q191" s="64">
        <f>IF(OR(H191=0,P191&lt;30),"Tier D (Đóng băng)",IF(P191&gt;=85,"Tier S (Kim Cương: 85-100đ)",IF(P191&gt;=70,"Tier A (Vàng: 70-84đ)",IF(P191&gt;=61,"Tier B+ / Cấp A (Hot Lead: 61-69đ)",IF(P191&gt;=50,"Tier B (Bạc: 50-60đ)","Tier C (Đồng: 30-49đ)")))))</f>
        <v/>
      </c>
      <c r="R191" s="6" t="inlineStr">
        <is>
          <t>Trọn gói Take-Home Starter Kit V2/V3 (Cỏ nhân tạo + Khay Potty + Đồ chơi Teething/Snuggle)</t>
        </is>
      </c>
      <c r="S191" s="6" t="inlineStr">
        <is>
          <t>HOT LEAD (Điểm ≥61): Liên hệ Telesale/Email chào gói Starter Kit &amp; Báo giá sỉ chiết khấu BOM</t>
        </is>
      </c>
    </row>
    <row r="192">
      <c r="A192" s="59" t="n">
        <v>856</v>
      </c>
      <c r="B192" s="15" t="inlineStr">
        <is>
          <t>Castle Frenchies of Central Florida</t>
        </is>
      </c>
      <c r="C192" s="60" t="inlineStr">
        <is>
          <t>https://www.facebook.com/profile.php?id=61559962702347</t>
        </is>
      </c>
      <c r="D192" s="9" t="inlineStr">
        <is>
          <t>Cần quét Bio Fanpage</t>
        </is>
      </c>
      <c r="E192" s="59" t="inlineStr">
        <is>
          <t>09/10/2026 08:34:14</t>
        </is>
      </c>
      <c r="F192" s="59" t="inlineStr">
        <is>
          <t>3 ngày trước</t>
        </is>
      </c>
      <c r="G192" s="61" t="n">
        <v>3</v>
      </c>
      <c r="H192" s="62" t="n">
        <v>28</v>
      </c>
      <c r="I192" s="9" t="inlineStr">
        <is>
          <t>Dog Breeder / Trại chó chuyên nghiệp (28-30đ)</t>
        </is>
      </c>
      <c r="J192" s="62" t="n">
        <v>28</v>
      </c>
      <c r="K192" s="9" t="inlineStr">
        <is>
          <t>French Bulldog</t>
        </is>
      </c>
      <c r="L192" s="62" t="n">
        <v>10</v>
      </c>
      <c r="M192" s="62" t="n">
        <v>0</v>
      </c>
      <c r="N192" s="9" t="inlineStr">
        <is>
          <t>Amazon link not found</t>
        </is>
      </c>
      <c r="O192" s="62">
        <f>IF(N192="Selling pet toys + Artificial grass/Pet toilets (TARGET)",15,IF(N192="Selling artificial grass/pet toilets (TARGET)",10,IF(N192="Selling pet toys",7,IF(N192="There's an Amazon link, but no target sales.",3,0))))</f>
        <v/>
      </c>
      <c r="P192" s="63">
        <f>H192+J192+L192+M192+O192</f>
        <v/>
      </c>
      <c r="Q192" s="64">
        <f>IF(OR(H192=0,P192&lt;30),"Tier D (Đóng băng)",IF(P192&gt;=85,"Tier S (Kim Cương: 85-100đ)",IF(P192&gt;=70,"Tier A (Vàng: 70-84đ)",IF(P192&gt;=61,"Tier B+ / Cấp A (Hot Lead: 61-69đ)",IF(P192&gt;=50,"Tier B (Bạc: 50-60đ)","Tier C (Đồng: 30-49đ)")))))</f>
        <v/>
      </c>
      <c r="R192" s="9" t="inlineStr">
        <is>
          <t>Trọn gói Take-Home Starter Kit V2/V3 (Cỏ nhân tạo + Khay Potty + Đồ chơi Teething/Snuggle)</t>
        </is>
      </c>
      <c r="S192" s="9" t="inlineStr">
        <is>
          <t>HOT LEAD (Điểm ≥61): Liên hệ Telesale/Email chào gói Starter Kit &amp; Báo giá sỉ chiết khấu BOM</t>
        </is>
      </c>
    </row>
    <row r="193">
      <c r="A193" s="53" t="n">
        <v>5771</v>
      </c>
      <c r="B193" s="12" t="inlineStr">
        <is>
          <t>Vested Interest in K9s, Inc.</t>
        </is>
      </c>
      <c r="C193" s="54" t="inlineStr">
        <is>
          <t>https://www.facebook.com/vik9s</t>
        </is>
      </c>
      <c r="D193" s="6" t="inlineStr">
        <is>
          <t>Cần quét Bio Fanpage</t>
        </is>
      </c>
      <c r="E193" s="53" t="inlineStr">
        <is>
          <t>13/10/2026 07:16:05</t>
        </is>
      </c>
      <c r="F193" s="53" t="inlineStr">
        <is>
          <t>4 giờ trước</t>
        </is>
      </c>
      <c r="G193" s="55" t="n">
        <v>0.17</v>
      </c>
      <c r="H193" s="56" t="n">
        <v>32</v>
      </c>
      <c r="I193" s="6" t="inlineStr">
        <is>
          <t>Dog Breeder / Trại nhân giống (28-30đ)</t>
        </is>
      </c>
      <c r="J193" s="56" t="n">
        <v>28</v>
      </c>
      <c r="K193" s="6" t="inlineStr">
        <is>
          <t>Chưa rõ giống (Cần quét Bio)</t>
        </is>
      </c>
      <c r="L193" s="56" t="n">
        <v>0</v>
      </c>
      <c r="M193" s="56" t="n">
        <v>5</v>
      </c>
      <c r="N193" s="6" t="inlineStr">
        <is>
          <t>Amazon link not found</t>
        </is>
      </c>
      <c r="O193" s="56">
        <f>IF(N193="Selling pet toys + Artificial grass/Pet toilets (TARGET)",15,IF(N193="Selling artificial grass/pet toilets (TARGET)",10,IF(N193="Selling pet toys",7,IF(N193="There's an Amazon link, but no target sales.",3,0))))</f>
        <v/>
      </c>
      <c r="P193" s="63">
        <f>H193+J193+L193+M193+O193</f>
        <v/>
      </c>
      <c r="Q193" s="64">
        <f>IF(OR(H193=0,P193&lt;30),"Tier D (Đóng băng)",IF(P193&gt;=85,"Tier S (Kim Cương: 85-100đ)",IF(P193&gt;=70,"Tier A (Vàng: 70-84đ)",IF(P193&gt;=61,"Tier B+ / Cấp A (Hot Lead: 61-69đ)",IF(P193&gt;=50,"Tier B (Bạc: 50-60đ)","Tier C (Đồng: 30-49đ)")))))</f>
        <v/>
      </c>
      <c r="R193" s="6" t="inlineStr">
        <is>
          <t>Trọn gói Take-Home Starter Kit V2/V3 (Cỏ nhân tạo + Khay Potty + Đồ chơi cún con)</t>
        </is>
      </c>
      <c r="S193" s="6" t="inlineStr">
        <is>
          <t>HOT LEAD (Điểm ≥61): Liên hệ Telesale/Email chào gói Starter Kit &amp; Báo giá sỉ chiết khấu BOM</t>
        </is>
      </c>
    </row>
    <row r="194">
      <c r="A194" s="59" t="n">
        <v>5746</v>
      </c>
      <c r="B194" s="15" t="inlineStr">
        <is>
          <t>UruguayCaneCorso</t>
        </is>
      </c>
      <c r="C194" s="60" t="inlineStr">
        <is>
          <t>https://www.facebook.com/UruguayCaneCorso</t>
        </is>
      </c>
      <c r="D194" s="9" t="inlineStr">
        <is>
          <t>Cần quét Bio Fanpage</t>
        </is>
      </c>
      <c r="E194" s="59" t="inlineStr">
        <is>
          <t>13/10/2026 07:15:44</t>
        </is>
      </c>
      <c r="F194" s="59" t="inlineStr">
        <is>
          <t>4 giờ trước</t>
        </is>
      </c>
      <c r="G194" s="61" t="n">
        <v>0.17</v>
      </c>
      <c r="H194" s="62" t="n">
        <v>32</v>
      </c>
      <c r="I194" s="9" t="inlineStr">
        <is>
          <t>Dog Breeder / Trại nhân giống (28-30đ)</t>
        </is>
      </c>
      <c r="J194" s="62" t="n">
        <v>28</v>
      </c>
      <c r="K194" s="9" t="inlineStr">
        <is>
          <t>Cane Corso / Mastiff</t>
        </is>
      </c>
      <c r="L194" s="62" t="n">
        <v>5</v>
      </c>
      <c r="M194" s="62" t="n">
        <v>0</v>
      </c>
      <c r="N194" s="9" t="inlineStr">
        <is>
          <t>Amazon link not found</t>
        </is>
      </c>
      <c r="O194" s="62">
        <f>IF(N194="Selling pet toys + Artificial grass/Pet toilets (TARGET)",15,IF(N194="Selling artificial grass/pet toilets (TARGET)",10,IF(N194="Selling pet toys",7,IF(N194="There's an Amazon link, but no target sales.",3,0))))</f>
        <v/>
      </c>
      <c r="P194" s="63">
        <f>H194+J194+L194+M194+O194</f>
        <v/>
      </c>
      <c r="Q194" s="64">
        <f>IF(OR(H194=0,P194&lt;30),"Tier D (Đóng băng)",IF(P194&gt;=85,"Tier S (Kim Cương: 85-100đ)",IF(P194&gt;=70,"Tier A (Vàng: 70-84đ)",IF(P194&gt;=61,"Tier B+ / Cấp A (Hot Lead: 61-69đ)",IF(P194&gt;=50,"Tier B (Bạc: 50-60đ)","Tier C (Đồng: 30-49đ)")))))</f>
        <v/>
      </c>
      <c r="R194" s="9" t="inlineStr">
        <is>
          <t>Trọn gói Take-Home Starter Kit V2/V3 (Cỏ nhân tạo + Khay Potty + Đồ chơi cún con)</t>
        </is>
      </c>
      <c r="S194" s="9" t="inlineStr">
        <is>
          <t>HOT LEAD (Điểm ≥61): Liên hệ Telesale/Email chào gói Starter Kit &amp; Báo giá sỉ chiết khấu BOM</t>
        </is>
      </c>
    </row>
    <row r="195">
      <c r="A195" s="53" t="n">
        <v>2961</v>
      </c>
      <c r="B195" s="12" t="inlineStr">
        <is>
          <t>Specialized Pet Solutions LLC</t>
        </is>
      </c>
      <c r="C195" s="54" t="inlineStr">
        <is>
          <t>https://www.facebook.com/specializedpetsolutions</t>
        </is>
      </c>
      <c r="D195" s="6" t="inlineStr">
        <is>
          <t>Cần quét Bio Fanpage</t>
        </is>
      </c>
      <c r="E195" s="53" t="inlineStr">
        <is>
          <t>12/10/2026 22:30:51</t>
        </is>
      </c>
      <c r="F195" s="53" t="inlineStr">
        <is>
          <t>7 giờ trước</t>
        </is>
      </c>
      <c r="G195" s="55" t="n">
        <v>0.29</v>
      </c>
      <c r="H195" s="56" t="n">
        <v>32</v>
      </c>
      <c r="I195" s="6" t="inlineStr">
        <is>
          <t>Dog Breeder / Trại nhân giống (28-30đ)</t>
        </is>
      </c>
      <c r="J195" s="56" t="n">
        <v>28</v>
      </c>
      <c r="K195" s="6" t="inlineStr">
        <is>
          <t>Chưa rõ giống (Cần quét Bio)</t>
        </is>
      </c>
      <c r="L195" s="56" t="n">
        <v>0</v>
      </c>
      <c r="M195" s="56" t="n">
        <v>5</v>
      </c>
      <c r="N195" s="6" t="inlineStr">
        <is>
          <t>Amazon link not found</t>
        </is>
      </c>
      <c r="O195" s="56">
        <f>IF(N195="Selling pet toys + Artificial grass/Pet toilets (TARGET)",15,IF(N195="Selling artificial grass/pet toilets (TARGET)",10,IF(N195="Selling pet toys",7,IF(N195="There's an Amazon link, but no target sales.",3,0))))</f>
        <v/>
      </c>
      <c r="P195" s="63">
        <f>H195+J195+L195+M195+O195</f>
        <v/>
      </c>
      <c r="Q195" s="64">
        <f>IF(OR(H195=0,P195&lt;30),"Tier D (Đóng băng)",IF(P195&gt;=85,"Tier S (Kim Cương: 85-100đ)",IF(P195&gt;=70,"Tier A (Vàng: 70-84đ)",IF(P195&gt;=61,"Tier B+ / Cấp A (Hot Lead: 61-69đ)",IF(P195&gt;=50,"Tier B (Bạc: 50-60đ)","Tier C (Đồng: 30-49đ)")))))</f>
        <v/>
      </c>
      <c r="R195" s="6" t="inlineStr">
        <is>
          <t>Trọn gói Take-Home Starter Kit V2/V3 (Cỏ nhân tạo + Khay Potty + Đồ chơi cún con)</t>
        </is>
      </c>
      <c r="S195" s="6" t="inlineStr">
        <is>
          <t>HOT LEAD (Điểm ≥61): Liên hệ Telesale/Email chào gói Starter Kit &amp; Báo giá sỉ chiết khấu BOM</t>
        </is>
      </c>
    </row>
    <row r="196">
      <c r="A196" s="59" t="n">
        <v>301</v>
      </c>
      <c r="B196" s="15" t="inlineStr">
        <is>
          <t>178Farm</t>
        </is>
      </c>
      <c r="C196" s="60" t="inlineStr">
        <is>
          <t>https://www.facebook.com/178farmhusky</t>
        </is>
      </c>
      <c r="D196" s="9" t="inlineStr">
        <is>
          <t>Cần quét Bio Fanpage</t>
        </is>
      </c>
      <c r="E196" s="59" t="inlineStr">
        <is>
          <t>12/10/2026 21:18:23</t>
        </is>
      </c>
      <c r="F196" s="59" t="inlineStr">
        <is>
          <t>4 giờ trước</t>
        </is>
      </c>
      <c r="G196" s="61" t="n">
        <v>0.17</v>
      </c>
      <c r="H196" s="62" t="n">
        <v>32</v>
      </c>
      <c r="I196" s="9" t="inlineStr">
        <is>
          <t>Dog Breeder / Trại nhân giống (28-30đ)</t>
        </is>
      </c>
      <c r="J196" s="62" t="n">
        <v>28</v>
      </c>
      <c r="K196" s="9" t="inlineStr">
        <is>
          <t>Husky / Malamute / Samoyed / Spitz</t>
        </is>
      </c>
      <c r="L196" s="62" t="n">
        <v>5</v>
      </c>
      <c r="M196" s="62" t="n">
        <v>0</v>
      </c>
      <c r="N196" s="9" t="inlineStr">
        <is>
          <t>Amazon link not found</t>
        </is>
      </c>
      <c r="O196" s="62">
        <f>IF(N196="Selling pet toys + Artificial grass/Pet toilets (TARGET)",15,IF(N196="Selling artificial grass/pet toilets (TARGET)",10,IF(N196="Selling pet toys",7,IF(N196="There's an Amazon link, but no target sales.",3,0))))</f>
        <v/>
      </c>
      <c r="P196" s="63">
        <f>H196+J196+L196+M196+O196</f>
        <v/>
      </c>
      <c r="Q196" s="64">
        <f>IF(OR(H196=0,P196&lt;30),"Tier D (Đóng băng)",IF(P196&gt;=85,"Tier S (Kim Cương: 85-100đ)",IF(P196&gt;=70,"Tier A (Vàng: 70-84đ)",IF(P196&gt;=61,"Tier B+ / Cấp A (Hot Lead: 61-69đ)",IF(P196&gt;=50,"Tier B (Bạc: 50-60đ)","Tier C (Đồng: 30-49đ)")))))</f>
        <v/>
      </c>
      <c r="R196" s="9" t="inlineStr">
        <is>
          <t>Trọn gói Take-Home Starter Kit V2/V3 (Cỏ nhân tạo + Khay Potty + Đồ chơi cún con)</t>
        </is>
      </c>
      <c r="S196" s="9" t="inlineStr">
        <is>
          <t>HOT LEAD (Điểm ≥61): Liên hệ Telesale/Email chào gói Starter Kit &amp; Báo giá sỉ chiết khấu BOM</t>
        </is>
      </c>
    </row>
    <row r="197">
      <c r="A197" s="53" t="n">
        <v>2248</v>
      </c>
      <c r="B197" s="12" t="inlineStr">
        <is>
          <t>Mystic River Pugs</t>
        </is>
      </c>
      <c r="C197" s="54" t="inlineStr">
        <is>
          <t>https://www.facebook.com/MysticRiverPugs</t>
        </is>
      </c>
      <c r="D197" s="6" t="inlineStr">
        <is>
          <t>Cần quét Bio Fanpage</t>
        </is>
      </c>
      <c r="E197" s="53" t="inlineStr">
        <is>
          <t>12/10/2026 21:01:02</t>
        </is>
      </c>
      <c r="F197" s="53" t="inlineStr">
        <is>
          <t>7 giờ trước</t>
        </is>
      </c>
      <c r="G197" s="55" t="n">
        <v>0.29</v>
      </c>
      <c r="H197" s="56" t="n">
        <v>32</v>
      </c>
      <c r="I197" s="6" t="inlineStr">
        <is>
          <t>Dog Breeder / Trại chó chuyên nghiệp (28-30đ)</t>
        </is>
      </c>
      <c r="J197" s="56" t="n">
        <v>28</v>
      </c>
      <c r="K197" s="6" t="inlineStr">
        <is>
          <t>Pug</t>
        </is>
      </c>
      <c r="L197" s="56" t="n">
        <v>5</v>
      </c>
      <c r="M197" s="56" t="n">
        <v>0</v>
      </c>
      <c r="N197" s="6" t="inlineStr">
        <is>
          <t>Amazon link not found</t>
        </is>
      </c>
      <c r="O197" s="56">
        <f>IF(N197="Selling pet toys + Artificial grass/Pet toilets (TARGET)",15,IF(N197="Selling artificial grass/pet toilets (TARGET)",10,IF(N197="Selling pet toys",7,IF(N197="There's an Amazon link, but no target sales.",3,0))))</f>
        <v/>
      </c>
      <c r="P197" s="63">
        <f>H197+J197+L197+M197+O197</f>
        <v/>
      </c>
      <c r="Q197" s="64">
        <f>IF(OR(H197=0,P197&lt;30),"Tier D (Đóng băng)",IF(P197&gt;=85,"Tier S (Kim Cương: 85-100đ)",IF(P197&gt;=70,"Tier A (Vàng: 70-84đ)",IF(P197&gt;=61,"Tier B+ / Cấp A (Hot Lead: 61-69đ)",IF(P197&gt;=50,"Tier B (Bạc: 50-60đ)","Tier C (Đồng: 30-49đ)")))))</f>
        <v/>
      </c>
      <c r="R197" s="6" t="inlineStr">
        <is>
          <t>Trọn gói Take-Home Starter Kit V2/V3 (Cỏ nhân tạo + Khay Potty + Đồ chơi Teething/Snuggle)</t>
        </is>
      </c>
      <c r="S197" s="6" t="inlineStr">
        <is>
          <t>HOT LEAD (Điểm ≥61): Liên hệ Telesale/Email chào gói Starter Kit &amp; Báo giá sỉ chiết khấu BOM</t>
        </is>
      </c>
    </row>
    <row r="198">
      <c r="A198" s="59" t="n">
        <v>168</v>
      </c>
      <c r="B198" s="15" t="inlineStr">
        <is>
          <t>Farm To Pet</t>
        </is>
      </c>
      <c r="C198" s="60" t="inlineStr">
        <is>
          <t>https://www.facebook.com/farmtopet</t>
        </is>
      </c>
      <c r="D198" s="9" t="inlineStr">
        <is>
          <t>Cần quét Bio Fanpage</t>
        </is>
      </c>
      <c r="E198" s="59" t="inlineStr">
        <is>
          <t>12/10/2026 19:41:52</t>
        </is>
      </c>
      <c r="F198" s="59" t="inlineStr">
        <is>
          <t>5 giờ trước</t>
        </is>
      </c>
      <c r="G198" s="61" t="n">
        <v>0.21</v>
      </c>
      <c r="H198" s="62" t="n">
        <v>32</v>
      </c>
      <c r="I198" s="9" t="inlineStr">
        <is>
          <t>Dog Breeder / Trại nhân giống (28-30đ)</t>
        </is>
      </c>
      <c r="J198" s="62" t="n">
        <v>28</v>
      </c>
      <c r="K198" s="9" t="inlineStr">
        <is>
          <t>Chưa rõ giống (Cần quét Bio)</t>
        </is>
      </c>
      <c r="L198" s="62" t="n">
        <v>0</v>
      </c>
      <c r="M198" s="62" t="n">
        <v>5</v>
      </c>
      <c r="N198" s="9" t="inlineStr">
        <is>
          <t>Amazon link not found</t>
        </is>
      </c>
      <c r="O198" s="62">
        <f>IF(N198="Selling pet toys + Artificial grass/Pet toilets (TARGET)",15,IF(N198="Selling artificial grass/pet toilets (TARGET)",10,IF(N198="Selling pet toys",7,IF(N198="There's an Amazon link, but no target sales.",3,0))))</f>
        <v/>
      </c>
      <c r="P198" s="63">
        <f>H198+J198+L198+M198+O198</f>
        <v/>
      </c>
      <c r="Q198" s="64">
        <f>IF(OR(H198=0,P198&lt;30),"Tier D (Đóng băng)",IF(P198&gt;=85,"Tier S (Kim Cương: 85-100đ)",IF(P198&gt;=70,"Tier A (Vàng: 70-84đ)",IF(P198&gt;=61,"Tier B+ / Cấp A (Hot Lead: 61-69đ)",IF(P198&gt;=50,"Tier B (Bạc: 50-60đ)","Tier C (Đồng: 30-49đ)")))))</f>
        <v/>
      </c>
      <c r="R198" s="9" t="inlineStr">
        <is>
          <t>Trọn gói Take-Home Starter Kit V2/V3 (Cỏ nhân tạo + Khay Potty + Đồ chơi cún con)</t>
        </is>
      </c>
      <c r="S198" s="9" t="inlineStr">
        <is>
          <t>HOT LEAD (Điểm ≥61): Liên hệ Telesale/Email chào gói Starter Kit &amp; Báo giá sỉ chiết khấu BOM</t>
        </is>
      </c>
    </row>
    <row r="199">
      <c r="A199" s="53" t="n">
        <v>2299</v>
      </c>
      <c r="B199" s="12" t="inlineStr">
        <is>
          <t>No Nonsense Pet Food LLC</t>
        </is>
      </c>
      <c r="C199" s="54" t="inlineStr">
        <is>
          <t>https://www.facebook.com/nononsensepetfood</t>
        </is>
      </c>
      <c r="D199" s="6" t="inlineStr">
        <is>
          <t>Cần quét Bio Fanpage</t>
        </is>
      </c>
      <c r="E199" s="53" t="inlineStr">
        <is>
          <t>12/10/2026 19:00:32</t>
        </is>
      </c>
      <c r="F199" s="53" t="inlineStr">
        <is>
          <t>10 giờ trước</t>
        </is>
      </c>
      <c r="G199" s="55" t="n">
        <v>0.42</v>
      </c>
      <c r="H199" s="56" t="n">
        <v>32</v>
      </c>
      <c r="I199" s="6" t="inlineStr">
        <is>
          <t>Dog Breeder / Trại nhân giống (28-30đ)</t>
        </is>
      </c>
      <c r="J199" s="56" t="n">
        <v>28</v>
      </c>
      <c r="K199" s="6" t="inlineStr">
        <is>
          <t>Chưa rõ giống (Cần quét Bio)</t>
        </is>
      </c>
      <c r="L199" s="56" t="n">
        <v>0</v>
      </c>
      <c r="M199" s="56" t="n">
        <v>5</v>
      </c>
      <c r="N199" s="6" t="inlineStr">
        <is>
          <t>Amazon link not found</t>
        </is>
      </c>
      <c r="O199" s="56">
        <f>IF(N199="Selling pet toys + Artificial grass/Pet toilets (TARGET)",15,IF(N199="Selling artificial grass/pet toilets (TARGET)",10,IF(N199="Selling pet toys",7,IF(N199="There's an Amazon link, but no target sales.",3,0))))</f>
        <v/>
      </c>
      <c r="P199" s="63">
        <f>H199+J199+L199+M199+O199</f>
        <v/>
      </c>
      <c r="Q199" s="64">
        <f>IF(OR(H199=0,P199&lt;30),"Tier D (Đóng băng)",IF(P199&gt;=85,"Tier S (Kim Cương: 85-100đ)",IF(P199&gt;=70,"Tier A (Vàng: 70-84đ)",IF(P199&gt;=61,"Tier B+ / Cấp A (Hot Lead: 61-69đ)",IF(P199&gt;=50,"Tier B (Bạc: 50-60đ)","Tier C (Đồng: 30-49đ)")))))</f>
        <v/>
      </c>
      <c r="R199" s="6" t="inlineStr">
        <is>
          <t>Trọn gói Take-Home Starter Kit V2/V3 (Cỏ nhân tạo + Khay Potty + Đồ chơi cún con)</t>
        </is>
      </c>
      <c r="S199" s="6" t="inlineStr">
        <is>
          <t>HOT LEAD (Điểm ≥61): Liên hệ Telesale/Email chào gói Starter Kit &amp; Báo giá sỉ chiết khấu BOM</t>
        </is>
      </c>
    </row>
    <row r="200">
      <c r="A200" s="59" t="n">
        <v>247</v>
      </c>
      <c r="B200" s="15" t="inlineStr">
        <is>
          <t>Poppet and the Wolf Pack</t>
        </is>
      </c>
      <c r="C200" s="60" t="inlineStr">
        <is>
          <t>https://www.facebook.com/misspoppetthesamoyed</t>
        </is>
      </c>
      <c r="D200" s="9" t="inlineStr">
        <is>
          <t>Cần quét Bio Fanpage</t>
        </is>
      </c>
      <c r="E200" s="59" t="inlineStr">
        <is>
          <t>12/10/2026 18:04:39</t>
        </is>
      </c>
      <c r="F200" s="59" t="inlineStr">
        <is>
          <t>7 giờ trước</t>
        </is>
      </c>
      <c r="G200" s="61" t="n">
        <v>0.29</v>
      </c>
      <c r="H200" s="62" t="n">
        <v>32</v>
      </c>
      <c r="I200" s="9" t="inlineStr">
        <is>
          <t>Dog Breeder / Trại nhân giống (28-30đ)</t>
        </is>
      </c>
      <c r="J200" s="62" t="n">
        <v>28</v>
      </c>
      <c r="K200" s="9" t="inlineStr">
        <is>
          <t>Husky / Malamute / Samoyed / Spitz</t>
        </is>
      </c>
      <c r="L200" s="62" t="n">
        <v>5</v>
      </c>
      <c r="M200" s="62" t="n">
        <v>0</v>
      </c>
      <c r="N200" s="9" t="inlineStr">
        <is>
          <t>Amazon link not found</t>
        </is>
      </c>
      <c r="O200" s="62">
        <f>IF(N200="Selling pet toys + Artificial grass/Pet toilets (TARGET)",15,IF(N200="Selling artificial grass/pet toilets (TARGET)",10,IF(N200="Selling pet toys",7,IF(N200="There's an Amazon link, but no target sales.",3,0))))</f>
        <v/>
      </c>
      <c r="P200" s="63">
        <f>H200+J200+L200+M200+O200</f>
        <v/>
      </c>
      <c r="Q200" s="64">
        <f>IF(OR(H200=0,P200&lt;30),"Tier D (Đóng băng)",IF(P200&gt;=85,"Tier S (Kim Cương: 85-100đ)",IF(P200&gt;=70,"Tier A (Vàng: 70-84đ)",IF(P200&gt;=61,"Tier B+ / Cấp A (Hot Lead: 61-69đ)",IF(P200&gt;=50,"Tier B (Bạc: 50-60đ)","Tier C (Đồng: 30-49đ)")))))</f>
        <v/>
      </c>
      <c r="R200" s="9" t="inlineStr">
        <is>
          <t>Trọn gói Take-Home Starter Kit V2/V3 (Cỏ nhân tạo + Khay Potty + Đồ chơi cún con)</t>
        </is>
      </c>
      <c r="S200" s="9" t="inlineStr">
        <is>
          <t>HOT LEAD (Điểm ≥61): Liên hệ Telesale/Email chào gói Starter Kit &amp; Báo giá sỉ chiết khấu BOM</t>
        </is>
      </c>
    </row>
    <row r="201">
      <c r="A201" s="53" t="n">
        <v>3229</v>
      </c>
      <c r="B201" s="12" t="inlineStr">
        <is>
          <t>Trawden Sheepdog Society</t>
        </is>
      </c>
      <c r="C201" s="54" t="inlineStr">
        <is>
          <t>https://www.facebook.com/profile.php?id=100057232068567</t>
        </is>
      </c>
      <c r="D201" s="6" t="inlineStr">
        <is>
          <t>Cần quét Bio Fanpage</t>
        </is>
      </c>
      <c r="E201" s="53" t="inlineStr">
        <is>
          <t>12/10/2026 15:50:44</t>
        </is>
      </c>
      <c r="F201" s="53" t="inlineStr">
        <is>
          <t>14 giờ trước</t>
        </is>
      </c>
      <c r="G201" s="55" t="n">
        <v>0.58</v>
      </c>
      <c r="H201" s="56" t="n">
        <v>32</v>
      </c>
      <c r="I201" s="6" t="inlineStr">
        <is>
          <t>Dog Breeder / Trại nhân giống (28-30đ)</t>
        </is>
      </c>
      <c r="J201" s="56" t="n">
        <v>28</v>
      </c>
      <c r="K201" s="6" t="inlineStr">
        <is>
          <t>Australian Shepherd / Herding</t>
        </is>
      </c>
      <c r="L201" s="56" t="n">
        <v>5</v>
      </c>
      <c r="M201" s="56" t="n">
        <v>0</v>
      </c>
      <c r="N201" s="6" t="inlineStr">
        <is>
          <t>Amazon link not found</t>
        </is>
      </c>
      <c r="O201" s="56">
        <f>IF(N201="Selling pet toys + Artificial grass/Pet toilets (TARGET)",15,IF(N201="Selling artificial grass/pet toilets (TARGET)",10,IF(N201="Selling pet toys",7,IF(N201="There's an Amazon link, but no target sales.",3,0))))</f>
        <v/>
      </c>
      <c r="P201" s="63">
        <f>H201+J201+L201+M201+O201</f>
        <v/>
      </c>
      <c r="Q201" s="64">
        <f>IF(OR(H201=0,P201&lt;30),"Tier D (Đóng băng)",IF(P201&gt;=85,"Tier S (Kim Cương: 85-100đ)",IF(P201&gt;=70,"Tier A (Vàng: 70-84đ)",IF(P201&gt;=61,"Tier B+ / Cấp A (Hot Lead: 61-69đ)",IF(P201&gt;=50,"Tier B (Bạc: 50-60đ)","Tier C (Đồng: 30-49đ)")))))</f>
        <v/>
      </c>
      <c r="R201" s="6" t="inlineStr">
        <is>
          <t>Trọn gói Take-Home Starter Kit V2/V3 (Cỏ nhân tạo + Khay Potty + Đồ chơi cún con)</t>
        </is>
      </c>
      <c r="S201" s="6" t="inlineStr">
        <is>
          <t>HOT LEAD (Điểm ≥61): Liên hệ Telesale/Email chào gói Starter Kit &amp; Báo giá sỉ chiết khấu BOM</t>
        </is>
      </c>
    </row>
    <row r="202">
      <c r="A202" s="59" t="n">
        <v>369</v>
      </c>
      <c r="B202" s="15" t="inlineStr">
        <is>
          <t>Alfie's Dream For Greyhounds</t>
        </is>
      </c>
      <c r="C202" s="60" t="inlineStr">
        <is>
          <t>https://www.facebook.com/alfiedream</t>
        </is>
      </c>
      <c r="D202" s="9" t="inlineStr">
        <is>
          <t>Cần quét Bio Fanpage</t>
        </is>
      </c>
      <c r="E202" s="59" t="inlineStr">
        <is>
          <t>12/10/2026 15:24:41</t>
        </is>
      </c>
      <c r="F202" s="59" t="inlineStr">
        <is>
          <t>10 giờ trước</t>
        </is>
      </c>
      <c r="G202" s="61" t="n">
        <v>0.42</v>
      </c>
      <c r="H202" s="62" t="n">
        <v>32</v>
      </c>
      <c r="I202" s="9" t="inlineStr">
        <is>
          <t>Dog Breeder / Trại chó chuyên nghiệp (28-30đ)</t>
        </is>
      </c>
      <c r="J202" s="62" t="n">
        <v>28</v>
      </c>
      <c r="K202" s="9" t="inlineStr">
        <is>
          <t>Hound / Beagle / Basset</t>
        </is>
      </c>
      <c r="L202" s="62" t="n">
        <v>5</v>
      </c>
      <c r="M202" s="62" t="n">
        <v>0</v>
      </c>
      <c r="N202" s="9" t="inlineStr">
        <is>
          <t>Amazon link not found</t>
        </is>
      </c>
      <c r="O202" s="62">
        <f>IF(N202="Selling pet toys + Artificial grass/Pet toilets (TARGET)",15,IF(N202="Selling artificial grass/pet toilets (TARGET)",10,IF(N202="Selling pet toys",7,IF(N202="There's an Amazon link, but no target sales.",3,0))))</f>
        <v/>
      </c>
      <c r="P202" s="63">
        <f>H202+J202+L202+M202+O202</f>
        <v/>
      </c>
      <c r="Q202" s="64">
        <f>IF(OR(H202=0,P202&lt;30),"Tier D (Đóng băng)",IF(P202&gt;=85,"Tier S (Kim Cương: 85-100đ)",IF(P202&gt;=70,"Tier A (Vàng: 70-84đ)",IF(P202&gt;=61,"Tier B+ / Cấp A (Hot Lead: 61-69đ)",IF(P202&gt;=50,"Tier B (Bạc: 50-60đ)","Tier C (Đồng: 30-49đ)")))))</f>
        <v/>
      </c>
      <c r="R202" s="9" t="inlineStr">
        <is>
          <t>Trọn gói Take-Home Starter Kit V2/V3 (Cỏ nhân tạo + Khay Potty + Đồ chơi Teething/Snuggle)</t>
        </is>
      </c>
      <c r="S202" s="9" t="inlineStr">
        <is>
          <t>HOT LEAD (Điểm ≥61): Liên hệ Telesale/Email chào gói Starter Kit &amp; Báo giá sỉ chiết khấu BOM</t>
        </is>
      </c>
    </row>
    <row r="203">
      <c r="A203" s="53" t="n">
        <v>3128</v>
      </c>
      <c r="B203" s="12" t="inlineStr">
        <is>
          <t>The Happiest Hound</t>
        </is>
      </c>
      <c r="C203" s="54" t="inlineStr">
        <is>
          <t>https://www.facebook.com/TheHappiestHound</t>
        </is>
      </c>
      <c r="D203" s="6" t="inlineStr">
        <is>
          <t>Cần quét Bio Fanpage</t>
        </is>
      </c>
      <c r="E203" s="53" t="inlineStr">
        <is>
          <t>12/10/2026 13:57:38</t>
        </is>
      </c>
      <c r="F203" s="53" t="inlineStr">
        <is>
          <t>16 giờ trước</t>
        </is>
      </c>
      <c r="G203" s="55" t="n">
        <v>0.67</v>
      </c>
      <c r="H203" s="56" t="n">
        <v>32</v>
      </c>
      <c r="I203" s="6" t="inlineStr">
        <is>
          <t>Dog Breeder / Trại nhân giống (28-30đ)</t>
        </is>
      </c>
      <c r="J203" s="56" t="n">
        <v>28</v>
      </c>
      <c r="K203" s="6" t="inlineStr">
        <is>
          <t>Hound / Beagle / Basset</t>
        </is>
      </c>
      <c r="L203" s="56" t="n">
        <v>5</v>
      </c>
      <c r="M203" s="56" t="n">
        <v>0</v>
      </c>
      <c r="N203" s="6" t="inlineStr">
        <is>
          <t>Amazon link not found</t>
        </is>
      </c>
      <c r="O203" s="56">
        <f>IF(N203="Selling pet toys + Artificial grass/Pet toilets (TARGET)",15,IF(N203="Selling artificial grass/pet toilets (TARGET)",10,IF(N203="Selling pet toys",7,IF(N203="There's an Amazon link, but no target sales.",3,0))))</f>
        <v/>
      </c>
      <c r="P203" s="63">
        <f>H203+J203+L203+M203+O203</f>
        <v/>
      </c>
      <c r="Q203" s="64">
        <f>IF(OR(H203=0,P203&lt;30),"Tier D (Đóng băng)",IF(P203&gt;=85,"Tier S (Kim Cương: 85-100đ)",IF(P203&gt;=70,"Tier A (Vàng: 70-84đ)",IF(P203&gt;=61,"Tier B+ / Cấp A (Hot Lead: 61-69đ)",IF(P203&gt;=50,"Tier B (Bạc: 50-60đ)","Tier C (Đồng: 30-49đ)")))))</f>
        <v/>
      </c>
      <c r="R203" s="6" t="inlineStr">
        <is>
          <t>Trọn gói Take-Home Starter Kit V2/V3 (Cỏ nhân tạo + Khay Potty + Đồ chơi cún con)</t>
        </is>
      </c>
      <c r="S203" s="6" t="inlineStr">
        <is>
          <t>HOT LEAD (Điểm ≥61): Liên hệ Telesale/Email chào gói Starter Kit &amp; Báo giá sỉ chiết khấu BOM</t>
        </is>
      </c>
    </row>
    <row r="204">
      <c r="A204" s="59" t="n">
        <v>46</v>
      </c>
      <c r="B204" s="15" t="inlineStr">
        <is>
          <t>Ringside Hounds</t>
        </is>
      </c>
      <c r="C204" s="60" t="inlineStr">
        <is>
          <t>https://www.facebook.com/RingsideHounds</t>
        </is>
      </c>
      <c r="D204" s="9" t="inlineStr">
        <is>
          <t>Cần quét Bio Fanpage</t>
        </is>
      </c>
      <c r="E204" s="59" t="inlineStr">
        <is>
          <t>12/10/2026 07:49:40</t>
        </is>
      </c>
      <c r="F204" s="59" t="inlineStr">
        <is>
          <t>17 giờ trước</t>
        </is>
      </c>
      <c r="G204" s="61" t="n">
        <v>0.71</v>
      </c>
      <c r="H204" s="62" t="n">
        <v>32</v>
      </c>
      <c r="I204" s="9" t="inlineStr">
        <is>
          <t>Dog Breeder / Trại chó chuyên nghiệp (28-30đ)</t>
        </is>
      </c>
      <c r="J204" s="62" t="n">
        <v>28</v>
      </c>
      <c r="K204" s="9" t="inlineStr">
        <is>
          <t>Hound / Beagle / Basset</t>
        </is>
      </c>
      <c r="L204" s="62" t="n">
        <v>5</v>
      </c>
      <c r="M204" s="62" t="n">
        <v>0</v>
      </c>
      <c r="N204" s="9" t="inlineStr">
        <is>
          <t>Amazon link not found</t>
        </is>
      </c>
      <c r="O204" s="62">
        <f>IF(N204="Selling pet toys + Artificial grass/Pet toilets (TARGET)",15,IF(N204="Selling artificial grass/pet toilets (TARGET)",10,IF(N204="Selling pet toys",7,IF(N204="There's an Amazon link, but no target sales.",3,0))))</f>
        <v/>
      </c>
      <c r="P204" s="63">
        <f>H204+J204+L204+M204+O204</f>
        <v/>
      </c>
      <c r="Q204" s="64">
        <f>IF(OR(H204=0,P204&lt;30),"Tier D (Đóng băng)",IF(P204&gt;=85,"Tier S (Kim Cương: 85-100đ)",IF(P204&gt;=70,"Tier A (Vàng: 70-84đ)",IF(P204&gt;=61,"Tier B+ / Cấp A (Hot Lead: 61-69đ)",IF(P204&gt;=50,"Tier B (Bạc: 50-60đ)","Tier C (Đồng: 30-49đ)")))))</f>
        <v/>
      </c>
      <c r="R204" s="9" t="inlineStr">
        <is>
          <t>Trọn gói Take-Home Starter Kit V2/V3 (Cỏ nhân tạo + Khay Potty + Đồ chơi Teething/Snuggle)</t>
        </is>
      </c>
      <c r="S204" s="9" t="inlineStr">
        <is>
          <t>HOT LEAD (Điểm ≥61): Liên hệ Telesale/Email chào gói Starter Kit &amp; Báo giá sỉ chiết khấu BOM</t>
        </is>
      </c>
    </row>
    <row r="205">
      <c r="A205" s="53" t="n">
        <v>2050</v>
      </c>
      <c r="B205" s="12" t="inlineStr">
        <is>
          <t>Long's Mount Olympus Basset Hounds</t>
        </is>
      </c>
      <c r="C205" s="54" t="inlineStr">
        <is>
          <t>https://www.facebook.com/longsmtolympusbh</t>
        </is>
      </c>
      <c r="D205" s="6" t="inlineStr">
        <is>
          <t>Cần quét Bio Fanpage</t>
        </is>
      </c>
      <c r="E205" s="53" t="inlineStr">
        <is>
          <t>12/10/2026 06:41:03</t>
        </is>
      </c>
      <c r="F205" s="53" t="inlineStr">
        <is>
          <t>21 giờ trước</t>
        </is>
      </c>
      <c r="G205" s="55" t="n">
        <v>0.88</v>
      </c>
      <c r="H205" s="56" t="n">
        <v>32</v>
      </c>
      <c r="I205" s="6" t="inlineStr">
        <is>
          <t>Dog Breeder / Trại chó chuyên nghiệp (28-30đ)</t>
        </is>
      </c>
      <c r="J205" s="56" t="n">
        <v>28</v>
      </c>
      <c r="K205" s="6" t="inlineStr">
        <is>
          <t>Hound / Beagle / Basset</t>
        </is>
      </c>
      <c r="L205" s="56" t="n">
        <v>5</v>
      </c>
      <c r="M205" s="56" t="n">
        <v>0</v>
      </c>
      <c r="N205" s="6" t="inlineStr">
        <is>
          <t>Amazon link not found</t>
        </is>
      </c>
      <c r="O205" s="56">
        <f>IF(N205="Selling pet toys + Artificial grass/Pet toilets (TARGET)",15,IF(N205="Selling artificial grass/pet toilets (TARGET)",10,IF(N205="Selling pet toys",7,IF(N205="There's an Amazon link, but no target sales.",3,0))))</f>
        <v/>
      </c>
      <c r="P205" s="63">
        <f>H205+J205+L205+M205+O205</f>
        <v/>
      </c>
      <c r="Q205" s="64">
        <f>IF(OR(H205=0,P205&lt;30),"Tier D (Đóng băng)",IF(P205&gt;=85,"Tier S (Kim Cương: 85-100đ)",IF(P205&gt;=70,"Tier A (Vàng: 70-84đ)",IF(P205&gt;=61,"Tier B+ / Cấp A (Hot Lead: 61-69đ)",IF(P205&gt;=50,"Tier B (Bạc: 50-60đ)","Tier C (Đồng: 30-49đ)")))))</f>
        <v/>
      </c>
      <c r="R205" s="6" t="inlineStr">
        <is>
          <t>Trọn gói Take-Home Starter Kit V2/V3 (Cỏ nhân tạo + Khay Potty + Đồ chơi Teething/Snuggle)</t>
        </is>
      </c>
      <c r="S205" s="6" t="inlineStr">
        <is>
          <t>HOT LEAD (Điểm ≥61): Liên hệ Telesale/Email chào gói Starter Kit &amp; Báo giá sỉ chiết khấu BOM</t>
        </is>
      </c>
    </row>
    <row r="206">
      <c r="A206" s="59" t="n">
        <v>2060</v>
      </c>
      <c r="B206" s="15" t="inlineStr">
        <is>
          <t>Love cute puppy</t>
        </is>
      </c>
      <c r="C206" s="60" t="inlineStr">
        <is>
          <t>https://www.facebook.com/profile.php?id=61583964194952</t>
        </is>
      </c>
      <c r="D206" s="9" t="inlineStr">
        <is>
          <t>Cần quét Bio Fanpage</t>
        </is>
      </c>
      <c r="E206" s="59" t="inlineStr">
        <is>
          <t>12/10/2026 06:33:24</t>
        </is>
      </c>
      <c r="F206" s="59" t="inlineStr">
        <is>
          <t>22 giờ trước</t>
        </is>
      </c>
      <c r="G206" s="61" t="n">
        <v>0.92</v>
      </c>
      <c r="H206" s="62" t="n">
        <v>32</v>
      </c>
      <c r="I206" s="9" t="inlineStr">
        <is>
          <t>Dog Breeder / Trại chó chuyên nghiệp (28-30đ)</t>
        </is>
      </c>
      <c r="J206" s="62" t="n">
        <v>28</v>
      </c>
      <c r="K206" s="9" t="inlineStr">
        <is>
          <t>Chưa rõ giống (Cần quét Bio)</t>
        </is>
      </c>
      <c r="L206" s="62" t="n">
        <v>0</v>
      </c>
      <c r="M206" s="62" t="n">
        <v>5</v>
      </c>
      <c r="N206" s="9" t="inlineStr">
        <is>
          <t>Amazon link not found</t>
        </is>
      </c>
      <c r="O206" s="62">
        <f>IF(N206="Selling pet toys + Artificial grass/Pet toilets (TARGET)",15,IF(N206="Selling artificial grass/pet toilets (TARGET)",10,IF(N206="Selling pet toys",7,IF(N206="There's an Amazon link, but no target sales.",3,0))))</f>
        <v/>
      </c>
      <c r="P206" s="63">
        <f>H206+J206+L206+M206+O206</f>
        <v/>
      </c>
      <c r="Q206" s="64">
        <f>IF(OR(H206=0,P206&lt;30),"Tier D (Đóng băng)",IF(P206&gt;=85,"Tier S (Kim Cương: 85-100đ)",IF(P206&gt;=70,"Tier A (Vàng: 70-84đ)",IF(P206&gt;=61,"Tier B+ / Cấp A (Hot Lead: 61-69đ)",IF(P206&gt;=50,"Tier B (Bạc: 50-60đ)","Tier C (Đồng: 30-49đ)")))))</f>
        <v/>
      </c>
      <c r="R206" s="9" t="inlineStr">
        <is>
          <t>Trọn gói Take-Home Starter Kit V2/V3 (Cỏ nhân tạo + Khay Potty + Đồ chơi Teething/Snuggle)</t>
        </is>
      </c>
      <c r="S206" s="9" t="inlineStr">
        <is>
          <t>HOT LEAD (Điểm ≥61): Liên hệ Telesale/Email chào gói Starter Kit &amp; Báo giá sỉ chiết khấu BOM</t>
        </is>
      </c>
    </row>
    <row r="207">
      <c r="A207" s="53" t="n">
        <v>2098</v>
      </c>
      <c r="B207" s="12" t="inlineStr">
        <is>
          <t>Madsen"s Traveling Hounds</t>
        </is>
      </c>
      <c r="C207" s="54" t="inlineStr">
        <is>
          <t>https://www.facebook.com/profile.php?id=100063602379429</t>
        </is>
      </c>
      <c r="D207" s="6" t="inlineStr">
        <is>
          <t>Cần quét Bio Fanpage</t>
        </is>
      </c>
      <c r="E207" s="53" t="inlineStr">
        <is>
          <t>12/10/2026 05:23:18</t>
        </is>
      </c>
      <c r="F207" s="53" t="inlineStr">
        <is>
          <t>23 giờ trước</t>
        </is>
      </c>
      <c r="G207" s="55" t="n">
        <v>0.96</v>
      </c>
      <c r="H207" s="56" t="n">
        <v>32</v>
      </c>
      <c r="I207" s="6" t="inlineStr">
        <is>
          <t>Dog Breeder / Trại chó chuyên nghiệp (28-30đ)</t>
        </is>
      </c>
      <c r="J207" s="56" t="n">
        <v>28</v>
      </c>
      <c r="K207" s="6" t="inlineStr">
        <is>
          <t>Hound / Beagle / Basset</t>
        </is>
      </c>
      <c r="L207" s="56" t="n">
        <v>5</v>
      </c>
      <c r="M207" s="56" t="n">
        <v>0</v>
      </c>
      <c r="N207" s="6" t="inlineStr">
        <is>
          <t>Amazon link not found</t>
        </is>
      </c>
      <c r="O207" s="56">
        <f>IF(N207="Selling pet toys + Artificial grass/Pet toilets (TARGET)",15,IF(N207="Selling artificial grass/pet toilets (TARGET)",10,IF(N207="Selling pet toys",7,IF(N207="There's an Amazon link, but no target sales.",3,0))))</f>
        <v/>
      </c>
      <c r="P207" s="63">
        <f>H207+J207+L207+M207+O207</f>
        <v/>
      </c>
      <c r="Q207" s="64">
        <f>IF(OR(H207=0,P207&lt;30),"Tier D (Đóng băng)",IF(P207&gt;=85,"Tier S (Kim Cương: 85-100đ)",IF(P207&gt;=70,"Tier A (Vàng: 70-84đ)",IF(P207&gt;=61,"Tier B+ / Cấp A (Hot Lead: 61-69đ)",IF(P207&gt;=50,"Tier B (Bạc: 50-60đ)","Tier C (Đồng: 30-49đ)")))))</f>
        <v/>
      </c>
      <c r="R207" s="6" t="inlineStr">
        <is>
          <t>Trọn gói Take-Home Starter Kit V2/V3 (Cỏ nhân tạo + Khay Potty + Đồ chơi Teething/Snuggle)</t>
        </is>
      </c>
      <c r="S207" s="6" t="inlineStr">
        <is>
          <t>HOT LEAD (Điểm ≥61): Liên hệ Telesale/Email chào gói Starter Kit &amp; Báo giá sỉ chiết khấu BOM</t>
        </is>
      </c>
    </row>
    <row r="208">
      <c r="A208" s="59" t="n">
        <v>2972</v>
      </c>
      <c r="B208" s="15" t="inlineStr">
        <is>
          <t>Spoiled Rotten Bulldogs - English bulldog breeder</t>
        </is>
      </c>
      <c r="C208" s="60" t="inlineStr">
        <is>
          <t>https://www.facebook.com/SpoiledRottenBullies</t>
        </is>
      </c>
      <c r="D208" s="9" t="inlineStr">
        <is>
          <t>Cần quét Bio Fanpage</t>
        </is>
      </c>
      <c r="E208" s="59" t="inlineStr">
        <is>
          <t>09/10/2026 00:40:04</t>
        </is>
      </c>
      <c r="F208" s="59" t="inlineStr">
        <is>
          <t>4 ngày trước</t>
        </is>
      </c>
      <c r="G208" s="61" t="n">
        <v>4</v>
      </c>
      <c r="H208" s="62" t="n">
        <v>20</v>
      </c>
      <c r="I208" s="9" t="inlineStr">
        <is>
          <t>Dog Breeder / Trại chó chuyên nghiệp (28-30đ)</t>
        </is>
      </c>
      <c r="J208" s="62" t="n">
        <v>30</v>
      </c>
      <c r="K208" s="9" t="inlineStr">
        <is>
          <t>English Bulldog</t>
        </is>
      </c>
      <c r="L208" s="62" t="n">
        <v>10</v>
      </c>
      <c r="M208" s="62" t="n">
        <v>5</v>
      </c>
      <c r="N208" s="9" t="inlineStr">
        <is>
          <t>Amazon link not found</t>
        </is>
      </c>
      <c r="O208" s="62">
        <f>IF(N208="Selling pet toys + Artificial grass/Pet toilets (TARGET)",15,IF(N208="Selling artificial grass/pet toilets (TARGET)",10,IF(N208="Selling pet toys",7,IF(N208="There's an Amazon link, but no target sales.",3,0))))</f>
        <v/>
      </c>
      <c r="P208" s="63">
        <f>H208+J208+L208+M208+O208</f>
        <v/>
      </c>
      <c r="Q208" s="64">
        <f>IF(OR(H208=0,P208&lt;30),"Tier D (Đóng băng)",IF(P208&gt;=85,"Tier S (Kim Cương: 85-100đ)",IF(P208&gt;=70,"Tier A (Vàng: 70-84đ)",IF(P208&gt;=61,"Tier B+ / Cấp A (Hot Lead: 61-69đ)",IF(P208&gt;=50,"Tier B (Bạc: 50-60đ)","Tier C (Đồng: 30-49đ)")))))</f>
        <v/>
      </c>
      <c r="R208" s="9" t="inlineStr">
        <is>
          <t>Trọn gói Take-Home Starter Kit V2/V3 (Cỏ nhân tạo + Khay Potty + Đồ chơi Teething/Snuggle)</t>
        </is>
      </c>
      <c r="S208" s="9" t="inlineStr">
        <is>
          <t>HOT LEAD (Điểm ≥61): Liên hệ Telesale/Email chào gói Starter Kit &amp; Báo giá sỉ chiết khấu BOM</t>
        </is>
      </c>
    </row>
    <row r="209">
      <c r="A209" s="53" t="n">
        <v>2250</v>
      </c>
      <c r="B209" s="12" t="inlineStr">
        <is>
          <t>Nabil rottweiler kennel</t>
        </is>
      </c>
      <c r="C209" s="54" t="inlineStr">
        <is>
          <t>https://www.facebook.com/profile.php?id=100063754752416</t>
        </is>
      </c>
      <c r="D209" s="6" t="inlineStr">
        <is>
          <t>Cần quét Bio Fanpage</t>
        </is>
      </c>
      <c r="E209" s="53" t="inlineStr">
        <is>
          <t>09/10/2026 00:30:55</t>
        </is>
      </c>
      <c r="F209" s="53" t="inlineStr">
        <is>
          <t>4 ngày trước</t>
        </is>
      </c>
      <c r="G209" s="55" t="n">
        <v>4</v>
      </c>
      <c r="H209" s="56" t="n">
        <v>20</v>
      </c>
      <c r="I209" s="6" t="inlineStr">
        <is>
          <t>Dog Breeder / Trại chó chuyên nghiệp (28-30đ)</t>
        </is>
      </c>
      <c r="J209" s="56" t="n">
        <v>30</v>
      </c>
      <c r="K209" s="6" t="inlineStr">
        <is>
          <t>Rottweiler</t>
        </is>
      </c>
      <c r="L209" s="56" t="n">
        <v>10</v>
      </c>
      <c r="M209" s="56" t="n">
        <v>5</v>
      </c>
      <c r="N209" s="6" t="inlineStr">
        <is>
          <t>Amazon link not found</t>
        </is>
      </c>
      <c r="O209" s="56">
        <f>IF(N209="Selling pet toys + Artificial grass/Pet toilets (TARGET)",15,IF(N209="Selling artificial grass/pet toilets (TARGET)",10,IF(N209="Selling pet toys",7,IF(N209="There's an Amazon link, but no target sales.",3,0))))</f>
        <v/>
      </c>
      <c r="P209" s="63">
        <f>H209+J209+L209+M209+O209</f>
        <v/>
      </c>
      <c r="Q209" s="64">
        <f>IF(OR(H209=0,P209&lt;30),"Tier D (Đóng băng)",IF(P209&gt;=85,"Tier S (Kim Cương: 85-100đ)",IF(P209&gt;=70,"Tier A (Vàng: 70-84đ)",IF(P209&gt;=61,"Tier B+ / Cấp A (Hot Lead: 61-69đ)",IF(P209&gt;=50,"Tier B (Bạc: 50-60đ)","Tier C (Đồng: 30-49đ)")))))</f>
        <v/>
      </c>
      <c r="R209" s="6" t="inlineStr">
        <is>
          <t>Trọn gói Take-Home Starter Kit V2/V3 (Cỏ nhân tạo + Khay Potty + Đồ chơi Teething/Snuggle)</t>
        </is>
      </c>
      <c r="S209" s="6" t="inlineStr">
        <is>
          <t>HOT LEAD (Điểm ≥61): Liên hệ Telesale/Email chào gói Starter Kit &amp; Báo giá sỉ chiết khấu BOM</t>
        </is>
      </c>
    </row>
    <row r="210">
      <c r="A210" s="59" t="n">
        <v>2147</v>
      </c>
      <c r="B210" s="15" t="inlineStr">
        <is>
          <t>McLeod Bulldog Kennels</t>
        </is>
      </c>
      <c r="C210" s="60" t="inlineStr">
        <is>
          <t>https://www.facebook.com/McLeodKennels</t>
        </is>
      </c>
      <c r="D210" s="9" t="inlineStr">
        <is>
          <t>Cần quét Bio Fanpage</t>
        </is>
      </c>
      <c r="E210" s="59" t="inlineStr">
        <is>
          <t>05/10/2026 13:48:10</t>
        </is>
      </c>
      <c r="F210" s="59" t="inlineStr">
        <is>
          <t>1 tuần trước</t>
        </is>
      </c>
      <c r="G210" s="61" t="n">
        <v>7</v>
      </c>
      <c r="H210" s="62" t="n">
        <v>20</v>
      </c>
      <c r="I210" s="9" t="inlineStr">
        <is>
          <t>Dog Breeder / Trại chó chuyên nghiệp (28-30đ)</t>
        </is>
      </c>
      <c r="J210" s="62" t="n">
        <v>30</v>
      </c>
      <c r="K210" s="9" t="inlineStr">
        <is>
          <t>English Bulldog</t>
        </is>
      </c>
      <c r="L210" s="62" t="n">
        <v>10</v>
      </c>
      <c r="M210" s="62" t="n">
        <v>5</v>
      </c>
      <c r="N210" s="9" t="inlineStr">
        <is>
          <t>Amazon link not found</t>
        </is>
      </c>
      <c r="O210" s="62">
        <f>IF(N210="Selling pet toys + Artificial grass/Pet toilets (TARGET)",15,IF(N210="Selling artificial grass/pet toilets (TARGET)",10,IF(N210="Selling pet toys",7,IF(N210="There's an Amazon link, but no target sales.",3,0))))</f>
        <v/>
      </c>
      <c r="P210" s="63">
        <f>H210+J210+L210+M210+O210</f>
        <v/>
      </c>
      <c r="Q210" s="64">
        <f>IF(OR(H210=0,P210&lt;30),"Tier D (Đóng băng)",IF(P210&gt;=85,"Tier S (Kim Cương: 85-100đ)",IF(P210&gt;=70,"Tier A (Vàng: 70-84đ)",IF(P210&gt;=61,"Tier B+ / Cấp A (Hot Lead: 61-69đ)",IF(P210&gt;=50,"Tier B (Bạc: 50-60đ)","Tier C (Đồng: 30-49đ)")))))</f>
        <v/>
      </c>
      <c r="R210" s="9" t="inlineStr">
        <is>
          <t>Trọn gói Take-Home Starter Kit V2/V3 (Cỏ nhân tạo + Khay Potty + Đồ chơi Teething/Snuggle)</t>
        </is>
      </c>
      <c r="S210" s="9" t="inlineStr">
        <is>
          <t>HOT LEAD (Điểm ≥61): Liên hệ Telesale/Email chào gói Starter Kit &amp; Báo giá sỉ chiết khấu BOM</t>
        </is>
      </c>
    </row>
    <row r="211">
      <c r="A211" s="53" t="n">
        <v>340</v>
      </c>
      <c r="B211" s="12" t="inlineStr">
        <is>
          <t>Addybull Bulldogs  (Addybull Kennel)</t>
        </is>
      </c>
      <c r="C211" s="54" t="inlineStr">
        <is>
          <t>https://www.facebook.com/AddybullBulldogs</t>
        </is>
      </c>
      <c r="D211" s="6" t="inlineStr">
        <is>
          <t>Cần quét Bio Fanpage</t>
        </is>
      </c>
      <c r="E211" s="53" t="inlineStr">
        <is>
          <t>04/10/2026 13:43:08</t>
        </is>
      </c>
      <c r="F211" s="53" t="inlineStr">
        <is>
          <t>1 tuần trước</t>
        </is>
      </c>
      <c r="G211" s="55" t="n">
        <v>7</v>
      </c>
      <c r="H211" s="56" t="n">
        <v>20</v>
      </c>
      <c r="I211" s="6" t="inlineStr">
        <is>
          <t>Dog Breeder / Trại chó chuyên nghiệp (28-30đ)</t>
        </is>
      </c>
      <c r="J211" s="56" t="n">
        <v>30</v>
      </c>
      <c r="K211" s="6" t="inlineStr">
        <is>
          <t>English Bulldog</t>
        </is>
      </c>
      <c r="L211" s="56" t="n">
        <v>10</v>
      </c>
      <c r="M211" s="56" t="n">
        <v>5</v>
      </c>
      <c r="N211" s="6" t="inlineStr">
        <is>
          <t>Amazon link not found</t>
        </is>
      </c>
      <c r="O211" s="56">
        <f>IF(N211="Selling pet toys + Artificial grass/Pet toilets (TARGET)",15,IF(N211="Selling artificial grass/pet toilets (TARGET)",10,IF(N211="Selling pet toys",7,IF(N211="There's an Amazon link, but no target sales.",3,0))))</f>
        <v/>
      </c>
      <c r="P211" s="63">
        <f>H211+J211+L211+M211+O211</f>
        <v/>
      </c>
      <c r="Q211" s="64">
        <f>IF(OR(H211=0,P211&lt;30),"Tier D (Đóng băng)",IF(P211&gt;=85,"Tier S (Kim Cương: 85-100đ)",IF(P211&gt;=70,"Tier A (Vàng: 70-84đ)",IF(P211&gt;=61,"Tier B+ / Cấp A (Hot Lead: 61-69đ)",IF(P211&gt;=50,"Tier B (Bạc: 50-60đ)","Tier C (Đồng: 30-49đ)")))))</f>
        <v/>
      </c>
      <c r="R211" s="6" t="inlineStr">
        <is>
          <t>Trọn gói Take-Home Starter Kit V2/V3 (Cỏ nhân tạo + Khay Potty + Đồ chơi Teething/Snuggle)</t>
        </is>
      </c>
      <c r="S211" s="6" t="inlineStr">
        <is>
          <t>HOT LEAD (Điểm ≥61): Liên hệ Telesale/Email chào gói Starter Kit &amp; Báo giá sỉ chiết khấu BOM</t>
        </is>
      </c>
    </row>
    <row r="212">
      <c r="A212" s="59" t="n">
        <v>2619</v>
      </c>
      <c r="B212" s="15" t="inlineStr">
        <is>
          <t>Premier Dog Sports &amp; Event Center, LLC</t>
        </is>
      </c>
      <c r="C212" s="60" t="inlineStr">
        <is>
          <t>https://www.facebook.com/profile.php?id=100057379632480</t>
        </is>
      </c>
      <c r="D212" s="9" t="inlineStr">
        <is>
          <t>Cần quét Bio Fanpage</t>
        </is>
      </c>
      <c r="E212" s="59" t="inlineStr">
        <is>
          <t>12/10/2026 20:32:55</t>
        </is>
      </c>
      <c r="F212" s="59" t="inlineStr">
        <is>
          <t>9 giờ trước</t>
        </is>
      </c>
      <c r="G212" s="61" t="n">
        <v>0.38</v>
      </c>
      <c r="H212" s="62" t="n">
        <v>32</v>
      </c>
      <c r="I212" s="9" t="inlineStr">
        <is>
          <t>Pet Boarding / Huấn luyện K9 &amp; Dịch vụ (20-22đ)</t>
        </is>
      </c>
      <c r="J212" s="62" t="n">
        <v>22</v>
      </c>
      <c r="K212" s="9" t="inlineStr">
        <is>
          <t>Chưa rõ giống (Cần quét Bio)</t>
        </is>
      </c>
      <c r="L212" s="62" t="n">
        <v>0</v>
      </c>
      <c r="M212" s="62" t="n">
        <v>10</v>
      </c>
      <c r="N212" s="9" t="inlineStr">
        <is>
          <t>Amazon link not found</t>
        </is>
      </c>
      <c r="O212" s="62">
        <f>IF(N212="Selling pet toys + Artificial grass/Pet toilets (TARGET)",15,IF(N212="Selling artificial grass/pet toilets (TARGET)",10,IF(N212="Selling pet toys",7,IF(N212="There's an Amazon link, but no target sales.",3,0))))</f>
        <v/>
      </c>
      <c r="P212" s="63">
        <f>H212+J212+L212+M212+O212</f>
        <v/>
      </c>
      <c r="Q212" s="64">
        <f>IF(OR(H212=0,P212&lt;30),"Tier D (Đóng băng)",IF(P212&gt;=85,"Tier S (Kim Cương: 85-100đ)",IF(P212&gt;=70,"Tier A (Vàng: 70-84đ)",IF(P212&gt;=61,"Tier B+ / Cấp A (Hot Lead: 61-69đ)",IF(P212&gt;=50,"Tier B (Bạc: 50-60đ)","Tier C (Đồng: 30-49đ)")))))</f>
        <v/>
      </c>
      <c r="R212" s="9" t="inlineStr">
        <is>
          <t>Cỏ nhân tạo sân chơi/huấn luyện (Dog Turf) + Đồ chơi nhai chịu lực (KONG/Chew Toys)</t>
        </is>
      </c>
      <c r="S212" s="9" t="inlineStr">
        <is>
          <t>HOT LEAD (Điểm ≥61): Liên hệ Telesale/Email chào gói Starter Kit &amp; Báo giá sỉ chiết khấu BOM</t>
        </is>
      </c>
    </row>
    <row r="213">
      <c r="A213" s="53" t="n">
        <v>1566</v>
      </c>
      <c r="B213" s="12" t="inlineStr">
        <is>
          <t>Greens Four Season Lawn Care LLC</t>
        </is>
      </c>
      <c r="C213" s="54" t="inlineStr">
        <is>
          <t>https://www.facebook.com/profile.php?id=100063805402187</t>
        </is>
      </c>
      <c r="D213" s="6" t="inlineStr">
        <is>
          <t>Cần quét Bio Fanpage</t>
        </is>
      </c>
      <c r="E213" s="53" t="inlineStr">
        <is>
          <t>12/10/2026 17:20:47</t>
        </is>
      </c>
      <c r="F213" s="53" t="inlineStr">
        <is>
          <t>10 giờ trước</t>
        </is>
      </c>
      <c r="G213" s="55" t="n">
        <v>0.42</v>
      </c>
      <c r="H213" s="56" t="n">
        <v>32</v>
      </c>
      <c r="I213" s="6" t="inlineStr">
        <is>
          <t>Pet Boarding / Huấn luyện K9 &amp; Dịch vụ (20-22đ)</t>
        </is>
      </c>
      <c r="J213" s="56" t="n">
        <v>22</v>
      </c>
      <c r="K213" s="6" t="inlineStr">
        <is>
          <t>Chưa rõ giống (Cần quét Bio)</t>
        </is>
      </c>
      <c r="L213" s="56" t="n">
        <v>0</v>
      </c>
      <c r="M213" s="56" t="n">
        <v>10</v>
      </c>
      <c r="N213" s="6" t="inlineStr">
        <is>
          <t>Amazon link not found</t>
        </is>
      </c>
      <c r="O213" s="56">
        <f>IF(N213="Selling pet toys + Artificial grass/Pet toilets (TARGET)",15,IF(N213="Selling artificial grass/pet toilets (TARGET)",10,IF(N213="Selling pet toys",7,IF(N213="There's an Amazon link, but no target sales.",3,0))))</f>
        <v/>
      </c>
      <c r="P213" s="63">
        <f>H213+J213+L213+M213+O213</f>
        <v/>
      </c>
      <c r="Q213" s="64">
        <f>IF(OR(H213=0,P213&lt;30),"Tier D (Đóng băng)",IF(P213&gt;=85,"Tier S (Kim Cương: 85-100đ)",IF(P213&gt;=70,"Tier A (Vàng: 70-84đ)",IF(P213&gt;=61,"Tier B+ / Cấp A (Hot Lead: 61-69đ)",IF(P213&gt;=50,"Tier B (Bạc: 50-60đ)","Tier C (Đồng: 30-49đ)")))))</f>
        <v/>
      </c>
      <c r="R213" s="6" t="inlineStr">
        <is>
          <t>Cỏ nhân tạo sân chơi/huấn luyện (Dog Turf) + Đồ chơi nhai chịu lực (KONG/Chew Toys)</t>
        </is>
      </c>
      <c r="S213" s="6" t="inlineStr">
        <is>
          <t>HOT LEAD (Điểm ≥61): Liên hệ Telesale/Email chào gói Starter Kit &amp; Báo giá sỉ chiết khấu BOM</t>
        </is>
      </c>
    </row>
    <row r="214">
      <c r="A214" s="59" t="n">
        <v>4050</v>
      </c>
      <c r="B214" s="15" t="inlineStr">
        <is>
          <t>Guide Dogs of America - Tender Loving Canines</t>
        </is>
      </c>
      <c r="C214" s="60" t="inlineStr">
        <is>
          <t>https://www.facebook.com/GuideDogsofAmerica</t>
        </is>
      </c>
      <c r="D214" s="9" t="inlineStr">
        <is>
          <t>Cần quét Bio Fanpage</t>
        </is>
      </c>
      <c r="E214" s="59" t="inlineStr">
        <is>
          <t>13/10/2026 08:00:21</t>
        </is>
      </c>
      <c r="F214" s="59" t="inlineStr">
        <is>
          <t>13 phút trước</t>
        </is>
      </c>
      <c r="G214" s="61" t="n">
        <v>0.01</v>
      </c>
      <c r="H214" s="62" t="n">
        <v>35</v>
      </c>
      <c r="I214" s="9" t="inlineStr">
        <is>
          <t>Dog Breeder / Trại chó chuyên nghiệp (28-30đ)</t>
        </is>
      </c>
      <c r="J214" s="62" t="n">
        <v>28</v>
      </c>
      <c r="K214" s="9" t="inlineStr">
        <is>
          <t>Chưa rõ giống (Cần quét Bio)</t>
        </is>
      </c>
      <c r="L214" s="62" t="n">
        <v>0</v>
      </c>
      <c r="M214" s="62" t="n">
        <v>0</v>
      </c>
      <c r="N214" s="9" t="inlineStr">
        <is>
          <t>Amazon link not found</t>
        </is>
      </c>
      <c r="O214" s="62">
        <f>IF(N214="Selling pet toys + Artificial grass/Pet toilets (TARGET)",15,IF(N214="Selling artificial grass/pet toilets (TARGET)",10,IF(N214="Selling pet toys",7,IF(N214="There's an Amazon link, but no target sales.",3,0))))</f>
        <v/>
      </c>
      <c r="P214" s="63">
        <f>H214+J214+L214+M214+O214</f>
        <v/>
      </c>
      <c r="Q214" s="64">
        <f>IF(OR(H214=0,P214&lt;30),"Tier D (Đóng băng)",IF(P214&gt;=85,"Tier S (Kim Cương: 85-100đ)",IF(P214&gt;=70,"Tier A (Vàng: 70-84đ)",IF(P214&gt;=61,"Tier B+ / Cấp A (Hot Lead: 61-69đ)",IF(P214&gt;=50,"Tier B (Bạc: 50-60đ)","Tier C (Đồng: 30-49đ)")))))</f>
        <v/>
      </c>
      <c r="R214" s="9" t="inlineStr">
        <is>
          <t>Trọn gói Take-Home Starter Kit V2/V3 (Cỏ nhân tạo + Khay Potty + Đồ chơi Teething/Snuggle)</t>
        </is>
      </c>
      <c r="S214" s="9" t="inlineStr">
        <is>
          <t>HOT LEAD (Điểm ≥61): Liên hệ Telesale/Email chào gói Starter Kit &amp; Báo giá sỉ chiết khấu BOM</t>
        </is>
      </c>
    </row>
    <row r="215">
      <c r="A215" s="53" t="n">
        <v>2866</v>
      </c>
      <c r="B215" s="12" t="inlineStr">
        <is>
          <t>Service Dogs of Virginia</t>
        </is>
      </c>
      <c r="C215" s="54" t="inlineStr">
        <is>
          <t>https://www.facebook.com/ServiceDogsofVirginia</t>
        </is>
      </c>
      <c r="D215" s="6" t="inlineStr">
        <is>
          <t>Cần quét Bio Fanpage</t>
        </is>
      </c>
      <c r="E215" s="53" t="inlineStr">
        <is>
          <t>13/10/2026 06:02:22</t>
        </is>
      </c>
      <c r="F215" s="53" t="inlineStr">
        <is>
          <t>2 phút trước</t>
        </is>
      </c>
      <c r="G215" s="55" t="n">
        <v>0</v>
      </c>
      <c r="H215" s="56" t="n">
        <v>35</v>
      </c>
      <c r="I215" s="6" t="inlineStr">
        <is>
          <t>Dog Breeder / Trại chó chuyên nghiệp (28-30đ)</t>
        </is>
      </c>
      <c r="J215" s="56" t="n">
        <v>28</v>
      </c>
      <c r="K215" s="6" t="inlineStr">
        <is>
          <t>Chưa rõ giống (Cần quét Bio)</t>
        </is>
      </c>
      <c r="L215" s="56" t="n">
        <v>0</v>
      </c>
      <c r="M215" s="56" t="n">
        <v>0</v>
      </c>
      <c r="N215" s="6" t="inlineStr">
        <is>
          <t>Amazon link not found</t>
        </is>
      </c>
      <c r="O215" s="56">
        <f>IF(N215="Selling pet toys + Artificial grass/Pet toilets (TARGET)",15,IF(N215="Selling artificial grass/pet toilets (TARGET)",10,IF(N215="Selling pet toys",7,IF(N215="There's an Amazon link, but no target sales.",3,0))))</f>
        <v/>
      </c>
      <c r="P215" s="63">
        <f>H215+J215+L215+M215+O215</f>
        <v/>
      </c>
      <c r="Q215" s="64">
        <f>IF(OR(H215=0,P215&lt;30),"Tier D (Đóng băng)",IF(P215&gt;=85,"Tier S (Kim Cương: 85-100đ)",IF(P215&gt;=70,"Tier A (Vàng: 70-84đ)",IF(P215&gt;=61,"Tier B+ / Cấp A (Hot Lead: 61-69đ)",IF(P215&gt;=50,"Tier B (Bạc: 50-60đ)","Tier C (Đồng: 30-49đ)")))))</f>
        <v/>
      </c>
      <c r="R215" s="6" t="inlineStr">
        <is>
          <t>Trọn gói Take-Home Starter Kit V2/V3 (Cỏ nhân tạo + Khay Potty + Đồ chơi Teething/Snuggle)</t>
        </is>
      </c>
      <c r="S215" s="6" t="inlineStr">
        <is>
          <t>HOT LEAD (Điểm ≥61): Liên hệ Telesale/Email chào gói Starter Kit &amp; Báo giá sỉ chiết khấu BOM</t>
        </is>
      </c>
    </row>
    <row r="216">
      <c r="A216" s="59" t="n">
        <v>3402</v>
      </c>
      <c r="B216" s="15" t="inlineStr">
        <is>
          <t>Whispering Willow Kennels LLC</t>
        </is>
      </c>
      <c r="C216" s="60" t="inlineStr">
        <is>
          <t>https://www.facebook.com/whisperingwillowkennels</t>
        </is>
      </c>
      <c r="D216" s="9" t="inlineStr">
        <is>
          <t>Cần quét Bio Fanpage</t>
        </is>
      </c>
      <c r="E216" s="59" t="inlineStr">
        <is>
          <t>12/10/2026 05:55:24</t>
        </is>
      </c>
      <c r="F216" s="59" t="inlineStr">
        <is>
          <t>1 ngày trước</t>
        </is>
      </c>
      <c r="G216" s="61" t="n">
        <v>1</v>
      </c>
      <c r="H216" s="62" t="n">
        <v>28</v>
      </c>
      <c r="I216" s="9" t="inlineStr">
        <is>
          <t>Dog Breeder / Trại chó chuyên nghiệp (28-30đ)</t>
        </is>
      </c>
      <c r="J216" s="62" t="n">
        <v>30</v>
      </c>
      <c r="K216" s="9" t="inlineStr">
        <is>
          <t>Chưa rõ giống (Cần quét Bio)</t>
        </is>
      </c>
      <c r="L216" s="62" t="n">
        <v>0</v>
      </c>
      <c r="M216" s="62" t="n">
        <v>5</v>
      </c>
      <c r="N216" s="9" t="inlineStr">
        <is>
          <t>Amazon link not found</t>
        </is>
      </c>
      <c r="O216" s="62">
        <f>IF(N216="Selling pet toys + Artificial grass/Pet toilets (TARGET)",15,IF(N216="Selling artificial grass/pet toilets (TARGET)",10,IF(N216="Selling pet toys",7,IF(N216="There's an Amazon link, but no target sales.",3,0))))</f>
        <v/>
      </c>
      <c r="P216" s="63">
        <f>H216+J216+L216+M216+O216</f>
        <v/>
      </c>
      <c r="Q216" s="64">
        <f>IF(OR(H216=0,P216&lt;30),"Tier D (Đóng băng)",IF(P216&gt;=85,"Tier S (Kim Cương: 85-100đ)",IF(P216&gt;=70,"Tier A (Vàng: 70-84đ)",IF(P216&gt;=61,"Tier B+ / Cấp A (Hot Lead: 61-69đ)",IF(P216&gt;=50,"Tier B (Bạc: 50-60đ)","Tier C (Đồng: 30-49đ)")))))</f>
        <v/>
      </c>
      <c r="R216" s="9" t="inlineStr">
        <is>
          <t>Trọn gói Take-Home Starter Kit V2/V3 (Cỏ nhân tạo + Khay Potty + Đồ chơi Teething/Snuggle)</t>
        </is>
      </c>
      <c r="S216" s="9" t="inlineStr">
        <is>
          <t>HOT LEAD (Điểm ≥61): Liên hệ Telesale/Email chào gói Starter Kit &amp; Báo giá sỉ chiết khấu BOM</t>
        </is>
      </c>
    </row>
    <row r="217">
      <c r="A217" s="53" t="n">
        <v>2386</v>
      </c>
      <c r="B217" s="12" t="inlineStr">
        <is>
          <t>Ozzies Pound Puppies</t>
        </is>
      </c>
      <c r="C217" s="54" t="inlineStr">
        <is>
          <t>https://www.facebook.com/OzziesPoundPuppies</t>
        </is>
      </c>
      <c r="D217" s="6" t="inlineStr">
        <is>
          <t>Cần quét Bio Fanpage</t>
        </is>
      </c>
      <c r="E217" s="53" t="inlineStr">
        <is>
          <t>12/10/2026 04:48:47</t>
        </is>
      </c>
      <c r="F217" s="53" t="inlineStr">
        <is>
          <t>1 ngày trước</t>
        </is>
      </c>
      <c r="G217" s="55" t="n">
        <v>1</v>
      </c>
      <c r="H217" s="56" t="n">
        <v>28</v>
      </c>
      <c r="I217" s="6" t="inlineStr">
        <is>
          <t>Dog Breeder / Trại chó chuyên nghiệp (28-30đ)</t>
        </is>
      </c>
      <c r="J217" s="56" t="n">
        <v>30</v>
      </c>
      <c r="K217" s="6" t="inlineStr">
        <is>
          <t>Chưa rõ giống (Cần quét Bio)</t>
        </is>
      </c>
      <c r="L217" s="56" t="n">
        <v>0</v>
      </c>
      <c r="M217" s="56" t="n">
        <v>5</v>
      </c>
      <c r="N217" s="6" t="inlineStr">
        <is>
          <t>Amazon link not found</t>
        </is>
      </c>
      <c r="O217" s="56">
        <f>IF(N217="Selling pet toys + Artificial grass/Pet toilets (TARGET)",15,IF(N217="Selling artificial grass/pet toilets (TARGET)",10,IF(N217="Selling pet toys",7,IF(N217="There's an Amazon link, but no target sales.",3,0))))</f>
        <v/>
      </c>
      <c r="P217" s="63">
        <f>H217+J217+L217+M217+O217</f>
        <v/>
      </c>
      <c r="Q217" s="64">
        <f>IF(OR(H217=0,P217&lt;30),"Tier D (Đóng băng)",IF(P217&gt;=85,"Tier S (Kim Cương: 85-100đ)",IF(P217&gt;=70,"Tier A (Vàng: 70-84đ)",IF(P217&gt;=61,"Tier B+ / Cấp A (Hot Lead: 61-69đ)",IF(P217&gt;=50,"Tier B (Bạc: 50-60đ)","Tier C (Đồng: 30-49đ)")))))</f>
        <v/>
      </c>
      <c r="R217" s="6" t="inlineStr">
        <is>
          <t>Trọn gói Take-Home Starter Kit V2/V3 (Cỏ nhân tạo + Khay Potty + Đồ chơi Teething/Snuggle)</t>
        </is>
      </c>
      <c r="S217" s="6" t="inlineStr">
        <is>
          <t>HOT LEAD (Điểm ≥61): Liên hệ Telesale/Email chào gói Starter Kit &amp; Báo giá sỉ chiết khấu BOM</t>
        </is>
      </c>
    </row>
    <row r="218">
      <c r="A218" s="59" t="n">
        <v>1587</v>
      </c>
      <c r="B218" s="15" t="inlineStr">
        <is>
          <t>H &amp; M kennels</t>
        </is>
      </c>
      <c r="C218" s="60" t="inlineStr">
        <is>
          <t>https://www.facebook.com/HandMkennels</t>
        </is>
      </c>
      <c r="D218" s="9" t="inlineStr">
        <is>
          <t>Cần quét Bio Fanpage</t>
        </is>
      </c>
      <c r="E218" s="59" t="inlineStr">
        <is>
          <t>12/10/2026 02:58:27</t>
        </is>
      </c>
      <c r="F218" s="59" t="inlineStr">
        <is>
          <t>1 ngày trước</t>
        </is>
      </c>
      <c r="G218" s="61" t="n">
        <v>1</v>
      </c>
      <c r="H218" s="62" t="n">
        <v>28</v>
      </c>
      <c r="I218" s="9" t="inlineStr">
        <is>
          <t>Dog Breeder / Trại chó chuyên nghiệp (28-30đ)</t>
        </is>
      </c>
      <c r="J218" s="62" t="n">
        <v>30</v>
      </c>
      <c r="K218" s="9" t="inlineStr">
        <is>
          <t>Chưa rõ giống (Cần quét Bio)</t>
        </is>
      </c>
      <c r="L218" s="62" t="n">
        <v>0</v>
      </c>
      <c r="M218" s="62" t="n">
        <v>5</v>
      </c>
      <c r="N218" s="9" t="inlineStr">
        <is>
          <t>Amazon link not found</t>
        </is>
      </c>
      <c r="O218" s="62">
        <f>IF(N218="Selling pet toys + Artificial grass/Pet toilets (TARGET)",15,IF(N218="Selling artificial grass/pet toilets (TARGET)",10,IF(N218="Selling pet toys",7,IF(N218="There's an Amazon link, but no target sales.",3,0))))</f>
        <v/>
      </c>
      <c r="P218" s="63">
        <f>H218+J218+L218+M218+O218</f>
        <v/>
      </c>
      <c r="Q218" s="64">
        <f>IF(OR(H218=0,P218&lt;30),"Tier D (Đóng băng)",IF(P218&gt;=85,"Tier S (Kim Cương: 85-100đ)",IF(P218&gt;=70,"Tier A (Vàng: 70-84đ)",IF(P218&gt;=61,"Tier B+ / Cấp A (Hot Lead: 61-69đ)",IF(P218&gt;=50,"Tier B (Bạc: 50-60đ)","Tier C (Đồng: 30-49đ)")))))</f>
        <v/>
      </c>
      <c r="R218" s="9" t="inlineStr">
        <is>
          <t>Trọn gói Take-Home Starter Kit V2/V3 (Cỏ nhân tạo + Khay Potty + Đồ chơi Teething/Snuggle)</t>
        </is>
      </c>
      <c r="S218" s="9" t="inlineStr">
        <is>
          <t>HOT LEAD (Điểm ≥61): Liên hệ Telesale/Email chào gói Starter Kit &amp; Báo giá sỉ chiết khấu BOM</t>
        </is>
      </c>
    </row>
    <row r="219">
      <c r="A219" s="53" t="n">
        <v>1909</v>
      </c>
      <c r="B219" s="12" t="inlineStr">
        <is>
          <t>Kennel Vanghytten</t>
        </is>
      </c>
      <c r="C219" s="54" t="inlineStr">
        <is>
          <t>https://www.facebook.com/vanghytten</t>
        </is>
      </c>
      <c r="D219" s="6" t="inlineStr">
        <is>
          <t>Cần quét Bio Fanpage</t>
        </is>
      </c>
      <c r="E219" s="53" t="inlineStr">
        <is>
          <t>12/10/2026 02:50:23</t>
        </is>
      </c>
      <c r="F219" s="53" t="inlineStr">
        <is>
          <t>1 ngày trước</t>
        </is>
      </c>
      <c r="G219" s="55" t="n">
        <v>1</v>
      </c>
      <c r="H219" s="56" t="n">
        <v>28</v>
      </c>
      <c r="I219" s="6" t="inlineStr">
        <is>
          <t>Dog Breeder / Trại chó chuyên nghiệp (28-30đ)</t>
        </is>
      </c>
      <c r="J219" s="56" t="n">
        <v>30</v>
      </c>
      <c r="K219" s="6" t="inlineStr">
        <is>
          <t>Chưa rõ giống (Cần quét Bio)</t>
        </is>
      </c>
      <c r="L219" s="56" t="n">
        <v>0</v>
      </c>
      <c r="M219" s="56" t="n">
        <v>5</v>
      </c>
      <c r="N219" s="6" t="inlineStr">
        <is>
          <t>Amazon link not found</t>
        </is>
      </c>
      <c r="O219" s="56">
        <f>IF(N219="Selling pet toys + Artificial grass/Pet toilets (TARGET)",15,IF(N219="Selling artificial grass/pet toilets (TARGET)",10,IF(N219="Selling pet toys",7,IF(N219="There's an Amazon link, but no target sales.",3,0))))</f>
        <v/>
      </c>
      <c r="P219" s="63">
        <f>H219+J219+L219+M219+O219</f>
        <v/>
      </c>
      <c r="Q219" s="64">
        <f>IF(OR(H219=0,P219&lt;30),"Tier D (Đóng băng)",IF(P219&gt;=85,"Tier S (Kim Cương: 85-100đ)",IF(P219&gt;=70,"Tier A (Vàng: 70-84đ)",IF(P219&gt;=61,"Tier B+ / Cấp A (Hot Lead: 61-69đ)",IF(P219&gt;=50,"Tier B (Bạc: 50-60đ)","Tier C (Đồng: 30-49đ)")))))</f>
        <v/>
      </c>
      <c r="R219" s="6" t="inlineStr">
        <is>
          <t>Trọn gói Take-Home Starter Kit V2/V3 (Cỏ nhân tạo + Khay Potty + Đồ chơi Teething/Snuggle)</t>
        </is>
      </c>
      <c r="S219" s="6" t="inlineStr">
        <is>
          <t>HOT LEAD (Điểm ≥61): Liên hệ Telesale/Email chào gói Starter Kit &amp; Báo giá sỉ chiết khấu BOM</t>
        </is>
      </c>
    </row>
    <row r="220">
      <c r="A220" s="59" t="n">
        <v>1690</v>
      </c>
      <c r="B220" s="15" t="inlineStr">
        <is>
          <t>House of Bern Kennel</t>
        </is>
      </c>
      <c r="C220" s="60" t="inlineStr">
        <is>
          <t>https://www.facebook.com/profile.php?id=100058838389097</t>
        </is>
      </c>
      <c r="D220" s="9" t="inlineStr">
        <is>
          <t>Cần quét Bio Fanpage</t>
        </is>
      </c>
      <c r="E220" s="59" t="inlineStr">
        <is>
          <t>12/10/2026 02:00:40</t>
        </is>
      </c>
      <c r="F220" s="59" t="inlineStr">
        <is>
          <t>1 ngày trước</t>
        </is>
      </c>
      <c r="G220" s="61" t="n">
        <v>1</v>
      </c>
      <c r="H220" s="62" t="n">
        <v>28</v>
      </c>
      <c r="I220" s="9" t="inlineStr">
        <is>
          <t>Dog Breeder / Trại chó chuyên nghiệp (28-30đ)</t>
        </is>
      </c>
      <c r="J220" s="62" t="n">
        <v>30</v>
      </c>
      <c r="K220" s="9" t="inlineStr">
        <is>
          <t>Chưa rõ giống (Cần quét Bio)</t>
        </is>
      </c>
      <c r="L220" s="62" t="n">
        <v>0</v>
      </c>
      <c r="M220" s="62" t="n">
        <v>5</v>
      </c>
      <c r="N220" s="9" t="inlineStr">
        <is>
          <t>Amazon link not found</t>
        </is>
      </c>
      <c r="O220" s="62">
        <f>IF(N220="Selling pet toys + Artificial grass/Pet toilets (TARGET)",15,IF(N220="Selling artificial grass/pet toilets (TARGET)",10,IF(N220="Selling pet toys",7,IF(N220="There's an Amazon link, but no target sales.",3,0))))</f>
        <v/>
      </c>
      <c r="P220" s="63">
        <f>H220+J220+L220+M220+O220</f>
        <v/>
      </c>
      <c r="Q220" s="64">
        <f>IF(OR(H220=0,P220&lt;30),"Tier D (Đóng băng)",IF(P220&gt;=85,"Tier S (Kim Cương: 85-100đ)",IF(P220&gt;=70,"Tier A (Vàng: 70-84đ)",IF(P220&gt;=61,"Tier B+ / Cấp A (Hot Lead: 61-69đ)",IF(P220&gt;=50,"Tier B (Bạc: 50-60đ)","Tier C (Đồng: 30-49đ)")))))</f>
        <v/>
      </c>
      <c r="R220" s="9" t="inlineStr">
        <is>
          <t>Trọn gói Take-Home Starter Kit V2/V3 (Cỏ nhân tạo + Khay Potty + Đồ chơi Teething/Snuggle)</t>
        </is>
      </c>
      <c r="S220" s="9" t="inlineStr">
        <is>
          <t>HOT LEAD (Điểm ≥61): Liên hệ Telesale/Email chào gói Starter Kit &amp; Báo giá sỉ chiết khấu BOM</t>
        </is>
      </c>
    </row>
    <row r="221">
      <c r="A221" s="53" t="n">
        <v>1938</v>
      </c>
      <c r="B221" s="12" t="inlineStr">
        <is>
          <t>Kolorko Kennel</t>
        </is>
      </c>
      <c r="C221" s="54" t="inlineStr">
        <is>
          <t>https://www.facebook.com/profile.php?id=100057520715789</t>
        </is>
      </c>
      <c r="D221" s="6" t="inlineStr">
        <is>
          <t>Cần quét Bio Fanpage</t>
        </is>
      </c>
      <c r="E221" s="53" t="inlineStr">
        <is>
          <t>12/10/2026 02:00:29</t>
        </is>
      </c>
      <c r="F221" s="53" t="inlineStr">
        <is>
          <t>1 ngày trước</t>
        </is>
      </c>
      <c r="G221" s="55" t="n">
        <v>1</v>
      </c>
      <c r="H221" s="56" t="n">
        <v>28</v>
      </c>
      <c r="I221" s="6" t="inlineStr">
        <is>
          <t>Dog Breeder / Trại chó chuyên nghiệp (28-30đ)</t>
        </is>
      </c>
      <c r="J221" s="56" t="n">
        <v>30</v>
      </c>
      <c r="K221" s="6" t="inlineStr">
        <is>
          <t>Chưa rõ giống (Cần quét Bio)</t>
        </is>
      </c>
      <c r="L221" s="56" t="n">
        <v>0</v>
      </c>
      <c r="M221" s="56" t="n">
        <v>5</v>
      </c>
      <c r="N221" s="6" t="inlineStr">
        <is>
          <t>Amazon link not found</t>
        </is>
      </c>
      <c r="O221" s="56">
        <f>IF(N221="Selling pet toys + Artificial grass/Pet toilets (TARGET)",15,IF(N221="Selling artificial grass/pet toilets (TARGET)",10,IF(N221="Selling pet toys",7,IF(N221="There's an Amazon link, but no target sales.",3,0))))</f>
        <v/>
      </c>
      <c r="P221" s="63">
        <f>H221+J221+L221+M221+O221</f>
        <v/>
      </c>
      <c r="Q221" s="64">
        <f>IF(OR(H221=0,P221&lt;30),"Tier D (Đóng băng)",IF(P221&gt;=85,"Tier S (Kim Cương: 85-100đ)",IF(P221&gt;=70,"Tier A (Vàng: 70-84đ)",IF(P221&gt;=61,"Tier B+ / Cấp A (Hot Lead: 61-69đ)",IF(P221&gt;=50,"Tier B (Bạc: 50-60đ)","Tier C (Đồng: 30-49đ)")))))</f>
        <v/>
      </c>
      <c r="R221" s="6" t="inlineStr">
        <is>
          <t>Trọn gói Take-Home Starter Kit V2/V3 (Cỏ nhân tạo + Khay Potty + Đồ chơi Teething/Snuggle)</t>
        </is>
      </c>
      <c r="S221" s="6" t="inlineStr">
        <is>
          <t>HOT LEAD (Điểm ≥61): Liên hệ Telesale/Email chào gói Starter Kit &amp; Báo giá sỉ chiết khấu BOM</t>
        </is>
      </c>
    </row>
    <row r="222">
      <c r="A222" s="59" t="n">
        <v>2283</v>
      </c>
      <c r="B222" s="15" t="inlineStr">
        <is>
          <t>New Eden Kennels Boarding &amp; Training</t>
        </is>
      </c>
      <c r="C222" s="60" t="inlineStr">
        <is>
          <t>https://www.facebook.com/NEKtraining</t>
        </is>
      </c>
      <c r="D222" s="9" t="inlineStr">
        <is>
          <t>Cần quét Bio Fanpage</t>
        </is>
      </c>
      <c r="E222" s="59" t="inlineStr">
        <is>
          <t>12/10/2026 01:49:00</t>
        </is>
      </c>
      <c r="F222" s="59" t="inlineStr">
        <is>
          <t>1 ngày trước</t>
        </is>
      </c>
      <c r="G222" s="61" t="n">
        <v>1</v>
      </c>
      <c r="H222" s="62" t="n">
        <v>28</v>
      </c>
      <c r="I222" s="9" t="inlineStr">
        <is>
          <t>Dog Breeder / Trại chó chuyên nghiệp (28-30đ)</t>
        </is>
      </c>
      <c r="J222" s="62" t="n">
        <v>30</v>
      </c>
      <c r="K222" s="9" t="inlineStr">
        <is>
          <t>Chưa rõ giống (Cần quét Bio)</t>
        </is>
      </c>
      <c r="L222" s="62" t="n">
        <v>0</v>
      </c>
      <c r="M222" s="62" t="n">
        <v>5</v>
      </c>
      <c r="N222" s="9" t="inlineStr">
        <is>
          <t>Amazon link not found</t>
        </is>
      </c>
      <c r="O222" s="62">
        <f>IF(N222="Selling pet toys + Artificial grass/Pet toilets (TARGET)",15,IF(N222="Selling artificial grass/pet toilets (TARGET)",10,IF(N222="Selling pet toys",7,IF(N222="There's an Amazon link, but no target sales.",3,0))))</f>
        <v/>
      </c>
      <c r="P222" s="63">
        <f>H222+J222+L222+M222+O222</f>
        <v/>
      </c>
      <c r="Q222" s="64">
        <f>IF(OR(H222=0,P222&lt;30),"Tier D (Đóng băng)",IF(P222&gt;=85,"Tier S (Kim Cương: 85-100đ)",IF(P222&gt;=70,"Tier A (Vàng: 70-84đ)",IF(P222&gt;=61,"Tier B+ / Cấp A (Hot Lead: 61-69đ)",IF(P222&gt;=50,"Tier B (Bạc: 50-60đ)","Tier C (Đồng: 30-49đ)")))))</f>
        <v/>
      </c>
      <c r="R222" s="9" t="inlineStr">
        <is>
          <t>Trọn gói Take-Home Starter Kit V2/V3 (Cỏ nhân tạo + Khay Potty + Đồ chơi Teething/Snuggle)</t>
        </is>
      </c>
      <c r="S222" s="9" t="inlineStr">
        <is>
          <t>HOT LEAD (Điểm ≥61): Liên hệ Telesale/Email chào gói Starter Kit &amp; Báo giá sỉ chiết khấu BOM</t>
        </is>
      </c>
    </row>
    <row r="223">
      <c r="A223" s="53" t="n">
        <v>1394</v>
      </c>
      <c r="B223" s="12" t="inlineStr">
        <is>
          <t>Fitmin-Kennel</t>
        </is>
      </c>
      <c r="C223" s="54" t="inlineStr">
        <is>
          <t>https://www.facebook.com/fitmin.kennel</t>
        </is>
      </c>
      <c r="D223" s="6" t="inlineStr">
        <is>
          <t>Cần quét Bio Fanpage</t>
        </is>
      </c>
      <c r="E223" s="53" t="inlineStr">
        <is>
          <t>12/10/2026 01:34:51</t>
        </is>
      </c>
      <c r="F223" s="53" t="inlineStr">
        <is>
          <t>1 ngày trước</t>
        </is>
      </c>
      <c r="G223" s="55" t="n">
        <v>1</v>
      </c>
      <c r="H223" s="56" t="n">
        <v>28</v>
      </c>
      <c r="I223" s="6" t="inlineStr">
        <is>
          <t>Dog Breeder / Trại chó chuyên nghiệp (28-30đ)</t>
        </is>
      </c>
      <c r="J223" s="56" t="n">
        <v>30</v>
      </c>
      <c r="K223" s="6" t="inlineStr">
        <is>
          <t>Chưa rõ giống (Cần quét Bio)</t>
        </is>
      </c>
      <c r="L223" s="56" t="n">
        <v>0</v>
      </c>
      <c r="M223" s="56" t="n">
        <v>5</v>
      </c>
      <c r="N223" s="6" t="inlineStr">
        <is>
          <t>Amazon link not found</t>
        </is>
      </c>
      <c r="O223" s="56">
        <f>IF(N223="Selling pet toys + Artificial grass/Pet toilets (TARGET)",15,IF(N223="Selling artificial grass/pet toilets (TARGET)",10,IF(N223="Selling pet toys",7,IF(N223="There's an Amazon link, but no target sales.",3,0))))</f>
        <v/>
      </c>
      <c r="P223" s="63">
        <f>H223+J223+L223+M223+O223</f>
        <v/>
      </c>
      <c r="Q223" s="64">
        <f>IF(OR(H223=0,P223&lt;30),"Tier D (Đóng băng)",IF(P223&gt;=85,"Tier S (Kim Cương: 85-100đ)",IF(P223&gt;=70,"Tier A (Vàng: 70-84đ)",IF(P223&gt;=61,"Tier B+ / Cấp A (Hot Lead: 61-69đ)",IF(P223&gt;=50,"Tier B (Bạc: 50-60đ)","Tier C (Đồng: 30-49đ)")))))</f>
        <v/>
      </c>
      <c r="R223" s="6" t="inlineStr">
        <is>
          <t>Trọn gói Take-Home Starter Kit V2/V3 (Cỏ nhân tạo + Khay Potty + Đồ chơi Teething/Snuggle)</t>
        </is>
      </c>
      <c r="S223" s="6" t="inlineStr">
        <is>
          <t>HOT LEAD (Điểm ≥61): Liên hệ Telesale/Email chào gói Starter Kit &amp; Báo giá sỉ chiết khấu BOM</t>
        </is>
      </c>
    </row>
    <row r="224">
      <c r="A224" s="59" t="n">
        <v>2900</v>
      </c>
      <c r="B224" s="15" t="inlineStr">
        <is>
          <t>Silver Ace Sled Dog Kennel</t>
        </is>
      </c>
      <c r="C224" s="60" t="inlineStr">
        <is>
          <t>https://www.facebook.com/SmokinAceKennels</t>
        </is>
      </c>
      <c r="D224" s="9" t="inlineStr">
        <is>
          <t>Cần quét Bio Fanpage</t>
        </is>
      </c>
      <c r="E224" s="59" t="inlineStr">
        <is>
          <t>12/10/2026 00:59:12</t>
        </is>
      </c>
      <c r="F224" s="59" t="inlineStr">
        <is>
          <t>1 ngày trước</t>
        </is>
      </c>
      <c r="G224" s="61" t="n">
        <v>1</v>
      </c>
      <c r="H224" s="62" t="n">
        <v>28</v>
      </c>
      <c r="I224" s="9" t="inlineStr">
        <is>
          <t>Dog Breeder / Trại chó chuyên nghiệp (28-30đ)</t>
        </is>
      </c>
      <c r="J224" s="62" t="n">
        <v>30</v>
      </c>
      <c r="K224" s="9" t="inlineStr">
        <is>
          <t>Chưa rõ giống (Cần quét Bio)</t>
        </is>
      </c>
      <c r="L224" s="62" t="n">
        <v>0</v>
      </c>
      <c r="M224" s="62" t="n">
        <v>5</v>
      </c>
      <c r="N224" s="9" t="inlineStr">
        <is>
          <t>Amazon link not found</t>
        </is>
      </c>
      <c r="O224" s="62">
        <f>IF(N224="Selling pet toys + Artificial grass/Pet toilets (TARGET)",15,IF(N224="Selling artificial grass/pet toilets (TARGET)",10,IF(N224="Selling pet toys",7,IF(N224="There's an Amazon link, but no target sales.",3,0))))</f>
        <v/>
      </c>
      <c r="P224" s="63">
        <f>H224+J224+L224+M224+O224</f>
        <v/>
      </c>
      <c r="Q224" s="64">
        <f>IF(OR(H224=0,P224&lt;30),"Tier D (Đóng băng)",IF(P224&gt;=85,"Tier S (Kim Cương: 85-100đ)",IF(P224&gt;=70,"Tier A (Vàng: 70-84đ)",IF(P224&gt;=61,"Tier B+ / Cấp A (Hot Lead: 61-69đ)",IF(P224&gt;=50,"Tier B (Bạc: 50-60đ)","Tier C (Đồng: 30-49đ)")))))</f>
        <v/>
      </c>
      <c r="R224" s="9" t="inlineStr">
        <is>
          <t>Trọn gói Take-Home Starter Kit V2/V3 (Cỏ nhân tạo + Khay Potty + Đồ chơi Teething/Snuggle)</t>
        </is>
      </c>
      <c r="S224" s="9" t="inlineStr">
        <is>
          <t>HOT LEAD (Điểm ≥61): Liên hệ Telesale/Email chào gói Starter Kit &amp; Báo giá sỉ chiết khấu BOM</t>
        </is>
      </c>
    </row>
    <row r="225">
      <c r="A225" s="53" t="n">
        <v>1904</v>
      </c>
      <c r="B225" s="12" t="inlineStr">
        <is>
          <t>Kennel Sons of North</t>
        </is>
      </c>
      <c r="C225" s="54" t="inlineStr">
        <is>
          <t>https://www.facebook.com/kennelsonsofnorth</t>
        </is>
      </c>
      <c r="D225" s="6" t="inlineStr">
        <is>
          <t>Cần quét Bio Fanpage</t>
        </is>
      </c>
      <c r="E225" s="53" t="inlineStr">
        <is>
          <t>12/10/2026 00:35:17</t>
        </is>
      </c>
      <c r="F225" s="53" t="inlineStr">
        <is>
          <t>1 ngày trước</t>
        </is>
      </c>
      <c r="G225" s="55" t="n">
        <v>1</v>
      </c>
      <c r="H225" s="56" t="n">
        <v>28</v>
      </c>
      <c r="I225" s="6" t="inlineStr">
        <is>
          <t>Dog Breeder / Trại chó chuyên nghiệp (28-30đ)</t>
        </is>
      </c>
      <c r="J225" s="56" t="n">
        <v>30</v>
      </c>
      <c r="K225" s="6" t="inlineStr">
        <is>
          <t>Chưa rõ giống (Cần quét Bio)</t>
        </is>
      </c>
      <c r="L225" s="56" t="n">
        <v>0</v>
      </c>
      <c r="M225" s="56" t="n">
        <v>5</v>
      </c>
      <c r="N225" s="6" t="inlineStr">
        <is>
          <t>Amazon link not found</t>
        </is>
      </c>
      <c r="O225" s="56">
        <f>IF(N225="Selling pet toys + Artificial grass/Pet toilets (TARGET)",15,IF(N225="Selling artificial grass/pet toilets (TARGET)",10,IF(N225="Selling pet toys",7,IF(N225="There's an Amazon link, but no target sales.",3,0))))</f>
        <v/>
      </c>
      <c r="P225" s="63">
        <f>H225+J225+L225+M225+O225</f>
        <v/>
      </c>
      <c r="Q225" s="64">
        <f>IF(OR(H225=0,P225&lt;30),"Tier D (Đóng băng)",IF(P225&gt;=85,"Tier S (Kim Cương: 85-100đ)",IF(P225&gt;=70,"Tier A (Vàng: 70-84đ)",IF(P225&gt;=61,"Tier B+ / Cấp A (Hot Lead: 61-69đ)",IF(P225&gt;=50,"Tier B (Bạc: 50-60đ)","Tier C (Đồng: 30-49đ)")))))</f>
        <v/>
      </c>
      <c r="R225" s="6" t="inlineStr">
        <is>
          <t>Trọn gói Take-Home Starter Kit V2/V3 (Cỏ nhân tạo + Khay Potty + Đồ chơi Teething/Snuggle)</t>
        </is>
      </c>
      <c r="S225" s="6" t="inlineStr">
        <is>
          <t>HOT LEAD (Điểm ≥61): Liên hệ Telesale/Email chào gói Starter Kit &amp; Báo giá sỉ chiết khấu BOM</t>
        </is>
      </c>
    </row>
    <row r="226">
      <c r="A226" s="59" t="n">
        <v>1492</v>
      </c>
      <c r="B226" s="15" t="inlineStr">
        <is>
          <t>Genstat Kennel</t>
        </is>
      </c>
      <c r="C226" s="60" t="inlineStr">
        <is>
          <t>https://www.facebook.com/genstat.kennel</t>
        </is>
      </c>
      <c r="D226" s="9" t="inlineStr">
        <is>
          <t>Cần quét Bio Fanpage</t>
        </is>
      </c>
      <c r="E226" s="59" t="inlineStr">
        <is>
          <t>12/10/2026 00:28:17</t>
        </is>
      </c>
      <c r="F226" s="59" t="inlineStr">
        <is>
          <t>1 ngày trước</t>
        </is>
      </c>
      <c r="G226" s="61" t="n">
        <v>1</v>
      </c>
      <c r="H226" s="62" t="n">
        <v>28</v>
      </c>
      <c r="I226" s="9" t="inlineStr">
        <is>
          <t>Dog Breeder / Trại chó chuyên nghiệp (28-30đ)</t>
        </is>
      </c>
      <c r="J226" s="62" t="n">
        <v>30</v>
      </c>
      <c r="K226" s="9" t="inlineStr">
        <is>
          <t>Chưa rõ giống (Cần quét Bio)</t>
        </is>
      </c>
      <c r="L226" s="62" t="n">
        <v>0</v>
      </c>
      <c r="M226" s="62" t="n">
        <v>5</v>
      </c>
      <c r="N226" s="9" t="inlineStr">
        <is>
          <t>Amazon link not found</t>
        </is>
      </c>
      <c r="O226" s="62">
        <f>IF(N226="Selling pet toys + Artificial grass/Pet toilets (TARGET)",15,IF(N226="Selling artificial grass/pet toilets (TARGET)",10,IF(N226="Selling pet toys",7,IF(N226="There's an Amazon link, but no target sales.",3,0))))</f>
        <v/>
      </c>
      <c r="P226" s="63">
        <f>H226+J226+L226+M226+O226</f>
        <v/>
      </c>
      <c r="Q226" s="64">
        <f>IF(OR(H226=0,P226&lt;30),"Tier D (Đóng băng)",IF(P226&gt;=85,"Tier S (Kim Cương: 85-100đ)",IF(P226&gt;=70,"Tier A (Vàng: 70-84đ)",IF(P226&gt;=61,"Tier B+ / Cấp A (Hot Lead: 61-69đ)",IF(P226&gt;=50,"Tier B (Bạc: 50-60đ)","Tier C (Đồng: 30-49đ)")))))</f>
        <v/>
      </c>
      <c r="R226" s="9" t="inlineStr">
        <is>
          <t>Trọn gói Take-Home Starter Kit V2/V3 (Cỏ nhân tạo + Khay Potty + Đồ chơi Teething/Snuggle)</t>
        </is>
      </c>
      <c r="S226" s="9" t="inlineStr">
        <is>
          <t>HOT LEAD (Điểm ≥61): Liên hệ Telesale/Email chào gói Starter Kit &amp; Báo giá sỉ chiết khấu BOM</t>
        </is>
      </c>
    </row>
    <row r="227">
      <c r="A227" s="53" t="n">
        <v>1834</v>
      </c>
      <c r="B227" s="12" t="inlineStr">
        <is>
          <t>Kacifántos kennel</t>
        </is>
      </c>
      <c r="C227" s="54" t="inlineStr">
        <is>
          <t>https://www.facebook.com/kacifantoskennel</t>
        </is>
      </c>
      <c r="D227" s="6" t="inlineStr">
        <is>
          <t>Cần quét Bio Fanpage</t>
        </is>
      </c>
      <c r="E227" s="53" t="inlineStr">
        <is>
          <t>11/10/2026 22:45:32</t>
        </is>
      </c>
      <c r="F227" s="53" t="inlineStr">
        <is>
          <t>1 ngày trước</t>
        </is>
      </c>
      <c r="G227" s="55" t="n">
        <v>1</v>
      </c>
      <c r="H227" s="56" t="n">
        <v>28</v>
      </c>
      <c r="I227" s="6" t="inlineStr">
        <is>
          <t>Dog Breeder / Trại chó chuyên nghiệp (28-30đ)</t>
        </is>
      </c>
      <c r="J227" s="56" t="n">
        <v>30</v>
      </c>
      <c r="K227" s="6" t="inlineStr">
        <is>
          <t>Chưa rõ giống (Cần quét Bio)</t>
        </is>
      </c>
      <c r="L227" s="56" t="n">
        <v>0</v>
      </c>
      <c r="M227" s="56" t="n">
        <v>5</v>
      </c>
      <c r="N227" s="6" t="inlineStr">
        <is>
          <t>Amazon link not found</t>
        </is>
      </c>
      <c r="O227" s="56">
        <f>IF(N227="Selling pet toys + Artificial grass/Pet toilets (TARGET)",15,IF(N227="Selling artificial grass/pet toilets (TARGET)",10,IF(N227="Selling pet toys",7,IF(N227="There's an Amazon link, but no target sales.",3,0))))</f>
        <v/>
      </c>
      <c r="P227" s="63">
        <f>H227+J227+L227+M227+O227</f>
        <v/>
      </c>
      <c r="Q227" s="64">
        <f>IF(OR(H227=0,P227&lt;30),"Tier D (Đóng băng)",IF(P227&gt;=85,"Tier S (Kim Cương: 85-100đ)",IF(P227&gt;=70,"Tier A (Vàng: 70-84đ)",IF(P227&gt;=61,"Tier B+ / Cấp A (Hot Lead: 61-69đ)",IF(P227&gt;=50,"Tier B (Bạc: 50-60đ)","Tier C (Đồng: 30-49đ)")))))</f>
        <v/>
      </c>
      <c r="R227" s="6" t="inlineStr">
        <is>
          <t>Trọn gói Take-Home Starter Kit V2/V3 (Cỏ nhân tạo + Khay Potty + Đồ chơi Teething/Snuggle)</t>
        </is>
      </c>
      <c r="S227" s="6" t="inlineStr">
        <is>
          <t>HOT LEAD (Điểm ≥61): Liên hệ Telesale/Email chào gói Starter Kit &amp; Báo giá sỉ chiết khấu BOM</t>
        </is>
      </c>
    </row>
    <row r="228">
      <c r="A228" s="59" t="n">
        <v>1884</v>
      </c>
      <c r="B228" s="15" t="inlineStr">
        <is>
          <t>Kennel Golden Widershein</t>
        </is>
      </c>
      <c r="C228" s="60" t="inlineStr">
        <is>
          <t>https://www.facebook.com/NadaStojanoski</t>
        </is>
      </c>
      <c r="D228" s="9" t="inlineStr">
        <is>
          <t>Cần quét Bio Fanpage</t>
        </is>
      </c>
      <c r="E228" s="59" t="inlineStr">
        <is>
          <t>11/10/2026 22:36:28</t>
        </is>
      </c>
      <c r="F228" s="59" t="inlineStr">
        <is>
          <t>1 ngày trước</t>
        </is>
      </c>
      <c r="G228" s="61" t="n">
        <v>1</v>
      </c>
      <c r="H228" s="62" t="n">
        <v>28</v>
      </c>
      <c r="I228" s="9" t="inlineStr">
        <is>
          <t>Dog Breeder / Trại chó chuyên nghiệp (28-30đ)</t>
        </is>
      </c>
      <c r="J228" s="62" t="n">
        <v>30</v>
      </c>
      <c r="K228" s="9" t="inlineStr">
        <is>
          <t>Chưa rõ giống (Cần quét Bio)</t>
        </is>
      </c>
      <c r="L228" s="62" t="n">
        <v>0</v>
      </c>
      <c r="M228" s="62" t="n">
        <v>5</v>
      </c>
      <c r="N228" s="9" t="inlineStr">
        <is>
          <t>Amazon link not found</t>
        </is>
      </c>
      <c r="O228" s="62">
        <f>IF(N228="Selling pet toys + Artificial grass/Pet toilets (TARGET)",15,IF(N228="Selling artificial grass/pet toilets (TARGET)",10,IF(N228="Selling pet toys",7,IF(N228="There's an Amazon link, but no target sales.",3,0))))</f>
        <v/>
      </c>
      <c r="P228" s="63">
        <f>H228+J228+L228+M228+O228</f>
        <v/>
      </c>
      <c r="Q228" s="64">
        <f>IF(OR(H228=0,P228&lt;30),"Tier D (Đóng băng)",IF(P228&gt;=85,"Tier S (Kim Cương: 85-100đ)",IF(P228&gt;=70,"Tier A (Vàng: 70-84đ)",IF(P228&gt;=61,"Tier B+ / Cấp A (Hot Lead: 61-69đ)",IF(P228&gt;=50,"Tier B (Bạc: 50-60đ)","Tier C (Đồng: 30-49đ)")))))</f>
        <v/>
      </c>
      <c r="R228" s="9" t="inlineStr">
        <is>
          <t>Trọn gói Take-Home Starter Kit V2/V3 (Cỏ nhân tạo + Khay Potty + Đồ chơi Teething/Snuggle)</t>
        </is>
      </c>
      <c r="S228" s="9" t="inlineStr">
        <is>
          <t>HOT LEAD (Điểm ≥61): Liên hệ Telesale/Email chào gói Starter Kit &amp; Báo giá sỉ chiết khấu BOM</t>
        </is>
      </c>
    </row>
    <row r="229">
      <c r="A229" s="53" t="n">
        <v>973</v>
      </c>
      <c r="B229" s="12" t="inlineStr">
        <is>
          <t>CSERI SUBÁS PULI Kennel</t>
        </is>
      </c>
      <c r="C229" s="54" t="inlineStr">
        <is>
          <t>https://www.facebook.com/profile.php?id=100075829101420</t>
        </is>
      </c>
      <c r="D229" s="6" t="inlineStr">
        <is>
          <t>Cần quét Bio Fanpage</t>
        </is>
      </c>
      <c r="E229" s="53" t="inlineStr">
        <is>
          <t>11/10/2026 22:31:16</t>
        </is>
      </c>
      <c r="F229" s="53" t="inlineStr">
        <is>
          <t>1 ngày trước</t>
        </is>
      </c>
      <c r="G229" s="55" t="n">
        <v>1</v>
      </c>
      <c r="H229" s="56" t="n">
        <v>28</v>
      </c>
      <c r="I229" s="6" t="inlineStr">
        <is>
          <t>Dog Breeder / Trại chó chuyên nghiệp (28-30đ)</t>
        </is>
      </c>
      <c r="J229" s="56" t="n">
        <v>30</v>
      </c>
      <c r="K229" s="6" t="inlineStr">
        <is>
          <t>Chưa rõ giống (Cần quét Bio)</t>
        </is>
      </c>
      <c r="L229" s="56" t="n">
        <v>0</v>
      </c>
      <c r="M229" s="56" t="n">
        <v>5</v>
      </c>
      <c r="N229" s="6" t="inlineStr">
        <is>
          <t>Amazon link not found</t>
        </is>
      </c>
      <c r="O229" s="56">
        <f>IF(N229="Selling pet toys + Artificial grass/Pet toilets (TARGET)",15,IF(N229="Selling artificial grass/pet toilets (TARGET)",10,IF(N229="Selling pet toys",7,IF(N229="There's an Amazon link, but no target sales.",3,0))))</f>
        <v/>
      </c>
      <c r="P229" s="63">
        <f>H229+J229+L229+M229+O229</f>
        <v/>
      </c>
      <c r="Q229" s="64">
        <f>IF(OR(H229=0,P229&lt;30),"Tier D (Đóng băng)",IF(P229&gt;=85,"Tier S (Kim Cương: 85-100đ)",IF(P229&gt;=70,"Tier A (Vàng: 70-84đ)",IF(P229&gt;=61,"Tier B+ / Cấp A (Hot Lead: 61-69đ)",IF(P229&gt;=50,"Tier B (Bạc: 50-60đ)","Tier C (Đồng: 30-49đ)")))))</f>
        <v/>
      </c>
      <c r="R229" s="6" t="inlineStr">
        <is>
          <t>Trọn gói Take-Home Starter Kit V2/V3 (Cỏ nhân tạo + Khay Potty + Đồ chơi Teething/Snuggle)</t>
        </is>
      </c>
      <c r="S229" s="6" t="inlineStr">
        <is>
          <t>HOT LEAD (Điểm ≥61): Liên hệ Telesale/Email chào gói Starter Kit &amp; Báo giá sỉ chiết khấu BOM</t>
        </is>
      </c>
    </row>
    <row r="230">
      <c r="A230" s="59" t="n">
        <v>1901</v>
      </c>
      <c r="B230" s="15" t="inlineStr">
        <is>
          <t>Kennel San Diego DW</t>
        </is>
      </c>
      <c r="C230" s="60" t="inlineStr">
        <is>
          <t>https://www.facebook.com/profile.php?id=100041166525359</t>
        </is>
      </c>
      <c r="D230" s="9" t="inlineStr">
        <is>
          <t>Cần quét Bio Fanpage</t>
        </is>
      </c>
      <c r="E230" s="59" t="inlineStr">
        <is>
          <t>11/10/2026 19:08:42</t>
        </is>
      </c>
      <c r="F230" s="59" t="inlineStr">
        <is>
          <t>1 ngày trước</t>
        </is>
      </c>
      <c r="G230" s="61" t="n">
        <v>1</v>
      </c>
      <c r="H230" s="62" t="n">
        <v>28</v>
      </c>
      <c r="I230" s="9" t="inlineStr">
        <is>
          <t>Dog Breeder / Trại chó chuyên nghiệp (28-30đ)</t>
        </is>
      </c>
      <c r="J230" s="62" t="n">
        <v>30</v>
      </c>
      <c r="K230" s="9" t="inlineStr">
        <is>
          <t>Chưa rõ giống (Cần quét Bio)</t>
        </is>
      </c>
      <c r="L230" s="62" t="n">
        <v>0</v>
      </c>
      <c r="M230" s="62" t="n">
        <v>5</v>
      </c>
      <c r="N230" s="9" t="inlineStr">
        <is>
          <t>Amazon link not found</t>
        </is>
      </c>
      <c r="O230" s="62">
        <f>IF(N230="Selling pet toys + Artificial grass/Pet toilets (TARGET)",15,IF(N230="Selling artificial grass/pet toilets (TARGET)",10,IF(N230="Selling pet toys",7,IF(N230="There's an Amazon link, but no target sales.",3,0))))</f>
        <v/>
      </c>
      <c r="P230" s="63">
        <f>H230+J230+L230+M230+O230</f>
        <v/>
      </c>
      <c r="Q230" s="64">
        <f>IF(OR(H230=0,P230&lt;30),"Tier D (Đóng băng)",IF(P230&gt;=85,"Tier S (Kim Cương: 85-100đ)",IF(P230&gt;=70,"Tier A (Vàng: 70-84đ)",IF(P230&gt;=61,"Tier B+ / Cấp A (Hot Lead: 61-69đ)",IF(P230&gt;=50,"Tier B (Bạc: 50-60đ)","Tier C (Đồng: 30-49đ)")))))</f>
        <v/>
      </c>
      <c r="R230" s="9" t="inlineStr">
        <is>
          <t>Trọn gói Take-Home Starter Kit V2/V3 (Cỏ nhân tạo + Khay Potty + Đồ chơi Teething/Snuggle)</t>
        </is>
      </c>
      <c r="S230" s="9" t="inlineStr">
        <is>
          <t>HOT LEAD (Điểm ≥61): Liên hệ Telesale/Email chào gói Starter Kit &amp; Báo giá sỉ chiết khấu BOM</t>
        </is>
      </c>
    </row>
    <row r="231">
      <c r="A231" s="53" t="n">
        <v>660</v>
      </c>
      <c r="B231" s="12" t="inlineStr">
        <is>
          <t>Bhatia Kennels</t>
        </is>
      </c>
      <c r="C231" s="54" t="inlineStr">
        <is>
          <t>https://www.facebook.com/profile.php?id=100054540486161</t>
        </is>
      </c>
      <c r="D231" s="6" t="inlineStr">
        <is>
          <t>Cần quét Bio Fanpage</t>
        </is>
      </c>
      <c r="E231" s="53" t="inlineStr">
        <is>
          <t>11/10/2026 16:18:00</t>
        </is>
      </c>
      <c r="F231" s="53" t="inlineStr">
        <is>
          <t>1 ngày trước</t>
        </is>
      </c>
      <c r="G231" s="55" t="n">
        <v>1</v>
      </c>
      <c r="H231" s="56" t="n">
        <v>28</v>
      </c>
      <c r="I231" s="6" t="inlineStr">
        <is>
          <t>Dog Breeder / Trại chó chuyên nghiệp (28-30đ)</t>
        </is>
      </c>
      <c r="J231" s="56" t="n">
        <v>30</v>
      </c>
      <c r="K231" s="6" t="inlineStr">
        <is>
          <t>Chưa rõ giống (Cần quét Bio)</t>
        </is>
      </c>
      <c r="L231" s="56" t="n">
        <v>0</v>
      </c>
      <c r="M231" s="56" t="n">
        <v>5</v>
      </c>
      <c r="N231" s="6" t="inlineStr">
        <is>
          <t>Amazon link not found</t>
        </is>
      </c>
      <c r="O231" s="56">
        <f>IF(N231="Selling pet toys + Artificial grass/Pet toilets (TARGET)",15,IF(N231="Selling artificial grass/pet toilets (TARGET)",10,IF(N231="Selling pet toys",7,IF(N231="There's an Amazon link, but no target sales.",3,0))))</f>
        <v/>
      </c>
      <c r="P231" s="63">
        <f>H231+J231+L231+M231+O231</f>
        <v/>
      </c>
      <c r="Q231" s="64">
        <f>IF(OR(H231=0,P231&lt;30),"Tier D (Đóng băng)",IF(P231&gt;=85,"Tier S (Kim Cương: 85-100đ)",IF(P231&gt;=70,"Tier A (Vàng: 70-84đ)",IF(P231&gt;=61,"Tier B+ / Cấp A (Hot Lead: 61-69đ)",IF(P231&gt;=50,"Tier B (Bạc: 50-60đ)","Tier C (Đồng: 30-49đ)")))))</f>
        <v/>
      </c>
      <c r="R231" s="6" t="inlineStr">
        <is>
          <t>Trọn gói Take-Home Starter Kit V2/V3 (Cỏ nhân tạo + Khay Potty + Đồ chơi Teething/Snuggle)</t>
        </is>
      </c>
      <c r="S231" s="6" t="inlineStr">
        <is>
          <t>HOT LEAD (Điểm ≥61): Liên hệ Telesale/Email chào gói Starter Kit &amp; Báo giá sỉ chiết khấu BOM</t>
        </is>
      </c>
    </row>
    <row r="232">
      <c r="A232" s="59" t="n">
        <v>1897</v>
      </c>
      <c r="B232" s="15" t="inlineStr">
        <is>
          <t>Kennel Paradise</t>
        </is>
      </c>
      <c r="C232" s="60" t="inlineStr">
        <is>
          <t>https://www.facebook.com/kennelparadise88</t>
        </is>
      </c>
      <c r="D232" s="9" t="inlineStr">
        <is>
          <t>Cần quét Bio Fanpage</t>
        </is>
      </c>
      <c r="E232" s="59" t="inlineStr">
        <is>
          <t>11/10/2026 14:56:31</t>
        </is>
      </c>
      <c r="F232" s="59" t="inlineStr">
        <is>
          <t>1 ngày trước</t>
        </is>
      </c>
      <c r="G232" s="61" t="n">
        <v>1</v>
      </c>
      <c r="H232" s="62" t="n">
        <v>28</v>
      </c>
      <c r="I232" s="9" t="inlineStr">
        <is>
          <t>Dog Breeder / Trại chó chuyên nghiệp (28-30đ)</t>
        </is>
      </c>
      <c r="J232" s="62" t="n">
        <v>30</v>
      </c>
      <c r="K232" s="9" t="inlineStr">
        <is>
          <t>Chưa rõ giống (Cần quét Bio)</t>
        </is>
      </c>
      <c r="L232" s="62" t="n">
        <v>0</v>
      </c>
      <c r="M232" s="62" t="n">
        <v>5</v>
      </c>
      <c r="N232" s="9" t="inlineStr">
        <is>
          <t>Amazon link not found</t>
        </is>
      </c>
      <c r="O232" s="62">
        <f>IF(N232="Selling pet toys + Artificial grass/Pet toilets (TARGET)",15,IF(N232="Selling artificial grass/pet toilets (TARGET)",10,IF(N232="Selling pet toys",7,IF(N232="There's an Amazon link, but no target sales.",3,0))))</f>
        <v/>
      </c>
      <c r="P232" s="63">
        <f>H232+J232+L232+M232+O232</f>
        <v/>
      </c>
      <c r="Q232" s="64">
        <f>IF(OR(H232=0,P232&lt;30),"Tier D (Đóng băng)",IF(P232&gt;=85,"Tier S (Kim Cương: 85-100đ)",IF(P232&gt;=70,"Tier A (Vàng: 70-84đ)",IF(P232&gt;=61,"Tier B+ / Cấp A (Hot Lead: 61-69đ)",IF(P232&gt;=50,"Tier B (Bạc: 50-60đ)","Tier C (Đồng: 30-49đ)")))))</f>
        <v/>
      </c>
      <c r="R232" s="9" t="inlineStr">
        <is>
          <t>Trọn gói Take-Home Starter Kit V2/V3 (Cỏ nhân tạo + Khay Potty + Đồ chơi Teething/Snuggle)</t>
        </is>
      </c>
      <c r="S232" s="9" t="inlineStr">
        <is>
          <t>HOT LEAD (Điểm ≥61): Liên hệ Telesale/Email chào gói Starter Kit &amp; Báo giá sỉ chiết khấu BOM</t>
        </is>
      </c>
    </row>
    <row r="233">
      <c r="A233" s="53" t="n">
        <v>1510</v>
      </c>
      <c r="B233" s="12" t="inlineStr">
        <is>
          <t>Glenriska kennel</t>
        </is>
      </c>
      <c r="C233" s="54" t="inlineStr">
        <is>
          <t>https://www.facebook.com/glenriska</t>
        </is>
      </c>
      <c r="D233" s="6" t="inlineStr">
        <is>
          <t>Cần quét Bio Fanpage</t>
        </is>
      </c>
      <c r="E233" s="53" t="inlineStr">
        <is>
          <t>11/10/2026 13:41:56</t>
        </is>
      </c>
      <c r="F233" s="53" t="inlineStr">
        <is>
          <t>1 ngày trước</t>
        </is>
      </c>
      <c r="G233" s="55" t="n">
        <v>1</v>
      </c>
      <c r="H233" s="56" t="n">
        <v>28</v>
      </c>
      <c r="I233" s="6" t="inlineStr">
        <is>
          <t>Dog Breeder / Trại chó chuyên nghiệp (28-30đ)</t>
        </is>
      </c>
      <c r="J233" s="56" t="n">
        <v>30</v>
      </c>
      <c r="K233" s="6" t="inlineStr">
        <is>
          <t>Chưa rõ giống (Cần quét Bio)</t>
        </is>
      </c>
      <c r="L233" s="56" t="n">
        <v>0</v>
      </c>
      <c r="M233" s="56" t="n">
        <v>5</v>
      </c>
      <c r="N233" s="6" t="inlineStr">
        <is>
          <t>Amazon link not found</t>
        </is>
      </c>
      <c r="O233" s="56">
        <f>IF(N233="Selling pet toys + Artificial grass/Pet toilets (TARGET)",15,IF(N233="Selling artificial grass/pet toilets (TARGET)",10,IF(N233="Selling pet toys",7,IF(N233="There's an Amazon link, but no target sales.",3,0))))</f>
        <v/>
      </c>
      <c r="P233" s="63">
        <f>H233+J233+L233+M233+O233</f>
        <v/>
      </c>
      <c r="Q233" s="64">
        <f>IF(OR(H233=0,P233&lt;30),"Tier D (Đóng băng)",IF(P233&gt;=85,"Tier S (Kim Cương: 85-100đ)",IF(P233&gt;=70,"Tier A (Vàng: 70-84đ)",IF(P233&gt;=61,"Tier B+ / Cấp A (Hot Lead: 61-69đ)",IF(P233&gt;=50,"Tier B (Bạc: 50-60đ)","Tier C (Đồng: 30-49đ)")))))</f>
        <v/>
      </c>
      <c r="R233" s="6" t="inlineStr">
        <is>
          <t>Trọn gói Take-Home Starter Kit V2/V3 (Cỏ nhân tạo + Khay Potty + Đồ chơi Teething/Snuggle)</t>
        </is>
      </c>
      <c r="S233" s="6" t="inlineStr">
        <is>
          <t>HOT LEAD (Điểm ≥61): Liên hệ Telesale/Email chào gói Starter Kit &amp; Báo giá sỉ chiết khấu BOM</t>
        </is>
      </c>
    </row>
    <row r="234">
      <c r="A234" s="59" t="n">
        <v>3457</v>
      </c>
      <c r="B234" s="15" t="inlineStr">
        <is>
          <t>Wreckingball Kennel</t>
        </is>
      </c>
      <c r="C234" s="60" t="inlineStr">
        <is>
          <t>https://www.facebook.com/profile.php?id=100088558417637</t>
        </is>
      </c>
      <c r="D234" s="9" t="inlineStr">
        <is>
          <t>Cần quét Bio Fanpage</t>
        </is>
      </c>
      <c r="E234" s="59" t="inlineStr">
        <is>
          <t>11/10/2026 11:40:41</t>
        </is>
      </c>
      <c r="F234" s="59" t="inlineStr">
        <is>
          <t>1 ngày trước</t>
        </is>
      </c>
      <c r="G234" s="61" t="n">
        <v>1</v>
      </c>
      <c r="H234" s="62" t="n">
        <v>28</v>
      </c>
      <c r="I234" s="9" t="inlineStr">
        <is>
          <t>Dog Breeder / Trại chó chuyên nghiệp (28-30đ)</t>
        </is>
      </c>
      <c r="J234" s="62" t="n">
        <v>30</v>
      </c>
      <c r="K234" s="9" t="inlineStr">
        <is>
          <t>Chưa rõ giống (Cần quét Bio)</t>
        </is>
      </c>
      <c r="L234" s="62" t="n">
        <v>0</v>
      </c>
      <c r="M234" s="62" t="n">
        <v>5</v>
      </c>
      <c r="N234" s="9" t="inlineStr">
        <is>
          <t>Amazon link not found</t>
        </is>
      </c>
      <c r="O234" s="62">
        <f>IF(N234="Selling pet toys + Artificial grass/Pet toilets (TARGET)",15,IF(N234="Selling artificial grass/pet toilets (TARGET)",10,IF(N234="Selling pet toys",7,IF(N234="There's an Amazon link, but no target sales.",3,0))))</f>
        <v/>
      </c>
      <c r="P234" s="63">
        <f>H234+J234+L234+M234+O234</f>
        <v/>
      </c>
      <c r="Q234" s="64">
        <f>IF(OR(H234=0,P234&lt;30),"Tier D (Đóng băng)",IF(P234&gt;=85,"Tier S (Kim Cương: 85-100đ)",IF(P234&gt;=70,"Tier A (Vàng: 70-84đ)",IF(P234&gt;=61,"Tier B+ / Cấp A (Hot Lead: 61-69đ)",IF(P234&gt;=50,"Tier B (Bạc: 50-60đ)","Tier C (Đồng: 30-49đ)")))))</f>
        <v/>
      </c>
      <c r="R234" s="9" t="inlineStr">
        <is>
          <t>Trọn gói Take-Home Starter Kit V2/V3 (Cỏ nhân tạo + Khay Potty + Đồ chơi Teething/Snuggle)</t>
        </is>
      </c>
      <c r="S234" s="9" t="inlineStr">
        <is>
          <t>HOT LEAD (Điểm ≥61): Liên hệ Telesale/Email chào gói Starter Kit &amp; Báo giá sỉ chiết khấu BOM</t>
        </is>
      </c>
    </row>
    <row r="235">
      <c r="A235" s="53" t="n">
        <v>212</v>
      </c>
      <c r="B235" s="12" t="inlineStr">
        <is>
          <t>Leongolden Kennel</t>
        </is>
      </c>
      <c r="C235" s="54" t="inlineStr">
        <is>
          <t>https://www.facebook.com/leongoldenkennel</t>
        </is>
      </c>
      <c r="D235" s="6" t="inlineStr">
        <is>
          <t>Cần quét Bio Fanpage</t>
        </is>
      </c>
      <c r="E235" s="53" t="inlineStr">
        <is>
          <t>11/10/2026 08:43:49</t>
        </is>
      </c>
      <c r="F235" s="53" t="inlineStr">
        <is>
          <t>1 ngày trước</t>
        </is>
      </c>
      <c r="G235" s="55" t="n">
        <v>1</v>
      </c>
      <c r="H235" s="56" t="n">
        <v>28</v>
      </c>
      <c r="I235" s="6" t="inlineStr">
        <is>
          <t>Dog Breeder / Trại chó chuyên nghiệp (28-30đ)</t>
        </is>
      </c>
      <c r="J235" s="56" t="n">
        <v>30</v>
      </c>
      <c r="K235" s="6" t="inlineStr">
        <is>
          <t>Chưa rõ giống (Cần quét Bio)</t>
        </is>
      </c>
      <c r="L235" s="56" t="n">
        <v>0</v>
      </c>
      <c r="M235" s="56" t="n">
        <v>5</v>
      </c>
      <c r="N235" s="6" t="inlineStr">
        <is>
          <t>Amazon link not found</t>
        </is>
      </c>
      <c r="O235" s="56">
        <f>IF(N235="Selling pet toys + Artificial grass/Pet toilets (TARGET)",15,IF(N235="Selling artificial grass/pet toilets (TARGET)",10,IF(N235="Selling pet toys",7,IF(N235="There's an Amazon link, but no target sales.",3,0))))</f>
        <v/>
      </c>
      <c r="P235" s="63">
        <f>H235+J235+L235+M235+O235</f>
        <v/>
      </c>
      <c r="Q235" s="64">
        <f>IF(OR(H235=0,P235&lt;30),"Tier D (Đóng băng)",IF(P235&gt;=85,"Tier S (Kim Cương: 85-100đ)",IF(P235&gt;=70,"Tier A (Vàng: 70-84đ)",IF(P235&gt;=61,"Tier B+ / Cấp A (Hot Lead: 61-69đ)",IF(P235&gt;=50,"Tier B (Bạc: 50-60đ)","Tier C (Đồng: 30-49đ)")))))</f>
        <v/>
      </c>
      <c r="R235" s="6" t="inlineStr">
        <is>
          <t>Trọn gói Take-Home Starter Kit V2/V3 (Cỏ nhân tạo + Khay Potty + Đồ chơi Teething/Snuggle)</t>
        </is>
      </c>
      <c r="S235" s="6" t="inlineStr">
        <is>
          <t>HOT LEAD (Điểm ≥61): Liên hệ Telesale/Email chào gói Starter Kit &amp; Báo giá sỉ chiết khấu BOM</t>
        </is>
      </c>
    </row>
    <row r="236">
      <c r="A236" s="59" t="n">
        <v>1540</v>
      </c>
      <c r="B236" s="15" t="inlineStr">
        <is>
          <t>Grand Oaks Kennel</t>
        </is>
      </c>
      <c r="C236" s="60" t="inlineStr">
        <is>
          <t>https://www.facebook.com/GrandOaksKennelTX</t>
        </is>
      </c>
      <c r="D236" s="9" t="inlineStr">
        <is>
          <t>Cần quét Bio Fanpage</t>
        </is>
      </c>
      <c r="E236" s="59" t="inlineStr">
        <is>
          <t>11/10/2026 01:12:24</t>
        </is>
      </c>
      <c r="F236" s="59" t="inlineStr">
        <is>
          <t>2 ngày trước</t>
        </is>
      </c>
      <c r="G236" s="61" t="n">
        <v>2</v>
      </c>
      <c r="H236" s="62" t="n">
        <v>28</v>
      </c>
      <c r="I236" s="9" t="inlineStr">
        <is>
          <t>Dog Breeder / Trại chó chuyên nghiệp (28-30đ)</t>
        </is>
      </c>
      <c r="J236" s="62" t="n">
        <v>30</v>
      </c>
      <c r="K236" s="9" t="inlineStr">
        <is>
          <t>Chưa rõ giống (Cần quét Bio)</t>
        </is>
      </c>
      <c r="L236" s="62" t="n">
        <v>0</v>
      </c>
      <c r="M236" s="62" t="n">
        <v>5</v>
      </c>
      <c r="N236" s="9" t="inlineStr">
        <is>
          <t>Amazon link not found</t>
        </is>
      </c>
      <c r="O236" s="62">
        <f>IF(N236="Selling pet toys + Artificial grass/Pet toilets (TARGET)",15,IF(N236="Selling artificial grass/pet toilets (TARGET)",10,IF(N236="Selling pet toys",7,IF(N236="There's an Amazon link, but no target sales.",3,0))))</f>
        <v/>
      </c>
      <c r="P236" s="63">
        <f>H236+J236+L236+M236+O236</f>
        <v/>
      </c>
      <c r="Q236" s="64">
        <f>IF(OR(H236=0,P236&lt;30),"Tier D (Đóng băng)",IF(P236&gt;=85,"Tier S (Kim Cương: 85-100đ)",IF(P236&gt;=70,"Tier A (Vàng: 70-84đ)",IF(P236&gt;=61,"Tier B+ / Cấp A (Hot Lead: 61-69đ)",IF(P236&gt;=50,"Tier B (Bạc: 50-60đ)","Tier C (Đồng: 30-49đ)")))))</f>
        <v/>
      </c>
      <c r="R236" s="9" t="inlineStr">
        <is>
          <t>Trọn gói Take-Home Starter Kit V2/V3 (Cỏ nhân tạo + Khay Potty + Đồ chơi Teething/Snuggle)</t>
        </is>
      </c>
      <c r="S236" s="9" t="inlineStr">
        <is>
          <t>HOT LEAD (Điểm ≥61): Liên hệ Telesale/Email chào gói Starter Kit &amp; Báo giá sỉ chiết khấu BOM</t>
        </is>
      </c>
    </row>
    <row r="237">
      <c r="A237" s="53" t="n">
        <v>883</v>
      </c>
      <c r="B237" s="12" t="inlineStr">
        <is>
          <t>Charming Verve Kennel</t>
        </is>
      </c>
      <c r="C237" s="54" t="inlineStr">
        <is>
          <t>https://www.facebook.com/charmingverve</t>
        </is>
      </c>
      <c r="D237" s="6" t="inlineStr">
        <is>
          <t>Cần quét Bio Fanpage</t>
        </is>
      </c>
      <c r="E237" s="53" t="inlineStr">
        <is>
          <t>10/10/2026 19:00:45</t>
        </is>
      </c>
      <c r="F237" s="53" t="inlineStr">
        <is>
          <t>2 ngày trước</t>
        </is>
      </c>
      <c r="G237" s="55" t="n">
        <v>2</v>
      </c>
      <c r="H237" s="56" t="n">
        <v>28</v>
      </c>
      <c r="I237" s="6" t="inlineStr">
        <is>
          <t>Dog Breeder / Trại chó chuyên nghiệp (28-30đ)</t>
        </is>
      </c>
      <c r="J237" s="56" t="n">
        <v>30</v>
      </c>
      <c r="K237" s="6" t="inlineStr">
        <is>
          <t>Chưa rõ giống (Cần quét Bio)</t>
        </is>
      </c>
      <c r="L237" s="56" t="n">
        <v>0</v>
      </c>
      <c r="M237" s="56" t="n">
        <v>5</v>
      </c>
      <c r="N237" s="6" t="inlineStr">
        <is>
          <t>Amazon link not found</t>
        </is>
      </c>
      <c r="O237" s="56">
        <f>IF(N237="Selling pet toys + Artificial grass/Pet toilets (TARGET)",15,IF(N237="Selling artificial grass/pet toilets (TARGET)",10,IF(N237="Selling pet toys",7,IF(N237="There's an Amazon link, but no target sales.",3,0))))</f>
        <v/>
      </c>
      <c r="P237" s="63">
        <f>H237+J237+L237+M237+O237</f>
        <v/>
      </c>
      <c r="Q237" s="64">
        <f>IF(OR(H237=0,P237&lt;30),"Tier D (Đóng băng)",IF(P237&gt;=85,"Tier S (Kim Cương: 85-100đ)",IF(P237&gt;=70,"Tier A (Vàng: 70-84đ)",IF(P237&gt;=61,"Tier B+ / Cấp A (Hot Lead: 61-69đ)",IF(P237&gt;=50,"Tier B (Bạc: 50-60đ)","Tier C (Đồng: 30-49đ)")))))</f>
        <v/>
      </c>
      <c r="R237" s="6" t="inlineStr">
        <is>
          <t>Trọn gói Take-Home Starter Kit V2/V3 (Cỏ nhân tạo + Khay Potty + Đồ chơi Teething/Snuggle)</t>
        </is>
      </c>
      <c r="S237" s="6" t="inlineStr">
        <is>
          <t>HOT LEAD (Điểm ≥61): Liên hệ Telesale/Email chào gói Starter Kit &amp; Báo giá sỉ chiết khấu BOM</t>
        </is>
      </c>
    </row>
    <row r="238">
      <c r="A238" s="59" t="n">
        <v>1915</v>
      </c>
      <c r="B238" s="15" t="inlineStr">
        <is>
          <t>Kennel Zaijas-koirat</t>
        </is>
      </c>
      <c r="C238" s="60" t="inlineStr">
        <is>
          <t>https://www.facebook.com/kennelzaijas</t>
        </is>
      </c>
      <c r="D238" s="9" t="inlineStr">
        <is>
          <t>Cần quét Bio Fanpage</t>
        </is>
      </c>
      <c r="E238" s="59" t="inlineStr">
        <is>
          <t>10/10/2026 18:37:29</t>
        </is>
      </c>
      <c r="F238" s="59" t="inlineStr">
        <is>
          <t>2 ngày trước</t>
        </is>
      </c>
      <c r="G238" s="61" t="n">
        <v>2</v>
      </c>
      <c r="H238" s="62" t="n">
        <v>28</v>
      </c>
      <c r="I238" s="9" t="inlineStr">
        <is>
          <t>Dog Breeder / Trại chó chuyên nghiệp (28-30đ)</t>
        </is>
      </c>
      <c r="J238" s="62" t="n">
        <v>30</v>
      </c>
      <c r="K238" s="9" t="inlineStr">
        <is>
          <t>Chưa rõ giống (Cần quét Bio)</t>
        </is>
      </c>
      <c r="L238" s="62" t="n">
        <v>0</v>
      </c>
      <c r="M238" s="62" t="n">
        <v>5</v>
      </c>
      <c r="N238" s="9" t="inlineStr">
        <is>
          <t>Amazon link not found</t>
        </is>
      </c>
      <c r="O238" s="62">
        <f>IF(N238="Selling pet toys + Artificial grass/Pet toilets (TARGET)",15,IF(N238="Selling artificial grass/pet toilets (TARGET)",10,IF(N238="Selling pet toys",7,IF(N238="There's an Amazon link, but no target sales.",3,0))))</f>
        <v/>
      </c>
      <c r="P238" s="63">
        <f>H238+J238+L238+M238+O238</f>
        <v/>
      </c>
      <c r="Q238" s="64">
        <f>IF(OR(H238=0,P238&lt;30),"Tier D (Đóng băng)",IF(P238&gt;=85,"Tier S (Kim Cương: 85-100đ)",IF(P238&gt;=70,"Tier A (Vàng: 70-84đ)",IF(P238&gt;=61,"Tier B+ / Cấp A (Hot Lead: 61-69đ)",IF(P238&gt;=50,"Tier B (Bạc: 50-60đ)","Tier C (Đồng: 30-49đ)")))))</f>
        <v/>
      </c>
      <c r="R238" s="9" t="inlineStr">
        <is>
          <t>Trọn gói Take-Home Starter Kit V2/V3 (Cỏ nhân tạo + Khay Potty + Đồ chơi Teething/Snuggle)</t>
        </is>
      </c>
      <c r="S238" s="9" t="inlineStr">
        <is>
          <t>HOT LEAD (Điểm ≥61): Liên hệ Telesale/Email chào gói Starter Kit &amp; Báo giá sỉ chiết khấu BOM</t>
        </is>
      </c>
    </row>
    <row r="239">
      <c r="A239" s="53" t="n">
        <v>1628</v>
      </c>
      <c r="B239" s="12" t="inlineStr">
        <is>
          <t>Hawaiian Teddybear Puppies</t>
        </is>
      </c>
      <c r="C239" s="54" t="inlineStr">
        <is>
          <t>https://www.facebook.com/doodranchmaui</t>
        </is>
      </c>
      <c r="D239" s="6" t="inlineStr">
        <is>
          <t>Cần quét Bio Fanpage</t>
        </is>
      </c>
      <c r="E239" s="53" t="inlineStr">
        <is>
          <t>10/10/2026 11:17:27</t>
        </is>
      </c>
      <c r="F239" s="53" t="inlineStr">
        <is>
          <t>2 ngày trước</t>
        </is>
      </c>
      <c r="G239" s="55" t="n">
        <v>2</v>
      </c>
      <c r="H239" s="56" t="n">
        <v>28</v>
      </c>
      <c r="I239" s="6" t="inlineStr">
        <is>
          <t>Dog Breeder / Trại chó chuyên nghiệp (28-30đ)</t>
        </is>
      </c>
      <c r="J239" s="56" t="n">
        <v>30</v>
      </c>
      <c r="K239" s="6" t="inlineStr">
        <is>
          <t>Chưa rõ giống (Cần quét Bio)</t>
        </is>
      </c>
      <c r="L239" s="56" t="n">
        <v>0</v>
      </c>
      <c r="M239" s="56" t="n">
        <v>5</v>
      </c>
      <c r="N239" s="6" t="inlineStr">
        <is>
          <t>Amazon link not found</t>
        </is>
      </c>
      <c r="O239" s="56">
        <f>IF(N239="Selling pet toys + Artificial grass/Pet toilets (TARGET)",15,IF(N239="Selling artificial grass/pet toilets (TARGET)",10,IF(N239="Selling pet toys",7,IF(N239="There's an Amazon link, but no target sales.",3,0))))</f>
        <v/>
      </c>
      <c r="P239" s="63">
        <f>H239+J239+L239+M239+O239</f>
        <v/>
      </c>
      <c r="Q239" s="64">
        <f>IF(OR(H239=0,P239&lt;30),"Tier D (Đóng băng)",IF(P239&gt;=85,"Tier S (Kim Cương: 85-100đ)",IF(P239&gt;=70,"Tier A (Vàng: 70-84đ)",IF(P239&gt;=61,"Tier B+ / Cấp A (Hot Lead: 61-69đ)",IF(P239&gt;=50,"Tier B (Bạc: 50-60đ)","Tier C (Đồng: 30-49đ)")))))</f>
        <v/>
      </c>
      <c r="R239" s="6" t="inlineStr">
        <is>
          <t>Trọn gói Take-Home Starter Kit V2/V3 (Cỏ nhân tạo + Khay Potty + Đồ chơi Teething/Snuggle)</t>
        </is>
      </c>
      <c r="S239" s="6" t="inlineStr">
        <is>
          <t>HOT LEAD (Điểm ≥61): Liên hệ Telesale/Email chào gói Starter Kit &amp; Báo giá sỉ chiết khấu BOM</t>
        </is>
      </c>
    </row>
    <row r="240">
      <c r="A240" s="59" t="n">
        <v>3038</v>
      </c>
      <c r="B240" s="15" t="inlineStr">
        <is>
          <t>SVG Kennels</t>
        </is>
      </c>
      <c r="C240" s="60" t="inlineStr">
        <is>
          <t>https://www.facebook.com/profile.php?id=100095075891304</t>
        </is>
      </c>
      <c r="D240" s="9" t="inlineStr">
        <is>
          <t>Cần quét Bio Fanpage</t>
        </is>
      </c>
      <c r="E240" s="59" t="inlineStr">
        <is>
          <t>10/10/2026 10:17:31</t>
        </is>
      </c>
      <c r="F240" s="59" t="inlineStr">
        <is>
          <t>2 ngày trước</t>
        </is>
      </c>
      <c r="G240" s="61" t="n">
        <v>2</v>
      </c>
      <c r="H240" s="62" t="n">
        <v>28</v>
      </c>
      <c r="I240" s="9" t="inlineStr">
        <is>
          <t>Dog Breeder / Trại chó chuyên nghiệp (28-30đ)</t>
        </is>
      </c>
      <c r="J240" s="62" t="n">
        <v>30</v>
      </c>
      <c r="K240" s="9" t="inlineStr">
        <is>
          <t>Chưa rõ giống (Cần quét Bio)</t>
        </is>
      </c>
      <c r="L240" s="62" t="n">
        <v>0</v>
      </c>
      <c r="M240" s="62" t="n">
        <v>5</v>
      </c>
      <c r="N240" s="9" t="inlineStr">
        <is>
          <t>Amazon link not found</t>
        </is>
      </c>
      <c r="O240" s="62">
        <f>IF(N240="Selling pet toys + Artificial grass/Pet toilets (TARGET)",15,IF(N240="Selling artificial grass/pet toilets (TARGET)",10,IF(N240="Selling pet toys",7,IF(N240="There's an Amazon link, but no target sales.",3,0))))</f>
        <v/>
      </c>
      <c r="P240" s="63">
        <f>H240+J240+L240+M240+O240</f>
        <v/>
      </c>
      <c r="Q240" s="64">
        <f>IF(OR(H240=0,P240&lt;30),"Tier D (Đóng băng)",IF(P240&gt;=85,"Tier S (Kim Cương: 85-100đ)",IF(P240&gt;=70,"Tier A (Vàng: 70-84đ)",IF(P240&gt;=61,"Tier B+ / Cấp A (Hot Lead: 61-69đ)",IF(P240&gt;=50,"Tier B (Bạc: 50-60đ)","Tier C (Đồng: 30-49đ)")))))</f>
        <v/>
      </c>
      <c r="R240" s="9" t="inlineStr">
        <is>
          <t>Trọn gói Take-Home Starter Kit V2/V3 (Cỏ nhân tạo + Khay Potty + Đồ chơi Teething/Snuggle)</t>
        </is>
      </c>
      <c r="S240" s="9" t="inlineStr">
        <is>
          <t>HOT LEAD (Điểm ≥61): Liên hệ Telesale/Email chào gói Starter Kit &amp; Báo giá sỉ chiết khấu BOM</t>
        </is>
      </c>
    </row>
    <row r="241">
      <c r="A241" s="53" t="n">
        <v>2582</v>
      </c>
      <c r="B241" s="12" t="inlineStr">
        <is>
          <t>Pitter Patter Puppies</t>
        </is>
      </c>
      <c r="C241" s="54" t="inlineStr">
        <is>
          <t>https://www.facebook.com/pitterpatterpup</t>
        </is>
      </c>
      <c r="D241" s="6" t="inlineStr">
        <is>
          <t>Cần quét Bio Fanpage</t>
        </is>
      </c>
      <c r="E241" s="53" t="inlineStr">
        <is>
          <t>10/10/2026 10:17:00</t>
        </is>
      </c>
      <c r="F241" s="53" t="inlineStr">
        <is>
          <t>2 ngày trước</t>
        </is>
      </c>
      <c r="G241" s="55" t="n">
        <v>2</v>
      </c>
      <c r="H241" s="56" t="n">
        <v>28</v>
      </c>
      <c r="I241" s="6" t="inlineStr">
        <is>
          <t>Dog Breeder / Trại chó chuyên nghiệp (28-30đ)</t>
        </is>
      </c>
      <c r="J241" s="56" t="n">
        <v>30</v>
      </c>
      <c r="K241" s="6" t="inlineStr">
        <is>
          <t>Chưa rõ giống (Cần quét Bio)</t>
        </is>
      </c>
      <c r="L241" s="56" t="n">
        <v>0</v>
      </c>
      <c r="M241" s="56" t="n">
        <v>5</v>
      </c>
      <c r="N241" s="6" t="inlineStr">
        <is>
          <t>Amazon link not found</t>
        </is>
      </c>
      <c r="O241" s="56">
        <f>IF(N241="Selling pet toys + Artificial grass/Pet toilets (TARGET)",15,IF(N241="Selling artificial grass/pet toilets (TARGET)",10,IF(N241="Selling pet toys",7,IF(N241="There's an Amazon link, but no target sales.",3,0))))</f>
        <v/>
      </c>
      <c r="P241" s="63">
        <f>H241+J241+L241+M241+O241</f>
        <v/>
      </c>
      <c r="Q241" s="64">
        <f>IF(OR(H241=0,P241&lt;30),"Tier D (Đóng băng)",IF(P241&gt;=85,"Tier S (Kim Cương: 85-100đ)",IF(P241&gt;=70,"Tier A (Vàng: 70-84đ)",IF(P241&gt;=61,"Tier B+ / Cấp A (Hot Lead: 61-69đ)",IF(P241&gt;=50,"Tier B (Bạc: 50-60đ)","Tier C (Đồng: 30-49đ)")))))</f>
        <v/>
      </c>
      <c r="R241" s="6" t="inlineStr">
        <is>
          <t>Trọn gói Take-Home Starter Kit V2/V3 (Cỏ nhân tạo + Khay Potty + Đồ chơi Teething/Snuggle)</t>
        </is>
      </c>
      <c r="S241" s="6" t="inlineStr">
        <is>
          <t>HOT LEAD (Điểm ≥61): Liên hệ Telesale/Email chào gói Starter Kit &amp; Báo giá sỉ chiết khấu BOM</t>
        </is>
      </c>
    </row>
    <row r="242">
      <c r="A242" s="59" t="n">
        <v>3403</v>
      </c>
      <c r="B242" s="15" t="inlineStr">
        <is>
          <t>White Swiss Shepherd By Dogkingdom Kennel</t>
        </is>
      </c>
      <c r="C242" s="60" t="inlineStr">
        <is>
          <t>https://www.facebook.com/profile.php?id=61580587514041</t>
        </is>
      </c>
      <c r="D242" s="9" t="inlineStr">
        <is>
          <t>Cần quét Bio Fanpage</t>
        </is>
      </c>
      <c r="E242" s="59" t="inlineStr">
        <is>
          <t>10/10/2026 10:00:00</t>
        </is>
      </c>
      <c r="F242" s="59" t="inlineStr">
        <is>
          <t>2 ngày trước</t>
        </is>
      </c>
      <c r="G242" s="61" t="n">
        <v>2</v>
      </c>
      <c r="H242" s="62" t="n">
        <v>28</v>
      </c>
      <c r="I242" s="9" t="inlineStr">
        <is>
          <t>Dog Breeder / Trại chó chuyên nghiệp (28-30đ)</t>
        </is>
      </c>
      <c r="J242" s="62" t="n">
        <v>30</v>
      </c>
      <c r="K242" s="9" t="inlineStr">
        <is>
          <t>Chưa rõ giống (Cần quét Bio)</t>
        </is>
      </c>
      <c r="L242" s="62" t="n">
        <v>0</v>
      </c>
      <c r="M242" s="62" t="n">
        <v>5</v>
      </c>
      <c r="N242" s="9" t="inlineStr">
        <is>
          <t>Amazon link not found</t>
        </is>
      </c>
      <c r="O242" s="62">
        <f>IF(N242="Selling pet toys + Artificial grass/Pet toilets (TARGET)",15,IF(N242="Selling artificial grass/pet toilets (TARGET)",10,IF(N242="Selling pet toys",7,IF(N242="There's an Amazon link, but no target sales.",3,0))))</f>
        <v/>
      </c>
      <c r="P242" s="63">
        <f>H242+J242+L242+M242+O242</f>
        <v/>
      </c>
      <c r="Q242" s="64">
        <f>IF(OR(H242=0,P242&lt;30),"Tier D (Đóng băng)",IF(P242&gt;=85,"Tier S (Kim Cương: 85-100đ)",IF(P242&gt;=70,"Tier A (Vàng: 70-84đ)",IF(P242&gt;=61,"Tier B+ / Cấp A (Hot Lead: 61-69đ)",IF(P242&gt;=50,"Tier B (Bạc: 50-60đ)","Tier C (Đồng: 30-49đ)")))))</f>
        <v/>
      </c>
      <c r="R242" s="9" t="inlineStr">
        <is>
          <t>Trọn gói Take-Home Starter Kit V2/V3 (Cỏ nhân tạo + Khay Potty + Đồ chơi Teething/Snuggle)</t>
        </is>
      </c>
      <c r="S242" s="9" t="inlineStr">
        <is>
          <t>HOT LEAD (Điểm ≥61): Liên hệ Telesale/Email chào gói Starter Kit &amp; Báo giá sỉ chiết khấu BOM</t>
        </is>
      </c>
    </row>
    <row r="243">
      <c r="A243" s="53" t="n">
        <v>2121</v>
      </c>
      <c r="B243" s="12" t="inlineStr">
        <is>
          <t>Marathon Kennels</t>
        </is>
      </c>
      <c r="C243" s="54" t="inlineStr">
        <is>
          <t>https://www.facebook.com/profile.php?id=61577059083903</t>
        </is>
      </c>
      <c r="D243" s="6" t="inlineStr">
        <is>
          <t>Cần quét Bio Fanpage</t>
        </is>
      </c>
      <c r="E243" s="53" t="inlineStr">
        <is>
          <t>10/10/2026 06:01:52</t>
        </is>
      </c>
      <c r="F243" s="53" t="inlineStr">
        <is>
          <t>2 ngày trước</t>
        </is>
      </c>
      <c r="G243" s="55" t="n">
        <v>2</v>
      </c>
      <c r="H243" s="56" t="n">
        <v>28</v>
      </c>
      <c r="I243" s="6" t="inlineStr">
        <is>
          <t>Dog Breeder / Trại chó chuyên nghiệp (28-30đ)</t>
        </is>
      </c>
      <c r="J243" s="56" t="n">
        <v>30</v>
      </c>
      <c r="K243" s="6" t="inlineStr">
        <is>
          <t>Chưa rõ giống (Cần quét Bio)</t>
        </is>
      </c>
      <c r="L243" s="56" t="n">
        <v>0</v>
      </c>
      <c r="M243" s="56" t="n">
        <v>5</v>
      </c>
      <c r="N243" s="6" t="inlineStr">
        <is>
          <t>Amazon link not found</t>
        </is>
      </c>
      <c r="O243" s="56">
        <f>IF(N243="Selling pet toys + Artificial grass/Pet toilets (TARGET)",15,IF(N243="Selling artificial grass/pet toilets (TARGET)",10,IF(N243="Selling pet toys",7,IF(N243="There's an Amazon link, but no target sales.",3,0))))</f>
        <v/>
      </c>
      <c r="P243" s="63">
        <f>H243+J243+L243+M243+O243</f>
        <v/>
      </c>
      <c r="Q243" s="64">
        <f>IF(OR(H243=0,P243&lt;30),"Tier D (Đóng băng)",IF(P243&gt;=85,"Tier S (Kim Cương: 85-100đ)",IF(P243&gt;=70,"Tier A (Vàng: 70-84đ)",IF(P243&gt;=61,"Tier B+ / Cấp A (Hot Lead: 61-69đ)",IF(P243&gt;=50,"Tier B (Bạc: 50-60đ)","Tier C (Đồng: 30-49đ)")))))</f>
        <v/>
      </c>
      <c r="R243" s="6" t="inlineStr">
        <is>
          <t>Trọn gói Take-Home Starter Kit V2/V3 (Cỏ nhân tạo + Khay Potty + Đồ chơi Teething/Snuggle)</t>
        </is>
      </c>
      <c r="S243" s="6" t="inlineStr">
        <is>
          <t>HOT LEAD (Điểm ≥61): Liên hệ Telesale/Email chào gói Starter Kit &amp; Báo giá sỉ chiết khấu BOM</t>
        </is>
      </c>
    </row>
    <row r="244">
      <c r="A244" s="59" t="n">
        <v>598</v>
      </c>
      <c r="B244" s="15" t="inlineStr">
        <is>
          <t>Basiadan Kennel</t>
        </is>
      </c>
      <c r="C244" s="60" t="inlineStr">
        <is>
          <t>https://www.facebook.com/basiadankennel</t>
        </is>
      </c>
      <c r="D244" s="9" t="inlineStr">
        <is>
          <t>Cần quét Bio Fanpage</t>
        </is>
      </c>
      <c r="E244" s="59" t="inlineStr">
        <is>
          <t>10/10/2026 04:41:07</t>
        </is>
      </c>
      <c r="F244" s="59" t="inlineStr">
        <is>
          <t>2 ngày trước</t>
        </is>
      </c>
      <c r="G244" s="61" t="n">
        <v>2</v>
      </c>
      <c r="H244" s="62" t="n">
        <v>28</v>
      </c>
      <c r="I244" s="9" t="inlineStr">
        <is>
          <t>Dog Breeder / Trại chó chuyên nghiệp (28-30đ)</t>
        </is>
      </c>
      <c r="J244" s="62" t="n">
        <v>30</v>
      </c>
      <c r="K244" s="9" t="inlineStr">
        <is>
          <t>Chưa rõ giống (Cần quét Bio)</t>
        </is>
      </c>
      <c r="L244" s="62" t="n">
        <v>0</v>
      </c>
      <c r="M244" s="62" t="n">
        <v>5</v>
      </c>
      <c r="N244" s="9" t="inlineStr">
        <is>
          <t>Amazon link not found</t>
        </is>
      </c>
      <c r="O244" s="62">
        <f>IF(N244="Selling pet toys + Artificial grass/Pet toilets (TARGET)",15,IF(N244="Selling artificial grass/pet toilets (TARGET)",10,IF(N244="Selling pet toys",7,IF(N244="There's an Amazon link, but no target sales.",3,0))))</f>
        <v/>
      </c>
      <c r="P244" s="63">
        <f>H244+J244+L244+M244+O244</f>
        <v/>
      </c>
      <c r="Q244" s="64">
        <f>IF(OR(H244=0,P244&lt;30),"Tier D (Đóng băng)",IF(P244&gt;=85,"Tier S (Kim Cương: 85-100đ)",IF(P244&gt;=70,"Tier A (Vàng: 70-84đ)",IF(P244&gt;=61,"Tier B+ / Cấp A (Hot Lead: 61-69đ)",IF(P244&gt;=50,"Tier B (Bạc: 50-60đ)","Tier C (Đồng: 30-49đ)")))))</f>
        <v/>
      </c>
      <c r="R244" s="9" t="inlineStr">
        <is>
          <t>Trọn gói Take-Home Starter Kit V2/V3 (Cỏ nhân tạo + Khay Potty + Đồ chơi Teething/Snuggle)</t>
        </is>
      </c>
      <c r="S244" s="9" t="inlineStr">
        <is>
          <t>HOT LEAD (Điểm ≥61): Liên hệ Telesale/Email chào gói Starter Kit &amp; Báo giá sỉ chiết khấu BOM</t>
        </is>
      </c>
    </row>
    <row r="245">
      <c r="A245" s="53" t="n">
        <v>2761</v>
      </c>
      <c r="B245" s="12" t="inlineStr">
        <is>
          <t>Roan Creek Kennels</t>
        </is>
      </c>
      <c r="C245" s="54" t="inlineStr">
        <is>
          <t>https://www.facebook.com/roancreekkennels</t>
        </is>
      </c>
      <c r="D245" s="6" t="inlineStr">
        <is>
          <t>Cần quét Bio Fanpage</t>
        </is>
      </c>
      <c r="E245" s="53" t="inlineStr">
        <is>
          <t>10/10/2026 02:33:16</t>
        </is>
      </c>
      <c r="F245" s="53" t="inlineStr">
        <is>
          <t>3 ngày trước</t>
        </is>
      </c>
      <c r="G245" s="55" t="n">
        <v>3</v>
      </c>
      <c r="H245" s="56" t="n">
        <v>28</v>
      </c>
      <c r="I245" s="6" t="inlineStr">
        <is>
          <t>Dog Breeder / Trại chó chuyên nghiệp (28-30đ)</t>
        </is>
      </c>
      <c r="J245" s="56" t="n">
        <v>30</v>
      </c>
      <c r="K245" s="6" t="inlineStr">
        <is>
          <t>Chưa rõ giống (Cần quét Bio)</t>
        </is>
      </c>
      <c r="L245" s="56" t="n">
        <v>0</v>
      </c>
      <c r="M245" s="56" t="n">
        <v>5</v>
      </c>
      <c r="N245" s="6" t="inlineStr">
        <is>
          <t>Amazon link not found</t>
        </is>
      </c>
      <c r="O245" s="56">
        <f>IF(N245="Selling pet toys + Artificial grass/Pet toilets (TARGET)",15,IF(N245="Selling artificial grass/pet toilets (TARGET)",10,IF(N245="Selling pet toys",7,IF(N245="There's an Amazon link, but no target sales.",3,0))))</f>
        <v/>
      </c>
      <c r="P245" s="63">
        <f>H245+J245+L245+M245+O245</f>
        <v/>
      </c>
      <c r="Q245" s="64">
        <f>IF(OR(H245=0,P245&lt;30),"Tier D (Đóng băng)",IF(P245&gt;=85,"Tier S (Kim Cương: 85-100đ)",IF(P245&gt;=70,"Tier A (Vàng: 70-84đ)",IF(P245&gt;=61,"Tier B+ / Cấp A (Hot Lead: 61-69đ)",IF(P245&gt;=50,"Tier B (Bạc: 50-60đ)","Tier C (Đồng: 30-49đ)")))))</f>
        <v/>
      </c>
      <c r="R245" s="6" t="inlineStr">
        <is>
          <t>Trọn gói Take-Home Starter Kit V2/V3 (Cỏ nhân tạo + Khay Potty + Đồ chơi Teething/Snuggle)</t>
        </is>
      </c>
      <c r="S245" s="6" t="inlineStr">
        <is>
          <t>HOT LEAD (Điểm ≥61): Liên hệ Telesale/Email chào gói Starter Kit &amp; Báo giá sỉ chiết khấu BOM</t>
        </is>
      </c>
    </row>
    <row r="246">
      <c r="A246" s="59" t="n">
        <v>2658</v>
      </c>
      <c r="B246" s="15" t="inlineStr">
        <is>
          <t>Puppies and Golf</t>
        </is>
      </c>
      <c r="C246" s="60" t="inlineStr">
        <is>
          <t>https://www.facebook.com/profile.php?id=100077811506711</t>
        </is>
      </c>
      <c r="D246" s="9" t="inlineStr">
        <is>
          <t>Cần quét Bio Fanpage</t>
        </is>
      </c>
      <c r="E246" s="59" t="inlineStr">
        <is>
          <t>10/10/2026 02:00:18</t>
        </is>
      </c>
      <c r="F246" s="59" t="inlineStr">
        <is>
          <t>3 ngày trước</t>
        </is>
      </c>
      <c r="G246" s="61" t="n">
        <v>3</v>
      </c>
      <c r="H246" s="62" t="n">
        <v>28</v>
      </c>
      <c r="I246" s="9" t="inlineStr">
        <is>
          <t>Dog Breeder / Trại chó chuyên nghiệp (28-30đ)</t>
        </is>
      </c>
      <c r="J246" s="62" t="n">
        <v>30</v>
      </c>
      <c r="K246" s="9" t="inlineStr">
        <is>
          <t>Chưa rõ giống (Cần quét Bio)</t>
        </is>
      </c>
      <c r="L246" s="62" t="n">
        <v>0</v>
      </c>
      <c r="M246" s="62" t="n">
        <v>5</v>
      </c>
      <c r="N246" s="9" t="inlineStr">
        <is>
          <t>Amazon link not found</t>
        </is>
      </c>
      <c r="O246" s="62">
        <f>IF(N246="Selling pet toys + Artificial grass/Pet toilets (TARGET)",15,IF(N246="Selling artificial grass/pet toilets (TARGET)",10,IF(N246="Selling pet toys",7,IF(N246="There's an Amazon link, but no target sales.",3,0))))</f>
        <v/>
      </c>
      <c r="P246" s="63">
        <f>H246+J246+L246+M246+O246</f>
        <v/>
      </c>
      <c r="Q246" s="64">
        <f>IF(OR(H246=0,P246&lt;30),"Tier D (Đóng băng)",IF(P246&gt;=85,"Tier S (Kim Cương: 85-100đ)",IF(P246&gt;=70,"Tier A (Vàng: 70-84đ)",IF(P246&gt;=61,"Tier B+ / Cấp A (Hot Lead: 61-69đ)",IF(P246&gt;=50,"Tier B (Bạc: 50-60đ)","Tier C (Đồng: 30-49đ)")))))</f>
        <v/>
      </c>
      <c r="R246" s="9" t="inlineStr">
        <is>
          <t>Trọn gói Take-Home Starter Kit V2/V3 (Cỏ nhân tạo + Khay Potty + Đồ chơi Teething/Snuggle)</t>
        </is>
      </c>
      <c r="S246" s="9" t="inlineStr">
        <is>
          <t>HOT LEAD (Điểm ≥61): Liên hệ Telesale/Email chào gói Starter Kit &amp; Báo giá sỉ chiết khấu BOM</t>
        </is>
      </c>
    </row>
    <row r="247">
      <c r="A247" s="53" t="n">
        <v>2426</v>
      </c>
      <c r="B247" s="12" t="inlineStr">
        <is>
          <t>Peggy's Puppies At Graystone</t>
        </is>
      </c>
      <c r="C247" s="54" t="inlineStr">
        <is>
          <t>https://www.facebook.com/peggyspuppiesatgraystone</t>
        </is>
      </c>
      <c r="D247" s="6" t="inlineStr">
        <is>
          <t>Cần quét Bio Fanpage</t>
        </is>
      </c>
      <c r="E247" s="53" t="inlineStr">
        <is>
          <t>10/10/2026 00:53:56</t>
        </is>
      </c>
      <c r="F247" s="53" t="inlineStr">
        <is>
          <t>3 ngày trước</t>
        </is>
      </c>
      <c r="G247" s="55" t="n">
        <v>3</v>
      </c>
      <c r="H247" s="56" t="n">
        <v>28</v>
      </c>
      <c r="I247" s="6" t="inlineStr">
        <is>
          <t>Dog Breeder / Trại chó chuyên nghiệp (28-30đ)</t>
        </is>
      </c>
      <c r="J247" s="56" t="n">
        <v>30</v>
      </c>
      <c r="K247" s="6" t="inlineStr">
        <is>
          <t>Chưa rõ giống (Cần quét Bio)</t>
        </is>
      </c>
      <c r="L247" s="56" t="n">
        <v>0</v>
      </c>
      <c r="M247" s="56" t="n">
        <v>5</v>
      </c>
      <c r="N247" s="6" t="inlineStr">
        <is>
          <t>Amazon link not found</t>
        </is>
      </c>
      <c r="O247" s="56">
        <f>IF(N247="Selling pet toys + Artificial grass/Pet toilets (TARGET)",15,IF(N247="Selling artificial grass/pet toilets (TARGET)",10,IF(N247="Selling pet toys",7,IF(N247="There's an Amazon link, but no target sales.",3,0))))</f>
        <v/>
      </c>
      <c r="P247" s="63">
        <f>H247+J247+L247+M247+O247</f>
        <v/>
      </c>
      <c r="Q247" s="64">
        <f>IF(OR(H247=0,P247&lt;30),"Tier D (Đóng băng)",IF(P247&gt;=85,"Tier S (Kim Cương: 85-100đ)",IF(P247&gt;=70,"Tier A (Vàng: 70-84đ)",IF(P247&gt;=61,"Tier B+ / Cấp A (Hot Lead: 61-69đ)",IF(P247&gt;=50,"Tier B (Bạc: 50-60đ)","Tier C (Đồng: 30-49đ)")))))</f>
        <v/>
      </c>
      <c r="R247" s="6" t="inlineStr">
        <is>
          <t>Trọn gói Take-Home Starter Kit V2/V3 (Cỏ nhân tạo + Khay Potty + Đồ chơi Teething/Snuggle)</t>
        </is>
      </c>
      <c r="S247" s="6" t="inlineStr">
        <is>
          <t>HOT LEAD (Điểm ≥61): Liên hệ Telesale/Email chào gói Starter Kit &amp; Báo giá sỉ chiết khấu BOM</t>
        </is>
      </c>
    </row>
    <row r="248">
      <c r="A248" s="59" t="n">
        <v>379</v>
      </c>
      <c r="B248" s="15" t="inlineStr">
        <is>
          <t>All Mine Kennel</t>
        </is>
      </c>
      <c r="C248" s="60" t="inlineStr">
        <is>
          <t>https://www.facebook.com/profile.php?id=61556955868341</t>
        </is>
      </c>
      <c r="D248" s="9" t="inlineStr">
        <is>
          <t>Cần quét Bio Fanpage</t>
        </is>
      </c>
      <c r="E248" s="59" t="inlineStr">
        <is>
          <t>09/10/2026 22:44:58</t>
        </is>
      </c>
      <c r="F248" s="59" t="inlineStr">
        <is>
          <t>3 ngày trước</t>
        </is>
      </c>
      <c r="G248" s="61" t="n">
        <v>3</v>
      </c>
      <c r="H248" s="62" t="n">
        <v>28</v>
      </c>
      <c r="I248" s="9" t="inlineStr">
        <is>
          <t>Dog Breeder / Trại chó chuyên nghiệp (28-30đ)</t>
        </is>
      </c>
      <c r="J248" s="62" t="n">
        <v>30</v>
      </c>
      <c r="K248" s="9" t="inlineStr">
        <is>
          <t>Chưa rõ giống (Cần quét Bio)</t>
        </is>
      </c>
      <c r="L248" s="62" t="n">
        <v>0</v>
      </c>
      <c r="M248" s="62" t="n">
        <v>5</v>
      </c>
      <c r="N248" s="9" t="inlineStr">
        <is>
          <t>Amazon link not found</t>
        </is>
      </c>
      <c r="O248" s="62">
        <f>IF(N248="Selling pet toys + Artificial grass/Pet toilets (TARGET)",15,IF(N248="Selling artificial grass/pet toilets (TARGET)",10,IF(N248="Selling pet toys",7,IF(N248="There's an Amazon link, but no target sales.",3,0))))</f>
        <v/>
      </c>
      <c r="P248" s="63">
        <f>H248+J248+L248+M248+O248</f>
        <v/>
      </c>
      <c r="Q248" s="64">
        <f>IF(OR(H248=0,P248&lt;30),"Tier D (Đóng băng)",IF(P248&gt;=85,"Tier S (Kim Cương: 85-100đ)",IF(P248&gt;=70,"Tier A (Vàng: 70-84đ)",IF(P248&gt;=61,"Tier B+ / Cấp A (Hot Lead: 61-69đ)",IF(P248&gt;=50,"Tier B (Bạc: 50-60đ)","Tier C (Đồng: 30-49đ)")))))</f>
        <v/>
      </c>
      <c r="R248" s="9" t="inlineStr">
        <is>
          <t>Trọn gói Take-Home Starter Kit V2/V3 (Cỏ nhân tạo + Khay Potty + Đồ chơi Teething/Snuggle)</t>
        </is>
      </c>
      <c r="S248" s="9" t="inlineStr">
        <is>
          <t>HOT LEAD (Điểm ≥61): Liên hệ Telesale/Email chào gói Starter Kit &amp; Báo giá sỉ chiết khấu BOM</t>
        </is>
      </c>
    </row>
    <row r="249">
      <c r="A249" s="53" t="n">
        <v>1905</v>
      </c>
      <c r="B249" s="12" t="inlineStr">
        <is>
          <t>Kennel Soy Solamente</t>
        </is>
      </c>
      <c r="C249" s="54" t="inlineStr">
        <is>
          <t>https://www.facebook.com/profile.php?id=100064336616280</t>
        </is>
      </c>
      <c r="D249" s="6" t="inlineStr">
        <is>
          <t>Cần quét Bio Fanpage</t>
        </is>
      </c>
      <c r="E249" s="53" t="inlineStr">
        <is>
          <t>09/10/2026 22:32:05</t>
        </is>
      </c>
      <c r="F249" s="53" t="inlineStr">
        <is>
          <t>3 ngày trước</t>
        </is>
      </c>
      <c r="G249" s="55" t="n">
        <v>3</v>
      </c>
      <c r="H249" s="56" t="n">
        <v>28</v>
      </c>
      <c r="I249" s="6" t="inlineStr">
        <is>
          <t>Dog Breeder / Trại chó chuyên nghiệp (28-30đ)</t>
        </is>
      </c>
      <c r="J249" s="56" t="n">
        <v>30</v>
      </c>
      <c r="K249" s="6" t="inlineStr">
        <is>
          <t>Chưa rõ giống (Cần quét Bio)</t>
        </is>
      </c>
      <c r="L249" s="56" t="n">
        <v>0</v>
      </c>
      <c r="M249" s="56" t="n">
        <v>5</v>
      </c>
      <c r="N249" s="6" t="inlineStr">
        <is>
          <t>Amazon link not found</t>
        </is>
      </c>
      <c r="O249" s="56">
        <f>IF(N249="Selling pet toys + Artificial grass/Pet toilets (TARGET)",15,IF(N249="Selling artificial grass/pet toilets (TARGET)",10,IF(N249="Selling pet toys",7,IF(N249="There's an Amazon link, but no target sales.",3,0))))</f>
        <v/>
      </c>
      <c r="P249" s="63">
        <f>H249+J249+L249+M249+O249</f>
        <v/>
      </c>
      <c r="Q249" s="64">
        <f>IF(OR(H249=0,P249&lt;30),"Tier D (Đóng băng)",IF(P249&gt;=85,"Tier S (Kim Cương: 85-100đ)",IF(P249&gt;=70,"Tier A (Vàng: 70-84đ)",IF(P249&gt;=61,"Tier B+ / Cấp A (Hot Lead: 61-69đ)",IF(P249&gt;=50,"Tier B (Bạc: 50-60đ)","Tier C (Đồng: 30-49đ)")))))</f>
        <v/>
      </c>
      <c r="R249" s="6" t="inlineStr">
        <is>
          <t>Trọn gói Take-Home Starter Kit V2/V3 (Cỏ nhân tạo + Khay Potty + Đồ chơi Teething/Snuggle)</t>
        </is>
      </c>
      <c r="S249" s="6" t="inlineStr">
        <is>
          <t>HOT LEAD (Điểm ≥61): Liên hệ Telesale/Email chào gói Starter Kit &amp; Báo giá sỉ chiết khấu BOM</t>
        </is>
      </c>
    </row>
    <row r="250">
      <c r="A250" s="59" t="n">
        <v>3440</v>
      </c>
      <c r="B250" s="15" t="inlineStr">
        <is>
          <t>Woodland View Boarding Kennels</t>
        </is>
      </c>
      <c r="C250" s="60" t="inlineStr">
        <is>
          <t>https://www.facebook.com/WoodlandViewKennels</t>
        </is>
      </c>
      <c r="D250" s="9" t="inlineStr">
        <is>
          <t>Cần quét Bio Fanpage</t>
        </is>
      </c>
      <c r="E250" s="59" t="inlineStr">
        <is>
          <t>09/10/2026 17:27:20</t>
        </is>
      </c>
      <c r="F250" s="59" t="inlineStr">
        <is>
          <t>3 ngày trước</t>
        </is>
      </c>
      <c r="G250" s="61" t="n">
        <v>3</v>
      </c>
      <c r="H250" s="62" t="n">
        <v>28</v>
      </c>
      <c r="I250" s="9" t="inlineStr">
        <is>
          <t>Dog Breeder / Trại chó chuyên nghiệp (28-30đ)</t>
        </is>
      </c>
      <c r="J250" s="62" t="n">
        <v>30</v>
      </c>
      <c r="K250" s="9" t="inlineStr">
        <is>
          <t>Chưa rõ giống (Cần quét Bio)</t>
        </is>
      </c>
      <c r="L250" s="62" t="n">
        <v>0</v>
      </c>
      <c r="M250" s="62" t="n">
        <v>5</v>
      </c>
      <c r="N250" s="9" t="inlineStr">
        <is>
          <t>Amazon link not found</t>
        </is>
      </c>
      <c r="O250" s="62">
        <f>IF(N250="Selling pet toys + Artificial grass/Pet toilets (TARGET)",15,IF(N250="Selling artificial grass/pet toilets (TARGET)",10,IF(N250="Selling pet toys",7,IF(N250="There's an Amazon link, but no target sales.",3,0))))</f>
        <v/>
      </c>
      <c r="P250" s="63">
        <f>H250+J250+L250+M250+O250</f>
        <v/>
      </c>
      <c r="Q250" s="64">
        <f>IF(OR(H250=0,P250&lt;30),"Tier D (Đóng băng)",IF(P250&gt;=85,"Tier S (Kim Cương: 85-100đ)",IF(P250&gt;=70,"Tier A (Vàng: 70-84đ)",IF(P250&gt;=61,"Tier B+ / Cấp A (Hot Lead: 61-69đ)",IF(P250&gt;=50,"Tier B (Bạc: 50-60đ)","Tier C (Đồng: 30-49đ)")))))</f>
        <v/>
      </c>
      <c r="R250" s="9" t="inlineStr">
        <is>
          <t>Trọn gói Take-Home Starter Kit V2/V3 (Cỏ nhân tạo + Khay Potty + Đồ chơi Teething/Snuggle)</t>
        </is>
      </c>
      <c r="S250" s="9" t="inlineStr">
        <is>
          <t>HOT LEAD (Điểm ≥61): Liên hệ Telesale/Email chào gói Starter Kit &amp; Báo giá sỉ chiết khấu BOM</t>
        </is>
      </c>
    </row>
    <row r="251">
      <c r="A251" s="53" t="n">
        <v>2838</v>
      </c>
      <c r="B251" s="12" t="inlineStr">
        <is>
          <t>Scandinavian Angel kennel</t>
        </is>
      </c>
      <c r="C251" s="54" t="inlineStr">
        <is>
          <t>https://www.facebook.com/profile.php?id=100089843413795</t>
        </is>
      </c>
      <c r="D251" s="6" t="inlineStr">
        <is>
          <t>Cần quét Bio Fanpage</t>
        </is>
      </c>
      <c r="E251" s="53" t="inlineStr">
        <is>
          <t>09/10/2026 16:12:36</t>
        </is>
      </c>
      <c r="F251" s="53" t="inlineStr">
        <is>
          <t>3 ngày trước</t>
        </is>
      </c>
      <c r="G251" s="55" t="n">
        <v>3</v>
      </c>
      <c r="H251" s="56" t="n">
        <v>28</v>
      </c>
      <c r="I251" s="6" t="inlineStr">
        <is>
          <t>Dog Breeder / Trại chó chuyên nghiệp (28-30đ)</t>
        </is>
      </c>
      <c r="J251" s="56" t="n">
        <v>30</v>
      </c>
      <c r="K251" s="6" t="inlineStr">
        <is>
          <t>Chưa rõ giống (Cần quét Bio)</t>
        </is>
      </c>
      <c r="L251" s="56" t="n">
        <v>0</v>
      </c>
      <c r="M251" s="56" t="n">
        <v>5</v>
      </c>
      <c r="N251" s="6" t="inlineStr">
        <is>
          <t>Amazon link not found</t>
        </is>
      </c>
      <c r="O251" s="56">
        <f>IF(N251="Selling pet toys + Artificial grass/Pet toilets (TARGET)",15,IF(N251="Selling artificial grass/pet toilets (TARGET)",10,IF(N251="Selling pet toys",7,IF(N251="There's an Amazon link, but no target sales.",3,0))))</f>
        <v/>
      </c>
      <c r="P251" s="63">
        <f>H251+J251+L251+M251+O251</f>
        <v/>
      </c>
      <c r="Q251" s="64">
        <f>IF(OR(H251=0,P251&lt;30),"Tier D (Đóng băng)",IF(P251&gt;=85,"Tier S (Kim Cương: 85-100đ)",IF(P251&gt;=70,"Tier A (Vàng: 70-84đ)",IF(P251&gt;=61,"Tier B+ / Cấp A (Hot Lead: 61-69đ)",IF(P251&gt;=50,"Tier B (Bạc: 50-60đ)","Tier C (Đồng: 30-49đ)")))))</f>
        <v/>
      </c>
      <c r="R251" s="6" t="inlineStr">
        <is>
          <t>Trọn gói Take-Home Starter Kit V2/V3 (Cỏ nhân tạo + Khay Potty + Đồ chơi Teething/Snuggle)</t>
        </is>
      </c>
      <c r="S251" s="6" t="inlineStr">
        <is>
          <t>HOT LEAD (Điểm ≥61): Liên hệ Telesale/Email chào gói Starter Kit &amp; Báo giá sỉ chiết khấu BOM</t>
        </is>
      </c>
    </row>
    <row r="252">
      <c r="A252" s="59" t="n">
        <v>1273</v>
      </c>
      <c r="B252" s="15" t="inlineStr">
        <is>
          <t>Elite Kennel Fertility</t>
        </is>
      </c>
      <c r="C252" s="60" t="inlineStr">
        <is>
          <t>https://www.facebook.com/elitekennelfertility</t>
        </is>
      </c>
      <c r="D252" s="9" t="inlineStr">
        <is>
          <t>Cần quét Bio Fanpage</t>
        </is>
      </c>
      <c r="E252" s="59" t="inlineStr">
        <is>
          <t>09/10/2026 16:00:08</t>
        </is>
      </c>
      <c r="F252" s="59" t="inlineStr">
        <is>
          <t>3 ngày trước</t>
        </is>
      </c>
      <c r="G252" s="61" t="n">
        <v>3</v>
      </c>
      <c r="H252" s="62" t="n">
        <v>28</v>
      </c>
      <c r="I252" s="9" t="inlineStr">
        <is>
          <t>Dog Breeder / Trại chó chuyên nghiệp (28-30đ)</t>
        </is>
      </c>
      <c r="J252" s="62" t="n">
        <v>30</v>
      </c>
      <c r="K252" s="9" t="inlineStr">
        <is>
          <t>Chưa rõ giống (Cần quét Bio)</t>
        </is>
      </c>
      <c r="L252" s="62" t="n">
        <v>0</v>
      </c>
      <c r="M252" s="62" t="n">
        <v>5</v>
      </c>
      <c r="N252" s="9" t="inlineStr">
        <is>
          <t>Amazon link not found</t>
        </is>
      </c>
      <c r="O252" s="62">
        <f>IF(N252="Selling pet toys + Artificial grass/Pet toilets (TARGET)",15,IF(N252="Selling artificial grass/pet toilets (TARGET)",10,IF(N252="Selling pet toys",7,IF(N252="There's an Amazon link, but no target sales.",3,0))))</f>
        <v/>
      </c>
      <c r="P252" s="63">
        <f>H252+J252+L252+M252+O252</f>
        <v/>
      </c>
      <c r="Q252" s="64">
        <f>IF(OR(H252=0,P252&lt;30),"Tier D (Đóng băng)",IF(P252&gt;=85,"Tier S (Kim Cương: 85-100đ)",IF(P252&gt;=70,"Tier A (Vàng: 70-84đ)",IF(P252&gt;=61,"Tier B+ / Cấp A (Hot Lead: 61-69đ)",IF(P252&gt;=50,"Tier B (Bạc: 50-60đ)","Tier C (Đồng: 30-49đ)")))))</f>
        <v/>
      </c>
      <c r="R252" s="9" t="inlineStr">
        <is>
          <t>Trọn gói Take-Home Starter Kit V2/V3 (Cỏ nhân tạo + Khay Potty + Đồ chơi Teething/Snuggle)</t>
        </is>
      </c>
      <c r="S252" s="9" t="inlineStr">
        <is>
          <t>HOT LEAD (Điểm ≥61): Liên hệ Telesale/Email chào gói Starter Kit &amp; Báo giá sỉ chiết khấu BOM</t>
        </is>
      </c>
    </row>
    <row r="253">
      <c r="A253" s="53" t="n">
        <v>5413</v>
      </c>
      <c r="B253" s="12" t="inlineStr">
        <is>
          <t>Sound Dog Training Center</t>
        </is>
      </c>
      <c r="C253" s="54" t="inlineStr">
        <is>
          <t>https://www.facebook.com/profile.php?id=100050507964837</t>
        </is>
      </c>
      <c r="D253" s="6" t="inlineStr">
        <is>
          <t>Cần quét Bio Fanpage</t>
        </is>
      </c>
      <c r="E253" s="53" t="inlineStr">
        <is>
          <t>13/10/2026 07:43:35</t>
        </is>
      </c>
      <c r="F253" s="53" t="inlineStr">
        <is>
          <t>2 giờ trước</t>
        </is>
      </c>
      <c r="G253" s="55" t="n">
        <v>0.08</v>
      </c>
      <c r="H253" s="56" t="n">
        <v>35</v>
      </c>
      <c r="I253" s="6" t="inlineStr">
        <is>
          <t>Pet Boarding / Huấn luyện K9 &amp; Dịch vụ (20-22đ)</t>
        </is>
      </c>
      <c r="J253" s="56" t="n">
        <v>22</v>
      </c>
      <c r="K253" s="6" t="inlineStr">
        <is>
          <t>Chưa rõ giống (Cần quét Bio)</t>
        </is>
      </c>
      <c r="L253" s="56" t="n">
        <v>0</v>
      </c>
      <c r="M253" s="56" t="n">
        <v>5</v>
      </c>
      <c r="N253" s="6" t="inlineStr">
        <is>
          <t>Amazon link not found</t>
        </is>
      </c>
      <c r="O253" s="56">
        <f>IF(N253="Selling pet toys + Artificial grass/Pet toilets (TARGET)",15,IF(N253="Selling artificial grass/pet toilets (TARGET)",10,IF(N253="Selling pet toys",7,IF(N253="There's an Amazon link, but no target sales.",3,0))))</f>
        <v/>
      </c>
      <c r="P253" s="63">
        <f>H253+J253+L253+M253+O253</f>
        <v/>
      </c>
      <c r="Q253" s="64">
        <f>IF(OR(H253=0,P253&lt;30),"Tier D (Đóng băng)",IF(P253&gt;=85,"Tier S (Kim Cương: 85-100đ)",IF(P253&gt;=70,"Tier A (Vàng: 70-84đ)",IF(P253&gt;=61,"Tier B+ / Cấp A (Hot Lead: 61-69đ)",IF(P253&gt;=50,"Tier B (Bạc: 50-60đ)","Tier C (Đồng: 30-49đ)")))))</f>
        <v/>
      </c>
      <c r="R253" s="6" t="inlineStr">
        <is>
          <t>Cỏ nhân tạo sân chơi/huấn luyện (Dog Turf) + Đồ chơi nhai chịu lực (KONG/Chew Toys)</t>
        </is>
      </c>
      <c r="S253" s="6" t="inlineStr">
        <is>
          <t>HOT LEAD (Điểm ≥61): Liên hệ Telesale/Email chào gói Starter Kit &amp; Báo giá sỉ chiết khấu BOM</t>
        </is>
      </c>
    </row>
    <row r="254">
      <c r="A254" s="59" t="n">
        <v>2894</v>
      </c>
      <c r="B254" s="15" t="inlineStr">
        <is>
          <t>Side By Side Dog Training LLC</t>
        </is>
      </c>
      <c r="C254" s="60" t="inlineStr">
        <is>
          <t>https://www.facebook.com/profile.php?id=100063481155747</t>
        </is>
      </c>
      <c r="D254" s="9" t="inlineStr">
        <is>
          <t>Cần quét Bio Fanpage</t>
        </is>
      </c>
      <c r="E254" s="59" t="inlineStr">
        <is>
          <t>13/10/2026 05:45:11</t>
        </is>
      </c>
      <c r="F254" s="59" t="inlineStr">
        <is>
          <t>22 phút trước</t>
        </is>
      </c>
      <c r="G254" s="61" t="n">
        <v>0.02</v>
      </c>
      <c r="H254" s="62" t="n">
        <v>35</v>
      </c>
      <c r="I254" s="9" t="inlineStr">
        <is>
          <t>Pet Boarding / Huấn luyện K9 &amp; Dịch vụ (20-22đ)</t>
        </is>
      </c>
      <c r="J254" s="62" t="n">
        <v>22</v>
      </c>
      <c r="K254" s="9" t="inlineStr">
        <is>
          <t>Chưa rõ giống (Cần quét Bio)</t>
        </is>
      </c>
      <c r="L254" s="62" t="n">
        <v>0</v>
      </c>
      <c r="M254" s="62" t="n">
        <v>5</v>
      </c>
      <c r="N254" s="9" t="inlineStr">
        <is>
          <t>Amazon link not found</t>
        </is>
      </c>
      <c r="O254" s="62">
        <f>IF(N254="Selling pet toys + Artificial grass/Pet toilets (TARGET)",15,IF(N254="Selling artificial grass/pet toilets (TARGET)",10,IF(N254="Selling pet toys",7,IF(N254="There's an Amazon link, but no target sales.",3,0))))</f>
        <v/>
      </c>
      <c r="P254" s="63">
        <f>H254+J254+L254+M254+O254</f>
        <v/>
      </c>
      <c r="Q254" s="64">
        <f>IF(OR(H254=0,P254&lt;30),"Tier D (Đóng băng)",IF(P254&gt;=85,"Tier S (Kim Cương: 85-100đ)",IF(P254&gt;=70,"Tier A (Vàng: 70-84đ)",IF(P254&gt;=61,"Tier B+ / Cấp A (Hot Lead: 61-69đ)",IF(P254&gt;=50,"Tier B (Bạc: 50-60đ)","Tier C (Đồng: 30-49đ)")))))</f>
        <v/>
      </c>
      <c r="R254" s="9" t="inlineStr">
        <is>
          <t>Cỏ nhân tạo sân chơi/huấn luyện (Dog Turf) + Đồ chơi nhai chịu lực (KONG/Chew Toys)</t>
        </is>
      </c>
      <c r="S254" s="9" t="inlineStr">
        <is>
          <t>HOT LEAD (Điểm ≥61): Liên hệ Telesale/Email chào gói Starter Kit &amp; Báo giá sỉ chiết khấu BOM</t>
        </is>
      </c>
    </row>
    <row r="255">
      <c r="A255" s="53" t="n">
        <v>4075</v>
      </c>
      <c r="B255" s="12" t="inlineStr">
        <is>
          <t>Happy Days Dog Training Center</t>
        </is>
      </c>
      <c r="C255" s="54" t="inlineStr">
        <is>
          <t>https://www.facebook.com/profile.php?id=100057535686133</t>
        </is>
      </c>
      <c r="D255" s="6" t="inlineStr">
        <is>
          <t>Cần quét Bio Fanpage</t>
        </is>
      </c>
      <c r="E255" s="53" t="inlineStr">
        <is>
          <t>13/10/2026 05:01:47</t>
        </is>
      </c>
      <c r="F255" s="53" t="inlineStr">
        <is>
          <t>3 giờ trước</t>
        </is>
      </c>
      <c r="G255" s="55" t="n">
        <v>0.12</v>
      </c>
      <c r="H255" s="56" t="n">
        <v>35</v>
      </c>
      <c r="I255" s="6" t="inlineStr">
        <is>
          <t>Pet Boarding / Huấn luyện K9 &amp; Dịch vụ (20-22đ)</t>
        </is>
      </c>
      <c r="J255" s="56" t="n">
        <v>22</v>
      </c>
      <c r="K255" s="6" t="inlineStr">
        <is>
          <t>Chưa rõ giống (Cần quét Bio)</t>
        </is>
      </c>
      <c r="L255" s="56" t="n">
        <v>0</v>
      </c>
      <c r="M255" s="56" t="n">
        <v>5</v>
      </c>
      <c r="N255" s="6" t="inlineStr">
        <is>
          <t>Amazon link not found</t>
        </is>
      </c>
      <c r="O255" s="56">
        <f>IF(N255="Selling pet toys + Artificial grass/Pet toilets (TARGET)",15,IF(N255="Selling artificial grass/pet toilets (TARGET)",10,IF(N255="Selling pet toys",7,IF(N255="There's an Amazon link, but no target sales.",3,0))))</f>
        <v/>
      </c>
      <c r="P255" s="63">
        <f>H255+J255+L255+M255+O255</f>
        <v/>
      </c>
      <c r="Q255" s="64">
        <f>IF(OR(H255=0,P255&lt;30),"Tier D (Đóng băng)",IF(P255&gt;=85,"Tier S (Kim Cương: 85-100đ)",IF(P255&gt;=70,"Tier A (Vàng: 70-84đ)",IF(P255&gt;=61,"Tier B+ / Cấp A (Hot Lead: 61-69đ)",IF(P255&gt;=50,"Tier B (Bạc: 50-60đ)","Tier C (Đồng: 30-49đ)")))))</f>
        <v/>
      </c>
      <c r="R255" s="6" t="inlineStr">
        <is>
          <t>Cỏ nhân tạo sân chơi/huấn luyện (Dog Turf) + Đồ chơi nhai chịu lực (KONG/Chew Toys)</t>
        </is>
      </c>
      <c r="S255" s="6" t="inlineStr">
        <is>
          <t>HOT LEAD (Điểm ≥61): Liên hệ Telesale/Email chào gói Starter Kit &amp; Báo giá sỉ chiết khấu BOM</t>
        </is>
      </c>
    </row>
    <row r="256">
      <c r="A256" s="59" t="n">
        <v>2294</v>
      </c>
      <c r="B256" s="15" t="inlineStr">
        <is>
          <t>Nikki's Pet Services</t>
        </is>
      </c>
      <c r="C256" s="60" t="inlineStr">
        <is>
          <t>https://www.facebook.com/Nikkis.Pet.Services.Scot</t>
        </is>
      </c>
      <c r="D256" s="9" t="inlineStr">
        <is>
          <t>Cần quét Bio Fanpage</t>
        </is>
      </c>
      <c r="E256" s="59" t="inlineStr">
        <is>
          <t>13/10/2026 03:21:16</t>
        </is>
      </c>
      <c r="F256" s="59" t="inlineStr">
        <is>
          <t>1 giờ trước</t>
        </is>
      </c>
      <c r="G256" s="61" t="n">
        <v>0.04</v>
      </c>
      <c r="H256" s="62" t="n">
        <v>35</v>
      </c>
      <c r="I256" s="9" t="inlineStr">
        <is>
          <t>Pet Boarding / Huấn luyện K9 &amp; Dịch vụ (20-22đ)</t>
        </is>
      </c>
      <c r="J256" s="62" t="n">
        <v>22</v>
      </c>
      <c r="K256" s="9" t="inlineStr">
        <is>
          <t>Chưa rõ giống (Cần quét Bio)</t>
        </is>
      </c>
      <c r="L256" s="62" t="n">
        <v>0</v>
      </c>
      <c r="M256" s="62" t="n">
        <v>5</v>
      </c>
      <c r="N256" s="9" t="inlineStr">
        <is>
          <t>Amazon link not found</t>
        </is>
      </c>
      <c r="O256" s="62">
        <f>IF(N256="Selling pet toys + Artificial grass/Pet toilets (TARGET)",15,IF(N256="Selling artificial grass/pet toilets (TARGET)",10,IF(N256="Selling pet toys",7,IF(N256="There's an Amazon link, but no target sales.",3,0))))</f>
        <v/>
      </c>
      <c r="P256" s="63">
        <f>H256+J256+L256+M256+O256</f>
        <v/>
      </c>
      <c r="Q256" s="64">
        <f>IF(OR(H256=0,P256&lt;30),"Tier D (Đóng băng)",IF(P256&gt;=85,"Tier S (Kim Cương: 85-100đ)",IF(P256&gt;=70,"Tier A (Vàng: 70-84đ)",IF(P256&gt;=61,"Tier B+ / Cấp A (Hot Lead: 61-69đ)",IF(P256&gt;=50,"Tier B (Bạc: 50-60đ)","Tier C (Đồng: 30-49đ)")))))</f>
        <v/>
      </c>
      <c r="R256" s="9" t="inlineStr">
        <is>
          <t>Cỏ nhân tạo sân chơi/huấn luyện (Dog Turf) + Đồ chơi nhai chịu lực (KONG/Chew Toys)</t>
        </is>
      </c>
      <c r="S256" s="9" t="inlineStr">
        <is>
          <t>HOT LEAD (Điểm ≥61): Liên hệ Telesale/Email chào gói Starter Kit &amp; Báo giá sỉ chiết khấu BOM</t>
        </is>
      </c>
    </row>
    <row r="257">
      <c r="A257" s="53" t="n">
        <v>1821</v>
      </c>
      <c r="B257" s="12" t="inlineStr">
        <is>
          <t>K9 Roam &amp; Co.</t>
        </is>
      </c>
      <c r="C257" s="54" t="inlineStr">
        <is>
          <t>https://www.facebook.com/K9roamco</t>
        </is>
      </c>
      <c r="D257" s="6" t="inlineStr">
        <is>
          <t>Cần quét Bio Fanpage</t>
        </is>
      </c>
      <c r="E257" s="53" t="inlineStr">
        <is>
          <t>13/10/2026 02:43:58</t>
        </is>
      </c>
      <c r="F257" s="53" t="inlineStr">
        <is>
          <t>1 giờ trước</t>
        </is>
      </c>
      <c r="G257" s="55" t="n">
        <v>0.04</v>
      </c>
      <c r="H257" s="56" t="n">
        <v>35</v>
      </c>
      <c r="I257" s="6" t="inlineStr">
        <is>
          <t>Pet Boarding / Huấn luyện K9 &amp; Dịch vụ (20-22đ)</t>
        </is>
      </c>
      <c r="J257" s="56" t="n">
        <v>22</v>
      </c>
      <c r="K257" s="6" t="inlineStr">
        <is>
          <t>Chưa rõ giống (Cần quét Bio)</t>
        </is>
      </c>
      <c r="L257" s="56" t="n">
        <v>0</v>
      </c>
      <c r="M257" s="56" t="n">
        <v>5</v>
      </c>
      <c r="N257" s="6" t="inlineStr">
        <is>
          <t>Amazon link not found</t>
        </is>
      </c>
      <c r="O257" s="56">
        <f>IF(N257="Selling pet toys + Artificial grass/Pet toilets (TARGET)",15,IF(N257="Selling artificial grass/pet toilets (TARGET)",10,IF(N257="Selling pet toys",7,IF(N257="There's an Amazon link, but no target sales.",3,0))))</f>
        <v/>
      </c>
      <c r="P257" s="63">
        <f>H257+J257+L257+M257+O257</f>
        <v/>
      </c>
      <c r="Q257" s="64">
        <f>IF(OR(H257=0,P257&lt;30),"Tier D (Đóng băng)",IF(P257&gt;=85,"Tier S (Kim Cương: 85-100đ)",IF(P257&gt;=70,"Tier A (Vàng: 70-84đ)",IF(P257&gt;=61,"Tier B+ / Cấp A (Hot Lead: 61-69đ)",IF(P257&gt;=50,"Tier B (Bạc: 50-60đ)","Tier C (Đồng: 30-49đ)")))))</f>
        <v/>
      </c>
      <c r="R257" s="6" t="inlineStr">
        <is>
          <t>Cỏ nhân tạo sân chơi/huấn luyện (Dog Turf) + Đồ chơi nhai chịu lực (KONG/Chew Toys)</t>
        </is>
      </c>
      <c r="S257" s="6" t="inlineStr">
        <is>
          <t>HOT LEAD (Điểm ≥61): Liên hệ Telesale/Email chào gói Starter Kit &amp; Báo giá sỉ chiết khấu BOM</t>
        </is>
      </c>
    </row>
    <row r="258">
      <c r="A258" s="59" t="n">
        <v>976</v>
      </c>
      <c r="B258" s="15" t="inlineStr">
        <is>
          <t>Cunningshot Gundogs</t>
        </is>
      </c>
      <c r="C258" s="60" t="inlineStr">
        <is>
          <t>https://www.facebook.com/CunningshotDogTraining</t>
        </is>
      </c>
      <c r="D258" s="9" t="inlineStr">
        <is>
          <t>Cần quét Bio Fanpage</t>
        </is>
      </c>
      <c r="E258" s="59" t="inlineStr">
        <is>
          <t>13/10/2026 02:22:11</t>
        </is>
      </c>
      <c r="F258" s="59" t="inlineStr">
        <is>
          <t>18 phút trước</t>
        </is>
      </c>
      <c r="G258" s="61" t="n">
        <v>0.01</v>
      </c>
      <c r="H258" s="62" t="n">
        <v>35</v>
      </c>
      <c r="I258" s="9" t="inlineStr">
        <is>
          <t>Pet Boarding / Huấn luyện K9 &amp; Dịch vụ (20-22đ)</t>
        </is>
      </c>
      <c r="J258" s="62" t="n">
        <v>22</v>
      </c>
      <c r="K258" s="9" t="inlineStr">
        <is>
          <t>Spaniel / Gun Dog / Retriever</t>
        </is>
      </c>
      <c r="L258" s="62" t="n">
        <v>5</v>
      </c>
      <c r="M258" s="62" t="n">
        <v>0</v>
      </c>
      <c r="N258" s="9" t="inlineStr">
        <is>
          <t>Amazon link not found</t>
        </is>
      </c>
      <c r="O258" s="62">
        <f>IF(N258="Selling pet toys + Artificial grass/Pet toilets (TARGET)",15,IF(N258="Selling artificial grass/pet toilets (TARGET)",10,IF(N258="Selling pet toys",7,IF(N258="There's an Amazon link, but no target sales.",3,0))))</f>
        <v/>
      </c>
      <c r="P258" s="63">
        <f>H258+J258+L258+M258+O258</f>
        <v/>
      </c>
      <c r="Q258" s="64">
        <f>IF(OR(H258=0,P258&lt;30),"Tier D (Đóng băng)",IF(P258&gt;=85,"Tier S (Kim Cương: 85-100đ)",IF(P258&gt;=70,"Tier A (Vàng: 70-84đ)",IF(P258&gt;=61,"Tier B+ / Cấp A (Hot Lead: 61-69đ)",IF(P258&gt;=50,"Tier B (Bạc: 50-60đ)","Tier C (Đồng: 30-49đ)")))))</f>
        <v/>
      </c>
      <c r="R258" s="9" t="inlineStr">
        <is>
          <t>Cỏ nhân tạo sân chơi/huấn luyện (Dog Turf) + Đồ chơi nhai chịu lực (KONG/Chew Toys)</t>
        </is>
      </c>
      <c r="S258" s="9" t="inlineStr">
        <is>
          <t>HOT LEAD (Điểm ≥61): Liên hệ Telesale/Email chào gói Starter Kit &amp; Báo giá sỉ chiết khấu BOM</t>
        </is>
      </c>
    </row>
    <row r="259">
      <c r="A259" s="53" t="n">
        <v>1034</v>
      </c>
      <c r="B259" s="12" t="inlineStr">
        <is>
          <t>Diamonds n Pearls Pet Services</t>
        </is>
      </c>
      <c r="C259" s="54" t="inlineStr">
        <is>
          <t>https://www.facebook.com/diamondsnpearlspetservices</t>
        </is>
      </c>
      <c r="D259" s="6" t="inlineStr">
        <is>
          <t>Cần quét Bio Fanpage</t>
        </is>
      </c>
      <c r="E259" s="53" t="inlineStr">
        <is>
          <t>13/10/2026 02:04:09</t>
        </is>
      </c>
      <c r="F259" s="53" t="inlineStr">
        <is>
          <t>42 phút trước</t>
        </is>
      </c>
      <c r="G259" s="55" t="n">
        <v>0.03</v>
      </c>
      <c r="H259" s="56" t="n">
        <v>35</v>
      </c>
      <c r="I259" s="6" t="inlineStr">
        <is>
          <t>Pet Boarding / Huấn luyện K9 &amp; Dịch vụ (20-22đ)</t>
        </is>
      </c>
      <c r="J259" s="56" t="n">
        <v>22</v>
      </c>
      <c r="K259" s="6" t="inlineStr">
        <is>
          <t>Chưa rõ giống (Cần quét Bio)</t>
        </is>
      </c>
      <c r="L259" s="56" t="n">
        <v>0</v>
      </c>
      <c r="M259" s="56" t="n">
        <v>5</v>
      </c>
      <c r="N259" s="6" t="inlineStr">
        <is>
          <t>Amazon link not found</t>
        </is>
      </c>
      <c r="O259" s="56">
        <f>IF(N259="Selling pet toys + Artificial grass/Pet toilets (TARGET)",15,IF(N259="Selling artificial grass/pet toilets (TARGET)",10,IF(N259="Selling pet toys",7,IF(N259="There's an Amazon link, but no target sales.",3,0))))</f>
        <v/>
      </c>
      <c r="P259" s="63">
        <f>H259+J259+L259+M259+O259</f>
        <v/>
      </c>
      <c r="Q259" s="64">
        <f>IF(OR(H259=0,P259&lt;30),"Tier D (Đóng băng)",IF(P259&gt;=85,"Tier S (Kim Cương: 85-100đ)",IF(P259&gt;=70,"Tier A (Vàng: 70-84đ)",IF(P259&gt;=61,"Tier B+ / Cấp A (Hot Lead: 61-69đ)",IF(P259&gt;=50,"Tier B (Bạc: 50-60đ)","Tier C (Đồng: 30-49đ)")))))</f>
        <v/>
      </c>
      <c r="R259" s="6" t="inlineStr">
        <is>
          <t>Cỏ nhân tạo sân chơi/huấn luyện (Dog Turf) + Đồ chơi nhai chịu lực (KONG/Chew Toys)</t>
        </is>
      </c>
      <c r="S259" s="6" t="inlineStr">
        <is>
          <t>HOT LEAD (Điểm ≥61): Liên hệ Telesale/Email chào gói Starter Kit &amp; Báo giá sỉ chiết khấu BOM</t>
        </is>
      </c>
    </row>
    <row r="260">
      <c r="A260" s="59" t="n">
        <v>2278</v>
      </c>
      <c r="B260" s="15" t="inlineStr">
        <is>
          <t>Neigh Care, LLC. Pet Sitting</t>
        </is>
      </c>
      <c r="C260" s="60" t="inlineStr">
        <is>
          <t>https://www.facebook.com/NeighCareLLC</t>
        </is>
      </c>
      <c r="D260" s="9" t="inlineStr">
        <is>
          <t>Cần quét Bio Fanpage</t>
        </is>
      </c>
      <c r="E260" s="59" t="inlineStr">
        <is>
          <t>13/10/2026 01:54:39</t>
        </is>
      </c>
      <c r="F260" s="59" t="inlineStr">
        <is>
          <t>3 giờ trước</t>
        </is>
      </c>
      <c r="G260" s="61" t="n">
        <v>0.12</v>
      </c>
      <c r="H260" s="62" t="n">
        <v>35</v>
      </c>
      <c r="I260" s="9" t="inlineStr">
        <is>
          <t>Pet Boarding / Huấn luyện K9 &amp; Dịch vụ (20-22đ)</t>
        </is>
      </c>
      <c r="J260" s="62" t="n">
        <v>22</v>
      </c>
      <c r="K260" s="9" t="inlineStr">
        <is>
          <t>Chưa rõ giống (Cần quét Bio)</t>
        </is>
      </c>
      <c r="L260" s="62" t="n">
        <v>0</v>
      </c>
      <c r="M260" s="62" t="n">
        <v>5</v>
      </c>
      <c r="N260" s="9" t="inlineStr">
        <is>
          <t>Amazon link not found</t>
        </is>
      </c>
      <c r="O260" s="62">
        <f>IF(N260="Selling pet toys + Artificial grass/Pet toilets (TARGET)",15,IF(N260="Selling artificial grass/pet toilets (TARGET)",10,IF(N260="Selling pet toys",7,IF(N260="There's an Amazon link, but no target sales.",3,0))))</f>
        <v/>
      </c>
      <c r="P260" s="63">
        <f>H260+J260+L260+M260+O260</f>
        <v/>
      </c>
      <c r="Q260" s="64">
        <f>IF(OR(H260=0,P260&lt;30),"Tier D (Đóng băng)",IF(P260&gt;=85,"Tier S (Kim Cương: 85-100đ)",IF(P260&gt;=70,"Tier A (Vàng: 70-84đ)",IF(P260&gt;=61,"Tier B+ / Cấp A (Hot Lead: 61-69đ)",IF(P260&gt;=50,"Tier B (Bạc: 50-60đ)","Tier C (Đồng: 30-49đ)")))))</f>
        <v/>
      </c>
      <c r="R260" s="9" t="inlineStr">
        <is>
          <t>Cỏ nhân tạo sân chơi/huấn luyện (Dog Turf) + Đồ chơi nhai chịu lực (KONG/Chew Toys)</t>
        </is>
      </c>
      <c r="S260" s="9" t="inlineStr">
        <is>
          <t>HOT LEAD (Điểm ≥61): Liên hệ Telesale/Email chào gói Starter Kit &amp; Báo giá sỉ chiết khấu BOM</t>
        </is>
      </c>
    </row>
    <row r="261">
      <c r="A261" s="53" t="n">
        <v>1818</v>
      </c>
      <c r="B261" s="12" t="inlineStr">
        <is>
          <t>K9 outdoor adventures inc.</t>
        </is>
      </c>
      <c r="C261" s="54" t="inlineStr">
        <is>
          <t>https://www.facebook.com/profile.php?id=61586626431863</t>
        </is>
      </c>
      <c r="D261" s="6" t="inlineStr">
        <is>
          <t>Cần quét Bio Fanpage</t>
        </is>
      </c>
      <c r="E261" s="53" t="inlineStr">
        <is>
          <t>13/10/2026 01:07:00</t>
        </is>
      </c>
      <c r="F261" s="53" t="inlineStr">
        <is>
          <t>3 giờ trước</t>
        </is>
      </c>
      <c r="G261" s="55" t="n">
        <v>0.12</v>
      </c>
      <c r="H261" s="56" t="n">
        <v>35</v>
      </c>
      <c r="I261" s="6" t="inlineStr">
        <is>
          <t>Pet Boarding / Huấn luyện K9 &amp; Dịch vụ (20-22đ)</t>
        </is>
      </c>
      <c r="J261" s="56" t="n">
        <v>22</v>
      </c>
      <c r="K261" s="6" t="inlineStr">
        <is>
          <t>Chưa rõ giống (Cần quét Bio)</t>
        </is>
      </c>
      <c r="L261" s="56" t="n">
        <v>0</v>
      </c>
      <c r="M261" s="56" t="n">
        <v>5</v>
      </c>
      <c r="N261" s="6" t="inlineStr">
        <is>
          <t>Amazon link not found</t>
        </is>
      </c>
      <c r="O261" s="56">
        <f>IF(N261="Selling pet toys + Artificial grass/Pet toilets (TARGET)",15,IF(N261="Selling artificial grass/pet toilets (TARGET)",10,IF(N261="Selling pet toys",7,IF(N261="There's an Amazon link, but no target sales.",3,0))))</f>
        <v/>
      </c>
      <c r="P261" s="63">
        <f>H261+J261+L261+M261+O261</f>
        <v/>
      </c>
      <c r="Q261" s="64">
        <f>IF(OR(H261=0,P261&lt;30),"Tier D (Đóng băng)",IF(P261&gt;=85,"Tier S (Kim Cương: 85-100đ)",IF(P261&gt;=70,"Tier A (Vàng: 70-84đ)",IF(P261&gt;=61,"Tier B+ / Cấp A (Hot Lead: 61-69đ)",IF(P261&gt;=50,"Tier B (Bạc: 50-60đ)","Tier C (Đồng: 30-49đ)")))))</f>
        <v/>
      </c>
      <c r="R261" s="6" t="inlineStr">
        <is>
          <t>Cỏ nhân tạo sân chơi/huấn luyện (Dog Turf) + Đồ chơi nhai chịu lực (KONG/Chew Toys)</t>
        </is>
      </c>
      <c r="S261" s="6" t="inlineStr">
        <is>
          <t>HOT LEAD (Điểm ≥61): Liên hệ Telesale/Email chào gói Starter Kit &amp; Báo giá sỉ chiết khấu BOM</t>
        </is>
      </c>
    </row>
    <row r="262">
      <c r="A262" s="59" t="n">
        <v>657</v>
      </c>
      <c r="B262" s="15" t="inlineStr">
        <is>
          <t>Best Buddy Dog Trainer, LLC</t>
        </is>
      </c>
      <c r="C262" s="60" t="inlineStr">
        <is>
          <t>https://www.facebook.com/bestbuddydogtrainer</t>
        </is>
      </c>
      <c r="D262" s="9" t="inlineStr">
        <is>
          <t>Cần quét Bio Fanpage</t>
        </is>
      </c>
      <c r="E262" s="59" t="inlineStr">
        <is>
          <t>13/10/2026 00:09:50</t>
        </is>
      </c>
      <c r="F262" s="59" t="inlineStr">
        <is>
          <t>1 giờ trước</t>
        </is>
      </c>
      <c r="G262" s="61" t="n">
        <v>0.04</v>
      </c>
      <c r="H262" s="62" t="n">
        <v>35</v>
      </c>
      <c r="I262" s="9" t="inlineStr">
        <is>
          <t>Pet Boarding / Huấn luyện K9 &amp; Dịch vụ (20-22đ)</t>
        </is>
      </c>
      <c r="J262" s="62" t="n">
        <v>22</v>
      </c>
      <c r="K262" s="9" t="inlineStr">
        <is>
          <t>Chưa rõ giống (Cần quét Bio)</t>
        </is>
      </c>
      <c r="L262" s="62" t="n">
        <v>0</v>
      </c>
      <c r="M262" s="62" t="n">
        <v>5</v>
      </c>
      <c r="N262" s="9" t="inlineStr">
        <is>
          <t>Amazon link not found</t>
        </is>
      </c>
      <c r="O262" s="62">
        <f>IF(N262="Selling pet toys + Artificial grass/Pet toilets (TARGET)",15,IF(N262="Selling artificial grass/pet toilets (TARGET)",10,IF(N262="Selling pet toys",7,IF(N262="There's an Amazon link, but no target sales.",3,0))))</f>
        <v/>
      </c>
      <c r="P262" s="63">
        <f>H262+J262+L262+M262+O262</f>
        <v/>
      </c>
      <c r="Q262" s="64">
        <f>IF(OR(H262=0,P262&lt;30),"Tier D (Đóng băng)",IF(P262&gt;=85,"Tier S (Kim Cương: 85-100đ)",IF(P262&gt;=70,"Tier A (Vàng: 70-84đ)",IF(P262&gt;=61,"Tier B+ / Cấp A (Hot Lead: 61-69đ)",IF(P262&gt;=50,"Tier B (Bạc: 50-60đ)","Tier C (Đồng: 30-49đ)")))))</f>
        <v/>
      </c>
      <c r="R262" s="9" t="inlineStr">
        <is>
          <t>Cỏ nhân tạo sân chơi/huấn luyện (Dog Turf) + Đồ chơi nhai chịu lực (KONG/Chew Toys)</t>
        </is>
      </c>
      <c r="S262" s="9" t="inlineStr">
        <is>
          <t>HOT LEAD (Điểm ≥61): Liên hệ Telesale/Email chào gói Starter Kit &amp; Báo giá sỉ chiết khấu BOM</t>
        </is>
      </c>
    </row>
    <row r="263">
      <c r="A263" s="53" t="n">
        <v>121</v>
      </c>
      <c r="B263" s="12" t="inlineStr">
        <is>
          <t>Bubble Puppy Swim and Playhouse</t>
        </is>
      </c>
      <c r="C263" s="54" t="inlineStr">
        <is>
          <t>https://www.facebook.com/BubblePuppySwimAndPlayhouse</t>
        </is>
      </c>
      <c r="D263" s="6" t="inlineStr">
        <is>
          <t>Cần quét Bio Fanpage</t>
        </is>
      </c>
      <c r="E263" s="53" t="inlineStr">
        <is>
          <t>13/10/2026 00:05:54</t>
        </is>
      </c>
      <c r="F263" s="53" t="inlineStr">
        <is>
          <t>1 giờ trước</t>
        </is>
      </c>
      <c r="G263" s="55" t="n">
        <v>0.04</v>
      </c>
      <c r="H263" s="56" t="n">
        <v>35</v>
      </c>
      <c r="I263" s="6" t="inlineStr">
        <is>
          <t>Pet Boarding / Huấn luyện K9 &amp; Dịch vụ (20-22đ)</t>
        </is>
      </c>
      <c r="J263" s="56" t="n">
        <v>22</v>
      </c>
      <c r="K263" s="6" t="inlineStr">
        <is>
          <t>Chưa rõ giống (Cần quét Bio)</t>
        </is>
      </c>
      <c r="L263" s="56" t="n">
        <v>0</v>
      </c>
      <c r="M263" s="56" t="n">
        <v>5</v>
      </c>
      <c r="N263" s="6" t="inlineStr">
        <is>
          <t>Amazon link not found</t>
        </is>
      </c>
      <c r="O263" s="56">
        <f>IF(N263="Selling pet toys + Artificial grass/Pet toilets (TARGET)",15,IF(N263="Selling artificial grass/pet toilets (TARGET)",10,IF(N263="Selling pet toys",7,IF(N263="There's an Amazon link, but no target sales.",3,0))))</f>
        <v/>
      </c>
      <c r="P263" s="63">
        <f>H263+J263+L263+M263+O263</f>
        <v/>
      </c>
      <c r="Q263" s="64">
        <f>IF(OR(H263=0,P263&lt;30),"Tier D (Đóng băng)",IF(P263&gt;=85,"Tier S (Kim Cương: 85-100đ)",IF(P263&gt;=70,"Tier A (Vàng: 70-84đ)",IF(P263&gt;=61,"Tier B+ / Cấp A (Hot Lead: 61-69đ)",IF(P263&gt;=50,"Tier B (Bạc: 50-60đ)","Tier C (Đồng: 30-49đ)")))))</f>
        <v/>
      </c>
      <c r="R263" s="6" t="inlineStr">
        <is>
          <t>Cỏ nhân tạo sân chơi/huấn luyện (Dog Turf) + Đồ chơi nhai chịu lực (KONG/Chew Toys)</t>
        </is>
      </c>
      <c r="S263" s="6" t="inlineStr">
        <is>
          <t>HOT LEAD (Điểm ≥61): Liên hệ Telesale/Email chào gói Starter Kit &amp; Báo giá sỉ chiết khấu BOM</t>
        </is>
      </c>
    </row>
    <row r="264">
      <c r="A264" s="59" t="n">
        <v>1142</v>
      </c>
      <c r="B264" s="15" t="inlineStr">
        <is>
          <t>Dogmanity Pet Academy</t>
        </is>
      </c>
      <c r="C264" s="60" t="inlineStr">
        <is>
          <t>https://www.facebook.com/profile.php?id=61550725015891</t>
        </is>
      </c>
      <c r="D264" s="9" t="inlineStr">
        <is>
          <t>Cần quét Bio Fanpage</t>
        </is>
      </c>
      <c r="E264" s="59" t="inlineStr">
        <is>
          <t>12/10/2026 23:44:27</t>
        </is>
      </c>
      <c r="F264" s="59" t="inlineStr">
        <is>
          <t>3 giờ trước</t>
        </is>
      </c>
      <c r="G264" s="61" t="n">
        <v>0.12</v>
      </c>
      <c r="H264" s="62" t="n">
        <v>35</v>
      </c>
      <c r="I264" s="9" t="inlineStr">
        <is>
          <t>Pet Boarding / Huấn luyện K9 &amp; Dịch vụ (20-22đ)</t>
        </is>
      </c>
      <c r="J264" s="62" t="n">
        <v>22</v>
      </c>
      <c r="K264" s="9" t="inlineStr">
        <is>
          <t>Chưa rõ giống (Cần quét Bio)</t>
        </is>
      </c>
      <c r="L264" s="62" t="n">
        <v>0</v>
      </c>
      <c r="M264" s="62" t="n">
        <v>5</v>
      </c>
      <c r="N264" s="9" t="inlineStr">
        <is>
          <t>Amazon link not found</t>
        </is>
      </c>
      <c r="O264" s="62">
        <f>IF(N264="Selling pet toys + Artificial grass/Pet toilets (TARGET)",15,IF(N264="Selling artificial grass/pet toilets (TARGET)",10,IF(N264="Selling pet toys",7,IF(N264="There's an Amazon link, but no target sales.",3,0))))</f>
        <v/>
      </c>
      <c r="P264" s="63">
        <f>H264+J264+L264+M264+O264</f>
        <v/>
      </c>
      <c r="Q264" s="64">
        <f>IF(OR(H264=0,P264&lt;30),"Tier D (Đóng băng)",IF(P264&gt;=85,"Tier S (Kim Cương: 85-100đ)",IF(P264&gt;=70,"Tier A (Vàng: 70-84đ)",IF(P264&gt;=61,"Tier B+ / Cấp A (Hot Lead: 61-69đ)",IF(P264&gt;=50,"Tier B (Bạc: 50-60đ)","Tier C (Đồng: 30-49đ)")))))</f>
        <v/>
      </c>
      <c r="R264" s="9" t="inlineStr">
        <is>
          <t>Cỏ nhân tạo sân chơi/huấn luyện (Dog Turf) + Đồ chơi nhai chịu lực (KONG/Chew Toys)</t>
        </is>
      </c>
      <c r="S264" s="9" t="inlineStr">
        <is>
          <t>HOT LEAD (Điểm ≥61): Liên hệ Telesale/Email chào gói Starter Kit &amp; Báo giá sỉ chiết khấu BOM</t>
        </is>
      </c>
    </row>
    <row r="265">
      <c r="A265" s="53" t="n">
        <v>5867</v>
      </c>
      <c r="B265" s="12" t="inlineStr">
        <is>
          <t>Westside German Shepherd Rescue of Los Angeles</t>
        </is>
      </c>
      <c r="C265" s="54" t="inlineStr">
        <is>
          <t>https://www.facebook.com/WGSRescue</t>
        </is>
      </c>
      <c r="D265" s="6" t="inlineStr">
        <is>
          <t>Cần quét Bio Fanpage</t>
        </is>
      </c>
      <c r="E265" s="53" t="inlineStr">
        <is>
          <t>13/10/2026 09:35:02</t>
        </is>
      </c>
      <c r="F265" s="53" t="inlineStr">
        <is>
          <t>1 giờ trước</t>
        </is>
      </c>
      <c r="G265" s="55" t="n">
        <v>0.04</v>
      </c>
      <c r="H265" s="56" t="n">
        <v>35</v>
      </c>
      <c r="I265" s="6" t="inlineStr">
        <is>
          <t>Pet Rescue / Trạm cứu trợ (14-16đ)</t>
        </is>
      </c>
      <c r="J265" s="56" t="n">
        <v>16</v>
      </c>
      <c r="K265" s="6" t="inlineStr">
        <is>
          <t>German Shepherd</t>
        </is>
      </c>
      <c r="L265" s="56" t="n">
        <v>10</v>
      </c>
      <c r="M265" s="56" t="n">
        <v>0</v>
      </c>
      <c r="N265" s="6" t="inlineStr">
        <is>
          <t>Amazon link not found</t>
        </is>
      </c>
      <c r="O265" s="56">
        <f>IF(N265="Selling pet toys + Artificial grass/Pet toilets (TARGET)",15,IF(N265="Selling artificial grass/pet toilets (TARGET)",10,IF(N265="Selling pet toys",7,IF(N265="There's an Amazon link, but no target sales.",3,0))))</f>
        <v/>
      </c>
      <c r="P265" s="63">
        <f>H265+J265+L265+M265+O265</f>
        <v/>
      </c>
      <c r="Q265" s="64">
        <f>IF(OR(H265=0,P265&lt;30),"Tier D (Đóng băng)",IF(P265&gt;=85,"Tier S (Kim Cương: 85-100đ)",IF(P265&gt;=70,"Tier A (Vàng: 70-84đ)",IF(P265&gt;=61,"Tier B+ / Cấp A (Hot Lead: 61-69đ)",IF(P265&gt;=50,"Tier B (Bạc: 50-60đ)","Tier C (Đồng: 30-49đ)")))))</f>
        <v/>
      </c>
      <c r="R265" s="6" t="inlineStr">
        <is>
          <t>Nhà vệ sinh &amp; Tã lót (Potty Tray / Pee Pads) + Cỏ nhân tạo lót chuồng</t>
        </is>
      </c>
      <c r="S265" s="6" t="inlineStr">
        <is>
          <t>HOT LEAD (Điểm ≥61): Liên hệ Telesale/Email chào gói Starter Kit &amp; Báo giá sỉ chiết khấu BOM</t>
        </is>
      </c>
    </row>
    <row r="266">
      <c r="A266" s="59" t="n">
        <v>3971</v>
      </c>
      <c r="B266" s="15" t="inlineStr">
        <is>
          <t>German Shepherd Rescue of Orange County</t>
        </is>
      </c>
      <c r="C266" s="60" t="inlineStr">
        <is>
          <t>https://www.facebook.com/GSROCdogs</t>
        </is>
      </c>
      <c r="D266" s="9" t="inlineStr">
        <is>
          <t>Cần quét Bio Fanpage</t>
        </is>
      </c>
      <c r="E266" s="59" t="inlineStr">
        <is>
          <t>13/10/2026 08:01:16</t>
        </is>
      </c>
      <c r="F266" s="59" t="inlineStr">
        <is>
          <t>3 phút trước</t>
        </is>
      </c>
      <c r="G266" s="61" t="n">
        <v>0</v>
      </c>
      <c r="H266" s="62" t="n">
        <v>35</v>
      </c>
      <c r="I266" s="9" t="inlineStr">
        <is>
          <t>Pet Rescue / Trạm cứu trợ (14-16đ)</t>
        </is>
      </c>
      <c r="J266" s="62" t="n">
        <v>16</v>
      </c>
      <c r="K266" s="9" t="inlineStr">
        <is>
          <t>German Shepherd</t>
        </is>
      </c>
      <c r="L266" s="62" t="n">
        <v>10</v>
      </c>
      <c r="M266" s="62" t="n">
        <v>0</v>
      </c>
      <c r="N266" s="9" t="inlineStr">
        <is>
          <t>Amazon link not found</t>
        </is>
      </c>
      <c r="O266" s="62">
        <f>IF(N266="Selling pet toys + Artificial grass/Pet toilets (TARGET)",15,IF(N266="Selling artificial grass/pet toilets (TARGET)",10,IF(N266="Selling pet toys",7,IF(N266="There's an Amazon link, but no target sales.",3,0))))</f>
        <v/>
      </c>
      <c r="P266" s="63">
        <f>H266+J266+L266+M266+O266</f>
        <v/>
      </c>
      <c r="Q266" s="64">
        <f>IF(OR(H266=0,P266&lt;30),"Tier D (Đóng băng)",IF(P266&gt;=85,"Tier S (Kim Cương: 85-100đ)",IF(P266&gt;=70,"Tier A (Vàng: 70-84đ)",IF(P266&gt;=61,"Tier B+ / Cấp A (Hot Lead: 61-69đ)",IF(P266&gt;=50,"Tier B (Bạc: 50-60đ)","Tier C (Đồng: 30-49đ)")))))</f>
        <v/>
      </c>
      <c r="R266" s="9" t="inlineStr">
        <is>
          <t>Nhà vệ sinh &amp; Tã lót (Potty Tray / Pee Pads) + Cỏ nhân tạo lót chuồng</t>
        </is>
      </c>
      <c r="S266" s="9" t="inlineStr">
        <is>
          <t>HOT LEAD (Điểm ≥61): Liên hệ Telesale/Email chào gói Starter Kit &amp; Báo giá sỉ chiết khấu BOM</t>
        </is>
      </c>
    </row>
    <row r="267">
      <c r="A267" s="53" t="n">
        <v>3909</v>
      </c>
      <c r="B267" s="12" t="inlineStr">
        <is>
          <t>French Bulldog Foundation of America</t>
        </is>
      </c>
      <c r="C267" s="54" t="inlineStr">
        <is>
          <t>https://www.facebook.com/profile.php?id=61585143501577</t>
        </is>
      </c>
      <c r="D267" s="6" t="inlineStr">
        <is>
          <t>Cần quét Bio Fanpage</t>
        </is>
      </c>
      <c r="E267" s="53" t="inlineStr">
        <is>
          <t>13/10/2026 07:29:44</t>
        </is>
      </c>
      <c r="F267" s="53" t="inlineStr">
        <is>
          <t>28 phút trước</t>
        </is>
      </c>
      <c r="G267" s="55" t="n">
        <v>0.02</v>
      </c>
      <c r="H267" s="56" t="n">
        <v>35</v>
      </c>
      <c r="I267" s="6" t="inlineStr">
        <is>
          <t>Pet Rescue / Trạm cứu trợ (14-16đ)</t>
        </is>
      </c>
      <c r="J267" s="56" t="n">
        <v>16</v>
      </c>
      <c r="K267" s="6" t="inlineStr">
        <is>
          <t>French Bulldog</t>
        </is>
      </c>
      <c r="L267" s="56" t="n">
        <v>10</v>
      </c>
      <c r="M267" s="56" t="n">
        <v>0</v>
      </c>
      <c r="N267" s="6" t="inlineStr">
        <is>
          <t>Amazon link not found</t>
        </is>
      </c>
      <c r="O267" s="56">
        <f>IF(N267="Selling pet toys + Artificial grass/Pet toilets (TARGET)",15,IF(N267="Selling artificial grass/pet toilets (TARGET)",10,IF(N267="Selling pet toys",7,IF(N267="There's an Amazon link, but no target sales.",3,0))))</f>
        <v/>
      </c>
      <c r="P267" s="63">
        <f>H267+J267+L267+M267+O267</f>
        <v/>
      </c>
      <c r="Q267" s="64">
        <f>IF(OR(H267=0,P267&lt;30),"Tier D (Đóng băng)",IF(P267&gt;=85,"Tier S (Kim Cương: 85-100đ)",IF(P267&gt;=70,"Tier A (Vàng: 70-84đ)",IF(P267&gt;=61,"Tier B+ / Cấp A (Hot Lead: 61-69đ)",IF(P267&gt;=50,"Tier B (Bạc: 50-60đ)","Tier C (Đồng: 30-49đ)")))))</f>
        <v/>
      </c>
      <c r="R267" s="6" t="inlineStr">
        <is>
          <t>Nhà vệ sinh &amp; Tã lót (Potty Tray / Pee Pads) + Cỏ nhân tạo lót chuồng</t>
        </is>
      </c>
      <c r="S267" s="6" t="inlineStr">
        <is>
          <t>HOT LEAD (Điểm ≥61): Liên hệ Telesale/Email chào gói Starter Kit &amp; Báo giá sỉ chiết khấu BOM</t>
        </is>
      </c>
    </row>
    <row r="268">
      <c r="A268" s="59" t="n">
        <v>4023</v>
      </c>
      <c r="B268" s="15" t="inlineStr">
        <is>
          <t>Greater California German Shepherd Rescue</t>
        </is>
      </c>
      <c r="C268" s="60" t="inlineStr">
        <is>
          <t>https://www.facebook.com/GCGSR</t>
        </is>
      </c>
      <c r="D268" s="9" t="inlineStr">
        <is>
          <t>Cần quét Bio Fanpage</t>
        </is>
      </c>
      <c r="E268" s="59" t="inlineStr">
        <is>
          <t>13/10/2026 05:15:48</t>
        </is>
      </c>
      <c r="F268" s="59" t="inlineStr">
        <is>
          <t>2 giờ trước</t>
        </is>
      </c>
      <c r="G268" s="61" t="n">
        <v>0.08</v>
      </c>
      <c r="H268" s="62" t="n">
        <v>35</v>
      </c>
      <c r="I268" s="9" t="inlineStr">
        <is>
          <t>Pet Rescue / Trạm cứu trợ (14-16đ)</t>
        </is>
      </c>
      <c r="J268" s="62" t="n">
        <v>16</v>
      </c>
      <c r="K268" s="9" t="inlineStr">
        <is>
          <t>German Shepherd</t>
        </is>
      </c>
      <c r="L268" s="62" t="n">
        <v>10</v>
      </c>
      <c r="M268" s="62" t="n">
        <v>0</v>
      </c>
      <c r="N268" s="9" t="inlineStr">
        <is>
          <t>Amazon link not found</t>
        </is>
      </c>
      <c r="O268" s="62">
        <f>IF(N268="Selling pet toys + Artificial grass/Pet toilets (TARGET)",15,IF(N268="Selling artificial grass/pet toilets (TARGET)",10,IF(N268="Selling pet toys",7,IF(N268="There's an Amazon link, but no target sales.",3,0))))</f>
        <v/>
      </c>
      <c r="P268" s="63">
        <f>H268+J268+L268+M268+O268</f>
        <v/>
      </c>
      <c r="Q268" s="64">
        <f>IF(OR(H268=0,P268&lt;30),"Tier D (Đóng băng)",IF(P268&gt;=85,"Tier S (Kim Cương: 85-100đ)",IF(P268&gt;=70,"Tier A (Vàng: 70-84đ)",IF(P268&gt;=61,"Tier B+ / Cấp A (Hot Lead: 61-69đ)",IF(P268&gt;=50,"Tier B (Bạc: 50-60đ)","Tier C (Đồng: 30-49đ)")))))</f>
        <v/>
      </c>
      <c r="R268" s="9" t="inlineStr">
        <is>
          <t>Nhà vệ sinh &amp; Tã lót (Potty Tray / Pee Pads) + Cỏ nhân tạo lót chuồng</t>
        </is>
      </c>
      <c r="S268" s="9" t="inlineStr">
        <is>
          <t>HOT LEAD (Điểm ≥61): Liên hệ Telesale/Email chào gói Starter Kit &amp; Báo giá sỉ chiết khấu BOM</t>
        </is>
      </c>
    </row>
    <row r="269">
      <c r="A269" s="53" t="n">
        <v>697</v>
      </c>
      <c r="B269" s="12" t="inlineStr">
        <is>
          <t>Blessed be the Bullies Rescue</t>
        </is>
      </c>
      <c r="C269" s="54" t="inlineStr">
        <is>
          <t>https://www.facebook.com/blessedbethebullies</t>
        </is>
      </c>
      <c r="D269" s="6" t="inlineStr">
        <is>
          <t>Cần quét Bio Fanpage</t>
        </is>
      </c>
      <c r="E269" s="53" t="inlineStr">
        <is>
          <t>13/10/2026 01:48:43</t>
        </is>
      </c>
      <c r="F269" s="53" t="inlineStr">
        <is>
          <t>21 phút trước</t>
        </is>
      </c>
      <c r="G269" s="55" t="n">
        <v>0.01</v>
      </c>
      <c r="H269" s="56" t="n">
        <v>35</v>
      </c>
      <c r="I269" s="6" t="inlineStr">
        <is>
          <t>Pet Rescue / Trạm cứu trợ (14-16đ)</t>
        </is>
      </c>
      <c r="J269" s="56" t="n">
        <v>16</v>
      </c>
      <c r="K269" s="6" t="inlineStr">
        <is>
          <t>American Bully / Bully</t>
        </is>
      </c>
      <c r="L269" s="56" t="n">
        <v>10</v>
      </c>
      <c r="M269" s="56" t="n">
        <v>0</v>
      </c>
      <c r="N269" s="6" t="inlineStr">
        <is>
          <t>Amazon link not found</t>
        </is>
      </c>
      <c r="O269" s="56">
        <f>IF(N269="Selling pet toys + Artificial grass/Pet toilets (TARGET)",15,IF(N269="Selling artificial grass/pet toilets (TARGET)",10,IF(N269="Selling pet toys",7,IF(N269="There's an Amazon link, but no target sales.",3,0))))</f>
        <v/>
      </c>
      <c r="P269" s="63">
        <f>H269+J269+L269+M269+O269</f>
        <v/>
      </c>
      <c r="Q269" s="64">
        <f>IF(OR(H269=0,P269&lt;30),"Tier D (Đóng băng)",IF(P269&gt;=85,"Tier S (Kim Cương: 85-100đ)",IF(P269&gt;=70,"Tier A (Vàng: 70-84đ)",IF(P269&gt;=61,"Tier B+ / Cấp A (Hot Lead: 61-69đ)",IF(P269&gt;=50,"Tier B (Bạc: 50-60đ)","Tier C (Đồng: 30-49đ)")))))</f>
        <v/>
      </c>
      <c r="R269" s="6" t="inlineStr">
        <is>
          <t>Nhà vệ sinh &amp; Tã lót (Potty Tray / Pee Pads) + Cỏ nhân tạo lót chuồng</t>
        </is>
      </c>
      <c r="S269" s="6" t="inlineStr">
        <is>
          <t>HOT LEAD (Điểm ≥61): Liên hệ Telesale/Email chào gói Starter Kit &amp; Báo giá sỉ chiết khấu BOM</t>
        </is>
      </c>
    </row>
    <row r="270">
      <c r="A270" s="59" t="n">
        <v>136</v>
      </c>
      <c r="B270" s="15" t="inlineStr">
        <is>
          <t>Collie Rescue of Greater IL, Inc.</t>
        </is>
      </c>
      <c r="C270" s="60" t="inlineStr">
        <is>
          <t>https://www.facebook.com/CollieRescueofGreaterIL</t>
        </is>
      </c>
      <c r="D270" s="9" t="inlineStr">
        <is>
          <t>Cần quét Bio Fanpage</t>
        </is>
      </c>
      <c r="E270" s="59" t="inlineStr">
        <is>
          <t>12/10/2026 22:55:51</t>
        </is>
      </c>
      <c r="F270" s="59" t="inlineStr">
        <is>
          <t>2 giờ trước</t>
        </is>
      </c>
      <c r="G270" s="61" t="n">
        <v>0.08</v>
      </c>
      <c r="H270" s="62" t="n">
        <v>35</v>
      </c>
      <c r="I270" s="9" t="inlineStr">
        <is>
          <t>Pet Rescue / Trạm cứu trợ (14-16đ)</t>
        </is>
      </c>
      <c r="J270" s="62" t="n">
        <v>16</v>
      </c>
      <c r="K270" s="9" t="inlineStr">
        <is>
          <t>Australian Shepherd / Herding</t>
        </is>
      </c>
      <c r="L270" s="62" t="n">
        <v>5</v>
      </c>
      <c r="M270" s="62" t="n">
        <v>5</v>
      </c>
      <c r="N270" s="9" t="inlineStr">
        <is>
          <t>Amazon link not found</t>
        </is>
      </c>
      <c r="O270" s="62">
        <f>IF(N270="Selling pet toys + Artificial grass/Pet toilets (TARGET)",15,IF(N270="Selling artificial grass/pet toilets (TARGET)",10,IF(N270="Selling pet toys",7,IF(N270="There's an Amazon link, but no target sales.",3,0))))</f>
        <v/>
      </c>
      <c r="P270" s="63">
        <f>H270+J270+L270+M270+O270</f>
        <v/>
      </c>
      <c r="Q270" s="64">
        <f>IF(OR(H270=0,P270&lt;30),"Tier D (Đóng băng)",IF(P270&gt;=85,"Tier S (Kim Cương: 85-100đ)",IF(P270&gt;=70,"Tier A (Vàng: 70-84đ)",IF(P270&gt;=61,"Tier B+ / Cấp A (Hot Lead: 61-69đ)",IF(P270&gt;=50,"Tier B (Bạc: 50-60đ)","Tier C (Đồng: 30-49đ)")))))</f>
        <v/>
      </c>
      <c r="R270" s="9" t="inlineStr">
        <is>
          <t>Nhà vệ sinh &amp; Tã lót (Potty Tray / Pee Pads) + Cỏ nhân tạo lót chuồng</t>
        </is>
      </c>
      <c r="S270" s="9" t="inlineStr">
        <is>
          <t>HOT LEAD (Điểm ≥61): Liên hệ Telesale/Email chào gói Starter Kit &amp; Báo giá sỉ chiết khấu BOM</t>
        </is>
      </c>
    </row>
    <row r="271">
      <c r="A271" s="53" t="n">
        <v>3070</v>
      </c>
      <c r="B271" s="12" t="inlineStr">
        <is>
          <t>Tea Time with Earl Greyhound</t>
        </is>
      </c>
      <c r="C271" s="54" t="inlineStr">
        <is>
          <t>https://www.facebook.com/TeaTimewithEarlGreyhound</t>
        </is>
      </c>
      <c r="D271" s="6" t="inlineStr">
        <is>
          <t>Cần quét Bio Fanpage</t>
        </is>
      </c>
      <c r="E271" s="53" t="inlineStr">
        <is>
          <t>12/10/2026 05:55:28</t>
        </is>
      </c>
      <c r="F271" s="53" t="inlineStr">
        <is>
          <t>1 ngày trước</t>
        </is>
      </c>
      <c r="G271" s="55" t="n">
        <v>1</v>
      </c>
      <c r="H271" s="56" t="n">
        <v>28</v>
      </c>
      <c r="I271" s="6" t="inlineStr">
        <is>
          <t>Dog Breeder / Trại nhân giống (28-30đ)</t>
        </is>
      </c>
      <c r="J271" s="56" t="n">
        <v>28</v>
      </c>
      <c r="K271" s="6" t="inlineStr">
        <is>
          <t>Hound / Beagle / Basset</t>
        </is>
      </c>
      <c r="L271" s="56" t="n">
        <v>5</v>
      </c>
      <c r="M271" s="56" t="n">
        <v>0</v>
      </c>
      <c r="N271" s="6" t="inlineStr">
        <is>
          <t>Amazon link not found</t>
        </is>
      </c>
      <c r="O271" s="56">
        <f>IF(N271="Selling pet toys + Artificial grass/Pet toilets (TARGET)",15,IF(N271="Selling artificial grass/pet toilets (TARGET)",10,IF(N271="Selling pet toys",7,IF(N271="There's an Amazon link, but no target sales.",3,0))))</f>
        <v/>
      </c>
      <c r="P271" s="63">
        <f>H271+J271+L271+M271+O271</f>
        <v/>
      </c>
      <c r="Q271" s="64">
        <f>IF(OR(H271=0,P271&lt;30),"Tier D (Đóng băng)",IF(P271&gt;=85,"Tier S (Kim Cương: 85-100đ)",IF(P271&gt;=70,"Tier A (Vàng: 70-84đ)",IF(P271&gt;=61,"Tier B+ / Cấp A (Hot Lead: 61-69đ)",IF(P271&gt;=50,"Tier B (Bạc: 50-60đ)","Tier C (Đồng: 30-49đ)")))))</f>
        <v/>
      </c>
      <c r="R271" s="6" t="inlineStr">
        <is>
          <t>Trọn gói Take-Home Starter Kit V2/V3 (Cỏ nhân tạo + Khay Potty + Đồ chơi cún con)</t>
        </is>
      </c>
      <c r="S271" s="6" t="inlineStr">
        <is>
          <t>HOT LEAD (Điểm ≥61): Liên hệ Telesale/Email chào gói Starter Kit &amp; Báo giá sỉ chiết khấu BOM</t>
        </is>
      </c>
    </row>
    <row r="272">
      <c r="A272" s="59" t="n">
        <v>2860</v>
      </c>
      <c r="B272" s="15" t="inlineStr">
        <is>
          <t>Serenity Basset Hounds</t>
        </is>
      </c>
      <c r="C272" s="60" t="inlineStr">
        <is>
          <t>https://www.facebook.com/SerenityBassetHounds</t>
        </is>
      </c>
      <c r="D272" s="9" t="inlineStr">
        <is>
          <t>Cần quét Bio Fanpage</t>
        </is>
      </c>
      <c r="E272" s="59" t="inlineStr">
        <is>
          <t>12/10/2026 05:39:35</t>
        </is>
      </c>
      <c r="F272" s="59" t="inlineStr">
        <is>
          <t>1 ngày trước</t>
        </is>
      </c>
      <c r="G272" s="61" t="n">
        <v>1</v>
      </c>
      <c r="H272" s="62" t="n">
        <v>28</v>
      </c>
      <c r="I272" s="9" t="inlineStr">
        <is>
          <t>Dog Breeder / Trại chó chuyên nghiệp (28-30đ)</t>
        </is>
      </c>
      <c r="J272" s="62" t="n">
        <v>28</v>
      </c>
      <c r="K272" s="9" t="inlineStr">
        <is>
          <t>Hound / Beagle / Basset</t>
        </is>
      </c>
      <c r="L272" s="62" t="n">
        <v>5</v>
      </c>
      <c r="M272" s="62" t="n">
        <v>0</v>
      </c>
      <c r="N272" s="9" t="inlineStr">
        <is>
          <t>Amazon link not found</t>
        </is>
      </c>
      <c r="O272" s="62">
        <f>IF(N272="Selling pet toys + Artificial grass/Pet toilets (TARGET)",15,IF(N272="Selling artificial grass/pet toilets (TARGET)",10,IF(N272="Selling pet toys",7,IF(N272="There's an Amazon link, but no target sales.",3,0))))</f>
        <v/>
      </c>
      <c r="P272" s="63">
        <f>H272+J272+L272+M272+O272</f>
        <v/>
      </c>
      <c r="Q272" s="64">
        <f>IF(OR(H272=0,P272&lt;30),"Tier D (Đóng băng)",IF(P272&gt;=85,"Tier S (Kim Cương: 85-100đ)",IF(P272&gt;=70,"Tier A (Vàng: 70-84đ)",IF(P272&gt;=61,"Tier B+ / Cấp A (Hot Lead: 61-69đ)",IF(P272&gt;=50,"Tier B (Bạc: 50-60đ)","Tier C (Đồng: 30-49đ)")))))</f>
        <v/>
      </c>
      <c r="R272" s="9" t="inlineStr">
        <is>
          <t>Trọn gói Take-Home Starter Kit V2/V3 (Cỏ nhân tạo + Khay Potty + Đồ chơi Teething/Snuggle)</t>
        </is>
      </c>
      <c r="S272" s="9" t="inlineStr">
        <is>
          <t>HOT LEAD (Điểm ≥61): Liên hệ Telesale/Email chào gói Starter Kit &amp; Báo giá sỉ chiết khấu BOM</t>
        </is>
      </c>
    </row>
    <row r="273">
      <c r="A273" s="53" t="n">
        <v>3461</v>
      </c>
      <c r="B273" s="12" t="inlineStr">
        <is>
          <t>Yap Yap Doxie Dog - Clay Dachshund Designs</t>
        </is>
      </c>
      <c r="C273" s="54" t="inlineStr">
        <is>
          <t>https://www.facebook.com/YapYapDoxieDogClayDachshundDesigns</t>
        </is>
      </c>
      <c r="D273" s="6" t="inlineStr">
        <is>
          <t>Cần quét Bio Fanpage</t>
        </is>
      </c>
      <c r="E273" s="53" t="inlineStr">
        <is>
          <t>12/10/2026 04:19:08</t>
        </is>
      </c>
      <c r="F273" s="53" t="inlineStr">
        <is>
          <t>1 ngày trước</t>
        </is>
      </c>
      <c r="G273" s="55" t="n">
        <v>1</v>
      </c>
      <c r="H273" s="56" t="n">
        <v>28</v>
      </c>
      <c r="I273" s="6" t="inlineStr">
        <is>
          <t>Dog Breeder / Trại nhân giống (28-30đ)</t>
        </is>
      </c>
      <c r="J273" s="56" t="n">
        <v>28</v>
      </c>
      <c r="K273" s="6" t="inlineStr">
        <is>
          <t>Dachshund</t>
        </is>
      </c>
      <c r="L273" s="56" t="n">
        <v>5</v>
      </c>
      <c r="M273" s="56" t="n">
        <v>0</v>
      </c>
      <c r="N273" s="6" t="inlineStr">
        <is>
          <t>Amazon link not found</t>
        </is>
      </c>
      <c r="O273" s="56">
        <f>IF(N273="Selling pet toys + Artificial grass/Pet toilets (TARGET)",15,IF(N273="Selling artificial grass/pet toilets (TARGET)",10,IF(N273="Selling pet toys",7,IF(N273="There's an Amazon link, but no target sales.",3,0))))</f>
        <v/>
      </c>
      <c r="P273" s="63">
        <f>H273+J273+L273+M273+O273</f>
        <v/>
      </c>
      <c r="Q273" s="64">
        <f>IF(OR(H273=0,P273&lt;30),"Tier D (Đóng băng)",IF(P273&gt;=85,"Tier S (Kim Cương: 85-100đ)",IF(P273&gt;=70,"Tier A (Vàng: 70-84đ)",IF(P273&gt;=61,"Tier B+ / Cấp A (Hot Lead: 61-69đ)",IF(P273&gt;=50,"Tier B (Bạc: 50-60đ)","Tier C (Đồng: 30-49đ)")))))</f>
        <v/>
      </c>
      <c r="R273" s="6" t="inlineStr">
        <is>
          <t>Trọn gói Take-Home Starter Kit V2/V3 (Cỏ nhân tạo + Khay Potty + Đồ chơi cún con)</t>
        </is>
      </c>
      <c r="S273" s="6" t="inlineStr">
        <is>
          <t>HOT LEAD (Điểm ≥61): Liên hệ Telesale/Email chào gói Starter Kit &amp; Báo giá sỉ chiết khấu BOM</t>
        </is>
      </c>
    </row>
    <row r="274">
      <c r="A274" s="59" t="n">
        <v>1688</v>
      </c>
      <c r="B274" s="15" t="inlineStr">
        <is>
          <t>Hound and Hooman NI  (Hound and Hooman NI)</t>
        </is>
      </c>
      <c r="C274" s="60" t="inlineStr">
        <is>
          <t>https://www.facebook.com/profile.php?id=100079016053007</t>
        </is>
      </c>
      <c r="D274" s="9" t="inlineStr">
        <is>
          <t>Cần quét Bio Fanpage</t>
        </is>
      </c>
      <c r="E274" s="59" t="inlineStr">
        <is>
          <t>12/10/2026 03:26:00</t>
        </is>
      </c>
      <c r="F274" s="59" t="inlineStr">
        <is>
          <t>1 ngày trước</t>
        </is>
      </c>
      <c r="G274" s="61" t="n">
        <v>1</v>
      </c>
      <c r="H274" s="62" t="n">
        <v>28</v>
      </c>
      <c r="I274" s="9" t="inlineStr">
        <is>
          <t>Dog Breeder / Trại nhân giống (28-30đ)</t>
        </is>
      </c>
      <c r="J274" s="62" t="n">
        <v>28</v>
      </c>
      <c r="K274" s="9" t="inlineStr">
        <is>
          <t>Hound / Beagle / Basset</t>
        </is>
      </c>
      <c r="L274" s="62" t="n">
        <v>5</v>
      </c>
      <c r="M274" s="62" t="n">
        <v>0</v>
      </c>
      <c r="N274" s="9" t="inlineStr">
        <is>
          <t>Amazon link not found</t>
        </is>
      </c>
      <c r="O274" s="62">
        <f>IF(N274="Selling pet toys + Artificial grass/Pet toilets (TARGET)",15,IF(N274="Selling artificial grass/pet toilets (TARGET)",10,IF(N274="Selling pet toys",7,IF(N274="There's an Amazon link, but no target sales.",3,0))))</f>
        <v/>
      </c>
      <c r="P274" s="63">
        <f>H274+J274+L274+M274+O274</f>
        <v/>
      </c>
      <c r="Q274" s="64">
        <f>IF(OR(H274=0,P274&lt;30),"Tier D (Đóng băng)",IF(P274&gt;=85,"Tier S (Kim Cương: 85-100đ)",IF(P274&gt;=70,"Tier A (Vàng: 70-84đ)",IF(P274&gt;=61,"Tier B+ / Cấp A (Hot Lead: 61-69đ)",IF(P274&gt;=50,"Tier B (Bạc: 50-60đ)","Tier C (Đồng: 30-49đ)")))))</f>
        <v/>
      </c>
      <c r="R274" s="9" t="inlineStr">
        <is>
          <t>Trọn gói Take-Home Starter Kit V2/V3 (Cỏ nhân tạo + Khay Potty + Đồ chơi cún con)</t>
        </is>
      </c>
      <c r="S274" s="9" t="inlineStr">
        <is>
          <t>HOT LEAD (Điểm ≥61): Liên hệ Telesale/Email chào gói Starter Kit &amp; Báo giá sỉ chiết khấu BOM</t>
        </is>
      </c>
    </row>
    <row r="275">
      <c r="A275" s="53" t="n">
        <v>3190</v>
      </c>
      <c r="B275" s="12" t="inlineStr">
        <is>
          <t>Timmikin Shetland Sheepdogs</t>
        </is>
      </c>
      <c r="C275" s="54" t="inlineStr">
        <is>
          <t>https://www.facebook.com/timmikinshelties</t>
        </is>
      </c>
      <c r="D275" s="6" t="inlineStr">
        <is>
          <t>Cần quét Bio Fanpage</t>
        </is>
      </c>
      <c r="E275" s="53" t="inlineStr">
        <is>
          <t>12/10/2026 03:14:48</t>
        </is>
      </c>
      <c r="F275" s="53" t="inlineStr">
        <is>
          <t>1 ngày trước</t>
        </is>
      </c>
      <c r="G275" s="55" t="n">
        <v>1</v>
      </c>
      <c r="H275" s="56" t="n">
        <v>28</v>
      </c>
      <c r="I275" s="6" t="inlineStr">
        <is>
          <t>Dog Breeder / Trại nhân giống (28-30đ)</t>
        </is>
      </c>
      <c r="J275" s="56" t="n">
        <v>28</v>
      </c>
      <c r="K275" s="6" t="inlineStr">
        <is>
          <t>Australian Shepherd / Herding</t>
        </is>
      </c>
      <c r="L275" s="56" t="n">
        <v>5</v>
      </c>
      <c r="M275" s="56" t="n">
        <v>0</v>
      </c>
      <c r="N275" s="6" t="inlineStr">
        <is>
          <t>Amazon link not found</t>
        </is>
      </c>
      <c r="O275" s="56">
        <f>IF(N275="Selling pet toys + Artificial grass/Pet toilets (TARGET)",15,IF(N275="Selling artificial grass/pet toilets (TARGET)",10,IF(N275="Selling pet toys",7,IF(N275="There's an Amazon link, but no target sales.",3,0))))</f>
        <v/>
      </c>
      <c r="P275" s="63">
        <f>H275+J275+L275+M275+O275</f>
        <v/>
      </c>
      <c r="Q275" s="64">
        <f>IF(OR(H275=0,P275&lt;30),"Tier D (Đóng băng)",IF(P275&gt;=85,"Tier S (Kim Cương: 85-100đ)",IF(P275&gt;=70,"Tier A (Vàng: 70-84đ)",IF(P275&gt;=61,"Tier B+ / Cấp A (Hot Lead: 61-69đ)",IF(P275&gt;=50,"Tier B (Bạc: 50-60đ)","Tier C (Đồng: 30-49đ)")))))</f>
        <v/>
      </c>
      <c r="R275" s="6" t="inlineStr">
        <is>
          <t>Trọn gói Take-Home Starter Kit V2/V3 (Cỏ nhân tạo + Khay Potty + Đồ chơi cún con)</t>
        </is>
      </c>
      <c r="S275" s="6" t="inlineStr">
        <is>
          <t>HOT LEAD (Điểm ≥61): Liên hệ Telesale/Email chào gói Starter Kit &amp; Báo giá sỉ chiết khấu BOM</t>
        </is>
      </c>
    </row>
    <row r="276">
      <c r="A276" s="59" t="n">
        <v>675</v>
      </c>
      <c r="B276" s="15" t="inlineStr">
        <is>
          <t>Billy the Talking Puppy</t>
        </is>
      </c>
      <c r="C276" s="60" t="inlineStr">
        <is>
          <t>https://www.facebook.com/profile.php?id=61565520434277</t>
        </is>
      </c>
      <c r="D276" s="9" t="inlineStr">
        <is>
          <t>Cần quét Bio Fanpage</t>
        </is>
      </c>
      <c r="E276" s="59" t="inlineStr">
        <is>
          <t>12/10/2026 01:33:44</t>
        </is>
      </c>
      <c r="F276" s="59" t="inlineStr">
        <is>
          <t>1 ngày trước</t>
        </is>
      </c>
      <c r="G276" s="61" t="n">
        <v>1</v>
      </c>
      <c r="H276" s="62" t="n">
        <v>28</v>
      </c>
      <c r="I276" s="9" t="inlineStr">
        <is>
          <t>Dog Breeder / Trại chó chuyên nghiệp (28-30đ)</t>
        </is>
      </c>
      <c r="J276" s="62" t="n">
        <v>28</v>
      </c>
      <c r="K276" s="9" t="inlineStr">
        <is>
          <t>Chưa rõ giống (Cần quét Bio)</t>
        </is>
      </c>
      <c r="L276" s="62" t="n">
        <v>0</v>
      </c>
      <c r="M276" s="62" t="n">
        <v>5</v>
      </c>
      <c r="N276" s="9" t="inlineStr">
        <is>
          <t>Amazon link not found</t>
        </is>
      </c>
      <c r="O276" s="62">
        <f>IF(N276="Selling pet toys + Artificial grass/Pet toilets (TARGET)",15,IF(N276="Selling artificial grass/pet toilets (TARGET)",10,IF(N276="Selling pet toys",7,IF(N276="There's an Amazon link, but no target sales.",3,0))))</f>
        <v/>
      </c>
      <c r="P276" s="63">
        <f>H276+J276+L276+M276+O276</f>
        <v/>
      </c>
      <c r="Q276" s="64">
        <f>IF(OR(H276=0,P276&lt;30),"Tier D (Đóng băng)",IF(P276&gt;=85,"Tier S (Kim Cương: 85-100đ)",IF(P276&gt;=70,"Tier A (Vàng: 70-84đ)",IF(P276&gt;=61,"Tier B+ / Cấp A (Hot Lead: 61-69đ)",IF(P276&gt;=50,"Tier B (Bạc: 50-60đ)","Tier C (Đồng: 30-49đ)")))))</f>
        <v/>
      </c>
      <c r="R276" s="9" t="inlineStr">
        <is>
          <t>Trọn gói Take-Home Starter Kit V2/V3 (Cỏ nhân tạo + Khay Potty + Đồ chơi Teething/Snuggle)</t>
        </is>
      </c>
      <c r="S276" s="9" t="inlineStr">
        <is>
          <t>HOT LEAD (Điểm ≥61): Liên hệ Telesale/Email chào gói Starter Kit &amp; Báo giá sỉ chiết khấu BOM</t>
        </is>
      </c>
    </row>
    <row r="277">
      <c r="A277" s="53" t="n">
        <v>2076</v>
      </c>
      <c r="B277" s="12" t="inlineStr">
        <is>
          <t>Luv of Dogz Fund, Inc</t>
        </is>
      </c>
      <c r="C277" s="54" t="inlineStr">
        <is>
          <t>https://www.facebook.com/LuvOfDogzFund</t>
        </is>
      </c>
      <c r="D277" s="6" t="inlineStr">
        <is>
          <t>Cần quét Bio Fanpage</t>
        </is>
      </c>
      <c r="E277" s="53" t="inlineStr">
        <is>
          <t>11/10/2026 23:00:03</t>
        </is>
      </c>
      <c r="F277" s="53" t="inlineStr">
        <is>
          <t>1 ngày trước</t>
        </is>
      </c>
      <c r="G277" s="55" t="n">
        <v>1</v>
      </c>
      <c r="H277" s="56" t="n">
        <v>28</v>
      </c>
      <c r="I277" s="6" t="inlineStr">
        <is>
          <t>Dog Breeder / Trại nhân giống (28-30đ)</t>
        </is>
      </c>
      <c r="J277" s="56" t="n">
        <v>28</v>
      </c>
      <c r="K277" s="6" t="inlineStr">
        <is>
          <t>Chưa rõ giống (Cần quét Bio)</t>
        </is>
      </c>
      <c r="L277" s="56" t="n">
        <v>0</v>
      </c>
      <c r="M277" s="56" t="n">
        <v>5</v>
      </c>
      <c r="N277" s="6" t="inlineStr">
        <is>
          <t>Amazon link not found</t>
        </is>
      </c>
      <c r="O277" s="56">
        <f>IF(N277="Selling pet toys + Artificial grass/Pet toilets (TARGET)",15,IF(N277="Selling artificial grass/pet toilets (TARGET)",10,IF(N277="Selling pet toys",7,IF(N277="There's an Amazon link, but no target sales.",3,0))))</f>
        <v/>
      </c>
      <c r="P277" s="63">
        <f>H277+J277+L277+M277+O277</f>
        <v/>
      </c>
      <c r="Q277" s="64">
        <f>IF(OR(H277=0,P277&lt;30),"Tier D (Đóng băng)",IF(P277&gt;=85,"Tier S (Kim Cương: 85-100đ)",IF(P277&gt;=70,"Tier A (Vàng: 70-84đ)",IF(P277&gt;=61,"Tier B+ / Cấp A (Hot Lead: 61-69đ)",IF(P277&gt;=50,"Tier B (Bạc: 50-60đ)","Tier C (Đồng: 30-49đ)")))))</f>
        <v/>
      </c>
      <c r="R277" s="6" t="inlineStr">
        <is>
          <t>Trọn gói Take-Home Starter Kit V2/V3 (Cỏ nhân tạo + Khay Potty + Đồ chơi cún con)</t>
        </is>
      </c>
      <c r="S277" s="6" t="inlineStr">
        <is>
          <t>HOT LEAD (Điểm ≥61): Liên hệ Telesale/Email chào gói Starter Kit &amp; Báo giá sỉ chiết khấu BOM</t>
        </is>
      </c>
    </row>
    <row r="278">
      <c r="A278" s="59" t="n">
        <v>1669</v>
      </c>
      <c r="B278" s="15" t="inlineStr">
        <is>
          <t>Home On The Road, LLC Pet Transport</t>
        </is>
      </c>
      <c r="C278" s="60" t="inlineStr">
        <is>
          <t>https://www.facebook.com/Movingyourpets</t>
        </is>
      </c>
      <c r="D278" s="9" t="inlineStr">
        <is>
          <t>Cần quét Bio Fanpage</t>
        </is>
      </c>
      <c r="E278" s="59" t="inlineStr">
        <is>
          <t>11/10/2026 19:43:07</t>
        </is>
      </c>
      <c r="F278" s="59" t="inlineStr">
        <is>
          <t>1 ngày trước</t>
        </is>
      </c>
      <c r="G278" s="61" t="n">
        <v>1</v>
      </c>
      <c r="H278" s="62" t="n">
        <v>28</v>
      </c>
      <c r="I278" s="9" t="inlineStr">
        <is>
          <t>Dog Breeder / Trại nhân giống (28-30đ)</t>
        </is>
      </c>
      <c r="J278" s="62" t="n">
        <v>28</v>
      </c>
      <c r="K278" s="9" t="inlineStr">
        <is>
          <t>Chưa rõ giống (Cần quét Bio)</t>
        </is>
      </c>
      <c r="L278" s="62" t="n">
        <v>0</v>
      </c>
      <c r="M278" s="62" t="n">
        <v>5</v>
      </c>
      <c r="N278" s="9" t="inlineStr">
        <is>
          <t>Amazon link not found</t>
        </is>
      </c>
      <c r="O278" s="62">
        <f>IF(N278="Selling pet toys + Artificial grass/Pet toilets (TARGET)",15,IF(N278="Selling artificial grass/pet toilets (TARGET)",10,IF(N278="Selling pet toys",7,IF(N278="There's an Amazon link, but no target sales.",3,0))))</f>
        <v/>
      </c>
      <c r="P278" s="63">
        <f>H278+J278+L278+M278+O278</f>
        <v/>
      </c>
      <c r="Q278" s="64">
        <f>IF(OR(H278=0,P278&lt;30),"Tier D (Đóng băng)",IF(P278&gt;=85,"Tier S (Kim Cương: 85-100đ)",IF(P278&gt;=70,"Tier A (Vàng: 70-84đ)",IF(P278&gt;=61,"Tier B+ / Cấp A (Hot Lead: 61-69đ)",IF(P278&gt;=50,"Tier B (Bạc: 50-60đ)","Tier C (Đồng: 30-49đ)")))))</f>
        <v/>
      </c>
      <c r="R278" s="9" t="inlineStr">
        <is>
          <t>Trọn gói Take-Home Starter Kit V2/V3 (Cỏ nhân tạo + Khay Potty + Đồ chơi cún con)</t>
        </is>
      </c>
      <c r="S278" s="9" t="inlineStr">
        <is>
          <t>HOT LEAD (Điểm ≥61): Liên hệ Telesale/Email chào gói Starter Kit &amp; Báo giá sỉ chiết khấu BOM</t>
        </is>
      </c>
    </row>
    <row r="279">
      <c r="A279" s="53" t="n">
        <v>638</v>
      </c>
      <c r="B279" s="12" t="inlineStr">
        <is>
          <t>Bernese mountain dog 1</t>
        </is>
      </c>
      <c r="C279" s="54" t="inlineStr">
        <is>
          <t>https://www.facebook.com/profile.php?id=61573768274207</t>
        </is>
      </c>
      <c r="D279" s="6" t="inlineStr">
        <is>
          <t>Cần quét Bio Fanpage</t>
        </is>
      </c>
      <c r="E279" s="53" t="inlineStr">
        <is>
          <t>11/10/2026 19:25:33</t>
        </is>
      </c>
      <c r="F279" s="53" t="inlineStr">
        <is>
          <t>1 ngày trước</t>
        </is>
      </c>
      <c r="G279" s="55" t="n">
        <v>1</v>
      </c>
      <c r="H279" s="56" t="n">
        <v>28</v>
      </c>
      <c r="I279" s="6" t="inlineStr">
        <is>
          <t>Dog Breeder / Trại chó chuyên nghiệp (28-30đ)</t>
        </is>
      </c>
      <c r="J279" s="56" t="n">
        <v>28</v>
      </c>
      <c r="K279" s="6" t="inlineStr">
        <is>
          <t>Bernese Mountain Dog</t>
        </is>
      </c>
      <c r="L279" s="56" t="n">
        <v>5</v>
      </c>
      <c r="M279" s="56" t="n">
        <v>0</v>
      </c>
      <c r="N279" s="6" t="inlineStr">
        <is>
          <t>Amazon link not found</t>
        </is>
      </c>
      <c r="O279" s="56">
        <f>IF(N279="Selling pet toys + Artificial grass/Pet toilets (TARGET)",15,IF(N279="Selling artificial grass/pet toilets (TARGET)",10,IF(N279="Selling pet toys",7,IF(N279="There's an Amazon link, but no target sales.",3,0))))</f>
        <v/>
      </c>
      <c r="P279" s="63">
        <f>H279+J279+L279+M279+O279</f>
        <v/>
      </c>
      <c r="Q279" s="64">
        <f>IF(OR(H279=0,P279&lt;30),"Tier D (Đóng băng)",IF(P279&gt;=85,"Tier S (Kim Cương: 85-100đ)",IF(P279&gt;=70,"Tier A (Vàng: 70-84đ)",IF(P279&gt;=61,"Tier B+ / Cấp A (Hot Lead: 61-69đ)",IF(P279&gt;=50,"Tier B (Bạc: 50-60đ)","Tier C (Đồng: 30-49đ)")))))</f>
        <v/>
      </c>
      <c r="R279" s="6" t="inlineStr">
        <is>
          <t>Trọn gói Take-Home Starter Kit V2/V3 (Cỏ nhân tạo + Khay Potty + Đồ chơi Teething/Snuggle)</t>
        </is>
      </c>
      <c r="S279" s="6" t="inlineStr">
        <is>
          <t>HOT LEAD (Điểm ≥61): Liên hệ Telesale/Email chào gói Starter Kit &amp; Báo giá sỉ chiết khấu BOM</t>
        </is>
      </c>
    </row>
    <row r="280">
      <c r="A280" s="59" t="n">
        <v>77</v>
      </c>
      <c r="B280" s="15" t="inlineStr">
        <is>
          <t>Stones Edge Bernese Mountain Dogs</t>
        </is>
      </c>
      <c r="C280" s="60" t="inlineStr">
        <is>
          <t>https://www.facebook.com/StonesEdgeBMD</t>
        </is>
      </c>
      <c r="D280" s="9" t="inlineStr">
        <is>
          <t>Cần quét Bio Fanpage</t>
        </is>
      </c>
      <c r="E280" s="59" t="inlineStr">
        <is>
          <t>11/10/2026 17:50:21</t>
        </is>
      </c>
      <c r="F280" s="59" t="inlineStr">
        <is>
          <t>1 ngày trước</t>
        </is>
      </c>
      <c r="G280" s="61" t="n">
        <v>1</v>
      </c>
      <c r="H280" s="62" t="n">
        <v>28</v>
      </c>
      <c r="I280" s="9" t="inlineStr">
        <is>
          <t>Dog Breeder / Trại chó chuyên nghiệp (28-30đ)</t>
        </is>
      </c>
      <c r="J280" s="62" t="n">
        <v>28</v>
      </c>
      <c r="K280" s="9" t="inlineStr">
        <is>
          <t>Bernese Mountain Dog</t>
        </is>
      </c>
      <c r="L280" s="62" t="n">
        <v>5</v>
      </c>
      <c r="M280" s="62" t="n">
        <v>0</v>
      </c>
      <c r="N280" s="9" t="inlineStr">
        <is>
          <t>Amazon link not found</t>
        </is>
      </c>
      <c r="O280" s="62">
        <f>IF(N280="Selling pet toys + Artificial grass/Pet toilets (TARGET)",15,IF(N280="Selling artificial grass/pet toilets (TARGET)",10,IF(N280="Selling pet toys",7,IF(N280="There's an Amazon link, but no target sales.",3,0))))</f>
        <v/>
      </c>
      <c r="P280" s="63">
        <f>H280+J280+L280+M280+O280</f>
        <v/>
      </c>
      <c r="Q280" s="64">
        <f>IF(OR(H280=0,P280&lt;30),"Tier D (Đóng băng)",IF(P280&gt;=85,"Tier S (Kim Cương: 85-100đ)",IF(P280&gt;=70,"Tier A (Vàng: 70-84đ)",IF(P280&gt;=61,"Tier B+ / Cấp A (Hot Lead: 61-69đ)",IF(P280&gt;=50,"Tier B (Bạc: 50-60đ)","Tier C (Đồng: 30-49đ)")))))</f>
        <v/>
      </c>
      <c r="R280" s="9" t="inlineStr">
        <is>
          <t>Trọn gói Take-Home Starter Kit V2/V3 (Cỏ nhân tạo + Khay Potty + Đồ chơi Teething/Snuggle)</t>
        </is>
      </c>
      <c r="S280" s="9" t="inlineStr">
        <is>
          <t>HOT LEAD (Điểm ≥61): Liên hệ Telesale/Email chào gói Starter Kit &amp; Báo giá sỉ chiết khấu BOM</t>
        </is>
      </c>
    </row>
    <row r="281">
      <c r="A281" s="53" t="n">
        <v>3447</v>
      </c>
      <c r="B281" s="12" t="inlineStr">
        <is>
          <t>Working Clumber Spaniel Dogs</t>
        </is>
      </c>
      <c r="C281" s="54" t="inlineStr">
        <is>
          <t>https://www.facebook.com/profile.php?id=100086032986670</t>
        </is>
      </c>
      <c r="D281" s="6" t="inlineStr">
        <is>
          <t>Cần quét Bio Fanpage</t>
        </is>
      </c>
      <c r="E281" s="53" t="inlineStr">
        <is>
          <t>11/10/2026 17:03:05</t>
        </is>
      </c>
      <c r="F281" s="53" t="inlineStr">
        <is>
          <t>1 ngày trước</t>
        </is>
      </c>
      <c r="G281" s="55" t="n">
        <v>1</v>
      </c>
      <c r="H281" s="56" t="n">
        <v>28</v>
      </c>
      <c r="I281" s="6" t="inlineStr">
        <is>
          <t>Dog Breeder / Trại nhân giống (28-30đ)</t>
        </is>
      </c>
      <c r="J281" s="56" t="n">
        <v>28</v>
      </c>
      <c r="K281" s="6" t="inlineStr">
        <is>
          <t>Spaniel / Gun Dog / Retriever</t>
        </is>
      </c>
      <c r="L281" s="56" t="n">
        <v>5</v>
      </c>
      <c r="M281" s="56" t="n">
        <v>0</v>
      </c>
      <c r="N281" s="6" t="inlineStr">
        <is>
          <t>Amazon link not found</t>
        </is>
      </c>
      <c r="O281" s="56">
        <f>IF(N281="Selling pet toys + Artificial grass/Pet toilets (TARGET)",15,IF(N281="Selling artificial grass/pet toilets (TARGET)",10,IF(N281="Selling pet toys",7,IF(N281="There's an Amazon link, but no target sales.",3,0))))</f>
        <v/>
      </c>
      <c r="P281" s="63">
        <f>H281+J281+L281+M281+O281</f>
        <v/>
      </c>
      <c r="Q281" s="64">
        <f>IF(OR(H281=0,P281&lt;30),"Tier D (Đóng băng)",IF(P281&gt;=85,"Tier S (Kim Cương: 85-100đ)",IF(P281&gt;=70,"Tier A (Vàng: 70-84đ)",IF(P281&gt;=61,"Tier B+ / Cấp A (Hot Lead: 61-69đ)",IF(P281&gt;=50,"Tier B (Bạc: 50-60đ)","Tier C (Đồng: 30-49đ)")))))</f>
        <v/>
      </c>
      <c r="R281" s="6" t="inlineStr">
        <is>
          <t>Trọn gói Take-Home Starter Kit V2/V3 (Cỏ nhân tạo + Khay Potty + Đồ chơi cún con)</t>
        </is>
      </c>
      <c r="S281" s="6" t="inlineStr">
        <is>
          <t>HOT LEAD (Điểm ≥61): Liên hệ Telesale/Email chào gói Starter Kit &amp; Báo giá sỉ chiết khấu BOM</t>
        </is>
      </c>
    </row>
    <row r="282">
      <c r="A282" s="59" t="n">
        <v>2589</v>
      </c>
      <c r="B282" s="15" t="inlineStr">
        <is>
          <t>Plush Puppy Benelux</t>
        </is>
      </c>
      <c r="C282" s="60" t="inlineStr">
        <is>
          <t>https://www.facebook.com/profile.php?id=61581612007097</t>
        </is>
      </c>
      <c r="D282" s="9" t="inlineStr">
        <is>
          <t>Cần quét Bio Fanpage</t>
        </is>
      </c>
      <c r="E282" s="59" t="inlineStr">
        <is>
          <t>11/10/2026 17:01:07</t>
        </is>
      </c>
      <c r="F282" s="59" t="inlineStr">
        <is>
          <t>1 ngày trước</t>
        </is>
      </c>
      <c r="G282" s="61" t="n">
        <v>1</v>
      </c>
      <c r="H282" s="62" t="n">
        <v>28</v>
      </c>
      <c r="I282" s="9" t="inlineStr">
        <is>
          <t>Dog Breeder / Trại chó chuyên nghiệp (28-30đ)</t>
        </is>
      </c>
      <c r="J282" s="62" t="n">
        <v>28</v>
      </c>
      <c r="K282" s="9" t="inlineStr">
        <is>
          <t>Chưa rõ giống (Cần quét Bio)</t>
        </is>
      </c>
      <c r="L282" s="62" t="n">
        <v>0</v>
      </c>
      <c r="M282" s="62" t="n">
        <v>5</v>
      </c>
      <c r="N282" s="9" t="inlineStr">
        <is>
          <t>Amazon link not found</t>
        </is>
      </c>
      <c r="O282" s="62">
        <f>IF(N282="Selling pet toys + Artificial grass/Pet toilets (TARGET)",15,IF(N282="Selling artificial grass/pet toilets (TARGET)",10,IF(N282="Selling pet toys",7,IF(N282="There's an Amazon link, but no target sales.",3,0))))</f>
        <v/>
      </c>
      <c r="P282" s="63">
        <f>H282+J282+L282+M282+O282</f>
        <v/>
      </c>
      <c r="Q282" s="64">
        <f>IF(OR(H282=0,P282&lt;30),"Tier D (Đóng băng)",IF(P282&gt;=85,"Tier S (Kim Cương: 85-100đ)",IF(P282&gt;=70,"Tier A (Vàng: 70-84đ)",IF(P282&gt;=61,"Tier B+ / Cấp A (Hot Lead: 61-69đ)",IF(P282&gt;=50,"Tier B (Bạc: 50-60đ)","Tier C (Đồng: 30-49đ)")))))</f>
        <v/>
      </c>
      <c r="R282" s="9" t="inlineStr">
        <is>
          <t>Trọn gói Take-Home Starter Kit V2/V3 (Cỏ nhân tạo + Khay Potty + Đồ chơi Teething/Snuggle)</t>
        </is>
      </c>
      <c r="S282" s="9" t="inlineStr">
        <is>
          <t>HOT LEAD (Điểm ≥61): Liên hệ Telesale/Email chào gói Starter Kit &amp; Báo giá sỉ chiết khấu BOM</t>
        </is>
      </c>
    </row>
    <row r="283">
      <c r="A283" s="53" t="n">
        <v>2746</v>
      </c>
      <c r="B283" s="12" t="inlineStr">
        <is>
          <t>Ridgy Didge Australian Cobberdogs</t>
        </is>
      </c>
      <c r="C283" s="54" t="inlineStr">
        <is>
          <t>https://www.facebook.com/RidgyDidgeCobberdogs</t>
        </is>
      </c>
      <c r="D283" s="6" t="inlineStr">
        <is>
          <t>Cần quét Bio Fanpage</t>
        </is>
      </c>
      <c r="E283" s="53" t="inlineStr">
        <is>
          <t>11/10/2026 08:15:33</t>
        </is>
      </c>
      <c r="F283" s="53" t="inlineStr">
        <is>
          <t>1 ngày trước</t>
        </is>
      </c>
      <c r="G283" s="55" t="n">
        <v>1</v>
      </c>
      <c r="H283" s="56" t="n">
        <v>28</v>
      </c>
      <c r="I283" s="6" t="inlineStr">
        <is>
          <t>Dog Breeder / Trại nhân giống (28-30đ)</t>
        </is>
      </c>
      <c r="J283" s="56" t="n">
        <v>28</v>
      </c>
      <c r="K283" s="6" t="inlineStr">
        <is>
          <t>Australian Shepherd / Herding</t>
        </is>
      </c>
      <c r="L283" s="56" t="n">
        <v>5</v>
      </c>
      <c r="M283" s="56" t="n">
        <v>0</v>
      </c>
      <c r="N283" s="6" t="inlineStr">
        <is>
          <t>Amazon link not found</t>
        </is>
      </c>
      <c r="O283" s="56">
        <f>IF(N283="Selling pet toys + Artificial grass/Pet toilets (TARGET)",15,IF(N283="Selling artificial grass/pet toilets (TARGET)",10,IF(N283="Selling pet toys",7,IF(N283="There's an Amazon link, but no target sales.",3,0))))</f>
        <v/>
      </c>
      <c r="P283" s="63">
        <f>H283+J283+L283+M283+O283</f>
        <v/>
      </c>
      <c r="Q283" s="64">
        <f>IF(OR(H283=0,P283&lt;30),"Tier D (Đóng băng)",IF(P283&gt;=85,"Tier S (Kim Cương: 85-100đ)",IF(P283&gt;=70,"Tier A (Vàng: 70-84đ)",IF(P283&gt;=61,"Tier B+ / Cấp A (Hot Lead: 61-69đ)",IF(P283&gt;=50,"Tier B (Bạc: 50-60đ)","Tier C (Đồng: 30-49đ)")))))</f>
        <v/>
      </c>
      <c r="R283" s="6" t="inlineStr">
        <is>
          <t>Trọn gói Take-Home Starter Kit V2/V3 (Cỏ nhân tạo + Khay Potty + Đồ chơi cún con)</t>
        </is>
      </c>
      <c r="S283" s="6" t="inlineStr">
        <is>
          <t>HOT LEAD (Điểm ≥61): Liên hệ Telesale/Email chào gói Starter Kit &amp; Báo giá sỉ chiết khấu BOM</t>
        </is>
      </c>
    </row>
    <row r="284">
      <c r="A284" s="59" t="n">
        <v>2065</v>
      </c>
      <c r="B284" s="15" t="inlineStr">
        <is>
          <t>Low Riding Long Dogs</t>
        </is>
      </c>
      <c r="C284" s="60" t="inlineStr">
        <is>
          <t>https://www.facebook.com/lowridingdachshunds</t>
        </is>
      </c>
      <c r="D284" s="9" t="inlineStr">
        <is>
          <t>Cần quét Bio Fanpage</t>
        </is>
      </c>
      <c r="E284" s="59" t="inlineStr">
        <is>
          <t>11/10/2026 05:32:04</t>
        </is>
      </c>
      <c r="F284" s="59" t="inlineStr">
        <is>
          <t>1 ngày trước</t>
        </is>
      </c>
      <c r="G284" s="61" t="n">
        <v>1</v>
      </c>
      <c r="H284" s="62" t="n">
        <v>28</v>
      </c>
      <c r="I284" s="9" t="inlineStr">
        <is>
          <t>Dog Breeder / Trại nhân giống (28-30đ)</t>
        </is>
      </c>
      <c r="J284" s="62" t="n">
        <v>28</v>
      </c>
      <c r="K284" s="9" t="inlineStr">
        <is>
          <t>Dachshund</t>
        </is>
      </c>
      <c r="L284" s="62" t="n">
        <v>5</v>
      </c>
      <c r="M284" s="62" t="n">
        <v>0</v>
      </c>
      <c r="N284" s="9" t="inlineStr">
        <is>
          <t>Amazon link not found</t>
        </is>
      </c>
      <c r="O284" s="62">
        <f>IF(N284="Selling pet toys + Artificial grass/Pet toilets (TARGET)",15,IF(N284="Selling artificial grass/pet toilets (TARGET)",10,IF(N284="Selling pet toys",7,IF(N284="There's an Amazon link, but no target sales.",3,0))))</f>
        <v/>
      </c>
      <c r="P284" s="63">
        <f>H284+J284+L284+M284+O284</f>
        <v/>
      </c>
      <c r="Q284" s="64">
        <f>IF(OR(H284=0,P284&lt;30),"Tier D (Đóng băng)",IF(P284&gt;=85,"Tier S (Kim Cương: 85-100đ)",IF(P284&gt;=70,"Tier A (Vàng: 70-84đ)",IF(P284&gt;=61,"Tier B+ / Cấp A (Hot Lead: 61-69đ)",IF(P284&gt;=50,"Tier B (Bạc: 50-60đ)","Tier C (Đồng: 30-49đ)")))))</f>
        <v/>
      </c>
      <c r="R284" s="9" t="inlineStr">
        <is>
          <t>Trọn gói Take-Home Starter Kit V2/V3 (Cỏ nhân tạo + Khay Potty + Đồ chơi cún con)</t>
        </is>
      </c>
      <c r="S284" s="9" t="inlineStr">
        <is>
          <t>HOT LEAD (Điểm ≥61): Liên hệ Telesale/Email chào gói Starter Kit &amp; Báo giá sỉ chiết khấu BOM</t>
        </is>
      </c>
    </row>
    <row r="285">
      <c r="A285" s="53" t="n">
        <v>3272</v>
      </c>
      <c r="B285" s="12" t="inlineStr">
        <is>
          <t>UpDog Hot Dogs, LLC.</t>
        </is>
      </c>
      <c r="C285" s="54" t="inlineStr">
        <is>
          <t>https://www.facebook.com/updoghotdogcart</t>
        </is>
      </c>
      <c r="D285" s="6" t="inlineStr">
        <is>
          <t>Cần quét Bio Fanpage</t>
        </is>
      </c>
      <c r="E285" s="53" t="inlineStr">
        <is>
          <t>11/10/2026 04:19:32</t>
        </is>
      </c>
      <c r="F285" s="53" t="inlineStr">
        <is>
          <t>2 ngày trước</t>
        </is>
      </c>
      <c r="G285" s="55" t="n">
        <v>2</v>
      </c>
      <c r="H285" s="56" t="n">
        <v>28</v>
      </c>
      <c r="I285" s="6" t="inlineStr">
        <is>
          <t>Dog Breeder / Trại nhân giống (28-30đ)</t>
        </is>
      </c>
      <c r="J285" s="56" t="n">
        <v>28</v>
      </c>
      <c r="K285" s="6" t="inlineStr">
        <is>
          <t>Chưa rõ giống (Cần quét Bio)</t>
        </is>
      </c>
      <c r="L285" s="56" t="n">
        <v>0</v>
      </c>
      <c r="M285" s="56" t="n">
        <v>5</v>
      </c>
      <c r="N285" s="6" t="inlineStr">
        <is>
          <t>Amazon link not found</t>
        </is>
      </c>
      <c r="O285" s="56">
        <f>IF(N285="Selling pet toys + Artificial grass/Pet toilets (TARGET)",15,IF(N285="Selling artificial grass/pet toilets (TARGET)",10,IF(N285="Selling pet toys",7,IF(N285="There's an Amazon link, but no target sales.",3,0))))</f>
        <v/>
      </c>
      <c r="P285" s="63">
        <f>H285+J285+L285+M285+O285</f>
        <v/>
      </c>
      <c r="Q285" s="64">
        <f>IF(OR(H285=0,P285&lt;30),"Tier D (Đóng băng)",IF(P285&gt;=85,"Tier S (Kim Cương: 85-100đ)",IF(P285&gt;=70,"Tier A (Vàng: 70-84đ)",IF(P285&gt;=61,"Tier B+ / Cấp A (Hot Lead: 61-69đ)",IF(P285&gt;=50,"Tier B (Bạc: 50-60đ)","Tier C (Đồng: 30-49đ)")))))</f>
        <v/>
      </c>
      <c r="R285" s="6" t="inlineStr">
        <is>
          <t>Trọn gói Take-Home Starter Kit V2/V3 (Cỏ nhân tạo + Khay Potty + Đồ chơi cún con)</t>
        </is>
      </c>
      <c r="S285" s="6" t="inlineStr">
        <is>
          <t>HOT LEAD (Điểm ≥61): Liên hệ Telesale/Email chào gói Starter Kit &amp; Báo giá sỉ chiết khấu BOM</t>
        </is>
      </c>
    </row>
    <row r="286">
      <c r="A286" s="59" t="n">
        <v>601</v>
      </c>
      <c r="B286" s="15" t="inlineStr">
        <is>
          <t>Bavarian Hound Club</t>
        </is>
      </c>
      <c r="C286" s="60" t="inlineStr">
        <is>
          <t>https://www.facebook.com/bavarianhoundclub</t>
        </is>
      </c>
      <c r="D286" s="9" t="inlineStr">
        <is>
          <t>Cần quét Bio Fanpage</t>
        </is>
      </c>
      <c r="E286" s="59" t="inlineStr">
        <is>
          <t>11/10/2026 03:03:19</t>
        </is>
      </c>
      <c r="F286" s="59" t="inlineStr">
        <is>
          <t>1 ngày trước</t>
        </is>
      </c>
      <c r="G286" s="61" t="n">
        <v>1</v>
      </c>
      <c r="H286" s="62" t="n">
        <v>28</v>
      </c>
      <c r="I286" s="9" t="inlineStr">
        <is>
          <t>Dog Breeder / Trại nhân giống (28-30đ)</t>
        </is>
      </c>
      <c r="J286" s="62" t="n">
        <v>28</v>
      </c>
      <c r="K286" s="9" t="inlineStr">
        <is>
          <t>Hound / Beagle / Basset</t>
        </is>
      </c>
      <c r="L286" s="62" t="n">
        <v>5</v>
      </c>
      <c r="M286" s="62" t="n">
        <v>0</v>
      </c>
      <c r="N286" s="9" t="inlineStr">
        <is>
          <t>Amazon link not found</t>
        </is>
      </c>
      <c r="O286" s="62">
        <f>IF(N286="Selling pet toys + Artificial grass/Pet toilets (TARGET)",15,IF(N286="Selling artificial grass/pet toilets (TARGET)",10,IF(N286="Selling pet toys",7,IF(N286="There's an Amazon link, but no target sales.",3,0))))</f>
        <v/>
      </c>
      <c r="P286" s="63">
        <f>H286+J286+L286+M286+O286</f>
        <v/>
      </c>
      <c r="Q286" s="64">
        <f>IF(OR(H286=0,P286&lt;30),"Tier D (Đóng băng)",IF(P286&gt;=85,"Tier S (Kim Cương: 85-100đ)",IF(P286&gt;=70,"Tier A (Vàng: 70-84đ)",IF(P286&gt;=61,"Tier B+ / Cấp A (Hot Lead: 61-69đ)",IF(P286&gt;=50,"Tier B (Bạc: 50-60đ)","Tier C (Đồng: 30-49đ)")))))</f>
        <v/>
      </c>
      <c r="R286" s="9" t="inlineStr">
        <is>
          <t>Trọn gói Take-Home Starter Kit V2/V3 (Cỏ nhân tạo + Khay Potty + Đồ chơi cún con)</t>
        </is>
      </c>
      <c r="S286" s="9" t="inlineStr">
        <is>
          <t>HOT LEAD (Điểm ≥61): Liên hệ Telesale/Email chào gói Starter Kit &amp; Báo giá sỉ chiết khấu BOM</t>
        </is>
      </c>
    </row>
    <row r="287">
      <c r="A287" s="53" t="n">
        <v>135</v>
      </c>
      <c r="B287" s="12" t="inlineStr">
        <is>
          <t>Cocothemaltesedog</t>
        </is>
      </c>
      <c r="C287" s="54" t="inlineStr">
        <is>
          <t>https://www.facebook.com/cocothemaltesedog</t>
        </is>
      </c>
      <c r="D287" s="6" t="inlineStr">
        <is>
          <t>Cần quét Bio Fanpage</t>
        </is>
      </c>
      <c r="E287" s="53" t="inlineStr">
        <is>
          <t>11/10/2026 02:14:24</t>
        </is>
      </c>
      <c r="F287" s="53" t="inlineStr">
        <is>
          <t>1 ngày trước</t>
        </is>
      </c>
      <c r="G287" s="55" t="n">
        <v>1</v>
      </c>
      <c r="H287" s="56" t="n">
        <v>28</v>
      </c>
      <c r="I287" s="6" t="inlineStr">
        <is>
          <t>Dog Breeder / Trại nhân giống (28-30đ)</t>
        </is>
      </c>
      <c r="J287" s="56" t="n">
        <v>28</v>
      </c>
      <c r="K287" s="6" t="inlineStr">
        <is>
          <t>Chihuahua / Toy Companion</t>
        </is>
      </c>
      <c r="L287" s="56" t="n">
        <v>5</v>
      </c>
      <c r="M287" s="56" t="n">
        <v>0</v>
      </c>
      <c r="N287" s="6" t="inlineStr">
        <is>
          <t>Amazon link not found</t>
        </is>
      </c>
      <c r="O287" s="56">
        <f>IF(N287="Selling pet toys + Artificial grass/Pet toilets (TARGET)",15,IF(N287="Selling artificial grass/pet toilets (TARGET)",10,IF(N287="Selling pet toys",7,IF(N287="There's an Amazon link, but no target sales.",3,0))))</f>
        <v/>
      </c>
      <c r="P287" s="63">
        <f>H287+J287+L287+M287+O287</f>
        <v/>
      </c>
      <c r="Q287" s="64">
        <f>IF(OR(H287=0,P287&lt;30),"Tier D (Đóng băng)",IF(P287&gt;=85,"Tier S (Kim Cương: 85-100đ)",IF(P287&gt;=70,"Tier A (Vàng: 70-84đ)",IF(P287&gt;=61,"Tier B+ / Cấp A (Hot Lead: 61-69đ)",IF(P287&gt;=50,"Tier B (Bạc: 50-60đ)","Tier C (Đồng: 30-49đ)")))))</f>
        <v/>
      </c>
      <c r="R287" s="6" t="inlineStr">
        <is>
          <t>Trọn gói Take-Home Starter Kit V2/V3 (Cỏ nhân tạo + Khay Potty + Đồ chơi cún con)</t>
        </is>
      </c>
      <c r="S287" s="6" t="inlineStr">
        <is>
          <t>HOT LEAD (Điểm ≥61): Liên hệ Telesale/Email chào gói Starter Kit &amp; Báo giá sỉ chiết khấu BOM</t>
        </is>
      </c>
    </row>
    <row r="288">
      <c r="A288" s="59" t="n">
        <v>2841</v>
      </c>
      <c r="B288" s="15" t="inlineStr">
        <is>
          <t>Schachner's Bernese Mountain Dogs</t>
        </is>
      </c>
      <c r="C288" s="60" t="inlineStr">
        <is>
          <t>https://www.facebook.com/SchachnersBerneseMountainDogs</t>
        </is>
      </c>
      <c r="D288" s="9" t="inlineStr">
        <is>
          <t>Cần quét Bio Fanpage</t>
        </is>
      </c>
      <c r="E288" s="59" t="inlineStr">
        <is>
          <t>11/10/2026 01:19:52</t>
        </is>
      </c>
      <c r="F288" s="59" t="inlineStr">
        <is>
          <t>2 ngày trước</t>
        </is>
      </c>
      <c r="G288" s="61" t="n">
        <v>2</v>
      </c>
      <c r="H288" s="62" t="n">
        <v>28</v>
      </c>
      <c r="I288" s="9" t="inlineStr">
        <is>
          <t>Dog Breeder / Trại chó chuyên nghiệp (28-30đ)</t>
        </is>
      </c>
      <c r="J288" s="62" t="n">
        <v>28</v>
      </c>
      <c r="K288" s="9" t="inlineStr">
        <is>
          <t>Bernese Mountain Dog</t>
        </is>
      </c>
      <c r="L288" s="62" t="n">
        <v>5</v>
      </c>
      <c r="M288" s="62" t="n">
        <v>0</v>
      </c>
      <c r="N288" s="9" t="inlineStr">
        <is>
          <t>Amazon link not found</t>
        </is>
      </c>
      <c r="O288" s="62">
        <f>IF(N288="Selling pet toys + Artificial grass/Pet toilets (TARGET)",15,IF(N288="Selling artificial grass/pet toilets (TARGET)",10,IF(N288="Selling pet toys",7,IF(N288="There's an Amazon link, but no target sales.",3,0))))</f>
        <v/>
      </c>
      <c r="P288" s="63">
        <f>H288+J288+L288+M288+O288</f>
        <v/>
      </c>
      <c r="Q288" s="64">
        <f>IF(OR(H288=0,P288&lt;30),"Tier D (Đóng băng)",IF(P288&gt;=85,"Tier S (Kim Cương: 85-100đ)",IF(P288&gt;=70,"Tier A (Vàng: 70-84đ)",IF(P288&gt;=61,"Tier B+ / Cấp A (Hot Lead: 61-69đ)",IF(P288&gt;=50,"Tier B (Bạc: 50-60đ)","Tier C (Đồng: 30-49đ)")))))</f>
        <v/>
      </c>
      <c r="R288" s="9" t="inlineStr">
        <is>
          <t>Trọn gói Take-Home Starter Kit V2/V3 (Cỏ nhân tạo + Khay Potty + Đồ chơi Teething/Snuggle)</t>
        </is>
      </c>
      <c r="S288" s="9" t="inlineStr">
        <is>
          <t>HOT LEAD (Điểm ≥61): Liên hệ Telesale/Email chào gói Starter Kit &amp; Báo giá sỉ chiết khấu BOM</t>
        </is>
      </c>
    </row>
    <row r="289">
      <c r="A289" s="53" t="n">
        <v>1419</v>
      </c>
      <c r="B289" s="12" t="inlineStr">
        <is>
          <t>Forever Puppy</t>
        </is>
      </c>
      <c r="C289" s="54" t="inlineStr">
        <is>
          <t>https://www.facebook.com/foreverpuppyltd</t>
        </is>
      </c>
      <c r="D289" s="6" t="inlineStr">
        <is>
          <t>Cần quét Bio Fanpage</t>
        </is>
      </c>
      <c r="E289" s="53" t="inlineStr">
        <is>
          <t>11/10/2026 00:01:49</t>
        </is>
      </c>
      <c r="F289" s="53" t="inlineStr">
        <is>
          <t>2 ngày trước</t>
        </is>
      </c>
      <c r="G289" s="55" t="n">
        <v>2</v>
      </c>
      <c r="H289" s="56" t="n">
        <v>28</v>
      </c>
      <c r="I289" s="6" t="inlineStr">
        <is>
          <t>Dog Breeder / Trại chó chuyên nghiệp (28-30đ)</t>
        </is>
      </c>
      <c r="J289" s="56" t="n">
        <v>28</v>
      </c>
      <c r="K289" s="6" t="inlineStr">
        <is>
          <t>Chưa rõ giống (Cần quét Bio)</t>
        </is>
      </c>
      <c r="L289" s="56" t="n">
        <v>0</v>
      </c>
      <c r="M289" s="56" t="n">
        <v>5</v>
      </c>
      <c r="N289" s="6" t="inlineStr">
        <is>
          <t>Amazon link not found</t>
        </is>
      </c>
      <c r="O289" s="56">
        <f>IF(N289="Selling pet toys + Artificial grass/Pet toilets (TARGET)",15,IF(N289="Selling artificial grass/pet toilets (TARGET)",10,IF(N289="Selling pet toys",7,IF(N289="There's an Amazon link, but no target sales.",3,0))))</f>
        <v/>
      </c>
      <c r="P289" s="63">
        <f>H289+J289+L289+M289+O289</f>
        <v/>
      </c>
      <c r="Q289" s="64">
        <f>IF(OR(H289=0,P289&lt;30),"Tier D (Đóng băng)",IF(P289&gt;=85,"Tier S (Kim Cương: 85-100đ)",IF(P289&gt;=70,"Tier A (Vàng: 70-84đ)",IF(P289&gt;=61,"Tier B+ / Cấp A (Hot Lead: 61-69đ)",IF(P289&gt;=50,"Tier B (Bạc: 50-60đ)","Tier C (Đồng: 30-49đ)")))))</f>
        <v/>
      </c>
      <c r="R289" s="6" t="inlineStr">
        <is>
          <t>Trọn gói Take-Home Starter Kit V2/V3 (Cỏ nhân tạo + Khay Potty + Đồ chơi Teething/Snuggle)</t>
        </is>
      </c>
      <c r="S289" s="6" t="inlineStr">
        <is>
          <t>HOT LEAD (Điểm ≥61): Liên hệ Telesale/Email chào gói Starter Kit &amp; Báo giá sỉ chiết khấu BOM</t>
        </is>
      </c>
    </row>
    <row r="290">
      <c r="A290" s="59" t="n">
        <v>2320</v>
      </c>
      <c r="B290" s="15" t="inlineStr">
        <is>
          <t>Northern Michigan Bernese Mountain Dogs</t>
        </is>
      </c>
      <c r="C290" s="60" t="inlineStr">
        <is>
          <t>https://www.facebook.com/NorthernMichiganBernese</t>
        </is>
      </c>
      <c r="D290" s="9" t="inlineStr">
        <is>
          <t>Cần quét Bio Fanpage</t>
        </is>
      </c>
      <c r="E290" s="59" t="inlineStr">
        <is>
          <t>10/10/2026 19:04:44</t>
        </is>
      </c>
      <c r="F290" s="59" t="inlineStr">
        <is>
          <t>2 ngày trước</t>
        </is>
      </c>
      <c r="G290" s="61" t="n">
        <v>2</v>
      </c>
      <c r="H290" s="62" t="n">
        <v>28</v>
      </c>
      <c r="I290" s="9" t="inlineStr">
        <is>
          <t>Dog Breeder / Trại chó chuyên nghiệp (28-30đ)</t>
        </is>
      </c>
      <c r="J290" s="62" t="n">
        <v>28</v>
      </c>
      <c r="K290" s="9" t="inlineStr">
        <is>
          <t>Bernese Mountain Dog</t>
        </is>
      </c>
      <c r="L290" s="62" t="n">
        <v>5</v>
      </c>
      <c r="M290" s="62" t="n">
        <v>0</v>
      </c>
      <c r="N290" s="9" t="inlineStr">
        <is>
          <t>Amazon link not found</t>
        </is>
      </c>
      <c r="O290" s="62">
        <f>IF(N290="Selling pet toys + Artificial grass/Pet toilets (TARGET)",15,IF(N290="Selling artificial grass/pet toilets (TARGET)",10,IF(N290="Selling pet toys",7,IF(N290="There's an Amazon link, but no target sales.",3,0))))</f>
        <v/>
      </c>
      <c r="P290" s="63">
        <f>H290+J290+L290+M290+O290</f>
        <v/>
      </c>
      <c r="Q290" s="64">
        <f>IF(OR(H290=0,P290&lt;30),"Tier D (Đóng băng)",IF(P290&gt;=85,"Tier S (Kim Cương: 85-100đ)",IF(P290&gt;=70,"Tier A (Vàng: 70-84đ)",IF(P290&gt;=61,"Tier B+ / Cấp A (Hot Lead: 61-69đ)",IF(P290&gt;=50,"Tier B (Bạc: 50-60đ)","Tier C (Đồng: 30-49đ)")))))</f>
        <v/>
      </c>
      <c r="R290" s="9" t="inlineStr">
        <is>
          <t>Trọn gói Take-Home Starter Kit V2/V3 (Cỏ nhân tạo + Khay Potty + Đồ chơi Teething/Snuggle)</t>
        </is>
      </c>
      <c r="S290" s="9" t="inlineStr">
        <is>
          <t>HOT LEAD (Điểm ≥61): Liên hệ Telesale/Email chào gói Starter Kit &amp; Báo giá sỉ chiết khấu BOM</t>
        </is>
      </c>
    </row>
    <row r="291">
      <c r="A291" s="53" t="n">
        <v>2502</v>
      </c>
      <c r="B291" s="12" t="inlineStr">
        <is>
          <t>Petersheim’s Farm Market</t>
        </is>
      </c>
      <c r="C291" s="54" t="inlineStr">
        <is>
          <t>https://www.facebook.com/profile.php?id=100069869744771</t>
        </is>
      </c>
      <c r="D291" s="6" t="inlineStr">
        <is>
          <t>Cần quét Bio Fanpage</t>
        </is>
      </c>
      <c r="E291" s="53" t="inlineStr">
        <is>
          <t>10/10/2026 18:23:33</t>
        </is>
      </c>
      <c r="F291" s="53" t="inlineStr">
        <is>
          <t>2 ngày trước</t>
        </is>
      </c>
      <c r="G291" s="55" t="n">
        <v>2</v>
      </c>
      <c r="H291" s="56" t="n">
        <v>28</v>
      </c>
      <c r="I291" s="6" t="inlineStr">
        <is>
          <t>Dog Breeder / Trại nhân giống (28-30đ)</t>
        </is>
      </c>
      <c r="J291" s="56" t="n">
        <v>28</v>
      </c>
      <c r="K291" s="6" t="inlineStr">
        <is>
          <t>Chưa rõ giống (Cần quét Bio)</t>
        </is>
      </c>
      <c r="L291" s="56" t="n">
        <v>0</v>
      </c>
      <c r="M291" s="56" t="n">
        <v>5</v>
      </c>
      <c r="N291" s="6" t="inlineStr">
        <is>
          <t>Amazon link not found</t>
        </is>
      </c>
      <c r="O291" s="56">
        <f>IF(N291="Selling pet toys + Artificial grass/Pet toilets (TARGET)",15,IF(N291="Selling artificial grass/pet toilets (TARGET)",10,IF(N291="Selling pet toys",7,IF(N291="There's an Amazon link, but no target sales.",3,0))))</f>
        <v/>
      </c>
      <c r="P291" s="63">
        <f>H291+J291+L291+M291+O291</f>
        <v/>
      </c>
      <c r="Q291" s="64">
        <f>IF(OR(H291=0,P291&lt;30),"Tier D (Đóng băng)",IF(P291&gt;=85,"Tier S (Kim Cương: 85-100đ)",IF(P291&gt;=70,"Tier A (Vàng: 70-84đ)",IF(P291&gt;=61,"Tier B+ / Cấp A (Hot Lead: 61-69đ)",IF(P291&gt;=50,"Tier B (Bạc: 50-60đ)","Tier C (Đồng: 30-49đ)")))))</f>
        <v/>
      </c>
      <c r="R291" s="6" t="inlineStr">
        <is>
          <t>Trọn gói Take-Home Starter Kit V2/V3 (Cỏ nhân tạo + Khay Potty + Đồ chơi cún con)</t>
        </is>
      </c>
      <c r="S291" s="6" t="inlineStr">
        <is>
          <t>HOT LEAD (Điểm ≥61): Liên hệ Telesale/Email chào gói Starter Kit &amp; Báo giá sỉ chiết khấu BOM</t>
        </is>
      </c>
    </row>
    <row r="292">
      <c r="A292" s="59" t="n">
        <v>3398</v>
      </c>
      <c r="B292" s="15" t="inlineStr">
        <is>
          <t>Whippet Hilfe</t>
        </is>
      </c>
      <c r="C292" s="60" t="inlineStr">
        <is>
          <t>https://www.facebook.com/profile.php?id=100090413510031</t>
        </is>
      </c>
      <c r="D292" s="9" t="inlineStr">
        <is>
          <t>Cần quét Bio Fanpage</t>
        </is>
      </c>
      <c r="E292" s="59" t="inlineStr">
        <is>
          <t>10/10/2026 14:16:23</t>
        </is>
      </c>
      <c r="F292" s="59" t="inlineStr">
        <is>
          <t>2 ngày trước</t>
        </is>
      </c>
      <c r="G292" s="61" t="n">
        <v>2</v>
      </c>
      <c r="H292" s="62" t="n">
        <v>28</v>
      </c>
      <c r="I292" s="9" t="inlineStr">
        <is>
          <t>Dog Breeder / Trại nhân giống (28-30đ)</t>
        </is>
      </c>
      <c r="J292" s="62" t="n">
        <v>28</v>
      </c>
      <c r="K292" s="9" t="inlineStr">
        <is>
          <t>Hound / Beagle / Basset</t>
        </is>
      </c>
      <c r="L292" s="62" t="n">
        <v>5</v>
      </c>
      <c r="M292" s="62" t="n">
        <v>0</v>
      </c>
      <c r="N292" s="9" t="inlineStr">
        <is>
          <t>Amazon link not found</t>
        </is>
      </c>
      <c r="O292" s="62">
        <f>IF(N292="Selling pet toys + Artificial grass/Pet toilets (TARGET)",15,IF(N292="Selling artificial grass/pet toilets (TARGET)",10,IF(N292="Selling pet toys",7,IF(N292="There's an Amazon link, but no target sales.",3,0))))</f>
        <v/>
      </c>
      <c r="P292" s="63">
        <f>H292+J292+L292+M292+O292</f>
        <v/>
      </c>
      <c r="Q292" s="64">
        <f>IF(OR(H292=0,P292&lt;30),"Tier D (Đóng băng)",IF(P292&gt;=85,"Tier S (Kim Cương: 85-100đ)",IF(P292&gt;=70,"Tier A (Vàng: 70-84đ)",IF(P292&gt;=61,"Tier B+ / Cấp A (Hot Lead: 61-69đ)",IF(P292&gt;=50,"Tier B (Bạc: 50-60đ)","Tier C (Đồng: 30-49đ)")))))</f>
        <v/>
      </c>
      <c r="R292" s="9" t="inlineStr">
        <is>
          <t>Trọn gói Take-Home Starter Kit V2/V3 (Cỏ nhân tạo + Khay Potty + Đồ chơi cún con)</t>
        </is>
      </c>
      <c r="S292" s="9" t="inlineStr">
        <is>
          <t>HOT LEAD (Điểm ≥61): Liên hệ Telesale/Email chào gói Starter Kit &amp; Báo giá sỉ chiết khấu BOM</t>
        </is>
      </c>
    </row>
    <row r="293">
      <c r="A293" s="53" t="n">
        <v>3239</v>
      </c>
      <c r="B293" s="12" t="inlineStr">
        <is>
          <t>Trotter's Pugs</t>
        </is>
      </c>
      <c r="C293" s="54" t="inlineStr">
        <is>
          <t>https://www.facebook.com/profile.php?id=61553376334170</t>
        </is>
      </c>
      <c r="D293" s="6" t="inlineStr">
        <is>
          <t>Cần quét Bio Fanpage</t>
        </is>
      </c>
      <c r="E293" s="53" t="inlineStr">
        <is>
          <t>10/10/2026 11:59:15</t>
        </is>
      </c>
      <c r="F293" s="53" t="inlineStr">
        <is>
          <t>2 ngày trước</t>
        </is>
      </c>
      <c r="G293" s="55" t="n">
        <v>2</v>
      </c>
      <c r="H293" s="56" t="n">
        <v>28</v>
      </c>
      <c r="I293" s="6" t="inlineStr">
        <is>
          <t>Dog Breeder / Trại chó chuyên nghiệp (28-30đ)</t>
        </is>
      </c>
      <c r="J293" s="56" t="n">
        <v>28</v>
      </c>
      <c r="K293" s="6" t="inlineStr">
        <is>
          <t>Pug</t>
        </is>
      </c>
      <c r="L293" s="56" t="n">
        <v>5</v>
      </c>
      <c r="M293" s="56" t="n">
        <v>0</v>
      </c>
      <c r="N293" s="6" t="inlineStr">
        <is>
          <t>Amazon link not found</t>
        </is>
      </c>
      <c r="O293" s="56">
        <f>IF(N293="Selling pet toys + Artificial grass/Pet toilets (TARGET)",15,IF(N293="Selling artificial grass/pet toilets (TARGET)",10,IF(N293="Selling pet toys",7,IF(N293="There's an Amazon link, but no target sales.",3,0))))</f>
        <v/>
      </c>
      <c r="P293" s="63">
        <f>H293+J293+L293+M293+O293</f>
        <v/>
      </c>
      <c r="Q293" s="64">
        <f>IF(OR(H293=0,P293&lt;30),"Tier D (Đóng băng)",IF(P293&gt;=85,"Tier S (Kim Cương: 85-100đ)",IF(P293&gt;=70,"Tier A (Vàng: 70-84đ)",IF(P293&gt;=61,"Tier B+ / Cấp A (Hot Lead: 61-69đ)",IF(P293&gt;=50,"Tier B (Bạc: 50-60đ)","Tier C (Đồng: 30-49đ)")))))</f>
        <v/>
      </c>
      <c r="R293" s="6" t="inlineStr">
        <is>
          <t>Trọn gói Take-Home Starter Kit V2/V3 (Cỏ nhân tạo + Khay Potty + Đồ chơi Teething/Snuggle)</t>
        </is>
      </c>
      <c r="S293" s="6" t="inlineStr">
        <is>
          <t>HOT LEAD (Điểm ≥61): Liên hệ Telesale/Email chào gói Starter Kit &amp; Báo giá sỉ chiết khấu BOM</t>
        </is>
      </c>
    </row>
    <row r="294">
      <c r="A294" s="59" t="n">
        <v>2808</v>
      </c>
      <c r="B294" s="15" t="inlineStr">
        <is>
          <t>SaddleDog Farm</t>
        </is>
      </c>
      <c r="C294" s="60" t="inlineStr">
        <is>
          <t>https://www.facebook.com/saddledogfarm</t>
        </is>
      </c>
      <c r="D294" s="9" t="inlineStr">
        <is>
          <t>Cần quét Bio Fanpage</t>
        </is>
      </c>
      <c r="E294" s="59" t="inlineStr">
        <is>
          <t>10/10/2026 07:06:37</t>
        </is>
      </c>
      <c r="F294" s="59" t="inlineStr">
        <is>
          <t>2 ngày trước</t>
        </is>
      </c>
      <c r="G294" s="61" t="n">
        <v>2</v>
      </c>
      <c r="H294" s="62" t="n">
        <v>28</v>
      </c>
      <c r="I294" s="9" t="inlineStr">
        <is>
          <t>Dog Breeder / Trại nhân giống (28-30đ)</t>
        </is>
      </c>
      <c r="J294" s="62" t="n">
        <v>28</v>
      </c>
      <c r="K294" s="9" t="inlineStr">
        <is>
          <t>Chưa rõ giống (Cần quét Bio)</t>
        </is>
      </c>
      <c r="L294" s="62" t="n">
        <v>0</v>
      </c>
      <c r="M294" s="62" t="n">
        <v>5</v>
      </c>
      <c r="N294" s="9" t="inlineStr">
        <is>
          <t>Amazon link not found</t>
        </is>
      </c>
      <c r="O294" s="62">
        <f>IF(N294="Selling pet toys + Artificial grass/Pet toilets (TARGET)",15,IF(N294="Selling artificial grass/pet toilets (TARGET)",10,IF(N294="Selling pet toys",7,IF(N294="There's an Amazon link, but no target sales.",3,0))))</f>
        <v/>
      </c>
      <c r="P294" s="63">
        <f>H294+J294+L294+M294+O294</f>
        <v/>
      </c>
      <c r="Q294" s="64">
        <f>IF(OR(H294=0,P294&lt;30),"Tier D (Đóng băng)",IF(P294&gt;=85,"Tier S (Kim Cương: 85-100đ)",IF(P294&gt;=70,"Tier A (Vàng: 70-84đ)",IF(P294&gt;=61,"Tier B+ / Cấp A (Hot Lead: 61-69đ)",IF(P294&gt;=50,"Tier B (Bạc: 50-60đ)","Tier C (Đồng: 30-49đ)")))))</f>
        <v/>
      </c>
      <c r="R294" s="9" t="inlineStr">
        <is>
          <t>Trọn gói Take-Home Starter Kit V2/V3 (Cỏ nhân tạo + Khay Potty + Đồ chơi cún con)</t>
        </is>
      </c>
      <c r="S294" s="9" t="inlineStr">
        <is>
          <t>HOT LEAD (Điểm ≥61): Liên hệ Telesale/Email chào gói Starter Kit &amp; Báo giá sỉ chiết khấu BOM</t>
        </is>
      </c>
    </row>
    <row r="295">
      <c r="A295" s="53" t="n">
        <v>1689</v>
      </c>
      <c r="B295" s="12" t="inlineStr">
        <is>
          <t>Houndstooth House</t>
        </is>
      </c>
      <c r="C295" s="54" t="inlineStr">
        <is>
          <t>https://www.facebook.com/Houndstoothhouse</t>
        </is>
      </c>
      <c r="D295" s="6" t="inlineStr">
        <is>
          <t>Cần quét Bio Fanpage</t>
        </is>
      </c>
      <c r="E295" s="53" t="inlineStr">
        <is>
          <t>10/10/2026 04:39:03</t>
        </is>
      </c>
      <c r="F295" s="53" t="inlineStr">
        <is>
          <t>2 ngày trước</t>
        </is>
      </c>
      <c r="G295" s="55" t="n">
        <v>2</v>
      </c>
      <c r="H295" s="56" t="n">
        <v>28</v>
      </c>
      <c r="I295" s="6" t="inlineStr">
        <is>
          <t>Dog Breeder / Trại nhân giống (28-30đ)</t>
        </is>
      </c>
      <c r="J295" s="56" t="n">
        <v>28</v>
      </c>
      <c r="K295" s="6" t="inlineStr">
        <is>
          <t>Hound / Beagle / Basset</t>
        </is>
      </c>
      <c r="L295" s="56" t="n">
        <v>5</v>
      </c>
      <c r="M295" s="56" t="n">
        <v>0</v>
      </c>
      <c r="N295" s="6" t="inlineStr">
        <is>
          <t>Amazon link not found</t>
        </is>
      </c>
      <c r="O295" s="56">
        <f>IF(N295="Selling pet toys + Artificial grass/Pet toilets (TARGET)",15,IF(N295="Selling artificial grass/pet toilets (TARGET)",10,IF(N295="Selling pet toys",7,IF(N295="There's an Amazon link, but no target sales.",3,0))))</f>
        <v/>
      </c>
      <c r="P295" s="63">
        <f>H295+J295+L295+M295+O295</f>
        <v/>
      </c>
      <c r="Q295" s="64">
        <f>IF(OR(H295=0,P295&lt;30),"Tier D (Đóng băng)",IF(P295&gt;=85,"Tier S (Kim Cương: 85-100đ)",IF(P295&gt;=70,"Tier A (Vàng: 70-84đ)",IF(P295&gt;=61,"Tier B+ / Cấp A (Hot Lead: 61-69đ)",IF(P295&gt;=50,"Tier B (Bạc: 50-60đ)","Tier C (Đồng: 30-49đ)")))))</f>
        <v/>
      </c>
      <c r="R295" s="6" t="inlineStr">
        <is>
          <t>Trọn gói Take-Home Starter Kit V2/V3 (Cỏ nhân tạo + Khay Potty + Đồ chơi cún con)</t>
        </is>
      </c>
      <c r="S295" s="6" t="inlineStr">
        <is>
          <t>HOT LEAD (Điểm ≥61): Liên hệ Telesale/Email chào gói Starter Kit &amp; Báo giá sỉ chiết khấu BOM</t>
        </is>
      </c>
    </row>
    <row r="296">
      <c r="A296" s="59" t="n">
        <v>309</v>
      </c>
      <c r="B296" s="15" t="inlineStr">
        <is>
          <t>5 Hounds by Dr Will</t>
        </is>
      </c>
      <c r="C296" s="60" t="inlineStr">
        <is>
          <t>https://www.facebook.com/5houndsbydrwill</t>
        </is>
      </c>
      <c r="D296" s="9" t="inlineStr">
        <is>
          <t>Cần quét Bio Fanpage</t>
        </is>
      </c>
      <c r="E296" s="59" t="inlineStr">
        <is>
          <t>10/10/2026 04:10:58</t>
        </is>
      </c>
      <c r="F296" s="59" t="inlineStr">
        <is>
          <t>2 ngày trước</t>
        </is>
      </c>
      <c r="G296" s="61" t="n">
        <v>2</v>
      </c>
      <c r="H296" s="62" t="n">
        <v>28</v>
      </c>
      <c r="I296" s="9" t="inlineStr">
        <is>
          <t>Dog Breeder / Trại chó chuyên nghiệp (28-30đ)</t>
        </is>
      </c>
      <c r="J296" s="62" t="n">
        <v>28</v>
      </c>
      <c r="K296" s="9" t="inlineStr">
        <is>
          <t>Hound / Beagle / Basset</t>
        </is>
      </c>
      <c r="L296" s="62" t="n">
        <v>5</v>
      </c>
      <c r="M296" s="62" t="n">
        <v>0</v>
      </c>
      <c r="N296" s="9" t="inlineStr">
        <is>
          <t>Amazon link not found</t>
        </is>
      </c>
      <c r="O296" s="62">
        <f>IF(N296="Selling pet toys + Artificial grass/Pet toilets (TARGET)",15,IF(N296="Selling artificial grass/pet toilets (TARGET)",10,IF(N296="Selling pet toys",7,IF(N296="There's an Amazon link, but no target sales.",3,0))))</f>
        <v/>
      </c>
      <c r="P296" s="63">
        <f>H296+J296+L296+M296+O296</f>
        <v/>
      </c>
      <c r="Q296" s="64">
        <f>IF(OR(H296=0,P296&lt;30),"Tier D (Đóng băng)",IF(P296&gt;=85,"Tier S (Kim Cương: 85-100đ)",IF(P296&gt;=70,"Tier A (Vàng: 70-84đ)",IF(P296&gt;=61,"Tier B+ / Cấp A (Hot Lead: 61-69đ)",IF(P296&gt;=50,"Tier B (Bạc: 50-60đ)","Tier C (Đồng: 30-49đ)")))))</f>
        <v/>
      </c>
      <c r="R296" s="9" t="inlineStr">
        <is>
          <t>Trọn gói Take-Home Starter Kit V2/V3 (Cỏ nhân tạo + Khay Potty + Đồ chơi Teething/Snuggle)</t>
        </is>
      </c>
      <c r="S296" s="9" t="inlineStr">
        <is>
          <t>HOT LEAD (Điểm ≥61): Liên hệ Telesale/Email chào gói Starter Kit &amp; Báo giá sỉ chiết khấu BOM</t>
        </is>
      </c>
    </row>
    <row r="297">
      <c r="A297" s="53" t="n">
        <v>1073</v>
      </c>
      <c r="B297" s="12" t="inlineStr">
        <is>
          <t>Dog Guard of Seattle LLC</t>
        </is>
      </c>
      <c r="C297" s="54" t="inlineStr">
        <is>
          <t>https://www.facebook.com/seattledogguard</t>
        </is>
      </c>
      <c r="D297" s="6" t="inlineStr">
        <is>
          <t>Cần quét Bio Fanpage</t>
        </is>
      </c>
      <c r="E297" s="53" t="inlineStr">
        <is>
          <t>10/10/2026 03:30:28</t>
        </is>
      </c>
      <c r="F297" s="53" t="inlineStr">
        <is>
          <t>2 ngày trước</t>
        </is>
      </c>
      <c r="G297" s="55" t="n">
        <v>2</v>
      </c>
      <c r="H297" s="56" t="n">
        <v>28</v>
      </c>
      <c r="I297" s="6" t="inlineStr">
        <is>
          <t>Dog Breeder / Trại nhân giống (28-30đ)</t>
        </is>
      </c>
      <c r="J297" s="56" t="n">
        <v>28</v>
      </c>
      <c r="K297" s="6" t="inlineStr">
        <is>
          <t>Chưa rõ giống (Cần quét Bio)</t>
        </is>
      </c>
      <c r="L297" s="56" t="n">
        <v>0</v>
      </c>
      <c r="M297" s="56" t="n">
        <v>5</v>
      </c>
      <c r="N297" s="6" t="inlineStr">
        <is>
          <t>Amazon link not found</t>
        </is>
      </c>
      <c r="O297" s="56">
        <f>IF(N297="Selling pet toys + Artificial grass/Pet toilets (TARGET)",15,IF(N297="Selling artificial grass/pet toilets (TARGET)",10,IF(N297="Selling pet toys",7,IF(N297="There's an Amazon link, but no target sales.",3,0))))</f>
        <v/>
      </c>
      <c r="P297" s="63">
        <f>H297+J297+L297+M297+O297</f>
        <v/>
      </c>
      <c r="Q297" s="64">
        <f>IF(OR(H297=0,P297&lt;30),"Tier D (Đóng băng)",IF(P297&gt;=85,"Tier S (Kim Cương: 85-100đ)",IF(P297&gt;=70,"Tier A (Vàng: 70-84đ)",IF(P297&gt;=61,"Tier B+ / Cấp A (Hot Lead: 61-69đ)",IF(P297&gt;=50,"Tier B (Bạc: 50-60đ)","Tier C (Đồng: 30-49đ)")))))</f>
        <v/>
      </c>
      <c r="R297" s="6" t="inlineStr">
        <is>
          <t>Trọn gói Take-Home Starter Kit V2/V3 (Cỏ nhân tạo + Khay Potty + Đồ chơi cún con)</t>
        </is>
      </c>
      <c r="S297" s="6" t="inlineStr">
        <is>
          <t>HOT LEAD (Điểm ≥61): Liên hệ Telesale/Email chào gói Starter Kit &amp; Báo giá sỉ chiết khấu BOM</t>
        </is>
      </c>
    </row>
    <row r="298">
      <c r="A298" s="59" t="n">
        <v>2664</v>
      </c>
      <c r="B298" s="15" t="inlineStr">
        <is>
          <t>Puppy Playground.com</t>
        </is>
      </c>
      <c r="C298" s="60" t="inlineStr">
        <is>
          <t>https://www.facebook.com/PuppyPlayGroundcom</t>
        </is>
      </c>
      <c r="D298" s="9" t="inlineStr">
        <is>
          <t>https://playground.com</t>
        </is>
      </c>
      <c r="E298" s="59" t="inlineStr">
        <is>
          <t>09/10/2026 23:00:44</t>
        </is>
      </c>
      <c r="F298" s="59" t="inlineStr">
        <is>
          <t>3 ngày trước</t>
        </is>
      </c>
      <c r="G298" s="61" t="n">
        <v>3</v>
      </c>
      <c r="H298" s="62" t="n">
        <v>28</v>
      </c>
      <c r="I298" s="9" t="inlineStr">
        <is>
          <t>Dog Breeder / Trại chó chuyên nghiệp (28-30đ)</t>
        </is>
      </c>
      <c r="J298" s="62" t="n">
        <v>28</v>
      </c>
      <c r="K298" s="9" t="inlineStr">
        <is>
          <t>Chưa rõ giống (Cần quét Bio)</t>
        </is>
      </c>
      <c r="L298" s="62" t="n">
        <v>0</v>
      </c>
      <c r="M298" s="62" t="n">
        <v>5</v>
      </c>
      <c r="N298" s="9" t="inlineStr">
        <is>
          <t>Amazon link not found</t>
        </is>
      </c>
      <c r="O298" s="62">
        <f>IF(N298="Selling pet toys + Artificial grass/Pet toilets (TARGET)",15,IF(N298="Selling artificial grass/pet toilets (TARGET)",10,IF(N298="Selling pet toys",7,IF(N298="There's an Amazon link, but no target sales.",3,0))))</f>
        <v/>
      </c>
      <c r="P298" s="63">
        <f>H298+J298+L298+M298+O298</f>
        <v/>
      </c>
      <c r="Q298" s="64">
        <f>IF(OR(H298=0,P298&lt;30),"Tier D (Đóng băng)",IF(P298&gt;=85,"Tier S (Kim Cương: 85-100đ)",IF(P298&gt;=70,"Tier A (Vàng: 70-84đ)",IF(P298&gt;=61,"Tier B+ / Cấp A (Hot Lead: 61-69đ)",IF(P298&gt;=50,"Tier B (Bạc: 50-60đ)","Tier C (Đồng: 30-49đ)")))))</f>
        <v/>
      </c>
      <c r="R298" s="9" t="inlineStr">
        <is>
          <t>Trọn gói Take-Home Starter Kit V2/V3 (Cỏ nhân tạo + Khay Potty + Đồ chơi Teething/Snuggle)</t>
        </is>
      </c>
      <c r="S298" s="9" t="inlineStr">
        <is>
          <t>HOT LEAD (Điểm ≥61): Liên hệ Telesale/Email chào gói Starter Kit &amp; Báo giá sỉ chiết khấu BOM</t>
        </is>
      </c>
    </row>
    <row r="299">
      <c r="A299" s="53" t="n">
        <v>1570</v>
      </c>
      <c r="B299" s="12" t="inlineStr">
        <is>
          <t>Greyhounds in Need</t>
        </is>
      </c>
      <c r="C299" s="54" t="inlineStr">
        <is>
          <t>https://www.facebook.com/greyhoundsinneed</t>
        </is>
      </c>
      <c r="D299" s="6" t="inlineStr">
        <is>
          <t>Cần quét Bio Fanpage</t>
        </is>
      </c>
      <c r="E299" s="53" t="inlineStr">
        <is>
          <t>09/10/2026 22:11:10</t>
        </is>
      </c>
      <c r="F299" s="53" t="inlineStr">
        <is>
          <t>3 ngày trước</t>
        </is>
      </c>
      <c r="G299" s="55" t="n">
        <v>3</v>
      </c>
      <c r="H299" s="56" t="n">
        <v>28</v>
      </c>
      <c r="I299" s="6" t="inlineStr">
        <is>
          <t>Dog Breeder / Trại chó chuyên nghiệp (28-30đ)</t>
        </is>
      </c>
      <c r="J299" s="56" t="n">
        <v>28</v>
      </c>
      <c r="K299" s="6" t="inlineStr">
        <is>
          <t>Hound / Beagle / Basset</t>
        </is>
      </c>
      <c r="L299" s="56" t="n">
        <v>5</v>
      </c>
      <c r="M299" s="56" t="n">
        <v>0</v>
      </c>
      <c r="N299" s="6" t="inlineStr">
        <is>
          <t>Amazon link not found</t>
        </is>
      </c>
      <c r="O299" s="56">
        <f>IF(N299="Selling pet toys + Artificial grass/Pet toilets (TARGET)",15,IF(N299="Selling artificial grass/pet toilets (TARGET)",10,IF(N299="Selling pet toys",7,IF(N299="There's an Amazon link, but no target sales.",3,0))))</f>
        <v/>
      </c>
      <c r="P299" s="63">
        <f>H299+J299+L299+M299+O299</f>
        <v/>
      </c>
      <c r="Q299" s="64">
        <f>IF(OR(H299=0,P299&lt;30),"Tier D (Đóng băng)",IF(P299&gt;=85,"Tier S (Kim Cương: 85-100đ)",IF(P299&gt;=70,"Tier A (Vàng: 70-84đ)",IF(P299&gt;=61,"Tier B+ / Cấp A (Hot Lead: 61-69đ)",IF(P299&gt;=50,"Tier B (Bạc: 50-60đ)","Tier C (Đồng: 30-49đ)")))))</f>
        <v/>
      </c>
      <c r="R299" s="6" t="inlineStr">
        <is>
          <t>Trọn gói Take-Home Starter Kit V2/V3 (Cỏ nhân tạo + Khay Potty + Đồ chơi Teething/Snuggle)</t>
        </is>
      </c>
      <c r="S299" s="6" t="inlineStr">
        <is>
          <t>HOT LEAD (Điểm ≥61): Liên hệ Telesale/Email chào gói Starter Kit &amp; Báo giá sỉ chiết khấu BOM</t>
        </is>
      </c>
    </row>
    <row r="300">
      <c r="A300" s="59" t="n">
        <v>137</v>
      </c>
      <c r="B300" s="15" t="inlineStr">
        <is>
          <t>Cooper &amp; Co: Doglaw</t>
        </is>
      </c>
      <c r="C300" s="60" t="inlineStr">
        <is>
          <t>https://www.facebook.com/doglawsolicitors</t>
        </is>
      </c>
      <c r="D300" s="9" t="inlineStr">
        <is>
          <t>Cần quét Bio Fanpage</t>
        </is>
      </c>
      <c r="E300" s="59" t="inlineStr">
        <is>
          <t>09/10/2026 18:08:20</t>
        </is>
      </c>
      <c r="F300" s="59" t="inlineStr">
        <is>
          <t>3 ngày trước</t>
        </is>
      </c>
      <c r="G300" s="61" t="n">
        <v>3</v>
      </c>
      <c r="H300" s="62" t="n">
        <v>28</v>
      </c>
      <c r="I300" s="9" t="inlineStr">
        <is>
          <t>Dog Breeder / Trại nhân giống (28-30đ)</t>
        </is>
      </c>
      <c r="J300" s="62" t="n">
        <v>28</v>
      </c>
      <c r="K300" s="9" t="inlineStr">
        <is>
          <t>Chưa rõ giống (Cần quét Bio)</t>
        </is>
      </c>
      <c r="L300" s="62" t="n">
        <v>0</v>
      </c>
      <c r="M300" s="62" t="n">
        <v>5</v>
      </c>
      <c r="N300" s="9" t="inlineStr">
        <is>
          <t>Amazon link not found</t>
        </is>
      </c>
      <c r="O300" s="62">
        <f>IF(N300="Selling pet toys + Artificial grass/Pet toilets (TARGET)",15,IF(N300="Selling artificial grass/pet toilets (TARGET)",10,IF(N300="Selling pet toys",7,IF(N300="There's an Amazon link, but no target sales.",3,0))))</f>
        <v/>
      </c>
      <c r="P300" s="63">
        <f>H300+J300+L300+M300+O300</f>
        <v/>
      </c>
      <c r="Q300" s="64">
        <f>IF(OR(H300=0,P300&lt;30),"Tier D (Đóng băng)",IF(P300&gt;=85,"Tier S (Kim Cương: 85-100đ)",IF(P300&gt;=70,"Tier A (Vàng: 70-84đ)",IF(P300&gt;=61,"Tier B+ / Cấp A (Hot Lead: 61-69đ)",IF(P300&gt;=50,"Tier B (Bạc: 50-60đ)","Tier C (Đồng: 30-49đ)")))))</f>
        <v/>
      </c>
      <c r="R300" s="9" t="inlineStr">
        <is>
          <t>Trọn gói Take-Home Starter Kit V2/V3 (Cỏ nhân tạo + Khay Potty + Đồ chơi cún con)</t>
        </is>
      </c>
      <c r="S300" s="9" t="inlineStr">
        <is>
          <t>HOT LEAD (Điểm ≥61): Liên hệ Telesale/Email chào gói Starter Kit &amp; Báo giá sỉ chiết khấu BOM</t>
        </is>
      </c>
    </row>
    <row r="301">
      <c r="A301" s="53" t="n">
        <v>1251</v>
      </c>
      <c r="B301" s="12" t="inlineStr">
        <is>
          <t>Dutton Dog Co.</t>
        </is>
      </c>
      <c r="C301" s="54" t="inlineStr">
        <is>
          <t>https://www.facebook.com/GFDkennels</t>
        </is>
      </c>
      <c r="D301" s="6" t="inlineStr">
        <is>
          <t>Cần quét Bio Fanpage</t>
        </is>
      </c>
      <c r="E301" s="53" t="inlineStr">
        <is>
          <t>09/10/2026 03:52:08</t>
        </is>
      </c>
      <c r="F301" s="53" t="inlineStr">
        <is>
          <t>3 ngày trước</t>
        </is>
      </c>
      <c r="G301" s="55" t="n">
        <v>3</v>
      </c>
      <c r="H301" s="56" t="n">
        <v>28</v>
      </c>
      <c r="I301" s="6" t="inlineStr">
        <is>
          <t>Dog Breeder / Trại nhân giống (28-30đ)</t>
        </is>
      </c>
      <c r="J301" s="56" t="n">
        <v>28</v>
      </c>
      <c r="K301" s="6" t="inlineStr">
        <is>
          <t>Chưa rõ giống (Cần quét Bio)</t>
        </is>
      </c>
      <c r="L301" s="56" t="n">
        <v>0</v>
      </c>
      <c r="M301" s="56" t="n">
        <v>5</v>
      </c>
      <c r="N301" s="6" t="inlineStr">
        <is>
          <t>Amazon link not found</t>
        </is>
      </c>
      <c r="O301" s="56">
        <f>IF(N301="Selling pet toys + Artificial grass/Pet toilets (TARGET)",15,IF(N301="Selling artificial grass/pet toilets (TARGET)",10,IF(N301="Selling pet toys",7,IF(N301="There's an Amazon link, but no target sales.",3,0))))</f>
        <v/>
      </c>
      <c r="P301" s="63">
        <f>H301+J301+L301+M301+O301</f>
        <v/>
      </c>
      <c r="Q301" s="64">
        <f>IF(OR(H301=0,P301&lt;30),"Tier D (Đóng băng)",IF(P301&gt;=85,"Tier S (Kim Cương: 85-100đ)",IF(P301&gt;=70,"Tier A (Vàng: 70-84đ)",IF(P301&gt;=61,"Tier B+ / Cấp A (Hot Lead: 61-69đ)",IF(P301&gt;=50,"Tier B (Bạc: 50-60đ)","Tier C (Đồng: 30-49đ)")))))</f>
        <v/>
      </c>
      <c r="R301" s="6" t="inlineStr">
        <is>
          <t>Trọn gói Take-Home Starter Kit V2/V3 (Cỏ nhân tạo + Khay Potty + Đồ chơi cún con)</t>
        </is>
      </c>
      <c r="S301" s="6" t="inlineStr">
        <is>
          <t>HOT LEAD (Điểm ≥61): Liên hệ Telesale/Email chào gói Starter Kit &amp; Báo giá sỉ chiết khấu BOM</t>
        </is>
      </c>
    </row>
    <row r="302">
      <c r="A302" s="59" t="n">
        <v>71</v>
      </c>
      <c r="B302" s="15" t="inlineStr">
        <is>
          <t>Open Farm</t>
        </is>
      </c>
      <c r="C302" s="60" t="inlineStr">
        <is>
          <t>https://www.facebook.com/openfarmpet</t>
        </is>
      </c>
      <c r="D302" s="9" t="inlineStr">
        <is>
          <t>Cần quét Bio Fanpage</t>
        </is>
      </c>
      <c r="E302" s="59" t="inlineStr">
        <is>
          <t>09/10/2026 03:40:41</t>
        </is>
      </c>
      <c r="F302" s="59" t="inlineStr">
        <is>
          <t>3 ngày trước</t>
        </is>
      </c>
      <c r="G302" s="61" t="n">
        <v>3</v>
      </c>
      <c r="H302" s="62" t="n">
        <v>28</v>
      </c>
      <c r="I302" s="9" t="inlineStr">
        <is>
          <t>Dog Breeder / Trại nhân giống (28-30đ)</t>
        </is>
      </c>
      <c r="J302" s="62" t="n">
        <v>28</v>
      </c>
      <c r="K302" s="9" t="inlineStr">
        <is>
          <t>Chưa rõ giống (Cần quét Bio)</t>
        </is>
      </c>
      <c r="L302" s="62" t="n">
        <v>0</v>
      </c>
      <c r="M302" s="62" t="n">
        <v>5</v>
      </c>
      <c r="N302" s="9" t="inlineStr">
        <is>
          <t>Amazon link not found</t>
        </is>
      </c>
      <c r="O302" s="62">
        <f>IF(N302="Selling pet toys + Artificial grass/Pet toilets (TARGET)",15,IF(N302="Selling artificial grass/pet toilets (TARGET)",10,IF(N302="Selling pet toys",7,IF(N302="There's an Amazon link, but no target sales.",3,0))))</f>
        <v/>
      </c>
      <c r="P302" s="63">
        <f>H302+J302+L302+M302+O302</f>
        <v/>
      </c>
      <c r="Q302" s="64">
        <f>IF(OR(H302=0,P302&lt;30),"Tier D (Đóng băng)",IF(P302&gt;=85,"Tier S (Kim Cương: 85-100đ)",IF(P302&gt;=70,"Tier A (Vàng: 70-84đ)",IF(P302&gt;=61,"Tier B+ / Cấp A (Hot Lead: 61-69đ)",IF(P302&gt;=50,"Tier B (Bạc: 50-60đ)","Tier C (Đồng: 30-49đ)")))))</f>
        <v/>
      </c>
      <c r="R302" s="9" t="inlineStr">
        <is>
          <t>Trọn gói Take-Home Starter Kit V2/V3 (Cỏ nhân tạo + Khay Potty + Đồ chơi cún con)</t>
        </is>
      </c>
      <c r="S302" s="9" t="inlineStr">
        <is>
          <t>HOT LEAD (Điểm ≥61): Liên hệ Telesale/Email chào gói Starter Kit &amp; Báo giá sỉ chiết khấu BOM</t>
        </is>
      </c>
    </row>
  </sheetData>
  <autoFilter ref="A4:S302"/>
  <conditionalFormatting sqref="P5:P302">
    <cfRule type="colorScale" priority="1">
      <colorScale>
        <cfvo type="num" val="30"/>
        <cfvo type="num" val="61"/>
        <cfvo type="num" val="85"/>
        <color rgb="00FEE2E2"/>
        <color rgb="00FEF3C7"/>
        <color rgb="00A7F3D0"/>
      </colorScale>
    </cfRule>
  </conditionalFormatting>
  <dataValidations count="1">
    <dataValidation sqref="N5:N302" showDropDown="0" showInputMessage="0" showErrorMessage="0" allowBlank="1" type="list">
      <formula1>"Selling pet toys + Artificial grass/Pet toilets (TARGET),Selling artificial grass/pet toilets (TARGET),Selling pet toys,There's an Amazon link, but no target sales.,Amazon link not found"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47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6" customWidth="1" min="4" max="4"/>
    <col width="20" customWidth="1" min="5" max="5"/>
    <col width="18" customWidth="1" min="6" max="6"/>
    <col width="14" customWidth="1" min="7" max="7"/>
    <col width="14" customWidth="1" min="8" max="8"/>
    <col width="34" customWidth="1" min="9" max="9"/>
    <col width="13" customWidth="1" min="10" max="10"/>
    <col width="32" customWidth="1" min="11" max="11"/>
    <col width="14" customWidth="1" min="12" max="12"/>
    <col width="14" customWidth="1" min="13" max="13"/>
    <col width="38" customWidth="1" min="14" max="14"/>
    <col width="14" customWidth="1" min="15" max="15"/>
    <col width="15" customWidth="1" min="16" max="16"/>
    <col width="28" customWidth="1" min="17" max="17"/>
    <col width="48" customWidth="1" min="18" max="18"/>
    <col width="52" customWidth="1" min="19" max="19"/>
  </cols>
  <sheetData>
    <row r="1">
      <c r="A1" s="1" t="inlineStr">
        <is>
          <t>TOÀN BỘ KHÁCH HÀNG TIỀM NĂNG HỢP LỆ TẠI THỊ TRƯỜNG MỸ (TIER S, A, B, C, D)</t>
        </is>
      </c>
    </row>
    <row r="2">
      <c r="A2" s="2" t="inlineStr">
        <is>
          <t>Tổng cộng: 2343 hồ sơ nội địa Mỹ đã qua Bộ lọc Âm tính | Phân bổ đa tầng chống bão hòa điểm</t>
        </is>
      </c>
    </row>
    <row r="4" ht="28" customHeight="1">
      <c r="A4" s="5" t="inlineStr">
        <is>
          <t>STT Gốc</t>
        </is>
      </c>
      <c r="B4" s="5" t="inlineStr">
        <is>
          <t>Tên Profile / Fanpage</t>
        </is>
      </c>
      <c r="C4" s="5" t="inlineStr">
        <is>
          <t>URL Facebook</t>
        </is>
      </c>
      <c r="D4" s="5" t="inlineStr">
        <is>
          <t>Website</t>
        </is>
      </c>
      <c r="E4" s="5" t="inlineStr">
        <is>
          <t>Thời gian Đăng gần nhất</t>
        </is>
      </c>
      <c r="F4" s="5" t="inlineStr">
        <is>
          <t>Thời gian Tương đối</t>
        </is>
      </c>
      <c r="G4" s="5" t="inlineStr">
        <is>
          <t>Số ngày (lastActiveDays)</t>
        </is>
      </c>
      <c r="H4" s="5" t="inlineStr">
        <is>
          <t>Điểm Tương tác (Recency 0-35)</t>
        </is>
      </c>
      <c r="I4" s="5" t="inlineStr">
        <is>
          <t>Phân loại ICP (ICP Segment)</t>
        </is>
      </c>
      <c r="J4" s="5" t="inlineStr">
        <is>
          <t>Điểm ICP (10-30)</t>
        </is>
      </c>
      <c r="K4" s="5" t="inlineStr">
        <is>
          <t>Giống Chó Nhận diện (Breed)</t>
        </is>
      </c>
      <c r="L4" s="5" t="inlineStr">
        <is>
          <t>Điểm Giống (Breed 0-15)</t>
        </is>
      </c>
      <c r="M4" s="5" t="inlineStr">
        <is>
          <t>Điểm Hạ tầng (Infra 0-10)</t>
        </is>
      </c>
      <c r="N4" s="5" t="inlineStr">
        <is>
          <t>Trạng thái Amazon (Amazon Status)</t>
        </is>
      </c>
      <c r="O4" s="5" t="inlineStr">
        <is>
          <t>Điểm Amazon (0-15)</t>
        </is>
      </c>
      <c r="P4" s="5" t="inlineStr">
        <is>
          <t>Tổng Điểm (Lead Score)</t>
        </is>
      </c>
      <c r="Q4" s="5" t="inlineStr">
        <is>
          <t>Phân hạng (Tier)</t>
        </is>
      </c>
      <c r="R4" s="5" t="inlineStr">
        <is>
          <t>Phân loại Nhu cầu Sản phẩm</t>
        </is>
      </c>
      <c r="S4" s="5" t="inlineStr">
        <is>
          <t>Hành động Sales / Kịch bản</t>
        </is>
      </c>
    </row>
    <row r="5">
      <c r="A5" s="53" t="n">
        <v>3914</v>
      </c>
      <c r="B5" s="12" t="inlineStr">
        <is>
          <t>Frenchie Bulldog Pet Supply</t>
        </is>
      </c>
      <c r="C5" s="54" t="inlineStr">
        <is>
          <t>https://www.facebook.com/frenchiepetsupply</t>
        </is>
      </c>
      <c r="D5" s="6" t="inlineStr">
        <is>
          <t>Cần quét Bio Fanpage</t>
        </is>
      </c>
      <c r="E5" s="53" t="inlineStr">
        <is>
          <t>13/10/2026 06:18:32</t>
        </is>
      </c>
      <c r="F5" s="53" t="inlineStr">
        <is>
          <t>1 giờ trước</t>
        </is>
      </c>
      <c r="G5" s="55" t="n">
        <v>0.04</v>
      </c>
      <c r="H5" s="56" t="n">
        <v>35</v>
      </c>
      <c r="I5" s="6" t="inlineStr">
        <is>
          <t>Dog Breeder / Trại nhân giống (28-30đ)</t>
        </is>
      </c>
      <c r="J5" s="56" t="n">
        <v>28</v>
      </c>
      <c r="K5" s="6" t="inlineStr">
        <is>
          <t>French Bulldog</t>
        </is>
      </c>
      <c r="L5" s="56" t="n">
        <v>10</v>
      </c>
      <c r="M5" s="56" t="n">
        <v>5</v>
      </c>
      <c r="N5" s="6" t="inlineStr">
        <is>
          <t>Selling pet toys</t>
        </is>
      </c>
      <c r="O5" s="56">
        <f>IF(N5="Selling pet toys + Artificial grass/Pet toilets (TARGET)",15,IF(N5="Selling artificial grass/pet toilets (TARGET)",10,IF(N5="Selling pet toys",7,IF(N5="There's an Amazon link, but no target sales.",3,0))))</f>
        <v/>
      </c>
      <c r="P5" s="57">
        <f>H5+J5+L5+M5+O5</f>
        <v/>
      </c>
      <c r="Q5" s="58">
        <f>IF(OR(H5=0,P5&lt;30),"Tier D (Đóng băng)",IF(P5&gt;=85,"Tier S (Kim Cương: 85-100đ)",IF(P5&gt;=70,"Tier A (Vàng: 70-84đ)",IF(P5&gt;=61,"Tier B+ / Cấp A (Hot Lead: 61-69đ)",IF(P5&gt;=50,"Tier B (Bạc: 50-60đ)","Tier C (Đồng: 30-49đ)")))))</f>
        <v/>
      </c>
      <c r="R5" s="6" t="inlineStr">
        <is>
          <t>Trọn gói Take-Home Starter Kit V2/V3 (Cỏ nhân tạo + Khay Potty + Đồ chơi cún con)</t>
        </is>
      </c>
      <c r="S5" s="6" t="inlineStr">
        <is>
          <t>ƯU TIÊN SỐ 1: Gọi điện chốt hợp đồng ngay trong ngày + Chào Take-Home Kit V3 in logo độc quyền</t>
        </is>
      </c>
    </row>
    <row r="6">
      <c r="A6" s="59" t="n">
        <v>4468</v>
      </c>
      <c r="B6" s="15" t="inlineStr">
        <is>
          <t>Leadhill Labradors- Yellow/White/Red Puppies</t>
        </is>
      </c>
      <c r="C6" s="60" t="inlineStr">
        <is>
          <t>https://www.facebook.com/profile.php?id=100045637753004</t>
        </is>
      </c>
      <c r="D6" s="9" t="inlineStr">
        <is>
          <t>Cần quét Bio Fanpage</t>
        </is>
      </c>
      <c r="E6" s="59" t="inlineStr">
        <is>
          <t>13/10/2026 07:31:19</t>
        </is>
      </c>
      <c r="F6" s="59" t="inlineStr">
        <is>
          <t>1 giờ trước</t>
        </is>
      </c>
      <c r="G6" s="61" t="n">
        <v>0.04</v>
      </c>
      <c r="H6" s="62" t="n">
        <v>35</v>
      </c>
      <c r="I6" s="9" t="inlineStr">
        <is>
          <t>Dog Breeder / Trại chó chuyên nghiệp (28-30đ)</t>
        </is>
      </c>
      <c r="J6" s="62" t="n">
        <v>30</v>
      </c>
      <c r="K6" s="9" t="inlineStr">
        <is>
          <t>Labrador</t>
        </is>
      </c>
      <c r="L6" s="62" t="n">
        <v>10</v>
      </c>
      <c r="M6" s="62" t="n">
        <v>5</v>
      </c>
      <c r="N6" s="9" t="inlineStr">
        <is>
          <t>Amazon link not found</t>
        </is>
      </c>
      <c r="O6" s="62">
        <f>IF(N6="Selling pet toys + Artificial grass/Pet toilets (TARGET)",15,IF(N6="Selling artificial grass/pet toilets (TARGET)",10,IF(N6="Selling pet toys",7,IF(N6="There's an Amazon link, but no target sales.",3,0))))</f>
        <v/>
      </c>
      <c r="P6" s="63">
        <f>H6+J6+L6+M6+O6</f>
        <v/>
      </c>
      <c r="Q6" s="64">
        <f>IF(OR(H6=0,P6&lt;30),"Tier D (Đóng băng)",IF(P6&gt;=85,"Tier S (Kim Cương: 85-100đ)",IF(P6&gt;=70,"Tier A (Vàng: 70-84đ)",IF(P6&gt;=61,"Tier B+ / Cấp A (Hot Lead: 61-69đ)",IF(P6&gt;=50,"Tier B (Bạc: 50-60đ)","Tier C (Đồng: 30-49đ)")))))</f>
        <v/>
      </c>
      <c r="R6" s="9" t="inlineStr">
        <is>
          <t>Trọn gói Take-Home Starter Kit V2/V3 (Cỏ nhân tạo + Khay Potty + Đồ chơi Teething/Snuggle)</t>
        </is>
      </c>
      <c r="S6" s="9" t="inlineStr">
        <is>
          <t>HOT LEAD CẤP A: Gọi Telesale trực tiếp trong ngày + Email cá nhân hóa chào Puppy Kit V2/V3</t>
        </is>
      </c>
    </row>
    <row r="7">
      <c r="A7" s="53" t="n">
        <v>1514</v>
      </c>
      <c r="B7" s="12" t="inlineStr">
        <is>
          <t>Gochee Labradors - Primed With Puppy Culture</t>
        </is>
      </c>
      <c r="C7" s="54" t="inlineStr">
        <is>
          <t>https://www.facebook.com/GocheeLabPuppies</t>
        </is>
      </c>
      <c r="D7" s="6" t="inlineStr">
        <is>
          <t>Cần quét Bio Fanpage</t>
        </is>
      </c>
      <c r="E7" s="53" t="inlineStr">
        <is>
          <t>13/10/2026 03:03:49</t>
        </is>
      </c>
      <c r="F7" s="53" t="inlineStr">
        <is>
          <t>34 phút trước</t>
        </is>
      </c>
      <c r="G7" s="55" t="n">
        <v>0.02</v>
      </c>
      <c r="H7" s="56" t="n">
        <v>35</v>
      </c>
      <c r="I7" s="6" t="inlineStr">
        <is>
          <t>Dog Breeder / Trại chó chuyên nghiệp (28-30đ)</t>
        </is>
      </c>
      <c r="J7" s="56" t="n">
        <v>30</v>
      </c>
      <c r="K7" s="6" t="inlineStr">
        <is>
          <t>Labrador</t>
        </is>
      </c>
      <c r="L7" s="56" t="n">
        <v>10</v>
      </c>
      <c r="M7" s="56" t="n">
        <v>5</v>
      </c>
      <c r="N7" s="6" t="inlineStr">
        <is>
          <t>Amazon link not found</t>
        </is>
      </c>
      <c r="O7" s="56">
        <f>IF(N7="Selling pet toys + Artificial grass/Pet toilets (TARGET)",15,IF(N7="Selling artificial grass/pet toilets (TARGET)",10,IF(N7="Selling pet toys",7,IF(N7="There's an Amazon link, but no target sales.",3,0))))</f>
        <v/>
      </c>
      <c r="P7" s="63">
        <f>H7+J7+L7+M7+O7</f>
        <v/>
      </c>
      <c r="Q7" s="64">
        <f>IF(OR(H7=0,P7&lt;30),"Tier D (Đóng băng)",IF(P7&gt;=85,"Tier S (Kim Cương: 85-100đ)",IF(P7&gt;=70,"Tier A (Vàng: 70-84đ)",IF(P7&gt;=61,"Tier B+ / Cấp A (Hot Lead: 61-69đ)",IF(P7&gt;=50,"Tier B (Bạc: 50-60đ)","Tier C (Đồng: 30-49đ)")))))</f>
        <v/>
      </c>
      <c r="R7" s="6" t="inlineStr">
        <is>
          <t>Trọn gói Take-Home Starter Kit V2/V3 (Cỏ nhân tạo + Khay Potty + Đồ chơi Teething/Snuggle)</t>
        </is>
      </c>
      <c r="S7" s="6" t="inlineStr">
        <is>
          <t>HOT LEAD CẤP A: Gọi Telesale trực tiếp trong ngày + Email cá nhân hóa chào Puppy Kit V2/V3</t>
        </is>
      </c>
    </row>
    <row r="8">
      <c r="A8" s="59" t="n">
        <v>702</v>
      </c>
      <c r="B8" s="15" t="inlineStr">
        <is>
          <t>Blue Buddha Frenchies LLC</t>
        </is>
      </c>
      <c r="C8" s="60" t="inlineStr">
        <is>
          <t>https://www.facebook.com/BlueBuddhaFrenchies</t>
        </is>
      </c>
      <c r="D8" s="9" t="inlineStr">
        <is>
          <t>Cần quét Bio Fanpage</t>
        </is>
      </c>
      <c r="E8" s="59" t="inlineStr">
        <is>
          <t>13/10/2026 00:54:43</t>
        </is>
      </c>
      <c r="F8" s="59" t="inlineStr">
        <is>
          <t>1 giờ trước</t>
        </is>
      </c>
      <c r="G8" s="61" t="n">
        <v>0.04</v>
      </c>
      <c r="H8" s="62" t="n">
        <v>35</v>
      </c>
      <c r="I8" s="9" t="inlineStr">
        <is>
          <t>Dog Breeder / Trại chó chuyên nghiệp (28-30đ)</t>
        </is>
      </c>
      <c r="J8" s="62" t="n">
        <v>30</v>
      </c>
      <c r="K8" s="9" t="inlineStr">
        <is>
          <t>French Bulldog</t>
        </is>
      </c>
      <c r="L8" s="62" t="n">
        <v>10</v>
      </c>
      <c r="M8" s="62" t="n">
        <v>5</v>
      </c>
      <c r="N8" s="9" t="inlineStr">
        <is>
          <t>Amazon link not found</t>
        </is>
      </c>
      <c r="O8" s="62">
        <f>IF(N8="Selling pet toys + Artificial grass/Pet toilets (TARGET)",15,IF(N8="Selling artificial grass/pet toilets (TARGET)",10,IF(N8="Selling pet toys",7,IF(N8="There's an Amazon link, but no target sales.",3,0))))</f>
        <v/>
      </c>
      <c r="P8" s="63">
        <f>H8+J8+L8+M8+O8</f>
        <v/>
      </c>
      <c r="Q8" s="64">
        <f>IF(OR(H8=0,P8&lt;30),"Tier D (Đóng băng)",IF(P8&gt;=85,"Tier S (Kim Cương: 85-100đ)",IF(P8&gt;=70,"Tier A (Vàng: 70-84đ)",IF(P8&gt;=61,"Tier B+ / Cấp A (Hot Lead: 61-69đ)",IF(P8&gt;=50,"Tier B (Bạc: 50-60đ)","Tier C (Đồng: 30-49đ)")))))</f>
        <v/>
      </c>
      <c r="R8" s="9" t="inlineStr">
        <is>
          <t>Trọn gói Take-Home Starter Kit V2/V3 (Cỏ nhân tạo + Khay Potty + Đồ chơi Teething/Snuggle)</t>
        </is>
      </c>
      <c r="S8" s="9" t="inlineStr">
        <is>
          <t>HOT LEAD CẤP A: Gọi Telesale trực tiếp trong ngày + Email cá nhân hóa chào Puppy Kit V2/V3</t>
        </is>
      </c>
    </row>
    <row r="9">
      <c r="A9" s="53" t="n">
        <v>1384</v>
      </c>
      <c r="B9" s="12" t="inlineStr">
        <is>
          <t>FIRE ATTACK 86 Rottweiler kennel</t>
        </is>
      </c>
      <c r="C9" s="54" t="inlineStr">
        <is>
          <t>https://www.facebook.com/fireattack86</t>
        </is>
      </c>
      <c r="D9" s="6" t="inlineStr">
        <is>
          <t>Cần quét Bio Fanpage</t>
        </is>
      </c>
      <c r="E9" s="53" t="inlineStr">
        <is>
          <t>12/10/2026 23:44:58</t>
        </is>
      </c>
      <c r="F9" s="53" t="inlineStr">
        <is>
          <t>3 giờ trước</t>
        </is>
      </c>
      <c r="G9" s="55" t="n">
        <v>0.12</v>
      </c>
      <c r="H9" s="56" t="n">
        <v>35</v>
      </c>
      <c r="I9" s="6" t="inlineStr">
        <is>
          <t>Dog Breeder / Trại chó chuyên nghiệp (28-30đ)</t>
        </is>
      </c>
      <c r="J9" s="56" t="n">
        <v>30</v>
      </c>
      <c r="K9" s="6" t="inlineStr">
        <is>
          <t>Rottweiler</t>
        </is>
      </c>
      <c r="L9" s="56" t="n">
        <v>10</v>
      </c>
      <c r="M9" s="56" t="n">
        <v>5</v>
      </c>
      <c r="N9" s="6" t="inlineStr">
        <is>
          <t>Amazon link not found</t>
        </is>
      </c>
      <c r="O9" s="56">
        <f>IF(N9="Selling pet toys + Artificial grass/Pet toilets (TARGET)",15,IF(N9="Selling artificial grass/pet toilets (TARGET)",10,IF(N9="Selling pet toys",7,IF(N9="There's an Amazon link, but no target sales.",3,0))))</f>
        <v/>
      </c>
      <c r="P9" s="63">
        <f>H9+J9+L9+M9+O9</f>
        <v/>
      </c>
      <c r="Q9" s="64">
        <f>IF(OR(H9=0,P9&lt;30),"Tier D (Đóng băng)",IF(P9&gt;=85,"Tier S (Kim Cương: 85-100đ)",IF(P9&gt;=70,"Tier A (Vàng: 70-84đ)",IF(P9&gt;=61,"Tier B+ / Cấp A (Hot Lead: 61-69đ)",IF(P9&gt;=50,"Tier B (Bạc: 50-60đ)","Tier C (Đồng: 30-49đ)")))))</f>
        <v/>
      </c>
      <c r="R9" s="6" t="inlineStr">
        <is>
          <t>Trọn gói Take-Home Starter Kit V2/V3 (Cỏ nhân tạo + Khay Potty + Đồ chơi Teething/Snuggle)</t>
        </is>
      </c>
      <c r="S9" s="6" t="inlineStr">
        <is>
          <t>HOT LEAD CẤP A: Gọi Telesale trực tiếp trong ngày + Email cá nhân hóa chào Puppy Kit V2/V3</t>
        </is>
      </c>
    </row>
    <row r="10">
      <c r="A10" s="59" t="n">
        <v>1771</v>
      </c>
      <c r="B10" s="15" t="inlineStr">
        <is>
          <t>Johnson Farms English Labradors</t>
        </is>
      </c>
      <c r="C10" s="60" t="inlineStr">
        <is>
          <t>https://www.facebook.com/profile.php?id=100069804441424</t>
        </is>
      </c>
      <c r="D10" s="9" t="inlineStr">
        <is>
          <t>Cần quét Bio Fanpage</t>
        </is>
      </c>
      <c r="E10" s="59" t="inlineStr">
        <is>
          <t>13/10/2026 03:50:39</t>
        </is>
      </c>
      <c r="F10" s="59" t="inlineStr">
        <is>
          <t>15 phút trước</t>
        </is>
      </c>
      <c r="G10" s="61" t="n">
        <v>0.01</v>
      </c>
      <c r="H10" s="62" t="n">
        <v>35</v>
      </c>
      <c r="I10" s="9" t="inlineStr">
        <is>
          <t>Dog Breeder / Trại nhân giống (28-30đ)</t>
        </is>
      </c>
      <c r="J10" s="62" t="n">
        <v>28</v>
      </c>
      <c r="K10" s="9" t="inlineStr">
        <is>
          <t>Labrador</t>
        </is>
      </c>
      <c r="L10" s="62" t="n">
        <v>10</v>
      </c>
      <c r="M10" s="62" t="n">
        <v>5</v>
      </c>
      <c r="N10" s="9" t="inlineStr">
        <is>
          <t>Amazon link not found</t>
        </is>
      </c>
      <c r="O10" s="62">
        <f>IF(N10="Selling pet toys + Artificial grass/Pet toilets (TARGET)",15,IF(N10="Selling artificial grass/pet toilets (TARGET)",10,IF(N10="Selling pet toys",7,IF(N10="There's an Amazon link, but no target sales.",3,0))))</f>
        <v/>
      </c>
      <c r="P10" s="63">
        <f>H10+J10+L10+M10+O10</f>
        <v/>
      </c>
      <c r="Q10" s="64">
        <f>IF(OR(H10=0,P10&lt;30),"Tier D (Đóng băng)",IF(P10&gt;=85,"Tier S (Kim Cương: 85-100đ)",IF(P10&gt;=70,"Tier A (Vàng: 70-84đ)",IF(P10&gt;=61,"Tier B+ / Cấp A (Hot Lead: 61-69đ)",IF(P10&gt;=50,"Tier B (Bạc: 50-60đ)","Tier C (Đồng: 30-49đ)")))))</f>
        <v/>
      </c>
      <c r="R10" s="9" t="inlineStr">
        <is>
          <t>Trọn gói Take-Home Starter Kit V2/V3 (Cỏ nhân tạo + Khay Potty + Đồ chơi cún con)</t>
        </is>
      </c>
      <c r="S10" s="9" t="inlineStr">
        <is>
          <t>HOT LEAD CẤP A: Gọi Telesale trực tiếp trong ngày + Email cá nhân hóa chào Puppy Kit V2/V3</t>
        </is>
      </c>
    </row>
    <row r="11">
      <c r="A11" s="53" t="n">
        <v>2001</v>
      </c>
      <c r="B11" s="12" t="inlineStr">
        <is>
          <t>Legacy Aussie Bulldogs</t>
        </is>
      </c>
      <c r="C11" s="54" t="inlineStr">
        <is>
          <t>https://www.facebook.com/profile.php?id=61570931233134</t>
        </is>
      </c>
      <c r="D11" s="6" t="inlineStr">
        <is>
          <t>Cần quét Bio Fanpage</t>
        </is>
      </c>
      <c r="E11" s="53" t="inlineStr">
        <is>
          <t>13/10/2026 03:04:40</t>
        </is>
      </c>
      <c r="F11" s="53" t="inlineStr">
        <is>
          <t>1 giờ trước</t>
        </is>
      </c>
      <c r="G11" s="55" t="n">
        <v>0.04</v>
      </c>
      <c r="H11" s="56" t="n">
        <v>35</v>
      </c>
      <c r="I11" s="6" t="inlineStr">
        <is>
          <t>Dog Breeder / Trại chó chuyên nghiệp (28-30đ)</t>
        </is>
      </c>
      <c r="J11" s="56" t="n">
        <v>28</v>
      </c>
      <c r="K11" s="6" t="inlineStr">
        <is>
          <t>English Bulldog, Australian Shepherd / Herding</t>
        </is>
      </c>
      <c r="L11" s="56" t="n">
        <v>15</v>
      </c>
      <c r="M11" s="56" t="n">
        <v>0</v>
      </c>
      <c r="N11" s="6" t="inlineStr">
        <is>
          <t>Amazon link not found</t>
        </is>
      </c>
      <c r="O11" s="56">
        <f>IF(N11="Selling pet toys + Artificial grass/Pet toilets (TARGET)",15,IF(N11="Selling artificial grass/pet toilets (TARGET)",10,IF(N11="Selling pet toys",7,IF(N11="There's an Amazon link, but no target sales.",3,0))))</f>
        <v/>
      </c>
      <c r="P11" s="63">
        <f>H11+J11+L11+M11+O11</f>
        <v/>
      </c>
      <c r="Q11" s="64">
        <f>IF(OR(H11=0,P11&lt;30),"Tier D (Đóng băng)",IF(P11&gt;=85,"Tier S (Kim Cương: 85-100đ)",IF(P11&gt;=70,"Tier A (Vàng: 70-84đ)",IF(P11&gt;=61,"Tier B+ / Cấp A (Hot Lead: 61-69đ)",IF(P11&gt;=50,"Tier B (Bạc: 50-60đ)","Tier C (Đồng: 30-49đ)")))))</f>
        <v/>
      </c>
      <c r="R11" s="6" t="inlineStr">
        <is>
          <t>Trọn gói Take-Home Starter Kit V2/V3 (Cỏ nhân tạo + Khay Potty + Đồ chơi Teething/Snuggle)</t>
        </is>
      </c>
      <c r="S11" s="6" t="inlineStr">
        <is>
          <t>HOT LEAD CẤP A: Gọi Telesale trực tiếp trong ngày + Email cá nhân hóa chào Puppy Kit V2/V3</t>
        </is>
      </c>
    </row>
    <row r="12">
      <c r="A12" s="59" t="n">
        <v>41</v>
      </c>
      <c r="B12" s="15" t="inlineStr">
        <is>
          <t>Golden Dog Farm Vermont</t>
        </is>
      </c>
      <c r="C12" s="60" t="inlineStr">
        <is>
          <t>https://www.facebook.com/goldendogfarmvt</t>
        </is>
      </c>
      <c r="D12" s="9" t="inlineStr">
        <is>
          <t>Cần quét Bio Fanpage</t>
        </is>
      </c>
      <c r="E12" s="59" t="inlineStr">
        <is>
          <t>13/10/2026 00:53:48</t>
        </is>
      </c>
      <c r="F12" s="59" t="inlineStr">
        <is>
          <t>5 phút trước</t>
        </is>
      </c>
      <c r="G12" s="61" t="n">
        <v>0</v>
      </c>
      <c r="H12" s="62" t="n">
        <v>35</v>
      </c>
      <c r="I12" s="9" t="inlineStr">
        <is>
          <t>Dog Breeder / Trại nhân giống (28-30đ)</t>
        </is>
      </c>
      <c r="J12" s="62" t="n">
        <v>28</v>
      </c>
      <c r="K12" s="9" t="inlineStr">
        <is>
          <t>Golden Retriever</t>
        </is>
      </c>
      <c r="L12" s="62" t="n">
        <v>10</v>
      </c>
      <c r="M12" s="62" t="n">
        <v>5</v>
      </c>
      <c r="N12" s="9" t="inlineStr">
        <is>
          <t>Amazon link not found</t>
        </is>
      </c>
      <c r="O12" s="62">
        <f>IF(N12="Selling pet toys + Artificial grass/Pet toilets (TARGET)",15,IF(N12="Selling artificial grass/pet toilets (TARGET)",10,IF(N12="Selling pet toys",7,IF(N12="There's an Amazon link, but no target sales.",3,0))))</f>
        <v/>
      </c>
      <c r="P12" s="63">
        <f>H12+J12+L12+M12+O12</f>
        <v/>
      </c>
      <c r="Q12" s="64">
        <f>IF(OR(H12=0,P12&lt;30),"Tier D (Đóng băng)",IF(P12&gt;=85,"Tier S (Kim Cương: 85-100đ)",IF(P12&gt;=70,"Tier A (Vàng: 70-84đ)",IF(P12&gt;=61,"Tier B+ / Cấp A (Hot Lead: 61-69đ)",IF(P12&gt;=50,"Tier B (Bạc: 50-60đ)","Tier C (Đồng: 30-49đ)")))))</f>
        <v/>
      </c>
      <c r="R12" s="9" t="inlineStr">
        <is>
          <t>Trọn gói Take-Home Starter Kit V2/V3 (Cỏ nhân tạo + Khay Potty + Đồ chơi cún con)</t>
        </is>
      </c>
      <c r="S12" s="9" t="inlineStr">
        <is>
          <t>HOT LEAD CẤP A: Gọi Telesale trực tiếp trong ngày + Email cá nhân hóa chào Puppy Kit V2/V3</t>
        </is>
      </c>
    </row>
    <row r="13">
      <c r="A13" s="53" t="n">
        <v>1287</v>
      </c>
      <c r="B13" s="12" t="inlineStr">
        <is>
          <t>English Bulldog</t>
        </is>
      </c>
      <c r="C13" s="54" t="inlineStr">
        <is>
          <t>https://www.facebook.com/english.bulldog.shop</t>
        </is>
      </c>
      <c r="D13" s="6" t="inlineStr">
        <is>
          <t>Cần quét Bio Fanpage</t>
        </is>
      </c>
      <c r="E13" s="53" t="inlineStr">
        <is>
          <t>12/10/2026 23:25:29</t>
        </is>
      </c>
      <c r="F13" s="53" t="inlineStr">
        <is>
          <t>3 giờ trước</t>
        </is>
      </c>
      <c r="G13" s="55" t="n">
        <v>0.12</v>
      </c>
      <c r="H13" s="56" t="n">
        <v>35</v>
      </c>
      <c r="I13" s="6" t="inlineStr">
        <is>
          <t>Dog Breeder / Trại nhân giống (28-30đ)</t>
        </is>
      </c>
      <c r="J13" s="56" t="n">
        <v>28</v>
      </c>
      <c r="K13" s="6" t="inlineStr">
        <is>
          <t>English Bulldog</t>
        </is>
      </c>
      <c r="L13" s="56" t="n">
        <v>10</v>
      </c>
      <c r="M13" s="56" t="n">
        <v>5</v>
      </c>
      <c r="N13" s="6" t="inlineStr">
        <is>
          <t>Amazon link not found</t>
        </is>
      </c>
      <c r="O13" s="56">
        <f>IF(N13="Selling pet toys + Artificial grass/Pet toilets (TARGET)",15,IF(N13="Selling artificial grass/pet toilets (TARGET)",10,IF(N13="Selling pet toys",7,IF(N13="There's an Amazon link, but no target sales.",3,0))))</f>
        <v/>
      </c>
      <c r="P13" s="63">
        <f>H13+J13+L13+M13+O13</f>
        <v/>
      </c>
      <c r="Q13" s="64">
        <f>IF(OR(H13=0,P13&lt;30),"Tier D (Đóng băng)",IF(P13&gt;=85,"Tier S (Kim Cương: 85-100đ)",IF(P13&gt;=70,"Tier A (Vàng: 70-84đ)",IF(P13&gt;=61,"Tier B+ / Cấp A (Hot Lead: 61-69đ)",IF(P13&gt;=50,"Tier B (Bạc: 50-60đ)","Tier C (Đồng: 30-49đ)")))))</f>
        <v/>
      </c>
      <c r="R13" s="6" t="inlineStr">
        <is>
          <t>Trọn gói Take-Home Starter Kit V2/V3 (Cỏ nhân tạo + Khay Potty + Đồ chơi cún con)</t>
        </is>
      </c>
      <c r="S13" s="6" t="inlineStr">
        <is>
          <t>HOT LEAD CẤP A: Gọi Telesale trực tiếp trong ngày + Email cá nhân hóa chào Puppy Kit V2/V3</t>
        </is>
      </c>
    </row>
    <row r="14">
      <c r="A14" s="59" t="n">
        <v>216</v>
      </c>
      <c r="B14" s="15" t="inlineStr">
        <is>
          <t>Made in Bulldog and Co</t>
        </is>
      </c>
      <c r="C14" s="60" t="inlineStr">
        <is>
          <t>https://www.facebook.com/madeinbulldog</t>
        </is>
      </c>
      <c r="D14" s="9" t="inlineStr">
        <is>
          <t>Cần quét Bio Fanpage</t>
        </is>
      </c>
      <c r="E14" s="59" t="inlineStr">
        <is>
          <t>12/10/2026 21:58:00</t>
        </is>
      </c>
      <c r="F14" s="59" t="inlineStr">
        <is>
          <t>3 giờ trước</t>
        </is>
      </c>
      <c r="G14" s="61" t="n">
        <v>0.12</v>
      </c>
      <c r="H14" s="62" t="n">
        <v>35</v>
      </c>
      <c r="I14" s="9" t="inlineStr">
        <is>
          <t>Dog Breeder / Trại nhân giống (28-30đ)</t>
        </is>
      </c>
      <c r="J14" s="62" t="n">
        <v>28</v>
      </c>
      <c r="K14" s="9" t="inlineStr">
        <is>
          <t>English Bulldog</t>
        </is>
      </c>
      <c r="L14" s="62" t="n">
        <v>10</v>
      </c>
      <c r="M14" s="62" t="n">
        <v>5</v>
      </c>
      <c r="N14" s="9" t="inlineStr">
        <is>
          <t>Amazon link not found</t>
        </is>
      </c>
      <c r="O14" s="62">
        <f>IF(N14="Selling pet toys + Artificial grass/Pet toilets (TARGET)",15,IF(N14="Selling artificial grass/pet toilets (TARGET)",10,IF(N14="Selling pet toys",7,IF(N14="There's an Amazon link, but no target sales.",3,0))))</f>
        <v/>
      </c>
      <c r="P14" s="63">
        <f>H14+J14+L14+M14+O14</f>
        <v/>
      </c>
      <c r="Q14" s="64">
        <f>IF(OR(H14=0,P14&lt;30),"Tier D (Đóng băng)",IF(P14&gt;=85,"Tier S (Kim Cương: 85-100đ)",IF(P14&gt;=70,"Tier A (Vàng: 70-84đ)",IF(P14&gt;=61,"Tier B+ / Cấp A (Hot Lead: 61-69đ)",IF(P14&gt;=50,"Tier B (Bạc: 50-60đ)","Tier C (Đồng: 30-49đ)")))))</f>
        <v/>
      </c>
      <c r="R14" s="9" t="inlineStr">
        <is>
          <t>Trọn gói Take-Home Starter Kit V2/V3 (Cỏ nhân tạo + Khay Potty + Đồ chơi cún con)</t>
        </is>
      </c>
      <c r="S14" s="9" t="inlineStr">
        <is>
          <t>HOT LEAD CẤP A: Gọi Telesale trực tiếp trong ngày + Email cá nhân hóa chào Puppy Kit V2/V3</t>
        </is>
      </c>
    </row>
    <row r="15">
      <c r="A15" s="53" t="n">
        <v>1425</v>
      </c>
      <c r="B15" s="12" t="inlineStr">
        <is>
          <t>Fox Creek Farm Goldendoodles &amp; Bernedoodles</t>
        </is>
      </c>
      <c r="C15" s="54" t="inlineStr">
        <is>
          <t>https://www.facebook.com/fcfgoldendoodles</t>
        </is>
      </c>
      <c r="D15" s="6" t="inlineStr">
        <is>
          <t>Cần quét Bio Fanpage</t>
        </is>
      </c>
      <c r="E15" s="53" t="inlineStr">
        <is>
          <t>11/10/2026 19:36:06</t>
        </is>
      </c>
      <c r="F15" s="53" t="inlineStr">
        <is>
          <t>1 ngày trước</t>
        </is>
      </c>
      <c r="G15" s="55" t="n">
        <v>1</v>
      </c>
      <c r="H15" s="56" t="n">
        <v>28</v>
      </c>
      <c r="I15" s="6" t="inlineStr">
        <is>
          <t>Dog Breeder / Trại chó chuyên nghiệp (28-30đ)</t>
        </is>
      </c>
      <c r="J15" s="56" t="n">
        <v>30</v>
      </c>
      <c r="K15" s="6" t="inlineStr">
        <is>
          <t>Bernedoodle, Goldendoodle</t>
        </is>
      </c>
      <c r="L15" s="56" t="n">
        <v>15</v>
      </c>
      <c r="M15" s="56" t="n">
        <v>5</v>
      </c>
      <c r="N15" s="6" t="inlineStr">
        <is>
          <t>Amazon link not found</t>
        </is>
      </c>
      <c r="O15" s="56">
        <f>IF(N15="Selling pet toys + Artificial grass/Pet toilets (TARGET)",15,IF(N15="Selling artificial grass/pet toilets (TARGET)",10,IF(N15="Selling pet toys",7,IF(N15="There's an Amazon link, but no target sales.",3,0))))</f>
        <v/>
      </c>
      <c r="P15" s="63">
        <f>H15+J15+L15+M15+O15</f>
        <v/>
      </c>
      <c r="Q15" s="64">
        <f>IF(OR(H15=0,P15&lt;30),"Tier D (Đóng băng)",IF(P15&gt;=85,"Tier S (Kim Cương: 85-100đ)",IF(P15&gt;=70,"Tier A (Vàng: 70-84đ)",IF(P15&gt;=61,"Tier B+ / Cấp A (Hot Lead: 61-69đ)",IF(P15&gt;=50,"Tier B (Bạc: 50-60đ)","Tier C (Đồng: 30-49đ)")))))</f>
        <v/>
      </c>
      <c r="R15" s="6" t="inlineStr">
        <is>
          <t>Trọn gói Take-Home Starter Kit V2/V3 (Cỏ nhân tạo + Khay Potty + Đồ chơi Teething/Snuggle)</t>
        </is>
      </c>
      <c r="S15" s="6" t="inlineStr">
        <is>
          <t>HOT LEAD CẤP A: Gọi Telesale trực tiếp trong ngày + Email cá nhân hóa chào Puppy Kit V2/V3</t>
        </is>
      </c>
    </row>
    <row r="16">
      <c r="A16" s="59" t="n">
        <v>126</v>
      </c>
      <c r="B16" s="15" t="inlineStr">
        <is>
          <t>Butler Kennels Rottweilers</t>
        </is>
      </c>
      <c r="C16" s="60" t="inlineStr">
        <is>
          <t>https://www.facebook.com/butlerkennelsRottweilersofficial</t>
        </is>
      </c>
      <c r="D16" s="9" t="inlineStr">
        <is>
          <t>Cần quét Bio Fanpage</t>
        </is>
      </c>
      <c r="E16" s="59" t="inlineStr">
        <is>
          <t>11/10/2026 09:17:19</t>
        </is>
      </c>
      <c r="F16" s="59" t="inlineStr">
        <is>
          <t>1 ngày trước</t>
        </is>
      </c>
      <c r="G16" s="61" t="n">
        <v>1</v>
      </c>
      <c r="H16" s="62" t="n">
        <v>28</v>
      </c>
      <c r="I16" s="9" t="inlineStr">
        <is>
          <t>Dog Breeder / Trại chó chuyên nghiệp (28-30đ)</t>
        </is>
      </c>
      <c r="J16" s="62" t="n">
        <v>30</v>
      </c>
      <c r="K16" s="9" t="inlineStr">
        <is>
          <t>Rottweiler</t>
        </is>
      </c>
      <c r="L16" s="62" t="n">
        <v>10</v>
      </c>
      <c r="M16" s="62" t="n">
        <v>10</v>
      </c>
      <c r="N16" s="9" t="inlineStr">
        <is>
          <t>Amazon link not found</t>
        </is>
      </c>
      <c r="O16" s="62">
        <f>IF(N16="Selling pet toys + Artificial grass/Pet toilets (TARGET)",15,IF(N16="Selling artificial grass/pet toilets (TARGET)",10,IF(N16="Selling pet toys",7,IF(N16="There's an Amazon link, but no target sales.",3,0))))</f>
        <v/>
      </c>
      <c r="P16" s="63">
        <f>H16+J16+L16+M16+O16</f>
        <v/>
      </c>
      <c r="Q16" s="64">
        <f>IF(OR(H16=0,P16&lt;30),"Tier D (Đóng băng)",IF(P16&gt;=85,"Tier S (Kim Cương: 85-100đ)",IF(P16&gt;=70,"Tier A (Vàng: 70-84đ)",IF(P16&gt;=61,"Tier B+ / Cấp A (Hot Lead: 61-69đ)",IF(P16&gt;=50,"Tier B (Bạc: 50-60đ)","Tier C (Đồng: 30-49đ)")))))</f>
        <v/>
      </c>
      <c r="R16" s="9" t="inlineStr">
        <is>
          <t>Trọn gói Take-Home Starter Kit V2/V3 (Cỏ nhân tạo + Khay Potty + Đồ chơi Teething/Snuggle)</t>
        </is>
      </c>
      <c r="S16" s="9" t="inlineStr">
        <is>
          <t>HOT LEAD CẤP A: Gọi Telesale trực tiếp trong ngày + Email cá nhân hóa chào Puppy Kit V2/V3</t>
        </is>
      </c>
    </row>
    <row r="17">
      <c r="A17" s="53" t="n">
        <v>2874</v>
      </c>
      <c r="B17" s="12" t="inlineStr">
        <is>
          <t>Shaka Bully Kennels</t>
        </is>
      </c>
      <c r="C17" s="54" t="inlineStr">
        <is>
          <t>https://www.facebook.com/profile.php?id=61564897457360</t>
        </is>
      </c>
      <c r="D17" s="6" t="inlineStr">
        <is>
          <t>Cần quét Bio Fanpage</t>
        </is>
      </c>
      <c r="E17" s="53" t="inlineStr">
        <is>
          <t>13/10/2026 01:47:15</t>
        </is>
      </c>
      <c r="F17" s="53" t="inlineStr">
        <is>
          <t>4 giờ trước</t>
        </is>
      </c>
      <c r="G17" s="55" t="n">
        <v>0.17</v>
      </c>
      <c r="H17" s="56" t="n">
        <v>32</v>
      </c>
      <c r="I17" s="6" t="inlineStr">
        <is>
          <t>Dog Breeder / Trại chó chuyên nghiệp (28-30đ)</t>
        </is>
      </c>
      <c r="J17" s="56" t="n">
        <v>30</v>
      </c>
      <c r="K17" s="6" t="inlineStr">
        <is>
          <t>American Bully / Bully</t>
        </is>
      </c>
      <c r="L17" s="56" t="n">
        <v>10</v>
      </c>
      <c r="M17" s="56" t="n">
        <v>5</v>
      </c>
      <c r="N17" s="6" t="inlineStr">
        <is>
          <t>Amazon link not found</t>
        </is>
      </c>
      <c r="O17" s="56">
        <f>IF(N17="Selling pet toys + Artificial grass/Pet toilets (TARGET)",15,IF(N17="Selling artificial grass/pet toilets (TARGET)",10,IF(N17="Selling pet toys",7,IF(N17="There's an Amazon link, but no target sales.",3,0))))</f>
        <v/>
      </c>
      <c r="P17" s="63">
        <f>H17+J17+L17+M17+O17</f>
        <v/>
      </c>
      <c r="Q17" s="64">
        <f>IF(OR(H17=0,P17&lt;30),"Tier D (Đóng băng)",IF(P17&gt;=85,"Tier S (Kim Cương: 85-100đ)",IF(P17&gt;=70,"Tier A (Vàng: 70-84đ)",IF(P17&gt;=61,"Tier B+ / Cấp A (Hot Lead: 61-69đ)",IF(P17&gt;=50,"Tier B (Bạc: 50-60đ)","Tier C (Đồng: 30-49đ)")))))</f>
        <v/>
      </c>
      <c r="R17" s="6" t="inlineStr">
        <is>
          <t>Trọn gói Take-Home Starter Kit V2/V3 (Cỏ nhân tạo + Khay Potty + Đồ chơi Teething/Snuggle)</t>
        </is>
      </c>
      <c r="S17" s="6" t="inlineStr">
        <is>
          <t>HOT LEAD CẤP A: Gọi Telesale trực tiếp trong ngày + Email cá nhân hóa chào Puppy Kit V2/V3</t>
        </is>
      </c>
    </row>
    <row r="18">
      <c r="A18" s="59" t="n">
        <v>3255</v>
      </c>
      <c r="B18" s="15" t="inlineStr">
        <is>
          <t>Turtle CREEK Kennel Labrador Retrievers</t>
        </is>
      </c>
      <c r="C18" s="60" t="inlineStr">
        <is>
          <t>https://www.facebook.com/Labradorcouchpotato</t>
        </is>
      </c>
      <c r="D18" s="9" t="inlineStr">
        <is>
          <t>Cần quét Bio Fanpage</t>
        </is>
      </c>
      <c r="E18" s="59" t="inlineStr">
        <is>
          <t>12/10/2026 23:26:55</t>
        </is>
      </c>
      <c r="F18" s="59" t="inlineStr">
        <is>
          <t>7 giờ trước</t>
        </is>
      </c>
      <c r="G18" s="61" t="n">
        <v>0.29</v>
      </c>
      <c r="H18" s="62" t="n">
        <v>32</v>
      </c>
      <c r="I18" s="9" t="inlineStr">
        <is>
          <t>Dog Breeder / Trại chó chuyên nghiệp (28-30đ)</t>
        </is>
      </c>
      <c r="J18" s="62" t="n">
        <v>30</v>
      </c>
      <c r="K18" s="9" t="inlineStr">
        <is>
          <t>Labrador</t>
        </is>
      </c>
      <c r="L18" s="62" t="n">
        <v>10</v>
      </c>
      <c r="M18" s="62" t="n">
        <v>5</v>
      </c>
      <c r="N18" s="9" t="inlineStr">
        <is>
          <t>Amazon link not found</t>
        </is>
      </c>
      <c r="O18" s="62">
        <f>IF(N18="Selling pet toys + Artificial grass/Pet toilets (TARGET)",15,IF(N18="Selling artificial grass/pet toilets (TARGET)",10,IF(N18="Selling pet toys",7,IF(N18="There's an Amazon link, but no target sales.",3,0))))</f>
        <v/>
      </c>
      <c r="P18" s="63">
        <f>H18+J18+L18+M18+O18</f>
        <v/>
      </c>
      <c r="Q18" s="64">
        <f>IF(OR(H18=0,P18&lt;30),"Tier D (Đóng băng)",IF(P18&gt;=85,"Tier S (Kim Cương: 85-100đ)",IF(P18&gt;=70,"Tier A (Vàng: 70-84đ)",IF(P18&gt;=61,"Tier B+ / Cấp A (Hot Lead: 61-69đ)",IF(P18&gt;=50,"Tier B (Bạc: 50-60đ)","Tier C (Đồng: 30-49đ)")))))</f>
        <v/>
      </c>
      <c r="R18" s="9" t="inlineStr">
        <is>
          <t>Trọn gói Take-Home Starter Kit V2/V3 (Cỏ nhân tạo + Khay Potty + Đồ chơi Teething/Snuggle)</t>
        </is>
      </c>
      <c r="S18" s="9" t="inlineStr">
        <is>
          <t>HOT LEAD CẤP A: Gọi Telesale trực tiếp trong ngày + Email cá nhân hóa chào Puppy Kit V2/V3</t>
        </is>
      </c>
    </row>
    <row r="19">
      <c r="A19" s="53" t="n">
        <v>2848</v>
      </c>
      <c r="B19" s="12" t="inlineStr">
        <is>
          <t>Sea Dog Kennels</t>
        </is>
      </c>
      <c r="C19" s="54" t="inlineStr">
        <is>
          <t>https://www.facebook.com/SeaDogPWDpuppies</t>
        </is>
      </c>
      <c r="D19" s="6" t="inlineStr">
        <is>
          <t>Cần quét Bio Fanpage</t>
        </is>
      </c>
      <c r="E19" s="53" t="inlineStr">
        <is>
          <t>12/10/2026 21:49:47</t>
        </is>
      </c>
      <c r="F19" s="53" t="inlineStr">
        <is>
          <t>8 giờ trước</t>
        </is>
      </c>
      <c r="G19" s="55" t="n">
        <v>0.33</v>
      </c>
      <c r="H19" s="56" t="n">
        <v>32</v>
      </c>
      <c r="I19" s="6" t="inlineStr">
        <is>
          <t>Dog Breeder / Trại chó chuyên nghiệp (28-30đ)</t>
        </is>
      </c>
      <c r="J19" s="56" t="n">
        <v>30</v>
      </c>
      <c r="K19" s="6" t="inlineStr">
        <is>
          <t>Spaniel / Gun Dog / Retriever</t>
        </is>
      </c>
      <c r="L19" s="56" t="n">
        <v>5</v>
      </c>
      <c r="M19" s="56" t="n">
        <v>10</v>
      </c>
      <c r="N19" s="6" t="inlineStr">
        <is>
          <t>Amazon link not found</t>
        </is>
      </c>
      <c r="O19" s="56">
        <f>IF(N19="Selling pet toys + Artificial grass/Pet toilets (TARGET)",15,IF(N19="Selling artificial grass/pet toilets (TARGET)",10,IF(N19="Selling pet toys",7,IF(N19="There's an Amazon link, but no target sales.",3,0))))</f>
        <v/>
      </c>
      <c r="P19" s="63">
        <f>H19+J19+L19+M19+O19</f>
        <v/>
      </c>
      <c r="Q19" s="64">
        <f>IF(OR(H19=0,P19&lt;30),"Tier D (Đóng băng)",IF(P19&gt;=85,"Tier S (Kim Cương: 85-100đ)",IF(P19&gt;=70,"Tier A (Vàng: 70-84đ)",IF(P19&gt;=61,"Tier B+ / Cấp A (Hot Lead: 61-69đ)",IF(P19&gt;=50,"Tier B (Bạc: 50-60đ)","Tier C (Đồng: 30-49đ)")))))</f>
        <v/>
      </c>
      <c r="R19" s="6" t="inlineStr">
        <is>
          <t>Trọn gói Take-Home Starter Kit V2/V3 (Cỏ nhân tạo + Khay Potty + Đồ chơi Teething/Snuggle)</t>
        </is>
      </c>
      <c r="S19" s="6" t="inlineStr">
        <is>
          <t>HOT LEAD CẤP A: Gọi Telesale trực tiếp trong ngày + Email cá nhân hóa chào Puppy Kit V2/V3</t>
        </is>
      </c>
    </row>
    <row r="20">
      <c r="A20" s="59" t="n">
        <v>3423</v>
      </c>
      <c r="B20" s="15" t="inlineStr">
        <is>
          <t>Wilson’s Kennels Rottweilers &amp; Security</t>
        </is>
      </c>
      <c r="C20" s="60" t="inlineStr">
        <is>
          <t>https://www.facebook.com/profile.php?id=100060832497072</t>
        </is>
      </c>
      <c r="D20" s="9" t="inlineStr">
        <is>
          <t>Cần quét Bio Fanpage</t>
        </is>
      </c>
      <c r="E20" s="59" t="inlineStr">
        <is>
          <t>12/10/2026 21:46:49</t>
        </is>
      </c>
      <c r="F20" s="59" t="inlineStr">
        <is>
          <t>9 giờ trước</t>
        </is>
      </c>
      <c r="G20" s="61" t="n">
        <v>0.38</v>
      </c>
      <c r="H20" s="62" t="n">
        <v>32</v>
      </c>
      <c r="I20" s="9" t="inlineStr">
        <is>
          <t>Dog Breeder / Trại chó chuyên nghiệp (28-30đ)</t>
        </is>
      </c>
      <c r="J20" s="62" t="n">
        <v>30</v>
      </c>
      <c r="K20" s="9" t="inlineStr">
        <is>
          <t>Rottweiler</t>
        </is>
      </c>
      <c r="L20" s="62" t="n">
        <v>10</v>
      </c>
      <c r="M20" s="62" t="n">
        <v>5</v>
      </c>
      <c r="N20" s="9" t="inlineStr">
        <is>
          <t>Amazon link not found</t>
        </is>
      </c>
      <c r="O20" s="62">
        <f>IF(N20="Selling pet toys + Artificial grass/Pet toilets (TARGET)",15,IF(N20="Selling artificial grass/pet toilets (TARGET)",10,IF(N20="Selling pet toys",7,IF(N20="There's an Amazon link, but no target sales.",3,0))))</f>
        <v/>
      </c>
      <c r="P20" s="63">
        <f>H20+J20+L20+M20+O20</f>
        <v/>
      </c>
      <c r="Q20" s="64">
        <f>IF(OR(H20=0,P20&lt;30),"Tier D (Đóng băng)",IF(P20&gt;=85,"Tier S (Kim Cương: 85-100đ)",IF(P20&gt;=70,"Tier A (Vàng: 70-84đ)",IF(P20&gt;=61,"Tier B+ / Cấp A (Hot Lead: 61-69đ)",IF(P20&gt;=50,"Tier B (Bạc: 50-60đ)","Tier C (Đồng: 30-49đ)")))))</f>
        <v/>
      </c>
      <c r="R20" s="9" t="inlineStr">
        <is>
          <t>Trọn gói Take-Home Starter Kit V2/V3 (Cỏ nhân tạo + Khay Potty + Đồ chơi Teething/Snuggle)</t>
        </is>
      </c>
      <c r="S20" s="9" t="inlineStr">
        <is>
          <t>HOT LEAD CẤP A: Gọi Telesale trực tiếp trong ngày + Email cá nhân hóa chào Puppy Kit V2/V3</t>
        </is>
      </c>
    </row>
    <row r="21">
      <c r="A21" s="53" t="n">
        <v>2094</v>
      </c>
      <c r="B21" s="12" t="inlineStr">
        <is>
          <t>MadCity Frenchies LLC</t>
        </is>
      </c>
      <c r="C21" s="54" t="inlineStr">
        <is>
          <t>https://www.facebook.com/profile.php?id=100071498224701</t>
        </is>
      </c>
      <c r="D21" s="6" t="inlineStr">
        <is>
          <t>Cần quét Bio Fanpage</t>
        </is>
      </c>
      <c r="E21" s="53" t="inlineStr">
        <is>
          <t>12/10/2026 17:00:13</t>
        </is>
      </c>
      <c r="F21" s="53" t="inlineStr">
        <is>
          <t>11 giờ trước</t>
        </is>
      </c>
      <c r="G21" s="55" t="n">
        <v>0.46</v>
      </c>
      <c r="H21" s="56" t="n">
        <v>32</v>
      </c>
      <c r="I21" s="6" t="inlineStr">
        <is>
          <t>Dog Breeder / Trại chó chuyên nghiệp (28-30đ)</t>
        </is>
      </c>
      <c r="J21" s="56" t="n">
        <v>30</v>
      </c>
      <c r="K21" s="6" t="inlineStr">
        <is>
          <t>French Bulldog</t>
        </is>
      </c>
      <c r="L21" s="56" t="n">
        <v>10</v>
      </c>
      <c r="M21" s="56" t="n">
        <v>5</v>
      </c>
      <c r="N21" s="6" t="inlineStr">
        <is>
          <t>Amazon link not found</t>
        </is>
      </c>
      <c r="O21" s="56">
        <f>IF(N21="Selling pet toys + Artificial grass/Pet toilets (TARGET)",15,IF(N21="Selling artificial grass/pet toilets (TARGET)",10,IF(N21="Selling pet toys",7,IF(N21="There's an Amazon link, but no target sales.",3,0))))</f>
        <v/>
      </c>
      <c r="P21" s="63">
        <f>H21+J21+L21+M21+O21</f>
        <v/>
      </c>
      <c r="Q21" s="64">
        <f>IF(OR(H21=0,P21&lt;30),"Tier D (Đóng băng)",IF(P21&gt;=85,"Tier S (Kim Cương: 85-100đ)",IF(P21&gt;=70,"Tier A (Vàng: 70-84đ)",IF(P21&gt;=61,"Tier B+ / Cấp A (Hot Lead: 61-69đ)",IF(P21&gt;=50,"Tier B (Bạc: 50-60đ)","Tier C (Đồng: 30-49đ)")))))</f>
        <v/>
      </c>
      <c r="R21" s="6" t="inlineStr">
        <is>
          <t>Trọn gói Take-Home Starter Kit V2/V3 (Cỏ nhân tạo + Khay Potty + Đồ chơi Teething/Snuggle)</t>
        </is>
      </c>
      <c r="S21" s="6" t="inlineStr">
        <is>
          <t>HOT LEAD CẤP A: Gọi Telesale trực tiếp trong ngày + Email cá nhân hóa chào Puppy Kit V2/V3</t>
        </is>
      </c>
    </row>
    <row r="22">
      <c r="A22" s="59" t="n">
        <v>209</v>
      </c>
      <c r="B22" s="15" t="inlineStr">
        <is>
          <t>Lakeside Bullies, LLC</t>
        </is>
      </c>
      <c r="C22" s="60" t="inlineStr">
        <is>
          <t>https://www.facebook.com/profile.php?id=100082103677996</t>
        </is>
      </c>
      <c r="D22" s="9" t="inlineStr">
        <is>
          <t>Cần quét Bio Fanpage</t>
        </is>
      </c>
      <c r="E22" s="59" t="inlineStr">
        <is>
          <t>12/10/2026 11:00:00</t>
        </is>
      </c>
      <c r="F22" s="59" t="inlineStr">
        <is>
          <t>14 giờ trước</t>
        </is>
      </c>
      <c r="G22" s="61" t="n">
        <v>0.58</v>
      </c>
      <c r="H22" s="62" t="n">
        <v>32</v>
      </c>
      <c r="I22" s="9" t="inlineStr">
        <is>
          <t>Dog Breeder / Trại chó chuyên nghiệp (28-30đ)</t>
        </is>
      </c>
      <c r="J22" s="62" t="n">
        <v>30</v>
      </c>
      <c r="K22" s="9" t="inlineStr">
        <is>
          <t>American Bully / Bully</t>
        </is>
      </c>
      <c r="L22" s="62" t="n">
        <v>10</v>
      </c>
      <c r="M22" s="62" t="n">
        <v>5</v>
      </c>
      <c r="N22" s="9" t="inlineStr">
        <is>
          <t>Amazon link not found</t>
        </is>
      </c>
      <c r="O22" s="62">
        <f>IF(N22="Selling pet toys + Artificial grass/Pet toilets (TARGET)",15,IF(N22="Selling artificial grass/pet toilets (TARGET)",10,IF(N22="Selling pet toys",7,IF(N22="There's an Amazon link, but no target sales.",3,0))))</f>
        <v/>
      </c>
      <c r="P22" s="63">
        <f>H22+J22+L22+M22+O22</f>
        <v/>
      </c>
      <c r="Q22" s="64">
        <f>IF(OR(H22=0,P22&lt;30),"Tier D (Đóng băng)",IF(P22&gt;=85,"Tier S (Kim Cương: 85-100đ)",IF(P22&gt;=70,"Tier A (Vàng: 70-84đ)",IF(P22&gt;=61,"Tier B+ / Cấp A (Hot Lead: 61-69đ)",IF(P22&gt;=50,"Tier B (Bạc: 50-60đ)","Tier C (Đồng: 30-49đ)")))))</f>
        <v/>
      </c>
      <c r="R22" s="9" t="inlineStr">
        <is>
          <t>Trọn gói Take-Home Starter Kit V2/V3 (Cỏ nhân tạo + Khay Potty + Đồ chơi Teething/Snuggle)</t>
        </is>
      </c>
      <c r="S22" s="9" t="inlineStr">
        <is>
          <t>HOT LEAD CẤP A: Gọi Telesale trực tiếp trong ngày + Email cá nhân hóa chào Puppy Kit V2/V3</t>
        </is>
      </c>
    </row>
    <row r="23">
      <c r="A23" s="53" t="n">
        <v>5147</v>
      </c>
      <c r="B23" s="12" t="inlineStr">
        <is>
          <t>Pyrenean Mastiffs of Pu'uwai O Pokela Farm</t>
        </is>
      </c>
      <c r="C23" s="54" t="inlineStr">
        <is>
          <t>https://www.facebook.com/pmofpopfarm</t>
        </is>
      </c>
      <c r="D23" s="6" t="inlineStr">
        <is>
          <t>Cần quét Bio Fanpage</t>
        </is>
      </c>
      <c r="E23" s="53" t="inlineStr">
        <is>
          <t>13/10/2026 09:09:49</t>
        </is>
      </c>
      <c r="F23" s="53" t="inlineStr">
        <is>
          <t>1 giờ trước</t>
        </is>
      </c>
      <c r="G23" s="55" t="n">
        <v>0.04</v>
      </c>
      <c r="H23" s="56" t="n">
        <v>35</v>
      </c>
      <c r="I23" s="6" t="inlineStr">
        <is>
          <t>Dog Breeder / Trại chó chuyên nghiệp (28-30đ)</t>
        </is>
      </c>
      <c r="J23" s="56" t="n">
        <v>30</v>
      </c>
      <c r="K23" s="6" t="inlineStr">
        <is>
          <t>Cane Corso / Mastiff, Great Dane / Working Giant</t>
        </is>
      </c>
      <c r="L23" s="56" t="n">
        <v>5</v>
      </c>
      <c r="M23" s="56" t="n">
        <v>5</v>
      </c>
      <c r="N23" s="6" t="inlineStr">
        <is>
          <t>Amazon link not found</t>
        </is>
      </c>
      <c r="O23" s="56">
        <f>IF(N23="Selling pet toys + Artificial grass/Pet toilets (TARGET)",15,IF(N23="Selling artificial grass/pet toilets (TARGET)",10,IF(N23="Selling pet toys",7,IF(N23="There's an Amazon link, but no target sales.",3,0))))</f>
        <v/>
      </c>
      <c r="P23" s="63">
        <f>H23+J23+L23+M23+O23</f>
        <v/>
      </c>
      <c r="Q23" s="64">
        <f>IF(OR(H23=0,P23&lt;30),"Tier D (Đóng băng)",IF(P23&gt;=85,"Tier S (Kim Cương: 85-100đ)",IF(P23&gt;=70,"Tier A (Vàng: 70-84đ)",IF(P23&gt;=61,"Tier B+ / Cấp A (Hot Lead: 61-69đ)",IF(P23&gt;=50,"Tier B (Bạc: 50-60đ)","Tier C (Đồng: 30-49đ)")))))</f>
        <v/>
      </c>
      <c r="R23" s="6" t="inlineStr">
        <is>
          <t>Trọn gói Take-Home Starter Kit V2/V3 (Cỏ nhân tạo + Khay Potty + Đồ chơi Teething/Snuggle)</t>
        </is>
      </c>
      <c r="S23" s="6" t="inlineStr">
        <is>
          <t>HOT LEAD CẤP A: Gọi Telesale trực tiếp trong ngày + Email cá nhân hóa chào Puppy Kit V2/V3</t>
        </is>
      </c>
    </row>
    <row r="24">
      <c r="A24" s="59" t="n">
        <v>3735</v>
      </c>
      <c r="B24" s="15" t="inlineStr">
        <is>
          <t>Eclipse Kennels Berger Picards</t>
        </is>
      </c>
      <c r="C24" s="60" t="inlineStr">
        <is>
          <t>https://www.facebook.com/EclipseKennels</t>
        </is>
      </c>
      <c r="D24" s="9" t="inlineStr">
        <is>
          <t>Cần quét Bio Fanpage</t>
        </is>
      </c>
      <c r="E24" s="59" t="inlineStr">
        <is>
          <t>13/10/2026 06:58:06</t>
        </is>
      </c>
      <c r="F24" s="59" t="inlineStr">
        <is>
          <t>40 phút trước</t>
        </is>
      </c>
      <c r="G24" s="61" t="n">
        <v>0.03</v>
      </c>
      <c r="H24" s="62" t="n">
        <v>35</v>
      </c>
      <c r="I24" s="9" t="inlineStr">
        <is>
          <t>Dog Breeder / Trại chó chuyên nghiệp (28-30đ)</t>
        </is>
      </c>
      <c r="J24" s="62" t="n">
        <v>30</v>
      </c>
      <c r="K24" s="9" t="inlineStr">
        <is>
          <t>Australian Shepherd / Herding</t>
        </is>
      </c>
      <c r="L24" s="62" t="n">
        <v>5</v>
      </c>
      <c r="M24" s="62" t="n">
        <v>5</v>
      </c>
      <c r="N24" s="9" t="inlineStr">
        <is>
          <t>Amazon link not found</t>
        </is>
      </c>
      <c r="O24" s="62">
        <f>IF(N24="Selling pet toys + Artificial grass/Pet toilets (TARGET)",15,IF(N24="Selling artificial grass/pet toilets (TARGET)",10,IF(N24="Selling pet toys",7,IF(N24="There's an Amazon link, but no target sales.",3,0))))</f>
        <v/>
      </c>
      <c r="P24" s="63">
        <f>H24+J24+L24+M24+O24</f>
        <v/>
      </c>
      <c r="Q24" s="64">
        <f>IF(OR(H24=0,P24&lt;30),"Tier D (Đóng băng)",IF(P24&gt;=85,"Tier S (Kim Cương: 85-100đ)",IF(P24&gt;=70,"Tier A (Vàng: 70-84đ)",IF(P24&gt;=61,"Tier B+ / Cấp A (Hot Lead: 61-69đ)",IF(P24&gt;=50,"Tier B (Bạc: 50-60đ)","Tier C (Đồng: 30-49đ)")))))</f>
        <v/>
      </c>
      <c r="R24" s="9" t="inlineStr">
        <is>
          <t>Trọn gói Take-Home Starter Kit V2/V3 (Cỏ nhân tạo + Khay Potty + Đồ chơi Teething/Snuggle)</t>
        </is>
      </c>
      <c r="S24" s="9" t="inlineStr">
        <is>
          <t>HOT LEAD CẤP A: Gọi Telesale trực tiếp trong ngày + Email cá nhân hóa chào Puppy Kit V2/V3</t>
        </is>
      </c>
    </row>
    <row r="25">
      <c r="A25" s="53" t="n">
        <v>3196</v>
      </c>
      <c r="B25" s="12" t="inlineStr">
        <is>
          <t>TNB Bulldogges of Alabama</t>
        </is>
      </c>
      <c r="C25" s="54" t="inlineStr">
        <is>
          <t>https://www.facebook.com/tnbkennelsbulldogges</t>
        </is>
      </c>
      <c r="D25" s="6" t="inlineStr">
        <is>
          <t>Cần quét Bio Fanpage</t>
        </is>
      </c>
      <c r="E25" s="53" t="inlineStr">
        <is>
          <t>13/10/2026 06:00:16</t>
        </is>
      </c>
      <c r="F25" s="53" t="inlineStr">
        <is>
          <t>39 phút trước</t>
        </is>
      </c>
      <c r="G25" s="55" t="n">
        <v>0.03</v>
      </c>
      <c r="H25" s="56" t="n">
        <v>35</v>
      </c>
      <c r="I25" s="6" t="inlineStr">
        <is>
          <t>Dog Breeder / Trại chó chuyên nghiệp (28-30đ)</t>
        </is>
      </c>
      <c r="J25" s="56" t="n">
        <v>30</v>
      </c>
      <c r="K25" s="6" t="inlineStr">
        <is>
          <t>English Bulldog</t>
        </is>
      </c>
      <c r="L25" s="56" t="n">
        <v>10</v>
      </c>
      <c r="M25" s="56" t="n">
        <v>0</v>
      </c>
      <c r="N25" s="6" t="inlineStr">
        <is>
          <t>Amazon link not found</t>
        </is>
      </c>
      <c r="O25" s="56">
        <f>IF(N25="Selling pet toys + Artificial grass/Pet toilets (TARGET)",15,IF(N25="Selling artificial grass/pet toilets (TARGET)",10,IF(N25="Selling pet toys",7,IF(N25="There's an Amazon link, but no target sales.",3,0))))</f>
        <v/>
      </c>
      <c r="P25" s="63">
        <f>H25+J25+L25+M25+O25</f>
        <v/>
      </c>
      <c r="Q25" s="64">
        <f>IF(OR(H25=0,P25&lt;30),"Tier D (Đóng băng)",IF(P25&gt;=85,"Tier S (Kim Cương: 85-100đ)",IF(P25&gt;=70,"Tier A (Vàng: 70-84đ)",IF(P25&gt;=61,"Tier B+ / Cấp A (Hot Lead: 61-69đ)",IF(P25&gt;=50,"Tier B (Bạc: 50-60đ)","Tier C (Đồng: 30-49đ)")))))</f>
        <v/>
      </c>
      <c r="R25" s="6" t="inlineStr">
        <is>
          <t>Trọn gói Take-Home Starter Kit V2/V3 (Cỏ nhân tạo + Khay Potty + Đồ chơi Teething/Snuggle)</t>
        </is>
      </c>
      <c r="S25" s="6" t="inlineStr">
        <is>
          <t>HOT LEAD CẤP A: Gọi Telesale trực tiếp trong ngày + Email cá nhân hóa chào Puppy Kit V2/V3</t>
        </is>
      </c>
    </row>
    <row r="26">
      <c r="A26" s="59" t="n">
        <v>3756</v>
      </c>
      <c r="B26" s="15" t="inlineStr">
        <is>
          <t>Endurance Kennels LLC</t>
        </is>
      </c>
      <c r="C26" s="60" t="inlineStr">
        <is>
          <t>https://www.facebook.com/EnduranceKennelsSprintMushing</t>
        </is>
      </c>
      <c r="D26" s="9" t="inlineStr">
        <is>
          <t>Cần quét Bio Fanpage</t>
        </is>
      </c>
      <c r="E26" s="59" t="inlineStr">
        <is>
          <t>13/10/2026 05:45:57</t>
        </is>
      </c>
      <c r="F26" s="59" t="inlineStr">
        <is>
          <t>1 giờ trước</t>
        </is>
      </c>
      <c r="G26" s="61" t="n">
        <v>0.04</v>
      </c>
      <c r="H26" s="62" t="n">
        <v>35</v>
      </c>
      <c r="I26" s="9" t="inlineStr">
        <is>
          <t>Dog Breeder / Trại chó chuyên nghiệp (28-30đ)</t>
        </is>
      </c>
      <c r="J26" s="62" t="n">
        <v>30</v>
      </c>
      <c r="K26" s="9" t="inlineStr">
        <is>
          <t>Husky / Malamute / Samoyed / Spitz</t>
        </is>
      </c>
      <c r="L26" s="62" t="n">
        <v>5</v>
      </c>
      <c r="M26" s="62" t="n">
        <v>5</v>
      </c>
      <c r="N26" s="9" t="inlineStr">
        <is>
          <t>Amazon link not found</t>
        </is>
      </c>
      <c r="O26" s="62">
        <f>IF(N26="Selling pet toys + Artificial grass/Pet toilets (TARGET)",15,IF(N26="Selling artificial grass/pet toilets (TARGET)",10,IF(N26="Selling pet toys",7,IF(N26="There's an Amazon link, but no target sales.",3,0))))</f>
        <v/>
      </c>
      <c r="P26" s="63">
        <f>H26+J26+L26+M26+O26</f>
        <v/>
      </c>
      <c r="Q26" s="64">
        <f>IF(OR(H26=0,P26&lt;30),"Tier D (Đóng băng)",IF(P26&gt;=85,"Tier S (Kim Cương: 85-100đ)",IF(P26&gt;=70,"Tier A (Vàng: 70-84đ)",IF(P26&gt;=61,"Tier B+ / Cấp A (Hot Lead: 61-69đ)",IF(P26&gt;=50,"Tier B (Bạc: 50-60đ)","Tier C (Đồng: 30-49đ)")))))</f>
        <v/>
      </c>
      <c r="R26" s="9" t="inlineStr">
        <is>
          <t>Trọn gói Take-Home Starter Kit V2/V3 (Cỏ nhân tạo + Khay Potty + Đồ chơi Teething/Snuggle)</t>
        </is>
      </c>
      <c r="S26" s="9" t="inlineStr">
        <is>
          <t>HOT LEAD CẤP A: Gọi Telesale trực tiếp trong ngày + Email cá nhân hóa chào Puppy Kit V2/V3</t>
        </is>
      </c>
    </row>
    <row r="27">
      <c r="A27" s="53" t="n">
        <v>2770</v>
      </c>
      <c r="B27" s="12" t="inlineStr">
        <is>
          <t>Rocky Creek Farm Toy &amp; Mini Aussies</t>
        </is>
      </c>
      <c r="C27" s="54" t="inlineStr">
        <is>
          <t>https://www.facebook.com/rockycreekfarmaussies</t>
        </is>
      </c>
      <c r="D27" s="6" t="inlineStr">
        <is>
          <t>Cần quét Bio Fanpage</t>
        </is>
      </c>
      <c r="E27" s="53" t="inlineStr">
        <is>
          <t>13/10/2026 04:35:31</t>
        </is>
      </c>
      <c r="F27" s="53" t="inlineStr">
        <is>
          <t>1 giờ trước</t>
        </is>
      </c>
      <c r="G27" s="55" t="n">
        <v>0.04</v>
      </c>
      <c r="H27" s="56" t="n">
        <v>35</v>
      </c>
      <c r="I27" s="6" t="inlineStr">
        <is>
          <t>Dog Breeder / Trại chó chuyên nghiệp (28-30đ)</t>
        </is>
      </c>
      <c r="J27" s="56" t="n">
        <v>30</v>
      </c>
      <c r="K27" s="6" t="inlineStr">
        <is>
          <t>Australian Shepherd / Herding</t>
        </is>
      </c>
      <c r="L27" s="56" t="n">
        <v>5</v>
      </c>
      <c r="M27" s="56" t="n">
        <v>5</v>
      </c>
      <c r="N27" s="6" t="inlineStr">
        <is>
          <t>Amazon link not found</t>
        </is>
      </c>
      <c r="O27" s="56">
        <f>IF(N27="Selling pet toys + Artificial grass/Pet toilets (TARGET)",15,IF(N27="Selling artificial grass/pet toilets (TARGET)",10,IF(N27="Selling pet toys",7,IF(N27="There's an Amazon link, but no target sales.",3,0))))</f>
        <v/>
      </c>
      <c r="P27" s="63">
        <f>H27+J27+L27+M27+O27</f>
        <v/>
      </c>
      <c r="Q27" s="64">
        <f>IF(OR(H27=0,P27&lt;30),"Tier D (Đóng băng)",IF(P27&gt;=85,"Tier S (Kim Cương: 85-100đ)",IF(P27&gt;=70,"Tier A (Vàng: 70-84đ)",IF(P27&gt;=61,"Tier B+ / Cấp A (Hot Lead: 61-69đ)",IF(P27&gt;=50,"Tier B (Bạc: 50-60đ)","Tier C (Đồng: 30-49đ)")))))</f>
        <v/>
      </c>
      <c r="R27" s="6" t="inlineStr">
        <is>
          <t>Trọn gói Take-Home Starter Kit V2/V3 (Cỏ nhân tạo + Khay Potty + Đồ chơi Teething/Snuggle)</t>
        </is>
      </c>
      <c r="S27" s="6" t="inlineStr">
        <is>
          <t>HOT LEAD CẤP A: Gọi Telesale trực tiếp trong ngày + Email cá nhân hóa chào Puppy Kit V2/V3</t>
        </is>
      </c>
    </row>
    <row r="28">
      <c r="A28" s="59" t="n">
        <v>576</v>
      </c>
      <c r="B28" s="15" t="inlineStr">
        <is>
          <t>Bailiwick Kennel Page</t>
        </is>
      </c>
      <c r="C28" s="60" t="inlineStr">
        <is>
          <t>https://www.facebook.com/BailiwickRetrievers</t>
        </is>
      </c>
      <c r="D28" s="9" t="inlineStr">
        <is>
          <t>Cần quét Bio Fanpage</t>
        </is>
      </c>
      <c r="E28" s="59" t="inlineStr">
        <is>
          <t>13/10/2026 00:44:19</t>
        </is>
      </c>
      <c r="F28" s="59" t="inlineStr">
        <is>
          <t>1 giờ trước</t>
        </is>
      </c>
      <c r="G28" s="61" t="n">
        <v>0.04</v>
      </c>
      <c r="H28" s="62" t="n">
        <v>35</v>
      </c>
      <c r="I28" s="9" t="inlineStr">
        <is>
          <t>Dog Breeder / Trại chó chuyên nghiệp (28-30đ)</t>
        </is>
      </c>
      <c r="J28" s="62" t="n">
        <v>30</v>
      </c>
      <c r="K28" s="9" t="inlineStr">
        <is>
          <t>Spaniel / Gun Dog / Retriever</t>
        </is>
      </c>
      <c r="L28" s="62" t="n">
        <v>5</v>
      </c>
      <c r="M28" s="62" t="n">
        <v>5</v>
      </c>
      <c r="N28" s="9" t="inlineStr">
        <is>
          <t>Amazon link not found</t>
        </is>
      </c>
      <c r="O28" s="62">
        <f>IF(N28="Selling pet toys + Artificial grass/Pet toilets (TARGET)",15,IF(N28="Selling artificial grass/pet toilets (TARGET)",10,IF(N28="Selling pet toys",7,IF(N28="There's an Amazon link, but no target sales.",3,0))))</f>
        <v/>
      </c>
      <c r="P28" s="63">
        <f>H28+J28+L28+M28+O28</f>
        <v/>
      </c>
      <c r="Q28" s="64">
        <f>IF(OR(H28=0,P28&lt;30),"Tier D (Đóng băng)",IF(P28&gt;=85,"Tier S (Kim Cương: 85-100đ)",IF(P28&gt;=70,"Tier A (Vàng: 70-84đ)",IF(P28&gt;=61,"Tier B+ / Cấp A (Hot Lead: 61-69đ)",IF(P28&gt;=50,"Tier B (Bạc: 50-60đ)","Tier C (Đồng: 30-49đ)")))))</f>
        <v/>
      </c>
      <c r="R28" s="9" t="inlineStr">
        <is>
          <t>Trọn gói Take-Home Starter Kit V2/V3 (Cỏ nhân tạo + Khay Potty + Đồ chơi Teething/Snuggle)</t>
        </is>
      </c>
      <c r="S28" s="9" t="inlineStr">
        <is>
          <t>HOT LEAD CẤP A: Gọi Telesale trực tiếp trong ngày + Email cá nhân hóa chào Puppy Kit V2/V3</t>
        </is>
      </c>
    </row>
    <row r="29">
      <c r="A29" s="53" t="n">
        <v>823</v>
      </c>
      <c r="B29" s="12" t="inlineStr">
        <is>
          <t>Cane Corso kennel Apriori Best</t>
        </is>
      </c>
      <c r="C29" s="54" t="inlineStr">
        <is>
          <t>https://www.facebook.com/CaneCorsoKennelAprioriBest</t>
        </is>
      </c>
      <c r="D29" s="6" t="inlineStr">
        <is>
          <t>Cần quét Bio Fanpage</t>
        </is>
      </c>
      <c r="E29" s="53" t="inlineStr">
        <is>
          <t>12/10/2026 22:43:33</t>
        </is>
      </c>
      <c r="F29" s="53" t="inlineStr">
        <is>
          <t>3 giờ trước</t>
        </is>
      </c>
      <c r="G29" s="55" t="n">
        <v>0.12</v>
      </c>
      <c r="H29" s="56" t="n">
        <v>35</v>
      </c>
      <c r="I29" s="6" t="inlineStr">
        <is>
          <t>Dog Breeder / Trại chó chuyên nghiệp (28-30đ)</t>
        </is>
      </c>
      <c r="J29" s="56" t="n">
        <v>30</v>
      </c>
      <c r="K29" s="6" t="inlineStr">
        <is>
          <t>Cane Corso / Mastiff</t>
        </is>
      </c>
      <c r="L29" s="56" t="n">
        <v>5</v>
      </c>
      <c r="M29" s="56" t="n">
        <v>5</v>
      </c>
      <c r="N29" s="6" t="inlineStr">
        <is>
          <t>Amazon link not found</t>
        </is>
      </c>
      <c r="O29" s="56">
        <f>IF(N29="Selling pet toys + Artificial grass/Pet toilets (TARGET)",15,IF(N29="Selling artificial grass/pet toilets (TARGET)",10,IF(N29="Selling pet toys",7,IF(N29="There's an Amazon link, but no target sales.",3,0))))</f>
        <v/>
      </c>
      <c r="P29" s="63">
        <f>H29+J29+L29+M29+O29</f>
        <v/>
      </c>
      <c r="Q29" s="64">
        <f>IF(OR(H29=0,P29&lt;30),"Tier D (Đóng băng)",IF(P29&gt;=85,"Tier S (Kim Cương: 85-100đ)",IF(P29&gt;=70,"Tier A (Vàng: 70-84đ)",IF(P29&gt;=61,"Tier B+ / Cấp A (Hot Lead: 61-69đ)",IF(P29&gt;=50,"Tier B (Bạc: 50-60đ)","Tier C (Đồng: 30-49đ)")))))</f>
        <v/>
      </c>
      <c r="R29" s="6" t="inlineStr">
        <is>
          <t>Trọn gói Take-Home Starter Kit V2/V3 (Cỏ nhân tạo + Khay Potty + Đồ chơi Teething/Snuggle)</t>
        </is>
      </c>
      <c r="S29" s="6" t="inlineStr">
        <is>
          <t>HOT LEAD CẤP A: Gọi Telesale trực tiếp trong ngày + Email cá nhân hóa chào Puppy Kit V2/V3</t>
        </is>
      </c>
    </row>
    <row r="30">
      <c r="A30" s="59" t="n">
        <v>771</v>
      </c>
      <c r="B30" s="15" t="inlineStr">
        <is>
          <t>Bruno’s Bulldog Ranch</t>
        </is>
      </c>
      <c r="C30" s="60" t="inlineStr">
        <is>
          <t>https://www.facebook.com/brunosbulldogranch</t>
        </is>
      </c>
      <c r="D30" s="9" t="inlineStr">
        <is>
          <t>Cần quét Bio Fanpage</t>
        </is>
      </c>
      <c r="E30" s="59" t="inlineStr">
        <is>
          <t>12/10/2026 06:09:55</t>
        </is>
      </c>
      <c r="F30" s="59" t="inlineStr">
        <is>
          <t>20 giờ trước</t>
        </is>
      </c>
      <c r="G30" s="61" t="n">
        <v>0.83</v>
      </c>
      <c r="H30" s="62" t="n">
        <v>32</v>
      </c>
      <c r="I30" s="9" t="inlineStr">
        <is>
          <t>Dog Breeder / Trại nhân giống (28-30đ)</t>
        </is>
      </c>
      <c r="J30" s="62" t="n">
        <v>28</v>
      </c>
      <c r="K30" s="9" t="inlineStr">
        <is>
          <t>English Bulldog</t>
        </is>
      </c>
      <c r="L30" s="62" t="n">
        <v>10</v>
      </c>
      <c r="M30" s="62" t="n">
        <v>5</v>
      </c>
      <c r="N30" s="9" t="inlineStr">
        <is>
          <t>Amazon link not found</t>
        </is>
      </c>
      <c r="O30" s="62">
        <f>IF(N30="Selling pet toys + Artificial grass/Pet toilets (TARGET)",15,IF(N30="Selling artificial grass/pet toilets (TARGET)",10,IF(N30="Selling pet toys",7,IF(N30="There's an Amazon link, but no target sales.",3,0))))</f>
        <v/>
      </c>
      <c r="P30" s="63">
        <f>H30+J30+L30+M30+O30</f>
        <v/>
      </c>
      <c r="Q30" s="64">
        <f>IF(OR(H30=0,P30&lt;30),"Tier D (Đóng băng)",IF(P30&gt;=85,"Tier S (Kim Cương: 85-100đ)",IF(P30&gt;=70,"Tier A (Vàng: 70-84đ)",IF(P30&gt;=61,"Tier B+ / Cấp A (Hot Lead: 61-69đ)",IF(P30&gt;=50,"Tier B (Bạc: 50-60đ)","Tier C (Đồng: 30-49đ)")))))</f>
        <v/>
      </c>
      <c r="R30" s="9" t="inlineStr">
        <is>
          <t>Trọn gói Take-Home Starter Kit V2/V3 (Cỏ nhân tạo + Khay Potty + Đồ chơi cún con)</t>
        </is>
      </c>
      <c r="S30" s="9" t="inlineStr">
        <is>
          <t>HOT LEAD CẤP A: Gọi Telesale trực tiếp trong ngày + Email cá nhân hóa chào Puppy Kit V2/V3</t>
        </is>
      </c>
    </row>
    <row r="31">
      <c r="A31" s="53" t="n">
        <v>545</v>
      </c>
      <c r="B31" s="12" t="inlineStr">
        <is>
          <t>atfrenchiesofficial</t>
        </is>
      </c>
      <c r="C31" s="54" t="inlineStr">
        <is>
          <t>https://www.facebook.com/atfrenchiesofficial</t>
        </is>
      </c>
      <c r="D31" s="6" t="inlineStr">
        <is>
          <t>Cần quét Bio Fanpage</t>
        </is>
      </c>
      <c r="E31" s="53" t="inlineStr">
        <is>
          <t>12/10/2026 03:48:39</t>
        </is>
      </c>
      <c r="F31" s="53" t="inlineStr">
        <is>
          <t>22 giờ trước</t>
        </is>
      </c>
      <c r="G31" s="55" t="n">
        <v>0.92</v>
      </c>
      <c r="H31" s="56" t="n">
        <v>32</v>
      </c>
      <c r="I31" s="6" t="inlineStr">
        <is>
          <t>Dog Breeder / Trại nhân giống (28-30đ)</t>
        </is>
      </c>
      <c r="J31" s="56" t="n">
        <v>28</v>
      </c>
      <c r="K31" s="6" t="inlineStr">
        <is>
          <t>French Bulldog</t>
        </is>
      </c>
      <c r="L31" s="56" t="n">
        <v>10</v>
      </c>
      <c r="M31" s="56" t="n">
        <v>5</v>
      </c>
      <c r="N31" s="6" t="inlineStr">
        <is>
          <t>Amazon link not found</t>
        </is>
      </c>
      <c r="O31" s="56">
        <f>IF(N31="Selling pet toys + Artificial grass/Pet toilets (TARGET)",15,IF(N31="Selling artificial grass/pet toilets (TARGET)",10,IF(N31="Selling pet toys",7,IF(N31="There's an Amazon link, but no target sales.",3,0))))</f>
        <v/>
      </c>
      <c r="P31" s="63">
        <f>H31+J31+L31+M31+O31</f>
        <v/>
      </c>
      <c r="Q31" s="64">
        <f>IF(OR(H31=0,P31&lt;30),"Tier D (Đóng băng)",IF(P31&gt;=85,"Tier S (Kim Cương: 85-100đ)",IF(P31&gt;=70,"Tier A (Vàng: 70-84đ)",IF(P31&gt;=61,"Tier B+ / Cấp A (Hot Lead: 61-69đ)",IF(P31&gt;=50,"Tier B (Bạc: 50-60đ)","Tier C (Đồng: 30-49đ)")))))</f>
        <v/>
      </c>
      <c r="R31" s="6" t="inlineStr">
        <is>
          <t>Trọn gói Take-Home Starter Kit V2/V3 (Cỏ nhân tạo + Khay Potty + Đồ chơi cún con)</t>
        </is>
      </c>
      <c r="S31" s="6" t="inlineStr">
        <is>
          <t>HOT LEAD CẤP A: Gọi Telesale trực tiếp trong ngày + Email cá nhân hóa chào Puppy Kit V2/V3</t>
        </is>
      </c>
    </row>
    <row r="32">
      <c r="A32" s="59" t="n">
        <v>5265</v>
      </c>
      <c r="B32" s="15" t="inlineStr">
        <is>
          <t>Rumsey Elite XL Bullies</t>
        </is>
      </c>
      <c r="C32" s="60" t="inlineStr">
        <is>
          <t>https://www.facebook.com/profile.php?id=61570701478685</t>
        </is>
      </c>
      <c r="D32" s="9" t="inlineStr">
        <is>
          <t>Cần quét Bio Fanpage</t>
        </is>
      </c>
      <c r="E32" s="59" t="inlineStr">
        <is>
          <t>13/10/2026 08:13:57</t>
        </is>
      </c>
      <c r="F32" s="59" t="inlineStr">
        <is>
          <t>2 giờ trước</t>
        </is>
      </c>
      <c r="G32" s="61" t="n">
        <v>0.08</v>
      </c>
      <c r="H32" s="62" t="n">
        <v>35</v>
      </c>
      <c r="I32" s="9" t="inlineStr">
        <is>
          <t>Dog Breeder / Trại chó chuyên nghiệp (28-30đ)</t>
        </is>
      </c>
      <c r="J32" s="62" t="n">
        <v>28</v>
      </c>
      <c r="K32" s="9" t="inlineStr">
        <is>
          <t>American Bully / Bully</t>
        </is>
      </c>
      <c r="L32" s="62" t="n">
        <v>10</v>
      </c>
      <c r="M32" s="62" t="n">
        <v>0</v>
      </c>
      <c r="N32" s="9" t="inlineStr">
        <is>
          <t>Amazon link not found</t>
        </is>
      </c>
      <c r="O32" s="62">
        <f>IF(N32="Selling pet toys + Artificial grass/Pet toilets (TARGET)",15,IF(N32="Selling artificial grass/pet toilets (TARGET)",10,IF(N32="Selling pet toys",7,IF(N32="There's an Amazon link, but no target sales.",3,0))))</f>
        <v/>
      </c>
      <c r="P32" s="63">
        <f>H32+J32+L32+M32+O32</f>
        <v/>
      </c>
      <c r="Q32" s="64">
        <f>IF(OR(H32=0,P32&lt;30),"Tier D (Đóng băng)",IF(P32&gt;=85,"Tier S (Kim Cương: 85-100đ)",IF(P32&gt;=70,"Tier A (Vàng: 70-84đ)",IF(P32&gt;=61,"Tier B+ / Cấp A (Hot Lead: 61-69đ)",IF(P32&gt;=50,"Tier B (Bạc: 50-60đ)","Tier C (Đồng: 30-49đ)")))))</f>
        <v/>
      </c>
      <c r="R32" s="9" t="inlineStr">
        <is>
          <t>Trọn gói Take-Home Starter Kit V2/V3 (Cỏ nhân tạo + Khay Potty + Đồ chơi Teething/Snuggle)</t>
        </is>
      </c>
      <c r="S32" s="9" t="inlineStr">
        <is>
          <t>HOT LEAD CẤP A: Gọi Telesale trực tiếp trong ngày + Email cá nhân hóa chào Puppy Kit V2/V3</t>
        </is>
      </c>
    </row>
    <row r="33">
      <c r="A33" s="53" t="n">
        <v>4507</v>
      </c>
      <c r="B33" s="12" t="inlineStr">
        <is>
          <t>Little wrinkles bulldogs</t>
        </is>
      </c>
      <c r="C33" s="54" t="inlineStr">
        <is>
          <t>https://www.facebook.com/profile.php?id=100064316126658</t>
        </is>
      </c>
      <c r="D33" s="6" t="inlineStr">
        <is>
          <t>Cần quét Bio Fanpage</t>
        </is>
      </c>
      <c r="E33" s="53" t="inlineStr">
        <is>
          <t>13/10/2026 08:05:57</t>
        </is>
      </c>
      <c r="F33" s="53" t="inlineStr">
        <is>
          <t>57 phút trước</t>
        </is>
      </c>
      <c r="G33" s="55" t="n">
        <v>0.04</v>
      </c>
      <c r="H33" s="56" t="n">
        <v>35</v>
      </c>
      <c r="I33" s="6" t="inlineStr">
        <is>
          <t>Dog Breeder / Trại chó chuyên nghiệp (28-30đ)</t>
        </is>
      </c>
      <c r="J33" s="56" t="n">
        <v>28</v>
      </c>
      <c r="K33" s="6" t="inlineStr">
        <is>
          <t>English Bulldog</t>
        </is>
      </c>
      <c r="L33" s="56" t="n">
        <v>10</v>
      </c>
      <c r="M33" s="56" t="n">
        <v>0</v>
      </c>
      <c r="N33" s="6" t="inlineStr">
        <is>
          <t>Amazon link not found</t>
        </is>
      </c>
      <c r="O33" s="56">
        <f>IF(N33="Selling pet toys + Artificial grass/Pet toilets (TARGET)",15,IF(N33="Selling artificial grass/pet toilets (TARGET)",10,IF(N33="Selling pet toys",7,IF(N33="There's an Amazon link, but no target sales.",3,0))))</f>
        <v/>
      </c>
      <c r="P33" s="63">
        <f>H33+J33+L33+M33+O33</f>
        <v/>
      </c>
      <c r="Q33" s="64">
        <f>IF(OR(H33=0,P33&lt;30),"Tier D (Đóng băng)",IF(P33&gt;=85,"Tier S (Kim Cương: 85-100đ)",IF(P33&gt;=70,"Tier A (Vàng: 70-84đ)",IF(P33&gt;=61,"Tier B+ / Cấp A (Hot Lead: 61-69đ)",IF(P33&gt;=50,"Tier B (Bạc: 50-60đ)","Tier C (Đồng: 30-49đ)")))))</f>
        <v/>
      </c>
      <c r="R33" s="6" t="inlineStr">
        <is>
          <t>Trọn gói Take-Home Starter Kit V2/V3 (Cỏ nhân tạo + Khay Potty + Đồ chơi Teething/Snuggle)</t>
        </is>
      </c>
      <c r="S33" s="6" t="inlineStr">
        <is>
          <t>HOT LEAD CẤP A: Gọi Telesale trực tiếp trong ngày + Email cá nhân hóa chào Puppy Kit V2/V3</t>
        </is>
      </c>
    </row>
    <row r="34">
      <c r="A34" s="59" t="n">
        <v>5095</v>
      </c>
      <c r="B34" s="15" t="inlineStr">
        <is>
          <t>Prestige Empire XL Bullies</t>
        </is>
      </c>
      <c r="C34" s="60" t="inlineStr">
        <is>
          <t>https://www.facebook.com/profile.php?id=61583795781324</t>
        </is>
      </c>
      <c r="D34" s="9" t="inlineStr">
        <is>
          <t>Cần quét Bio Fanpage</t>
        </is>
      </c>
      <c r="E34" s="59" t="inlineStr">
        <is>
          <t>13/10/2026 08:03:14</t>
        </is>
      </c>
      <c r="F34" s="59" t="inlineStr">
        <is>
          <t>2 giờ trước</t>
        </is>
      </c>
      <c r="G34" s="61" t="n">
        <v>0.08</v>
      </c>
      <c r="H34" s="62" t="n">
        <v>35</v>
      </c>
      <c r="I34" s="9" t="inlineStr">
        <is>
          <t>Dog Breeder / Trại chó chuyên nghiệp (28-30đ)</t>
        </is>
      </c>
      <c r="J34" s="62" t="n">
        <v>28</v>
      </c>
      <c r="K34" s="9" t="inlineStr">
        <is>
          <t>American Bully / Bully</t>
        </is>
      </c>
      <c r="L34" s="62" t="n">
        <v>10</v>
      </c>
      <c r="M34" s="62" t="n">
        <v>0</v>
      </c>
      <c r="N34" s="9" t="inlineStr">
        <is>
          <t>Amazon link not found</t>
        </is>
      </c>
      <c r="O34" s="62">
        <f>IF(N34="Selling pet toys + Artificial grass/Pet toilets (TARGET)",15,IF(N34="Selling artificial grass/pet toilets (TARGET)",10,IF(N34="Selling pet toys",7,IF(N34="There's an Amazon link, but no target sales.",3,0))))</f>
        <v/>
      </c>
      <c r="P34" s="63">
        <f>H34+J34+L34+M34+O34</f>
        <v/>
      </c>
      <c r="Q34" s="64">
        <f>IF(OR(H34=0,P34&lt;30),"Tier D (Đóng băng)",IF(P34&gt;=85,"Tier S (Kim Cương: 85-100đ)",IF(P34&gt;=70,"Tier A (Vàng: 70-84đ)",IF(P34&gt;=61,"Tier B+ / Cấp A (Hot Lead: 61-69đ)",IF(P34&gt;=50,"Tier B (Bạc: 50-60đ)","Tier C (Đồng: 30-49đ)")))))</f>
        <v/>
      </c>
      <c r="R34" s="9" t="inlineStr">
        <is>
          <t>Trọn gói Take-Home Starter Kit V2/V3 (Cỏ nhân tạo + Khay Potty + Đồ chơi Teething/Snuggle)</t>
        </is>
      </c>
      <c r="S34" s="9" t="inlineStr">
        <is>
          <t>HOT LEAD CẤP A: Gọi Telesale trực tiếp trong ngày + Email cá nhân hóa chào Puppy Kit V2/V3</t>
        </is>
      </c>
    </row>
    <row r="35">
      <c r="A35" s="53" t="n">
        <v>3922</v>
      </c>
      <c r="B35" s="12" t="inlineStr">
        <is>
          <t>FrenchieGiorgia</t>
        </is>
      </c>
      <c r="C35" s="54" t="inlineStr">
        <is>
          <t>https://www.facebook.com/profile.php?id=100041857255193</t>
        </is>
      </c>
      <c r="D35" s="6" t="inlineStr">
        <is>
          <t>Cần quét Bio Fanpage</t>
        </is>
      </c>
      <c r="E35" s="53" t="inlineStr">
        <is>
          <t>13/10/2026 07:25:30</t>
        </is>
      </c>
      <c r="F35" s="53" t="inlineStr">
        <is>
          <t>34 phút trước</t>
        </is>
      </c>
      <c r="G35" s="55" t="n">
        <v>0.02</v>
      </c>
      <c r="H35" s="56" t="n">
        <v>35</v>
      </c>
      <c r="I35" s="6" t="inlineStr">
        <is>
          <t>Dog Breeder / Trại nhân giống (28-30đ)</t>
        </is>
      </c>
      <c r="J35" s="56" t="n">
        <v>28</v>
      </c>
      <c r="K35" s="6" t="inlineStr">
        <is>
          <t>French Bulldog</t>
        </is>
      </c>
      <c r="L35" s="56" t="n">
        <v>10</v>
      </c>
      <c r="M35" s="56" t="n">
        <v>0</v>
      </c>
      <c r="N35" s="6" t="inlineStr">
        <is>
          <t>Amazon link not found</t>
        </is>
      </c>
      <c r="O35" s="56">
        <f>IF(N35="Selling pet toys + Artificial grass/Pet toilets (TARGET)",15,IF(N35="Selling artificial grass/pet toilets (TARGET)",10,IF(N35="Selling pet toys",7,IF(N35="There's an Amazon link, but no target sales.",3,0))))</f>
        <v/>
      </c>
      <c r="P35" s="63">
        <f>H35+J35+L35+M35+O35</f>
        <v/>
      </c>
      <c r="Q35" s="64">
        <f>IF(OR(H35=0,P35&lt;30),"Tier D (Đóng băng)",IF(P35&gt;=85,"Tier S (Kim Cương: 85-100đ)",IF(P35&gt;=70,"Tier A (Vàng: 70-84đ)",IF(P35&gt;=61,"Tier B+ / Cấp A (Hot Lead: 61-69đ)",IF(P35&gt;=50,"Tier B (Bạc: 50-60đ)","Tier C (Đồng: 30-49đ)")))))</f>
        <v/>
      </c>
      <c r="R35" s="6" t="inlineStr">
        <is>
          <t>Trọn gói Take-Home Starter Kit V2/V3 (Cỏ nhân tạo + Khay Potty + Đồ chơi cún con)</t>
        </is>
      </c>
      <c r="S35" s="6" t="inlineStr">
        <is>
          <t>HOT LEAD CẤP A: Gọi Telesale trực tiếp trong ngày + Email cá nhân hóa chào Puppy Kit V2/V3</t>
        </is>
      </c>
    </row>
    <row r="36">
      <c r="A36" s="59" t="n">
        <v>4564</v>
      </c>
      <c r="B36" s="15" t="inlineStr">
        <is>
          <t>Mad Love Bullies</t>
        </is>
      </c>
      <c r="C36" s="60" t="inlineStr">
        <is>
          <t>https://www.facebook.com/profile.php?id=61559272850812</t>
        </is>
      </c>
      <c r="D36" s="9" t="inlineStr">
        <is>
          <t>Cần quét Bio Fanpage</t>
        </is>
      </c>
      <c r="E36" s="59" t="inlineStr">
        <is>
          <t>13/10/2026 06:57:26</t>
        </is>
      </c>
      <c r="F36" s="59" t="inlineStr">
        <is>
          <t>2 giờ trước</t>
        </is>
      </c>
      <c r="G36" s="61" t="n">
        <v>0.08</v>
      </c>
      <c r="H36" s="62" t="n">
        <v>35</v>
      </c>
      <c r="I36" s="9" t="inlineStr">
        <is>
          <t>Dog Breeder / Trại chó chuyên nghiệp (28-30đ)</t>
        </is>
      </c>
      <c r="J36" s="62" t="n">
        <v>28</v>
      </c>
      <c r="K36" s="9" t="inlineStr">
        <is>
          <t>American Bully / Bully</t>
        </is>
      </c>
      <c r="L36" s="62" t="n">
        <v>10</v>
      </c>
      <c r="M36" s="62" t="n">
        <v>0</v>
      </c>
      <c r="N36" s="9" t="inlineStr">
        <is>
          <t>Amazon link not found</t>
        </is>
      </c>
      <c r="O36" s="62">
        <f>IF(N36="Selling pet toys + Artificial grass/Pet toilets (TARGET)",15,IF(N36="Selling artificial grass/pet toilets (TARGET)",10,IF(N36="Selling pet toys",7,IF(N36="There's an Amazon link, but no target sales.",3,0))))</f>
        <v/>
      </c>
      <c r="P36" s="63">
        <f>H36+J36+L36+M36+O36</f>
        <v/>
      </c>
      <c r="Q36" s="64">
        <f>IF(OR(H36=0,P36&lt;30),"Tier D (Đóng băng)",IF(P36&gt;=85,"Tier S (Kim Cương: 85-100đ)",IF(P36&gt;=70,"Tier A (Vàng: 70-84đ)",IF(P36&gt;=61,"Tier B+ / Cấp A (Hot Lead: 61-69đ)",IF(P36&gt;=50,"Tier B (Bạc: 50-60đ)","Tier C (Đồng: 30-49đ)")))))</f>
        <v/>
      </c>
      <c r="R36" s="9" t="inlineStr">
        <is>
          <t>Trọn gói Take-Home Starter Kit V2/V3 (Cỏ nhân tạo + Khay Potty + Đồ chơi Teething/Snuggle)</t>
        </is>
      </c>
      <c r="S36" s="9" t="inlineStr">
        <is>
          <t>HOT LEAD CẤP A: Gọi Telesale trực tiếp trong ngày + Email cá nhân hóa chào Puppy Kit V2/V3</t>
        </is>
      </c>
    </row>
    <row r="37">
      <c r="A37" s="53" t="n">
        <v>4020</v>
      </c>
      <c r="B37" s="12" t="inlineStr">
        <is>
          <t>Great Northwoods Frenchie’s</t>
        </is>
      </c>
      <c r="C37" s="54" t="inlineStr">
        <is>
          <t>https://www.facebook.com/GNF603</t>
        </is>
      </c>
      <c r="D37" s="6" t="inlineStr">
        <is>
          <t>Cần quét Bio Fanpage</t>
        </is>
      </c>
      <c r="E37" s="53" t="inlineStr">
        <is>
          <t>13/10/2026 06:21:53</t>
        </is>
      </c>
      <c r="F37" s="53" t="inlineStr">
        <is>
          <t>1 giờ trước</t>
        </is>
      </c>
      <c r="G37" s="55" t="n">
        <v>0.04</v>
      </c>
      <c r="H37" s="56" t="n">
        <v>35</v>
      </c>
      <c r="I37" s="6" t="inlineStr">
        <is>
          <t>Dog Breeder / Trại nhân giống (28-30đ)</t>
        </is>
      </c>
      <c r="J37" s="56" t="n">
        <v>28</v>
      </c>
      <c r="K37" s="6" t="inlineStr">
        <is>
          <t>French Bulldog</t>
        </is>
      </c>
      <c r="L37" s="56" t="n">
        <v>10</v>
      </c>
      <c r="M37" s="56" t="n">
        <v>0</v>
      </c>
      <c r="N37" s="6" t="inlineStr">
        <is>
          <t>Amazon link not found</t>
        </is>
      </c>
      <c r="O37" s="56">
        <f>IF(N37="Selling pet toys + Artificial grass/Pet toilets (TARGET)",15,IF(N37="Selling artificial grass/pet toilets (TARGET)",10,IF(N37="Selling pet toys",7,IF(N37="There's an Amazon link, but no target sales.",3,0))))</f>
        <v/>
      </c>
      <c r="P37" s="63">
        <f>H37+J37+L37+M37+O37</f>
        <v/>
      </c>
      <c r="Q37" s="64">
        <f>IF(OR(H37=0,P37&lt;30),"Tier D (Đóng băng)",IF(P37&gt;=85,"Tier S (Kim Cương: 85-100đ)",IF(P37&gt;=70,"Tier A (Vàng: 70-84đ)",IF(P37&gt;=61,"Tier B+ / Cấp A (Hot Lead: 61-69đ)",IF(P37&gt;=50,"Tier B (Bạc: 50-60đ)","Tier C (Đồng: 30-49đ)")))))</f>
        <v/>
      </c>
      <c r="R37" s="6" t="inlineStr">
        <is>
          <t>Trọn gói Take-Home Starter Kit V2/V3 (Cỏ nhân tạo + Khay Potty + Đồ chơi cún con)</t>
        </is>
      </c>
      <c r="S37" s="6" t="inlineStr">
        <is>
          <t>HOT LEAD CẤP A: Gọi Telesale trực tiếp trong ngày + Email cá nhân hóa chào Puppy Kit V2/V3</t>
        </is>
      </c>
    </row>
    <row r="38">
      <c r="A38" s="59" t="n">
        <v>4422</v>
      </c>
      <c r="B38" s="15" t="inlineStr">
        <is>
          <t>Kyro French Bulldogs</t>
        </is>
      </c>
      <c r="C38" s="60" t="inlineStr">
        <is>
          <t>https://www.facebook.com/KyroFrenchBulldogs</t>
        </is>
      </c>
      <c r="D38" s="9" t="inlineStr">
        <is>
          <t>Cần quét Bio Fanpage</t>
        </is>
      </c>
      <c r="E38" s="59" t="inlineStr">
        <is>
          <t>13/10/2026 06:13:54</t>
        </is>
      </c>
      <c r="F38" s="59" t="inlineStr">
        <is>
          <t>2 giờ trước</t>
        </is>
      </c>
      <c r="G38" s="61" t="n">
        <v>0.08</v>
      </c>
      <c r="H38" s="62" t="n">
        <v>35</v>
      </c>
      <c r="I38" s="9" t="inlineStr">
        <is>
          <t>Dog Breeder / Trại chó chuyên nghiệp (28-30đ)</t>
        </is>
      </c>
      <c r="J38" s="62" t="n">
        <v>28</v>
      </c>
      <c r="K38" s="9" t="inlineStr">
        <is>
          <t>French Bulldog</t>
        </is>
      </c>
      <c r="L38" s="62" t="n">
        <v>10</v>
      </c>
      <c r="M38" s="62" t="n">
        <v>0</v>
      </c>
      <c r="N38" s="9" t="inlineStr">
        <is>
          <t>Amazon link not found</t>
        </is>
      </c>
      <c r="O38" s="62">
        <f>IF(N38="Selling pet toys + Artificial grass/Pet toilets (TARGET)",15,IF(N38="Selling artificial grass/pet toilets (TARGET)",10,IF(N38="Selling pet toys",7,IF(N38="There's an Amazon link, but no target sales.",3,0))))</f>
        <v/>
      </c>
      <c r="P38" s="63">
        <f>H38+J38+L38+M38+O38</f>
        <v/>
      </c>
      <c r="Q38" s="64">
        <f>IF(OR(H38=0,P38&lt;30),"Tier D (Đóng băng)",IF(P38&gt;=85,"Tier S (Kim Cương: 85-100đ)",IF(P38&gt;=70,"Tier A (Vàng: 70-84đ)",IF(P38&gt;=61,"Tier B+ / Cấp A (Hot Lead: 61-69đ)",IF(P38&gt;=50,"Tier B (Bạc: 50-60đ)","Tier C (Đồng: 30-49đ)")))))</f>
        <v/>
      </c>
      <c r="R38" s="9" t="inlineStr">
        <is>
          <t>Trọn gói Take-Home Starter Kit V2/V3 (Cỏ nhân tạo + Khay Potty + Đồ chơi Teething/Snuggle)</t>
        </is>
      </c>
      <c r="S38" s="9" t="inlineStr">
        <is>
          <t>HOT LEAD CẤP A: Gọi Telesale trực tiếp trong ngày + Email cá nhân hóa chào Puppy Kit V2/V3</t>
        </is>
      </c>
    </row>
    <row r="39">
      <c r="A39" s="53" t="n">
        <v>4599</v>
      </c>
      <c r="B39" s="12" t="inlineStr">
        <is>
          <t>MarqAttack Bullies</t>
        </is>
      </c>
      <c r="C39" s="54" t="inlineStr">
        <is>
          <t>https://www.facebook.com/profile.php?id=100094416961961</t>
        </is>
      </c>
      <c r="D39" s="6" t="inlineStr">
        <is>
          <t>Cần quét Bio Fanpage</t>
        </is>
      </c>
      <c r="E39" s="53" t="inlineStr">
        <is>
          <t>13/10/2026 05:42:25</t>
        </is>
      </c>
      <c r="F39" s="53" t="inlineStr">
        <is>
          <t>3 giờ trước</t>
        </is>
      </c>
      <c r="G39" s="55" t="n">
        <v>0.12</v>
      </c>
      <c r="H39" s="56" t="n">
        <v>35</v>
      </c>
      <c r="I39" s="6" t="inlineStr">
        <is>
          <t>Dog Breeder / Trại chó chuyên nghiệp (28-30đ)</t>
        </is>
      </c>
      <c r="J39" s="56" t="n">
        <v>28</v>
      </c>
      <c r="K39" s="6" t="inlineStr">
        <is>
          <t>American Bully / Bully</t>
        </is>
      </c>
      <c r="L39" s="56" t="n">
        <v>10</v>
      </c>
      <c r="M39" s="56" t="n">
        <v>0</v>
      </c>
      <c r="N39" s="6" t="inlineStr">
        <is>
          <t>Amazon link not found</t>
        </is>
      </c>
      <c r="O39" s="56">
        <f>IF(N39="Selling pet toys + Artificial grass/Pet toilets (TARGET)",15,IF(N39="Selling artificial grass/pet toilets (TARGET)",10,IF(N39="Selling pet toys",7,IF(N39="There's an Amazon link, but no target sales.",3,0))))</f>
        <v/>
      </c>
      <c r="P39" s="63">
        <f>H39+J39+L39+M39+O39</f>
        <v/>
      </c>
      <c r="Q39" s="64">
        <f>IF(OR(H39=0,P39&lt;30),"Tier D (Đóng băng)",IF(P39&gt;=85,"Tier S (Kim Cương: 85-100đ)",IF(P39&gt;=70,"Tier A (Vàng: 70-84đ)",IF(P39&gt;=61,"Tier B+ / Cấp A (Hot Lead: 61-69đ)",IF(P39&gt;=50,"Tier B (Bạc: 50-60đ)","Tier C (Đồng: 30-49đ)")))))</f>
        <v/>
      </c>
      <c r="R39" s="6" t="inlineStr">
        <is>
          <t>Trọn gói Take-Home Starter Kit V2/V3 (Cỏ nhân tạo + Khay Potty + Đồ chơi Teething/Snuggle)</t>
        </is>
      </c>
      <c r="S39" s="6" t="inlineStr">
        <is>
          <t>HOT LEAD CẤP A: Gọi Telesale trực tiếp trong ngày + Email cá nhân hóa chào Puppy Kit V2/V3</t>
        </is>
      </c>
    </row>
    <row r="40">
      <c r="A40" s="59" t="n">
        <v>3114</v>
      </c>
      <c r="B40" s="15" t="inlineStr">
        <is>
          <t>The Emerald Pet Groom Shop LLC</t>
        </is>
      </c>
      <c r="C40" s="60" t="inlineStr">
        <is>
          <t>https://www.facebook.com/theemeraldpet</t>
        </is>
      </c>
      <c r="D40" s="9" t="inlineStr">
        <is>
          <t>Cần quét Bio Fanpage</t>
        </is>
      </c>
      <c r="E40" s="59" t="inlineStr">
        <is>
          <t>13/10/2026 05:37:39</t>
        </is>
      </c>
      <c r="F40" s="59" t="inlineStr">
        <is>
          <t>53 phút trước</t>
        </is>
      </c>
      <c r="G40" s="61" t="n">
        <v>0.04</v>
      </c>
      <c r="H40" s="62" t="n">
        <v>35</v>
      </c>
      <c r="I40" s="9" t="inlineStr">
        <is>
          <t>Dog Breeder / Trại nhân giống (28-30đ)</t>
        </is>
      </c>
      <c r="J40" s="62" t="n">
        <v>28</v>
      </c>
      <c r="K40" s="9" t="inlineStr">
        <is>
          <t>Chưa rõ giống (Cần quét Bio)</t>
        </is>
      </c>
      <c r="L40" s="62" t="n">
        <v>0</v>
      </c>
      <c r="M40" s="62" t="n">
        <v>10</v>
      </c>
      <c r="N40" s="9" t="inlineStr">
        <is>
          <t>Amazon link not found</t>
        </is>
      </c>
      <c r="O40" s="62">
        <f>IF(N40="Selling pet toys + Artificial grass/Pet toilets (TARGET)",15,IF(N40="Selling artificial grass/pet toilets (TARGET)",10,IF(N40="Selling pet toys",7,IF(N40="There's an Amazon link, but no target sales.",3,0))))</f>
        <v/>
      </c>
      <c r="P40" s="63">
        <f>H40+J40+L40+M40+O40</f>
        <v/>
      </c>
      <c r="Q40" s="64">
        <f>IF(OR(H40=0,P40&lt;30),"Tier D (Đóng băng)",IF(P40&gt;=85,"Tier S (Kim Cương: 85-100đ)",IF(P40&gt;=70,"Tier A (Vàng: 70-84đ)",IF(P40&gt;=61,"Tier B+ / Cấp A (Hot Lead: 61-69đ)",IF(P40&gt;=50,"Tier B (Bạc: 50-60đ)","Tier C (Đồng: 30-49đ)")))))</f>
        <v/>
      </c>
      <c r="R40" s="9" t="inlineStr">
        <is>
          <t>Trọn gói Take-Home Starter Kit V2/V3 (Cỏ nhân tạo + Khay Potty + Đồ chơi cún con)</t>
        </is>
      </c>
      <c r="S40" s="9" t="inlineStr">
        <is>
          <t>HOT LEAD CẤP A: Gọi Telesale trực tiếp trong ngày + Email cá nhân hóa chào Puppy Kit V2/V3</t>
        </is>
      </c>
    </row>
    <row r="41">
      <c r="A41" s="53" t="n">
        <v>2709</v>
      </c>
      <c r="B41" s="12" t="inlineStr">
        <is>
          <t>Red Dirt Dawgz Olde English Bulldogges</t>
        </is>
      </c>
      <c r="C41" s="54" t="inlineStr">
        <is>
          <t>https://www.facebook.com/reddirtdawgz</t>
        </is>
      </c>
      <c r="D41" s="6" t="inlineStr">
        <is>
          <t>Cần quét Bio Fanpage</t>
        </is>
      </c>
      <c r="E41" s="53" t="inlineStr">
        <is>
          <t>13/10/2026 04:55:08</t>
        </is>
      </c>
      <c r="F41" s="53" t="inlineStr">
        <is>
          <t>52 phút trước</t>
        </is>
      </c>
      <c r="G41" s="55" t="n">
        <v>0.04</v>
      </c>
      <c r="H41" s="56" t="n">
        <v>35</v>
      </c>
      <c r="I41" s="6" t="inlineStr">
        <is>
          <t>Dog Breeder / Trại chó chuyên nghiệp (28-30đ)</t>
        </is>
      </c>
      <c r="J41" s="56" t="n">
        <v>28</v>
      </c>
      <c r="K41" s="6" t="inlineStr">
        <is>
          <t>English Bulldog</t>
        </is>
      </c>
      <c r="L41" s="56" t="n">
        <v>10</v>
      </c>
      <c r="M41" s="56" t="n">
        <v>0</v>
      </c>
      <c r="N41" s="6" t="inlineStr">
        <is>
          <t>Amazon link not found</t>
        </is>
      </c>
      <c r="O41" s="56">
        <f>IF(N41="Selling pet toys + Artificial grass/Pet toilets (TARGET)",15,IF(N41="Selling artificial grass/pet toilets (TARGET)",10,IF(N41="Selling pet toys",7,IF(N41="There's an Amazon link, but no target sales.",3,0))))</f>
        <v/>
      </c>
      <c r="P41" s="63">
        <f>H41+J41+L41+M41+O41</f>
        <v/>
      </c>
      <c r="Q41" s="64">
        <f>IF(OR(H41=0,P41&lt;30),"Tier D (Đóng băng)",IF(P41&gt;=85,"Tier S (Kim Cương: 85-100đ)",IF(P41&gt;=70,"Tier A (Vàng: 70-84đ)",IF(P41&gt;=61,"Tier B+ / Cấp A (Hot Lead: 61-69đ)",IF(P41&gt;=50,"Tier B (Bạc: 50-60đ)","Tier C (Đồng: 30-49đ)")))))</f>
        <v/>
      </c>
      <c r="R41" s="6" t="inlineStr">
        <is>
          <t>Trọn gói Take-Home Starter Kit V2/V3 (Cỏ nhân tạo + Khay Potty + Đồ chơi Teething/Snuggle)</t>
        </is>
      </c>
      <c r="S41" s="6" t="inlineStr">
        <is>
          <t>HOT LEAD CẤP A: Gọi Telesale trực tiếp trong ngày + Email cá nhân hóa chào Puppy Kit V2/V3</t>
        </is>
      </c>
    </row>
    <row r="42">
      <c r="A42" s="59" t="n">
        <v>3197</v>
      </c>
      <c r="B42" s="15" t="inlineStr">
        <is>
          <t>Toarus Bulldog's</t>
        </is>
      </c>
      <c r="C42" s="60" t="inlineStr">
        <is>
          <t>https://www.facebook.com/profile.php?id=100063497116073</t>
        </is>
      </c>
      <c r="D42" s="9" t="inlineStr">
        <is>
          <t>Cần quét Bio Fanpage</t>
        </is>
      </c>
      <c r="E42" s="59" t="inlineStr">
        <is>
          <t>13/10/2026 03:32:59</t>
        </is>
      </c>
      <c r="F42" s="59" t="inlineStr">
        <is>
          <t>3 giờ trước</t>
        </is>
      </c>
      <c r="G42" s="61" t="n">
        <v>0.12</v>
      </c>
      <c r="H42" s="62" t="n">
        <v>35</v>
      </c>
      <c r="I42" s="9" t="inlineStr">
        <is>
          <t>Dog Breeder / Trại nhân giống (28-30đ)</t>
        </is>
      </c>
      <c r="J42" s="62" t="n">
        <v>28</v>
      </c>
      <c r="K42" s="9" t="inlineStr">
        <is>
          <t>English Bulldog</t>
        </is>
      </c>
      <c r="L42" s="62" t="n">
        <v>10</v>
      </c>
      <c r="M42" s="62" t="n">
        <v>0</v>
      </c>
      <c r="N42" s="9" t="inlineStr">
        <is>
          <t>Amazon link not found</t>
        </is>
      </c>
      <c r="O42" s="62">
        <f>IF(N42="Selling pet toys + Artificial grass/Pet toilets (TARGET)",15,IF(N42="Selling artificial grass/pet toilets (TARGET)",10,IF(N42="Selling pet toys",7,IF(N42="There's an Amazon link, but no target sales.",3,0))))</f>
        <v/>
      </c>
      <c r="P42" s="63">
        <f>H42+J42+L42+M42+O42</f>
        <v/>
      </c>
      <c r="Q42" s="64">
        <f>IF(OR(H42=0,P42&lt;30),"Tier D (Đóng băng)",IF(P42&gt;=85,"Tier S (Kim Cương: 85-100đ)",IF(P42&gt;=70,"Tier A (Vàng: 70-84đ)",IF(P42&gt;=61,"Tier B+ / Cấp A (Hot Lead: 61-69đ)",IF(P42&gt;=50,"Tier B (Bạc: 50-60đ)","Tier C (Đồng: 30-49đ)")))))</f>
        <v/>
      </c>
      <c r="R42" s="9" t="inlineStr">
        <is>
          <t>Trọn gói Take-Home Starter Kit V2/V3 (Cỏ nhân tạo + Khay Potty + Đồ chơi cún con)</t>
        </is>
      </c>
      <c r="S42" s="9" t="inlineStr">
        <is>
          <t>HOT LEAD CẤP A: Gọi Telesale trực tiếp trong ngày + Email cá nhân hóa chào Puppy Kit V2/V3</t>
        </is>
      </c>
    </row>
    <row r="43">
      <c r="A43" s="53" t="n">
        <v>2079</v>
      </c>
      <c r="B43" s="12" t="inlineStr">
        <is>
          <t>Luxurious Frenchie House</t>
        </is>
      </c>
      <c r="C43" s="54" t="inlineStr">
        <is>
          <t>https://www.facebook.com/FrenchBulldogKennels</t>
        </is>
      </c>
      <c r="D43" s="6" t="inlineStr">
        <is>
          <t>Cần quét Bio Fanpage</t>
        </is>
      </c>
      <c r="E43" s="53" t="inlineStr">
        <is>
          <t>13/10/2026 01:34:00</t>
        </is>
      </c>
      <c r="F43" s="53" t="inlineStr">
        <is>
          <t>3 giờ trước</t>
        </is>
      </c>
      <c r="G43" s="55" t="n">
        <v>0.12</v>
      </c>
      <c r="H43" s="56" t="n">
        <v>35</v>
      </c>
      <c r="I43" s="6" t="inlineStr">
        <is>
          <t>Dog Breeder / Trại nhân giống (28-30đ)</t>
        </is>
      </c>
      <c r="J43" s="56" t="n">
        <v>28</v>
      </c>
      <c r="K43" s="6" t="inlineStr">
        <is>
          <t>French Bulldog</t>
        </is>
      </c>
      <c r="L43" s="56" t="n">
        <v>10</v>
      </c>
      <c r="M43" s="56" t="n">
        <v>0</v>
      </c>
      <c r="N43" s="6" t="inlineStr">
        <is>
          <t>Amazon link not found</t>
        </is>
      </c>
      <c r="O43" s="56">
        <f>IF(N43="Selling pet toys + Artificial grass/Pet toilets (TARGET)",15,IF(N43="Selling artificial grass/pet toilets (TARGET)",10,IF(N43="Selling pet toys",7,IF(N43="There's an Amazon link, but no target sales.",3,0))))</f>
        <v/>
      </c>
      <c r="P43" s="63">
        <f>H43+J43+L43+M43+O43</f>
        <v/>
      </c>
      <c r="Q43" s="64">
        <f>IF(OR(H43=0,P43&lt;30),"Tier D (Đóng băng)",IF(P43&gt;=85,"Tier S (Kim Cương: 85-100đ)",IF(P43&gt;=70,"Tier A (Vàng: 70-84đ)",IF(P43&gt;=61,"Tier B+ / Cấp A (Hot Lead: 61-69đ)",IF(P43&gt;=50,"Tier B (Bạc: 50-60đ)","Tier C (Đồng: 30-49đ)")))))</f>
        <v/>
      </c>
      <c r="R43" s="6" t="inlineStr">
        <is>
          <t>Trọn gói Take-Home Starter Kit V2/V3 (Cỏ nhân tạo + Khay Potty + Đồ chơi cún con)</t>
        </is>
      </c>
      <c r="S43" s="6" t="inlineStr">
        <is>
          <t>HOT LEAD CẤP A: Gọi Telesale trực tiếp trong ngày + Email cá nhân hóa chào Puppy Kit V2/V3</t>
        </is>
      </c>
    </row>
    <row r="44">
      <c r="A44" s="59" t="n">
        <v>264</v>
      </c>
      <c r="B44" s="15" t="inlineStr">
        <is>
          <t>Simply Kind Frenchies</t>
        </is>
      </c>
      <c r="C44" s="60" t="inlineStr">
        <is>
          <t>https://www.facebook.com/simplykindfrenchies</t>
        </is>
      </c>
      <c r="D44" s="9" t="inlineStr">
        <is>
          <t>Cần quét Bio Fanpage</t>
        </is>
      </c>
      <c r="E44" s="59" t="inlineStr">
        <is>
          <t>13/10/2026 00:45:07</t>
        </is>
      </c>
      <c r="F44" s="59" t="inlineStr">
        <is>
          <t>38 phút trước</t>
        </is>
      </c>
      <c r="G44" s="61" t="n">
        <v>0.03</v>
      </c>
      <c r="H44" s="62" t="n">
        <v>35</v>
      </c>
      <c r="I44" s="9" t="inlineStr">
        <is>
          <t>Dog Breeder / Trại chó chuyên nghiệp (28-30đ)</t>
        </is>
      </c>
      <c r="J44" s="62" t="n">
        <v>28</v>
      </c>
      <c r="K44" s="9" t="inlineStr">
        <is>
          <t>French Bulldog</t>
        </is>
      </c>
      <c r="L44" s="62" t="n">
        <v>10</v>
      </c>
      <c r="M44" s="62" t="n">
        <v>0</v>
      </c>
      <c r="N44" s="9" t="inlineStr">
        <is>
          <t>Amazon link not found</t>
        </is>
      </c>
      <c r="O44" s="62">
        <f>IF(N44="Selling pet toys + Artificial grass/Pet toilets (TARGET)",15,IF(N44="Selling artificial grass/pet toilets (TARGET)",10,IF(N44="Selling pet toys",7,IF(N44="There's an Amazon link, but no target sales.",3,0))))</f>
        <v/>
      </c>
      <c r="P44" s="63">
        <f>H44+J44+L44+M44+O44</f>
        <v/>
      </c>
      <c r="Q44" s="64">
        <f>IF(OR(H44=0,P44&lt;30),"Tier D (Đóng băng)",IF(P44&gt;=85,"Tier S (Kim Cương: 85-100đ)",IF(P44&gt;=70,"Tier A (Vàng: 70-84đ)",IF(P44&gt;=61,"Tier B+ / Cấp A (Hot Lead: 61-69đ)",IF(P44&gt;=50,"Tier B (Bạc: 50-60đ)","Tier C (Đồng: 30-49đ)")))))</f>
        <v/>
      </c>
      <c r="R44" s="9" t="inlineStr">
        <is>
          <t>Trọn gói Take-Home Starter Kit V2/V3 (Cỏ nhân tạo + Khay Potty + Đồ chơi Teething/Snuggle)</t>
        </is>
      </c>
      <c r="S44" s="9" t="inlineStr">
        <is>
          <t>HOT LEAD CẤP A: Gọi Telesale trực tiếp trong ngày + Email cá nhân hóa chào Puppy Kit V2/V3</t>
        </is>
      </c>
    </row>
    <row r="45">
      <c r="A45" s="53" t="n">
        <v>108</v>
      </c>
      <c r="B45" s="12" t="inlineStr">
        <is>
          <t>Bark Avenue frenchies</t>
        </is>
      </c>
      <c r="C45" s="54" t="inlineStr">
        <is>
          <t>https://www.facebook.com/profile.php?id=100031896956562</t>
        </is>
      </c>
      <c r="D45" s="6" t="inlineStr">
        <is>
          <t>Cần quét Bio Fanpage</t>
        </is>
      </c>
      <c r="E45" s="53" t="inlineStr">
        <is>
          <t>13/10/2026 00:13:19</t>
        </is>
      </c>
      <c r="F45" s="53" t="inlineStr">
        <is>
          <t>53 phút trước</t>
        </is>
      </c>
      <c r="G45" s="55" t="n">
        <v>0.04</v>
      </c>
      <c r="H45" s="56" t="n">
        <v>35</v>
      </c>
      <c r="I45" s="6" t="inlineStr">
        <is>
          <t>Dog Breeder / Trại chó chuyên nghiệp (28-30đ)</t>
        </is>
      </c>
      <c r="J45" s="56" t="n">
        <v>28</v>
      </c>
      <c r="K45" s="6" t="inlineStr">
        <is>
          <t>French Bulldog</t>
        </is>
      </c>
      <c r="L45" s="56" t="n">
        <v>10</v>
      </c>
      <c r="M45" s="56" t="n">
        <v>0</v>
      </c>
      <c r="N45" s="6" t="inlineStr">
        <is>
          <t>Amazon link not found</t>
        </is>
      </c>
      <c r="O45" s="56">
        <f>IF(N45="Selling pet toys + Artificial grass/Pet toilets (TARGET)",15,IF(N45="Selling artificial grass/pet toilets (TARGET)",10,IF(N45="Selling pet toys",7,IF(N45="There's an Amazon link, but no target sales.",3,0))))</f>
        <v/>
      </c>
      <c r="P45" s="63">
        <f>H45+J45+L45+M45+O45</f>
        <v/>
      </c>
      <c r="Q45" s="64">
        <f>IF(OR(H45=0,P45&lt;30),"Tier D (Đóng băng)",IF(P45&gt;=85,"Tier S (Kim Cương: 85-100đ)",IF(P45&gt;=70,"Tier A (Vàng: 70-84đ)",IF(P45&gt;=61,"Tier B+ / Cấp A (Hot Lead: 61-69đ)",IF(P45&gt;=50,"Tier B (Bạc: 50-60đ)","Tier C (Đồng: 30-49đ)")))))</f>
        <v/>
      </c>
      <c r="R45" s="6" t="inlineStr">
        <is>
          <t>Trọn gói Take-Home Starter Kit V2/V3 (Cỏ nhân tạo + Khay Potty + Đồ chơi Teething/Snuggle)</t>
        </is>
      </c>
      <c r="S45" s="6" t="inlineStr">
        <is>
          <t>HOT LEAD CẤP A: Gọi Telesale trực tiếp trong ngày + Email cá nhân hóa chào Puppy Kit V2/V3</t>
        </is>
      </c>
    </row>
    <row r="46">
      <c r="A46" s="59" t="n">
        <v>266</v>
      </c>
      <c r="B46" s="15" t="inlineStr">
        <is>
          <t>Sokota Bulldogges</t>
        </is>
      </c>
      <c r="C46" s="60" t="inlineStr">
        <is>
          <t>https://www.facebook.com/sokotabulldogges</t>
        </is>
      </c>
      <c r="D46" s="9" t="inlineStr">
        <is>
          <t>Cần quét Bio Fanpage</t>
        </is>
      </c>
      <c r="E46" s="59" t="inlineStr">
        <is>
          <t>13/10/2026 00:04:39</t>
        </is>
      </c>
      <c r="F46" s="59" t="inlineStr">
        <is>
          <t>1 giờ trước</t>
        </is>
      </c>
      <c r="G46" s="61" t="n">
        <v>0.04</v>
      </c>
      <c r="H46" s="62" t="n">
        <v>35</v>
      </c>
      <c r="I46" s="9" t="inlineStr">
        <is>
          <t>Dog Breeder / Trại chó chuyên nghiệp (28-30đ)</t>
        </is>
      </c>
      <c r="J46" s="62" t="n">
        <v>28</v>
      </c>
      <c r="K46" s="9" t="inlineStr">
        <is>
          <t>English Bulldog</t>
        </is>
      </c>
      <c r="L46" s="62" t="n">
        <v>10</v>
      </c>
      <c r="M46" s="62" t="n">
        <v>0</v>
      </c>
      <c r="N46" s="9" t="inlineStr">
        <is>
          <t>Amazon link not found</t>
        </is>
      </c>
      <c r="O46" s="62">
        <f>IF(N46="Selling pet toys + Artificial grass/Pet toilets (TARGET)",15,IF(N46="Selling artificial grass/pet toilets (TARGET)",10,IF(N46="Selling pet toys",7,IF(N46="There's an Amazon link, but no target sales.",3,0))))</f>
        <v/>
      </c>
      <c r="P46" s="63">
        <f>H46+J46+L46+M46+O46</f>
        <v/>
      </c>
      <c r="Q46" s="64">
        <f>IF(OR(H46=0,P46&lt;30),"Tier D (Đóng băng)",IF(P46&gt;=85,"Tier S (Kim Cương: 85-100đ)",IF(P46&gt;=70,"Tier A (Vàng: 70-84đ)",IF(P46&gt;=61,"Tier B+ / Cấp A (Hot Lead: 61-69đ)",IF(P46&gt;=50,"Tier B (Bạc: 50-60đ)","Tier C (Đồng: 30-49đ)")))))</f>
        <v/>
      </c>
      <c r="R46" s="9" t="inlineStr">
        <is>
          <t>Trọn gói Take-Home Starter Kit V2/V3 (Cỏ nhân tạo + Khay Potty + Đồ chơi Teething/Snuggle)</t>
        </is>
      </c>
      <c r="S46" s="9" t="inlineStr">
        <is>
          <t>HOT LEAD CẤP A: Gọi Telesale trực tiếp trong ngày + Email cá nhân hóa chào Puppy Kit V2/V3</t>
        </is>
      </c>
    </row>
    <row r="47">
      <c r="A47" s="53" t="n">
        <v>162</v>
      </c>
      <c r="B47" s="12" t="inlineStr">
        <is>
          <t>Duke City Frenchies</t>
        </is>
      </c>
      <c r="C47" s="54" t="inlineStr">
        <is>
          <t>https://www.facebook.com/profile.php?id=100095542921970</t>
        </is>
      </c>
      <c r="D47" s="6" t="inlineStr">
        <is>
          <t>Cần quét Bio Fanpage</t>
        </is>
      </c>
      <c r="E47" s="53" t="inlineStr">
        <is>
          <t>12/10/2026 23:40:17</t>
        </is>
      </c>
      <c r="F47" s="53" t="inlineStr">
        <is>
          <t>1 giờ trước</t>
        </is>
      </c>
      <c r="G47" s="55" t="n">
        <v>0.04</v>
      </c>
      <c r="H47" s="56" t="n">
        <v>35</v>
      </c>
      <c r="I47" s="6" t="inlineStr">
        <is>
          <t>Dog Breeder / Trại chó chuyên nghiệp (28-30đ)</t>
        </is>
      </c>
      <c r="J47" s="56" t="n">
        <v>28</v>
      </c>
      <c r="K47" s="6" t="inlineStr">
        <is>
          <t>French Bulldog</t>
        </is>
      </c>
      <c r="L47" s="56" t="n">
        <v>10</v>
      </c>
      <c r="M47" s="56" t="n">
        <v>0</v>
      </c>
      <c r="N47" s="6" t="inlineStr">
        <is>
          <t>Amazon link not found</t>
        </is>
      </c>
      <c r="O47" s="56">
        <f>IF(N47="Selling pet toys + Artificial grass/Pet toilets (TARGET)",15,IF(N47="Selling artificial grass/pet toilets (TARGET)",10,IF(N47="Selling pet toys",7,IF(N47="There's an Amazon link, but no target sales.",3,0))))</f>
        <v/>
      </c>
      <c r="P47" s="63">
        <f>H47+J47+L47+M47+O47</f>
        <v/>
      </c>
      <c r="Q47" s="64">
        <f>IF(OR(H47=0,P47&lt;30),"Tier D (Đóng băng)",IF(P47&gt;=85,"Tier S (Kim Cương: 85-100đ)",IF(P47&gt;=70,"Tier A (Vàng: 70-84đ)",IF(P47&gt;=61,"Tier B+ / Cấp A (Hot Lead: 61-69đ)",IF(P47&gt;=50,"Tier B (Bạc: 50-60đ)","Tier C (Đồng: 30-49đ)")))))</f>
        <v/>
      </c>
      <c r="R47" s="6" t="inlineStr">
        <is>
          <t>Trọn gói Take-Home Starter Kit V2/V3 (Cỏ nhân tạo + Khay Potty + Đồ chơi Teething/Snuggle)</t>
        </is>
      </c>
      <c r="S47" s="6" t="inlineStr">
        <is>
          <t>HOT LEAD CẤP A: Gọi Telesale trực tiếp trong ngày + Email cá nhân hóa chào Puppy Kit V2/V3</t>
        </is>
      </c>
    </row>
    <row r="48">
      <c r="A48" s="59" t="n">
        <v>263</v>
      </c>
      <c r="B48" s="15" t="inlineStr">
        <is>
          <t>Shawhan Family Frenchies</t>
        </is>
      </c>
      <c r="C48" s="60" t="inlineStr">
        <is>
          <t>https://www.facebook.com/ShawhanFamilyFrenchies</t>
        </is>
      </c>
      <c r="D48" s="9" t="inlineStr">
        <is>
          <t>Cần quét Bio Fanpage</t>
        </is>
      </c>
      <c r="E48" s="59" t="inlineStr">
        <is>
          <t>12/10/2026 23:31:04</t>
        </is>
      </c>
      <c r="F48" s="59" t="inlineStr">
        <is>
          <t>1 giờ trước</t>
        </is>
      </c>
      <c r="G48" s="61" t="n">
        <v>0.04</v>
      </c>
      <c r="H48" s="62" t="n">
        <v>35</v>
      </c>
      <c r="I48" s="9" t="inlineStr">
        <is>
          <t>Dog Breeder / Trại chó chuyên nghiệp (28-30đ)</t>
        </is>
      </c>
      <c r="J48" s="62" t="n">
        <v>28</v>
      </c>
      <c r="K48" s="9" t="inlineStr">
        <is>
          <t>French Bulldog</t>
        </is>
      </c>
      <c r="L48" s="62" t="n">
        <v>10</v>
      </c>
      <c r="M48" s="62" t="n">
        <v>0</v>
      </c>
      <c r="N48" s="9" t="inlineStr">
        <is>
          <t>Amazon link not found</t>
        </is>
      </c>
      <c r="O48" s="62">
        <f>IF(N48="Selling pet toys + Artificial grass/Pet toilets (TARGET)",15,IF(N48="Selling artificial grass/pet toilets (TARGET)",10,IF(N48="Selling pet toys",7,IF(N48="There's an Amazon link, but no target sales.",3,0))))</f>
        <v/>
      </c>
      <c r="P48" s="63">
        <f>H48+J48+L48+M48+O48</f>
        <v/>
      </c>
      <c r="Q48" s="64">
        <f>IF(OR(H48=0,P48&lt;30),"Tier D (Đóng băng)",IF(P48&gt;=85,"Tier S (Kim Cương: 85-100đ)",IF(P48&gt;=70,"Tier A (Vàng: 70-84đ)",IF(P48&gt;=61,"Tier B+ / Cấp A (Hot Lead: 61-69đ)",IF(P48&gt;=50,"Tier B (Bạc: 50-60đ)","Tier C (Đồng: 30-49đ)")))))</f>
        <v/>
      </c>
      <c r="R48" s="9" t="inlineStr">
        <is>
          <t>Trọn gói Take-Home Starter Kit V2/V3 (Cỏ nhân tạo + Khay Potty + Đồ chơi Teething/Snuggle)</t>
        </is>
      </c>
      <c r="S48" s="9" t="inlineStr">
        <is>
          <t>HOT LEAD CẤP A: Gọi Telesale trực tiếp trong ngày + Email cá nhân hóa chào Puppy Kit V2/V3</t>
        </is>
      </c>
    </row>
    <row r="49">
      <c r="A49" s="53" t="n">
        <v>659</v>
      </c>
      <c r="B49" s="12" t="inlineStr">
        <is>
          <t>Beyardcore Bullies</t>
        </is>
      </c>
      <c r="C49" s="54" t="inlineStr">
        <is>
          <t>https://www.facebook.com/BeYardcoreBullies</t>
        </is>
      </c>
      <c r="D49" s="6" t="inlineStr">
        <is>
          <t>Cần quét Bio Fanpage</t>
        </is>
      </c>
      <c r="E49" s="53" t="inlineStr">
        <is>
          <t>12/10/2026 23:24:44</t>
        </is>
      </c>
      <c r="F49" s="53" t="inlineStr">
        <is>
          <t>2 giờ trước</t>
        </is>
      </c>
      <c r="G49" s="55" t="n">
        <v>0.08</v>
      </c>
      <c r="H49" s="56" t="n">
        <v>35</v>
      </c>
      <c r="I49" s="6" t="inlineStr">
        <is>
          <t>Dog Breeder / Trại chó chuyên nghiệp (28-30đ)</t>
        </is>
      </c>
      <c r="J49" s="56" t="n">
        <v>28</v>
      </c>
      <c r="K49" s="6" t="inlineStr">
        <is>
          <t>American Bully / Bully</t>
        </is>
      </c>
      <c r="L49" s="56" t="n">
        <v>10</v>
      </c>
      <c r="M49" s="56" t="n">
        <v>0</v>
      </c>
      <c r="N49" s="6" t="inlineStr">
        <is>
          <t>Amazon link not found</t>
        </is>
      </c>
      <c r="O49" s="56">
        <f>IF(N49="Selling pet toys + Artificial grass/Pet toilets (TARGET)",15,IF(N49="Selling artificial grass/pet toilets (TARGET)",10,IF(N49="Selling pet toys",7,IF(N49="There's an Amazon link, but no target sales.",3,0))))</f>
        <v/>
      </c>
      <c r="P49" s="63">
        <f>H49+J49+L49+M49+O49</f>
        <v/>
      </c>
      <c r="Q49" s="64">
        <f>IF(OR(H49=0,P49&lt;30),"Tier D (Đóng băng)",IF(P49&gt;=85,"Tier S (Kim Cương: 85-100đ)",IF(P49&gt;=70,"Tier A (Vàng: 70-84đ)",IF(P49&gt;=61,"Tier B+ / Cấp A (Hot Lead: 61-69đ)",IF(P49&gt;=50,"Tier B (Bạc: 50-60đ)","Tier C (Đồng: 30-49đ)")))))</f>
        <v/>
      </c>
      <c r="R49" s="6" t="inlineStr">
        <is>
          <t>Trọn gói Take-Home Starter Kit V2/V3 (Cỏ nhân tạo + Khay Potty + Đồ chơi Teething/Snuggle)</t>
        </is>
      </c>
      <c r="S49" s="6" t="inlineStr">
        <is>
          <t>HOT LEAD CẤP A: Gọi Telesale trực tiếp trong ngày + Email cá nhân hóa chào Puppy Kit V2/V3</t>
        </is>
      </c>
    </row>
    <row r="50">
      <c r="A50" s="59" t="n">
        <v>61</v>
      </c>
      <c r="B50" s="15" t="inlineStr">
        <is>
          <t>GatorHead Bullies - GHB</t>
        </is>
      </c>
      <c r="C50" s="60" t="inlineStr">
        <is>
          <t>https://www.facebook.com/gatorheadbullies</t>
        </is>
      </c>
      <c r="D50" s="9" t="inlineStr">
        <is>
          <t>Cần quét Bio Fanpage</t>
        </is>
      </c>
      <c r="E50" s="59" t="inlineStr">
        <is>
          <t>12/10/2026 23:19:56</t>
        </is>
      </c>
      <c r="F50" s="59" t="inlineStr">
        <is>
          <t>1 giờ trước</t>
        </is>
      </c>
      <c r="G50" s="61" t="n">
        <v>0.04</v>
      </c>
      <c r="H50" s="62" t="n">
        <v>35</v>
      </c>
      <c r="I50" s="9" t="inlineStr">
        <is>
          <t>Dog Breeder / Trại chó chuyên nghiệp (28-30đ)</t>
        </is>
      </c>
      <c r="J50" s="62" t="n">
        <v>28</v>
      </c>
      <c r="K50" s="9" t="inlineStr">
        <is>
          <t>American Bully / Bully</t>
        </is>
      </c>
      <c r="L50" s="62" t="n">
        <v>10</v>
      </c>
      <c r="M50" s="62" t="n">
        <v>0</v>
      </c>
      <c r="N50" s="9" t="inlineStr">
        <is>
          <t>Amazon link not found</t>
        </is>
      </c>
      <c r="O50" s="62">
        <f>IF(N50="Selling pet toys + Artificial grass/Pet toilets (TARGET)",15,IF(N50="Selling artificial grass/pet toilets (TARGET)",10,IF(N50="Selling pet toys",7,IF(N50="There's an Amazon link, but no target sales.",3,0))))</f>
        <v/>
      </c>
      <c r="P50" s="63">
        <f>H50+J50+L50+M50+O50</f>
        <v/>
      </c>
      <c r="Q50" s="64">
        <f>IF(OR(H50=0,P50&lt;30),"Tier D (Đóng băng)",IF(P50&gt;=85,"Tier S (Kim Cương: 85-100đ)",IF(P50&gt;=70,"Tier A (Vàng: 70-84đ)",IF(P50&gt;=61,"Tier B+ / Cấp A (Hot Lead: 61-69đ)",IF(P50&gt;=50,"Tier B (Bạc: 50-60đ)","Tier C (Đồng: 30-49đ)")))))</f>
        <v/>
      </c>
      <c r="R50" s="9" t="inlineStr">
        <is>
          <t>Trọn gói Take-Home Starter Kit V2/V3 (Cỏ nhân tạo + Khay Potty + Đồ chơi Teething/Snuggle)</t>
        </is>
      </c>
      <c r="S50" s="9" t="inlineStr">
        <is>
          <t>HOT LEAD CẤP A: Gọi Telesale trực tiếp trong ngày + Email cá nhân hóa chào Puppy Kit V2/V3</t>
        </is>
      </c>
    </row>
    <row r="51">
      <c r="A51" s="53" t="n">
        <v>575</v>
      </c>
      <c r="B51" s="12" t="inlineStr">
        <is>
          <t>Bagamaja Frenchies  (Gede Julianna)</t>
        </is>
      </c>
      <c r="C51" s="54" t="inlineStr">
        <is>
          <t>https://www.facebook.com/profile.php?id=100075881257339</t>
        </is>
      </c>
      <c r="D51" s="6" t="inlineStr">
        <is>
          <t>Cần quét Bio Fanpage</t>
        </is>
      </c>
      <c r="E51" s="53" t="inlineStr">
        <is>
          <t>12/10/2026 22:48:20</t>
        </is>
      </c>
      <c r="F51" s="53" t="inlineStr">
        <is>
          <t>3 giờ trước</t>
        </is>
      </c>
      <c r="G51" s="55" t="n">
        <v>0.12</v>
      </c>
      <c r="H51" s="56" t="n">
        <v>35</v>
      </c>
      <c r="I51" s="6" t="inlineStr">
        <is>
          <t>Dog Breeder / Trại chó chuyên nghiệp (28-30đ)</t>
        </is>
      </c>
      <c r="J51" s="56" t="n">
        <v>28</v>
      </c>
      <c r="K51" s="6" t="inlineStr">
        <is>
          <t>French Bulldog</t>
        </is>
      </c>
      <c r="L51" s="56" t="n">
        <v>10</v>
      </c>
      <c r="M51" s="56" t="n">
        <v>0</v>
      </c>
      <c r="N51" s="6" t="inlineStr">
        <is>
          <t>Amazon link not found</t>
        </is>
      </c>
      <c r="O51" s="56">
        <f>IF(N51="Selling pet toys + Artificial grass/Pet toilets (TARGET)",15,IF(N51="Selling artificial grass/pet toilets (TARGET)",10,IF(N51="Selling pet toys",7,IF(N51="There's an Amazon link, but no target sales.",3,0))))</f>
        <v/>
      </c>
      <c r="P51" s="63">
        <f>H51+J51+L51+M51+O51</f>
        <v/>
      </c>
      <c r="Q51" s="64">
        <f>IF(OR(H51=0,P51&lt;30),"Tier D (Đóng băng)",IF(P51&gt;=85,"Tier S (Kim Cương: 85-100đ)",IF(P51&gt;=70,"Tier A (Vàng: 70-84đ)",IF(P51&gt;=61,"Tier B+ / Cấp A (Hot Lead: 61-69đ)",IF(P51&gt;=50,"Tier B (Bạc: 50-60đ)","Tier C (Đồng: 30-49đ)")))))</f>
        <v/>
      </c>
      <c r="R51" s="6" t="inlineStr">
        <is>
          <t>Trọn gói Take-Home Starter Kit V2/V3 (Cỏ nhân tạo + Khay Potty + Đồ chơi Teething/Snuggle)</t>
        </is>
      </c>
      <c r="S51" s="6" t="inlineStr">
        <is>
          <t>HOT LEAD CẤP A: Gọi Telesale trực tiếp trong ngày + Email cá nhân hóa chào Puppy Kit V2/V3</t>
        </is>
      </c>
    </row>
    <row r="52">
      <c r="A52" s="59" t="n">
        <v>159</v>
      </c>
      <c r="B52" s="15" t="inlineStr">
        <is>
          <t>Doodle Doggies  (Sara Perceval)</t>
        </is>
      </c>
      <c r="C52" s="60" t="inlineStr">
        <is>
          <t>https://www.facebook.com/doodledoggiesmillhill</t>
        </is>
      </c>
      <c r="D52" s="9" t="inlineStr">
        <is>
          <t>Cần quét Bio Fanpage</t>
        </is>
      </c>
      <c r="E52" s="59" t="inlineStr">
        <is>
          <t>12/10/2026 22:17:56</t>
        </is>
      </c>
      <c r="F52" s="59" t="inlineStr">
        <is>
          <t>2 giờ trước</t>
        </is>
      </c>
      <c r="G52" s="61" t="n">
        <v>0.08</v>
      </c>
      <c r="H52" s="62" t="n">
        <v>35</v>
      </c>
      <c r="I52" s="9" t="inlineStr">
        <is>
          <t>Dog Breeder / Trại nhân giống (28-30đ)</t>
        </is>
      </c>
      <c r="J52" s="62" t="n">
        <v>28</v>
      </c>
      <c r="K52" s="9" t="inlineStr">
        <is>
          <t>Goldendoodle</t>
        </is>
      </c>
      <c r="L52" s="62" t="n">
        <v>10</v>
      </c>
      <c r="M52" s="62" t="n">
        <v>0</v>
      </c>
      <c r="N52" s="9" t="inlineStr">
        <is>
          <t>Amazon link not found</t>
        </is>
      </c>
      <c r="O52" s="62">
        <f>IF(N52="Selling pet toys + Artificial grass/Pet toilets (TARGET)",15,IF(N52="Selling artificial grass/pet toilets (TARGET)",10,IF(N52="Selling pet toys",7,IF(N52="There's an Amazon link, but no target sales.",3,0))))</f>
        <v/>
      </c>
      <c r="P52" s="63">
        <f>H52+J52+L52+M52+O52</f>
        <v/>
      </c>
      <c r="Q52" s="64">
        <f>IF(OR(H52=0,P52&lt;30),"Tier D (Đóng băng)",IF(P52&gt;=85,"Tier S (Kim Cương: 85-100đ)",IF(P52&gt;=70,"Tier A (Vàng: 70-84đ)",IF(P52&gt;=61,"Tier B+ / Cấp A (Hot Lead: 61-69đ)",IF(P52&gt;=50,"Tier B (Bạc: 50-60đ)","Tier C (Đồng: 30-49đ)")))))</f>
        <v/>
      </c>
      <c r="R52" s="9" t="inlineStr">
        <is>
          <t>Trọn gói Take-Home Starter Kit V2/V3 (Cỏ nhân tạo + Khay Potty + Đồ chơi cún con)</t>
        </is>
      </c>
      <c r="S52" s="9" t="inlineStr">
        <is>
          <t>HOT LEAD CẤP A: Gọi Telesale trực tiếp trong ngày + Email cá nhân hóa chào Puppy Kit V2/V3</t>
        </is>
      </c>
    </row>
    <row r="53">
      <c r="A53" s="53" t="n">
        <v>62</v>
      </c>
      <c r="B53" s="12" t="inlineStr">
        <is>
          <t>griffinfrenchie</t>
        </is>
      </c>
      <c r="C53" s="54" t="inlineStr">
        <is>
          <t>https://www.facebook.com/griffinfrenchie</t>
        </is>
      </c>
      <c r="D53" s="6" t="inlineStr">
        <is>
          <t>Cần quét Bio Fanpage</t>
        </is>
      </c>
      <c r="E53" s="53" t="inlineStr">
        <is>
          <t>12/10/2026 21:32:39</t>
        </is>
      </c>
      <c r="F53" s="53" t="inlineStr">
        <is>
          <t>3 giờ trước</t>
        </is>
      </c>
      <c r="G53" s="55" t="n">
        <v>0.12</v>
      </c>
      <c r="H53" s="56" t="n">
        <v>35</v>
      </c>
      <c r="I53" s="6" t="inlineStr">
        <is>
          <t>Dog Breeder / Trại nhân giống (28-30đ)</t>
        </is>
      </c>
      <c r="J53" s="56" t="n">
        <v>28</v>
      </c>
      <c r="K53" s="6" t="inlineStr">
        <is>
          <t>French Bulldog</t>
        </is>
      </c>
      <c r="L53" s="56" t="n">
        <v>10</v>
      </c>
      <c r="M53" s="56" t="n">
        <v>0</v>
      </c>
      <c r="N53" s="6" t="inlineStr">
        <is>
          <t>Amazon link not found</t>
        </is>
      </c>
      <c r="O53" s="56">
        <f>IF(N53="Selling pet toys + Artificial grass/Pet toilets (TARGET)",15,IF(N53="Selling artificial grass/pet toilets (TARGET)",10,IF(N53="Selling pet toys",7,IF(N53="There's an Amazon link, but no target sales.",3,0))))</f>
        <v/>
      </c>
      <c r="P53" s="63">
        <f>H53+J53+L53+M53+O53</f>
        <v/>
      </c>
      <c r="Q53" s="64">
        <f>IF(OR(H53=0,P53&lt;30),"Tier D (Đóng băng)",IF(P53&gt;=85,"Tier S (Kim Cương: 85-100đ)",IF(P53&gt;=70,"Tier A (Vàng: 70-84đ)",IF(P53&gt;=61,"Tier B+ / Cấp A (Hot Lead: 61-69đ)",IF(P53&gt;=50,"Tier B (Bạc: 50-60đ)","Tier C (Đồng: 30-49đ)")))))</f>
        <v/>
      </c>
      <c r="R53" s="6" t="inlineStr">
        <is>
          <t>Trọn gói Take-Home Starter Kit V2/V3 (Cỏ nhân tạo + Khay Potty + Đồ chơi cún con)</t>
        </is>
      </c>
      <c r="S53" s="6" t="inlineStr">
        <is>
          <t>HOT LEAD CẤP A: Gọi Telesale trực tiếp trong ngày + Email cá nhân hóa chào Puppy Kit V2/V3</t>
        </is>
      </c>
    </row>
    <row r="54">
      <c r="A54" s="59" t="n">
        <v>2946</v>
      </c>
      <c r="B54" s="15" t="inlineStr">
        <is>
          <t>South Lamanis labradors kennel</t>
        </is>
      </c>
      <c r="C54" s="60" t="inlineStr">
        <is>
          <t>https://www.facebook.com/southlamaniskennel</t>
        </is>
      </c>
      <c r="D54" s="9" t="inlineStr">
        <is>
          <t>Cần quét Bio Fanpage</t>
        </is>
      </c>
      <c r="E54" s="59" t="inlineStr">
        <is>
          <t>11/10/2026 21:25:29</t>
        </is>
      </c>
      <c r="F54" s="59" t="inlineStr">
        <is>
          <t>1 ngày trước</t>
        </is>
      </c>
      <c r="G54" s="61" t="n">
        <v>1</v>
      </c>
      <c r="H54" s="62" t="n">
        <v>28</v>
      </c>
      <c r="I54" s="9" t="inlineStr">
        <is>
          <t>Dog Breeder / Trại chó chuyên nghiệp (28-30đ)</t>
        </is>
      </c>
      <c r="J54" s="62" t="n">
        <v>30</v>
      </c>
      <c r="K54" s="9" t="inlineStr">
        <is>
          <t>Labrador</t>
        </is>
      </c>
      <c r="L54" s="62" t="n">
        <v>10</v>
      </c>
      <c r="M54" s="62" t="n">
        <v>5</v>
      </c>
      <c r="N54" s="9" t="inlineStr">
        <is>
          <t>Amazon link not found</t>
        </is>
      </c>
      <c r="O54" s="62">
        <f>IF(N54="Selling pet toys + Artificial grass/Pet toilets (TARGET)",15,IF(N54="Selling artificial grass/pet toilets (TARGET)",10,IF(N54="Selling pet toys",7,IF(N54="There's an Amazon link, but no target sales.",3,0))))</f>
        <v/>
      </c>
      <c r="P54" s="63">
        <f>H54+J54+L54+M54+O54</f>
        <v/>
      </c>
      <c r="Q54" s="64">
        <f>IF(OR(H54=0,P54&lt;30),"Tier D (Đóng băng)",IF(P54&gt;=85,"Tier S (Kim Cương: 85-100đ)",IF(P54&gt;=70,"Tier A (Vàng: 70-84đ)",IF(P54&gt;=61,"Tier B+ / Cấp A (Hot Lead: 61-69đ)",IF(P54&gt;=50,"Tier B (Bạc: 50-60đ)","Tier C (Đồng: 30-49đ)")))))</f>
        <v/>
      </c>
      <c r="R54" s="9" t="inlineStr">
        <is>
          <t>Trọn gói Take-Home Starter Kit V2/V3 (Cỏ nhân tạo + Khay Potty + Đồ chơi Teething/Snuggle)</t>
        </is>
      </c>
      <c r="S54" s="9" t="inlineStr">
        <is>
          <t>HOT LEAD CẤP A: Gọi Telesale trực tiếp trong ngày + Email cá nhân hóa chào Puppy Kit V2/V3</t>
        </is>
      </c>
    </row>
    <row r="55">
      <c r="A55" s="53" t="n">
        <v>1700</v>
      </c>
      <c r="B55" s="12" t="inlineStr">
        <is>
          <t>Hungry Hounds PET Supplies</t>
        </is>
      </c>
      <c r="C55" s="54" t="inlineStr">
        <is>
          <t>https://www.facebook.com/HungryHoundsPetSupplies</t>
        </is>
      </c>
      <c r="D55" s="6" t="inlineStr">
        <is>
          <t>Cần quét Bio Fanpage</t>
        </is>
      </c>
      <c r="E55" s="53" t="inlineStr">
        <is>
          <t>09/10/2026 21:05:42</t>
        </is>
      </c>
      <c r="F55" s="53" t="inlineStr">
        <is>
          <t>3 ngày trước</t>
        </is>
      </c>
      <c r="G55" s="55" t="n">
        <v>3</v>
      </c>
      <c r="H55" s="56" t="n">
        <v>28</v>
      </c>
      <c r="I55" s="6" t="inlineStr">
        <is>
          <t>Dog Breeder / Trại chó chuyên nghiệp (28-30đ)</t>
        </is>
      </c>
      <c r="J55" s="56" t="n">
        <v>28</v>
      </c>
      <c r="K55" s="6" t="inlineStr">
        <is>
          <t>Hound / Beagle / Basset</t>
        </is>
      </c>
      <c r="L55" s="56" t="n">
        <v>5</v>
      </c>
      <c r="M55" s="56" t="n">
        <v>5</v>
      </c>
      <c r="N55" s="6" t="inlineStr">
        <is>
          <t>Selling pet toys</t>
        </is>
      </c>
      <c r="O55" s="56">
        <f>IF(N55="Selling pet toys + Artificial grass/Pet toilets (TARGET)",15,IF(N55="Selling artificial grass/pet toilets (TARGET)",10,IF(N55="Selling pet toys",7,IF(N55="There's an Amazon link, but no target sales.",3,0))))</f>
        <v/>
      </c>
      <c r="P55" s="63">
        <f>H55+J55+L55+M55+O55</f>
        <v/>
      </c>
      <c r="Q55" s="64">
        <f>IF(OR(H55=0,P55&lt;30),"Tier D (Đóng băng)",IF(P55&gt;=85,"Tier S (Kim Cương: 85-100đ)",IF(P55&gt;=70,"Tier A (Vàng: 70-84đ)",IF(P55&gt;=61,"Tier B+ / Cấp A (Hot Lead: 61-69đ)",IF(P55&gt;=50,"Tier B (Bạc: 50-60đ)","Tier C (Đồng: 30-49đ)")))))</f>
        <v/>
      </c>
      <c r="R55" s="6" t="inlineStr">
        <is>
          <t>Trọn gói Take-Home Starter Kit V2/V3 (Cỏ nhân tạo + Khay Potty + Đồ chơi Teething/Snuggle)</t>
        </is>
      </c>
      <c r="S55" s="6" t="inlineStr">
        <is>
          <t>HOT LEAD CẤP A: Gọi Telesale trực tiếp trong ngày + Email cá nhân hóa chào Puppy Kit V2/V3</t>
        </is>
      </c>
    </row>
    <row r="56">
      <c r="A56" s="59" t="n">
        <v>857</v>
      </c>
      <c r="B56" s="15" t="inlineStr">
        <is>
          <t>Castle KC Katie’s Corgis - VKM Farmstead</t>
        </is>
      </c>
      <c r="C56" s="60" t="inlineStr">
        <is>
          <t>https://www.facebook.com/KatiesCorgis</t>
        </is>
      </c>
      <c r="D56" s="9" t="inlineStr">
        <is>
          <t>Cần quét Bio Fanpage</t>
        </is>
      </c>
      <c r="E56" s="59" t="inlineStr">
        <is>
          <t>09/10/2026 19:55:14</t>
        </is>
      </c>
      <c r="F56" s="59" t="inlineStr">
        <is>
          <t>3 ngày trước</t>
        </is>
      </c>
      <c r="G56" s="61" t="n">
        <v>3</v>
      </c>
      <c r="H56" s="62" t="n">
        <v>28</v>
      </c>
      <c r="I56" s="9" t="inlineStr">
        <is>
          <t>Dog Breeder / Trại chó chuyên nghiệp (28-30đ)</t>
        </is>
      </c>
      <c r="J56" s="62" t="n">
        <v>30</v>
      </c>
      <c r="K56" s="9" t="inlineStr">
        <is>
          <t>Corgi</t>
        </is>
      </c>
      <c r="L56" s="62" t="n">
        <v>10</v>
      </c>
      <c r="M56" s="62" t="n">
        <v>5</v>
      </c>
      <c r="N56" s="9" t="inlineStr">
        <is>
          <t>Amazon link not found</t>
        </is>
      </c>
      <c r="O56" s="62">
        <f>IF(N56="Selling pet toys + Artificial grass/Pet toilets (TARGET)",15,IF(N56="Selling artificial grass/pet toilets (TARGET)",10,IF(N56="Selling pet toys",7,IF(N56="There's an Amazon link, but no target sales.",3,0))))</f>
        <v/>
      </c>
      <c r="P56" s="63">
        <f>H56+J56+L56+M56+O56</f>
        <v/>
      </c>
      <c r="Q56" s="64">
        <f>IF(OR(H56=0,P56&lt;30),"Tier D (Đóng băng)",IF(P56&gt;=85,"Tier S (Kim Cương: 85-100đ)",IF(P56&gt;=70,"Tier A (Vàng: 70-84đ)",IF(P56&gt;=61,"Tier B+ / Cấp A (Hot Lead: 61-69đ)",IF(P56&gt;=50,"Tier B (Bạc: 50-60đ)","Tier C (Đồng: 30-49đ)")))))</f>
        <v/>
      </c>
      <c r="R56" s="9" t="inlineStr">
        <is>
          <t>Trọn gói Take-Home Starter Kit V2/V3 (Cỏ nhân tạo + Khay Potty + Đồ chơi Teething/Snuggle)</t>
        </is>
      </c>
      <c r="S56" s="9" t="inlineStr">
        <is>
          <t>HOT LEAD CẤP A: Gọi Telesale trực tiếp trong ngày + Email cá nhân hóa chào Puppy Kit V2/V3</t>
        </is>
      </c>
    </row>
    <row r="57">
      <c r="A57" s="53" t="n">
        <v>1497</v>
      </c>
      <c r="B57" s="12" t="inlineStr">
        <is>
          <t>German Shepherd Puppies of Seelenvoll</t>
        </is>
      </c>
      <c r="C57" s="54" t="inlineStr">
        <is>
          <t>https://www.facebook.com/SeelenvollShepherds</t>
        </is>
      </c>
      <c r="D57" s="6" t="inlineStr">
        <is>
          <t>Cần quét Bio Fanpage</t>
        </is>
      </c>
      <c r="E57" s="53" t="inlineStr">
        <is>
          <t>09/10/2026 07:19:30</t>
        </is>
      </c>
      <c r="F57" s="53" t="inlineStr">
        <is>
          <t>3 ngày trước</t>
        </is>
      </c>
      <c r="G57" s="55" t="n">
        <v>3</v>
      </c>
      <c r="H57" s="56" t="n">
        <v>28</v>
      </c>
      <c r="I57" s="6" t="inlineStr">
        <is>
          <t>Dog Breeder / Trại chó chuyên nghiệp (28-30đ)</t>
        </is>
      </c>
      <c r="J57" s="56" t="n">
        <v>30</v>
      </c>
      <c r="K57" s="6" t="inlineStr">
        <is>
          <t>German Shepherd</t>
        </is>
      </c>
      <c r="L57" s="56" t="n">
        <v>10</v>
      </c>
      <c r="M57" s="56" t="n">
        <v>5</v>
      </c>
      <c r="N57" s="6" t="inlineStr">
        <is>
          <t>Amazon link not found</t>
        </is>
      </c>
      <c r="O57" s="56">
        <f>IF(N57="Selling pet toys + Artificial grass/Pet toilets (TARGET)",15,IF(N57="Selling artificial grass/pet toilets (TARGET)",10,IF(N57="Selling pet toys",7,IF(N57="There's an Amazon link, but no target sales.",3,0))))</f>
        <v/>
      </c>
      <c r="P57" s="63">
        <f>H57+J57+L57+M57+O57</f>
        <v/>
      </c>
      <c r="Q57" s="64">
        <f>IF(OR(H57=0,P57&lt;30),"Tier D (Đóng băng)",IF(P57&gt;=85,"Tier S (Kim Cương: 85-100đ)",IF(P57&gt;=70,"Tier A (Vàng: 70-84đ)",IF(P57&gt;=61,"Tier B+ / Cấp A (Hot Lead: 61-69đ)",IF(P57&gt;=50,"Tier B (Bạc: 50-60đ)","Tier C (Đồng: 30-49đ)")))))</f>
        <v/>
      </c>
      <c r="R57" s="6" t="inlineStr">
        <is>
          <t>Trọn gói Take-Home Starter Kit V2/V3 (Cỏ nhân tạo + Khay Potty + Đồ chơi Teething/Snuggle)</t>
        </is>
      </c>
      <c r="S57" s="6" t="inlineStr">
        <is>
          <t>HOT LEAD CẤP A: Gọi Telesale trực tiếp trong ngày + Email cá nhân hóa chào Puppy Kit V2/V3</t>
        </is>
      </c>
    </row>
    <row r="58">
      <c r="A58" s="59" t="n">
        <v>2383</v>
      </c>
      <c r="B58" s="15" t="inlineStr">
        <is>
          <t>Outskirts French Bulldogs</t>
        </is>
      </c>
      <c r="C58" s="60" t="inlineStr">
        <is>
          <t>https://www.facebook.com/outskirts.kennels.llc</t>
        </is>
      </c>
      <c r="D58" s="9" t="inlineStr">
        <is>
          <t>Cần quét Bio Fanpage</t>
        </is>
      </c>
      <c r="E58" s="59" t="inlineStr">
        <is>
          <t>09/10/2026 06:17:26</t>
        </is>
      </c>
      <c r="F58" s="59" t="inlineStr">
        <is>
          <t>3 ngày trước</t>
        </is>
      </c>
      <c r="G58" s="61" t="n">
        <v>3</v>
      </c>
      <c r="H58" s="62" t="n">
        <v>28</v>
      </c>
      <c r="I58" s="9" t="inlineStr">
        <is>
          <t>Dog Breeder / Trại chó chuyên nghiệp (28-30đ)</t>
        </is>
      </c>
      <c r="J58" s="62" t="n">
        <v>30</v>
      </c>
      <c r="K58" s="9" t="inlineStr">
        <is>
          <t>French Bulldog</t>
        </is>
      </c>
      <c r="L58" s="62" t="n">
        <v>10</v>
      </c>
      <c r="M58" s="62" t="n">
        <v>5</v>
      </c>
      <c r="N58" s="9" t="inlineStr">
        <is>
          <t>Amazon link not found</t>
        </is>
      </c>
      <c r="O58" s="62">
        <f>IF(N58="Selling pet toys + Artificial grass/Pet toilets (TARGET)",15,IF(N58="Selling artificial grass/pet toilets (TARGET)",10,IF(N58="Selling pet toys",7,IF(N58="There's an Amazon link, but no target sales.",3,0))))</f>
        <v/>
      </c>
      <c r="P58" s="63">
        <f>H58+J58+L58+M58+O58</f>
        <v/>
      </c>
      <c r="Q58" s="64">
        <f>IF(OR(H58=0,P58&lt;30),"Tier D (Đóng băng)",IF(P58&gt;=85,"Tier S (Kim Cương: 85-100đ)",IF(P58&gt;=70,"Tier A (Vàng: 70-84đ)",IF(P58&gt;=61,"Tier B+ / Cấp A (Hot Lead: 61-69đ)",IF(P58&gt;=50,"Tier B (Bạc: 50-60đ)","Tier C (Đồng: 30-49đ)")))))</f>
        <v/>
      </c>
      <c r="R58" s="9" t="inlineStr">
        <is>
          <t>Trọn gói Take-Home Starter Kit V2/V3 (Cỏ nhân tạo + Khay Potty + Đồ chơi Teething/Snuggle)</t>
        </is>
      </c>
      <c r="S58" s="9" t="inlineStr">
        <is>
          <t>HOT LEAD CẤP A: Gọi Telesale trực tiếp trong ngày + Email cá nhân hóa chào Puppy Kit V2/V3</t>
        </is>
      </c>
    </row>
    <row r="59">
      <c r="A59" s="53" t="n">
        <v>5248</v>
      </c>
      <c r="B59" s="12" t="inlineStr">
        <is>
          <t>Romer Farms Jack Russell Terriers</t>
        </is>
      </c>
      <c r="C59" s="54" t="inlineStr">
        <is>
          <t>https://www.facebook.com/61588559050568</t>
        </is>
      </c>
      <c r="D59" s="6" t="inlineStr">
        <is>
          <t>Cần quét Bio Fanpage</t>
        </is>
      </c>
      <c r="E59" s="53" t="inlineStr">
        <is>
          <t>13/10/2026 06:18:15</t>
        </is>
      </c>
      <c r="F59" s="53" t="inlineStr">
        <is>
          <t>4 giờ trước</t>
        </is>
      </c>
      <c r="G59" s="55" t="n">
        <v>0.17</v>
      </c>
      <c r="H59" s="56" t="n">
        <v>32</v>
      </c>
      <c r="I59" s="6" t="inlineStr">
        <is>
          <t>Dog Breeder / Trại chó chuyên nghiệp (28-30đ)</t>
        </is>
      </c>
      <c r="J59" s="56" t="n">
        <v>30</v>
      </c>
      <c r="K59" s="6" t="inlineStr">
        <is>
          <t>Terrier (Jack Russell/Yorkie/Boston/Staffy)</t>
        </is>
      </c>
      <c r="L59" s="56" t="n">
        <v>5</v>
      </c>
      <c r="M59" s="56" t="n">
        <v>5</v>
      </c>
      <c r="N59" s="6" t="inlineStr">
        <is>
          <t>Amazon link not found</t>
        </is>
      </c>
      <c r="O59" s="56">
        <f>IF(N59="Selling pet toys + Artificial grass/Pet toilets (TARGET)",15,IF(N59="Selling artificial grass/pet toilets (TARGET)",10,IF(N59="Selling pet toys",7,IF(N59="There's an Amazon link, but no target sales.",3,0))))</f>
        <v/>
      </c>
      <c r="P59" s="63">
        <f>H59+J59+L59+M59+O59</f>
        <v/>
      </c>
      <c r="Q59" s="64">
        <f>IF(OR(H59=0,P59&lt;30),"Tier D (Đóng băng)",IF(P59&gt;=85,"Tier S (Kim Cương: 85-100đ)",IF(P59&gt;=70,"Tier A (Vàng: 70-84đ)",IF(P59&gt;=61,"Tier B+ / Cấp A (Hot Lead: 61-69đ)",IF(P59&gt;=50,"Tier B (Bạc: 50-60đ)","Tier C (Đồng: 30-49đ)")))))</f>
        <v/>
      </c>
      <c r="R59" s="6" t="inlineStr">
        <is>
          <t>Trọn gói Take-Home Starter Kit V2/V3 (Cỏ nhân tạo + Khay Potty + Đồ chơi Teething/Snuggle)</t>
        </is>
      </c>
      <c r="S59" s="6" t="inlineStr">
        <is>
          <t>HOT LEAD CẤP A: Gọi Telesale trực tiếp trong ngày + Email cá nhân hóa chào Puppy Kit V2/V3</t>
        </is>
      </c>
    </row>
    <row r="60">
      <c r="A60" s="59" t="n">
        <v>2000</v>
      </c>
      <c r="B60" s="15" t="inlineStr">
        <is>
          <t>Leed's Infinity - Chinese Crested kennel</t>
        </is>
      </c>
      <c r="C60" s="60" t="inlineStr">
        <is>
          <t>https://www.facebook.com/profile.php?id=100090438180677</t>
        </is>
      </c>
      <c r="D60" s="9" t="inlineStr">
        <is>
          <t>Cần quét Bio Fanpage</t>
        </is>
      </c>
      <c r="E60" s="59" t="inlineStr">
        <is>
          <t>12/10/2026 21:51:43</t>
        </is>
      </c>
      <c r="F60" s="59" t="inlineStr">
        <is>
          <t>6 giờ trước</t>
        </is>
      </c>
      <c r="G60" s="61" t="n">
        <v>0.25</v>
      </c>
      <c r="H60" s="62" t="n">
        <v>32</v>
      </c>
      <c r="I60" s="9" t="inlineStr">
        <is>
          <t>Dog Breeder / Trại chó chuyên nghiệp (28-30đ)</t>
        </is>
      </c>
      <c r="J60" s="62" t="n">
        <v>30</v>
      </c>
      <c r="K60" s="9" t="inlineStr">
        <is>
          <t>Chihuahua / Toy Companion</t>
        </is>
      </c>
      <c r="L60" s="62" t="n">
        <v>5</v>
      </c>
      <c r="M60" s="62" t="n">
        <v>5</v>
      </c>
      <c r="N60" s="9" t="inlineStr">
        <is>
          <t>Amazon link not found</t>
        </is>
      </c>
      <c r="O60" s="62">
        <f>IF(N60="Selling pet toys + Artificial grass/Pet toilets (TARGET)",15,IF(N60="Selling artificial grass/pet toilets (TARGET)",10,IF(N60="Selling pet toys",7,IF(N60="There's an Amazon link, but no target sales.",3,0))))</f>
        <v/>
      </c>
      <c r="P60" s="63">
        <f>H60+J60+L60+M60+O60</f>
        <v/>
      </c>
      <c r="Q60" s="64">
        <f>IF(OR(H60=0,P60&lt;30),"Tier D (Đóng băng)",IF(P60&gt;=85,"Tier S (Kim Cương: 85-100đ)",IF(P60&gt;=70,"Tier A (Vàng: 70-84đ)",IF(P60&gt;=61,"Tier B+ / Cấp A (Hot Lead: 61-69đ)",IF(P60&gt;=50,"Tier B (Bạc: 50-60đ)","Tier C (Đồng: 30-49đ)")))))</f>
        <v/>
      </c>
      <c r="R60" s="9" t="inlineStr">
        <is>
          <t>Trọn gói Take-Home Starter Kit V2/V3 (Cỏ nhân tạo + Khay Potty + Đồ chơi Teething/Snuggle)</t>
        </is>
      </c>
      <c r="S60" s="9" t="inlineStr">
        <is>
          <t>HOT LEAD CẤP A: Gọi Telesale trực tiếp trong ngày + Email cá nhân hóa chào Puppy Kit V2/V3</t>
        </is>
      </c>
    </row>
    <row r="61">
      <c r="A61" s="53" t="n">
        <v>2872</v>
      </c>
      <c r="B61" s="12" t="inlineStr">
        <is>
          <t>Shady Pines Boxer Puppies</t>
        </is>
      </c>
      <c r="C61" s="54" t="inlineStr">
        <is>
          <t>https://www.facebook.com/profile.php?id=100071849751829</t>
        </is>
      </c>
      <c r="D61" s="6" t="inlineStr">
        <is>
          <t>Cần quét Bio Fanpage</t>
        </is>
      </c>
      <c r="E61" s="53" t="inlineStr">
        <is>
          <t>12/10/2026 21:27:27</t>
        </is>
      </c>
      <c r="F61" s="53" t="inlineStr">
        <is>
          <t>8 giờ trước</t>
        </is>
      </c>
      <c r="G61" s="55" t="n">
        <v>0.33</v>
      </c>
      <c r="H61" s="56" t="n">
        <v>32</v>
      </c>
      <c r="I61" s="6" t="inlineStr">
        <is>
          <t>Dog Breeder / Trại chó chuyên nghiệp (28-30đ)</t>
        </is>
      </c>
      <c r="J61" s="56" t="n">
        <v>30</v>
      </c>
      <c r="K61" s="6" t="inlineStr">
        <is>
          <t>Great Dane / Working Giant</t>
        </is>
      </c>
      <c r="L61" s="56" t="n">
        <v>5</v>
      </c>
      <c r="M61" s="56" t="n">
        <v>5</v>
      </c>
      <c r="N61" s="6" t="inlineStr">
        <is>
          <t>Amazon link not found</t>
        </is>
      </c>
      <c r="O61" s="56">
        <f>IF(N61="Selling pet toys + Artificial grass/Pet toilets (TARGET)",15,IF(N61="Selling artificial grass/pet toilets (TARGET)",10,IF(N61="Selling pet toys",7,IF(N61="There's an Amazon link, but no target sales.",3,0))))</f>
        <v/>
      </c>
      <c r="P61" s="63">
        <f>H61+J61+L61+M61+O61</f>
        <v/>
      </c>
      <c r="Q61" s="64">
        <f>IF(OR(H61=0,P61&lt;30),"Tier D (Đóng băng)",IF(P61&gt;=85,"Tier S (Kim Cương: 85-100đ)",IF(P61&gt;=70,"Tier A (Vàng: 70-84đ)",IF(P61&gt;=61,"Tier B+ / Cấp A (Hot Lead: 61-69đ)",IF(P61&gt;=50,"Tier B (Bạc: 50-60đ)","Tier C (Đồng: 30-49đ)")))))</f>
        <v/>
      </c>
      <c r="R61" s="6" t="inlineStr">
        <is>
          <t>Trọn gói Take-Home Starter Kit V2/V3 (Cỏ nhân tạo + Khay Potty + Đồ chơi Teething/Snuggle)</t>
        </is>
      </c>
      <c r="S61" s="6" t="inlineStr">
        <is>
          <t>HOT LEAD CẤP A: Gọi Telesale trực tiếp trong ngày + Email cá nhân hóa chào Puppy Kit V2/V3</t>
        </is>
      </c>
    </row>
    <row r="62">
      <c r="A62" s="59" t="n">
        <v>49</v>
      </c>
      <c r="B62" s="15" t="inlineStr">
        <is>
          <t>Artificial lawn fo pet  (Artificial lawn for pet)</t>
        </is>
      </c>
      <c r="C62" s="60" t="inlineStr">
        <is>
          <t>https://www.facebook.com/profile.php?id=61590146927480</t>
        </is>
      </c>
      <c r="D62" s="9" t="inlineStr">
        <is>
          <t>Cần quét Bio Fanpage</t>
        </is>
      </c>
      <c r="E62" s="59" t="inlineStr">
        <is>
          <t>12/10/2026 21:05:01</t>
        </is>
      </c>
      <c r="F62" s="59" t="inlineStr">
        <is>
          <t>3 giờ trước</t>
        </is>
      </c>
      <c r="G62" s="61" t="n">
        <v>0.12</v>
      </c>
      <c r="H62" s="62" t="n">
        <v>35</v>
      </c>
      <c r="I62" s="9" t="inlineStr">
        <is>
          <t>Pet Boarding / Huấn luyện K9 &amp; Dịch vụ (20-22đ)</t>
        </is>
      </c>
      <c r="J62" s="62" t="n">
        <v>22</v>
      </c>
      <c r="K62" s="9" t="inlineStr">
        <is>
          <t>Chưa rõ giống (Cần quét Bio)</t>
        </is>
      </c>
      <c r="L62" s="62" t="n">
        <v>0</v>
      </c>
      <c r="M62" s="62" t="n">
        <v>5</v>
      </c>
      <c r="N62" s="9" t="inlineStr">
        <is>
          <t>Selling artificial grass/pet toilets (TARGET)</t>
        </is>
      </c>
      <c r="O62" s="62">
        <f>IF(N62="Selling pet toys + Artificial grass/Pet toilets (TARGET)",15,IF(N62="Selling artificial grass/pet toilets (TARGET)",10,IF(N62="Selling pet toys",7,IF(N62="There's an Amazon link, but no target sales.",3,0))))</f>
        <v/>
      </c>
      <c r="P62" s="63">
        <f>H62+J62+L62+M62+O62</f>
        <v/>
      </c>
      <c r="Q62" s="64">
        <f>IF(OR(H62=0,P62&lt;30),"Tier D (Đóng băng)",IF(P62&gt;=85,"Tier S (Kim Cương: 85-100đ)",IF(P62&gt;=70,"Tier A (Vàng: 70-84đ)",IF(P62&gt;=61,"Tier B+ / Cấp A (Hot Lead: 61-69đ)",IF(P62&gt;=50,"Tier B (Bạc: 50-60đ)","Tier C (Đồng: 30-49đ)")))))</f>
        <v/>
      </c>
      <c r="R62" s="9" t="inlineStr">
        <is>
          <t>Cỏ nhân tạo sân chơi/huấn luyện (Dog Turf) + Đồ chơi nhai chịu lực (KONG/Chew Toys)</t>
        </is>
      </c>
      <c r="S62" s="9" t="inlineStr">
        <is>
          <t>HOT LEAD CẤP A: Gọi Telesale trực tiếp trong ngày + Email cá nhân hóa chào Puppy Kit V2/V3</t>
        </is>
      </c>
    </row>
    <row r="63">
      <c r="A63" s="53" t="n">
        <v>133</v>
      </c>
      <c r="B63" s="12" t="inlineStr">
        <is>
          <t>Chinese Cresteds - EverCrest Kennels</t>
        </is>
      </c>
      <c r="C63" s="54" t="inlineStr">
        <is>
          <t>https://www.facebook.com/evercrestkennels</t>
        </is>
      </c>
      <c r="D63" s="6" t="inlineStr">
        <is>
          <t>Cần quét Bio Fanpage</t>
        </is>
      </c>
      <c r="E63" s="53" t="inlineStr">
        <is>
          <t>12/10/2026 20:29:13</t>
        </is>
      </c>
      <c r="F63" s="53" t="inlineStr">
        <is>
          <t>4 giờ trước</t>
        </is>
      </c>
      <c r="G63" s="55" t="n">
        <v>0.17</v>
      </c>
      <c r="H63" s="56" t="n">
        <v>32</v>
      </c>
      <c r="I63" s="6" t="inlineStr">
        <is>
          <t>Dog Breeder / Trại chó chuyên nghiệp (28-30đ)</t>
        </is>
      </c>
      <c r="J63" s="56" t="n">
        <v>30</v>
      </c>
      <c r="K63" s="6" t="inlineStr">
        <is>
          <t>Chihuahua / Toy Companion</t>
        </is>
      </c>
      <c r="L63" s="56" t="n">
        <v>5</v>
      </c>
      <c r="M63" s="56" t="n">
        <v>5</v>
      </c>
      <c r="N63" s="6" t="inlineStr">
        <is>
          <t>Amazon link not found</t>
        </is>
      </c>
      <c r="O63" s="56">
        <f>IF(N63="Selling pet toys + Artificial grass/Pet toilets (TARGET)",15,IF(N63="Selling artificial grass/pet toilets (TARGET)",10,IF(N63="Selling pet toys",7,IF(N63="There's an Amazon link, but no target sales.",3,0))))</f>
        <v/>
      </c>
      <c r="P63" s="63">
        <f>H63+J63+L63+M63+O63</f>
        <v/>
      </c>
      <c r="Q63" s="64">
        <f>IF(OR(H63=0,P63&lt;30),"Tier D (Đóng băng)",IF(P63&gt;=85,"Tier S (Kim Cương: 85-100đ)",IF(P63&gt;=70,"Tier A (Vàng: 70-84đ)",IF(P63&gt;=61,"Tier B+ / Cấp A (Hot Lead: 61-69đ)",IF(P63&gt;=50,"Tier B (Bạc: 50-60đ)","Tier C (Đồng: 30-49đ)")))))</f>
        <v/>
      </c>
      <c r="R63" s="6" t="inlineStr">
        <is>
          <t>Trọn gói Take-Home Starter Kit V2/V3 (Cỏ nhân tạo + Khay Potty + Đồ chơi Teething/Snuggle)</t>
        </is>
      </c>
      <c r="S63" s="6" t="inlineStr">
        <is>
          <t>HOT LEAD CẤP A: Gọi Telesale trực tiếp trong ngày + Email cá nhân hóa chào Puppy Kit V2/V3</t>
        </is>
      </c>
    </row>
    <row r="64">
      <c r="A64" s="59" t="n">
        <v>48</v>
      </c>
      <c r="B64" s="15" t="inlineStr">
        <is>
          <t>Stonewall Farm Bassets</t>
        </is>
      </c>
      <c r="C64" s="60" t="inlineStr">
        <is>
          <t>https://www.facebook.com/stonewallbassethounds</t>
        </is>
      </c>
      <c r="D64" s="9" t="inlineStr">
        <is>
          <t>Cần quét Bio Fanpage</t>
        </is>
      </c>
      <c r="E64" s="59" t="inlineStr">
        <is>
          <t>12/10/2026 07:59:16</t>
        </is>
      </c>
      <c r="F64" s="59" t="inlineStr">
        <is>
          <t>17 giờ trước</t>
        </is>
      </c>
      <c r="G64" s="61" t="n">
        <v>0.71</v>
      </c>
      <c r="H64" s="62" t="n">
        <v>32</v>
      </c>
      <c r="I64" s="9" t="inlineStr">
        <is>
          <t>Dog Breeder / Trại chó chuyên nghiệp (28-30đ)</t>
        </is>
      </c>
      <c r="J64" s="62" t="n">
        <v>30</v>
      </c>
      <c r="K64" s="9" t="inlineStr">
        <is>
          <t>Hound / Beagle / Basset</t>
        </is>
      </c>
      <c r="L64" s="62" t="n">
        <v>5</v>
      </c>
      <c r="M64" s="62" t="n">
        <v>5</v>
      </c>
      <c r="N64" s="9" t="inlineStr">
        <is>
          <t>Amazon link not found</t>
        </is>
      </c>
      <c r="O64" s="62">
        <f>IF(N64="Selling pet toys + Artificial grass/Pet toilets (TARGET)",15,IF(N64="Selling artificial grass/pet toilets (TARGET)",10,IF(N64="Selling pet toys",7,IF(N64="There's an Amazon link, but no target sales.",3,0))))</f>
        <v/>
      </c>
      <c r="P64" s="63">
        <f>H64+J64+L64+M64+O64</f>
        <v/>
      </c>
      <c r="Q64" s="64">
        <f>IF(OR(H64=0,P64&lt;30),"Tier D (Đóng băng)",IF(P64&gt;=85,"Tier S (Kim Cương: 85-100đ)",IF(P64&gt;=70,"Tier A (Vàng: 70-84đ)",IF(P64&gt;=61,"Tier B+ / Cấp A (Hot Lead: 61-69đ)",IF(P64&gt;=50,"Tier B (Bạc: 50-60đ)","Tier C (Đồng: 30-49đ)")))))</f>
        <v/>
      </c>
      <c r="R64" s="9" t="inlineStr">
        <is>
          <t>Trọn gói Take-Home Starter Kit V2/V3 (Cỏ nhân tạo + Khay Potty + Đồ chơi Teething/Snuggle)</t>
        </is>
      </c>
      <c r="S64" s="9" t="inlineStr">
        <is>
          <t>HOT LEAD CẤP A: Gọi Telesale trực tiếp trong ngày + Email cá nhân hóa chào Puppy Kit V2/V3</t>
        </is>
      </c>
    </row>
    <row r="65">
      <c r="A65" s="53" t="n">
        <v>88</v>
      </c>
      <c r="B65" s="12" t="inlineStr">
        <is>
          <t>3B kennels -Beths Best Bostons</t>
        </is>
      </c>
      <c r="C65" s="54" t="inlineStr">
        <is>
          <t>https://www.facebook.com/TopQualityBostons</t>
        </is>
      </c>
      <c r="D65" s="6" t="inlineStr">
        <is>
          <t>Cần quét Bio Fanpage</t>
        </is>
      </c>
      <c r="E65" s="53" t="inlineStr">
        <is>
          <t>12/10/2026 07:28:33</t>
        </is>
      </c>
      <c r="F65" s="53" t="inlineStr">
        <is>
          <t>17 giờ trước</t>
        </is>
      </c>
      <c r="G65" s="55" t="n">
        <v>0.71</v>
      </c>
      <c r="H65" s="56" t="n">
        <v>32</v>
      </c>
      <c r="I65" s="6" t="inlineStr">
        <is>
          <t>Dog Breeder / Trại chó chuyên nghiệp (28-30đ)</t>
        </is>
      </c>
      <c r="J65" s="56" t="n">
        <v>30</v>
      </c>
      <c r="K65" s="6" t="inlineStr">
        <is>
          <t>Terrier (Jack Russell/Yorkie/Boston/Staffy)</t>
        </is>
      </c>
      <c r="L65" s="56" t="n">
        <v>5</v>
      </c>
      <c r="M65" s="56" t="n">
        <v>5</v>
      </c>
      <c r="N65" s="6" t="inlineStr">
        <is>
          <t>Amazon link not found</t>
        </is>
      </c>
      <c r="O65" s="56">
        <f>IF(N65="Selling pet toys + Artificial grass/Pet toilets (TARGET)",15,IF(N65="Selling artificial grass/pet toilets (TARGET)",10,IF(N65="Selling pet toys",7,IF(N65="There's an Amazon link, but no target sales.",3,0))))</f>
        <v/>
      </c>
      <c r="P65" s="63">
        <f>H65+J65+L65+M65+O65</f>
        <v/>
      </c>
      <c r="Q65" s="64">
        <f>IF(OR(H65=0,P65&lt;30),"Tier D (Đóng băng)",IF(P65&gt;=85,"Tier S (Kim Cương: 85-100đ)",IF(P65&gt;=70,"Tier A (Vàng: 70-84đ)",IF(P65&gt;=61,"Tier B+ / Cấp A (Hot Lead: 61-69đ)",IF(P65&gt;=50,"Tier B (Bạc: 50-60đ)","Tier C (Đồng: 30-49đ)")))))</f>
        <v/>
      </c>
      <c r="R65" s="6" t="inlineStr">
        <is>
          <t>Trọn gói Take-Home Starter Kit V2/V3 (Cỏ nhân tạo + Khay Potty + Đồ chơi Teething/Snuggle)</t>
        </is>
      </c>
      <c r="S65" s="6" t="inlineStr">
        <is>
          <t>HOT LEAD CẤP A: Gọi Telesale trực tiếp trong ngày + Email cá nhân hóa chào Puppy Kit V2/V3</t>
        </is>
      </c>
    </row>
    <row r="66">
      <c r="A66" s="59" t="n">
        <v>2101</v>
      </c>
      <c r="B66" s="15" t="inlineStr">
        <is>
          <t>Magnolia Farms Mini Schnauzers</t>
        </is>
      </c>
      <c r="C66" s="60" t="inlineStr">
        <is>
          <t>https://www.facebook.com/profile.php?id=100057424660915</t>
        </is>
      </c>
      <c r="D66" s="9" t="inlineStr">
        <is>
          <t>Cần quét Bio Fanpage</t>
        </is>
      </c>
      <c r="E66" s="59" t="inlineStr">
        <is>
          <t>12/10/2026 05:27:43</t>
        </is>
      </c>
      <c r="F66" s="59" t="inlineStr">
        <is>
          <t>23 giờ trước</t>
        </is>
      </c>
      <c r="G66" s="61" t="n">
        <v>0.96</v>
      </c>
      <c r="H66" s="62" t="n">
        <v>32</v>
      </c>
      <c r="I66" s="9" t="inlineStr">
        <is>
          <t>Dog Breeder / Trại chó chuyên nghiệp (28-30đ)</t>
        </is>
      </c>
      <c r="J66" s="62" t="n">
        <v>30</v>
      </c>
      <c r="K66" s="9" t="inlineStr">
        <is>
          <t>Great Dane / Working Giant</t>
        </is>
      </c>
      <c r="L66" s="62" t="n">
        <v>5</v>
      </c>
      <c r="M66" s="62" t="n">
        <v>5</v>
      </c>
      <c r="N66" s="9" t="inlineStr">
        <is>
          <t>Amazon link not found</t>
        </is>
      </c>
      <c r="O66" s="62">
        <f>IF(N66="Selling pet toys + Artificial grass/Pet toilets (TARGET)",15,IF(N66="Selling artificial grass/pet toilets (TARGET)",10,IF(N66="Selling pet toys",7,IF(N66="There's an Amazon link, but no target sales.",3,0))))</f>
        <v/>
      </c>
      <c r="P66" s="63">
        <f>H66+J66+L66+M66+O66</f>
        <v/>
      </c>
      <c r="Q66" s="64">
        <f>IF(OR(H66=0,P66&lt;30),"Tier D (Đóng băng)",IF(P66&gt;=85,"Tier S (Kim Cương: 85-100đ)",IF(P66&gt;=70,"Tier A (Vàng: 70-84đ)",IF(P66&gt;=61,"Tier B+ / Cấp A (Hot Lead: 61-69đ)",IF(P66&gt;=50,"Tier B (Bạc: 50-60đ)","Tier C (Đồng: 30-49đ)")))))</f>
        <v/>
      </c>
      <c r="R66" s="9" t="inlineStr">
        <is>
          <t>Trọn gói Take-Home Starter Kit V2/V3 (Cỏ nhân tạo + Khay Potty + Đồ chơi Teething/Snuggle)</t>
        </is>
      </c>
      <c r="S66" s="9" t="inlineStr">
        <is>
          <t>HOT LEAD CẤP A: Gọi Telesale trực tiếp trong ngày + Email cá nhân hóa chào Puppy Kit V2/V3</t>
        </is>
      </c>
    </row>
    <row r="67">
      <c r="A67" s="53" t="n">
        <v>94</v>
      </c>
      <c r="B67" s="12" t="inlineStr">
        <is>
          <t>AKC Saint Bernard Puppies</t>
        </is>
      </c>
      <c r="C67" s="54" t="inlineStr">
        <is>
          <t>https://www.facebook.com/profile.php?id=100057048746149</t>
        </is>
      </c>
      <c r="D67" s="6" t="inlineStr">
        <is>
          <t>Cần quét Bio Fanpage</t>
        </is>
      </c>
      <c r="E67" s="53" t="inlineStr">
        <is>
          <t>12/10/2026 02:29:30</t>
        </is>
      </c>
      <c r="F67" s="53" t="inlineStr">
        <is>
          <t>22 giờ trước</t>
        </is>
      </c>
      <c r="G67" s="55" t="n">
        <v>0.92</v>
      </c>
      <c r="H67" s="56" t="n">
        <v>32</v>
      </c>
      <c r="I67" s="6" t="inlineStr">
        <is>
          <t>Dog Breeder / Trại chó chuyên nghiệp (28-30đ)</t>
        </is>
      </c>
      <c r="J67" s="56" t="n">
        <v>30</v>
      </c>
      <c r="K67" s="6" t="inlineStr">
        <is>
          <t>Great Dane / Working Giant</t>
        </is>
      </c>
      <c r="L67" s="56" t="n">
        <v>5</v>
      </c>
      <c r="M67" s="56" t="n">
        <v>5</v>
      </c>
      <c r="N67" s="6" t="inlineStr">
        <is>
          <t>Amazon link not found</t>
        </is>
      </c>
      <c r="O67" s="56">
        <f>IF(N67="Selling pet toys + Artificial grass/Pet toilets (TARGET)",15,IF(N67="Selling artificial grass/pet toilets (TARGET)",10,IF(N67="Selling pet toys",7,IF(N67="There's an Amazon link, but no target sales.",3,0))))</f>
        <v/>
      </c>
      <c r="P67" s="63">
        <f>H67+J67+L67+M67+O67</f>
        <v/>
      </c>
      <c r="Q67" s="64">
        <f>IF(OR(H67=0,P67&lt;30),"Tier D (Đóng băng)",IF(P67&gt;=85,"Tier S (Kim Cương: 85-100đ)",IF(P67&gt;=70,"Tier A (Vàng: 70-84đ)",IF(P67&gt;=61,"Tier B+ / Cấp A (Hot Lead: 61-69đ)",IF(P67&gt;=50,"Tier B (Bạc: 50-60đ)","Tier C (Đồng: 30-49đ)")))))</f>
        <v/>
      </c>
      <c r="R67" s="6" t="inlineStr">
        <is>
          <t>Trọn gói Take-Home Starter Kit V2/V3 (Cỏ nhân tạo + Khay Potty + Đồ chơi Teething/Snuggle)</t>
        </is>
      </c>
      <c r="S67" s="6" t="inlineStr">
        <is>
          <t>HOT LEAD CẤP A: Gọi Telesale trực tiếp trong ngày + Email cá nhân hóa chào Puppy Kit V2/V3</t>
        </is>
      </c>
    </row>
    <row r="68">
      <c r="A68" s="59" t="n">
        <v>1973</v>
      </c>
      <c r="B68" s="15" t="inlineStr">
        <is>
          <t>Lake Cumberland Doodle Farm LLC</t>
        </is>
      </c>
      <c r="C68" s="60" t="inlineStr">
        <is>
          <t>https://www.facebook.com/lcdoodlefarmllc</t>
        </is>
      </c>
      <c r="D68" s="9" t="inlineStr">
        <is>
          <t>Cần quét Bio Fanpage</t>
        </is>
      </c>
      <c r="E68" s="59" t="inlineStr">
        <is>
          <t>12/10/2026 01:17:59</t>
        </is>
      </c>
      <c r="F68" s="59" t="inlineStr">
        <is>
          <t>1 ngày trước</t>
        </is>
      </c>
      <c r="G68" s="61" t="n">
        <v>1</v>
      </c>
      <c r="H68" s="62" t="n">
        <v>28</v>
      </c>
      <c r="I68" s="9" t="inlineStr">
        <is>
          <t>Dog Breeder / Trại nhân giống (28-30đ)</t>
        </is>
      </c>
      <c r="J68" s="62" t="n">
        <v>28</v>
      </c>
      <c r="K68" s="9" t="inlineStr">
        <is>
          <t>Goldendoodle</t>
        </is>
      </c>
      <c r="L68" s="62" t="n">
        <v>10</v>
      </c>
      <c r="M68" s="62" t="n">
        <v>5</v>
      </c>
      <c r="N68" s="9" t="inlineStr">
        <is>
          <t>Amazon link not found</t>
        </is>
      </c>
      <c r="O68" s="62">
        <f>IF(N68="Selling pet toys + Artificial grass/Pet toilets (TARGET)",15,IF(N68="Selling artificial grass/pet toilets (TARGET)",10,IF(N68="Selling pet toys",7,IF(N68="There's an Amazon link, but no target sales.",3,0))))</f>
        <v/>
      </c>
      <c r="P68" s="63">
        <f>H68+J68+L68+M68+O68</f>
        <v/>
      </c>
      <c r="Q68" s="64">
        <f>IF(OR(H68=0,P68&lt;30),"Tier D (Đóng băng)",IF(P68&gt;=85,"Tier S (Kim Cương: 85-100đ)",IF(P68&gt;=70,"Tier A (Vàng: 70-84đ)",IF(P68&gt;=61,"Tier B+ / Cấp A (Hot Lead: 61-69đ)",IF(P68&gt;=50,"Tier B (Bạc: 50-60đ)","Tier C (Đồng: 30-49đ)")))))</f>
        <v/>
      </c>
      <c r="R68" s="9" t="inlineStr">
        <is>
          <t>Trọn gói Take-Home Starter Kit V2/V3 (Cỏ nhân tạo + Khay Potty + Đồ chơi cún con)</t>
        </is>
      </c>
      <c r="S68" s="9" t="inlineStr">
        <is>
          <t>HOT LEAD CẤP A: Gọi Telesale trực tiếp trong ngày + Email cá nhân hóa chào Puppy Kit V2/V3</t>
        </is>
      </c>
    </row>
    <row r="69">
      <c r="A69" s="53" t="n">
        <v>2910</v>
      </c>
      <c r="B69" s="12" t="inlineStr">
        <is>
          <t>Singing Sands Bernese Mountain Dogs &amp; French Bulldogs</t>
        </is>
      </c>
      <c r="C69" s="54" t="inlineStr">
        <is>
          <t>https://www.facebook.com/singingsands</t>
        </is>
      </c>
      <c r="D69" s="6" t="inlineStr">
        <is>
          <t>Cần quét Bio Fanpage</t>
        </is>
      </c>
      <c r="E69" s="53" t="inlineStr">
        <is>
          <t>11/10/2026 06:59:55</t>
        </is>
      </c>
      <c r="F69" s="53" t="inlineStr">
        <is>
          <t>1 ngày trước</t>
        </is>
      </c>
      <c r="G69" s="55" t="n">
        <v>1</v>
      </c>
      <c r="H69" s="56" t="n">
        <v>28</v>
      </c>
      <c r="I69" s="6" t="inlineStr">
        <is>
          <t>Dog Breeder / Trại chó chuyên nghiệp (28-30đ)</t>
        </is>
      </c>
      <c r="J69" s="56" t="n">
        <v>28</v>
      </c>
      <c r="K69" s="6" t="inlineStr">
        <is>
          <t>French Bulldog, Bernese Mountain Dog</t>
        </is>
      </c>
      <c r="L69" s="56" t="n">
        <v>15</v>
      </c>
      <c r="M69" s="56" t="n">
        <v>0</v>
      </c>
      <c r="N69" s="6" t="inlineStr">
        <is>
          <t>Amazon link not found</t>
        </is>
      </c>
      <c r="O69" s="56">
        <f>IF(N69="Selling pet toys + Artificial grass/Pet toilets (TARGET)",15,IF(N69="Selling artificial grass/pet toilets (TARGET)",10,IF(N69="Selling pet toys",7,IF(N69="There's an Amazon link, but no target sales.",3,0))))</f>
        <v/>
      </c>
      <c r="P69" s="63">
        <f>H69+J69+L69+M69+O69</f>
        <v/>
      </c>
      <c r="Q69" s="64">
        <f>IF(OR(H69=0,P69&lt;30),"Tier D (Đóng băng)",IF(P69&gt;=85,"Tier S (Kim Cương: 85-100đ)",IF(P69&gt;=70,"Tier A (Vàng: 70-84đ)",IF(P69&gt;=61,"Tier B+ / Cấp A (Hot Lead: 61-69đ)",IF(P69&gt;=50,"Tier B (Bạc: 50-60đ)","Tier C (Đồng: 30-49đ)")))))</f>
        <v/>
      </c>
      <c r="R69" s="6" t="inlineStr">
        <is>
          <t>Trọn gói Take-Home Starter Kit V2/V3 (Cỏ nhân tạo + Khay Potty + Đồ chơi Teething/Snuggle)</t>
        </is>
      </c>
      <c r="S69" s="6" t="inlineStr">
        <is>
          <t>HOT LEAD CẤP A: Gọi Telesale trực tiếp trong ngày + Email cá nhân hóa chào Puppy Kit V2/V3</t>
        </is>
      </c>
    </row>
    <row r="70">
      <c r="A70" s="59" t="n">
        <v>890</v>
      </c>
      <c r="B70" s="15" t="inlineStr">
        <is>
          <t>Childs English &amp; French Bulldogs</t>
        </is>
      </c>
      <c r="C70" s="60" t="inlineStr">
        <is>
          <t>https://www.facebook.com/childsbulldog</t>
        </is>
      </c>
      <c r="D70" s="9" t="inlineStr">
        <is>
          <t>Cần quét Bio Fanpage</t>
        </is>
      </c>
      <c r="E70" s="59" t="inlineStr">
        <is>
          <t>10/10/2026 12:13:19</t>
        </is>
      </c>
      <c r="F70" s="59" t="inlineStr">
        <is>
          <t>2 ngày trước</t>
        </is>
      </c>
      <c r="G70" s="61" t="n">
        <v>2</v>
      </c>
      <c r="H70" s="62" t="n">
        <v>28</v>
      </c>
      <c r="I70" s="9" t="inlineStr">
        <is>
          <t>Dog Breeder / Trại chó chuyên nghiệp (28-30đ)</t>
        </is>
      </c>
      <c r="J70" s="62" t="n">
        <v>28</v>
      </c>
      <c r="K70" s="9" t="inlineStr">
        <is>
          <t>French Bulldog, English Bulldog</t>
        </is>
      </c>
      <c r="L70" s="62" t="n">
        <v>15</v>
      </c>
      <c r="M70" s="62" t="n">
        <v>0</v>
      </c>
      <c r="N70" s="9" t="inlineStr">
        <is>
          <t>Amazon link not found</t>
        </is>
      </c>
      <c r="O70" s="62">
        <f>IF(N70="Selling pet toys + Artificial grass/Pet toilets (TARGET)",15,IF(N70="Selling artificial grass/pet toilets (TARGET)",10,IF(N70="Selling pet toys",7,IF(N70="There's an Amazon link, but no target sales.",3,0))))</f>
        <v/>
      </c>
      <c r="P70" s="63">
        <f>H70+J70+L70+M70+O70</f>
        <v/>
      </c>
      <c r="Q70" s="64">
        <f>IF(OR(H70=0,P70&lt;30),"Tier D (Đóng băng)",IF(P70&gt;=85,"Tier S (Kim Cương: 85-100đ)",IF(P70&gt;=70,"Tier A (Vàng: 70-84đ)",IF(P70&gt;=61,"Tier B+ / Cấp A (Hot Lead: 61-69đ)",IF(P70&gt;=50,"Tier B (Bạc: 50-60đ)","Tier C (Đồng: 30-49đ)")))))</f>
        <v/>
      </c>
      <c r="R70" s="9" t="inlineStr">
        <is>
          <t>Trọn gói Take-Home Starter Kit V2/V3 (Cỏ nhân tạo + Khay Potty + Đồ chơi Teething/Snuggle)</t>
        </is>
      </c>
      <c r="S70" s="9" t="inlineStr">
        <is>
          <t>HOT LEAD CẤP A: Gọi Telesale trực tiếp trong ngày + Email cá nhân hóa chào Puppy Kit V2/V3</t>
        </is>
      </c>
    </row>
    <row r="71">
      <c r="A71" s="53" t="n">
        <v>996</v>
      </c>
      <c r="B71" s="12" t="inlineStr">
        <is>
          <t>Dame Dogs Labradors, LLC</t>
        </is>
      </c>
      <c r="C71" s="54" t="inlineStr">
        <is>
          <t>https://www.facebook.com/damedogslabradors</t>
        </is>
      </c>
      <c r="D71" s="6" t="inlineStr">
        <is>
          <t>Cần quét Bio Fanpage</t>
        </is>
      </c>
      <c r="E71" s="53" t="inlineStr">
        <is>
          <t>10/10/2026 10:32:38</t>
        </is>
      </c>
      <c r="F71" s="53" t="inlineStr">
        <is>
          <t>2 ngày trước</t>
        </is>
      </c>
      <c r="G71" s="55" t="n">
        <v>2</v>
      </c>
      <c r="H71" s="56" t="n">
        <v>28</v>
      </c>
      <c r="I71" s="6" t="inlineStr">
        <is>
          <t>Dog Breeder / Trại nhân giống (28-30đ)</t>
        </is>
      </c>
      <c r="J71" s="56" t="n">
        <v>28</v>
      </c>
      <c r="K71" s="6" t="inlineStr">
        <is>
          <t>Labrador</t>
        </is>
      </c>
      <c r="L71" s="56" t="n">
        <v>10</v>
      </c>
      <c r="M71" s="56" t="n">
        <v>5</v>
      </c>
      <c r="N71" s="6" t="inlineStr">
        <is>
          <t>Amazon link not found</t>
        </is>
      </c>
      <c r="O71" s="56">
        <f>IF(N71="Selling pet toys + Artificial grass/Pet toilets (TARGET)",15,IF(N71="Selling artificial grass/pet toilets (TARGET)",10,IF(N71="Selling pet toys",7,IF(N71="There's an Amazon link, but no target sales.",3,0))))</f>
        <v/>
      </c>
      <c r="P71" s="63">
        <f>H71+J71+L71+M71+O71</f>
        <v/>
      </c>
      <c r="Q71" s="64">
        <f>IF(OR(H71=0,P71&lt;30),"Tier D (Đóng băng)",IF(P71&gt;=85,"Tier S (Kim Cương: 85-100đ)",IF(P71&gt;=70,"Tier A (Vàng: 70-84đ)",IF(P71&gt;=61,"Tier B+ / Cấp A (Hot Lead: 61-69đ)",IF(P71&gt;=50,"Tier B (Bạc: 50-60đ)","Tier C (Đồng: 30-49đ)")))))</f>
        <v/>
      </c>
      <c r="R71" s="6" t="inlineStr">
        <is>
          <t>Trọn gói Take-Home Starter Kit V2/V3 (Cỏ nhân tạo + Khay Potty + Đồ chơi cún con)</t>
        </is>
      </c>
      <c r="S71" s="6" t="inlineStr">
        <is>
          <t>HOT LEAD CẤP A: Gọi Telesale trực tiếp trong ngày + Email cá nhân hóa chào Puppy Kit V2/V3</t>
        </is>
      </c>
    </row>
    <row r="72">
      <c r="A72" s="59" t="n">
        <v>5851</v>
      </c>
      <c r="B72" s="15" t="inlineStr">
        <is>
          <t>We Love Puppies</t>
        </is>
      </c>
      <c r="C72" s="60" t="inlineStr">
        <is>
          <t>https://www.facebook.com/profile.php?id=100063198220891</t>
        </is>
      </c>
      <c r="D72" s="9" t="inlineStr">
        <is>
          <t>Cần quét Bio Fanpage</t>
        </is>
      </c>
      <c r="E72" s="59" t="inlineStr">
        <is>
          <t>13/10/2026 10:34:34</t>
        </is>
      </c>
      <c r="F72" s="59" t="inlineStr">
        <is>
          <t>54 phút trước</t>
        </is>
      </c>
      <c r="G72" s="61" t="n">
        <v>0.04</v>
      </c>
      <c r="H72" s="62" t="n">
        <v>35</v>
      </c>
      <c r="I72" s="9" t="inlineStr">
        <is>
          <t>Dog Breeder / Trại chó chuyên nghiệp (28-30đ)</t>
        </is>
      </c>
      <c r="J72" s="62" t="n">
        <v>30</v>
      </c>
      <c r="K72" s="9" t="inlineStr">
        <is>
          <t>Chưa rõ giống (Cần quét Bio)</t>
        </is>
      </c>
      <c r="L72" s="62" t="n">
        <v>0</v>
      </c>
      <c r="M72" s="62" t="n">
        <v>5</v>
      </c>
      <c r="N72" s="9" t="inlineStr">
        <is>
          <t>Amazon link not found</t>
        </is>
      </c>
      <c r="O72" s="62">
        <f>IF(N72="Selling pet toys + Artificial grass/Pet toilets (TARGET)",15,IF(N72="Selling artificial grass/pet toilets (TARGET)",10,IF(N72="Selling pet toys",7,IF(N72="There's an Amazon link, but no target sales.",3,0))))</f>
        <v/>
      </c>
      <c r="P72" s="63">
        <f>H72+J72+L72+M72+O72</f>
        <v/>
      </c>
      <c r="Q72" s="64">
        <f>IF(OR(H72=0,P72&lt;30),"Tier D (Đóng băng)",IF(P72&gt;=85,"Tier S (Kim Cương: 85-100đ)",IF(P72&gt;=70,"Tier A (Vàng: 70-84đ)",IF(P72&gt;=61,"Tier B+ / Cấp A (Hot Lead: 61-69đ)",IF(P72&gt;=50,"Tier B (Bạc: 50-60đ)","Tier C (Đồng: 30-49đ)")))))</f>
        <v/>
      </c>
      <c r="R72" s="9" t="inlineStr">
        <is>
          <t>Trọn gói Take-Home Starter Kit V2/V3 (Cỏ nhân tạo + Khay Potty + Đồ chơi Teething/Snuggle)</t>
        </is>
      </c>
      <c r="S72" s="9" t="inlineStr">
        <is>
          <t>HOT LEAD CẤP A: Gọi Telesale trực tiếp trong ngày + Email cá nhân hóa chào Puppy Kit V2/V3</t>
        </is>
      </c>
    </row>
    <row r="73">
      <c r="A73" s="53" t="n">
        <v>5591</v>
      </c>
      <c r="B73" s="12" t="inlineStr">
        <is>
          <t>The Fifth Element Kennel</t>
        </is>
      </c>
      <c r="C73" s="54" t="inlineStr">
        <is>
          <t>https://www.facebook.com/TheFifthElementkennel</t>
        </is>
      </c>
      <c r="D73" s="6" t="inlineStr">
        <is>
          <t>Cần quét Bio Fanpage</t>
        </is>
      </c>
      <c r="E73" s="53" t="inlineStr">
        <is>
          <t>13/10/2026 09:50:56</t>
        </is>
      </c>
      <c r="F73" s="53" t="inlineStr">
        <is>
          <t>1 giờ trước</t>
        </is>
      </c>
      <c r="G73" s="55" t="n">
        <v>0.04</v>
      </c>
      <c r="H73" s="56" t="n">
        <v>35</v>
      </c>
      <c r="I73" s="6" t="inlineStr">
        <is>
          <t>Dog Breeder / Trại chó chuyên nghiệp (28-30đ)</t>
        </is>
      </c>
      <c r="J73" s="56" t="n">
        <v>30</v>
      </c>
      <c r="K73" s="6" t="inlineStr">
        <is>
          <t>Chưa rõ giống (Cần quét Bio)</t>
        </is>
      </c>
      <c r="L73" s="56" t="n">
        <v>0</v>
      </c>
      <c r="M73" s="56" t="n">
        <v>5</v>
      </c>
      <c r="N73" s="6" t="inlineStr">
        <is>
          <t>Amazon link not found</t>
        </is>
      </c>
      <c r="O73" s="56">
        <f>IF(N73="Selling pet toys + Artificial grass/Pet toilets (TARGET)",15,IF(N73="Selling artificial grass/pet toilets (TARGET)",10,IF(N73="Selling pet toys",7,IF(N73="There's an Amazon link, but no target sales.",3,0))))</f>
        <v/>
      </c>
      <c r="P73" s="63">
        <f>H73+J73+L73+M73+O73</f>
        <v/>
      </c>
      <c r="Q73" s="64">
        <f>IF(OR(H73=0,P73&lt;30),"Tier D (Đóng băng)",IF(P73&gt;=85,"Tier S (Kim Cương: 85-100đ)",IF(P73&gt;=70,"Tier A (Vàng: 70-84đ)",IF(P73&gt;=61,"Tier B+ / Cấp A (Hot Lead: 61-69đ)",IF(P73&gt;=50,"Tier B (Bạc: 50-60đ)","Tier C (Đồng: 30-49đ)")))))</f>
        <v/>
      </c>
      <c r="R73" s="6" t="inlineStr">
        <is>
          <t>Trọn gói Take-Home Starter Kit V2/V3 (Cỏ nhân tạo + Khay Potty + Đồ chơi Teething/Snuggle)</t>
        </is>
      </c>
      <c r="S73" s="6" t="inlineStr">
        <is>
          <t>HOT LEAD CẤP A: Gọi Telesale trực tiếp trong ngày + Email cá nhân hóa chào Puppy Kit V2/V3</t>
        </is>
      </c>
    </row>
    <row r="74">
      <c r="A74" s="59" t="n">
        <v>5721</v>
      </c>
      <c r="B74" s="15" t="inlineStr">
        <is>
          <t>Try Hard Kennels</t>
        </is>
      </c>
      <c r="C74" s="60" t="inlineStr">
        <is>
          <t>https://www.facebook.com/tryhardkennel</t>
        </is>
      </c>
      <c r="D74" s="9" t="inlineStr">
        <is>
          <t>Cần quét Bio Fanpage</t>
        </is>
      </c>
      <c r="E74" s="59" t="inlineStr">
        <is>
          <t>13/10/2026 08:05:00</t>
        </is>
      </c>
      <c r="F74" s="59" t="inlineStr">
        <is>
          <t>3 giờ trước</t>
        </is>
      </c>
      <c r="G74" s="61" t="n">
        <v>0.12</v>
      </c>
      <c r="H74" s="62" t="n">
        <v>35</v>
      </c>
      <c r="I74" s="9" t="inlineStr">
        <is>
          <t>Dog Breeder / Trại chó chuyên nghiệp (28-30đ)</t>
        </is>
      </c>
      <c r="J74" s="62" t="n">
        <v>30</v>
      </c>
      <c r="K74" s="9" t="inlineStr">
        <is>
          <t>Chưa rõ giống (Cần quét Bio)</t>
        </is>
      </c>
      <c r="L74" s="62" t="n">
        <v>0</v>
      </c>
      <c r="M74" s="62" t="n">
        <v>5</v>
      </c>
      <c r="N74" s="9" t="inlineStr">
        <is>
          <t>Amazon link not found</t>
        </is>
      </c>
      <c r="O74" s="62">
        <f>IF(N74="Selling pet toys + Artificial grass/Pet toilets (TARGET)",15,IF(N74="Selling artificial grass/pet toilets (TARGET)",10,IF(N74="Selling pet toys",7,IF(N74="There's an Amazon link, but no target sales.",3,0))))</f>
        <v/>
      </c>
      <c r="P74" s="63">
        <f>H74+J74+L74+M74+O74</f>
        <v/>
      </c>
      <c r="Q74" s="64">
        <f>IF(OR(H74=0,P74&lt;30),"Tier D (Đóng băng)",IF(P74&gt;=85,"Tier S (Kim Cương: 85-100đ)",IF(P74&gt;=70,"Tier A (Vàng: 70-84đ)",IF(P74&gt;=61,"Tier B+ / Cấp A (Hot Lead: 61-69đ)",IF(P74&gt;=50,"Tier B (Bạc: 50-60đ)","Tier C (Đồng: 30-49đ)")))))</f>
        <v/>
      </c>
      <c r="R74" s="9" t="inlineStr">
        <is>
          <t>Trọn gói Take-Home Starter Kit V2/V3 (Cỏ nhân tạo + Khay Potty + Đồ chơi Teething/Snuggle)</t>
        </is>
      </c>
      <c r="S74" s="9" t="inlineStr">
        <is>
          <t>HOT LEAD CẤP A: Gọi Telesale trực tiếp trong ngày + Email cá nhân hóa chào Puppy Kit V2/V3</t>
        </is>
      </c>
    </row>
    <row r="75">
      <c r="A75" s="53" t="n">
        <v>5083</v>
      </c>
      <c r="B75" s="12" t="inlineStr">
        <is>
          <t>Powerline Kennels</t>
        </is>
      </c>
      <c r="C75" s="54" t="inlineStr">
        <is>
          <t>https://www.facebook.com/powerline.kennels</t>
        </is>
      </c>
      <c r="D75" s="6" t="inlineStr">
        <is>
          <t>Cần quét Bio Fanpage</t>
        </is>
      </c>
      <c r="E75" s="53" t="inlineStr">
        <is>
          <t>13/10/2026 07:35:47</t>
        </is>
      </c>
      <c r="F75" s="53" t="inlineStr">
        <is>
          <t>2 giờ trước</t>
        </is>
      </c>
      <c r="G75" s="55" t="n">
        <v>0.08</v>
      </c>
      <c r="H75" s="56" t="n">
        <v>35</v>
      </c>
      <c r="I75" s="6" t="inlineStr">
        <is>
          <t>Dog Breeder / Trại chó chuyên nghiệp (28-30đ)</t>
        </is>
      </c>
      <c r="J75" s="56" t="n">
        <v>30</v>
      </c>
      <c r="K75" s="6" t="inlineStr">
        <is>
          <t>Chưa rõ giống (Cần quét Bio)</t>
        </is>
      </c>
      <c r="L75" s="56" t="n">
        <v>0</v>
      </c>
      <c r="M75" s="56" t="n">
        <v>5</v>
      </c>
      <c r="N75" s="6" t="inlineStr">
        <is>
          <t>Amazon link not found</t>
        </is>
      </c>
      <c r="O75" s="56">
        <f>IF(N75="Selling pet toys + Artificial grass/Pet toilets (TARGET)",15,IF(N75="Selling artificial grass/pet toilets (TARGET)",10,IF(N75="Selling pet toys",7,IF(N75="There's an Amazon link, but no target sales.",3,0))))</f>
        <v/>
      </c>
      <c r="P75" s="63">
        <f>H75+J75+L75+M75+O75</f>
        <v/>
      </c>
      <c r="Q75" s="64">
        <f>IF(OR(H75=0,P75&lt;30),"Tier D (Đóng băng)",IF(P75&gt;=85,"Tier S (Kim Cương: 85-100đ)",IF(P75&gt;=70,"Tier A (Vàng: 70-84đ)",IF(P75&gt;=61,"Tier B+ / Cấp A (Hot Lead: 61-69đ)",IF(P75&gt;=50,"Tier B (Bạc: 50-60đ)","Tier C (Đồng: 30-49đ)")))))</f>
        <v/>
      </c>
      <c r="R75" s="6" t="inlineStr">
        <is>
          <t>Trọn gói Take-Home Starter Kit V2/V3 (Cỏ nhân tạo + Khay Potty + Đồ chơi Teething/Snuggle)</t>
        </is>
      </c>
      <c r="S75" s="6" t="inlineStr">
        <is>
          <t>HOT LEAD CẤP A: Gọi Telesale trực tiếp trong ngày + Email cá nhân hóa chào Puppy Kit V2/V3</t>
        </is>
      </c>
    </row>
    <row r="76">
      <c r="A76" s="59" t="n">
        <v>5189</v>
      </c>
      <c r="B76" s="15" t="inlineStr">
        <is>
          <t>Reflection Kennels</t>
        </is>
      </c>
      <c r="C76" s="60" t="inlineStr">
        <is>
          <t>https://www.facebook.com/reflectionkennels</t>
        </is>
      </c>
      <c r="D76" s="9" t="inlineStr">
        <is>
          <t>Cần quét Bio Fanpage</t>
        </is>
      </c>
      <c r="E76" s="59" t="inlineStr">
        <is>
          <t>13/10/2026 07:34:39</t>
        </is>
      </c>
      <c r="F76" s="59" t="inlineStr">
        <is>
          <t>2 giờ trước</t>
        </is>
      </c>
      <c r="G76" s="61" t="n">
        <v>0.08</v>
      </c>
      <c r="H76" s="62" t="n">
        <v>35</v>
      </c>
      <c r="I76" s="9" t="inlineStr">
        <is>
          <t>Dog Breeder / Trại chó chuyên nghiệp (28-30đ)</t>
        </is>
      </c>
      <c r="J76" s="62" t="n">
        <v>30</v>
      </c>
      <c r="K76" s="9" t="inlineStr">
        <is>
          <t>Chưa rõ giống (Cần quét Bio)</t>
        </is>
      </c>
      <c r="L76" s="62" t="n">
        <v>0</v>
      </c>
      <c r="M76" s="62" t="n">
        <v>5</v>
      </c>
      <c r="N76" s="9" t="inlineStr">
        <is>
          <t>Amazon link not found</t>
        </is>
      </c>
      <c r="O76" s="62">
        <f>IF(N76="Selling pet toys + Artificial grass/Pet toilets (TARGET)",15,IF(N76="Selling artificial grass/pet toilets (TARGET)",10,IF(N76="Selling pet toys",7,IF(N76="There's an Amazon link, but no target sales.",3,0))))</f>
        <v/>
      </c>
      <c r="P76" s="63">
        <f>H76+J76+L76+M76+O76</f>
        <v/>
      </c>
      <c r="Q76" s="64">
        <f>IF(OR(H76=0,P76&lt;30),"Tier D (Đóng băng)",IF(P76&gt;=85,"Tier S (Kim Cương: 85-100đ)",IF(P76&gt;=70,"Tier A (Vàng: 70-84đ)",IF(P76&gt;=61,"Tier B+ / Cấp A (Hot Lead: 61-69đ)",IF(P76&gt;=50,"Tier B (Bạc: 50-60đ)","Tier C (Đồng: 30-49đ)")))))</f>
        <v/>
      </c>
      <c r="R76" s="9" t="inlineStr">
        <is>
          <t>Trọn gói Take-Home Starter Kit V2/V3 (Cỏ nhân tạo + Khay Potty + Đồ chơi Teething/Snuggle)</t>
        </is>
      </c>
      <c r="S76" s="9" t="inlineStr">
        <is>
          <t>HOT LEAD CẤP A: Gọi Telesale trực tiếp trong ngày + Email cá nhân hóa chào Puppy Kit V2/V3</t>
        </is>
      </c>
    </row>
    <row r="77">
      <c r="A77" s="53" t="n">
        <v>4806</v>
      </c>
      <c r="B77" s="12" t="inlineStr">
        <is>
          <t>Oak'N Stone Kennels</t>
        </is>
      </c>
      <c r="C77" s="54" t="inlineStr">
        <is>
          <t>https://www.facebook.com/profile.php?id=100088505165566</t>
        </is>
      </c>
      <c r="D77" s="6" t="inlineStr">
        <is>
          <t>Cần quét Bio Fanpage</t>
        </is>
      </c>
      <c r="E77" s="53" t="inlineStr">
        <is>
          <t>13/10/2026 06:57:52</t>
        </is>
      </c>
      <c r="F77" s="53" t="inlineStr">
        <is>
          <t>2 giờ trước</t>
        </is>
      </c>
      <c r="G77" s="55" t="n">
        <v>0.08</v>
      </c>
      <c r="H77" s="56" t="n">
        <v>35</v>
      </c>
      <c r="I77" s="6" t="inlineStr">
        <is>
          <t>Dog Breeder / Trại chó chuyên nghiệp (28-30đ)</t>
        </is>
      </c>
      <c r="J77" s="56" t="n">
        <v>30</v>
      </c>
      <c r="K77" s="6" t="inlineStr">
        <is>
          <t>Chưa rõ giống (Cần quét Bio)</t>
        </is>
      </c>
      <c r="L77" s="56" t="n">
        <v>0</v>
      </c>
      <c r="M77" s="56" t="n">
        <v>5</v>
      </c>
      <c r="N77" s="6" t="inlineStr">
        <is>
          <t>Amazon link not found</t>
        </is>
      </c>
      <c r="O77" s="56">
        <f>IF(N77="Selling pet toys + Artificial grass/Pet toilets (TARGET)",15,IF(N77="Selling artificial grass/pet toilets (TARGET)",10,IF(N77="Selling pet toys",7,IF(N77="There's an Amazon link, but no target sales.",3,0))))</f>
        <v/>
      </c>
      <c r="P77" s="63">
        <f>H77+J77+L77+M77+O77</f>
        <v/>
      </c>
      <c r="Q77" s="64">
        <f>IF(OR(H77=0,P77&lt;30),"Tier D (Đóng băng)",IF(P77&gt;=85,"Tier S (Kim Cương: 85-100đ)",IF(P77&gt;=70,"Tier A (Vàng: 70-84đ)",IF(P77&gt;=61,"Tier B+ / Cấp A (Hot Lead: 61-69đ)",IF(P77&gt;=50,"Tier B (Bạc: 50-60đ)","Tier C (Đồng: 30-49đ)")))))</f>
        <v/>
      </c>
      <c r="R77" s="6" t="inlineStr">
        <is>
          <t>Trọn gói Take-Home Starter Kit V2/V3 (Cỏ nhân tạo + Khay Potty + Đồ chơi Teething/Snuggle)</t>
        </is>
      </c>
      <c r="S77" s="6" t="inlineStr">
        <is>
          <t>HOT LEAD CẤP A: Gọi Telesale trực tiếp trong ngày + Email cá nhân hóa chào Puppy Kit V2/V3</t>
        </is>
      </c>
    </row>
    <row r="78">
      <c r="A78" s="59" t="n">
        <v>4603</v>
      </c>
      <c r="B78" s="15" t="inlineStr">
        <is>
          <t>Master Of Puppies</t>
        </is>
      </c>
      <c r="C78" s="60" t="inlineStr">
        <is>
          <t>https://www.facebook.com/masterofpuppies.hq</t>
        </is>
      </c>
      <c r="D78" s="9" t="inlineStr">
        <is>
          <t>Cần quét Bio Fanpage</t>
        </is>
      </c>
      <c r="E78" s="59" t="inlineStr">
        <is>
          <t>13/10/2026 05:28:27</t>
        </is>
      </c>
      <c r="F78" s="59" t="inlineStr">
        <is>
          <t>3 giờ trước</t>
        </is>
      </c>
      <c r="G78" s="61" t="n">
        <v>0.12</v>
      </c>
      <c r="H78" s="62" t="n">
        <v>35</v>
      </c>
      <c r="I78" s="9" t="inlineStr">
        <is>
          <t>Dog Breeder / Trại chó chuyên nghiệp (28-30đ)</t>
        </is>
      </c>
      <c r="J78" s="62" t="n">
        <v>30</v>
      </c>
      <c r="K78" s="9" t="inlineStr">
        <is>
          <t>Chưa rõ giống (Cần quét Bio)</t>
        </is>
      </c>
      <c r="L78" s="62" t="n">
        <v>0</v>
      </c>
      <c r="M78" s="62" t="n">
        <v>5</v>
      </c>
      <c r="N78" s="9" t="inlineStr">
        <is>
          <t>Amazon link not found</t>
        </is>
      </c>
      <c r="O78" s="62">
        <f>IF(N78="Selling pet toys + Artificial grass/Pet toilets (TARGET)",15,IF(N78="Selling artificial grass/pet toilets (TARGET)",10,IF(N78="Selling pet toys",7,IF(N78="There's an Amazon link, but no target sales.",3,0))))</f>
        <v/>
      </c>
      <c r="P78" s="63">
        <f>H78+J78+L78+M78+O78</f>
        <v/>
      </c>
      <c r="Q78" s="64">
        <f>IF(OR(H78=0,P78&lt;30),"Tier D (Đóng băng)",IF(P78&gt;=85,"Tier S (Kim Cương: 85-100đ)",IF(P78&gt;=70,"Tier A (Vàng: 70-84đ)",IF(P78&gt;=61,"Tier B+ / Cấp A (Hot Lead: 61-69đ)",IF(P78&gt;=50,"Tier B (Bạc: 50-60đ)","Tier C (Đồng: 30-49đ)")))))</f>
        <v/>
      </c>
      <c r="R78" s="9" t="inlineStr">
        <is>
          <t>Trọn gói Take-Home Starter Kit V2/V3 (Cỏ nhân tạo + Khay Potty + Đồ chơi Teething/Snuggle)</t>
        </is>
      </c>
      <c r="S78" s="9" t="inlineStr">
        <is>
          <t>HOT LEAD CẤP A: Gọi Telesale trực tiếp trong ngày + Email cá nhân hóa chào Puppy Kit V2/V3</t>
        </is>
      </c>
    </row>
    <row r="79">
      <c r="A79" s="53" t="n">
        <v>3881</v>
      </c>
      <c r="B79" s="12" t="inlineStr">
        <is>
          <t>Flushing Kimber Kennels</t>
        </is>
      </c>
      <c r="C79" s="54" t="inlineStr">
        <is>
          <t>https://www.facebook.com/flusingkimberkennels</t>
        </is>
      </c>
      <c r="D79" s="6" t="inlineStr">
        <is>
          <t>Cần quét Bio Fanpage</t>
        </is>
      </c>
      <c r="E79" s="53" t="inlineStr">
        <is>
          <t>13/10/2026 05:18:00</t>
        </is>
      </c>
      <c r="F79" s="53" t="inlineStr">
        <is>
          <t>2 giờ trước</t>
        </is>
      </c>
      <c r="G79" s="55" t="n">
        <v>0.08</v>
      </c>
      <c r="H79" s="56" t="n">
        <v>35</v>
      </c>
      <c r="I79" s="6" t="inlineStr">
        <is>
          <t>Dog Breeder / Trại chó chuyên nghiệp (28-30đ)</t>
        </is>
      </c>
      <c r="J79" s="56" t="n">
        <v>30</v>
      </c>
      <c r="K79" s="6" t="inlineStr">
        <is>
          <t>Chưa rõ giống (Cần quét Bio)</t>
        </is>
      </c>
      <c r="L79" s="56" t="n">
        <v>0</v>
      </c>
      <c r="M79" s="56" t="n">
        <v>5</v>
      </c>
      <c r="N79" s="6" t="inlineStr">
        <is>
          <t>Amazon link not found</t>
        </is>
      </c>
      <c r="O79" s="56">
        <f>IF(N79="Selling pet toys + Artificial grass/Pet toilets (TARGET)",15,IF(N79="Selling artificial grass/pet toilets (TARGET)",10,IF(N79="Selling pet toys",7,IF(N79="There's an Amazon link, but no target sales.",3,0))))</f>
        <v/>
      </c>
      <c r="P79" s="63">
        <f>H79+J79+L79+M79+O79</f>
        <v/>
      </c>
      <c r="Q79" s="64">
        <f>IF(OR(H79=0,P79&lt;30),"Tier D (Đóng băng)",IF(P79&gt;=85,"Tier S (Kim Cương: 85-100đ)",IF(P79&gt;=70,"Tier A (Vàng: 70-84đ)",IF(P79&gt;=61,"Tier B+ / Cấp A (Hot Lead: 61-69đ)",IF(P79&gt;=50,"Tier B (Bạc: 50-60đ)","Tier C (Đồng: 30-49đ)")))))</f>
        <v/>
      </c>
      <c r="R79" s="6" t="inlineStr">
        <is>
          <t>Trọn gói Take-Home Starter Kit V2/V3 (Cỏ nhân tạo + Khay Potty + Đồ chơi Teething/Snuggle)</t>
        </is>
      </c>
      <c r="S79" s="6" t="inlineStr">
        <is>
          <t>HOT LEAD CẤP A: Gọi Telesale trực tiếp trong ngày + Email cá nhân hóa chào Puppy Kit V2/V3</t>
        </is>
      </c>
    </row>
    <row r="80">
      <c r="A80" s="59" t="n">
        <v>1941</v>
      </c>
      <c r="B80" s="15" t="inlineStr">
        <is>
          <t>Kozmic Kennels</t>
        </is>
      </c>
      <c r="C80" s="60" t="inlineStr">
        <is>
          <t>https://www.facebook.com/profile.php?id=100092531616837</t>
        </is>
      </c>
      <c r="D80" s="9" t="inlineStr">
        <is>
          <t>Cần quét Bio Fanpage</t>
        </is>
      </c>
      <c r="E80" s="59" t="inlineStr">
        <is>
          <t>13/10/2026 04:15:45</t>
        </is>
      </c>
      <c r="F80" s="59" t="inlineStr">
        <is>
          <t>8 phút trước</t>
        </is>
      </c>
      <c r="G80" s="61" t="n">
        <v>0.01</v>
      </c>
      <c r="H80" s="62" t="n">
        <v>35</v>
      </c>
      <c r="I80" s="9" t="inlineStr">
        <is>
          <t>Dog Breeder / Trại chó chuyên nghiệp (28-30đ)</t>
        </is>
      </c>
      <c r="J80" s="62" t="n">
        <v>30</v>
      </c>
      <c r="K80" s="9" t="inlineStr">
        <is>
          <t>Chưa rõ giống (Cần quét Bio)</t>
        </is>
      </c>
      <c r="L80" s="62" t="n">
        <v>0</v>
      </c>
      <c r="M80" s="62" t="n">
        <v>5</v>
      </c>
      <c r="N80" s="9" t="inlineStr">
        <is>
          <t>Amazon link not found</t>
        </is>
      </c>
      <c r="O80" s="62">
        <f>IF(N80="Selling pet toys + Artificial grass/Pet toilets (TARGET)",15,IF(N80="Selling artificial grass/pet toilets (TARGET)",10,IF(N80="Selling pet toys",7,IF(N80="There's an Amazon link, but no target sales.",3,0))))</f>
        <v/>
      </c>
      <c r="P80" s="63">
        <f>H80+J80+L80+M80+O80</f>
        <v/>
      </c>
      <c r="Q80" s="64">
        <f>IF(OR(H80=0,P80&lt;30),"Tier D (Đóng băng)",IF(P80&gt;=85,"Tier S (Kim Cương: 85-100đ)",IF(P80&gt;=70,"Tier A (Vàng: 70-84đ)",IF(P80&gt;=61,"Tier B+ / Cấp A (Hot Lead: 61-69đ)",IF(P80&gt;=50,"Tier B (Bạc: 50-60đ)","Tier C (Đồng: 30-49đ)")))))</f>
        <v/>
      </c>
      <c r="R80" s="9" t="inlineStr">
        <is>
          <t>Trọn gói Take-Home Starter Kit V2/V3 (Cỏ nhân tạo + Khay Potty + Đồ chơi Teething/Snuggle)</t>
        </is>
      </c>
      <c r="S80" s="9" t="inlineStr">
        <is>
          <t>HOT LEAD CẤP A: Gọi Telesale trực tiếp trong ngày + Email cá nhân hóa chào Puppy Kit V2/V3</t>
        </is>
      </c>
    </row>
    <row r="81">
      <c r="A81" s="53" t="n">
        <v>4163</v>
      </c>
      <c r="B81" s="12" t="inlineStr">
        <is>
          <t>House of Frenchiez</t>
        </is>
      </c>
      <c r="C81" s="54" t="inlineStr">
        <is>
          <t>https://www.facebook.com/HouseofFrenchiez</t>
        </is>
      </c>
      <c r="D81" s="6" t="inlineStr">
        <is>
          <t>Cần quét Bio Fanpage</t>
        </is>
      </c>
      <c r="E81" s="53" t="inlineStr">
        <is>
          <t>13/10/2026 04:14:29</t>
        </is>
      </c>
      <c r="F81" s="53" t="inlineStr">
        <is>
          <t>4 giờ trước</t>
        </is>
      </c>
      <c r="G81" s="55" t="n">
        <v>0.17</v>
      </c>
      <c r="H81" s="56" t="n">
        <v>32</v>
      </c>
      <c r="I81" s="6" t="inlineStr">
        <is>
          <t>Dog Breeder / Trại chó chuyên nghiệp (28-30đ)</t>
        </is>
      </c>
      <c r="J81" s="56" t="n">
        <v>28</v>
      </c>
      <c r="K81" s="6" t="inlineStr">
        <is>
          <t>French Bulldog</t>
        </is>
      </c>
      <c r="L81" s="56" t="n">
        <v>10</v>
      </c>
      <c r="M81" s="56" t="n">
        <v>0</v>
      </c>
      <c r="N81" s="6" t="inlineStr">
        <is>
          <t>Amazon link not found</t>
        </is>
      </c>
      <c r="O81" s="56">
        <f>IF(N81="Selling pet toys + Artificial grass/Pet toilets (TARGET)",15,IF(N81="Selling artificial grass/pet toilets (TARGET)",10,IF(N81="Selling pet toys",7,IF(N81="There's an Amazon link, but no target sales.",3,0))))</f>
        <v/>
      </c>
      <c r="P81" s="63">
        <f>H81+J81+L81+M81+O81</f>
        <v/>
      </c>
      <c r="Q81" s="64">
        <f>IF(OR(H81=0,P81&lt;30),"Tier D (Đóng băng)",IF(P81&gt;=85,"Tier S (Kim Cương: 85-100đ)",IF(P81&gt;=70,"Tier A (Vàng: 70-84đ)",IF(P81&gt;=61,"Tier B+ / Cấp A (Hot Lead: 61-69đ)",IF(P81&gt;=50,"Tier B (Bạc: 50-60đ)","Tier C (Đồng: 30-49đ)")))))</f>
        <v/>
      </c>
      <c r="R81" s="6" t="inlineStr">
        <is>
          <t>Trọn gói Take-Home Starter Kit V2/V3 (Cỏ nhân tạo + Khay Potty + Đồ chơi Teething/Snuggle)</t>
        </is>
      </c>
      <c r="S81" s="6" t="inlineStr">
        <is>
          <t>HOT LEAD CẤP A: Gọi Telesale trực tiếp trong ngày + Email cá nhân hóa chào Puppy Kit V2/V3</t>
        </is>
      </c>
    </row>
    <row r="82">
      <c r="A82" s="59" t="n">
        <v>2660</v>
      </c>
      <c r="B82" s="15" t="inlineStr">
        <is>
          <t>Puppies World</t>
        </is>
      </c>
      <c r="C82" s="60" t="inlineStr">
        <is>
          <t>https://www.facebook.com/PetWorld111</t>
        </is>
      </c>
      <c r="D82" s="9" t="inlineStr">
        <is>
          <t>Cần quét Bio Fanpage</t>
        </is>
      </c>
      <c r="E82" s="59" t="inlineStr">
        <is>
          <t>13/10/2026 03:30:02</t>
        </is>
      </c>
      <c r="F82" s="59" t="inlineStr">
        <is>
          <t>2 giờ trước</t>
        </is>
      </c>
      <c r="G82" s="61" t="n">
        <v>0.08</v>
      </c>
      <c r="H82" s="62" t="n">
        <v>35</v>
      </c>
      <c r="I82" s="9" t="inlineStr">
        <is>
          <t>Dog Breeder / Trại chó chuyên nghiệp (28-30đ)</t>
        </is>
      </c>
      <c r="J82" s="62" t="n">
        <v>30</v>
      </c>
      <c r="K82" s="9" t="inlineStr">
        <is>
          <t>Chưa rõ giống (Cần quét Bio)</t>
        </is>
      </c>
      <c r="L82" s="62" t="n">
        <v>0</v>
      </c>
      <c r="M82" s="62" t="n">
        <v>5</v>
      </c>
      <c r="N82" s="9" t="inlineStr">
        <is>
          <t>Amazon link not found</t>
        </is>
      </c>
      <c r="O82" s="62">
        <f>IF(N82="Selling pet toys + Artificial grass/Pet toilets (TARGET)",15,IF(N82="Selling artificial grass/pet toilets (TARGET)",10,IF(N82="Selling pet toys",7,IF(N82="There's an Amazon link, but no target sales.",3,0))))</f>
        <v/>
      </c>
      <c r="P82" s="63">
        <f>H82+J82+L82+M82+O82</f>
        <v/>
      </c>
      <c r="Q82" s="64">
        <f>IF(OR(H82=0,P82&lt;30),"Tier D (Đóng băng)",IF(P82&gt;=85,"Tier S (Kim Cương: 85-100đ)",IF(P82&gt;=70,"Tier A (Vàng: 70-84đ)",IF(P82&gt;=61,"Tier B+ / Cấp A (Hot Lead: 61-69đ)",IF(P82&gt;=50,"Tier B (Bạc: 50-60đ)","Tier C (Đồng: 30-49đ)")))))</f>
        <v/>
      </c>
      <c r="R82" s="9" t="inlineStr">
        <is>
          <t>Trọn gói Take-Home Starter Kit V2/V3 (Cỏ nhân tạo + Khay Potty + Đồ chơi Teething/Snuggle)</t>
        </is>
      </c>
      <c r="S82" s="9" t="inlineStr">
        <is>
          <t>HOT LEAD CẤP A: Gọi Telesale trực tiếp trong ngày + Email cá nhân hóa chào Puppy Kit V2/V3</t>
        </is>
      </c>
    </row>
    <row r="83">
      <c r="A83" s="53" t="n">
        <v>1678</v>
      </c>
      <c r="B83" s="12" t="inlineStr">
        <is>
          <t>Honey Mountain Kennels</t>
        </is>
      </c>
      <c r="C83" s="54" t="inlineStr">
        <is>
          <t>https://www.facebook.com/HoneyMountainKennels</t>
        </is>
      </c>
      <c r="D83" s="6" t="inlineStr">
        <is>
          <t>Cần quét Bio Fanpage</t>
        </is>
      </c>
      <c r="E83" s="53" t="inlineStr">
        <is>
          <t>13/10/2026 03:17:01</t>
        </is>
      </c>
      <c r="F83" s="53" t="inlineStr">
        <is>
          <t>39 phút trước</t>
        </is>
      </c>
      <c r="G83" s="55" t="n">
        <v>0.03</v>
      </c>
      <c r="H83" s="56" t="n">
        <v>35</v>
      </c>
      <c r="I83" s="6" t="inlineStr">
        <is>
          <t>Dog Breeder / Trại chó chuyên nghiệp (28-30đ)</t>
        </is>
      </c>
      <c r="J83" s="56" t="n">
        <v>30</v>
      </c>
      <c r="K83" s="6" t="inlineStr">
        <is>
          <t>Chưa rõ giống (Cần quét Bio)</t>
        </is>
      </c>
      <c r="L83" s="56" t="n">
        <v>0</v>
      </c>
      <c r="M83" s="56" t="n">
        <v>5</v>
      </c>
      <c r="N83" s="6" t="inlineStr">
        <is>
          <t>Amazon link not found</t>
        </is>
      </c>
      <c r="O83" s="56">
        <f>IF(N83="Selling pet toys + Artificial grass/Pet toilets (TARGET)",15,IF(N83="Selling artificial grass/pet toilets (TARGET)",10,IF(N83="Selling pet toys",7,IF(N83="There's an Amazon link, but no target sales.",3,0))))</f>
        <v/>
      </c>
      <c r="P83" s="63">
        <f>H83+J83+L83+M83+O83</f>
        <v/>
      </c>
      <c r="Q83" s="64">
        <f>IF(OR(H83=0,P83&lt;30),"Tier D (Đóng băng)",IF(P83&gt;=85,"Tier S (Kim Cương: 85-100đ)",IF(P83&gt;=70,"Tier A (Vàng: 70-84đ)",IF(P83&gt;=61,"Tier B+ / Cấp A (Hot Lead: 61-69đ)",IF(P83&gt;=50,"Tier B (Bạc: 50-60đ)","Tier C (Đồng: 30-49đ)")))))</f>
        <v/>
      </c>
      <c r="R83" s="6" t="inlineStr">
        <is>
          <t>Trọn gói Take-Home Starter Kit V2/V3 (Cỏ nhân tạo + Khay Potty + Đồ chơi Teething/Snuggle)</t>
        </is>
      </c>
      <c r="S83" s="6" t="inlineStr">
        <is>
          <t>HOT LEAD CẤP A: Gọi Telesale trực tiếp trong ngày + Email cá nhân hóa chào Puppy Kit V2/V3</t>
        </is>
      </c>
    </row>
    <row r="84">
      <c r="A84" s="59" t="n">
        <v>2218</v>
      </c>
      <c r="B84" s="15" t="inlineStr">
        <is>
          <t>Mountain Breeze Kennels</t>
        </is>
      </c>
      <c r="C84" s="60" t="inlineStr">
        <is>
          <t>https://www.facebook.com/profile.php?id=61552182017852</t>
        </is>
      </c>
      <c r="D84" s="9" t="inlineStr">
        <is>
          <t>Cần quét Bio Fanpage</t>
        </is>
      </c>
      <c r="E84" s="59" t="inlineStr">
        <is>
          <t>13/10/2026 03:16:38</t>
        </is>
      </c>
      <c r="F84" s="59" t="inlineStr">
        <is>
          <t>1 giờ trước</t>
        </is>
      </c>
      <c r="G84" s="61" t="n">
        <v>0.04</v>
      </c>
      <c r="H84" s="62" t="n">
        <v>35</v>
      </c>
      <c r="I84" s="9" t="inlineStr">
        <is>
          <t>Dog Breeder / Trại chó chuyên nghiệp (28-30đ)</t>
        </is>
      </c>
      <c r="J84" s="62" t="n">
        <v>30</v>
      </c>
      <c r="K84" s="9" t="inlineStr">
        <is>
          <t>Chưa rõ giống (Cần quét Bio)</t>
        </is>
      </c>
      <c r="L84" s="62" t="n">
        <v>0</v>
      </c>
      <c r="M84" s="62" t="n">
        <v>5</v>
      </c>
      <c r="N84" s="9" t="inlineStr">
        <is>
          <t>Amazon link not found</t>
        </is>
      </c>
      <c r="O84" s="62">
        <f>IF(N84="Selling pet toys + Artificial grass/Pet toilets (TARGET)",15,IF(N84="Selling artificial grass/pet toilets (TARGET)",10,IF(N84="Selling pet toys",7,IF(N84="There's an Amazon link, but no target sales.",3,0))))</f>
        <v/>
      </c>
      <c r="P84" s="63">
        <f>H84+J84+L84+M84+O84</f>
        <v/>
      </c>
      <c r="Q84" s="64">
        <f>IF(OR(H84=0,P84&lt;30),"Tier D (Đóng băng)",IF(P84&gt;=85,"Tier S (Kim Cương: 85-100đ)",IF(P84&gt;=70,"Tier A (Vàng: 70-84đ)",IF(P84&gt;=61,"Tier B+ / Cấp A (Hot Lead: 61-69đ)",IF(P84&gt;=50,"Tier B (Bạc: 50-60đ)","Tier C (Đồng: 30-49đ)")))))</f>
        <v/>
      </c>
      <c r="R84" s="9" t="inlineStr">
        <is>
          <t>Trọn gói Take-Home Starter Kit V2/V3 (Cỏ nhân tạo + Khay Potty + Đồ chơi Teething/Snuggle)</t>
        </is>
      </c>
      <c r="S84" s="9" t="inlineStr">
        <is>
          <t>HOT LEAD CẤP A: Gọi Telesale trực tiếp trong ngày + Email cá nhân hóa chào Puppy Kit V2/V3</t>
        </is>
      </c>
    </row>
    <row r="85">
      <c r="A85" s="53" t="n">
        <v>2033</v>
      </c>
      <c r="B85" s="12" t="inlineStr">
        <is>
          <t>Little Freak Kennel</t>
        </is>
      </c>
      <c r="C85" s="54" t="inlineStr">
        <is>
          <t>https://www.facebook.com/pauline.victor.7</t>
        </is>
      </c>
      <c r="D85" s="6" t="inlineStr">
        <is>
          <t>Cần quét Bio Fanpage</t>
        </is>
      </c>
      <c r="E85" s="53" t="inlineStr">
        <is>
          <t>13/10/2026 02:30:51</t>
        </is>
      </c>
      <c r="F85" s="53" t="inlineStr">
        <is>
          <t>2 giờ trước</t>
        </is>
      </c>
      <c r="G85" s="55" t="n">
        <v>0.08</v>
      </c>
      <c r="H85" s="56" t="n">
        <v>35</v>
      </c>
      <c r="I85" s="6" t="inlineStr">
        <is>
          <t>Dog Breeder / Trại chó chuyên nghiệp (28-30đ)</t>
        </is>
      </c>
      <c r="J85" s="56" t="n">
        <v>30</v>
      </c>
      <c r="K85" s="6" t="inlineStr">
        <is>
          <t>Chưa rõ giống (Cần quét Bio)</t>
        </is>
      </c>
      <c r="L85" s="56" t="n">
        <v>0</v>
      </c>
      <c r="M85" s="56" t="n">
        <v>5</v>
      </c>
      <c r="N85" s="6" t="inlineStr">
        <is>
          <t>Amazon link not found</t>
        </is>
      </c>
      <c r="O85" s="56">
        <f>IF(N85="Selling pet toys + Artificial grass/Pet toilets (TARGET)",15,IF(N85="Selling artificial grass/pet toilets (TARGET)",10,IF(N85="Selling pet toys",7,IF(N85="There's an Amazon link, but no target sales.",3,0))))</f>
        <v/>
      </c>
      <c r="P85" s="63">
        <f>H85+J85+L85+M85+O85</f>
        <v/>
      </c>
      <c r="Q85" s="64">
        <f>IF(OR(H85=0,P85&lt;30),"Tier D (Đóng băng)",IF(P85&gt;=85,"Tier S (Kim Cương: 85-100đ)",IF(P85&gt;=70,"Tier A (Vàng: 70-84đ)",IF(P85&gt;=61,"Tier B+ / Cấp A (Hot Lead: 61-69đ)",IF(P85&gt;=50,"Tier B (Bạc: 50-60đ)","Tier C (Đồng: 30-49đ)")))))</f>
        <v/>
      </c>
      <c r="R85" s="6" t="inlineStr">
        <is>
          <t>Trọn gói Take-Home Starter Kit V2/V3 (Cỏ nhân tạo + Khay Potty + Đồ chơi Teething/Snuggle)</t>
        </is>
      </c>
      <c r="S85" s="6" t="inlineStr">
        <is>
          <t>HOT LEAD CẤP A: Gọi Telesale trực tiếp trong ngày + Email cá nhân hóa chào Puppy Kit V2/V3</t>
        </is>
      </c>
    </row>
    <row r="86">
      <c r="A86" s="59" t="n">
        <v>863</v>
      </c>
      <c r="B86" s="15" t="inlineStr">
        <is>
          <t>Cedar Grove Kennels</t>
        </is>
      </c>
      <c r="C86" s="60" t="inlineStr">
        <is>
          <t>https://www.facebook.com/CGGSP</t>
        </is>
      </c>
      <c r="D86" s="9" t="inlineStr">
        <is>
          <t>Cần quét Bio Fanpage</t>
        </is>
      </c>
      <c r="E86" s="59" t="inlineStr">
        <is>
          <t>13/10/2026 02:00:07</t>
        </is>
      </c>
      <c r="F86" s="59" t="inlineStr">
        <is>
          <t>28 phút trước</t>
        </is>
      </c>
      <c r="G86" s="61" t="n">
        <v>0.02</v>
      </c>
      <c r="H86" s="62" t="n">
        <v>35</v>
      </c>
      <c r="I86" s="9" t="inlineStr">
        <is>
          <t>Dog Breeder / Trại chó chuyên nghiệp (28-30đ)</t>
        </is>
      </c>
      <c r="J86" s="62" t="n">
        <v>30</v>
      </c>
      <c r="K86" s="9" t="inlineStr">
        <is>
          <t>Chưa rõ giống (Cần quét Bio)</t>
        </is>
      </c>
      <c r="L86" s="62" t="n">
        <v>0</v>
      </c>
      <c r="M86" s="62" t="n">
        <v>5</v>
      </c>
      <c r="N86" s="9" t="inlineStr">
        <is>
          <t>Amazon link not found</t>
        </is>
      </c>
      <c r="O86" s="62">
        <f>IF(N86="Selling pet toys + Artificial grass/Pet toilets (TARGET)",15,IF(N86="Selling artificial grass/pet toilets (TARGET)",10,IF(N86="Selling pet toys",7,IF(N86="There's an Amazon link, but no target sales.",3,0))))</f>
        <v/>
      </c>
      <c r="P86" s="63">
        <f>H86+J86+L86+M86+O86</f>
        <v/>
      </c>
      <c r="Q86" s="64">
        <f>IF(OR(H86=0,P86&lt;30),"Tier D (Đóng băng)",IF(P86&gt;=85,"Tier S (Kim Cương: 85-100đ)",IF(P86&gt;=70,"Tier A (Vàng: 70-84đ)",IF(P86&gt;=61,"Tier B+ / Cấp A (Hot Lead: 61-69đ)",IF(P86&gt;=50,"Tier B (Bạc: 50-60đ)","Tier C (Đồng: 30-49đ)")))))</f>
        <v/>
      </c>
      <c r="R86" s="9" t="inlineStr">
        <is>
          <t>Trọn gói Take-Home Starter Kit V2/V3 (Cỏ nhân tạo + Khay Potty + Đồ chơi Teething/Snuggle)</t>
        </is>
      </c>
      <c r="S86" s="9" t="inlineStr">
        <is>
          <t>HOT LEAD CẤP A: Gọi Telesale trực tiếp trong ngày + Email cá nhân hóa chào Puppy Kit V2/V3</t>
        </is>
      </c>
    </row>
    <row r="87">
      <c r="A87" s="53" t="n">
        <v>977</v>
      </c>
      <c r="B87" s="12" t="inlineStr">
        <is>
          <t>Curly Oak Kennels</t>
        </is>
      </c>
      <c r="C87" s="54" t="inlineStr">
        <is>
          <t>https://www.facebook.com/CurlyOakKennels</t>
        </is>
      </c>
      <c r="D87" s="6" t="inlineStr">
        <is>
          <t>Cần quét Bio Fanpage</t>
        </is>
      </c>
      <c r="E87" s="53" t="inlineStr">
        <is>
          <t>13/10/2026 01:20:03</t>
        </is>
      </c>
      <c r="F87" s="53" t="inlineStr">
        <is>
          <t>1 giờ trước</t>
        </is>
      </c>
      <c r="G87" s="55" t="n">
        <v>0.04</v>
      </c>
      <c r="H87" s="56" t="n">
        <v>35</v>
      </c>
      <c r="I87" s="6" t="inlineStr">
        <is>
          <t>Dog Breeder / Trại chó chuyên nghiệp (28-30đ)</t>
        </is>
      </c>
      <c r="J87" s="56" t="n">
        <v>30</v>
      </c>
      <c r="K87" s="6" t="inlineStr">
        <is>
          <t>Chưa rõ giống (Cần quét Bio)</t>
        </is>
      </c>
      <c r="L87" s="56" t="n">
        <v>0</v>
      </c>
      <c r="M87" s="56" t="n">
        <v>5</v>
      </c>
      <c r="N87" s="6" t="inlineStr">
        <is>
          <t>Amazon link not found</t>
        </is>
      </c>
      <c r="O87" s="56">
        <f>IF(N87="Selling pet toys + Artificial grass/Pet toilets (TARGET)",15,IF(N87="Selling artificial grass/pet toilets (TARGET)",10,IF(N87="Selling pet toys",7,IF(N87="There's an Amazon link, but no target sales.",3,0))))</f>
        <v/>
      </c>
      <c r="P87" s="63">
        <f>H87+J87+L87+M87+O87</f>
        <v/>
      </c>
      <c r="Q87" s="64">
        <f>IF(OR(H87=0,P87&lt;30),"Tier D (Đóng băng)",IF(P87&gt;=85,"Tier S (Kim Cương: 85-100đ)",IF(P87&gt;=70,"Tier A (Vàng: 70-84đ)",IF(P87&gt;=61,"Tier B+ / Cấp A (Hot Lead: 61-69đ)",IF(P87&gt;=50,"Tier B (Bạc: 50-60đ)","Tier C (Đồng: 30-49đ)")))))</f>
        <v/>
      </c>
      <c r="R87" s="6" t="inlineStr">
        <is>
          <t>Trọn gói Take-Home Starter Kit V2/V3 (Cỏ nhân tạo + Khay Potty + Đồ chơi Teething/Snuggle)</t>
        </is>
      </c>
      <c r="S87" s="6" t="inlineStr">
        <is>
          <t>HOT LEAD CẤP A: Gọi Telesale trực tiếp trong ngày + Email cá nhân hóa chào Puppy Kit V2/V3</t>
        </is>
      </c>
    </row>
    <row r="88">
      <c r="A88" s="59" t="n">
        <v>3057</v>
      </c>
      <c r="B88" s="15" t="inlineStr">
        <is>
          <t>Tank Tha Bulldog</t>
        </is>
      </c>
      <c r="C88" s="60" t="inlineStr">
        <is>
          <t>https://www.facebook.com/profile.php?id=100091660117056</t>
        </is>
      </c>
      <c r="D88" s="9" t="inlineStr">
        <is>
          <t>Cần quét Bio Fanpage</t>
        </is>
      </c>
      <c r="E88" s="59" t="inlineStr">
        <is>
          <t>13/10/2026 00:34:20</t>
        </is>
      </c>
      <c r="F88" s="59" t="inlineStr">
        <is>
          <t>5 giờ trước</t>
        </is>
      </c>
      <c r="G88" s="61" t="n">
        <v>0.21</v>
      </c>
      <c r="H88" s="62" t="n">
        <v>32</v>
      </c>
      <c r="I88" s="9" t="inlineStr">
        <is>
          <t>Dog Breeder / Trại nhân giống (28-30đ)</t>
        </is>
      </c>
      <c r="J88" s="62" t="n">
        <v>28</v>
      </c>
      <c r="K88" s="9" t="inlineStr">
        <is>
          <t>English Bulldog</t>
        </is>
      </c>
      <c r="L88" s="62" t="n">
        <v>10</v>
      </c>
      <c r="M88" s="62" t="n">
        <v>0</v>
      </c>
      <c r="N88" s="9" t="inlineStr">
        <is>
          <t>Amazon link not found</t>
        </is>
      </c>
      <c r="O88" s="62">
        <f>IF(N88="Selling pet toys + Artificial grass/Pet toilets (TARGET)",15,IF(N88="Selling artificial grass/pet toilets (TARGET)",10,IF(N88="Selling pet toys",7,IF(N88="There's an Amazon link, but no target sales.",3,0))))</f>
        <v/>
      </c>
      <c r="P88" s="63">
        <f>H88+J88+L88+M88+O88</f>
        <v/>
      </c>
      <c r="Q88" s="64">
        <f>IF(OR(H88=0,P88&lt;30),"Tier D (Đóng băng)",IF(P88&gt;=85,"Tier S (Kim Cương: 85-100đ)",IF(P88&gt;=70,"Tier A (Vàng: 70-84đ)",IF(P88&gt;=61,"Tier B+ / Cấp A (Hot Lead: 61-69đ)",IF(P88&gt;=50,"Tier B (Bạc: 50-60đ)","Tier C (Đồng: 30-49đ)")))))</f>
        <v/>
      </c>
      <c r="R88" s="9" t="inlineStr">
        <is>
          <t>Trọn gói Take-Home Starter Kit V2/V3 (Cỏ nhân tạo + Khay Potty + Đồ chơi cún con)</t>
        </is>
      </c>
      <c r="S88" s="9" t="inlineStr">
        <is>
          <t>HOT LEAD CẤP A: Gọi Telesale trực tiếp trong ngày + Email cá nhân hóa chào Puppy Kit V2/V3</t>
        </is>
      </c>
    </row>
    <row r="89">
      <c r="A89" s="53" t="n">
        <v>259</v>
      </c>
      <c r="B89" s="12" t="inlineStr">
        <is>
          <t>Ruff Land Performance Kennels</t>
        </is>
      </c>
      <c r="C89" s="54" t="inlineStr">
        <is>
          <t>https://www.facebook.com/RuffLandKennels</t>
        </is>
      </c>
      <c r="D89" s="6" t="inlineStr">
        <is>
          <t>Cần quét Bio Fanpage</t>
        </is>
      </c>
      <c r="E89" s="53" t="inlineStr">
        <is>
          <t>13/10/2026 00:30:38</t>
        </is>
      </c>
      <c r="F89" s="53" t="inlineStr">
        <is>
          <t>52 phút trước</t>
        </is>
      </c>
      <c r="G89" s="55" t="n">
        <v>0.04</v>
      </c>
      <c r="H89" s="56" t="n">
        <v>35</v>
      </c>
      <c r="I89" s="6" t="inlineStr">
        <is>
          <t>Dog Breeder / Trại chó chuyên nghiệp (28-30đ)</t>
        </is>
      </c>
      <c r="J89" s="56" t="n">
        <v>30</v>
      </c>
      <c r="K89" s="6" t="inlineStr">
        <is>
          <t>Chưa rõ giống (Cần quét Bio)</t>
        </is>
      </c>
      <c r="L89" s="56" t="n">
        <v>0</v>
      </c>
      <c r="M89" s="56" t="n">
        <v>5</v>
      </c>
      <c r="N89" s="6" t="inlineStr">
        <is>
          <t>Amazon link not found</t>
        </is>
      </c>
      <c r="O89" s="56">
        <f>IF(N89="Selling pet toys + Artificial grass/Pet toilets (TARGET)",15,IF(N89="Selling artificial grass/pet toilets (TARGET)",10,IF(N89="Selling pet toys",7,IF(N89="There's an Amazon link, but no target sales.",3,0))))</f>
        <v/>
      </c>
      <c r="P89" s="63">
        <f>H89+J89+L89+M89+O89</f>
        <v/>
      </c>
      <c r="Q89" s="64">
        <f>IF(OR(H89=0,P89&lt;30),"Tier D (Đóng băng)",IF(P89&gt;=85,"Tier S (Kim Cương: 85-100đ)",IF(P89&gt;=70,"Tier A (Vàng: 70-84đ)",IF(P89&gt;=61,"Tier B+ / Cấp A (Hot Lead: 61-69đ)",IF(P89&gt;=50,"Tier B (Bạc: 50-60đ)","Tier C (Đồng: 30-49đ)")))))</f>
        <v/>
      </c>
      <c r="R89" s="6" t="inlineStr">
        <is>
          <t>Trọn gói Take-Home Starter Kit V2/V3 (Cỏ nhân tạo + Khay Potty + Đồ chơi Teething/Snuggle)</t>
        </is>
      </c>
      <c r="S89" s="6" t="inlineStr">
        <is>
          <t>HOT LEAD CẤP A: Gọi Telesale trực tiếp trong ngày + Email cá nhân hóa chào Puppy Kit V2/V3</t>
        </is>
      </c>
    </row>
    <row r="90">
      <c r="A90" s="59" t="n">
        <v>1592</v>
      </c>
      <c r="B90" s="15" t="inlineStr">
        <is>
          <t>Hall Of Fame Bullies</t>
        </is>
      </c>
      <c r="C90" s="60" t="inlineStr">
        <is>
          <t>https://www.facebook.com/HALLEDENZEL</t>
        </is>
      </c>
      <c r="D90" s="9" t="inlineStr">
        <is>
          <t>Cần quét Bio Fanpage</t>
        </is>
      </c>
      <c r="E90" s="59" t="inlineStr">
        <is>
          <t>12/10/2026 23:41:41</t>
        </is>
      </c>
      <c r="F90" s="59" t="inlineStr">
        <is>
          <t>4 giờ trước</t>
        </is>
      </c>
      <c r="G90" s="61" t="n">
        <v>0.17</v>
      </c>
      <c r="H90" s="62" t="n">
        <v>32</v>
      </c>
      <c r="I90" s="9" t="inlineStr">
        <is>
          <t>Dog Breeder / Trại chó chuyên nghiệp (28-30đ)</t>
        </is>
      </c>
      <c r="J90" s="62" t="n">
        <v>28</v>
      </c>
      <c r="K90" s="9" t="inlineStr">
        <is>
          <t>American Bully / Bully</t>
        </is>
      </c>
      <c r="L90" s="62" t="n">
        <v>10</v>
      </c>
      <c r="M90" s="62" t="n">
        <v>0</v>
      </c>
      <c r="N90" s="9" t="inlineStr">
        <is>
          <t>Amazon link not found</t>
        </is>
      </c>
      <c r="O90" s="62">
        <f>IF(N90="Selling pet toys + Artificial grass/Pet toilets (TARGET)",15,IF(N90="Selling artificial grass/pet toilets (TARGET)",10,IF(N90="Selling pet toys",7,IF(N90="There's an Amazon link, but no target sales.",3,0))))</f>
        <v/>
      </c>
      <c r="P90" s="63">
        <f>H90+J90+L90+M90+O90</f>
        <v/>
      </c>
      <c r="Q90" s="64">
        <f>IF(OR(H90=0,P90&lt;30),"Tier D (Đóng băng)",IF(P90&gt;=85,"Tier S (Kim Cương: 85-100đ)",IF(P90&gt;=70,"Tier A (Vàng: 70-84đ)",IF(P90&gt;=61,"Tier B+ / Cấp A (Hot Lead: 61-69đ)",IF(P90&gt;=50,"Tier B (Bạc: 50-60đ)","Tier C (Đồng: 30-49đ)")))))</f>
        <v/>
      </c>
      <c r="R90" s="9" t="inlineStr">
        <is>
          <t>Trọn gói Take-Home Starter Kit V2/V3 (Cỏ nhân tạo + Khay Potty + Đồ chơi Teething/Snuggle)</t>
        </is>
      </c>
      <c r="S90" s="9" t="inlineStr">
        <is>
          <t>HOT LEAD CẤP A: Gọi Telesale trực tiếp trong ngày + Email cá nhân hóa chào Puppy Kit V2/V3</t>
        </is>
      </c>
    </row>
    <row r="91">
      <c r="A91" s="53" t="n">
        <v>3201</v>
      </c>
      <c r="B91" s="12" t="inlineStr">
        <is>
          <t>Toedters Isle of Frenchies</t>
        </is>
      </c>
      <c r="C91" s="54" t="inlineStr">
        <is>
          <t>https://www.facebook.com/toedtersisleoffrenchies2.0</t>
        </is>
      </c>
      <c r="D91" s="6" t="inlineStr">
        <is>
          <t>Cần quét Bio Fanpage</t>
        </is>
      </c>
      <c r="E91" s="53" t="inlineStr">
        <is>
          <t>12/10/2026 23:41:38</t>
        </is>
      </c>
      <c r="F91" s="53" t="inlineStr">
        <is>
          <t>6 giờ trước</t>
        </is>
      </c>
      <c r="G91" s="55" t="n">
        <v>0.25</v>
      </c>
      <c r="H91" s="56" t="n">
        <v>32</v>
      </c>
      <c r="I91" s="6" t="inlineStr">
        <is>
          <t>Dog Breeder / Trại chó chuyên nghiệp (28-30đ)</t>
        </is>
      </c>
      <c r="J91" s="56" t="n">
        <v>28</v>
      </c>
      <c r="K91" s="6" t="inlineStr">
        <is>
          <t>French Bulldog</t>
        </is>
      </c>
      <c r="L91" s="56" t="n">
        <v>10</v>
      </c>
      <c r="M91" s="56" t="n">
        <v>0</v>
      </c>
      <c r="N91" s="6" t="inlineStr">
        <is>
          <t>Amazon link not found</t>
        </is>
      </c>
      <c r="O91" s="56">
        <f>IF(N91="Selling pet toys + Artificial grass/Pet toilets (TARGET)",15,IF(N91="Selling artificial grass/pet toilets (TARGET)",10,IF(N91="Selling pet toys",7,IF(N91="There's an Amazon link, but no target sales.",3,0))))</f>
        <v/>
      </c>
      <c r="P91" s="63">
        <f>H91+J91+L91+M91+O91</f>
        <v/>
      </c>
      <c r="Q91" s="64">
        <f>IF(OR(H91=0,P91&lt;30),"Tier D (Đóng băng)",IF(P91&gt;=85,"Tier S (Kim Cương: 85-100đ)",IF(P91&gt;=70,"Tier A (Vàng: 70-84đ)",IF(P91&gt;=61,"Tier B+ / Cấp A (Hot Lead: 61-69đ)",IF(P91&gt;=50,"Tier B (Bạc: 50-60đ)","Tier C (Đồng: 30-49đ)")))))</f>
        <v/>
      </c>
      <c r="R91" s="6" t="inlineStr">
        <is>
          <t>Trọn gói Take-Home Starter Kit V2/V3 (Cỏ nhân tạo + Khay Potty + Đồ chơi Teething/Snuggle)</t>
        </is>
      </c>
      <c r="S91" s="6" t="inlineStr">
        <is>
          <t>HOT LEAD CẤP A: Gọi Telesale trực tiếp trong ngày + Email cá nhân hóa chào Puppy Kit V2/V3</t>
        </is>
      </c>
    </row>
    <row r="92">
      <c r="A92" s="59" t="n">
        <v>344</v>
      </c>
      <c r="B92" s="15" t="inlineStr">
        <is>
          <t>Adorable Puppies</t>
        </is>
      </c>
      <c r="C92" s="60" t="inlineStr">
        <is>
          <t>https://www.facebook.com/profile.php?id=61556753282237</t>
        </is>
      </c>
      <c r="D92" s="9" t="inlineStr">
        <is>
          <t>Cần quét Bio Fanpage</t>
        </is>
      </c>
      <c r="E92" s="59" t="inlineStr">
        <is>
          <t>12/10/2026 22:03:56</t>
        </is>
      </c>
      <c r="F92" s="59" t="inlineStr">
        <is>
          <t>3 giờ trước</t>
        </is>
      </c>
      <c r="G92" s="61" t="n">
        <v>0.12</v>
      </c>
      <c r="H92" s="62" t="n">
        <v>35</v>
      </c>
      <c r="I92" s="9" t="inlineStr">
        <is>
          <t>Dog Breeder / Trại chó chuyên nghiệp (28-30đ)</t>
        </is>
      </c>
      <c r="J92" s="62" t="n">
        <v>30</v>
      </c>
      <c r="K92" s="9" t="inlineStr">
        <is>
          <t>Chưa rõ giống (Cần quét Bio)</t>
        </is>
      </c>
      <c r="L92" s="62" t="n">
        <v>0</v>
      </c>
      <c r="M92" s="62" t="n">
        <v>5</v>
      </c>
      <c r="N92" s="9" t="inlineStr">
        <is>
          <t>Amazon link not found</t>
        </is>
      </c>
      <c r="O92" s="62">
        <f>IF(N92="Selling pet toys + Artificial grass/Pet toilets (TARGET)",15,IF(N92="Selling artificial grass/pet toilets (TARGET)",10,IF(N92="Selling pet toys",7,IF(N92="There's an Amazon link, but no target sales.",3,0))))</f>
        <v/>
      </c>
      <c r="P92" s="63">
        <f>H92+J92+L92+M92+O92</f>
        <v/>
      </c>
      <c r="Q92" s="64">
        <f>IF(OR(H92=0,P92&lt;30),"Tier D (Đóng băng)",IF(P92&gt;=85,"Tier S (Kim Cương: 85-100đ)",IF(P92&gt;=70,"Tier A (Vàng: 70-84đ)",IF(P92&gt;=61,"Tier B+ / Cấp A (Hot Lead: 61-69đ)",IF(P92&gt;=50,"Tier B (Bạc: 50-60đ)","Tier C (Đồng: 30-49đ)")))))</f>
        <v/>
      </c>
      <c r="R92" s="9" t="inlineStr">
        <is>
          <t>Trọn gói Take-Home Starter Kit V2/V3 (Cỏ nhân tạo + Khay Potty + Đồ chơi Teething/Snuggle)</t>
        </is>
      </c>
      <c r="S92" s="9" t="inlineStr">
        <is>
          <t>HOT LEAD CẤP A: Gọi Telesale trực tiếp trong ngày + Email cá nhân hóa chào Puppy Kit V2/V3</t>
        </is>
      </c>
    </row>
    <row r="93">
      <c r="A93" s="53" t="n">
        <v>2669</v>
      </c>
      <c r="B93" s="12" t="inlineStr">
        <is>
          <t>Puppyspot4chihuahua.com  (Blue dream Chihuahuas)</t>
        </is>
      </c>
      <c r="C93" s="54" t="inlineStr">
        <is>
          <t>https://www.facebook.com/tinylasvegaschihuahua</t>
        </is>
      </c>
      <c r="D93" s="6" t="inlineStr">
        <is>
          <t>https://puppyspot4chihuahua.com</t>
        </is>
      </c>
      <c r="E93" s="53" t="inlineStr">
        <is>
          <t>12/10/2026 21:46:57</t>
        </is>
      </c>
      <c r="F93" s="53" t="inlineStr">
        <is>
          <t>7 giờ trước</t>
        </is>
      </c>
      <c r="G93" s="55" t="n">
        <v>0.29</v>
      </c>
      <c r="H93" s="56" t="n">
        <v>32</v>
      </c>
      <c r="I93" s="6" t="inlineStr">
        <is>
          <t>Dog Breeder / Trại chó chuyên nghiệp (28-30đ)</t>
        </is>
      </c>
      <c r="J93" s="56" t="n">
        <v>28</v>
      </c>
      <c r="K93" s="6" t="inlineStr">
        <is>
          <t>Chihuahua / Toy Companion</t>
        </is>
      </c>
      <c r="L93" s="56" t="n">
        <v>5</v>
      </c>
      <c r="M93" s="56" t="n">
        <v>5</v>
      </c>
      <c r="N93" s="6" t="inlineStr">
        <is>
          <t>Amazon link not found</t>
        </is>
      </c>
      <c r="O93" s="56">
        <f>IF(N93="Selling pet toys + Artificial grass/Pet toilets (TARGET)",15,IF(N93="Selling artificial grass/pet toilets (TARGET)",10,IF(N93="Selling pet toys",7,IF(N93="There's an Amazon link, but no target sales.",3,0))))</f>
        <v/>
      </c>
      <c r="P93" s="63">
        <f>H93+J93+L93+M93+O93</f>
        <v/>
      </c>
      <c r="Q93" s="64">
        <f>IF(OR(H93=0,P93&lt;30),"Tier D (Đóng băng)",IF(P93&gt;=85,"Tier S (Kim Cương: 85-100đ)",IF(P93&gt;=70,"Tier A (Vàng: 70-84đ)",IF(P93&gt;=61,"Tier B+ / Cấp A (Hot Lead: 61-69đ)",IF(P93&gt;=50,"Tier B (Bạc: 50-60đ)","Tier C (Đồng: 30-49đ)")))))</f>
        <v/>
      </c>
      <c r="R93" s="6" t="inlineStr">
        <is>
          <t>Trọn gói Take-Home Starter Kit V2/V3 (Cỏ nhân tạo + Khay Potty + Đồ chơi Teething/Snuggle)</t>
        </is>
      </c>
      <c r="S93" s="6" t="inlineStr">
        <is>
          <t>HOT LEAD CẤP A: Gọi Telesale trực tiếp trong ngày + Email cá nhân hóa chào Puppy Kit V2/V3</t>
        </is>
      </c>
    </row>
    <row r="94">
      <c r="A94" s="59" t="n">
        <v>64</v>
      </c>
      <c r="B94" s="15" t="inlineStr">
        <is>
          <t>HustleLine Kennels</t>
        </is>
      </c>
      <c r="C94" s="60" t="inlineStr">
        <is>
          <t>https://www.facebook.com/HustleLineKennels</t>
        </is>
      </c>
      <c r="D94" s="9" t="inlineStr">
        <is>
          <t>Cần quét Bio Fanpage</t>
        </is>
      </c>
      <c r="E94" s="59" t="inlineStr">
        <is>
          <t>12/10/2026 21:12:54</t>
        </is>
      </c>
      <c r="F94" s="59" t="inlineStr">
        <is>
          <t>3 giờ trước</t>
        </is>
      </c>
      <c r="G94" s="61" t="n">
        <v>0.12</v>
      </c>
      <c r="H94" s="62" t="n">
        <v>35</v>
      </c>
      <c r="I94" s="9" t="inlineStr">
        <is>
          <t>Dog Breeder / Trại chó chuyên nghiệp (28-30đ)</t>
        </is>
      </c>
      <c r="J94" s="62" t="n">
        <v>30</v>
      </c>
      <c r="K94" s="9" t="inlineStr">
        <is>
          <t>Chưa rõ giống (Cần quét Bio)</t>
        </is>
      </c>
      <c r="L94" s="62" t="n">
        <v>0</v>
      </c>
      <c r="M94" s="62" t="n">
        <v>5</v>
      </c>
      <c r="N94" s="9" t="inlineStr">
        <is>
          <t>Amazon link not found</t>
        </is>
      </c>
      <c r="O94" s="62">
        <f>IF(N94="Selling pet toys + Artificial grass/Pet toilets (TARGET)",15,IF(N94="Selling artificial grass/pet toilets (TARGET)",10,IF(N94="Selling pet toys",7,IF(N94="There's an Amazon link, but no target sales.",3,0))))</f>
        <v/>
      </c>
      <c r="P94" s="63">
        <f>H94+J94+L94+M94+O94</f>
        <v/>
      </c>
      <c r="Q94" s="64">
        <f>IF(OR(H94=0,P94&lt;30),"Tier D (Đóng băng)",IF(P94&gt;=85,"Tier S (Kim Cương: 85-100đ)",IF(P94&gt;=70,"Tier A (Vàng: 70-84đ)",IF(P94&gt;=61,"Tier B+ / Cấp A (Hot Lead: 61-69đ)",IF(P94&gt;=50,"Tier B (Bạc: 50-60đ)","Tier C (Đồng: 30-49đ)")))))</f>
        <v/>
      </c>
      <c r="R94" s="9" t="inlineStr">
        <is>
          <t>Trọn gói Take-Home Starter Kit V2/V3 (Cỏ nhân tạo + Khay Potty + Đồ chơi Teething/Snuggle)</t>
        </is>
      </c>
      <c r="S94" s="9" t="inlineStr">
        <is>
          <t>HOT LEAD CẤP A: Gọi Telesale trực tiếp trong ngày + Email cá nhân hóa chào Puppy Kit V2/V3</t>
        </is>
      </c>
    </row>
    <row r="95">
      <c r="A95" s="53" t="n">
        <v>3336</v>
      </c>
      <c r="B95" s="12" t="inlineStr">
        <is>
          <t>Vixbull Frenchies</t>
        </is>
      </c>
      <c r="C95" s="54" t="inlineStr">
        <is>
          <t>https://www.facebook.com/vixbull</t>
        </is>
      </c>
      <c r="D95" s="6" t="inlineStr">
        <is>
          <t>Cần quét Bio Fanpage</t>
        </is>
      </c>
      <c r="E95" s="53" t="inlineStr">
        <is>
          <t>12/10/2026 20:57:17</t>
        </is>
      </c>
      <c r="F95" s="53" t="inlineStr">
        <is>
          <t>9 giờ trước</t>
        </is>
      </c>
      <c r="G95" s="55" t="n">
        <v>0.38</v>
      </c>
      <c r="H95" s="56" t="n">
        <v>32</v>
      </c>
      <c r="I95" s="6" t="inlineStr">
        <is>
          <t>Dog Breeder / Trại chó chuyên nghiệp (28-30đ)</t>
        </is>
      </c>
      <c r="J95" s="56" t="n">
        <v>28</v>
      </c>
      <c r="K95" s="6" t="inlineStr">
        <is>
          <t>French Bulldog</t>
        </is>
      </c>
      <c r="L95" s="56" t="n">
        <v>10</v>
      </c>
      <c r="M95" s="56" t="n">
        <v>0</v>
      </c>
      <c r="N95" s="6" t="inlineStr">
        <is>
          <t>Amazon link not found</t>
        </is>
      </c>
      <c r="O95" s="56">
        <f>IF(N95="Selling pet toys + Artificial grass/Pet toilets (TARGET)",15,IF(N95="Selling artificial grass/pet toilets (TARGET)",10,IF(N95="Selling pet toys",7,IF(N95="There's an Amazon link, but no target sales.",3,0))))</f>
        <v/>
      </c>
      <c r="P95" s="63">
        <f>H95+J95+L95+M95+O95</f>
        <v/>
      </c>
      <c r="Q95" s="64">
        <f>IF(OR(H95=0,P95&lt;30),"Tier D (Đóng băng)",IF(P95&gt;=85,"Tier S (Kim Cương: 85-100đ)",IF(P95&gt;=70,"Tier A (Vàng: 70-84đ)",IF(P95&gt;=61,"Tier B+ / Cấp A (Hot Lead: 61-69đ)",IF(P95&gt;=50,"Tier B (Bạc: 50-60đ)","Tier C (Đồng: 30-49đ)")))))</f>
        <v/>
      </c>
      <c r="R95" s="6" t="inlineStr">
        <is>
          <t>Trọn gói Take-Home Starter Kit V2/V3 (Cỏ nhân tạo + Khay Potty + Đồ chơi Teething/Snuggle)</t>
        </is>
      </c>
      <c r="S95" s="6" t="inlineStr">
        <is>
          <t>HOT LEAD CẤP A: Gọi Telesale trực tiếp trong ngày + Email cá nhân hóa chào Puppy Kit V2/V3</t>
        </is>
      </c>
    </row>
    <row r="96">
      <c r="A96" s="59" t="n">
        <v>3179</v>
      </c>
      <c r="B96" s="15" t="inlineStr">
        <is>
          <t>Three Oak Frenchies</t>
        </is>
      </c>
      <c r="C96" s="60" t="inlineStr">
        <is>
          <t>https://www.facebook.com/profile.php?id=61589220058115</t>
        </is>
      </c>
      <c r="D96" s="9" t="inlineStr">
        <is>
          <t>Cần quét Bio Fanpage</t>
        </is>
      </c>
      <c r="E96" s="59" t="inlineStr">
        <is>
          <t>12/10/2026 20:49:57</t>
        </is>
      </c>
      <c r="F96" s="59" t="inlineStr">
        <is>
          <t>9 giờ trước</t>
        </is>
      </c>
      <c r="G96" s="61" t="n">
        <v>0.38</v>
      </c>
      <c r="H96" s="62" t="n">
        <v>32</v>
      </c>
      <c r="I96" s="9" t="inlineStr">
        <is>
          <t>Dog Breeder / Trại chó chuyên nghiệp (28-30đ)</t>
        </is>
      </c>
      <c r="J96" s="62" t="n">
        <v>28</v>
      </c>
      <c r="K96" s="9" t="inlineStr">
        <is>
          <t>French Bulldog</t>
        </is>
      </c>
      <c r="L96" s="62" t="n">
        <v>10</v>
      </c>
      <c r="M96" s="62" t="n">
        <v>0</v>
      </c>
      <c r="N96" s="9" t="inlineStr">
        <is>
          <t>Amazon link not found</t>
        </is>
      </c>
      <c r="O96" s="62">
        <f>IF(N96="Selling pet toys + Artificial grass/Pet toilets (TARGET)",15,IF(N96="Selling artificial grass/pet toilets (TARGET)",10,IF(N96="Selling pet toys",7,IF(N96="There's an Amazon link, but no target sales.",3,0))))</f>
        <v/>
      </c>
      <c r="P96" s="63">
        <f>H96+J96+L96+M96+O96</f>
        <v/>
      </c>
      <c r="Q96" s="64">
        <f>IF(OR(H96=0,P96&lt;30),"Tier D (Đóng băng)",IF(P96&gt;=85,"Tier S (Kim Cương: 85-100đ)",IF(P96&gt;=70,"Tier A (Vàng: 70-84đ)",IF(P96&gt;=61,"Tier B+ / Cấp A (Hot Lead: 61-69đ)",IF(P96&gt;=50,"Tier B (Bạc: 50-60đ)","Tier C (Đồng: 30-49đ)")))))</f>
        <v/>
      </c>
      <c r="R96" s="9" t="inlineStr">
        <is>
          <t>Trọn gói Take-Home Starter Kit V2/V3 (Cỏ nhân tạo + Khay Potty + Đồ chơi Teething/Snuggle)</t>
        </is>
      </c>
      <c r="S96" s="9" t="inlineStr">
        <is>
          <t>HOT LEAD CẤP A: Gọi Telesale trực tiếp trong ngày + Email cá nhân hóa chào Puppy Kit V2/V3</t>
        </is>
      </c>
    </row>
    <row r="97">
      <c r="A97" s="53" t="n">
        <v>570</v>
      </c>
      <c r="B97" s="12" t="inlineStr">
        <is>
          <t>B-Town Bullies</t>
        </is>
      </c>
      <c r="C97" s="54" t="inlineStr">
        <is>
          <t>https://www.facebook.com/profile.php?id=100079571530843</t>
        </is>
      </c>
      <c r="D97" s="6" t="inlineStr">
        <is>
          <t>Cần quét Bio Fanpage</t>
        </is>
      </c>
      <c r="E97" s="53" t="inlineStr">
        <is>
          <t>12/10/2026 20:21:44</t>
        </is>
      </c>
      <c r="F97" s="53" t="inlineStr">
        <is>
          <t>5 giờ trước</t>
        </is>
      </c>
      <c r="G97" s="55" t="n">
        <v>0.21</v>
      </c>
      <c r="H97" s="56" t="n">
        <v>32</v>
      </c>
      <c r="I97" s="6" t="inlineStr">
        <is>
          <t>Dog Breeder / Trại chó chuyên nghiệp (28-30đ)</t>
        </is>
      </c>
      <c r="J97" s="56" t="n">
        <v>28</v>
      </c>
      <c r="K97" s="6" t="inlineStr">
        <is>
          <t>American Bully / Bully</t>
        </is>
      </c>
      <c r="L97" s="56" t="n">
        <v>10</v>
      </c>
      <c r="M97" s="56" t="n">
        <v>0</v>
      </c>
      <c r="N97" s="6" t="inlineStr">
        <is>
          <t>Amazon link not found</t>
        </is>
      </c>
      <c r="O97" s="56">
        <f>IF(N97="Selling pet toys + Artificial grass/Pet toilets (TARGET)",15,IF(N97="Selling artificial grass/pet toilets (TARGET)",10,IF(N97="Selling pet toys",7,IF(N97="There's an Amazon link, but no target sales.",3,0))))</f>
        <v/>
      </c>
      <c r="P97" s="63">
        <f>H97+J97+L97+M97+O97</f>
        <v/>
      </c>
      <c r="Q97" s="64">
        <f>IF(OR(H97=0,P97&lt;30),"Tier D (Đóng băng)",IF(P97&gt;=85,"Tier S (Kim Cương: 85-100đ)",IF(P97&gt;=70,"Tier A (Vàng: 70-84đ)",IF(P97&gt;=61,"Tier B+ / Cấp A (Hot Lead: 61-69đ)",IF(P97&gt;=50,"Tier B (Bạc: 50-60đ)","Tier C (Đồng: 30-49đ)")))))</f>
        <v/>
      </c>
      <c r="R97" s="6" t="inlineStr">
        <is>
          <t>Trọn gói Take-Home Starter Kit V2/V3 (Cỏ nhân tạo + Khay Potty + Đồ chơi Teething/Snuggle)</t>
        </is>
      </c>
      <c r="S97" s="6" t="inlineStr">
        <is>
          <t>HOT LEAD CẤP A: Gọi Telesale trực tiếp trong ngày + Email cá nhân hóa chào Puppy Kit V2/V3</t>
        </is>
      </c>
    </row>
    <row r="98">
      <c r="A98" s="59" t="n">
        <v>2816</v>
      </c>
      <c r="B98" s="15" t="inlineStr">
        <is>
          <t>Saltwater Frenchies</t>
        </is>
      </c>
      <c r="C98" s="60" t="inlineStr">
        <is>
          <t>https://www.facebook.com/swfrenchies</t>
        </is>
      </c>
      <c r="D98" s="9" t="inlineStr">
        <is>
          <t>Cần quét Bio Fanpage</t>
        </is>
      </c>
      <c r="E98" s="59" t="inlineStr">
        <is>
          <t>12/10/2026 20:00:14</t>
        </is>
      </c>
      <c r="F98" s="59" t="inlineStr">
        <is>
          <t>9 giờ trước</t>
        </is>
      </c>
      <c r="G98" s="61" t="n">
        <v>0.38</v>
      </c>
      <c r="H98" s="62" t="n">
        <v>32</v>
      </c>
      <c r="I98" s="9" t="inlineStr">
        <is>
          <t>Dog Breeder / Trại chó chuyên nghiệp (28-30đ)</t>
        </is>
      </c>
      <c r="J98" s="62" t="n">
        <v>28</v>
      </c>
      <c r="K98" s="9" t="inlineStr">
        <is>
          <t>French Bulldog</t>
        </is>
      </c>
      <c r="L98" s="62" t="n">
        <v>10</v>
      </c>
      <c r="M98" s="62" t="n">
        <v>0</v>
      </c>
      <c r="N98" s="9" t="inlineStr">
        <is>
          <t>Amazon link not found</t>
        </is>
      </c>
      <c r="O98" s="62">
        <f>IF(N98="Selling pet toys + Artificial grass/Pet toilets (TARGET)",15,IF(N98="Selling artificial grass/pet toilets (TARGET)",10,IF(N98="Selling pet toys",7,IF(N98="There's an Amazon link, but no target sales.",3,0))))</f>
        <v/>
      </c>
      <c r="P98" s="63">
        <f>H98+J98+L98+M98+O98</f>
        <v/>
      </c>
      <c r="Q98" s="64">
        <f>IF(OR(H98=0,P98&lt;30),"Tier D (Đóng băng)",IF(P98&gt;=85,"Tier S (Kim Cương: 85-100đ)",IF(P98&gt;=70,"Tier A (Vàng: 70-84đ)",IF(P98&gt;=61,"Tier B+ / Cấp A (Hot Lead: 61-69đ)",IF(P98&gt;=50,"Tier B (Bạc: 50-60đ)","Tier C (Đồng: 30-49đ)")))))</f>
        <v/>
      </c>
      <c r="R98" s="9" t="inlineStr">
        <is>
          <t>Trọn gói Take-Home Starter Kit V2/V3 (Cỏ nhân tạo + Khay Potty + Đồ chơi Teething/Snuggle)</t>
        </is>
      </c>
      <c r="S98" s="9" t="inlineStr">
        <is>
          <t>HOT LEAD CẤP A: Gọi Telesale trực tiếp trong ngày + Email cá nhân hóa chào Puppy Kit V2/V3</t>
        </is>
      </c>
    </row>
    <row r="99">
      <c r="A99" s="53" t="n">
        <v>16</v>
      </c>
      <c r="B99" s="12" t="inlineStr">
        <is>
          <t>Nor Cal Bulldogger</t>
        </is>
      </c>
      <c r="C99" s="54" t="inlineStr">
        <is>
          <t>https://www.facebook.com/norcalbulldoggerphotos</t>
        </is>
      </c>
      <c r="D99" s="6" t="inlineStr">
        <is>
          <t>Cần quét Bio Fanpage</t>
        </is>
      </c>
      <c r="E99" s="53" t="inlineStr">
        <is>
          <t>12/10/2026 19:55:56</t>
        </is>
      </c>
      <c r="F99" s="53" t="inlineStr">
        <is>
          <t>5 giờ trước</t>
        </is>
      </c>
      <c r="G99" s="55" t="n">
        <v>0.21</v>
      </c>
      <c r="H99" s="56" t="n">
        <v>32</v>
      </c>
      <c r="I99" s="6" t="inlineStr">
        <is>
          <t>Dog Breeder / Trại nhân giống (28-30đ)</t>
        </is>
      </c>
      <c r="J99" s="56" t="n">
        <v>28</v>
      </c>
      <c r="K99" s="6" t="inlineStr">
        <is>
          <t>English Bulldog</t>
        </is>
      </c>
      <c r="L99" s="56" t="n">
        <v>10</v>
      </c>
      <c r="M99" s="56" t="n">
        <v>0</v>
      </c>
      <c r="N99" s="6" t="inlineStr">
        <is>
          <t>Amazon link not found</t>
        </is>
      </c>
      <c r="O99" s="56">
        <f>IF(N99="Selling pet toys + Artificial grass/Pet toilets (TARGET)",15,IF(N99="Selling artificial grass/pet toilets (TARGET)",10,IF(N99="Selling pet toys",7,IF(N99="There's an Amazon link, but no target sales.",3,0))))</f>
        <v/>
      </c>
      <c r="P99" s="63">
        <f>H99+J99+L99+M99+O99</f>
        <v/>
      </c>
      <c r="Q99" s="64">
        <f>IF(OR(H99=0,P99&lt;30),"Tier D (Đóng băng)",IF(P99&gt;=85,"Tier S (Kim Cương: 85-100đ)",IF(P99&gt;=70,"Tier A (Vàng: 70-84đ)",IF(P99&gt;=61,"Tier B+ / Cấp A (Hot Lead: 61-69đ)",IF(P99&gt;=50,"Tier B (Bạc: 50-60đ)","Tier C (Đồng: 30-49đ)")))))</f>
        <v/>
      </c>
      <c r="R99" s="6" t="inlineStr">
        <is>
          <t>Trọn gói Take-Home Starter Kit V2/V3 (Cỏ nhân tạo + Khay Potty + Đồ chơi cún con)</t>
        </is>
      </c>
      <c r="S99" s="6" t="inlineStr">
        <is>
          <t>HOT LEAD CẤP A: Gọi Telesale trực tiếp trong ngày + Email cá nhân hóa chào Puppy Kit V2/V3</t>
        </is>
      </c>
    </row>
    <row r="100">
      <c r="A100" s="59" t="n">
        <v>2049</v>
      </c>
      <c r="B100" s="15" t="inlineStr">
        <is>
          <t>Long Ears and Long Dogs Ranch</t>
        </is>
      </c>
      <c r="C100" s="60" t="inlineStr">
        <is>
          <t>https://www.facebook.com/longearsandlongdogs</t>
        </is>
      </c>
      <c r="D100" s="9" t="inlineStr">
        <is>
          <t>Cần quét Bio Fanpage</t>
        </is>
      </c>
      <c r="E100" s="59" t="inlineStr">
        <is>
          <t>12/10/2026 19:32:11</t>
        </is>
      </c>
      <c r="F100" s="59" t="inlineStr">
        <is>
          <t>9 giờ trước</t>
        </is>
      </c>
      <c r="G100" s="61" t="n">
        <v>0.38</v>
      </c>
      <c r="H100" s="62" t="n">
        <v>32</v>
      </c>
      <c r="I100" s="9" t="inlineStr">
        <is>
          <t>Dog Breeder / Trại nhân giống (28-30đ)</t>
        </is>
      </c>
      <c r="J100" s="62" t="n">
        <v>28</v>
      </c>
      <c r="K100" s="9" t="inlineStr">
        <is>
          <t>Chưa rõ giống (Cần quét Bio)</t>
        </is>
      </c>
      <c r="L100" s="62" t="n">
        <v>0</v>
      </c>
      <c r="M100" s="62" t="n">
        <v>10</v>
      </c>
      <c r="N100" s="9" t="inlineStr">
        <is>
          <t>Amazon link not found</t>
        </is>
      </c>
      <c r="O100" s="62">
        <f>IF(N100="Selling pet toys + Artificial grass/Pet toilets (TARGET)",15,IF(N100="Selling artificial grass/pet toilets (TARGET)",10,IF(N100="Selling pet toys",7,IF(N100="There's an Amazon link, but no target sales.",3,0))))</f>
        <v/>
      </c>
      <c r="P100" s="63">
        <f>H100+J100+L100+M100+O100</f>
        <v/>
      </c>
      <c r="Q100" s="64">
        <f>IF(OR(H100=0,P100&lt;30),"Tier D (Đóng băng)",IF(P100&gt;=85,"Tier S (Kim Cương: 85-100đ)",IF(P100&gt;=70,"Tier A (Vàng: 70-84đ)",IF(P100&gt;=61,"Tier B+ / Cấp A (Hot Lead: 61-69đ)",IF(P100&gt;=50,"Tier B (Bạc: 50-60đ)","Tier C (Đồng: 30-49đ)")))))</f>
        <v/>
      </c>
      <c r="R100" s="9" t="inlineStr">
        <is>
          <t>Trọn gói Take-Home Starter Kit V2/V3 (Cỏ nhân tạo + Khay Potty + Đồ chơi cún con)</t>
        </is>
      </c>
      <c r="S100" s="9" t="inlineStr">
        <is>
          <t>HOT LEAD CẤP A: Gọi Telesale trực tiếp trong ngày + Email cá nhân hóa chào Puppy Kit V2/V3</t>
        </is>
      </c>
    </row>
    <row r="101">
      <c r="A101" s="53" t="n">
        <v>1277</v>
      </c>
      <c r="B101" s="12" t="inlineStr">
        <is>
          <t>eMac Bulldogs</t>
        </is>
      </c>
      <c r="C101" s="54" t="inlineStr">
        <is>
          <t>https://www.facebook.com/eMacBulldogs</t>
        </is>
      </c>
      <c r="D101" s="6" t="inlineStr">
        <is>
          <t>Cần quét Bio Fanpage</t>
        </is>
      </c>
      <c r="E101" s="53" t="inlineStr">
        <is>
          <t>12/10/2026 19:22:20</t>
        </is>
      </c>
      <c r="F101" s="53" t="inlineStr">
        <is>
          <t>7 giờ trước</t>
        </is>
      </c>
      <c r="G101" s="55" t="n">
        <v>0.29</v>
      </c>
      <c r="H101" s="56" t="n">
        <v>32</v>
      </c>
      <c r="I101" s="6" t="inlineStr">
        <is>
          <t>Dog Breeder / Trại chó chuyên nghiệp (28-30đ)</t>
        </is>
      </c>
      <c r="J101" s="56" t="n">
        <v>28</v>
      </c>
      <c r="K101" s="6" t="inlineStr">
        <is>
          <t>English Bulldog</t>
        </is>
      </c>
      <c r="L101" s="56" t="n">
        <v>10</v>
      </c>
      <c r="M101" s="56" t="n">
        <v>0</v>
      </c>
      <c r="N101" s="6" t="inlineStr">
        <is>
          <t>Amazon link not found</t>
        </is>
      </c>
      <c r="O101" s="56">
        <f>IF(N101="Selling pet toys + Artificial grass/Pet toilets (TARGET)",15,IF(N101="Selling artificial grass/pet toilets (TARGET)",10,IF(N101="Selling pet toys",7,IF(N101="There's an Amazon link, but no target sales.",3,0))))</f>
        <v/>
      </c>
      <c r="P101" s="63">
        <f>H101+J101+L101+M101+O101</f>
        <v/>
      </c>
      <c r="Q101" s="64">
        <f>IF(OR(H101=0,P101&lt;30),"Tier D (Đóng băng)",IF(P101&gt;=85,"Tier S (Kim Cương: 85-100đ)",IF(P101&gt;=70,"Tier A (Vàng: 70-84đ)",IF(P101&gt;=61,"Tier B+ / Cấp A (Hot Lead: 61-69đ)",IF(P101&gt;=50,"Tier B (Bạc: 50-60đ)","Tier C (Đồng: 30-49đ)")))))</f>
        <v/>
      </c>
      <c r="R101" s="6" t="inlineStr">
        <is>
          <t>Trọn gói Take-Home Starter Kit V2/V3 (Cỏ nhân tạo + Khay Potty + Đồ chơi Teething/Snuggle)</t>
        </is>
      </c>
      <c r="S101" s="6" t="inlineStr">
        <is>
          <t>HOT LEAD CẤP A: Gọi Telesale trực tiếp trong ngày + Email cá nhân hóa chào Puppy Kit V2/V3</t>
        </is>
      </c>
    </row>
    <row r="102">
      <c r="A102" s="59" t="n">
        <v>123</v>
      </c>
      <c r="B102" s="15" t="inlineStr">
        <is>
          <t>BulldogPabs</t>
        </is>
      </c>
      <c r="C102" s="60" t="inlineStr">
        <is>
          <t>https://www.facebook.com/BulldogPabs</t>
        </is>
      </c>
      <c r="D102" s="9" t="inlineStr">
        <is>
          <t>Cần quét Bio Fanpage</t>
        </is>
      </c>
      <c r="E102" s="59" t="inlineStr">
        <is>
          <t>12/10/2026 19:04:14</t>
        </is>
      </c>
      <c r="F102" s="59" t="inlineStr">
        <is>
          <t>6 giờ trước</t>
        </is>
      </c>
      <c r="G102" s="61" t="n">
        <v>0.25</v>
      </c>
      <c r="H102" s="62" t="n">
        <v>32</v>
      </c>
      <c r="I102" s="9" t="inlineStr">
        <is>
          <t>Dog Breeder / Trại nhân giống (28-30đ)</t>
        </is>
      </c>
      <c r="J102" s="62" t="n">
        <v>28</v>
      </c>
      <c r="K102" s="9" t="inlineStr">
        <is>
          <t>English Bulldog</t>
        </is>
      </c>
      <c r="L102" s="62" t="n">
        <v>10</v>
      </c>
      <c r="M102" s="62" t="n">
        <v>0</v>
      </c>
      <c r="N102" s="9" t="inlineStr">
        <is>
          <t>Amazon link not found</t>
        </is>
      </c>
      <c r="O102" s="62">
        <f>IF(N102="Selling pet toys + Artificial grass/Pet toilets (TARGET)",15,IF(N102="Selling artificial grass/pet toilets (TARGET)",10,IF(N102="Selling pet toys",7,IF(N102="There's an Amazon link, but no target sales.",3,0))))</f>
        <v/>
      </c>
      <c r="P102" s="63">
        <f>H102+J102+L102+M102+O102</f>
        <v/>
      </c>
      <c r="Q102" s="64">
        <f>IF(OR(H102=0,P102&lt;30),"Tier D (Đóng băng)",IF(P102&gt;=85,"Tier S (Kim Cương: 85-100đ)",IF(P102&gt;=70,"Tier A (Vàng: 70-84đ)",IF(P102&gt;=61,"Tier B+ / Cấp A (Hot Lead: 61-69đ)",IF(P102&gt;=50,"Tier B (Bạc: 50-60đ)","Tier C (Đồng: 30-49đ)")))))</f>
        <v/>
      </c>
      <c r="R102" s="9" t="inlineStr">
        <is>
          <t>Trọn gói Take-Home Starter Kit V2/V3 (Cỏ nhân tạo + Khay Potty + Đồ chơi cún con)</t>
        </is>
      </c>
      <c r="S102" s="9" t="inlineStr">
        <is>
          <t>HOT LEAD CẤP A: Gọi Telesale trực tiếp trong ngày + Email cá nhân hóa chào Puppy Kit V2/V3</t>
        </is>
      </c>
    </row>
    <row r="103">
      <c r="A103" s="53" t="n">
        <v>3407</v>
      </c>
      <c r="B103" s="12" t="inlineStr">
        <is>
          <t>Whitemagicgarden Maltese Bichonfrise Poodle Puppy</t>
        </is>
      </c>
      <c r="C103" s="54" t="inlineStr">
        <is>
          <t>https://www.facebook.com/maltesebichonfrisepoodletcupdogpuppy</t>
        </is>
      </c>
      <c r="D103" s="6" t="inlineStr">
        <is>
          <t>Cần quét Bio Fanpage</t>
        </is>
      </c>
      <c r="E103" s="53" t="inlineStr">
        <is>
          <t>12/10/2026 14:01:55</t>
        </is>
      </c>
      <c r="F103" s="53" t="inlineStr">
        <is>
          <t>17 giờ trước</t>
        </is>
      </c>
      <c r="G103" s="55" t="n">
        <v>0.71</v>
      </c>
      <c r="H103" s="56" t="n">
        <v>32</v>
      </c>
      <c r="I103" s="6" t="inlineStr">
        <is>
          <t>Dog Breeder / Trại chó chuyên nghiệp (28-30đ)</t>
        </is>
      </c>
      <c r="J103" s="56" t="n">
        <v>28</v>
      </c>
      <c r="K103" s="6" t="inlineStr">
        <is>
          <t>Poodle (Standard/Mini/Toy), Chihuahua / Toy Companion</t>
        </is>
      </c>
      <c r="L103" s="56" t="n">
        <v>5</v>
      </c>
      <c r="M103" s="56" t="n">
        <v>5</v>
      </c>
      <c r="N103" s="6" t="inlineStr">
        <is>
          <t>Amazon link not found</t>
        </is>
      </c>
      <c r="O103" s="56">
        <f>IF(N103="Selling pet toys + Artificial grass/Pet toilets (TARGET)",15,IF(N103="Selling artificial grass/pet toilets (TARGET)",10,IF(N103="Selling pet toys",7,IF(N103="There's an Amazon link, but no target sales.",3,0))))</f>
        <v/>
      </c>
      <c r="P103" s="63">
        <f>H103+J103+L103+M103+O103</f>
        <v/>
      </c>
      <c r="Q103" s="64">
        <f>IF(OR(H103=0,P103&lt;30),"Tier D (Đóng băng)",IF(P103&gt;=85,"Tier S (Kim Cương: 85-100đ)",IF(P103&gt;=70,"Tier A (Vàng: 70-84đ)",IF(P103&gt;=61,"Tier B+ / Cấp A (Hot Lead: 61-69đ)",IF(P103&gt;=50,"Tier B (Bạc: 50-60đ)","Tier C (Đồng: 30-49đ)")))))</f>
        <v/>
      </c>
      <c r="R103" s="6" t="inlineStr">
        <is>
          <t>Trọn gói Take-Home Starter Kit V2/V3 (Cỏ nhân tạo + Khay Potty + Đồ chơi Teething/Snuggle)</t>
        </is>
      </c>
      <c r="S103" s="6" t="inlineStr">
        <is>
          <t>HOT LEAD CẤP A: Gọi Telesale trực tiếp trong ngày + Email cá nhân hóa chào Puppy Kit V2/V3</t>
        </is>
      </c>
    </row>
    <row r="104">
      <c r="A104" s="59" t="n">
        <v>739</v>
      </c>
      <c r="B104" s="15" t="inlineStr">
        <is>
          <t>Boston Mountain Bulldogges</t>
        </is>
      </c>
      <c r="C104" s="60" t="inlineStr">
        <is>
          <t>https://www.facebook.com/nogoark</t>
        </is>
      </c>
      <c r="D104" s="9" t="inlineStr">
        <is>
          <t>Cần quét Bio Fanpage</t>
        </is>
      </c>
      <c r="E104" s="59" t="inlineStr">
        <is>
          <t>12/10/2026 11:53:45</t>
        </is>
      </c>
      <c r="F104" s="59" t="inlineStr">
        <is>
          <t>14 giờ trước</t>
        </is>
      </c>
      <c r="G104" s="61" t="n">
        <v>0.58</v>
      </c>
      <c r="H104" s="62" t="n">
        <v>32</v>
      </c>
      <c r="I104" s="9" t="inlineStr">
        <is>
          <t>Dog Breeder / Trại chó chuyên nghiệp (28-30đ)</t>
        </is>
      </c>
      <c r="J104" s="62" t="n">
        <v>28</v>
      </c>
      <c r="K104" s="9" t="inlineStr">
        <is>
          <t>English Bulldog</t>
        </is>
      </c>
      <c r="L104" s="62" t="n">
        <v>10</v>
      </c>
      <c r="M104" s="62" t="n">
        <v>0</v>
      </c>
      <c r="N104" s="9" t="inlineStr">
        <is>
          <t>Amazon link not found</t>
        </is>
      </c>
      <c r="O104" s="62">
        <f>IF(N104="Selling pet toys + Artificial grass/Pet toilets (TARGET)",15,IF(N104="Selling artificial grass/pet toilets (TARGET)",10,IF(N104="Selling pet toys",7,IF(N104="There's an Amazon link, but no target sales.",3,0))))</f>
        <v/>
      </c>
      <c r="P104" s="63">
        <f>H104+J104+L104+M104+O104</f>
        <v/>
      </c>
      <c r="Q104" s="64">
        <f>IF(OR(H104=0,P104&lt;30),"Tier D (Đóng băng)",IF(P104&gt;=85,"Tier S (Kim Cương: 85-100đ)",IF(P104&gt;=70,"Tier A (Vàng: 70-84đ)",IF(P104&gt;=61,"Tier B+ / Cấp A (Hot Lead: 61-69đ)",IF(P104&gt;=50,"Tier B (Bạc: 50-60đ)","Tier C (Đồng: 30-49đ)")))))</f>
        <v/>
      </c>
      <c r="R104" s="9" t="inlineStr">
        <is>
          <t>Trọn gói Take-Home Starter Kit V2/V3 (Cỏ nhân tạo + Khay Potty + Đồ chơi Teething/Snuggle)</t>
        </is>
      </c>
      <c r="S104" s="9" t="inlineStr">
        <is>
          <t>HOT LEAD CẤP A: Gọi Telesale trực tiếp trong ngày + Email cá nhân hóa chào Puppy Kit V2/V3</t>
        </is>
      </c>
    </row>
    <row r="105">
      <c r="A105" s="53" t="n">
        <v>2810</v>
      </c>
      <c r="B105" s="12" t="inlineStr">
        <is>
          <t>SaharaSunset Bulldogs</t>
        </is>
      </c>
      <c r="C105" s="54" t="inlineStr">
        <is>
          <t>https://www.facebook.com/profile.php?id=100072290205127</t>
        </is>
      </c>
      <c r="D105" s="6" t="inlineStr">
        <is>
          <t>Cần quét Bio Fanpage</t>
        </is>
      </c>
      <c r="E105" s="53" t="inlineStr">
        <is>
          <t>12/10/2026 08:20:57</t>
        </is>
      </c>
      <c r="F105" s="53" t="inlineStr">
        <is>
          <t>21 giờ trước</t>
        </is>
      </c>
      <c r="G105" s="55" t="n">
        <v>0.88</v>
      </c>
      <c r="H105" s="56" t="n">
        <v>32</v>
      </c>
      <c r="I105" s="6" t="inlineStr">
        <is>
          <t>Dog Breeder / Trại chó chuyên nghiệp (28-30đ)</t>
        </is>
      </c>
      <c r="J105" s="56" t="n">
        <v>28</v>
      </c>
      <c r="K105" s="6" t="inlineStr">
        <is>
          <t>English Bulldog</t>
        </is>
      </c>
      <c r="L105" s="56" t="n">
        <v>10</v>
      </c>
      <c r="M105" s="56" t="n">
        <v>0</v>
      </c>
      <c r="N105" s="6" t="inlineStr">
        <is>
          <t>Amazon link not found</t>
        </is>
      </c>
      <c r="O105" s="56">
        <f>IF(N105="Selling pet toys + Artificial grass/Pet toilets (TARGET)",15,IF(N105="Selling artificial grass/pet toilets (TARGET)",10,IF(N105="Selling pet toys",7,IF(N105="There's an Amazon link, but no target sales.",3,0))))</f>
        <v/>
      </c>
      <c r="P105" s="63">
        <f>H105+J105+L105+M105+O105</f>
        <v/>
      </c>
      <c r="Q105" s="64">
        <f>IF(OR(H105=0,P105&lt;30),"Tier D (Đóng băng)",IF(P105&gt;=85,"Tier S (Kim Cương: 85-100đ)",IF(P105&gt;=70,"Tier A (Vàng: 70-84đ)",IF(P105&gt;=61,"Tier B+ / Cấp A (Hot Lead: 61-69đ)",IF(P105&gt;=50,"Tier B (Bạc: 50-60đ)","Tier C (Đồng: 30-49đ)")))))</f>
        <v/>
      </c>
      <c r="R105" s="6" t="inlineStr">
        <is>
          <t>Trọn gói Take-Home Starter Kit V2/V3 (Cỏ nhân tạo + Khay Potty + Đồ chơi Teething/Snuggle)</t>
        </is>
      </c>
      <c r="S105" s="6" t="inlineStr">
        <is>
          <t>HOT LEAD CẤP A: Gọi Telesale trực tiếp trong ngày + Email cá nhân hóa chào Puppy Kit V2/V3</t>
        </is>
      </c>
    </row>
    <row r="106">
      <c r="A106" s="59" t="n">
        <v>580</v>
      </c>
      <c r="B106" s="15" t="inlineStr">
        <is>
          <t>Balthrop Bend Farms</t>
        </is>
      </c>
      <c r="C106" s="60" t="inlineStr">
        <is>
          <t>https://www.facebook.com/balthropbendspringers</t>
        </is>
      </c>
      <c r="D106" s="9" t="inlineStr">
        <is>
          <t>Cần quét Bio Fanpage</t>
        </is>
      </c>
      <c r="E106" s="59" t="inlineStr">
        <is>
          <t>12/10/2026 08:10:50</t>
        </is>
      </c>
      <c r="F106" s="59" t="inlineStr">
        <is>
          <t>17 giờ trước</t>
        </is>
      </c>
      <c r="G106" s="61" t="n">
        <v>0.71</v>
      </c>
      <c r="H106" s="62" t="n">
        <v>32</v>
      </c>
      <c r="I106" s="9" t="inlineStr">
        <is>
          <t>Dog Breeder / Trại nhân giống (28-30đ)</t>
        </is>
      </c>
      <c r="J106" s="62" t="n">
        <v>28</v>
      </c>
      <c r="K106" s="9" t="inlineStr">
        <is>
          <t>Spaniel / Gun Dog / Retriever</t>
        </is>
      </c>
      <c r="L106" s="62" t="n">
        <v>5</v>
      </c>
      <c r="M106" s="62" t="n">
        <v>5</v>
      </c>
      <c r="N106" s="9" t="inlineStr">
        <is>
          <t>Amazon link not found</t>
        </is>
      </c>
      <c r="O106" s="62">
        <f>IF(N106="Selling pet toys + Artificial grass/Pet toilets (TARGET)",15,IF(N106="Selling artificial grass/pet toilets (TARGET)",10,IF(N106="Selling pet toys",7,IF(N106="There's an Amazon link, but no target sales.",3,0))))</f>
        <v/>
      </c>
      <c r="P106" s="63">
        <f>H106+J106+L106+M106+O106</f>
        <v/>
      </c>
      <c r="Q106" s="64">
        <f>IF(OR(H106=0,P106&lt;30),"Tier D (Đóng băng)",IF(P106&gt;=85,"Tier S (Kim Cương: 85-100đ)",IF(P106&gt;=70,"Tier A (Vàng: 70-84đ)",IF(P106&gt;=61,"Tier B+ / Cấp A (Hot Lead: 61-69đ)",IF(P106&gt;=50,"Tier B (Bạc: 50-60đ)","Tier C (Đồng: 30-49đ)")))))</f>
        <v/>
      </c>
      <c r="R106" s="9" t="inlineStr">
        <is>
          <t>Trọn gói Take-Home Starter Kit V2/V3 (Cỏ nhân tạo + Khay Potty + Đồ chơi cún con)</t>
        </is>
      </c>
      <c r="S106" s="9" t="inlineStr">
        <is>
          <t>HOT LEAD CẤP A: Gọi Telesale trực tiếp trong ngày + Email cá nhân hóa chào Puppy Kit V2/V3</t>
        </is>
      </c>
    </row>
    <row r="107">
      <c r="A107" s="53" t="n">
        <v>3079</v>
      </c>
      <c r="B107" s="12" t="inlineStr">
        <is>
          <t>Texas Size Bullies-Delray Beach, FL</t>
        </is>
      </c>
      <c r="C107" s="54" t="inlineStr">
        <is>
          <t>https://www.facebook.com/Venomline</t>
        </is>
      </c>
      <c r="D107" s="6" t="inlineStr">
        <is>
          <t>Cần quét Bio Fanpage</t>
        </is>
      </c>
      <c r="E107" s="53" t="inlineStr">
        <is>
          <t>12/10/2026 07:38:37</t>
        </is>
      </c>
      <c r="F107" s="53" t="inlineStr">
        <is>
          <t>22 giờ trước</t>
        </is>
      </c>
      <c r="G107" s="55" t="n">
        <v>0.92</v>
      </c>
      <c r="H107" s="56" t="n">
        <v>32</v>
      </c>
      <c r="I107" s="6" t="inlineStr">
        <is>
          <t>Dog Breeder / Trại chó chuyên nghiệp (28-30đ)</t>
        </is>
      </c>
      <c r="J107" s="56" t="n">
        <v>28</v>
      </c>
      <c r="K107" s="6" t="inlineStr">
        <is>
          <t>American Bully / Bully</t>
        </is>
      </c>
      <c r="L107" s="56" t="n">
        <v>10</v>
      </c>
      <c r="M107" s="56" t="n">
        <v>0</v>
      </c>
      <c r="N107" s="6" t="inlineStr">
        <is>
          <t>Amazon link not found</t>
        </is>
      </c>
      <c r="O107" s="56">
        <f>IF(N107="Selling pet toys + Artificial grass/Pet toilets (TARGET)",15,IF(N107="Selling artificial grass/pet toilets (TARGET)",10,IF(N107="Selling pet toys",7,IF(N107="There's an Amazon link, but no target sales.",3,0))))</f>
        <v/>
      </c>
      <c r="P107" s="63">
        <f>H107+J107+L107+M107+O107</f>
        <v/>
      </c>
      <c r="Q107" s="64">
        <f>IF(OR(H107=0,P107&lt;30),"Tier D (Đóng băng)",IF(P107&gt;=85,"Tier S (Kim Cương: 85-100đ)",IF(P107&gt;=70,"Tier A (Vàng: 70-84đ)",IF(P107&gt;=61,"Tier B+ / Cấp A (Hot Lead: 61-69đ)",IF(P107&gt;=50,"Tier B (Bạc: 50-60đ)","Tier C (Đồng: 30-49đ)")))))</f>
        <v/>
      </c>
      <c r="R107" s="6" t="inlineStr">
        <is>
          <t>Trọn gói Take-Home Starter Kit V2/V3 (Cỏ nhân tạo + Khay Potty + Đồ chơi Teething/Snuggle)</t>
        </is>
      </c>
      <c r="S107" s="6" t="inlineStr">
        <is>
          <t>HOT LEAD CẤP A: Gọi Telesale trực tiếp trong ngày + Email cá nhân hóa chào Puppy Kit V2/V3</t>
        </is>
      </c>
    </row>
    <row r="108">
      <c r="A108" s="59" t="n">
        <v>1031</v>
      </c>
      <c r="B108" s="15" t="inlineStr">
        <is>
          <t>Diamond City Bulldogs - DCB</t>
        </is>
      </c>
      <c r="C108" s="60" t="inlineStr">
        <is>
          <t>https://www.facebook.com/diamondcitybulldogs</t>
        </is>
      </c>
      <c r="D108" s="9" t="inlineStr">
        <is>
          <t>Cần quét Bio Fanpage</t>
        </is>
      </c>
      <c r="E108" s="59" t="inlineStr">
        <is>
          <t>12/10/2026 04:53:38</t>
        </is>
      </c>
      <c r="F108" s="59" t="inlineStr">
        <is>
          <t>21 giờ trước</t>
        </is>
      </c>
      <c r="G108" s="61" t="n">
        <v>0.88</v>
      </c>
      <c r="H108" s="62" t="n">
        <v>32</v>
      </c>
      <c r="I108" s="9" t="inlineStr">
        <is>
          <t>Dog Breeder / Trại chó chuyên nghiệp (28-30đ)</t>
        </is>
      </c>
      <c r="J108" s="62" t="n">
        <v>28</v>
      </c>
      <c r="K108" s="9" t="inlineStr">
        <is>
          <t>English Bulldog</t>
        </is>
      </c>
      <c r="L108" s="62" t="n">
        <v>10</v>
      </c>
      <c r="M108" s="62" t="n">
        <v>0</v>
      </c>
      <c r="N108" s="9" t="inlineStr">
        <is>
          <t>Amazon link not found</t>
        </is>
      </c>
      <c r="O108" s="62">
        <f>IF(N108="Selling pet toys + Artificial grass/Pet toilets (TARGET)",15,IF(N108="Selling artificial grass/pet toilets (TARGET)",10,IF(N108="Selling pet toys",7,IF(N108="There's an Amazon link, but no target sales.",3,0))))</f>
        <v/>
      </c>
      <c r="P108" s="63">
        <f>H108+J108+L108+M108+O108</f>
        <v/>
      </c>
      <c r="Q108" s="64">
        <f>IF(OR(H108=0,P108&lt;30),"Tier D (Đóng băng)",IF(P108&gt;=85,"Tier S (Kim Cương: 85-100đ)",IF(P108&gt;=70,"Tier A (Vàng: 70-84đ)",IF(P108&gt;=61,"Tier B+ / Cấp A (Hot Lead: 61-69đ)",IF(P108&gt;=50,"Tier B (Bạc: 50-60đ)","Tier C (Đồng: 30-49đ)")))))</f>
        <v/>
      </c>
      <c r="R108" s="9" t="inlineStr">
        <is>
          <t>Trọn gói Take-Home Starter Kit V2/V3 (Cỏ nhân tạo + Khay Potty + Đồ chơi Teething/Snuggle)</t>
        </is>
      </c>
      <c r="S108" s="9" t="inlineStr">
        <is>
          <t>HOT LEAD CẤP A: Gọi Telesale trực tiếp trong ngày + Email cá nhân hóa chào Puppy Kit V2/V3</t>
        </is>
      </c>
    </row>
    <row r="109">
      <c r="A109" s="53" t="n">
        <v>706</v>
      </c>
      <c r="B109" s="12" t="inlineStr">
        <is>
          <t>Blue Lake Turf Farm</t>
        </is>
      </c>
      <c r="C109" s="54" t="inlineStr">
        <is>
          <t>https://www.facebook.com/BlueLakeTurfFarm</t>
        </is>
      </c>
      <c r="D109" s="6" t="inlineStr">
        <is>
          <t>Cần quét Bio Fanpage</t>
        </is>
      </c>
      <c r="E109" s="53" t="inlineStr">
        <is>
          <t>11/10/2026 17:13:22</t>
        </is>
      </c>
      <c r="F109" s="53" t="inlineStr">
        <is>
          <t>1 ngày trước</t>
        </is>
      </c>
      <c r="G109" s="55" t="n">
        <v>1</v>
      </c>
      <c r="H109" s="56" t="n">
        <v>28</v>
      </c>
      <c r="I109" s="6" t="inlineStr">
        <is>
          <t>Pet Boarding / Huấn luyện K9 &amp; Dịch vụ (20-22đ)</t>
        </is>
      </c>
      <c r="J109" s="56" t="n">
        <v>22</v>
      </c>
      <c r="K109" s="6" t="inlineStr">
        <is>
          <t>Chưa rõ giống (Cần quét Bio)</t>
        </is>
      </c>
      <c r="L109" s="56" t="n">
        <v>0</v>
      </c>
      <c r="M109" s="56" t="n">
        <v>10</v>
      </c>
      <c r="N109" s="6" t="inlineStr">
        <is>
          <t>Selling artificial grass/pet toilets (TARGET)</t>
        </is>
      </c>
      <c r="O109" s="56">
        <f>IF(N109="Selling pet toys + Artificial grass/Pet toilets (TARGET)",15,IF(N109="Selling artificial grass/pet toilets (TARGET)",10,IF(N109="Selling pet toys",7,IF(N109="There's an Amazon link, but no target sales.",3,0))))</f>
        <v/>
      </c>
      <c r="P109" s="63">
        <f>H109+J109+L109+M109+O109</f>
        <v/>
      </c>
      <c r="Q109" s="64">
        <f>IF(OR(H109=0,P109&lt;30),"Tier D (Đóng băng)",IF(P109&gt;=85,"Tier S (Kim Cương: 85-100đ)",IF(P109&gt;=70,"Tier A (Vàng: 70-84đ)",IF(P109&gt;=61,"Tier B+ / Cấp A (Hot Lead: 61-69đ)",IF(P109&gt;=50,"Tier B (Bạc: 50-60đ)","Tier C (Đồng: 30-49đ)")))))</f>
        <v/>
      </c>
      <c r="R109" s="6" t="inlineStr">
        <is>
          <t>Cỏ nhân tạo sân chơi/huấn luyện (Dog Turf) + Đồ chơi nhai chịu lực (KONG/Chew Toys)</t>
        </is>
      </c>
      <c r="S109" s="6" t="inlineStr">
        <is>
          <t>HOT LEAD CẤP A: Gọi Telesale trực tiếp trong ngày + Email cá nhân hóa chào Puppy Kit V2/V3</t>
        </is>
      </c>
    </row>
    <row r="110">
      <c r="A110" s="59" t="n">
        <v>2119</v>
      </c>
      <c r="B110" s="15" t="inlineStr">
        <is>
          <t>Manny Park Puppies Bernedoodles &amp; Aussie Mountain Doodles</t>
        </is>
      </c>
      <c r="C110" s="60" t="inlineStr">
        <is>
          <t>https://www.facebook.com/mannyparkpuppies</t>
        </is>
      </c>
      <c r="D110" s="9" t="inlineStr">
        <is>
          <t>Cần quét Bio Fanpage</t>
        </is>
      </c>
      <c r="E110" s="59" t="inlineStr">
        <is>
          <t>08/10/2026 06:25:00</t>
        </is>
      </c>
      <c r="F110" s="59" t="inlineStr">
        <is>
          <t>4 ngày trước</t>
        </is>
      </c>
      <c r="G110" s="61" t="n">
        <v>4</v>
      </c>
      <c r="H110" s="62" t="n">
        <v>20</v>
      </c>
      <c r="I110" s="9" t="inlineStr">
        <is>
          <t>Dog Breeder / Trại chó chuyên nghiệp (28-30đ)</t>
        </is>
      </c>
      <c r="J110" s="62" t="n">
        <v>30</v>
      </c>
      <c r="K110" s="9" t="inlineStr">
        <is>
          <t>Bernedoodle, Goldendoodle, Australian Shepherd / Herding</t>
        </is>
      </c>
      <c r="L110" s="62" t="n">
        <v>15</v>
      </c>
      <c r="M110" s="62" t="n">
        <v>5</v>
      </c>
      <c r="N110" s="9" t="inlineStr">
        <is>
          <t>Amazon link not found</t>
        </is>
      </c>
      <c r="O110" s="62">
        <f>IF(N110="Selling pet toys + Artificial grass/Pet toilets (TARGET)",15,IF(N110="Selling artificial grass/pet toilets (TARGET)",10,IF(N110="Selling pet toys",7,IF(N110="There's an Amazon link, but no target sales.",3,0))))</f>
        <v/>
      </c>
      <c r="P110" s="63">
        <f>H110+J110+L110+M110+O110</f>
        <v/>
      </c>
      <c r="Q110" s="64">
        <f>IF(OR(H110=0,P110&lt;30),"Tier D (Đóng băng)",IF(P110&gt;=85,"Tier S (Kim Cương: 85-100đ)",IF(P110&gt;=70,"Tier A (Vàng: 70-84đ)",IF(P110&gt;=61,"Tier B+ / Cấp A (Hot Lead: 61-69đ)",IF(P110&gt;=50,"Tier B (Bạc: 50-60đ)","Tier C (Đồng: 30-49đ)")))))</f>
        <v/>
      </c>
      <c r="R110" s="9" t="inlineStr">
        <is>
          <t>Trọn gói Take-Home Starter Kit V2/V3 (Cỏ nhân tạo + Khay Potty + Đồ chơi Teething/Snuggle)</t>
        </is>
      </c>
      <c r="S110" s="9" t="inlineStr">
        <is>
          <t>HOT LEAD CẤP A: Gọi Telesale trực tiếp trong ngày + Email cá nhân hóa chào Puppy Kit V2/V3</t>
        </is>
      </c>
    </row>
    <row r="111">
      <c r="A111" s="53" t="n">
        <v>4767</v>
      </c>
      <c r="B111" s="12" t="inlineStr">
        <is>
          <t>Nipetown Hollow Farm</t>
        </is>
      </c>
      <c r="C111" s="54" t="inlineStr">
        <is>
          <t>https://www.facebook.com/profile.php?id=100064872934755</t>
        </is>
      </c>
      <c r="D111" s="6" t="inlineStr">
        <is>
          <t>Cần quét Bio Fanpage</t>
        </is>
      </c>
      <c r="E111" s="53" t="inlineStr">
        <is>
          <t>13/10/2026 08:27:10</t>
        </is>
      </c>
      <c r="F111" s="53" t="inlineStr">
        <is>
          <t>1 giờ trước</t>
        </is>
      </c>
      <c r="G111" s="55" t="n">
        <v>0.04</v>
      </c>
      <c r="H111" s="56" t="n">
        <v>35</v>
      </c>
      <c r="I111" s="6" t="inlineStr">
        <is>
          <t>Dog Breeder / Trại nhân giống (28-30đ)</t>
        </is>
      </c>
      <c r="J111" s="56" t="n">
        <v>28</v>
      </c>
      <c r="K111" s="6" t="inlineStr">
        <is>
          <t>Chưa rõ giống (Cần quét Bio)</t>
        </is>
      </c>
      <c r="L111" s="56" t="n">
        <v>0</v>
      </c>
      <c r="M111" s="56" t="n">
        <v>5</v>
      </c>
      <c r="N111" s="6" t="inlineStr">
        <is>
          <t>Amazon link not found</t>
        </is>
      </c>
      <c r="O111" s="56">
        <f>IF(N111="Selling pet toys + Artificial grass/Pet toilets (TARGET)",15,IF(N111="Selling artificial grass/pet toilets (TARGET)",10,IF(N111="Selling pet toys",7,IF(N111="There's an Amazon link, but no target sales.",3,0))))</f>
        <v/>
      </c>
      <c r="P111" s="63">
        <f>H111+J111+L111+M111+O111</f>
        <v/>
      </c>
      <c r="Q111" s="64">
        <f>IF(OR(H111=0,P111&lt;30),"Tier D (Đóng băng)",IF(P111&gt;=85,"Tier S (Kim Cương: 85-100đ)",IF(P111&gt;=70,"Tier A (Vàng: 70-84đ)",IF(P111&gt;=61,"Tier B+ / Cấp A (Hot Lead: 61-69đ)",IF(P111&gt;=50,"Tier B (Bạc: 50-60đ)","Tier C (Đồng: 30-49đ)")))))</f>
        <v/>
      </c>
      <c r="R111" s="6" t="inlineStr">
        <is>
          <t>Trọn gói Take-Home Starter Kit V2/V3 (Cỏ nhân tạo + Khay Potty + Đồ chơi cún con)</t>
        </is>
      </c>
      <c r="S111" s="6" t="inlineStr">
        <is>
          <t>HOT LEAD (Điểm ≥61): Liên hệ Telesale/Email chào gói Starter Kit &amp; Báo giá sỉ chiết khấu BOM</t>
        </is>
      </c>
    </row>
    <row r="112">
      <c r="A112" s="59" t="n">
        <v>5840</v>
      </c>
      <c r="B112" s="15" t="inlineStr">
        <is>
          <t>Walt, Gus &amp; Hank The Bernese Mountain Dogs</t>
        </is>
      </c>
      <c r="C112" s="60" t="inlineStr">
        <is>
          <t>https://www.facebook.com/waltandgusthebernese</t>
        </is>
      </c>
      <c r="D112" s="9" t="inlineStr">
        <is>
          <t>Cần quét Bio Fanpage</t>
        </is>
      </c>
      <c r="E112" s="59" t="inlineStr">
        <is>
          <t>13/10/2026 08:21:31</t>
        </is>
      </c>
      <c r="F112" s="59" t="inlineStr">
        <is>
          <t>3 giờ trước</t>
        </is>
      </c>
      <c r="G112" s="61" t="n">
        <v>0.12</v>
      </c>
      <c r="H112" s="62" t="n">
        <v>35</v>
      </c>
      <c r="I112" s="9" t="inlineStr">
        <is>
          <t>Dog Breeder / Trại chó chuyên nghiệp (28-30đ)</t>
        </is>
      </c>
      <c r="J112" s="62" t="n">
        <v>28</v>
      </c>
      <c r="K112" s="9" t="inlineStr">
        <is>
          <t>Bernese Mountain Dog</t>
        </is>
      </c>
      <c r="L112" s="62" t="n">
        <v>5</v>
      </c>
      <c r="M112" s="62" t="n">
        <v>0</v>
      </c>
      <c r="N112" s="9" t="inlineStr">
        <is>
          <t>Amazon link not found</t>
        </is>
      </c>
      <c r="O112" s="62">
        <f>IF(N112="Selling pet toys + Artificial grass/Pet toilets (TARGET)",15,IF(N112="Selling artificial grass/pet toilets (TARGET)",10,IF(N112="Selling pet toys",7,IF(N112="There's an Amazon link, but no target sales.",3,0))))</f>
        <v/>
      </c>
      <c r="P112" s="63">
        <f>H112+J112+L112+M112+O112</f>
        <v/>
      </c>
      <c r="Q112" s="64">
        <f>IF(OR(H112=0,P112&lt;30),"Tier D (Đóng băng)",IF(P112&gt;=85,"Tier S (Kim Cương: 85-100đ)",IF(P112&gt;=70,"Tier A (Vàng: 70-84đ)",IF(P112&gt;=61,"Tier B+ / Cấp A (Hot Lead: 61-69đ)",IF(P112&gt;=50,"Tier B (Bạc: 50-60đ)","Tier C (Đồng: 30-49đ)")))))</f>
        <v/>
      </c>
      <c r="R112" s="9" t="inlineStr">
        <is>
          <t>Trọn gói Take-Home Starter Kit V2/V3 (Cỏ nhân tạo + Khay Potty + Đồ chơi Teething/Snuggle)</t>
        </is>
      </c>
      <c r="S112" s="9" t="inlineStr">
        <is>
          <t>HOT LEAD (Điểm ≥61): Liên hệ Telesale/Email chào gói Starter Kit &amp; Báo giá sỉ chiết khấu BOM</t>
        </is>
      </c>
    </row>
    <row r="113">
      <c r="A113" s="53" t="n">
        <v>5443</v>
      </c>
      <c r="B113" s="12" t="inlineStr">
        <is>
          <t>Spoiled Dog Co.</t>
        </is>
      </c>
      <c r="C113" s="54" t="inlineStr">
        <is>
          <t>https://www.facebook.com/spoileddogco</t>
        </is>
      </c>
      <c r="D113" s="6" t="inlineStr">
        <is>
          <t>Cần quét Bio Fanpage</t>
        </is>
      </c>
      <c r="E113" s="53" t="inlineStr">
        <is>
          <t>13/10/2026 07:49:51</t>
        </is>
      </c>
      <c r="F113" s="53" t="inlineStr">
        <is>
          <t>2 giờ trước</t>
        </is>
      </c>
      <c r="G113" s="55" t="n">
        <v>0.08</v>
      </c>
      <c r="H113" s="56" t="n">
        <v>35</v>
      </c>
      <c r="I113" s="6" t="inlineStr">
        <is>
          <t>Dog Breeder / Trại nhân giống (28-30đ)</t>
        </is>
      </c>
      <c r="J113" s="56" t="n">
        <v>28</v>
      </c>
      <c r="K113" s="6" t="inlineStr">
        <is>
          <t>Chưa rõ giống (Cần quét Bio)</t>
        </is>
      </c>
      <c r="L113" s="56" t="n">
        <v>0</v>
      </c>
      <c r="M113" s="56" t="n">
        <v>5</v>
      </c>
      <c r="N113" s="6" t="inlineStr">
        <is>
          <t>Amazon link not found</t>
        </is>
      </c>
      <c r="O113" s="56">
        <f>IF(N113="Selling pet toys + Artificial grass/Pet toilets (TARGET)",15,IF(N113="Selling artificial grass/pet toilets (TARGET)",10,IF(N113="Selling pet toys",7,IF(N113="There's an Amazon link, but no target sales.",3,0))))</f>
        <v/>
      </c>
      <c r="P113" s="63">
        <f>H113+J113+L113+M113+O113</f>
        <v/>
      </c>
      <c r="Q113" s="64">
        <f>IF(OR(H113=0,P113&lt;30),"Tier D (Đóng băng)",IF(P113&gt;=85,"Tier S (Kim Cương: 85-100đ)",IF(P113&gt;=70,"Tier A (Vàng: 70-84đ)",IF(P113&gt;=61,"Tier B+ / Cấp A (Hot Lead: 61-69đ)",IF(P113&gt;=50,"Tier B (Bạc: 50-60đ)","Tier C (Đồng: 30-49đ)")))))</f>
        <v/>
      </c>
      <c r="R113" s="6" t="inlineStr">
        <is>
          <t>Trọn gói Take-Home Starter Kit V2/V3 (Cỏ nhân tạo + Khay Potty + Đồ chơi cún con)</t>
        </is>
      </c>
      <c r="S113" s="6" t="inlineStr">
        <is>
          <t>HOT LEAD (Điểm ≥61): Liên hệ Telesale/Email chào gói Starter Kit &amp; Báo giá sỉ chiết khấu BOM</t>
        </is>
      </c>
    </row>
    <row r="114">
      <c r="A114" s="59" t="n">
        <v>3088</v>
      </c>
      <c r="B114" s="15" t="inlineStr">
        <is>
          <t>The Boundless Hound</t>
        </is>
      </c>
      <c r="C114" s="60" t="inlineStr">
        <is>
          <t>https://www.facebook.com/profile.php?id=61591907463807</t>
        </is>
      </c>
      <c r="D114" s="9" t="inlineStr">
        <is>
          <t>Cần quét Bio Fanpage</t>
        </is>
      </c>
      <c r="E114" s="59" t="inlineStr">
        <is>
          <t>13/10/2026 05:00:00</t>
        </is>
      </c>
      <c r="F114" s="59" t="inlineStr">
        <is>
          <t>1 giờ trước</t>
        </is>
      </c>
      <c r="G114" s="61" t="n">
        <v>0.04</v>
      </c>
      <c r="H114" s="62" t="n">
        <v>35</v>
      </c>
      <c r="I114" s="9" t="inlineStr">
        <is>
          <t>Dog Breeder / Trại nhân giống (28-30đ)</t>
        </is>
      </c>
      <c r="J114" s="62" t="n">
        <v>28</v>
      </c>
      <c r="K114" s="9" t="inlineStr">
        <is>
          <t>Hound / Beagle / Basset</t>
        </is>
      </c>
      <c r="L114" s="62" t="n">
        <v>5</v>
      </c>
      <c r="M114" s="62" t="n">
        <v>0</v>
      </c>
      <c r="N114" s="9" t="inlineStr">
        <is>
          <t>Amazon link not found</t>
        </is>
      </c>
      <c r="O114" s="62">
        <f>IF(N114="Selling pet toys + Artificial grass/Pet toilets (TARGET)",15,IF(N114="Selling artificial grass/pet toilets (TARGET)",10,IF(N114="Selling pet toys",7,IF(N114="There's an Amazon link, but no target sales.",3,0))))</f>
        <v/>
      </c>
      <c r="P114" s="63">
        <f>H114+J114+L114+M114+O114</f>
        <v/>
      </c>
      <c r="Q114" s="64">
        <f>IF(OR(H114=0,P114&lt;30),"Tier D (Đóng băng)",IF(P114&gt;=85,"Tier S (Kim Cương: 85-100đ)",IF(P114&gt;=70,"Tier A (Vàng: 70-84đ)",IF(P114&gt;=61,"Tier B+ / Cấp A (Hot Lead: 61-69đ)",IF(P114&gt;=50,"Tier B (Bạc: 50-60đ)","Tier C (Đồng: 30-49đ)")))))</f>
        <v/>
      </c>
      <c r="R114" s="9" t="inlineStr">
        <is>
          <t>Trọn gói Take-Home Starter Kit V2/V3 (Cỏ nhân tạo + Khay Potty + Đồ chơi cún con)</t>
        </is>
      </c>
      <c r="S114" s="9" t="inlineStr">
        <is>
          <t>HOT LEAD (Điểm ≥61): Liên hệ Telesale/Email chào gói Starter Kit &amp; Báo giá sỉ chiết khấu BOM</t>
        </is>
      </c>
    </row>
    <row r="115">
      <c r="A115" s="53" t="n">
        <v>3641</v>
      </c>
      <c r="B115" s="12" t="inlineStr">
        <is>
          <t>Dogs Inc</t>
        </is>
      </c>
      <c r="C115" s="54" t="inlineStr">
        <is>
          <t>https://www.facebook.com/southeasternguidedogs</t>
        </is>
      </c>
      <c r="D115" s="6" t="inlineStr">
        <is>
          <t>Cần quét Bio Fanpage</t>
        </is>
      </c>
      <c r="E115" s="53" t="inlineStr">
        <is>
          <t>13/10/2026 04:00:34</t>
        </is>
      </c>
      <c r="F115" s="53" t="inlineStr">
        <is>
          <t>3 giờ trước</t>
        </is>
      </c>
      <c r="G115" s="55" t="n">
        <v>0.12</v>
      </c>
      <c r="H115" s="56" t="n">
        <v>35</v>
      </c>
      <c r="I115" s="6" t="inlineStr">
        <is>
          <t>Dog Breeder / Trại nhân giống (28-30đ)</t>
        </is>
      </c>
      <c r="J115" s="56" t="n">
        <v>28</v>
      </c>
      <c r="K115" s="6" t="inlineStr">
        <is>
          <t>Chưa rõ giống (Cần quét Bio)</t>
        </is>
      </c>
      <c r="L115" s="56" t="n">
        <v>0</v>
      </c>
      <c r="M115" s="56" t="n">
        <v>5</v>
      </c>
      <c r="N115" s="6" t="inlineStr">
        <is>
          <t>Amazon link not found</t>
        </is>
      </c>
      <c r="O115" s="56">
        <f>IF(N115="Selling pet toys + Artificial grass/Pet toilets (TARGET)",15,IF(N115="Selling artificial grass/pet toilets (TARGET)",10,IF(N115="Selling pet toys",7,IF(N115="There's an Amazon link, but no target sales.",3,0))))</f>
        <v/>
      </c>
      <c r="P115" s="63">
        <f>H115+J115+L115+M115+O115</f>
        <v/>
      </c>
      <c r="Q115" s="64">
        <f>IF(OR(H115=0,P115&lt;30),"Tier D (Đóng băng)",IF(P115&gt;=85,"Tier S (Kim Cương: 85-100đ)",IF(P115&gt;=70,"Tier A (Vàng: 70-84đ)",IF(P115&gt;=61,"Tier B+ / Cấp A (Hot Lead: 61-69đ)",IF(P115&gt;=50,"Tier B (Bạc: 50-60đ)","Tier C (Đồng: 30-49đ)")))))</f>
        <v/>
      </c>
      <c r="R115" s="6" t="inlineStr">
        <is>
          <t>Trọn gói Take-Home Starter Kit V2/V3 (Cỏ nhân tạo + Khay Potty + Đồ chơi cún con)</t>
        </is>
      </c>
      <c r="S115" s="6" t="inlineStr">
        <is>
          <t>HOT LEAD (Điểm ≥61): Liên hệ Telesale/Email chào gói Starter Kit &amp; Báo giá sỉ chiết khấu BOM</t>
        </is>
      </c>
    </row>
    <row r="116">
      <c r="A116" s="59" t="n">
        <v>1415</v>
      </c>
      <c r="B116" s="15" t="inlineStr">
        <is>
          <t>For The Love of Dogs, LLC</t>
        </is>
      </c>
      <c r="C116" s="60" t="inlineStr">
        <is>
          <t>https://www.facebook.com/ForTheLoveOfDogsLlc</t>
        </is>
      </c>
      <c r="D116" s="9" t="inlineStr">
        <is>
          <t>Cần quét Bio Fanpage</t>
        </is>
      </c>
      <c r="E116" s="59" t="inlineStr">
        <is>
          <t>13/10/2026 01:35:56</t>
        </is>
      </c>
      <c r="F116" s="59" t="inlineStr">
        <is>
          <t>1 giờ trước</t>
        </is>
      </c>
      <c r="G116" s="61" t="n">
        <v>0.04</v>
      </c>
      <c r="H116" s="62" t="n">
        <v>35</v>
      </c>
      <c r="I116" s="9" t="inlineStr">
        <is>
          <t>Dog Breeder / Trại nhân giống (28-30đ)</t>
        </is>
      </c>
      <c r="J116" s="62" t="n">
        <v>28</v>
      </c>
      <c r="K116" s="9" t="inlineStr">
        <is>
          <t>Chưa rõ giống (Cần quét Bio)</t>
        </is>
      </c>
      <c r="L116" s="62" t="n">
        <v>0</v>
      </c>
      <c r="M116" s="62" t="n">
        <v>5</v>
      </c>
      <c r="N116" s="9" t="inlineStr">
        <is>
          <t>Amazon link not found</t>
        </is>
      </c>
      <c r="O116" s="62">
        <f>IF(N116="Selling pet toys + Artificial grass/Pet toilets (TARGET)",15,IF(N116="Selling artificial grass/pet toilets (TARGET)",10,IF(N116="Selling pet toys",7,IF(N116="There's an Amazon link, but no target sales.",3,0))))</f>
        <v/>
      </c>
      <c r="P116" s="63">
        <f>H116+J116+L116+M116+O116</f>
        <v/>
      </c>
      <c r="Q116" s="64">
        <f>IF(OR(H116=0,P116&lt;30),"Tier D (Đóng băng)",IF(P116&gt;=85,"Tier S (Kim Cương: 85-100đ)",IF(P116&gt;=70,"Tier A (Vàng: 70-84đ)",IF(P116&gt;=61,"Tier B+ / Cấp A (Hot Lead: 61-69đ)",IF(P116&gt;=50,"Tier B (Bạc: 50-60đ)","Tier C (Đồng: 30-49đ)")))))</f>
        <v/>
      </c>
      <c r="R116" s="9" t="inlineStr">
        <is>
          <t>Trọn gói Take-Home Starter Kit V2/V3 (Cỏ nhân tạo + Khay Potty + Đồ chơi cún con)</t>
        </is>
      </c>
      <c r="S116" s="9" t="inlineStr">
        <is>
          <t>HOT LEAD (Điểm ≥61): Liên hệ Telesale/Email chào gói Starter Kit &amp; Báo giá sỉ chiết khấu BOM</t>
        </is>
      </c>
    </row>
    <row r="117">
      <c r="A117" s="53" t="n">
        <v>1759</v>
      </c>
      <c r="B117" s="12" t="inlineStr">
        <is>
          <t>Jena’s Blissful Bernese Mountain Dogs</t>
        </is>
      </c>
      <c r="C117" s="54" t="inlineStr">
        <is>
          <t>https://www.facebook.com/profile.php?id=61574902920954</t>
        </is>
      </c>
      <c r="D117" s="6" t="inlineStr">
        <is>
          <t>Cần quét Bio Fanpage</t>
        </is>
      </c>
      <c r="E117" s="53" t="inlineStr">
        <is>
          <t>13/10/2026 00:55:50</t>
        </is>
      </c>
      <c r="F117" s="53" t="inlineStr">
        <is>
          <t>3 giờ trước</t>
        </is>
      </c>
      <c r="G117" s="55" t="n">
        <v>0.12</v>
      </c>
      <c r="H117" s="56" t="n">
        <v>35</v>
      </c>
      <c r="I117" s="6" t="inlineStr">
        <is>
          <t>Dog Breeder / Trại chó chuyên nghiệp (28-30đ)</t>
        </is>
      </c>
      <c r="J117" s="56" t="n">
        <v>28</v>
      </c>
      <c r="K117" s="6" t="inlineStr">
        <is>
          <t>Bernese Mountain Dog</t>
        </is>
      </c>
      <c r="L117" s="56" t="n">
        <v>5</v>
      </c>
      <c r="M117" s="56" t="n">
        <v>0</v>
      </c>
      <c r="N117" s="6" t="inlineStr">
        <is>
          <t>Amazon link not found</t>
        </is>
      </c>
      <c r="O117" s="56">
        <f>IF(N117="Selling pet toys + Artificial grass/Pet toilets (TARGET)",15,IF(N117="Selling artificial grass/pet toilets (TARGET)",10,IF(N117="Selling pet toys",7,IF(N117="There's an Amazon link, but no target sales.",3,0))))</f>
        <v/>
      </c>
      <c r="P117" s="63">
        <f>H117+J117+L117+M117+O117</f>
        <v/>
      </c>
      <c r="Q117" s="64">
        <f>IF(OR(H117=0,P117&lt;30),"Tier D (Đóng băng)",IF(P117&gt;=85,"Tier S (Kim Cương: 85-100đ)",IF(P117&gt;=70,"Tier A (Vàng: 70-84đ)",IF(P117&gt;=61,"Tier B+ / Cấp A (Hot Lead: 61-69đ)",IF(P117&gt;=50,"Tier B (Bạc: 50-60đ)","Tier C (Đồng: 30-49đ)")))))</f>
        <v/>
      </c>
      <c r="R117" s="6" t="inlineStr">
        <is>
          <t>Trọn gói Take-Home Starter Kit V2/V3 (Cỏ nhân tạo + Khay Potty + Đồ chơi Teething/Snuggle)</t>
        </is>
      </c>
      <c r="S117" s="6" t="inlineStr">
        <is>
          <t>HOT LEAD (Điểm ≥61): Liên hệ Telesale/Email chào gói Starter Kit &amp; Báo giá sỉ chiết khấu BOM</t>
        </is>
      </c>
    </row>
    <row r="118">
      <c r="A118" s="59" t="n">
        <v>506</v>
      </c>
      <c r="B118" s="15" t="inlineStr">
        <is>
          <t>Apricot Lane Puppy</t>
        </is>
      </c>
      <c r="C118" s="60" t="inlineStr">
        <is>
          <t>https://www.facebook.com/profile.php?id=100063685532640</t>
        </is>
      </c>
      <c r="D118" s="9" t="inlineStr">
        <is>
          <t>Cần quét Bio Fanpage</t>
        </is>
      </c>
      <c r="E118" s="59" t="inlineStr">
        <is>
          <t>13/10/2026 00:11:47</t>
        </is>
      </c>
      <c r="F118" s="59" t="inlineStr">
        <is>
          <t>1 giờ trước</t>
        </is>
      </c>
      <c r="G118" s="61" t="n">
        <v>0.04</v>
      </c>
      <c r="H118" s="62" t="n">
        <v>35</v>
      </c>
      <c r="I118" s="9" t="inlineStr">
        <is>
          <t>Dog Breeder / Trại chó chuyên nghiệp (28-30đ)</t>
        </is>
      </c>
      <c r="J118" s="62" t="n">
        <v>28</v>
      </c>
      <c r="K118" s="9" t="inlineStr">
        <is>
          <t>Chưa rõ giống (Cần quét Bio)</t>
        </is>
      </c>
      <c r="L118" s="62" t="n">
        <v>0</v>
      </c>
      <c r="M118" s="62" t="n">
        <v>5</v>
      </c>
      <c r="N118" s="9" t="inlineStr">
        <is>
          <t>Amazon link not found</t>
        </is>
      </c>
      <c r="O118" s="62">
        <f>IF(N118="Selling pet toys + Artificial grass/Pet toilets (TARGET)",15,IF(N118="Selling artificial grass/pet toilets (TARGET)",10,IF(N118="Selling pet toys",7,IF(N118="There's an Amazon link, but no target sales.",3,0))))</f>
        <v/>
      </c>
      <c r="P118" s="63">
        <f>H118+J118+L118+M118+O118</f>
        <v/>
      </c>
      <c r="Q118" s="64">
        <f>IF(OR(H118=0,P118&lt;30),"Tier D (Đóng băng)",IF(P118&gt;=85,"Tier S (Kim Cương: 85-100đ)",IF(P118&gt;=70,"Tier A (Vàng: 70-84đ)",IF(P118&gt;=61,"Tier B+ / Cấp A (Hot Lead: 61-69đ)",IF(P118&gt;=50,"Tier B (Bạc: 50-60đ)","Tier C (Đồng: 30-49đ)")))))</f>
        <v/>
      </c>
      <c r="R118" s="9" t="inlineStr">
        <is>
          <t>Trọn gói Take-Home Starter Kit V2/V3 (Cỏ nhân tạo + Khay Potty + Đồ chơi Teething/Snuggle)</t>
        </is>
      </c>
      <c r="S118" s="9" t="inlineStr">
        <is>
          <t>HOT LEAD (Điểm ≥61): Liên hệ Telesale/Email chào gói Starter Kit &amp; Báo giá sỉ chiết khấu BOM</t>
        </is>
      </c>
    </row>
    <row r="119">
      <c r="A119" s="53" t="n">
        <v>1682</v>
      </c>
      <c r="B119" s="12" t="inlineStr">
        <is>
          <t>Hood's Pet Express LLC</t>
        </is>
      </c>
      <c r="C119" s="54" t="inlineStr">
        <is>
          <t>https://www.facebook.com/HPetexpress22</t>
        </is>
      </c>
      <c r="D119" s="6" t="inlineStr">
        <is>
          <t>Cần quét Bio Fanpage</t>
        </is>
      </c>
      <c r="E119" s="53" t="inlineStr">
        <is>
          <t>13/10/2026 00:09:22</t>
        </is>
      </c>
      <c r="F119" s="53" t="inlineStr">
        <is>
          <t>3 giờ trước</t>
        </is>
      </c>
      <c r="G119" s="55" t="n">
        <v>0.12</v>
      </c>
      <c r="H119" s="56" t="n">
        <v>35</v>
      </c>
      <c r="I119" s="6" t="inlineStr">
        <is>
          <t>Dog Breeder / Trại nhân giống (28-30đ)</t>
        </is>
      </c>
      <c r="J119" s="56" t="n">
        <v>28</v>
      </c>
      <c r="K119" s="6" t="inlineStr">
        <is>
          <t>Chưa rõ giống (Cần quét Bio)</t>
        </is>
      </c>
      <c r="L119" s="56" t="n">
        <v>0</v>
      </c>
      <c r="M119" s="56" t="n">
        <v>5</v>
      </c>
      <c r="N119" s="6" t="inlineStr">
        <is>
          <t>Amazon link not found</t>
        </is>
      </c>
      <c r="O119" s="56">
        <f>IF(N119="Selling pet toys + Artificial grass/Pet toilets (TARGET)",15,IF(N119="Selling artificial grass/pet toilets (TARGET)",10,IF(N119="Selling pet toys",7,IF(N119="There's an Amazon link, but no target sales.",3,0))))</f>
        <v/>
      </c>
      <c r="P119" s="63">
        <f>H119+J119+L119+M119+O119</f>
        <v/>
      </c>
      <c r="Q119" s="64">
        <f>IF(OR(H119=0,P119&lt;30),"Tier D (Đóng băng)",IF(P119&gt;=85,"Tier S (Kim Cương: 85-100đ)",IF(P119&gt;=70,"Tier A (Vàng: 70-84đ)",IF(P119&gt;=61,"Tier B+ / Cấp A (Hot Lead: 61-69đ)",IF(P119&gt;=50,"Tier B (Bạc: 50-60đ)","Tier C (Đồng: 30-49đ)")))))</f>
        <v/>
      </c>
      <c r="R119" s="6" t="inlineStr">
        <is>
          <t>Trọn gói Take-Home Starter Kit V2/V3 (Cỏ nhân tạo + Khay Potty + Đồ chơi cún con)</t>
        </is>
      </c>
      <c r="S119" s="6" t="inlineStr">
        <is>
          <t>HOT LEAD (Điểm ≥61): Liên hệ Telesale/Email chào gói Starter Kit &amp; Báo giá sỉ chiết khấu BOM</t>
        </is>
      </c>
    </row>
    <row r="120">
      <c r="A120" s="59" t="n">
        <v>239</v>
      </c>
      <c r="B120" s="15" t="inlineStr">
        <is>
          <t>Pasturegreen Bernese Mountain Dogs</t>
        </is>
      </c>
      <c r="C120" s="60" t="inlineStr">
        <is>
          <t>https://www.facebook.com/pasturegreenbernese</t>
        </is>
      </c>
      <c r="D120" s="9" t="inlineStr">
        <is>
          <t>Cần quét Bio Fanpage</t>
        </is>
      </c>
      <c r="E120" s="59" t="inlineStr">
        <is>
          <t>13/10/2026 00:00:20</t>
        </is>
      </c>
      <c r="F120" s="59" t="inlineStr">
        <is>
          <t>1 giờ trước</t>
        </is>
      </c>
      <c r="G120" s="61" t="n">
        <v>0.04</v>
      </c>
      <c r="H120" s="62" t="n">
        <v>35</v>
      </c>
      <c r="I120" s="9" t="inlineStr">
        <is>
          <t>Dog Breeder / Trại chó chuyên nghiệp (28-30đ)</t>
        </is>
      </c>
      <c r="J120" s="62" t="n">
        <v>28</v>
      </c>
      <c r="K120" s="9" t="inlineStr">
        <is>
          <t>Bernese Mountain Dog</t>
        </is>
      </c>
      <c r="L120" s="62" t="n">
        <v>5</v>
      </c>
      <c r="M120" s="62" t="n">
        <v>0</v>
      </c>
      <c r="N120" s="9" t="inlineStr">
        <is>
          <t>Amazon link not found</t>
        </is>
      </c>
      <c r="O120" s="62">
        <f>IF(N120="Selling pet toys + Artificial grass/Pet toilets (TARGET)",15,IF(N120="Selling artificial grass/pet toilets (TARGET)",10,IF(N120="Selling pet toys",7,IF(N120="There's an Amazon link, but no target sales.",3,0))))</f>
        <v/>
      </c>
      <c r="P120" s="63">
        <f>H120+J120+L120+M120+O120</f>
        <v/>
      </c>
      <c r="Q120" s="64">
        <f>IF(OR(H120=0,P120&lt;30),"Tier D (Đóng băng)",IF(P120&gt;=85,"Tier S (Kim Cương: 85-100đ)",IF(P120&gt;=70,"Tier A (Vàng: 70-84đ)",IF(P120&gt;=61,"Tier B+ / Cấp A (Hot Lead: 61-69đ)",IF(P120&gt;=50,"Tier B (Bạc: 50-60đ)","Tier C (Đồng: 30-49đ)")))))</f>
        <v/>
      </c>
      <c r="R120" s="9" t="inlineStr">
        <is>
          <t>Trọn gói Take-Home Starter Kit V2/V3 (Cỏ nhân tạo + Khay Potty + Đồ chơi Teething/Snuggle)</t>
        </is>
      </c>
      <c r="S120" s="9" t="inlineStr">
        <is>
          <t>HOT LEAD (Điểm ≥61): Liên hệ Telesale/Email chào gói Starter Kit &amp; Báo giá sỉ chiết khấu BOM</t>
        </is>
      </c>
    </row>
    <row r="121">
      <c r="A121" s="53" t="n">
        <v>109</v>
      </c>
      <c r="B121" s="12" t="inlineStr">
        <is>
          <t>Basset Hound Down</t>
        </is>
      </c>
      <c r="C121" s="54" t="inlineStr">
        <is>
          <t>https://www.facebook.com/HoundDown</t>
        </is>
      </c>
      <c r="D121" s="6" t="inlineStr">
        <is>
          <t>Cần quét Bio Fanpage</t>
        </is>
      </c>
      <c r="E121" s="53" t="inlineStr">
        <is>
          <t>12/10/2026 23:37:07</t>
        </is>
      </c>
      <c r="F121" s="53" t="inlineStr">
        <is>
          <t>1 giờ trước</t>
        </is>
      </c>
      <c r="G121" s="55" t="n">
        <v>0.04</v>
      </c>
      <c r="H121" s="56" t="n">
        <v>35</v>
      </c>
      <c r="I121" s="6" t="inlineStr">
        <is>
          <t>Dog Breeder / Trại nhân giống (28-30đ)</t>
        </is>
      </c>
      <c r="J121" s="56" t="n">
        <v>28</v>
      </c>
      <c r="K121" s="6" t="inlineStr">
        <is>
          <t>Hound / Beagle / Basset</t>
        </is>
      </c>
      <c r="L121" s="56" t="n">
        <v>5</v>
      </c>
      <c r="M121" s="56" t="n">
        <v>0</v>
      </c>
      <c r="N121" s="6" t="inlineStr">
        <is>
          <t>Amazon link not found</t>
        </is>
      </c>
      <c r="O121" s="56">
        <f>IF(N121="Selling pet toys + Artificial grass/Pet toilets (TARGET)",15,IF(N121="Selling artificial grass/pet toilets (TARGET)",10,IF(N121="Selling pet toys",7,IF(N121="There's an Amazon link, but no target sales.",3,0))))</f>
        <v/>
      </c>
      <c r="P121" s="63">
        <f>H121+J121+L121+M121+O121</f>
        <v/>
      </c>
      <c r="Q121" s="64">
        <f>IF(OR(H121=0,P121&lt;30),"Tier D (Đóng băng)",IF(P121&gt;=85,"Tier S (Kim Cương: 85-100đ)",IF(P121&gt;=70,"Tier A (Vàng: 70-84đ)",IF(P121&gt;=61,"Tier B+ / Cấp A (Hot Lead: 61-69đ)",IF(P121&gt;=50,"Tier B (Bạc: 50-60đ)","Tier C (Đồng: 30-49đ)")))))</f>
        <v/>
      </c>
      <c r="R121" s="6" t="inlineStr">
        <is>
          <t>Trọn gói Take-Home Starter Kit V2/V3 (Cỏ nhân tạo + Khay Potty + Đồ chơi cún con)</t>
        </is>
      </c>
      <c r="S121" s="6" t="inlineStr">
        <is>
          <t>HOT LEAD (Điểm ≥61): Liên hệ Telesale/Email chào gói Starter Kit &amp; Báo giá sỉ chiết khấu BOM</t>
        </is>
      </c>
    </row>
    <row r="122">
      <c r="A122" s="59" t="n">
        <v>5</v>
      </c>
      <c r="B122" s="15" t="inlineStr">
        <is>
          <t>Puppy Culture</t>
        </is>
      </c>
      <c r="C122" s="60" t="inlineStr">
        <is>
          <t>https://www.facebook.com/puppyculture</t>
        </is>
      </c>
      <c r="D122" s="9" t="inlineStr">
        <is>
          <t>Cần quét Bio Fanpage</t>
        </is>
      </c>
      <c r="E122" s="59" t="inlineStr">
        <is>
          <t>12/10/2026 23:35:57</t>
        </is>
      </c>
      <c r="F122" s="59" t="inlineStr">
        <is>
          <t>1 giờ trước</t>
        </is>
      </c>
      <c r="G122" s="61" t="n">
        <v>0.04</v>
      </c>
      <c r="H122" s="62" t="n">
        <v>35</v>
      </c>
      <c r="I122" s="9" t="inlineStr">
        <is>
          <t>Dog Breeder / Trại chó chuyên nghiệp (28-30đ)</t>
        </is>
      </c>
      <c r="J122" s="62" t="n">
        <v>28</v>
      </c>
      <c r="K122" s="9" t="inlineStr">
        <is>
          <t>Chưa rõ giống (Cần quét Bio)</t>
        </is>
      </c>
      <c r="L122" s="62" t="n">
        <v>0</v>
      </c>
      <c r="M122" s="62" t="n">
        <v>5</v>
      </c>
      <c r="N122" s="9" t="inlineStr">
        <is>
          <t>Amazon link not found</t>
        </is>
      </c>
      <c r="O122" s="62">
        <f>IF(N122="Selling pet toys + Artificial grass/Pet toilets (TARGET)",15,IF(N122="Selling artificial grass/pet toilets (TARGET)",10,IF(N122="Selling pet toys",7,IF(N122="There's an Amazon link, but no target sales.",3,0))))</f>
        <v/>
      </c>
      <c r="P122" s="63">
        <f>H122+J122+L122+M122+O122</f>
        <v/>
      </c>
      <c r="Q122" s="64">
        <f>IF(OR(H122=0,P122&lt;30),"Tier D (Đóng băng)",IF(P122&gt;=85,"Tier S (Kim Cương: 85-100đ)",IF(P122&gt;=70,"Tier A (Vàng: 70-84đ)",IF(P122&gt;=61,"Tier B+ / Cấp A (Hot Lead: 61-69đ)",IF(P122&gt;=50,"Tier B (Bạc: 50-60đ)","Tier C (Đồng: 30-49đ)")))))</f>
        <v/>
      </c>
      <c r="R122" s="9" t="inlineStr">
        <is>
          <t>Trọn gói Take-Home Starter Kit V2/V3 (Cỏ nhân tạo + Khay Potty + Đồ chơi Teething/Snuggle)</t>
        </is>
      </c>
      <c r="S122" s="9" t="inlineStr">
        <is>
          <t>HOT LEAD (Điểm ≥61): Liên hệ Telesale/Email chào gói Starter Kit &amp; Báo giá sỉ chiết khấu BOM</t>
        </is>
      </c>
    </row>
    <row r="123">
      <c r="A123" s="53" t="n">
        <v>87</v>
      </c>
      <c r="B123" s="12" t="inlineStr">
        <is>
          <t>2026 National Sheepdog Finals</t>
        </is>
      </c>
      <c r="C123" s="54" t="inlineStr">
        <is>
          <t>https://www.facebook.com/nationalsheepdogfinals</t>
        </is>
      </c>
      <c r="D123" s="6" t="inlineStr">
        <is>
          <t>Cần quét Bio Fanpage</t>
        </is>
      </c>
      <c r="E123" s="53" t="inlineStr">
        <is>
          <t>12/10/2026 22:21:42</t>
        </is>
      </c>
      <c r="F123" s="53" t="inlineStr">
        <is>
          <t>2 giờ trước</t>
        </is>
      </c>
      <c r="G123" s="55" t="n">
        <v>0.08</v>
      </c>
      <c r="H123" s="56" t="n">
        <v>35</v>
      </c>
      <c r="I123" s="6" t="inlineStr">
        <is>
          <t>Dog Breeder / Trại nhân giống (28-30đ)</t>
        </is>
      </c>
      <c r="J123" s="56" t="n">
        <v>28</v>
      </c>
      <c r="K123" s="6" t="inlineStr">
        <is>
          <t>Australian Shepherd / Herding</t>
        </is>
      </c>
      <c r="L123" s="56" t="n">
        <v>5</v>
      </c>
      <c r="M123" s="56" t="n">
        <v>0</v>
      </c>
      <c r="N123" s="6" t="inlineStr">
        <is>
          <t>Amazon link not found</t>
        </is>
      </c>
      <c r="O123" s="56">
        <f>IF(N123="Selling pet toys + Artificial grass/Pet toilets (TARGET)",15,IF(N123="Selling artificial grass/pet toilets (TARGET)",10,IF(N123="Selling pet toys",7,IF(N123="There's an Amazon link, but no target sales.",3,0))))</f>
        <v/>
      </c>
      <c r="P123" s="63">
        <f>H123+J123+L123+M123+O123</f>
        <v/>
      </c>
      <c r="Q123" s="64">
        <f>IF(OR(H123=0,P123&lt;30),"Tier D (Đóng băng)",IF(P123&gt;=85,"Tier S (Kim Cương: 85-100đ)",IF(P123&gt;=70,"Tier A (Vàng: 70-84đ)",IF(P123&gt;=61,"Tier B+ / Cấp A (Hot Lead: 61-69đ)",IF(P123&gt;=50,"Tier B (Bạc: 50-60đ)","Tier C (Đồng: 30-49đ)")))))</f>
        <v/>
      </c>
      <c r="R123" s="6" t="inlineStr">
        <is>
          <t>Trọn gói Take-Home Starter Kit V2/V3 (Cỏ nhân tạo + Khay Potty + Đồ chơi cún con)</t>
        </is>
      </c>
      <c r="S123" s="6" t="inlineStr">
        <is>
          <t>HOT LEAD (Điểm ≥61): Liên hệ Telesale/Email chào gói Starter Kit &amp; Báo giá sỉ chiết khấu BOM</t>
        </is>
      </c>
    </row>
    <row r="124">
      <c r="A124" s="59" t="n">
        <v>622</v>
      </c>
      <c r="B124" s="15" t="inlineStr">
        <is>
          <t>Beldawn Shetland Sheepdogs</t>
        </is>
      </c>
      <c r="C124" s="60" t="inlineStr">
        <is>
          <t>https://www.facebook.com/profile.php?id=100083007921203</t>
        </is>
      </c>
      <c r="D124" s="9" t="inlineStr">
        <is>
          <t>Cần quét Bio Fanpage</t>
        </is>
      </c>
      <c r="E124" s="59" t="inlineStr">
        <is>
          <t>12/10/2026 22:19:16</t>
        </is>
      </c>
      <c r="F124" s="59" t="inlineStr">
        <is>
          <t>3 giờ trước</t>
        </is>
      </c>
      <c r="G124" s="61" t="n">
        <v>0.12</v>
      </c>
      <c r="H124" s="62" t="n">
        <v>35</v>
      </c>
      <c r="I124" s="9" t="inlineStr">
        <is>
          <t>Dog Breeder / Trại nhân giống (28-30đ)</t>
        </is>
      </c>
      <c r="J124" s="62" t="n">
        <v>28</v>
      </c>
      <c r="K124" s="9" t="inlineStr">
        <is>
          <t>Australian Shepherd / Herding</t>
        </is>
      </c>
      <c r="L124" s="62" t="n">
        <v>5</v>
      </c>
      <c r="M124" s="62" t="n">
        <v>0</v>
      </c>
      <c r="N124" s="9" t="inlineStr">
        <is>
          <t>Amazon link not found</t>
        </is>
      </c>
      <c r="O124" s="62">
        <f>IF(N124="Selling pet toys + Artificial grass/Pet toilets (TARGET)",15,IF(N124="Selling artificial grass/pet toilets (TARGET)",10,IF(N124="Selling pet toys",7,IF(N124="There's an Amazon link, but no target sales.",3,0))))</f>
        <v/>
      </c>
      <c r="P124" s="63">
        <f>H124+J124+L124+M124+O124</f>
        <v/>
      </c>
      <c r="Q124" s="64">
        <f>IF(OR(H124=0,P124&lt;30),"Tier D (Đóng băng)",IF(P124&gt;=85,"Tier S (Kim Cương: 85-100đ)",IF(P124&gt;=70,"Tier A (Vàng: 70-84đ)",IF(P124&gt;=61,"Tier B+ / Cấp A (Hot Lead: 61-69đ)",IF(P124&gt;=50,"Tier B (Bạc: 50-60đ)","Tier C (Đồng: 30-49đ)")))))</f>
        <v/>
      </c>
      <c r="R124" s="9" t="inlineStr">
        <is>
          <t>Trọn gói Take-Home Starter Kit V2/V3 (Cỏ nhân tạo + Khay Potty + Đồ chơi cún con)</t>
        </is>
      </c>
      <c r="S124" s="9" t="inlineStr">
        <is>
          <t>HOT LEAD (Điểm ≥61): Liên hệ Telesale/Email chào gói Starter Kit &amp; Báo giá sỉ chiết khấu BOM</t>
        </is>
      </c>
    </row>
    <row r="125">
      <c r="A125" s="53" t="n">
        <v>28</v>
      </c>
      <c r="B125" s="12" t="inlineStr">
        <is>
          <t>Puppy Perfectionist</t>
        </is>
      </c>
      <c r="C125" s="54" t="inlineStr">
        <is>
          <t>https://www.facebook.com/PuppyPerfectionist</t>
        </is>
      </c>
      <c r="D125" s="6" t="inlineStr">
        <is>
          <t>Cần quét Bio Fanpage</t>
        </is>
      </c>
      <c r="E125" s="53" t="inlineStr">
        <is>
          <t>12/10/2026 22:09:13</t>
        </is>
      </c>
      <c r="F125" s="53" t="inlineStr">
        <is>
          <t>2 giờ trước</t>
        </is>
      </c>
      <c r="G125" s="55" t="n">
        <v>0.08</v>
      </c>
      <c r="H125" s="56" t="n">
        <v>35</v>
      </c>
      <c r="I125" s="6" t="inlineStr">
        <is>
          <t>Dog Breeder / Trại chó chuyên nghiệp (28-30đ)</t>
        </is>
      </c>
      <c r="J125" s="56" t="n">
        <v>28</v>
      </c>
      <c r="K125" s="6" t="inlineStr">
        <is>
          <t>Chưa rõ giống (Cần quét Bio)</t>
        </is>
      </c>
      <c r="L125" s="56" t="n">
        <v>0</v>
      </c>
      <c r="M125" s="56" t="n">
        <v>5</v>
      </c>
      <c r="N125" s="6" t="inlineStr">
        <is>
          <t>Amazon link not found</t>
        </is>
      </c>
      <c r="O125" s="56">
        <f>IF(N125="Selling pet toys + Artificial grass/Pet toilets (TARGET)",15,IF(N125="Selling artificial grass/pet toilets (TARGET)",10,IF(N125="Selling pet toys",7,IF(N125="There's an Amazon link, but no target sales.",3,0))))</f>
        <v/>
      </c>
      <c r="P125" s="63">
        <f>H125+J125+L125+M125+O125</f>
        <v/>
      </c>
      <c r="Q125" s="64">
        <f>IF(OR(H125=0,P125&lt;30),"Tier D (Đóng băng)",IF(P125&gt;=85,"Tier S (Kim Cương: 85-100đ)",IF(P125&gt;=70,"Tier A (Vàng: 70-84đ)",IF(P125&gt;=61,"Tier B+ / Cấp A (Hot Lead: 61-69đ)",IF(P125&gt;=50,"Tier B (Bạc: 50-60đ)","Tier C (Đồng: 30-49đ)")))))</f>
        <v/>
      </c>
      <c r="R125" s="6" t="inlineStr">
        <is>
          <t>Trọn gói Take-Home Starter Kit V2/V3 (Cỏ nhân tạo + Khay Potty + Đồ chơi Teething/Snuggle)</t>
        </is>
      </c>
      <c r="S125" s="6" t="inlineStr">
        <is>
          <t>HOT LEAD (Điểm ≥61): Liên hệ Telesale/Email chào gói Starter Kit &amp; Báo giá sỉ chiết khấu BOM</t>
        </is>
      </c>
    </row>
    <row r="126">
      <c r="A126" s="59" t="n">
        <v>1626</v>
      </c>
      <c r="B126" s="15" t="inlineStr">
        <is>
          <t>Havanese &amp; Havaton Puppies</t>
        </is>
      </c>
      <c r="C126" s="60" t="inlineStr">
        <is>
          <t>https://www.facebook.com/profile.php?id=61563064265916</t>
        </is>
      </c>
      <c r="D126" s="9" t="inlineStr">
        <is>
          <t>Cần quét Bio Fanpage</t>
        </is>
      </c>
      <c r="E126" s="59" t="inlineStr">
        <is>
          <t>12/10/2026 03:34:51</t>
        </is>
      </c>
      <c r="F126" s="59" t="inlineStr">
        <is>
          <t>1 ngày trước</t>
        </is>
      </c>
      <c r="G126" s="61" t="n">
        <v>1</v>
      </c>
      <c r="H126" s="62" t="n">
        <v>28</v>
      </c>
      <c r="I126" s="9" t="inlineStr">
        <is>
          <t>Dog Breeder / Trại chó chuyên nghiệp (28-30đ)</t>
        </is>
      </c>
      <c r="J126" s="62" t="n">
        <v>30</v>
      </c>
      <c r="K126" s="9" t="inlineStr">
        <is>
          <t>Chihuahua / Toy Companion</t>
        </is>
      </c>
      <c r="L126" s="62" t="n">
        <v>5</v>
      </c>
      <c r="M126" s="62" t="n">
        <v>5</v>
      </c>
      <c r="N126" s="9" t="inlineStr">
        <is>
          <t>Amazon link not found</t>
        </is>
      </c>
      <c r="O126" s="62">
        <f>IF(N126="Selling pet toys + Artificial grass/Pet toilets (TARGET)",15,IF(N126="Selling artificial grass/pet toilets (TARGET)",10,IF(N126="Selling pet toys",7,IF(N126="There's an Amazon link, but no target sales.",3,0))))</f>
        <v/>
      </c>
      <c r="P126" s="63">
        <f>H126+J126+L126+M126+O126</f>
        <v/>
      </c>
      <c r="Q126" s="64">
        <f>IF(OR(H126=0,P126&lt;30),"Tier D (Đóng băng)",IF(P126&gt;=85,"Tier S (Kim Cương: 85-100đ)",IF(P126&gt;=70,"Tier A (Vàng: 70-84đ)",IF(P126&gt;=61,"Tier B+ / Cấp A (Hot Lead: 61-69đ)",IF(P126&gt;=50,"Tier B (Bạc: 50-60đ)","Tier C (Đồng: 30-49đ)")))))</f>
        <v/>
      </c>
      <c r="R126" s="9" t="inlineStr">
        <is>
          <t>Trọn gói Take-Home Starter Kit V2/V3 (Cỏ nhân tạo + Khay Potty + Đồ chơi Teething/Snuggle)</t>
        </is>
      </c>
      <c r="S126" s="9" t="inlineStr">
        <is>
          <t>HOT LEAD (Điểm ≥61): Liên hệ Telesale/Email chào gói Starter Kit &amp; Báo giá sỉ chiết khấu BOM</t>
        </is>
      </c>
    </row>
    <row r="127">
      <c r="A127" s="53" t="n">
        <v>869</v>
      </c>
      <c r="B127" s="12" t="inlineStr">
        <is>
          <t>Centerpiece Puppies LLC</t>
        </is>
      </c>
      <c r="C127" s="54" t="inlineStr">
        <is>
          <t>https://www.facebook.com/centerpiecepuppies</t>
        </is>
      </c>
      <c r="D127" s="6" t="inlineStr">
        <is>
          <t>Cần quét Bio Fanpage</t>
        </is>
      </c>
      <c r="E127" s="53" t="inlineStr">
        <is>
          <t>11/10/2026 23:02:04</t>
        </is>
      </c>
      <c r="F127" s="53" t="inlineStr">
        <is>
          <t>1 ngày trước</t>
        </is>
      </c>
      <c r="G127" s="55" t="n">
        <v>1</v>
      </c>
      <c r="H127" s="56" t="n">
        <v>28</v>
      </c>
      <c r="I127" s="6" t="inlineStr">
        <is>
          <t>Dog Breeder / Trại chó chuyên nghiệp (28-30đ)</t>
        </is>
      </c>
      <c r="J127" s="56" t="n">
        <v>30</v>
      </c>
      <c r="K127" s="6" t="inlineStr">
        <is>
          <t>Chưa rõ giống (Cần quét Bio)</t>
        </is>
      </c>
      <c r="L127" s="56" t="n">
        <v>0</v>
      </c>
      <c r="M127" s="56" t="n">
        <v>10</v>
      </c>
      <c r="N127" s="6" t="inlineStr">
        <is>
          <t>Amazon link not found</t>
        </is>
      </c>
      <c r="O127" s="56">
        <f>IF(N127="Selling pet toys + Artificial grass/Pet toilets (TARGET)",15,IF(N127="Selling artificial grass/pet toilets (TARGET)",10,IF(N127="Selling pet toys",7,IF(N127="There's an Amazon link, but no target sales.",3,0))))</f>
        <v/>
      </c>
      <c r="P127" s="63">
        <f>H127+J127+L127+M127+O127</f>
        <v/>
      </c>
      <c r="Q127" s="64">
        <f>IF(OR(H127=0,P127&lt;30),"Tier D (Đóng băng)",IF(P127&gt;=85,"Tier S (Kim Cương: 85-100đ)",IF(P127&gt;=70,"Tier A (Vàng: 70-84đ)",IF(P127&gt;=61,"Tier B+ / Cấp A (Hot Lead: 61-69đ)",IF(P127&gt;=50,"Tier B (Bạc: 50-60đ)","Tier C (Đồng: 30-49đ)")))))</f>
        <v/>
      </c>
      <c r="R127" s="6" t="inlineStr">
        <is>
          <t>Trọn gói Take-Home Starter Kit V2/V3 (Cỏ nhân tạo + Khay Potty + Đồ chơi Teething/Snuggle)</t>
        </is>
      </c>
      <c r="S127" s="6" t="inlineStr">
        <is>
          <t>HOT LEAD (Điểm ≥61): Liên hệ Telesale/Email chào gói Starter Kit &amp; Báo giá sỉ chiết khấu BOM</t>
        </is>
      </c>
    </row>
    <row r="128">
      <c r="A128" s="59" t="n">
        <v>2062</v>
      </c>
      <c r="B128" s="15" t="inlineStr">
        <is>
          <t>Love of a Lost World border collie kennel</t>
        </is>
      </c>
      <c r="C128" s="60" t="inlineStr">
        <is>
          <t>https://www.facebook.com/profile.php?id=61555434625291</t>
        </is>
      </c>
      <c r="D128" s="9" t="inlineStr">
        <is>
          <t>Cần quét Bio Fanpage</t>
        </is>
      </c>
      <c r="E128" s="59" t="inlineStr">
        <is>
          <t>11/10/2026 19:41:00</t>
        </is>
      </c>
      <c r="F128" s="59" t="inlineStr">
        <is>
          <t>1 ngày trước</t>
        </is>
      </c>
      <c r="G128" s="61" t="n">
        <v>1</v>
      </c>
      <c r="H128" s="62" t="n">
        <v>28</v>
      </c>
      <c r="I128" s="9" t="inlineStr">
        <is>
          <t>Dog Breeder / Trại chó chuyên nghiệp (28-30đ)</t>
        </is>
      </c>
      <c r="J128" s="62" t="n">
        <v>30</v>
      </c>
      <c r="K128" s="9" t="inlineStr">
        <is>
          <t>Australian Shepherd / Herding</t>
        </is>
      </c>
      <c r="L128" s="62" t="n">
        <v>5</v>
      </c>
      <c r="M128" s="62" t="n">
        <v>5</v>
      </c>
      <c r="N128" s="9" t="inlineStr">
        <is>
          <t>Amazon link not found</t>
        </is>
      </c>
      <c r="O128" s="62">
        <f>IF(N128="Selling pet toys + Artificial grass/Pet toilets (TARGET)",15,IF(N128="Selling artificial grass/pet toilets (TARGET)",10,IF(N128="Selling pet toys",7,IF(N128="There's an Amazon link, but no target sales.",3,0))))</f>
        <v/>
      </c>
      <c r="P128" s="63">
        <f>H128+J128+L128+M128+O128</f>
        <v/>
      </c>
      <c r="Q128" s="64">
        <f>IF(OR(H128=0,P128&lt;30),"Tier D (Đóng băng)",IF(P128&gt;=85,"Tier S (Kim Cương: 85-100đ)",IF(P128&gt;=70,"Tier A (Vàng: 70-84đ)",IF(P128&gt;=61,"Tier B+ / Cấp A (Hot Lead: 61-69đ)",IF(P128&gt;=50,"Tier B (Bạc: 50-60đ)","Tier C (Đồng: 30-49đ)")))))</f>
        <v/>
      </c>
      <c r="R128" s="9" t="inlineStr">
        <is>
          <t>Trọn gói Take-Home Starter Kit V2/V3 (Cỏ nhân tạo + Khay Potty + Đồ chơi Teething/Snuggle)</t>
        </is>
      </c>
      <c r="S128" s="9" t="inlineStr">
        <is>
          <t>HOT LEAD (Điểm ≥61): Liên hệ Telesale/Email chào gói Starter Kit &amp; Báo giá sỉ chiết khấu BOM</t>
        </is>
      </c>
    </row>
    <row r="129">
      <c r="A129" s="53" t="n">
        <v>2510</v>
      </c>
      <c r="B129" s="12" t="inlineStr">
        <is>
          <t>Petit Basset Griffon Vendeen- Black Majesty kennel</t>
        </is>
      </c>
      <c r="C129" s="54" t="inlineStr">
        <is>
          <t>https://www.facebook.com/blackmajestypbgvgbgv</t>
        </is>
      </c>
      <c r="D129" s="6" t="inlineStr">
        <is>
          <t>Cần quét Bio Fanpage</t>
        </is>
      </c>
      <c r="E129" s="53" t="inlineStr">
        <is>
          <t>11/10/2026 14:35:10</t>
        </is>
      </c>
      <c r="F129" s="53" t="inlineStr">
        <is>
          <t>1 ngày trước</t>
        </is>
      </c>
      <c r="G129" s="55" t="n">
        <v>1</v>
      </c>
      <c r="H129" s="56" t="n">
        <v>28</v>
      </c>
      <c r="I129" s="6" t="inlineStr">
        <is>
          <t>Dog Breeder / Trại chó chuyên nghiệp (28-30đ)</t>
        </is>
      </c>
      <c r="J129" s="56" t="n">
        <v>30</v>
      </c>
      <c r="K129" s="6" t="inlineStr">
        <is>
          <t>Hound / Beagle / Basset</t>
        </is>
      </c>
      <c r="L129" s="56" t="n">
        <v>5</v>
      </c>
      <c r="M129" s="56" t="n">
        <v>5</v>
      </c>
      <c r="N129" s="6" t="inlineStr">
        <is>
          <t>Amazon link not found</t>
        </is>
      </c>
      <c r="O129" s="56">
        <f>IF(N129="Selling pet toys + Artificial grass/Pet toilets (TARGET)",15,IF(N129="Selling artificial grass/pet toilets (TARGET)",10,IF(N129="Selling pet toys",7,IF(N129="There's an Amazon link, but no target sales.",3,0))))</f>
        <v/>
      </c>
      <c r="P129" s="63">
        <f>H129+J129+L129+M129+O129</f>
        <v/>
      </c>
      <c r="Q129" s="64">
        <f>IF(OR(H129=0,P129&lt;30),"Tier D (Đóng băng)",IF(P129&gt;=85,"Tier S (Kim Cương: 85-100đ)",IF(P129&gt;=70,"Tier A (Vàng: 70-84đ)",IF(P129&gt;=61,"Tier B+ / Cấp A (Hot Lead: 61-69đ)",IF(P129&gt;=50,"Tier B (Bạc: 50-60đ)","Tier C (Đồng: 30-49đ)")))))</f>
        <v/>
      </c>
      <c r="R129" s="6" t="inlineStr">
        <is>
          <t>Trọn gói Take-Home Starter Kit V2/V3 (Cỏ nhân tạo + Khay Potty + Đồ chơi Teething/Snuggle)</t>
        </is>
      </c>
      <c r="S129" s="6" t="inlineStr">
        <is>
          <t>HOT LEAD (Điểm ≥61): Liên hệ Telesale/Email chào gói Starter Kit &amp; Báo giá sỉ chiết khấu BOM</t>
        </is>
      </c>
    </row>
    <row r="130">
      <c r="A130" s="59" t="n">
        <v>634</v>
      </c>
      <c r="B130" s="15" t="inlineStr">
        <is>
          <t>Bernedale Kennels, Saint Bernards of Supreme Quality.</t>
        </is>
      </c>
      <c r="C130" s="60" t="inlineStr">
        <is>
          <t>https://www.facebook.com/Bernedale</t>
        </is>
      </c>
      <c r="D130" s="9" t="inlineStr">
        <is>
          <t>Cần quét Bio Fanpage</t>
        </is>
      </c>
      <c r="E130" s="59" t="inlineStr">
        <is>
          <t>11/10/2026 09:23:10</t>
        </is>
      </c>
      <c r="F130" s="59" t="inlineStr">
        <is>
          <t>1 ngày trước</t>
        </is>
      </c>
      <c r="G130" s="61" t="n">
        <v>1</v>
      </c>
      <c r="H130" s="62" t="n">
        <v>28</v>
      </c>
      <c r="I130" s="9" t="inlineStr">
        <is>
          <t>Dog Breeder / Trại chó chuyên nghiệp (28-30đ)</t>
        </is>
      </c>
      <c r="J130" s="62" t="n">
        <v>30</v>
      </c>
      <c r="K130" s="9" t="inlineStr">
        <is>
          <t>Great Dane / Working Giant</t>
        </is>
      </c>
      <c r="L130" s="62" t="n">
        <v>5</v>
      </c>
      <c r="M130" s="62" t="n">
        <v>5</v>
      </c>
      <c r="N130" s="9" t="inlineStr">
        <is>
          <t>Amazon link not found</t>
        </is>
      </c>
      <c r="O130" s="62">
        <f>IF(N130="Selling pet toys + Artificial grass/Pet toilets (TARGET)",15,IF(N130="Selling artificial grass/pet toilets (TARGET)",10,IF(N130="Selling pet toys",7,IF(N130="There's an Amazon link, but no target sales.",3,0))))</f>
        <v/>
      </c>
      <c r="P130" s="63">
        <f>H130+J130+L130+M130+O130</f>
        <v/>
      </c>
      <c r="Q130" s="64">
        <f>IF(OR(H130=0,P130&lt;30),"Tier D (Đóng băng)",IF(P130&gt;=85,"Tier S (Kim Cương: 85-100đ)",IF(P130&gt;=70,"Tier A (Vàng: 70-84đ)",IF(P130&gt;=61,"Tier B+ / Cấp A (Hot Lead: 61-69đ)",IF(P130&gt;=50,"Tier B (Bạc: 50-60đ)","Tier C (Đồng: 30-49đ)")))))</f>
        <v/>
      </c>
      <c r="R130" s="9" t="inlineStr">
        <is>
          <t>Trọn gói Take-Home Starter Kit V2/V3 (Cỏ nhân tạo + Khay Potty + Đồ chơi Teething/Snuggle)</t>
        </is>
      </c>
      <c r="S130" s="9" t="inlineStr">
        <is>
          <t>HOT LEAD (Điểm ≥61): Liên hệ Telesale/Email chào gói Starter Kit &amp; Báo giá sỉ chiết khấu BOM</t>
        </is>
      </c>
    </row>
    <row r="131">
      <c r="A131" s="53" t="n">
        <v>3098</v>
      </c>
      <c r="B131" s="12" t="inlineStr">
        <is>
          <t>The Devil wears Prada poodle kennel</t>
        </is>
      </c>
      <c r="C131" s="54" t="inlineStr">
        <is>
          <t>https://www.facebook.com/profile.php?id=100079171431889</t>
        </is>
      </c>
      <c r="D131" s="6" t="inlineStr">
        <is>
          <t>Cần quét Bio Fanpage</t>
        </is>
      </c>
      <c r="E131" s="53" t="inlineStr">
        <is>
          <t>11/10/2026 01:20:14</t>
        </is>
      </c>
      <c r="F131" s="53" t="inlineStr">
        <is>
          <t>2 ngày trước</t>
        </is>
      </c>
      <c r="G131" s="55" t="n">
        <v>2</v>
      </c>
      <c r="H131" s="56" t="n">
        <v>28</v>
      </c>
      <c r="I131" s="6" t="inlineStr">
        <is>
          <t>Dog Breeder / Trại chó chuyên nghiệp (28-30đ)</t>
        </is>
      </c>
      <c r="J131" s="56" t="n">
        <v>30</v>
      </c>
      <c r="K131" s="6" t="inlineStr">
        <is>
          <t>Poodle (Standard/Mini/Toy)</t>
        </is>
      </c>
      <c r="L131" s="56" t="n">
        <v>5</v>
      </c>
      <c r="M131" s="56" t="n">
        <v>5</v>
      </c>
      <c r="N131" s="6" t="inlineStr">
        <is>
          <t>Amazon link not found</t>
        </is>
      </c>
      <c r="O131" s="56">
        <f>IF(N131="Selling pet toys + Artificial grass/Pet toilets (TARGET)",15,IF(N131="Selling artificial grass/pet toilets (TARGET)",10,IF(N131="Selling pet toys",7,IF(N131="There's an Amazon link, but no target sales.",3,0))))</f>
        <v/>
      </c>
      <c r="P131" s="63">
        <f>H131+J131+L131+M131+O131</f>
        <v/>
      </c>
      <c r="Q131" s="64">
        <f>IF(OR(H131=0,P131&lt;30),"Tier D (Đóng băng)",IF(P131&gt;=85,"Tier S (Kim Cương: 85-100đ)",IF(P131&gt;=70,"Tier A (Vàng: 70-84đ)",IF(P131&gt;=61,"Tier B+ / Cấp A (Hot Lead: 61-69đ)",IF(P131&gt;=50,"Tier B (Bạc: 50-60đ)","Tier C (Đồng: 30-49đ)")))))</f>
        <v/>
      </c>
      <c r="R131" s="6" t="inlineStr">
        <is>
          <t>Trọn gói Take-Home Starter Kit V2/V3 (Cỏ nhân tạo + Khay Potty + Đồ chơi Teething/Snuggle)</t>
        </is>
      </c>
      <c r="S131" s="6" t="inlineStr">
        <is>
          <t>HOT LEAD (Điểm ≥61): Liên hệ Telesale/Email chào gói Starter Kit &amp; Báo giá sỉ chiết khấu BOM</t>
        </is>
      </c>
    </row>
    <row r="132">
      <c r="A132" s="59" t="n">
        <v>26</v>
      </c>
      <c r="B132" s="15" t="inlineStr">
        <is>
          <t>Original Snuggle Puppy</t>
        </is>
      </c>
      <c r="C132" s="60" t="inlineStr">
        <is>
          <t>https://www.facebook.com/originalsnugglepuppy</t>
        </is>
      </c>
      <c r="D132" s="9" t="inlineStr">
        <is>
          <t>Cần quét Bio Fanpage</t>
        </is>
      </c>
      <c r="E132" s="59" t="inlineStr">
        <is>
          <t>10/10/2026 22:02:02</t>
        </is>
      </c>
      <c r="F132" s="59" t="inlineStr">
        <is>
          <t>2 ngày trước</t>
        </is>
      </c>
      <c r="G132" s="61" t="n">
        <v>2</v>
      </c>
      <c r="H132" s="62" t="n">
        <v>28</v>
      </c>
      <c r="I132" s="9" t="inlineStr">
        <is>
          <t>Dog Breeder / Trại chó chuyên nghiệp (28-30đ)</t>
        </is>
      </c>
      <c r="J132" s="62" t="n">
        <v>28</v>
      </c>
      <c r="K132" s="9" t="inlineStr">
        <is>
          <t>Chưa rõ giống (Cần quét Bio)</t>
        </is>
      </c>
      <c r="L132" s="62" t="n">
        <v>0</v>
      </c>
      <c r="M132" s="62" t="n">
        <v>5</v>
      </c>
      <c r="N132" s="9" t="inlineStr">
        <is>
          <t>Selling pet toys</t>
        </is>
      </c>
      <c r="O132" s="62">
        <f>IF(N132="Selling pet toys + Artificial grass/Pet toilets (TARGET)",15,IF(N132="Selling artificial grass/pet toilets (TARGET)",10,IF(N132="Selling pet toys",7,IF(N132="There's an Amazon link, but no target sales.",3,0))))</f>
        <v/>
      </c>
      <c r="P132" s="63">
        <f>H132+J132+L132+M132+O132</f>
        <v/>
      </c>
      <c r="Q132" s="64">
        <f>IF(OR(H132=0,P132&lt;30),"Tier D (Đóng băng)",IF(P132&gt;=85,"Tier S (Kim Cương: 85-100đ)",IF(P132&gt;=70,"Tier A (Vàng: 70-84đ)",IF(P132&gt;=61,"Tier B+ / Cấp A (Hot Lead: 61-69đ)",IF(P132&gt;=50,"Tier B (Bạc: 50-60đ)","Tier C (Đồng: 30-49đ)")))))</f>
        <v/>
      </c>
      <c r="R132" s="9" t="inlineStr">
        <is>
          <t>Trọn gói Take-Home Starter Kit V2/V3 (Cỏ nhân tạo + Khay Potty + Đồ chơi Teething/Snuggle)</t>
        </is>
      </c>
      <c r="S132" s="9" t="inlineStr">
        <is>
          <t>HOT LEAD (Điểm ≥61): Liên hệ Telesale/Email chào gói Starter Kit &amp; Báo giá sỉ chiết khấu BOM</t>
        </is>
      </c>
    </row>
    <row r="133">
      <c r="A133" s="53" t="n">
        <v>559</v>
      </c>
      <c r="B133" s="12" t="inlineStr">
        <is>
          <t>Aussies Edge Farm</t>
        </is>
      </c>
      <c r="C133" s="54" t="inlineStr">
        <is>
          <t>https://www.facebook.com/aussiesedgefarm</t>
        </is>
      </c>
      <c r="D133" s="6" t="inlineStr">
        <is>
          <t>Cần quét Bio Fanpage</t>
        </is>
      </c>
      <c r="E133" s="53" t="inlineStr">
        <is>
          <t>10/10/2026 21:20:08</t>
        </is>
      </c>
      <c r="F133" s="53" t="inlineStr">
        <is>
          <t>2 ngày trước</t>
        </is>
      </c>
      <c r="G133" s="55" t="n">
        <v>2</v>
      </c>
      <c r="H133" s="56" t="n">
        <v>28</v>
      </c>
      <c r="I133" s="6" t="inlineStr">
        <is>
          <t>Dog Breeder / Trại chó chuyên nghiệp (28-30đ)</t>
        </is>
      </c>
      <c r="J133" s="56" t="n">
        <v>30</v>
      </c>
      <c r="K133" s="6" t="inlineStr">
        <is>
          <t>Australian Shepherd / Herding</t>
        </is>
      </c>
      <c r="L133" s="56" t="n">
        <v>5</v>
      </c>
      <c r="M133" s="56" t="n">
        <v>5</v>
      </c>
      <c r="N133" s="6" t="inlineStr">
        <is>
          <t>Amazon link not found</t>
        </is>
      </c>
      <c r="O133" s="56">
        <f>IF(N133="Selling pet toys + Artificial grass/Pet toilets (TARGET)",15,IF(N133="Selling artificial grass/pet toilets (TARGET)",10,IF(N133="Selling pet toys",7,IF(N133="There's an Amazon link, but no target sales.",3,0))))</f>
        <v/>
      </c>
      <c r="P133" s="63">
        <f>H133+J133+L133+M133+O133</f>
        <v/>
      </c>
      <c r="Q133" s="64">
        <f>IF(OR(H133=0,P133&lt;30),"Tier D (Đóng băng)",IF(P133&gt;=85,"Tier S (Kim Cương: 85-100đ)",IF(P133&gt;=70,"Tier A (Vàng: 70-84đ)",IF(P133&gt;=61,"Tier B+ / Cấp A (Hot Lead: 61-69đ)",IF(P133&gt;=50,"Tier B (Bạc: 50-60đ)","Tier C (Đồng: 30-49đ)")))))</f>
        <v/>
      </c>
      <c r="R133" s="6" t="inlineStr">
        <is>
          <t>Trọn gói Take-Home Starter Kit V2/V3 (Cỏ nhân tạo + Khay Potty + Đồ chơi Teething/Snuggle)</t>
        </is>
      </c>
      <c r="S133" s="6" t="inlineStr">
        <is>
          <t>HOT LEAD (Điểm ≥61): Liên hệ Telesale/Email chào gói Starter Kit &amp; Báo giá sỉ chiết khấu BOM</t>
        </is>
      </c>
    </row>
    <row r="134">
      <c r="A134" s="59" t="n">
        <v>1007</v>
      </c>
      <c r="B134" s="15" t="inlineStr">
        <is>
          <t>Dazzling Borders - BorderCollie Kennel</t>
        </is>
      </c>
      <c r="C134" s="60" t="inlineStr">
        <is>
          <t>https://www.facebook.com/profile.php?id=61568374033195</t>
        </is>
      </c>
      <c r="D134" s="9" t="inlineStr">
        <is>
          <t>Cần quét Bio Fanpage</t>
        </is>
      </c>
      <c r="E134" s="59" t="inlineStr">
        <is>
          <t>10/10/2026 20:58:21</t>
        </is>
      </c>
      <c r="F134" s="59" t="inlineStr">
        <is>
          <t>2 ngày trước</t>
        </is>
      </c>
      <c r="G134" s="61" t="n">
        <v>2</v>
      </c>
      <c r="H134" s="62" t="n">
        <v>28</v>
      </c>
      <c r="I134" s="9" t="inlineStr">
        <is>
          <t>Dog Breeder / Trại chó chuyên nghiệp (28-30đ)</t>
        </is>
      </c>
      <c r="J134" s="62" t="n">
        <v>30</v>
      </c>
      <c r="K134" s="9" t="inlineStr">
        <is>
          <t>Australian Shepherd / Herding</t>
        </is>
      </c>
      <c r="L134" s="62" t="n">
        <v>5</v>
      </c>
      <c r="M134" s="62" t="n">
        <v>5</v>
      </c>
      <c r="N134" s="9" t="inlineStr">
        <is>
          <t>Amazon link not found</t>
        </is>
      </c>
      <c r="O134" s="62">
        <f>IF(N134="Selling pet toys + Artificial grass/Pet toilets (TARGET)",15,IF(N134="Selling artificial grass/pet toilets (TARGET)",10,IF(N134="Selling pet toys",7,IF(N134="There's an Amazon link, but no target sales.",3,0))))</f>
        <v/>
      </c>
      <c r="P134" s="63">
        <f>H134+J134+L134+M134+O134</f>
        <v/>
      </c>
      <c r="Q134" s="64">
        <f>IF(OR(H134=0,P134&lt;30),"Tier D (Đóng băng)",IF(P134&gt;=85,"Tier S (Kim Cương: 85-100đ)",IF(P134&gt;=70,"Tier A (Vàng: 70-84đ)",IF(P134&gt;=61,"Tier B+ / Cấp A (Hot Lead: 61-69đ)",IF(P134&gt;=50,"Tier B (Bạc: 50-60đ)","Tier C (Đồng: 30-49đ)")))))</f>
        <v/>
      </c>
      <c r="R134" s="9" t="inlineStr">
        <is>
          <t>Trọn gói Take-Home Starter Kit V2/V3 (Cỏ nhân tạo + Khay Potty + Đồ chơi Teething/Snuggle)</t>
        </is>
      </c>
      <c r="S134" s="9" t="inlineStr">
        <is>
          <t>HOT LEAD (Điểm ≥61): Liên hệ Telesale/Email chào gói Starter Kit &amp; Báo giá sỉ chiết khấu BOM</t>
        </is>
      </c>
    </row>
    <row r="135">
      <c r="A135" s="53" t="n">
        <v>274</v>
      </c>
      <c r="B135" s="12" t="inlineStr">
        <is>
          <t>Sunshine’s Puppy Enrichment Co</t>
        </is>
      </c>
      <c r="C135" s="54" t="inlineStr">
        <is>
          <t>https://www.facebook.com/profile.php?id=61556023387069</t>
        </is>
      </c>
      <c r="D135" s="6" t="inlineStr">
        <is>
          <t>Cần quét Bio Fanpage</t>
        </is>
      </c>
      <c r="E135" s="53" t="inlineStr">
        <is>
          <t>09/10/2026 23:30:32</t>
        </is>
      </c>
      <c r="F135" s="53" t="inlineStr">
        <is>
          <t>3 ngày trước</t>
        </is>
      </c>
      <c r="G135" s="55" t="n">
        <v>3</v>
      </c>
      <c r="H135" s="56" t="n">
        <v>28</v>
      </c>
      <c r="I135" s="6" t="inlineStr">
        <is>
          <t>Dog Breeder / Trại chó chuyên nghiệp (28-30đ)</t>
        </is>
      </c>
      <c r="J135" s="56" t="n">
        <v>30</v>
      </c>
      <c r="K135" s="6" t="inlineStr">
        <is>
          <t>Chưa rõ giống (Cần quét Bio)</t>
        </is>
      </c>
      <c r="L135" s="56" t="n">
        <v>0</v>
      </c>
      <c r="M135" s="56" t="n">
        <v>10</v>
      </c>
      <c r="N135" s="6" t="inlineStr">
        <is>
          <t>Amazon link not found</t>
        </is>
      </c>
      <c r="O135" s="56">
        <f>IF(N135="Selling pet toys + Artificial grass/Pet toilets (TARGET)",15,IF(N135="Selling artificial grass/pet toilets (TARGET)",10,IF(N135="Selling pet toys",7,IF(N135="There's an Amazon link, but no target sales.",3,0))))</f>
        <v/>
      </c>
      <c r="P135" s="63">
        <f>H135+J135+L135+M135+O135</f>
        <v/>
      </c>
      <c r="Q135" s="64">
        <f>IF(OR(H135=0,P135&lt;30),"Tier D (Đóng băng)",IF(P135&gt;=85,"Tier S (Kim Cương: 85-100đ)",IF(P135&gt;=70,"Tier A (Vàng: 70-84đ)",IF(P135&gt;=61,"Tier B+ / Cấp A (Hot Lead: 61-69đ)",IF(P135&gt;=50,"Tier B (Bạc: 50-60đ)","Tier C (Đồng: 30-49đ)")))))</f>
        <v/>
      </c>
      <c r="R135" s="6" t="inlineStr">
        <is>
          <t>Trọn gói Take-Home Starter Kit V2/V3 (Cỏ nhân tạo + Khay Potty + Đồ chơi Teething/Snuggle)</t>
        </is>
      </c>
      <c r="S135" s="6" t="inlineStr">
        <is>
          <t>HOT LEAD (Điểm ≥61): Liên hệ Telesale/Email chào gói Starter Kit &amp; Báo giá sỉ chiết khấu BOM</t>
        </is>
      </c>
    </row>
    <row r="136">
      <c r="A136" s="59" t="n">
        <v>1580</v>
      </c>
      <c r="B136" s="15" t="inlineStr">
        <is>
          <t>Gulf Breeze Kennels</t>
        </is>
      </c>
      <c r="C136" s="60" t="inlineStr">
        <is>
          <t>https://www.facebook.com/GBKpuppies</t>
        </is>
      </c>
      <c r="D136" s="9" t="inlineStr">
        <is>
          <t>Cần quét Bio Fanpage</t>
        </is>
      </c>
      <c r="E136" s="59" t="inlineStr">
        <is>
          <t>09/10/2026 21:12:05</t>
        </is>
      </c>
      <c r="F136" s="59" t="inlineStr">
        <is>
          <t>3 ngày trước</t>
        </is>
      </c>
      <c r="G136" s="61" t="n">
        <v>3</v>
      </c>
      <c r="H136" s="62" t="n">
        <v>28</v>
      </c>
      <c r="I136" s="9" t="inlineStr">
        <is>
          <t>Dog Breeder / Trại chó chuyên nghiệp (28-30đ)</t>
        </is>
      </c>
      <c r="J136" s="62" t="n">
        <v>30</v>
      </c>
      <c r="K136" s="9" t="inlineStr">
        <is>
          <t>Chưa rõ giống (Cần quét Bio)</t>
        </is>
      </c>
      <c r="L136" s="62" t="n">
        <v>0</v>
      </c>
      <c r="M136" s="62" t="n">
        <v>10</v>
      </c>
      <c r="N136" s="9" t="inlineStr">
        <is>
          <t>Amazon link not found</t>
        </is>
      </c>
      <c r="O136" s="62">
        <f>IF(N136="Selling pet toys + Artificial grass/Pet toilets (TARGET)",15,IF(N136="Selling artificial grass/pet toilets (TARGET)",10,IF(N136="Selling pet toys",7,IF(N136="There's an Amazon link, but no target sales.",3,0))))</f>
        <v/>
      </c>
      <c r="P136" s="63">
        <f>H136+J136+L136+M136+O136</f>
        <v/>
      </c>
      <c r="Q136" s="64">
        <f>IF(OR(H136=0,P136&lt;30),"Tier D (Đóng băng)",IF(P136&gt;=85,"Tier S (Kim Cương: 85-100đ)",IF(P136&gt;=70,"Tier A (Vàng: 70-84đ)",IF(P136&gt;=61,"Tier B+ / Cấp A (Hot Lead: 61-69đ)",IF(P136&gt;=50,"Tier B (Bạc: 50-60đ)","Tier C (Đồng: 30-49đ)")))))</f>
        <v/>
      </c>
      <c r="R136" s="9" t="inlineStr">
        <is>
          <t>Trọn gói Take-Home Starter Kit V2/V3 (Cỏ nhân tạo + Khay Potty + Đồ chơi Teething/Snuggle)</t>
        </is>
      </c>
      <c r="S136" s="9" t="inlineStr">
        <is>
          <t>HOT LEAD (Điểm ≥61): Liên hệ Telesale/Email chào gói Starter Kit &amp; Báo giá sỉ chiết khấu BOM</t>
        </is>
      </c>
    </row>
    <row r="137">
      <c r="A137" s="53" t="n">
        <v>939</v>
      </c>
      <c r="B137" s="12" t="inlineStr">
        <is>
          <t>Copperhead Kennel</t>
        </is>
      </c>
      <c r="C137" s="54" t="inlineStr">
        <is>
          <t>https://www.facebook.com/copperheadcockers</t>
        </is>
      </c>
      <c r="D137" s="6" t="inlineStr">
        <is>
          <t>Cần quét Bio Fanpage</t>
        </is>
      </c>
      <c r="E137" s="53" t="inlineStr">
        <is>
          <t>09/10/2026 03:22:52</t>
        </is>
      </c>
      <c r="F137" s="53" t="inlineStr">
        <is>
          <t>3 ngày trước</t>
        </is>
      </c>
      <c r="G137" s="55" t="n">
        <v>3</v>
      </c>
      <c r="H137" s="56" t="n">
        <v>28</v>
      </c>
      <c r="I137" s="6" t="inlineStr">
        <is>
          <t>Dog Breeder / Trại chó chuyên nghiệp (28-30đ)</t>
        </is>
      </c>
      <c r="J137" s="56" t="n">
        <v>30</v>
      </c>
      <c r="K137" s="6" t="inlineStr">
        <is>
          <t>Spaniel / Gun Dog / Retriever</t>
        </is>
      </c>
      <c r="L137" s="56" t="n">
        <v>5</v>
      </c>
      <c r="M137" s="56" t="n">
        <v>5</v>
      </c>
      <c r="N137" s="6" t="inlineStr">
        <is>
          <t>Amazon link not found</t>
        </is>
      </c>
      <c r="O137" s="56">
        <f>IF(N137="Selling pet toys + Artificial grass/Pet toilets (TARGET)",15,IF(N137="Selling artificial grass/pet toilets (TARGET)",10,IF(N137="Selling pet toys",7,IF(N137="There's an Amazon link, but no target sales.",3,0))))</f>
        <v/>
      </c>
      <c r="P137" s="63">
        <f>H137+J137+L137+M137+O137</f>
        <v/>
      </c>
      <c r="Q137" s="64">
        <f>IF(OR(H137=0,P137&lt;30),"Tier D (Đóng băng)",IF(P137&gt;=85,"Tier S (Kim Cương: 85-100đ)",IF(P137&gt;=70,"Tier A (Vàng: 70-84đ)",IF(P137&gt;=61,"Tier B+ / Cấp A (Hot Lead: 61-69đ)",IF(P137&gt;=50,"Tier B (Bạc: 50-60đ)","Tier C (Đồng: 30-49đ)")))))</f>
        <v/>
      </c>
      <c r="R137" s="6" t="inlineStr">
        <is>
          <t>Trọn gói Take-Home Starter Kit V2/V3 (Cỏ nhân tạo + Khay Potty + Đồ chơi Teething/Snuggle)</t>
        </is>
      </c>
      <c r="S137" s="6" t="inlineStr">
        <is>
          <t>HOT LEAD (Điểm ≥61): Liên hệ Telesale/Email chào gói Starter Kit &amp; Báo giá sỉ chiết khấu BOM</t>
        </is>
      </c>
    </row>
    <row r="138">
      <c r="A138" s="59" t="n">
        <v>5270</v>
      </c>
      <c r="B138" s="15" t="inlineStr">
        <is>
          <t>Rustic Farm &amp; Pet Services</t>
        </is>
      </c>
      <c r="C138" s="60" t="inlineStr">
        <is>
          <t>https://www.facebook.com/profile.php?id=100088590342349</t>
        </is>
      </c>
      <c r="D138" s="9" t="inlineStr">
        <is>
          <t>Cần quét Bio Fanpage</t>
        </is>
      </c>
      <c r="E138" s="59" t="inlineStr">
        <is>
          <t>13/10/2026 09:00:09</t>
        </is>
      </c>
      <c r="F138" s="59" t="inlineStr">
        <is>
          <t>1 giờ trước</t>
        </is>
      </c>
      <c r="G138" s="61" t="n">
        <v>0.04</v>
      </c>
      <c r="H138" s="62" t="n">
        <v>35</v>
      </c>
      <c r="I138" s="9" t="inlineStr">
        <is>
          <t>Pet Boarding / Huấn luyện K9 &amp; Dịch vụ (20-22đ)</t>
        </is>
      </c>
      <c r="J138" s="62" t="n">
        <v>22</v>
      </c>
      <c r="K138" s="9" t="inlineStr">
        <is>
          <t>Chưa rõ giống (Cần quét Bio)</t>
        </is>
      </c>
      <c r="L138" s="62" t="n">
        <v>0</v>
      </c>
      <c r="M138" s="62" t="n">
        <v>10</v>
      </c>
      <c r="N138" s="9" t="inlineStr">
        <is>
          <t>Amazon link not found</t>
        </is>
      </c>
      <c r="O138" s="62">
        <f>IF(N138="Selling pet toys + Artificial grass/Pet toilets (TARGET)",15,IF(N138="Selling artificial grass/pet toilets (TARGET)",10,IF(N138="Selling pet toys",7,IF(N138="There's an Amazon link, but no target sales.",3,0))))</f>
        <v/>
      </c>
      <c r="P138" s="63">
        <f>H138+J138+L138+M138+O138</f>
        <v/>
      </c>
      <c r="Q138" s="64">
        <f>IF(OR(H138=0,P138&lt;30),"Tier D (Đóng băng)",IF(P138&gt;=85,"Tier S (Kim Cương: 85-100đ)",IF(P138&gt;=70,"Tier A (Vàng: 70-84đ)",IF(P138&gt;=61,"Tier B+ / Cấp A (Hot Lead: 61-69đ)",IF(P138&gt;=50,"Tier B (Bạc: 50-60đ)","Tier C (Đồng: 30-49đ)")))))</f>
        <v/>
      </c>
      <c r="R138" s="9" t="inlineStr">
        <is>
          <t>Cỏ nhân tạo sân chơi/huấn luyện (Dog Turf) + Đồ chơi nhai chịu lực (KONG/Chew Toys)</t>
        </is>
      </c>
      <c r="S138" s="9" t="inlineStr">
        <is>
          <t>HOT LEAD (Điểm ≥61): Liên hệ Telesale/Email chào gói Starter Kit &amp; Báo giá sỉ chiết khấu BOM</t>
        </is>
      </c>
    </row>
    <row r="139">
      <c r="A139" s="53" t="n">
        <v>2784</v>
      </c>
      <c r="B139" s="12" t="inlineStr">
        <is>
          <t>Royal Douch King kennel</t>
        </is>
      </c>
      <c r="C139" s="54" t="inlineStr">
        <is>
          <t>https://www.facebook.com/profile.php?id=61577749116481</t>
        </is>
      </c>
      <c r="D139" s="6" t="inlineStr">
        <is>
          <t>Cần quét Bio Fanpage</t>
        </is>
      </c>
      <c r="E139" s="53" t="inlineStr">
        <is>
          <t>13/10/2026 01:52:22</t>
        </is>
      </c>
      <c r="F139" s="53" t="inlineStr">
        <is>
          <t>4 giờ trước</t>
        </is>
      </c>
      <c r="G139" s="55" t="n">
        <v>0.17</v>
      </c>
      <c r="H139" s="56" t="n">
        <v>32</v>
      </c>
      <c r="I139" s="6" t="inlineStr">
        <is>
          <t>Dog Breeder / Trại chó chuyên nghiệp (28-30đ)</t>
        </is>
      </c>
      <c r="J139" s="56" t="n">
        <v>30</v>
      </c>
      <c r="K139" s="6" t="inlineStr">
        <is>
          <t>Chưa rõ giống (Cần quét Bio)</t>
        </is>
      </c>
      <c r="L139" s="56" t="n">
        <v>0</v>
      </c>
      <c r="M139" s="56" t="n">
        <v>5</v>
      </c>
      <c r="N139" s="6" t="inlineStr">
        <is>
          <t>Amazon link not found</t>
        </is>
      </c>
      <c r="O139" s="56">
        <f>IF(N139="Selling pet toys + Artificial grass/Pet toilets (TARGET)",15,IF(N139="Selling artificial grass/pet toilets (TARGET)",10,IF(N139="Selling pet toys",7,IF(N139="There's an Amazon link, but no target sales.",3,0))))</f>
        <v/>
      </c>
      <c r="P139" s="63">
        <f>H139+J139+L139+M139+O139</f>
        <v/>
      </c>
      <c r="Q139" s="64">
        <f>IF(OR(H139=0,P139&lt;30),"Tier D (Đóng băng)",IF(P139&gt;=85,"Tier S (Kim Cương: 85-100đ)",IF(P139&gt;=70,"Tier A (Vàng: 70-84đ)",IF(P139&gt;=61,"Tier B+ / Cấp A (Hot Lead: 61-69đ)",IF(P139&gt;=50,"Tier B (Bạc: 50-60đ)","Tier C (Đồng: 30-49đ)")))))</f>
        <v/>
      </c>
      <c r="R139" s="6" t="inlineStr">
        <is>
          <t>Trọn gói Take-Home Starter Kit V2/V3 (Cỏ nhân tạo + Khay Potty + Đồ chơi Teething/Snuggle)</t>
        </is>
      </c>
      <c r="S139" s="6" t="inlineStr">
        <is>
          <t>HOT LEAD (Điểm ≥61): Liên hệ Telesale/Email chào gói Starter Kit &amp; Báo giá sỉ chiết khấu BOM</t>
        </is>
      </c>
    </row>
    <row r="140">
      <c r="A140" s="59" t="n">
        <v>1870</v>
      </c>
      <c r="B140" s="15" t="inlineStr">
        <is>
          <t>Kennel Asperastars</t>
        </is>
      </c>
      <c r="C140" s="60" t="inlineStr">
        <is>
          <t>https://www.facebook.com/profile.php?id=100090548577796</t>
        </is>
      </c>
      <c r="D140" s="9" t="inlineStr">
        <is>
          <t>Cần quét Bio Fanpage</t>
        </is>
      </c>
      <c r="E140" s="59" t="inlineStr">
        <is>
          <t>12/10/2026 23:29:18</t>
        </is>
      </c>
      <c r="F140" s="59" t="inlineStr">
        <is>
          <t>4 giờ trước</t>
        </is>
      </c>
      <c r="G140" s="61" t="n">
        <v>0.17</v>
      </c>
      <c r="H140" s="62" t="n">
        <v>32</v>
      </c>
      <c r="I140" s="9" t="inlineStr">
        <is>
          <t>Dog Breeder / Trại chó chuyên nghiệp (28-30đ)</t>
        </is>
      </c>
      <c r="J140" s="62" t="n">
        <v>30</v>
      </c>
      <c r="K140" s="9" t="inlineStr">
        <is>
          <t>Chưa rõ giống (Cần quét Bio)</t>
        </is>
      </c>
      <c r="L140" s="62" t="n">
        <v>0</v>
      </c>
      <c r="M140" s="62" t="n">
        <v>5</v>
      </c>
      <c r="N140" s="9" t="inlineStr">
        <is>
          <t>Amazon link not found</t>
        </is>
      </c>
      <c r="O140" s="62">
        <f>IF(N140="Selling pet toys + Artificial grass/Pet toilets (TARGET)",15,IF(N140="Selling artificial grass/pet toilets (TARGET)",10,IF(N140="Selling pet toys",7,IF(N140="There's an Amazon link, but no target sales.",3,0))))</f>
        <v/>
      </c>
      <c r="P140" s="63">
        <f>H140+J140+L140+M140+O140</f>
        <v/>
      </c>
      <c r="Q140" s="64">
        <f>IF(OR(H140=0,P140&lt;30),"Tier D (Đóng băng)",IF(P140&gt;=85,"Tier S (Kim Cương: 85-100đ)",IF(P140&gt;=70,"Tier A (Vàng: 70-84đ)",IF(P140&gt;=61,"Tier B+ / Cấp A (Hot Lead: 61-69đ)",IF(P140&gt;=50,"Tier B (Bạc: 50-60đ)","Tier C (Đồng: 30-49đ)")))))</f>
        <v/>
      </c>
      <c r="R140" s="9" t="inlineStr">
        <is>
          <t>Trọn gói Take-Home Starter Kit V2/V3 (Cỏ nhân tạo + Khay Potty + Đồ chơi Teething/Snuggle)</t>
        </is>
      </c>
      <c r="S140" s="9" t="inlineStr">
        <is>
          <t>HOT LEAD (Điểm ≥61): Liên hệ Telesale/Email chào gói Starter Kit &amp; Báo giá sỉ chiết khấu BOM</t>
        </is>
      </c>
    </row>
    <row r="141">
      <c r="A141" s="53" t="n">
        <v>2072</v>
      </c>
      <c r="B141" s="12" t="inlineStr">
        <is>
          <t>Lucky For You Kennel</t>
        </is>
      </c>
      <c r="C141" s="54" t="inlineStr">
        <is>
          <t>https://www.facebook.com/profile.php?id=100069319780668</t>
        </is>
      </c>
      <c r="D141" s="6" t="inlineStr">
        <is>
          <t>Cần quét Bio Fanpage</t>
        </is>
      </c>
      <c r="E141" s="53" t="inlineStr">
        <is>
          <t>12/10/2026 23:29:18</t>
        </is>
      </c>
      <c r="F141" s="53" t="inlineStr">
        <is>
          <t>5 giờ trước</t>
        </is>
      </c>
      <c r="G141" s="55" t="n">
        <v>0.21</v>
      </c>
      <c r="H141" s="56" t="n">
        <v>32</v>
      </c>
      <c r="I141" s="6" t="inlineStr">
        <is>
          <t>Dog Breeder / Trại chó chuyên nghiệp (28-30đ)</t>
        </is>
      </c>
      <c r="J141" s="56" t="n">
        <v>30</v>
      </c>
      <c r="K141" s="6" t="inlineStr">
        <is>
          <t>Chưa rõ giống (Cần quét Bio)</t>
        </is>
      </c>
      <c r="L141" s="56" t="n">
        <v>0</v>
      </c>
      <c r="M141" s="56" t="n">
        <v>5</v>
      </c>
      <c r="N141" s="6" t="inlineStr">
        <is>
          <t>Amazon link not found</t>
        </is>
      </c>
      <c r="O141" s="56">
        <f>IF(N141="Selling pet toys + Artificial grass/Pet toilets (TARGET)",15,IF(N141="Selling artificial grass/pet toilets (TARGET)",10,IF(N141="Selling pet toys",7,IF(N141="There's an Amazon link, but no target sales.",3,0))))</f>
        <v/>
      </c>
      <c r="P141" s="63">
        <f>H141+J141+L141+M141+O141</f>
        <v/>
      </c>
      <c r="Q141" s="64">
        <f>IF(OR(H141=0,P141&lt;30),"Tier D (Đóng băng)",IF(P141&gt;=85,"Tier S (Kim Cương: 85-100đ)",IF(P141&gt;=70,"Tier A (Vàng: 70-84đ)",IF(P141&gt;=61,"Tier B+ / Cấp A (Hot Lead: 61-69đ)",IF(P141&gt;=50,"Tier B (Bạc: 50-60đ)","Tier C (Đồng: 30-49đ)")))))</f>
        <v/>
      </c>
      <c r="R141" s="6" t="inlineStr">
        <is>
          <t>Trọn gói Take-Home Starter Kit V2/V3 (Cỏ nhân tạo + Khay Potty + Đồ chơi Teething/Snuggle)</t>
        </is>
      </c>
      <c r="S141" s="6" t="inlineStr">
        <is>
          <t>HOT LEAD (Điểm ≥61): Liên hệ Telesale/Email chào gói Starter Kit &amp; Báo giá sỉ chiết khấu BOM</t>
        </is>
      </c>
    </row>
    <row r="142">
      <c r="A142" s="59" t="n">
        <v>205</v>
      </c>
      <c r="B142" s="15" t="inlineStr">
        <is>
          <t>Kraftwork K9 Pro German Shepherds</t>
        </is>
      </c>
      <c r="C142" s="60" t="inlineStr">
        <is>
          <t>https://www.facebook.com/KraftworkK9Pro</t>
        </is>
      </c>
      <c r="D142" s="9" t="inlineStr">
        <is>
          <t>Cần quét Bio Fanpage</t>
        </is>
      </c>
      <c r="E142" s="59" t="inlineStr">
        <is>
          <t>12/10/2026 23:24:02</t>
        </is>
      </c>
      <c r="F142" s="59" t="inlineStr">
        <is>
          <t>1 giờ trước</t>
        </is>
      </c>
      <c r="G142" s="61" t="n">
        <v>0.04</v>
      </c>
      <c r="H142" s="62" t="n">
        <v>35</v>
      </c>
      <c r="I142" s="9" t="inlineStr">
        <is>
          <t>Pet Boarding / Huấn luyện K9 &amp; Dịch vụ (20-22đ)</t>
        </is>
      </c>
      <c r="J142" s="62" t="n">
        <v>22</v>
      </c>
      <c r="K142" s="9" t="inlineStr">
        <is>
          <t>German Shepherd</t>
        </is>
      </c>
      <c r="L142" s="62" t="n">
        <v>10</v>
      </c>
      <c r="M142" s="62" t="n">
        <v>0</v>
      </c>
      <c r="N142" s="9" t="inlineStr">
        <is>
          <t>Amazon link not found</t>
        </is>
      </c>
      <c r="O142" s="62">
        <f>IF(N142="Selling pet toys + Artificial grass/Pet toilets (TARGET)",15,IF(N142="Selling artificial grass/pet toilets (TARGET)",10,IF(N142="Selling pet toys",7,IF(N142="There's an Amazon link, but no target sales.",3,0))))</f>
        <v/>
      </c>
      <c r="P142" s="63">
        <f>H142+J142+L142+M142+O142</f>
        <v/>
      </c>
      <c r="Q142" s="64">
        <f>IF(OR(H142=0,P142&lt;30),"Tier D (Đóng băng)",IF(P142&gt;=85,"Tier S (Kim Cương: 85-100đ)",IF(P142&gt;=70,"Tier A (Vàng: 70-84đ)",IF(P142&gt;=61,"Tier B+ / Cấp A (Hot Lead: 61-69đ)",IF(P142&gt;=50,"Tier B (Bạc: 50-60đ)","Tier C (Đồng: 30-49đ)")))))</f>
        <v/>
      </c>
      <c r="R142" s="9" t="inlineStr">
        <is>
          <t>Cỏ nhân tạo sân chơi/huấn luyện (Dog Turf) + Đồ chơi nhai chịu lực (KONG/Chew Toys)</t>
        </is>
      </c>
      <c r="S142" s="9" t="inlineStr">
        <is>
          <t>HOT LEAD (Điểm ≥61): Liên hệ Telesale/Email chào gói Starter Kit &amp; Báo giá sỉ chiết khấu BOM</t>
        </is>
      </c>
    </row>
    <row r="143">
      <c r="A143" s="53" t="n">
        <v>2661</v>
      </c>
      <c r="B143" s="12" t="inlineStr">
        <is>
          <t>Puppies&amp;Yoga Huntsville</t>
        </is>
      </c>
      <c r="C143" s="54" t="inlineStr">
        <is>
          <t>https://www.facebook.com/profile.php?id=61582933661033</t>
        </is>
      </c>
      <c r="D143" s="6" t="inlineStr">
        <is>
          <t>Cần quét Bio Fanpage</t>
        </is>
      </c>
      <c r="E143" s="53" t="inlineStr">
        <is>
          <t>12/10/2026 22:30:24</t>
        </is>
      </c>
      <c r="F143" s="53" t="inlineStr">
        <is>
          <t>7 giờ trước</t>
        </is>
      </c>
      <c r="G143" s="55" t="n">
        <v>0.29</v>
      </c>
      <c r="H143" s="56" t="n">
        <v>32</v>
      </c>
      <c r="I143" s="6" t="inlineStr">
        <is>
          <t>Dog Breeder / Trại chó chuyên nghiệp (28-30đ)</t>
        </is>
      </c>
      <c r="J143" s="56" t="n">
        <v>30</v>
      </c>
      <c r="K143" s="6" t="inlineStr">
        <is>
          <t>Chưa rõ giống (Cần quét Bio)</t>
        </is>
      </c>
      <c r="L143" s="56" t="n">
        <v>0</v>
      </c>
      <c r="M143" s="56" t="n">
        <v>5</v>
      </c>
      <c r="N143" s="6" t="inlineStr">
        <is>
          <t>Amazon link not found</t>
        </is>
      </c>
      <c r="O143" s="56">
        <f>IF(N143="Selling pet toys + Artificial grass/Pet toilets (TARGET)",15,IF(N143="Selling artificial grass/pet toilets (TARGET)",10,IF(N143="Selling pet toys",7,IF(N143="There's an Amazon link, but no target sales.",3,0))))</f>
        <v/>
      </c>
      <c r="P143" s="63">
        <f>H143+J143+L143+M143+O143</f>
        <v/>
      </c>
      <c r="Q143" s="64">
        <f>IF(OR(H143=0,P143&lt;30),"Tier D (Đóng băng)",IF(P143&gt;=85,"Tier S (Kim Cương: 85-100đ)",IF(P143&gt;=70,"Tier A (Vàng: 70-84đ)",IF(P143&gt;=61,"Tier B+ / Cấp A (Hot Lead: 61-69đ)",IF(P143&gt;=50,"Tier B (Bạc: 50-60đ)","Tier C (Đồng: 30-49đ)")))))</f>
        <v/>
      </c>
      <c r="R143" s="6" t="inlineStr">
        <is>
          <t>Trọn gói Take-Home Starter Kit V2/V3 (Cỏ nhân tạo + Khay Potty + Đồ chơi Teething/Snuggle)</t>
        </is>
      </c>
      <c r="S143" s="6" t="inlineStr">
        <is>
          <t>HOT LEAD (Điểm ≥61): Liên hệ Telesale/Email chào gói Starter Kit &amp; Báo giá sỉ chiết khấu BOM</t>
        </is>
      </c>
    </row>
    <row r="144">
      <c r="A144" s="59" t="n">
        <v>2003</v>
      </c>
      <c r="B144" s="15" t="inlineStr">
        <is>
          <t>Legacy Kennels</t>
        </is>
      </c>
      <c r="C144" s="60" t="inlineStr">
        <is>
          <t>https://www.facebook.com/legacy.Kennels.30</t>
        </is>
      </c>
      <c r="D144" s="9" t="inlineStr">
        <is>
          <t>Cần quét Bio Fanpage</t>
        </is>
      </c>
      <c r="E144" s="59" t="inlineStr">
        <is>
          <t>12/10/2026 22:15:52</t>
        </is>
      </c>
      <c r="F144" s="59" t="inlineStr">
        <is>
          <t>6 giờ trước</t>
        </is>
      </c>
      <c r="G144" s="61" t="n">
        <v>0.25</v>
      </c>
      <c r="H144" s="62" t="n">
        <v>32</v>
      </c>
      <c r="I144" s="9" t="inlineStr">
        <is>
          <t>Dog Breeder / Trại chó chuyên nghiệp (28-30đ)</t>
        </is>
      </c>
      <c r="J144" s="62" t="n">
        <v>30</v>
      </c>
      <c r="K144" s="9" t="inlineStr">
        <is>
          <t>Chưa rõ giống (Cần quét Bio)</t>
        </is>
      </c>
      <c r="L144" s="62" t="n">
        <v>0</v>
      </c>
      <c r="M144" s="62" t="n">
        <v>5</v>
      </c>
      <c r="N144" s="9" t="inlineStr">
        <is>
          <t>Amazon link not found</t>
        </is>
      </c>
      <c r="O144" s="62">
        <f>IF(N144="Selling pet toys + Artificial grass/Pet toilets (TARGET)",15,IF(N144="Selling artificial grass/pet toilets (TARGET)",10,IF(N144="Selling pet toys",7,IF(N144="There's an Amazon link, but no target sales.",3,0))))</f>
        <v/>
      </c>
      <c r="P144" s="63">
        <f>H144+J144+L144+M144+O144</f>
        <v/>
      </c>
      <c r="Q144" s="64">
        <f>IF(OR(H144=0,P144&lt;30),"Tier D (Đóng băng)",IF(P144&gt;=85,"Tier S (Kim Cương: 85-100đ)",IF(P144&gt;=70,"Tier A (Vàng: 70-84đ)",IF(P144&gt;=61,"Tier B+ / Cấp A (Hot Lead: 61-69đ)",IF(P144&gt;=50,"Tier B (Bạc: 50-60đ)","Tier C (Đồng: 30-49đ)")))))</f>
        <v/>
      </c>
      <c r="R144" s="9" t="inlineStr">
        <is>
          <t>Trọn gói Take-Home Starter Kit V2/V3 (Cỏ nhân tạo + Khay Potty + Đồ chơi Teething/Snuggle)</t>
        </is>
      </c>
      <c r="S144" s="9" t="inlineStr">
        <is>
          <t>HOT LEAD (Điểm ≥61): Liên hệ Telesale/Email chào gói Starter Kit &amp; Báo giá sỉ chiết khấu BOM</t>
        </is>
      </c>
    </row>
    <row r="145">
      <c r="A145" s="53" t="n">
        <v>2990</v>
      </c>
      <c r="B145" s="12" t="inlineStr">
        <is>
          <t>Stars of Endor kennel</t>
        </is>
      </c>
      <c r="C145" s="54" t="inlineStr">
        <is>
          <t>https://www.facebook.com/profile.php?id=100086323076953</t>
        </is>
      </c>
      <c r="D145" s="6" t="inlineStr">
        <is>
          <t>Cần quét Bio Fanpage</t>
        </is>
      </c>
      <c r="E145" s="53" t="inlineStr">
        <is>
          <t>12/10/2026 21:24:49</t>
        </is>
      </c>
      <c r="F145" s="53" t="inlineStr">
        <is>
          <t>8 giờ trước</t>
        </is>
      </c>
      <c r="G145" s="55" t="n">
        <v>0.33</v>
      </c>
      <c r="H145" s="56" t="n">
        <v>32</v>
      </c>
      <c r="I145" s="6" t="inlineStr">
        <is>
          <t>Dog Breeder / Trại chó chuyên nghiệp (28-30đ)</t>
        </is>
      </c>
      <c r="J145" s="56" t="n">
        <v>30</v>
      </c>
      <c r="K145" s="6" t="inlineStr">
        <is>
          <t>Chưa rõ giống (Cần quét Bio)</t>
        </is>
      </c>
      <c r="L145" s="56" t="n">
        <v>0</v>
      </c>
      <c r="M145" s="56" t="n">
        <v>5</v>
      </c>
      <c r="N145" s="6" t="inlineStr">
        <is>
          <t>Amazon link not found</t>
        </is>
      </c>
      <c r="O145" s="56">
        <f>IF(N145="Selling pet toys + Artificial grass/Pet toilets (TARGET)",15,IF(N145="Selling artificial grass/pet toilets (TARGET)",10,IF(N145="Selling pet toys",7,IF(N145="There's an Amazon link, but no target sales.",3,0))))</f>
        <v/>
      </c>
      <c r="P145" s="63">
        <f>H145+J145+L145+M145+O145</f>
        <v/>
      </c>
      <c r="Q145" s="64">
        <f>IF(OR(H145=0,P145&lt;30),"Tier D (Đóng băng)",IF(P145&gt;=85,"Tier S (Kim Cương: 85-100đ)",IF(P145&gt;=70,"Tier A (Vàng: 70-84đ)",IF(P145&gt;=61,"Tier B+ / Cấp A (Hot Lead: 61-69đ)",IF(P145&gt;=50,"Tier B (Bạc: 50-60đ)","Tier C (Đồng: 30-49đ)")))))</f>
        <v/>
      </c>
      <c r="R145" s="6" t="inlineStr">
        <is>
          <t>Trọn gói Take-Home Starter Kit V2/V3 (Cỏ nhân tạo + Khay Potty + Đồ chơi Teething/Snuggle)</t>
        </is>
      </c>
      <c r="S145" s="6" t="inlineStr">
        <is>
          <t>HOT LEAD (Điểm ≥61): Liên hệ Telesale/Email chào gói Starter Kit &amp; Báo giá sỉ chiết khấu BOM</t>
        </is>
      </c>
    </row>
    <row r="146">
      <c r="A146" s="59" t="n">
        <v>221</v>
      </c>
      <c r="B146" s="15" t="inlineStr">
        <is>
          <t>Mikes Uti Kennel</t>
        </is>
      </c>
      <c r="C146" s="60" t="inlineStr">
        <is>
          <t>https://www.facebook.com/profile.php?id=100057549485719</t>
        </is>
      </c>
      <c r="D146" s="9" t="inlineStr">
        <is>
          <t>Cần quét Bio Fanpage</t>
        </is>
      </c>
      <c r="E146" s="59" t="inlineStr">
        <is>
          <t>12/10/2026 20:36:56</t>
        </is>
      </c>
      <c r="F146" s="59" t="inlineStr">
        <is>
          <t>4 giờ trước</t>
        </is>
      </c>
      <c r="G146" s="61" t="n">
        <v>0.17</v>
      </c>
      <c r="H146" s="62" t="n">
        <v>32</v>
      </c>
      <c r="I146" s="9" t="inlineStr">
        <is>
          <t>Dog Breeder / Trại chó chuyên nghiệp (28-30đ)</t>
        </is>
      </c>
      <c r="J146" s="62" t="n">
        <v>30</v>
      </c>
      <c r="K146" s="9" t="inlineStr">
        <is>
          <t>Chưa rõ giống (Cần quét Bio)</t>
        </is>
      </c>
      <c r="L146" s="62" t="n">
        <v>0</v>
      </c>
      <c r="M146" s="62" t="n">
        <v>5</v>
      </c>
      <c r="N146" s="9" t="inlineStr">
        <is>
          <t>Amazon link not found</t>
        </is>
      </c>
      <c r="O146" s="62">
        <f>IF(N146="Selling pet toys + Artificial grass/Pet toilets (TARGET)",15,IF(N146="Selling artificial grass/pet toilets (TARGET)",10,IF(N146="Selling pet toys",7,IF(N146="There's an Amazon link, but no target sales.",3,0))))</f>
        <v/>
      </c>
      <c r="P146" s="63">
        <f>H146+J146+L146+M146+O146</f>
        <v/>
      </c>
      <c r="Q146" s="64">
        <f>IF(OR(H146=0,P146&lt;30),"Tier D (Đóng băng)",IF(P146&gt;=85,"Tier S (Kim Cương: 85-100đ)",IF(P146&gt;=70,"Tier A (Vàng: 70-84đ)",IF(P146&gt;=61,"Tier B+ / Cấp A (Hot Lead: 61-69đ)",IF(P146&gt;=50,"Tier B (Bạc: 50-60đ)","Tier C (Đồng: 30-49đ)")))))</f>
        <v/>
      </c>
      <c r="R146" s="9" t="inlineStr">
        <is>
          <t>Trọn gói Take-Home Starter Kit V2/V3 (Cỏ nhân tạo + Khay Potty + Đồ chơi Teething/Snuggle)</t>
        </is>
      </c>
      <c r="S146" s="9" t="inlineStr">
        <is>
          <t>HOT LEAD (Điểm ≥61): Liên hệ Telesale/Email chào gói Starter Kit &amp; Báo giá sỉ chiết khấu BOM</t>
        </is>
      </c>
    </row>
    <row r="147">
      <c r="A147" s="53" t="n">
        <v>141</v>
      </c>
      <c r="B147" s="12" t="inlineStr">
        <is>
          <t>Crimson Rose Puppies</t>
        </is>
      </c>
      <c r="C147" s="54" t="inlineStr">
        <is>
          <t>https://www.facebook.com/profile.php?id=61588895140909</t>
        </is>
      </c>
      <c r="D147" s="6" t="inlineStr">
        <is>
          <t>Cần quét Bio Fanpage</t>
        </is>
      </c>
      <c r="E147" s="53" t="inlineStr">
        <is>
          <t>12/10/2026 20:36:22</t>
        </is>
      </c>
      <c r="F147" s="53" t="inlineStr">
        <is>
          <t>4 giờ trước</t>
        </is>
      </c>
      <c r="G147" s="55" t="n">
        <v>0.17</v>
      </c>
      <c r="H147" s="56" t="n">
        <v>32</v>
      </c>
      <c r="I147" s="6" t="inlineStr">
        <is>
          <t>Dog Breeder / Trại chó chuyên nghiệp (28-30đ)</t>
        </is>
      </c>
      <c r="J147" s="56" t="n">
        <v>30</v>
      </c>
      <c r="K147" s="6" t="inlineStr">
        <is>
          <t>Chưa rõ giống (Cần quét Bio)</t>
        </is>
      </c>
      <c r="L147" s="56" t="n">
        <v>0</v>
      </c>
      <c r="M147" s="56" t="n">
        <v>5</v>
      </c>
      <c r="N147" s="6" t="inlineStr">
        <is>
          <t>Amazon link not found</t>
        </is>
      </c>
      <c r="O147" s="56">
        <f>IF(N147="Selling pet toys + Artificial grass/Pet toilets (TARGET)",15,IF(N147="Selling artificial grass/pet toilets (TARGET)",10,IF(N147="Selling pet toys",7,IF(N147="There's an Amazon link, but no target sales.",3,0))))</f>
        <v/>
      </c>
      <c r="P147" s="63">
        <f>H147+J147+L147+M147+O147</f>
        <v/>
      </c>
      <c r="Q147" s="64">
        <f>IF(OR(H147=0,P147&lt;30),"Tier D (Đóng băng)",IF(P147&gt;=85,"Tier S (Kim Cương: 85-100đ)",IF(P147&gt;=70,"Tier A (Vàng: 70-84đ)",IF(P147&gt;=61,"Tier B+ / Cấp A (Hot Lead: 61-69đ)",IF(P147&gt;=50,"Tier B (Bạc: 50-60đ)","Tier C (Đồng: 30-49đ)")))))</f>
        <v/>
      </c>
      <c r="R147" s="6" t="inlineStr">
        <is>
          <t>Trọn gói Take-Home Starter Kit V2/V3 (Cỏ nhân tạo + Khay Potty + Đồ chơi Teething/Snuggle)</t>
        </is>
      </c>
      <c r="S147" s="6" t="inlineStr">
        <is>
          <t>HOT LEAD (Điểm ≥61): Liên hệ Telesale/Email chào gói Starter Kit &amp; Báo giá sỉ chiết khấu BOM</t>
        </is>
      </c>
    </row>
    <row r="148">
      <c r="A148" s="59" t="n">
        <v>269</v>
      </c>
      <c r="B148" s="15" t="inlineStr">
        <is>
          <t>Sporting Life Kennels</t>
        </is>
      </c>
      <c r="C148" s="60" t="inlineStr">
        <is>
          <t>https://www.facebook.com/sportinglifekennels</t>
        </is>
      </c>
      <c r="D148" s="9" t="inlineStr">
        <is>
          <t>Cần quét Bio Fanpage</t>
        </is>
      </c>
      <c r="E148" s="59" t="inlineStr">
        <is>
          <t>12/10/2026 19:05:17</t>
        </is>
      </c>
      <c r="F148" s="59" t="inlineStr">
        <is>
          <t>6 giờ trước</t>
        </is>
      </c>
      <c r="G148" s="61" t="n">
        <v>0.25</v>
      </c>
      <c r="H148" s="62" t="n">
        <v>32</v>
      </c>
      <c r="I148" s="9" t="inlineStr">
        <is>
          <t>Dog Breeder / Trại chó chuyên nghiệp (28-30đ)</t>
        </is>
      </c>
      <c r="J148" s="62" t="n">
        <v>30</v>
      </c>
      <c r="K148" s="9" t="inlineStr">
        <is>
          <t>Chưa rõ giống (Cần quét Bio)</t>
        </is>
      </c>
      <c r="L148" s="62" t="n">
        <v>0</v>
      </c>
      <c r="M148" s="62" t="n">
        <v>5</v>
      </c>
      <c r="N148" s="9" t="inlineStr">
        <is>
          <t>Amazon link not found</t>
        </is>
      </c>
      <c r="O148" s="62">
        <f>IF(N148="Selling pet toys + Artificial grass/Pet toilets (TARGET)",15,IF(N148="Selling artificial grass/pet toilets (TARGET)",10,IF(N148="Selling pet toys",7,IF(N148="There's an Amazon link, but no target sales.",3,0))))</f>
        <v/>
      </c>
      <c r="P148" s="63">
        <f>H148+J148+L148+M148+O148</f>
        <v/>
      </c>
      <c r="Q148" s="64">
        <f>IF(OR(H148=0,P148&lt;30),"Tier D (Đóng băng)",IF(P148&gt;=85,"Tier S (Kim Cương: 85-100đ)",IF(P148&gt;=70,"Tier A (Vàng: 70-84đ)",IF(P148&gt;=61,"Tier B+ / Cấp A (Hot Lead: 61-69đ)",IF(P148&gt;=50,"Tier B (Bạc: 50-60đ)","Tier C (Đồng: 30-49đ)")))))</f>
        <v/>
      </c>
      <c r="R148" s="9" t="inlineStr">
        <is>
          <t>Trọn gói Take-Home Starter Kit V2/V3 (Cỏ nhân tạo + Khay Potty + Đồ chơi Teething/Snuggle)</t>
        </is>
      </c>
      <c r="S148" s="9" t="inlineStr">
        <is>
          <t>HOT LEAD (Điểm ≥61): Liên hệ Telesale/Email chào gói Starter Kit &amp; Báo giá sỉ chiết khấu BOM</t>
        </is>
      </c>
    </row>
    <row r="149">
      <c r="A149" s="53" t="n">
        <v>2232</v>
      </c>
      <c r="B149" s="12" t="inlineStr">
        <is>
          <t>Muddy Boggy Kennels</t>
        </is>
      </c>
      <c r="C149" s="54" t="inlineStr">
        <is>
          <t>https://www.facebook.com/profile.php?id=100091341034275</t>
        </is>
      </c>
      <c r="D149" s="6" t="inlineStr">
        <is>
          <t>Cần quét Bio Fanpage</t>
        </is>
      </c>
      <c r="E149" s="53" t="inlineStr">
        <is>
          <t>12/10/2026 18:49:42</t>
        </is>
      </c>
      <c r="F149" s="53" t="inlineStr">
        <is>
          <t>10 giờ trước</t>
        </is>
      </c>
      <c r="G149" s="55" t="n">
        <v>0.42</v>
      </c>
      <c r="H149" s="56" t="n">
        <v>32</v>
      </c>
      <c r="I149" s="6" t="inlineStr">
        <is>
          <t>Dog Breeder / Trại chó chuyên nghiệp (28-30đ)</t>
        </is>
      </c>
      <c r="J149" s="56" t="n">
        <v>30</v>
      </c>
      <c r="K149" s="6" t="inlineStr">
        <is>
          <t>Chưa rõ giống (Cần quét Bio)</t>
        </is>
      </c>
      <c r="L149" s="56" t="n">
        <v>0</v>
      </c>
      <c r="M149" s="56" t="n">
        <v>5</v>
      </c>
      <c r="N149" s="6" t="inlineStr">
        <is>
          <t>Amazon link not found</t>
        </is>
      </c>
      <c r="O149" s="56">
        <f>IF(N149="Selling pet toys + Artificial grass/Pet toilets (TARGET)",15,IF(N149="Selling artificial grass/pet toilets (TARGET)",10,IF(N149="Selling pet toys",7,IF(N149="There's an Amazon link, but no target sales.",3,0))))</f>
        <v/>
      </c>
      <c r="P149" s="63">
        <f>H149+J149+L149+M149+O149</f>
        <v/>
      </c>
      <c r="Q149" s="64">
        <f>IF(OR(H149=0,P149&lt;30),"Tier D (Đóng băng)",IF(P149&gt;=85,"Tier S (Kim Cương: 85-100đ)",IF(P149&gt;=70,"Tier A (Vàng: 70-84đ)",IF(P149&gt;=61,"Tier B+ / Cấp A (Hot Lead: 61-69đ)",IF(P149&gt;=50,"Tier B (Bạc: 50-60đ)","Tier C (Đồng: 30-49đ)")))))</f>
        <v/>
      </c>
      <c r="R149" s="6" t="inlineStr">
        <is>
          <t>Trọn gói Take-Home Starter Kit V2/V3 (Cỏ nhân tạo + Khay Potty + Đồ chơi Teething/Snuggle)</t>
        </is>
      </c>
      <c r="S149" s="6" t="inlineStr">
        <is>
          <t>HOT LEAD (Điểm ≥61): Liên hệ Telesale/Email chào gói Starter Kit &amp; Báo giá sỉ chiết khấu BOM</t>
        </is>
      </c>
    </row>
    <row r="150">
      <c r="A150" s="59" t="n">
        <v>611</v>
      </c>
      <c r="B150" s="15" t="inlineStr">
        <is>
          <t>BeagPoint kennel</t>
        </is>
      </c>
      <c r="C150" s="60" t="inlineStr">
        <is>
          <t>https://www.facebook.com/beagpointkennel</t>
        </is>
      </c>
      <c r="D150" s="9" t="inlineStr">
        <is>
          <t>Cần quét Bio Fanpage</t>
        </is>
      </c>
      <c r="E150" s="59" t="inlineStr">
        <is>
          <t>12/10/2026 18:30:42</t>
        </is>
      </c>
      <c r="F150" s="59" t="inlineStr">
        <is>
          <t>7 giờ trước</t>
        </is>
      </c>
      <c r="G150" s="61" t="n">
        <v>0.29</v>
      </c>
      <c r="H150" s="62" t="n">
        <v>32</v>
      </c>
      <c r="I150" s="9" t="inlineStr">
        <is>
          <t>Dog Breeder / Trại chó chuyên nghiệp (28-30đ)</t>
        </is>
      </c>
      <c r="J150" s="62" t="n">
        <v>30</v>
      </c>
      <c r="K150" s="9" t="inlineStr">
        <is>
          <t>Chưa rõ giống (Cần quét Bio)</t>
        </is>
      </c>
      <c r="L150" s="62" t="n">
        <v>0</v>
      </c>
      <c r="M150" s="62" t="n">
        <v>5</v>
      </c>
      <c r="N150" s="9" t="inlineStr">
        <is>
          <t>Amazon link not found</t>
        </is>
      </c>
      <c r="O150" s="62">
        <f>IF(N150="Selling pet toys + Artificial grass/Pet toilets (TARGET)",15,IF(N150="Selling artificial grass/pet toilets (TARGET)",10,IF(N150="Selling pet toys",7,IF(N150="There's an Amazon link, but no target sales.",3,0))))</f>
        <v/>
      </c>
      <c r="P150" s="63">
        <f>H150+J150+L150+M150+O150</f>
        <v/>
      </c>
      <c r="Q150" s="64">
        <f>IF(OR(H150=0,P150&lt;30),"Tier D (Đóng băng)",IF(P150&gt;=85,"Tier S (Kim Cương: 85-100đ)",IF(P150&gt;=70,"Tier A (Vàng: 70-84đ)",IF(P150&gt;=61,"Tier B+ / Cấp A (Hot Lead: 61-69đ)",IF(P150&gt;=50,"Tier B (Bạc: 50-60đ)","Tier C (Đồng: 30-49đ)")))))</f>
        <v/>
      </c>
      <c r="R150" s="9" t="inlineStr">
        <is>
          <t>Trọn gói Take-Home Starter Kit V2/V3 (Cỏ nhân tạo + Khay Potty + Đồ chơi Teething/Snuggle)</t>
        </is>
      </c>
      <c r="S150" s="9" t="inlineStr">
        <is>
          <t>HOT LEAD (Điểm ≥61): Liên hệ Telesale/Email chào gói Starter Kit &amp; Báo giá sỉ chiết khấu BOM</t>
        </is>
      </c>
    </row>
    <row r="151">
      <c r="A151" s="53" t="n">
        <v>2780</v>
      </c>
      <c r="B151" s="12" t="inlineStr">
        <is>
          <t>Rose Garden Kennels</t>
        </is>
      </c>
      <c r="C151" s="54" t="inlineStr">
        <is>
          <t>https://www.facebook.com/RoseGardenKennels</t>
        </is>
      </c>
      <c r="D151" s="6" t="inlineStr">
        <is>
          <t>Cần quét Bio Fanpage</t>
        </is>
      </c>
      <c r="E151" s="53" t="inlineStr">
        <is>
          <t>12/10/2026 10:05:22</t>
        </is>
      </c>
      <c r="F151" s="53" t="inlineStr">
        <is>
          <t>19 giờ trước</t>
        </is>
      </c>
      <c r="G151" s="55" t="n">
        <v>0.79</v>
      </c>
      <c r="H151" s="56" t="n">
        <v>32</v>
      </c>
      <c r="I151" s="6" t="inlineStr">
        <is>
          <t>Dog Breeder / Trại chó chuyên nghiệp (28-30đ)</t>
        </is>
      </c>
      <c r="J151" s="56" t="n">
        <v>30</v>
      </c>
      <c r="K151" s="6" t="inlineStr">
        <is>
          <t>Chưa rõ giống (Cần quét Bio)</t>
        </is>
      </c>
      <c r="L151" s="56" t="n">
        <v>0</v>
      </c>
      <c r="M151" s="56" t="n">
        <v>5</v>
      </c>
      <c r="N151" s="6" t="inlineStr">
        <is>
          <t>Amazon link not found</t>
        </is>
      </c>
      <c r="O151" s="56">
        <f>IF(N151="Selling pet toys + Artificial grass/Pet toilets (TARGET)",15,IF(N151="Selling artificial grass/pet toilets (TARGET)",10,IF(N151="Selling pet toys",7,IF(N151="There's an Amazon link, but no target sales.",3,0))))</f>
        <v/>
      </c>
      <c r="P151" s="63">
        <f>H151+J151+L151+M151+O151</f>
        <v/>
      </c>
      <c r="Q151" s="64">
        <f>IF(OR(H151=0,P151&lt;30),"Tier D (Đóng băng)",IF(P151&gt;=85,"Tier S (Kim Cương: 85-100đ)",IF(P151&gt;=70,"Tier A (Vàng: 70-84đ)",IF(P151&gt;=61,"Tier B+ / Cấp A (Hot Lead: 61-69đ)",IF(P151&gt;=50,"Tier B (Bạc: 50-60đ)","Tier C (Đồng: 30-49đ)")))))</f>
        <v/>
      </c>
      <c r="R151" s="6" t="inlineStr">
        <is>
          <t>Trọn gói Take-Home Starter Kit V2/V3 (Cỏ nhân tạo + Khay Potty + Đồ chơi Teething/Snuggle)</t>
        </is>
      </c>
      <c r="S151" s="6" t="inlineStr">
        <is>
          <t>HOT LEAD (Điểm ≥61): Liên hệ Telesale/Email chào gói Starter Kit &amp; Báo giá sỉ chiết khấu BOM</t>
        </is>
      </c>
    </row>
    <row r="152">
      <c r="A152" s="59" t="n">
        <v>3244</v>
      </c>
      <c r="B152" s="15" t="inlineStr">
        <is>
          <t>True Dynasty Kennel</t>
        </is>
      </c>
      <c r="C152" s="60" t="inlineStr">
        <is>
          <t>https://www.facebook.com/TrueDynastyKennel</t>
        </is>
      </c>
      <c r="D152" s="9" t="inlineStr">
        <is>
          <t>Cần quét Bio Fanpage</t>
        </is>
      </c>
      <c r="E152" s="59" t="inlineStr">
        <is>
          <t>12/10/2026 09:47:24</t>
        </is>
      </c>
      <c r="F152" s="59" t="inlineStr">
        <is>
          <t>20 giờ trước</t>
        </is>
      </c>
      <c r="G152" s="61" t="n">
        <v>0.83</v>
      </c>
      <c r="H152" s="62" t="n">
        <v>32</v>
      </c>
      <c r="I152" s="9" t="inlineStr">
        <is>
          <t>Dog Breeder / Trại chó chuyên nghiệp (28-30đ)</t>
        </is>
      </c>
      <c r="J152" s="62" t="n">
        <v>30</v>
      </c>
      <c r="K152" s="9" t="inlineStr">
        <is>
          <t>Chưa rõ giống (Cần quét Bio)</t>
        </is>
      </c>
      <c r="L152" s="62" t="n">
        <v>0</v>
      </c>
      <c r="M152" s="62" t="n">
        <v>5</v>
      </c>
      <c r="N152" s="9" t="inlineStr">
        <is>
          <t>Amazon link not found</t>
        </is>
      </c>
      <c r="O152" s="62">
        <f>IF(N152="Selling pet toys + Artificial grass/Pet toilets (TARGET)",15,IF(N152="Selling artificial grass/pet toilets (TARGET)",10,IF(N152="Selling pet toys",7,IF(N152="There's an Amazon link, but no target sales.",3,0))))</f>
        <v/>
      </c>
      <c r="P152" s="63">
        <f>H152+J152+L152+M152+O152</f>
        <v/>
      </c>
      <c r="Q152" s="64">
        <f>IF(OR(H152=0,P152&lt;30),"Tier D (Đóng băng)",IF(P152&gt;=85,"Tier S (Kim Cương: 85-100đ)",IF(P152&gt;=70,"Tier A (Vàng: 70-84đ)",IF(P152&gt;=61,"Tier B+ / Cấp A (Hot Lead: 61-69đ)",IF(P152&gt;=50,"Tier B (Bạc: 50-60đ)","Tier C (Đồng: 30-49đ)")))))</f>
        <v/>
      </c>
      <c r="R152" s="9" t="inlineStr">
        <is>
          <t>Trọn gói Take-Home Starter Kit V2/V3 (Cỏ nhân tạo + Khay Potty + Đồ chơi Teething/Snuggle)</t>
        </is>
      </c>
      <c r="S152" s="9" t="inlineStr">
        <is>
          <t>HOT LEAD (Điểm ≥61): Liên hệ Telesale/Email chào gói Starter Kit &amp; Báo giá sỉ chiết khấu BOM</t>
        </is>
      </c>
    </row>
    <row r="153">
      <c r="A153" s="53" t="n">
        <v>63</v>
      </c>
      <c r="B153" s="12" t="inlineStr">
        <is>
          <t>Hampshire Kennels</t>
        </is>
      </c>
      <c r="C153" s="54" t="inlineStr">
        <is>
          <t>https://www.facebook.com/profile.php?id=100057857791233</t>
        </is>
      </c>
      <c r="D153" s="6" t="inlineStr">
        <is>
          <t>Cần quét Bio Fanpage</t>
        </is>
      </c>
      <c r="E153" s="53" t="inlineStr">
        <is>
          <t>12/10/2026 09:41:39</t>
        </is>
      </c>
      <c r="F153" s="53" t="inlineStr">
        <is>
          <t>15 giờ trước</t>
        </is>
      </c>
      <c r="G153" s="55" t="n">
        <v>0.62</v>
      </c>
      <c r="H153" s="56" t="n">
        <v>32</v>
      </c>
      <c r="I153" s="6" t="inlineStr">
        <is>
          <t>Dog Breeder / Trại chó chuyên nghiệp (28-30đ)</t>
        </is>
      </c>
      <c r="J153" s="56" t="n">
        <v>30</v>
      </c>
      <c r="K153" s="6" t="inlineStr">
        <is>
          <t>Chưa rõ giống (Cần quét Bio)</t>
        </is>
      </c>
      <c r="L153" s="56" t="n">
        <v>0</v>
      </c>
      <c r="M153" s="56" t="n">
        <v>5</v>
      </c>
      <c r="N153" s="6" t="inlineStr">
        <is>
          <t>Amazon link not found</t>
        </is>
      </c>
      <c r="O153" s="56">
        <f>IF(N153="Selling pet toys + Artificial grass/Pet toilets (TARGET)",15,IF(N153="Selling artificial grass/pet toilets (TARGET)",10,IF(N153="Selling pet toys",7,IF(N153="There's an Amazon link, but no target sales.",3,0))))</f>
        <v/>
      </c>
      <c r="P153" s="63">
        <f>H153+J153+L153+M153+O153</f>
        <v/>
      </c>
      <c r="Q153" s="64">
        <f>IF(OR(H153=0,P153&lt;30),"Tier D (Đóng băng)",IF(P153&gt;=85,"Tier S (Kim Cương: 85-100đ)",IF(P153&gt;=70,"Tier A (Vàng: 70-84đ)",IF(P153&gt;=61,"Tier B+ / Cấp A (Hot Lead: 61-69đ)",IF(P153&gt;=50,"Tier B (Bạc: 50-60đ)","Tier C (Đồng: 30-49đ)")))))</f>
        <v/>
      </c>
      <c r="R153" s="6" t="inlineStr">
        <is>
          <t>Trọn gói Take-Home Starter Kit V2/V3 (Cỏ nhân tạo + Khay Potty + Đồ chơi Teething/Snuggle)</t>
        </is>
      </c>
      <c r="S153" s="6" t="inlineStr">
        <is>
          <t>HOT LEAD (Điểm ≥61): Liên hệ Telesale/Email chào gói Starter Kit &amp; Báo giá sỉ chiết khấu BOM</t>
        </is>
      </c>
    </row>
    <row r="154">
      <c r="A154" s="59" t="n">
        <v>685</v>
      </c>
      <c r="B154" s="15" t="inlineStr">
        <is>
          <t>Black Creek Kennels LLC</t>
        </is>
      </c>
      <c r="C154" s="60" t="inlineStr">
        <is>
          <t>https://www.facebook.com/profile.php?id=100094471027393</t>
        </is>
      </c>
      <c r="D154" s="9" t="inlineStr">
        <is>
          <t>Cần quét Bio Fanpage</t>
        </is>
      </c>
      <c r="E154" s="59" t="inlineStr">
        <is>
          <t>12/10/2026 09:16:11</t>
        </is>
      </c>
      <c r="F154" s="59" t="inlineStr">
        <is>
          <t>16 giờ trước</t>
        </is>
      </c>
      <c r="G154" s="61" t="n">
        <v>0.67</v>
      </c>
      <c r="H154" s="62" t="n">
        <v>32</v>
      </c>
      <c r="I154" s="9" t="inlineStr">
        <is>
          <t>Dog Breeder / Trại chó chuyên nghiệp (28-30đ)</t>
        </is>
      </c>
      <c r="J154" s="62" t="n">
        <v>30</v>
      </c>
      <c r="K154" s="9" t="inlineStr">
        <is>
          <t>Chưa rõ giống (Cần quét Bio)</t>
        </is>
      </c>
      <c r="L154" s="62" t="n">
        <v>0</v>
      </c>
      <c r="M154" s="62" t="n">
        <v>5</v>
      </c>
      <c r="N154" s="9" t="inlineStr">
        <is>
          <t>Amazon link not found</t>
        </is>
      </c>
      <c r="O154" s="62">
        <f>IF(N154="Selling pet toys + Artificial grass/Pet toilets (TARGET)",15,IF(N154="Selling artificial grass/pet toilets (TARGET)",10,IF(N154="Selling pet toys",7,IF(N154="There's an Amazon link, but no target sales.",3,0))))</f>
        <v/>
      </c>
      <c r="P154" s="63">
        <f>H154+J154+L154+M154+O154</f>
        <v/>
      </c>
      <c r="Q154" s="64">
        <f>IF(OR(H154=0,P154&lt;30),"Tier D (Đóng băng)",IF(P154&gt;=85,"Tier S (Kim Cương: 85-100đ)",IF(P154&gt;=70,"Tier A (Vàng: 70-84đ)",IF(P154&gt;=61,"Tier B+ / Cấp A (Hot Lead: 61-69đ)",IF(P154&gt;=50,"Tier B (Bạc: 50-60đ)","Tier C (Đồng: 30-49đ)")))))</f>
        <v/>
      </c>
      <c r="R154" s="9" t="inlineStr">
        <is>
          <t>Trọn gói Take-Home Starter Kit V2/V3 (Cỏ nhân tạo + Khay Potty + Đồ chơi Teething/Snuggle)</t>
        </is>
      </c>
      <c r="S154" s="9" t="inlineStr">
        <is>
          <t>HOT LEAD (Điểm ≥61): Liên hệ Telesale/Email chào gói Starter Kit &amp; Báo giá sỉ chiết khấu BOM</t>
        </is>
      </c>
    </row>
    <row r="155">
      <c r="A155" s="53" t="n">
        <v>855</v>
      </c>
      <c r="B155" s="12" t="inlineStr">
        <is>
          <t>Castile Creek Kennels</t>
        </is>
      </c>
      <c r="C155" s="54" t="inlineStr">
        <is>
          <t>https://www.facebook.com/profile.php?id=100047634134462</t>
        </is>
      </c>
      <c r="D155" s="6" t="inlineStr">
        <is>
          <t>Cần quét Bio Fanpage</t>
        </is>
      </c>
      <c r="E155" s="53" t="inlineStr">
        <is>
          <t>12/10/2026 08:38:01</t>
        </is>
      </c>
      <c r="F155" s="53" t="inlineStr">
        <is>
          <t>17 giờ trước</t>
        </is>
      </c>
      <c r="G155" s="55" t="n">
        <v>0.71</v>
      </c>
      <c r="H155" s="56" t="n">
        <v>32</v>
      </c>
      <c r="I155" s="6" t="inlineStr">
        <is>
          <t>Dog Breeder / Trại chó chuyên nghiệp (28-30đ)</t>
        </is>
      </c>
      <c r="J155" s="56" t="n">
        <v>30</v>
      </c>
      <c r="K155" s="6" t="inlineStr">
        <is>
          <t>Chưa rõ giống (Cần quét Bio)</t>
        </is>
      </c>
      <c r="L155" s="56" t="n">
        <v>0</v>
      </c>
      <c r="M155" s="56" t="n">
        <v>5</v>
      </c>
      <c r="N155" s="6" t="inlineStr">
        <is>
          <t>Amazon link not found</t>
        </is>
      </c>
      <c r="O155" s="56">
        <f>IF(N155="Selling pet toys + Artificial grass/Pet toilets (TARGET)",15,IF(N155="Selling artificial grass/pet toilets (TARGET)",10,IF(N155="Selling pet toys",7,IF(N155="There's an Amazon link, but no target sales.",3,0))))</f>
        <v/>
      </c>
      <c r="P155" s="63">
        <f>H155+J155+L155+M155+O155</f>
        <v/>
      </c>
      <c r="Q155" s="64">
        <f>IF(OR(H155=0,P155&lt;30),"Tier D (Đóng băng)",IF(P155&gt;=85,"Tier S (Kim Cương: 85-100đ)",IF(P155&gt;=70,"Tier A (Vàng: 70-84đ)",IF(P155&gt;=61,"Tier B+ / Cấp A (Hot Lead: 61-69đ)",IF(P155&gt;=50,"Tier B (Bạc: 50-60đ)","Tier C (Đồng: 30-49đ)")))))</f>
        <v/>
      </c>
      <c r="R155" s="6" t="inlineStr">
        <is>
          <t>Trọn gói Take-Home Starter Kit V2/V3 (Cỏ nhân tạo + Khay Potty + Đồ chơi Teething/Snuggle)</t>
        </is>
      </c>
      <c r="S155" s="6" t="inlineStr">
        <is>
          <t>HOT LEAD (Điểm ≥61): Liên hệ Telesale/Email chào gói Starter Kit &amp; Báo giá sỉ chiết khấu BOM</t>
        </is>
      </c>
    </row>
    <row r="156">
      <c r="A156" s="59" t="n">
        <v>804</v>
      </c>
      <c r="B156" s="15" t="inlineStr">
        <is>
          <t>C4 Kennels &amp; Outdoors</t>
        </is>
      </c>
      <c r="C156" s="60" t="inlineStr">
        <is>
          <t>https://www.facebook.com/C4KennelsAndOutdoors</t>
        </is>
      </c>
      <c r="D156" s="9" t="inlineStr">
        <is>
          <t>Cần quét Bio Fanpage</t>
        </is>
      </c>
      <c r="E156" s="59" t="inlineStr">
        <is>
          <t>12/10/2026 08:10:39</t>
        </is>
      </c>
      <c r="F156" s="59" t="inlineStr">
        <is>
          <t>18 giờ trước</t>
        </is>
      </c>
      <c r="G156" s="61" t="n">
        <v>0.75</v>
      </c>
      <c r="H156" s="62" t="n">
        <v>32</v>
      </c>
      <c r="I156" s="9" t="inlineStr">
        <is>
          <t>Dog Breeder / Trại chó chuyên nghiệp (28-30đ)</t>
        </is>
      </c>
      <c r="J156" s="62" t="n">
        <v>30</v>
      </c>
      <c r="K156" s="9" t="inlineStr">
        <is>
          <t>Chưa rõ giống (Cần quét Bio)</t>
        </is>
      </c>
      <c r="L156" s="62" t="n">
        <v>0</v>
      </c>
      <c r="M156" s="62" t="n">
        <v>5</v>
      </c>
      <c r="N156" s="9" t="inlineStr">
        <is>
          <t>Amazon link not found</t>
        </is>
      </c>
      <c r="O156" s="62">
        <f>IF(N156="Selling pet toys + Artificial grass/Pet toilets (TARGET)",15,IF(N156="Selling artificial grass/pet toilets (TARGET)",10,IF(N156="Selling pet toys",7,IF(N156="There's an Amazon link, but no target sales.",3,0))))</f>
        <v/>
      </c>
      <c r="P156" s="63">
        <f>H156+J156+L156+M156+O156</f>
        <v/>
      </c>
      <c r="Q156" s="64">
        <f>IF(OR(H156=0,P156&lt;30),"Tier D (Đóng băng)",IF(P156&gt;=85,"Tier S (Kim Cương: 85-100đ)",IF(P156&gt;=70,"Tier A (Vàng: 70-84đ)",IF(P156&gt;=61,"Tier B+ / Cấp A (Hot Lead: 61-69đ)",IF(P156&gt;=50,"Tier B (Bạc: 50-60đ)","Tier C (Đồng: 30-49đ)")))))</f>
        <v/>
      </c>
      <c r="R156" s="9" t="inlineStr">
        <is>
          <t>Trọn gói Take-Home Starter Kit V2/V3 (Cỏ nhân tạo + Khay Potty + Đồ chơi Teething/Snuggle)</t>
        </is>
      </c>
      <c r="S156" s="9" t="inlineStr">
        <is>
          <t>HOT LEAD (Điểm ≥61): Liên hệ Telesale/Email chào gói Starter Kit &amp; Báo giá sỉ chiết khấu BOM</t>
        </is>
      </c>
    </row>
    <row r="157">
      <c r="A157" s="53" t="n">
        <v>2678</v>
      </c>
      <c r="B157" s="12" t="inlineStr">
        <is>
          <t>QBN Kennel</t>
        </is>
      </c>
      <c r="C157" s="54" t="inlineStr">
        <is>
          <t>https://www.facebook.com/QBNKennel</t>
        </is>
      </c>
      <c r="D157" s="6" t="inlineStr">
        <is>
          <t>Cần quét Bio Fanpage</t>
        </is>
      </c>
      <c r="E157" s="53" t="inlineStr">
        <is>
          <t>12/10/2026 08:01:00</t>
        </is>
      </c>
      <c r="F157" s="53" t="inlineStr">
        <is>
          <t>21 giờ trước</t>
        </is>
      </c>
      <c r="G157" s="55" t="n">
        <v>0.88</v>
      </c>
      <c r="H157" s="56" t="n">
        <v>32</v>
      </c>
      <c r="I157" s="6" t="inlineStr">
        <is>
          <t>Dog Breeder / Trại chó chuyên nghiệp (28-30đ)</t>
        </is>
      </c>
      <c r="J157" s="56" t="n">
        <v>30</v>
      </c>
      <c r="K157" s="6" t="inlineStr">
        <is>
          <t>Chưa rõ giống (Cần quét Bio)</t>
        </is>
      </c>
      <c r="L157" s="56" t="n">
        <v>0</v>
      </c>
      <c r="M157" s="56" t="n">
        <v>5</v>
      </c>
      <c r="N157" s="6" t="inlineStr">
        <is>
          <t>Amazon link not found</t>
        </is>
      </c>
      <c r="O157" s="56">
        <f>IF(N157="Selling pet toys + Artificial grass/Pet toilets (TARGET)",15,IF(N157="Selling artificial grass/pet toilets (TARGET)",10,IF(N157="Selling pet toys",7,IF(N157="There's an Amazon link, but no target sales.",3,0))))</f>
        <v/>
      </c>
      <c r="P157" s="63">
        <f>H157+J157+L157+M157+O157</f>
        <v/>
      </c>
      <c r="Q157" s="64">
        <f>IF(OR(H157=0,P157&lt;30),"Tier D (Đóng băng)",IF(P157&gt;=85,"Tier S (Kim Cương: 85-100đ)",IF(P157&gt;=70,"Tier A (Vàng: 70-84đ)",IF(P157&gt;=61,"Tier B+ / Cấp A (Hot Lead: 61-69đ)",IF(P157&gt;=50,"Tier B (Bạc: 50-60đ)","Tier C (Đồng: 30-49đ)")))))</f>
        <v/>
      </c>
      <c r="R157" s="6" t="inlineStr">
        <is>
          <t>Trọn gói Take-Home Starter Kit V2/V3 (Cỏ nhân tạo + Khay Potty + Đồ chơi Teething/Snuggle)</t>
        </is>
      </c>
      <c r="S157" s="6" t="inlineStr">
        <is>
          <t>HOT LEAD (Điểm ≥61): Liên hệ Telesale/Email chào gói Starter Kit &amp; Báo giá sỉ chiết khấu BOM</t>
        </is>
      </c>
    </row>
    <row r="158">
      <c r="A158" s="59" t="n">
        <v>2767</v>
      </c>
      <c r="B158" s="15" t="inlineStr">
        <is>
          <t>Rockey's Kennels</t>
        </is>
      </c>
      <c r="C158" s="60" t="inlineStr">
        <is>
          <t>https://www.facebook.com/RockeysKennels</t>
        </is>
      </c>
      <c r="D158" s="9" t="inlineStr">
        <is>
          <t>Cần quét Bio Fanpage</t>
        </is>
      </c>
      <c r="E158" s="59" t="inlineStr">
        <is>
          <t>12/10/2026 06:36:14</t>
        </is>
      </c>
      <c r="F158" s="59" t="inlineStr">
        <is>
          <t>23 giờ trước</t>
        </is>
      </c>
      <c r="G158" s="61" t="n">
        <v>0.96</v>
      </c>
      <c r="H158" s="62" t="n">
        <v>32</v>
      </c>
      <c r="I158" s="9" t="inlineStr">
        <is>
          <t>Dog Breeder / Trại chó chuyên nghiệp (28-30đ)</t>
        </is>
      </c>
      <c r="J158" s="62" t="n">
        <v>30</v>
      </c>
      <c r="K158" s="9" t="inlineStr">
        <is>
          <t>Chưa rõ giống (Cần quét Bio)</t>
        </is>
      </c>
      <c r="L158" s="62" t="n">
        <v>0</v>
      </c>
      <c r="M158" s="62" t="n">
        <v>5</v>
      </c>
      <c r="N158" s="9" t="inlineStr">
        <is>
          <t>Amazon link not found</t>
        </is>
      </c>
      <c r="O158" s="62">
        <f>IF(N158="Selling pet toys + Artificial grass/Pet toilets (TARGET)",15,IF(N158="Selling artificial grass/pet toilets (TARGET)",10,IF(N158="Selling pet toys",7,IF(N158="There's an Amazon link, but no target sales.",3,0))))</f>
        <v/>
      </c>
      <c r="P158" s="63">
        <f>H158+J158+L158+M158+O158</f>
        <v/>
      </c>
      <c r="Q158" s="64">
        <f>IF(OR(H158=0,P158&lt;30),"Tier D (Đóng băng)",IF(P158&gt;=85,"Tier S (Kim Cương: 85-100đ)",IF(P158&gt;=70,"Tier A (Vàng: 70-84đ)",IF(P158&gt;=61,"Tier B+ / Cấp A (Hot Lead: 61-69đ)",IF(P158&gt;=50,"Tier B (Bạc: 50-60đ)","Tier C (Đồng: 30-49đ)")))))</f>
        <v/>
      </c>
      <c r="R158" s="9" t="inlineStr">
        <is>
          <t>Trọn gói Take-Home Starter Kit V2/V3 (Cỏ nhân tạo + Khay Potty + Đồ chơi Teething/Snuggle)</t>
        </is>
      </c>
      <c r="S158" s="9" t="inlineStr">
        <is>
          <t>HOT LEAD (Điểm ≥61): Liên hệ Telesale/Email chào gói Starter Kit &amp; Báo giá sỉ chiết khấu BOM</t>
        </is>
      </c>
    </row>
    <row r="159">
      <c r="A159" s="53" t="n">
        <v>921</v>
      </c>
      <c r="B159" s="12" t="inlineStr">
        <is>
          <t>CMarasigan Kennel</t>
        </is>
      </c>
      <c r="C159" s="54" t="inlineStr">
        <is>
          <t>https://www.facebook.com/100063491363244</t>
        </is>
      </c>
      <c r="D159" s="6" t="inlineStr">
        <is>
          <t>Cần quét Bio Fanpage</t>
        </is>
      </c>
      <c r="E159" s="53" t="inlineStr">
        <is>
          <t>12/10/2026 06:14:39</t>
        </is>
      </c>
      <c r="F159" s="53" t="inlineStr">
        <is>
          <t>20 giờ trước</t>
        </is>
      </c>
      <c r="G159" s="55" t="n">
        <v>0.83</v>
      </c>
      <c r="H159" s="56" t="n">
        <v>32</v>
      </c>
      <c r="I159" s="6" t="inlineStr">
        <is>
          <t>Dog Breeder / Trại chó chuyên nghiệp (28-30đ)</t>
        </is>
      </c>
      <c r="J159" s="56" t="n">
        <v>30</v>
      </c>
      <c r="K159" s="6" t="inlineStr">
        <is>
          <t>Chưa rõ giống (Cần quét Bio)</t>
        </is>
      </c>
      <c r="L159" s="56" t="n">
        <v>0</v>
      </c>
      <c r="M159" s="56" t="n">
        <v>5</v>
      </c>
      <c r="N159" s="6" t="inlineStr">
        <is>
          <t>Amazon link not found</t>
        </is>
      </c>
      <c r="O159" s="56">
        <f>IF(N159="Selling pet toys + Artificial grass/Pet toilets (TARGET)",15,IF(N159="Selling artificial grass/pet toilets (TARGET)",10,IF(N159="Selling pet toys",7,IF(N159="There's an Amazon link, but no target sales.",3,0))))</f>
        <v/>
      </c>
      <c r="P159" s="63">
        <f>H159+J159+L159+M159+O159</f>
        <v/>
      </c>
      <c r="Q159" s="64">
        <f>IF(OR(H159=0,P159&lt;30),"Tier D (Đóng băng)",IF(P159&gt;=85,"Tier S (Kim Cương: 85-100đ)",IF(P159&gt;=70,"Tier A (Vàng: 70-84đ)",IF(P159&gt;=61,"Tier B+ / Cấp A (Hot Lead: 61-69đ)",IF(P159&gt;=50,"Tier B (Bạc: 50-60đ)","Tier C (Đồng: 30-49đ)")))))</f>
        <v/>
      </c>
      <c r="R159" s="6" t="inlineStr">
        <is>
          <t>Trọn gói Take-Home Starter Kit V2/V3 (Cỏ nhân tạo + Khay Potty + Đồ chơi Teething/Snuggle)</t>
        </is>
      </c>
      <c r="S159" s="6" t="inlineStr">
        <is>
          <t>HOT LEAD (Điểm ≥61): Liên hệ Telesale/Email chào gói Starter Kit &amp; Báo giá sỉ chiết khấu BOM</t>
        </is>
      </c>
    </row>
    <row r="160">
      <c r="A160" s="59" t="n">
        <v>171</v>
      </c>
      <c r="B160" s="15" t="inlineStr">
        <is>
          <t>Five Star Puppies</t>
        </is>
      </c>
      <c r="C160" s="60" t="inlineStr">
        <is>
          <t>https://www.facebook.com/fivestarfarms55</t>
        </is>
      </c>
      <c r="D160" s="9" t="inlineStr">
        <is>
          <t>Cần quét Bio Fanpage</t>
        </is>
      </c>
      <c r="E160" s="59" t="inlineStr">
        <is>
          <t>12/10/2026 05:13:02</t>
        </is>
      </c>
      <c r="F160" s="59" t="inlineStr">
        <is>
          <t>20 giờ trước</t>
        </is>
      </c>
      <c r="G160" s="61" t="n">
        <v>0.83</v>
      </c>
      <c r="H160" s="62" t="n">
        <v>32</v>
      </c>
      <c r="I160" s="9" t="inlineStr">
        <is>
          <t>Dog Breeder / Trại chó chuyên nghiệp (28-30đ)</t>
        </is>
      </c>
      <c r="J160" s="62" t="n">
        <v>30</v>
      </c>
      <c r="K160" s="9" t="inlineStr">
        <is>
          <t>Chưa rõ giống (Cần quét Bio)</t>
        </is>
      </c>
      <c r="L160" s="62" t="n">
        <v>0</v>
      </c>
      <c r="M160" s="62" t="n">
        <v>5</v>
      </c>
      <c r="N160" s="9" t="inlineStr">
        <is>
          <t>Amazon link not found</t>
        </is>
      </c>
      <c r="O160" s="62">
        <f>IF(N160="Selling pet toys + Artificial grass/Pet toilets (TARGET)",15,IF(N160="Selling artificial grass/pet toilets (TARGET)",10,IF(N160="Selling pet toys",7,IF(N160="There's an Amazon link, but no target sales.",3,0))))</f>
        <v/>
      </c>
      <c r="P160" s="63">
        <f>H160+J160+L160+M160+O160</f>
        <v/>
      </c>
      <c r="Q160" s="64">
        <f>IF(OR(H160=0,P160&lt;30),"Tier D (Đóng băng)",IF(P160&gt;=85,"Tier S (Kim Cương: 85-100đ)",IF(P160&gt;=70,"Tier A (Vàng: 70-84đ)",IF(P160&gt;=61,"Tier B+ / Cấp A (Hot Lead: 61-69đ)",IF(P160&gt;=50,"Tier B (Bạc: 50-60đ)","Tier C (Đồng: 30-49đ)")))))</f>
        <v/>
      </c>
      <c r="R160" s="9" t="inlineStr">
        <is>
          <t>Trọn gói Take-Home Starter Kit V2/V3 (Cỏ nhân tạo + Khay Potty + Đồ chơi Teething/Snuggle)</t>
        </is>
      </c>
      <c r="S160" s="9" t="inlineStr">
        <is>
          <t>HOT LEAD (Điểm ≥61): Liên hệ Telesale/Email chào gói Starter Kit &amp; Báo giá sỉ chiết khấu BOM</t>
        </is>
      </c>
    </row>
    <row r="161">
      <c r="A161" s="53" t="n">
        <v>753</v>
      </c>
      <c r="B161" s="12" t="inlineStr">
        <is>
          <t>Breezewood Kennel</t>
        </is>
      </c>
      <c r="C161" s="54" t="inlineStr">
        <is>
          <t>https://www.facebook.com/profile.php?id=100063488533281</t>
        </is>
      </c>
      <c r="D161" s="6" t="inlineStr">
        <is>
          <t>Cần quét Bio Fanpage</t>
        </is>
      </c>
      <c r="E161" s="53" t="inlineStr">
        <is>
          <t>12/10/2026 03:00:18</t>
        </is>
      </c>
      <c r="F161" s="53" t="inlineStr">
        <is>
          <t>23 giờ trước</t>
        </is>
      </c>
      <c r="G161" s="55" t="n">
        <v>0.96</v>
      </c>
      <c r="H161" s="56" t="n">
        <v>32</v>
      </c>
      <c r="I161" s="6" t="inlineStr">
        <is>
          <t>Dog Breeder / Trại chó chuyên nghiệp (28-30đ)</t>
        </is>
      </c>
      <c r="J161" s="56" t="n">
        <v>30</v>
      </c>
      <c r="K161" s="6" t="inlineStr">
        <is>
          <t>Chưa rõ giống (Cần quét Bio)</t>
        </is>
      </c>
      <c r="L161" s="56" t="n">
        <v>0</v>
      </c>
      <c r="M161" s="56" t="n">
        <v>5</v>
      </c>
      <c r="N161" s="6" t="inlineStr">
        <is>
          <t>Amazon link not found</t>
        </is>
      </c>
      <c r="O161" s="56">
        <f>IF(N161="Selling pet toys + Artificial grass/Pet toilets (TARGET)",15,IF(N161="Selling artificial grass/pet toilets (TARGET)",10,IF(N161="Selling pet toys",7,IF(N161="There's an Amazon link, but no target sales.",3,0))))</f>
        <v/>
      </c>
      <c r="P161" s="63">
        <f>H161+J161+L161+M161+O161</f>
        <v/>
      </c>
      <c r="Q161" s="64">
        <f>IF(OR(H161=0,P161&lt;30),"Tier D (Đóng băng)",IF(P161&gt;=85,"Tier S (Kim Cương: 85-100đ)",IF(P161&gt;=70,"Tier A (Vàng: 70-84đ)",IF(P161&gt;=61,"Tier B+ / Cấp A (Hot Lead: 61-69đ)",IF(P161&gt;=50,"Tier B (Bạc: 50-60đ)","Tier C (Đồng: 30-49đ)")))))</f>
        <v/>
      </c>
      <c r="R161" s="6" t="inlineStr">
        <is>
          <t>Trọn gói Take-Home Starter Kit V2/V3 (Cỏ nhân tạo + Khay Potty + Đồ chơi Teething/Snuggle)</t>
        </is>
      </c>
      <c r="S161" s="6" t="inlineStr">
        <is>
          <t>HOT LEAD (Điểm ≥61): Liên hệ Telesale/Email chào gói Starter Kit &amp; Báo giá sỉ chiết khấu BOM</t>
        </is>
      </c>
    </row>
    <row r="162">
      <c r="A162" s="59" t="n">
        <v>25</v>
      </c>
      <c r="B162" s="15" t="inlineStr">
        <is>
          <t>Kennel Connect</t>
        </is>
      </c>
      <c r="C162" s="60" t="inlineStr">
        <is>
          <t>https://www.facebook.com/kennelconnect</t>
        </is>
      </c>
      <c r="D162" s="9" t="inlineStr">
        <is>
          <t>Cần quét Bio Fanpage</t>
        </is>
      </c>
      <c r="E162" s="59" t="inlineStr">
        <is>
          <t>12/10/2026 01:54:23</t>
        </is>
      </c>
      <c r="F162" s="59" t="inlineStr">
        <is>
          <t>23 giờ trước</t>
        </is>
      </c>
      <c r="G162" s="61" t="n">
        <v>0.96</v>
      </c>
      <c r="H162" s="62" t="n">
        <v>32</v>
      </c>
      <c r="I162" s="9" t="inlineStr">
        <is>
          <t>Dog Breeder / Trại chó chuyên nghiệp (28-30đ)</t>
        </is>
      </c>
      <c r="J162" s="62" t="n">
        <v>30</v>
      </c>
      <c r="K162" s="9" t="inlineStr">
        <is>
          <t>Chưa rõ giống (Cần quét Bio)</t>
        </is>
      </c>
      <c r="L162" s="62" t="n">
        <v>0</v>
      </c>
      <c r="M162" s="62" t="n">
        <v>5</v>
      </c>
      <c r="N162" s="9" t="inlineStr">
        <is>
          <t>Amazon link not found</t>
        </is>
      </c>
      <c r="O162" s="62">
        <f>IF(N162="Selling pet toys + Artificial grass/Pet toilets (TARGET)",15,IF(N162="Selling artificial grass/pet toilets (TARGET)",10,IF(N162="Selling pet toys",7,IF(N162="There's an Amazon link, but no target sales.",3,0))))</f>
        <v/>
      </c>
      <c r="P162" s="63">
        <f>H162+J162+L162+M162+O162</f>
        <v/>
      </c>
      <c r="Q162" s="64">
        <f>IF(OR(H162=0,P162&lt;30),"Tier D (Đóng băng)",IF(P162&gt;=85,"Tier S (Kim Cương: 85-100đ)",IF(P162&gt;=70,"Tier A (Vàng: 70-84đ)",IF(P162&gt;=61,"Tier B+ / Cấp A (Hot Lead: 61-69đ)",IF(P162&gt;=50,"Tier B (Bạc: 50-60đ)","Tier C (Đồng: 30-49đ)")))))</f>
        <v/>
      </c>
      <c r="R162" s="9" t="inlineStr">
        <is>
          <t>Trọn gói Take-Home Starter Kit V2/V3 (Cỏ nhân tạo + Khay Potty + Đồ chơi Teething/Snuggle)</t>
        </is>
      </c>
      <c r="S162" s="9" t="inlineStr">
        <is>
          <t>HOT LEAD (Điểm ≥61): Liên hệ Telesale/Email chào gói Starter Kit &amp; Báo giá sỉ chiết khấu BOM</t>
        </is>
      </c>
    </row>
    <row r="163">
      <c r="A163" s="53" t="n">
        <v>4250</v>
      </c>
      <c r="B163" s="12" t="inlineStr">
        <is>
          <t>Joshua's House for Golden Retriever Rescue &amp; Sanctuary Inc</t>
        </is>
      </c>
      <c r="C163" s="54" t="inlineStr">
        <is>
          <t>https://www.facebook.com/Joshuashouseforgoldenretrieverrescue</t>
        </is>
      </c>
      <c r="D163" s="6" t="inlineStr">
        <is>
          <t>Cần quét Bio Fanpage</t>
        </is>
      </c>
      <c r="E163" s="53" t="inlineStr">
        <is>
          <t>13/10/2026 07:25:46</t>
        </is>
      </c>
      <c r="F163" s="53" t="inlineStr">
        <is>
          <t>1 giờ trước</t>
        </is>
      </c>
      <c r="G163" s="55" t="n">
        <v>0.04</v>
      </c>
      <c r="H163" s="56" t="n">
        <v>35</v>
      </c>
      <c r="I163" s="6" t="inlineStr">
        <is>
          <t>Pet Rescue / Trạm cứu trợ (14-16đ)</t>
        </is>
      </c>
      <c r="J163" s="56" t="n">
        <v>16</v>
      </c>
      <c r="K163" s="6" t="inlineStr">
        <is>
          <t>Golden Retriever</t>
        </is>
      </c>
      <c r="L163" s="56" t="n">
        <v>10</v>
      </c>
      <c r="M163" s="56" t="n">
        <v>5</v>
      </c>
      <c r="N163" s="6" t="inlineStr">
        <is>
          <t>Amazon link not found</t>
        </is>
      </c>
      <c r="O163" s="56">
        <f>IF(N163="Selling pet toys + Artificial grass/Pet toilets (TARGET)",15,IF(N163="Selling artificial grass/pet toilets (TARGET)",10,IF(N163="Selling pet toys",7,IF(N163="There's an Amazon link, but no target sales.",3,0))))</f>
        <v/>
      </c>
      <c r="P163" s="63">
        <f>H163+J163+L163+M163+O163</f>
        <v/>
      </c>
      <c r="Q163" s="64">
        <f>IF(OR(H163=0,P163&lt;30),"Tier D (Đóng băng)",IF(P163&gt;=85,"Tier S (Kim Cương: 85-100đ)",IF(P163&gt;=70,"Tier A (Vàng: 70-84đ)",IF(P163&gt;=61,"Tier B+ / Cấp A (Hot Lead: 61-69đ)",IF(P163&gt;=50,"Tier B (Bạc: 50-60đ)","Tier C (Đồng: 30-49đ)")))))</f>
        <v/>
      </c>
      <c r="R163" s="6" t="inlineStr">
        <is>
          <t>Nhà vệ sinh &amp; Tã lót (Potty Tray / Pee Pads) + Cỏ nhân tạo lót chuồng</t>
        </is>
      </c>
      <c r="S163" s="6" t="inlineStr">
        <is>
          <t>HOT LEAD (Điểm ≥61): Liên hệ Telesale/Email chào gói Starter Kit &amp; Báo giá sỉ chiết khấu BOM</t>
        </is>
      </c>
    </row>
    <row r="164">
      <c r="A164" s="59" t="n">
        <v>1974</v>
      </c>
      <c r="B164" s="15" t="inlineStr">
        <is>
          <t>Lake Valley Bulldogs</t>
        </is>
      </c>
      <c r="C164" s="60" t="inlineStr">
        <is>
          <t>https://www.facebook.com/lakevalleybulldogs</t>
        </is>
      </c>
      <c r="D164" s="9" t="inlineStr">
        <is>
          <t>Cần quét Bio Fanpage</t>
        </is>
      </c>
      <c r="E164" s="59" t="inlineStr">
        <is>
          <t>12/10/2026 04:16:24</t>
        </is>
      </c>
      <c r="F164" s="59" t="inlineStr">
        <is>
          <t>1 ngày trước</t>
        </is>
      </c>
      <c r="G164" s="61" t="n">
        <v>1</v>
      </c>
      <c r="H164" s="62" t="n">
        <v>28</v>
      </c>
      <c r="I164" s="9" t="inlineStr">
        <is>
          <t>Dog Breeder / Trại chó chuyên nghiệp (28-30đ)</t>
        </is>
      </c>
      <c r="J164" s="62" t="n">
        <v>28</v>
      </c>
      <c r="K164" s="9" t="inlineStr">
        <is>
          <t>English Bulldog</t>
        </is>
      </c>
      <c r="L164" s="62" t="n">
        <v>10</v>
      </c>
      <c r="M164" s="62" t="n">
        <v>0</v>
      </c>
      <c r="N164" s="9" t="inlineStr">
        <is>
          <t>Amazon link not found</t>
        </is>
      </c>
      <c r="O164" s="62">
        <f>IF(N164="Selling pet toys + Artificial grass/Pet toilets (TARGET)",15,IF(N164="Selling artificial grass/pet toilets (TARGET)",10,IF(N164="Selling pet toys",7,IF(N164="There's an Amazon link, but no target sales.",3,0))))</f>
        <v/>
      </c>
      <c r="P164" s="63">
        <f>H164+J164+L164+M164+O164</f>
        <v/>
      </c>
      <c r="Q164" s="64">
        <f>IF(OR(H164=0,P164&lt;30),"Tier D (Đóng băng)",IF(P164&gt;=85,"Tier S (Kim Cương: 85-100đ)",IF(P164&gt;=70,"Tier A (Vàng: 70-84đ)",IF(P164&gt;=61,"Tier B+ / Cấp A (Hot Lead: 61-69đ)",IF(P164&gt;=50,"Tier B (Bạc: 50-60đ)","Tier C (Đồng: 30-49đ)")))))</f>
        <v/>
      </c>
      <c r="R164" s="9" t="inlineStr">
        <is>
          <t>Trọn gói Take-Home Starter Kit V2/V3 (Cỏ nhân tạo + Khay Potty + Đồ chơi Teething/Snuggle)</t>
        </is>
      </c>
      <c r="S164" s="9" t="inlineStr">
        <is>
          <t>HOT LEAD (Điểm ≥61): Liên hệ Telesale/Email chào gói Starter Kit &amp; Báo giá sỉ chiết khấu BOM</t>
        </is>
      </c>
    </row>
    <row r="165">
      <c r="A165" s="53" t="n">
        <v>2576</v>
      </c>
      <c r="B165" s="12" t="inlineStr">
        <is>
          <t>Pine State Bulldogs</t>
        </is>
      </c>
      <c r="C165" s="54" t="inlineStr">
        <is>
          <t>https://www.facebook.com/profile.php?id=61592373347337</t>
        </is>
      </c>
      <c r="D165" s="6" t="inlineStr">
        <is>
          <t>Cần quét Bio Fanpage</t>
        </is>
      </c>
      <c r="E165" s="53" t="inlineStr">
        <is>
          <t>12/10/2026 03:03:59</t>
        </is>
      </c>
      <c r="F165" s="53" t="inlineStr">
        <is>
          <t>1 ngày trước</t>
        </is>
      </c>
      <c r="G165" s="55" t="n">
        <v>1</v>
      </c>
      <c r="H165" s="56" t="n">
        <v>28</v>
      </c>
      <c r="I165" s="6" t="inlineStr">
        <is>
          <t>Dog Breeder / Trại chó chuyên nghiệp (28-30đ)</t>
        </is>
      </c>
      <c r="J165" s="56" t="n">
        <v>28</v>
      </c>
      <c r="K165" s="6" t="inlineStr">
        <is>
          <t>English Bulldog</t>
        </is>
      </c>
      <c r="L165" s="56" t="n">
        <v>10</v>
      </c>
      <c r="M165" s="56" t="n">
        <v>0</v>
      </c>
      <c r="N165" s="6" t="inlineStr">
        <is>
          <t>Amazon link not found</t>
        </is>
      </c>
      <c r="O165" s="56">
        <f>IF(N165="Selling pet toys + Artificial grass/Pet toilets (TARGET)",15,IF(N165="Selling artificial grass/pet toilets (TARGET)",10,IF(N165="Selling pet toys",7,IF(N165="There's an Amazon link, but no target sales.",3,0))))</f>
        <v/>
      </c>
      <c r="P165" s="63">
        <f>H165+J165+L165+M165+O165</f>
        <v/>
      </c>
      <c r="Q165" s="64">
        <f>IF(OR(H165=0,P165&lt;30),"Tier D (Đóng băng)",IF(P165&gt;=85,"Tier S (Kim Cương: 85-100đ)",IF(P165&gt;=70,"Tier A (Vàng: 70-84đ)",IF(P165&gt;=61,"Tier B+ / Cấp A (Hot Lead: 61-69đ)",IF(P165&gt;=50,"Tier B (Bạc: 50-60đ)","Tier C (Đồng: 30-49đ)")))))</f>
        <v/>
      </c>
      <c r="R165" s="6" t="inlineStr">
        <is>
          <t>Trọn gói Take-Home Starter Kit V2/V3 (Cỏ nhân tạo + Khay Potty + Đồ chơi Teething/Snuggle)</t>
        </is>
      </c>
      <c r="S165" s="6" t="inlineStr">
        <is>
          <t>HOT LEAD (Điểm ≥61): Liên hệ Telesale/Email chào gói Starter Kit &amp; Báo giá sỉ chiết khấu BOM</t>
        </is>
      </c>
    </row>
    <row r="166">
      <c r="A166" s="59" t="n">
        <v>1505</v>
      </c>
      <c r="B166" s="15" t="inlineStr">
        <is>
          <t>Girl with the Bullies</t>
        </is>
      </c>
      <c r="C166" s="60" t="inlineStr">
        <is>
          <t>https://www.facebook.com/girlwiththebullies</t>
        </is>
      </c>
      <c r="D166" s="9" t="inlineStr">
        <is>
          <t>Cần quét Bio Fanpage</t>
        </is>
      </c>
      <c r="E166" s="59" t="inlineStr">
        <is>
          <t>12/10/2026 02:07:08</t>
        </is>
      </c>
      <c r="F166" s="59" t="inlineStr">
        <is>
          <t>1 ngày trước</t>
        </is>
      </c>
      <c r="G166" s="61" t="n">
        <v>1</v>
      </c>
      <c r="H166" s="62" t="n">
        <v>28</v>
      </c>
      <c r="I166" s="9" t="inlineStr">
        <is>
          <t>Dog Breeder / Trại chó chuyên nghiệp (28-30đ)</t>
        </is>
      </c>
      <c r="J166" s="62" t="n">
        <v>28</v>
      </c>
      <c r="K166" s="9" t="inlineStr">
        <is>
          <t>American Bully / Bully</t>
        </is>
      </c>
      <c r="L166" s="62" t="n">
        <v>10</v>
      </c>
      <c r="M166" s="62" t="n">
        <v>0</v>
      </c>
      <c r="N166" s="9" t="inlineStr">
        <is>
          <t>Amazon link not found</t>
        </is>
      </c>
      <c r="O166" s="62">
        <f>IF(N166="Selling pet toys + Artificial grass/Pet toilets (TARGET)",15,IF(N166="Selling artificial grass/pet toilets (TARGET)",10,IF(N166="Selling pet toys",7,IF(N166="There's an Amazon link, but no target sales.",3,0))))</f>
        <v/>
      </c>
      <c r="P166" s="63">
        <f>H166+J166+L166+M166+O166</f>
        <v/>
      </c>
      <c r="Q166" s="64">
        <f>IF(OR(H166=0,P166&lt;30),"Tier D (Đóng băng)",IF(P166&gt;=85,"Tier S (Kim Cương: 85-100đ)",IF(P166&gt;=70,"Tier A (Vàng: 70-84đ)",IF(P166&gt;=61,"Tier B+ / Cấp A (Hot Lead: 61-69đ)",IF(P166&gt;=50,"Tier B (Bạc: 50-60đ)","Tier C (Đồng: 30-49đ)")))))</f>
        <v/>
      </c>
      <c r="R166" s="9" t="inlineStr">
        <is>
          <t>Trọn gói Take-Home Starter Kit V2/V3 (Cỏ nhân tạo + Khay Potty + Đồ chơi Teething/Snuggle)</t>
        </is>
      </c>
      <c r="S166" s="9" t="inlineStr">
        <is>
          <t>HOT LEAD (Điểm ≥61): Liên hệ Telesale/Email chào gói Starter Kit &amp; Báo giá sỉ chiết khấu BOM</t>
        </is>
      </c>
    </row>
    <row r="167">
      <c r="A167" s="53" t="n">
        <v>790</v>
      </c>
      <c r="B167" s="12" t="inlineStr">
        <is>
          <t>Bulldogs by Mr Sherman &amp; Hugo</t>
        </is>
      </c>
      <c r="C167" s="54" t="inlineStr">
        <is>
          <t>https://www.facebook.com/bulldogsbymrshermanandhugo</t>
        </is>
      </c>
      <c r="D167" s="6" t="inlineStr">
        <is>
          <t>Cần quét Bio Fanpage</t>
        </is>
      </c>
      <c r="E167" s="53" t="inlineStr">
        <is>
          <t>12/10/2026 00:44:59</t>
        </is>
      </c>
      <c r="F167" s="53" t="inlineStr">
        <is>
          <t>1 ngày trước</t>
        </is>
      </c>
      <c r="G167" s="55" t="n">
        <v>1</v>
      </c>
      <c r="H167" s="56" t="n">
        <v>28</v>
      </c>
      <c r="I167" s="6" t="inlineStr">
        <is>
          <t>Dog Breeder / Trại chó chuyên nghiệp (28-30đ)</t>
        </is>
      </c>
      <c r="J167" s="56" t="n">
        <v>28</v>
      </c>
      <c r="K167" s="6" t="inlineStr">
        <is>
          <t>English Bulldog</t>
        </is>
      </c>
      <c r="L167" s="56" t="n">
        <v>10</v>
      </c>
      <c r="M167" s="56" t="n">
        <v>0</v>
      </c>
      <c r="N167" s="6" t="inlineStr">
        <is>
          <t>Amazon link not found</t>
        </is>
      </c>
      <c r="O167" s="56">
        <f>IF(N167="Selling pet toys + Artificial grass/Pet toilets (TARGET)",15,IF(N167="Selling artificial grass/pet toilets (TARGET)",10,IF(N167="Selling pet toys",7,IF(N167="There's an Amazon link, but no target sales.",3,0))))</f>
        <v/>
      </c>
      <c r="P167" s="63">
        <f>H167+J167+L167+M167+O167</f>
        <v/>
      </c>
      <c r="Q167" s="64">
        <f>IF(OR(H167=0,P167&lt;30),"Tier D (Đóng băng)",IF(P167&gt;=85,"Tier S (Kim Cương: 85-100đ)",IF(P167&gt;=70,"Tier A (Vàng: 70-84đ)",IF(P167&gt;=61,"Tier B+ / Cấp A (Hot Lead: 61-69đ)",IF(P167&gt;=50,"Tier B (Bạc: 50-60đ)","Tier C (Đồng: 30-49đ)")))))</f>
        <v/>
      </c>
      <c r="R167" s="6" t="inlineStr">
        <is>
          <t>Trọn gói Take-Home Starter Kit V2/V3 (Cỏ nhân tạo + Khay Potty + Đồ chơi Teething/Snuggle)</t>
        </is>
      </c>
      <c r="S167" s="6" t="inlineStr">
        <is>
          <t>HOT LEAD (Điểm ≥61): Liên hệ Telesale/Email chào gói Starter Kit &amp; Báo giá sỉ chiết khấu BOM</t>
        </is>
      </c>
    </row>
    <row r="168">
      <c r="A168" s="59" t="n">
        <v>2310</v>
      </c>
      <c r="B168" s="15" t="inlineStr">
        <is>
          <t>North Country Bulldogges</t>
        </is>
      </c>
      <c r="C168" s="60" t="inlineStr">
        <is>
          <t>https://www.facebook.com/profile.php?id=100088376396316</t>
        </is>
      </c>
      <c r="D168" s="9" t="inlineStr">
        <is>
          <t>Cần quét Bio Fanpage</t>
        </is>
      </c>
      <c r="E168" s="59" t="inlineStr">
        <is>
          <t>12/10/2026 00:31:10</t>
        </is>
      </c>
      <c r="F168" s="59" t="inlineStr">
        <is>
          <t>1 ngày trước</t>
        </is>
      </c>
      <c r="G168" s="61" t="n">
        <v>1</v>
      </c>
      <c r="H168" s="62" t="n">
        <v>28</v>
      </c>
      <c r="I168" s="9" t="inlineStr">
        <is>
          <t>Dog Breeder / Trại chó chuyên nghiệp (28-30đ)</t>
        </is>
      </c>
      <c r="J168" s="62" t="n">
        <v>28</v>
      </c>
      <c r="K168" s="9" t="inlineStr">
        <is>
          <t>English Bulldog</t>
        </is>
      </c>
      <c r="L168" s="62" t="n">
        <v>10</v>
      </c>
      <c r="M168" s="62" t="n">
        <v>0</v>
      </c>
      <c r="N168" s="9" t="inlineStr">
        <is>
          <t>Amazon link not found</t>
        </is>
      </c>
      <c r="O168" s="62">
        <f>IF(N168="Selling pet toys + Artificial grass/Pet toilets (TARGET)",15,IF(N168="Selling artificial grass/pet toilets (TARGET)",10,IF(N168="Selling pet toys",7,IF(N168="There's an Amazon link, but no target sales.",3,0))))</f>
        <v/>
      </c>
      <c r="P168" s="63">
        <f>H168+J168+L168+M168+O168</f>
        <v/>
      </c>
      <c r="Q168" s="64">
        <f>IF(OR(H168=0,P168&lt;30),"Tier D (Đóng băng)",IF(P168&gt;=85,"Tier S (Kim Cương: 85-100đ)",IF(P168&gt;=70,"Tier A (Vàng: 70-84đ)",IF(P168&gt;=61,"Tier B+ / Cấp A (Hot Lead: 61-69đ)",IF(P168&gt;=50,"Tier B (Bạc: 50-60đ)","Tier C (Đồng: 30-49đ)")))))</f>
        <v/>
      </c>
      <c r="R168" s="9" t="inlineStr">
        <is>
          <t>Trọn gói Take-Home Starter Kit V2/V3 (Cỏ nhân tạo + Khay Potty + Đồ chơi Teething/Snuggle)</t>
        </is>
      </c>
      <c r="S168" s="9" t="inlineStr">
        <is>
          <t>HOT LEAD (Điểm ≥61): Liên hệ Telesale/Email chào gói Starter Kit &amp; Báo giá sỉ chiết khấu BOM</t>
        </is>
      </c>
    </row>
    <row r="169">
      <c r="A169" s="53" t="n">
        <v>2562</v>
      </c>
      <c r="B169" s="12" t="inlineStr">
        <is>
          <t>Phantasticus French Bulldogs</t>
        </is>
      </c>
      <c r="C169" s="54" t="inlineStr">
        <is>
          <t>https://www.facebook.com/wichitafrenchies</t>
        </is>
      </c>
      <c r="D169" s="6" t="inlineStr">
        <is>
          <t>Cần quét Bio Fanpage</t>
        </is>
      </c>
      <c r="E169" s="53" t="inlineStr">
        <is>
          <t>12/10/2026 00:10:29</t>
        </is>
      </c>
      <c r="F169" s="53" t="inlineStr">
        <is>
          <t>1 ngày trước</t>
        </is>
      </c>
      <c r="G169" s="55" t="n">
        <v>1</v>
      </c>
      <c r="H169" s="56" t="n">
        <v>28</v>
      </c>
      <c r="I169" s="6" t="inlineStr">
        <is>
          <t>Dog Breeder / Trại chó chuyên nghiệp (28-30đ)</t>
        </is>
      </c>
      <c r="J169" s="56" t="n">
        <v>28</v>
      </c>
      <c r="K169" s="6" t="inlineStr">
        <is>
          <t>French Bulldog</t>
        </is>
      </c>
      <c r="L169" s="56" t="n">
        <v>10</v>
      </c>
      <c r="M169" s="56" t="n">
        <v>0</v>
      </c>
      <c r="N169" s="6" t="inlineStr">
        <is>
          <t>Amazon link not found</t>
        </is>
      </c>
      <c r="O169" s="56">
        <f>IF(N169="Selling pet toys + Artificial grass/Pet toilets (TARGET)",15,IF(N169="Selling artificial grass/pet toilets (TARGET)",10,IF(N169="Selling pet toys",7,IF(N169="There's an Amazon link, but no target sales.",3,0))))</f>
        <v/>
      </c>
      <c r="P169" s="63">
        <f>H169+J169+L169+M169+O169</f>
        <v/>
      </c>
      <c r="Q169" s="64">
        <f>IF(OR(H169=0,P169&lt;30),"Tier D (Đóng băng)",IF(P169&gt;=85,"Tier S (Kim Cương: 85-100đ)",IF(P169&gt;=70,"Tier A (Vàng: 70-84đ)",IF(P169&gt;=61,"Tier B+ / Cấp A (Hot Lead: 61-69đ)",IF(P169&gt;=50,"Tier B (Bạc: 50-60đ)","Tier C (Đồng: 30-49đ)")))))</f>
        <v/>
      </c>
      <c r="R169" s="6" t="inlineStr">
        <is>
          <t>Trọn gói Take-Home Starter Kit V2/V3 (Cỏ nhân tạo + Khay Potty + Đồ chơi Teething/Snuggle)</t>
        </is>
      </c>
      <c r="S169" s="6" t="inlineStr">
        <is>
          <t>HOT LEAD (Điểm ≥61): Liên hệ Telesale/Email chào gói Starter Kit &amp; Báo giá sỉ chiết khấu BOM</t>
        </is>
      </c>
    </row>
    <row r="170">
      <c r="A170" s="59" t="n">
        <v>2288</v>
      </c>
      <c r="B170" s="15" t="inlineStr">
        <is>
          <t>Next Level Bulldogs</t>
        </is>
      </c>
      <c r="C170" s="60" t="inlineStr">
        <is>
          <t>https://www.facebook.com/NextLevelBulldogs</t>
        </is>
      </c>
      <c r="D170" s="9" t="inlineStr">
        <is>
          <t>Cần quét Bio Fanpage</t>
        </is>
      </c>
      <c r="E170" s="59" t="inlineStr">
        <is>
          <t>11/10/2026 23:40:31</t>
        </is>
      </c>
      <c r="F170" s="59" t="inlineStr">
        <is>
          <t>1 ngày trước</t>
        </is>
      </c>
      <c r="G170" s="61" t="n">
        <v>1</v>
      </c>
      <c r="H170" s="62" t="n">
        <v>28</v>
      </c>
      <c r="I170" s="9" t="inlineStr">
        <is>
          <t>Dog Breeder / Trại chó chuyên nghiệp (28-30đ)</t>
        </is>
      </c>
      <c r="J170" s="62" t="n">
        <v>28</v>
      </c>
      <c r="K170" s="9" t="inlineStr">
        <is>
          <t>English Bulldog</t>
        </is>
      </c>
      <c r="L170" s="62" t="n">
        <v>10</v>
      </c>
      <c r="M170" s="62" t="n">
        <v>0</v>
      </c>
      <c r="N170" s="9" t="inlineStr">
        <is>
          <t>Amazon link not found</t>
        </is>
      </c>
      <c r="O170" s="62">
        <f>IF(N170="Selling pet toys + Artificial grass/Pet toilets (TARGET)",15,IF(N170="Selling artificial grass/pet toilets (TARGET)",10,IF(N170="Selling pet toys",7,IF(N170="There's an Amazon link, but no target sales.",3,0))))</f>
        <v/>
      </c>
      <c r="P170" s="63">
        <f>H170+J170+L170+M170+O170</f>
        <v/>
      </c>
      <c r="Q170" s="64">
        <f>IF(OR(H170=0,P170&lt;30),"Tier D (Đóng băng)",IF(P170&gt;=85,"Tier S (Kim Cương: 85-100đ)",IF(P170&gt;=70,"Tier A (Vàng: 70-84đ)",IF(P170&gt;=61,"Tier B+ / Cấp A (Hot Lead: 61-69đ)",IF(P170&gt;=50,"Tier B (Bạc: 50-60đ)","Tier C (Đồng: 30-49đ)")))))</f>
        <v/>
      </c>
      <c r="R170" s="9" t="inlineStr">
        <is>
          <t>Trọn gói Take-Home Starter Kit V2/V3 (Cỏ nhân tạo + Khay Potty + Đồ chơi Teething/Snuggle)</t>
        </is>
      </c>
      <c r="S170" s="9" t="inlineStr">
        <is>
          <t>HOT LEAD (Điểm ≥61): Liên hệ Telesale/Email chào gói Starter Kit &amp; Báo giá sỉ chiết khấu BOM</t>
        </is>
      </c>
    </row>
    <row r="171">
      <c r="A171" s="53" t="n">
        <v>750</v>
      </c>
      <c r="B171" s="12" t="inlineStr">
        <is>
          <t>Brand Name Bullies</t>
        </is>
      </c>
      <c r="C171" s="54" t="inlineStr">
        <is>
          <t>https://www.facebook.com/BrandNameBullies</t>
        </is>
      </c>
      <c r="D171" s="6" t="inlineStr">
        <is>
          <t>Cần quét Bio Fanpage</t>
        </is>
      </c>
      <c r="E171" s="53" t="inlineStr">
        <is>
          <t>11/10/2026 23:21:03</t>
        </is>
      </c>
      <c r="F171" s="53" t="inlineStr">
        <is>
          <t>1 ngày trước</t>
        </is>
      </c>
      <c r="G171" s="55" t="n">
        <v>1</v>
      </c>
      <c r="H171" s="56" t="n">
        <v>28</v>
      </c>
      <c r="I171" s="6" t="inlineStr">
        <is>
          <t>Dog Breeder / Trại chó chuyên nghiệp (28-30đ)</t>
        </is>
      </c>
      <c r="J171" s="56" t="n">
        <v>28</v>
      </c>
      <c r="K171" s="6" t="inlineStr">
        <is>
          <t>American Bully / Bully</t>
        </is>
      </c>
      <c r="L171" s="56" t="n">
        <v>10</v>
      </c>
      <c r="M171" s="56" t="n">
        <v>0</v>
      </c>
      <c r="N171" s="6" t="inlineStr">
        <is>
          <t>Amazon link not found</t>
        </is>
      </c>
      <c r="O171" s="56">
        <f>IF(N171="Selling pet toys + Artificial grass/Pet toilets (TARGET)",15,IF(N171="Selling artificial grass/pet toilets (TARGET)",10,IF(N171="Selling pet toys",7,IF(N171="There's an Amazon link, but no target sales.",3,0))))</f>
        <v/>
      </c>
      <c r="P171" s="63">
        <f>H171+J171+L171+M171+O171</f>
        <v/>
      </c>
      <c r="Q171" s="64">
        <f>IF(OR(H171=0,P171&lt;30),"Tier D (Đóng băng)",IF(P171&gt;=85,"Tier S (Kim Cương: 85-100đ)",IF(P171&gt;=70,"Tier A (Vàng: 70-84đ)",IF(P171&gt;=61,"Tier B+ / Cấp A (Hot Lead: 61-69đ)",IF(P171&gt;=50,"Tier B (Bạc: 50-60đ)","Tier C (Đồng: 30-49đ)")))))</f>
        <v/>
      </c>
      <c r="R171" s="6" t="inlineStr">
        <is>
          <t>Trọn gói Take-Home Starter Kit V2/V3 (Cỏ nhân tạo + Khay Potty + Đồ chơi Teething/Snuggle)</t>
        </is>
      </c>
      <c r="S171" s="6" t="inlineStr">
        <is>
          <t>HOT LEAD (Điểm ≥61): Liên hệ Telesale/Email chào gói Starter Kit &amp; Báo giá sỉ chiết khấu BOM</t>
        </is>
      </c>
    </row>
    <row r="172">
      <c r="A172" s="59" t="n">
        <v>895</v>
      </c>
      <c r="B172" s="15" t="inlineStr">
        <is>
          <t>Chris and Gina Olde English Bulldogges</t>
        </is>
      </c>
      <c r="C172" s="60" t="inlineStr">
        <is>
          <t>https://www.facebook.com/awesomeoldeenglishbulldogges</t>
        </is>
      </c>
      <c r="D172" s="9" t="inlineStr">
        <is>
          <t>Cần quét Bio Fanpage</t>
        </is>
      </c>
      <c r="E172" s="59" t="inlineStr">
        <is>
          <t>11/10/2026 22:47:57</t>
        </is>
      </c>
      <c r="F172" s="59" t="inlineStr">
        <is>
          <t>1 ngày trước</t>
        </is>
      </c>
      <c r="G172" s="61" t="n">
        <v>1</v>
      </c>
      <c r="H172" s="62" t="n">
        <v>28</v>
      </c>
      <c r="I172" s="9" t="inlineStr">
        <is>
          <t>Dog Breeder / Trại chó chuyên nghiệp (28-30đ)</t>
        </is>
      </c>
      <c r="J172" s="62" t="n">
        <v>28</v>
      </c>
      <c r="K172" s="9" t="inlineStr">
        <is>
          <t>English Bulldog</t>
        </is>
      </c>
      <c r="L172" s="62" t="n">
        <v>10</v>
      </c>
      <c r="M172" s="62" t="n">
        <v>0</v>
      </c>
      <c r="N172" s="9" t="inlineStr">
        <is>
          <t>Amazon link not found</t>
        </is>
      </c>
      <c r="O172" s="62">
        <f>IF(N172="Selling pet toys + Artificial grass/Pet toilets (TARGET)",15,IF(N172="Selling artificial grass/pet toilets (TARGET)",10,IF(N172="Selling pet toys",7,IF(N172="There's an Amazon link, but no target sales.",3,0))))</f>
        <v/>
      </c>
      <c r="P172" s="63">
        <f>H172+J172+L172+M172+O172</f>
        <v/>
      </c>
      <c r="Q172" s="64">
        <f>IF(OR(H172=0,P172&lt;30),"Tier D (Đóng băng)",IF(P172&gt;=85,"Tier S (Kim Cương: 85-100đ)",IF(P172&gt;=70,"Tier A (Vàng: 70-84đ)",IF(P172&gt;=61,"Tier B+ / Cấp A (Hot Lead: 61-69đ)",IF(P172&gt;=50,"Tier B (Bạc: 50-60đ)","Tier C (Đồng: 30-49đ)")))))</f>
        <v/>
      </c>
      <c r="R172" s="9" t="inlineStr">
        <is>
          <t>Trọn gói Take-Home Starter Kit V2/V3 (Cỏ nhân tạo + Khay Potty + Đồ chơi Teething/Snuggle)</t>
        </is>
      </c>
      <c r="S172" s="9" t="inlineStr">
        <is>
          <t>HOT LEAD (Điểm ≥61): Liên hệ Telesale/Email chào gói Starter Kit &amp; Báo giá sỉ chiết khấu BOM</t>
        </is>
      </c>
    </row>
    <row r="173">
      <c r="A173" s="53" t="n">
        <v>964</v>
      </c>
      <c r="B173" s="12" t="inlineStr">
        <is>
          <t>Creme Brulee Frenchies</t>
        </is>
      </c>
      <c r="C173" s="54" t="inlineStr">
        <is>
          <t>https://www.facebook.com/letsget.pop.5</t>
        </is>
      </c>
      <c r="D173" s="6" t="inlineStr">
        <is>
          <t>Cần quét Bio Fanpage</t>
        </is>
      </c>
      <c r="E173" s="53" t="inlineStr">
        <is>
          <t>11/10/2026 22:12:47</t>
        </is>
      </c>
      <c r="F173" s="53" t="inlineStr">
        <is>
          <t>1 ngày trước</t>
        </is>
      </c>
      <c r="G173" s="55" t="n">
        <v>1</v>
      </c>
      <c r="H173" s="56" t="n">
        <v>28</v>
      </c>
      <c r="I173" s="6" t="inlineStr">
        <is>
          <t>Dog Breeder / Trại chó chuyên nghiệp (28-30đ)</t>
        </is>
      </c>
      <c r="J173" s="56" t="n">
        <v>28</v>
      </c>
      <c r="K173" s="6" t="inlineStr">
        <is>
          <t>French Bulldog</t>
        </is>
      </c>
      <c r="L173" s="56" t="n">
        <v>10</v>
      </c>
      <c r="M173" s="56" t="n">
        <v>0</v>
      </c>
      <c r="N173" s="6" t="inlineStr">
        <is>
          <t>Amazon link not found</t>
        </is>
      </c>
      <c r="O173" s="56">
        <f>IF(N173="Selling pet toys + Artificial grass/Pet toilets (TARGET)",15,IF(N173="Selling artificial grass/pet toilets (TARGET)",10,IF(N173="Selling pet toys",7,IF(N173="There's an Amazon link, but no target sales.",3,0))))</f>
        <v/>
      </c>
      <c r="P173" s="63">
        <f>H173+J173+L173+M173+O173</f>
        <v/>
      </c>
      <c r="Q173" s="64">
        <f>IF(OR(H173=0,P173&lt;30),"Tier D (Đóng băng)",IF(P173&gt;=85,"Tier S (Kim Cương: 85-100đ)",IF(P173&gt;=70,"Tier A (Vàng: 70-84đ)",IF(P173&gt;=61,"Tier B+ / Cấp A (Hot Lead: 61-69đ)",IF(P173&gt;=50,"Tier B (Bạc: 50-60đ)","Tier C (Đồng: 30-49đ)")))))</f>
        <v/>
      </c>
      <c r="R173" s="6" t="inlineStr">
        <is>
          <t>Trọn gói Take-Home Starter Kit V2/V3 (Cỏ nhân tạo + Khay Potty + Đồ chơi Teething/Snuggle)</t>
        </is>
      </c>
      <c r="S173" s="6" t="inlineStr">
        <is>
          <t>HOT LEAD (Điểm ≥61): Liên hệ Telesale/Email chào gói Starter Kit &amp; Báo giá sỉ chiết khấu BOM</t>
        </is>
      </c>
    </row>
    <row r="174">
      <c r="A174" s="59" t="n">
        <v>2178</v>
      </c>
      <c r="B174" s="15" t="inlineStr">
        <is>
          <t>Mikantribe Bulldogs</t>
        </is>
      </c>
      <c r="C174" s="60" t="inlineStr">
        <is>
          <t>https://www.facebook.com/MikantribeBulldogs</t>
        </is>
      </c>
      <c r="D174" s="9" t="inlineStr">
        <is>
          <t>Cần quét Bio Fanpage</t>
        </is>
      </c>
      <c r="E174" s="59" t="inlineStr">
        <is>
          <t>11/10/2026 16:45:35</t>
        </is>
      </c>
      <c r="F174" s="59" t="inlineStr">
        <is>
          <t>1 ngày trước</t>
        </is>
      </c>
      <c r="G174" s="61" t="n">
        <v>1</v>
      </c>
      <c r="H174" s="62" t="n">
        <v>28</v>
      </c>
      <c r="I174" s="9" t="inlineStr">
        <is>
          <t>Dog Breeder / Trại chó chuyên nghiệp (28-30đ)</t>
        </is>
      </c>
      <c r="J174" s="62" t="n">
        <v>28</v>
      </c>
      <c r="K174" s="9" t="inlineStr">
        <is>
          <t>English Bulldog</t>
        </is>
      </c>
      <c r="L174" s="62" t="n">
        <v>10</v>
      </c>
      <c r="M174" s="62" t="n">
        <v>0</v>
      </c>
      <c r="N174" s="9" t="inlineStr">
        <is>
          <t>Amazon link not found</t>
        </is>
      </c>
      <c r="O174" s="62">
        <f>IF(N174="Selling pet toys + Artificial grass/Pet toilets (TARGET)",15,IF(N174="Selling artificial grass/pet toilets (TARGET)",10,IF(N174="Selling pet toys",7,IF(N174="There's an Amazon link, but no target sales.",3,0))))</f>
        <v/>
      </c>
      <c r="P174" s="63">
        <f>H174+J174+L174+M174+O174</f>
        <v/>
      </c>
      <c r="Q174" s="64">
        <f>IF(OR(H174=0,P174&lt;30),"Tier D (Đóng băng)",IF(P174&gt;=85,"Tier S (Kim Cương: 85-100đ)",IF(P174&gt;=70,"Tier A (Vàng: 70-84đ)",IF(P174&gt;=61,"Tier B+ / Cấp A (Hot Lead: 61-69đ)",IF(P174&gt;=50,"Tier B (Bạc: 50-60đ)","Tier C (Đồng: 30-49đ)")))))</f>
        <v/>
      </c>
      <c r="R174" s="9" t="inlineStr">
        <is>
          <t>Trọn gói Take-Home Starter Kit V2/V3 (Cỏ nhân tạo + Khay Potty + Đồ chơi Teething/Snuggle)</t>
        </is>
      </c>
      <c r="S174" s="9" t="inlineStr">
        <is>
          <t>HOT LEAD (Điểm ≥61): Liên hệ Telesale/Email chào gói Starter Kit &amp; Báo giá sỉ chiết khấu BOM</t>
        </is>
      </c>
    </row>
    <row r="175">
      <c r="A175" s="53" t="n">
        <v>1651</v>
      </c>
      <c r="B175" s="12" t="inlineStr">
        <is>
          <t>Heroicus British Bulldogs</t>
        </is>
      </c>
      <c r="C175" s="54" t="inlineStr">
        <is>
          <t>https://www.facebook.com/HeroicusBritishBulldogs</t>
        </is>
      </c>
      <c r="D175" s="6" t="inlineStr">
        <is>
          <t>Cần quét Bio Fanpage</t>
        </is>
      </c>
      <c r="E175" s="53" t="inlineStr">
        <is>
          <t>11/10/2026 16:34:56</t>
        </is>
      </c>
      <c r="F175" s="53" t="inlineStr">
        <is>
          <t>1 ngày trước</t>
        </is>
      </c>
      <c r="G175" s="55" t="n">
        <v>1</v>
      </c>
      <c r="H175" s="56" t="n">
        <v>28</v>
      </c>
      <c r="I175" s="6" t="inlineStr">
        <is>
          <t>Dog Breeder / Trại chó chuyên nghiệp (28-30đ)</t>
        </is>
      </c>
      <c r="J175" s="56" t="n">
        <v>28</v>
      </c>
      <c r="K175" s="6" t="inlineStr">
        <is>
          <t>English Bulldog</t>
        </is>
      </c>
      <c r="L175" s="56" t="n">
        <v>10</v>
      </c>
      <c r="M175" s="56" t="n">
        <v>0</v>
      </c>
      <c r="N175" s="6" t="inlineStr">
        <is>
          <t>Amazon link not found</t>
        </is>
      </c>
      <c r="O175" s="56">
        <f>IF(N175="Selling pet toys + Artificial grass/Pet toilets (TARGET)",15,IF(N175="Selling artificial grass/pet toilets (TARGET)",10,IF(N175="Selling pet toys",7,IF(N175="There's an Amazon link, but no target sales.",3,0))))</f>
        <v/>
      </c>
      <c r="P175" s="63">
        <f>H175+J175+L175+M175+O175</f>
        <v/>
      </c>
      <c r="Q175" s="64">
        <f>IF(OR(H175=0,P175&lt;30),"Tier D (Đóng băng)",IF(P175&gt;=85,"Tier S (Kim Cương: 85-100đ)",IF(P175&gt;=70,"Tier A (Vàng: 70-84đ)",IF(P175&gt;=61,"Tier B+ / Cấp A (Hot Lead: 61-69đ)",IF(P175&gt;=50,"Tier B (Bạc: 50-60đ)","Tier C (Đồng: 30-49đ)")))))</f>
        <v/>
      </c>
      <c r="R175" s="6" t="inlineStr">
        <is>
          <t>Trọn gói Take-Home Starter Kit V2/V3 (Cỏ nhân tạo + Khay Potty + Đồ chơi Teething/Snuggle)</t>
        </is>
      </c>
      <c r="S175" s="6" t="inlineStr">
        <is>
          <t>HOT LEAD (Điểm ≥61): Liên hệ Telesale/Email chào gói Starter Kit &amp; Báo giá sỉ chiết khấu BOM</t>
        </is>
      </c>
    </row>
    <row r="176">
      <c r="A176" s="59" t="n">
        <v>131</v>
      </c>
      <c r="B176" s="15" t="inlineStr">
        <is>
          <t>CHABA BULLIES</t>
        </is>
      </c>
      <c r="C176" s="60" t="inlineStr">
        <is>
          <t>https://www.facebook.com/chababullies</t>
        </is>
      </c>
      <c r="D176" s="9" t="inlineStr">
        <is>
          <t>Cần quét Bio Fanpage</t>
        </is>
      </c>
      <c r="E176" s="59" t="inlineStr">
        <is>
          <t>11/10/2026 15:00:03</t>
        </is>
      </c>
      <c r="F176" s="59" t="inlineStr">
        <is>
          <t>1 ngày trước</t>
        </is>
      </c>
      <c r="G176" s="61" t="n">
        <v>1</v>
      </c>
      <c r="H176" s="62" t="n">
        <v>28</v>
      </c>
      <c r="I176" s="9" t="inlineStr">
        <is>
          <t>Dog Breeder / Trại chó chuyên nghiệp (28-30đ)</t>
        </is>
      </c>
      <c r="J176" s="62" t="n">
        <v>28</v>
      </c>
      <c r="K176" s="9" t="inlineStr">
        <is>
          <t>American Bully / Bully</t>
        </is>
      </c>
      <c r="L176" s="62" t="n">
        <v>10</v>
      </c>
      <c r="M176" s="62" t="n">
        <v>0</v>
      </c>
      <c r="N176" s="9" t="inlineStr">
        <is>
          <t>Amazon link not found</t>
        </is>
      </c>
      <c r="O176" s="62">
        <f>IF(N176="Selling pet toys + Artificial grass/Pet toilets (TARGET)",15,IF(N176="Selling artificial grass/pet toilets (TARGET)",10,IF(N176="Selling pet toys",7,IF(N176="There's an Amazon link, but no target sales.",3,0))))</f>
        <v/>
      </c>
      <c r="P176" s="63">
        <f>H176+J176+L176+M176+O176</f>
        <v/>
      </c>
      <c r="Q176" s="64">
        <f>IF(OR(H176=0,P176&lt;30),"Tier D (Đóng băng)",IF(P176&gt;=85,"Tier S (Kim Cương: 85-100đ)",IF(P176&gt;=70,"Tier A (Vàng: 70-84đ)",IF(P176&gt;=61,"Tier B+ / Cấp A (Hot Lead: 61-69đ)",IF(P176&gt;=50,"Tier B (Bạc: 50-60đ)","Tier C (Đồng: 30-49đ)")))))</f>
        <v/>
      </c>
      <c r="R176" s="9" t="inlineStr">
        <is>
          <t>Trọn gói Take-Home Starter Kit V2/V3 (Cỏ nhân tạo + Khay Potty + Đồ chơi Teething/Snuggle)</t>
        </is>
      </c>
      <c r="S176" s="9" t="inlineStr">
        <is>
          <t>HOT LEAD (Điểm ≥61): Liên hệ Telesale/Email chào gói Starter Kit &amp; Báo giá sỉ chiết khấu BOM</t>
        </is>
      </c>
    </row>
    <row r="177">
      <c r="A177" s="53" t="n">
        <v>267</v>
      </c>
      <c r="B177" s="12" t="inlineStr">
        <is>
          <t>Southern Oregon Knockout Bullies</t>
        </is>
      </c>
      <c r="C177" s="54" t="inlineStr">
        <is>
          <t>https://www.facebook.com/profile.php?id=100083226076300</t>
        </is>
      </c>
      <c r="D177" s="6" t="inlineStr">
        <is>
          <t>Cần quét Bio Fanpage</t>
        </is>
      </c>
      <c r="E177" s="53" t="inlineStr">
        <is>
          <t>11/10/2026 14:54:08</t>
        </is>
      </c>
      <c r="F177" s="53" t="inlineStr">
        <is>
          <t>1 ngày trước</t>
        </is>
      </c>
      <c r="G177" s="55" t="n">
        <v>1</v>
      </c>
      <c r="H177" s="56" t="n">
        <v>28</v>
      </c>
      <c r="I177" s="6" t="inlineStr">
        <is>
          <t>Dog Breeder / Trại chó chuyên nghiệp (28-30đ)</t>
        </is>
      </c>
      <c r="J177" s="56" t="n">
        <v>28</v>
      </c>
      <c r="K177" s="6" t="inlineStr">
        <is>
          <t>American Bully / Bully</t>
        </is>
      </c>
      <c r="L177" s="56" t="n">
        <v>10</v>
      </c>
      <c r="M177" s="56" t="n">
        <v>0</v>
      </c>
      <c r="N177" s="6" t="inlineStr">
        <is>
          <t>Amazon link not found</t>
        </is>
      </c>
      <c r="O177" s="56">
        <f>IF(N177="Selling pet toys + Artificial grass/Pet toilets (TARGET)",15,IF(N177="Selling artificial grass/pet toilets (TARGET)",10,IF(N177="Selling pet toys",7,IF(N177="There's an Amazon link, but no target sales.",3,0))))</f>
        <v/>
      </c>
      <c r="P177" s="63">
        <f>H177+J177+L177+M177+O177</f>
        <v/>
      </c>
      <c r="Q177" s="64">
        <f>IF(OR(H177=0,P177&lt;30),"Tier D (Đóng băng)",IF(P177&gt;=85,"Tier S (Kim Cương: 85-100đ)",IF(P177&gt;=70,"Tier A (Vàng: 70-84đ)",IF(P177&gt;=61,"Tier B+ / Cấp A (Hot Lead: 61-69đ)",IF(P177&gt;=50,"Tier B (Bạc: 50-60đ)","Tier C (Đồng: 30-49đ)")))))</f>
        <v/>
      </c>
      <c r="R177" s="6" t="inlineStr">
        <is>
          <t>Trọn gói Take-Home Starter Kit V2/V3 (Cỏ nhân tạo + Khay Potty + Đồ chơi Teething/Snuggle)</t>
        </is>
      </c>
      <c r="S177" s="6" t="inlineStr">
        <is>
          <t>HOT LEAD (Điểm ≥61): Liên hệ Telesale/Email chào gói Starter Kit &amp; Báo giá sỉ chiết khấu BOM</t>
        </is>
      </c>
    </row>
    <row r="178">
      <c r="A178" s="59" t="n">
        <v>1307</v>
      </c>
      <c r="B178" s="15" t="inlineStr">
        <is>
          <t>Exotic Frenchies Castle</t>
        </is>
      </c>
      <c r="C178" s="60" t="inlineStr">
        <is>
          <t>https://www.facebook.com/profile.php?id=100065229351243</t>
        </is>
      </c>
      <c r="D178" s="9" t="inlineStr">
        <is>
          <t>Cần quét Bio Fanpage</t>
        </is>
      </c>
      <c r="E178" s="59" t="inlineStr">
        <is>
          <t>11/10/2026 14:52:25</t>
        </is>
      </c>
      <c r="F178" s="59" t="inlineStr">
        <is>
          <t>1 ngày trước</t>
        </is>
      </c>
      <c r="G178" s="61" t="n">
        <v>1</v>
      </c>
      <c r="H178" s="62" t="n">
        <v>28</v>
      </c>
      <c r="I178" s="9" t="inlineStr">
        <is>
          <t>Dog Breeder / Trại chó chuyên nghiệp (28-30đ)</t>
        </is>
      </c>
      <c r="J178" s="62" t="n">
        <v>28</v>
      </c>
      <c r="K178" s="9" t="inlineStr">
        <is>
          <t>French Bulldog</t>
        </is>
      </c>
      <c r="L178" s="62" t="n">
        <v>10</v>
      </c>
      <c r="M178" s="62" t="n">
        <v>0</v>
      </c>
      <c r="N178" s="9" t="inlineStr">
        <is>
          <t>Amazon link not found</t>
        </is>
      </c>
      <c r="O178" s="62">
        <f>IF(N178="Selling pet toys + Artificial grass/Pet toilets (TARGET)",15,IF(N178="Selling artificial grass/pet toilets (TARGET)",10,IF(N178="Selling pet toys",7,IF(N178="There's an Amazon link, but no target sales.",3,0))))</f>
        <v/>
      </c>
      <c r="P178" s="63">
        <f>H178+J178+L178+M178+O178</f>
        <v/>
      </c>
      <c r="Q178" s="64">
        <f>IF(OR(H178=0,P178&lt;30),"Tier D (Đóng băng)",IF(P178&gt;=85,"Tier S (Kim Cương: 85-100đ)",IF(P178&gt;=70,"Tier A (Vàng: 70-84đ)",IF(P178&gt;=61,"Tier B+ / Cấp A (Hot Lead: 61-69đ)",IF(P178&gt;=50,"Tier B (Bạc: 50-60đ)","Tier C (Đồng: 30-49đ)")))))</f>
        <v/>
      </c>
      <c r="R178" s="9" t="inlineStr">
        <is>
          <t>Trọn gói Take-Home Starter Kit V2/V3 (Cỏ nhân tạo + Khay Potty + Đồ chơi Teething/Snuggle)</t>
        </is>
      </c>
      <c r="S178" s="9" t="inlineStr">
        <is>
          <t>HOT LEAD (Điểm ≥61): Liên hệ Telesale/Email chào gói Starter Kit &amp; Báo giá sỉ chiết khấu BOM</t>
        </is>
      </c>
    </row>
    <row r="179">
      <c r="A179" s="53" t="n">
        <v>3216</v>
      </c>
      <c r="B179" s="12" t="inlineStr">
        <is>
          <t>TopShelf Bullies</t>
        </is>
      </c>
      <c r="C179" s="54" t="inlineStr">
        <is>
          <t>https://www.facebook.com/profile.php?id=61590486507258</t>
        </is>
      </c>
      <c r="D179" s="6" t="inlineStr">
        <is>
          <t>Cần quét Bio Fanpage</t>
        </is>
      </c>
      <c r="E179" s="53" t="inlineStr">
        <is>
          <t>11/10/2026 12:35:22</t>
        </is>
      </c>
      <c r="F179" s="53" t="inlineStr">
        <is>
          <t>1 ngày trước</t>
        </is>
      </c>
      <c r="G179" s="55" t="n">
        <v>1</v>
      </c>
      <c r="H179" s="56" t="n">
        <v>28</v>
      </c>
      <c r="I179" s="6" t="inlineStr">
        <is>
          <t>Dog Breeder / Trại chó chuyên nghiệp (28-30đ)</t>
        </is>
      </c>
      <c r="J179" s="56" t="n">
        <v>28</v>
      </c>
      <c r="K179" s="6" t="inlineStr">
        <is>
          <t>American Bully / Bully</t>
        </is>
      </c>
      <c r="L179" s="56" t="n">
        <v>10</v>
      </c>
      <c r="M179" s="56" t="n">
        <v>0</v>
      </c>
      <c r="N179" s="6" t="inlineStr">
        <is>
          <t>Amazon link not found</t>
        </is>
      </c>
      <c r="O179" s="56">
        <f>IF(N179="Selling pet toys + Artificial grass/Pet toilets (TARGET)",15,IF(N179="Selling artificial grass/pet toilets (TARGET)",10,IF(N179="Selling pet toys",7,IF(N179="There's an Amazon link, but no target sales.",3,0))))</f>
        <v/>
      </c>
      <c r="P179" s="63">
        <f>H179+J179+L179+M179+O179</f>
        <v/>
      </c>
      <c r="Q179" s="64">
        <f>IF(OR(H179=0,P179&lt;30),"Tier D (Đóng băng)",IF(P179&gt;=85,"Tier S (Kim Cương: 85-100đ)",IF(P179&gt;=70,"Tier A (Vàng: 70-84đ)",IF(P179&gt;=61,"Tier B+ / Cấp A (Hot Lead: 61-69đ)",IF(P179&gt;=50,"Tier B (Bạc: 50-60đ)","Tier C (Đồng: 30-49đ)")))))</f>
        <v/>
      </c>
      <c r="R179" s="6" t="inlineStr">
        <is>
          <t>Trọn gói Take-Home Starter Kit V2/V3 (Cỏ nhân tạo + Khay Potty + Đồ chơi Teething/Snuggle)</t>
        </is>
      </c>
      <c r="S179" s="6" t="inlineStr">
        <is>
          <t>HOT LEAD (Điểm ≥61): Liên hệ Telesale/Email chào gói Starter Kit &amp; Báo giá sỉ chiết khấu BOM</t>
        </is>
      </c>
    </row>
    <row r="180">
      <c r="A180" s="59" t="n">
        <v>2766</v>
      </c>
      <c r="B180" s="15" t="inlineStr">
        <is>
          <t>Rock House Frenchies</t>
        </is>
      </c>
      <c r="C180" s="60" t="inlineStr">
        <is>
          <t>https://www.facebook.com/profile.php?id=100066661808450</t>
        </is>
      </c>
      <c r="D180" s="9" t="inlineStr">
        <is>
          <t>Cần quét Bio Fanpage</t>
        </is>
      </c>
      <c r="E180" s="59" t="inlineStr">
        <is>
          <t>11/10/2026 10:32:12</t>
        </is>
      </c>
      <c r="F180" s="59" t="inlineStr">
        <is>
          <t>1 ngày trước</t>
        </is>
      </c>
      <c r="G180" s="61" t="n">
        <v>1</v>
      </c>
      <c r="H180" s="62" t="n">
        <v>28</v>
      </c>
      <c r="I180" s="9" t="inlineStr">
        <is>
          <t>Dog Breeder / Trại chó chuyên nghiệp (28-30đ)</t>
        </is>
      </c>
      <c r="J180" s="62" t="n">
        <v>28</v>
      </c>
      <c r="K180" s="9" t="inlineStr">
        <is>
          <t>French Bulldog</t>
        </is>
      </c>
      <c r="L180" s="62" t="n">
        <v>10</v>
      </c>
      <c r="M180" s="62" t="n">
        <v>0</v>
      </c>
      <c r="N180" s="9" t="inlineStr">
        <is>
          <t>Amazon link not found</t>
        </is>
      </c>
      <c r="O180" s="62">
        <f>IF(N180="Selling pet toys + Artificial grass/Pet toilets (TARGET)",15,IF(N180="Selling artificial grass/pet toilets (TARGET)",10,IF(N180="Selling pet toys",7,IF(N180="There's an Amazon link, but no target sales.",3,0))))</f>
        <v/>
      </c>
      <c r="P180" s="63">
        <f>H180+J180+L180+M180+O180</f>
        <v/>
      </c>
      <c r="Q180" s="64">
        <f>IF(OR(H180=0,P180&lt;30),"Tier D (Đóng băng)",IF(P180&gt;=85,"Tier S (Kim Cương: 85-100đ)",IF(P180&gt;=70,"Tier A (Vàng: 70-84đ)",IF(P180&gt;=61,"Tier B+ / Cấp A (Hot Lead: 61-69đ)",IF(P180&gt;=50,"Tier B (Bạc: 50-60đ)","Tier C (Đồng: 30-49đ)")))))</f>
        <v/>
      </c>
      <c r="R180" s="9" t="inlineStr">
        <is>
          <t>Trọn gói Take-Home Starter Kit V2/V3 (Cỏ nhân tạo + Khay Potty + Đồ chơi Teething/Snuggle)</t>
        </is>
      </c>
      <c r="S180" s="9" t="inlineStr">
        <is>
          <t>HOT LEAD (Điểm ≥61): Liên hệ Telesale/Email chào gói Starter Kit &amp; Báo giá sỉ chiết khấu BOM</t>
        </is>
      </c>
    </row>
    <row r="181">
      <c r="A181" s="53" t="n">
        <v>184</v>
      </c>
      <c r="B181" s="12" t="inlineStr">
        <is>
          <t>Hat Creek Bulldogges</t>
        </is>
      </c>
      <c r="C181" s="54" t="inlineStr">
        <is>
          <t>https://www.facebook.com/hatcreekbulldogges</t>
        </is>
      </c>
      <c r="D181" s="6" t="inlineStr">
        <is>
          <t>Cần quét Bio Fanpage</t>
        </is>
      </c>
      <c r="E181" s="53" t="inlineStr">
        <is>
          <t>11/10/2026 08:52:09</t>
        </is>
      </c>
      <c r="F181" s="53" t="inlineStr">
        <is>
          <t>1 ngày trước</t>
        </is>
      </c>
      <c r="G181" s="55" t="n">
        <v>1</v>
      </c>
      <c r="H181" s="56" t="n">
        <v>28</v>
      </c>
      <c r="I181" s="6" t="inlineStr">
        <is>
          <t>Dog Breeder / Trại chó chuyên nghiệp (28-30đ)</t>
        </is>
      </c>
      <c r="J181" s="56" t="n">
        <v>28</v>
      </c>
      <c r="K181" s="6" t="inlineStr">
        <is>
          <t>English Bulldog</t>
        </is>
      </c>
      <c r="L181" s="56" t="n">
        <v>10</v>
      </c>
      <c r="M181" s="56" t="n">
        <v>0</v>
      </c>
      <c r="N181" s="6" t="inlineStr">
        <is>
          <t>Amazon link not found</t>
        </is>
      </c>
      <c r="O181" s="56">
        <f>IF(N181="Selling pet toys + Artificial grass/Pet toilets (TARGET)",15,IF(N181="Selling artificial grass/pet toilets (TARGET)",10,IF(N181="Selling pet toys",7,IF(N181="There's an Amazon link, but no target sales.",3,0))))</f>
        <v/>
      </c>
      <c r="P181" s="63">
        <f>H181+J181+L181+M181+O181</f>
        <v/>
      </c>
      <c r="Q181" s="64">
        <f>IF(OR(H181=0,P181&lt;30),"Tier D (Đóng băng)",IF(P181&gt;=85,"Tier S (Kim Cương: 85-100đ)",IF(P181&gt;=70,"Tier A (Vàng: 70-84đ)",IF(P181&gt;=61,"Tier B+ / Cấp A (Hot Lead: 61-69đ)",IF(P181&gt;=50,"Tier B (Bạc: 50-60đ)","Tier C (Đồng: 30-49đ)")))))</f>
        <v/>
      </c>
      <c r="R181" s="6" t="inlineStr">
        <is>
          <t>Trọn gói Take-Home Starter Kit V2/V3 (Cỏ nhân tạo + Khay Potty + Đồ chơi Teething/Snuggle)</t>
        </is>
      </c>
      <c r="S181" s="6" t="inlineStr">
        <is>
          <t>HOT LEAD (Điểm ≥61): Liên hệ Telesale/Email chào gói Starter Kit &amp; Báo giá sỉ chiết khấu BOM</t>
        </is>
      </c>
    </row>
    <row r="182">
      <c r="A182" s="59" t="n">
        <v>177</v>
      </c>
      <c r="B182" s="15" t="inlineStr">
        <is>
          <t>Grand Teton Bullies</t>
        </is>
      </c>
      <c r="C182" s="60" t="inlineStr">
        <is>
          <t>https://www.facebook.com/profile.php?id=61594140756322</t>
        </is>
      </c>
      <c r="D182" s="9" t="inlineStr">
        <is>
          <t>Cần quét Bio Fanpage</t>
        </is>
      </c>
      <c r="E182" s="59" t="inlineStr">
        <is>
          <t>11/10/2026 04:16:42</t>
        </is>
      </c>
      <c r="F182" s="59" t="inlineStr">
        <is>
          <t>1 ngày trước</t>
        </is>
      </c>
      <c r="G182" s="61" t="n">
        <v>1</v>
      </c>
      <c r="H182" s="62" t="n">
        <v>28</v>
      </c>
      <c r="I182" s="9" t="inlineStr">
        <is>
          <t>Dog Breeder / Trại chó chuyên nghiệp (28-30đ)</t>
        </is>
      </c>
      <c r="J182" s="62" t="n">
        <v>28</v>
      </c>
      <c r="K182" s="9" t="inlineStr">
        <is>
          <t>American Bully / Bully</t>
        </is>
      </c>
      <c r="L182" s="62" t="n">
        <v>10</v>
      </c>
      <c r="M182" s="62" t="n">
        <v>0</v>
      </c>
      <c r="N182" s="9" t="inlineStr">
        <is>
          <t>Amazon link not found</t>
        </is>
      </c>
      <c r="O182" s="62">
        <f>IF(N182="Selling pet toys + Artificial grass/Pet toilets (TARGET)",15,IF(N182="Selling artificial grass/pet toilets (TARGET)",10,IF(N182="Selling pet toys",7,IF(N182="There's an Amazon link, but no target sales.",3,0))))</f>
        <v/>
      </c>
      <c r="P182" s="63">
        <f>H182+J182+L182+M182+O182</f>
        <v/>
      </c>
      <c r="Q182" s="64">
        <f>IF(OR(H182=0,P182&lt;30),"Tier D (Đóng băng)",IF(P182&gt;=85,"Tier S (Kim Cương: 85-100đ)",IF(P182&gt;=70,"Tier A (Vàng: 70-84đ)",IF(P182&gt;=61,"Tier B+ / Cấp A (Hot Lead: 61-69đ)",IF(P182&gt;=50,"Tier B (Bạc: 50-60đ)","Tier C (Đồng: 30-49đ)")))))</f>
        <v/>
      </c>
      <c r="R182" s="9" t="inlineStr">
        <is>
          <t>Trọn gói Take-Home Starter Kit V2/V3 (Cỏ nhân tạo + Khay Potty + Đồ chơi Teething/Snuggle)</t>
        </is>
      </c>
      <c r="S182" s="9" t="inlineStr">
        <is>
          <t>HOT LEAD (Điểm ≥61): Liên hệ Telesale/Email chào gói Starter Kit &amp; Báo giá sỉ chiết khấu BOM</t>
        </is>
      </c>
    </row>
    <row r="183">
      <c r="A183" s="53" t="n">
        <v>397</v>
      </c>
      <c r="B183" s="12" t="inlineStr">
        <is>
          <t>Alta-Tollhaus German Shepherd Dogs</t>
        </is>
      </c>
      <c r="C183" s="54" t="inlineStr">
        <is>
          <t>https://www.facebook.com/AltaTollhausGSD</t>
        </is>
      </c>
      <c r="D183" s="6" t="inlineStr">
        <is>
          <t>Cần quét Bio Fanpage</t>
        </is>
      </c>
      <c r="E183" s="53" t="inlineStr">
        <is>
          <t>11/10/2026 03:31:09</t>
        </is>
      </c>
      <c r="F183" s="53" t="inlineStr">
        <is>
          <t>1 ngày trước</t>
        </is>
      </c>
      <c r="G183" s="55" t="n">
        <v>1</v>
      </c>
      <c r="H183" s="56" t="n">
        <v>28</v>
      </c>
      <c r="I183" s="6" t="inlineStr">
        <is>
          <t>Dog Breeder / Trại nhân giống (28-30đ)</t>
        </is>
      </c>
      <c r="J183" s="56" t="n">
        <v>28</v>
      </c>
      <c r="K183" s="6" t="inlineStr">
        <is>
          <t>German Shepherd</t>
        </is>
      </c>
      <c r="L183" s="56" t="n">
        <v>10</v>
      </c>
      <c r="M183" s="56" t="n">
        <v>0</v>
      </c>
      <c r="N183" s="6" t="inlineStr">
        <is>
          <t>Amazon link not found</t>
        </is>
      </c>
      <c r="O183" s="56">
        <f>IF(N183="Selling pet toys + Artificial grass/Pet toilets (TARGET)",15,IF(N183="Selling artificial grass/pet toilets (TARGET)",10,IF(N183="Selling pet toys",7,IF(N183="There's an Amazon link, but no target sales.",3,0))))</f>
        <v/>
      </c>
      <c r="P183" s="63">
        <f>H183+J183+L183+M183+O183</f>
        <v/>
      </c>
      <c r="Q183" s="64">
        <f>IF(OR(H183=0,P183&lt;30),"Tier D (Đóng băng)",IF(P183&gt;=85,"Tier S (Kim Cương: 85-100đ)",IF(P183&gt;=70,"Tier A (Vàng: 70-84đ)",IF(P183&gt;=61,"Tier B+ / Cấp A (Hot Lead: 61-69đ)",IF(P183&gt;=50,"Tier B (Bạc: 50-60đ)","Tier C (Đồng: 30-49đ)")))))</f>
        <v/>
      </c>
      <c r="R183" s="6" t="inlineStr">
        <is>
          <t>Trọn gói Take-Home Starter Kit V2/V3 (Cỏ nhân tạo + Khay Potty + Đồ chơi cún con)</t>
        </is>
      </c>
      <c r="S183" s="6" t="inlineStr">
        <is>
          <t>HOT LEAD (Điểm ≥61): Liên hệ Telesale/Email chào gói Starter Kit &amp; Báo giá sỉ chiết khấu BOM</t>
        </is>
      </c>
    </row>
    <row r="184">
      <c r="A184" s="59" t="n">
        <v>76</v>
      </c>
      <c r="B184" s="15" t="inlineStr">
        <is>
          <t>Softbelly Bulldogs</t>
        </is>
      </c>
      <c r="C184" s="60" t="inlineStr">
        <is>
          <t>https://www.facebook.com/SoftBellybulldogs</t>
        </is>
      </c>
      <c r="D184" s="9" t="inlineStr">
        <is>
          <t>Cần quét Bio Fanpage</t>
        </is>
      </c>
      <c r="E184" s="59" t="inlineStr">
        <is>
          <t>11/10/2026 02:52:25</t>
        </is>
      </c>
      <c r="F184" s="59" t="inlineStr">
        <is>
          <t>1 ngày trước</t>
        </is>
      </c>
      <c r="G184" s="61" t="n">
        <v>1</v>
      </c>
      <c r="H184" s="62" t="n">
        <v>28</v>
      </c>
      <c r="I184" s="9" t="inlineStr">
        <is>
          <t>Dog Breeder / Trại chó chuyên nghiệp (28-30đ)</t>
        </is>
      </c>
      <c r="J184" s="62" t="n">
        <v>28</v>
      </c>
      <c r="K184" s="9" t="inlineStr">
        <is>
          <t>English Bulldog</t>
        </is>
      </c>
      <c r="L184" s="62" t="n">
        <v>10</v>
      </c>
      <c r="M184" s="62" t="n">
        <v>0</v>
      </c>
      <c r="N184" s="9" t="inlineStr">
        <is>
          <t>Amazon link not found</t>
        </is>
      </c>
      <c r="O184" s="62">
        <f>IF(N184="Selling pet toys + Artificial grass/Pet toilets (TARGET)",15,IF(N184="Selling artificial grass/pet toilets (TARGET)",10,IF(N184="Selling pet toys",7,IF(N184="There's an Amazon link, but no target sales.",3,0))))</f>
        <v/>
      </c>
      <c r="P184" s="63">
        <f>H184+J184+L184+M184+O184</f>
        <v/>
      </c>
      <c r="Q184" s="64">
        <f>IF(OR(H184=0,P184&lt;30),"Tier D (Đóng băng)",IF(P184&gt;=85,"Tier S (Kim Cương: 85-100đ)",IF(P184&gt;=70,"Tier A (Vàng: 70-84đ)",IF(P184&gt;=61,"Tier B+ / Cấp A (Hot Lead: 61-69đ)",IF(P184&gt;=50,"Tier B (Bạc: 50-60đ)","Tier C (Đồng: 30-49đ)")))))</f>
        <v/>
      </c>
      <c r="R184" s="9" t="inlineStr">
        <is>
          <t>Trọn gói Take-Home Starter Kit V2/V3 (Cỏ nhân tạo + Khay Potty + Đồ chơi Teething/Snuggle)</t>
        </is>
      </c>
      <c r="S184" s="9" t="inlineStr">
        <is>
          <t>HOT LEAD (Điểm ≥61): Liên hệ Telesale/Email chào gói Starter Kit &amp; Báo giá sỉ chiết khấu BOM</t>
        </is>
      </c>
    </row>
    <row r="185">
      <c r="A185" s="53" t="n">
        <v>1398</v>
      </c>
      <c r="B185" s="12" t="inlineStr">
        <is>
          <t>Flat Rock Frenchies</t>
        </is>
      </c>
      <c r="C185" s="54" t="inlineStr">
        <is>
          <t>https://www.facebook.com/profile.php?id=61550672294369</t>
        </is>
      </c>
      <c r="D185" s="6" t="inlineStr">
        <is>
          <t>Cần quét Bio Fanpage</t>
        </is>
      </c>
      <c r="E185" s="53" t="inlineStr">
        <is>
          <t>10/10/2026 22:23:59</t>
        </is>
      </c>
      <c r="F185" s="53" t="inlineStr">
        <is>
          <t>2 ngày trước</t>
        </is>
      </c>
      <c r="G185" s="55" t="n">
        <v>2</v>
      </c>
      <c r="H185" s="56" t="n">
        <v>28</v>
      </c>
      <c r="I185" s="6" t="inlineStr">
        <is>
          <t>Dog Breeder / Trại chó chuyên nghiệp (28-30đ)</t>
        </is>
      </c>
      <c r="J185" s="56" t="n">
        <v>28</v>
      </c>
      <c r="K185" s="6" t="inlineStr">
        <is>
          <t>French Bulldog</t>
        </is>
      </c>
      <c r="L185" s="56" t="n">
        <v>10</v>
      </c>
      <c r="M185" s="56" t="n">
        <v>0</v>
      </c>
      <c r="N185" s="6" t="inlineStr">
        <is>
          <t>Amazon link not found</t>
        </is>
      </c>
      <c r="O185" s="56">
        <f>IF(N185="Selling pet toys + Artificial grass/Pet toilets (TARGET)",15,IF(N185="Selling artificial grass/pet toilets (TARGET)",10,IF(N185="Selling pet toys",7,IF(N185="There's an Amazon link, but no target sales.",3,0))))</f>
        <v/>
      </c>
      <c r="P185" s="63">
        <f>H185+J185+L185+M185+O185</f>
        <v/>
      </c>
      <c r="Q185" s="64">
        <f>IF(OR(H185=0,P185&lt;30),"Tier D (Đóng băng)",IF(P185&gt;=85,"Tier S (Kim Cương: 85-100đ)",IF(P185&gt;=70,"Tier A (Vàng: 70-84đ)",IF(P185&gt;=61,"Tier B+ / Cấp A (Hot Lead: 61-69đ)",IF(P185&gt;=50,"Tier B (Bạc: 50-60đ)","Tier C (Đồng: 30-49đ)")))))</f>
        <v/>
      </c>
      <c r="R185" s="6" t="inlineStr">
        <is>
          <t>Trọn gói Take-Home Starter Kit V2/V3 (Cỏ nhân tạo + Khay Potty + Đồ chơi Teething/Snuggle)</t>
        </is>
      </c>
      <c r="S185" s="6" t="inlineStr">
        <is>
          <t>HOT LEAD (Điểm ≥61): Liên hệ Telesale/Email chào gói Starter Kit &amp; Báo giá sỉ chiết khấu BOM</t>
        </is>
      </c>
    </row>
    <row r="186">
      <c r="A186" s="59" t="n">
        <v>711</v>
      </c>
      <c r="B186" s="15" t="inlineStr">
        <is>
          <t>Bluegate Bulldogges</t>
        </is>
      </c>
      <c r="C186" s="60" t="inlineStr">
        <is>
          <t>https://www.facebook.com/profile.php?id=100064662194920</t>
        </is>
      </c>
      <c r="D186" s="9" t="inlineStr">
        <is>
          <t>Cần quét Bio Fanpage</t>
        </is>
      </c>
      <c r="E186" s="59" t="inlineStr">
        <is>
          <t>10/10/2026 09:00:45</t>
        </is>
      </c>
      <c r="F186" s="59" t="inlineStr">
        <is>
          <t>2 ngày trước</t>
        </is>
      </c>
      <c r="G186" s="61" t="n">
        <v>2</v>
      </c>
      <c r="H186" s="62" t="n">
        <v>28</v>
      </c>
      <c r="I186" s="9" t="inlineStr">
        <is>
          <t>Dog Breeder / Trại chó chuyên nghiệp (28-30đ)</t>
        </is>
      </c>
      <c r="J186" s="62" t="n">
        <v>28</v>
      </c>
      <c r="K186" s="9" t="inlineStr">
        <is>
          <t>English Bulldog</t>
        </is>
      </c>
      <c r="L186" s="62" t="n">
        <v>10</v>
      </c>
      <c r="M186" s="62" t="n">
        <v>0</v>
      </c>
      <c r="N186" s="9" t="inlineStr">
        <is>
          <t>Amazon link not found</t>
        </is>
      </c>
      <c r="O186" s="62">
        <f>IF(N186="Selling pet toys + Artificial grass/Pet toilets (TARGET)",15,IF(N186="Selling artificial grass/pet toilets (TARGET)",10,IF(N186="Selling pet toys",7,IF(N186="There's an Amazon link, but no target sales.",3,0))))</f>
        <v/>
      </c>
      <c r="P186" s="63">
        <f>H186+J186+L186+M186+O186</f>
        <v/>
      </c>
      <c r="Q186" s="64">
        <f>IF(OR(H186=0,P186&lt;30),"Tier D (Đóng băng)",IF(P186&gt;=85,"Tier S (Kim Cương: 85-100đ)",IF(P186&gt;=70,"Tier A (Vàng: 70-84đ)",IF(P186&gt;=61,"Tier B+ / Cấp A (Hot Lead: 61-69đ)",IF(P186&gt;=50,"Tier B (Bạc: 50-60đ)","Tier C (Đồng: 30-49đ)")))))</f>
        <v/>
      </c>
      <c r="R186" s="9" t="inlineStr">
        <is>
          <t>Trọn gói Take-Home Starter Kit V2/V3 (Cỏ nhân tạo + Khay Potty + Đồ chơi Teething/Snuggle)</t>
        </is>
      </c>
      <c r="S186" s="9" t="inlineStr">
        <is>
          <t>HOT LEAD (Điểm ≥61): Liên hệ Telesale/Email chào gói Starter Kit &amp; Báo giá sỉ chiết khấu BOM</t>
        </is>
      </c>
    </row>
    <row r="187">
      <c r="A187" s="53" t="n">
        <v>3121</v>
      </c>
      <c r="B187" s="12" t="inlineStr">
        <is>
          <t>The Gentle Bullies</t>
        </is>
      </c>
      <c r="C187" s="54" t="inlineStr">
        <is>
          <t>https://www.facebook.com/profile.php?id=61556624661362</t>
        </is>
      </c>
      <c r="D187" s="6" t="inlineStr">
        <is>
          <t>Cần quét Bio Fanpage</t>
        </is>
      </c>
      <c r="E187" s="53" t="inlineStr">
        <is>
          <t>10/10/2026 02:37:42</t>
        </is>
      </c>
      <c r="F187" s="53" t="inlineStr">
        <is>
          <t>3 ngày trước</t>
        </is>
      </c>
      <c r="G187" s="55" t="n">
        <v>3</v>
      </c>
      <c r="H187" s="56" t="n">
        <v>28</v>
      </c>
      <c r="I187" s="6" t="inlineStr">
        <is>
          <t>Dog Breeder / Trại chó chuyên nghiệp (28-30đ)</t>
        </is>
      </c>
      <c r="J187" s="56" t="n">
        <v>28</v>
      </c>
      <c r="K187" s="6" t="inlineStr">
        <is>
          <t>American Bully / Bully</t>
        </is>
      </c>
      <c r="L187" s="56" t="n">
        <v>10</v>
      </c>
      <c r="M187" s="56" t="n">
        <v>0</v>
      </c>
      <c r="N187" s="6" t="inlineStr">
        <is>
          <t>Amazon link not found</t>
        </is>
      </c>
      <c r="O187" s="56">
        <f>IF(N187="Selling pet toys + Artificial grass/Pet toilets (TARGET)",15,IF(N187="Selling artificial grass/pet toilets (TARGET)",10,IF(N187="Selling pet toys",7,IF(N187="There's an Amazon link, but no target sales.",3,0))))</f>
        <v/>
      </c>
      <c r="P187" s="63">
        <f>H187+J187+L187+M187+O187</f>
        <v/>
      </c>
      <c r="Q187" s="64">
        <f>IF(OR(H187=0,P187&lt;30),"Tier D (Đóng băng)",IF(P187&gt;=85,"Tier S (Kim Cương: 85-100đ)",IF(P187&gt;=70,"Tier A (Vàng: 70-84đ)",IF(P187&gt;=61,"Tier B+ / Cấp A (Hot Lead: 61-69đ)",IF(P187&gt;=50,"Tier B (Bạc: 50-60đ)","Tier C (Đồng: 30-49đ)")))))</f>
        <v/>
      </c>
      <c r="R187" s="6" t="inlineStr">
        <is>
          <t>Trọn gói Take-Home Starter Kit V2/V3 (Cỏ nhân tạo + Khay Potty + Đồ chơi Teething/Snuggle)</t>
        </is>
      </c>
      <c r="S187" s="6" t="inlineStr">
        <is>
          <t>HOT LEAD (Điểm ≥61): Liên hệ Telesale/Email chào gói Starter Kit &amp; Báo giá sỉ chiết khấu BOM</t>
        </is>
      </c>
    </row>
    <row r="188">
      <c r="A188" s="59" t="n">
        <v>715</v>
      </c>
      <c r="B188" s="15" t="inlineStr">
        <is>
          <t>Bodybuilder Bulldogs</t>
        </is>
      </c>
      <c r="C188" s="60" t="inlineStr">
        <is>
          <t>https://www.facebook.com/Bodybuilderbulldogs</t>
        </is>
      </c>
      <c r="D188" s="9" t="inlineStr">
        <is>
          <t>Cần quét Bio Fanpage</t>
        </is>
      </c>
      <c r="E188" s="59" t="inlineStr">
        <is>
          <t>10/10/2026 01:20:26</t>
        </is>
      </c>
      <c r="F188" s="59" t="inlineStr">
        <is>
          <t>3 ngày trước</t>
        </is>
      </c>
      <c r="G188" s="61" t="n">
        <v>3</v>
      </c>
      <c r="H188" s="62" t="n">
        <v>28</v>
      </c>
      <c r="I188" s="9" t="inlineStr">
        <is>
          <t>Dog Breeder / Trại chó chuyên nghiệp (28-30đ)</t>
        </is>
      </c>
      <c r="J188" s="62" t="n">
        <v>28</v>
      </c>
      <c r="K188" s="9" t="inlineStr">
        <is>
          <t>English Bulldog</t>
        </is>
      </c>
      <c r="L188" s="62" t="n">
        <v>10</v>
      </c>
      <c r="M188" s="62" t="n">
        <v>0</v>
      </c>
      <c r="N188" s="9" t="inlineStr">
        <is>
          <t>Amazon link not found</t>
        </is>
      </c>
      <c r="O188" s="62">
        <f>IF(N188="Selling pet toys + Artificial grass/Pet toilets (TARGET)",15,IF(N188="Selling artificial grass/pet toilets (TARGET)",10,IF(N188="Selling pet toys",7,IF(N188="There's an Amazon link, but no target sales.",3,0))))</f>
        <v/>
      </c>
      <c r="P188" s="63">
        <f>H188+J188+L188+M188+O188</f>
        <v/>
      </c>
      <c r="Q188" s="64">
        <f>IF(OR(H188=0,P188&lt;30),"Tier D (Đóng băng)",IF(P188&gt;=85,"Tier S (Kim Cương: 85-100đ)",IF(P188&gt;=70,"Tier A (Vàng: 70-84đ)",IF(P188&gt;=61,"Tier B+ / Cấp A (Hot Lead: 61-69đ)",IF(P188&gt;=50,"Tier B (Bạc: 50-60đ)","Tier C (Đồng: 30-49đ)")))))</f>
        <v/>
      </c>
      <c r="R188" s="9" t="inlineStr">
        <is>
          <t>Trọn gói Take-Home Starter Kit V2/V3 (Cỏ nhân tạo + Khay Potty + Đồ chơi Teething/Snuggle)</t>
        </is>
      </c>
      <c r="S188" s="9" t="inlineStr">
        <is>
          <t>HOT LEAD (Điểm ≥61): Liên hệ Telesale/Email chào gói Starter Kit &amp; Báo giá sỉ chiết khấu BOM</t>
        </is>
      </c>
    </row>
    <row r="189">
      <c r="A189" s="53" t="n">
        <v>835</v>
      </c>
      <c r="B189" s="12" t="inlineStr">
        <is>
          <t>Carbonite French Bulldogs</t>
        </is>
      </c>
      <c r="C189" s="54" t="inlineStr">
        <is>
          <t>https://www.facebook.com/carbonitefrenchbulldogs</t>
        </is>
      </c>
      <c r="D189" s="6" t="inlineStr">
        <is>
          <t>Cần quét Bio Fanpage</t>
        </is>
      </c>
      <c r="E189" s="53" t="inlineStr">
        <is>
          <t>09/10/2026 23:34:28</t>
        </is>
      </c>
      <c r="F189" s="53" t="inlineStr">
        <is>
          <t>3 ngày trước</t>
        </is>
      </c>
      <c r="G189" s="55" t="n">
        <v>3</v>
      </c>
      <c r="H189" s="56" t="n">
        <v>28</v>
      </c>
      <c r="I189" s="6" t="inlineStr">
        <is>
          <t>Dog Breeder / Trại chó chuyên nghiệp (28-30đ)</t>
        </is>
      </c>
      <c r="J189" s="56" t="n">
        <v>28</v>
      </c>
      <c r="K189" s="6" t="inlineStr">
        <is>
          <t>French Bulldog</t>
        </is>
      </c>
      <c r="L189" s="56" t="n">
        <v>10</v>
      </c>
      <c r="M189" s="56" t="n">
        <v>0</v>
      </c>
      <c r="N189" s="6" t="inlineStr">
        <is>
          <t>Amazon link not found</t>
        </is>
      </c>
      <c r="O189" s="56">
        <f>IF(N189="Selling pet toys + Artificial grass/Pet toilets (TARGET)",15,IF(N189="Selling artificial grass/pet toilets (TARGET)",10,IF(N189="Selling pet toys",7,IF(N189="There's an Amazon link, but no target sales.",3,0))))</f>
        <v/>
      </c>
      <c r="P189" s="63">
        <f>H189+J189+L189+M189+O189</f>
        <v/>
      </c>
      <c r="Q189" s="64">
        <f>IF(OR(H189=0,P189&lt;30),"Tier D (Đóng băng)",IF(P189&gt;=85,"Tier S (Kim Cương: 85-100đ)",IF(P189&gt;=70,"Tier A (Vàng: 70-84đ)",IF(P189&gt;=61,"Tier B+ / Cấp A (Hot Lead: 61-69đ)",IF(P189&gt;=50,"Tier B (Bạc: 50-60đ)","Tier C (Đồng: 30-49đ)")))))</f>
        <v/>
      </c>
      <c r="R189" s="6" t="inlineStr">
        <is>
          <t>Trọn gói Take-Home Starter Kit V2/V3 (Cỏ nhân tạo + Khay Potty + Đồ chơi Teething/Snuggle)</t>
        </is>
      </c>
      <c r="S189" s="6" t="inlineStr">
        <is>
          <t>HOT LEAD (Điểm ≥61): Liên hệ Telesale/Email chào gói Starter Kit &amp; Báo giá sỉ chiết khấu BOM</t>
        </is>
      </c>
    </row>
    <row r="190">
      <c r="A190" s="59" t="n">
        <v>1320</v>
      </c>
      <c r="B190" s="15" t="inlineStr">
        <is>
          <t>Fallen Timbers Bulldogs</t>
        </is>
      </c>
      <c r="C190" s="60" t="inlineStr">
        <is>
          <t>https://www.facebook.com/FallenTimbersBulldogs</t>
        </is>
      </c>
      <c r="D190" s="9" t="inlineStr">
        <is>
          <t>Cần quét Bio Fanpage</t>
        </is>
      </c>
      <c r="E190" s="59" t="inlineStr">
        <is>
          <t>09/10/2026 22:32:43</t>
        </is>
      </c>
      <c r="F190" s="59" t="inlineStr">
        <is>
          <t>3 ngày trước</t>
        </is>
      </c>
      <c r="G190" s="61" t="n">
        <v>3</v>
      </c>
      <c r="H190" s="62" t="n">
        <v>28</v>
      </c>
      <c r="I190" s="9" t="inlineStr">
        <is>
          <t>Dog Breeder / Trại chó chuyên nghiệp (28-30đ)</t>
        </is>
      </c>
      <c r="J190" s="62" t="n">
        <v>28</v>
      </c>
      <c r="K190" s="9" t="inlineStr">
        <is>
          <t>English Bulldog</t>
        </is>
      </c>
      <c r="L190" s="62" t="n">
        <v>10</v>
      </c>
      <c r="M190" s="62" t="n">
        <v>0</v>
      </c>
      <c r="N190" s="9" t="inlineStr">
        <is>
          <t>Amazon link not found</t>
        </is>
      </c>
      <c r="O190" s="62">
        <f>IF(N190="Selling pet toys + Artificial grass/Pet toilets (TARGET)",15,IF(N190="Selling artificial grass/pet toilets (TARGET)",10,IF(N190="Selling pet toys",7,IF(N190="There's an Amazon link, but no target sales.",3,0))))</f>
        <v/>
      </c>
      <c r="P190" s="63">
        <f>H190+J190+L190+M190+O190</f>
        <v/>
      </c>
      <c r="Q190" s="64">
        <f>IF(OR(H190=0,P190&lt;30),"Tier D (Đóng băng)",IF(P190&gt;=85,"Tier S (Kim Cương: 85-100đ)",IF(P190&gt;=70,"Tier A (Vàng: 70-84đ)",IF(P190&gt;=61,"Tier B+ / Cấp A (Hot Lead: 61-69đ)",IF(P190&gt;=50,"Tier B (Bạc: 50-60đ)","Tier C (Đồng: 30-49đ)")))))</f>
        <v/>
      </c>
      <c r="R190" s="9" t="inlineStr">
        <is>
          <t>Trọn gói Take-Home Starter Kit V2/V3 (Cỏ nhân tạo + Khay Potty + Đồ chơi Teething/Snuggle)</t>
        </is>
      </c>
      <c r="S190" s="9" t="inlineStr">
        <is>
          <t>HOT LEAD (Điểm ≥61): Liên hệ Telesale/Email chào gói Starter Kit &amp; Báo giá sỉ chiết khấu BOM</t>
        </is>
      </c>
    </row>
    <row r="191">
      <c r="A191" s="53" t="n">
        <v>2628</v>
      </c>
      <c r="B191" s="12" t="inlineStr">
        <is>
          <t>Pride Bullies</t>
        </is>
      </c>
      <c r="C191" s="54" t="inlineStr">
        <is>
          <t>https://www.facebook.com/profile.php?id=61571900258811</t>
        </is>
      </c>
      <c r="D191" s="6" t="inlineStr">
        <is>
          <t>Cần quét Bio Fanpage</t>
        </is>
      </c>
      <c r="E191" s="53" t="inlineStr">
        <is>
          <t>09/10/2026 22:26:12</t>
        </is>
      </c>
      <c r="F191" s="53" t="inlineStr">
        <is>
          <t>3 ngày trước</t>
        </is>
      </c>
      <c r="G191" s="55" t="n">
        <v>3</v>
      </c>
      <c r="H191" s="56" t="n">
        <v>28</v>
      </c>
      <c r="I191" s="6" t="inlineStr">
        <is>
          <t>Dog Breeder / Trại chó chuyên nghiệp (28-30đ)</t>
        </is>
      </c>
      <c r="J191" s="56" t="n">
        <v>28</v>
      </c>
      <c r="K191" s="6" t="inlineStr">
        <is>
          <t>American Bully / Bully</t>
        </is>
      </c>
      <c r="L191" s="56" t="n">
        <v>10</v>
      </c>
      <c r="M191" s="56" t="n">
        <v>0</v>
      </c>
      <c r="N191" s="6" t="inlineStr">
        <is>
          <t>Amazon link not found</t>
        </is>
      </c>
      <c r="O191" s="56">
        <f>IF(N191="Selling pet toys + Artificial grass/Pet toilets (TARGET)",15,IF(N191="Selling artificial grass/pet toilets (TARGET)",10,IF(N191="Selling pet toys",7,IF(N191="There's an Amazon link, but no target sales.",3,0))))</f>
        <v/>
      </c>
      <c r="P191" s="63">
        <f>H191+J191+L191+M191+O191</f>
        <v/>
      </c>
      <c r="Q191" s="64">
        <f>IF(OR(H191=0,P191&lt;30),"Tier D (Đóng băng)",IF(P191&gt;=85,"Tier S (Kim Cương: 85-100đ)",IF(P191&gt;=70,"Tier A (Vàng: 70-84đ)",IF(P191&gt;=61,"Tier B+ / Cấp A (Hot Lead: 61-69đ)",IF(P191&gt;=50,"Tier B (Bạc: 50-60đ)","Tier C (Đồng: 30-49đ)")))))</f>
        <v/>
      </c>
      <c r="R191" s="6" t="inlineStr">
        <is>
          <t>Trọn gói Take-Home Starter Kit V2/V3 (Cỏ nhân tạo + Khay Potty + Đồ chơi Teething/Snuggle)</t>
        </is>
      </c>
      <c r="S191" s="6" t="inlineStr">
        <is>
          <t>HOT LEAD (Điểm ≥61): Liên hệ Telesale/Email chào gói Starter Kit &amp; Báo giá sỉ chiết khấu BOM</t>
        </is>
      </c>
    </row>
    <row r="192">
      <c r="A192" s="59" t="n">
        <v>856</v>
      </c>
      <c r="B192" s="15" t="inlineStr">
        <is>
          <t>Castle Frenchies of Central Florida</t>
        </is>
      </c>
      <c r="C192" s="60" t="inlineStr">
        <is>
          <t>https://www.facebook.com/profile.php?id=61559962702347</t>
        </is>
      </c>
      <c r="D192" s="9" t="inlineStr">
        <is>
          <t>Cần quét Bio Fanpage</t>
        </is>
      </c>
      <c r="E192" s="59" t="inlineStr">
        <is>
          <t>09/10/2026 08:34:14</t>
        </is>
      </c>
      <c r="F192" s="59" t="inlineStr">
        <is>
          <t>3 ngày trước</t>
        </is>
      </c>
      <c r="G192" s="61" t="n">
        <v>3</v>
      </c>
      <c r="H192" s="62" t="n">
        <v>28</v>
      </c>
      <c r="I192" s="9" t="inlineStr">
        <is>
          <t>Dog Breeder / Trại chó chuyên nghiệp (28-30đ)</t>
        </is>
      </c>
      <c r="J192" s="62" t="n">
        <v>28</v>
      </c>
      <c r="K192" s="9" t="inlineStr">
        <is>
          <t>French Bulldog</t>
        </is>
      </c>
      <c r="L192" s="62" t="n">
        <v>10</v>
      </c>
      <c r="M192" s="62" t="n">
        <v>0</v>
      </c>
      <c r="N192" s="9" t="inlineStr">
        <is>
          <t>Amazon link not found</t>
        </is>
      </c>
      <c r="O192" s="62">
        <f>IF(N192="Selling pet toys + Artificial grass/Pet toilets (TARGET)",15,IF(N192="Selling artificial grass/pet toilets (TARGET)",10,IF(N192="Selling pet toys",7,IF(N192="There's an Amazon link, but no target sales.",3,0))))</f>
        <v/>
      </c>
      <c r="P192" s="63">
        <f>H192+J192+L192+M192+O192</f>
        <v/>
      </c>
      <c r="Q192" s="64">
        <f>IF(OR(H192=0,P192&lt;30),"Tier D (Đóng băng)",IF(P192&gt;=85,"Tier S (Kim Cương: 85-100đ)",IF(P192&gt;=70,"Tier A (Vàng: 70-84đ)",IF(P192&gt;=61,"Tier B+ / Cấp A (Hot Lead: 61-69đ)",IF(P192&gt;=50,"Tier B (Bạc: 50-60đ)","Tier C (Đồng: 30-49đ)")))))</f>
        <v/>
      </c>
      <c r="R192" s="9" t="inlineStr">
        <is>
          <t>Trọn gói Take-Home Starter Kit V2/V3 (Cỏ nhân tạo + Khay Potty + Đồ chơi Teething/Snuggle)</t>
        </is>
      </c>
      <c r="S192" s="9" t="inlineStr">
        <is>
          <t>HOT LEAD (Điểm ≥61): Liên hệ Telesale/Email chào gói Starter Kit &amp; Báo giá sỉ chiết khấu BOM</t>
        </is>
      </c>
    </row>
    <row r="193">
      <c r="A193" s="53" t="n">
        <v>5771</v>
      </c>
      <c r="B193" s="12" t="inlineStr">
        <is>
          <t>Vested Interest in K9s, Inc.</t>
        </is>
      </c>
      <c r="C193" s="54" t="inlineStr">
        <is>
          <t>https://www.facebook.com/vik9s</t>
        </is>
      </c>
      <c r="D193" s="6" t="inlineStr">
        <is>
          <t>Cần quét Bio Fanpage</t>
        </is>
      </c>
      <c r="E193" s="53" t="inlineStr">
        <is>
          <t>13/10/2026 07:16:05</t>
        </is>
      </c>
      <c r="F193" s="53" t="inlineStr">
        <is>
          <t>4 giờ trước</t>
        </is>
      </c>
      <c r="G193" s="55" t="n">
        <v>0.17</v>
      </c>
      <c r="H193" s="56" t="n">
        <v>32</v>
      </c>
      <c r="I193" s="6" t="inlineStr">
        <is>
          <t>Dog Breeder / Trại nhân giống (28-30đ)</t>
        </is>
      </c>
      <c r="J193" s="56" t="n">
        <v>28</v>
      </c>
      <c r="K193" s="6" t="inlineStr">
        <is>
          <t>Chưa rõ giống (Cần quét Bio)</t>
        </is>
      </c>
      <c r="L193" s="56" t="n">
        <v>0</v>
      </c>
      <c r="M193" s="56" t="n">
        <v>5</v>
      </c>
      <c r="N193" s="6" t="inlineStr">
        <is>
          <t>Amazon link not found</t>
        </is>
      </c>
      <c r="O193" s="56">
        <f>IF(N193="Selling pet toys + Artificial grass/Pet toilets (TARGET)",15,IF(N193="Selling artificial grass/pet toilets (TARGET)",10,IF(N193="Selling pet toys",7,IF(N193="There's an Amazon link, but no target sales.",3,0))))</f>
        <v/>
      </c>
      <c r="P193" s="63">
        <f>H193+J193+L193+M193+O193</f>
        <v/>
      </c>
      <c r="Q193" s="64">
        <f>IF(OR(H193=0,P193&lt;30),"Tier D (Đóng băng)",IF(P193&gt;=85,"Tier S (Kim Cương: 85-100đ)",IF(P193&gt;=70,"Tier A (Vàng: 70-84đ)",IF(P193&gt;=61,"Tier B+ / Cấp A (Hot Lead: 61-69đ)",IF(P193&gt;=50,"Tier B (Bạc: 50-60đ)","Tier C (Đồng: 30-49đ)")))))</f>
        <v/>
      </c>
      <c r="R193" s="6" t="inlineStr">
        <is>
          <t>Trọn gói Take-Home Starter Kit V2/V3 (Cỏ nhân tạo + Khay Potty + Đồ chơi cún con)</t>
        </is>
      </c>
      <c r="S193" s="6" t="inlineStr">
        <is>
          <t>HOT LEAD (Điểm ≥61): Liên hệ Telesale/Email chào gói Starter Kit &amp; Báo giá sỉ chiết khấu BOM</t>
        </is>
      </c>
    </row>
    <row r="194">
      <c r="A194" s="59" t="n">
        <v>5746</v>
      </c>
      <c r="B194" s="15" t="inlineStr">
        <is>
          <t>UruguayCaneCorso</t>
        </is>
      </c>
      <c r="C194" s="60" t="inlineStr">
        <is>
          <t>https://www.facebook.com/UruguayCaneCorso</t>
        </is>
      </c>
      <c r="D194" s="9" t="inlineStr">
        <is>
          <t>Cần quét Bio Fanpage</t>
        </is>
      </c>
      <c r="E194" s="59" t="inlineStr">
        <is>
          <t>13/10/2026 07:15:44</t>
        </is>
      </c>
      <c r="F194" s="59" t="inlineStr">
        <is>
          <t>4 giờ trước</t>
        </is>
      </c>
      <c r="G194" s="61" t="n">
        <v>0.17</v>
      </c>
      <c r="H194" s="62" t="n">
        <v>32</v>
      </c>
      <c r="I194" s="9" t="inlineStr">
        <is>
          <t>Dog Breeder / Trại nhân giống (28-30đ)</t>
        </is>
      </c>
      <c r="J194" s="62" t="n">
        <v>28</v>
      </c>
      <c r="K194" s="9" t="inlineStr">
        <is>
          <t>Cane Corso / Mastiff</t>
        </is>
      </c>
      <c r="L194" s="62" t="n">
        <v>5</v>
      </c>
      <c r="M194" s="62" t="n">
        <v>0</v>
      </c>
      <c r="N194" s="9" t="inlineStr">
        <is>
          <t>Amazon link not found</t>
        </is>
      </c>
      <c r="O194" s="62">
        <f>IF(N194="Selling pet toys + Artificial grass/Pet toilets (TARGET)",15,IF(N194="Selling artificial grass/pet toilets (TARGET)",10,IF(N194="Selling pet toys",7,IF(N194="There's an Amazon link, but no target sales.",3,0))))</f>
        <v/>
      </c>
      <c r="P194" s="63">
        <f>H194+J194+L194+M194+O194</f>
        <v/>
      </c>
      <c r="Q194" s="64">
        <f>IF(OR(H194=0,P194&lt;30),"Tier D (Đóng băng)",IF(P194&gt;=85,"Tier S (Kim Cương: 85-100đ)",IF(P194&gt;=70,"Tier A (Vàng: 70-84đ)",IF(P194&gt;=61,"Tier B+ / Cấp A (Hot Lead: 61-69đ)",IF(P194&gt;=50,"Tier B (Bạc: 50-60đ)","Tier C (Đồng: 30-49đ)")))))</f>
        <v/>
      </c>
      <c r="R194" s="9" t="inlineStr">
        <is>
          <t>Trọn gói Take-Home Starter Kit V2/V3 (Cỏ nhân tạo + Khay Potty + Đồ chơi cún con)</t>
        </is>
      </c>
      <c r="S194" s="9" t="inlineStr">
        <is>
          <t>HOT LEAD (Điểm ≥61): Liên hệ Telesale/Email chào gói Starter Kit &amp; Báo giá sỉ chiết khấu BOM</t>
        </is>
      </c>
    </row>
    <row r="195">
      <c r="A195" s="53" t="n">
        <v>2961</v>
      </c>
      <c r="B195" s="12" t="inlineStr">
        <is>
          <t>Specialized Pet Solutions LLC</t>
        </is>
      </c>
      <c r="C195" s="54" t="inlineStr">
        <is>
          <t>https://www.facebook.com/specializedpetsolutions</t>
        </is>
      </c>
      <c r="D195" s="6" t="inlineStr">
        <is>
          <t>Cần quét Bio Fanpage</t>
        </is>
      </c>
      <c r="E195" s="53" t="inlineStr">
        <is>
          <t>12/10/2026 22:30:51</t>
        </is>
      </c>
      <c r="F195" s="53" t="inlineStr">
        <is>
          <t>7 giờ trước</t>
        </is>
      </c>
      <c r="G195" s="55" t="n">
        <v>0.29</v>
      </c>
      <c r="H195" s="56" t="n">
        <v>32</v>
      </c>
      <c r="I195" s="6" t="inlineStr">
        <is>
          <t>Dog Breeder / Trại nhân giống (28-30đ)</t>
        </is>
      </c>
      <c r="J195" s="56" t="n">
        <v>28</v>
      </c>
      <c r="K195" s="6" t="inlineStr">
        <is>
          <t>Chưa rõ giống (Cần quét Bio)</t>
        </is>
      </c>
      <c r="L195" s="56" t="n">
        <v>0</v>
      </c>
      <c r="M195" s="56" t="n">
        <v>5</v>
      </c>
      <c r="N195" s="6" t="inlineStr">
        <is>
          <t>Amazon link not found</t>
        </is>
      </c>
      <c r="O195" s="56">
        <f>IF(N195="Selling pet toys + Artificial grass/Pet toilets (TARGET)",15,IF(N195="Selling artificial grass/pet toilets (TARGET)",10,IF(N195="Selling pet toys",7,IF(N195="There's an Amazon link, but no target sales.",3,0))))</f>
        <v/>
      </c>
      <c r="P195" s="63">
        <f>H195+J195+L195+M195+O195</f>
        <v/>
      </c>
      <c r="Q195" s="64">
        <f>IF(OR(H195=0,P195&lt;30),"Tier D (Đóng băng)",IF(P195&gt;=85,"Tier S (Kim Cương: 85-100đ)",IF(P195&gt;=70,"Tier A (Vàng: 70-84đ)",IF(P195&gt;=61,"Tier B+ / Cấp A (Hot Lead: 61-69đ)",IF(P195&gt;=50,"Tier B (Bạc: 50-60đ)","Tier C (Đồng: 30-49đ)")))))</f>
        <v/>
      </c>
      <c r="R195" s="6" t="inlineStr">
        <is>
          <t>Trọn gói Take-Home Starter Kit V2/V3 (Cỏ nhân tạo + Khay Potty + Đồ chơi cún con)</t>
        </is>
      </c>
      <c r="S195" s="6" t="inlineStr">
        <is>
          <t>HOT LEAD (Điểm ≥61): Liên hệ Telesale/Email chào gói Starter Kit &amp; Báo giá sỉ chiết khấu BOM</t>
        </is>
      </c>
    </row>
    <row r="196">
      <c r="A196" s="59" t="n">
        <v>301</v>
      </c>
      <c r="B196" s="15" t="inlineStr">
        <is>
          <t>178Farm</t>
        </is>
      </c>
      <c r="C196" s="60" t="inlineStr">
        <is>
          <t>https://www.facebook.com/178farmhusky</t>
        </is>
      </c>
      <c r="D196" s="9" t="inlineStr">
        <is>
          <t>Cần quét Bio Fanpage</t>
        </is>
      </c>
      <c r="E196" s="59" t="inlineStr">
        <is>
          <t>12/10/2026 21:18:23</t>
        </is>
      </c>
      <c r="F196" s="59" t="inlineStr">
        <is>
          <t>4 giờ trước</t>
        </is>
      </c>
      <c r="G196" s="61" t="n">
        <v>0.17</v>
      </c>
      <c r="H196" s="62" t="n">
        <v>32</v>
      </c>
      <c r="I196" s="9" t="inlineStr">
        <is>
          <t>Dog Breeder / Trại nhân giống (28-30đ)</t>
        </is>
      </c>
      <c r="J196" s="62" t="n">
        <v>28</v>
      </c>
      <c r="K196" s="9" t="inlineStr">
        <is>
          <t>Husky / Malamute / Samoyed / Spitz</t>
        </is>
      </c>
      <c r="L196" s="62" t="n">
        <v>5</v>
      </c>
      <c r="M196" s="62" t="n">
        <v>0</v>
      </c>
      <c r="N196" s="9" t="inlineStr">
        <is>
          <t>Amazon link not found</t>
        </is>
      </c>
      <c r="O196" s="62">
        <f>IF(N196="Selling pet toys + Artificial grass/Pet toilets (TARGET)",15,IF(N196="Selling artificial grass/pet toilets (TARGET)",10,IF(N196="Selling pet toys",7,IF(N196="There's an Amazon link, but no target sales.",3,0))))</f>
        <v/>
      </c>
      <c r="P196" s="63">
        <f>H196+J196+L196+M196+O196</f>
        <v/>
      </c>
      <c r="Q196" s="64">
        <f>IF(OR(H196=0,P196&lt;30),"Tier D (Đóng băng)",IF(P196&gt;=85,"Tier S (Kim Cương: 85-100đ)",IF(P196&gt;=70,"Tier A (Vàng: 70-84đ)",IF(P196&gt;=61,"Tier B+ / Cấp A (Hot Lead: 61-69đ)",IF(P196&gt;=50,"Tier B (Bạc: 50-60đ)","Tier C (Đồng: 30-49đ)")))))</f>
        <v/>
      </c>
      <c r="R196" s="9" t="inlineStr">
        <is>
          <t>Trọn gói Take-Home Starter Kit V2/V3 (Cỏ nhân tạo + Khay Potty + Đồ chơi cún con)</t>
        </is>
      </c>
      <c r="S196" s="9" t="inlineStr">
        <is>
          <t>HOT LEAD (Điểm ≥61): Liên hệ Telesale/Email chào gói Starter Kit &amp; Báo giá sỉ chiết khấu BOM</t>
        </is>
      </c>
    </row>
    <row r="197">
      <c r="A197" s="53" t="n">
        <v>2248</v>
      </c>
      <c r="B197" s="12" t="inlineStr">
        <is>
          <t>Mystic River Pugs</t>
        </is>
      </c>
      <c r="C197" s="54" t="inlineStr">
        <is>
          <t>https://www.facebook.com/MysticRiverPugs</t>
        </is>
      </c>
      <c r="D197" s="6" t="inlineStr">
        <is>
          <t>Cần quét Bio Fanpage</t>
        </is>
      </c>
      <c r="E197" s="53" t="inlineStr">
        <is>
          <t>12/10/2026 21:01:02</t>
        </is>
      </c>
      <c r="F197" s="53" t="inlineStr">
        <is>
          <t>7 giờ trước</t>
        </is>
      </c>
      <c r="G197" s="55" t="n">
        <v>0.29</v>
      </c>
      <c r="H197" s="56" t="n">
        <v>32</v>
      </c>
      <c r="I197" s="6" t="inlineStr">
        <is>
          <t>Dog Breeder / Trại chó chuyên nghiệp (28-30đ)</t>
        </is>
      </c>
      <c r="J197" s="56" t="n">
        <v>28</v>
      </c>
      <c r="K197" s="6" t="inlineStr">
        <is>
          <t>Pug</t>
        </is>
      </c>
      <c r="L197" s="56" t="n">
        <v>5</v>
      </c>
      <c r="M197" s="56" t="n">
        <v>0</v>
      </c>
      <c r="N197" s="6" t="inlineStr">
        <is>
          <t>Amazon link not found</t>
        </is>
      </c>
      <c r="O197" s="56">
        <f>IF(N197="Selling pet toys + Artificial grass/Pet toilets (TARGET)",15,IF(N197="Selling artificial grass/pet toilets (TARGET)",10,IF(N197="Selling pet toys",7,IF(N197="There's an Amazon link, but no target sales.",3,0))))</f>
        <v/>
      </c>
      <c r="P197" s="63">
        <f>H197+J197+L197+M197+O197</f>
        <v/>
      </c>
      <c r="Q197" s="64">
        <f>IF(OR(H197=0,P197&lt;30),"Tier D (Đóng băng)",IF(P197&gt;=85,"Tier S (Kim Cương: 85-100đ)",IF(P197&gt;=70,"Tier A (Vàng: 70-84đ)",IF(P197&gt;=61,"Tier B+ / Cấp A (Hot Lead: 61-69đ)",IF(P197&gt;=50,"Tier B (Bạc: 50-60đ)","Tier C (Đồng: 30-49đ)")))))</f>
        <v/>
      </c>
      <c r="R197" s="6" t="inlineStr">
        <is>
          <t>Trọn gói Take-Home Starter Kit V2/V3 (Cỏ nhân tạo + Khay Potty + Đồ chơi Teething/Snuggle)</t>
        </is>
      </c>
      <c r="S197" s="6" t="inlineStr">
        <is>
          <t>HOT LEAD (Điểm ≥61): Liên hệ Telesale/Email chào gói Starter Kit &amp; Báo giá sỉ chiết khấu BOM</t>
        </is>
      </c>
    </row>
    <row r="198">
      <c r="A198" s="59" t="n">
        <v>168</v>
      </c>
      <c r="B198" s="15" t="inlineStr">
        <is>
          <t>Farm To Pet</t>
        </is>
      </c>
      <c r="C198" s="60" t="inlineStr">
        <is>
          <t>https://www.facebook.com/farmtopet</t>
        </is>
      </c>
      <c r="D198" s="9" t="inlineStr">
        <is>
          <t>Cần quét Bio Fanpage</t>
        </is>
      </c>
      <c r="E198" s="59" t="inlineStr">
        <is>
          <t>12/10/2026 19:41:52</t>
        </is>
      </c>
      <c r="F198" s="59" t="inlineStr">
        <is>
          <t>5 giờ trước</t>
        </is>
      </c>
      <c r="G198" s="61" t="n">
        <v>0.21</v>
      </c>
      <c r="H198" s="62" t="n">
        <v>32</v>
      </c>
      <c r="I198" s="9" t="inlineStr">
        <is>
          <t>Dog Breeder / Trại nhân giống (28-30đ)</t>
        </is>
      </c>
      <c r="J198" s="62" t="n">
        <v>28</v>
      </c>
      <c r="K198" s="9" t="inlineStr">
        <is>
          <t>Chưa rõ giống (Cần quét Bio)</t>
        </is>
      </c>
      <c r="L198" s="62" t="n">
        <v>0</v>
      </c>
      <c r="M198" s="62" t="n">
        <v>5</v>
      </c>
      <c r="N198" s="9" t="inlineStr">
        <is>
          <t>Amazon link not found</t>
        </is>
      </c>
      <c r="O198" s="62">
        <f>IF(N198="Selling pet toys + Artificial grass/Pet toilets (TARGET)",15,IF(N198="Selling artificial grass/pet toilets (TARGET)",10,IF(N198="Selling pet toys",7,IF(N198="There's an Amazon link, but no target sales.",3,0))))</f>
        <v/>
      </c>
      <c r="P198" s="63">
        <f>H198+J198+L198+M198+O198</f>
        <v/>
      </c>
      <c r="Q198" s="64">
        <f>IF(OR(H198=0,P198&lt;30),"Tier D (Đóng băng)",IF(P198&gt;=85,"Tier S (Kim Cương: 85-100đ)",IF(P198&gt;=70,"Tier A (Vàng: 70-84đ)",IF(P198&gt;=61,"Tier B+ / Cấp A (Hot Lead: 61-69đ)",IF(P198&gt;=50,"Tier B (Bạc: 50-60đ)","Tier C (Đồng: 30-49đ)")))))</f>
        <v/>
      </c>
      <c r="R198" s="9" t="inlineStr">
        <is>
          <t>Trọn gói Take-Home Starter Kit V2/V3 (Cỏ nhân tạo + Khay Potty + Đồ chơi cún con)</t>
        </is>
      </c>
      <c r="S198" s="9" t="inlineStr">
        <is>
          <t>HOT LEAD (Điểm ≥61): Liên hệ Telesale/Email chào gói Starter Kit &amp; Báo giá sỉ chiết khấu BOM</t>
        </is>
      </c>
    </row>
    <row r="199">
      <c r="A199" s="53" t="n">
        <v>2299</v>
      </c>
      <c r="B199" s="12" t="inlineStr">
        <is>
          <t>No Nonsense Pet Food LLC</t>
        </is>
      </c>
      <c r="C199" s="54" t="inlineStr">
        <is>
          <t>https://www.facebook.com/nononsensepetfood</t>
        </is>
      </c>
      <c r="D199" s="6" t="inlineStr">
        <is>
          <t>Cần quét Bio Fanpage</t>
        </is>
      </c>
      <c r="E199" s="53" t="inlineStr">
        <is>
          <t>12/10/2026 19:00:32</t>
        </is>
      </c>
      <c r="F199" s="53" t="inlineStr">
        <is>
          <t>10 giờ trước</t>
        </is>
      </c>
      <c r="G199" s="55" t="n">
        <v>0.42</v>
      </c>
      <c r="H199" s="56" t="n">
        <v>32</v>
      </c>
      <c r="I199" s="6" t="inlineStr">
        <is>
          <t>Dog Breeder / Trại nhân giống (28-30đ)</t>
        </is>
      </c>
      <c r="J199" s="56" t="n">
        <v>28</v>
      </c>
      <c r="K199" s="6" t="inlineStr">
        <is>
          <t>Chưa rõ giống (Cần quét Bio)</t>
        </is>
      </c>
      <c r="L199" s="56" t="n">
        <v>0</v>
      </c>
      <c r="M199" s="56" t="n">
        <v>5</v>
      </c>
      <c r="N199" s="6" t="inlineStr">
        <is>
          <t>Amazon link not found</t>
        </is>
      </c>
      <c r="O199" s="56">
        <f>IF(N199="Selling pet toys + Artificial grass/Pet toilets (TARGET)",15,IF(N199="Selling artificial grass/pet toilets (TARGET)",10,IF(N199="Selling pet toys",7,IF(N199="There's an Amazon link, but no target sales.",3,0))))</f>
        <v/>
      </c>
      <c r="P199" s="63">
        <f>H199+J199+L199+M199+O199</f>
        <v/>
      </c>
      <c r="Q199" s="64">
        <f>IF(OR(H199=0,P199&lt;30),"Tier D (Đóng băng)",IF(P199&gt;=85,"Tier S (Kim Cương: 85-100đ)",IF(P199&gt;=70,"Tier A (Vàng: 70-84đ)",IF(P199&gt;=61,"Tier B+ / Cấp A (Hot Lead: 61-69đ)",IF(P199&gt;=50,"Tier B (Bạc: 50-60đ)","Tier C (Đồng: 30-49đ)")))))</f>
        <v/>
      </c>
      <c r="R199" s="6" t="inlineStr">
        <is>
          <t>Trọn gói Take-Home Starter Kit V2/V3 (Cỏ nhân tạo + Khay Potty + Đồ chơi cún con)</t>
        </is>
      </c>
      <c r="S199" s="6" t="inlineStr">
        <is>
          <t>HOT LEAD (Điểm ≥61): Liên hệ Telesale/Email chào gói Starter Kit &amp; Báo giá sỉ chiết khấu BOM</t>
        </is>
      </c>
    </row>
    <row r="200">
      <c r="A200" s="59" t="n">
        <v>247</v>
      </c>
      <c r="B200" s="15" t="inlineStr">
        <is>
          <t>Poppet and the Wolf Pack</t>
        </is>
      </c>
      <c r="C200" s="60" t="inlineStr">
        <is>
          <t>https://www.facebook.com/misspoppetthesamoyed</t>
        </is>
      </c>
      <c r="D200" s="9" t="inlineStr">
        <is>
          <t>Cần quét Bio Fanpage</t>
        </is>
      </c>
      <c r="E200" s="59" t="inlineStr">
        <is>
          <t>12/10/2026 18:04:39</t>
        </is>
      </c>
      <c r="F200" s="59" t="inlineStr">
        <is>
          <t>7 giờ trước</t>
        </is>
      </c>
      <c r="G200" s="61" t="n">
        <v>0.29</v>
      </c>
      <c r="H200" s="62" t="n">
        <v>32</v>
      </c>
      <c r="I200" s="9" t="inlineStr">
        <is>
          <t>Dog Breeder / Trại nhân giống (28-30đ)</t>
        </is>
      </c>
      <c r="J200" s="62" t="n">
        <v>28</v>
      </c>
      <c r="K200" s="9" t="inlineStr">
        <is>
          <t>Husky / Malamute / Samoyed / Spitz</t>
        </is>
      </c>
      <c r="L200" s="62" t="n">
        <v>5</v>
      </c>
      <c r="M200" s="62" t="n">
        <v>0</v>
      </c>
      <c r="N200" s="9" t="inlineStr">
        <is>
          <t>Amazon link not found</t>
        </is>
      </c>
      <c r="O200" s="62">
        <f>IF(N200="Selling pet toys + Artificial grass/Pet toilets (TARGET)",15,IF(N200="Selling artificial grass/pet toilets (TARGET)",10,IF(N200="Selling pet toys",7,IF(N200="There's an Amazon link, but no target sales.",3,0))))</f>
        <v/>
      </c>
      <c r="P200" s="63">
        <f>H200+J200+L200+M200+O200</f>
        <v/>
      </c>
      <c r="Q200" s="64">
        <f>IF(OR(H200=0,P200&lt;30),"Tier D (Đóng băng)",IF(P200&gt;=85,"Tier S (Kim Cương: 85-100đ)",IF(P200&gt;=70,"Tier A (Vàng: 70-84đ)",IF(P200&gt;=61,"Tier B+ / Cấp A (Hot Lead: 61-69đ)",IF(P200&gt;=50,"Tier B (Bạc: 50-60đ)","Tier C (Đồng: 30-49đ)")))))</f>
        <v/>
      </c>
      <c r="R200" s="9" t="inlineStr">
        <is>
          <t>Trọn gói Take-Home Starter Kit V2/V3 (Cỏ nhân tạo + Khay Potty + Đồ chơi cún con)</t>
        </is>
      </c>
      <c r="S200" s="9" t="inlineStr">
        <is>
          <t>HOT LEAD (Điểm ≥61): Liên hệ Telesale/Email chào gói Starter Kit &amp; Báo giá sỉ chiết khấu BOM</t>
        </is>
      </c>
    </row>
    <row r="201">
      <c r="A201" s="53" t="n">
        <v>3229</v>
      </c>
      <c r="B201" s="12" t="inlineStr">
        <is>
          <t>Trawden Sheepdog Society</t>
        </is>
      </c>
      <c r="C201" s="54" t="inlineStr">
        <is>
          <t>https://www.facebook.com/profile.php?id=100057232068567</t>
        </is>
      </c>
      <c r="D201" s="6" t="inlineStr">
        <is>
          <t>Cần quét Bio Fanpage</t>
        </is>
      </c>
      <c r="E201" s="53" t="inlineStr">
        <is>
          <t>12/10/2026 15:50:44</t>
        </is>
      </c>
      <c r="F201" s="53" t="inlineStr">
        <is>
          <t>14 giờ trước</t>
        </is>
      </c>
      <c r="G201" s="55" t="n">
        <v>0.58</v>
      </c>
      <c r="H201" s="56" t="n">
        <v>32</v>
      </c>
      <c r="I201" s="6" t="inlineStr">
        <is>
          <t>Dog Breeder / Trại nhân giống (28-30đ)</t>
        </is>
      </c>
      <c r="J201" s="56" t="n">
        <v>28</v>
      </c>
      <c r="K201" s="6" t="inlineStr">
        <is>
          <t>Australian Shepherd / Herding</t>
        </is>
      </c>
      <c r="L201" s="56" t="n">
        <v>5</v>
      </c>
      <c r="M201" s="56" t="n">
        <v>0</v>
      </c>
      <c r="N201" s="6" t="inlineStr">
        <is>
          <t>Amazon link not found</t>
        </is>
      </c>
      <c r="O201" s="56">
        <f>IF(N201="Selling pet toys + Artificial grass/Pet toilets (TARGET)",15,IF(N201="Selling artificial grass/pet toilets (TARGET)",10,IF(N201="Selling pet toys",7,IF(N201="There's an Amazon link, but no target sales.",3,0))))</f>
        <v/>
      </c>
      <c r="P201" s="63">
        <f>H201+J201+L201+M201+O201</f>
        <v/>
      </c>
      <c r="Q201" s="64">
        <f>IF(OR(H201=0,P201&lt;30),"Tier D (Đóng băng)",IF(P201&gt;=85,"Tier S (Kim Cương: 85-100đ)",IF(P201&gt;=70,"Tier A (Vàng: 70-84đ)",IF(P201&gt;=61,"Tier B+ / Cấp A (Hot Lead: 61-69đ)",IF(P201&gt;=50,"Tier B (Bạc: 50-60đ)","Tier C (Đồng: 30-49đ)")))))</f>
        <v/>
      </c>
      <c r="R201" s="6" t="inlineStr">
        <is>
          <t>Trọn gói Take-Home Starter Kit V2/V3 (Cỏ nhân tạo + Khay Potty + Đồ chơi cún con)</t>
        </is>
      </c>
      <c r="S201" s="6" t="inlineStr">
        <is>
          <t>HOT LEAD (Điểm ≥61): Liên hệ Telesale/Email chào gói Starter Kit &amp; Báo giá sỉ chiết khấu BOM</t>
        </is>
      </c>
    </row>
    <row r="202">
      <c r="A202" s="59" t="n">
        <v>369</v>
      </c>
      <c r="B202" s="15" t="inlineStr">
        <is>
          <t>Alfie's Dream For Greyhounds</t>
        </is>
      </c>
      <c r="C202" s="60" t="inlineStr">
        <is>
          <t>https://www.facebook.com/alfiedream</t>
        </is>
      </c>
      <c r="D202" s="9" t="inlineStr">
        <is>
          <t>Cần quét Bio Fanpage</t>
        </is>
      </c>
      <c r="E202" s="59" t="inlineStr">
        <is>
          <t>12/10/2026 15:24:41</t>
        </is>
      </c>
      <c r="F202" s="59" t="inlineStr">
        <is>
          <t>10 giờ trước</t>
        </is>
      </c>
      <c r="G202" s="61" t="n">
        <v>0.42</v>
      </c>
      <c r="H202" s="62" t="n">
        <v>32</v>
      </c>
      <c r="I202" s="9" t="inlineStr">
        <is>
          <t>Dog Breeder / Trại chó chuyên nghiệp (28-30đ)</t>
        </is>
      </c>
      <c r="J202" s="62" t="n">
        <v>28</v>
      </c>
      <c r="K202" s="9" t="inlineStr">
        <is>
          <t>Hound / Beagle / Basset</t>
        </is>
      </c>
      <c r="L202" s="62" t="n">
        <v>5</v>
      </c>
      <c r="M202" s="62" t="n">
        <v>0</v>
      </c>
      <c r="N202" s="9" t="inlineStr">
        <is>
          <t>Amazon link not found</t>
        </is>
      </c>
      <c r="O202" s="62">
        <f>IF(N202="Selling pet toys + Artificial grass/Pet toilets (TARGET)",15,IF(N202="Selling artificial grass/pet toilets (TARGET)",10,IF(N202="Selling pet toys",7,IF(N202="There's an Amazon link, but no target sales.",3,0))))</f>
        <v/>
      </c>
      <c r="P202" s="63">
        <f>H202+J202+L202+M202+O202</f>
        <v/>
      </c>
      <c r="Q202" s="64">
        <f>IF(OR(H202=0,P202&lt;30),"Tier D (Đóng băng)",IF(P202&gt;=85,"Tier S (Kim Cương: 85-100đ)",IF(P202&gt;=70,"Tier A (Vàng: 70-84đ)",IF(P202&gt;=61,"Tier B+ / Cấp A (Hot Lead: 61-69đ)",IF(P202&gt;=50,"Tier B (Bạc: 50-60đ)","Tier C (Đồng: 30-49đ)")))))</f>
        <v/>
      </c>
      <c r="R202" s="9" t="inlineStr">
        <is>
          <t>Trọn gói Take-Home Starter Kit V2/V3 (Cỏ nhân tạo + Khay Potty + Đồ chơi Teething/Snuggle)</t>
        </is>
      </c>
      <c r="S202" s="9" t="inlineStr">
        <is>
          <t>HOT LEAD (Điểm ≥61): Liên hệ Telesale/Email chào gói Starter Kit &amp; Báo giá sỉ chiết khấu BOM</t>
        </is>
      </c>
    </row>
    <row r="203">
      <c r="A203" s="53" t="n">
        <v>3128</v>
      </c>
      <c r="B203" s="12" t="inlineStr">
        <is>
          <t>The Happiest Hound</t>
        </is>
      </c>
      <c r="C203" s="54" t="inlineStr">
        <is>
          <t>https://www.facebook.com/TheHappiestHound</t>
        </is>
      </c>
      <c r="D203" s="6" t="inlineStr">
        <is>
          <t>Cần quét Bio Fanpage</t>
        </is>
      </c>
      <c r="E203" s="53" t="inlineStr">
        <is>
          <t>12/10/2026 13:57:38</t>
        </is>
      </c>
      <c r="F203" s="53" t="inlineStr">
        <is>
          <t>16 giờ trước</t>
        </is>
      </c>
      <c r="G203" s="55" t="n">
        <v>0.67</v>
      </c>
      <c r="H203" s="56" t="n">
        <v>32</v>
      </c>
      <c r="I203" s="6" t="inlineStr">
        <is>
          <t>Dog Breeder / Trại nhân giống (28-30đ)</t>
        </is>
      </c>
      <c r="J203" s="56" t="n">
        <v>28</v>
      </c>
      <c r="K203" s="6" t="inlineStr">
        <is>
          <t>Hound / Beagle / Basset</t>
        </is>
      </c>
      <c r="L203" s="56" t="n">
        <v>5</v>
      </c>
      <c r="M203" s="56" t="n">
        <v>0</v>
      </c>
      <c r="N203" s="6" t="inlineStr">
        <is>
          <t>Amazon link not found</t>
        </is>
      </c>
      <c r="O203" s="56">
        <f>IF(N203="Selling pet toys + Artificial grass/Pet toilets (TARGET)",15,IF(N203="Selling artificial grass/pet toilets (TARGET)",10,IF(N203="Selling pet toys",7,IF(N203="There's an Amazon link, but no target sales.",3,0))))</f>
        <v/>
      </c>
      <c r="P203" s="63">
        <f>H203+J203+L203+M203+O203</f>
        <v/>
      </c>
      <c r="Q203" s="64">
        <f>IF(OR(H203=0,P203&lt;30),"Tier D (Đóng băng)",IF(P203&gt;=85,"Tier S (Kim Cương: 85-100đ)",IF(P203&gt;=70,"Tier A (Vàng: 70-84đ)",IF(P203&gt;=61,"Tier B+ / Cấp A (Hot Lead: 61-69đ)",IF(P203&gt;=50,"Tier B (Bạc: 50-60đ)","Tier C (Đồng: 30-49đ)")))))</f>
        <v/>
      </c>
      <c r="R203" s="6" t="inlineStr">
        <is>
          <t>Trọn gói Take-Home Starter Kit V2/V3 (Cỏ nhân tạo + Khay Potty + Đồ chơi cún con)</t>
        </is>
      </c>
      <c r="S203" s="6" t="inlineStr">
        <is>
          <t>HOT LEAD (Điểm ≥61): Liên hệ Telesale/Email chào gói Starter Kit &amp; Báo giá sỉ chiết khấu BOM</t>
        </is>
      </c>
    </row>
    <row r="204">
      <c r="A204" s="59" t="n">
        <v>46</v>
      </c>
      <c r="B204" s="15" t="inlineStr">
        <is>
          <t>Ringside Hounds</t>
        </is>
      </c>
      <c r="C204" s="60" t="inlineStr">
        <is>
          <t>https://www.facebook.com/RingsideHounds</t>
        </is>
      </c>
      <c r="D204" s="9" t="inlineStr">
        <is>
          <t>Cần quét Bio Fanpage</t>
        </is>
      </c>
      <c r="E204" s="59" t="inlineStr">
        <is>
          <t>12/10/2026 07:49:40</t>
        </is>
      </c>
      <c r="F204" s="59" t="inlineStr">
        <is>
          <t>17 giờ trước</t>
        </is>
      </c>
      <c r="G204" s="61" t="n">
        <v>0.71</v>
      </c>
      <c r="H204" s="62" t="n">
        <v>32</v>
      </c>
      <c r="I204" s="9" t="inlineStr">
        <is>
          <t>Dog Breeder / Trại chó chuyên nghiệp (28-30đ)</t>
        </is>
      </c>
      <c r="J204" s="62" t="n">
        <v>28</v>
      </c>
      <c r="K204" s="9" t="inlineStr">
        <is>
          <t>Hound / Beagle / Basset</t>
        </is>
      </c>
      <c r="L204" s="62" t="n">
        <v>5</v>
      </c>
      <c r="M204" s="62" t="n">
        <v>0</v>
      </c>
      <c r="N204" s="9" t="inlineStr">
        <is>
          <t>Amazon link not found</t>
        </is>
      </c>
      <c r="O204" s="62">
        <f>IF(N204="Selling pet toys + Artificial grass/Pet toilets (TARGET)",15,IF(N204="Selling artificial grass/pet toilets (TARGET)",10,IF(N204="Selling pet toys",7,IF(N204="There's an Amazon link, but no target sales.",3,0))))</f>
        <v/>
      </c>
      <c r="P204" s="63">
        <f>H204+J204+L204+M204+O204</f>
        <v/>
      </c>
      <c r="Q204" s="64">
        <f>IF(OR(H204=0,P204&lt;30),"Tier D (Đóng băng)",IF(P204&gt;=85,"Tier S (Kim Cương: 85-100đ)",IF(P204&gt;=70,"Tier A (Vàng: 70-84đ)",IF(P204&gt;=61,"Tier B+ / Cấp A (Hot Lead: 61-69đ)",IF(P204&gt;=50,"Tier B (Bạc: 50-60đ)","Tier C (Đồng: 30-49đ)")))))</f>
        <v/>
      </c>
      <c r="R204" s="9" t="inlineStr">
        <is>
          <t>Trọn gói Take-Home Starter Kit V2/V3 (Cỏ nhân tạo + Khay Potty + Đồ chơi Teething/Snuggle)</t>
        </is>
      </c>
      <c r="S204" s="9" t="inlineStr">
        <is>
          <t>HOT LEAD (Điểm ≥61): Liên hệ Telesale/Email chào gói Starter Kit &amp; Báo giá sỉ chiết khấu BOM</t>
        </is>
      </c>
    </row>
    <row r="205">
      <c r="A205" s="53" t="n">
        <v>2050</v>
      </c>
      <c r="B205" s="12" t="inlineStr">
        <is>
          <t>Long's Mount Olympus Basset Hounds</t>
        </is>
      </c>
      <c r="C205" s="54" t="inlineStr">
        <is>
          <t>https://www.facebook.com/longsmtolympusbh</t>
        </is>
      </c>
      <c r="D205" s="6" t="inlineStr">
        <is>
          <t>Cần quét Bio Fanpage</t>
        </is>
      </c>
      <c r="E205" s="53" t="inlineStr">
        <is>
          <t>12/10/2026 06:41:03</t>
        </is>
      </c>
      <c r="F205" s="53" t="inlineStr">
        <is>
          <t>21 giờ trước</t>
        </is>
      </c>
      <c r="G205" s="55" t="n">
        <v>0.88</v>
      </c>
      <c r="H205" s="56" t="n">
        <v>32</v>
      </c>
      <c r="I205" s="6" t="inlineStr">
        <is>
          <t>Dog Breeder / Trại chó chuyên nghiệp (28-30đ)</t>
        </is>
      </c>
      <c r="J205" s="56" t="n">
        <v>28</v>
      </c>
      <c r="K205" s="6" t="inlineStr">
        <is>
          <t>Hound / Beagle / Basset</t>
        </is>
      </c>
      <c r="L205" s="56" t="n">
        <v>5</v>
      </c>
      <c r="M205" s="56" t="n">
        <v>0</v>
      </c>
      <c r="N205" s="6" t="inlineStr">
        <is>
          <t>Amazon link not found</t>
        </is>
      </c>
      <c r="O205" s="56">
        <f>IF(N205="Selling pet toys + Artificial grass/Pet toilets (TARGET)",15,IF(N205="Selling artificial grass/pet toilets (TARGET)",10,IF(N205="Selling pet toys",7,IF(N205="There's an Amazon link, but no target sales.",3,0))))</f>
        <v/>
      </c>
      <c r="P205" s="63">
        <f>H205+J205+L205+M205+O205</f>
        <v/>
      </c>
      <c r="Q205" s="64">
        <f>IF(OR(H205=0,P205&lt;30),"Tier D (Đóng băng)",IF(P205&gt;=85,"Tier S (Kim Cương: 85-100đ)",IF(P205&gt;=70,"Tier A (Vàng: 70-84đ)",IF(P205&gt;=61,"Tier B+ / Cấp A (Hot Lead: 61-69đ)",IF(P205&gt;=50,"Tier B (Bạc: 50-60đ)","Tier C (Đồng: 30-49đ)")))))</f>
        <v/>
      </c>
      <c r="R205" s="6" t="inlineStr">
        <is>
          <t>Trọn gói Take-Home Starter Kit V2/V3 (Cỏ nhân tạo + Khay Potty + Đồ chơi Teething/Snuggle)</t>
        </is>
      </c>
      <c r="S205" s="6" t="inlineStr">
        <is>
          <t>HOT LEAD (Điểm ≥61): Liên hệ Telesale/Email chào gói Starter Kit &amp; Báo giá sỉ chiết khấu BOM</t>
        </is>
      </c>
    </row>
    <row r="206">
      <c r="A206" s="59" t="n">
        <v>2060</v>
      </c>
      <c r="B206" s="15" t="inlineStr">
        <is>
          <t>Love cute puppy</t>
        </is>
      </c>
      <c r="C206" s="60" t="inlineStr">
        <is>
          <t>https://www.facebook.com/profile.php?id=61583964194952</t>
        </is>
      </c>
      <c r="D206" s="9" t="inlineStr">
        <is>
          <t>Cần quét Bio Fanpage</t>
        </is>
      </c>
      <c r="E206" s="59" t="inlineStr">
        <is>
          <t>12/10/2026 06:33:24</t>
        </is>
      </c>
      <c r="F206" s="59" t="inlineStr">
        <is>
          <t>22 giờ trước</t>
        </is>
      </c>
      <c r="G206" s="61" t="n">
        <v>0.92</v>
      </c>
      <c r="H206" s="62" t="n">
        <v>32</v>
      </c>
      <c r="I206" s="9" t="inlineStr">
        <is>
          <t>Dog Breeder / Trại chó chuyên nghiệp (28-30đ)</t>
        </is>
      </c>
      <c r="J206" s="62" t="n">
        <v>28</v>
      </c>
      <c r="K206" s="9" t="inlineStr">
        <is>
          <t>Chưa rõ giống (Cần quét Bio)</t>
        </is>
      </c>
      <c r="L206" s="62" t="n">
        <v>0</v>
      </c>
      <c r="M206" s="62" t="n">
        <v>5</v>
      </c>
      <c r="N206" s="9" t="inlineStr">
        <is>
          <t>Amazon link not found</t>
        </is>
      </c>
      <c r="O206" s="62">
        <f>IF(N206="Selling pet toys + Artificial grass/Pet toilets (TARGET)",15,IF(N206="Selling artificial grass/pet toilets (TARGET)",10,IF(N206="Selling pet toys",7,IF(N206="There's an Amazon link, but no target sales.",3,0))))</f>
        <v/>
      </c>
      <c r="P206" s="63">
        <f>H206+J206+L206+M206+O206</f>
        <v/>
      </c>
      <c r="Q206" s="64">
        <f>IF(OR(H206=0,P206&lt;30),"Tier D (Đóng băng)",IF(P206&gt;=85,"Tier S (Kim Cương: 85-100đ)",IF(P206&gt;=70,"Tier A (Vàng: 70-84đ)",IF(P206&gt;=61,"Tier B+ / Cấp A (Hot Lead: 61-69đ)",IF(P206&gt;=50,"Tier B (Bạc: 50-60đ)","Tier C (Đồng: 30-49đ)")))))</f>
        <v/>
      </c>
      <c r="R206" s="9" t="inlineStr">
        <is>
          <t>Trọn gói Take-Home Starter Kit V2/V3 (Cỏ nhân tạo + Khay Potty + Đồ chơi Teething/Snuggle)</t>
        </is>
      </c>
      <c r="S206" s="9" t="inlineStr">
        <is>
          <t>HOT LEAD (Điểm ≥61): Liên hệ Telesale/Email chào gói Starter Kit &amp; Báo giá sỉ chiết khấu BOM</t>
        </is>
      </c>
    </row>
    <row r="207">
      <c r="A207" s="53" t="n">
        <v>2098</v>
      </c>
      <c r="B207" s="12" t="inlineStr">
        <is>
          <t>Madsen"s Traveling Hounds</t>
        </is>
      </c>
      <c r="C207" s="54" t="inlineStr">
        <is>
          <t>https://www.facebook.com/profile.php?id=100063602379429</t>
        </is>
      </c>
      <c r="D207" s="6" t="inlineStr">
        <is>
          <t>Cần quét Bio Fanpage</t>
        </is>
      </c>
      <c r="E207" s="53" t="inlineStr">
        <is>
          <t>12/10/2026 05:23:18</t>
        </is>
      </c>
      <c r="F207" s="53" t="inlineStr">
        <is>
          <t>23 giờ trước</t>
        </is>
      </c>
      <c r="G207" s="55" t="n">
        <v>0.96</v>
      </c>
      <c r="H207" s="56" t="n">
        <v>32</v>
      </c>
      <c r="I207" s="6" t="inlineStr">
        <is>
          <t>Dog Breeder / Trại chó chuyên nghiệp (28-30đ)</t>
        </is>
      </c>
      <c r="J207" s="56" t="n">
        <v>28</v>
      </c>
      <c r="K207" s="6" t="inlineStr">
        <is>
          <t>Hound / Beagle / Basset</t>
        </is>
      </c>
      <c r="L207" s="56" t="n">
        <v>5</v>
      </c>
      <c r="M207" s="56" t="n">
        <v>0</v>
      </c>
      <c r="N207" s="6" t="inlineStr">
        <is>
          <t>Amazon link not found</t>
        </is>
      </c>
      <c r="O207" s="56">
        <f>IF(N207="Selling pet toys + Artificial grass/Pet toilets (TARGET)",15,IF(N207="Selling artificial grass/pet toilets (TARGET)",10,IF(N207="Selling pet toys",7,IF(N207="There's an Amazon link, but no target sales.",3,0))))</f>
        <v/>
      </c>
      <c r="P207" s="63">
        <f>H207+J207+L207+M207+O207</f>
        <v/>
      </c>
      <c r="Q207" s="64">
        <f>IF(OR(H207=0,P207&lt;30),"Tier D (Đóng băng)",IF(P207&gt;=85,"Tier S (Kim Cương: 85-100đ)",IF(P207&gt;=70,"Tier A (Vàng: 70-84đ)",IF(P207&gt;=61,"Tier B+ / Cấp A (Hot Lead: 61-69đ)",IF(P207&gt;=50,"Tier B (Bạc: 50-60đ)","Tier C (Đồng: 30-49đ)")))))</f>
        <v/>
      </c>
      <c r="R207" s="6" t="inlineStr">
        <is>
          <t>Trọn gói Take-Home Starter Kit V2/V3 (Cỏ nhân tạo + Khay Potty + Đồ chơi Teething/Snuggle)</t>
        </is>
      </c>
      <c r="S207" s="6" t="inlineStr">
        <is>
          <t>HOT LEAD (Điểm ≥61): Liên hệ Telesale/Email chào gói Starter Kit &amp; Báo giá sỉ chiết khấu BOM</t>
        </is>
      </c>
    </row>
    <row r="208">
      <c r="A208" s="59" t="n">
        <v>2972</v>
      </c>
      <c r="B208" s="15" t="inlineStr">
        <is>
          <t>Spoiled Rotten Bulldogs - English bulldog breeder</t>
        </is>
      </c>
      <c r="C208" s="60" t="inlineStr">
        <is>
          <t>https://www.facebook.com/SpoiledRottenBullies</t>
        </is>
      </c>
      <c r="D208" s="9" t="inlineStr">
        <is>
          <t>Cần quét Bio Fanpage</t>
        </is>
      </c>
      <c r="E208" s="59" t="inlineStr">
        <is>
          <t>09/10/2026 00:40:04</t>
        </is>
      </c>
      <c r="F208" s="59" t="inlineStr">
        <is>
          <t>4 ngày trước</t>
        </is>
      </c>
      <c r="G208" s="61" t="n">
        <v>4</v>
      </c>
      <c r="H208" s="62" t="n">
        <v>20</v>
      </c>
      <c r="I208" s="9" t="inlineStr">
        <is>
          <t>Dog Breeder / Trại chó chuyên nghiệp (28-30đ)</t>
        </is>
      </c>
      <c r="J208" s="62" t="n">
        <v>30</v>
      </c>
      <c r="K208" s="9" t="inlineStr">
        <is>
          <t>English Bulldog</t>
        </is>
      </c>
      <c r="L208" s="62" t="n">
        <v>10</v>
      </c>
      <c r="M208" s="62" t="n">
        <v>5</v>
      </c>
      <c r="N208" s="9" t="inlineStr">
        <is>
          <t>Amazon link not found</t>
        </is>
      </c>
      <c r="O208" s="62">
        <f>IF(N208="Selling pet toys + Artificial grass/Pet toilets (TARGET)",15,IF(N208="Selling artificial grass/pet toilets (TARGET)",10,IF(N208="Selling pet toys",7,IF(N208="There's an Amazon link, but no target sales.",3,0))))</f>
        <v/>
      </c>
      <c r="P208" s="63">
        <f>H208+J208+L208+M208+O208</f>
        <v/>
      </c>
      <c r="Q208" s="64">
        <f>IF(OR(H208=0,P208&lt;30),"Tier D (Đóng băng)",IF(P208&gt;=85,"Tier S (Kim Cương: 85-100đ)",IF(P208&gt;=70,"Tier A (Vàng: 70-84đ)",IF(P208&gt;=61,"Tier B+ / Cấp A (Hot Lead: 61-69đ)",IF(P208&gt;=50,"Tier B (Bạc: 50-60đ)","Tier C (Đồng: 30-49đ)")))))</f>
        <v/>
      </c>
      <c r="R208" s="9" t="inlineStr">
        <is>
          <t>Trọn gói Take-Home Starter Kit V2/V3 (Cỏ nhân tạo + Khay Potty + Đồ chơi Teething/Snuggle)</t>
        </is>
      </c>
      <c r="S208" s="9" t="inlineStr">
        <is>
          <t>HOT LEAD (Điểm ≥61): Liên hệ Telesale/Email chào gói Starter Kit &amp; Báo giá sỉ chiết khấu BOM</t>
        </is>
      </c>
    </row>
    <row r="209">
      <c r="A209" s="53" t="n">
        <v>2250</v>
      </c>
      <c r="B209" s="12" t="inlineStr">
        <is>
          <t>Nabil rottweiler kennel</t>
        </is>
      </c>
      <c r="C209" s="54" t="inlineStr">
        <is>
          <t>https://www.facebook.com/profile.php?id=100063754752416</t>
        </is>
      </c>
      <c r="D209" s="6" t="inlineStr">
        <is>
          <t>Cần quét Bio Fanpage</t>
        </is>
      </c>
      <c r="E209" s="53" t="inlineStr">
        <is>
          <t>09/10/2026 00:30:55</t>
        </is>
      </c>
      <c r="F209" s="53" t="inlineStr">
        <is>
          <t>4 ngày trước</t>
        </is>
      </c>
      <c r="G209" s="55" t="n">
        <v>4</v>
      </c>
      <c r="H209" s="56" t="n">
        <v>20</v>
      </c>
      <c r="I209" s="6" t="inlineStr">
        <is>
          <t>Dog Breeder / Trại chó chuyên nghiệp (28-30đ)</t>
        </is>
      </c>
      <c r="J209" s="56" t="n">
        <v>30</v>
      </c>
      <c r="K209" s="6" t="inlineStr">
        <is>
          <t>Rottweiler</t>
        </is>
      </c>
      <c r="L209" s="56" t="n">
        <v>10</v>
      </c>
      <c r="M209" s="56" t="n">
        <v>5</v>
      </c>
      <c r="N209" s="6" t="inlineStr">
        <is>
          <t>Amazon link not found</t>
        </is>
      </c>
      <c r="O209" s="56">
        <f>IF(N209="Selling pet toys + Artificial grass/Pet toilets (TARGET)",15,IF(N209="Selling artificial grass/pet toilets (TARGET)",10,IF(N209="Selling pet toys",7,IF(N209="There's an Amazon link, but no target sales.",3,0))))</f>
        <v/>
      </c>
      <c r="P209" s="63">
        <f>H209+J209+L209+M209+O209</f>
        <v/>
      </c>
      <c r="Q209" s="64">
        <f>IF(OR(H209=0,P209&lt;30),"Tier D (Đóng băng)",IF(P209&gt;=85,"Tier S (Kim Cương: 85-100đ)",IF(P209&gt;=70,"Tier A (Vàng: 70-84đ)",IF(P209&gt;=61,"Tier B+ / Cấp A (Hot Lead: 61-69đ)",IF(P209&gt;=50,"Tier B (Bạc: 50-60đ)","Tier C (Đồng: 30-49đ)")))))</f>
        <v/>
      </c>
      <c r="R209" s="6" t="inlineStr">
        <is>
          <t>Trọn gói Take-Home Starter Kit V2/V3 (Cỏ nhân tạo + Khay Potty + Đồ chơi Teething/Snuggle)</t>
        </is>
      </c>
      <c r="S209" s="6" t="inlineStr">
        <is>
          <t>HOT LEAD (Điểm ≥61): Liên hệ Telesale/Email chào gói Starter Kit &amp; Báo giá sỉ chiết khấu BOM</t>
        </is>
      </c>
    </row>
    <row r="210">
      <c r="A210" s="59" t="n">
        <v>2147</v>
      </c>
      <c r="B210" s="15" t="inlineStr">
        <is>
          <t>McLeod Bulldog Kennels</t>
        </is>
      </c>
      <c r="C210" s="60" t="inlineStr">
        <is>
          <t>https://www.facebook.com/McLeodKennels</t>
        </is>
      </c>
      <c r="D210" s="9" t="inlineStr">
        <is>
          <t>Cần quét Bio Fanpage</t>
        </is>
      </c>
      <c r="E210" s="59" t="inlineStr">
        <is>
          <t>05/10/2026 13:48:10</t>
        </is>
      </c>
      <c r="F210" s="59" t="inlineStr">
        <is>
          <t>1 tuần trước</t>
        </is>
      </c>
      <c r="G210" s="61" t="n">
        <v>7</v>
      </c>
      <c r="H210" s="62" t="n">
        <v>20</v>
      </c>
      <c r="I210" s="9" t="inlineStr">
        <is>
          <t>Dog Breeder / Trại chó chuyên nghiệp (28-30đ)</t>
        </is>
      </c>
      <c r="J210" s="62" t="n">
        <v>30</v>
      </c>
      <c r="K210" s="9" t="inlineStr">
        <is>
          <t>English Bulldog</t>
        </is>
      </c>
      <c r="L210" s="62" t="n">
        <v>10</v>
      </c>
      <c r="M210" s="62" t="n">
        <v>5</v>
      </c>
      <c r="N210" s="9" t="inlineStr">
        <is>
          <t>Amazon link not found</t>
        </is>
      </c>
      <c r="O210" s="62">
        <f>IF(N210="Selling pet toys + Artificial grass/Pet toilets (TARGET)",15,IF(N210="Selling artificial grass/pet toilets (TARGET)",10,IF(N210="Selling pet toys",7,IF(N210="There's an Amazon link, but no target sales.",3,0))))</f>
        <v/>
      </c>
      <c r="P210" s="63">
        <f>H210+J210+L210+M210+O210</f>
        <v/>
      </c>
      <c r="Q210" s="64">
        <f>IF(OR(H210=0,P210&lt;30),"Tier D (Đóng băng)",IF(P210&gt;=85,"Tier S (Kim Cương: 85-100đ)",IF(P210&gt;=70,"Tier A (Vàng: 70-84đ)",IF(P210&gt;=61,"Tier B+ / Cấp A (Hot Lead: 61-69đ)",IF(P210&gt;=50,"Tier B (Bạc: 50-60đ)","Tier C (Đồng: 30-49đ)")))))</f>
        <v/>
      </c>
      <c r="R210" s="9" t="inlineStr">
        <is>
          <t>Trọn gói Take-Home Starter Kit V2/V3 (Cỏ nhân tạo + Khay Potty + Đồ chơi Teething/Snuggle)</t>
        </is>
      </c>
      <c r="S210" s="9" t="inlineStr">
        <is>
          <t>HOT LEAD (Điểm ≥61): Liên hệ Telesale/Email chào gói Starter Kit &amp; Báo giá sỉ chiết khấu BOM</t>
        </is>
      </c>
    </row>
    <row r="211">
      <c r="A211" s="53" t="n">
        <v>340</v>
      </c>
      <c r="B211" s="12" t="inlineStr">
        <is>
          <t>Addybull Bulldogs  (Addybull Kennel)</t>
        </is>
      </c>
      <c r="C211" s="54" t="inlineStr">
        <is>
          <t>https://www.facebook.com/AddybullBulldogs</t>
        </is>
      </c>
      <c r="D211" s="6" t="inlineStr">
        <is>
          <t>Cần quét Bio Fanpage</t>
        </is>
      </c>
      <c r="E211" s="53" t="inlineStr">
        <is>
          <t>04/10/2026 13:43:08</t>
        </is>
      </c>
      <c r="F211" s="53" t="inlineStr">
        <is>
          <t>1 tuần trước</t>
        </is>
      </c>
      <c r="G211" s="55" t="n">
        <v>7</v>
      </c>
      <c r="H211" s="56" t="n">
        <v>20</v>
      </c>
      <c r="I211" s="6" t="inlineStr">
        <is>
          <t>Dog Breeder / Trại chó chuyên nghiệp (28-30đ)</t>
        </is>
      </c>
      <c r="J211" s="56" t="n">
        <v>30</v>
      </c>
      <c r="K211" s="6" t="inlineStr">
        <is>
          <t>English Bulldog</t>
        </is>
      </c>
      <c r="L211" s="56" t="n">
        <v>10</v>
      </c>
      <c r="M211" s="56" t="n">
        <v>5</v>
      </c>
      <c r="N211" s="6" t="inlineStr">
        <is>
          <t>Amazon link not found</t>
        </is>
      </c>
      <c r="O211" s="56">
        <f>IF(N211="Selling pet toys + Artificial grass/Pet toilets (TARGET)",15,IF(N211="Selling artificial grass/pet toilets (TARGET)",10,IF(N211="Selling pet toys",7,IF(N211="There's an Amazon link, but no target sales.",3,0))))</f>
        <v/>
      </c>
      <c r="P211" s="63">
        <f>H211+J211+L211+M211+O211</f>
        <v/>
      </c>
      <c r="Q211" s="64">
        <f>IF(OR(H211=0,P211&lt;30),"Tier D (Đóng băng)",IF(P211&gt;=85,"Tier S (Kim Cương: 85-100đ)",IF(P211&gt;=70,"Tier A (Vàng: 70-84đ)",IF(P211&gt;=61,"Tier B+ / Cấp A (Hot Lead: 61-69đ)",IF(P211&gt;=50,"Tier B (Bạc: 50-60đ)","Tier C (Đồng: 30-49đ)")))))</f>
        <v/>
      </c>
      <c r="R211" s="6" t="inlineStr">
        <is>
          <t>Trọn gói Take-Home Starter Kit V2/V3 (Cỏ nhân tạo + Khay Potty + Đồ chơi Teething/Snuggle)</t>
        </is>
      </c>
      <c r="S211" s="6" t="inlineStr">
        <is>
          <t>HOT LEAD (Điểm ≥61): Liên hệ Telesale/Email chào gói Starter Kit &amp; Báo giá sỉ chiết khấu BOM</t>
        </is>
      </c>
    </row>
    <row r="212">
      <c r="A212" s="59" t="n">
        <v>2619</v>
      </c>
      <c r="B212" s="15" t="inlineStr">
        <is>
          <t>Premier Dog Sports &amp; Event Center, LLC</t>
        </is>
      </c>
      <c r="C212" s="60" t="inlineStr">
        <is>
          <t>https://www.facebook.com/profile.php?id=100057379632480</t>
        </is>
      </c>
      <c r="D212" s="9" t="inlineStr">
        <is>
          <t>Cần quét Bio Fanpage</t>
        </is>
      </c>
      <c r="E212" s="59" t="inlineStr">
        <is>
          <t>12/10/2026 20:32:55</t>
        </is>
      </c>
      <c r="F212" s="59" t="inlineStr">
        <is>
          <t>9 giờ trước</t>
        </is>
      </c>
      <c r="G212" s="61" t="n">
        <v>0.38</v>
      </c>
      <c r="H212" s="62" t="n">
        <v>32</v>
      </c>
      <c r="I212" s="9" t="inlineStr">
        <is>
          <t>Pet Boarding / Huấn luyện K9 &amp; Dịch vụ (20-22đ)</t>
        </is>
      </c>
      <c r="J212" s="62" t="n">
        <v>22</v>
      </c>
      <c r="K212" s="9" t="inlineStr">
        <is>
          <t>Chưa rõ giống (Cần quét Bio)</t>
        </is>
      </c>
      <c r="L212" s="62" t="n">
        <v>0</v>
      </c>
      <c r="M212" s="62" t="n">
        <v>10</v>
      </c>
      <c r="N212" s="9" t="inlineStr">
        <is>
          <t>Amazon link not found</t>
        </is>
      </c>
      <c r="O212" s="62">
        <f>IF(N212="Selling pet toys + Artificial grass/Pet toilets (TARGET)",15,IF(N212="Selling artificial grass/pet toilets (TARGET)",10,IF(N212="Selling pet toys",7,IF(N212="There's an Amazon link, but no target sales.",3,0))))</f>
        <v/>
      </c>
      <c r="P212" s="63">
        <f>H212+J212+L212+M212+O212</f>
        <v/>
      </c>
      <c r="Q212" s="64">
        <f>IF(OR(H212=0,P212&lt;30),"Tier D (Đóng băng)",IF(P212&gt;=85,"Tier S (Kim Cương: 85-100đ)",IF(P212&gt;=70,"Tier A (Vàng: 70-84đ)",IF(P212&gt;=61,"Tier B+ / Cấp A (Hot Lead: 61-69đ)",IF(P212&gt;=50,"Tier B (Bạc: 50-60đ)","Tier C (Đồng: 30-49đ)")))))</f>
        <v/>
      </c>
      <c r="R212" s="9" t="inlineStr">
        <is>
          <t>Cỏ nhân tạo sân chơi/huấn luyện (Dog Turf) + Đồ chơi nhai chịu lực (KONG/Chew Toys)</t>
        </is>
      </c>
      <c r="S212" s="9" t="inlineStr">
        <is>
          <t>HOT LEAD (Điểm ≥61): Liên hệ Telesale/Email chào gói Starter Kit &amp; Báo giá sỉ chiết khấu BOM</t>
        </is>
      </c>
    </row>
    <row r="213">
      <c r="A213" s="53" t="n">
        <v>1566</v>
      </c>
      <c r="B213" s="12" t="inlineStr">
        <is>
          <t>Greens Four Season Lawn Care LLC</t>
        </is>
      </c>
      <c r="C213" s="54" t="inlineStr">
        <is>
          <t>https://www.facebook.com/profile.php?id=100063805402187</t>
        </is>
      </c>
      <c r="D213" s="6" t="inlineStr">
        <is>
          <t>Cần quét Bio Fanpage</t>
        </is>
      </c>
      <c r="E213" s="53" t="inlineStr">
        <is>
          <t>12/10/2026 17:20:47</t>
        </is>
      </c>
      <c r="F213" s="53" t="inlineStr">
        <is>
          <t>10 giờ trước</t>
        </is>
      </c>
      <c r="G213" s="55" t="n">
        <v>0.42</v>
      </c>
      <c r="H213" s="56" t="n">
        <v>32</v>
      </c>
      <c r="I213" s="6" t="inlineStr">
        <is>
          <t>Pet Boarding / Huấn luyện K9 &amp; Dịch vụ (20-22đ)</t>
        </is>
      </c>
      <c r="J213" s="56" t="n">
        <v>22</v>
      </c>
      <c r="K213" s="6" t="inlineStr">
        <is>
          <t>Chưa rõ giống (Cần quét Bio)</t>
        </is>
      </c>
      <c r="L213" s="56" t="n">
        <v>0</v>
      </c>
      <c r="M213" s="56" t="n">
        <v>10</v>
      </c>
      <c r="N213" s="6" t="inlineStr">
        <is>
          <t>Amazon link not found</t>
        </is>
      </c>
      <c r="O213" s="56">
        <f>IF(N213="Selling pet toys + Artificial grass/Pet toilets (TARGET)",15,IF(N213="Selling artificial grass/pet toilets (TARGET)",10,IF(N213="Selling pet toys",7,IF(N213="There's an Amazon link, but no target sales.",3,0))))</f>
        <v/>
      </c>
      <c r="P213" s="63">
        <f>H213+J213+L213+M213+O213</f>
        <v/>
      </c>
      <c r="Q213" s="64">
        <f>IF(OR(H213=0,P213&lt;30),"Tier D (Đóng băng)",IF(P213&gt;=85,"Tier S (Kim Cương: 85-100đ)",IF(P213&gt;=70,"Tier A (Vàng: 70-84đ)",IF(P213&gt;=61,"Tier B+ / Cấp A (Hot Lead: 61-69đ)",IF(P213&gt;=50,"Tier B (Bạc: 50-60đ)","Tier C (Đồng: 30-49đ)")))))</f>
        <v/>
      </c>
      <c r="R213" s="6" t="inlineStr">
        <is>
          <t>Cỏ nhân tạo sân chơi/huấn luyện (Dog Turf) + Đồ chơi nhai chịu lực (KONG/Chew Toys)</t>
        </is>
      </c>
      <c r="S213" s="6" t="inlineStr">
        <is>
          <t>HOT LEAD (Điểm ≥61): Liên hệ Telesale/Email chào gói Starter Kit &amp; Báo giá sỉ chiết khấu BOM</t>
        </is>
      </c>
    </row>
    <row r="214">
      <c r="A214" s="59" t="n">
        <v>4050</v>
      </c>
      <c r="B214" s="15" t="inlineStr">
        <is>
          <t>Guide Dogs of America - Tender Loving Canines</t>
        </is>
      </c>
      <c r="C214" s="60" t="inlineStr">
        <is>
          <t>https://www.facebook.com/GuideDogsofAmerica</t>
        </is>
      </c>
      <c r="D214" s="9" t="inlineStr">
        <is>
          <t>Cần quét Bio Fanpage</t>
        </is>
      </c>
      <c r="E214" s="59" t="inlineStr">
        <is>
          <t>13/10/2026 08:00:21</t>
        </is>
      </c>
      <c r="F214" s="59" t="inlineStr">
        <is>
          <t>13 phút trước</t>
        </is>
      </c>
      <c r="G214" s="61" t="n">
        <v>0.01</v>
      </c>
      <c r="H214" s="62" t="n">
        <v>35</v>
      </c>
      <c r="I214" s="9" t="inlineStr">
        <is>
          <t>Dog Breeder / Trại chó chuyên nghiệp (28-30đ)</t>
        </is>
      </c>
      <c r="J214" s="62" t="n">
        <v>28</v>
      </c>
      <c r="K214" s="9" t="inlineStr">
        <is>
          <t>Chưa rõ giống (Cần quét Bio)</t>
        </is>
      </c>
      <c r="L214" s="62" t="n">
        <v>0</v>
      </c>
      <c r="M214" s="62" t="n">
        <v>0</v>
      </c>
      <c r="N214" s="9" t="inlineStr">
        <is>
          <t>Amazon link not found</t>
        </is>
      </c>
      <c r="O214" s="62">
        <f>IF(N214="Selling pet toys + Artificial grass/Pet toilets (TARGET)",15,IF(N214="Selling artificial grass/pet toilets (TARGET)",10,IF(N214="Selling pet toys",7,IF(N214="There's an Amazon link, but no target sales.",3,0))))</f>
        <v/>
      </c>
      <c r="P214" s="63">
        <f>H214+J214+L214+M214+O214</f>
        <v/>
      </c>
      <c r="Q214" s="64">
        <f>IF(OR(H214=0,P214&lt;30),"Tier D (Đóng băng)",IF(P214&gt;=85,"Tier S (Kim Cương: 85-100đ)",IF(P214&gt;=70,"Tier A (Vàng: 70-84đ)",IF(P214&gt;=61,"Tier B+ / Cấp A (Hot Lead: 61-69đ)",IF(P214&gt;=50,"Tier B (Bạc: 50-60đ)","Tier C (Đồng: 30-49đ)")))))</f>
        <v/>
      </c>
      <c r="R214" s="9" t="inlineStr">
        <is>
          <t>Trọn gói Take-Home Starter Kit V2/V3 (Cỏ nhân tạo + Khay Potty + Đồ chơi Teething/Snuggle)</t>
        </is>
      </c>
      <c r="S214" s="9" t="inlineStr">
        <is>
          <t>HOT LEAD (Điểm ≥61): Liên hệ Telesale/Email chào gói Starter Kit &amp; Báo giá sỉ chiết khấu BOM</t>
        </is>
      </c>
    </row>
    <row r="215">
      <c r="A215" s="53" t="n">
        <v>2866</v>
      </c>
      <c r="B215" s="12" t="inlineStr">
        <is>
          <t>Service Dogs of Virginia</t>
        </is>
      </c>
      <c r="C215" s="54" t="inlineStr">
        <is>
          <t>https://www.facebook.com/ServiceDogsofVirginia</t>
        </is>
      </c>
      <c r="D215" s="6" t="inlineStr">
        <is>
          <t>Cần quét Bio Fanpage</t>
        </is>
      </c>
      <c r="E215" s="53" t="inlineStr">
        <is>
          <t>13/10/2026 06:02:22</t>
        </is>
      </c>
      <c r="F215" s="53" t="inlineStr">
        <is>
          <t>2 phút trước</t>
        </is>
      </c>
      <c r="G215" s="55" t="n">
        <v>0</v>
      </c>
      <c r="H215" s="56" t="n">
        <v>35</v>
      </c>
      <c r="I215" s="6" t="inlineStr">
        <is>
          <t>Dog Breeder / Trại chó chuyên nghiệp (28-30đ)</t>
        </is>
      </c>
      <c r="J215" s="56" t="n">
        <v>28</v>
      </c>
      <c r="K215" s="6" t="inlineStr">
        <is>
          <t>Chưa rõ giống (Cần quét Bio)</t>
        </is>
      </c>
      <c r="L215" s="56" t="n">
        <v>0</v>
      </c>
      <c r="M215" s="56" t="n">
        <v>0</v>
      </c>
      <c r="N215" s="6" t="inlineStr">
        <is>
          <t>Amazon link not found</t>
        </is>
      </c>
      <c r="O215" s="56">
        <f>IF(N215="Selling pet toys + Artificial grass/Pet toilets (TARGET)",15,IF(N215="Selling artificial grass/pet toilets (TARGET)",10,IF(N215="Selling pet toys",7,IF(N215="There's an Amazon link, but no target sales.",3,0))))</f>
        <v/>
      </c>
      <c r="P215" s="63">
        <f>H215+J215+L215+M215+O215</f>
        <v/>
      </c>
      <c r="Q215" s="64">
        <f>IF(OR(H215=0,P215&lt;30),"Tier D (Đóng băng)",IF(P215&gt;=85,"Tier S (Kim Cương: 85-100đ)",IF(P215&gt;=70,"Tier A (Vàng: 70-84đ)",IF(P215&gt;=61,"Tier B+ / Cấp A (Hot Lead: 61-69đ)",IF(P215&gt;=50,"Tier B (Bạc: 50-60đ)","Tier C (Đồng: 30-49đ)")))))</f>
        <v/>
      </c>
      <c r="R215" s="6" t="inlineStr">
        <is>
          <t>Trọn gói Take-Home Starter Kit V2/V3 (Cỏ nhân tạo + Khay Potty + Đồ chơi Teething/Snuggle)</t>
        </is>
      </c>
      <c r="S215" s="6" t="inlineStr">
        <is>
          <t>HOT LEAD (Điểm ≥61): Liên hệ Telesale/Email chào gói Starter Kit &amp; Báo giá sỉ chiết khấu BOM</t>
        </is>
      </c>
    </row>
    <row r="216">
      <c r="A216" s="59" t="n">
        <v>3402</v>
      </c>
      <c r="B216" s="15" t="inlineStr">
        <is>
          <t>Whispering Willow Kennels LLC</t>
        </is>
      </c>
      <c r="C216" s="60" t="inlineStr">
        <is>
          <t>https://www.facebook.com/whisperingwillowkennels</t>
        </is>
      </c>
      <c r="D216" s="9" t="inlineStr">
        <is>
          <t>Cần quét Bio Fanpage</t>
        </is>
      </c>
      <c r="E216" s="59" t="inlineStr">
        <is>
          <t>12/10/2026 05:55:24</t>
        </is>
      </c>
      <c r="F216" s="59" t="inlineStr">
        <is>
          <t>1 ngày trước</t>
        </is>
      </c>
      <c r="G216" s="61" t="n">
        <v>1</v>
      </c>
      <c r="H216" s="62" t="n">
        <v>28</v>
      </c>
      <c r="I216" s="9" t="inlineStr">
        <is>
          <t>Dog Breeder / Trại chó chuyên nghiệp (28-30đ)</t>
        </is>
      </c>
      <c r="J216" s="62" t="n">
        <v>30</v>
      </c>
      <c r="K216" s="9" t="inlineStr">
        <is>
          <t>Chưa rõ giống (Cần quét Bio)</t>
        </is>
      </c>
      <c r="L216" s="62" t="n">
        <v>0</v>
      </c>
      <c r="M216" s="62" t="n">
        <v>5</v>
      </c>
      <c r="N216" s="9" t="inlineStr">
        <is>
          <t>Amazon link not found</t>
        </is>
      </c>
      <c r="O216" s="62">
        <f>IF(N216="Selling pet toys + Artificial grass/Pet toilets (TARGET)",15,IF(N216="Selling artificial grass/pet toilets (TARGET)",10,IF(N216="Selling pet toys",7,IF(N216="There's an Amazon link, but no target sales.",3,0))))</f>
        <v/>
      </c>
      <c r="P216" s="63">
        <f>H216+J216+L216+M216+O216</f>
        <v/>
      </c>
      <c r="Q216" s="64">
        <f>IF(OR(H216=0,P216&lt;30),"Tier D (Đóng băng)",IF(P216&gt;=85,"Tier S (Kim Cương: 85-100đ)",IF(P216&gt;=70,"Tier A (Vàng: 70-84đ)",IF(P216&gt;=61,"Tier B+ / Cấp A (Hot Lead: 61-69đ)",IF(P216&gt;=50,"Tier B (Bạc: 50-60đ)","Tier C (Đồng: 30-49đ)")))))</f>
        <v/>
      </c>
      <c r="R216" s="9" t="inlineStr">
        <is>
          <t>Trọn gói Take-Home Starter Kit V2/V3 (Cỏ nhân tạo + Khay Potty + Đồ chơi Teething/Snuggle)</t>
        </is>
      </c>
      <c r="S216" s="9" t="inlineStr">
        <is>
          <t>HOT LEAD (Điểm ≥61): Liên hệ Telesale/Email chào gói Starter Kit &amp; Báo giá sỉ chiết khấu BOM</t>
        </is>
      </c>
    </row>
    <row r="217">
      <c r="A217" s="53" t="n">
        <v>2386</v>
      </c>
      <c r="B217" s="12" t="inlineStr">
        <is>
          <t>Ozzies Pound Puppies</t>
        </is>
      </c>
      <c r="C217" s="54" t="inlineStr">
        <is>
          <t>https://www.facebook.com/OzziesPoundPuppies</t>
        </is>
      </c>
      <c r="D217" s="6" t="inlineStr">
        <is>
          <t>Cần quét Bio Fanpage</t>
        </is>
      </c>
      <c r="E217" s="53" t="inlineStr">
        <is>
          <t>12/10/2026 04:48:47</t>
        </is>
      </c>
      <c r="F217" s="53" t="inlineStr">
        <is>
          <t>1 ngày trước</t>
        </is>
      </c>
      <c r="G217" s="55" t="n">
        <v>1</v>
      </c>
      <c r="H217" s="56" t="n">
        <v>28</v>
      </c>
      <c r="I217" s="6" t="inlineStr">
        <is>
          <t>Dog Breeder / Trại chó chuyên nghiệp (28-30đ)</t>
        </is>
      </c>
      <c r="J217" s="56" t="n">
        <v>30</v>
      </c>
      <c r="K217" s="6" t="inlineStr">
        <is>
          <t>Chưa rõ giống (Cần quét Bio)</t>
        </is>
      </c>
      <c r="L217" s="56" t="n">
        <v>0</v>
      </c>
      <c r="M217" s="56" t="n">
        <v>5</v>
      </c>
      <c r="N217" s="6" t="inlineStr">
        <is>
          <t>Amazon link not found</t>
        </is>
      </c>
      <c r="O217" s="56">
        <f>IF(N217="Selling pet toys + Artificial grass/Pet toilets (TARGET)",15,IF(N217="Selling artificial grass/pet toilets (TARGET)",10,IF(N217="Selling pet toys",7,IF(N217="There's an Amazon link, but no target sales.",3,0))))</f>
        <v/>
      </c>
      <c r="P217" s="63">
        <f>H217+J217+L217+M217+O217</f>
        <v/>
      </c>
      <c r="Q217" s="64">
        <f>IF(OR(H217=0,P217&lt;30),"Tier D (Đóng băng)",IF(P217&gt;=85,"Tier S (Kim Cương: 85-100đ)",IF(P217&gt;=70,"Tier A (Vàng: 70-84đ)",IF(P217&gt;=61,"Tier B+ / Cấp A (Hot Lead: 61-69đ)",IF(P217&gt;=50,"Tier B (Bạc: 50-60đ)","Tier C (Đồng: 30-49đ)")))))</f>
        <v/>
      </c>
      <c r="R217" s="6" t="inlineStr">
        <is>
          <t>Trọn gói Take-Home Starter Kit V2/V3 (Cỏ nhân tạo + Khay Potty + Đồ chơi Teething/Snuggle)</t>
        </is>
      </c>
      <c r="S217" s="6" t="inlineStr">
        <is>
          <t>HOT LEAD (Điểm ≥61): Liên hệ Telesale/Email chào gói Starter Kit &amp; Báo giá sỉ chiết khấu BOM</t>
        </is>
      </c>
    </row>
    <row r="218">
      <c r="A218" s="59" t="n">
        <v>1587</v>
      </c>
      <c r="B218" s="15" t="inlineStr">
        <is>
          <t>H &amp; M kennels</t>
        </is>
      </c>
      <c r="C218" s="60" t="inlineStr">
        <is>
          <t>https://www.facebook.com/HandMkennels</t>
        </is>
      </c>
      <c r="D218" s="9" t="inlineStr">
        <is>
          <t>Cần quét Bio Fanpage</t>
        </is>
      </c>
      <c r="E218" s="59" t="inlineStr">
        <is>
          <t>12/10/2026 02:58:27</t>
        </is>
      </c>
      <c r="F218" s="59" t="inlineStr">
        <is>
          <t>1 ngày trước</t>
        </is>
      </c>
      <c r="G218" s="61" t="n">
        <v>1</v>
      </c>
      <c r="H218" s="62" t="n">
        <v>28</v>
      </c>
      <c r="I218" s="9" t="inlineStr">
        <is>
          <t>Dog Breeder / Trại chó chuyên nghiệp (28-30đ)</t>
        </is>
      </c>
      <c r="J218" s="62" t="n">
        <v>30</v>
      </c>
      <c r="K218" s="9" t="inlineStr">
        <is>
          <t>Chưa rõ giống (Cần quét Bio)</t>
        </is>
      </c>
      <c r="L218" s="62" t="n">
        <v>0</v>
      </c>
      <c r="M218" s="62" t="n">
        <v>5</v>
      </c>
      <c r="N218" s="9" t="inlineStr">
        <is>
          <t>Amazon link not found</t>
        </is>
      </c>
      <c r="O218" s="62">
        <f>IF(N218="Selling pet toys + Artificial grass/Pet toilets (TARGET)",15,IF(N218="Selling artificial grass/pet toilets (TARGET)",10,IF(N218="Selling pet toys",7,IF(N218="There's an Amazon link, but no target sales.",3,0))))</f>
        <v/>
      </c>
      <c r="P218" s="63">
        <f>H218+J218+L218+M218+O218</f>
        <v/>
      </c>
      <c r="Q218" s="64">
        <f>IF(OR(H218=0,P218&lt;30),"Tier D (Đóng băng)",IF(P218&gt;=85,"Tier S (Kim Cương: 85-100đ)",IF(P218&gt;=70,"Tier A (Vàng: 70-84đ)",IF(P218&gt;=61,"Tier B+ / Cấp A (Hot Lead: 61-69đ)",IF(P218&gt;=50,"Tier B (Bạc: 50-60đ)","Tier C (Đồng: 30-49đ)")))))</f>
        <v/>
      </c>
      <c r="R218" s="9" t="inlineStr">
        <is>
          <t>Trọn gói Take-Home Starter Kit V2/V3 (Cỏ nhân tạo + Khay Potty + Đồ chơi Teething/Snuggle)</t>
        </is>
      </c>
      <c r="S218" s="9" t="inlineStr">
        <is>
          <t>HOT LEAD (Điểm ≥61): Liên hệ Telesale/Email chào gói Starter Kit &amp; Báo giá sỉ chiết khấu BOM</t>
        </is>
      </c>
    </row>
    <row r="219">
      <c r="A219" s="53" t="n">
        <v>1909</v>
      </c>
      <c r="B219" s="12" t="inlineStr">
        <is>
          <t>Kennel Vanghytten</t>
        </is>
      </c>
      <c r="C219" s="54" t="inlineStr">
        <is>
          <t>https://www.facebook.com/vanghytten</t>
        </is>
      </c>
      <c r="D219" s="6" t="inlineStr">
        <is>
          <t>Cần quét Bio Fanpage</t>
        </is>
      </c>
      <c r="E219" s="53" t="inlineStr">
        <is>
          <t>12/10/2026 02:50:23</t>
        </is>
      </c>
      <c r="F219" s="53" t="inlineStr">
        <is>
          <t>1 ngày trước</t>
        </is>
      </c>
      <c r="G219" s="55" t="n">
        <v>1</v>
      </c>
      <c r="H219" s="56" t="n">
        <v>28</v>
      </c>
      <c r="I219" s="6" t="inlineStr">
        <is>
          <t>Dog Breeder / Trại chó chuyên nghiệp (28-30đ)</t>
        </is>
      </c>
      <c r="J219" s="56" t="n">
        <v>30</v>
      </c>
      <c r="K219" s="6" t="inlineStr">
        <is>
          <t>Chưa rõ giống (Cần quét Bio)</t>
        </is>
      </c>
      <c r="L219" s="56" t="n">
        <v>0</v>
      </c>
      <c r="M219" s="56" t="n">
        <v>5</v>
      </c>
      <c r="N219" s="6" t="inlineStr">
        <is>
          <t>Amazon link not found</t>
        </is>
      </c>
      <c r="O219" s="56">
        <f>IF(N219="Selling pet toys + Artificial grass/Pet toilets (TARGET)",15,IF(N219="Selling artificial grass/pet toilets (TARGET)",10,IF(N219="Selling pet toys",7,IF(N219="There's an Amazon link, but no target sales.",3,0))))</f>
        <v/>
      </c>
      <c r="P219" s="63">
        <f>H219+J219+L219+M219+O219</f>
        <v/>
      </c>
      <c r="Q219" s="64">
        <f>IF(OR(H219=0,P219&lt;30),"Tier D (Đóng băng)",IF(P219&gt;=85,"Tier S (Kim Cương: 85-100đ)",IF(P219&gt;=70,"Tier A (Vàng: 70-84đ)",IF(P219&gt;=61,"Tier B+ / Cấp A (Hot Lead: 61-69đ)",IF(P219&gt;=50,"Tier B (Bạc: 50-60đ)","Tier C (Đồng: 30-49đ)")))))</f>
        <v/>
      </c>
      <c r="R219" s="6" t="inlineStr">
        <is>
          <t>Trọn gói Take-Home Starter Kit V2/V3 (Cỏ nhân tạo + Khay Potty + Đồ chơi Teething/Snuggle)</t>
        </is>
      </c>
      <c r="S219" s="6" t="inlineStr">
        <is>
          <t>HOT LEAD (Điểm ≥61): Liên hệ Telesale/Email chào gói Starter Kit &amp; Báo giá sỉ chiết khấu BOM</t>
        </is>
      </c>
    </row>
    <row r="220">
      <c r="A220" s="59" t="n">
        <v>1690</v>
      </c>
      <c r="B220" s="15" t="inlineStr">
        <is>
          <t>House of Bern Kennel</t>
        </is>
      </c>
      <c r="C220" s="60" t="inlineStr">
        <is>
          <t>https://www.facebook.com/profile.php?id=100058838389097</t>
        </is>
      </c>
      <c r="D220" s="9" t="inlineStr">
        <is>
          <t>Cần quét Bio Fanpage</t>
        </is>
      </c>
      <c r="E220" s="59" t="inlineStr">
        <is>
          <t>12/10/2026 02:00:40</t>
        </is>
      </c>
      <c r="F220" s="59" t="inlineStr">
        <is>
          <t>1 ngày trước</t>
        </is>
      </c>
      <c r="G220" s="61" t="n">
        <v>1</v>
      </c>
      <c r="H220" s="62" t="n">
        <v>28</v>
      </c>
      <c r="I220" s="9" t="inlineStr">
        <is>
          <t>Dog Breeder / Trại chó chuyên nghiệp (28-30đ)</t>
        </is>
      </c>
      <c r="J220" s="62" t="n">
        <v>30</v>
      </c>
      <c r="K220" s="9" t="inlineStr">
        <is>
          <t>Chưa rõ giống (Cần quét Bio)</t>
        </is>
      </c>
      <c r="L220" s="62" t="n">
        <v>0</v>
      </c>
      <c r="M220" s="62" t="n">
        <v>5</v>
      </c>
      <c r="N220" s="9" t="inlineStr">
        <is>
          <t>Amazon link not found</t>
        </is>
      </c>
      <c r="O220" s="62">
        <f>IF(N220="Selling pet toys + Artificial grass/Pet toilets (TARGET)",15,IF(N220="Selling artificial grass/pet toilets (TARGET)",10,IF(N220="Selling pet toys",7,IF(N220="There's an Amazon link, but no target sales.",3,0))))</f>
        <v/>
      </c>
      <c r="P220" s="63">
        <f>H220+J220+L220+M220+O220</f>
        <v/>
      </c>
      <c r="Q220" s="64">
        <f>IF(OR(H220=0,P220&lt;30),"Tier D (Đóng băng)",IF(P220&gt;=85,"Tier S (Kim Cương: 85-100đ)",IF(P220&gt;=70,"Tier A (Vàng: 70-84đ)",IF(P220&gt;=61,"Tier B+ / Cấp A (Hot Lead: 61-69đ)",IF(P220&gt;=50,"Tier B (Bạc: 50-60đ)","Tier C (Đồng: 30-49đ)")))))</f>
        <v/>
      </c>
      <c r="R220" s="9" t="inlineStr">
        <is>
          <t>Trọn gói Take-Home Starter Kit V2/V3 (Cỏ nhân tạo + Khay Potty + Đồ chơi Teething/Snuggle)</t>
        </is>
      </c>
      <c r="S220" s="9" t="inlineStr">
        <is>
          <t>HOT LEAD (Điểm ≥61): Liên hệ Telesale/Email chào gói Starter Kit &amp; Báo giá sỉ chiết khấu BOM</t>
        </is>
      </c>
    </row>
    <row r="221">
      <c r="A221" s="53" t="n">
        <v>1938</v>
      </c>
      <c r="B221" s="12" t="inlineStr">
        <is>
          <t>Kolorko Kennel</t>
        </is>
      </c>
      <c r="C221" s="54" t="inlineStr">
        <is>
          <t>https://www.facebook.com/profile.php?id=100057520715789</t>
        </is>
      </c>
      <c r="D221" s="6" t="inlineStr">
        <is>
          <t>Cần quét Bio Fanpage</t>
        </is>
      </c>
      <c r="E221" s="53" t="inlineStr">
        <is>
          <t>12/10/2026 02:00:29</t>
        </is>
      </c>
      <c r="F221" s="53" t="inlineStr">
        <is>
          <t>1 ngày trước</t>
        </is>
      </c>
      <c r="G221" s="55" t="n">
        <v>1</v>
      </c>
      <c r="H221" s="56" t="n">
        <v>28</v>
      </c>
      <c r="I221" s="6" t="inlineStr">
        <is>
          <t>Dog Breeder / Trại chó chuyên nghiệp (28-30đ)</t>
        </is>
      </c>
      <c r="J221" s="56" t="n">
        <v>30</v>
      </c>
      <c r="K221" s="6" t="inlineStr">
        <is>
          <t>Chưa rõ giống (Cần quét Bio)</t>
        </is>
      </c>
      <c r="L221" s="56" t="n">
        <v>0</v>
      </c>
      <c r="M221" s="56" t="n">
        <v>5</v>
      </c>
      <c r="N221" s="6" t="inlineStr">
        <is>
          <t>Amazon link not found</t>
        </is>
      </c>
      <c r="O221" s="56">
        <f>IF(N221="Selling pet toys + Artificial grass/Pet toilets (TARGET)",15,IF(N221="Selling artificial grass/pet toilets (TARGET)",10,IF(N221="Selling pet toys",7,IF(N221="There's an Amazon link, but no target sales.",3,0))))</f>
        <v/>
      </c>
      <c r="P221" s="63">
        <f>H221+J221+L221+M221+O221</f>
        <v/>
      </c>
      <c r="Q221" s="64">
        <f>IF(OR(H221=0,P221&lt;30),"Tier D (Đóng băng)",IF(P221&gt;=85,"Tier S (Kim Cương: 85-100đ)",IF(P221&gt;=70,"Tier A (Vàng: 70-84đ)",IF(P221&gt;=61,"Tier B+ / Cấp A (Hot Lead: 61-69đ)",IF(P221&gt;=50,"Tier B (Bạc: 50-60đ)","Tier C (Đồng: 30-49đ)")))))</f>
        <v/>
      </c>
      <c r="R221" s="6" t="inlineStr">
        <is>
          <t>Trọn gói Take-Home Starter Kit V2/V3 (Cỏ nhân tạo + Khay Potty + Đồ chơi Teething/Snuggle)</t>
        </is>
      </c>
      <c r="S221" s="6" t="inlineStr">
        <is>
          <t>HOT LEAD (Điểm ≥61): Liên hệ Telesale/Email chào gói Starter Kit &amp; Báo giá sỉ chiết khấu BOM</t>
        </is>
      </c>
    </row>
    <row r="222">
      <c r="A222" s="59" t="n">
        <v>2283</v>
      </c>
      <c r="B222" s="15" t="inlineStr">
        <is>
          <t>New Eden Kennels Boarding &amp; Training</t>
        </is>
      </c>
      <c r="C222" s="60" t="inlineStr">
        <is>
          <t>https://www.facebook.com/NEKtraining</t>
        </is>
      </c>
      <c r="D222" s="9" t="inlineStr">
        <is>
          <t>Cần quét Bio Fanpage</t>
        </is>
      </c>
      <c r="E222" s="59" t="inlineStr">
        <is>
          <t>12/10/2026 01:49:00</t>
        </is>
      </c>
      <c r="F222" s="59" t="inlineStr">
        <is>
          <t>1 ngày trước</t>
        </is>
      </c>
      <c r="G222" s="61" t="n">
        <v>1</v>
      </c>
      <c r="H222" s="62" t="n">
        <v>28</v>
      </c>
      <c r="I222" s="9" t="inlineStr">
        <is>
          <t>Dog Breeder / Trại chó chuyên nghiệp (28-30đ)</t>
        </is>
      </c>
      <c r="J222" s="62" t="n">
        <v>30</v>
      </c>
      <c r="K222" s="9" t="inlineStr">
        <is>
          <t>Chưa rõ giống (Cần quét Bio)</t>
        </is>
      </c>
      <c r="L222" s="62" t="n">
        <v>0</v>
      </c>
      <c r="M222" s="62" t="n">
        <v>5</v>
      </c>
      <c r="N222" s="9" t="inlineStr">
        <is>
          <t>Amazon link not found</t>
        </is>
      </c>
      <c r="O222" s="62">
        <f>IF(N222="Selling pet toys + Artificial grass/Pet toilets (TARGET)",15,IF(N222="Selling artificial grass/pet toilets (TARGET)",10,IF(N222="Selling pet toys",7,IF(N222="There's an Amazon link, but no target sales.",3,0))))</f>
        <v/>
      </c>
      <c r="P222" s="63">
        <f>H222+J222+L222+M222+O222</f>
        <v/>
      </c>
      <c r="Q222" s="64">
        <f>IF(OR(H222=0,P222&lt;30),"Tier D (Đóng băng)",IF(P222&gt;=85,"Tier S (Kim Cương: 85-100đ)",IF(P222&gt;=70,"Tier A (Vàng: 70-84đ)",IF(P222&gt;=61,"Tier B+ / Cấp A (Hot Lead: 61-69đ)",IF(P222&gt;=50,"Tier B (Bạc: 50-60đ)","Tier C (Đồng: 30-49đ)")))))</f>
        <v/>
      </c>
      <c r="R222" s="9" t="inlineStr">
        <is>
          <t>Trọn gói Take-Home Starter Kit V2/V3 (Cỏ nhân tạo + Khay Potty + Đồ chơi Teething/Snuggle)</t>
        </is>
      </c>
      <c r="S222" s="9" t="inlineStr">
        <is>
          <t>HOT LEAD (Điểm ≥61): Liên hệ Telesale/Email chào gói Starter Kit &amp; Báo giá sỉ chiết khấu BOM</t>
        </is>
      </c>
    </row>
    <row r="223">
      <c r="A223" s="53" t="n">
        <v>1394</v>
      </c>
      <c r="B223" s="12" t="inlineStr">
        <is>
          <t>Fitmin-Kennel</t>
        </is>
      </c>
      <c r="C223" s="54" t="inlineStr">
        <is>
          <t>https://www.facebook.com/fitmin.kennel</t>
        </is>
      </c>
      <c r="D223" s="6" t="inlineStr">
        <is>
          <t>Cần quét Bio Fanpage</t>
        </is>
      </c>
      <c r="E223" s="53" t="inlineStr">
        <is>
          <t>12/10/2026 01:34:51</t>
        </is>
      </c>
      <c r="F223" s="53" t="inlineStr">
        <is>
          <t>1 ngày trước</t>
        </is>
      </c>
      <c r="G223" s="55" t="n">
        <v>1</v>
      </c>
      <c r="H223" s="56" t="n">
        <v>28</v>
      </c>
      <c r="I223" s="6" t="inlineStr">
        <is>
          <t>Dog Breeder / Trại chó chuyên nghiệp (28-30đ)</t>
        </is>
      </c>
      <c r="J223" s="56" t="n">
        <v>30</v>
      </c>
      <c r="K223" s="6" t="inlineStr">
        <is>
          <t>Chưa rõ giống (Cần quét Bio)</t>
        </is>
      </c>
      <c r="L223" s="56" t="n">
        <v>0</v>
      </c>
      <c r="M223" s="56" t="n">
        <v>5</v>
      </c>
      <c r="N223" s="6" t="inlineStr">
        <is>
          <t>Amazon link not found</t>
        </is>
      </c>
      <c r="O223" s="56">
        <f>IF(N223="Selling pet toys + Artificial grass/Pet toilets (TARGET)",15,IF(N223="Selling artificial grass/pet toilets (TARGET)",10,IF(N223="Selling pet toys",7,IF(N223="There's an Amazon link, but no target sales.",3,0))))</f>
        <v/>
      </c>
      <c r="P223" s="63">
        <f>H223+J223+L223+M223+O223</f>
        <v/>
      </c>
      <c r="Q223" s="64">
        <f>IF(OR(H223=0,P223&lt;30),"Tier D (Đóng băng)",IF(P223&gt;=85,"Tier S (Kim Cương: 85-100đ)",IF(P223&gt;=70,"Tier A (Vàng: 70-84đ)",IF(P223&gt;=61,"Tier B+ / Cấp A (Hot Lead: 61-69đ)",IF(P223&gt;=50,"Tier B (Bạc: 50-60đ)","Tier C (Đồng: 30-49đ)")))))</f>
        <v/>
      </c>
      <c r="R223" s="6" t="inlineStr">
        <is>
          <t>Trọn gói Take-Home Starter Kit V2/V3 (Cỏ nhân tạo + Khay Potty + Đồ chơi Teething/Snuggle)</t>
        </is>
      </c>
      <c r="S223" s="6" t="inlineStr">
        <is>
          <t>HOT LEAD (Điểm ≥61): Liên hệ Telesale/Email chào gói Starter Kit &amp; Báo giá sỉ chiết khấu BOM</t>
        </is>
      </c>
    </row>
    <row r="224">
      <c r="A224" s="59" t="n">
        <v>2900</v>
      </c>
      <c r="B224" s="15" t="inlineStr">
        <is>
          <t>Silver Ace Sled Dog Kennel</t>
        </is>
      </c>
      <c r="C224" s="60" t="inlineStr">
        <is>
          <t>https://www.facebook.com/SmokinAceKennels</t>
        </is>
      </c>
      <c r="D224" s="9" t="inlineStr">
        <is>
          <t>Cần quét Bio Fanpage</t>
        </is>
      </c>
      <c r="E224" s="59" t="inlineStr">
        <is>
          <t>12/10/2026 00:59:12</t>
        </is>
      </c>
      <c r="F224" s="59" t="inlineStr">
        <is>
          <t>1 ngày trước</t>
        </is>
      </c>
      <c r="G224" s="61" t="n">
        <v>1</v>
      </c>
      <c r="H224" s="62" t="n">
        <v>28</v>
      </c>
      <c r="I224" s="9" t="inlineStr">
        <is>
          <t>Dog Breeder / Trại chó chuyên nghiệp (28-30đ)</t>
        </is>
      </c>
      <c r="J224" s="62" t="n">
        <v>30</v>
      </c>
      <c r="K224" s="9" t="inlineStr">
        <is>
          <t>Chưa rõ giống (Cần quét Bio)</t>
        </is>
      </c>
      <c r="L224" s="62" t="n">
        <v>0</v>
      </c>
      <c r="M224" s="62" t="n">
        <v>5</v>
      </c>
      <c r="N224" s="9" t="inlineStr">
        <is>
          <t>Amazon link not found</t>
        </is>
      </c>
      <c r="O224" s="62">
        <f>IF(N224="Selling pet toys + Artificial grass/Pet toilets (TARGET)",15,IF(N224="Selling artificial grass/pet toilets (TARGET)",10,IF(N224="Selling pet toys",7,IF(N224="There's an Amazon link, but no target sales.",3,0))))</f>
        <v/>
      </c>
      <c r="P224" s="63">
        <f>H224+J224+L224+M224+O224</f>
        <v/>
      </c>
      <c r="Q224" s="64">
        <f>IF(OR(H224=0,P224&lt;30),"Tier D (Đóng băng)",IF(P224&gt;=85,"Tier S (Kim Cương: 85-100đ)",IF(P224&gt;=70,"Tier A (Vàng: 70-84đ)",IF(P224&gt;=61,"Tier B+ / Cấp A (Hot Lead: 61-69đ)",IF(P224&gt;=50,"Tier B (Bạc: 50-60đ)","Tier C (Đồng: 30-49đ)")))))</f>
        <v/>
      </c>
      <c r="R224" s="9" t="inlineStr">
        <is>
          <t>Trọn gói Take-Home Starter Kit V2/V3 (Cỏ nhân tạo + Khay Potty + Đồ chơi Teething/Snuggle)</t>
        </is>
      </c>
      <c r="S224" s="9" t="inlineStr">
        <is>
          <t>HOT LEAD (Điểm ≥61): Liên hệ Telesale/Email chào gói Starter Kit &amp; Báo giá sỉ chiết khấu BOM</t>
        </is>
      </c>
    </row>
    <row r="225">
      <c r="A225" s="53" t="n">
        <v>1904</v>
      </c>
      <c r="B225" s="12" t="inlineStr">
        <is>
          <t>Kennel Sons of North</t>
        </is>
      </c>
      <c r="C225" s="54" t="inlineStr">
        <is>
          <t>https://www.facebook.com/kennelsonsofnorth</t>
        </is>
      </c>
      <c r="D225" s="6" t="inlineStr">
        <is>
          <t>Cần quét Bio Fanpage</t>
        </is>
      </c>
      <c r="E225" s="53" t="inlineStr">
        <is>
          <t>12/10/2026 00:35:17</t>
        </is>
      </c>
      <c r="F225" s="53" t="inlineStr">
        <is>
          <t>1 ngày trước</t>
        </is>
      </c>
      <c r="G225" s="55" t="n">
        <v>1</v>
      </c>
      <c r="H225" s="56" t="n">
        <v>28</v>
      </c>
      <c r="I225" s="6" t="inlineStr">
        <is>
          <t>Dog Breeder / Trại chó chuyên nghiệp (28-30đ)</t>
        </is>
      </c>
      <c r="J225" s="56" t="n">
        <v>30</v>
      </c>
      <c r="K225" s="6" t="inlineStr">
        <is>
          <t>Chưa rõ giống (Cần quét Bio)</t>
        </is>
      </c>
      <c r="L225" s="56" t="n">
        <v>0</v>
      </c>
      <c r="M225" s="56" t="n">
        <v>5</v>
      </c>
      <c r="N225" s="6" t="inlineStr">
        <is>
          <t>Amazon link not found</t>
        </is>
      </c>
      <c r="O225" s="56">
        <f>IF(N225="Selling pet toys + Artificial grass/Pet toilets (TARGET)",15,IF(N225="Selling artificial grass/pet toilets (TARGET)",10,IF(N225="Selling pet toys",7,IF(N225="There's an Amazon link, but no target sales.",3,0))))</f>
        <v/>
      </c>
      <c r="P225" s="63">
        <f>H225+J225+L225+M225+O225</f>
        <v/>
      </c>
      <c r="Q225" s="64">
        <f>IF(OR(H225=0,P225&lt;30),"Tier D (Đóng băng)",IF(P225&gt;=85,"Tier S (Kim Cương: 85-100đ)",IF(P225&gt;=70,"Tier A (Vàng: 70-84đ)",IF(P225&gt;=61,"Tier B+ / Cấp A (Hot Lead: 61-69đ)",IF(P225&gt;=50,"Tier B (Bạc: 50-60đ)","Tier C (Đồng: 30-49đ)")))))</f>
        <v/>
      </c>
      <c r="R225" s="6" t="inlineStr">
        <is>
          <t>Trọn gói Take-Home Starter Kit V2/V3 (Cỏ nhân tạo + Khay Potty + Đồ chơi Teething/Snuggle)</t>
        </is>
      </c>
      <c r="S225" s="6" t="inlineStr">
        <is>
          <t>HOT LEAD (Điểm ≥61): Liên hệ Telesale/Email chào gói Starter Kit &amp; Báo giá sỉ chiết khấu BOM</t>
        </is>
      </c>
    </row>
    <row r="226">
      <c r="A226" s="59" t="n">
        <v>1492</v>
      </c>
      <c r="B226" s="15" t="inlineStr">
        <is>
          <t>Genstat Kennel</t>
        </is>
      </c>
      <c r="C226" s="60" t="inlineStr">
        <is>
          <t>https://www.facebook.com/genstat.kennel</t>
        </is>
      </c>
      <c r="D226" s="9" t="inlineStr">
        <is>
          <t>Cần quét Bio Fanpage</t>
        </is>
      </c>
      <c r="E226" s="59" t="inlineStr">
        <is>
          <t>12/10/2026 00:28:17</t>
        </is>
      </c>
      <c r="F226" s="59" t="inlineStr">
        <is>
          <t>1 ngày trước</t>
        </is>
      </c>
      <c r="G226" s="61" t="n">
        <v>1</v>
      </c>
      <c r="H226" s="62" t="n">
        <v>28</v>
      </c>
      <c r="I226" s="9" t="inlineStr">
        <is>
          <t>Dog Breeder / Trại chó chuyên nghiệp (28-30đ)</t>
        </is>
      </c>
      <c r="J226" s="62" t="n">
        <v>30</v>
      </c>
      <c r="K226" s="9" t="inlineStr">
        <is>
          <t>Chưa rõ giống (Cần quét Bio)</t>
        </is>
      </c>
      <c r="L226" s="62" t="n">
        <v>0</v>
      </c>
      <c r="M226" s="62" t="n">
        <v>5</v>
      </c>
      <c r="N226" s="9" t="inlineStr">
        <is>
          <t>Amazon link not found</t>
        </is>
      </c>
      <c r="O226" s="62">
        <f>IF(N226="Selling pet toys + Artificial grass/Pet toilets (TARGET)",15,IF(N226="Selling artificial grass/pet toilets (TARGET)",10,IF(N226="Selling pet toys",7,IF(N226="There's an Amazon link, but no target sales.",3,0))))</f>
        <v/>
      </c>
      <c r="P226" s="63">
        <f>H226+J226+L226+M226+O226</f>
        <v/>
      </c>
      <c r="Q226" s="64">
        <f>IF(OR(H226=0,P226&lt;30),"Tier D (Đóng băng)",IF(P226&gt;=85,"Tier S (Kim Cương: 85-100đ)",IF(P226&gt;=70,"Tier A (Vàng: 70-84đ)",IF(P226&gt;=61,"Tier B+ / Cấp A (Hot Lead: 61-69đ)",IF(P226&gt;=50,"Tier B (Bạc: 50-60đ)","Tier C (Đồng: 30-49đ)")))))</f>
        <v/>
      </c>
      <c r="R226" s="9" t="inlineStr">
        <is>
          <t>Trọn gói Take-Home Starter Kit V2/V3 (Cỏ nhân tạo + Khay Potty + Đồ chơi Teething/Snuggle)</t>
        </is>
      </c>
      <c r="S226" s="9" t="inlineStr">
        <is>
          <t>HOT LEAD (Điểm ≥61): Liên hệ Telesale/Email chào gói Starter Kit &amp; Báo giá sỉ chiết khấu BOM</t>
        </is>
      </c>
    </row>
    <row r="227">
      <c r="A227" s="53" t="n">
        <v>1834</v>
      </c>
      <c r="B227" s="12" t="inlineStr">
        <is>
          <t>Kacifántos kennel</t>
        </is>
      </c>
      <c r="C227" s="54" t="inlineStr">
        <is>
          <t>https://www.facebook.com/kacifantoskennel</t>
        </is>
      </c>
      <c r="D227" s="6" t="inlineStr">
        <is>
          <t>Cần quét Bio Fanpage</t>
        </is>
      </c>
      <c r="E227" s="53" t="inlineStr">
        <is>
          <t>11/10/2026 22:45:32</t>
        </is>
      </c>
      <c r="F227" s="53" t="inlineStr">
        <is>
          <t>1 ngày trước</t>
        </is>
      </c>
      <c r="G227" s="55" t="n">
        <v>1</v>
      </c>
      <c r="H227" s="56" t="n">
        <v>28</v>
      </c>
      <c r="I227" s="6" t="inlineStr">
        <is>
          <t>Dog Breeder / Trại chó chuyên nghiệp (28-30đ)</t>
        </is>
      </c>
      <c r="J227" s="56" t="n">
        <v>30</v>
      </c>
      <c r="K227" s="6" t="inlineStr">
        <is>
          <t>Chưa rõ giống (Cần quét Bio)</t>
        </is>
      </c>
      <c r="L227" s="56" t="n">
        <v>0</v>
      </c>
      <c r="M227" s="56" t="n">
        <v>5</v>
      </c>
      <c r="N227" s="6" t="inlineStr">
        <is>
          <t>Amazon link not found</t>
        </is>
      </c>
      <c r="O227" s="56">
        <f>IF(N227="Selling pet toys + Artificial grass/Pet toilets (TARGET)",15,IF(N227="Selling artificial grass/pet toilets (TARGET)",10,IF(N227="Selling pet toys",7,IF(N227="There's an Amazon link, but no target sales.",3,0))))</f>
        <v/>
      </c>
      <c r="P227" s="63">
        <f>H227+J227+L227+M227+O227</f>
        <v/>
      </c>
      <c r="Q227" s="64">
        <f>IF(OR(H227=0,P227&lt;30),"Tier D (Đóng băng)",IF(P227&gt;=85,"Tier S (Kim Cương: 85-100đ)",IF(P227&gt;=70,"Tier A (Vàng: 70-84đ)",IF(P227&gt;=61,"Tier B+ / Cấp A (Hot Lead: 61-69đ)",IF(P227&gt;=50,"Tier B (Bạc: 50-60đ)","Tier C (Đồng: 30-49đ)")))))</f>
        <v/>
      </c>
      <c r="R227" s="6" t="inlineStr">
        <is>
          <t>Trọn gói Take-Home Starter Kit V2/V3 (Cỏ nhân tạo + Khay Potty + Đồ chơi Teething/Snuggle)</t>
        </is>
      </c>
      <c r="S227" s="6" t="inlineStr">
        <is>
          <t>HOT LEAD (Điểm ≥61): Liên hệ Telesale/Email chào gói Starter Kit &amp; Báo giá sỉ chiết khấu BOM</t>
        </is>
      </c>
    </row>
    <row r="228">
      <c r="A228" s="59" t="n">
        <v>1884</v>
      </c>
      <c r="B228" s="15" t="inlineStr">
        <is>
          <t>Kennel Golden Widershein</t>
        </is>
      </c>
      <c r="C228" s="60" t="inlineStr">
        <is>
          <t>https://www.facebook.com/NadaStojanoski</t>
        </is>
      </c>
      <c r="D228" s="9" t="inlineStr">
        <is>
          <t>Cần quét Bio Fanpage</t>
        </is>
      </c>
      <c r="E228" s="59" t="inlineStr">
        <is>
          <t>11/10/2026 22:36:28</t>
        </is>
      </c>
      <c r="F228" s="59" t="inlineStr">
        <is>
          <t>1 ngày trước</t>
        </is>
      </c>
      <c r="G228" s="61" t="n">
        <v>1</v>
      </c>
      <c r="H228" s="62" t="n">
        <v>28</v>
      </c>
      <c r="I228" s="9" t="inlineStr">
        <is>
          <t>Dog Breeder / Trại chó chuyên nghiệp (28-30đ)</t>
        </is>
      </c>
      <c r="J228" s="62" t="n">
        <v>30</v>
      </c>
      <c r="K228" s="9" t="inlineStr">
        <is>
          <t>Chưa rõ giống (Cần quét Bio)</t>
        </is>
      </c>
      <c r="L228" s="62" t="n">
        <v>0</v>
      </c>
      <c r="M228" s="62" t="n">
        <v>5</v>
      </c>
      <c r="N228" s="9" t="inlineStr">
        <is>
          <t>Amazon link not found</t>
        </is>
      </c>
      <c r="O228" s="62">
        <f>IF(N228="Selling pet toys + Artificial grass/Pet toilets (TARGET)",15,IF(N228="Selling artificial grass/pet toilets (TARGET)",10,IF(N228="Selling pet toys",7,IF(N228="There's an Amazon link, but no target sales.",3,0))))</f>
        <v/>
      </c>
      <c r="P228" s="63">
        <f>H228+J228+L228+M228+O228</f>
        <v/>
      </c>
      <c r="Q228" s="64">
        <f>IF(OR(H228=0,P228&lt;30),"Tier D (Đóng băng)",IF(P228&gt;=85,"Tier S (Kim Cương: 85-100đ)",IF(P228&gt;=70,"Tier A (Vàng: 70-84đ)",IF(P228&gt;=61,"Tier B+ / Cấp A (Hot Lead: 61-69đ)",IF(P228&gt;=50,"Tier B (Bạc: 50-60đ)","Tier C (Đồng: 30-49đ)")))))</f>
        <v/>
      </c>
      <c r="R228" s="9" t="inlineStr">
        <is>
          <t>Trọn gói Take-Home Starter Kit V2/V3 (Cỏ nhân tạo + Khay Potty + Đồ chơi Teething/Snuggle)</t>
        </is>
      </c>
      <c r="S228" s="9" t="inlineStr">
        <is>
          <t>HOT LEAD (Điểm ≥61): Liên hệ Telesale/Email chào gói Starter Kit &amp; Báo giá sỉ chiết khấu BOM</t>
        </is>
      </c>
    </row>
    <row r="229">
      <c r="A229" s="53" t="n">
        <v>973</v>
      </c>
      <c r="B229" s="12" t="inlineStr">
        <is>
          <t>CSERI SUBÁS PULI Kennel</t>
        </is>
      </c>
      <c r="C229" s="54" t="inlineStr">
        <is>
          <t>https://www.facebook.com/profile.php?id=100075829101420</t>
        </is>
      </c>
      <c r="D229" s="6" t="inlineStr">
        <is>
          <t>Cần quét Bio Fanpage</t>
        </is>
      </c>
      <c r="E229" s="53" t="inlineStr">
        <is>
          <t>11/10/2026 22:31:16</t>
        </is>
      </c>
      <c r="F229" s="53" t="inlineStr">
        <is>
          <t>1 ngày trước</t>
        </is>
      </c>
      <c r="G229" s="55" t="n">
        <v>1</v>
      </c>
      <c r="H229" s="56" t="n">
        <v>28</v>
      </c>
      <c r="I229" s="6" t="inlineStr">
        <is>
          <t>Dog Breeder / Trại chó chuyên nghiệp (28-30đ)</t>
        </is>
      </c>
      <c r="J229" s="56" t="n">
        <v>30</v>
      </c>
      <c r="K229" s="6" t="inlineStr">
        <is>
          <t>Chưa rõ giống (Cần quét Bio)</t>
        </is>
      </c>
      <c r="L229" s="56" t="n">
        <v>0</v>
      </c>
      <c r="M229" s="56" t="n">
        <v>5</v>
      </c>
      <c r="N229" s="6" t="inlineStr">
        <is>
          <t>Amazon link not found</t>
        </is>
      </c>
      <c r="O229" s="56">
        <f>IF(N229="Selling pet toys + Artificial grass/Pet toilets (TARGET)",15,IF(N229="Selling artificial grass/pet toilets (TARGET)",10,IF(N229="Selling pet toys",7,IF(N229="There's an Amazon link, but no target sales.",3,0))))</f>
        <v/>
      </c>
      <c r="P229" s="63">
        <f>H229+J229+L229+M229+O229</f>
        <v/>
      </c>
      <c r="Q229" s="64">
        <f>IF(OR(H229=0,P229&lt;30),"Tier D (Đóng băng)",IF(P229&gt;=85,"Tier S (Kim Cương: 85-100đ)",IF(P229&gt;=70,"Tier A (Vàng: 70-84đ)",IF(P229&gt;=61,"Tier B+ / Cấp A (Hot Lead: 61-69đ)",IF(P229&gt;=50,"Tier B (Bạc: 50-60đ)","Tier C (Đồng: 30-49đ)")))))</f>
        <v/>
      </c>
      <c r="R229" s="6" t="inlineStr">
        <is>
          <t>Trọn gói Take-Home Starter Kit V2/V3 (Cỏ nhân tạo + Khay Potty + Đồ chơi Teething/Snuggle)</t>
        </is>
      </c>
      <c r="S229" s="6" t="inlineStr">
        <is>
          <t>HOT LEAD (Điểm ≥61): Liên hệ Telesale/Email chào gói Starter Kit &amp; Báo giá sỉ chiết khấu BOM</t>
        </is>
      </c>
    </row>
    <row r="230">
      <c r="A230" s="59" t="n">
        <v>1901</v>
      </c>
      <c r="B230" s="15" t="inlineStr">
        <is>
          <t>Kennel San Diego DW</t>
        </is>
      </c>
      <c r="C230" s="60" t="inlineStr">
        <is>
          <t>https://www.facebook.com/profile.php?id=100041166525359</t>
        </is>
      </c>
      <c r="D230" s="9" t="inlineStr">
        <is>
          <t>Cần quét Bio Fanpage</t>
        </is>
      </c>
      <c r="E230" s="59" t="inlineStr">
        <is>
          <t>11/10/2026 19:08:42</t>
        </is>
      </c>
      <c r="F230" s="59" t="inlineStr">
        <is>
          <t>1 ngày trước</t>
        </is>
      </c>
      <c r="G230" s="61" t="n">
        <v>1</v>
      </c>
      <c r="H230" s="62" t="n">
        <v>28</v>
      </c>
      <c r="I230" s="9" t="inlineStr">
        <is>
          <t>Dog Breeder / Trại chó chuyên nghiệp (28-30đ)</t>
        </is>
      </c>
      <c r="J230" s="62" t="n">
        <v>30</v>
      </c>
      <c r="K230" s="9" t="inlineStr">
        <is>
          <t>Chưa rõ giống (Cần quét Bio)</t>
        </is>
      </c>
      <c r="L230" s="62" t="n">
        <v>0</v>
      </c>
      <c r="M230" s="62" t="n">
        <v>5</v>
      </c>
      <c r="N230" s="9" t="inlineStr">
        <is>
          <t>Amazon link not found</t>
        </is>
      </c>
      <c r="O230" s="62">
        <f>IF(N230="Selling pet toys + Artificial grass/Pet toilets (TARGET)",15,IF(N230="Selling artificial grass/pet toilets (TARGET)",10,IF(N230="Selling pet toys",7,IF(N230="There's an Amazon link, but no target sales.",3,0))))</f>
        <v/>
      </c>
      <c r="P230" s="63">
        <f>H230+J230+L230+M230+O230</f>
        <v/>
      </c>
      <c r="Q230" s="64">
        <f>IF(OR(H230=0,P230&lt;30),"Tier D (Đóng băng)",IF(P230&gt;=85,"Tier S (Kim Cương: 85-100đ)",IF(P230&gt;=70,"Tier A (Vàng: 70-84đ)",IF(P230&gt;=61,"Tier B+ / Cấp A (Hot Lead: 61-69đ)",IF(P230&gt;=50,"Tier B (Bạc: 50-60đ)","Tier C (Đồng: 30-49đ)")))))</f>
        <v/>
      </c>
      <c r="R230" s="9" t="inlineStr">
        <is>
          <t>Trọn gói Take-Home Starter Kit V2/V3 (Cỏ nhân tạo + Khay Potty + Đồ chơi Teething/Snuggle)</t>
        </is>
      </c>
      <c r="S230" s="9" t="inlineStr">
        <is>
          <t>HOT LEAD (Điểm ≥61): Liên hệ Telesale/Email chào gói Starter Kit &amp; Báo giá sỉ chiết khấu BOM</t>
        </is>
      </c>
    </row>
    <row r="231">
      <c r="A231" s="53" t="n">
        <v>660</v>
      </c>
      <c r="B231" s="12" t="inlineStr">
        <is>
          <t>Bhatia Kennels</t>
        </is>
      </c>
      <c r="C231" s="54" t="inlineStr">
        <is>
          <t>https://www.facebook.com/profile.php?id=100054540486161</t>
        </is>
      </c>
      <c r="D231" s="6" t="inlineStr">
        <is>
          <t>Cần quét Bio Fanpage</t>
        </is>
      </c>
      <c r="E231" s="53" t="inlineStr">
        <is>
          <t>11/10/2026 16:18:00</t>
        </is>
      </c>
      <c r="F231" s="53" t="inlineStr">
        <is>
          <t>1 ngày trước</t>
        </is>
      </c>
      <c r="G231" s="55" t="n">
        <v>1</v>
      </c>
      <c r="H231" s="56" t="n">
        <v>28</v>
      </c>
      <c r="I231" s="6" t="inlineStr">
        <is>
          <t>Dog Breeder / Trại chó chuyên nghiệp (28-30đ)</t>
        </is>
      </c>
      <c r="J231" s="56" t="n">
        <v>30</v>
      </c>
      <c r="K231" s="6" t="inlineStr">
        <is>
          <t>Chưa rõ giống (Cần quét Bio)</t>
        </is>
      </c>
      <c r="L231" s="56" t="n">
        <v>0</v>
      </c>
      <c r="M231" s="56" t="n">
        <v>5</v>
      </c>
      <c r="N231" s="6" t="inlineStr">
        <is>
          <t>Amazon link not found</t>
        </is>
      </c>
      <c r="O231" s="56">
        <f>IF(N231="Selling pet toys + Artificial grass/Pet toilets (TARGET)",15,IF(N231="Selling artificial grass/pet toilets (TARGET)",10,IF(N231="Selling pet toys",7,IF(N231="There's an Amazon link, but no target sales.",3,0))))</f>
        <v/>
      </c>
      <c r="P231" s="63">
        <f>H231+J231+L231+M231+O231</f>
        <v/>
      </c>
      <c r="Q231" s="64">
        <f>IF(OR(H231=0,P231&lt;30),"Tier D (Đóng băng)",IF(P231&gt;=85,"Tier S (Kim Cương: 85-100đ)",IF(P231&gt;=70,"Tier A (Vàng: 70-84đ)",IF(P231&gt;=61,"Tier B+ / Cấp A (Hot Lead: 61-69đ)",IF(P231&gt;=50,"Tier B (Bạc: 50-60đ)","Tier C (Đồng: 30-49đ)")))))</f>
        <v/>
      </c>
      <c r="R231" s="6" t="inlineStr">
        <is>
          <t>Trọn gói Take-Home Starter Kit V2/V3 (Cỏ nhân tạo + Khay Potty + Đồ chơi Teething/Snuggle)</t>
        </is>
      </c>
      <c r="S231" s="6" t="inlineStr">
        <is>
          <t>HOT LEAD (Điểm ≥61): Liên hệ Telesale/Email chào gói Starter Kit &amp; Báo giá sỉ chiết khấu BOM</t>
        </is>
      </c>
    </row>
    <row r="232">
      <c r="A232" s="59" t="n">
        <v>1897</v>
      </c>
      <c r="B232" s="15" t="inlineStr">
        <is>
          <t>Kennel Paradise</t>
        </is>
      </c>
      <c r="C232" s="60" t="inlineStr">
        <is>
          <t>https://www.facebook.com/kennelparadise88</t>
        </is>
      </c>
      <c r="D232" s="9" t="inlineStr">
        <is>
          <t>Cần quét Bio Fanpage</t>
        </is>
      </c>
      <c r="E232" s="59" t="inlineStr">
        <is>
          <t>11/10/2026 14:56:31</t>
        </is>
      </c>
      <c r="F232" s="59" t="inlineStr">
        <is>
          <t>1 ngày trước</t>
        </is>
      </c>
      <c r="G232" s="61" t="n">
        <v>1</v>
      </c>
      <c r="H232" s="62" t="n">
        <v>28</v>
      </c>
      <c r="I232" s="9" t="inlineStr">
        <is>
          <t>Dog Breeder / Trại chó chuyên nghiệp (28-30đ)</t>
        </is>
      </c>
      <c r="J232" s="62" t="n">
        <v>30</v>
      </c>
      <c r="K232" s="9" t="inlineStr">
        <is>
          <t>Chưa rõ giống (Cần quét Bio)</t>
        </is>
      </c>
      <c r="L232" s="62" t="n">
        <v>0</v>
      </c>
      <c r="M232" s="62" t="n">
        <v>5</v>
      </c>
      <c r="N232" s="9" t="inlineStr">
        <is>
          <t>Amazon link not found</t>
        </is>
      </c>
      <c r="O232" s="62">
        <f>IF(N232="Selling pet toys + Artificial grass/Pet toilets (TARGET)",15,IF(N232="Selling artificial grass/pet toilets (TARGET)",10,IF(N232="Selling pet toys",7,IF(N232="There's an Amazon link, but no target sales.",3,0))))</f>
        <v/>
      </c>
      <c r="P232" s="63">
        <f>H232+J232+L232+M232+O232</f>
        <v/>
      </c>
      <c r="Q232" s="64">
        <f>IF(OR(H232=0,P232&lt;30),"Tier D (Đóng băng)",IF(P232&gt;=85,"Tier S (Kim Cương: 85-100đ)",IF(P232&gt;=70,"Tier A (Vàng: 70-84đ)",IF(P232&gt;=61,"Tier B+ / Cấp A (Hot Lead: 61-69đ)",IF(P232&gt;=50,"Tier B (Bạc: 50-60đ)","Tier C (Đồng: 30-49đ)")))))</f>
        <v/>
      </c>
      <c r="R232" s="9" t="inlineStr">
        <is>
          <t>Trọn gói Take-Home Starter Kit V2/V3 (Cỏ nhân tạo + Khay Potty + Đồ chơi Teething/Snuggle)</t>
        </is>
      </c>
      <c r="S232" s="9" t="inlineStr">
        <is>
          <t>HOT LEAD (Điểm ≥61): Liên hệ Telesale/Email chào gói Starter Kit &amp; Báo giá sỉ chiết khấu BOM</t>
        </is>
      </c>
    </row>
    <row r="233">
      <c r="A233" s="53" t="n">
        <v>1510</v>
      </c>
      <c r="B233" s="12" t="inlineStr">
        <is>
          <t>Glenriska kennel</t>
        </is>
      </c>
      <c r="C233" s="54" t="inlineStr">
        <is>
          <t>https://www.facebook.com/glenriska</t>
        </is>
      </c>
      <c r="D233" s="6" t="inlineStr">
        <is>
          <t>Cần quét Bio Fanpage</t>
        </is>
      </c>
      <c r="E233" s="53" t="inlineStr">
        <is>
          <t>11/10/2026 13:41:56</t>
        </is>
      </c>
      <c r="F233" s="53" t="inlineStr">
        <is>
          <t>1 ngày trước</t>
        </is>
      </c>
      <c r="G233" s="55" t="n">
        <v>1</v>
      </c>
      <c r="H233" s="56" t="n">
        <v>28</v>
      </c>
      <c r="I233" s="6" t="inlineStr">
        <is>
          <t>Dog Breeder / Trại chó chuyên nghiệp (28-30đ)</t>
        </is>
      </c>
      <c r="J233" s="56" t="n">
        <v>30</v>
      </c>
      <c r="K233" s="6" t="inlineStr">
        <is>
          <t>Chưa rõ giống (Cần quét Bio)</t>
        </is>
      </c>
      <c r="L233" s="56" t="n">
        <v>0</v>
      </c>
      <c r="M233" s="56" t="n">
        <v>5</v>
      </c>
      <c r="N233" s="6" t="inlineStr">
        <is>
          <t>Amazon link not found</t>
        </is>
      </c>
      <c r="O233" s="56">
        <f>IF(N233="Selling pet toys + Artificial grass/Pet toilets (TARGET)",15,IF(N233="Selling artificial grass/pet toilets (TARGET)",10,IF(N233="Selling pet toys",7,IF(N233="There's an Amazon link, but no target sales.",3,0))))</f>
        <v/>
      </c>
      <c r="P233" s="63">
        <f>H233+J233+L233+M233+O233</f>
        <v/>
      </c>
      <c r="Q233" s="64">
        <f>IF(OR(H233=0,P233&lt;30),"Tier D (Đóng băng)",IF(P233&gt;=85,"Tier S (Kim Cương: 85-100đ)",IF(P233&gt;=70,"Tier A (Vàng: 70-84đ)",IF(P233&gt;=61,"Tier B+ / Cấp A (Hot Lead: 61-69đ)",IF(P233&gt;=50,"Tier B (Bạc: 50-60đ)","Tier C (Đồng: 30-49đ)")))))</f>
        <v/>
      </c>
      <c r="R233" s="6" t="inlineStr">
        <is>
          <t>Trọn gói Take-Home Starter Kit V2/V3 (Cỏ nhân tạo + Khay Potty + Đồ chơi Teething/Snuggle)</t>
        </is>
      </c>
      <c r="S233" s="6" t="inlineStr">
        <is>
          <t>HOT LEAD (Điểm ≥61): Liên hệ Telesale/Email chào gói Starter Kit &amp; Báo giá sỉ chiết khấu BOM</t>
        </is>
      </c>
    </row>
    <row r="234">
      <c r="A234" s="59" t="n">
        <v>3457</v>
      </c>
      <c r="B234" s="15" t="inlineStr">
        <is>
          <t>Wreckingball Kennel</t>
        </is>
      </c>
      <c r="C234" s="60" t="inlineStr">
        <is>
          <t>https://www.facebook.com/profile.php?id=100088558417637</t>
        </is>
      </c>
      <c r="D234" s="9" t="inlineStr">
        <is>
          <t>Cần quét Bio Fanpage</t>
        </is>
      </c>
      <c r="E234" s="59" t="inlineStr">
        <is>
          <t>11/10/2026 11:40:41</t>
        </is>
      </c>
      <c r="F234" s="59" t="inlineStr">
        <is>
          <t>1 ngày trước</t>
        </is>
      </c>
      <c r="G234" s="61" t="n">
        <v>1</v>
      </c>
      <c r="H234" s="62" t="n">
        <v>28</v>
      </c>
      <c r="I234" s="9" t="inlineStr">
        <is>
          <t>Dog Breeder / Trại chó chuyên nghiệp (28-30đ)</t>
        </is>
      </c>
      <c r="J234" s="62" t="n">
        <v>30</v>
      </c>
      <c r="K234" s="9" t="inlineStr">
        <is>
          <t>Chưa rõ giống (Cần quét Bio)</t>
        </is>
      </c>
      <c r="L234" s="62" t="n">
        <v>0</v>
      </c>
      <c r="M234" s="62" t="n">
        <v>5</v>
      </c>
      <c r="N234" s="9" t="inlineStr">
        <is>
          <t>Amazon link not found</t>
        </is>
      </c>
      <c r="O234" s="62">
        <f>IF(N234="Selling pet toys + Artificial grass/Pet toilets (TARGET)",15,IF(N234="Selling artificial grass/pet toilets (TARGET)",10,IF(N234="Selling pet toys",7,IF(N234="There's an Amazon link, but no target sales.",3,0))))</f>
        <v/>
      </c>
      <c r="P234" s="63">
        <f>H234+J234+L234+M234+O234</f>
        <v/>
      </c>
      <c r="Q234" s="64">
        <f>IF(OR(H234=0,P234&lt;30),"Tier D (Đóng băng)",IF(P234&gt;=85,"Tier S (Kim Cương: 85-100đ)",IF(P234&gt;=70,"Tier A (Vàng: 70-84đ)",IF(P234&gt;=61,"Tier B+ / Cấp A (Hot Lead: 61-69đ)",IF(P234&gt;=50,"Tier B (Bạc: 50-60đ)","Tier C (Đồng: 30-49đ)")))))</f>
        <v/>
      </c>
      <c r="R234" s="9" t="inlineStr">
        <is>
          <t>Trọn gói Take-Home Starter Kit V2/V3 (Cỏ nhân tạo + Khay Potty + Đồ chơi Teething/Snuggle)</t>
        </is>
      </c>
      <c r="S234" s="9" t="inlineStr">
        <is>
          <t>HOT LEAD (Điểm ≥61): Liên hệ Telesale/Email chào gói Starter Kit &amp; Báo giá sỉ chiết khấu BOM</t>
        </is>
      </c>
    </row>
    <row r="235">
      <c r="A235" s="53" t="n">
        <v>212</v>
      </c>
      <c r="B235" s="12" t="inlineStr">
        <is>
          <t>Leongolden Kennel</t>
        </is>
      </c>
      <c r="C235" s="54" t="inlineStr">
        <is>
          <t>https://www.facebook.com/leongoldenkennel</t>
        </is>
      </c>
      <c r="D235" s="6" t="inlineStr">
        <is>
          <t>Cần quét Bio Fanpage</t>
        </is>
      </c>
      <c r="E235" s="53" t="inlineStr">
        <is>
          <t>11/10/2026 08:43:49</t>
        </is>
      </c>
      <c r="F235" s="53" t="inlineStr">
        <is>
          <t>1 ngày trước</t>
        </is>
      </c>
      <c r="G235" s="55" t="n">
        <v>1</v>
      </c>
      <c r="H235" s="56" t="n">
        <v>28</v>
      </c>
      <c r="I235" s="6" t="inlineStr">
        <is>
          <t>Dog Breeder / Trại chó chuyên nghiệp (28-30đ)</t>
        </is>
      </c>
      <c r="J235" s="56" t="n">
        <v>30</v>
      </c>
      <c r="K235" s="6" t="inlineStr">
        <is>
          <t>Chưa rõ giống (Cần quét Bio)</t>
        </is>
      </c>
      <c r="L235" s="56" t="n">
        <v>0</v>
      </c>
      <c r="M235" s="56" t="n">
        <v>5</v>
      </c>
      <c r="N235" s="6" t="inlineStr">
        <is>
          <t>Amazon link not found</t>
        </is>
      </c>
      <c r="O235" s="56">
        <f>IF(N235="Selling pet toys + Artificial grass/Pet toilets (TARGET)",15,IF(N235="Selling artificial grass/pet toilets (TARGET)",10,IF(N235="Selling pet toys",7,IF(N235="There's an Amazon link, but no target sales.",3,0))))</f>
        <v/>
      </c>
      <c r="P235" s="63">
        <f>H235+J235+L235+M235+O235</f>
        <v/>
      </c>
      <c r="Q235" s="64">
        <f>IF(OR(H235=0,P235&lt;30),"Tier D (Đóng băng)",IF(P235&gt;=85,"Tier S (Kim Cương: 85-100đ)",IF(P235&gt;=70,"Tier A (Vàng: 70-84đ)",IF(P235&gt;=61,"Tier B+ / Cấp A (Hot Lead: 61-69đ)",IF(P235&gt;=50,"Tier B (Bạc: 50-60đ)","Tier C (Đồng: 30-49đ)")))))</f>
        <v/>
      </c>
      <c r="R235" s="6" t="inlineStr">
        <is>
          <t>Trọn gói Take-Home Starter Kit V2/V3 (Cỏ nhân tạo + Khay Potty + Đồ chơi Teething/Snuggle)</t>
        </is>
      </c>
      <c r="S235" s="6" t="inlineStr">
        <is>
          <t>HOT LEAD (Điểm ≥61): Liên hệ Telesale/Email chào gói Starter Kit &amp; Báo giá sỉ chiết khấu BOM</t>
        </is>
      </c>
    </row>
    <row r="236">
      <c r="A236" s="59" t="n">
        <v>1540</v>
      </c>
      <c r="B236" s="15" t="inlineStr">
        <is>
          <t>Grand Oaks Kennel</t>
        </is>
      </c>
      <c r="C236" s="60" t="inlineStr">
        <is>
          <t>https://www.facebook.com/GrandOaksKennelTX</t>
        </is>
      </c>
      <c r="D236" s="9" t="inlineStr">
        <is>
          <t>Cần quét Bio Fanpage</t>
        </is>
      </c>
      <c r="E236" s="59" t="inlineStr">
        <is>
          <t>11/10/2026 01:12:24</t>
        </is>
      </c>
      <c r="F236" s="59" t="inlineStr">
        <is>
          <t>2 ngày trước</t>
        </is>
      </c>
      <c r="G236" s="61" t="n">
        <v>2</v>
      </c>
      <c r="H236" s="62" t="n">
        <v>28</v>
      </c>
      <c r="I236" s="9" t="inlineStr">
        <is>
          <t>Dog Breeder / Trại chó chuyên nghiệp (28-30đ)</t>
        </is>
      </c>
      <c r="J236" s="62" t="n">
        <v>30</v>
      </c>
      <c r="K236" s="9" t="inlineStr">
        <is>
          <t>Chưa rõ giống (Cần quét Bio)</t>
        </is>
      </c>
      <c r="L236" s="62" t="n">
        <v>0</v>
      </c>
      <c r="M236" s="62" t="n">
        <v>5</v>
      </c>
      <c r="N236" s="9" t="inlineStr">
        <is>
          <t>Amazon link not found</t>
        </is>
      </c>
      <c r="O236" s="62">
        <f>IF(N236="Selling pet toys + Artificial grass/Pet toilets (TARGET)",15,IF(N236="Selling artificial grass/pet toilets (TARGET)",10,IF(N236="Selling pet toys",7,IF(N236="There's an Amazon link, but no target sales.",3,0))))</f>
        <v/>
      </c>
      <c r="P236" s="63">
        <f>H236+J236+L236+M236+O236</f>
        <v/>
      </c>
      <c r="Q236" s="64">
        <f>IF(OR(H236=0,P236&lt;30),"Tier D (Đóng băng)",IF(P236&gt;=85,"Tier S (Kim Cương: 85-100đ)",IF(P236&gt;=70,"Tier A (Vàng: 70-84đ)",IF(P236&gt;=61,"Tier B+ / Cấp A (Hot Lead: 61-69đ)",IF(P236&gt;=50,"Tier B (Bạc: 50-60đ)","Tier C (Đồng: 30-49đ)")))))</f>
        <v/>
      </c>
      <c r="R236" s="9" t="inlineStr">
        <is>
          <t>Trọn gói Take-Home Starter Kit V2/V3 (Cỏ nhân tạo + Khay Potty + Đồ chơi Teething/Snuggle)</t>
        </is>
      </c>
      <c r="S236" s="9" t="inlineStr">
        <is>
          <t>HOT LEAD (Điểm ≥61): Liên hệ Telesale/Email chào gói Starter Kit &amp; Báo giá sỉ chiết khấu BOM</t>
        </is>
      </c>
    </row>
    <row r="237">
      <c r="A237" s="53" t="n">
        <v>883</v>
      </c>
      <c r="B237" s="12" t="inlineStr">
        <is>
          <t>Charming Verve Kennel</t>
        </is>
      </c>
      <c r="C237" s="54" t="inlineStr">
        <is>
          <t>https://www.facebook.com/charmingverve</t>
        </is>
      </c>
      <c r="D237" s="6" t="inlineStr">
        <is>
          <t>Cần quét Bio Fanpage</t>
        </is>
      </c>
      <c r="E237" s="53" t="inlineStr">
        <is>
          <t>10/10/2026 19:00:45</t>
        </is>
      </c>
      <c r="F237" s="53" t="inlineStr">
        <is>
          <t>2 ngày trước</t>
        </is>
      </c>
      <c r="G237" s="55" t="n">
        <v>2</v>
      </c>
      <c r="H237" s="56" t="n">
        <v>28</v>
      </c>
      <c r="I237" s="6" t="inlineStr">
        <is>
          <t>Dog Breeder / Trại chó chuyên nghiệp (28-30đ)</t>
        </is>
      </c>
      <c r="J237" s="56" t="n">
        <v>30</v>
      </c>
      <c r="K237" s="6" t="inlineStr">
        <is>
          <t>Chưa rõ giống (Cần quét Bio)</t>
        </is>
      </c>
      <c r="L237" s="56" t="n">
        <v>0</v>
      </c>
      <c r="M237" s="56" t="n">
        <v>5</v>
      </c>
      <c r="N237" s="6" t="inlineStr">
        <is>
          <t>Amazon link not found</t>
        </is>
      </c>
      <c r="O237" s="56">
        <f>IF(N237="Selling pet toys + Artificial grass/Pet toilets (TARGET)",15,IF(N237="Selling artificial grass/pet toilets (TARGET)",10,IF(N237="Selling pet toys",7,IF(N237="There's an Amazon link, but no target sales.",3,0))))</f>
        <v/>
      </c>
      <c r="P237" s="63">
        <f>H237+J237+L237+M237+O237</f>
        <v/>
      </c>
      <c r="Q237" s="64">
        <f>IF(OR(H237=0,P237&lt;30),"Tier D (Đóng băng)",IF(P237&gt;=85,"Tier S (Kim Cương: 85-100đ)",IF(P237&gt;=70,"Tier A (Vàng: 70-84đ)",IF(P237&gt;=61,"Tier B+ / Cấp A (Hot Lead: 61-69đ)",IF(P237&gt;=50,"Tier B (Bạc: 50-60đ)","Tier C (Đồng: 30-49đ)")))))</f>
        <v/>
      </c>
      <c r="R237" s="6" t="inlineStr">
        <is>
          <t>Trọn gói Take-Home Starter Kit V2/V3 (Cỏ nhân tạo + Khay Potty + Đồ chơi Teething/Snuggle)</t>
        </is>
      </c>
      <c r="S237" s="6" t="inlineStr">
        <is>
          <t>HOT LEAD (Điểm ≥61): Liên hệ Telesale/Email chào gói Starter Kit &amp; Báo giá sỉ chiết khấu BOM</t>
        </is>
      </c>
    </row>
    <row r="238">
      <c r="A238" s="59" t="n">
        <v>1915</v>
      </c>
      <c r="B238" s="15" t="inlineStr">
        <is>
          <t>Kennel Zaijas-koirat</t>
        </is>
      </c>
      <c r="C238" s="60" t="inlineStr">
        <is>
          <t>https://www.facebook.com/kennelzaijas</t>
        </is>
      </c>
      <c r="D238" s="9" t="inlineStr">
        <is>
          <t>Cần quét Bio Fanpage</t>
        </is>
      </c>
      <c r="E238" s="59" t="inlineStr">
        <is>
          <t>10/10/2026 18:37:29</t>
        </is>
      </c>
      <c r="F238" s="59" t="inlineStr">
        <is>
          <t>2 ngày trước</t>
        </is>
      </c>
      <c r="G238" s="61" t="n">
        <v>2</v>
      </c>
      <c r="H238" s="62" t="n">
        <v>28</v>
      </c>
      <c r="I238" s="9" t="inlineStr">
        <is>
          <t>Dog Breeder / Trại chó chuyên nghiệp (28-30đ)</t>
        </is>
      </c>
      <c r="J238" s="62" t="n">
        <v>30</v>
      </c>
      <c r="K238" s="9" t="inlineStr">
        <is>
          <t>Chưa rõ giống (Cần quét Bio)</t>
        </is>
      </c>
      <c r="L238" s="62" t="n">
        <v>0</v>
      </c>
      <c r="M238" s="62" t="n">
        <v>5</v>
      </c>
      <c r="N238" s="9" t="inlineStr">
        <is>
          <t>Amazon link not found</t>
        </is>
      </c>
      <c r="O238" s="62">
        <f>IF(N238="Selling pet toys + Artificial grass/Pet toilets (TARGET)",15,IF(N238="Selling artificial grass/pet toilets (TARGET)",10,IF(N238="Selling pet toys",7,IF(N238="There's an Amazon link, but no target sales.",3,0))))</f>
        <v/>
      </c>
      <c r="P238" s="63">
        <f>H238+J238+L238+M238+O238</f>
        <v/>
      </c>
      <c r="Q238" s="64">
        <f>IF(OR(H238=0,P238&lt;30),"Tier D (Đóng băng)",IF(P238&gt;=85,"Tier S (Kim Cương: 85-100đ)",IF(P238&gt;=70,"Tier A (Vàng: 70-84đ)",IF(P238&gt;=61,"Tier B+ / Cấp A (Hot Lead: 61-69đ)",IF(P238&gt;=50,"Tier B (Bạc: 50-60đ)","Tier C (Đồng: 30-49đ)")))))</f>
        <v/>
      </c>
      <c r="R238" s="9" t="inlineStr">
        <is>
          <t>Trọn gói Take-Home Starter Kit V2/V3 (Cỏ nhân tạo + Khay Potty + Đồ chơi Teething/Snuggle)</t>
        </is>
      </c>
      <c r="S238" s="9" t="inlineStr">
        <is>
          <t>HOT LEAD (Điểm ≥61): Liên hệ Telesale/Email chào gói Starter Kit &amp; Báo giá sỉ chiết khấu BOM</t>
        </is>
      </c>
    </row>
    <row r="239">
      <c r="A239" s="53" t="n">
        <v>1628</v>
      </c>
      <c r="B239" s="12" t="inlineStr">
        <is>
          <t>Hawaiian Teddybear Puppies</t>
        </is>
      </c>
      <c r="C239" s="54" t="inlineStr">
        <is>
          <t>https://www.facebook.com/doodranchmaui</t>
        </is>
      </c>
      <c r="D239" s="6" t="inlineStr">
        <is>
          <t>Cần quét Bio Fanpage</t>
        </is>
      </c>
      <c r="E239" s="53" t="inlineStr">
        <is>
          <t>10/10/2026 11:17:27</t>
        </is>
      </c>
      <c r="F239" s="53" t="inlineStr">
        <is>
          <t>2 ngày trước</t>
        </is>
      </c>
      <c r="G239" s="55" t="n">
        <v>2</v>
      </c>
      <c r="H239" s="56" t="n">
        <v>28</v>
      </c>
      <c r="I239" s="6" t="inlineStr">
        <is>
          <t>Dog Breeder / Trại chó chuyên nghiệp (28-30đ)</t>
        </is>
      </c>
      <c r="J239" s="56" t="n">
        <v>30</v>
      </c>
      <c r="K239" s="6" t="inlineStr">
        <is>
          <t>Chưa rõ giống (Cần quét Bio)</t>
        </is>
      </c>
      <c r="L239" s="56" t="n">
        <v>0</v>
      </c>
      <c r="M239" s="56" t="n">
        <v>5</v>
      </c>
      <c r="N239" s="6" t="inlineStr">
        <is>
          <t>Amazon link not found</t>
        </is>
      </c>
      <c r="O239" s="56">
        <f>IF(N239="Selling pet toys + Artificial grass/Pet toilets (TARGET)",15,IF(N239="Selling artificial grass/pet toilets (TARGET)",10,IF(N239="Selling pet toys",7,IF(N239="There's an Amazon link, but no target sales.",3,0))))</f>
        <v/>
      </c>
      <c r="P239" s="63">
        <f>H239+J239+L239+M239+O239</f>
        <v/>
      </c>
      <c r="Q239" s="64">
        <f>IF(OR(H239=0,P239&lt;30),"Tier D (Đóng băng)",IF(P239&gt;=85,"Tier S (Kim Cương: 85-100đ)",IF(P239&gt;=70,"Tier A (Vàng: 70-84đ)",IF(P239&gt;=61,"Tier B+ / Cấp A (Hot Lead: 61-69đ)",IF(P239&gt;=50,"Tier B (Bạc: 50-60đ)","Tier C (Đồng: 30-49đ)")))))</f>
        <v/>
      </c>
      <c r="R239" s="6" t="inlineStr">
        <is>
          <t>Trọn gói Take-Home Starter Kit V2/V3 (Cỏ nhân tạo + Khay Potty + Đồ chơi Teething/Snuggle)</t>
        </is>
      </c>
      <c r="S239" s="6" t="inlineStr">
        <is>
          <t>HOT LEAD (Điểm ≥61): Liên hệ Telesale/Email chào gói Starter Kit &amp; Báo giá sỉ chiết khấu BOM</t>
        </is>
      </c>
    </row>
    <row r="240">
      <c r="A240" s="59" t="n">
        <v>3038</v>
      </c>
      <c r="B240" s="15" t="inlineStr">
        <is>
          <t>SVG Kennels</t>
        </is>
      </c>
      <c r="C240" s="60" t="inlineStr">
        <is>
          <t>https://www.facebook.com/profile.php?id=100095075891304</t>
        </is>
      </c>
      <c r="D240" s="9" t="inlineStr">
        <is>
          <t>Cần quét Bio Fanpage</t>
        </is>
      </c>
      <c r="E240" s="59" t="inlineStr">
        <is>
          <t>10/10/2026 10:17:31</t>
        </is>
      </c>
      <c r="F240" s="59" t="inlineStr">
        <is>
          <t>2 ngày trước</t>
        </is>
      </c>
      <c r="G240" s="61" t="n">
        <v>2</v>
      </c>
      <c r="H240" s="62" t="n">
        <v>28</v>
      </c>
      <c r="I240" s="9" t="inlineStr">
        <is>
          <t>Dog Breeder / Trại chó chuyên nghiệp (28-30đ)</t>
        </is>
      </c>
      <c r="J240" s="62" t="n">
        <v>30</v>
      </c>
      <c r="K240" s="9" t="inlineStr">
        <is>
          <t>Chưa rõ giống (Cần quét Bio)</t>
        </is>
      </c>
      <c r="L240" s="62" t="n">
        <v>0</v>
      </c>
      <c r="M240" s="62" t="n">
        <v>5</v>
      </c>
      <c r="N240" s="9" t="inlineStr">
        <is>
          <t>Amazon link not found</t>
        </is>
      </c>
      <c r="O240" s="62">
        <f>IF(N240="Selling pet toys + Artificial grass/Pet toilets (TARGET)",15,IF(N240="Selling artificial grass/pet toilets (TARGET)",10,IF(N240="Selling pet toys",7,IF(N240="There's an Amazon link, but no target sales.",3,0))))</f>
        <v/>
      </c>
      <c r="P240" s="63">
        <f>H240+J240+L240+M240+O240</f>
        <v/>
      </c>
      <c r="Q240" s="64">
        <f>IF(OR(H240=0,P240&lt;30),"Tier D (Đóng băng)",IF(P240&gt;=85,"Tier S (Kim Cương: 85-100đ)",IF(P240&gt;=70,"Tier A (Vàng: 70-84đ)",IF(P240&gt;=61,"Tier B+ / Cấp A (Hot Lead: 61-69đ)",IF(P240&gt;=50,"Tier B (Bạc: 50-60đ)","Tier C (Đồng: 30-49đ)")))))</f>
        <v/>
      </c>
      <c r="R240" s="9" t="inlineStr">
        <is>
          <t>Trọn gói Take-Home Starter Kit V2/V3 (Cỏ nhân tạo + Khay Potty + Đồ chơi Teething/Snuggle)</t>
        </is>
      </c>
      <c r="S240" s="9" t="inlineStr">
        <is>
          <t>HOT LEAD (Điểm ≥61): Liên hệ Telesale/Email chào gói Starter Kit &amp; Báo giá sỉ chiết khấu BOM</t>
        </is>
      </c>
    </row>
    <row r="241">
      <c r="A241" s="53" t="n">
        <v>2582</v>
      </c>
      <c r="B241" s="12" t="inlineStr">
        <is>
          <t>Pitter Patter Puppies</t>
        </is>
      </c>
      <c r="C241" s="54" t="inlineStr">
        <is>
          <t>https://www.facebook.com/pitterpatterpup</t>
        </is>
      </c>
      <c r="D241" s="6" t="inlineStr">
        <is>
          <t>Cần quét Bio Fanpage</t>
        </is>
      </c>
      <c r="E241" s="53" t="inlineStr">
        <is>
          <t>10/10/2026 10:17:00</t>
        </is>
      </c>
      <c r="F241" s="53" t="inlineStr">
        <is>
          <t>2 ngày trước</t>
        </is>
      </c>
      <c r="G241" s="55" t="n">
        <v>2</v>
      </c>
      <c r="H241" s="56" t="n">
        <v>28</v>
      </c>
      <c r="I241" s="6" t="inlineStr">
        <is>
          <t>Dog Breeder / Trại chó chuyên nghiệp (28-30đ)</t>
        </is>
      </c>
      <c r="J241" s="56" t="n">
        <v>30</v>
      </c>
      <c r="K241" s="6" t="inlineStr">
        <is>
          <t>Chưa rõ giống (Cần quét Bio)</t>
        </is>
      </c>
      <c r="L241" s="56" t="n">
        <v>0</v>
      </c>
      <c r="M241" s="56" t="n">
        <v>5</v>
      </c>
      <c r="N241" s="6" t="inlineStr">
        <is>
          <t>Amazon link not found</t>
        </is>
      </c>
      <c r="O241" s="56">
        <f>IF(N241="Selling pet toys + Artificial grass/Pet toilets (TARGET)",15,IF(N241="Selling artificial grass/pet toilets (TARGET)",10,IF(N241="Selling pet toys",7,IF(N241="There's an Amazon link, but no target sales.",3,0))))</f>
        <v/>
      </c>
      <c r="P241" s="63">
        <f>H241+J241+L241+M241+O241</f>
        <v/>
      </c>
      <c r="Q241" s="64">
        <f>IF(OR(H241=0,P241&lt;30),"Tier D (Đóng băng)",IF(P241&gt;=85,"Tier S (Kim Cương: 85-100đ)",IF(P241&gt;=70,"Tier A (Vàng: 70-84đ)",IF(P241&gt;=61,"Tier B+ / Cấp A (Hot Lead: 61-69đ)",IF(P241&gt;=50,"Tier B (Bạc: 50-60đ)","Tier C (Đồng: 30-49đ)")))))</f>
        <v/>
      </c>
      <c r="R241" s="6" t="inlineStr">
        <is>
          <t>Trọn gói Take-Home Starter Kit V2/V3 (Cỏ nhân tạo + Khay Potty + Đồ chơi Teething/Snuggle)</t>
        </is>
      </c>
      <c r="S241" s="6" t="inlineStr">
        <is>
          <t>HOT LEAD (Điểm ≥61): Liên hệ Telesale/Email chào gói Starter Kit &amp; Báo giá sỉ chiết khấu BOM</t>
        </is>
      </c>
    </row>
    <row r="242">
      <c r="A242" s="59" t="n">
        <v>3403</v>
      </c>
      <c r="B242" s="15" t="inlineStr">
        <is>
          <t>White Swiss Shepherd By Dogkingdom Kennel</t>
        </is>
      </c>
      <c r="C242" s="60" t="inlineStr">
        <is>
          <t>https://www.facebook.com/profile.php?id=61580587514041</t>
        </is>
      </c>
      <c r="D242" s="9" t="inlineStr">
        <is>
          <t>Cần quét Bio Fanpage</t>
        </is>
      </c>
      <c r="E242" s="59" t="inlineStr">
        <is>
          <t>10/10/2026 10:00:00</t>
        </is>
      </c>
      <c r="F242" s="59" t="inlineStr">
        <is>
          <t>2 ngày trước</t>
        </is>
      </c>
      <c r="G242" s="61" t="n">
        <v>2</v>
      </c>
      <c r="H242" s="62" t="n">
        <v>28</v>
      </c>
      <c r="I242" s="9" t="inlineStr">
        <is>
          <t>Dog Breeder / Trại chó chuyên nghiệp (28-30đ)</t>
        </is>
      </c>
      <c r="J242" s="62" t="n">
        <v>30</v>
      </c>
      <c r="K242" s="9" t="inlineStr">
        <is>
          <t>Chưa rõ giống (Cần quét Bio)</t>
        </is>
      </c>
      <c r="L242" s="62" t="n">
        <v>0</v>
      </c>
      <c r="M242" s="62" t="n">
        <v>5</v>
      </c>
      <c r="N242" s="9" t="inlineStr">
        <is>
          <t>Amazon link not found</t>
        </is>
      </c>
      <c r="O242" s="62">
        <f>IF(N242="Selling pet toys + Artificial grass/Pet toilets (TARGET)",15,IF(N242="Selling artificial grass/pet toilets (TARGET)",10,IF(N242="Selling pet toys",7,IF(N242="There's an Amazon link, but no target sales.",3,0))))</f>
        <v/>
      </c>
      <c r="P242" s="63">
        <f>H242+J242+L242+M242+O242</f>
        <v/>
      </c>
      <c r="Q242" s="64">
        <f>IF(OR(H242=0,P242&lt;30),"Tier D (Đóng băng)",IF(P242&gt;=85,"Tier S (Kim Cương: 85-100đ)",IF(P242&gt;=70,"Tier A (Vàng: 70-84đ)",IF(P242&gt;=61,"Tier B+ / Cấp A (Hot Lead: 61-69đ)",IF(P242&gt;=50,"Tier B (Bạc: 50-60đ)","Tier C (Đồng: 30-49đ)")))))</f>
        <v/>
      </c>
      <c r="R242" s="9" t="inlineStr">
        <is>
          <t>Trọn gói Take-Home Starter Kit V2/V3 (Cỏ nhân tạo + Khay Potty + Đồ chơi Teething/Snuggle)</t>
        </is>
      </c>
      <c r="S242" s="9" t="inlineStr">
        <is>
          <t>HOT LEAD (Điểm ≥61): Liên hệ Telesale/Email chào gói Starter Kit &amp; Báo giá sỉ chiết khấu BOM</t>
        </is>
      </c>
    </row>
    <row r="243">
      <c r="A243" s="53" t="n">
        <v>2121</v>
      </c>
      <c r="B243" s="12" t="inlineStr">
        <is>
          <t>Marathon Kennels</t>
        </is>
      </c>
      <c r="C243" s="54" t="inlineStr">
        <is>
          <t>https://www.facebook.com/profile.php?id=61577059083903</t>
        </is>
      </c>
      <c r="D243" s="6" t="inlineStr">
        <is>
          <t>Cần quét Bio Fanpage</t>
        </is>
      </c>
      <c r="E243" s="53" t="inlineStr">
        <is>
          <t>10/10/2026 06:01:52</t>
        </is>
      </c>
      <c r="F243" s="53" t="inlineStr">
        <is>
          <t>2 ngày trước</t>
        </is>
      </c>
      <c r="G243" s="55" t="n">
        <v>2</v>
      </c>
      <c r="H243" s="56" t="n">
        <v>28</v>
      </c>
      <c r="I243" s="6" t="inlineStr">
        <is>
          <t>Dog Breeder / Trại chó chuyên nghiệp (28-30đ)</t>
        </is>
      </c>
      <c r="J243" s="56" t="n">
        <v>30</v>
      </c>
      <c r="K243" s="6" t="inlineStr">
        <is>
          <t>Chưa rõ giống (Cần quét Bio)</t>
        </is>
      </c>
      <c r="L243" s="56" t="n">
        <v>0</v>
      </c>
      <c r="M243" s="56" t="n">
        <v>5</v>
      </c>
      <c r="N243" s="6" t="inlineStr">
        <is>
          <t>Amazon link not found</t>
        </is>
      </c>
      <c r="O243" s="56">
        <f>IF(N243="Selling pet toys + Artificial grass/Pet toilets (TARGET)",15,IF(N243="Selling artificial grass/pet toilets (TARGET)",10,IF(N243="Selling pet toys",7,IF(N243="There's an Amazon link, but no target sales.",3,0))))</f>
        <v/>
      </c>
      <c r="P243" s="63">
        <f>H243+J243+L243+M243+O243</f>
        <v/>
      </c>
      <c r="Q243" s="64">
        <f>IF(OR(H243=0,P243&lt;30),"Tier D (Đóng băng)",IF(P243&gt;=85,"Tier S (Kim Cương: 85-100đ)",IF(P243&gt;=70,"Tier A (Vàng: 70-84đ)",IF(P243&gt;=61,"Tier B+ / Cấp A (Hot Lead: 61-69đ)",IF(P243&gt;=50,"Tier B (Bạc: 50-60đ)","Tier C (Đồng: 30-49đ)")))))</f>
        <v/>
      </c>
      <c r="R243" s="6" t="inlineStr">
        <is>
          <t>Trọn gói Take-Home Starter Kit V2/V3 (Cỏ nhân tạo + Khay Potty + Đồ chơi Teething/Snuggle)</t>
        </is>
      </c>
      <c r="S243" s="6" t="inlineStr">
        <is>
          <t>HOT LEAD (Điểm ≥61): Liên hệ Telesale/Email chào gói Starter Kit &amp; Báo giá sỉ chiết khấu BOM</t>
        </is>
      </c>
    </row>
    <row r="244">
      <c r="A244" s="59" t="n">
        <v>598</v>
      </c>
      <c r="B244" s="15" t="inlineStr">
        <is>
          <t>Basiadan Kennel</t>
        </is>
      </c>
      <c r="C244" s="60" t="inlineStr">
        <is>
          <t>https://www.facebook.com/basiadankennel</t>
        </is>
      </c>
      <c r="D244" s="9" t="inlineStr">
        <is>
          <t>Cần quét Bio Fanpage</t>
        </is>
      </c>
      <c r="E244" s="59" t="inlineStr">
        <is>
          <t>10/10/2026 04:41:07</t>
        </is>
      </c>
      <c r="F244" s="59" t="inlineStr">
        <is>
          <t>2 ngày trước</t>
        </is>
      </c>
      <c r="G244" s="61" t="n">
        <v>2</v>
      </c>
      <c r="H244" s="62" t="n">
        <v>28</v>
      </c>
      <c r="I244" s="9" t="inlineStr">
        <is>
          <t>Dog Breeder / Trại chó chuyên nghiệp (28-30đ)</t>
        </is>
      </c>
      <c r="J244" s="62" t="n">
        <v>30</v>
      </c>
      <c r="K244" s="9" t="inlineStr">
        <is>
          <t>Chưa rõ giống (Cần quét Bio)</t>
        </is>
      </c>
      <c r="L244" s="62" t="n">
        <v>0</v>
      </c>
      <c r="M244" s="62" t="n">
        <v>5</v>
      </c>
      <c r="N244" s="9" t="inlineStr">
        <is>
          <t>Amazon link not found</t>
        </is>
      </c>
      <c r="O244" s="62">
        <f>IF(N244="Selling pet toys + Artificial grass/Pet toilets (TARGET)",15,IF(N244="Selling artificial grass/pet toilets (TARGET)",10,IF(N244="Selling pet toys",7,IF(N244="There's an Amazon link, but no target sales.",3,0))))</f>
        <v/>
      </c>
      <c r="P244" s="63">
        <f>H244+J244+L244+M244+O244</f>
        <v/>
      </c>
      <c r="Q244" s="64">
        <f>IF(OR(H244=0,P244&lt;30),"Tier D (Đóng băng)",IF(P244&gt;=85,"Tier S (Kim Cương: 85-100đ)",IF(P244&gt;=70,"Tier A (Vàng: 70-84đ)",IF(P244&gt;=61,"Tier B+ / Cấp A (Hot Lead: 61-69đ)",IF(P244&gt;=50,"Tier B (Bạc: 50-60đ)","Tier C (Đồng: 30-49đ)")))))</f>
        <v/>
      </c>
      <c r="R244" s="9" t="inlineStr">
        <is>
          <t>Trọn gói Take-Home Starter Kit V2/V3 (Cỏ nhân tạo + Khay Potty + Đồ chơi Teething/Snuggle)</t>
        </is>
      </c>
      <c r="S244" s="9" t="inlineStr">
        <is>
          <t>HOT LEAD (Điểm ≥61): Liên hệ Telesale/Email chào gói Starter Kit &amp; Báo giá sỉ chiết khấu BOM</t>
        </is>
      </c>
    </row>
    <row r="245">
      <c r="A245" s="53" t="n">
        <v>2761</v>
      </c>
      <c r="B245" s="12" t="inlineStr">
        <is>
          <t>Roan Creek Kennels</t>
        </is>
      </c>
      <c r="C245" s="54" t="inlineStr">
        <is>
          <t>https://www.facebook.com/roancreekkennels</t>
        </is>
      </c>
      <c r="D245" s="6" t="inlineStr">
        <is>
          <t>Cần quét Bio Fanpage</t>
        </is>
      </c>
      <c r="E245" s="53" t="inlineStr">
        <is>
          <t>10/10/2026 02:33:16</t>
        </is>
      </c>
      <c r="F245" s="53" t="inlineStr">
        <is>
          <t>3 ngày trước</t>
        </is>
      </c>
      <c r="G245" s="55" t="n">
        <v>3</v>
      </c>
      <c r="H245" s="56" t="n">
        <v>28</v>
      </c>
      <c r="I245" s="6" t="inlineStr">
        <is>
          <t>Dog Breeder / Trại chó chuyên nghiệp (28-30đ)</t>
        </is>
      </c>
      <c r="J245" s="56" t="n">
        <v>30</v>
      </c>
      <c r="K245" s="6" t="inlineStr">
        <is>
          <t>Chưa rõ giống (Cần quét Bio)</t>
        </is>
      </c>
      <c r="L245" s="56" t="n">
        <v>0</v>
      </c>
      <c r="M245" s="56" t="n">
        <v>5</v>
      </c>
      <c r="N245" s="6" t="inlineStr">
        <is>
          <t>Amazon link not found</t>
        </is>
      </c>
      <c r="O245" s="56">
        <f>IF(N245="Selling pet toys + Artificial grass/Pet toilets (TARGET)",15,IF(N245="Selling artificial grass/pet toilets (TARGET)",10,IF(N245="Selling pet toys",7,IF(N245="There's an Amazon link, but no target sales.",3,0))))</f>
        <v/>
      </c>
      <c r="P245" s="63">
        <f>H245+J245+L245+M245+O245</f>
        <v/>
      </c>
      <c r="Q245" s="64">
        <f>IF(OR(H245=0,P245&lt;30),"Tier D (Đóng băng)",IF(P245&gt;=85,"Tier S (Kim Cương: 85-100đ)",IF(P245&gt;=70,"Tier A (Vàng: 70-84đ)",IF(P245&gt;=61,"Tier B+ / Cấp A (Hot Lead: 61-69đ)",IF(P245&gt;=50,"Tier B (Bạc: 50-60đ)","Tier C (Đồng: 30-49đ)")))))</f>
        <v/>
      </c>
      <c r="R245" s="6" t="inlineStr">
        <is>
          <t>Trọn gói Take-Home Starter Kit V2/V3 (Cỏ nhân tạo + Khay Potty + Đồ chơi Teething/Snuggle)</t>
        </is>
      </c>
      <c r="S245" s="6" t="inlineStr">
        <is>
          <t>HOT LEAD (Điểm ≥61): Liên hệ Telesale/Email chào gói Starter Kit &amp; Báo giá sỉ chiết khấu BOM</t>
        </is>
      </c>
    </row>
    <row r="246">
      <c r="A246" s="59" t="n">
        <v>2658</v>
      </c>
      <c r="B246" s="15" t="inlineStr">
        <is>
          <t>Puppies and Golf</t>
        </is>
      </c>
      <c r="C246" s="60" t="inlineStr">
        <is>
          <t>https://www.facebook.com/profile.php?id=100077811506711</t>
        </is>
      </c>
      <c r="D246" s="9" t="inlineStr">
        <is>
          <t>Cần quét Bio Fanpage</t>
        </is>
      </c>
      <c r="E246" s="59" t="inlineStr">
        <is>
          <t>10/10/2026 02:00:18</t>
        </is>
      </c>
      <c r="F246" s="59" t="inlineStr">
        <is>
          <t>3 ngày trước</t>
        </is>
      </c>
      <c r="G246" s="61" t="n">
        <v>3</v>
      </c>
      <c r="H246" s="62" t="n">
        <v>28</v>
      </c>
      <c r="I246" s="9" t="inlineStr">
        <is>
          <t>Dog Breeder / Trại chó chuyên nghiệp (28-30đ)</t>
        </is>
      </c>
      <c r="J246" s="62" t="n">
        <v>30</v>
      </c>
      <c r="K246" s="9" t="inlineStr">
        <is>
          <t>Chưa rõ giống (Cần quét Bio)</t>
        </is>
      </c>
      <c r="L246" s="62" t="n">
        <v>0</v>
      </c>
      <c r="M246" s="62" t="n">
        <v>5</v>
      </c>
      <c r="N246" s="9" t="inlineStr">
        <is>
          <t>Amazon link not found</t>
        </is>
      </c>
      <c r="O246" s="62">
        <f>IF(N246="Selling pet toys + Artificial grass/Pet toilets (TARGET)",15,IF(N246="Selling artificial grass/pet toilets (TARGET)",10,IF(N246="Selling pet toys",7,IF(N246="There's an Amazon link, but no target sales.",3,0))))</f>
        <v/>
      </c>
      <c r="P246" s="63">
        <f>H246+J246+L246+M246+O246</f>
        <v/>
      </c>
      <c r="Q246" s="64">
        <f>IF(OR(H246=0,P246&lt;30),"Tier D (Đóng băng)",IF(P246&gt;=85,"Tier S (Kim Cương: 85-100đ)",IF(P246&gt;=70,"Tier A (Vàng: 70-84đ)",IF(P246&gt;=61,"Tier B+ / Cấp A (Hot Lead: 61-69đ)",IF(P246&gt;=50,"Tier B (Bạc: 50-60đ)","Tier C (Đồng: 30-49đ)")))))</f>
        <v/>
      </c>
      <c r="R246" s="9" t="inlineStr">
        <is>
          <t>Trọn gói Take-Home Starter Kit V2/V3 (Cỏ nhân tạo + Khay Potty + Đồ chơi Teething/Snuggle)</t>
        </is>
      </c>
      <c r="S246" s="9" t="inlineStr">
        <is>
          <t>HOT LEAD (Điểm ≥61): Liên hệ Telesale/Email chào gói Starter Kit &amp; Báo giá sỉ chiết khấu BOM</t>
        </is>
      </c>
    </row>
    <row r="247">
      <c r="A247" s="53" t="n">
        <v>2426</v>
      </c>
      <c r="B247" s="12" t="inlineStr">
        <is>
          <t>Peggy's Puppies At Graystone</t>
        </is>
      </c>
      <c r="C247" s="54" t="inlineStr">
        <is>
          <t>https://www.facebook.com/peggyspuppiesatgraystone</t>
        </is>
      </c>
      <c r="D247" s="6" t="inlineStr">
        <is>
          <t>Cần quét Bio Fanpage</t>
        </is>
      </c>
      <c r="E247" s="53" t="inlineStr">
        <is>
          <t>10/10/2026 00:53:56</t>
        </is>
      </c>
      <c r="F247" s="53" t="inlineStr">
        <is>
          <t>3 ngày trước</t>
        </is>
      </c>
      <c r="G247" s="55" t="n">
        <v>3</v>
      </c>
      <c r="H247" s="56" t="n">
        <v>28</v>
      </c>
      <c r="I247" s="6" t="inlineStr">
        <is>
          <t>Dog Breeder / Trại chó chuyên nghiệp (28-30đ)</t>
        </is>
      </c>
      <c r="J247" s="56" t="n">
        <v>30</v>
      </c>
      <c r="K247" s="6" t="inlineStr">
        <is>
          <t>Chưa rõ giống (Cần quét Bio)</t>
        </is>
      </c>
      <c r="L247" s="56" t="n">
        <v>0</v>
      </c>
      <c r="M247" s="56" t="n">
        <v>5</v>
      </c>
      <c r="N247" s="6" t="inlineStr">
        <is>
          <t>Amazon link not found</t>
        </is>
      </c>
      <c r="O247" s="56">
        <f>IF(N247="Selling pet toys + Artificial grass/Pet toilets (TARGET)",15,IF(N247="Selling artificial grass/pet toilets (TARGET)",10,IF(N247="Selling pet toys",7,IF(N247="There's an Amazon link, but no target sales.",3,0))))</f>
        <v/>
      </c>
      <c r="P247" s="63">
        <f>H247+J247+L247+M247+O247</f>
        <v/>
      </c>
      <c r="Q247" s="64">
        <f>IF(OR(H247=0,P247&lt;30),"Tier D (Đóng băng)",IF(P247&gt;=85,"Tier S (Kim Cương: 85-100đ)",IF(P247&gt;=70,"Tier A (Vàng: 70-84đ)",IF(P247&gt;=61,"Tier B+ / Cấp A (Hot Lead: 61-69đ)",IF(P247&gt;=50,"Tier B (Bạc: 50-60đ)","Tier C (Đồng: 30-49đ)")))))</f>
        <v/>
      </c>
      <c r="R247" s="6" t="inlineStr">
        <is>
          <t>Trọn gói Take-Home Starter Kit V2/V3 (Cỏ nhân tạo + Khay Potty + Đồ chơi Teething/Snuggle)</t>
        </is>
      </c>
      <c r="S247" s="6" t="inlineStr">
        <is>
          <t>HOT LEAD (Điểm ≥61): Liên hệ Telesale/Email chào gói Starter Kit &amp; Báo giá sỉ chiết khấu BOM</t>
        </is>
      </c>
    </row>
    <row r="248">
      <c r="A248" s="59" t="n">
        <v>379</v>
      </c>
      <c r="B248" s="15" t="inlineStr">
        <is>
          <t>All Mine Kennel</t>
        </is>
      </c>
      <c r="C248" s="60" t="inlineStr">
        <is>
          <t>https://www.facebook.com/profile.php?id=61556955868341</t>
        </is>
      </c>
      <c r="D248" s="9" t="inlineStr">
        <is>
          <t>Cần quét Bio Fanpage</t>
        </is>
      </c>
      <c r="E248" s="59" t="inlineStr">
        <is>
          <t>09/10/2026 22:44:58</t>
        </is>
      </c>
      <c r="F248" s="59" t="inlineStr">
        <is>
          <t>3 ngày trước</t>
        </is>
      </c>
      <c r="G248" s="61" t="n">
        <v>3</v>
      </c>
      <c r="H248" s="62" t="n">
        <v>28</v>
      </c>
      <c r="I248" s="9" t="inlineStr">
        <is>
          <t>Dog Breeder / Trại chó chuyên nghiệp (28-30đ)</t>
        </is>
      </c>
      <c r="J248" s="62" t="n">
        <v>30</v>
      </c>
      <c r="K248" s="9" t="inlineStr">
        <is>
          <t>Chưa rõ giống (Cần quét Bio)</t>
        </is>
      </c>
      <c r="L248" s="62" t="n">
        <v>0</v>
      </c>
      <c r="M248" s="62" t="n">
        <v>5</v>
      </c>
      <c r="N248" s="9" t="inlineStr">
        <is>
          <t>Amazon link not found</t>
        </is>
      </c>
      <c r="O248" s="62">
        <f>IF(N248="Selling pet toys + Artificial grass/Pet toilets (TARGET)",15,IF(N248="Selling artificial grass/pet toilets (TARGET)",10,IF(N248="Selling pet toys",7,IF(N248="There's an Amazon link, but no target sales.",3,0))))</f>
        <v/>
      </c>
      <c r="P248" s="63">
        <f>H248+J248+L248+M248+O248</f>
        <v/>
      </c>
      <c r="Q248" s="64">
        <f>IF(OR(H248=0,P248&lt;30),"Tier D (Đóng băng)",IF(P248&gt;=85,"Tier S (Kim Cương: 85-100đ)",IF(P248&gt;=70,"Tier A (Vàng: 70-84đ)",IF(P248&gt;=61,"Tier B+ / Cấp A (Hot Lead: 61-69đ)",IF(P248&gt;=50,"Tier B (Bạc: 50-60đ)","Tier C (Đồng: 30-49đ)")))))</f>
        <v/>
      </c>
      <c r="R248" s="9" t="inlineStr">
        <is>
          <t>Trọn gói Take-Home Starter Kit V2/V3 (Cỏ nhân tạo + Khay Potty + Đồ chơi Teething/Snuggle)</t>
        </is>
      </c>
      <c r="S248" s="9" t="inlineStr">
        <is>
          <t>HOT LEAD (Điểm ≥61): Liên hệ Telesale/Email chào gói Starter Kit &amp; Báo giá sỉ chiết khấu BOM</t>
        </is>
      </c>
    </row>
    <row r="249">
      <c r="A249" s="53" t="n">
        <v>1905</v>
      </c>
      <c r="B249" s="12" t="inlineStr">
        <is>
          <t>Kennel Soy Solamente</t>
        </is>
      </c>
      <c r="C249" s="54" t="inlineStr">
        <is>
          <t>https://www.facebook.com/profile.php?id=100064336616280</t>
        </is>
      </c>
      <c r="D249" s="6" t="inlineStr">
        <is>
          <t>Cần quét Bio Fanpage</t>
        </is>
      </c>
      <c r="E249" s="53" t="inlineStr">
        <is>
          <t>09/10/2026 22:32:05</t>
        </is>
      </c>
      <c r="F249" s="53" t="inlineStr">
        <is>
          <t>3 ngày trước</t>
        </is>
      </c>
      <c r="G249" s="55" t="n">
        <v>3</v>
      </c>
      <c r="H249" s="56" t="n">
        <v>28</v>
      </c>
      <c r="I249" s="6" t="inlineStr">
        <is>
          <t>Dog Breeder / Trại chó chuyên nghiệp (28-30đ)</t>
        </is>
      </c>
      <c r="J249" s="56" t="n">
        <v>30</v>
      </c>
      <c r="K249" s="6" t="inlineStr">
        <is>
          <t>Chưa rõ giống (Cần quét Bio)</t>
        </is>
      </c>
      <c r="L249" s="56" t="n">
        <v>0</v>
      </c>
      <c r="M249" s="56" t="n">
        <v>5</v>
      </c>
      <c r="N249" s="6" t="inlineStr">
        <is>
          <t>Amazon link not found</t>
        </is>
      </c>
      <c r="O249" s="56">
        <f>IF(N249="Selling pet toys + Artificial grass/Pet toilets (TARGET)",15,IF(N249="Selling artificial grass/pet toilets (TARGET)",10,IF(N249="Selling pet toys",7,IF(N249="There's an Amazon link, but no target sales.",3,0))))</f>
        <v/>
      </c>
      <c r="P249" s="63">
        <f>H249+J249+L249+M249+O249</f>
        <v/>
      </c>
      <c r="Q249" s="64">
        <f>IF(OR(H249=0,P249&lt;30),"Tier D (Đóng băng)",IF(P249&gt;=85,"Tier S (Kim Cương: 85-100đ)",IF(P249&gt;=70,"Tier A (Vàng: 70-84đ)",IF(P249&gt;=61,"Tier B+ / Cấp A (Hot Lead: 61-69đ)",IF(P249&gt;=50,"Tier B (Bạc: 50-60đ)","Tier C (Đồng: 30-49đ)")))))</f>
        <v/>
      </c>
      <c r="R249" s="6" t="inlineStr">
        <is>
          <t>Trọn gói Take-Home Starter Kit V2/V3 (Cỏ nhân tạo + Khay Potty + Đồ chơi Teething/Snuggle)</t>
        </is>
      </c>
      <c r="S249" s="6" t="inlineStr">
        <is>
          <t>HOT LEAD (Điểm ≥61): Liên hệ Telesale/Email chào gói Starter Kit &amp; Báo giá sỉ chiết khấu BOM</t>
        </is>
      </c>
    </row>
    <row r="250">
      <c r="A250" s="59" t="n">
        <v>3440</v>
      </c>
      <c r="B250" s="15" t="inlineStr">
        <is>
          <t>Woodland View Boarding Kennels</t>
        </is>
      </c>
      <c r="C250" s="60" t="inlineStr">
        <is>
          <t>https://www.facebook.com/WoodlandViewKennels</t>
        </is>
      </c>
      <c r="D250" s="9" t="inlineStr">
        <is>
          <t>Cần quét Bio Fanpage</t>
        </is>
      </c>
      <c r="E250" s="59" t="inlineStr">
        <is>
          <t>09/10/2026 17:27:20</t>
        </is>
      </c>
      <c r="F250" s="59" t="inlineStr">
        <is>
          <t>3 ngày trước</t>
        </is>
      </c>
      <c r="G250" s="61" t="n">
        <v>3</v>
      </c>
      <c r="H250" s="62" t="n">
        <v>28</v>
      </c>
      <c r="I250" s="9" t="inlineStr">
        <is>
          <t>Dog Breeder / Trại chó chuyên nghiệp (28-30đ)</t>
        </is>
      </c>
      <c r="J250" s="62" t="n">
        <v>30</v>
      </c>
      <c r="K250" s="9" t="inlineStr">
        <is>
          <t>Chưa rõ giống (Cần quét Bio)</t>
        </is>
      </c>
      <c r="L250" s="62" t="n">
        <v>0</v>
      </c>
      <c r="M250" s="62" t="n">
        <v>5</v>
      </c>
      <c r="N250" s="9" t="inlineStr">
        <is>
          <t>Amazon link not found</t>
        </is>
      </c>
      <c r="O250" s="62">
        <f>IF(N250="Selling pet toys + Artificial grass/Pet toilets (TARGET)",15,IF(N250="Selling artificial grass/pet toilets (TARGET)",10,IF(N250="Selling pet toys",7,IF(N250="There's an Amazon link, but no target sales.",3,0))))</f>
        <v/>
      </c>
      <c r="P250" s="63">
        <f>H250+J250+L250+M250+O250</f>
        <v/>
      </c>
      <c r="Q250" s="64">
        <f>IF(OR(H250=0,P250&lt;30),"Tier D (Đóng băng)",IF(P250&gt;=85,"Tier S (Kim Cương: 85-100đ)",IF(P250&gt;=70,"Tier A (Vàng: 70-84đ)",IF(P250&gt;=61,"Tier B+ / Cấp A (Hot Lead: 61-69đ)",IF(P250&gt;=50,"Tier B (Bạc: 50-60đ)","Tier C (Đồng: 30-49đ)")))))</f>
        <v/>
      </c>
      <c r="R250" s="9" t="inlineStr">
        <is>
          <t>Trọn gói Take-Home Starter Kit V2/V3 (Cỏ nhân tạo + Khay Potty + Đồ chơi Teething/Snuggle)</t>
        </is>
      </c>
      <c r="S250" s="9" t="inlineStr">
        <is>
          <t>HOT LEAD (Điểm ≥61): Liên hệ Telesale/Email chào gói Starter Kit &amp; Báo giá sỉ chiết khấu BOM</t>
        </is>
      </c>
    </row>
    <row r="251">
      <c r="A251" s="53" t="n">
        <v>2838</v>
      </c>
      <c r="B251" s="12" t="inlineStr">
        <is>
          <t>Scandinavian Angel kennel</t>
        </is>
      </c>
      <c r="C251" s="54" t="inlineStr">
        <is>
          <t>https://www.facebook.com/profile.php?id=100089843413795</t>
        </is>
      </c>
      <c r="D251" s="6" t="inlineStr">
        <is>
          <t>Cần quét Bio Fanpage</t>
        </is>
      </c>
      <c r="E251" s="53" t="inlineStr">
        <is>
          <t>09/10/2026 16:12:36</t>
        </is>
      </c>
      <c r="F251" s="53" t="inlineStr">
        <is>
          <t>3 ngày trước</t>
        </is>
      </c>
      <c r="G251" s="55" t="n">
        <v>3</v>
      </c>
      <c r="H251" s="56" t="n">
        <v>28</v>
      </c>
      <c r="I251" s="6" t="inlineStr">
        <is>
          <t>Dog Breeder / Trại chó chuyên nghiệp (28-30đ)</t>
        </is>
      </c>
      <c r="J251" s="56" t="n">
        <v>30</v>
      </c>
      <c r="K251" s="6" t="inlineStr">
        <is>
          <t>Chưa rõ giống (Cần quét Bio)</t>
        </is>
      </c>
      <c r="L251" s="56" t="n">
        <v>0</v>
      </c>
      <c r="M251" s="56" t="n">
        <v>5</v>
      </c>
      <c r="N251" s="6" t="inlineStr">
        <is>
          <t>Amazon link not found</t>
        </is>
      </c>
      <c r="O251" s="56">
        <f>IF(N251="Selling pet toys + Artificial grass/Pet toilets (TARGET)",15,IF(N251="Selling artificial grass/pet toilets (TARGET)",10,IF(N251="Selling pet toys",7,IF(N251="There's an Amazon link, but no target sales.",3,0))))</f>
        <v/>
      </c>
      <c r="P251" s="63">
        <f>H251+J251+L251+M251+O251</f>
        <v/>
      </c>
      <c r="Q251" s="64">
        <f>IF(OR(H251=0,P251&lt;30),"Tier D (Đóng băng)",IF(P251&gt;=85,"Tier S (Kim Cương: 85-100đ)",IF(P251&gt;=70,"Tier A (Vàng: 70-84đ)",IF(P251&gt;=61,"Tier B+ / Cấp A (Hot Lead: 61-69đ)",IF(P251&gt;=50,"Tier B (Bạc: 50-60đ)","Tier C (Đồng: 30-49đ)")))))</f>
        <v/>
      </c>
      <c r="R251" s="6" t="inlineStr">
        <is>
          <t>Trọn gói Take-Home Starter Kit V2/V3 (Cỏ nhân tạo + Khay Potty + Đồ chơi Teething/Snuggle)</t>
        </is>
      </c>
      <c r="S251" s="6" t="inlineStr">
        <is>
          <t>HOT LEAD (Điểm ≥61): Liên hệ Telesale/Email chào gói Starter Kit &amp; Báo giá sỉ chiết khấu BOM</t>
        </is>
      </c>
    </row>
    <row r="252">
      <c r="A252" s="59" t="n">
        <v>1273</v>
      </c>
      <c r="B252" s="15" t="inlineStr">
        <is>
          <t>Elite Kennel Fertility</t>
        </is>
      </c>
      <c r="C252" s="60" t="inlineStr">
        <is>
          <t>https://www.facebook.com/elitekennelfertility</t>
        </is>
      </c>
      <c r="D252" s="9" t="inlineStr">
        <is>
          <t>Cần quét Bio Fanpage</t>
        </is>
      </c>
      <c r="E252" s="59" t="inlineStr">
        <is>
          <t>09/10/2026 16:00:08</t>
        </is>
      </c>
      <c r="F252" s="59" t="inlineStr">
        <is>
          <t>3 ngày trước</t>
        </is>
      </c>
      <c r="G252" s="61" t="n">
        <v>3</v>
      </c>
      <c r="H252" s="62" t="n">
        <v>28</v>
      </c>
      <c r="I252" s="9" t="inlineStr">
        <is>
          <t>Dog Breeder / Trại chó chuyên nghiệp (28-30đ)</t>
        </is>
      </c>
      <c r="J252" s="62" t="n">
        <v>30</v>
      </c>
      <c r="K252" s="9" t="inlineStr">
        <is>
          <t>Chưa rõ giống (Cần quét Bio)</t>
        </is>
      </c>
      <c r="L252" s="62" t="n">
        <v>0</v>
      </c>
      <c r="M252" s="62" t="n">
        <v>5</v>
      </c>
      <c r="N252" s="9" t="inlineStr">
        <is>
          <t>Amazon link not found</t>
        </is>
      </c>
      <c r="O252" s="62">
        <f>IF(N252="Selling pet toys + Artificial grass/Pet toilets (TARGET)",15,IF(N252="Selling artificial grass/pet toilets (TARGET)",10,IF(N252="Selling pet toys",7,IF(N252="There's an Amazon link, but no target sales.",3,0))))</f>
        <v/>
      </c>
      <c r="P252" s="63">
        <f>H252+J252+L252+M252+O252</f>
        <v/>
      </c>
      <c r="Q252" s="64">
        <f>IF(OR(H252=0,P252&lt;30),"Tier D (Đóng băng)",IF(P252&gt;=85,"Tier S (Kim Cương: 85-100đ)",IF(P252&gt;=70,"Tier A (Vàng: 70-84đ)",IF(P252&gt;=61,"Tier B+ / Cấp A (Hot Lead: 61-69đ)",IF(P252&gt;=50,"Tier B (Bạc: 50-60đ)","Tier C (Đồng: 30-49đ)")))))</f>
        <v/>
      </c>
      <c r="R252" s="9" t="inlineStr">
        <is>
          <t>Trọn gói Take-Home Starter Kit V2/V3 (Cỏ nhân tạo + Khay Potty + Đồ chơi Teething/Snuggle)</t>
        </is>
      </c>
      <c r="S252" s="9" t="inlineStr">
        <is>
          <t>HOT LEAD (Điểm ≥61): Liên hệ Telesale/Email chào gói Starter Kit &amp; Báo giá sỉ chiết khấu BOM</t>
        </is>
      </c>
    </row>
    <row r="253">
      <c r="A253" s="53" t="n">
        <v>5413</v>
      </c>
      <c r="B253" s="12" t="inlineStr">
        <is>
          <t>Sound Dog Training Center</t>
        </is>
      </c>
      <c r="C253" s="54" t="inlineStr">
        <is>
          <t>https://www.facebook.com/profile.php?id=100050507964837</t>
        </is>
      </c>
      <c r="D253" s="6" t="inlineStr">
        <is>
          <t>Cần quét Bio Fanpage</t>
        </is>
      </c>
      <c r="E253" s="53" t="inlineStr">
        <is>
          <t>13/10/2026 07:43:35</t>
        </is>
      </c>
      <c r="F253" s="53" t="inlineStr">
        <is>
          <t>2 giờ trước</t>
        </is>
      </c>
      <c r="G253" s="55" t="n">
        <v>0.08</v>
      </c>
      <c r="H253" s="56" t="n">
        <v>35</v>
      </c>
      <c r="I253" s="6" t="inlineStr">
        <is>
          <t>Pet Boarding / Huấn luyện K9 &amp; Dịch vụ (20-22đ)</t>
        </is>
      </c>
      <c r="J253" s="56" t="n">
        <v>22</v>
      </c>
      <c r="K253" s="6" t="inlineStr">
        <is>
          <t>Chưa rõ giống (Cần quét Bio)</t>
        </is>
      </c>
      <c r="L253" s="56" t="n">
        <v>0</v>
      </c>
      <c r="M253" s="56" t="n">
        <v>5</v>
      </c>
      <c r="N253" s="6" t="inlineStr">
        <is>
          <t>Amazon link not found</t>
        </is>
      </c>
      <c r="O253" s="56">
        <f>IF(N253="Selling pet toys + Artificial grass/Pet toilets (TARGET)",15,IF(N253="Selling artificial grass/pet toilets (TARGET)",10,IF(N253="Selling pet toys",7,IF(N253="There's an Amazon link, but no target sales.",3,0))))</f>
        <v/>
      </c>
      <c r="P253" s="63">
        <f>H253+J253+L253+M253+O253</f>
        <v/>
      </c>
      <c r="Q253" s="64">
        <f>IF(OR(H253=0,P253&lt;30),"Tier D (Đóng băng)",IF(P253&gt;=85,"Tier S (Kim Cương: 85-100đ)",IF(P253&gt;=70,"Tier A (Vàng: 70-84đ)",IF(P253&gt;=61,"Tier B+ / Cấp A (Hot Lead: 61-69đ)",IF(P253&gt;=50,"Tier B (Bạc: 50-60đ)","Tier C (Đồng: 30-49đ)")))))</f>
        <v/>
      </c>
      <c r="R253" s="6" t="inlineStr">
        <is>
          <t>Cỏ nhân tạo sân chơi/huấn luyện (Dog Turf) + Đồ chơi nhai chịu lực (KONG/Chew Toys)</t>
        </is>
      </c>
      <c r="S253" s="6" t="inlineStr">
        <is>
          <t>HOT LEAD (Điểm ≥61): Liên hệ Telesale/Email chào gói Starter Kit &amp; Báo giá sỉ chiết khấu BOM</t>
        </is>
      </c>
    </row>
    <row r="254">
      <c r="A254" s="59" t="n">
        <v>2894</v>
      </c>
      <c r="B254" s="15" t="inlineStr">
        <is>
          <t>Side By Side Dog Training LLC</t>
        </is>
      </c>
      <c r="C254" s="60" t="inlineStr">
        <is>
          <t>https://www.facebook.com/profile.php?id=100063481155747</t>
        </is>
      </c>
      <c r="D254" s="9" t="inlineStr">
        <is>
          <t>Cần quét Bio Fanpage</t>
        </is>
      </c>
      <c r="E254" s="59" t="inlineStr">
        <is>
          <t>13/10/2026 05:45:11</t>
        </is>
      </c>
      <c r="F254" s="59" t="inlineStr">
        <is>
          <t>22 phút trước</t>
        </is>
      </c>
      <c r="G254" s="61" t="n">
        <v>0.02</v>
      </c>
      <c r="H254" s="62" t="n">
        <v>35</v>
      </c>
      <c r="I254" s="9" t="inlineStr">
        <is>
          <t>Pet Boarding / Huấn luyện K9 &amp; Dịch vụ (20-22đ)</t>
        </is>
      </c>
      <c r="J254" s="62" t="n">
        <v>22</v>
      </c>
      <c r="K254" s="9" t="inlineStr">
        <is>
          <t>Chưa rõ giống (Cần quét Bio)</t>
        </is>
      </c>
      <c r="L254" s="62" t="n">
        <v>0</v>
      </c>
      <c r="M254" s="62" t="n">
        <v>5</v>
      </c>
      <c r="N254" s="9" t="inlineStr">
        <is>
          <t>Amazon link not found</t>
        </is>
      </c>
      <c r="O254" s="62">
        <f>IF(N254="Selling pet toys + Artificial grass/Pet toilets (TARGET)",15,IF(N254="Selling artificial grass/pet toilets (TARGET)",10,IF(N254="Selling pet toys",7,IF(N254="There's an Amazon link, but no target sales.",3,0))))</f>
        <v/>
      </c>
      <c r="P254" s="63">
        <f>H254+J254+L254+M254+O254</f>
        <v/>
      </c>
      <c r="Q254" s="64">
        <f>IF(OR(H254=0,P254&lt;30),"Tier D (Đóng băng)",IF(P254&gt;=85,"Tier S (Kim Cương: 85-100đ)",IF(P254&gt;=70,"Tier A (Vàng: 70-84đ)",IF(P254&gt;=61,"Tier B+ / Cấp A (Hot Lead: 61-69đ)",IF(P254&gt;=50,"Tier B (Bạc: 50-60đ)","Tier C (Đồng: 30-49đ)")))))</f>
        <v/>
      </c>
      <c r="R254" s="9" t="inlineStr">
        <is>
          <t>Cỏ nhân tạo sân chơi/huấn luyện (Dog Turf) + Đồ chơi nhai chịu lực (KONG/Chew Toys)</t>
        </is>
      </c>
      <c r="S254" s="9" t="inlineStr">
        <is>
          <t>HOT LEAD (Điểm ≥61): Liên hệ Telesale/Email chào gói Starter Kit &amp; Báo giá sỉ chiết khấu BOM</t>
        </is>
      </c>
    </row>
    <row r="255">
      <c r="A255" s="53" t="n">
        <v>4075</v>
      </c>
      <c r="B255" s="12" t="inlineStr">
        <is>
          <t>Happy Days Dog Training Center</t>
        </is>
      </c>
      <c r="C255" s="54" t="inlineStr">
        <is>
          <t>https://www.facebook.com/profile.php?id=100057535686133</t>
        </is>
      </c>
      <c r="D255" s="6" t="inlineStr">
        <is>
          <t>Cần quét Bio Fanpage</t>
        </is>
      </c>
      <c r="E255" s="53" t="inlineStr">
        <is>
          <t>13/10/2026 05:01:47</t>
        </is>
      </c>
      <c r="F255" s="53" t="inlineStr">
        <is>
          <t>3 giờ trước</t>
        </is>
      </c>
      <c r="G255" s="55" t="n">
        <v>0.12</v>
      </c>
      <c r="H255" s="56" t="n">
        <v>35</v>
      </c>
      <c r="I255" s="6" t="inlineStr">
        <is>
          <t>Pet Boarding / Huấn luyện K9 &amp; Dịch vụ (20-22đ)</t>
        </is>
      </c>
      <c r="J255" s="56" t="n">
        <v>22</v>
      </c>
      <c r="K255" s="6" t="inlineStr">
        <is>
          <t>Chưa rõ giống (Cần quét Bio)</t>
        </is>
      </c>
      <c r="L255" s="56" t="n">
        <v>0</v>
      </c>
      <c r="M255" s="56" t="n">
        <v>5</v>
      </c>
      <c r="N255" s="6" t="inlineStr">
        <is>
          <t>Amazon link not found</t>
        </is>
      </c>
      <c r="O255" s="56">
        <f>IF(N255="Selling pet toys + Artificial grass/Pet toilets (TARGET)",15,IF(N255="Selling artificial grass/pet toilets (TARGET)",10,IF(N255="Selling pet toys",7,IF(N255="There's an Amazon link, but no target sales.",3,0))))</f>
        <v/>
      </c>
      <c r="P255" s="63">
        <f>H255+J255+L255+M255+O255</f>
        <v/>
      </c>
      <c r="Q255" s="64">
        <f>IF(OR(H255=0,P255&lt;30),"Tier D (Đóng băng)",IF(P255&gt;=85,"Tier S (Kim Cương: 85-100đ)",IF(P255&gt;=70,"Tier A (Vàng: 70-84đ)",IF(P255&gt;=61,"Tier B+ / Cấp A (Hot Lead: 61-69đ)",IF(P255&gt;=50,"Tier B (Bạc: 50-60đ)","Tier C (Đồng: 30-49đ)")))))</f>
        <v/>
      </c>
      <c r="R255" s="6" t="inlineStr">
        <is>
          <t>Cỏ nhân tạo sân chơi/huấn luyện (Dog Turf) + Đồ chơi nhai chịu lực (KONG/Chew Toys)</t>
        </is>
      </c>
      <c r="S255" s="6" t="inlineStr">
        <is>
          <t>HOT LEAD (Điểm ≥61): Liên hệ Telesale/Email chào gói Starter Kit &amp; Báo giá sỉ chiết khấu BOM</t>
        </is>
      </c>
    </row>
    <row r="256">
      <c r="A256" s="59" t="n">
        <v>2294</v>
      </c>
      <c r="B256" s="15" t="inlineStr">
        <is>
          <t>Nikki's Pet Services</t>
        </is>
      </c>
      <c r="C256" s="60" t="inlineStr">
        <is>
          <t>https://www.facebook.com/Nikkis.Pet.Services.Scot</t>
        </is>
      </c>
      <c r="D256" s="9" t="inlineStr">
        <is>
          <t>Cần quét Bio Fanpage</t>
        </is>
      </c>
      <c r="E256" s="59" t="inlineStr">
        <is>
          <t>13/10/2026 03:21:16</t>
        </is>
      </c>
      <c r="F256" s="59" t="inlineStr">
        <is>
          <t>1 giờ trước</t>
        </is>
      </c>
      <c r="G256" s="61" t="n">
        <v>0.04</v>
      </c>
      <c r="H256" s="62" t="n">
        <v>35</v>
      </c>
      <c r="I256" s="9" t="inlineStr">
        <is>
          <t>Pet Boarding / Huấn luyện K9 &amp; Dịch vụ (20-22đ)</t>
        </is>
      </c>
      <c r="J256" s="62" t="n">
        <v>22</v>
      </c>
      <c r="K256" s="9" t="inlineStr">
        <is>
          <t>Chưa rõ giống (Cần quét Bio)</t>
        </is>
      </c>
      <c r="L256" s="62" t="n">
        <v>0</v>
      </c>
      <c r="M256" s="62" t="n">
        <v>5</v>
      </c>
      <c r="N256" s="9" t="inlineStr">
        <is>
          <t>Amazon link not found</t>
        </is>
      </c>
      <c r="O256" s="62">
        <f>IF(N256="Selling pet toys + Artificial grass/Pet toilets (TARGET)",15,IF(N256="Selling artificial grass/pet toilets (TARGET)",10,IF(N256="Selling pet toys",7,IF(N256="There's an Amazon link, but no target sales.",3,0))))</f>
        <v/>
      </c>
      <c r="P256" s="63">
        <f>H256+J256+L256+M256+O256</f>
        <v/>
      </c>
      <c r="Q256" s="64">
        <f>IF(OR(H256=0,P256&lt;30),"Tier D (Đóng băng)",IF(P256&gt;=85,"Tier S (Kim Cương: 85-100đ)",IF(P256&gt;=70,"Tier A (Vàng: 70-84đ)",IF(P256&gt;=61,"Tier B+ / Cấp A (Hot Lead: 61-69đ)",IF(P256&gt;=50,"Tier B (Bạc: 50-60đ)","Tier C (Đồng: 30-49đ)")))))</f>
        <v/>
      </c>
      <c r="R256" s="9" t="inlineStr">
        <is>
          <t>Cỏ nhân tạo sân chơi/huấn luyện (Dog Turf) + Đồ chơi nhai chịu lực (KONG/Chew Toys)</t>
        </is>
      </c>
      <c r="S256" s="9" t="inlineStr">
        <is>
          <t>HOT LEAD (Điểm ≥61): Liên hệ Telesale/Email chào gói Starter Kit &amp; Báo giá sỉ chiết khấu BOM</t>
        </is>
      </c>
    </row>
    <row r="257">
      <c r="A257" s="53" t="n">
        <v>1821</v>
      </c>
      <c r="B257" s="12" t="inlineStr">
        <is>
          <t>K9 Roam &amp; Co.</t>
        </is>
      </c>
      <c r="C257" s="54" t="inlineStr">
        <is>
          <t>https://www.facebook.com/K9roamco</t>
        </is>
      </c>
      <c r="D257" s="6" t="inlineStr">
        <is>
          <t>Cần quét Bio Fanpage</t>
        </is>
      </c>
      <c r="E257" s="53" t="inlineStr">
        <is>
          <t>13/10/2026 02:43:58</t>
        </is>
      </c>
      <c r="F257" s="53" t="inlineStr">
        <is>
          <t>1 giờ trước</t>
        </is>
      </c>
      <c r="G257" s="55" t="n">
        <v>0.04</v>
      </c>
      <c r="H257" s="56" t="n">
        <v>35</v>
      </c>
      <c r="I257" s="6" t="inlineStr">
        <is>
          <t>Pet Boarding / Huấn luyện K9 &amp; Dịch vụ (20-22đ)</t>
        </is>
      </c>
      <c r="J257" s="56" t="n">
        <v>22</v>
      </c>
      <c r="K257" s="6" t="inlineStr">
        <is>
          <t>Chưa rõ giống (Cần quét Bio)</t>
        </is>
      </c>
      <c r="L257" s="56" t="n">
        <v>0</v>
      </c>
      <c r="M257" s="56" t="n">
        <v>5</v>
      </c>
      <c r="N257" s="6" t="inlineStr">
        <is>
          <t>Amazon link not found</t>
        </is>
      </c>
      <c r="O257" s="56">
        <f>IF(N257="Selling pet toys + Artificial grass/Pet toilets (TARGET)",15,IF(N257="Selling artificial grass/pet toilets (TARGET)",10,IF(N257="Selling pet toys",7,IF(N257="There's an Amazon link, but no target sales.",3,0))))</f>
        <v/>
      </c>
      <c r="P257" s="63">
        <f>H257+J257+L257+M257+O257</f>
        <v/>
      </c>
      <c r="Q257" s="64">
        <f>IF(OR(H257=0,P257&lt;30),"Tier D (Đóng băng)",IF(P257&gt;=85,"Tier S (Kim Cương: 85-100đ)",IF(P257&gt;=70,"Tier A (Vàng: 70-84đ)",IF(P257&gt;=61,"Tier B+ / Cấp A (Hot Lead: 61-69đ)",IF(P257&gt;=50,"Tier B (Bạc: 50-60đ)","Tier C (Đồng: 30-49đ)")))))</f>
        <v/>
      </c>
      <c r="R257" s="6" t="inlineStr">
        <is>
          <t>Cỏ nhân tạo sân chơi/huấn luyện (Dog Turf) + Đồ chơi nhai chịu lực (KONG/Chew Toys)</t>
        </is>
      </c>
      <c r="S257" s="6" t="inlineStr">
        <is>
          <t>HOT LEAD (Điểm ≥61): Liên hệ Telesale/Email chào gói Starter Kit &amp; Báo giá sỉ chiết khấu BOM</t>
        </is>
      </c>
    </row>
    <row r="258">
      <c r="A258" s="59" t="n">
        <v>976</v>
      </c>
      <c r="B258" s="15" t="inlineStr">
        <is>
          <t>Cunningshot Gundogs</t>
        </is>
      </c>
      <c r="C258" s="60" t="inlineStr">
        <is>
          <t>https://www.facebook.com/CunningshotDogTraining</t>
        </is>
      </c>
      <c r="D258" s="9" t="inlineStr">
        <is>
          <t>Cần quét Bio Fanpage</t>
        </is>
      </c>
      <c r="E258" s="59" t="inlineStr">
        <is>
          <t>13/10/2026 02:22:11</t>
        </is>
      </c>
      <c r="F258" s="59" t="inlineStr">
        <is>
          <t>18 phút trước</t>
        </is>
      </c>
      <c r="G258" s="61" t="n">
        <v>0.01</v>
      </c>
      <c r="H258" s="62" t="n">
        <v>35</v>
      </c>
      <c r="I258" s="9" t="inlineStr">
        <is>
          <t>Pet Boarding / Huấn luyện K9 &amp; Dịch vụ (20-22đ)</t>
        </is>
      </c>
      <c r="J258" s="62" t="n">
        <v>22</v>
      </c>
      <c r="K258" s="9" t="inlineStr">
        <is>
          <t>Spaniel / Gun Dog / Retriever</t>
        </is>
      </c>
      <c r="L258" s="62" t="n">
        <v>5</v>
      </c>
      <c r="M258" s="62" t="n">
        <v>0</v>
      </c>
      <c r="N258" s="9" t="inlineStr">
        <is>
          <t>Amazon link not found</t>
        </is>
      </c>
      <c r="O258" s="62">
        <f>IF(N258="Selling pet toys + Artificial grass/Pet toilets (TARGET)",15,IF(N258="Selling artificial grass/pet toilets (TARGET)",10,IF(N258="Selling pet toys",7,IF(N258="There's an Amazon link, but no target sales.",3,0))))</f>
        <v/>
      </c>
      <c r="P258" s="63">
        <f>H258+J258+L258+M258+O258</f>
        <v/>
      </c>
      <c r="Q258" s="64">
        <f>IF(OR(H258=0,P258&lt;30),"Tier D (Đóng băng)",IF(P258&gt;=85,"Tier S (Kim Cương: 85-100đ)",IF(P258&gt;=70,"Tier A (Vàng: 70-84đ)",IF(P258&gt;=61,"Tier B+ / Cấp A (Hot Lead: 61-69đ)",IF(P258&gt;=50,"Tier B (Bạc: 50-60đ)","Tier C (Đồng: 30-49đ)")))))</f>
        <v/>
      </c>
      <c r="R258" s="9" t="inlineStr">
        <is>
          <t>Cỏ nhân tạo sân chơi/huấn luyện (Dog Turf) + Đồ chơi nhai chịu lực (KONG/Chew Toys)</t>
        </is>
      </c>
      <c r="S258" s="9" t="inlineStr">
        <is>
          <t>HOT LEAD (Điểm ≥61): Liên hệ Telesale/Email chào gói Starter Kit &amp; Báo giá sỉ chiết khấu BOM</t>
        </is>
      </c>
    </row>
    <row r="259">
      <c r="A259" s="53" t="n">
        <v>1034</v>
      </c>
      <c r="B259" s="12" t="inlineStr">
        <is>
          <t>Diamonds n Pearls Pet Services</t>
        </is>
      </c>
      <c r="C259" s="54" t="inlineStr">
        <is>
          <t>https://www.facebook.com/diamondsnpearlspetservices</t>
        </is>
      </c>
      <c r="D259" s="6" t="inlineStr">
        <is>
          <t>Cần quét Bio Fanpage</t>
        </is>
      </c>
      <c r="E259" s="53" t="inlineStr">
        <is>
          <t>13/10/2026 02:04:09</t>
        </is>
      </c>
      <c r="F259" s="53" t="inlineStr">
        <is>
          <t>42 phút trước</t>
        </is>
      </c>
      <c r="G259" s="55" t="n">
        <v>0.03</v>
      </c>
      <c r="H259" s="56" t="n">
        <v>35</v>
      </c>
      <c r="I259" s="6" t="inlineStr">
        <is>
          <t>Pet Boarding / Huấn luyện K9 &amp; Dịch vụ (20-22đ)</t>
        </is>
      </c>
      <c r="J259" s="56" t="n">
        <v>22</v>
      </c>
      <c r="K259" s="6" t="inlineStr">
        <is>
          <t>Chưa rõ giống (Cần quét Bio)</t>
        </is>
      </c>
      <c r="L259" s="56" t="n">
        <v>0</v>
      </c>
      <c r="M259" s="56" t="n">
        <v>5</v>
      </c>
      <c r="N259" s="6" t="inlineStr">
        <is>
          <t>Amazon link not found</t>
        </is>
      </c>
      <c r="O259" s="56">
        <f>IF(N259="Selling pet toys + Artificial grass/Pet toilets (TARGET)",15,IF(N259="Selling artificial grass/pet toilets (TARGET)",10,IF(N259="Selling pet toys",7,IF(N259="There's an Amazon link, but no target sales.",3,0))))</f>
        <v/>
      </c>
      <c r="P259" s="63">
        <f>H259+J259+L259+M259+O259</f>
        <v/>
      </c>
      <c r="Q259" s="64">
        <f>IF(OR(H259=0,P259&lt;30),"Tier D (Đóng băng)",IF(P259&gt;=85,"Tier S (Kim Cương: 85-100đ)",IF(P259&gt;=70,"Tier A (Vàng: 70-84đ)",IF(P259&gt;=61,"Tier B+ / Cấp A (Hot Lead: 61-69đ)",IF(P259&gt;=50,"Tier B (Bạc: 50-60đ)","Tier C (Đồng: 30-49đ)")))))</f>
        <v/>
      </c>
      <c r="R259" s="6" t="inlineStr">
        <is>
          <t>Cỏ nhân tạo sân chơi/huấn luyện (Dog Turf) + Đồ chơi nhai chịu lực (KONG/Chew Toys)</t>
        </is>
      </c>
      <c r="S259" s="6" t="inlineStr">
        <is>
          <t>HOT LEAD (Điểm ≥61): Liên hệ Telesale/Email chào gói Starter Kit &amp; Báo giá sỉ chiết khấu BOM</t>
        </is>
      </c>
    </row>
    <row r="260">
      <c r="A260" s="59" t="n">
        <v>2278</v>
      </c>
      <c r="B260" s="15" t="inlineStr">
        <is>
          <t>Neigh Care, LLC. Pet Sitting</t>
        </is>
      </c>
      <c r="C260" s="60" t="inlineStr">
        <is>
          <t>https://www.facebook.com/NeighCareLLC</t>
        </is>
      </c>
      <c r="D260" s="9" t="inlineStr">
        <is>
          <t>Cần quét Bio Fanpage</t>
        </is>
      </c>
      <c r="E260" s="59" t="inlineStr">
        <is>
          <t>13/10/2026 01:54:39</t>
        </is>
      </c>
      <c r="F260" s="59" t="inlineStr">
        <is>
          <t>3 giờ trước</t>
        </is>
      </c>
      <c r="G260" s="61" t="n">
        <v>0.12</v>
      </c>
      <c r="H260" s="62" t="n">
        <v>35</v>
      </c>
      <c r="I260" s="9" t="inlineStr">
        <is>
          <t>Pet Boarding / Huấn luyện K9 &amp; Dịch vụ (20-22đ)</t>
        </is>
      </c>
      <c r="J260" s="62" t="n">
        <v>22</v>
      </c>
      <c r="K260" s="9" t="inlineStr">
        <is>
          <t>Chưa rõ giống (Cần quét Bio)</t>
        </is>
      </c>
      <c r="L260" s="62" t="n">
        <v>0</v>
      </c>
      <c r="M260" s="62" t="n">
        <v>5</v>
      </c>
      <c r="N260" s="9" t="inlineStr">
        <is>
          <t>Amazon link not found</t>
        </is>
      </c>
      <c r="O260" s="62">
        <f>IF(N260="Selling pet toys + Artificial grass/Pet toilets (TARGET)",15,IF(N260="Selling artificial grass/pet toilets (TARGET)",10,IF(N260="Selling pet toys",7,IF(N260="There's an Amazon link, but no target sales.",3,0))))</f>
        <v/>
      </c>
      <c r="P260" s="63">
        <f>H260+J260+L260+M260+O260</f>
        <v/>
      </c>
      <c r="Q260" s="64">
        <f>IF(OR(H260=0,P260&lt;30),"Tier D (Đóng băng)",IF(P260&gt;=85,"Tier S (Kim Cương: 85-100đ)",IF(P260&gt;=70,"Tier A (Vàng: 70-84đ)",IF(P260&gt;=61,"Tier B+ / Cấp A (Hot Lead: 61-69đ)",IF(P260&gt;=50,"Tier B (Bạc: 50-60đ)","Tier C (Đồng: 30-49đ)")))))</f>
        <v/>
      </c>
      <c r="R260" s="9" t="inlineStr">
        <is>
          <t>Cỏ nhân tạo sân chơi/huấn luyện (Dog Turf) + Đồ chơi nhai chịu lực (KONG/Chew Toys)</t>
        </is>
      </c>
      <c r="S260" s="9" t="inlineStr">
        <is>
          <t>HOT LEAD (Điểm ≥61): Liên hệ Telesale/Email chào gói Starter Kit &amp; Báo giá sỉ chiết khấu BOM</t>
        </is>
      </c>
    </row>
    <row r="261">
      <c r="A261" s="53" t="n">
        <v>1818</v>
      </c>
      <c r="B261" s="12" t="inlineStr">
        <is>
          <t>K9 outdoor adventures inc.</t>
        </is>
      </c>
      <c r="C261" s="54" t="inlineStr">
        <is>
          <t>https://www.facebook.com/profile.php?id=61586626431863</t>
        </is>
      </c>
      <c r="D261" s="6" t="inlineStr">
        <is>
          <t>Cần quét Bio Fanpage</t>
        </is>
      </c>
      <c r="E261" s="53" t="inlineStr">
        <is>
          <t>13/10/2026 01:07:00</t>
        </is>
      </c>
      <c r="F261" s="53" t="inlineStr">
        <is>
          <t>3 giờ trước</t>
        </is>
      </c>
      <c r="G261" s="55" t="n">
        <v>0.12</v>
      </c>
      <c r="H261" s="56" t="n">
        <v>35</v>
      </c>
      <c r="I261" s="6" t="inlineStr">
        <is>
          <t>Pet Boarding / Huấn luyện K9 &amp; Dịch vụ (20-22đ)</t>
        </is>
      </c>
      <c r="J261" s="56" t="n">
        <v>22</v>
      </c>
      <c r="K261" s="6" t="inlineStr">
        <is>
          <t>Chưa rõ giống (Cần quét Bio)</t>
        </is>
      </c>
      <c r="L261" s="56" t="n">
        <v>0</v>
      </c>
      <c r="M261" s="56" t="n">
        <v>5</v>
      </c>
      <c r="N261" s="6" t="inlineStr">
        <is>
          <t>Amazon link not found</t>
        </is>
      </c>
      <c r="O261" s="56">
        <f>IF(N261="Selling pet toys + Artificial grass/Pet toilets (TARGET)",15,IF(N261="Selling artificial grass/pet toilets (TARGET)",10,IF(N261="Selling pet toys",7,IF(N261="There's an Amazon link, but no target sales.",3,0))))</f>
        <v/>
      </c>
      <c r="P261" s="63">
        <f>H261+J261+L261+M261+O261</f>
        <v/>
      </c>
      <c r="Q261" s="64">
        <f>IF(OR(H261=0,P261&lt;30),"Tier D (Đóng băng)",IF(P261&gt;=85,"Tier S (Kim Cương: 85-100đ)",IF(P261&gt;=70,"Tier A (Vàng: 70-84đ)",IF(P261&gt;=61,"Tier B+ / Cấp A (Hot Lead: 61-69đ)",IF(P261&gt;=50,"Tier B (Bạc: 50-60đ)","Tier C (Đồng: 30-49đ)")))))</f>
        <v/>
      </c>
      <c r="R261" s="6" t="inlineStr">
        <is>
          <t>Cỏ nhân tạo sân chơi/huấn luyện (Dog Turf) + Đồ chơi nhai chịu lực (KONG/Chew Toys)</t>
        </is>
      </c>
      <c r="S261" s="6" t="inlineStr">
        <is>
          <t>HOT LEAD (Điểm ≥61): Liên hệ Telesale/Email chào gói Starter Kit &amp; Báo giá sỉ chiết khấu BOM</t>
        </is>
      </c>
    </row>
    <row r="262">
      <c r="A262" s="59" t="n">
        <v>657</v>
      </c>
      <c r="B262" s="15" t="inlineStr">
        <is>
          <t>Best Buddy Dog Trainer, LLC</t>
        </is>
      </c>
      <c r="C262" s="60" t="inlineStr">
        <is>
          <t>https://www.facebook.com/bestbuddydogtrainer</t>
        </is>
      </c>
      <c r="D262" s="9" t="inlineStr">
        <is>
          <t>Cần quét Bio Fanpage</t>
        </is>
      </c>
      <c r="E262" s="59" t="inlineStr">
        <is>
          <t>13/10/2026 00:09:50</t>
        </is>
      </c>
      <c r="F262" s="59" t="inlineStr">
        <is>
          <t>1 giờ trước</t>
        </is>
      </c>
      <c r="G262" s="61" t="n">
        <v>0.04</v>
      </c>
      <c r="H262" s="62" t="n">
        <v>35</v>
      </c>
      <c r="I262" s="9" t="inlineStr">
        <is>
          <t>Pet Boarding / Huấn luyện K9 &amp; Dịch vụ (20-22đ)</t>
        </is>
      </c>
      <c r="J262" s="62" t="n">
        <v>22</v>
      </c>
      <c r="K262" s="9" t="inlineStr">
        <is>
          <t>Chưa rõ giống (Cần quét Bio)</t>
        </is>
      </c>
      <c r="L262" s="62" t="n">
        <v>0</v>
      </c>
      <c r="M262" s="62" t="n">
        <v>5</v>
      </c>
      <c r="N262" s="9" t="inlineStr">
        <is>
          <t>Amazon link not found</t>
        </is>
      </c>
      <c r="O262" s="62">
        <f>IF(N262="Selling pet toys + Artificial grass/Pet toilets (TARGET)",15,IF(N262="Selling artificial grass/pet toilets (TARGET)",10,IF(N262="Selling pet toys",7,IF(N262="There's an Amazon link, but no target sales.",3,0))))</f>
        <v/>
      </c>
      <c r="P262" s="63">
        <f>H262+J262+L262+M262+O262</f>
        <v/>
      </c>
      <c r="Q262" s="64">
        <f>IF(OR(H262=0,P262&lt;30),"Tier D (Đóng băng)",IF(P262&gt;=85,"Tier S (Kim Cương: 85-100đ)",IF(P262&gt;=70,"Tier A (Vàng: 70-84đ)",IF(P262&gt;=61,"Tier B+ / Cấp A (Hot Lead: 61-69đ)",IF(P262&gt;=50,"Tier B (Bạc: 50-60đ)","Tier C (Đồng: 30-49đ)")))))</f>
        <v/>
      </c>
      <c r="R262" s="9" t="inlineStr">
        <is>
          <t>Cỏ nhân tạo sân chơi/huấn luyện (Dog Turf) + Đồ chơi nhai chịu lực (KONG/Chew Toys)</t>
        </is>
      </c>
      <c r="S262" s="9" t="inlineStr">
        <is>
          <t>HOT LEAD (Điểm ≥61): Liên hệ Telesale/Email chào gói Starter Kit &amp; Báo giá sỉ chiết khấu BOM</t>
        </is>
      </c>
    </row>
    <row r="263">
      <c r="A263" s="53" t="n">
        <v>121</v>
      </c>
      <c r="B263" s="12" t="inlineStr">
        <is>
          <t>Bubble Puppy Swim and Playhouse</t>
        </is>
      </c>
      <c r="C263" s="54" t="inlineStr">
        <is>
          <t>https://www.facebook.com/BubblePuppySwimAndPlayhouse</t>
        </is>
      </c>
      <c r="D263" s="6" t="inlineStr">
        <is>
          <t>Cần quét Bio Fanpage</t>
        </is>
      </c>
      <c r="E263" s="53" t="inlineStr">
        <is>
          <t>13/10/2026 00:05:54</t>
        </is>
      </c>
      <c r="F263" s="53" t="inlineStr">
        <is>
          <t>1 giờ trước</t>
        </is>
      </c>
      <c r="G263" s="55" t="n">
        <v>0.04</v>
      </c>
      <c r="H263" s="56" t="n">
        <v>35</v>
      </c>
      <c r="I263" s="6" t="inlineStr">
        <is>
          <t>Pet Boarding / Huấn luyện K9 &amp; Dịch vụ (20-22đ)</t>
        </is>
      </c>
      <c r="J263" s="56" t="n">
        <v>22</v>
      </c>
      <c r="K263" s="6" t="inlineStr">
        <is>
          <t>Chưa rõ giống (Cần quét Bio)</t>
        </is>
      </c>
      <c r="L263" s="56" t="n">
        <v>0</v>
      </c>
      <c r="M263" s="56" t="n">
        <v>5</v>
      </c>
      <c r="N263" s="6" t="inlineStr">
        <is>
          <t>Amazon link not found</t>
        </is>
      </c>
      <c r="O263" s="56">
        <f>IF(N263="Selling pet toys + Artificial grass/Pet toilets (TARGET)",15,IF(N263="Selling artificial grass/pet toilets (TARGET)",10,IF(N263="Selling pet toys",7,IF(N263="There's an Amazon link, but no target sales.",3,0))))</f>
        <v/>
      </c>
      <c r="P263" s="63">
        <f>H263+J263+L263+M263+O263</f>
        <v/>
      </c>
      <c r="Q263" s="64">
        <f>IF(OR(H263=0,P263&lt;30),"Tier D (Đóng băng)",IF(P263&gt;=85,"Tier S (Kim Cương: 85-100đ)",IF(P263&gt;=70,"Tier A (Vàng: 70-84đ)",IF(P263&gt;=61,"Tier B+ / Cấp A (Hot Lead: 61-69đ)",IF(P263&gt;=50,"Tier B (Bạc: 50-60đ)","Tier C (Đồng: 30-49đ)")))))</f>
        <v/>
      </c>
      <c r="R263" s="6" t="inlineStr">
        <is>
          <t>Cỏ nhân tạo sân chơi/huấn luyện (Dog Turf) + Đồ chơi nhai chịu lực (KONG/Chew Toys)</t>
        </is>
      </c>
      <c r="S263" s="6" t="inlineStr">
        <is>
          <t>HOT LEAD (Điểm ≥61): Liên hệ Telesale/Email chào gói Starter Kit &amp; Báo giá sỉ chiết khấu BOM</t>
        </is>
      </c>
    </row>
    <row r="264">
      <c r="A264" s="59" t="n">
        <v>1142</v>
      </c>
      <c r="B264" s="15" t="inlineStr">
        <is>
          <t>Dogmanity Pet Academy</t>
        </is>
      </c>
      <c r="C264" s="60" t="inlineStr">
        <is>
          <t>https://www.facebook.com/profile.php?id=61550725015891</t>
        </is>
      </c>
      <c r="D264" s="9" t="inlineStr">
        <is>
          <t>Cần quét Bio Fanpage</t>
        </is>
      </c>
      <c r="E264" s="59" t="inlineStr">
        <is>
          <t>12/10/2026 23:44:27</t>
        </is>
      </c>
      <c r="F264" s="59" t="inlineStr">
        <is>
          <t>3 giờ trước</t>
        </is>
      </c>
      <c r="G264" s="61" t="n">
        <v>0.12</v>
      </c>
      <c r="H264" s="62" t="n">
        <v>35</v>
      </c>
      <c r="I264" s="9" t="inlineStr">
        <is>
          <t>Pet Boarding / Huấn luyện K9 &amp; Dịch vụ (20-22đ)</t>
        </is>
      </c>
      <c r="J264" s="62" t="n">
        <v>22</v>
      </c>
      <c r="K264" s="9" t="inlineStr">
        <is>
          <t>Chưa rõ giống (Cần quét Bio)</t>
        </is>
      </c>
      <c r="L264" s="62" t="n">
        <v>0</v>
      </c>
      <c r="M264" s="62" t="n">
        <v>5</v>
      </c>
      <c r="N264" s="9" t="inlineStr">
        <is>
          <t>Amazon link not found</t>
        </is>
      </c>
      <c r="O264" s="62">
        <f>IF(N264="Selling pet toys + Artificial grass/Pet toilets (TARGET)",15,IF(N264="Selling artificial grass/pet toilets (TARGET)",10,IF(N264="Selling pet toys",7,IF(N264="There's an Amazon link, but no target sales.",3,0))))</f>
        <v/>
      </c>
      <c r="P264" s="63">
        <f>H264+J264+L264+M264+O264</f>
        <v/>
      </c>
      <c r="Q264" s="64">
        <f>IF(OR(H264=0,P264&lt;30),"Tier D (Đóng băng)",IF(P264&gt;=85,"Tier S (Kim Cương: 85-100đ)",IF(P264&gt;=70,"Tier A (Vàng: 70-84đ)",IF(P264&gt;=61,"Tier B+ / Cấp A (Hot Lead: 61-69đ)",IF(P264&gt;=50,"Tier B (Bạc: 50-60đ)","Tier C (Đồng: 30-49đ)")))))</f>
        <v/>
      </c>
      <c r="R264" s="9" t="inlineStr">
        <is>
          <t>Cỏ nhân tạo sân chơi/huấn luyện (Dog Turf) + Đồ chơi nhai chịu lực (KONG/Chew Toys)</t>
        </is>
      </c>
      <c r="S264" s="9" t="inlineStr">
        <is>
          <t>HOT LEAD (Điểm ≥61): Liên hệ Telesale/Email chào gói Starter Kit &amp; Báo giá sỉ chiết khấu BOM</t>
        </is>
      </c>
    </row>
    <row r="265">
      <c r="A265" s="53" t="n">
        <v>5867</v>
      </c>
      <c r="B265" s="12" t="inlineStr">
        <is>
          <t>Westside German Shepherd Rescue of Los Angeles</t>
        </is>
      </c>
      <c r="C265" s="54" t="inlineStr">
        <is>
          <t>https://www.facebook.com/WGSRescue</t>
        </is>
      </c>
      <c r="D265" s="6" t="inlineStr">
        <is>
          <t>Cần quét Bio Fanpage</t>
        </is>
      </c>
      <c r="E265" s="53" t="inlineStr">
        <is>
          <t>13/10/2026 09:35:02</t>
        </is>
      </c>
      <c r="F265" s="53" t="inlineStr">
        <is>
          <t>1 giờ trước</t>
        </is>
      </c>
      <c r="G265" s="55" t="n">
        <v>0.04</v>
      </c>
      <c r="H265" s="56" t="n">
        <v>35</v>
      </c>
      <c r="I265" s="6" t="inlineStr">
        <is>
          <t>Pet Rescue / Trạm cứu trợ (14-16đ)</t>
        </is>
      </c>
      <c r="J265" s="56" t="n">
        <v>16</v>
      </c>
      <c r="K265" s="6" t="inlineStr">
        <is>
          <t>German Shepherd</t>
        </is>
      </c>
      <c r="L265" s="56" t="n">
        <v>10</v>
      </c>
      <c r="M265" s="56" t="n">
        <v>0</v>
      </c>
      <c r="N265" s="6" t="inlineStr">
        <is>
          <t>Amazon link not found</t>
        </is>
      </c>
      <c r="O265" s="56">
        <f>IF(N265="Selling pet toys + Artificial grass/Pet toilets (TARGET)",15,IF(N265="Selling artificial grass/pet toilets (TARGET)",10,IF(N265="Selling pet toys",7,IF(N265="There's an Amazon link, but no target sales.",3,0))))</f>
        <v/>
      </c>
      <c r="P265" s="63">
        <f>H265+J265+L265+M265+O265</f>
        <v/>
      </c>
      <c r="Q265" s="64">
        <f>IF(OR(H265=0,P265&lt;30),"Tier D (Đóng băng)",IF(P265&gt;=85,"Tier S (Kim Cương: 85-100đ)",IF(P265&gt;=70,"Tier A (Vàng: 70-84đ)",IF(P265&gt;=61,"Tier B+ / Cấp A (Hot Lead: 61-69đ)",IF(P265&gt;=50,"Tier B (Bạc: 50-60đ)","Tier C (Đồng: 30-49đ)")))))</f>
        <v/>
      </c>
      <c r="R265" s="6" t="inlineStr">
        <is>
          <t>Nhà vệ sinh &amp; Tã lót (Potty Tray / Pee Pads) + Cỏ nhân tạo lót chuồng</t>
        </is>
      </c>
      <c r="S265" s="6" t="inlineStr">
        <is>
          <t>HOT LEAD (Điểm ≥61): Liên hệ Telesale/Email chào gói Starter Kit &amp; Báo giá sỉ chiết khấu BOM</t>
        </is>
      </c>
    </row>
    <row r="266">
      <c r="A266" s="59" t="n">
        <v>3971</v>
      </c>
      <c r="B266" s="15" t="inlineStr">
        <is>
          <t>German Shepherd Rescue of Orange County</t>
        </is>
      </c>
      <c r="C266" s="60" t="inlineStr">
        <is>
          <t>https://www.facebook.com/GSROCdogs</t>
        </is>
      </c>
      <c r="D266" s="9" t="inlineStr">
        <is>
          <t>Cần quét Bio Fanpage</t>
        </is>
      </c>
      <c r="E266" s="59" t="inlineStr">
        <is>
          <t>13/10/2026 08:01:16</t>
        </is>
      </c>
      <c r="F266" s="59" t="inlineStr">
        <is>
          <t>3 phút trước</t>
        </is>
      </c>
      <c r="G266" s="61" t="n">
        <v>0</v>
      </c>
      <c r="H266" s="62" t="n">
        <v>35</v>
      </c>
      <c r="I266" s="9" t="inlineStr">
        <is>
          <t>Pet Rescue / Trạm cứu trợ (14-16đ)</t>
        </is>
      </c>
      <c r="J266" s="62" t="n">
        <v>16</v>
      </c>
      <c r="K266" s="9" t="inlineStr">
        <is>
          <t>German Shepherd</t>
        </is>
      </c>
      <c r="L266" s="62" t="n">
        <v>10</v>
      </c>
      <c r="M266" s="62" t="n">
        <v>0</v>
      </c>
      <c r="N266" s="9" t="inlineStr">
        <is>
          <t>Amazon link not found</t>
        </is>
      </c>
      <c r="O266" s="62">
        <f>IF(N266="Selling pet toys + Artificial grass/Pet toilets (TARGET)",15,IF(N266="Selling artificial grass/pet toilets (TARGET)",10,IF(N266="Selling pet toys",7,IF(N266="There's an Amazon link, but no target sales.",3,0))))</f>
        <v/>
      </c>
      <c r="P266" s="63">
        <f>H266+J266+L266+M266+O266</f>
        <v/>
      </c>
      <c r="Q266" s="64">
        <f>IF(OR(H266=0,P266&lt;30),"Tier D (Đóng băng)",IF(P266&gt;=85,"Tier S (Kim Cương: 85-100đ)",IF(P266&gt;=70,"Tier A (Vàng: 70-84đ)",IF(P266&gt;=61,"Tier B+ / Cấp A (Hot Lead: 61-69đ)",IF(P266&gt;=50,"Tier B (Bạc: 50-60đ)","Tier C (Đồng: 30-49đ)")))))</f>
        <v/>
      </c>
      <c r="R266" s="9" t="inlineStr">
        <is>
          <t>Nhà vệ sinh &amp; Tã lót (Potty Tray / Pee Pads) + Cỏ nhân tạo lót chuồng</t>
        </is>
      </c>
      <c r="S266" s="9" t="inlineStr">
        <is>
          <t>HOT LEAD (Điểm ≥61): Liên hệ Telesale/Email chào gói Starter Kit &amp; Báo giá sỉ chiết khấu BOM</t>
        </is>
      </c>
    </row>
    <row r="267">
      <c r="A267" s="53" t="n">
        <v>3909</v>
      </c>
      <c r="B267" s="12" t="inlineStr">
        <is>
          <t>French Bulldog Foundation of America</t>
        </is>
      </c>
      <c r="C267" s="54" t="inlineStr">
        <is>
          <t>https://www.facebook.com/profile.php?id=61585143501577</t>
        </is>
      </c>
      <c r="D267" s="6" t="inlineStr">
        <is>
          <t>Cần quét Bio Fanpage</t>
        </is>
      </c>
      <c r="E267" s="53" t="inlineStr">
        <is>
          <t>13/10/2026 07:29:44</t>
        </is>
      </c>
      <c r="F267" s="53" t="inlineStr">
        <is>
          <t>28 phút trước</t>
        </is>
      </c>
      <c r="G267" s="55" t="n">
        <v>0.02</v>
      </c>
      <c r="H267" s="56" t="n">
        <v>35</v>
      </c>
      <c r="I267" s="6" t="inlineStr">
        <is>
          <t>Pet Rescue / Trạm cứu trợ (14-16đ)</t>
        </is>
      </c>
      <c r="J267" s="56" t="n">
        <v>16</v>
      </c>
      <c r="K267" s="6" t="inlineStr">
        <is>
          <t>French Bulldog</t>
        </is>
      </c>
      <c r="L267" s="56" t="n">
        <v>10</v>
      </c>
      <c r="M267" s="56" t="n">
        <v>0</v>
      </c>
      <c r="N267" s="6" t="inlineStr">
        <is>
          <t>Amazon link not found</t>
        </is>
      </c>
      <c r="O267" s="56">
        <f>IF(N267="Selling pet toys + Artificial grass/Pet toilets (TARGET)",15,IF(N267="Selling artificial grass/pet toilets (TARGET)",10,IF(N267="Selling pet toys",7,IF(N267="There's an Amazon link, but no target sales.",3,0))))</f>
        <v/>
      </c>
      <c r="P267" s="63">
        <f>H267+J267+L267+M267+O267</f>
        <v/>
      </c>
      <c r="Q267" s="64">
        <f>IF(OR(H267=0,P267&lt;30),"Tier D (Đóng băng)",IF(P267&gt;=85,"Tier S (Kim Cương: 85-100đ)",IF(P267&gt;=70,"Tier A (Vàng: 70-84đ)",IF(P267&gt;=61,"Tier B+ / Cấp A (Hot Lead: 61-69đ)",IF(P267&gt;=50,"Tier B (Bạc: 50-60đ)","Tier C (Đồng: 30-49đ)")))))</f>
        <v/>
      </c>
      <c r="R267" s="6" t="inlineStr">
        <is>
          <t>Nhà vệ sinh &amp; Tã lót (Potty Tray / Pee Pads) + Cỏ nhân tạo lót chuồng</t>
        </is>
      </c>
      <c r="S267" s="6" t="inlineStr">
        <is>
          <t>HOT LEAD (Điểm ≥61): Liên hệ Telesale/Email chào gói Starter Kit &amp; Báo giá sỉ chiết khấu BOM</t>
        </is>
      </c>
    </row>
    <row r="268">
      <c r="A268" s="59" t="n">
        <v>4023</v>
      </c>
      <c r="B268" s="15" t="inlineStr">
        <is>
          <t>Greater California German Shepherd Rescue</t>
        </is>
      </c>
      <c r="C268" s="60" t="inlineStr">
        <is>
          <t>https://www.facebook.com/GCGSR</t>
        </is>
      </c>
      <c r="D268" s="9" t="inlineStr">
        <is>
          <t>Cần quét Bio Fanpage</t>
        </is>
      </c>
      <c r="E268" s="59" t="inlineStr">
        <is>
          <t>13/10/2026 05:15:48</t>
        </is>
      </c>
      <c r="F268" s="59" t="inlineStr">
        <is>
          <t>2 giờ trước</t>
        </is>
      </c>
      <c r="G268" s="61" t="n">
        <v>0.08</v>
      </c>
      <c r="H268" s="62" t="n">
        <v>35</v>
      </c>
      <c r="I268" s="9" t="inlineStr">
        <is>
          <t>Pet Rescue / Trạm cứu trợ (14-16đ)</t>
        </is>
      </c>
      <c r="J268" s="62" t="n">
        <v>16</v>
      </c>
      <c r="K268" s="9" t="inlineStr">
        <is>
          <t>German Shepherd</t>
        </is>
      </c>
      <c r="L268" s="62" t="n">
        <v>10</v>
      </c>
      <c r="M268" s="62" t="n">
        <v>0</v>
      </c>
      <c r="N268" s="9" t="inlineStr">
        <is>
          <t>Amazon link not found</t>
        </is>
      </c>
      <c r="O268" s="62">
        <f>IF(N268="Selling pet toys + Artificial grass/Pet toilets (TARGET)",15,IF(N268="Selling artificial grass/pet toilets (TARGET)",10,IF(N268="Selling pet toys",7,IF(N268="There's an Amazon link, but no target sales.",3,0))))</f>
        <v/>
      </c>
      <c r="P268" s="63">
        <f>H268+J268+L268+M268+O268</f>
        <v/>
      </c>
      <c r="Q268" s="64">
        <f>IF(OR(H268=0,P268&lt;30),"Tier D (Đóng băng)",IF(P268&gt;=85,"Tier S (Kim Cương: 85-100đ)",IF(P268&gt;=70,"Tier A (Vàng: 70-84đ)",IF(P268&gt;=61,"Tier B+ / Cấp A (Hot Lead: 61-69đ)",IF(P268&gt;=50,"Tier B (Bạc: 50-60đ)","Tier C (Đồng: 30-49đ)")))))</f>
        <v/>
      </c>
      <c r="R268" s="9" t="inlineStr">
        <is>
          <t>Nhà vệ sinh &amp; Tã lót (Potty Tray / Pee Pads) + Cỏ nhân tạo lót chuồng</t>
        </is>
      </c>
      <c r="S268" s="9" t="inlineStr">
        <is>
          <t>HOT LEAD (Điểm ≥61): Liên hệ Telesale/Email chào gói Starter Kit &amp; Báo giá sỉ chiết khấu BOM</t>
        </is>
      </c>
    </row>
    <row r="269">
      <c r="A269" s="53" t="n">
        <v>697</v>
      </c>
      <c r="B269" s="12" t="inlineStr">
        <is>
          <t>Blessed be the Bullies Rescue</t>
        </is>
      </c>
      <c r="C269" s="54" t="inlineStr">
        <is>
          <t>https://www.facebook.com/blessedbethebullies</t>
        </is>
      </c>
      <c r="D269" s="6" t="inlineStr">
        <is>
          <t>Cần quét Bio Fanpage</t>
        </is>
      </c>
      <c r="E269" s="53" t="inlineStr">
        <is>
          <t>13/10/2026 01:48:43</t>
        </is>
      </c>
      <c r="F269" s="53" t="inlineStr">
        <is>
          <t>21 phút trước</t>
        </is>
      </c>
      <c r="G269" s="55" t="n">
        <v>0.01</v>
      </c>
      <c r="H269" s="56" t="n">
        <v>35</v>
      </c>
      <c r="I269" s="6" t="inlineStr">
        <is>
          <t>Pet Rescue / Trạm cứu trợ (14-16đ)</t>
        </is>
      </c>
      <c r="J269" s="56" t="n">
        <v>16</v>
      </c>
      <c r="K269" s="6" t="inlineStr">
        <is>
          <t>American Bully / Bully</t>
        </is>
      </c>
      <c r="L269" s="56" t="n">
        <v>10</v>
      </c>
      <c r="M269" s="56" t="n">
        <v>0</v>
      </c>
      <c r="N269" s="6" t="inlineStr">
        <is>
          <t>Amazon link not found</t>
        </is>
      </c>
      <c r="O269" s="56">
        <f>IF(N269="Selling pet toys + Artificial grass/Pet toilets (TARGET)",15,IF(N269="Selling artificial grass/pet toilets (TARGET)",10,IF(N269="Selling pet toys",7,IF(N269="There's an Amazon link, but no target sales.",3,0))))</f>
        <v/>
      </c>
      <c r="P269" s="63">
        <f>H269+J269+L269+M269+O269</f>
        <v/>
      </c>
      <c r="Q269" s="64">
        <f>IF(OR(H269=0,P269&lt;30),"Tier D (Đóng băng)",IF(P269&gt;=85,"Tier S (Kim Cương: 85-100đ)",IF(P269&gt;=70,"Tier A (Vàng: 70-84đ)",IF(P269&gt;=61,"Tier B+ / Cấp A (Hot Lead: 61-69đ)",IF(P269&gt;=50,"Tier B (Bạc: 50-60đ)","Tier C (Đồng: 30-49đ)")))))</f>
        <v/>
      </c>
      <c r="R269" s="6" t="inlineStr">
        <is>
          <t>Nhà vệ sinh &amp; Tã lót (Potty Tray / Pee Pads) + Cỏ nhân tạo lót chuồng</t>
        </is>
      </c>
      <c r="S269" s="6" t="inlineStr">
        <is>
          <t>HOT LEAD (Điểm ≥61): Liên hệ Telesale/Email chào gói Starter Kit &amp; Báo giá sỉ chiết khấu BOM</t>
        </is>
      </c>
    </row>
    <row r="270">
      <c r="A270" s="59" t="n">
        <v>136</v>
      </c>
      <c r="B270" s="15" t="inlineStr">
        <is>
          <t>Collie Rescue of Greater IL, Inc.</t>
        </is>
      </c>
      <c r="C270" s="60" t="inlineStr">
        <is>
          <t>https://www.facebook.com/CollieRescueofGreaterIL</t>
        </is>
      </c>
      <c r="D270" s="9" t="inlineStr">
        <is>
          <t>Cần quét Bio Fanpage</t>
        </is>
      </c>
      <c r="E270" s="59" t="inlineStr">
        <is>
          <t>12/10/2026 22:55:51</t>
        </is>
      </c>
      <c r="F270" s="59" t="inlineStr">
        <is>
          <t>2 giờ trước</t>
        </is>
      </c>
      <c r="G270" s="61" t="n">
        <v>0.08</v>
      </c>
      <c r="H270" s="62" t="n">
        <v>35</v>
      </c>
      <c r="I270" s="9" t="inlineStr">
        <is>
          <t>Pet Rescue / Trạm cứu trợ (14-16đ)</t>
        </is>
      </c>
      <c r="J270" s="62" t="n">
        <v>16</v>
      </c>
      <c r="K270" s="9" t="inlineStr">
        <is>
          <t>Australian Shepherd / Herding</t>
        </is>
      </c>
      <c r="L270" s="62" t="n">
        <v>5</v>
      </c>
      <c r="M270" s="62" t="n">
        <v>5</v>
      </c>
      <c r="N270" s="9" t="inlineStr">
        <is>
          <t>Amazon link not found</t>
        </is>
      </c>
      <c r="O270" s="62">
        <f>IF(N270="Selling pet toys + Artificial grass/Pet toilets (TARGET)",15,IF(N270="Selling artificial grass/pet toilets (TARGET)",10,IF(N270="Selling pet toys",7,IF(N270="There's an Amazon link, but no target sales.",3,0))))</f>
        <v/>
      </c>
      <c r="P270" s="63">
        <f>H270+J270+L270+M270+O270</f>
        <v/>
      </c>
      <c r="Q270" s="64">
        <f>IF(OR(H270=0,P270&lt;30),"Tier D (Đóng băng)",IF(P270&gt;=85,"Tier S (Kim Cương: 85-100đ)",IF(P270&gt;=70,"Tier A (Vàng: 70-84đ)",IF(P270&gt;=61,"Tier B+ / Cấp A (Hot Lead: 61-69đ)",IF(P270&gt;=50,"Tier B (Bạc: 50-60đ)","Tier C (Đồng: 30-49đ)")))))</f>
        <v/>
      </c>
      <c r="R270" s="9" t="inlineStr">
        <is>
          <t>Nhà vệ sinh &amp; Tã lót (Potty Tray / Pee Pads) + Cỏ nhân tạo lót chuồng</t>
        </is>
      </c>
      <c r="S270" s="9" t="inlineStr">
        <is>
          <t>HOT LEAD (Điểm ≥61): Liên hệ Telesale/Email chào gói Starter Kit &amp; Báo giá sỉ chiết khấu BOM</t>
        </is>
      </c>
    </row>
    <row r="271">
      <c r="A271" s="53" t="n">
        <v>3070</v>
      </c>
      <c r="B271" s="12" t="inlineStr">
        <is>
          <t>Tea Time with Earl Greyhound</t>
        </is>
      </c>
      <c r="C271" s="54" t="inlineStr">
        <is>
          <t>https://www.facebook.com/TeaTimewithEarlGreyhound</t>
        </is>
      </c>
      <c r="D271" s="6" t="inlineStr">
        <is>
          <t>Cần quét Bio Fanpage</t>
        </is>
      </c>
      <c r="E271" s="53" t="inlineStr">
        <is>
          <t>12/10/2026 05:55:28</t>
        </is>
      </c>
      <c r="F271" s="53" t="inlineStr">
        <is>
          <t>1 ngày trước</t>
        </is>
      </c>
      <c r="G271" s="55" t="n">
        <v>1</v>
      </c>
      <c r="H271" s="56" t="n">
        <v>28</v>
      </c>
      <c r="I271" s="6" t="inlineStr">
        <is>
          <t>Dog Breeder / Trại nhân giống (28-30đ)</t>
        </is>
      </c>
      <c r="J271" s="56" t="n">
        <v>28</v>
      </c>
      <c r="K271" s="6" t="inlineStr">
        <is>
          <t>Hound / Beagle / Basset</t>
        </is>
      </c>
      <c r="L271" s="56" t="n">
        <v>5</v>
      </c>
      <c r="M271" s="56" t="n">
        <v>0</v>
      </c>
      <c r="N271" s="6" t="inlineStr">
        <is>
          <t>Amazon link not found</t>
        </is>
      </c>
      <c r="O271" s="56">
        <f>IF(N271="Selling pet toys + Artificial grass/Pet toilets (TARGET)",15,IF(N271="Selling artificial grass/pet toilets (TARGET)",10,IF(N271="Selling pet toys",7,IF(N271="There's an Amazon link, but no target sales.",3,0))))</f>
        <v/>
      </c>
      <c r="P271" s="63">
        <f>H271+J271+L271+M271+O271</f>
        <v/>
      </c>
      <c r="Q271" s="64">
        <f>IF(OR(H271=0,P271&lt;30),"Tier D (Đóng băng)",IF(P271&gt;=85,"Tier S (Kim Cương: 85-100đ)",IF(P271&gt;=70,"Tier A (Vàng: 70-84đ)",IF(P271&gt;=61,"Tier B+ / Cấp A (Hot Lead: 61-69đ)",IF(P271&gt;=50,"Tier B (Bạc: 50-60đ)","Tier C (Đồng: 30-49đ)")))))</f>
        <v/>
      </c>
      <c r="R271" s="6" t="inlineStr">
        <is>
          <t>Trọn gói Take-Home Starter Kit V2/V3 (Cỏ nhân tạo + Khay Potty + Đồ chơi cún con)</t>
        </is>
      </c>
      <c r="S271" s="6" t="inlineStr">
        <is>
          <t>HOT LEAD (Điểm ≥61): Liên hệ Telesale/Email chào gói Starter Kit &amp; Báo giá sỉ chiết khấu BOM</t>
        </is>
      </c>
    </row>
    <row r="272">
      <c r="A272" s="59" t="n">
        <v>2860</v>
      </c>
      <c r="B272" s="15" t="inlineStr">
        <is>
          <t>Serenity Basset Hounds</t>
        </is>
      </c>
      <c r="C272" s="60" t="inlineStr">
        <is>
          <t>https://www.facebook.com/SerenityBassetHounds</t>
        </is>
      </c>
      <c r="D272" s="9" t="inlineStr">
        <is>
          <t>Cần quét Bio Fanpage</t>
        </is>
      </c>
      <c r="E272" s="59" t="inlineStr">
        <is>
          <t>12/10/2026 05:39:35</t>
        </is>
      </c>
      <c r="F272" s="59" t="inlineStr">
        <is>
          <t>1 ngày trước</t>
        </is>
      </c>
      <c r="G272" s="61" t="n">
        <v>1</v>
      </c>
      <c r="H272" s="62" t="n">
        <v>28</v>
      </c>
      <c r="I272" s="9" t="inlineStr">
        <is>
          <t>Dog Breeder / Trại chó chuyên nghiệp (28-30đ)</t>
        </is>
      </c>
      <c r="J272" s="62" t="n">
        <v>28</v>
      </c>
      <c r="K272" s="9" t="inlineStr">
        <is>
          <t>Hound / Beagle / Basset</t>
        </is>
      </c>
      <c r="L272" s="62" t="n">
        <v>5</v>
      </c>
      <c r="M272" s="62" t="n">
        <v>0</v>
      </c>
      <c r="N272" s="9" t="inlineStr">
        <is>
          <t>Amazon link not found</t>
        </is>
      </c>
      <c r="O272" s="62">
        <f>IF(N272="Selling pet toys + Artificial grass/Pet toilets (TARGET)",15,IF(N272="Selling artificial grass/pet toilets (TARGET)",10,IF(N272="Selling pet toys",7,IF(N272="There's an Amazon link, but no target sales.",3,0))))</f>
        <v/>
      </c>
      <c r="P272" s="63">
        <f>H272+J272+L272+M272+O272</f>
        <v/>
      </c>
      <c r="Q272" s="64">
        <f>IF(OR(H272=0,P272&lt;30),"Tier D (Đóng băng)",IF(P272&gt;=85,"Tier S (Kim Cương: 85-100đ)",IF(P272&gt;=70,"Tier A (Vàng: 70-84đ)",IF(P272&gt;=61,"Tier B+ / Cấp A (Hot Lead: 61-69đ)",IF(P272&gt;=50,"Tier B (Bạc: 50-60đ)","Tier C (Đồng: 30-49đ)")))))</f>
        <v/>
      </c>
      <c r="R272" s="9" t="inlineStr">
        <is>
          <t>Trọn gói Take-Home Starter Kit V2/V3 (Cỏ nhân tạo + Khay Potty + Đồ chơi Teething/Snuggle)</t>
        </is>
      </c>
      <c r="S272" s="9" t="inlineStr">
        <is>
          <t>HOT LEAD (Điểm ≥61): Liên hệ Telesale/Email chào gói Starter Kit &amp; Báo giá sỉ chiết khấu BOM</t>
        </is>
      </c>
    </row>
    <row r="273">
      <c r="A273" s="53" t="n">
        <v>3461</v>
      </c>
      <c r="B273" s="12" t="inlineStr">
        <is>
          <t>Yap Yap Doxie Dog - Clay Dachshund Designs</t>
        </is>
      </c>
      <c r="C273" s="54" t="inlineStr">
        <is>
          <t>https://www.facebook.com/YapYapDoxieDogClayDachshundDesigns</t>
        </is>
      </c>
      <c r="D273" s="6" t="inlineStr">
        <is>
          <t>Cần quét Bio Fanpage</t>
        </is>
      </c>
      <c r="E273" s="53" t="inlineStr">
        <is>
          <t>12/10/2026 04:19:08</t>
        </is>
      </c>
      <c r="F273" s="53" t="inlineStr">
        <is>
          <t>1 ngày trước</t>
        </is>
      </c>
      <c r="G273" s="55" t="n">
        <v>1</v>
      </c>
      <c r="H273" s="56" t="n">
        <v>28</v>
      </c>
      <c r="I273" s="6" t="inlineStr">
        <is>
          <t>Dog Breeder / Trại nhân giống (28-30đ)</t>
        </is>
      </c>
      <c r="J273" s="56" t="n">
        <v>28</v>
      </c>
      <c r="K273" s="6" t="inlineStr">
        <is>
          <t>Dachshund</t>
        </is>
      </c>
      <c r="L273" s="56" t="n">
        <v>5</v>
      </c>
      <c r="M273" s="56" t="n">
        <v>0</v>
      </c>
      <c r="N273" s="6" t="inlineStr">
        <is>
          <t>Amazon link not found</t>
        </is>
      </c>
      <c r="O273" s="56">
        <f>IF(N273="Selling pet toys + Artificial grass/Pet toilets (TARGET)",15,IF(N273="Selling artificial grass/pet toilets (TARGET)",10,IF(N273="Selling pet toys",7,IF(N273="There's an Amazon link, but no target sales.",3,0))))</f>
        <v/>
      </c>
      <c r="P273" s="63">
        <f>H273+J273+L273+M273+O273</f>
        <v/>
      </c>
      <c r="Q273" s="64">
        <f>IF(OR(H273=0,P273&lt;30),"Tier D (Đóng băng)",IF(P273&gt;=85,"Tier S (Kim Cương: 85-100đ)",IF(P273&gt;=70,"Tier A (Vàng: 70-84đ)",IF(P273&gt;=61,"Tier B+ / Cấp A (Hot Lead: 61-69đ)",IF(P273&gt;=50,"Tier B (Bạc: 50-60đ)","Tier C (Đồng: 30-49đ)")))))</f>
        <v/>
      </c>
      <c r="R273" s="6" t="inlineStr">
        <is>
          <t>Trọn gói Take-Home Starter Kit V2/V3 (Cỏ nhân tạo + Khay Potty + Đồ chơi cún con)</t>
        </is>
      </c>
      <c r="S273" s="6" t="inlineStr">
        <is>
          <t>HOT LEAD (Điểm ≥61): Liên hệ Telesale/Email chào gói Starter Kit &amp; Báo giá sỉ chiết khấu BOM</t>
        </is>
      </c>
    </row>
    <row r="274">
      <c r="A274" s="59" t="n">
        <v>1688</v>
      </c>
      <c r="B274" s="15" t="inlineStr">
        <is>
          <t>Hound and Hooman NI  (Hound and Hooman NI)</t>
        </is>
      </c>
      <c r="C274" s="60" t="inlineStr">
        <is>
          <t>https://www.facebook.com/profile.php?id=100079016053007</t>
        </is>
      </c>
      <c r="D274" s="9" t="inlineStr">
        <is>
          <t>Cần quét Bio Fanpage</t>
        </is>
      </c>
      <c r="E274" s="59" t="inlineStr">
        <is>
          <t>12/10/2026 03:26:00</t>
        </is>
      </c>
      <c r="F274" s="59" t="inlineStr">
        <is>
          <t>1 ngày trước</t>
        </is>
      </c>
      <c r="G274" s="61" t="n">
        <v>1</v>
      </c>
      <c r="H274" s="62" t="n">
        <v>28</v>
      </c>
      <c r="I274" s="9" t="inlineStr">
        <is>
          <t>Dog Breeder / Trại nhân giống (28-30đ)</t>
        </is>
      </c>
      <c r="J274" s="62" t="n">
        <v>28</v>
      </c>
      <c r="K274" s="9" t="inlineStr">
        <is>
          <t>Hound / Beagle / Basset</t>
        </is>
      </c>
      <c r="L274" s="62" t="n">
        <v>5</v>
      </c>
      <c r="M274" s="62" t="n">
        <v>0</v>
      </c>
      <c r="N274" s="9" t="inlineStr">
        <is>
          <t>Amazon link not found</t>
        </is>
      </c>
      <c r="O274" s="62">
        <f>IF(N274="Selling pet toys + Artificial grass/Pet toilets (TARGET)",15,IF(N274="Selling artificial grass/pet toilets (TARGET)",10,IF(N274="Selling pet toys",7,IF(N274="There's an Amazon link, but no target sales.",3,0))))</f>
        <v/>
      </c>
      <c r="P274" s="63">
        <f>H274+J274+L274+M274+O274</f>
        <v/>
      </c>
      <c r="Q274" s="64">
        <f>IF(OR(H274=0,P274&lt;30),"Tier D (Đóng băng)",IF(P274&gt;=85,"Tier S (Kim Cương: 85-100đ)",IF(P274&gt;=70,"Tier A (Vàng: 70-84đ)",IF(P274&gt;=61,"Tier B+ / Cấp A (Hot Lead: 61-69đ)",IF(P274&gt;=50,"Tier B (Bạc: 50-60đ)","Tier C (Đồng: 30-49đ)")))))</f>
        <v/>
      </c>
      <c r="R274" s="9" t="inlineStr">
        <is>
          <t>Trọn gói Take-Home Starter Kit V2/V3 (Cỏ nhân tạo + Khay Potty + Đồ chơi cún con)</t>
        </is>
      </c>
      <c r="S274" s="9" t="inlineStr">
        <is>
          <t>HOT LEAD (Điểm ≥61): Liên hệ Telesale/Email chào gói Starter Kit &amp; Báo giá sỉ chiết khấu BOM</t>
        </is>
      </c>
    </row>
    <row r="275">
      <c r="A275" s="53" t="n">
        <v>3190</v>
      </c>
      <c r="B275" s="12" t="inlineStr">
        <is>
          <t>Timmikin Shetland Sheepdogs</t>
        </is>
      </c>
      <c r="C275" s="54" t="inlineStr">
        <is>
          <t>https://www.facebook.com/timmikinshelties</t>
        </is>
      </c>
      <c r="D275" s="6" t="inlineStr">
        <is>
          <t>Cần quét Bio Fanpage</t>
        </is>
      </c>
      <c r="E275" s="53" t="inlineStr">
        <is>
          <t>12/10/2026 03:14:48</t>
        </is>
      </c>
      <c r="F275" s="53" t="inlineStr">
        <is>
          <t>1 ngày trước</t>
        </is>
      </c>
      <c r="G275" s="55" t="n">
        <v>1</v>
      </c>
      <c r="H275" s="56" t="n">
        <v>28</v>
      </c>
      <c r="I275" s="6" t="inlineStr">
        <is>
          <t>Dog Breeder / Trại nhân giống (28-30đ)</t>
        </is>
      </c>
      <c r="J275" s="56" t="n">
        <v>28</v>
      </c>
      <c r="K275" s="6" t="inlineStr">
        <is>
          <t>Australian Shepherd / Herding</t>
        </is>
      </c>
      <c r="L275" s="56" t="n">
        <v>5</v>
      </c>
      <c r="M275" s="56" t="n">
        <v>0</v>
      </c>
      <c r="N275" s="6" t="inlineStr">
        <is>
          <t>Amazon link not found</t>
        </is>
      </c>
      <c r="O275" s="56">
        <f>IF(N275="Selling pet toys + Artificial grass/Pet toilets (TARGET)",15,IF(N275="Selling artificial grass/pet toilets (TARGET)",10,IF(N275="Selling pet toys",7,IF(N275="There's an Amazon link, but no target sales.",3,0))))</f>
        <v/>
      </c>
      <c r="P275" s="63">
        <f>H275+J275+L275+M275+O275</f>
        <v/>
      </c>
      <c r="Q275" s="64">
        <f>IF(OR(H275=0,P275&lt;30),"Tier D (Đóng băng)",IF(P275&gt;=85,"Tier S (Kim Cương: 85-100đ)",IF(P275&gt;=70,"Tier A (Vàng: 70-84đ)",IF(P275&gt;=61,"Tier B+ / Cấp A (Hot Lead: 61-69đ)",IF(P275&gt;=50,"Tier B (Bạc: 50-60đ)","Tier C (Đồng: 30-49đ)")))))</f>
        <v/>
      </c>
      <c r="R275" s="6" t="inlineStr">
        <is>
          <t>Trọn gói Take-Home Starter Kit V2/V3 (Cỏ nhân tạo + Khay Potty + Đồ chơi cún con)</t>
        </is>
      </c>
      <c r="S275" s="6" t="inlineStr">
        <is>
          <t>HOT LEAD (Điểm ≥61): Liên hệ Telesale/Email chào gói Starter Kit &amp; Báo giá sỉ chiết khấu BOM</t>
        </is>
      </c>
    </row>
    <row r="276">
      <c r="A276" s="59" t="n">
        <v>675</v>
      </c>
      <c r="B276" s="15" t="inlineStr">
        <is>
          <t>Billy the Talking Puppy</t>
        </is>
      </c>
      <c r="C276" s="60" t="inlineStr">
        <is>
          <t>https://www.facebook.com/profile.php?id=61565520434277</t>
        </is>
      </c>
      <c r="D276" s="9" t="inlineStr">
        <is>
          <t>Cần quét Bio Fanpage</t>
        </is>
      </c>
      <c r="E276" s="59" t="inlineStr">
        <is>
          <t>12/10/2026 01:33:44</t>
        </is>
      </c>
      <c r="F276" s="59" t="inlineStr">
        <is>
          <t>1 ngày trước</t>
        </is>
      </c>
      <c r="G276" s="61" t="n">
        <v>1</v>
      </c>
      <c r="H276" s="62" t="n">
        <v>28</v>
      </c>
      <c r="I276" s="9" t="inlineStr">
        <is>
          <t>Dog Breeder / Trại chó chuyên nghiệp (28-30đ)</t>
        </is>
      </c>
      <c r="J276" s="62" t="n">
        <v>28</v>
      </c>
      <c r="K276" s="9" t="inlineStr">
        <is>
          <t>Chưa rõ giống (Cần quét Bio)</t>
        </is>
      </c>
      <c r="L276" s="62" t="n">
        <v>0</v>
      </c>
      <c r="M276" s="62" t="n">
        <v>5</v>
      </c>
      <c r="N276" s="9" t="inlineStr">
        <is>
          <t>Amazon link not found</t>
        </is>
      </c>
      <c r="O276" s="62">
        <f>IF(N276="Selling pet toys + Artificial grass/Pet toilets (TARGET)",15,IF(N276="Selling artificial grass/pet toilets (TARGET)",10,IF(N276="Selling pet toys",7,IF(N276="There's an Amazon link, but no target sales.",3,0))))</f>
        <v/>
      </c>
      <c r="P276" s="63">
        <f>H276+J276+L276+M276+O276</f>
        <v/>
      </c>
      <c r="Q276" s="64">
        <f>IF(OR(H276=0,P276&lt;30),"Tier D (Đóng băng)",IF(P276&gt;=85,"Tier S (Kim Cương: 85-100đ)",IF(P276&gt;=70,"Tier A (Vàng: 70-84đ)",IF(P276&gt;=61,"Tier B+ / Cấp A (Hot Lead: 61-69đ)",IF(P276&gt;=50,"Tier B (Bạc: 50-60đ)","Tier C (Đồng: 30-49đ)")))))</f>
        <v/>
      </c>
      <c r="R276" s="9" t="inlineStr">
        <is>
          <t>Trọn gói Take-Home Starter Kit V2/V3 (Cỏ nhân tạo + Khay Potty + Đồ chơi Teething/Snuggle)</t>
        </is>
      </c>
      <c r="S276" s="9" t="inlineStr">
        <is>
          <t>HOT LEAD (Điểm ≥61): Liên hệ Telesale/Email chào gói Starter Kit &amp; Báo giá sỉ chiết khấu BOM</t>
        </is>
      </c>
    </row>
    <row r="277">
      <c r="A277" s="53" t="n">
        <v>2076</v>
      </c>
      <c r="B277" s="12" t="inlineStr">
        <is>
          <t>Luv of Dogz Fund, Inc</t>
        </is>
      </c>
      <c r="C277" s="54" t="inlineStr">
        <is>
          <t>https://www.facebook.com/LuvOfDogzFund</t>
        </is>
      </c>
      <c r="D277" s="6" t="inlineStr">
        <is>
          <t>Cần quét Bio Fanpage</t>
        </is>
      </c>
      <c r="E277" s="53" t="inlineStr">
        <is>
          <t>11/10/2026 23:00:03</t>
        </is>
      </c>
      <c r="F277" s="53" t="inlineStr">
        <is>
          <t>1 ngày trước</t>
        </is>
      </c>
      <c r="G277" s="55" t="n">
        <v>1</v>
      </c>
      <c r="H277" s="56" t="n">
        <v>28</v>
      </c>
      <c r="I277" s="6" t="inlineStr">
        <is>
          <t>Dog Breeder / Trại nhân giống (28-30đ)</t>
        </is>
      </c>
      <c r="J277" s="56" t="n">
        <v>28</v>
      </c>
      <c r="K277" s="6" t="inlineStr">
        <is>
          <t>Chưa rõ giống (Cần quét Bio)</t>
        </is>
      </c>
      <c r="L277" s="56" t="n">
        <v>0</v>
      </c>
      <c r="M277" s="56" t="n">
        <v>5</v>
      </c>
      <c r="N277" s="6" t="inlineStr">
        <is>
          <t>Amazon link not found</t>
        </is>
      </c>
      <c r="O277" s="56">
        <f>IF(N277="Selling pet toys + Artificial grass/Pet toilets (TARGET)",15,IF(N277="Selling artificial grass/pet toilets (TARGET)",10,IF(N277="Selling pet toys",7,IF(N277="There's an Amazon link, but no target sales.",3,0))))</f>
        <v/>
      </c>
      <c r="P277" s="63">
        <f>H277+J277+L277+M277+O277</f>
        <v/>
      </c>
      <c r="Q277" s="64">
        <f>IF(OR(H277=0,P277&lt;30),"Tier D (Đóng băng)",IF(P277&gt;=85,"Tier S (Kim Cương: 85-100đ)",IF(P277&gt;=70,"Tier A (Vàng: 70-84đ)",IF(P277&gt;=61,"Tier B+ / Cấp A (Hot Lead: 61-69đ)",IF(P277&gt;=50,"Tier B (Bạc: 50-60đ)","Tier C (Đồng: 30-49đ)")))))</f>
        <v/>
      </c>
      <c r="R277" s="6" t="inlineStr">
        <is>
          <t>Trọn gói Take-Home Starter Kit V2/V3 (Cỏ nhân tạo + Khay Potty + Đồ chơi cún con)</t>
        </is>
      </c>
      <c r="S277" s="6" t="inlineStr">
        <is>
          <t>HOT LEAD (Điểm ≥61): Liên hệ Telesale/Email chào gói Starter Kit &amp; Báo giá sỉ chiết khấu BOM</t>
        </is>
      </c>
    </row>
    <row r="278">
      <c r="A278" s="59" t="n">
        <v>1669</v>
      </c>
      <c r="B278" s="15" t="inlineStr">
        <is>
          <t>Home On The Road, LLC Pet Transport</t>
        </is>
      </c>
      <c r="C278" s="60" t="inlineStr">
        <is>
          <t>https://www.facebook.com/Movingyourpets</t>
        </is>
      </c>
      <c r="D278" s="9" t="inlineStr">
        <is>
          <t>Cần quét Bio Fanpage</t>
        </is>
      </c>
      <c r="E278" s="59" t="inlineStr">
        <is>
          <t>11/10/2026 19:43:07</t>
        </is>
      </c>
      <c r="F278" s="59" t="inlineStr">
        <is>
          <t>1 ngày trước</t>
        </is>
      </c>
      <c r="G278" s="61" t="n">
        <v>1</v>
      </c>
      <c r="H278" s="62" t="n">
        <v>28</v>
      </c>
      <c r="I278" s="9" t="inlineStr">
        <is>
          <t>Dog Breeder / Trại nhân giống (28-30đ)</t>
        </is>
      </c>
      <c r="J278" s="62" t="n">
        <v>28</v>
      </c>
      <c r="K278" s="9" t="inlineStr">
        <is>
          <t>Chưa rõ giống (Cần quét Bio)</t>
        </is>
      </c>
      <c r="L278" s="62" t="n">
        <v>0</v>
      </c>
      <c r="M278" s="62" t="n">
        <v>5</v>
      </c>
      <c r="N278" s="9" t="inlineStr">
        <is>
          <t>Amazon link not found</t>
        </is>
      </c>
      <c r="O278" s="62">
        <f>IF(N278="Selling pet toys + Artificial grass/Pet toilets (TARGET)",15,IF(N278="Selling artificial grass/pet toilets (TARGET)",10,IF(N278="Selling pet toys",7,IF(N278="There's an Amazon link, but no target sales.",3,0))))</f>
        <v/>
      </c>
      <c r="P278" s="63">
        <f>H278+J278+L278+M278+O278</f>
        <v/>
      </c>
      <c r="Q278" s="64">
        <f>IF(OR(H278=0,P278&lt;30),"Tier D (Đóng băng)",IF(P278&gt;=85,"Tier S (Kim Cương: 85-100đ)",IF(P278&gt;=70,"Tier A (Vàng: 70-84đ)",IF(P278&gt;=61,"Tier B+ / Cấp A (Hot Lead: 61-69đ)",IF(P278&gt;=50,"Tier B (Bạc: 50-60đ)","Tier C (Đồng: 30-49đ)")))))</f>
        <v/>
      </c>
      <c r="R278" s="9" t="inlineStr">
        <is>
          <t>Trọn gói Take-Home Starter Kit V2/V3 (Cỏ nhân tạo + Khay Potty + Đồ chơi cún con)</t>
        </is>
      </c>
      <c r="S278" s="9" t="inlineStr">
        <is>
          <t>HOT LEAD (Điểm ≥61): Liên hệ Telesale/Email chào gói Starter Kit &amp; Báo giá sỉ chiết khấu BOM</t>
        </is>
      </c>
    </row>
    <row r="279">
      <c r="A279" s="53" t="n">
        <v>638</v>
      </c>
      <c r="B279" s="12" t="inlineStr">
        <is>
          <t>Bernese mountain dog 1</t>
        </is>
      </c>
      <c r="C279" s="54" t="inlineStr">
        <is>
          <t>https://www.facebook.com/profile.php?id=61573768274207</t>
        </is>
      </c>
      <c r="D279" s="6" t="inlineStr">
        <is>
          <t>Cần quét Bio Fanpage</t>
        </is>
      </c>
      <c r="E279" s="53" t="inlineStr">
        <is>
          <t>11/10/2026 19:25:33</t>
        </is>
      </c>
      <c r="F279" s="53" t="inlineStr">
        <is>
          <t>1 ngày trước</t>
        </is>
      </c>
      <c r="G279" s="55" t="n">
        <v>1</v>
      </c>
      <c r="H279" s="56" t="n">
        <v>28</v>
      </c>
      <c r="I279" s="6" t="inlineStr">
        <is>
          <t>Dog Breeder / Trại chó chuyên nghiệp (28-30đ)</t>
        </is>
      </c>
      <c r="J279" s="56" t="n">
        <v>28</v>
      </c>
      <c r="K279" s="6" t="inlineStr">
        <is>
          <t>Bernese Mountain Dog</t>
        </is>
      </c>
      <c r="L279" s="56" t="n">
        <v>5</v>
      </c>
      <c r="M279" s="56" t="n">
        <v>0</v>
      </c>
      <c r="N279" s="6" t="inlineStr">
        <is>
          <t>Amazon link not found</t>
        </is>
      </c>
      <c r="O279" s="56">
        <f>IF(N279="Selling pet toys + Artificial grass/Pet toilets (TARGET)",15,IF(N279="Selling artificial grass/pet toilets (TARGET)",10,IF(N279="Selling pet toys",7,IF(N279="There's an Amazon link, but no target sales.",3,0))))</f>
        <v/>
      </c>
      <c r="P279" s="63">
        <f>H279+J279+L279+M279+O279</f>
        <v/>
      </c>
      <c r="Q279" s="64">
        <f>IF(OR(H279=0,P279&lt;30),"Tier D (Đóng băng)",IF(P279&gt;=85,"Tier S (Kim Cương: 85-100đ)",IF(P279&gt;=70,"Tier A (Vàng: 70-84đ)",IF(P279&gt;=61,"Tier B+ / Cấp A (Hot Lead: 61-69đ)",IF(P279&gt;=50,"Tier B (Bạc: 50-60đ)","Tier C (Đồng: 30-49đ)")))))</f>
        <v/>
      </c>
      <c r="R279" s="6" t="inlineStr">
        <is>
          <t>Trọn gói Take-Home Starter Kit V2/V3 (Cỏ nhân tạo + Khay Potty + Đồ chơi Teething/Snuggle)</t>
        </is>
      </c>
      <c r="S279" s="6" t="inlineStr">
        <is>
          <t>HOT LEAD (Điểm ≥61): Liên hệ Telesale/Email chào gói Starter Kit &amp; Báo giá sỉ chiết khấu BOM</t>
        </is>
      </c>
    </row>
    <row r="280">
      <c r="A280" s="59" t="n">
        <v>77</v>
      </c>
      <c r="B280" s="15" t="inlineStr">
        <is>
          <t>Stones Edge Bernese Mountain Dogs</t>
        </is>
      </c>
      <c r="C280" s="60" t="inlineStr">
        <is>
          <t>https://www.facebook.com/StonesEdgeBMD</t>
        </is>
      </c>
      <c r="D280" s="9" t="inlineStr">
        <is>
          <t>Cần quét Bio Fanpage</t>
        </is>
      </c>
      <c r="E280" s="59" t="inlineStr">
        <is>
          <t>11/10/2026 17:50:21</t>
        </is>
      </c>
      <c r="F280" s="59" t="inlineStr">
        <is>
          <t>1 ngày trước</t>
        </is>
      </c>
      <c r="G280" s="61" t="n">
        <v>1</v>
      </c>
      <c r="H280" s="62" t="n">
        <v>28</v>
      </c>
      <c r="I280" s="9" t="inlineStr">
        <is>
          <t>Dog Breeder / Trại chó chuyên nghiệp (28-30đ)</t>
        </is>
      </c>
      <c r="J280" s="62" t="n">
        <v>28</v>
      </c>
      <c r="K280" s="9" t="inlineStr">
        <is>
          <t>Bernese Mountain Dog</t>
        </is>
      </c>
      <c r="L280" s="62" t="n">
        <v>5</v>
      </c>
      <c r="M280" s="62" t="n">
        <v>0</v>
      </c>
      <c r="N280" s="9" t="inlineStr">
        <is>
          <t>Amazon link not found</t>
        </is>
      </c>
      <c r="O280" s="62">
        <f>IF(N280="Selling pet toys + Artificial grass/Pet toilets (TARGET)",15,IF(N280="Selling artificial grass/pet toilets (TARGET)",10,IF(N280="Selling pet toys",7,IF(N280="There's an Amazon link, but no target sales.",3,0))))</f>
        <v/>
      </c>
      <c r="P280" s="63">
        <f>H280+J280+L280+M280+O280</f>
        <v/>
      </c>
      <c r="Q280" s="64">
        <f>IF(OR(H280=0,P280&lt;30),"Tier D (Đóng băng)",IF(P280&gt;=85,"Tier S (Kim Cương: 85-100đ)",IF(P280&gt;=70,"Tier A (Vàng: 70-84đ)",IF(P280&gt;=61,"Tier B+ / Cấp A (Hot Lead: 61-69đ)",IF(P280&gt;=50,"Tier B (Bạc: 50-60đ)","Tier C (Đồng: 30-49đ)")))))</f>
        <v/>
      </c>
      <c r="R280" s="9" t="inlineStr">
        <is>
          <t>Trọn gói Take-Home Starter Kit V2/V3 (Cỏ nhân tạo + Khay Potty + Đồ chơi Teething/Snuggle)</t>
        </is>
      </c>
      <c r="S280" s="9" t="inlineStr">
        <is>
          <t>HOT LEAD (Điểm ≥61): Liên hệ Telesale/Email chào gói Starter Kit &amp; Báo giá sỉ chiết khấu BOM</t>
        </is>
      </c>
    </row>
    <row r="281">
      <c r="A281" s="53" t="n">
        <v>3447</v>
      </c>
      <c r="B281" s="12" t="inlineStr">
        <is>
          <t>Working Clumber Spaniel Dogs</t>
        </is>
      </c>
      <c r="C281" s="54" t="inlineStr">
        <is>
          <t>https://www.facebook.com/profile.php?id=100086032986670</t>
        </is>
      </c>
      <c r="D281" s="6" t="inlineStr">
        <is>
          <t>Cần quét Bio Fanpage</t>
        </is>
      </c>
      <c r="E281" s="53" t="inlineStr">
        <is>
          <t>11/10/2026 17:03:05</t>
        </is>
      </c>
      <c r="F281" s="53" t="inlineStr">
        <is>
          <t>1 ngày trước</t>
        </is>
      </c>
      <c r="G281" s="55" t="n">
        <v>1</v>
      </c>
      <c r="H281" s="56" t="n">
        <v>28</v>
      </c>
      <c r="I281" s="6" t="inlineStr">
        <is>
          <t>Dog Breeder / Trại nhân giống (28-30đ)</t>
        </is>
      </c>
      <c r="J281" s="56" t="n">
        <v>28</v>
      </c>
      <c r="K281" s="6" t="inlineStr">
        <is>
          <t>Spaniel / Gun Dog / Retriever</t>
        </is>
      </c>
      <c r="L281" s="56" t="n">
        <v>5</v>
      </c>
      <c r="M281" s="56" t="n">
        <v>0</v>
      </c>
      <c r="N281" s="6" t="inlineStr">
        <is>
          <t>Amazon link not found</t>
        </is>
      </c>
      <c r="O281" s="56">
        <f>IF(N281="Selling pet toys + Artificial grass/Pet toilets (TARGET)",15,IF(N281="Selling artificial grass/pet toilets (TARGET)",10,IF(N281="Selling pet toys",7,IF(N281="There's an Amazon link, but no target sales.",3,0))))</f>
        <v/>
      </c>
      <c r="P281" s="63">
        <f>H281+J281+L281+M281+O281</f>
        <v/>
      </c>
      <c r="Q281" s="64">
        <f>IF(OR(H281=0,P281&lt;30),"Tier D (Đóng băng)",IF(P281&gt;=85,"Tier S (Kim Cương: 85-100đ)",IF(P281&gt;=70,"Tier A (Vàng: 70-84đ)",IF(P281&gt;=61,"Tier B+ / Cấp A (Hot Lead: 61-69đ)",IF(P281&gt;=50,"Tier B (Bạc: 50-60đ)","Tier C (Đồng: 30-49đ)")))))</f>
        <v/>
      </c>
      <c r="R281" s="6" t="inlineStr">
        <is>
          <t>Trọn gói Take-Home Starter Kit V2/V3 (Cỏ nhân tạo + Khay Potty + Đồ chơi cún con)</t>
        </is>
      </c>
      <c r="S281" s="6" t="inlineStr">
        <is>
          <t>HOT LEAD (Điểm ≥61): Liên hệ Telesale/Email chào gói Starter Kit &amp; Báo giá sỉ chiết khấu BOM</t>
        </is>
      </c>
    </row>
    <row r="282">
      <c r="A282" s="59" t="n">
        <v>2589</v>
      </c>
      <c r="B282" s="15" t="inlineStr">
        <is>
          <t>Plush Puppy Benelux</t>
        </is>
      </c>
      <c r="C282" s="60" t="inlineStr">
        <is>
          <t>https://www.facebook.com/profile.php?id=61581612007097</t>
        </is>
      </c>
      <c r="D282" s="9" t="inlineStr">
        <is>
          <t>Cần quét Bio Fanpage</t>
        </is>
      </c>
      <c r="E282" s="59" t="inlineStr">
        <is>
          <t>11/10/2026 17:01:07</t>
        </is>
      </c>
      <c r="F282" s="59" t="inlineStr">
        <is>
          <t>1 ngày trước</t>
        </is>
      </c>
      <c r="G282" s="61" t="n">
        <v>1</v>
      </c>
      <c r="H282" s="62" t="n">
        <v>28</v>
      </c>
      <c r="I282" s="9" t="inlineStr">
        <is>
          <t>Dog Breeder / Trại chó chuyên nghiệp (28-30đ)</t>
        </is>
      </c>
      <c r="J282" s="62" t="n">
        <v>28</v>
      </c>
      <c r="K282" s="9" t="inlineStr">
        <is>
          <t>Chưa rõ giống (Cần quét Bio)</t>
        </is>
      </c>
      <c r="L282" s="62" t="n">
        <v>0</v>
      </c>
      <c r="M282" s="62" t="n">
        <v>5</v>
      </c>
      <c r="N282" s="9" t="inlineStr">
        <is>
          <t>Amazon link not found</t>
        </is>
      </c>
      <c r="O282" s="62">
        <f>IF(N282="Selling pet toys + Artificial grass/Pet toilets (TARGET)",15,IF(N282="Selling artificial grass/pet toilets (TARGET)",10,IF(N282="Selling pet toys",7,IF(N282="There's an Amazon link, but no target sales.",3,0))))</f>
        <v/>
      </c>
      <c r="P282" s="63">
        <f>H282+J282+L282+M282+O282</f>
        <v/>
      </c>
      <c r="Q282" s="64">
        <f>IF(OR(H282=0,P282&lt;30),"Tier D (Đóng băng)",IF(P282&gt;=85,"Tier S (Kim Cương: 85-100đ)",IF(P282&gt;=70,"Tier A (Vàng: 70-84đ)",IF(P282&gt;=61,"Tier B+ / Cấp A (Hot Lead: 61-69đ)",IF(P282&gt;=50,"Tier B (Bạc: 50-60đ)","Tier C (Đồng: 30-49đ)")))))</f>
        <v/>
      </c>
      <c r="R282" s="9" t="inlineStr">
        <is>
          <t>Trọn gói Take-Home Starter Kit V2/V3 (Cỏ nhân tạo + Khay Potty + Đồ chơi Teething/Snuggle)</t>
        </is>
      </c>
      <c r="S282" s="9" t="inlineStr">
        <is>
          <t>HOT LEAD (Điểm ≥61): Liên hệ Telesale/Email chào gói Starter Kit &amp; Báo giá sỉ chiết khấu BOM</t>
        </is>
      </c>
    </row>
    <row r="283">
      <c r="A283" s="53" t="n">
        <v>2746</v>
      </c>
      <c r="B283" s="12" t="inlineStr">
        <is>
          <t>Ridgy Didge Australian Cobberdogs</t>
        </is>
      </c>
      <c r="C283" s="54" t="inlineStr">
        <is>
          <t>https://www.facebook.com/RidgyDidgeCobberdogs</t>
        </is>
      </c>
      <c r="D283" s="6" t="inlineStr">
        <is>
          <t>Cần quét Bio Fanpage</t>
        </is>
      </c>
      <c r="E283" s="53" t="inlineStr">
        <is>
          <t>11/10/2026 08:15:33</t>
        </is>
      </c>
      <c r="F283" s="53" t="inlineStr">
        <is>
          <t>1 ngày trước</t>
        </is>
      </c>
      <c r="G283" s="55" t="n">
        <v>1</v>
      </c>
      <c r="H283" s="56" t="n">
        <v>28</v>
      </c>
      <c r="I283" s="6" t="inlineStr">
        <is>
          <t>Dog Breeder / Trại nhân giống (28-30đ)</t>
        </is>
      </c>
      <c r="J283" s="56" t="n">
        <v>28</v>
      </c>
      <c r="K283" s="6" t="inlineStr">
        <is>
          <t>Australian Shepherd / Herding</t>
        </is>
      </c>
      <c r="L283" s="56" t="n">
        <v>5</v>
      </c>
      <c r="M283" s="56" t="n">
        <v>0</v>
      </c>
      <c r="N283" s="6" t="inlineStr">
        <is>
          <t>Amazon link not found</t>
        </is>
      </c>
      <c r="O283" s="56">
        <f>IF(N283="Selling pet toys + Artificial grass/Pet toilets (TARGET)",15,IF(N283="Selling artificial grass/pet toilets (TARGET)",10,IF(N283="Selling pet toys",7,IF(N283="There's an Amazon link, but no target sales.",3,0))))</f>
        <v/>
      </c>
      <c r="P283" s="63">
        <f>H283+J283+L283+M283+O283</f>
        <v/>
      </c>
      <c r="Q283" s="64">
        <f>IF(OR(H283=0,P283&lt;30),"Tier D (Đóng băng)",IF(P283&gt;=85,"Tier S (Kim Cương: 85-100đ)",IF(P283&gt;=70,"Tier A (Vàng: 70-84đ)",IF(P283&gt;=61,"Tier B+ / Cấp A (Hot Lead: 61-69đ)",IF(P283&gt;=50,"Tier B (Bạc: 50-60đ)","Tier C (Đồng: 30-49đ)")))))</f>
        <v/>
      </c>
      <c r="R283" s="6" t="inlineStr">
        <is>
          <t>Trọn gói Take-Home Starter Kit V2/V3 (Cỏ nhân tạo + Khay Potty + Đồ chơi cún con)</t>
        </is>
      </c>
      <c r="S283" s="6" t="inlineStr">
        <is>
          <t>HOT LEAD (Điểm ≥61): Liên hệ Telesale/Email chào gói Starter Kit &amp; Báo giá sỉ chiết khấu BOM</t>
        </is>
      </c>
    </row>
    <row r="284">
      <c r="A284" s="59" t="n">
        <v>2065</v>
      </c>
      <c r="B284" s="15" t="inlineStr">
        <is>
          <t>Low Riding Long Dogs</t>
        </is>
      </c>
      <c r="C284" s="60" t="inlineStr">
        <is>
          <t>https://www.facebook.com/lowridingdachshunds</t>
        </is>
      </c>
      <c r="D284" s="9" t="inlineStr">
        <is>
          <t>Cần quét Bio Fanpage</t>
        </is>
      </c>
      <c r="E284" s="59" t="inlineStr">
        <is>
          <t>11/10/2026 05:32:04</t>
        </is>
      </c>
      <c r="F284" s="59" t="inlineStr">
        <is>
          <t>1 ngày trước</t>
        </is>
      </c>
      <c r="G284" s="61" t="n">
        <v>1</v>
      </c>
      <c r="H284" s="62" t="n">
        <v>28</v>
      </c>
      <c r="I284" s="9" t="inlineStr">
        <is>
          <t>Dog Breeder / Trại nhân giống (28-30đ)</t>
        </is>
      </c>
      <c r="J284" s="62" t="n">
        <v>28</v>
      </c>
      <c r="K284" s="9" t="inlineStr">
        <is>
          <t>Dachshund</t>
        </is>
      </c>
      <c r="L284" s="62" t="n">
        <v>5</v>
      </c>
      <c r="M284" s="62" t="n">
        <v>0</v>
      </c>
      <c r="N284" s="9" t="inlineStr">
        <is>
          <t>Amazon link not found</t>
        </is>
      </c>
      <c r="O284" s="62">
        <f>IF(N284="Selling pet toys + Artificial grass/Pet toilets (TARGET)",15,IF(N284="Selling artificial grass/pet toilets (TARGET)",10,IF(N284="Selling pet toys",7,IF(N284="There's an Amazon link, but no target sales.",3,0))))</f>
        <v/>
      </c>
      <c r="P284" s="63">
        <f>H284+J284+L284+M284+O284</f>
        <v/>
      </c>
      <c r="Q284" s="64">
        <f>IF(OR(H284=0,P284&lt;30),"Tier D (Đóng băng)",IF(P284&gt;=85,"Tier S (Kim Cương: 85-100đ)",IF(P284&gt;=70,"Tier A (Vàng: 70-84đ)",IF(P284&gt;=61,"Tier B+ / Cấp A (Hot Lead: 61-69đ)",IF(P284&gt;=50,"Tier B (Bạc: 50-60đ)","Tier C (Đồng: 30-49đ)")))))</f>
        <v/>
      </c>
      <c r="R284" s="9" t="inlineStr">
        <is>
          <t>Trọn gói Take-Home Starter Kit V2/V3 (Cỏ nhân tạo + Khay Potty + Đồ chơi cún con)</t>
        </is>
      </c>
      <c r="S284" s="9" t="inlineStr">
        <is>
          <t>HOT LEAD (Điểm ≥61): Liên hệ Telesale/Email chào gói Starter Kit &amp; Báo giá sỉ chiết khấu BOM</t>
        </is>
      </c>
    </row>
    <row r="285">
      <c r="A285" s="53" t="n">
        <v>3272</v>
      </c>
      <c r="B285" s="12" t="inlineStr">
        <is>
          <t>UpDog Hot Dogs, LLC.</t>
        </is>
      </c>
      <c r="C285" s="54" t="inlineStr">
        <is>
          <t>https://www.facebook.com/updoghotdogcart</t>
        </is>
      </c>
      <c r="D285" s="6" t="inlineStr">
        <is>
          <t>Cần quét Bio Fanpage</t>
        </is>
      </c>
      <c r="E285" s="53" t="inlineStr">
        <is>
          <t>11/10/2026 04:19:32</t>
        </is>
      </c>
      <c r="F285" s="53" t="inlineStr">
        <is>
          <t>2 ngày trước</t>
        </is>
      </c>
      <c r="G285" s="55" t="n">
        <v>2</v>
      </c>
      <c r="H285" s="56" t="n">
        <v>28</v>
      </c>
      <c r="I285" s="6" t="inlineStr">
        <is>
          <t>Dog Breeder / Trại nhân giống (28-30đ)</t>
        </is>
      </c>
      <c r="J285" s="56" t="n">
        <v>28</v>
      </c>
      <c r="K285" s="6" t="inlineStr">
        <is>
          <t>Chưa rõ giống (Cần quét Bio)</t>
        </is>
      </c>
      <c r="L285" s="56" t="n">
        <v>0</v>
      </c>
      <c r="M285" s="56" t="n">
        <v>5</v>
      </c>
      <c r="N285" s="6" t="inlineStr">
        <is>
          <t>Amazon link not found</t>
        </is>
      </c>
      <c r="O285" s="56">
        <f>IF(N285="Selling pet toys + Artificial grass/Pet toilets (TARGET)",15,IF(N285="Selling artificial grass/pet toilets (TARGET)",10,IF(N285="Selling pet toys",7,IF(N285="There's an Amazon link, but no target sales.",3,0))))</f>
        <v/>
      </c>
      <c r="P285" s="63">
        <f>H285+J285+L285+M285+O285</f>
        <v/>
      </c>
      <c r="Q285" s="64">
        <f>IF(OR(H285=0,P285&lt;30),"Tier D (Đóng băng)",IF(P285&gt;=85,"Tier S (Kim Cương: 85-100đ)",IF(P285&gt;=70,"Tier A (Vàng: 70-84đ)",IF(P285&gt;=61,"Tier B+ / Cấp A (Hot Lead: 61-69đ)",IF(P285&gt;=50,"Tier B (Bạc: 50-60đ)","Tier C (Đồng: 30-49đ)")))))</f>
        <v/>
      </c>
      <c r="R285" s="6" t="inlineStr">
        <is>
          <t>Trọn gói Take-Home Starter Kit V2/V3 (Cỏ nhân tạo + Khay Potty + Đồ chơi cún con)</t>
        </is>
      </c>
      <c r="S285" s="6" t="inlineStr">
        <is>
          <t>HOT LEAD (Điểm ≥61): Liên hệ Telesale/Email chào gói Starter Kit &amp; Báo giá sỉ chiết khấu BOM</t>
        </is>
      </c>
    </row>
    <row r="286">
      <c r="A286" s="59" t="n">
        <v>601</v>
      </c>
      <c r="B286" s="15" t="inlineStr">
        <is>
          <t>Bavarian Hound Club</t>
        </is>
      </c>
      <c r="C286" s="60" t="inlineStr">
        <is>
          <t>https://www.facebook.com/bavarianhoundclub</t>
        </is>
      </c>
      <c r="D286" s="9" t="inlineStr">
        <is>
          <t>Cần quét Bio Fanpage</t>
        </is>
      </c>
      <c r="E286" s="59" t="inlineStr">
        <is>
          <t>11/10/2026 03:03:19</t>
        </is>
      </c>
      <c r="F286" s="59" t="inlineStr">
        <is>
          <t>1 ngày trước</t>
        </is>
      </c>
      <c r="G286" s="61" t="n">
        <v>1</v>
      </c>
      <c r="H286" s="62" t="n">
        <v>28</v>
      </c>
      <c r="I286" s="9" t="inlineStr">
        <is>
          <t>Dog Breeder / Trại nhân giống (28-30đ)</t>
        </is>
      </c>
      <c r="J286" s="62" t="n">
        <v>28</v>
      </c>
      <c r="K286" s="9" t="inlineStr">
        <is>
          <t>Hound / Beagle / Basset</t>
        </is>
      </c>
      <c r="L286" s="62" t="n">
        <v>5</v>
      </c>
      <c r="M286" s="62" t="n">
        <v>0</v>
      </c>
      <c r="N286" s="9" t="inlineStr">
        <is>
          <t>Amazon link not found</t>
        </is>
      </c>
      <c r="O286" s="62">
        <f>IF(N286="Selling pet toys + Artificial grass/Pet toilets (TARGET)",15,IF(N286="Selling artificial grass/pet toilets (TARGET)",10,IF(N286="Selling pet toys",7,IF(N286="There's an Amazon link, but no target sales.",3,0))))</f>
        <v/>
      </c>
      <c r="P286" s="63">
        <f>H286+J286+L286+M286+O286</f>
        <v/>
      </c>
      <c r="Q286" s="64">
        <f>IF(OR(H286=0,P286&lt;30),"Tier D (Đóng băng)",IF(P286&gt;=85,"Tier S (Kim Cương: 85-100đ)",IF(P286&gt;=70,"Tier A (Vàng: 70-84đ)",IF(P286&gt;=61,"Tier B+ / Cấp A (Hot Lead: 61-69đ)",IF(P286&gt;=50,"Tier B (Bạc: 50-60đ)","Tier C (Đồng: 30-49đ)")))))</f>
        <v/>
      </c>
      <c r="R286" s="9" t="inlineStr">
        <is>
          <t>Trọn gói Take-Home Starter Kit V2/V3 (Cỏ nhân tạo + Khay Potty + Đồ chơi cún con)</t>
        </is>
      </c>
      <c r="S286" s="9" t="inlineStr">
        <is>
          <t>HOT LEAD (Điểm ≥61): Liên hệ Telesale/Email chào gói Starter Kit &amp; Báo giá sỉ chiết khấu BOM</t>
        </is>
      </c>
    </row>
    <row r="287">
      <c r="A287" s="53" t="n">
        <v>135</v>
      </c>
      <c r="B287" s="12" t="inlineStr">
        <is>
          <t>Cocothemaltesedog</t>
        </is>
      </c>
      <c r="C287" s="54" t="inlineStr">
        <is>
          <t>https://www.facebook.com/cocothemaltesedog</t>
        </is>
      </c>
      <c r="D287" s="6" t="inlineStr">
        <is>
          <t>Cần quét Bio Fanpage</t>
        </is>
      </c>
      <c r="E287" s="53" t="inlineStr">
        <is>
          <t>11/10/2026 02:14:24</t>
        </is>
      </c>
      <c r="F287" s="53" t="inlineStr">
        <is>
          <t>1 ngày trước</t>
        </is>
      </c>
      <c r="G287" s="55" t="n">
        <v>1</v>
      </c>
      <c r="H287" s="56" t="n">
        <v>28</v>
      </c>
      <c r="I287" s="6" t="inlineStr">
        <is>
          <t>Dog Breeder / Trại nhân giống (28-30đ)</t>
        </is>
      </c>
      <c r="J287" s="56" t="n">
        <v>28</v>
      </c>
      <c r="K287" s="6" t="inlineStr">
        <is>
          <t>Chihuahua / Toy Companion</t>
        </is>
      </c>
      <c r="L287" s="56" t="n">
        <v>5</v>
      </c>
      <c r="M287" s="56" t="n">
        <v>0</v>
      </c>
      <c r="N287" s="6" t="inlineStr">
        <is>
          <t>Amazon link not found</t>
        </is>
      </c>
      <c r="O287" s="56">
        <f>IF(N287="Selling pet toys + Artificial grass/Pet toilets (TARGET)",15,IF(N287="Selling artificial grass/pet toilets (TARGET)",10,IF(N287="Selling pet toys",7,IF(N287="There's an Amazon link, but no target sales.",3,0))))</f>
        <v/>
      </c>
      <c r="P287" s="63">
        <f>H287+J287+L287+M287+O287</f>
        <v/>
      </c>
      <c r="Q287" s="64">
        <f>IF(OR(H287=0,P287&lt;30),"Tier D (Đóng băng)",IF(P287&gt;=85,"Tier S (Kim Cương: 85-100đ)",IF(P287&gt;=70,"Tier A (Vàng: 70-84đ)",IF(P287&gt;=61,"Tier B+ / Cấp A (Hot Lead: 61-69đ)",IF(P287&gt;=50,"Tier B (Bạc: 50-60đ)","Tier C (Đồng: 30-49đ)")))))</f>
        <v/>
      </c>
      <c r="R287" s="6" t="inlineStr">
        <is>
          <t>Trọn gói Take-Home Starter Kit V2/V3 (Cỏ nhân tạo + Khay Potty + Đồ chơi cún con)</t>
        </is>
      </c>
      <c r="S287" s="6" t="inlineStr">
        <is>
          <t>HOT LEAD (Điểm ≥61): Liên hệ Telesale/Email chào gói Starter Kit &amp; Báo giá sỉ chiết khấu BOM</t>
        </is>
      </c>
    </row>
    <row r="288">
      <c r="A288" s="59" t="n">
        <v>2841</v>
      </c>
      <c r="B288" s="15" t="inlineStr">
        <is>
          <t>Schachner's Bernese Mountain Dogs</t>
        </is>
      </c>
      <c r="C288" s="60" t="inlineStr">
        <is>
          <t>https://www.facebook.com/SchachnersBerneseMountainDogs</t>
        </is>
      </c>
      <c r="D288" s="9" t="inlineStr">
        <is>
          <t>Cần quét Bio Fanpage</t>
        </is>
      </c>
      <c r="E288" s="59" t="inlineStr">
        <is>
          <t>11/10/2026 01:19:52</t>
        </is>
      </c>
      <c r="F288" s="59" t="inlineStr">
        <is>
          <t>2 ngày trước</t>
        </is>
      </c>
      <c r="G288" s="61" t="n">
        <v>2</v>
      </c>
      <c r="H288" s="62" t="n">
        <v>28</v>
      </c>
      <c r="I288" s="9" t="inlineStr">
        <is>
          <t>Dog Breeder / Trại chó chuyên nghiệp (28-30đ)</t>
        </is>
      </c>
      <c r="J288" s="62" t="n">
        <v>28</v>
      </c>
      <c r="K288" s="9" t="inlineStr">
        <is>
          <t>Bernese Mountain Dog</t>
        </is>
      </c>
      <c r="L288" s="62" t="n">
        <v>5</v>
      </c>
      <c r="M288" s="62" t="n">
        <v>0</v>
      </c>
      <c r="N288" s="9" t="inlineStr">
        <is>
          <t>Amazon link not found</t>
        </is>
      </c>
      <c r="O288" s="62">
        <f>IF(N288="Selling pet toys + Artificial grass/Pet toilets (TARGET)",15,IF(N288="Selling artificial grass/pet toilets (TARGET)",10,IF(N288="Selling pet toys",7,IF(N288="There's an Amazon link, but no target sales.",3,0))))</f>
        <v/>
      </c>
      <c r="P288" s="63">
        <f>H288+J288+L288+M288+O288</f>
        <v/>
      </c>
      <c r="Q288" s="64">
        <f>IF(OR(H288=0,P288&lt;30),"Tier D (Đóng băng)",IF(P288&gt;=85,"Tier S (Kim Cương: 85-100đ)",IF(P288&gt;=70,"Tier A (Vàng: 70-84đ)",IF(P288&gt;=61,"Tier B+ / Cấp A (Hot Lead: 61-69đ)",IF(P288&gt;=50,"Tier B (Bạc: 50-60đ)","Tier C (Đồng: 30-49đ)")))))</f>
        <v/>
      </c>
      <c r="R288" s="9" t="inlineStr">
        <is>
          <t>Trọn gói Take-Home Starter Kit V2/V3 (Cỏ nhân tạo + Khay Potty + Đồ chơi Teething/Snuggle)</t>
        </is>
      </c>
      <c r="S288" s="9" t="inlineStr">
        <is>
          <t>HOT LEAD (Điểm ≥61): Liên hệ Telesale/Email chào gói Starter Kit &amp; Báo giá sỉ chiết khấu BOM</t>
        </is>
      </c>
    </row>
    <row r="289">
      <c r="A289" s="53" t="n">
        <v>1419</v>
      </c>
      <c r="B289" s="12" t="inlineStr">
        <is>
          <t>Forever Puppy</t>
        </is>
      </c>
      <c r="C289" s="54" t="inlineStr">
        <is>
          <t>https://www.facebook.com/foreverpuppyltd</t>
        </is>
      </c>
      <c r="D289" s="6" t="inlineStr">
        <is>
          <t>Cần quét Bio Fanpage</t>
        </is>
      </c>
      <c r="E289" s="53" t="inlineStr">
        <is>
          <t>11/10/2026 00:01:49</t>
        </is>
      </c>
      <c r="F289" s="53" t="inlineStr">
        <is>
          <t>2 ngày trước</t>
        </is>
      </c>
      <c r="G289" s="55" t="n">
        <v>2</v>
      </c>
      <c r="H289" s="56" t="n">
        <v>28</v>
      </c>
      <c r="I289" s="6" t="inlineStr">
        <is>
          <t>Dog Breeder / Trại chó chuyên nghiệp (28-30đ)</t>
        </is>
      </c>
      <c r="J289" s="56" t="n">
        <v>28</v>
      </c>
      <c r="K289" s="6" t="inlineStr">
        <is>
          <t>Chưa rõ giống (Cần quét Bio)</t>
        </is>
      </c>
      <c r="L289" s="56" t="n">
        <v>0</v>
      </c>
      <c r="M289" s="56" t="n">
        <v>5</v>
      </c>
      <c r="N289" s="6" t="inlineStr">
        <is>
          <t>Amazon link not found</t>
        </is>
      </c>
      <c r="O289" s="56">
        <f>IF(N289="Selling pet toys + Artificial grass/Pet toilets (TARGET)",15,IF(N289="Selling artificial grass/pet toilets (TARGET)",10,IF(N289="Selling pet toys",7,IF(N289="There's an Amazon link, but no target sales.",3,0))))</f>
        <v/>
      </c>
      <c r="P289" s="63">
        <f>H289+J289+L289+M289+O289</f>
        <v/>
      </c>
      <c r="Q289" s="64">
        <f>IF(OR(H289=0,P289&lt;30),"Tier D (Đóng băng)",IF(P289&gt;=85,"Tier S (Kim Cương: 85-100đ)",IF(P289&gt;=70,"Tier A (Vàng: 70-84đ)",IF(P289&gt;=61,"Tier B+ / Cấp A (Hot Lead: 61-69đ)",IF(P289&gt;=50,"Tier B (Bạc: 50-60đ)","Tier C (Đồng: 30-49đ)")))))</f>
        <v/>
      </c>
      <c r="R289" s="6" t="inlineStr">
        <is>
          <t>Trọn gói Take-Home Starter Kit V2/V3 (Cỏ nhân tạo + Khay Potty + Đồ chơi Teething/Snuggle)</t>
        </is>
      </c>
      <c r="S289" s="6" t="inlineStr">
        <is>
          <t>HOT LEAD (Điểm ≥61): Liên hệ Telesale/Email chào gói Starter Kit &amp; Báo giá sỉ chiết khấu BOM</t>
        </is>
      </c>
    </row>
    <row r="290">
      <c r="A290" s="59" t="n">
        <v>2320</v>
      </c>
      <c r="B290" s="15" t="inlineStr">
        <is>
          <t>Northern Michigan Bernese Mountain Dogs</t>
        </is>
      </c>
      <c r="C290" s="60" t="inlineStr">
        <is>
          <t>https://www.facebook.com/NorthernMichiganBernese</t>
        </is>
      </c>
      <c r="D290" s="9" t="inlineStr">
        <is>
          <t>Cần quét Bio Fanpage</t>
        </is>
      </c>
      <c r="E290" s="59" t="inlineStr">
        <is>
          <t>10/10/2026 19:04:44</t>
        </is>
      </c>
      <c r="F290" s="59" t="inlineStr">
        <is>
          <t>2 ngày trước</t>
        </is>
      </c>
      <c r="G290" s="61" t="n">
        <v>2</v>
      </c>
      <c r="H290" s="62" t="n">
        <v>28</v>
      </c>
      <c r="I290" s="9" t="inlineStr">
        <is>
          <t>Dog Breeder / Trại chó chuyên nghiệp (28-30đ)</t>
        </is>
      </c>
      <c r="J290" s="62" t="n">
        <v>28</v>
      </c>
      <c r="K290" s="9" t="inlineStr">
        <is>
          <t>Bernese Mountain Dog</t>
        </is>
      </c>
      <c r="L290" s="62" t="n">
        <v>5</v>
      </c>
      <c r="M290" s="62" t="n">
        <v>0</v>
      </c>
      <c r="N290" s="9" t="inlineStr">
        <is>
          <t>Amazon link not found</t>
        </is>
      </c>
      <c r="O290" s="62">
        <f>IF(N290="Selling pet toys + Artificial grass/Pet toilets (TARGET)",15,IF(N290="Selling artificial grass/pet toilets (TARGET)",10,IF(N290="Selling pet toys",7,IF(N290="There's an Amazon link, but no target sales.",3,0))))</f>
        <v/>
      </c>
      <c r="P290" s="63">
        <f>H290+J290+L290+M290+O290</f>
        <v/>
      </c>
      <c r="Q290" s="64">
        <f>IF(OR(H290=0,P290&lt;30),"Tier D (Đóng băng)",IF(P290&gt;=85,"Tier S (Kim Cương: 85-100đ)",IF(P290&gt;=70,"Tier A (Vàng: 70-84đ)",IF(P290&gt;=61,"Tier B+ / Cấp A (Hot Lead: 61-69đ)",IF(P290&gt;=50,"Tier B (Bạc: 50-60đ)","Tier C (Đồng: 30-49đ)")))))</f>
        <v/>
      </c>
      <c r="R290" s="9" t="inlineStr">
        <is>
          <t>Trọn gói Take-Home Starter Kit V2/V3 (Cỏ nhân tạo + Khay Potty + Đồ chơi Teething/Snuggle)</t>
        </is>
      </c>
      <c r="S290" s="9" t="inlineStr">
        <is>
          <t>HOT LEAD (Điểm ≥61): Liên hệ Telesale/Email chào gói Starter Kit &amp; Báo giá sỉ chiết khấu BOM</t>
        </is>
      </c>
    </row>
    <row r="291">
      <c r="A291" s="53" t="n">
        <v>2502</v>
      </c>
      <c r="B291" s="12" t="inlineStr">
        <is>
          <t>Petersheim’s Farm Market</t>
        </is>
      </c>
      <c r="C291" s="54" t="inlineStr">
        <is>
          <t>https://www.facebook.com/profile.php?id=100069869744771</t>
        </is>
      </c>
      <c r="D291" s="6" t="inlineStr">
        <is>
          <t>Cần quét Bio Fanpage</t>
        </is>
      </c>
      <c r="E291" s="53" t="inlineStr">
        <is>
          <t>10/10/2026 18:23:33</t>
        </is>
      </c>
      <c r="F291" s="53" t="inlineStr">
        <is>
          <t>2 ngày trước</t>
        </is>
      </c>
      <c r="G291" s="55" t="n">
        <v>2</v>
      </c>
      <c r="H291" s="56" t="n">
        <v>28</v>
      </c>
      <c r="I291" s="6" t="inlineStr">
        <is>
          <t>Dog Breeder / Trại nhân giống (28-30đ)</t>
        </is>
      </c>
      <c r="J291" s="56" t="n">
        <v>28</v>
      </c>
      <c r="K291" s="6" t="inlineStr">
        <is>
          <t>Chưa rõ giống (Cần quét Bio)</t>
        </is>
      </c>
      <c r="L291" s="56" t="n">
        <v>0</v>
      </c>
      <c r="M291" s="56" t="n">
        <v>5</v>
      </c>
      <c r="N291" s="6" t="inlineStr">
        <is>
          <t>Amazon link not found</t>
        </is>
      </c>
      <c r="O291" s="56">
        <f>IF(N291="Selling pet toys + Artificial grass/Pet toilets (TARGET)",15,IF(N291="Selling artificial grass/pet toilets (TARGET)",10,IF(N291="Selling pet toys",7,IF(N291="There's an Amazon link, but no target sales.",3,0))))</f>
        <v/>
      </c>
      <c r="P291" s="63">
        <f>H291+J291+L291+M291+O291</f>
        <v/>
      </c>
      <c r="Q291" s="64">
        <f>IF(OR(H291=0,P291&lt;30),"Tier D (Đóng băng)",IF(P291&gt;=85,"Tier S (Kim Cương: 85-100đ)",IF(P291&gt;=70,"Tier A (Vàng: 70-84đ)",IF(P291&gt;=61,"Tier B+ / Cấp A (Hot Lead: 61-69đ)",IF(P291&gt;=50,"Tier B (Bạc: 50-60đ)","Tier C (Đồng: 30-49đ)")))))</f>
        <v/>
      </c>
      <c r="R291" s="6" t="inlineStr">
        <is>
          <t>Trọn gói Take-Home Starter Kit V2/V3 (Cỏ nhân tạo + Khay Potty + Đồ chơi cún con)</t>
        </is>
      </c>
      <c r="S291" s="6" t="inlineStr">
        <is>
          <t>HOT LEAD (Điểm ≥61): Liên hệ Telesale/Email chào gói Starter Kit &amp; Báo giá sỉ chiết khấu BOM</t>
        </is>
      </c>
    </row>
    <row r="292">
      <c r="A292" s="59" t="n">
        <v>3398</v>
      </c>
      <c r="B292" s="15" t="inlineStr">
        <is>
          <t>Whippet Hilfe</t>
        </is>
      </c>
      <c r="C292" s="60" t="inlineStr">
        <is>
          <t>https://www.facebook.com/profile.php?id=100090413510031</t>
        </is>
      </c>
      <c r="D292" s="9" t="inlineStr">
        <is>
          <t>Cần quét Bio Fanpage</t>
        </is>
      </c>
      <c r="E292" s="59" t="inlineStr">
        <is>
          <t>10/10/2026 14:16:23</t>
        </is>
      </c>
      <c r="F292" s="59" t="inlineStr">
        <is>
          <t>2 ngày trước</t>
        </is>
      </c>
      <c r="G292" s="61" t="n">
        <v>2</v>
      </c>
      <c r="H292" s="62" t="n">
        <v>28</v>
      </c>
      <c r="I292" s="9" t="inlineStr">
        <is>
          <t>Dog Breeder / Trại nhân giống (28-30đ)</t>
        </is>
      </c>
      <c r="J292" s="62" t="n">
        <v>28</v>
      </c>
      <c r="K292" s="9" t="inlineStr">
        <is>
          <t>Hound / Beagle / Basset</t>
        </is>
      </c>
      <c r="L292" s="62" t="n">
        <v>5</v>
      </c>
      <c r="M292" s="62" t="n">
        <v>0</v>
      </c>
      <c r="N292" s="9" t="inlineStr">
        <is>
          <t>Amazon link not found</t>
        </is>
      </c>
      <c r="O292" s="62">
        <f>IF(N292="Selling pet toys + Artificial grass/Pet toilets (TARGET)",15,IF(N292="Selling artificial grass/pet toilets (TARGET)",10,IF(N292="Selling pet toys",7,IF(N292="There's an Amazon link, but no target sales.",3,0))))</f>
        <v/>
      </c>
      <c r="P292" s="63">
        <f>H292+J292+L292+M292+O292</f>
        <v/>
      </c>
      <c r="Q292" s="64">
        <f>IF(OR(H292=0,P292&lt;30),"Tier D (Đóng băng)",IF(P292&gt;=85,"Tier S (Kim Cương: 85-100đ)",IF(P292&gt;=70,"Tier A (Vàng: 70-84đ)",IF(P292&gt;=61,"Tier B+ / Cấp A (Hot Lead: 61-69đ)",IF(P292&gt;=50,"Tier B (Bạc: 50-60đ)","Tier C (Đồng: 30-49đ)")))))</f>
        <v/>
      </c>
      <c r="R292" s="9" t="inlineStr">
        <is>
          <t>Trọn gói Take-Home Starter Kit V2/V3 (Cỏ nhân tạo + Khay Potty + Đồ chơi cún con)</t>
        </is>
      </c>
      <c r="S292" s="9" t="inlineStr">
        <is>
          <t>HOT LEAD (Điểm ≥61): Liên hệ Telesale/Email chào gói Starter Kit &amp; Báo giá sỉ chiết khấu BOM</t>
        </is>
      </c>
    </row>
    <row r="293">
      <c r="A293" s="53" t="n">
        <v>3239</v>
      </c>
      <c r="B293" s="12" t="inlineStr">
        <is>
          <t>Trotter's Pugs</t>
        </is>
      </c>
      <c r="C293" s="54" t="inlineStr">
        <is>
          <t>https://www.facebook.com/profile.php?id=61553376334170</t>
        </is>
      </c>
      <c r="D293" s="6" t="inlineStr">
        <is>
          <t>Cần quét Bio Fanpage</t>
        </is>
      </c>
      <c r="E293" s="53" t="inlineStr">
        <is>
          <t>10/10/2026 11:59:15</t>
        </is>
      </c>
      <c r="F293" s="53" t="inlineStr">
        <is>
          <t>2 ngày trước</t>
        </is>
      </c>
      <c r="G293" s="55" t="n">
        <v>2</v>
      </c>
      <c r="H293" s="56" t="n">
        <v>28</v>
      </c>
      <c r="I293" s="6" t="inlineStr">
        <is>
          <t>Dog Breeder / Trại chó chuyên nghiệp (28-30đ)</t>
        </is>
      </c>
      <c r="J293" s="56" t="n">
        <v>28</v>
      </c>
      <c r="K293" s="6" t="inlineStr">
        <is>
          <t>Pug</t>
        </is>
      </c>
      <c r="L293" s="56" t="n">
        <v>5</v>
      </c>
      <c r="M293" s="56" t="n">
        <v>0</v>
      </c>
      <c r="N293" s="6" t="inlineStr">
        <is>
          <t>Amazon link not found</t>
        </is>
      </c>
      <c r="O293" s="56">
        <f>IF(N293="Selling pet toys + Artificial grass/Pet toilets (TARGET)",15,IF(N293="Selling artificial grass/pet toilets (TARGET)",10,IF(N293="Selling pet toys",7,IF(N293="There's an Amazon link, but no target sales.",3,0))))</f>
        <v/>
      </c>
      <c r="P293" s="63">
        <f>H293+J293+L293+M293+O293</f>
        <v/>
      </c>
      <c r="Q293" s="64">
        <f>IF(OR(H293=0,P293&lt;30),"Tier D (Đóng băng)",IF(P293&gt;=85,"Tier S (Kim Cương: 85-100đ)",IF(P293&gt;=70,"Tier A (Vàng: 70-84đ)",IF(P293&gt;=61,"Tier B+ / Cấp A (Hot Lead: 61-69đ)",IF(P293&gt;=50,"Tier B (Bạc: 50-60đ)","Tier C (Đồng: 30-49đ)")))))</f>
        <v/>
      </c>
      <c r="R293" s="6" t="inlineStr">
        <is>
          <t>Trọn gói Take-Home Starter Kit V2/V3 (Cỏ nhân tạo + Khay Potty + Đồ chơi Teething/Snuggle)</t>
        </is>
      </c>
      <c r="S293" s="6" t="inlineStr">
        <is>
          <t>HOT LEAD (Điểm ≥61): Liên hệ Telesale/Email chào gói Starter Kit &amp; Báo giá sỉ chiết khấu BOM</t>
        </is>
      </c>
    </row>
    <row r="294">
      <c r="A294" s="59" t="n">
        <v>2808</v>
      </c>
      <c r="B294" s="15" t="inlineStr">
        <is>
          <t>SaddleDog Farm</t>
        </is>
      </c>
      <c r="C294" s="60" t="inlineStr">
        <is>
          <t>https://www.facebook.com/saddledogfarm</t>
        </is>
      </c>
      <c r="D294" s="9" t="inlineStr">
        <is>
          <t>Cần quét Bio Fanpage</t>
        </is>
      </c>
      <c r="E294" s="59" t="inlineStr">
        <is>
          <t>10/10/2026 07:06:37</t>
        </is>
      </c>
      <c r="F294" s="59" t="inlineStr">
        <is>
          <t>2 ngày trước</t>
        </is>
      </c>
      <c r="G294" s="61" t="n">
        <v>2</v>
      </c>
      <c r="H294" s="62" t="n">
        <v>28</v>
      </c>
      <c r="I294" s="9" t="inlineStr">
        <is>
          <t>Dog Breeder / Trại nhân giống (28-30đ)</t>
        </is>
      </c>
      <c r="J294" s="62" t="n">
        <v>28</v>
      </c>
      <c r="K294" s="9" t="inlineStr">
        <is>
          <t>Chưa rõ giống (Cần quét Bio)</t>
        </is>
      </c>
      <c r="L294" s="62" t="n">
        <v>0</v>
      </c>
      <c r="M294" s="62" t="n">
        <v>5</v>
      </c>
      <c r="N294" s="9" t="inlineStr">
        <is>
          <t>Amazon link not found</t>
        </is>
      </c>
      <c r="O294" s="62">
        <f>IF(N294="Selling pet toys + Artificial grass/Pet toilets (TARGET)",15,IF(N294="Selling artificial grass/pet toilets (TARGET)",10,IF(N294="Selling pet toys",7,IF(N294="There's an Amazon link, but no target sales.",3,0))))</f>
        <v/>
      </c>
      <c r="P294" s="63">
        <f>H294+J294+L294+M294+O294</f>
        <v/>
      </c>
      <c r="Q294" s="64">
        <f>IF(OR(H294=0,P294&lt;30),"Tier D (Đóng băng)",IF(P294&gt;=85,"Tier S (Kim Cương: 85-100đ)",IF(P294&gt;=70,"Tier A (Vàng: 70-84đ)",IF(P294&gt;=61,"Tier B+ / Cấp A (Hot Lead: 61-69đ)",IF(P294&gt;=50,"Tier B (Bạc: 50-60đ)","Tier C (Đồng: 30-49đ)")))))</f>
        <v/>
      </c>
      <c r="R294" s="9" t="inlineStr">
        <is>
          <t>Trọn gói Take-Home Starter Kit V2/V3 (Cỏ nhân tạo + Khay Potty + Đồ chơi cún con)</t>
        </is>
      </c>
      <c r="S294" s="9" t="inlineStr">
        <is>
          <t>HOT LEAD (Điểm ≥61): Liên hệ Telesale/Email chào gói Starter Kit &amp; Báo giá sỉ chiết khấu BOM</t>
        </is>
      </c>
    </row>
    <row r="295">
      <c r="A295" s="53" t="n">
        <v>1689</v>
      </c>
      <c r="B295" s="12" t="inlineStr">
        <is>
          <t>Houndstooth House</t>
        </is>
      </c>
      <c r="C295" s="54" t="inlineStr">
        <is>
          <t>https://www.facebook.com/Houndstoothhouse</t>
        </is>
      </c>
      <c r="D295" s="6" t="inlineStr">
        <is>
          <t>Cần quét Bio Fanpage</t>
        </is>
      </c>
      <c r="E295" s="53" t="inlineStr">
        <is>
          <t>10/10/2026 04:39:03</t>
        </is>
      </c>
      <c r="F295" s="53" t="inlineStr">
        <is>
          <t>2 ngày trước</t>
        </is>
      </c>
      <c r="G295" s="55" t="n">
        <v>2</v>
      </c>
      <c r="H295" s="56" t="n">
        <v>28</v>
      </c>
      <c r="I295" s="6" t="inlineStr">
        <is>
          <t>Dog Breeder / Trại nhân giống (28-30đ)</t>
        </is>
      </c>
      <c r="J295" s="56" t="n">
        <v>28</v>
      </c>
      <c r="K295" s="6" t="inlineStr">
        <is>
          <t>Hound / Beagle / Basset</t>
        </is>
      </c>
      <c r="L295" s="56" t="n">
        <v>5</v>
      </c>
      <c r="M295" s="56" t="n">
        <v>0</v>
      </c>
      <c r="N295" s="6" t="inlineStr">
        <is>
          <t>Amazon link not found</t>
        </is>
      </c>
      <c r="O295" s="56">
        <f>IF(N295="Selling pet toys + Artificial grass/Pet toilets (TARGET)",15,IF(N295="Selling artificial grass/pet toilets (TARGET)",10,IF(N295="Selling pet toys",7,IF(N295="There's an Amazon link, but no target sales.",3,0))))</f>
        <v/>
      </c>
      <c r="P295" s="63">
        <f>H295+J295+L295+M295+O295</f>
        <v/>
      </c>
      <c r="Q295" s="64">
        <f>IF(OR(H295=0,P295&lt;30),"Tier D (Đóng băng)",IF(P295&gt;=85,"Tier S (Kim Cương: 85-100đ)",IF(P295&gt;=70,"Tier A (Vàng: 70-84đ)",IF(P295&gt;=61,"Tier B+ / Cấp A (Hot Lead: 61-69đ)",IF(P295&gt;=50,"Tier B (Bạc: 50-60đ)","Tier C (Đồng: 30-49đ)")))))</f>
        <v/>
      </c>
      <c r="R295" s="6" t="inlineStr">
        <is>
          <t>Trọn gói Take-Home Starter Kit V2/V3 (Cỏ nhân tạo + Khay Potty + Đồ chơi cún con)</t>
        </is>
      </c>
      <c r="S295" s="6" t="inlineStr">
        <is>
          <t>HOT LEAD (Điểm ≥61): Liên hệ Telesale/Email chào gói Starter Kit &amp; Báo giá sỉ chiết khấu BOM</t>
        </is>
      </c>
    </row>
    <row r="296">
      <c r="A296" s="59" t="n">
        <v>309</v>
      </c>
      <c r="B296" s="15" t="inlineStr">
        <is>
          <t>5 Hounds by Dr Will</t>
        </is>
      </c>
      <c r="C296" s="60" t="inlineStr">
        <is>
          <t>https://www.facebook.com/5houndsbydrwill</t>
        </is>
      </c>
      <c r="D296" s="9" t="inlineStr">
        <is>
          <t>Cần quét Bio Fanpage</t>
        </is>
      </c>
      <c r="E296" s="59" t="inlineStr">
        <is>
          <t>10/10/2026 04:10:58</t>
        </is>
      </c>
      <c r="F296" s="59" t="inlineStr">
        <is>
          <t>2 ngày trước</t>
        </is>
      </c>
      <c r="G296" s="61" t="n">
        <v>2</v>
      </c>
      <c r="H296" s="62" t="n">
        <v>28</v>
      </c>
      <c r="I296" s="9" t="inlineStr">
        <is>
          <t>Dog Breeder / Trại chó chuyên nghiệp (28-30đ)</t>
        </is>
      </c>
      <c r="J296" s="62" t="n">
        <v>28</v>
      </c>
      <c r="K296" s="9" t="inlineStr">
        <is>
          <t>Hound / Beagle / Basset</t>
        </is>
      </c>
      <c r="L296" s="62" t="n">
        <v>5</v>
      </c>
      <c r="M296" s="62" t="n">
        <v>0</v>
      </c>
      <c r="N296" s="9" t="inlineStr">
        <is>
          <t>Amazon link not found</t>
        </is>
      </c>
      <c r="O296" s="62">
        <f>IF(N296="Selling pet toys + Artificial grass/Pet toilets (TARGET)",15,IF(N296="Selling artificial grass/pet toilets (TARGET)",10,IF(N296="Selling pet toys",7,IF(N296="There's an Amazon link, but no target sales.",3,0))))</f>
        <v/>
      </c>
      <c r="P296" s="63">
        <f>H296+J296+L296+M296+O296</f>
        <v/>
      </c>
      <c r="Q296" s="64">
        <f>IF(OR(H296=0,P296&lt;30),"Tier D (Đóng băng)",IF(P296&gt;=85,"Tier S (Kim Cương: 85-100đ)",IF(P296&gt;=70,"Tier A (Vàng: 70-84đ)",IF(P296&gt;=61,"Tier B+ / Cấp A (Hot Lead: 61-69đ)",IF(P296&gt;=50,"Tier B (Bạc: 50-60đ)","Tier C (Đồng: 30-49đ)")))))</f>
        <v/>
      </c>
      <c r="R296" s="9" t="inlineStr">
        <is>
          <t>Trọn gói Take-Home Starter Kit V2/V3 (Cỏ nhân tạo + Khay Potty + Đồ chơi Teething/Snuggle)</t>
        </is>
      </c>
      <c r="S296" s="9" t="inlineStr">
        <is>
          <t>HOT LEAD (Điểm ≥61): Liên hệ Telesale/Email chào gói Starter Kit &amp; Báo giá sỉ chiết khấu BOM</t>
        </is>
      </c>
    </row>
    <row r="297">
      <c r="A297" s="53" t="n">
        <v>1073</v>
      </c>
      <c r="B297" s="12" t="inlineStr">
        <is>
          <t>Dog Guard of Seattle LLC</t>
        </is>
      </c>
      <c r="C297" s="54" t="inlineStr">
        <is>
          <t>https://www.facebook.com/seattledogguard</t>
        </is>
      </c>
      <c r="D297" s="6" t="inlineStr">
        <is>
          <t>Cần quét Bio Fanpage</t>
        </is>
      </c>
      <c r="E297" s="53" t="inlineStr">
        <is>
          <t>10/10/2026 03:30:28</t>
        </is>
      </c>
      <c r="F297" s="53" t="inlineStr">
        <is>
          <t>2 ngày trước</t>
        </is>
      </c>
      <c r="G297" s="55" t="n">
        <v>2</v>
      </c>
      <c r="H297" s="56" t="n">
        <v>28</v>
      </c>
      <c r="I297" s="6" t="inlineStr">
        <is>
          <t>Dog Breeder / Trại nhân giống (28-30đ)</t>
        </is>
      </c>
      <c r="J297" s="56" t="n">
        <v>28</v>
      </c>
      <c r="K297" s="6" t="inlineStr">
        <is>
          <t>Chưa rõ giống (Cần quét Bio)</t>
        </is>
      </c>
      <c r="L297" s="56" t="n">
        <v>0</v>
      </c>
      <c r="M297" s="56" t="n">
        <v>5</v>
      </c>
      <c r="N297" s="6" t="inlineStr">
        <is>
          <t>Amazon link not found</t>
        </is>
      </c>
      <c r="O297" s="56">
        <f>IF(N297="Selling pet toys + Artificial grass/Pet toilets (TARGET)",15,IF(N297="Selling artificial grass/pet toilets (TARGET)",10,IF(N297="Selling pet toys",7,IF(N297="There's an Amazon link, but no target sales.",3,0))))</f>
        <v/>
      </c>
      <c r="P297" s="63">
        <f>H297+J297+L297+M297+O297</f>
        <v/>
      </c>
      <c r="Q297" s="64">
        <f>IF(OR(H297=0,P297&lt;30),"Tier D (Đóng băng)",IF(P297&gt;=85,"Tier S (Kim Cương: 85-100đ)",IF(P297&gt;=70,"Tier A (Vàng: 70-84đ)",IF(P297&gt;=61,"Tier B+ / Cấp A (Hot Lead: 61-69đ)",IF(P297&gt;=50,"Tier B (Bạc: 50-60đ)","Tier C (Đồng: 30-49đ)")))))</f>
        <v/>
      </c>
      <c r="R297" s="6" t="inlineStr">
        <is>
          <t>Trọn gói Take-Home Starter Kit V2/V3 (Cỏ nhân tạo + Khay Potty + Đồ chơi cún con)</t>
        </is>
      </c>
      <c r="S297" s="6" t="inlineStr">
        <is>
          <t>HOT LEAD (Điểm ≥61): Liên hệ Telesale/Email chào gói Starter Kit &amp; Báo giá sỉ chiết khấu BOM</t>
        </is>
      </c>
    </row>
    <row r="298">
      <c r="A298" s="59" t="n">
        <v>2664</v>
      </c>
      <c r="B298" s="15" t="inlineStr">
        <is>
          <t>Puppy Playground.com</t>
        </is>
      </c>
      <c r="C298" s="60" t="inlineStr">
        <is>
          <t>https://www.facebook.com/PuppyPlayGroundcom</t>
        </is>
      </c>
      <c r="D298" s="9" t="inlineStr">
        <is>
          <t>https://playground.com</t>
        </is>
      </c>
      <c r="E298" s="59" t="inlineStr">
        <is>
          <t>09/10/2026 23:00:44</t>
        </is>
      </c>
      <c r="F298" s="59" t="inlineStr">
        <is>
          <t>3 ngày trước</t>
        </is>
      </c>
      <c r="G298" s="61" t="n">
        <v>3</v>
      </c>
      <c r="H298" s="62" t="n">
        <v>28</v>
      </c>
      <c r="I298" s="9" t="inlineStr">
        <is>
          <t>Dog Breeder / Trại chó chuyên nghiệp (28-30đ)</t>
        </is>
      </c>
      <c r="J298" s="62" t="n">
        <v>28</v>
      </c>
      <c r="K298" s="9" t="inlineStr">
        <is>
          <t>Chưa rõ giống (Cần quét Bio)</t>
        </is>
      </c>
      <c r="L298" s="62" t="n">
        <v>0</v>
      </c>
      <c r="M298" s="62" t="n">
        <v>5</v>
      </c>
      <c r="N298" s="9" t="inlineStr">
        <is>
          <t>Amazon link not found</t>
        </is>
      </c>
      <c r="O298" s="62">
        <f>IF(N298="Selling pet toys + Artificial grass/Pet toilets (TARGET)",15,IF(N298="Selling artificial grass/pet toilets (TARGET)",10,IF(N298="Selling pet toys",7,IF(N298="There's an Amazon link, but no target sales.",3,0))))</f>
        <v/>
      </c>
      <c r="P298" s="63">
        <f>H298+J298+L298+M298+O298</f>
        <v/>
      </c>
      <c r="Q298" s="64">
        <f>IF(OR(H298=0,P298&lt;30),"Tier D (Đóng băng)",IF(P298&gt;=85,"Tier S (Kim Cương: 85-100đ)",IF(P298&gt;=70,"Tier A (Vàng: 70-84đ)",IF(P298&gt;=61,"Tier B+ / Cấp A (Hot Lead: 61-69đ)",IF(P298&gt;=50,"Tier B (Bạc: 50-60đ)","Tier C (Đồng: 30-49đ)")))))</f>
        <v/>
      </c>
      <c r="R298" s="9" t="inlineStr">
        <is>
          <t>Trọn gói Take-Home Starter Kit V2/V3 (Cỏ nhân tạo + Khay Potty + Đồ chơi Teething/Snuggle)</t>
        </is>
      </c>
      <c r="S298" s="9" t="inlineStr">
        <is>
          <t>HOT LEAD (Điểm ≥61): Liên hệ Telesale/Email chào gói Starter Kit &amp; Báo giá sỉ chiết khấu BOM</t>
        </is>
      </c>
    </row>
    <row r="299">
      <c r="A299" s="53" t="n">
        <v>1570</v>
      </c>
      <c r="B299" s="12" t="inlineStr">
        <is>
          <t>Greyhounds in Need</t>
        </is>
      </c>
      <c r="C299" s="54" t="inlineStr">
        <is>
          <t>https://www.facebook.com/greyhoundsinneed</t>
        </is>
      </c>
      <c r="D299" s="6" t="inlineStr">
        <is>
          <t>Cần quét Bio Fanpage</t>
        </is>
      </c>
      <c r="E299" s="53" t="inlineStr">
        <is>
          <t>09/10/2026 22:11:10</t>
        </is>
      </c>
      <c r="F299" s="53" t="inlineStr">
        <is>
          <t>3 ngày trước</t>
        </is>
      </c>
      <c r="G299" s="55" t="n">
        <v>3</v>
      </c>
      <c r="H299" s="56" t="n">
        <v>28</v>
      </c>
      <c r="I299" s="6" t="inlineStr">
        <is>
          <t>Dog Breeder / Trại chó chuyên nghiệp (28-30đ)</t>
        </is>
      </c>
      <c r="J299" s="56" t="n">
        <v>28</v>
      </c>
      <c r="K299" s="6" t="inlineStr">
        <is>
          <t>Hound / Beagle / Basset</t>
        </is>
      </c>
      <c r="L299" s="56" t="n">
        <v>5</v>
      </c>
      <c r="M299" s="56" t="n">
        <v>0</v>
      </c>
      <c r="N299" s="6" t="inlineStr">
        <is>
          <t>Amazon link not found</t>
        </is>
      </c>
      <c r="O299" s="56">
        <f>IF(N299="Selling pet toys + Artificial grass/Pet toilets (TARGET)",15,IF(N299="Selling artificial grass/pet toilets (TARGET)",10,IF(N299="Selling pet toys",7,IF(N299="There's an Amazon link, but no target sales.",3,0))))</f>
        <v/>
      </c>
      <c r="P299" s="63">
        <f>H299+J299+L299+M299+O299</f>
        <v/>
      </c>
      <c r="Q299" s="64">
        <f>IF(OR(H299=0,P299&lt;30),"Tier D (Đóng băng)",IF(P299&gt;=85,"Tier S (Kim Cương: 85-100đ)",IF(P299&gt;=70,"Tier A (Vàng: 70-84đ)",IF(P299&gt;=61,"Tier B+ / Cấp A (Hot Lead: 61-69đ)",IF(P299&gt;=50,"Tier B (Bạc: 50-60đ)","Tier C (Đồng: 30-49đ)")))))</f>
        <v/>
      </c>
      <c r="R299" s="6" t="inlineStr">
        <is>
          <t>Trọn gói Take-Home Starter Kit V2/V3 (Cỏ nhân tạo + Khay Potty + Đồ chơi Teething/Snuggle)</t>
        </is>
      </c>
      <c r="S299" s="6" t="inlineStr">
        <is>
          <t>HOT LEAD (Điểm ≥61): Liên hệ Telesale/Email chào gói Starter Kit &amp; Báo giá sỉ chiết khấu BOM</t>
        </is>
      </c>
    </row>
    <row r="300">
      <c r="A300" s="59" t="n">
        <v>137</v>
      </c>
      <c r="B300" s="15" t="inlineStr">
        <is>
          <t>Cooper &amp; Co: Doglaw</t>
        </is>
      </c>
      <c r="C300" s="60" t="inlineStr">
        <is>
          <t>https://www.facebook.com/doglawsolicitors</t>
        </is>
      </c>
      <c r="D300" s="9" t="inlineStr">
        <is>
          <t>Cần quét Bio Fanpage</t>
        </is>
      </c>
      <c r="E300" s="59" t="inlineStr">
        <is>
          <t>09/10/2026 18:08:20</t>
        </is>
      </c>
      <c r="F300" s="59" t="inlineStr">
        <is>
          <t>3 ngày trước</t>
        </is>
      </c>
      <c r="G300" s="61" t="n">
        <v>3</v>
      </c>
      <c r="H300" s="62" t="n">
        <v>28</v>
      </c>
      <c r="I300" s="9" t="inlineStr">
        <is>
          <t>Dog Breeder / Trại nhân giống (28-30đ)</t>
        </is>
      </c>
      <c r="J300" s="62" t="n">
        <v>28</v>
      </c>
      <c r="K300" s="9" t="inlineStr">
        <is>
          <t>Chưa rõ giống (Cần quét Bio)</t>
        </is>
      </c>
      <c r="L300" s="62" t="n">
        <v>0</v>
      </c>
      <c r="M300" s="62" t="n">
        <v>5</v>
      </c>
      <c r="N300" s="9" t="inlineStr">
        <is>
          <t>Amazon link not found</t>
        </is>
      </c>
      <c r="O300" s="62">
        <f>IF(N300="Selling pet toys + Artificial grass/Pet toilets (TARGET)",15,IF(N300="Selling artificial grass/pet toilets (TARGET)",10,IF(N300="Selling pet toys",7,IF(N300="There's an Amazon link, but no target sales.",3,0))))</f>
        <v/>
      </c>
      <c r="P300" s="63">
        <f>H300+J300+L300+M300+O300</f>
        <v/>
      </c>
      <c r="Q300" s="64">
        <f>IF(OR(H300=0,P300&lt;30),"Tier D (Đóng băng)",IF(P300&gt;=85,"Tier S (Kim Cương: 85-100đ)",IF(P300&gt;=70,"Tier A (Vàng: 70-84đ)",IF(P300&gt;=61,"Tier B+ / Cấp A (Hot Lead: 61-69đ)",IF(P300&gt;=50,"Tier B (Bạc: 50-60đ)","Tier C (Đồng: 30-49đ)")))))</f>
        <v/>
      </c>
      <c r="R300" s="9" t="inlineStr">
        <is>
          <t>Trọn gói Take-Home Starter Kit V2/V3 (Cỏ nhân tạo + Khay Potty + Đồ chơi cún con)</t>
        </is>
      </c>
      <c r="S300" s="9" t="inlineStr">
        <is>
          <t>HOT LEAD (Điểm ≥61): Liên hệ Telesale/Email chào gói Starter Kit &amp; Báo giá sỉ chiết khấu BOM</t>
        </is>
      </c>
    </row>
    <row r="301">
      <c r="A301" s="53" t="n">
        <v>1251</v>
      </c>
      <c r="B301" s="12" t="inlineStr">
        <is>
          <t>Dutton Dog Co.</t>
        </is>
      </c>
      <c r="C301" s="54" t="inlineStr">
        <is>
          <t>https://www.facebook.com/GFDkennels</t>
        </is>
      </c>
      <c r="D301" s="6" t="inlineStr">
        <is>
          <t>Cần quét Bio Fanpage</t>
        </is>
      </c>
      <c r="E301" s="53" t="inlineStr">
        <is>
          <t>09/10/2026 03:52:08</t>
        </is>
      </c>
      <c r="F301" s="53" t="inlineStr">
        <is>
          <t>3 ngày trước</t>
        </is>
      </c>
      <c r="G301" s="55" t="n">
        <v>3</v>
      </c>
      <c r="H301" s="56" t="n">
        <v>28</v>
      </c>
      <c r="I301" s="6" t="inlineStr">
        <is>
          <t>Dog Breeder / Trại nhân giống (28-30đ)</t>
        </is>
      </c>
      <c r="J301" s="56" t="n">
        <v>28</v>
      </c>
      <c r="K301" s="6" t="inlineStr">
        <is>
          <t>Chưa rõ giống (Cần quét Bio)</t>
        </is>
      </c>
      <c r="L301" s="56" t="n">
        <v>0</v>
      </c>
      <c r="M301" s="56" t="n">
        <v>5</v>
      </c>
      <c r="N301" s="6" t="inlineStr">
        <is>
          <t>Amazon link not found</t>
        </is>
      </c>
      <c r="O301" s="56">
        <f>IF(N301="Selling pet toys + Artificial grass/Pet toilets (TARGET)",15,IF(N301="Selling artificial grass/pet toilets (TARGET)",10,IF(N301="Selling pet toys",7,IF(N301="There's an Amazon link, but no target sales.",3,0))))</f>
        <v/>
      </c>
      <c r="P301" s="63">
        <f>H301+J301+L301+M301+O301</f>
        <v/>
      </c>
      <c r="Q301" s="64">
        <f>IF(OR(H301=0,P301&lt;30),"Tier D (Đóng băng)",IF(P301&gt;=85,"Tier S (Kim Cương: 85-100đ)",IF(P301&gt;=70,"Tier A (Vàng: 70-84đ)",IF(P301&gt;=61,"Tier B+ / Cấp A (Hot Lead: 61-69đ)",IF(P301&gt;=50,"Tier B (Bạc: 50-60đ)","Tier C (Đồng: 30-49đ)")))))</f>
        <v/>
      </c>
      <c r="R301" s="6" t="inlineStr">
        <is>
          <t>Trọn gói Take-Home Starter Kit V2/V3 (Cỏ nhân tạo + Khay Potty + Đồ chơi cún con)</t>
        </is>
      </c>
      <c r="S301" s="6" t="inlineStr">
        <is>
          <t>HOT LEAD (Điểm ≥61): Liên hệ Telesale/Email chào gói Starter Kit &amp; Báo giá sỉ chiết khấu BOM</t>
        </is>
      </c>
    </row>
    <row r="302">
      <c r="A302" s="59" t="n">
        <v>71</v>
      </c>
      <c r="B302" s="15" t="inlineStr">
        <is>
          <t>Open Farm</t>
        </is>
      </c>
      <c r="C302" s="60" t="inlineStr">
        <is>
          <t>https://www.facebook.com/openfarmpet</t>
        </is>
      </c>
      <c r="D302" s="9" t="inlineStr">
        <is>
          <t>Cần quét Bio Fanpage</t>
        </is>
      </c>
      <c r="E302" s="59" t="inlineStr">
        <is>
          <t>09/10/2026 03:40:41</t>
        </is>
      </c>
      <c r="F302" s="59" t="inlineStr">
        <is>
          <t>3 ngày trước</t>
        </is>
      </c>
      <c r="G302" s="61" t="n">
        <v>3</v>
      </c>
      <c r="H302" s="62" t="n">
        <v>28</v>
      </c>
      <c r="I302" s="9" t="inlineStr">
        <is>
          <t>Dog Breeder / Trại nhân giống (28-30đ)</t>
        </is>
      </c>
      <c r="J302" s="62" t="n">
        <v>28</v>
      </c>
      <c r="K302" s="9" t="inlineStr">
        <is>
          <t>Chưa rõ giống (Cần quét Bio)</t>
        </is>
      </c>
      <c r="L302" s="62" t="n">
        <v>0</v>
      </c>
      <c r="M302" s="62" t="n">
        <v>5</v>
      </c>
      <c r="N302" s="9" t="inlineStr">
        <is>
          <t>Amazon link not found</t>
        </is>
      </c>
      <c r="O302" s="62">
        <f>IF(N302="Selling pet toys + Artificial grass/Pet toilets (TARGET)",15,IF(N302="Selling artificial grass/pet toilets (TARGET)",10,IF(N302="Selling pet toys",7,IF(N302="There's an Amazon link, but no target sales.",3,0))))</f>
        <v/>
      </c>
      <c r="P302" s="63">
        <f>H302+J302+L302+M302+O302</f>
        <v/>
      </c>
      <c r="Q302" s="64">
        <f>IF(OR(H302=0,P302&lt;30),"Tier D (Đóng băng)",IF(P302&gt;=85,"Tier S (Kim Cương: 85-100đ)",IF(P302&gt;=70,"Tier A (Vàng: 70-84đ)",IF(P302&gt;=61,"Tier B+ / Cấp A (Hot Lead: 61-69đ)",IF(P302&gt;=50,"Tier B (Bạc: 50-60đ)","Tier C (Đồng: 30-49đ)")))))</f>
        <v/>
      </c>
      <c r="R302" s="9" t="inlineStr">
        <is>
          <t>Trọn gói Take-Home Starter Kit V2/V3 (Cỏ nhân tạo + Khay Potty + Đồ chơi cún con)</t>
        </is>
      </c>
      <c r="S302" s="9" t="inlineStr">
        <is>
          <t>HOT LEAD (Điểm ≥61): Liên hệ Telesale/Email chào gói Starter Kit &amp; Báo giá sỉ chiết khấu BOM</t>
        </is>
      </c>
    </row>
    <row r="303">
      <c r="A303" s="53" t="n">
        <v>5473</v>
      </c>
      <c r="B303" s="12" t="inlineStr">
        <is>
          <t>Stoic Gun Dogs And Skull Works</t>
        </is>
      </c>
      <c r="C303" s="54" t="inlineStr">
        <is>
          <t>https://www.facebook.com/StoicGunDogs</t>
        </is>
      </c>
      <c r="D303" s="6" t="inlineStr">
        <is>
          <t>Cần quét Bio Fanpage</t>
        </is>
      </c>
      <c r="E303" s="53" t="inlineStr">
        <is>
          <t>13/10/2026 10:38:12</t>
        </is>
      </c>
      <c r="F303" s="53" t="inlineStr">
        <is>
          <t>9 phút trước</t>
        </is>
      </c>
      <c r="G303" s="55" t="n">
        <v>0.01</v>
      </c>
      <c r="H303" s="56" t="n">
        <v>35</v>
      </c>
      <c r="I303" s="6" t="inlineStr">
        <is>
          <t>Pet Boarding / Huấn luyện K9 &amp; Dịch vụ (20-22đ)</t>
        </is>
      </c>
      <c r="J303" s="56" t="n">
        <v>20</v>
      </c>
      <c r="K303" s="6" t="inlineStr">
        <is>
          <t>Spaniel / Gun Dog / Retriever</t>
        </is>
      </c>
      <c r="L303" s="56" t="n">
        <v>5</v>
      </c>
      <c r="M303" s="56" t="n">
        <v>0</v>
      </c>
      <c r="N303" s="6" t="inlineStr">
        <is>
          <t>Amazon link not found</t>
        </is>
      </c>
      <c r="O303" s="56">
        <f>IF(N303="Selling pet toys + Artificial grass/Pet toilets (TARGET)",15,IF(N303="Selling artificial grass/pet toilets (TARGET)",10,IF(N303="Selling pet toys",7,IF(N303="There's an Amazon link, but no target sales.",3,0))))</f>
        <v/>
      </c>
      <c r="P303" s="65">
        <f>H303+J303+L303+M303+O303</f>
        <v/>
      </c>
      <c r="Q303" s="66">
        <f>IF(OR(H303=0,P303&lt;30),"Tier D (Đóng băng)",IF(P303&gt;=85,"Tier S (Kim Cương: 85-100đ)",IF(P303&gt;=70,"Tier A (Vàng: 70-84đ)",IF(P303&gt;=61,"Tier B+ / Cấp A (Hot Lead: 61-69đ)",IF(P303&gt;=50,"Tier B (Bạc: 50-60đ)","Tier C (Đồng: 30-49đ)")))))</f>
        <v/>
      </c>
      <c r="R303" s="6" t="inlineStr">
        <is>
          <t>Cỏ nhân tạo sân chơi/huấn luyện (Dog Turf) + Đồ chơi nhai chịu lực (KONG/Chew Toys)</t>
        </is>
      </c>
      <c r="S303" s="6" t="inlineStr">
        <is>
          <t>Cấp B Tiềm năng: Tiếp cận tự động qua chuỗi Email Marketing + Chăm sóc bổ sung bằng Telesale</t>
        </is>
      </c>
    </row>
    <row r="304">
      <c r="A304" s="59" t="n">
        <v>5273</v>
      </c>
      <c r="B304" s="15" t="inlineStr">
        <is>
          <t>Ryglen Gundogs</t>
        </is>
      </c>
      <c r="C304" s="60" t="inlineStr">
        <is>
          <t>https://www.facebook.com/ryglengundogs</t>
        </is>
      </c>
      <c r="D304" s="9" t="inlineStr">
        <is>
          <t>Cần quét Bio Fanpage</t>
        </is>
      </c>
      <c r="E304" s="59" t="inlineStr">
        <is>
          <t>13/10/2026 06:30:03</t>
        </is>
      </c>
      <c r="F304" s="59" t="inlineStr">
        <is>
          <t>3 giờ trước</t>
        </is>
      </c>
      <c r="G304" s="61" t="n">
        <v>0.12</v>
      </c>
      <c r="H304" s="62" t="n">
        <v>35</v>
      </c>
      <c r="I304" s="9" t="inlineStr">
        <is>
          <t>Pet Boarding / Huấn luyện K9 &amp; Dịch vụ (20-22đ)</t>
        </is>
      </c>
      <c r="J304" s="62" t="n">
        <v>20</v>
      </c>
      <c r="K304" s="9" t="inlineStr">
        <is>
          <t>Spaniel / Gun Dog / Retriever</t>
        </is>
      </c>
      <c r="L304" s="62" t="n">
        <v>5</v>
      </c>
      <c r="M304" s="62" t="n">
        <v>0</v>
      </c>
      <c r="N304" s="9" t="inlineStr">
        <is>
          <t>Amazon link not found</t>
        </is>
      </c>
      <c r="O304" s="62">
        <f>IF(N304="Selling pet toys + Artificial grass/Pet toilets (TARGET)",15,IF(N304="Selling artificial grass/pet toilets (TARGET)",10,IF(N304="Selling pet toys",7,IF(N304="There's an Amazon link, but no target sales.",3,0))))</f>
        <v/>
      </c>
      <c r="P304" s="67">
        <f>H304+J304+L304+M304+O304</f>
        <v/>
      </c>
      <c r="Q304" s="66">
        <f>IF(OR(H304=0,P304&lt;30),"Tier D (Đóng băng)",IF(P304&gt;=85,"Tier S (Kim Cương: 85-100đ)",IF(P304&gt;=70,"Tier A (Vàng: 70-84đ)",IF(P304&gt;=61,"Tier B+ / Cấp A (Hot Lead: 61-69đ)",IF(P304&gt;=50,"Tier B (Bạc: 50-60đ)","Tier C (Đồng: 30-49đ)")))))</f>
        <v/>
      </c>
      <c r="R304" s="9" t="inlineStr">
        <is>
          <t>Cỏ nhân tạo sân chơi/huấn luyện (Dog Turf) + Đồ chơi nhai chịu lực (KONG/Chew Toys)</t>
        </is>
      </c>
      <c r="S304" s="9" t="inlineStr">
        <is>
          <t>Cấp B Tiềm năng: Tiếp cận tự động qua chuỗi Email Marketing + Chăm sóc bổ sung bằng Telesale</t>
        </is>
      </c>
    </row>
    <row r="305">
      <c r="A305" s="53" t="n">
        <v>3748</v>
      </c>
      <c r="B305" s="12" t="inlineStr">
        <is>
          <t>Elk Creek Gun Dogs</t>
        </is>
      </c>
      <c r="C305" s="54" t="inlineStr">
        <is>
          <t>https://www.facebook.com/ronelkcreekgundogs</t>
        </is>
      </c>
      <c r="D305" s="6" t="inlineStr">
        <is>
          <t>Cần quét Bio Fanpage</t>
        </is>
      </c>
      <c r="E305" s="53" t="inlineStr">
        <is>
          <t>13/10/2026 04:32:05</t>
        </is>
      </c>
      <c r="F305" s="53" t="inlineStr">
        <is>
          <t>3 giờ trước</t>
        </is>
      </c>
      <c r="G305" s="55" t="n">
        <v>0.12</v>
      </c>
      <c r="H305" s="56" t="n">
        <v>35</v>
      </c>
      <c r="I305" s="6" t="inlineStr">
        <is>
          <t>Pet Boarding / Huấn luyện K9 &amp; Dịch vụ (20-22đ)</t>
        </is>
      </c>
      <c r="J305" s="56" t="n">
        <v>20</v>
      </c>
      <c r="K305" s="6" t="inlineStr">
        <is>
          <t>Spaniel / Gun Dog / Retriever</t>
        </is>
      </c>
      <c r="L305" s="56" t="n">
        <v>5</v>
      </c>
      <c r="M305" s="56" t="n">
        <v>0</v>
      </c>
      <c r="N305" s="6" t="inlineStr">
        <is>
          <t>Amazon link not found</t>
        </is>
      </c>
      <c r="O305" s="56">
        <f>IF(N305="Selling pet toys + Artificial grass/Pet toilets (TARGET)",15,IF(N305="Selling artificial grass/pet toilets (TARGET)",10,IF(N305="Selling pet toys",7,IF(N305="There's an Amazon link, but no target sales.",3,0))))</f>
        <v/>
      </c>
      <c r="P305" s="65">
        <f>H305+J305+L305+M305+O305</f>
        <v/>
      </c>
      <c r="Q305" s="66">
        <f>IF(OR(H305=0,P305&lt;30),"Tier D (Đóng băng)",IF(P305&gt;=85,"Tier S (Kim Cương: 85-100đ)",IF(P305&gt;=70,"Tier A (Vàng: 70-84đ)",IF(P305&gt;=61,"Tier B+ / Cấp A (Hot Lead: 61-69đ)",IF(P305&gt;=50,"Tier B (Bạc: 50-60đ)","Tier C (Đồng: 30-49đ)")))))</f>
        <v/>
      </c>
      <c r="R305" s="6" t="inlineStr">
        <is>
          <t>Cỏ nhân tạo sân chơi/huấn luyện (Dog Turf) + Đồ chơi nhai chịu lực (KONG/Chew Toys)</t>
        </is>
      </c>
      <c r="S305" s="6" t="inlineStr">
        <is>
          <t>Cấp B Tiềm năng: Tiếp cận tự động qua chuỗi Email Marketing + Chăm sóc bổ sung bằng Telesale</t>
        </is>
      </c>
    </row>
    <row r="306">
      <c r="A306" s="59" t="n">
        <v>2296</v>
      </c>
      <c r="B306" s="15" t="inlineStr">
        <is>
          <t>Nithvalley Gundogs</t>
        </is>
      </c>
      <c r="C306" s="60" t="inlineStr">
        <is>
          <t>https://www.facebook.com/nithvalley.gundogs</t>
        </is>
      </c>
      <c r="D306" s="9" t="inlineStr">
        <is>
          <t>Cần quét Bio Fanpage</t>
        </is>
      </c>
      <c r="E306" s="59" t="inlineStr">
        <is>
          <t>13/10/2026 03:25:30</t>
        </is>
      </c>
      <c r="F306" s="59" t="inlineStr">
        <is>
          <t>1 giờ trước</t>
        </is>
      </c>
      <c r="G306" s="61" t="n">
        <v>0.04</v>
      </c>
      <c r="H306" s="62" t="n">
        <v>35</v>
      </c>
      <c r="I306" s="9" t="inlineStr">
        <is>
          <t>Pet Boarding / Huấn luyện K9 &amp; Dịch vụ (20-22đ)</t>
        </is>
      </c>
      <c r="J306" s="62" t="n">
        <v>20</v>
      </c>
      <c r="K306" s="9" t="inlineStr">
        <is>
          <t>Spaniel / Gun Dog / Retriever</t>
        </is>
      </c>
      <c r="L306" s="62" t="n">
        <v>5</v>
      </c>
      <c r="M306" s="62" t="n">
        <v>0</v>
      </c>
      <c r="N306" s="9" t="inlineStr">
        <is>
          <t>Amazon link not found</t>
        </is>
      </c>
      <c r="O306" s="62">
        <f>IF(N306="Selling pet toys + Artificial grass/Pet toilets (TARGET)",15,IF(N306="Selling artificial grass/pet toilets (TARGET)",10,IF(N306="Selling pet toys",7,IF(N306="There's an Amazon link, but no target sales.",3,0))))</f>
        <v/>
      </c>
      <c r="P306" s="67">
        <f>H306+J306+L306+M306+O306</f>
        <v/>
      </c>
      <c r="Q306" s="66">
        <f>IF(OR(H306=0,P306&lt;30),"Tier D (Đóng băng)",IF(P306&gt;=85,"Tier S (Kim Cương: 85-100đ)",IF(P306&gt;=70,"Tier A (Vàng: 70-84đ)",IF(P306&gt;=61,"Tier B+ / Cấp A (Hot Lead: 61-69đ)",IF(P306&gt;=50,"Tier B (Bạc: 50-60đ)","Tier C (Đồng: 30-49đ)")))))</f>
        <v/>
      </c>
      <c r="R306" s="9" t="inlineStr">
        <is>
          <t>Cỏ nhân tạo sân chơi/huấn luyện (Dog Turf) + Đồ chơi nhai chịu lực (KONG/Chew Toys)</t>
        </is>
      </c>
      <c r="S306" s="9" t="inlineStr">
        <is>
          <t>Cấp B Tiềm năng: Tiếp cận tự động qua chuỗi Email Marketing + Chăm sóc bổ sung bằng Telesale</t>
        </is>
      </c>
    </row>
    <row r="307">
      <c r="A307" s="53" t="n">
        <v>2153</v>
      </c>
      <c r="B307" s="12" t="inlineStr">
        <is>
          <t>MeareCastle Gundogs</t>
        </is>
      </c>
      <c r="C307" s="54" t="inlineStr">
        <is>
          <t>https://www.facebook.com/profile.php?id=100079568750862</t>
        </is>
      </c>
      <c r="D307" s="6" t="inlineStr">
        <is>
          <t>Cần quét Bio Fanpage</t>
        </is>
      </c>
      <c r="E307" s="53" t="inlineStr">
        <is>
          <t>13/10/2026 02:39:59</t>
        </is>
      </c>
      <c r="F307" s="53" t="inlineStr">
        <is>
          <t>2 giờ trước</t>
        </is>
      </c>
      <c r="G307" s="55" t="n">
        <v>0.08</v>
      </c>
      <c r="H307" s="56" t="n">
        <v>35</v>
      </c>
      <c r="I307" s="6" t="inlineStr">
        <is>
          <t>Pet Boarding / Huấn luyện K9 &amp; Dịch vụ (20-22đ)</t>
        </is>
      </c>
      <c r="J307" s="56" t="n">
        <v>20</v>
      </c>
      <c r="K307" s="6" t="inlineStr">
        <is>
          <t>Spaniel / Gun Dog / Retriever</t>
        </is>
      </c>
      <c r="L307" s="56" t="n">
        <v>5</v>
      </c>
      <c r="M307" s="56" t="n">
        <v>0</v>
      </c>
      <c r="N307" s="6" t="inlineStr">
        <is>
          <t>Amazon link not found</t>
        </is>
      </c>
      <c r="O307" s="56">
        <f>IF(N307="Selling pet toys + Artificial grass/Pet toilets (TARGET)",15,IF(N307="Selling artificial grass/pet toilets (TARGET)",10,IF(N307="Selling pet toys",7,IF(N307="There's an Amazon link, but no target sales.",3,0))))</f>
        <v/>
      </c>
      <c r="P307" s="65">
        <f>H307+J307+L307+M307+O307</f>
        <v/>
      </c>
      <c r="Q307" s="66">
        <f>IF(OR(H307=0,P307&lt;30),"Tier D (Đóng băng)",IF(P307&gt;=85,"Tier S (Kim Cương: 85-100đ)",IF(P307&gt;=70,"Tier A (Vàng: 70-84đ)",IF(P307&gt;=61,"Tier B+ / Cấp A (Hot Lead: 61-69đ)",IF(P307&gt;=50,"Tier B (Bạc: 50-60đ)","Tier C (Đồng: 30-49đ)")))))</f>
        <v/>
      </c>
      <c r="R307" s="6" t="inlineStr">
        <is>
          <t>Cỏ nhân tạo sân chơi/huấn luyện (Dog Turf) + Đồ chơi nhai chịu lực (KONG/Chew Toys)</t>
        </is>
      </c>
      <c r="S307" s="6" t="inlineStr">
        <is>
          <t>Cấp B Tiềm năng: Tiếp cận tự động qua chuỗi Email Marketing + Chăm sóc bổ sung bằng Telesale</t>
        </is>
      </c>
    </row>
    <row r="308">
      <c r="A308" s="59" t="n">
        <v>1508</v>
      </c>
      <c r="B308" s="15" t="inlineStr">
        <is>
          <t>Gladrock Gundogs</t>
        </is>
      </c>
      <c r="C308" s="60" t="inlineStr">
        <is>
          <t>https://www.facebook.com/profile.php?id=61576615854562</t>
        </is>
      </c>
      <c r="D308" s="9" t="inlineStr">
        <is>
          <t>Cần quét Bio Fanpage</t>
        </is>
      </c>
      <c r="E308" s="59" t="inlineStr">
        <is>
          <t>13/10/2026 00:53:43</t>
        </is>
      </c>
      <c r="F308" s="59" t="inlineStr">
        <is>
          <t>2 giờ trước</t>
        </is>
      </c>
      <c r="G308" s="61" t="n">
        <v>0.08</v>
      </c>
      <c r="H308" s="62" t="n">
        <v>35</v>
      </c>
      <c r="I308" s="9" t="inlineStr">
        <is>
          <t>Pet Boarding / Huấn luyện K9 &amp; Dịch vụ (20-22đ)</t>
        </is>
      </c>
      <c r="J308" s="62" t="n">
        <v>20</v>
      </c>
      <c r="K308" s="9" t="inlineStr">
        <is>
          <t>Spaniel / Gun Dog / Retriever</t>
        </is>
      </c>
      <c r="L308" s="62" t="n">
        <v>5</v>
      </c>
      <c r="M308" s="62" t="n">
        <v>0</v>
      </c>
      <c r="N308" s="9" t="inlineStr">
        <is>
          <t>Amazon link not found</t>
        </is>
      </c>
      <c r="O308" s="62">
        <f>IF(N308="Selling pet toys + Artificial grass/Pet toilets (TARGET)",15,IF(N308="Selling artificial grass/pet toilets (TARGET)",10,IF(N308="Selling pet toys",7,IF(N308="There's an Amazon link, but no target sales.",3,0))))</f>
        <v/>
      </c>
      <c r="P308" s="67">
        <f>H308+J308+L308+M308+O308</f>
        <v/>
      </c>
      <c r="Q308" s="66">
        <f>IF(OR(H308=0,P308&lt;30),"Tier D (Đóng băng)",IF(P308&gt;=85,"Tier S (Kim Cương: 85-100đ)",IF(P308&gt;=70,"Tier A (Vàng: 70-84đ)",IF(P308&gt;=61,"Tier B+ / Cấp A (Hot Lead: 61-69đ)",IF(P308&gt;=50,"Tier B (Bạc: 50-60đ)","Tier C (Đồng: 30-49đ)")))))</f>
        <v/>
      </c>
      <c r="R308" s="9" t="inlineStr">
        <is>
          <t>Cỏ nhân tạo sân chơi/huấn luyện (Dog Turf) + Đồ chơi nhai chịu lực (KONG/Chew Toys)</t>
        </is>
      </c>
      <c r="S308" s="9" t="inlineStr">
        <is>
          <t>Cấp B Tiềm năng: Tiếp cận tự động qua chuỗi Email Marketing + Chăm sóc bổ sung bằng Telesale</t>
        </is>
      </c>
    </row>
    <row r="309">
      <c r="A309" s="53" t="n">
        <v>81</v>
      </c>
      <c r="B309" s="12" t="inlineStr">
        <is>
          <t>Tattney Gundogs</t>
        </is>
      </c>
      <c r="C309" s="54" t="inlineStr">
        <is>
          <t>https://www.facebook.com/tattneygundogs</t>
        </is>
      </c>
      <c r="D309" s="6" t="inlineStr">
        <is>
          <t>Cần quét Bio Fanpage</t>
        </is>
      </c>
      <c r="E309" s="53" t="inlineStr">
        <is>
          <t>13/10/2026 00:26:04</t>
        </is>
      </c>
      <c r="F309" s="53" t="inlineStr">
        <is>
          <t>37 phút trước</t>
        </is>
      </c>
      <c r="G309" s="55" t="n">
        <v>0.03</v>
      </c>
      <c r="H309" s="56" t="n">
        <v>35</v>
      </c>
      <c r="I309" s="6" t="inlineStr">
        <is>
          <t>Pet Boarding / Huấn luyện K9 &amp; Dịch vụ (20-22đ)</t>
        </is>
      </c>
      <c r="J309" s="56" t="n">
        <v>20</v>
      </c>
      <c r="K309" s="6" t="inlineStr">
        <is>
          <t>Spaniel / Gun Dog / Retriever</t>
        </is>
      </c>
      <c r="L309" s="56" t="n">
        <v>5</v>
      </c>
      <c r="M309" s="56" t="n">
        <v>0</v>
      </c>
      <c r="N309" s="6" t="inlineStr">
        <is>
          <t>Amazon link not found</t>
        </is>
      </c>
      <c r="O309" s="56">
        <f>IF(N309="Selling pet toys + Artificial grass/Pet toilets (TARGET)",15,IF(N309="Selling artificial grass/pet toilets (TARGET)",10,IF(N309="Selling pet toys",7,IF(N309="There's an Amazon link, but no target sales.",3,0))))</f>
        <v/>
      </c>
      <c r="P309" s="65">
        <f>H309+J309+L309+M309+O309</f>
        <v/>
      </c>
      <c r="Q309" s="66">
        <f>IF(OR(H309=0,P309&lt;30),"Tier D (Đóng băng)",IF(P309&gt;=85,"Tier S (Kim Cương: 85-100đ)",IF(P309&gt;=70,"Tier A (Vàng: 70-84đ)",IF(P309&gt;=61,"Tier B+ / Cấp A (Hot Lead: 61-69đ)",IF(P309&gt;=50,"Tier B (Bạc: 50-60đ)","Tier C (Đồng: 30-49đ)")))))</f>
        <v/>
      </c>
      <c r="R309" s="6" t="inlineStr">
        <is>
          <t>Cỏ nhân tạo sân chơi/huấn luyện (Dog Turf) + Đồ chơi nhai chịu lực (KONG/Chew Toys)</t>
        </is>
      </c>
      <c r="S309" s="6" t="inlineStr">
        <is>
          <t>Cấp B Tiềm năng: Tiếp cận tự động qua chuỗi Email Marketing + Chăm sóc bổ sung bằng Telesale</t>
        </is>
      </c>
    </row>
    <row r="310">
      <c r="A310" s="59" t="n">
        <v>182</v>
      </c>
      <c r="B310" s="15" t="inlineStr">
        <is>
          <t>Gundog Journal</t>
        </is>
      </c>
      <c r="C310" s="60" t="inlineStr">
        <is>
          <t>https://www.facebook.com/GundogJournal</t>
        </is>
      </c>
      <c r="D310" s="9" t="inlineStr">
        <is>
          <t>Cần quét Bio Fanpage</t>
        </is>
      </c>
      <c r="E310" s="59" t="inlineStr">
        <is>
          <t>13/10/2026 00:05:23</t>
        </is>
      </c>
      <c r="F310" s="59" t="inlineStr">
        <is>
          <t>1 giờ trước</t>
        </is>
      </c>
      <c r="G310" s="61" t="n">
        <v>0.04</v>
      </c>
      <c r="H310" s="62" t="n">
        <v>35</v>
      </c>
      <c r="I310" s="9" t="inlineStr">
        <is>
          <t>Pet Boarding / Huấn luyện K9 &amp; Dịch vụ (20-22đ)</t>
        </is>
      </c>
      <c r="J310" s="62" t="n">
        <v>20</v>
      </c>
      <c r="K310" s="9" t="inlineStr">
        <is>
          <t>Spaniel / Gun Dog / Retriever</t>
        </is>
      </c>
      <c r="L310" s="62" t="n">
        <v>5</v>
      </c>
      <c r="M310" s="62" t="n">
        <v>0</v>
      </c>
      <c r="N310" s="9" t="inlineStr">
        <is>
          <t>Amazon link not found</t>
        </is>
      </c>
      <c r="O310" s="62">
        <f>IF(N310="Selling pet toys + Artificial grass/Pet toilets (TARGET)",15,IF(N310="Selling artificial grass/pet toilets (TARGET)",10,IF(N310="Selling pet toys",7,IF(N310="There's an Amazon link, but no target sales.",3,0))))</f>
        <v/>
      </c>
      <c r="P310" s="67">
        <f>H310+J310+L310+M310+O310</f>
        <v/>
      </c>
      <c r="Q310" s="66">
        <f>IF(OR(H310=0,P310&lt;30),"Tier D (Đóng băng)",IF(P310&gt;=85,"Tier S (Kim Cương: 85-100đ)",IF(P310&gt;=70,"Tier A (Vàng: 70-84đ)",IF(P310&gt;=61,"Tier B+ / Cấp A (Hot Lead: 61-69đ)",IF(P310&gt;=50,"Tier B (Bạc: 50-60đ)","Tier C (Đồng: 30-49đ)")))))</f>
        <v/>
      </c>
      <c r="R310" s="9" t="inlineStr">
        <is>
          <t>Cỏ nhân tạo sân chơi/huấn luyện (Dog Turf) + Đồ chơi nhai chịu lực (KONG/Chew Toys)</t>
        </is>
      </c>
      <c r="S310" s="9" t="inlineStr">
        <is>
          <t>Cấp B Tiềm năng: Tiếp cận tự động qua chuỗi Email Marketing + Chăm sóc bổ sung bằng Telesale</t>
        </is>
      </c>
    </row>
    <row r="311">
      <c r="A311" s="53" t="n">
        <v>3480</v>
      </c>
      <c r="B311" s="12" t="inlineStr">
        <is>
          <t>Zenenhundai - Lithuanian swiss mountain dogs club</t>
        </is>
      </c>
      <c r="C311" s="54" t="inlineStr">
        <is>
          <t>https://www.facebook.com/zenenhundai</t>
        </is>
      </c>
      <c r="D311" s="6" t="inlineStr">
        <is>
          <t>Cần quét Bio Fanpage</t>
        </is>
      </c>
      <c r="E311" s="53" t="inlineStr">
        <is>
          <t>12/10/2026 21:28:38</t>
        </is>
      </c>
      <c r="F311" s="53" t="inlineStr">
        <is>
          <t>9 giờ trước</t>
        </is>
      </c>
      <c r="G311" s="55" t="n">
        <v>0.38</v>
      </c>
      <c r="H311" s="56" t="n">
        <v>32</v>
      </c>
      <c r="I311" s="6" t="inlineStr">
        <is>
          <t>Dog Breeder / Trại chó chuyên nghiệp (28-30đ)</t>
        </is>
      </c>
      <c r="J311" s="56" t="n">
        <v>28</v>
      </c>
      <c r="K311" s="6" t="inlineStr">
        <is>
          <t>Chưa rõ giống (Cần quét Bio)</t>
        </is>
      </c>
      <c r="L311" s="56" t="n">
        <v>0</v>
      </c>
      <c r="M311" s="56" t="n">
        <v>0</v>
      </c>
      <c r="N311" s="6" t="inlineStr">
        <is>
          <t>Amazon link not found</t>
        </is>
      </c>
      <c r="O311" s="56">
        <f>IF(N311="Selling pet toys + Artificial grass/Pet toilets (TARGET)",15,IF(N311="Selling artificial grass/pet toilets (TARGET)",10,IF(N311="Selling pet toys",7,IF(N311="There's an Amazon link, but no target sales.",3,0))))</f>
        <v/>
      </c>
      <c r="P311" s="65">
        <f>H311+J311+L311+M311+O311</f>
        <v/>
      </c>
      <c r="Q311" s="66">
        <f>IF(OR(H311=0,P311&lt;30),"Tier D (Đóng băng)",IF(P311&gt;=85,"Tier S (Kim Cương: 85-100đ)",IF(P311&gt;=70,"Tier A (Vàng: 70-84đ)",IF(P311&gt;=61,"Tier B+ / Cấp A (Hot Lead: 61-69đ)",IF(P311&gt;=50,"Tier B (Bạc: 50-60đ)","Tier C (Đồng: 30-49đ)")))))</f>
        <v/>
      </c>
      <c r="R311" s="6" t="inlineStr">
        <is>
          <t>Trọn gói Take-Home Starter Kit V2/V3 (Cỏ nhân tạo + Khay Potty + Đồ chơi Teething/Snuggle)</t>
        </is>
      </c>
      <c r="S311" s="6" t="inlineStr">
        <is>
          <t>Cấp B Tiềm năng: Tiếp cận tự động qua chuỗi Email Marketing + Chăm sóc bổ sung bằng Telesale</t>
        </is>
      </c>
    </row>
    <row r="312">
      <c r="A312" s="59" t="n">
        <v>3171</v>
      </c>
      <c r="B312" s="15" t="inlineStr">
        <is>
          <t>The Voiceless Dogs of Nassau, Bahamas</t>
        </is>
      </c>
      <c r="C312" s="60" t="inlineStr">
        <is>
          <t>https://www.facebook.com/PawtCakeRefuge</t>
        </is>
      </c>
      <c r="D312" s="9" t="inlineStr">
        <is>
          <t>Cần quét Bio Fanpage</t>
        </is>
      </c>
      <c r="E312" s="59" t="inlineStr">
        <is>
          <t>12/10/2026 08:48:52</t>
        </is>
      </c>
      <c r="F312" s="59" t="inlineStr">
        <is>
          <t>21 giờ trước</t>
        </is>
      </c>
      <c r="G312" s="61" t="n">
        <v>0.88</v>
      </c>
      <c r="H312" s="62" t="n">
        <v>32</v>
      </c>
      <c r="I312" s="9" t="inlineStr">
        <is>
          <t>Dog Breeder / Trại chó chuyên nghiệp (28-30đ)</t>
        </is>
      </c>
      <c r="J312" s="62" t="n">
        <v>28</v>
      </c>
      <c r="K312" s="9" t="inlineStr">
        <is>
          <t>Chưa rõ giống (Cần quét Bio)</t>
        </is>
      </c>
      <c r="L312" s="62" t="n">
        <v>0</v>
      </c>
      <c r="M312" s="62" t="n">
        <v>0</v>
      </c>
      <c r="N312" s="9" t="inlineStr">
        <is>
          <t>Amazon link not found</t>
        </is>
      </c>
      <c r="O312" s="62">
        <f>IF(N312="Selling pet toys + Artificial grass/Pet toilets (TARGET)",15,IF(N312="Selling artificial grass/pet toilets (TARGET)",10,IF(N312="Selling pet toys",7,IF(N312="There's an Amazon link, but no target sales.",3,0))))</f>
        <v/>
      </c>
      <c r="P312" s="67">
        <f>H312+J312+L312+M312+O312</f>
        <v/>
      </c>
      <c r="Q312" s="66">
        <f>IF(OR(H312=0,P312&lt;30),"Tier D (Đóng băng)",IF(P312&gt;=85,"Tier S (Kim Cương: 85-100đ)",IF(P312&gt;=70,"Tier A (Vàng: 70-84đ)",IF(P312&gt;=61,"Tier B+ / Cấp A (Hot Lead: 61-69đ)",IF(P312&gt;=50,"Tier B (Bạc: 50-60đ)","Tier C (Đồng: 30-49đ)")))))</f>
        <v/>
      </c>
      <c r="R312" s="9" t="inlineStr">
        <is>
          <t>Trọn gói Take-Home Starter Kit V2/V3 (Cỏ nhân tạo + Khay Potty + Đồ chơi Teething/Snuggle)</t>
        </is>
      </c>
      <c r="S312" s="9" t="inlineStr">
        <is>
          <t>Cấp B Tiềm năng: Tiếp cận tự động qua chuỗi Email Marketing + Chăm sóc bổ sung bằng Telesale</t>
        </is>
      </c>
    </row>
    <row r="313">
      <c r="A313" s="53" t="n">
        <v>2282</v>
      </c>
      <c r="B313" s="12" t="inlineStr">
        <is>
          <t>Neverdone Farm's Bernese Mountain Dogs</t>
        </is>
      </c>
      <c r="C313" s="54" t="inlineStr">
        <is>
          <t>https://www.facebook.com/profile.php?id=100064261287014</t>
        </is>
      </c>
      <c r="D313" s="6" t="inlineStr">
        <is>
          <t>Cần quét Bio Fanpage</t>
        </is>
      </c>
      <c r="E313" s="53" t="inlineStr">
        <is>
          <t>09/10/2026 00:29:53</t>
        </is>
      </c>
      <c r="F313" s="53" t="inlineStr">
        <is>
          <t>4 ngày trước</t>
        </is>
      </c>
      <c r="G313" s="55" t="n">
        <v>4</v>
      </c>
      <c r="H313" s="56" t="n">
        <v>20</v>
      </c>
      <c r="I313" s="6" t="inlineStr">
        <is>
          <t>Dog Breeder / Trại chó chuyên nghiệp (28-30đ)</t>
        </is>
      </c>
      <c r="J313" s="56" t="n">
        <v>30</v>
      </c>
      <c r="K313" s="6" t="inlineStr">
        <is>
          <t>Bernese Mountain Dog</t>
        </is>
      </c>
      <c r="L313" s="56" t="n">
        <v>5</v>
      </c>
      <c r="M313" s="56" t="n">
        <v>5</v>
      </c>
      <c r="N313" s="6" t="inlineStr">
        <is>
          <t>Amazon link not found</t>
        </is>
      </c>
      <c r="O313" s="56">
        <f>IF(N313="Selling pet toys + Artificial grass/Pet toilets (TARGET)",15,IF(N313="Selling artificial grass/pet toilets (TARGET)",10,IF(N313="Selling pet toys",7,IF(N313="There's an Amazon link, but no target sales.",3,0))))</f>
        <v/>
      </c>
      <c r="P313" s="65">
        <f>H313+J313+L313+M313+O313</f>
        <v/>
      </c>
      <c r="Q313" s="66">
        <f>IF(OR(H313=0,P313&lt;30),"Tier D (Đóng băng)",IF(P313&gt;=85,"Tier S (Kim Cương: 85-100đ)",IF(P313&gt;=70,"Tier A (Vàng: 70-84đ)",IF(P313&gt;=61,"Tier B+ / Cấp A (Hot Lead: 61-69đ)",IF(P313&gt;=50,"Tier B (Bạc: 50-60đ)","Tier C (Đồng: 30-49đ)")))))</f>
        <v/>
      </c>
      <c r="R313" s="6" t="inlineStr">
        <is>
          <t>Trọn gói Take-Home Starter Kit V2/V3 (Cỏ nhân tạo + Khay Potty + Đồ chơi Teething/Snuggle)</t>
        </is>
      </c>
      <c r="S313" s="6" t="inlineStr">
        <is>
          <t>Cấp B Tiềm năng: Tiếp cận tự động qua chuỗi Email Marketing + Chăm sóc bổ sung bằng Telesale</t>
        </is>
      </c>
    </row>
    <row r="314">
      <c r="A314" s="59" t="n">
        <v>360</v>
      </c>
      <c r="B314" s="15" t="inlineStr">
        <is>
          <t>Akronesis Beagle Kennel</t>
        </is>
      </c>
      <c r="C314" s="60" t="inlineStr">
        <is>
          <t>https://www.facebook.com/profile.php?id=100089324989767</t>
        </is>
      </c>
      <c r="D314" s="9" t="inlineStr">
        <is>
          <t>Cần quét Bio Fanpage</t>
        </is>
      </c>
      <c r="E314" s="59" t="inlineStr">
        <is>
          <t>08/10/2026 19:21:30</t>
        </is>
      </c>
      <c r="F314" s="59" t="inlineStr">
        <is>
          <t>4 ngày trước</t>
        </is>
      </c>
      <c r="G314" s="61" t="n">
        <v>4</v>
      </c>
      <c r="H314" s="62" t="n">
        <v>20</v>
      </c>
      <c r="I314" s="9" t="inlineStr">
        <is>
          <t>Dog Breeder / Trại chó chuyên nghiệp (28-30đ)</t>
        </is>
      </c>
      <c r="J314" s="62" t="n">
        <v>30</v>
      </c>
      <c r="K314" s="9" t="inlineStr">
        <is>
          <t>Hound / Beagle / Basset</t>
        </is>
      </c>
      <c r="L314" s="62" t="n">
        <v>5</v>
      </c>
      <c r="M314" s="62" t="n">
        <v>5</v>
      </c>
      <c r="N314" s="9" t="inlineStr">
        <is>
          <t>Amazon link not found</t>
        </is>
      </c>
      <c r="O314" s="62">
        <f>IF(N314="Selling pet toys + Artificial grass/Pet toilets (TARGET)",15,IF(N314="Selling artificial grass/pet toilets (TARGET)",10,IF(N314="Selling pet toys",7,IF(N314="There's an Amazon link, but no target sales.",3,0))))</f>
        <v/>
      </c>
      <c r="P314" s="67">
        <f>H314+J314+L314+M314+O314</f>
        <v/>
      </c>
      <c r="Q314" s="66">
        <f>IF(OR(H314=0,P314&lt;30),"Tier D (Đóng băng)",IF(P314&gt;=85,"Tier S (Kim Cương: 85-100đ)",IF(P314&gt;=70,"Tier A (Vàng: 70-84đ)",IF(P314&gt;=61,"Tier B+ / Cấp A (Hot Lead: 61-69đ)",IF(P314&gt;=50,"Tier B (Bạc: 50-60đ)","Tier C (Đồng: 30-49đ)")))))</f>
        <v/>
      </c>
      <c r="R314" s="9" t="inlineStr">
        <is>
          <t>Trọn gói Take-Home Starter Kit V2/V3 (Cỏ nhân tạo + Khay Potty + Đồ chơi Teething/Snuggle)</t>
        </is>
      </c>
      <c r="S314" s="9" t="inlineStr">
        <is>
          <t>Cấp B Tiềm năng: Tiếp cận tự động qua chuỗi Email Marketing + Chăm sóc bổ sung bằng Telesale</t>
        </is>
      </c>
    </row>
    <row r="315">
      <c r="A315" s="53" t="n">
        <v>566</v>
      </c>
      <c r="B315" s="12" t="inlineStr">
        <is>
          <t>Aylor Farm Cocker Spaniels</t>
        </is>
      </c>
      <c r="C315" s="54" t="inlineStr">
        <is>
          <t>https://www.facebook.com/AylorFarmCockerSpaniels</t>
        </is>
      </c>
      <c r="D315" s="6" t="inlineStr">
        <is>
          <t>Cần quét Bio Fanpage</t>
        </is>
      </c>
      <c r="E315" s="53" t="inlineStr">
        <is>
          <t>08/10/2026 00:51:18</t>
        </is>
      </c>
      <c r="F315" s="53" t="inlineStr">
        <is>
          <t>5 ngày trước</t>
        </is>
      </c>
      <c r="G315" s="55" t="n">
        <v>5</v>
      </c>
      <c r="H315" s="56" t="n">
        <v>20</v>
      </c>
      <c r="I315" s="6" t="inlineStr">
        <is>
          <t>Dog Breeder / Trại chó chuyên nghiệp (28-30đ)</t>
        </is>
      </c>
      <c r="J315" s="56" t="n">
        <v>30</v>
      </c>
      <c r="K315" s="6" t="inlineStr">
        <is>
          <t>Spaniel / Gun Dog / Retriever</t>
        </is>
      </c>
      <c r="L315" s="56" t="n">
        <v>5</v>
      </c>
      <c r="M315" s="56" t="n">
        <v>5</v>
      </c>
      <c r="N315" s="6" t="inlineStr">
        <is>
          <t>Amazon link not found</t>
        </is>
      </c>
      <c r="O315" s="56">
        <f>IF(N315="Selling pet toys + Artificial grass/Pet toilets (TARGET)",15,IF(N315="Selling artificial grass/pet toilets (TARGET)",10,IF(N315="Selling pet toys",7,IF(N315="There's an Amazon link, but no target sales.",3,0))))</f>
        <v/>
      </c>
      <c r="P315" s="65">
        <f>H315+J315+L315+M315+O315</f>
        <v/>
      </c>
      <c r="Q315" s="66">
        <f>IF(OR(H315=0,P315&lt;30),"Tier D (Đóng băng)",IF(P315&gt;=85,"Tier S (Kim Cương: 85-100đ)",IF(P315&gt;=70,"Tier A (Vàng: 70-84đ)",IF(P315&gt;=61,"Tier B+ / Cấp A (Hot Lead: 61-69đ)",IF(P315&gt;=50,"Tier B (Bạc: 50-60đ)","Tier C (Đồng: 30-49đ)")))))</f>
        <v/>
      </c>
      <c r="R315" s="6" t="inlineStr">
        <is>
          <t>Trọn gói Take-Home Starter Kit V2/V3 (Cỏ nhân tạo + Khay Potty + Đồ chơi Teething/Snuggle)</t>
        </is>
      </c>
      <c r="S315" s="6" t="inlineStr">
        <is>
          <t>Cấp B Tiềm năng: Tiếp cận tự động qua chuỗi Email Marketing + Chăm sóc bổ sung bằng Telesale</t>
        </is>
      </c>
    </row>
    <row r="316">
      <c r="A316" s="59" t="n">
        <v>348</v>
      </c>
      <c r="B316" s="15" t="inlineStr">
        <is>
          <t>Afterhours Kennels German Wirehaired Pointer</t>
        </is>
      </c>
      <c r="C316" s="60" t="inlineStr">
        <is>
          <t>https://www.facebook.com/AfterhoursKennelsGermanWirehairedPointers</t>
        </is>
      </c>
      <c r="D316" s="9" t="inlineStr">
        <is>
          <t>Cần quét Bio Fanpage</t>
        </is>
      </c>
      <c r="E316" s="59" t="inlineStr">
        <is>
          <t>08/10/2026 00:00:12</t>
        </is>
      </c>
      <c r="F316" s="59" t="inlineStr">
        <is>
          <t>5 ngày trước</t>
        </is>
      </c>
      <c r="G316" s="61" t="n">
        <v>5</v>
      </c>
      <c r="H316" s="62" t="n">
        <v>20</v>
      </c>
      <c r="I316" s="9" t="inlineStr">
        <is>
          <t>Dog Breeder / Trại chó chuyên nghiệp (28-30đ)</t>
        </is>
      </c>
      <c r="J316" s="62" t="n">
        <v>30</v>
      </c>
      <c r="K316" s="9" t="inlineStr">
        <is>
          <t>Spaniel / Gun Dog / Retriever</t>
        </is>
      </c>
      <c r="L316" s="62" t="n">
        <v>5</v>
      </c>
      <c r="M316" s="62" t="n">
        <v>5</v>
      </c>
      <c r="N316" s="9" t="inlineStr">
        <is>
          <t>Amazon link not found</t>
        </is>
      </c>
      <c r="O316" s="62">
        <f>IF(N316="Selling pet toys + Artificial grass/Pet toilets (TARGET)",15,IF(N316="Selling artificial grass/pet toilets (TARGET)",10,IF(N316="Selling pet toys",7,IF(N316="There's an Amazon link, but no target sales.",3,0))))</f>
        <v/>
      </c>
      <c r="P316" s="67">
        <f>H316+J316+L316+M316+O316</f>
        <v/>
      </c>
      <c r="Q316" s="66">
        <f>IF(OR(H316=0,P316&lt;30),"Tier D (Đóng băng)",IF(P316&gt;=85,"Tier S (Kim Cương: 85-100đ)",IF(P316&gt;=70,"Tier A (Vàng: 70-84đ)",IF(P316&gt;=61,"Tier B+ / Cấp A (Hot Lead: 61-69đ)",IF(P316&gt;=50,"Tier B (Bạc: 50-60đ)","Tier C (Đồng: 30-49đ)")))))</f>
        <v/>
      </c>
      <c r="R316" s="9" t="inlineStr">
        <is>
          <t>Trọn gói Take-Home Starter Kit V2/V3 (Cỏ nhân tạo + Khay Potty + Đồ chơi Teething/Snuggle)</t>
        </is>
      </c>
      <c r="S316" s="9" t="inlineStr">
        <is>
          <t>Cấp B Tiềm năng: Tiếp cận tự động qua chuỗi Email Marketing + Chăm sóc bổ sung bằng Telesale</t>
        </is>
      </c>
    </row>
    <row r="317">
      <c r="A317" s="53" t="n">
        <v>2725</v>
      </c>
      <c r="B317" s="12" t="inlineStr">
        <is>
          <t>Reneau Farms Schnauzers</t>
        </is>
      </c>
      <c r="C317" s="54" t="inlineStr">
        <is>
          <t>https://www.facebook.com/ReneauFarmsSchnauzers</t>
        </is>
      </c>
      <c r="D317" s="6" t="inlineStr">
        <is>
          <t>Cần quét Bio Fanpage</t>
        </is>
      </c>
      <c r="E317" s="53" t="inlineStr">
        <is>
          <t>07/10/2026 22:43:45</t>
        </is>
      </c>
      <c r="F317" s="53" t="inlineStr">
        <is>
          <t>5 ngày trước</t>
        </is>
      </c>
      <c r="G317" s="55" t="n">
        <v>5</v>
      </c>
      <c r="H317" s="56" t="n">
        <v>20</v>
      </c>
      <c r="I317" s="6" t="inlineStr">
        <is>
          <t>Dog Breeder / Trại chó chuyên nghiệp (28-30đ)</t>
        </is>
      </c>
      <c r="J317" s="56" t="n">
        <v>30</v>
      </c>
      <c r="K317" s="6" t="inlineStr">
        <is>
          <t>Great Dane / Working Giant</t>
        </is>
      </c>
      <c r="L317" s="56" t="n">
        <v>5</v>
      </c>
      <c r="M317" s="56" t="n">
        <v>5</v>
      </c>
      <c r="N317" s="6" t="inlineStr">
        <is>
          <t>Amazon link not found</t>
        </is>
      </c>
      <c r="O317" s="56">
        <f>IF(N317="Selling pet toys + Artificial grass/Pet toilets (TARGET)",15,IF(N317="Selling artificial grass/pet toilets (TARGET)",10,IF(N317="Selling pet toys",7,IF(N317="There's an Amazon link, but no target sales.",3,0))))</f>
        <v/>
      </c>
      <c r="P317" s="65">
        <f>H317+J317+L317+M317+O317</f>
        <v/>
      </c>
      <c r="Q317" s="66">
        <f>IF(OR(H317=0,P317&lt;30),"Tier D (Đóng băng)",IF(P317&gt;=85,"Tier S (Kim Cương: 85-100đ)",IF(P317&gt;=70,"Tier A (Vàng: 70-84đ)",IF(P317&gt;=61,"Tier B+ / Cấp A (Hot Lead: 61-69đ)",IF(P317&gt;=50,"Tier B (Bạc: 50-60đ)","Tier C (Đồng: 30-49đ)")))))</f>
        <v/>
      </c>
      <c r="R317" s="6" t="inlineStr">
        <is>
          <t>Trọn gói Take-Home Starter Kit V2/V3 (Cỏ nhân tạo + Khay Potty + Đồ chơi Teething/Snuggle)</t>
        </is>
      </c>
      <c r="S317" s="6" t="inlineStr">
        <is>
          <t>Cấp B Tiềm năng: Tiếp cận tự động qua chuỗi Email Marketing + Chăm sóc bổ sung bằng Telesale</t>
        </is>
      </c>
    </row>
    <row r="318">
      <c r="A318" s="59" t="n">
        <v>900</v>
      </c>
      <c r="B318" s="15" t="inlineStr">
        <is>
          <t>Chuandong Hound Original Kennel - COK9</t>
        </is>
      </c>
      <c r="C318" s="60" t="inlineStr">
        <is>
          <t>https://www.facebook.com/Chuandonghound</t>
        </is>
      </c>
      <c r="D318" s="9" t="inlineStr">
        <is>
          <t>Cần quét Bio Fanpage</t>
        </is>
      </c>
      <c r="E318" s="59" t="inlineStr">
        <is>
          <t>07/10/2026 02:53:23</t>
        </is>
      </c>
      <c r="F318" s="59" t="inlineStr">
        <is>
          <t>5 ngày trước</t>
        </is>
      </c>
      <c r="G318" s="61" t="n">
        <v>5</v>
      </c>
      <c r="H318" s="62" t="n">
        <v>20</v>
      </c>
      <c r="I318" s="9" t="inlineStr">
        <is>
          <t>Dog Breeder / Trại chó chuyên nghiệp (28-30đ)</t>
        </is>
      </c>
      <c r="J318" s="62" t="n">
        <v>30</v>
      </c>
      <c r="K318" s="9" t="inlineStr">
        <is>
          <t>Hound / Beagle / Basset</t>
        </is>
      </c>
      <c r="L318" s="62" t="n">
        <v>5</v>
      </c>
      <c r="M318" s="62" t="n">
        <v>5</v>
      </c>
      <c r="N318" s="9" t="inlineStr">
        <is>
          <t>Amazon link not found</t>
        </is>
      </c>
      <c r="O318" s="62">
        <f>IF(N318="Selling pet toys + Artificial grass/Pet toilets (TARGET)",15,IF(N318="Selling artificial grass/pet toilets (TARGET)",10,IF(N318="Selling pet toys",7,IF(N318="There's an Amazon link, but no target sales.",3,0))))</f>
        <v/>
      </c>
      <c r="P318" s="67">
        <f>H318+J318+L318+M318+O318</f>
        <v/>
      </c>
      <c r="Q318" s="66">
        <f>IF(OR(H318=0,P318&lt;30),"Tier D (Đóng băng)",IF(P318&gt;=85,"Tier S (Kim Cương: 85-100đ)",IF(P318&gt;=70,"Tier A (Vàng: 70-84đ)",IF(P318&gt;=61,"Tier B+ / Cấp A (Hot Lead: 61-69đ)",IF(P318&gt;=50,"Tier B (Bạc: 50-60đ)","Tier C (Đồng: 30-49đ)")))))</f>
        <v/>
      </c>
      <c r="R318" s="9" t="inlineStr">
        <is>
          <t>Trọn gói Take-Home Starter Kit V2/V3 (Cỏ nhân tạo + Khay Potty + Đồ chơi Teething/Snuggle)</t>
        </is>
      </c>
      <c r="S318" s="9" t="inlineStr">
        <is>
          <t>Cấp B Tiềm năng: Tiếp cận tự động qua chuỗi Email Marketing + Chăm sóc bổ sung bằng Telesale</t>
        </is>
      </c>
    </row>
    <row r="319">
      <c r="A319" s="53" t="n">
        <v>3420</v>
      </c>
      <c r="B319" s="12" t="inlineStr">
        <is>
          <t>Wilkshire Farm Cocker Spaniels</t>
        </is>
      </c>
      <c r="C319" s="54" t="inlineStr">
        <is>
          <t>https://www.facebook.com/profile.php?id=61559178285515</t>
        </is>
      </c>
      <c r="D319" s="6" t="inlineStr">
        <is>
          <t>Cần quét Bio Fanpage</t>
        </is>
      </c>
      <c r="E319" s="53" t="inlineStr">
        <is>
          <t>07/10/2026 01:14:20</t>
        </is>
      </c>
      <c r="F319" s="53" t="inlineStr">
        <is>
          <t>6 ngày trước</t>
        </is>
      </c>
      <c r="G319" s="55" t="n">
        <v>6</v>
      </c>
      <c r="H319" s="56" t="n">
        <v>20</v>
      </c>
      <c r="I319" s="6" t="inlineStr">
        <is>
          <t>Dog Breeder / Trại chó chuyên nghiệp (28-30đ)</t>
        </is>
      </c>
      <c r="J319" s="56" t="n">
        <v>30</v>
      </c>
      <c r="K319" s="6" t="inlineStr">
        <is>
          <t>Spaniel / Gun Dog / Retriever</t>
        </is>
      </c>
      <c r="L319" s="56" t="n">
        <v>5</v>
      </c>
      <c r="M319" s="56" t="n">
        <v>5</v>
      </c>
      <c r="N319" s="6" t="inlineStr">
        <is>
          <t>Amazon link not found</t>
        </is>
      </c>
      <c r="O319" s="56">
        <f>IF(N319="Selling pet toys + Artificial grass/Pet toilets (TARGET)",15,IF(N319="Selling artificial grass/pet toilets (TARGET)",10,IF(N319="Selling pet toys",7,IF(N319="There's an Amazon link, but no target sales.",3,0))))</f>
        <v/>
      </c>
      <c r="P319" s="65">
        <f>H319+J319+L319+M319+O319</f>
        <v/>
      </c>
      <c r="Q319" s="66">
        <f>IF(OR(H319=0,P319&lt;30),"Tier D (Đóng băng)",IF(P319&gt;=85,"Tier S (Kim Cương: 85-100đ)",IF(P319&gt;=70,"Tier A (Vàng: 70-84đ)",IF(P319&gt;=61,"Tier B+ / Cấp A (Hot Lead: 61-69đ)",IF(P319&gt;=50,"Tier B (Bạc: 50-60đ)","Tier C (Đồng: 30-49đ)")))))</f>
        <v/>
      </c>
      <c r="R319" s="6" t="inlineStr">
        <is>
          <t>Trọn gói Take-Home Starter Kit V2/V3 (Cỏ nhân tạo + Khay Potty + Đồ chơi Teething/Snuggle)</t>
        </is>
      </c>
      <c r="S319" s="6" t="inlineStr">
        <is>
          <t>Cấp B Tiềm năng: Tiếp cận tự động qua chuỗi Email Marketing + Chăm sóc bổ sung bằng Telesale</t>
        </is>
      </c>
    </row>
    <row r="320">
      <c r="A320" s="59" t="n">
        <v>1883</v>
      </c>
      <c r="B320" s="15" t="inlineStr">
        <is>
          <t>Kennel Forcewind -English Springer spaniel</t>
        </is>
      </c>
      <c r="C320" s="60" t="inlineStr">
        <is>
          <t>https://www.facebook.com/profile.php?id=100076442462891</t>
        </is>
      </c>
      <c r="D320" s="9" t="inlineStr">
        <is>
          <t>Cần quét Bio Fanpage</t>
        </is>
      </c>
      <c r="E320" s="59" t="inlineStr">
        <is>
          <t>07/10/2026 00:58:49</t>
        </is>
      </c>
      <c r="F320" s="59" t="inlineStr">
        <is>
          <t>6 ngày trước</t>
        </is>
      </c>
      <c r="G320" s="61" t="n">
        <v>6</v>
      </c>
      <c r="H320" s="62" t="n">
        <v>20</v>
      </c>
      <c r="I320" s="9" t="inlineStr">
        <is>
          <t>Dog Breeder / Trại chó chuyên nghiệp (28-30đ)</t>
        </is>
      </c>
      <c r="J320" s="62" t="n">
        <v>30</v>
      </c>
      <c r="K320" s="9" t="inlineStr">
        <is>
          <t>Spaniel / Gun Dog / Retriever</t>
        </is>
      </c>
      <c r="L320" s="62" t="n">
        <v>5</v>
      </c>
      <c r="M320" s="62" t="n">
        <v>5</v>
      </c>
      <c r="N320" s="9" t="inlineStr">
        <is>
          <t>Amazon link not found</t>
        </is>
      </c>
      <c r="O320" s="62">
        <f>IF(N320="Selling pet toys + Artificial grass/Pet toilets (TARGET)",15,IF(N320="Selling artificial grass/pet toilets (TARGET)",10,IF(N320="Selling pet toys",7,IF(N320="There's an Amazon link, but no target sales.",3,0))))</f>
        <v/>
      </c>
      <c r="P320" s="67">
        <f>H320+J320+L320+M320+O320</f>
        <v/>
      </c>
      <c r="Q320" s="66">
        <f>IF(OR(H320=0,P320&lt;30),"Tier D (Đóng băng)",IF(P320&gt;=85,"Tier S (Kim Cương: 85-100đ)",IF(P320&gt;=70,"Tier A (Vàng: 70-84đ)",IF(P320&gt;=61,"Tier B+ / Cấp A (Hot Lead: 61-69đ)",IF(P320&gt;=50,"Tier B (Bạc: 50-60đ)","Tier C (Đồng: 30-49đ)")))))</f>
        <v/>
      </c>
      <c r="R320" s="9" t="inlineStr">
        <is>
          <t>Trọn gói Take-Home Starter Kit V2/V3 (Cỏ nhân tạo + Khay Potty + Đồ chơi Teething/Snuggle)</t>
        </is>
      </c>
      <c r="S320" s="9" t="inlineStr">
        <is>
          <t>Cấp B Tiềm năng: Tiếp cận tự động qua chuỗi Email Marketing + Chăm sóc bổ sung bằng Telesale</t>
        </is>
      </c>
    </row>
    <row r="321">
      <c r="A321" s="53" t="n">
        <v>2054</v>
      </c>
      <c r="B321" s="12" t="inlineStr">
        <is>
          <t>Lori's Shih Tzu Puppies</t>
        </is>
      </c>
      <c r="C321" s="54" t="inlineStr">
        <is>
          <t>https://www.facebook.com/lorispups</t>
        </is>
      </c>
      <c r="D321" s="6" t="inlineStr">
        <is>
          <t>Cần quét Bio Fanpage</t>
        </is>
      </c>
      <c r="E321" s="53" t="inlineStr">
        <is>
          <t>06/10/2026 20:10:36</t>
        </is>
      </c>
      <c r="F321" s="53" t="inlineStr">
        <is>
          <t>6 ngày trước</t>
        </is>
      </c>
      <c r="G321" s="55" t="n">
        <v>6</v>
      </c>
      <c r="H321" s="56" t="n">
        <v>20</v>
      </c>
      <c r="I321" s="6" t="inlineStr">
        <is>
          <t>Dog Breeder / Trại chó chuyên nghiệp (28-30đ)</t>
        </is>
      </c>
      <c r="J321" s="56" t="n">
        <v>30</v>
      </c>
      <c r="K321" s="6" t="inlineStr">
        <is>
          <t>Chihuahua / Toy Companion</t>
        </is>
      </c>
      <c r="L321" s="56" t="n">
        <v>5</v>
      </c>
      <c r="M321" s="56" t="n">
        <v>5</v>
      </c>
      <c r="N321" s="6" t="inlineStr">
        <is>
          <t>Amazon link not found</t>
        </is>
      </c>
      <c r="O321" s="56">
        <f>IF(N321="Selling pet toys + Artificial grass/Pet toilets (TARGET)",15,IF(N321="Selling artificial grass/pet toilets (TARGET)",10,IF(N321="Selling pet toys",7,IF(N321="There's an Amazon link, but no target sales.",3,0))))</f>
        <v/>
      </c>
      <c r="P321" s="65">
        <f>H321+J321+L321+M321+O321</f>
        <v/>
      </c>
      <c r="Q321" s="66">
        <f>IF(OR(H321=0,P321&lt;30),"Tier D (Đóng băng)",IF(P321&gt;=85,"Tier S (Kim Cương: 85-100đ)",IF(P321&gt;=70,"Tier A (Vàng: 70-84đ)",IF(P321&gt;=61,"Tier B+ / Cấp A (Hot Lead: 61-69đ)",IF(P321&gt;=50,"Tier B (Bạc: 50-60đ)","Tier C (Đồng: 30-49đ)")))))</f>
        <v/>
      </c>
      <c r="R321" s="6" t="inlineStr">
        <is>
          <t>Trọn gói Take-Home Starter Kit V2/V3 (Cỏ nhân tạo + Khay Potty + Đồ chơi Teething/Snuggle)</t>
        </is>
      </c>
      <c r="S321" s="6" t="inlineStr">
        <is>
          <t>Cấp B Tiềm năng: Tiếp cận tự động qua chuỗi Email Marketing + Chăm sóc bổ sung bằng Telesale</t>
        </is>
      </c>
    </row>
    <row r="322">
      <c r="A322" s="59" t="n">
        <v>1786</v>
      </c>
      <c r="B322" s="15" t="inlineStr">
        <is>
          <t>Judy's Bayou Bostons- Family Raised Boston Terrier Puppies!</t>
        </is>
      </c>
      <c r="C322" s="60" t="inlineStr">
        <is>
          <t>https://www.facebook.com/bayoubostons</t>
        </is>
      </c>
      <c r="D322" s="9" t="inlineStr">
        <is>
          <t>Cần quét Bio Fanpage</t>
        </is>
      </c>
      <c r="E322" s="59" t="inlineStr">
        <is>
          <t>06/10/2026 15:07:31</t>
        </is>
      </c>
      <c r="F322" s="59" t="inlineStr">
        <is>
          <t>6 ngày trước</t>
        </is>
      </c>
      <c r="G322" s="61" t="n">
        <v>6</v>
      </c>
      <c r="H322" s="62" t="n">
        <v>20</v>
      </c>
      <c r="I322" s="9" t="inlineStr">
        <is>
          <t>Dog Breeder / Trại chó chuyên nghiệp (28-30đ)</t>
        </is>
      </c>
      <c r="J322" s="62" t="n">
        <v>30</v>
      </c>
      <c r="K322" s="9" t="inlineStr">
        <is>
          <t>Terrier (Jack Russell/Yorkie/Boston/Staffy)</t>
        </is>
      </c>
      <c r="L322" s="62" t="n">
        <v>5</v>
      </c>
      <c r="M322" s="62" t="n">
        <v>5</v>
      </c>
      <c r="N322" s="9" t="inlineStr">
        <is>
          <t>Amazon link not found</t>
        </is>
      </c>
      <c r="O322" s="62">
        <f>IF(N322="Selling pet toys + Artificial grass/Pet toilets (TARGET)",15,IF(N322="Selling artificial grass/pet toilets (TARGET)",10,IF(N322="Selling pet toys",7,IF(N322="There's an Amazon link, but no target sales.",3,0))))</f>
        <v/>
      </c>
      <c r="P322" s="67">
        <f>H322+J322+L322+M322+O322</f>
        <v/>
      </c>
      <c r="Q322" s="66">
        <f>IF(OR(H322=0,P322&lt;30),"Tier D (Đóng băng)",IF(P322&gt;=85,"Tier S (Kim Cương: 85-100đ)",IF(P322&gt;=70,"Tier A (Vàng: 70-84đ)",IF(P322&gt;=61,"Tier B+ / Cấp A (Hot Lead: 61-69đ)",IF(P322&gt;=50,"Tier B (Bạc: 50-60đ)","Tier C (Đồng: 30-49đ)")))))</f>
        <v/>
      </c>
      <c r="R322" s="9" t="inlineStr">
        <is>
          <t>Trọn gói Take-Home Starter Kit V2/V3 (Cỏ nhân tạo + Khay Potty + Đồ chơi Teething/Snuggle)</t>
        </is>
      </c>
      <c r="S322" s="9" t="inlineStr">
        <is>
          <t>Cấp B Tiềm năng: Tiếp cận tự động qua chuỗi Email Marketing + Chăm sóc bổ sung bằng Telesale</t>
        </is>
      </c>
    </row>
    <row r="323">
      <c r="A323" s="53" t="n">
        <v>2837</v>
      </c>
      <c r="B323" s="12" t="inlineStr">
        <is>
          <t>Savvy-Dee’s Dachshund Puppies, AKC Dachshund Stud Service</t>
        </is>
      </c>
      <c r="C323" s="54" t="inlineStr">
        <is>
          <t>https://www.facebook.com/profile.php?id=61551300338545</t>
        </is>
      </c>
      <c r="D323" s="6" t="inlineStr">
        <is>
          <t>Cần quét Bio Fanpage</t>
        </is>
      </c>
      <c r="E323" s="53" t="inlineStr">
        <is>
          <t>06/10/2026 00:16:09</t>
        </is>
      </c>
      <c r="F323" s="53" t="inlineStr">
        <is>
          <t>1 tuần trước</t>
        </is>
      </c>
      <c r="G323" s="55" t="n">
        <v>7</v>
      </c>
      <c r="H323" s="56" t="n">
        <v>20</v>
      </c>
      <c r="I323" s="6" t="inlineStr">
        <is>
          <t>Dog Breeder / Trại chó chuyên nghiệp (28-30đ)</t>
        </is>
      </c>
      <c r="J323" s="56" t="n">
        <v>30</v>
      </c>
      <c r="K323" s="6" t="inlineStr">
        <is>
          <t>Dachshund</t>
        </is>
      </c>
      <c r="L323" s="56" t="n">
        <v>5</v>
      </c>
      <c r="M323" s="56" t="n">
        <v>5</v>
      </c>
      <c r="N323" s="6" t="inlineStr">
        <is>
          <t>Amazon link not found</t>
        </is>
      </c>
      <c r="O323" s="56">
        <f>IF(N323="Selling pet toys + Artificial grass/Pet toilets (TARGET)",15,IF(N323="Selling artificial grass/pet toilets (TARGET)",10,IF(N323="Selling pet toys",7,IF(N323="There's an Amazon link, but no target sales.",3,0))))</f>
        <v/>
      </c>
      <c r="P323" s="65">
        <f>H323+J323+L323+M323+O323</f>
        <v/>
      </c>
      <c r="Q323" s="66">
        <f>IF(OR(H323=0,P323&lt;30),"Tier D (Đóng băng)",IF(P323&gt;=85,"Tier S (Kim Cương: 85-100đ)",IF(P323&gt;=70,"Tier A (Vàng: 70-84đ)",IF(P323&gt;=61,"Tier B+ / Cấp A (Hot Lead: 61-69đ)",IF(P323&gt;=50,"Tier B (Bạc: 50-60đ)","Tier C (Đồng: 30-49đ)")))))</f>
        <v/>
      </c>
      <c r="R323" s="6" t="inlineStr">
        <is>
          <t>Trọn gói Take-Home Starter Kit V2/V3 (Cỏ nhân tạo + Khay Potty + Đồ chơi Teething/Snuggle)</t>
        </is>
      </c>
      <c r="S323" s="6" t="inlineStr">
        <is>
          <t>Cấp B Tiềm năng: Tiếp cận tự động qua chuỗi Email Marketing + Chăm sóc bổ sung bằng Telesale</t>
        </is>
      </c>
    </row>
    <row r="324">
      <c r="A324" s="59" t="n">
        <v>2904</v>
      </c>
      <c r="B324" s="15" t="inlineStr">
        <is>
          <t>Silverdale Bernese Mountain Dog Puppies</t>
        </is>
      </c>
      <c r="C324" s="60" t="inlineStr">
        <is>
          <t>https://www.facebook.com/silverdalebmdpuppies</t>
        </is>
      </c>
      <c r="D324" s="9" t="inlineStr">
        <is>
          <t>Cần quét Bio Fanpage</t>
        </is>
      </c>
      <c r="E324" s="59" t="inlineStr">
        <is>
          <t>30/09/2026 04:35:54</t>
        </is>
      </c>
      <c r="F324" s="59" t="inlineStr">
        <is>
          <t>1 tuần trước</t>
        </is>
      </c>
      <c r="G324" s="61" t="n">
        <v>7</v>
      </c>
      <c r="H324" s="62" t="n">
        <v>20</v>
      </c>
      <c r="I324" s="9" t="inlineStr">
        <is>
          <t>Dog Breeder / Trại chó chuyên nghiệp (28-30đ)</t>
        </is>
      </c>
      <c r="J324" s="62" t="n">
        <v>30</v>
      </c>
      <c r="K324" s="9" t="inlineStr">
        <is>
          <t>Bernese Mountain Dog</t>
        </is>
      </c>
      <c r="L324" s="62" t="n">
        <v>5</v>
      </c>
      <c r="M324" s="62" t="n">
        <v>5</v>
      </c>
      <c r="N324" s="9" t="inlineStr">
        <is>
          <t>Amazon link not found</t>
        </is>
      </c>
      <c r="O324" s="62">
        <f>IF(N324="Selling pet toys + Artificial grass/Pet toilets (TARGET)",15,IF(N324="Selling artificial grass/pet toilets (TARGET)",10,IF(N324="Selling pet toys",7,IF(N324="There's an Amazon link, but no target sales.",3,0))))</f>
        <v/>
      </c>
      <c r="P324" s="67">
        <f>H324+J324+L324+M324+O324</f>
        <v/>
      </c>
      <c r="Q324" s="66">
        <f>IF(OR(H324=0,P324&lt;30),"Tier D (Đóng băng)",IF(P324&gt;=85,"Tier S (Kim Cương: 85-100đ)",IF(P324&gt;=70,"Tier A (Vàng: 70-84đ)",IF(P324&gt;=61,"Tier B+ / Cấp A (Hot Lead: 61-69đ)",IF(P324&gt;=50,"Tier B (Bạc: 50-60đ)","Tier C (Đồng: 30-49đ)")))))</f>
        <v/>
      </c>
      <c r="R324" s="9" t="inlineStr">
        <is>
          <t>Trọn gói Take-Home Starter Kit V2/V3 (Cỏ nhân tạo + Khay Potty + Đồ chơi Teething/Snuggle)</t>
        </is>
      </c>
      <c r="S324" s="9" t="inlineStr">
        <is>
          <t>Cấp B Tiềm năng: Tiếp cận tự động qua chuỗi Email Marketing + Chăm sóc bổ sung bằng Telesale</t>
        </is>
      </c>
    </row>
    <row r="325">
      <c r="A325" s="53" t="n">
        <v>1721</v>
      </c>
      <c r="B325" s="12" t="inlineStr">
        <is>
          <t>Imperium Rott - rottweiler kennel</t>
        </is>
      </c>
      <c r="C325" s="54" t="inlineStr">
        <is>
          <t>https://www.facebook.com/imperiumrottkennel</t>
        </is>
      </c>
      <c r="D325" s="6" t="inlineStr">
        <is>
          <t>Cần quét Bio Fanpage</t>
        </is>
      </c>
      <c r="E325" s="53" t="inlineStr">
        <is>
          <t>24/09/2026 14:54:14</t>
        </is>
      </c>
      <c r="F325" s="53" t="inlineStr">
        <is>
          <t>2 tuần trước</t>
        </is>
      </c>
      <c r="G325" s="55" t="n">
        <v>14</v>
      </c>
      <c r="H325" s="56" t="n">
        <v>15</v>
      </c>
      <c r="I325" s="6" t="inlineStr">
        <is>
          <t>Dog Breeder / Trại chó chuyên nghiệp (28-30đ)</t>
        </is>
      </c>
      <c r="J325" s="56" t="n">
        <v>30</v>
      </c>
      <c r="K325" s="6" t="inlineStr">
        <is>
          <t>Rottweiler</t>
        </is>
      </c>
      <c r="L325" s="56" t="n">
        <v>10</v>
      </c>
      <c r="M325" s="56" t="n">
        <v>5</v>
      </c>
      <c r="N325" s="6" t="inlineStr">
        <is>
          <t>Amazon link not found</t>
        </is>
      </c>
      <c r="O325" s="56">
        <f>IF(N325="Selling pet toys + Artificial grass/Pet toilets (TARGET)",15,IF(N325="Selling artificial grass/pet toilets (TARGET)",10,IF(N325="Selling pet toys",7,IF(N325="There's an Amazon link, but no target sales.",3,0))))</f>
        <v/>
      </c>
      <c r="P325" s="65">
        <f>H325+J325+L325+M325+O325</f>
        <v/>
      </c>
      <c r="Q325" s="66">
        <f>IF(OR(H325=0,P325&lt;30),"Tier D (Đóng băng)",IF(P325&gt;=85,"Tier S (Kim Cương: 85-100đ)",IF(P325&gt;=70,"Tier A (Vàng: 70-84đ)",IF(P325&gt;=61,"Tier B+ / Cấp A (Hot Lead: 61-69đ)",IF(P325&gt;=50,"Tier B (Bạc: 50-60đ)","Tier C (Đồng: 30-49đ)")))))</f>
        <v/>
      </c>
      <c r="R325" s="6" t="inlineStr">
        <is>
          <t>Trọn gói Take-Home Starter Kit V2/V3 (Cỏ nhân tạo + Khay Potty + Đồ chơi Teething/Snuggle)</t>
        </is>
      </c>
      <c r="S325" s="6" t="inlineStr">
        <is>
          <t>Cấp B Tiềm năng: Tiếp cận tự động qua chuỗi Email Marketing + Chăm sóc bổ sung bằng Telesale</t>
        </is>
      </c>
    </row>
    <row r="326">
      <c r="A326" s="59" t="n">
        <v>2610</v>
      </c>
      <c r="B326" s="15" t="inlineStr">
        <is>
          <t>Power of bully Kennel</t>
        </is>
      </c>
      <c r="C326" s="60" t="inlineStr">
        <is>
          <t>https://www.facebook.com/ovi.american.bully</t>
        </is>
      </c>
      <c r="D326" s="9" t="inlineStr">
        <is>
          <t>Cần quét Bio Fanpage</t>
        </is>
      </c>
      <c r="E326" s="59" t="inlineStr">
        <is>
          <t>24/09/2026 13:32:09</t>
        </is>
      </c>
      <c r="F326" s="59" t="inlineStr">
        <is>
          <t>2 tuần trước</t>
        </is>
      </c>
      <c r="G326" s="61" t="n">
        <v>14</v>
      </c>
      <c r="H326" s="62" t="n">
        <v>15</v>
      </c>
      <c r="I326" s="9" t="inlineStr">
        <is>
          <t>Dog Breeder / Trại chó chuyên nghiệp (28-30đ)</t>
        </is>
      </c>
      <c r="J326" s="62" t="n">
        <v>30</v>
      </c>
      <c r="K326" s="9" t="inlineStr">
        <is>
          <t>American Bully / Bully</t>
        </is>
      </c>
      <c r="L326" s="62" t="n">
        <v>10</v>
      </c>
      <c r="M326" s="62" t="n">
        <v>5</v>
      </c>
      <c r="N326" s="9" t="inlineStr">
        <is>
          <t>Amazon link not found</t>
        </is>
      </c>
      <c r="O326" s="62">
        <f>IF(N326="Selling pet toys + Artificial grass/Pet toilets (TARGET)",15,IF(N326="Selling artificial grass/pet toilets (TARGET)",10,IF(N326="Selling pet toys",7,IF(N326="There's an Amazon link, but no target sales.",3,0))))</f>
        <v/>
      </c>
      <c r="P326" s="67">
        <f>H326+J326+L326+M326+O326</f>
        <v/>
      </c>
      <c r="Q326" s="66">
        <f>IF(OR(H326=0,P326&lt;30),"Tier D (Đóng băng)",IF(P326&gt;=85,"Tier S (Kim Cương: 85-100đ)",IF(P326&gt;=70,"Tier A (Vàng: 70-84đ)",IF(P326&gt;=61,"Tier B+ / Cấp A (Hot Lead: 61-69đ)",IF(P326&gt;=50,"Tier B (Bạc: 50-60đ)","Tier C (Đồng: 30-49đ)")))))</f>
        <v/>
      </c>
      <c r="R326" s="9" t="inlineStr">
        <is>
          <t>Trọn gói Take-Home Starter Kit V2/V3 (Cỏ nhân tạo + Khay Potty + Đồ chơi Teething/Snuggle)</t>
        </is>
      </c>
      <c r="S326" s="9" t="inlineStr">
        <is>
          <t>Cấp B Tiềm năng: Tiếp cận tự động qua chuỗi Email Marketing + Chăm sóc bổ sung bằng Telesale</t>
        </is>
      </c>
    </row>
    <row r="327">
      <c r="A327" s="53" t="n">
        <v>3449</v>
      </c>
      <c r="B327" s="12" t="inlineStr">
        <is>
          <t>Working dogs of the world</t>
        </is>
      </c>
      <c r="C327" s="54" t="inlineStr">
        <is>
          <t>https://www.facebook.com/profile.php?id=100077963580496</t>
        </is>
      </c>
      <c r="D327" s="6" t="inlineStr">
        <is>
          <t>Cần quét Bio Fanpage</t>
        </is>
      </c>
      <c r="E327" s="53" t="inlineStr">
        <is>
          <t>13/10/2026 02:38:50</t>
        </is>
      </c>
      <c r="F327" s="53" t="inlineStr">
        <is>
          <t>4 giờ trước</t>
        </is>
      </c>
      <c r="G327" s="55" t="n">
        <v>0.17</v>
      </c>
      <c r="H327" s="56" t="n">
        <v>32</v>
      </c>
      <c r="I327" s="6" t="inlineStr">
        <is>
          <t>Pet Boarding / Huấn luyện K9 &amp; Dịch vụ (20-22đ)</t>
        </is>
      </c>
      <c r="J327" s="56" t="n">
        <v>22</v>
      </c>
      <c r="K327" s="6" t="inlineStr">
        <is>
          <t>Chưa rõ giống (Cần quét Bio)</t>
        </is>
      </c>
      <c r="L327" s="56" t="n">
        <v>0</v>
      </c>
      <c r="M327" s="56" t="n">
        <v>5</v>
      </c>
      <c r="N327" s="6" t="inlineStr">
        <is>
          <t>Amazon link not found</t>
        </is>
      </c>
      <c r="O327" s="56">
        <f>IF(N327="Selling pet toys + Artificial grass/Pet toilets (TARGET)",15,IF(N327="Selling artificial grass/pet toilets (TARGET)",10,IF(N327="Selling pet toys",7,IF(N327="There's an Amazon link, but no target sales.",3,0))))</f>
        <v/>
      </c>
      <c r="P327" s="65">
        <f>H327+J327+L327+M327+O327</f>
        <v/>
      </c>
      <c r="Q327" s="66">
        <f>IF(OR(H327=0,P327&lt;30),"Tier D (Đóng băng)",IF(P327&gt;=85,"Tier S (Kim Cương: 85-100đ)",IF(P327&gt;=70,"Tier A (Vàng: 70-84đ)",IF(P327&gt;=61,"Tier B+ / Cấp A (Hot Lead: 61-69đ)",IF(P327&gt;=50,"Tier B (Bạc: 50-60đ)","Tier C (Đồng: 30-49đ)")))))</f>
        <v/>
      </c>
      <c r="R327" s="6" t="inlineStr">
        <is>
          <t>Cỏ nhân tạo sân chơi/huấn luyện (Dog Turf) + Đồ chơi nhai chịu lực (KONG/Chew Toys)</t>
        </is>
      </c>
      <c r="S327" s="6" t="inlineStr">
        <is>
          <t>Cấp B Tiềm năng: Tiếp cận tự động qua chuỗi Email Marketing + Chăm sóc bổ sung bằng Telesale</t>
        </is>
      </c>
    </row>
    <row r="328">
      <c r="A328" s="59" t="n">
        <v>2975</v>
      </c>
      <c r="B328" s="15" t="inlineStr">
        <is>
          <t>Sporting Saint - Gundog Training Equipment</t>
        </is>
      </c>
      <c r="C328" s="60" t="inlineStr">
        <is>
          <t>https://www.facebook.com/sporting.saint</t>
        </is>
      </c>
      <c r="D328" s="9" t="inlineStr">
        <is>
          <t>Cần quét Bio Fanpage</t>
        </is>
      </c>
      <c r="E328" s="59" t="inlineStr">
        <is>
          <t>13/10/2026 02:00:17</t>
        </is>
      </c>
      <c r="F328" s="59" t="inlineStr">
        <is>
          <t>4 giờ trước</t>
        </is>
      </c>
      <c r="G328" s="61" t="n">
        <v>0.17</v>
      </c>
      <c r="H328" s="62" t="n">
        <v>32</v>
      </c>
      <c r="I328" s="9" t="inlineStr">
        <is>
          <t>Pet Boarding / Huấn luyện K9 &amp; Dịch vụ (20-22đ)</t>
        </is>
      </c>
      <c r="J328" s="62" t="n">
        <v>22</v>
      </c>
      <c r="K328" s="9" t="inlineStr">
        <is>
          <t>Spaniel / Gun Dog / Retriever</t>
        </is>
      </c>
      <c r="L328" s="62" t="n">
        <v>5</v>
      </c>
      <c r="M328" s="62" t="n">
        <v>0</v>
      </c>
      <c r="N328" s="9" t="inlineStr">
        <is>
          <t>Amazon link not found</t>
        </is>
      </c>
      <c r="O328" s="62">
        <f>IF(N328="Selling pet toys + Artificial grass/Pet toilets (TARGET)",15,IF(N328="Selling artificial grass/pet toilets (TARGET)",10,IF(N328="Selling pet toys",7,IF(N328="There's an Amazon link, but no target sales.",3,0))))</f>
        <v/>
      </c>
      <c r="P328" s="67">
        <f>H328+J328+L328+M328+O328</f>
        <v/>
      </c>
      <c r="Q328" s="66">
        <f>IF(OR(H328=0,P328&lt;30),"Tier D (Đóng băng)",IF(P328&gt;=85,"Tier S (Kim Cương: 85-100đ)",IF(P328&gt;=70,"Tier A (Vàng: 70-84đ)",IF(P328&gt;=61,"Tier B+ / Cấp A (Hot Lead: 61-69đ)",IF(P328&gt;=50,"Tier B (Bạc: 50-60đ)","Tier C (Đồng: 30-49đ)")))))</f>
        <v/>
      </c>
      <c r="R328" s="9" t="inlineStr">
        <is>
          <t>Cỏ nhân tạo sân chơi/huấn luyện (Dog Turf) + Đồ chơi nhai chịu lực (KONG/Chew Toys)</t>
        </is>
      </c>
      <c r="S328" s="9" t="inlineStr">
        <is>
          <t>Cấp B Tiềm năng: Tiếp cận tự động qua chuỗi Email Marketing + Chăm sóc bổ sung bằng Telesale</t>
        </is>
      </c>
    </row>
    <row r="329">
      <c r="A329" s="53" t="n">
        <v>2423</v>
      </c>
      <c r="B329" s="12" t="inlineStr">
        <is>
          <t>Peach on a Leash Dog Training &amp; Behavior Services</t>
        </is>
      </c>
      <c r="C329" s="54" t="inlineStr">
        <is>
          <t>https://www.facebook.com/PeachonaLeash</t>
        </is>
      </c>
      <c r="D329" s="6" t="inlineStr">
        <is>
          <t>Cần quét Bio Fanpage</t>
        </is>
      </c>
      <c r="E329" s="53" t="inlineStr">
        <is>
          <t>13/10/2026 01:00:11</t>
        </is>
      </c>
      <c r="F329" s="53" t="inlineStr">
        <is>
          <t>4 giờ trước</t>
        </is>
      </c>
      <c r="G329" s="55" t="n">
        <v>0.17</v>
      </c>
      <c r="H329" s="56" t="n">
        <v>32</v>
      </c>
      <c r="I329" s="6" t="inlineStr">
        <is>
          <t>Pet Boarding / Huấn luyện K9 &amp; Dịch vụ (20-22đ)</t>
        </is>
      </c>
      <c r="J329" s="56" t="n">
        <v>22</v>
      </c>
      <c r="K329" s="6" t="inlineStr">
        <is>
          <t>Chưa rõ giống (Cần quét Bio)</t>
        </is>
      </c>
      <c r="L329" s="56" t="n">
        <v>0</v>
      </c>
      <c r="M329" s="56" t="n">
        <v>5</v>
      </c>
      <c r="N329" s="6" t="inlineStr">
        <is>
          <t>Amazon link not found</t>
        </is>
      </c>
      <c r="O329" s="56">
        <f>IF(N329="Selling pet toys + Artificial grass/Pet toilets (TARGET)",15,IF(N329="Selling artificial grass/pet toilets (TARGET)",10,IF(N329="Selling pet toys",7,IF(N329="There's an Amazon link, but no target sales.",3,0))))</f>
        <v/>
      </c>
      <c r="P329" s="65">
        <f>H329+J329+L329+M329+O329</f>
        <v/>
      </c>
      <c r="Q329" s="66">
        <f>IF(OR(H329=0,P329&lt;30),"Tier D (Đóng băng)",IF(P329&gt;=85,"Tier S (Kim Cương: 85-100đ)",IF(P329&gt;=70,"Tier A (Vàng: 70-84đ)",IF(P329&gt;=61,"Tier B+ / Cấp A (Hot Lead: 61-69đ)",IF(P329&gt;=50,"Tier B (Bạc: 50-60đ)","Tier C (Đồng: 30-49đ)")))))</f>
        <v/>
      </c>
      <c r="R329" s="6" t="inlineStr">
        <is>
          <t>Cỏ nhân tạo sân chơi/huấn luyện (Dog Turf) + Đồ chơi nhai chịu lực (KONG/Chew Toys)</t>
        </is>
      </c>
      <c r="S329" s="6" t="inlineStr">
        <is>
          <t>Cấp B Tiềm năng: Tiếp cận tự động qua chuỗi Email Marketing + Chăm sóc bổ sung bằng Telesale</t>
        </is>
      </c>
    </row>
    <row r="330">
      <c r="A330" s="59" t="n">
        <v>2031</v>
      </c>
      <c r="B330" s="15" t="inlineStr">
        <is>
          <t>Listen Dog - Peterborough Dog Training Studio</t>
        </is>
      </c>
      <c r="C330" s="60" t="inlineStr">
        <is>
          <t>https://www.facebook.com/ListenDog</t>
        </is>
      </c>
      <c r="D330" s="9" t="inlineStr">
        <is>
          <t>Cần quét Bio Fanpage</t>
        </is>
      </c>
      <c r="E330" s="59" t="inlineStr">
        <is>
          <t>13/10/2026 00:03:21</t>
        </is>
      </c>
      <c r="F330" s="59" t="inlineStr">
        <is>
          <t>4 giờ trước</t>
        </is>
      </c>
      <c r="G330" s="61" t="n">
        <v>0.17</v>
      </c>
      <c r="H330" s="62" t="n">
        <v>32</v>
      </c>
      <c r="I330" s="9" t="inlineStr">
        <is>
          <t>Pet Boarding / Huấn luyện K9 &amp; Dịch vụ (20-22đ)</t>
        </is>
      </c>
      <c r="J330" s="62" t="n">
        <v>22</v>
      </c>
      <c r="K330" s="9" t="inlineStr">
        <is>
          <t>Chưa rõ giống (Cần quét Bio)</t>
        </is>
      </c>
      <c r="L330" s="62" t="n">
        <v>0</v>
      </c>
      <c r="M330" s="62" t="n">
        <v>5</v>
      </c>
      <c r="N330" s="9" t="inlineStr">
        <is>
          <t>Amazon link not found</t>
        </is>
      </c>
      <c r="O330" s="62">
        <f>IF(N330="Selling pet toys + Artificial grass/Pet toilets (TARGET)",15,IF(N330="Selling artificial grass/pet toilets (TARGET)",10,IF(N330="Selling pet toys",7,IF(N330="There's an Amazon link, but no target sales.",3,0))))</f>
        <v/>
      </c>
      <c r="P330" s="67">
        <f>H330+J330+L330+M330+O330</f>
        <v/>
      </c>
      <c r="Q330" s="66">
        <f>IF(OR(H330=0,P330&lt;30),"Tier D (Đóng băng)",IF(P330&gt;=85,"Tier S (Kim Cương: 85-100đ)",IF(P330&gt;=70,"Tier A (Vàng: 70-84đ)",IF(P330&gt;=61,"Tier B+ / Cấp A (Hot Lead: 61-69đ)",IF(P330&gt;=50,"Tier B (Bạc: 50-60đ)","Tier C (Đồng: 30-49đ)")))))</f>
        <v/>
      </c>
      <c r="R330" s="9" t="inlineStr">
        <is>
          <t>Cỏ nhân tạo sân chơi/huấn luyện (Dog Turf) + Đồ chơi nhai chịu lực (KONG/Chew Toys)</t>
        </is>
      </c>
      <c r="S330" s="9" t="inlineStr">
        <is>
          <t>Cấp B Tiềm năng: Tiếp cận tự động qua chuỗi Email Marketing + Chăm sóc bổ sung bằng Telesale</t>
        </is>
      </c>
    </row>
    <row r="331">
      <c r="A331" s="53" t="n">
        <v>240</v>
      </c>
      <c r="B331" s="12" t="inlineStr">
        <is>
          <t>Paws Academy Dog Training</t>
        </is>
      </c>
      <c r="C331" s="54" t="inlineStr">
        <is>
          <t>https://www.facebook.com/pawsacadamydogtraining</t>
        </is>
      </c>
      <c r="D331" s="6" t="inlineStr">
        <is>
          <t>Cần quét Bio Fanpage</t>
        </is>
      </c>
      <c r="E331" s="53" t="inlineStr">
        <is>
          <t>12/10/2026 21:01:06</t>
        </is>
      </c>
      <c r="F331" s="53" t="inlineStr">
        <is>
          <t>4 giờ trước</t>
        </is>
      </c>
      <c r="G331" s="55" t="n">
        <v>0.17</v>
      </c>
      <c r="H331" s="56" t="n">
        <v>32</v>
      </c>
      <c r="I331" s="6" t="inlineStr">
        <is>
          <t>Pet Boarding / Huấn luyện K9 &amp; Dịch vụ (20-22đ)</t>
        </is>
      </c>
      <c r="J331" s="56" t="n">
        <v>22</v>
      </c>
      <c r="K331" s="6" t="inlineStr">
        <is>
          <t>Chưa rõ giống (Cần quét Bio)</t>
        </is>
      </c>
      <c r="L331" s="56" t="n">
        <v>0</v>
      </c>
      <c r="M331" s="56" t="n">
        <v>5</v>
      </c>
      <c r="N331" s="6" t="inlineStr">
        <is>
          <t>Amazon link not found</t>
        </is>
      </c>
      <c r="O331" s="56">
        <f>IF(N331="Selling pet toys + Artificial grass/Pet toilets (TARGET)",15,IF(N331="Selling artificial grass/pet toilets (TARGET)",10,IF(N331="Selling pet toys",7,IF(N331="There's an Amazon link, but no target sales.",3,0))))</f>
        <v/>
      </c>
      <c r="P331" s="65">
        <f>H331+J331+L331+M331+O331</f>
        <v/>
      </c>
      <c r="Q331" s="66">
        <f>IF(OR(H331=0,P331&lt;30),"Tier D (Đóng băng)",IF(P331&gt;=85,"Tier S (Kim Cương: 85-100đ)",IF(P331&gt;=70,"Tier A (Vàng: 70-84đ)",IF(P331&gt;=61,"Tier B+ / Cấp A (Hot Lead: 61-69đ)",IF(P331&gt;=50,"Tier B (Bạc: 50-60đ)","Tier C (Đồng: 30-49đ)")))))</f>
        <v/>
      </c>
      <c r="R331" s="6" t="inlineStr">
        <is>
          <t>Cỏ nhân tạo sân chơi/huấn luyện (Dog Turf) + Đồ chơi nhai chịu lực (KONG/Chew Toys)</t>
        </is>
      </c>
      <c r="S331" s="6" t="inlineStr">
        <is>
          <t>Cấp B Tiềm năng: Tiếp cận tự động qua chuỗi Email Marketing + Chăm sóc bổ sung bằng Telesale</t>
        </is>
      </c>
    </row>
    <row r="332">
      <c r="A332" s="59" t="n">
        <v>1854</v>
      </c>
      <c r="B332" s="15" t="inlineStr">
        <is>
          <t>KC Dawgz Dog Training Academy</t>
        </is>
      </c>
      <c r="C332" s="60" t="inlineStr">
        <is>
          <t>https://www.facebook.com/kcdawgz</t>
        </is>
      </c>
      <c r="D332" s="9" t="inlineStr">
        <is>
          <t>Cần quét Bio Fanpage</t>
        </is>
      </c>
      <c r="E332" s="59" t="inlineStr">
        <is>
          <t>12/10/2026 21:00:13</t>
        </is>
      </c>
      <c r="F332" s="59" t="inlineStr">
        <is>
          <t>7 giờ trước</t>
        </is>
      </c>
      <c r="G332" s="61" t="n">
        <v>0.29</v>
      </c>
      <c r="H332" s="62" t="n">
        <v>32</v>
      </c>
      <c r="I332" s="9" t="inlineStr">
        <is>
          <t>Pet Boarding / Huấn luyện K9 &amp; Dịch vụ (20-22đ)</t>
        </is>
      </c>
      <c r="J332" s="62" t="n">
        <v>22</v>
      </c>
      <c r="K332" s="9" t="inlineStr">
        <is>
          <t>Chưa rõ giống (Cần quét Bio)</t>
        </is>
      </c>
      <c r="L332" s="62" t="n">
        <v>0</v>
      </c>
      <c r="M332" s="62" t="n">
        <v>5</v>
      </c>
      <c r="N332" s="9" t="inlineStr">
        <is>
          <t>Amazon link not found</t>
        </is>
      </c>
      <c r="O332" s="62">
        <f>IF(N332="Selling pet toys + Artificial grass/Pet toilets (TARGET)",15,IF(N332="Selling artificial grass/pet toilets (TARGET)",10,IF(N332="Selling pet toys",7,IF(N332="There's an Amazon link, but no target sales.",3,0))))</f>
        <v/>
      </c>
      <c r="P332" s="67">
        <f>H332+J332+L332+M332+O332</f>
        <v/>
      </c>
      <c r="Q332" s="66">
        <f>IF(OR(H332=0,P332&lt;30),"Tier D (Đóng băng)",IF(P332&gt;=85,"Tier S (Kim Cương: 85-100đ)",IF(P332&gt;=70,"Tier A (Vàng: 70-84đ)",IF(P332&gt;=61,"Tier B+ / Cấp A (Hot Lead: 61-69đ)",IF(P332&gt;=50,"Tier B (Bạc: 50-60đ)","Tier C (Đồng: 30-49đ)")))))</f>
        <v/>
      </c>
      <c r="R332" s="9" t="inlineStr">
        <is>
          <t>Cỏ nhân tạo sân chơi/huấn luyện (Dog Turf) + Đồ chơi nhai chịu lực (KONG/Chew Toys)</t>
        </is>
      </c>
      <c r="S332" s="9" t="inlineStr">
        <is>
          <t>Cấp B Tiềm năng: Tiếp cận tự động qua chuỗi Email Marketing + Chăm sóc bổ sung bằng Telesale</t>
        </is>
      </c>
    </row>
    <row r="333">
      <c r="A333" s="53" t="n">
        <v>151</v>
      </c>
      <c r="B333" s="12" t="inlineStr">
        <is>
          <t>Dog Training Online</t>
        </is>
      </c>
      <c r="C333" s="54" t="inlineStr">
        <is>
          <t>https://www.facebook.com/dogonlinetraining</t>
        </is>
      </c>
      <c r="D333" s="6" t="inlineStr">
        <is>
          <t>Cần quét Bio Fanpage</t>
        </is>
      </c>
      <c r="E333" s="53" t="inlineStr">
        <is>
          <t>12/10/2026 20:56:21</t>
        </is>
      </c>
      <c r="F333" s="53" t="inlineStr">
        <is>
          <t>4 giờ trước</t>
        </is>
      </c>
      <c r="G333" s="55" t="n">
        <v>0.17</v>
      </c>
      <c r="H333" s="56" t="n">
        <v>32</v>
      </c>
      <c r="I333" s="6" t="inlineStr">
        <is>
          <t>Pet Boarding / Huấn luyện K9 &amp; Dịch vụ (20-22đ)</t>
        </is>
      </c>
      <c r="J333" s="56" t="n">
        <v>22</v>
      </c>
      <c r="K333" s="6" t="inlineStr">
        <is>
          <t>Chưa rõ giống (Cần quét Bio)</t>
        </is>
      </c>
      <c r="L333" s="56" t="n">
        <v>0</v>
      </c>
      <c r="M333" s="56" t="n">
        <v>5</v>
      </c>
      <c r="N333" s="6" t="inlineStr">
        <is>
          <t>Amazon link not found</t>
        </is>
      </c>
      <c r="O333" s="56">
        <f>IF(N333="Selling pet toys + Artificial grass/Pet toilets (TARGET)",15,IF(N333="Selling artificial grass/pet toilets (TARGET)",10,IF(N333="Selling pet toys",7,IF(N333="There's an Amazon link, but no target sales.",3,0))))</f>
        <v/>
      </c>
      <c r="P333" s="65">
        <f>H333+J333+L333+M333+O333</f>
        <v/>
      </c>
      <c r="Q333" s="66">
        <f>IF(OR(H333=0,P333&lt;30),"Tier D (Đóng băng)",IF(P333&gt;=85,"Tier S (Kim Cương: 85-100đ)",IF(P333&gt;=70,"Tier A (Vàng: 70-84đ)",IF(P333&gt;=61,"Tier B+ / Cấp A (Hot Lead: 61-69đ)",IF(P333&gt;=50,"Tier B (Bạc: 50-60đ)","Tier C (Đồng: 30-49đ)")))))</f>
        <v/>
      </c>
      <c r="R333" s="6" t="inlineStr">
        <is>
          <t>Cỏ nhân tạo sân chơi/huấn luyện (Dog Turf) + Đồ chơi nhai chịu lực (KONG/Chew Toys)</t>
        </is>
      </c>
      <c r="S333" s="6" t="inlineStr">
        <is>
          <t>Cấp B Tiềm năng: Tiếp cận tự động qua chuỗi Email Marketing + Chăm sóc bổ sung bằng Telesale</t>
        </is>
      </c>
    </row>
    <row r="334">
      <c r="A334" s="59" t="n">
        <v>1800</v>
      </c>
      <c r="B334" s="15" t="inlineStr">
        <is>
          <t>K9 Academy</t>
        </is>
      </c>
      <c r="C334" s="60" t="inlineStr">
        <is>
          <t>https://www.facebook.com/callK9academy</t>
        </is>
      </c>
      <c r="D334" s="9" t="inlineStr">
        <is>
          <t>Cần quét Bio Fanpage</t>
        </is>
      </c>
      <c r="E334" s="59" t="inlineStr">
        <is>
          <t>12/10/2026 19:37:54</t>
        </is>
      </c>
      <c r="F334" s="59" t="inlineStr">
        <is>
          <t>8 giờ trước</t>
        </is>
      </c>
      <c r="G334" s="61" t="n">
        <v>0.33</v>
      </c>
      <c r="H334" s="62" t="n">
        <v>32</v>
      </c>
      <c r="I334" s="9" t="inlineStr">
        <is>
          <t>Pet Boarding / Huấn luyện K9 &amp; Dịch vụ (20-22đ)</t>
        </is>
      </c>
      <c r="J334" s="62" t="n">
        <v>22</v>
      </c>
      <c r="K334" s="9" t="inlineStr">
        <is>
          <t>Chưa rõ giống (Cần quét Bio)</t>
        </is>
      </c>
      <c r="L334" s="62" t="n">
        <v>0</v>
      </c>
      <c r="M334" s="62" t="n">
        <v>5</v>
      </c>
      <c r="N334" s="9" t="inlineStr">
        <is>
          <t>Amazon link not found</t>
        </is>
      </c>
      <c r="O334" s="62">
        <f>IF(N334="Selling pet toys + Artificial grass/Pet toilets (TARGET)",15,IF(N334="Selling artificial grass/pet toilets (TARGET)",10,IF(N334="Selling pet toys",7,IF(N334="There's an Amazon link, but no target sales.",3,0))))</f>
        <v/>
      </c>
      <c r="P334" s="67">
        <f>H334+J334+L334+M334+O334</f>
        <v/>
      </c>
      <c r="Q334" s="66">
        <f>IF(OR(H334=0,P334&lt;30),"Tier D (Đóng băng)",IF(P334&gt;=85,"Tier S (Kim Cương: 85-100đ)",IF(P334&gt;=70,"Tier A (Vàng: 70-84đ)",IF(P334&gt;=61,"Tier B+ / Cấp A (Hot Lead: 61-69đ)",IF(P334&gt;=50,"Tier B (Bạc: 50-60đ)","Tier C (Đồng: 30-49đ)")))))</f>
        <v/>
      </c>
      <c r="R334" s="9" t="inlineStr">
        <is>
          <t>Cỏ nhân tạo sân chơi/huấn luyện (Dog Turf) + Đồ chơi nhai chịu lực (KONG/Chew Toys)</t>
        </is>
      </c>
      <c r="S334" s="9" t="inlineStr">
        <is>
          <t>Cấp B Tiềm năng: Tiếp cận tự động qua chuỗi Email Marketing + Chăm sóc bổ sung bằng Telesale</t>
        </is>
      </c>
    </row>
    <row r="335">
      <c r="A335" s="53" t="n">
        <v>899</v>
      </c>
      <c r="B335" s="12" t="inlineStr">
        <is>
          <t>Christina's Canine Care Center</t>
        </is>
      </c>
      <c r="C335" s="54" t="inlineStr">
        <is>
          <t>https://www.facebook.com/profile.php?id=61562094890499</t>
        </is>
      </c>
      <c r="D335" s="6" t="inlineStr">
        <is>
          <t>Cần quét Bio Fanpage</t>
        </is>
      </c>
      <c r="E335" s="53" t="inlineStr">
        <is>
          <t>12/10/2026 19:16:55</t>
        </is>
      </c>
      <c r="F335" s="53" t="inlineStr">
        <is>
          <t>7 giờ trước</t>
        </is>
      </c>
      <c r="G335" s="55" t="n">
        <v>0.29</v>
      </c>
      <c r="H335" s="56" t="n">
        <v>32</v>
      </c>
      <c r="I335" s="6" t="inlineStr">
        <is>
          <t>Pet Boarding / Huấn luyện K9 &amp; Dịch vụ (20-22đ)</t>
        </is>
      </c>
      <c r="J335" s="56" t="n">
        <v>22</v>
      </c>
      <c r="K335" s="6" t="inlineStr">
        <is>
          <t>Chưa rõ giống (Cần quét Bio)</t>
        </is>
      </c>
      <c r="L335" s="56" t="n">
        <v>0</v>
      </c>
      <c r="M335" s="56" t="n">
        <v>5</v>
      </c>
      <c r="N335" s="6" t="inlineStr">
        <is>
          <t>Amazon link not found</t>
        </is>
      </c>
      <c r="O335" s="56">
        <f>IF(N335="Selling pet toys + Artificial grass/Pet toilets (TARGET)",15,IF(N335="Selling artificial grass/pet toilets (TARGET)",10,IF(N335="Selling pet toys",7,IF(N335="There's an Amazon link, but no target sales.",3,0))))</f>
        <v/>
      </c>
      <c r="P335" s="65">
        <f>H335+J335+L335+M335+O335</f>
        <v/>
      </c>
      <c r="Q335" s="66">
        <f>IF(OR(H335=0,P335&lt;30),"Tier D (Đóng băng)",IF(P335&gt;=85,"Tier S (Kim Cương: 85-100đ)",IF(P335&gt;=70,"Tier A (Vàng: 70-84đ)",IF(P335&gt;=61,"Tier B+ / Cấp A (Hot Lead: 61-69đ)",IF(P335&gt;=50,"Tier B (Bạc: 50-60đ)","Tier C (Đồng: 30-49đ)")))))</f>
        <v/>
      </c>
      <c r="R335" s="6" t="inlineStr">
        <is>
          <t>Cỏ nhân tạo sân chơi/huấn luyện (Dog Turf) + Đồ chơi nhai chịu lực (KONG/Chew Toys)</t>
        </is>
      </c>
      <c r="S335" s="6" t="inlineStr">
        <is>
          <t>Cấp B Tiềm năng: Tiếp cận tự động qua chuỗi Email Marketing + Chăm sóc bổ sung bằng Telesale</t>
        </is>
      </c>
    </row>
    <row r="336">
      <c r="A336" s="59" t="n">
        <v>2688</v>
      </c>
      <c r="B336" s="15" t="inlineStr">
        <is>
          <t>Rainbow DOG Center</t>
        </is>
      </c>
      <c r="C336" s="60" t="inlineStr">
        <is>
          <t>https://www.facebook.com/Rainbowdogcenter</t>
        </is>
      </c>
      <c r="D336" s="9" t="inlineStr">
        <is>
          <t>Cần quét Bio Fanpage</t>
        </is>
      </c>
      <c r="E336" s="59" t="inlineStr">
        <is>
          <t>12/10/2026 18:40:01</t>
        </is>
      </c>
      <c r="F336" s="59" t="inlineStr">
        <is>
          <t>11 giờ trước</t>
        </is>
      </c>
      <c r="G336" s="61" t="n">
        <v>0.46</v>
      </c>
      <c r="H336" s="62" t="n">
        <v>32</v>
      </c>
      <c r="I336" s="9" t="inlineStr">
        <is>
          <t>Pet Boarding / Huấn luyện K9 &amp; Dịch vụ (20-22đ)</t>
        </is>
      </c>
      <c r="J336" s="62" t="n">
        <v>22</v>
      </c>
      <c r="K336" s="9" t="inlineStr">
        <is>
          <t>Chưa rõ giống (Cần quét Bio)</t>
        </is>
      </c>
      <c r="L336" s="62" t="n">
        <v>0</v>
      </c>
      <c r="M336" s="62" t="n">
        <v>5</v>
      </c>
      <c r="N336" s="9" t="inlineStr">
        <is>
          <t>Amazon link not found</t>
        </is>
      </c>
      <c r="O336" s="62">
        <f>IF(N336="Selling pet toys + Artificial grass/Pet toilets (TARGET)",15,IF(N336="Selling artificial grass/pet toilets (TARGET)",10,IF(N336="Selling pet toys",7,IF(N336="There's an Amazon link, but no target sales.",3,0))))</f>
        <v/>
      </c>
      <c r="P336" s="67">
        <f>H336+J336+L336+M336+O336</f>
        <v/>
      </c>
      <c r="Q336" s="66">
        <f>IF(OR(H336=0,P336&lt;30),"Tier D (Đóng băng)",IF(P336&gt;=85,"Tier S (Kim Cương: 85-100đ)",IF(P336&gt;=70,"Tier A (Vàng: 70-84đ)",IF(P336&gt;=61,"Tier B+ / Cấp A (Hot Lead: 61-69đ)",IF(P336&gt;=50,"Tier B (Bạc: 50-60đ)","Tier C (Đồng: 30-49đ)")))))</f>
        <v/>
      </c>
      <c r="R336" s="9" t="inlineStr">
        <is>
          <t>Cỏ nhân tạo sân chơi/huấn luyện (Dog Turf) + Đồ chơi nhai chịu lực (KONG/Chew Toys)</t>
        </is>
      </c>
      <c r="S336" s="9" t="inlineStr">
        <is>
          <t>Cấp B Tiềm năng: Tiếp cận tự động qua chuỗi Email Marketing + Chăm sóc bổ sung bằng Telesale</t>
        </is>
      </c>
    </row>
    <row r="337">
      <c r="A337" s="53" t="n">
        <v>2045</v>
      </c>
      <c r="B337" s="12" t="inlineStr">
        <is>
          <t>Lockerbie Pet Services</t>
        </is>
      </c>
      <c r="C337" s="54" t="inlineStr">
        <is>
          <t>https://www.facebook.com/profile.php?id=100063671258001</t>
        </is>
      </c>
      <c r="D337" s="6" t="inlineStr">
        <is>
          <t>Cần quét Bio Fanpage</t>
        </is>
      </c>
      <c r="E337" s="53" t="inlineStr">
        <is>
          <t>12/10/2026 18:30:16</t>
        </is>
      </c>
      <c r="F337" s="53" t="inlineStr">
        <is>
          <t>10 giờ trước</t>
        </is>
      </c>
      <c r="G337" s="55" t="n">
        <v>0.42</v>
      </c>
      <c r="H337" s="56" t="n">
        <v>32</v>
      </c>
      <c r="I337" s="6" t="inlineStr">
        <is>
          <t>Pet Boarding / Huấn luyện K9 &amp; Dịch vụ (20-22đ)</t>
        </is>
      </c>
      <c r="J337" s="56" t="n">
        <v>22</v>
      </c>
      <c r="K337" s="6" t="inlineStr">
        <is>
          <t>Chưa rõ giống (Cần quét Bio)</t>
        </is>
      </c>
      <c r="L337" s="56" t="n">
        <v>0</v>
      </c>
      <c r="M337" s="56" t="n">
        <v>5</v>
      </c>
      <c r="N337" s="6" t="inlineStr">
        <is>
          <t>Amazon link not found</t>
        </is>
      </c>
      <c r="O337" s="56">
        <f>IF(N337="Selling pet toys + Artificial grass/Pet toilets (TARGET)",15,IF(N337="Selling artificial grass/pet toilets (TARGET)",10,IF(N337="Selling pet toys",7,IF(N337="There's an Amazon link, but no target sales.",3,0))))</f>
        <v/>
      </c>
      <c r="P337" s="65">
        <f>H337+J337+L337+M337+O337</f>
        <v/>
      </c>
      <c r="Q337" s="66">
        <f>IF(OR(H337=0,P337&lt;30),"Tier D (Đóng băng)",IF(P337&gt;=85,"Tier S (Kim Cương: 85-100đ)",IF(P337&gt;=70,"Tier A (Vàng: 70-84đ)",IF(P337&gt;=61,"Tier B+ / Cấp A (Hot Lead: 61-69đ)",IF(P337&gt;=50,"Tier B (Bạc: 50-60đ)","Tier C (Đồng: 30-49đ)")))))</f>
        <v/>
      </c>
      <c r="R337" s="6" t="inlineStr">
        <is>
          <t>Cỏ nhân tạo sân chơi/huấn luyện (Dog Turf) + Đồ chơi nhai chịu lực (KONG/Chew Toys)</t>
        </is>
      </c>
      <c r="S337" s="6" t="inlineStr">
        <is>
          <t>Cấp B Tiềm năng: Tiếp cận tự động qua chuỗi Email Marketing + Chăm sóc bổ sung bằng Telesale</t>
        </is>
      </c>
    </row>
    <row r="338">
      <c r="A338" s="59" t="n">
        <v>2410</v>
      </c>
      <c r="B338" s="15" t="inlineStr">
        <is>
          <t>Pawradise Dog Academy  (And Pet Shop)</t>
        </is>
      </c>
      <c r="C338" s="60" t="inlineStr">
        <is>
          <t>https://www.facebook.com/profile.php?id=100074308820594</t>
        </is>
      </c>
      <c r="D338" s="9" t="inlineStr">
        <is>
          <t>Cần quét Bio Fanpage</t>
        </is>
      </c>
      <c r="E338" s="59" t="inlineStr">
        <is>
          <t>12/10/2026 18:15:47</t>
        </is>
      </c>
      <c r="F338" s="59" t="inlineStr">
        <is>
          <t>10 giờ trước</t>
        </is>
      </c>
      <c r="G338" s="61" t="n">
        <v>0.42</v>
      </c>
      <c r="H338" s="62" t="n">
        <v>32</v>
      </c>
      <c r="I338" s="9" t="inlineStr">
        <is>
          <t>Pet Boarding / Huấn luyện K9 &amp; Dịch vụ (20-22đ)</t>
        </is>
      </c>
      <c r="J338" s="62" t="n">
        <v>22</v>
      </c>
      <c r="K338" s="9" t="inlineStr">
        <is>
          <t>Chưa rõ giống (Cần quét Bio)</t>
        </is>
      </c>
      <c r="L338" s="62" t="n">
        <v>0</v>
      </c>
      <c r="M338" s="62" t="n">
        <v>5</v>
      </c>
      <c r="N338" s="9" t="inlineStr">
        <is>
          <t>Amazon link not found</t>
        </is>
      </c>
      <c r="O338" s="62">
        <f>IF(N338="Selling pet toys + Artificial grass/Pet toilets (TARGET)",15,IF(N338="Selling artificial grass/pet toilets (TARGET)",10,IF(N338="Selling pet toys",7,IF(N338="There's an Amazon link, but no target sales.",3,0))))</f>
        <v/>
      </c>
      <c r="P338" s="67">
        <f>H338+J338+L338+M338+O338</f>
        <v/>
      </c>
      <c r="Q338" s="66">
        <f>IF(OR(H338=0,P338&lt;30),"Tier D (Đóng băng)",IF(P338&gt;=85,"Tier S (Kim Cương: 85-100đ)",IF(P338&gt;=70,"Tier A (Vàng: 70-84đ)",IF(P338&gt;=61,"Tier B+ / Cấp A (Hot Lead: 61-69đ)",IF(P338&gt;=50,"Tier B (Bạc: 50-60đ)","Tier C (Đồng: 30-49đ)")))))</f>
        <v/>
      </c>
      <c r="R338" s="9" t="inlineStr">
        <is>
          <t>Cỏ nhân tạo sân chơi/huấn luyện (Dog Turf) + Đồ chơi nhai chịu lực (KONG/Chew Toys)</t>
        </is>
      </c>
      <c r="S338" s="9" t="inlineStr">
        <is>
          <t>Cấp B Tiềm năng: Tiếp cận tự động qua chuỗi Email Marketing + Chăm sóc bổ sung bằng Telesale</t>
        </is>
      </c>
    </row>
    <row r="339">
      <c r="A339" s="53" t="n">
        <v>1852</v>
      </c>
      <c r="B339" s="12" t="inlineStr">
        <is>
          <t>Katy Cropper Dog Training</t>
        </is>
      </c>
      <c r="C339" s="54" t="inlineStr">
        <is>
          <t>https://www.facebook.com/katycroppersheepdogs</t>
        </is>
      </c>
      <c r="D339" s="6" t="inlineStr">
        <is>
          <t>Cần quét Bio Fanpage</t>
        </is>
      </c>
      <c r="E339" s="53" t="inlineStr">
        <is>
          <t>12/10/2026 16:51:17</t>
        </is>
      </c>
      <c r="F339" s="53" t="inlineStr">
        <is>
          <t>11 giờ trước</t>
        </is>
      </c>
      <c r="G339" s="55" t="n">
        <v>0.46</v>
      </c>
      <c r="H339" s="56" t="n">
        <v>32</v>
      </c>
      <c r="I339" s="6" t="inlineStr">
        <is>
          <t>Pet Boarding / Huấn luyện K9 &amp; Dịch vụ (20-22đ)</t>
        </is>
      </c>
      <c r="J339" s="56" t="n">
        <v>22</v>
      </c>
      <c r="K339" s="6" t="inlineStr">
        <is>
          <t>Australian Shepherd / Herding</t>
        </is>
      </c>
      <c r="L339" s="56" t="n">
        <v>5</v>
      </c>
      <c r="M339" s="56" t="n">
        <v>0</v>
      </c>
      <c r="N339" s="6" t="inlineStr">
        <is>
          <t>Amazon link not found</t>
        </is>
      </c>
      <c r="O339" s="56">
        <f>IF(N339="Selling pet toys + Artificial grass/Pet toilets (TARGET)",15,IF(N339="Selling artificial grass/pet toilets (TARGET)",10,IF(N339="Selling pet toys",7,IF(N339="There's an Amazon link, but no target sales.",3,0))))</f>
        <v/>
      </c>
      <c r="P339" s="65">
        <f>H339+J339+L339+M339+O339</f>
        <v/>
      </c>
      <c r="Q339" s="66">
        <f>IF(OR(H339=0,P339&lt;30),"Tier D (Đóng băng)",IF(P339&gt;=85,"Tier S (Kim Cương: 85-100đ)",IF(P339&gt;=70,"Tier A (Vàng: 70-84đ)",IF(P339&gt;=61,"Tier B+ / Cấp A (Hot Lead: 61-69đ)",IF(P339&gt;=50,"Tier B (Bạc: 50-60đ)","Tier C (Đồng: 30-49đ)")))))</f>
        <v/>
      </c>
      <c r="R339" s="6" t="inlineStr">
        <is>
          <t>Cỏ nhân tạo sân chơi/huấn luyện (Dog Turf) + Đồ chơi nhai chịu lực (KONG/Chew Toys)</t>
        </is>
      </c>
      <c r="S339" s="6" t="inlineStr">
        <is>
          <t>Cấp B Tiềm năng: Tiếp cận tự động qua chuỗi Email Marketing + Chăm sóc bổ sung bằng Telesale</t>
        </is>
      </c>
    </row>
    <row r="340">
      <c r="A340" s="59" t="n">
        <v>2883</v>
      </c>
      <c r="B340" s="15" t="inlineStr">
        <is>
          <t>Shield-K9 Dog Training</t>
        </is>
      </c>
      <c r="C340" s="60" t="inlineStr">
        <is>
          <t>https://www.facebook.com/ShieldK9Online</t>
        </is>
      </c>
      <c r="D340" s="9" t="inlineStr">
        <is>
          <t>Cần quét Bio Fanpage</t>
        </is>
      </c>
      <c r="E340" s="59" t="inlineStr">
        <is>
          <t>12/10/2026 16:50:30</t>
        </is>
      </c>
      <c r="F340" s="59" t="inlineStr">
        <is>
          <t>13 giờ trước</t>
        </is>
      </c>
      <c r="G340" s="61" t="n">
        <v>0.54</v>
      </c>
      <c r="H340" s="62" t="n">
        <v>32</v>
      </c>
      <c r="I340" s="9" t="inlineStr">
        <is>
          <t>Pet Boarding / Huấn luyện K9 &amp; Dịch vụ (20-22đ)</t>
        </is>
      </c>
      <c r="J340" s="62" t="n">
        <v>22</v>
      </c>
      <c r="K340" s="9" t="inlineStr">
        <is>
          <t>Chưa rõ giống (Cần quét Bio)</t>
        </is>
      </c>
      <c r="L340" s="62" t="n">
        <v>0</v>
      </c>
      <c r="M340" s="62" t="n">
        <v>5</v>
      </c>
      <c r="N340" s="9" t="inlineStr">
        <is>
          <t>Amazon link not found</t>
        </is>
      </c>
      <c r="O340" s="62">
        <f>IF(N340="Selling pet toys + Artificial grass/Pet toilets (TARGET)",15,IF(N340="Selling artificial grass/pet toilets (TARGET)",10,IF(N340="Selling pet toys",7,IF(N340="There's an Amazon link, but no target sales.",3,0))))</f>
        <v/>
      </c>
      <c r="P340" s="67">
        <f>H340+J340+L340+M340+O340</f>
        <v/>
      </c>
      <c r="Q340" s="66">
        <f>IF(OR(H340=0,P340&lt;30),"Tier D (Đóng băng)",IF(P340&gt;=85,"Tier S (Kim Cương: 85-100đ)",IF(P340&gt;=70,"Tier A (Vàng: 70-84đ)",IF(P340&gt;=61,"Tier B+ / Cấp A (Hot Lead: 61-69đ)",IF(P340&gt;=50,"Tier B (Bạc: 50-60đ)","Tier C (Đồng: 30-49đ)")))))</f>
        <v/>
      </c>
      <c r="R340" s="9" t="inlineStr">
        <is>
          <t>Cỏ nhân tạo sân chơi/huấn luyện (Dog Turf) + Đồ chơi nhai chịu lực (KONG/Chew Toys)</t>
        </is>
      </c>
      <c r="S340" s="9" t="inlineStr">
        <is>
          <t>Cấp B Tiềm năng: Tiếp cận tự động qua chuỗi Email Marketing + Chăm sóc bổ sung bằng Telesale</t>
        </is>
      </c>
    </row>
    <row r="341">
      <c r="A341" s="53" t="n">
        <v>195</v>
      </c>
      <c r="B341" s="12" t="inlineStr">
        <is>
          <t>International Working Dog Association</t>
        </is>
      </c>
      <c r="C341" s="54" t="inlineStr">
        <is>
          <t>https://www.facebook.com/www.iwdba.org</t>
        </is>
      </c>
      <c r="D341" s="6" t="inlineStr">
        <is>
          <t>Cần quét Bio Fanpage</t>
        </is>
      </c>
      <c r="E341" s="53" t="inlineStr">
        <is>
          <t>12/10/2026 14:48:27</t>
        </is>
      </c>
      <c r="F341" s="53" t="inlineStr">
        <is>
          <t>10 giờ trước</t>
        </is>
      </c>
      <c r="G341" s="55" t="n">
        <v>0.42</v>
      </c>
      <c r="H341" s="56" t="n">
        <v>32</v>
      </c>
      <c r="I341" s="6" t="inlineStr">
        <is>
          <t>Pet Boarding / Huấn luyện K9 &amp; Dịch vụ (20-22đ)</t>
        </is>
      </c>
      <c r="J341" s="56" t="n">
        <v>22</v>
      </c>
      <c r="K341" s="6" t="inlineStr">
        <is>
          <t>Chưa rõ giống (Cần quét Bio)</t>
        </is>
      </c>
      <c r="L341" s="56" t="n">
        <v>0</v>
      </c>
      <c r="M341" s="56" t="n">
        <v>5</v>
      </c>
      <c r="N341" s="6" t="inlineStr">
        <is>
          <t>Amazon link not found</t>
        </is>
      </c>
      <c r="O341" s="56">
        <f>IF(N341="Selling pet toys + Artificial grass/Pet toilets (TARGET)",15,IF(N341="Selling artificial grass/pet toilets (TARGET)",10,IF(N341="Selling pet toys",7,IF(N341="There's an Amazon link, but no target sales.",3,0))))</f>
        <v/>
      </c>
      <c r="P341" s="65">
        <f>H341+J341+L341+M341+O341</f>
        <v/>
      </c>
      <c r="Q341" s="66">
        <f>IF(OR(H341=0,P341&lt;30),"Tier D (Đóng băng)",IF(P341&gt;=85,"Tier S (Kim Cương: 85-100đ)",IF(P341&gt;=70,"Tier A (Vàng: 70-84đ)",IF(P341&gt;=61,"Tier B+ / Cấp A (Hot Lead: 61-69đ)",IF(P341&gt;=50,"Tier B (Bạc: 50-60đ)","Tier C (Đồng: 30-49đ)")))))</f>
        <v/>
      </c>
      <c r="R341" s="6" t="inlineStr">
        <is>
          <t>Cỏ nhân tạo sân chơi/huấn luyện (Dog Turf) + Đồ chơi nhai chịu lực (KONG/Chew Toys)</t>
        </is>
      </c>
      <c r="S341" s="6" t="inlineStr">
        <is>
          <t>Cấp B Tiềm năng: Tiếp cận tự động qua chuỗi Email Marketing + Chăm sóc bổ sung bằng Telesale</t>
        </is>
      </c>
    </row>
    <row r="342">
      <c r="A342" s="59" t="n">
        <v>2444</v>
      </c>
      <c r="B342" s="15" t="inlineStr">
        <is>
          <t>Pet Center Catanduva</t>
        </is>
      </c>
      <c r="C342" s="60" t="inlineStr">
        <is>
          <t>https://www.facebook.com/petcentercat</t>
        </is>
      </c>
      <c r="D342" s="9" t="inlineStr">
        <is>
          <t>Cần quét Bio Fanpage</t>
        </is>
      </c>
      <c r="E342" s="59" t="inlineStr">
        <is>
          <t>12/10/2026 10:57:28</t>
        </is>
      </c>
      <c r="F342" s="59" t="inlineStr">
        <is>
          <t>18 giờ trước</t>
        </is>
      </c>
      <c r="G342" s="61" t="n">
        <v>0.75</v>
      </c>
      <c r="H342" s="62" t="n">
        <v>32</v>
      </c>
      <c r="I342" s="9" t="inlineStr">
        <is>
          <t>Pet Boarding / Huấn luyện K9 &amp; Dịch vụ (20-22đ)</t>
        </is>
      </c>
      <c r="J342" s="62" t="n">
        <v>22</v>
      </c>
      <c r="K342" s="9" t="inlineStr">
        <is>
          <t>Chưa rõ giống (Cần quét Bio)</t>
        </is>
      </c>
      <c r="L342" s="62" t="n">
        <v>0</v>
      </c>
      <c r="M342" s="62" t="n">
        <v>5</v>
      </c>
      <c r="N342" s="9" t="inlineStr">
        <is>
          <t>Amazon link not found</t>
        </is>
      </c>
      <c r="O342" s="62">
        <f>IF(N342="Selling pet toys + Artificial grass/Pet toilets (TARGET)",15,IF(N342="Selling artificial grass/pet toilets (TARGET)",10,IF(N342="Selling pet toys",7,IF(N342="There's an Amazon link, but no target sales.",3,0))))</f>
        <v/>
      </c>
      <c r="P342" s="67">
        <f>H342+J342+L342+M342+O342</f>
        <v/>
      </c>
      <c r="Q342" s="66">
        <f>IF(OR(H342=0,P342&lt;30),"Tier D (Đóng băng)",IF(P342&gt;=85,"Tier S (Kim Cương: 85-100đ)",IF(P342&gt;=70,"Tier A (Vàng: 70-84đ)",IF(P342&gt;=61,"Tier B+ / Cấp A (Hot Lead: 61-69đ)",IF(P342&gt;=50,"Tier B (Bạc: 50-60đ)","Tier C (Đồng: 30-49đ)")))))</f>
        <v/>
      </c>
      <c r="R342" s="9" t="inlineStr">
        <is>
          <t>Cỏ nhân tạo sân chơi/huấn luyện (Dog Turf) + Đồ chơi nhai chịu lực (KONG/Chew Toys)</t>
        </is>
      </c>
      <c r="S342" s="9" t="inlineStr">
        <is>
          <t>Cấp B Tiềm năng: Tiếp cận tự động qua chuỗi Email Marketing + Chăm sóc bổ sung bằng Telesale</t>
        </is>
      </c>
    </row>
    <row r="343">
      <c r="A343" s="53" t="n">
        <v>1439</v>
      </c>
      <c r="B343" s="12" t="inlineStr">
        <is>
          <t>French Bulldog Rescue &amp; Adoption of Victoria, Inc.-Aust</t>
        </is>
      </c>
      <c r="C343" s="54" t="inlineStr">
        <is>
          <t>https://www.facebook.com/fbrescue</t>
        </is>
      </c>
      <c r="D343" s="6" t="inlineStr">
        <is>
          <t>Cần quét Bio Fanpage</t>
        </is>
      </c>
      <c r="E343" s="53" t="inlineStr">
        <is>
          <t>10/10/2026 07:23:18</t>
        </is>
      </c>
      <c r="F343" s="53" t="inlineStr">
        <is>
          <t>2 ngày trước</t>
        </is>
      </c>
      <c r="G343" s="55" t="n">
        <v>2</v>
      </c>
      <c r="H343" s="56" t="n">
        <v>28</v>
      </c>
      <c r="I343" s="6" t="inlineStr">
        <is>
          <t>Pet Rescue / Trạm cứu trợ (14-16đ)</t>
        </is>
      </c>
      <c r="J343" s="56" t="n">
        <v>16</v>
      </c>
      <c r="K343" s="6" t="inlineStr">
        <is>
          <t>French Bulldog</t>
        </is>
      </c>
      <c r="L343" s="56" t="n">
        <v>10</v>
      </c>
      <c r="M343" s="56" t="n">
        <v>5</v>
      </c>
      <c r="N343" s="6" t="inlineStr">
        <is>
          <t>Amazon link not found</t>
        </is>
      </c>
      <c r="O343" s="56">
        <f>IF(N343="Selling pet toys + Artificial grass/Pet toilets (TARGET)",15,IF(N343="Selling artificial grass/pet toilets (TARGET)",10,IF(N343="Selling pet toys",7,IF(N343="There's an Amazon link, but no target sales.",3,0))))</f>
        <v/>
      </c>
      <c r="P343" s="65">
        <f>H343+J343+L343+M343+O343</f>
        <v/>
      </c>
      <c r="Q343" s="66">
        <f>IF(OR(H343=0,P343&lt;30),"Tier D (Đóng băng)",IF(P343&gt;=85,"Tier S (Kim Cương: 85-100đ)",IF(P343&gt;=70,"Tier A (Vàng: 70-84đ)",IF(P343&gt;=61,"Tier B+ / Cấp A (Hot Lead: 61-69đ)",IF(P343&gt;=50,"Tier B (Bạc: 50-60đ)","Tier C (Đồng: 30-49đ)")))))</f>
        <v/>
      </c>
      <c r="R343" s="6" t="inlineStr">
        <is>
          <t>Nhà vệ sinh &amp; Tã lót (Potty Tray / Pee Pads) + Cỏ nhân tạo lót chuồng</t>
        </is>
      </c>
      <c r="S343" s="6" t="inlineStr">
        <is>
          <t>Cấp B Tiềm năng: Tiếp cận tự động qua chuỗi Email Marketing + Chăm sóc bổ sung bằng Telesale</t>
        </is>
      </c>
    </row>
    <row r="344">
      <c r="A344" s="59" t="n">
        <v>923</v>
      </c>
      <c r="B344" s="15" t="inlineStr">
        <is>
          <t>Coastal K9 German Shepherd Rescue of San Diego</t>
        </is>
      </c>
      <c r="C344" s="60" t="inlineStr">
        <is>
          <t>https://www.facebook.com/coastalk9GSRSD</t>
        </is>
      </c>
      <c r="D344" s="9" t="inlineStr">
        <is>
          <t>Cần quét Bio Fanpage</t>
        </is>
      </c>
      <c r="E344" s="59" t="inlineStr">
        <is>
          <t>12/10/2026 20:59:03</t>
        </is>
      </c>
      <c r="F344" s="59" t="inlineStr">
        <is>
          <t>5 giờ trước</t>
        </is>
      </c>
      <c r="G344" s="61" t="n">
        <v>0.21</v>
      </c>
      <c r="H344" s="62" t="n">
        <v>32</v>
      </c>
      <c r="I344" s="9" t="inlineStr">
        <is>
          <t>Pet Rescue / Trạm cứu trợ (14-16đ)</t>
        </is>
      </c>
      <c r="J344" s="62" t="n">
        <v>16</v>
      </c>
      <c r="K344" s="9" t="inlineStr">
        <is>
          <t>German Shepherd</t>
        </is>
      </c>
      <c r="L344" s="62" t="n">
        <v>10</v>
      </c>
      <c r="M344" s="62" t="n">
        <v>0</v>
      </c>
      <c r="N344" s="9" t="inlineStr">
        <is>
          <t>Amazon link not found</t>
        </is>
      </c>
      <c r="O344" s="62">
        <f>IF(N344="Selling pet toys + Artificial grass/Pet toilets (TARGET)",15,IF(N344="Selling artificial grass/pet toilets (TARGET)",10,IF(N344="Selling pet toys",7,IF(N344="There's an Amazon link, but no target sales.",3,0))))</f>
        <v/>
      </c>
      <c r="P344" s="67">
        <f>H344+J344+L344+M344+O344</f>
        <v/>
      </c>
      <c r="Q344" s="66">
        <f>IF(OR(H344=0,P344&lt;30),"Tier D (Đóng băng)",IF(P344&gt;=85,"Tier S (Kim Cương: 85-100đ)",IF(P344&gt;=70,"Tier A (Vàng: 70-84đ)",IF(P344&gt;=61,"Tier B+ / Cấp A (Hot Lead: 61-69đ)",IF(P344&gt;=50,"Tier B (Bạc: 50-60đ)","Tier C (Đồng: 30-49đ)")))))</f>
        <v/>
      </c>
      <c r="R344" s="9" t="inlineStr">
        <is>
          <t>Nhà vệ sinh &amp; Tã lót (Potty Tray / Pee Pads) + Cỏ nhân tạo lót chuồng</t>
        </is>
      </c>
      <c r="S344" s="9" t="inlineStr">
        <is>
          <t>Cấp B Tiềm năng: Tiếp cận tự động qua chuỗi Email Marketing + Chăm sóc bổ sung bằng Telesale</t>
        </is>
      </c>
    </row>
    <row r="345">
      <c r="A345" s="53" t="n">
        <v>2189</v>
      </c>
      <c r="B345" s="12" t="inlineStr">
        <is>
          <t>Mini dachshunds puppies for rehoming</t>
        </is>
      </c>
      <c r="C345" s="54" t="inlineStr">
        <is>
          <t>https://www.facebook.com/profile.php?id=61594832151976</t>
        </is>
      </c>
      <c r="D345" s="6" t="inlineStr">
        <is>
          <t>Cần quét Bio Fanpage</t>
        </is>
      </c>
      <c r="E345" s="53" t="inlineStr">
        <is>
          <t>12/10/2026 20:07:41</t>
        </is>
      </c>
      <c r="F345" s="53" t="inlineStr">
        <is>
          <t>8 giờ trước</t>
        </is>
      </c>
      <c r="G345" s="55" t="n">
        <v>0.33</v>
      </c>
      <c r="H345" s="56" t="n">
        <v>32</v>
      </c>
      <c r="I345" s="6" t="inlineStr">
        <is>
          <t>Pet Rescue / Trạm cứu trợ (14-16đ)</t>
        </is>
      </c>
      <c r="J345" s="56" t="n">
        <v>16</v>
      </c>
      <c r="K345" s="6" t="inlineStr">
        <is>
          <t>Dachshund</t>
        </is>
      </c>
      <c r="L345" s="56" t="n">
        <v>5</v>
      </c>
      <c r="M345" s="56" t="n">
        <v>5</v>
      </c>
      <c r="N345" s="6" t="inlineStr">
        <is>
          <t>Amazon link not found</t>
        </is>
      </c>
      <c r="O345" s="56">
        <f>IF(N345="Selling pet toys + Artificial grass/Pet toilets (TARGET)",15,IF(N345="Selling artificial grass/pet toilets (TARGET)",10,IF(N345="Selling pet toys",7,IF(N345="There's an Amazon link, but no target sales.",3,0))))</f>
        <v/>
      </c>
      <c r="P345" s="65">
        <f>H345+J345+L345+M345+O345</f>
        <v/>
      </c>
      <c r="Q345" s="66">
        <f>IF(OR(H345=0,P345&lt;30),"Tier D (Đóng băng)",IF(P345&gt;=85,"Tier S (Kim Cương: 85-100đ)",IF(P345&gt;=70,"Tier A (Vàng: 70-84đ)",IF(P345&gt;=61,"Tier B+ / Cấp A (Hot Lead: 61-69đ)",IF(P345&gt;=50,"Tier B (Bạc: 50-60đ)","Tier C (Đồng: 30-49đ)")))))</f>
        <v/>
      </c>
      <c r="R345" s="6" t="inlineStr">
        <is>
          <t>Nhà vệ sinh &amp; Tã lót (Potty Tray / Pee Pads) + Cỏ nhân tạo lót chuồng</t>
        </is>
      </c>
      <c r="S345" s="6" t="inlineStr">
        <is>
          <t>Cấp B Tiềm năng: Tiếp cận tự động qua chuỗi Email Marketing + Chăm sóc bổ sung bằng Telesale</t>
        </is>
      </c>
    </row>
    <row r="346">
      <c r="A346" s="59" t="n">
        <v>3023</v>
      </c>
      <c r="B346" s="15" t="inlineStr">
        <is>
          <t>Sunshine Golden Retriever Rescue</t>
        </is>
      </c>
      <c r="C346" s="60" t="inlineStr">
        <is>
          <t>https://www.facebook.com/profile.php?id=100064841494420</t>
        </is>
      </c>
      <c r="D346" s="9" t="inlineStr">
        <is>
          <t>Cần quét Bio Fanpage</t>
        </is>
      </c>
      <c r="E346" s="59" t="inlineStr">
        <is>
          <t>12/10/2026 19:30:05</t>
        </is>
      </c>
      <c r="F346" s="59" t="inlineStr">
        <is>
          <t>10 giờ trước</t>
        </is>
      </c>
      <c r="G346" s="61" t="n">
        <v>0.42</v>
      </c>
      <c r="H346" s="62" t="n">
        <v>32</v>
      </c>
      <c r="I346" s="9" t="inlineStr">
        <is>
          <t>Pet Rescue / Trạm cứu trợ (14-16đ)</t>
        </is>
      </c>
      <c r="J346" s="62" t="n">
        <v>16</v>
      </c>
      <c r="K346" s="9" t="inlineStr">
        <is>
          <t>Golden Retriever</t>
        </is>
      </c>
      <c r="L346" s="62" t="n">
        <v>10</v>
      </c>
      <c r="M346" s="62" t="n">
        <v>0</v>
      </c>
      <c r="N346" s="9" t="inlineStr">
        <is>
          <t>Amazon link not found</t>
        </is>
      </c>
      <c r="O346" s="62">
        <f>IF(N346="Selling pet toys + Artificial grass/Pet toilets (TARGET)",15,IF(N346="Selling artificial grass/pet toilets (TARGET)",10,IF(N346="Selling pet toys",7,IF(N346="There's an Amazon link, but no target sales.",3,0))))</f>
        <v/>
      </c>
      <c r="P346" s="67">
        <f>H346+J346+L346+M346+O346</f>
        <v/>
      </c>
      <c r="Q346" s="66">
        <f>IF(OR(H346=0,P346&lt;30),"Tier D (Đóng băng)",IF(P346&gt;=85,"Tier S (Kim Cương: 85-100đ)",IF(P346&gt;=70,"Tier A (Vàng: 70-84đ)",IF(P346&gt;=61,"Tier B+ / Cấp A (Hot Lead: 61-69đ)",IF(P346&gt;=50,"Tier B (Bạc: 50-60đ)","Tier C (Đồng: 30-49đ)")))))</f>
        <v/>
      </c>
      <c r="R346" s="9" t="inlineStr">
        <is>
          <t>Nhà vệ sinh &amp; Tã lót (Potty Tray / Pee Pads) + Cỏ nhân tạo lót chuồng</t>
        </is>
      </c>
      <c r="S346" s="9" t="inlineStr">
        <is>
          <t>Cấp B Tiềm năng: Tiếp cận tự động qua chuỗi Email Marketing + Chăm sóc bổ sung bằng Telesale</t>
        </is>
      </c>
    </row>
    <row r="347">
      <c r="A347" s="53" t="n">
        <v>741</v>
      </c>
      <c r="B347" s="12" t="inlineStr">
        <is>
          <t>Boston Terrier Rescue of Florida, Inc.</t>
        </is>
      </c>
      <c r="C347" s="54" t="inlineStr">
        <is>
          <t>https://www.facebook.com/FLBostonRescue</t>
        </is>
      </c>
      <c r="D347" s="6" t="inlineStr">
        <is>
          <t>Cần quét Bio Fanpage</t>
        </is>
      </c>
      <c r="E347" s="53" t="inlineStr">
        <is>
          <t>12/10/2026 19:01:40</t>
        </is>
      </c>
      <c r="F347" s="53" t="inlineStr">
        <is>
          <t>7 giờ trước</t>
        </is>
      </c>
      <c r="G347" s="55" t="n">
        <v>0.29</v>
      </c>
      <c r="H347" s="56" t="n">
        <v>32</v>
      </c>
      <c r="I347" s="6" t="inlineStr">
        <is>
          <t>Pet Rescue / Trạm cứu trợ (14-16đ)</t>
        </is>
      </c>
      <c r="J347" s="56" t="n">
        <v>16</v>
      </c>
      <c r="K347" s="6" t="inlineStr">
        <is>
          <t>Terrier (Jack Russell/Yorkie/Boston/Staffy)</t>
        </is>
      </c>
      <c r="L347" s="56" t="n">
        <v>5</v>
      </c>
      <c r="M347" s="56" t="n">
        <v>5</v>
      </c>
      <c r="N347" s="6" t="inlineStr">
        <is>
          <t>Amazon link not found</t>
        </is>
      </c>
      <c r="O347" s="56">
        <f>IF(N347="Selling pet toys + Artificial grass/Pet toilets (TARGET)",15,IF(N347="Selling artificial grass/pet toilets (TARGET)",10,IF(N347="Selling pet toys",7,IF(N347="There's an Amazon link, but no target sales.",3,0))))</f>
        <v/>
      </c>
      <c r="P347" s="65">
        <f>H347+J347+L347+M347+O347</f>
        <v/>
      </c>
      <c r="Q347" s="66">
        <f>IF(OR(H347=0,P347&lt;30),"Tier D (Đóng băng)",IF(P347&gt;=85,"Tier S (Kim Cương: 85-100đ)",IF(P347&gt;=70,"Tier A (Vàng: 70-84đ)",IF(P347&gt;=61,"Tier B+ / Cấp A (Hot Lead: 61-69đ)",IF(P347&gt;=50,"Tier B (Bạc: 50-60đ)","Tier C (Đồng: 30-49đ)")))))</f>
        <v/>
      </c>
      <c r="R347" s="6" t="inlineStr">
        <is>
          <t>Nhà vệ sinh &amp; Tã lót (Potty Tray / Pee Pads) + Cỏ nhân tạo lót chuồng</t>
        </is>
      </c>
      <c r="S347" s="6" t="inlineStr">
        <is>
          <t>Cấp B Tiềm năng: Tiếp cận tự động qua chuỗi Email Marketing + Chăm sóc bổ sung bằng Telesale</t>
        </is>
      </c>
    </row>
    <row r="348">
      <c r="A348" s="59" t="n">
        <v>2263</v>
      </c>
      <c r="B348" s="15" t="inlineStr">
        <is>
          <t>National Brussels Griffon Rescue, Inc.</t>
        </is>
      </c>
      <c r="C348" s="60" t="inlineStr">
        <is>
          <t>https://www.facebook.com/nbgrescue</t>
        </is>
      </c>
      <c r="D348" s="9" t="inlineStr">
        <is>
          <t>Cần quét Bio Fanpage</t>
        </is>
      </c>
      <c r="E348" s="59" t="inlineStr">
        <is>
          <t>12/10/2026 18:25:19</t>
        </is>
      </c>
      <c r="F348" s="59" t="inlineStr">
        <is>
          <t>10 giờ trước</t>
        </is>
      </c>
      <c r="G348" s="61" t="n">
        <v>0.42</v>
      </c>
      <c r="H348" s="62" t="n">
        <v>32</v>
      </c>
      <c r="I348" s="9" t="inlineStr">
        <is>
          <t>Pet Rescue / Trạm cứu trợ (14-16đ)</t>
        </is>
      </c>
      <c r="J348" s="62" t="n">
        <v>16</v>
      </c>
      <c r="K348" s="9" t="inlineStr">
        <is>
          <t>Hound / Beagle / Basset</t>
        </is>
      </c>
      <c r="L348" s="62" t="n">
        <v>5</v>
      </c>
      <c r="M348" s="62" t="n">
        <v>5</v>
      </c>
      <c r="N348" s="9" t="inlineStr">
        <is>
          <t>Amazon link not found</t>
        </is>
      </c>
      <c r="O348" s="62">
        <f>IF(N348="Selling pet toys + Artificial grass/Pet toilets (TARGET)",15,IF(N348="Selling artificial grass/pet toilets (TARGET)",10,IF(N348="Selling pet toys",7,IF(N348="There's an Amazon link, but no target sales.",3,0))))</f>
        <v/>
      </c>
      <c r="P348" s="67">
        <f>H348+J348+L348+M348+O348</f>
        <v/>
      </c>
      <c r="Q348" s="66">
        <f>IF(OR(H348=0,P348&lt;30),"Tier D (Đóng băng)",IF(P348&gt;=85,"Tier S (Kim Cương: 85-100đ)",IF(P348&gt;=70,"Tier A (Vàng: 70-84đ)",IF(P348&gt;=61,"Tier B+ / Cấp A (Hot Lead: 61-69đ)",IF(P348&gt;=50,"Tier B (Bạc: 50-60đ)","Tier C (Đồng: 30-49đ)")))))</f>
        <v/>
      </c>
      <c r="R348" s="9" t="inlineStr">
        <is>
          <t>Nhà vệ sinh &amp; Tã lót (Potty Tray / Pee Pads) + Cỏ nhân tạo lót chuồng</t>
        </is>
      </c>
      <c r="S348" s="9" t="inlineStr">
        <is>
          <t>Cấp B Tiềm năng: Tiếp cận tự động qua chuỗi Email Marketing + Chăm sóc bổ sung bằng Telesale</t>
        </is>
      </c>
    </row>
    <row r="349">
      <c r="A349" s="53" t="n">
        <v>809</v>
      </c>
      <c r="B349" s="12" t="inlineStr">
        <is>
          <t>California Bully Rescue</t>
        </is>
      </c>
      <c r="C349" s="54" t="inlineStr">
        <is>
          <t>https://www.facebook.com/californiabullyrescue</t>
        </is>
      </c>
      <c r="D349" s="6" t="inlineStr">
        <is>
          <t>Cần quét Bio Fanpage</t>
        </is>
      </c>
      <c r="E349" s="53" t="inlineStr">
        <is>
          <t>12/10/2026 09:50:28</t>
        </is>
      </c>
      <c r="F349" s="53" t="inlineStr">
        <is>
          <t>16 giờ trước</t>
        </is>
      </c>
      <c r="G349" s="55" t="n">
        <v>0.67</v>
      </c>
      <c r="H349" s="56" t="n">
        <v>32</v>
      </c>
      <c r="I349" s="6" t="inlineStr">
        <is>
          <t>Pet Rescue / Trạm cứu trợ (14-16đ)</t>
        </is>
      </c>
      <c r="J349" s="56" t="n">
        <v>16</v>
      </c>
      <c r="K349" s="6" t="inlineStr">
        <is>
          <t>American Bully / Bully</t>
        </is>
      </c>
      <c r="L349" s="56" t="n">
        <v>10</v>
      </c>
      <c r="M349" s="56" t="n">
        <v>0</v>
      </c>
      <c r="N349" s="6" t="inlineStr">
        <is>
          <t>Amazon link not found</t>
        </is>
      </c>
      <c r="O349" s="56">
        <f>IF(N349="Selling pet toys + Artificial grass/Pet toilets (TARGET)",15,IF(N349="Selling artificial grass/pet toilets (TARGET)",10,IF(N349="Selling pet toys",7,IF(N349="There's an Amazon link, but no target sales.",3,0))))</f>
        <v/>
      </c>
      <c r="P349" s="65">
        <f>H349+J349+L349+M349+O349</f>
        <v/>
      </c>
      <c r="Q349" s="66">
        <f>IF(OR(H349=0,P349&lt;30),"Tier D (Đóng băng)",IF(P349&gt;=85,"Tier S (Kim Cương: 85-100đ)",IF(P349&gt;=70,"Tier A (Vàng: 70-84đ)",IF(P349&gt;=61,"Tier B+ / Cấp A (Hot Lead: 61-69đ)",IF(P349&gt;=50,"Tier B (Bạc: 50-60đ)","Tier C (Đồng: 30-49đ)")))))</f>
        <v/>
      </c>
      <c r="R349" s="6" t="inlineStr">
        <is>
          <t>Nhà vệ sinh &amp; Tã lót (Potty Tray / Pee Pads) + Cỏ nhân tạo lót chuồng</t>
        </is>
      </c>
      <c r="S349" s="6" t="inlineStr">
        <is>
          <t>Cấp B Tiềm năng: Tiếp cận tự động qua chuỗi Email Marketing + Chăm sóc bổ sung bằng Telesale</t>
        </is>
      </c>
    </row>
    <row r="350">
      <c r="A350" s="59" t="n">
        <v>173</v>
      </c>
      <c r="B350" s="15" t="inlineStr">
        <is>
          <t>Freedom Collie Rescue, Inc.</t>
        </is>
      </c>
      <c r="C350" s="60" t="inlineStr">
        <is>
          <t>https://www.facebook.com/FreedomCollieRescue</t>
        </is>
      </c>
      <c r="D350" s="9" t="inlineStr">
        <is>
          <t>Cần quét Bio Fanpage</t>
        </is>
      </c>
      <c r="E350" s="59" t="inlineStr">
        <is>
          <t>12/10/2026 07:22:16</t>
        </is>
      </c>
      <c r="F350" s="59" t="inlineStr">
        <is>
          <t>17 giờ trước</t>
        </is>
      </c>
      <c r="G350" s="61" t="n">
        <v>0.71</v>
      </c>
      <c r="H350" s="62" t="n">
        <v>32</v>
      </c>
      <c r="I350" s="9" t="inlineStr">
        <is>
          <t>Pet Rescue / Trạm cứu trợ (14-16đ)</t>
        </is>
      </c>
      <c r="J350" s="62" t="n">
        <v>16</v>
      </c>
      <c r="K350" s="9" t="inlineStr">
        <is>
          <t>Australian Shepherd / Herding</t>
        </is>
      </c>
      <c r="L350" s="62" t="n">
        <v>5</v>
      </c>
      <c r="M350" s="62" t="n">
        <v>5</v>
      </c>
      <c r="N350" s="9" t="inlineStr">
        <is>
          <t>Amazon link not found</t>
        </is>
      </c>
      <c r="O350" s="62">
        <f>IF(N350="Selling pet toys + Artificial grass/Pet toilets (TARGET)",15,IF(N350="Selling artificial grass/pet toilets (TARGET)",10,IF(N350="Selling pet toys",7,IF(N350="There's an Amazon link, but no target sales.",3,0))))</f>
        <v/>
      </c>
      <c r="P350" s="67">
        <f>H350+J350+L350+M350+O350</f>
        <v/>
      </c>
      <c r="Q350" s="66">
        <f>IF(OR(H350=0,P350&lt;30),"Tier D (Đóng băng)",IF(P350&gt;=85,"Tier S (Kim Cương: 85-100đ)",IF(P350&gt;=70,"Tier A (Vàng: 70-84đ)",IF(P350&gt;=61,"Tier B+ / Cấp A (Hot Lead: 61-69đ)",IF(P350&gt;=50,"Tier B (Bạc: 50-60đ)","Tier C (Đồng: 30-49đ)")))))</f>
        <v/>
      </c>
      <c r="R350" s="9" t="inlineStr">
        <is>
          <t>Nhà vệ sinh &amp; Tã lót (Potty Tray / Pee Pads) + Cỏ nhân tạo lót chuồng</t>
        </is>
      </c>
      <c r="S350" s="9" t="inlineStr">
        <is>
          <t>Cấp B Tiềm năng: Tiếp cận tự động qua chuỗi Email Marketing + Chăm sóc bổ sung bằng Telesale</t>
        </is>
      </c>
    </row>
    <row r="351">
      <c r="A351" s="53" t="n">
        <v>3191</v>
      </c>
      <c r="B351" s="12" t="inlineStr">
        <is>
          <t>Tiny Tank French Bulldog</t>
        </is>
      </c>
      <c r="C351" s="54" t="inlineStr">
        <is>
          <t>https://www.facebook.com/tinytankfrenchies</t>
        </is>
      </c>
      <c r="D351" s="6" t="inlineStr">
        <is>
          <t>Cần quét Bio Fanpage</t>
        </is>
      </c>
      <c r="E351" s="53" t="inlineStr">
        <is>
          <t>09/10/2026 03:09:32</t>
        </is>
      </c>
      <c r="F351" s="53" t="inlineStr">
        <is>
          <t>4 ngày trước</t>
        </is>
      </c>
      <c r="G351" s="55" t="n">
        <v>4</v>
      </c>
      <c r="H351" s="56" t="n">
        <v>20</v>
      </c>
      <c r="I351" s="6" t="inlineStr">
        <is>
          <t>Dog Breeder / Trại nhân giống (28-30đ)</t>
        </is>
      </c>
      <c r="J351" s="56" t="n">
        <v>28</v>
      </c>
      <c r="K351" s="6" t="inlineStr">
        <is>
          <t>French Bulldog</t>
        </is>
      </c>
      <c r="L351" s="56" t="n">
        <v>10</v>
      </c>
      <c r="M351" s="56" t="n">
        <v>0</v>
      </c>
      <c r="N351" s="6" t="inlineStr">
        <is>
          <t>Amazon link not found</t>
        </is>
      </c>
      <c r="O351" s="56">
        <f>IF(N351="Selling pet toys + Artificial grass/Pet toilets (TARGET)",15,IF(N351="Selling artificial grass/pet toilets (TARGET)",10,IF(N351="Selling pet toys",7,IF(N351="There's an Amazon link, but no target sales.",3,0))))</f>
        <v/>
      </c>
      <c r="P351" s="65">
        <f>H351+J351+L351+M351+O351</f>
        <v/>
      </c>
      <c r="Q351" s="66">
        <f>IF(OR(H351=0,P351&lt;30),"Tier D (Đóng băng)",IF(P351&gt;=85,"Tier S (Kim Cương: 85-100đ)",IF(P351&gt;=70,"Tier A (Vàng: 70-84đ)",IF(P351&gt;=61,"Tier B+ / Cấp A (Hot Lead: 61-69đ)",IF(P351&gt;=50,"Tier B (Bạc: 50-60đ)","Tier C (Đồng: 30-49đ)")))))</f>
        <v/>
      </c>
      <c r="R351" s="6" t="inlineStr">
        <is>
          <t>Trọn gói Take-Home Starter Kit V2/V3 (Cỏ nhân tạo + Khay Potty + Đồ chơi cún con)</t>
        </is>
      </c>
      <c r="S351" s="6" t="inlineStr">
        <is>
          <t>Cấp B Tiềm năng: Tiếp cận tự động qua chuỗi Email Marketing + Chăm sóc bổ sung bằng Telesale</t>
        </is>
      </c>
    </row>
    <row r="352">
      <c r="A352" s="59" t="n">
        <v>1032</v>
      </c>
      <c r="B352" s="15" t="inlineStr">
        <is>
          <t>Diamond Peak German Shepherd Dogs</t>
        </is>
      </c>
      <c r="C352" s="60" t="inlineStr">
        <is>
          <t>https://www.facebook.com/diamondpeakgsd</t>
        </is>
      </c>
      <c r="D352" s="9" t="inlineStr">
        <is>
          <t>Cần quét Bio Fanpage</t>
        </is>
      </c>
      <c r="E352" s="59" t="inlineStr">
        <is>
          <t>08/10/2026 23:46:26</t>
        </is>
      </c>
      <c r="F352" s="59" t="inlineStr">
        <is>
          <t>4 ngày trước</t>
        </is>
      </c>
      <c r="G352" s="61" t="n">
        <v>4</v>
      </c>
      <c r="H352" s="62" t="n">
        <v>20</v>
      </c>
      <c r="I352" s="9" t="inlineStr">
        <is>
          <t>Dog Breeder / Trại nhân giống (28-30đ)</t>
        </is>
      </c>
      <c r="J352" s="62" t="n">
        <v>28</v>
      </c>
      <c r="K352" s="9" t="inlineStr">
        <is>
          <t>German Shepherd</t>
        </is>
      </c>
      <c r="L352" s="62" t="n">
        <v>10</v>
      </c>
      <c r="M352" s="62" t="n">
        <v>0</v>
      </c>
      <c r="N352" s="9" t="inlineStr">
        <is>
          <t>Amazon link not found</t>
        </is>
      </c>
      <c r="O352" s="62">
        <f>IF(N352="Selling pet toys + Artificial grass/Pet toilets (TARGET)",15,IF(N352="Selling artificial grass/pet toilets (TARGET)",10,IF(N352="Selling pet toys",7,IF(N352="There's an Amazon link, but no target sales.",3,0))))</f>
        <v/>
      </c>
      <c r="P352" s="67">
        <f>H352+J352+L352+M352+O352</f>
        <v/>
      </c>
      <c r="Q352" s="66">
        <f>IF(OR(H352=0,P352&lt;30),"Tier D (Đóng băng)",IF(P352&gt;=85,"Tier S (Kim Cương: 85-100đ)",IF(P352&gt;=70,"Tier A (Vàng: 70-84đ)",IF(P352&gt;=61,"Tier B+ / Cấp A (Hot Lead: 61-69đ)",IF(P352&gt;=50,"Tier B (Bạc: 50-60đ)","Tier C (Đồng: 30-49đ)")))))</f>
        <v/>
      </c>
      <c r="R352" s="9" t="inlineStr">
        <is>
          <t>Trọn gói Take-Home Starter Kit V2/V3 (Cỏ nhân tạo + Khay Potty + Đồ chơi cún con)</t>
        </is>
      </c>
      <c r="S352" s="9" t="inlineStr">
        <is>
          <t>Cấp B Tiềm năng: Tiếp cận tự động qua chuỗi Email Marketing + Chăm sóc bổ sung bằng Telesale</t>
        </is>
      </c>
    </row>
    <row r="353">
      <c r="A353" s="53" t="n">
        <v>2947</v>
      </c>
      <c r="B353" s="12" t="inlineStr">
        <is>
          <t>South Peach Frenchies</t>
        </is>
      </c>
      <c r="C353" s="54" t="inlineStr">
        <is>
          <t>https://www.facebook.com/SouthPeachFrenchies</t>
        </is>
      </c>
      <c r="D353" s="6" t="inlineStr">
        <is>
          <t>Cần quét Bio Fanpage</t>
        </is>
      </c>
      <c r="E353" s="53" t="inlineStr">
        <is>
          <t>08/10/2026 05:30:47</t>
        </is>
      </c>
      <c r="F353" s="53" t="inlineStr">
        <is>
          <t>5 ngày trước</t>
        </is>
      </c>
      <c r="G353" s="55" t="n">
        <v>5</v>
      </c>
      <c r="H353" s="56" t="n">
        <v>20</v>
      </c>
      <c r="I353" s="6" t="inlineStr">
        <is>
          <t>Dog Breeder / Trại chó chuyên nghiệp (28-30đ)</t>
        </is>
      </c>
      <c r="J353" s="56" t="n">
        <v>28</v>
      </c>
      <c r="K353" s="6" t="inlineStr">
        <is>
          <t>French Bulldog</t>
        </is>
      </c>
      <c r="L353" s="56" t="n">
        <v>10</v>
      </c>
      <c r="M353" s="56" t="n">
        <v>0</v>
      </c>
      <c r="N353" s="6" t="inlineStr">
        <is>
          <t>Amazon link not found</t>
        </is>
      </c>
      <c r="O353" s="56">
        <f>IF(N353="Selling pet toys + Artificial grass/Pet toilets (TARGET)",15,IF(N353="Selling artificial grass/pet toilets (TARGET)",10,IF(N353="Selling pet toys",7,IF(N353="There's an Amazon link, but no target sales.",3,0))))</f>
        <v/>
      </c>
      <c r="P353" s="65">
        <f>H353+J353+L353+M353+O353</f>
        <v/>
      </c>
      <c r="Q353" s="66">
        <f>IF(OR(H353=0,P353&lt;30),"Tier D (Đóng băng)",IF(P353&gt;=85,"Tier S (Kim Cương: 85-100đ)",IF(P353&gt;=70,"Tier A (Vàng: 70-84đ)",IF(P353&gt;=61,"Tier B+ / Cấp A (Hot Lead: 61-69đ)",IF(P353&gt;=50,"Tier B (Bạc: 50-60đ)","Tier C (Đồng: 30-49đ)")))))</f>
        <v/>
      </c>
      <c r="R353" s="6" t="inlineStr">
        <is>
          <t>Trọn gói Take-Home Starter Kit V2/V3 (Cỏ nhân tạo + Khay Potty + Đồ chơi Teething/Snuggle)</t>
        </is>
      </c>
      <c r="S353" s="6" t="inlineStr">
        <is>
          <t>Cấp B Tiềm năng: Tiếp cận tự động qua chuỗi Email Marketing + Chăm sóc bổ sung bằng Telesale</t>
        </is>
      </c>
    </row>
    <row r="354">
      <c r="A354" s="59" t="n">
        <v>2143</v>
      </c>
      <c r="B354" s="15" t="inlineStr">
        <is>
          <t>MBF Jacks - Madra Beag Farm, Irish Jack Russell's</t>
        </is>
      </c>
      <c r="C354" s="60" t="inlineStr">
        <is>
          <t>https://www.facebook.com/ShortyIrishjacks</t>
        </is>
      </c>
      <c r="D354" s="9" t="inlineStr">
        <is>
          <t>Cần quét Bio Fanpage</t>
        </is>
      </c>
      <c r="E354" s="59" t="inlineStr">
        <is>
          <t>08/10/2026 02:04:12</t>
        </is>
      </c>
      <c r="F354" s="59" t="inlineStr">
        <is>
          <t>5 ngày trước</t>
        </is>
      </c>
      <c r="G354" s="61" t="n">
        <v>5</v>
      </c>
      <c r="H354" s="62" t="n">
        <v>20</v>
      </c>
      <c r="I354" s="9" t="inlineStr">
        <is>
          <t>Dog Breeder / Trại nhân giống (28-30đ)</t>
        </is>
      </c>
      <c r="J354" s="62" t="n">
        <v>28</v>
      </c>
      <c r="K354" s="9" t="inlineStr">
        <is>
          <t>Terrier (Jack Russell/Yorkie/Boston/Staffy)</t>
        </is>
      </c>
      <c r="L354" s="62" t="n">
        <v>5</v>
      </c>
      <c r="M354" s="62" t="n">
        <v>5</v>
      </c>
      <c r="N354" s="9" t="inlineStr">
        <is>
          <t>Amazon link not found</t>
        </is>
      </c>
      <c r="O354" s="62">
        <f>IF(N354="Selling pet toys + Artificial grass/Pet toilets (TARGET)",15,IF(N354="Selling artificial grass/pet toilets (TARGET)",10,IF(N354="Selling pet toys",7,IF(N354="There's an Amazon link, but no target sales.",3,0))))</f>
        <v/>
      </c>
      <c r="P354" s="67">
        <f>H354+J354+L354+M354+O354</f>
        <v/>
      </c>
      <c r="Q354" s="66">
        <f>IF(OR(H354=0,P354&lt;30),"Tier D (Đóng băng)",IF(P354&gt;=85,"Tier S (Kim Cương: 85-100đ)",IF(P354&gt;=70,"Tier A (Vàng: 70-84đ)",IF(P354&gt;=61,"Tier B+ / Cấp A (Hot Lead: 61-69đ)",IF(P354&gt;=50,"Tier B (Bạc: 50-60đ)","Tier C (Đồng: 30-49đ)")))))</f>
        <v/>
      </c>
      <c r="R354" s="9" t="inlineStr">
        <is>
          <t>Trọn gói Take-Home Starter Kit V2/V3 (Cỏ nhân tạo + Khay Potty + Đồ chơi cún con)</t>
        </is>
      </c>
      <c r="S354" s="9" t="inlineStr">
        <is>
          <t>Cấp B Tiềm năng: Tiếp cận tự động qua chuỗi Email Marketing + Chăm sóc bổ sung bằng Telesale</t>
        </is>
      </c>
    </row>
    <row r="355">
      <c r="A355" s="53" t="n">
        <v>2249</v>
      </c>
      <c r="B355" s="12" t="inlineStr">
        <is>
          <t>Mythique Frenchies</t>
        </is>
      </c>
      <c r="C355" s="54" t="inlineStr">
        <is>
          <t>https://www.facebook.com/profile.php?id=61581676064512</t>
        </is>
      </c>
      <c r="D355" s="6" t="inlineStr">
        <is>
          <t>Cần quét Bio Fanpage</t>
        </is>
      </c>
      <c r="E355" s="53" t="inlineStr">
        <is>
          <t>08/10/2026 01:00:10</t>
        </is>
      </c>
      <c r="F355" s="53" t="inlineStr">
        <is>
          <t>5 ngày trước</t>
        </is>
      </c>
      <c r="G355" s="55" t="n">
        <v>5</v>
      </c>
      <c r="H355" s="56" t="n">
        <v>20</v>
      </c>
      <c r="I355" s="6" t="inlineStr">
        <is>
          <t>Dog Breeder / Trại chó chuyên nghiệp (28-30đ)</t>
        </is>
      </c>
      <c r="J355" s="56" t="n">
        <v>28</v>
      </c>
      <c r="K355" s="6" t="inlineStr">
        <is>
          <t>French Bulldog</t>
        </is>
      </c>
      <c r="L355" s="56" t="n">
        <v>10</v>
      </c>
      <c r="M355" s="56" t="n">
        <v>0</v>
      </c>
      <c r="N355" s="6" t="inlineStr">
        <is>
          <t>Amazon link not found</t>
        </is>
      </c>
      <c r="O355" s="56">
        <f>IF(N355="Selling pet toys + Artificial grass/Pet toilets (TARGET)",15,IF(N355="Selling artificial grass/pet toilets (TARGET)",10,IF(N355="Selling pet toys",7,IF(N355="There's an Amazon link, but no target sales.",3,0))))</f>
        <v/>
      </c>
      <c r="P355" s="65">
        <f>H355+J355+L355+M355+O355</f>
        <v/>
      </c>
      <c r="Q355" s="66">
        <f>IF(OR(H355=0,P355&lt;30),"Tier D (Đóng băng)",IF(P355&gt;=85,"Tier S (Kim Cương: 85-100đ)",IF(P355&gt;=70,"Tier A (Vàng: 70-84đ)",IF(P355&gt;=61,"Tier B+ / Cấp A (Hot Lead: 61-69đ)",IF(P355&gt;=50,"Tier B (Bạc: 50-60đ)","Tier C (Đồng: 30-49đ)")))))</f>
        <v/>
      </c>
      <c r="R355" s="6" t="inlineStr">
        <is>
          <t>Trọn gói Take-Home Starter Kit V2/V3 (Cỏ nhân tạo + Khay Potty + Đồ chơi Teething/Snuggle)</t>
        </is>
      </c>
      <c r="S355" s="6" t="inlineStr">
        <is>
          <t>Cấp B Tiềm năng: Tiếp cận tự động qua chuỗi Email Marketing + Chăm sóc bổ sung bằng Telesale</t>
        </is>
      </c>
    </row>
    <row r="356">
      <c r="A356" s="59" t="n">
        <v>2978</v>
      </c>
      <c r="B356" s="15" t="inlineStr">
        <is>
          <t>Springer Hills Farm</t>
        </is>
      </c>
      <c r="C356" s="60" t="inlineStr">
        <is>
          <t>https://www.facebook.com/SpringerHillsFarm</t>
        </is>
      </c>
      <c r="D356" s="9" t="inlineStr">
        <is>
          <t>Cần quét Bio Fanpage</t>
        </is>
      </c>
      <c r="E356" s="59" t="inlineStr">
        <is>
          <t>07/10/2026 22:50:00</t>
        </is>
      </c>
      <c r="F356" s="59" t="inlineStr">
        <is>
          <t>5 ngày trước</t>
        </is>
      </c>
      <c r="G356" s="61" t="n">
        <v>5</v>
      </c>
      <c r="H356" s="62" t="n">
        <v>20</v>
      </c>
      <c r="I356" s="9" t="inlineStr">
        <is>
          <t>Dog Breeder / Trại nhân giống (28-30đ)</t>
        </is>
      </c>
      <c r="J356" s="62" t="n">
        <v>28</v>
      </c>
      <c r="K356" s="9" t="inlineStr">
        <is>
          <t>Spaniel / Gun Dog / Retriever</t>
        </is>
      </c>
      <c r="L356" s="62" t="n">
        <v>5</v>
      </c>
      <c r="M356" s="62" t="n">
        <v>5</v>
      </c>
      <c r="N356" s="9" t="inlineStr">
        <is>
          <t>Amazon link not found</t>
        </is>
      </c>
      <c r="O356" s="62">
        <f>IF(N356="Selling pet toys + Artificial grass/Pet toilets (TARGET)",15,IF(N356="Selling artificial grass/pet toilets (TARGET)",10,IF(N356="Selling pet toys",7,IF(N356="There's an Amazon link, but no target sales.",3,0))))</f>
        <v/>
      </c>
      <c r="P356" s="67">
        <f>H356+J356+L356+M356+O356</f>
        <v/>
      </c>
      <c r="Q356" s="66">
        <f>IF(OR(H356=0,P356&lt;30),"Tier D (Đóng băng)",IF(P356&gt;=85,"Tier S (Kim Cương: 85-100đ)",IF(P356&gt;=70,"Tier A (Vàng: 70-84đ)",IF(P356&gt;=61,"Tier B+ / Cấp A (Hot Lead: 61-69đ)",IF(P356&gt;=50,"Tier B (Bạc: 50-60đ)","Tier C (Đồng: 30-49đ)")))))</f>
        <v/>
      </c>
      <c r="R356" s="9" t="inlineStr">
        <is>
          <t>Trọn gói Take-Home Starter Kit V2/V3 (Cỏ nhân tạo + Khay Potty + Đồ chơi cún con)</t>
        </is>
      </c>
      <c r="S356" s="9" t="inlineStr">
        <is>
          <t>Cấp B Tiềm năng: Tiếp cận tự động qua chuỗi Email Marketing + Chăm sóc bổ sung bằng Telesale</t>
        </is>
      </c>
    </row>
    <row r="357">
      <c r="A357" s="53" t="n">
        <v>784</v>
      </c>
      <c r="B357" s="12" t="inlineStr">
        <is>
          <t>Bulldog Divas</t>
        </is>
      </c>
      <c r="C357" s="54" t="inlineStr">
        <is>
          <t>https://www.facebook.com/bulldogkarma</t>
        </is>
      </c>
      <c r="D357" s="6" t="inlineStr">
        <is>
          <t>Cần quét Bio Fanpage</t>
        </is>
      </c>
      <c r="E357" s="53" t="inlineStr">
        <is>
          <t>07/10/2026 09:01:36</t>
        </is>
      </c>
      <c r="F357" s="53" t="inlineStr">
        <is>
          <t>5 ngày trước</t>
        </is>
      </c>
      <c r="G357" s="55" t="n">
        <v>5</v>
      </c>
      <c r="H357" s="56" t="n">
        <v>20</v>
      </c>
      <c r="I357" s="6" t="inlineStr">
        <is>
          <t>Dog Breeder / Trại nhân giống (28-30đ)</t>
        </is>
      </c>
      <c r="J357" s="56" t="n">
        <v>28</v>
      </c>
      <c r="K357" s="6" t="inlineStr">
        <is>
          <t>English Bulldog</t>
        </is>
      </c>
      <c r="L357" s="56" t="n">
        <v>10</v>
      </c>
      <c r="M357" s="56" t="n">
        <v>0</v>
      </c>
      <c r="N357" s="6" t="inlineStr">
        <is>
          <t>Amazon link not found</t>
        </is>
      </c>
      <c r="O357" s="56">
        <f>IF(N357="Selling pet toys + Artificial grass/Pet toilets (TARGET)",15,IF(N357="Selling artificial grass/pet toilets (TARGET)",10,IF(N357="Selling pet toys",7,IF(N357="There's an Amazon link, but no target sales.",3,0))))</f>
        <v/>
      </c>
      <c r="P357" s="65">
        <f>H357+J357+L357+M357+O357</f>
        <v/>
      </c>
      <c r="Q357" s="66">
        <f>IF(OR(H357=0,P357&lt;30),"Tier D (Đóng băng)",IF(P357&gt;=85,"Tier S (Kim Cương: 85-100đ)",IF(P357&gt;=70,"Tier A (Vàng: 70-84đ)",IF(P357&gt;=61,"Tier B+ / Cấp A (Hot Lead: 61-69đ)",IF(P357&gt;=50,"Tier B (Bạc: 50-60đ)","Tier C (Đồng: 30-49đ)")))))</f>
        <v/>
      </c>
      <c r="R357" s="6" t="inlineStr">
        <is>
          <t>Trọn gói Take-Home Starter Kit V2/V3 (Cỏ nhân tạo + Khay Potty + Đồ chơi cún con)</t>
        </is>
      </c>
      <c r="S357" s="6" t="inlineStr">
        <is>
          <t>Cấp B Tiềm năng: Tiếp cận tự động qua chuỗi Email Marketing + Chăm sóc bổ sung bằng Telesale</t>
        </is>
      </c>
    </row>
    <row r="358">
      <c r="A358" s="59" t="n">
        <v>1751</v>
      </c>
      <c r="B358" s="15" t="inlineStr">
        <is>
          <t>Jackson American Bullies</t>
        </is>
      </c>
      <c r="C358" s="60" t="inlineStr">
        <is>
          <t>https://www.facebook.com/texasbasedbullies</t>
        </is>
      </c>
      <c r="D358" s="9" t="inlineStr">
        <is>
          <t>Cần quét Bio Fanpage</t>
        </is>
      </c>
      <c r="E358" s="59" t="inlineStr">
        <is>
          <t>07/10/2026 04:33:23</t>
        </is>
      </c>
      <c r="F358" s="59" t="inlineStr">
        <is>
          <t>5 ngày trước</t>
        </is>
      </c>
      <c r="G358" s="61" t="n">
        <v>5</v>
      </c>
      <c r="H358" s="62" t="n">
        <v>20</v>
      </c>
      <c r="I358" s="9" t="inlineStr">
        <is>
          <t>Dog Breeder / Trại chó chuyên nghiệp (28-30đ)</t>
        </is>
      </c>
      <c r="J358" s="62" t="n">
        <v>28</v>
      </c>
      <c r="K358" s="9" t="inlineStr">
        <is>
          <t>American Bully / Bully</t>
        </is>
      </c>
      <c r="L358" s="62" t="n">
        <v>10</v>
      </c>
      <c r="M358" s="62" t="n">
        <v>0</v>
      </c>
      <c r="N358" s="9" t="inlineStr">
        <is>
          <t>Amazon link not found</t>
        </is>
      </c>
      <c r="O358" s="62">
        <f>IF(N358="Selling pet toys + Artificial grass/Pet toilets (TARGET)",15,IF(N358="Selling artificial grass/pet toilets (TARGET)",10,IF(N358="Selling pet toys",7,IF(N358="There's an Amazon link, but no target sales.",3,0))))</f>
        <v/>
      </c>
      <c r="P358" s="67">
        <f>H358+J358+L358+M358+O358</f>
        <v/>
      </c>
      <c r="Q358" s="66">
        <f>IF(OR(H358=0,P358&lt;30),"Tier D (Đóng băng)",IF(P358&gt;=85,"Tier S (Kim Cương: 85-100đ)",IF(P358&gt;=70,"Tier A (Vàng: 70-84đ)",IF(P358&gt;=61,"Tier B+ / Cấp A (Hot Lead: 61-69đ)",IF(P358&gt;=50,"Tier B (Bạc: 50-60đ)","Tier C (Đồng: 30-49đ)")))))</f>
        <v/>
      </c>
      <c r="R358" s="9" t="inlineStr">
        <is>
          <t>Trọn gói Take-Home Starter Kit V2/V3 (Cỏ nhân tạo + Khay Potty + Đồ chơi Teething/Snuggle)</t>
        </is>
      </c>
      <c r="S358" s="9" t="inlineStr">
        <is>
          <t>Cấp B Tiềm năng: Tiếp cận tự động qua chuỗi Email Marketing + Chăm sóc bổ sung bằng Telesale</t>
        </is>
      </c>
    </row>
    <row r="359">
      <c r="A359" s="53" t="n">
        <v>962</v>
      </c>
      <c r="B359" s="12" t="inlineStr">
        <is>
          <t>Creekside Frenchies, Medina Ohio</t>
        </is>
      </c>
      <c r="C359" s="54" t="inlineStr">
        <is>
          <t>https://www.facebook.com/CreeksideFrenchies</t>
        </is>
      </c>
      <c r="D359" s="6" t="inlineStr">
        <is>
          <t>Cần quét Bio Fanpage</t>
        </is>
      </c>
      <c r="E359" s="53" t="inlineStr">
        <is>
          <t>06/10/2026 11:58:36</t>
        </is>
      </c>
      <c r="F359" s="53" t="inlineStr">
        <is>
          <t>6 ngày trước</t>
        </is>
      </c>
      <c r="G359" s="55" t="n">
        <v>6</v>
      </c>
      <c r="H359" s="56" t="n">
        <v>20</v>
      </c>
      <c r="I359" s="6" t="inlineStr">
        <is>
          <t>Dog Breeder / Trại chó chuyên nghiệp (28-30đ)</t>
        </is>
      </c>
      <c r="J359" s="56" t="n">
        <v>28</v>
      </c>
      <c r="K359" s="6" t="inlineStr">
        <is>
          <t>French Bulldog</t>
        </is>
      </c>
      <c r="L359" s="56" t="n">
        <v>10</v>
      </c>
      <c r="M359" s="56" t="n">
        <v>0</v>
      </c>
      <c r="N359" s="6" t="inlineStr">
        <is>
          <t>Amazon link not found</t>
        </is>
      </c>
      <c r="O359" s="56">
        <f>IF(N359="Selling pet toys + Artificial grass/Pet toilets (TARGET)",15,IF(N359="Selling artificial grass/pet toilets (TARGET)",10,IF(N359="Selling pet toys",7,IF(N359="There's an Amazon link, but no target sales.",3,0))))</f>
        <v/>
      </c>
      <c r="P359" s="65">
        <f>H359+J359+L359+M359+O359</f>
        <v/>
      </c>
      <c r="Q359" s="66">
        <f>IF(OR(H359=0,P359&lt;30),"Tier D (Đóng băng)",IF(P359&gt;=85,"Tier S (Kim Cương: 85-100đ)",IF(P359&gt;=70,"Tier A (Vàng: 70-84đ)",IF(P359&gt;=61,"Tier B+ / Cấp A (Hot Lead: 61-69đ)",IF(P359&gt;=50,"Tier B (Bạc: 50-60đ)","Tier C (Đồng: 30-49đ)")))))</f>
        <v/>
      </c>
      <c r="R359" s="6" t="inlineStr">
        <is>
          <t>Trọn gói Take-Home Starter Kit V2/V3 (Cỏ nhân tạo + Khay Potty + Đồ chơi Teething/Snuggle)</t>
        </is>
      </c>
      <c r="S359" s="6" t="inlineStr">
        <is>
          <t>Cấp B Tiềm năng: Tiếp cận tự động qua chuỗi Email Marketing + Chăm sóc bổ sung bằng Telesale</t>
        </is>
      </c>
    </row>
    <row r="360">
      <c r="A360" s="59" t="n">
        <v>1614</v>
      </c>
      <c r="B360" s="15" t="inlineStr">
        <is>
          <t>Hardy's Bulldogges</t>
        </is>
      </c>
      <c r="C360" s="60" t="inlineStr">
        <is>
          <t>https://www.facebook.com/hardysbulldoggesVA</t>
        </is>
      </c>
      <c r="D360" s="9" t="inlineStr">
        <is>
          <t>Cần quét Bio Fanpage</t>
        </is>
      </c>
      <c r="E360" s="59" t="inlineStr">
        <is>
          <t>06/10/2026 08:34:19</t>
        </is>
      </c>
      <c r="F360" s="59" t="inlineStr">
        <is>
          <t>6 ngày trước</t>
        </is>
      </c>
      <c r="G360" s="61" t="n">
        <v>6</v>
      </c>
      <c r="H360" s="62" t="n">
        <v>20</v>
      </c>
      <c r="I360" s="9" t="inlineStr">
        <is>
          <t>Dog Breeder / Trại chó chuyên nghiệp (28-30đ)</t>
        </is>
      </c>
      <c r="J360" s="62" t="n">
        <v>28</v>
      </c>
      <c r="K360" s="9" t="inlineStr">
        <is>
          <t>English Bulldog</t>
        </is>
      </c>
      <c r="L360" s="62" t="n">
        <v>10</v>
      </c>
      <c r="M360" s="62" t="n">
        <v>0</v>
      </c>
      <c r="N360" s="9" t="inlineStr">
        <is>
          <t>Amazon link not found</t>
        </is>
      </c>
      <c r="O360" s="62">
        <f>IF(N360="Selling pet toys + Artificial grass/Pet toilets (TARGET)",15,IF(N360="Selling artificial grass/pet toilets (TARGET)",10,IF(N360="Selling pet toys",7,IF(N360="There's an Amazon link, but no target sales.",3,0))))</f>
        <v/>
      </c>
      <c r="P360" s="67">
        <f>H360+J360+L360+M360+O360</f>
        <v/>
      </c>
      <c r="Q360" s="66">
        <f>IF(OR(H360=0,P360&lt;30),"Tier D (Đóng băng)",IF(P360&gt;=85,"Tier S (Kim Cương: 85-100đ)",IF(P360&gt;=70,"Tier A (Vàng: 70-84đ)",IF(P360&gt;=61,"Tier B+ / Cấp A (Hot Lead: 61-69đ)",IF(P360&gt;=50,"Tier B (Bạc: 50-60đ)","Tier C (Đồng: 30-49đ)")))))</f>
        <v/>
      </c>
      <c r="R360" s="9" t="inlineStr">
        <is>
          <t>Trọn gói Take-Home Starter Kit V2/V3 (Cỏ nhân tạo + Khay Potty + Đồ chơi Teething/Snuggle)</t>
        </is>
      </c>
      <c r="S360" s="9" t="inlineStr">
        <is>
          <t>Cấp B Tiềm năng: Tiếp cận tự động qua chuỗi Email Marketing + Chăm sóc bổ sung bằng Telesale</t>
        </is>
      </c>
    </row>
    <row r="361">
      <c r="A361" s="53" t="n">
        <v>793</v>
      </c>
      <c r="B361" s="12" t="inlineStr">
        <is>
          <t>Bullies By Winks</t>
        </is>
      </c>
      <c r="C361" s="54" t="inlineStr">
        <is>
          <t>https://www.facebook.com/profile.php?id=100077795019173</t>
        </is>
      </c>
      <c r="D361" s="6" t="inlineStr">
        <is>
          <t>Cần quét Bio Fanpage</t>
        </is>
      </c>
      <c r="E361" s="53" t="inlineStr">
        <is>
          <t>06/10/2026 04:13:16</t>
        </is>
      </c>
      <c r="F361" s="53" t="inlineStr">
        <is>
          <t>6 ngày trước</t>
        </is>
      </c>
      <c r="G361" s="55" t="n">
        <v>6</v>
      </c>
      <c r="H361" s="56" t="n">
        <v>20</v>
      </c>
      <c r="I361" s="6" t="inlineStr">
        <is>
          <t>Dog Breeder / Trại chó chuyên nghiệp (28-30đ)</t>
        </is>
      </c>
      <c r="J361" s="56" t="n">
        <v>28</v>
      </c>
      <c r="K361" s="6" t="inlineStr">
        <is>
          <t>American Bully / Bully</t>
        </is>
      </c>
      <c r="L361" s="56" t="n">
        <v>10</v>
      </c>
      <c r="M361" s="56" t="n">
        <v>0</v>
      </c>
      <c r="N361" s="6" t="inlineStr">
        <is>
          <t>Amazon link not found</t>
        </is>
      </c>
      <c r="O361" s="56">
        <f>IF(N361="Selling pet toys + Artificial grass/Pet toilets (TARGET)",15,IF(N361="Selling artificial grass/pet toilets (TARGET)",10,IF(N361="Selling pet toys",7,IF(N361="There's an Amazon link, but no target sales.",3,0))))</f>
        <v/>
      </c>
      <c r="P361" s="65">
        <f>H361+J361+L361+M361+O361</f>
        <v/>
      </c>
      <c r="Q361" s="66">
        <f>IF(OR(H361=0,P361&lt;30),"Tier D (Đóng băng)",IF(P361&gt;=85,"Tier S (Kim Cương: 85-100đ)",IF(P361&gt;=70,"Tier A (Vàng: 70-84đ)",IF(P361&gt;=61,"Tier B+ / Cấp A (Hot Lead: 61-69đ)",IF(P361&gt;=50,"Tier B (Bạc: 50-60đ)","Tier C (Đồng: 30-49đ)")))))</f>
        <v/>
      </c>
      <c r="R361" s="6" t="inlineStr">
        <is>
          <t>Trọn gói Take-Home Starter Kit V2/V3 (Cỏ nhân tạo + Khay Potty + Đồ chơi Teething/Snuggle)</t>
        </is>
      </c>
      <c r="S361" s="6" t="inlineStr">
        <is>
          <t>Cấp B Tiềm năng: Tiếp cận tự động qua chuỗi Email Marketing + Chăm sóc bổ sung bằng Telesale</t>
        </is>
      </c>
    </row>
    <row r="362">
      <c r="A362" s="59" t="n">
        <v>2375</v>
      </c>
      <c r="B362" s="15" t="inlineStr">
        <is>
          <t>Ot Vitosha Malinois &amp; Premier Protection Dogs</t>
        </is>
      </c>
      <c r="C362" s="60" t="inlineStr">
        <is>
          <t>https://www.facebook.com/OtVitoshaMalinois.PremierProtectionDogs</t>
        </is>
      </c>
      <c r="D362" s="9" t="inlineStr">
        <is>
          <t>Cần quét Bio Fanpage</t>
        </is>
      </c>
      <c r="E362" s="59" t="inlineStr">
        <is>
          <t>06/10/2026 03:05:44</t>
        </is>
      </c>
      <c r="F362" s="59" t="inlineStr">
        <is>
          <t>1 tuần trước</t>
        </is>
      </c>
      <c r="G362" s="61" t="n">
        <v>7</v>
      </c>
      <c r="H362" s="62" t="n">
        <v>20</v>
      </c>
      <c r="I362" s="9" t="inlineStr">
        <is>
          <t>Dog Breeder / Trại chó chuyên nghiệp (28-30đ)</t>
        </is>
      </c>
      <c r="J362" s="62" t="n">
        <v>28</v>
      </c>
      <c r="K362" s="9" t="inlineStr">
        <is>
          <t>Malinois</t>
        </is>
      </c>
      <c r="L362" s="62" t="n">
        <v>10</v>
      </c>
      <c r="M362" s="62" t="n">
        <v>0</v>
      </c>
      <c r="N362" s="9" t="inlineStr">
        <is>
          <t>Amazon link not found</t>
        </is>
      </c>
      <c r="O362" s="62">
        <f>IF(N362="Selling pet toys + Artificial grass/Pet toilets (TARGET)",15,IF(N362="Selling artificial grass/pet toilets (TARGET)",10,IF(N362="Selling pet toys",7,IF(N362="There's an Amazon link, but no target sales.",3,0))))</f>
        <v/>
      </c>
      <c r="P362" s="67">
        <f>H362+J362+L362+M362+O362</f>
        <v/>
      </c>
      <c r="Q362" s="66">
        <f>IF(OR(H362=0,P362&lt;30),"Tier D (Đóng băng)",IF(P362&gt;=85,"Tier S (Kim Cương: 85-100đ)",IF(P362&gt;=70,"Tier A (Vàng: 70-84đ)",IF(P362&gt;=61,"Tier B+ / Cấp A (Hot Lead: 61-69đ)",IF(P362&gt;=50,"Tier B (Bạc: 50-60đ)","Tier C (Đồng: 30-49đ)")))))</f>
        <v/>
      </c>
      <c r="R362" s="9" t="inlineStr">
        <is>
          <t>Trọn gói Take-Home Starter Kit V2/V3 (Cỏ nhân tạo + Khay Potty + Đồ chơi Teething/Snuggle)</t>
        </is>
      </c>
      <c r="S362" s="9" t="inlineStr">
        <is>
          <t>Cấp B Tiềm năng: Tiếp cận tự động qua chuỗi Email Marketing + Chăm sóc bổ sung bằng Telesale</t>
        </is>
      </c>
    </row>
    <row r="363">
      <c r="A363" s="53" t="n">
        <v>85</v>
      </c>
      <c r="B363" s="12" t="inlineStr">
        <is>
          <t>Water Dog Gear</t>
        </is>
      </c>
      <c r="C363" s="54" t="inlineStr">
        <is>
          <t>https://www.facebook.com/waterdoggear</t>
        </is>
      </c>
      <c r="D363" s="6" t="inlineStr">
        <is>
          <t>Cần quét Bio Fanpage</t>
        </is>
      </c>
      <c r="E363" s="53" t="inlineStr">
        <is>
          <t>05/10/2026 21:39:25</t>
        </is>
      </c>
      <c r="F363" s="53" t="inlineStr">
        <is>
          <t>1 tuần trước</t>
        </is>
      </c>
      <c r="G363" s="55" t="n">
        <v>7</v>
      </c>
      <c r="H363" s="56" t="n">
        <v>20</v>
      </c>
      <c r="I363" s="6" t="inlineStr">
        <is>
          <t>Dog Breeder / Trại nhân giống (28-30đ)</t>
        </is>
      </c>
      <c r="J363" s="56" t="n">
        <v>28</v>
      </c>
      <c r="K363" s="6" t="inlineStr">
        <is>
          <t>Spaniel / Gun Dog / Retriever</t>
        </is>
      </c>
      <c r="L363" s="56" t="n">
        <v>5</v>
      </c>
      <c r="M363" s="56" t="n">
        <v>5</v>
      </c>
      <c r="N363" s="6" t="inlineStr">
        <is>
          <t>Amazon link not found</t>
        </is>
      </c>
      <c r="O363" s="56">
        <f>IF(N363="Selling pet toys + Artificial grass/Pet toilets (TARGET)",15,IF(N363="Selling artificial grass/pet toilets (TARGET)",10,IF(N363="Selling pet toys",7,IF(N363="There's an Amazon link, but no target sales.",3,0))))</f>
        <v/>
      </c>
      <c r="P363" s="65">
        <f>H363+J363+L363+M363+O363</f>
        <v/>
      </c>
      <c r="Q363" s="66">
        <f>IF(OR(H363=0,P363&lt;30),"Tier D (Đóng băng)",IF(P363&gt;=85,"Tier S (Kim Cương: 85-100đ)",IF(P363&gt;=70,"Tier A (Vàng: 70-84đ)",IF(P363&gt;=61,"Tier B+ / Cấp A (Hot Lead: 61-69đ)",IF(P363&gt;=50,"Tier B (Bạc: 50-60đ)","Tier C (Đồng: 30-49đ)")))))</f>
        <v/>
      </c>
      <c r="R363" s="6" t="inlineStr">
        <is>
          <t>Trọn gói Take-Home Starter Kit V2/V3 (Cỏ nhân tạo + Khay Potty + Đồ chơi cún con)</t>
        </is>
      </c>
      <c r="S363" s="6" t="inlineStr">
        <is>
          <t>Cấp B Tiềm năng: Tiếp cận tự động qua chuỗi Email Marketing + Chăm sóc bổ sung bằng Telesale</t>
        </is>
      </c>
    </row>
    <row r="364">
      <c r="A364" s="59" t="n">
        <v>974</v>
      </c>
      <c r="B364" s="15" t="inlineStr">
        <is>
          <t>Cuddle Buddy Bulldogges</t>
        </is>
      </c>
      <c r="C364" s="60" t="inlineStr">
        <is>
          <t>https://www.facebook.com/cuddlebuddybulldogges</t>
        </is>
      </c>
      <c r="D364" s="9" t="inlineStr">
        <is>
          <t>Cần quét Bio Fanpage</t>
        </is>
      </c>
      <c r="E364" s="59" t="inlineStr">
        <is>
          <t>05/10/2026 17:55:09</t>
        </is>
      </c>
      <c r="F364" s="59" t="inlineStr">
        <is>
          <t>1 tuần trước</t>
        </is>
      </c>
      <c r="G364" s="61" t="n">
        <v>7</v>
      </c>
      <c r="H364" s="62" t="n">
        <v>20</v>
      </c>
      <c r="I364" s="9" t="inlineStr">
        <is>
          <t>Dog Breeder / Trại chó chuyên nghiệp (28-30đ)</t>
        </is>
      </c>
      <c r="J364" s="62" t="n">
        <v>28</v>
      </c>
      <c r="K364" s="9" t="inlineStr">
        <is>
          <t>English Bulldog</t>
        </is>
      </c>
      <c r="L364" s="62" t="n">
        <v>10</v>
      </c>
      <c r="M364" s="62" t="n">
        <v>0</v>
      </c>
      <c r="N364" s="9" t="inlineStr">
        <is>
          <t>Amazon link not found</t>
        </is>
      </c>
      <c r="O364" s="62">
        <f>IF(N364="Selling pet toys + Artificial grass/Pet toilets (TARGET)",15,IF(N364="Selling artificial grass/pet toilets (TARGET)",10,IF(N364="Selling pet toys",7,IF(N364="There's an Amazon link, but no target sales.",3,0))))</f>
        <v/>
      </c>
      <c r="P364" s="67">
        <f>H364+J364+L364+M364+O364</f>
        <v/>
      </c>
      <c r="Q364" s="66">
        <f>IF(OR(H364=0,P364&lt;30),"Tier D (Đóng băng)",IF(P364&gt;=85,"Tier S (Kim Cương: 85-100đ)",IF(P364&gt;=70,"Tier A (Vàng: 70-84đ)",IF(P364&gt;=61,"Tier B+ / Cấp A (Hot Lead: 61-69đ)",IF(P364&gt;=50,"Tier B (Bạc: 50-60đ)","Tier C (Đồng: 30-49đ)")))))</f>
        <v/>
      </c>
      <c r="R364" s="9" t="inlineStr">
        <is>
          <t>Trọn gói Take-Home Starter Kit V2/V3 (Cỏ nhân tạo + Khay Potty + Đồ chơi Teething/Snuggle)</t>
        </is>
      </c>
      <c r="S364" s="9" t="inlineStr">
        <is>
          <t>Cấp B Tiềm năng: Tiếp cận tự động qua chuỗi Email Marketing + Chăm sóc bổ sung bằng Telesale</t>
        </is>
      </c>
    </row>
    <row r="365">
      <c r="A365" s="53" t="n">
        <v>1707</v>
      </c>
      <c r="B365" s="12" t="inlineStr">
        <is>
          <t>I love Bulldog</t>
        </is>
      </c>
      <c r="C365" s="54" t="inlineStr">
        <is>
          <t>https://www.facebook.com/profile.php?id=61550615572824</t>
        </is>
      </c>
      <c r="D365" s="6" t="inlineStr">
        <is>
          <t>Cần quét Bio Fanpage</t>
        </is>
      </c>
      <c r="E365" s="53" t="inlineStr">
        <is>
          <t>04/10/2026 00:00:04</t>
        </is>
      </c>
      <c r="F365" s="53" t="inlineStr">
        <is>
          <t>1 tuần trước</t>
        </is>
      </c>
      <c r="G365" s="55" t="n">
        <v>7</v>
      </c>
      <c r="H365" s="56" t="n">
        <v>20</v>
      </c>
      <c r="I365" s="6" t="inlineStr">
        <is>
          <t>Dog Breeder / Trại nhân giống (28-30đ)</t>
        </is>
      </c>
      <c r="J365" s="56" t="n">
        <v>28</v>
      </c>
      <c r="K365" s="6" t="inlineStr">
        <is>
          <t>English Bulldog</t>
        </is>
      </c>
      <c r="L365" s="56" t="n">
        <v>10</v>
      </c>
      <c r="M365" s="56" t="n">
        <v>0</v>
      </c>
      <c r="N365" s="6" t="inlineStr">
        <is>
          <t>Amazon link not found</t>
        </is>
      </c>
      <c r="O365" s="56">
        <f>IF(N365="Selling pet toys + Artificial grass/Pet toilets (TARGET)",15,IF(N365="Selling artificial grass/pet toilets (TARGET)",10,IF(N365="Selling pet toys",7,IF(N365="There's an Amazon link, but no target sales.",3,0))))</f>
        <v/>
      </c>
      <c r="P365" s="65">
        <f>H365+J365+L365+M365+O365</f>
        <v/>
      </c>
      <c r="Q365" s="66">
        <f>IF(OR(H365=0,P365&lt;30),"Tier D (Đóng băng)",IF(P365&gt;=85,"Tier S (Kim Cương: 85-100đ)",IF(P365&gt;=70,"Tier A (Vàng: 70-84đ)",IF(P365&gt;=61,"Tier B+ / Cấp A (Hot Lead: 61-69đ)",IF(P365&gt;=50,"Tier B (Bạc: 50-60đ)","Tier C (Đồng: 30-49đ)")))))</f>
        <v/>
      </c>
      <c r="R365" s="6" t="inlineStr">
        <is>
          <t>Trọn gói Take-Home Starter Kit V2/V3 (Cỏ nhân tạo + Khay Potty + Đồ chơi cún con)</t>
        </is>
      </c>
      <c r="S365" s="6" t="inlineStr">
        <is>
          <t>Cấp B Tiềm năng: Tiếp cận tự động qua chuỗi Email Marketing + Chăm sóc bổ sung bằng Telesale</t>
        </is>
      </c>
    </row>
    <row r="366">
      <c r="A366" s="59" t="n">
        <v>833</v>
      </c>
      <c r="B366" s="15" t="inlineStr">
        <is>
          <t>Capital city frenchies</t>
        </is>
      </c>
      <c r="C366" s="60" t="inlineStr">
        <is>
          <t>https://www.facebook.com/profile.php?id=61555335432661</t>
        </is>
      </c>
      <c r="D366" s="9" t="inlineStr">
        <is>
          <t>Cần quét Bio Fanpage</t>
        </is>
      </c>
      <c r="E366" s="59" t="inlineStr">
        <is>
          <t>03/10/2026 22:27:32</t>
        </is>
      </c>
      <c r="F366" s="59" t="inlineStr">
        <is>
          <t>1 tuần trước</t>
        </is>
      </c>
      <c r="G366" s="61" t="n">
        <v>7</v>
      </c>
      <c r="H366" s="62" t="n">
        <v>20</v>
      </c>
      <c r="I366" s="9" t="inlineStr">
        <is>
          <t>Dog Breeder / Trại chó chuyên nghiệp (28-30đ)</t>
        </is>
      </c>
      <c r="J366" s="62" t="n">
        <v>28</v>
      </c>
      <c r="K366" s="9" t="inlineStr">
        <is>
          <t>French Bulldog</t>
        </is>
      </c>
      <c r="L366" s="62" t="n">
        <v>10</v>
      </c>
      <c r="M366" s="62" t="n">
        <v>0</v>
      </c>
      <c r="N366" s="9" t="inlineStr">
        <is>
          <t>Amazon link not found</t>
        </is>
      </c>
      <c r="O366" s="62">
        <f>IF(N366="Selling pet toys + Artificial grass/Pet toilets (TARGET)",15,IF(N366="Selling artificial grass/pet toilets (TARGET)",10,IF(N366="Selling pet toys",7,IF(N366="There's an Amazon link, but no target sales.",3,0))))</f>
        <v/>
      </c>
      <c r="P366" s="67">
        <f>H366+J366+L366+M366+O366</f>
        <v/>
      </c>
      <c r="Q366" s="66">
        <f>IF(OR(H366=0,P366&lt;30),"Tier D (Đóng băng)",IF(P366&gt;=85,"Tier S (Kim Cương: 85-100đ)",IF(P366&gt;=70,"Tier A (Vàng: 70-84đ)",IF(P366&gt;=61,"Tier B+ / Cấp A (Hot Lead: 61-69đ)",IF(P366&gt;=50,"Tier B (Bạc: 50-60đ)","Tier C (Đồng: 30-49đ)")))))</f>
        <v/>
      </c>
      <c r="R366" s="9" t="inlineStr">
        <is>
          <t>Trọn gói Take-Home Starter Kit V2/V3 (Cỏ nhân tạo + Khay Potty + Đồ chơi Teething/Snuggle)</t>
        </is>
      </c>
      <c r="S366" s="9" t="inlineStr">
        <is>
          <t>Cấp B Tiềm năng: Tiếp cận tự động qua chuỗi Email Marketing + Chăm sóc bổ sung bằng Telesale</t>
        </is>
      </c>
    </row>
    <row r="367">
      <c r="A367" s="53" t="n">
        <v>1988</v>
      </c>
      <c r="B367" s="12" t="inlineStr">
        <is>
          <t>LaRue’s Frenchies</t>
        </is>
      </c>
      <c r="C367" s="54" t="inlineStr">
        <is>
          <t>https://www.facebook.com/profile.php?id=100063573219004</t>
        </is>
      </c>
      <c r="D367" s="6" t="inlineStr">
        <is>
          <t>Cần quét Bio Fanpage</t>
        </is>
      </c>
      <c r="E367" s="53" t="inlineStr">
        <is>
          <t>03/10/2026 07:40:21</t>
        </is>
      </c>
      <c r="F367" s="53" t="inlineStr">
        <is>
          <t>1 tuần trước</t>
        </is>
      </c>
      <c r="G367" s="55" t="n">
        <v>7</v>
      </c>
      <c r="H367" s="56" t="n">
        <v>20</v>
      </c>
      <c r="I367" s="6" t="inlineStr">
        <is>
          <t>Dog Breeder / Trại chó chuyên nghiệp (28-30đ)</t>
        </is>
      </c>
      <c r="J367" s="56" t="n">
        <v>28</v>
      </c>
      <c r="K367" s="6" t="inlineStr">
        <is>
          <t>French Bulldog</t>
        </is>
      </c>
      <c r="L367" s="56" t="n">
        <v>10</v>
      </c>
      <c r="M367" s="56" t="n">
        <v>0</v>
      </c>
      <c r="N367" s="6" t="inlineStr">
        <is>
          <t>Amazon link not found</t>
        </is>
      </c>
      <c r="O367" s="56">
        <f>IF(N367="Selling pet toys + Artificial grass/Pet toilets (TARGET)",15,IF(N367="Selling artificial grass/pet toilets (TARGET)",10,IF(N367="Selling pet toys",7,IF(N367="There's an Amazon link, but no target sales.",3,0))))</f>
        <v/>
      </c>
      <c r="P367" s="65">
        <f>H367+J367+L367+M367+O367</f>
        <v/>
      </c>
      <c r="Q367" s="66">
        <f>IF(OR(H367=0,P367&lt;30),"Tier D (Đóng băng)",IF(P367&gt;=85,"Tier S (Kim Cương: 85-100đ)",IF(P367&gt;=70,"Tier A (Vàng: 70-84đ)",IF(P367&gt;=61,"Tier B+ / Cấp A (Hot Lead: 61-69đ)",IF(P367&gt;=50,"Tier B (Bạc: 50-60đ)","Tier C (Đồng: 30-49đ)")))))</f>
        <v/>
      </c>
      <c r="R367" s="6" t="inlineStr">
        <is>
          <t>Trọn gói Take-Home Starter Kit V2/V3 (Cỏ nhân tạo + Khay Potty + Đồ chơi Teething/Snuggle)</t>
        </is>
      </c>
      <c r="S367" s="6" t="inlineStr">
        <is>
          <t>Cấp B Tiềm năng: Tiếp cận tự động qua chuỗi Email Marketing + Chăm sóc bổ sung bằng Telesale</t>
        </is>
      </c>
    </row>
    <row r="368">
      <c r="A368" s="59" t="n">
        <v>119</v>
      </c>
      <c r="B368" s="15" t="inlineStr">
        <is>
          <t>Boston's Pet Transport LLC</t>
        </is>
      </c>
      <c r="C368" s="60" t="inlineStr">
        <is>
          <t>https://www.facebook.com/bostonspettransport</t>
        </is>
      </c>
      <c r="D368" s="9" t="inlineStr">
        <is>
          <t>Cần quét Bio Fanpage</t>
        </is>
      </c>
      <c r="E368" s="59" t="inlineStr">
        <is>
          <t>03/10/2026 04:13:25</t>
        </is>
      </c>
      <c r="F368" s="59" t="inlineStr">
        <is>
          <t>1 tuần trước</t>
        </is>
      </c>
      <c r="G368" s="61" t="n">
        <v>7</v>
      </c>
      <c r="H368" s="62" t="n">
        <v>20</v>
      </c>
      <c r="I368" s="9" t="inlineStr">
        <is>
          <t>Dog Breeder / Trại nhân giống (28-30đ)</t>
        </is>
      </c>
      <c r="J368" s="62" t="n">
        <v>28</v>
      </c>
      <c r="K368" s="9" t="inlineStr">
        <is>
          <t>Terrier (Jack Russell/Yorkie/Boston/Staffy)</t>
        </is>
      </c>
      <c r="L368" s="62" t="n">
        <v>5</v>
      </c>
      <c r="M368" s="62" t="n">
        <v>5</v>
      </c>
      <c r="N368" s="9" t="inlineStr">
        <is>
          <t>Amazon link not found</t>
        </is>
      </c>
      <c r="O368" s="62">
        <f>IF(N368="Selling pet toys + Artificial grass/Pet toilets (TARGET)",15,IF(N368="Selling artificial grass/pet toilets (TARGET)",10,IF(N368="Selling pet toys",7,IF(N368="There's an Amazon link, but no target sales.",3,0))))</f>
        <v/>
      </c>
      <c r="P368" s="67">
        <f>H368+J368+L368+M368+O368</f>
        <v/>
      </c>
      <c r="Q368" s="66">
        <f>IF(OR(H368=0,P368&lt;30),"Tier D (Đóng băng)",IF(P368&gt;=85,"Tier S (Kim Cương: 85-100đ)",IF(P368&gt;=70,"Tier A (Vàng: 70-84đ)",IF(P368&gt;=61,"Tier B+ / Cấp A (Hot Lead: 61-69đ)",IF(P368&gt;=50,"Tier B (Bạc: 50-60đ)","Tier C (Đồng: 30-49đ)")))))</f>
        <v/>
      </c>
      <c r="R368" s="9" t="inlineStr">
        <is>
          <t>Trọn gói Take-Home Starter Kit V2/V3 (Cỏ nhân tạo + Khay Potty + Đồ chơi cún con)</t>
        </is>
      </c>
      <c r="S368" s="9" t="inlineStr">
        <is>
          <t>Cấp B Tiềm năng: Tiếp cận tự động qua chuỗi Email Marketing + Chăm sóc bổ sung bằng Telesale</t>
        </is>
      </c>
    </row>
    <row r="369">
      <c r="A369" s="53" t="n">
        <v>1202</v>
      </c>
      <c r="B369" s="12" t="inlineStr">
        <is>
          <t>Dogtown Bullies</t>
        </is>
      </c>
      <c r="C369" s="54" t="inlineStr">
        <is>
          <t>https://www.facebook.com/dogtownbulliesma</t>
        </is>
      </c>
      <c r="D369" s="6" t="inlineStr">
        <is>
          <t>Cần quét Bio Fanpage</t>
        </is>
      </c>
      <c r="E369" s="53" t="inlineStr">
        <is>
          <t>01/10/2026 20:35:49</t>
        </is>
      </c>
      <c r="F369" s="53" t="inlineStr">
        <is>
          <t>1 tuần trước</t>
        </is>
      </c>
      <c r="G369" s="55" t="n">
        <v>7</v>
      </c>
      <c r="H369" s="56" t="n">
        <v>20</v>
      </c>
      <c r="I369" s="6" t="inlineStr">
        <is>
          <t>Dog Breeder / Trại chó chuyên nghiệp (28-30đ)</t>
        </is>
      </c>
      <c r="J369" s="56" t="n">
        <v>28</v>
      </c>
      <c r="K369" s="6" t="inlineStr">
        <is>
          <t>American Bully / Bully</t>
        </is>
      </c>
      <c r="L369" s="56" t="n">
        <v>10</v>
      </c>
      <c r="M369" s="56" t="n">
        <v>0</v>
      </c>
      <c r="N369" s="6" t="inlineStr">
        <is>
          <t>Amazon link not found</t>
        </is>
      </c>
      <c r="O369" s="56">
        <f>IF(N369="Selling pet toys + Artificial grass/Pet toilets (TARGET)",15,IF(N369="Selling artificial grass/pet toilets (TARGET)",10,IF(N369="Selling pet toys",7,IF(N369="There's an Amazon link, but no target sales.",3,0))))</f>
        <v/>
      </c>
      <c r="P369" s="65">
        <f>H369+J369+L369+M369+O369</f>
        <v/>
      </c>
      <c r="Q369" s="66">
        <f>IF(OR(H369=0,P369&lt;30),"Tier D (Đóng băng)",IF(P369&gt;=85,"Tier S (Kim Cương: 85-100đ)",IF(P369&gt;=70,"Tier A (Vàng: 70-84đ)",IF(P369&gt;=61,"Tier B+ / Cấp A (Hot Lead: 61-69đ)",IF(P369&gt;=50,"Tier B (Bạc: 50-60đ)","Tier C (Đồng: 30-49đ)")))))</f>
        <v/>
      </c>
      <c r="R369" s="6" t="inlineStr">
        <is>
          <t>Trọn gói Take-Home Starter Kit V2/V3 (Cỏ nhân tạo + Khay Potty + Đồ chơi Teething/Snuggle)</t>
        </is>
      </c>
      <c r="S369" s="6" t="inlineStr">
        <is>
          <t>Cấp B Tiềm năng: Tiếp cận tự động qua chuỗi Email Marketing + Chăm sóc bổ sung bằng Telesale</t>
        </is>
      </c>
    </row>
    <row r="370">
      <c r="A370" s="59" t="n">
        <v>219</v>
      </c>
      <c r="B370" s="15" t="inlineStr">
        <is>
          <t>Matriarch Bullies</t>
        </is>
      </c>
      <c r="C370" s="60" t="inlineStr">
        <is>
          <t>https://www.facebook.com/profile.php?id=61578593821574</t>
        </is>
      </c>
      <c r="D370" s="9" t="inlineStr">
        <is>
          <t>Cần quét Bio Fanpage</t>
        </is>
      </c>
      <c r="E370" s="59" t="inlineStr">
        <is>
          <t>29/09/2026 17:02:40</t>
        </is>
      </c>
      <c r="F370" s="59" t="inlineStr">
        <is>
          <t>1 tuần trước</t>
        </is>
      </c>
      <c r="G370" s="61" t="n">
        <v>7</v>
      </c>
      <c r="H370" s="62" t="n">
        <v>20</v>
      </c>
      <c r="I370" s="9" t="inlineStr">
        <is>
          <t>Dog Breeder / Trại chó chuyên nghiệp (28-30đ)</t>
        </is>
      </c>
      <c r="J370" s="62" t="n">
        <v>28</v>
      </c>
      <c r="K370" s="9" t="inlineStr">
        <is>
          <t>American Bully / Bully</t>
        </is>
      </c>
      <c r="L370" s="62" t="n">
        <v>10</v>
      </c>
      <c r="M370" s="62" t="n">
        <v>0</v>
      </c>
      <c r="N370" s="9" t="inlineStr">
        <is>
          <t>Amazon link not found</t>
        </is>
      </c>
      <c r="O370" s="62">
        <f>IF(N370="Selling pet toys + Artificial grass/Pet toilets (TARGET)",15,IF(N370="Selling artificial grass/pet toilets (TARGET)",10,IF(N370="Selling pet toys",7,IF(N370="There's an Amazon link, but no target sales.",3,0))))</f>
        <v/>
      </c>
      <c r="P370" s="67">
        <f>H370+J370+L370+M370+O370</f>
        <v/>
      </c>
      <c r="Q370" s="66">
        <f>IF(OR(H370=0,P370&lt;30),"Tier D (Đóng băng)",IF(P370&gt;=85,"Tier S (Kim Cương: 85-100đ)",IF(P370&gt;=70,"Tier A (Vàng: 70-84đ)",IF(P370&gt;=61,"Tier B+ / Cấp A (Hot Lead: 61-69đ)",IF(P370&gt;=50,"Tier B (Bạc: 50-60đ)","Tier C (Đồng: 30-49đ)")))))</f>
        <v/>
      </c>
      <c r="R370" s="9" t="inlineStr">
        <is>
          <t>Trọn gói Take-Home Starter Kit V2/V3 (Cỏ nhân tạo + Khay Potty + Đồ chơi Teething/Snuggle)</t>
        </is>
      </c>
      <c r="S370" s="9" t="inlineStr">
        <is>
          <t>Cấp B Tiềm năng: Tiếp cận tự động qua chuỗi Email Marketing + Chăm sóc bổ sung bằng Telesale</t>
        </is>
      </c>
    </row>
    <row r="371">
      <c r="A371" s="53" t="n">
        <v>1016</v>
      </c>
      <c r="B371" s="12" t="inlineStr">
        <is>
          <t>Dee &amp; M Bulldogs</t>
        </is>
      </c>
      <c r="C371" s="54" t="inlineStr">
        <is>
          <t>https://www.facebook.com/profile.php?id=100091636224667</t>
        </is>
      </c>
      <c r="D371" s="6" t="inlineStr">
        <is>
          <t>Cần quét Bio Fanpage</t>
        </is>
      </c>
      <c r="E371" s="53" t="inlineStr">
        <is>
          <t>29/09/2026 16:36:33</t>
        </is>
      </c>
      <c r="F371" s="53" t="inlineStr">
        <is>
          <t>1 tuần trước</t>
        </is>
      </c>
      <c r="G371" s="55" t="n">
        <v>7</v>
      </c>
      <c r="H371" s="56" t="n">
        <v>20</v>
      </c>
      <c r="I371" s="6" t="inlineStr">
        <is>
          <t>Dog Breeder / Trại chó chuyên nghiệp (28-30đ)</t>
        </is>
      </c>
      <c r="J371" s="56" t="n">
        <v>28</v>
      </c>
      <c r="K371" s="6" t="inlineStr">
        <is>
          <t>English Bulldog</t>
        </is>
      </c>
      <c r="L371" s="56" t="n">
        <v>10</v>
      </c>
      <c r="M371" s="56" t="n">
        <v>0</v>
      </c>
      <c r="N371" s="6" t="inlineStr">
        <is>
          <t>Amazon link not found</t>
        </is>
      </c>
      <c r="O371" s="56">
        <f>IF(N371="Selling pet toys + Artificial grass/Pet toilets (TARGET)",15,IF(N371="Selling artificial grass/pet toilets (TARGET)",10,IF(N371="Selling pet toys",7,IF(N371="There's an Amazon link, but no target sales.",3,0))))</f>
        <v/>
      </c>
      <c r="P371" s="65">
        <f>H371+J371+L371+M371+O371</f>
        <v/>
      </c>
      <c r="Q371" s="66">
        <f>IF(OR(H371=0,P371&lt;30),"Tier D (Đóng băng)",IF(P371&gt;=85,"Tier S (Kim Cương: 85-100đ)",IF(P371&gt;=70,"Tier A (Vàng: 70-84đ)",IF(P371&gt;=61,"Tier B+ / Cấp A (Hot Lead: 61-69đ)",IF(P371&gt;=50,"Tier B (Bạc: 50-60đ)","Tier C (Đồng: 30-49đ)")))))</f>
        <v/>
      </c>
      <c r="R371" s="6" t="inlineStr">
        <is>
          <t>Trọn gói Take-Home Starter Kit V2/V3 (Cỏ nhân tạo + Khay Potty + Đồ chơi Teething/Snuggle)</t>
        </is>
      </c>
      <c r="S371" s="6" t="inlineStr">
        <is>
          <t>Cấp B Tiềm năng: Tiếp cận tự động qua chuỗi Email Marketing + Chăm sóc bổ sung bằng Telesale</t>
        </is>
      </c>
    </row>
    <row r="372">
      <c r="A372" s="59" t="n">
        <v>3089</v>
      </c>
      <c r="B372" s="15" t="inlineStr">
        <is>
          <t>The Boxers and Bullies Charitable Trust</t>
        </is>
      </c>
      <c r="C372" s="60" t="inlineStr">
        <is>
          <t>https://www.facebook.com/boxersandbullies</t>
        </is>
      </c>
      <c r="D372" s="9" t="inlineStr">
        <is>
          <t>Cần quét Bio Fanpage</t>
        </is>
      </c>
      <c r="E372" s="59" t="inlineStr">
        <is>
          <t>29/09/2026 05:57:21</t>
        </is>
      </c>
      <c r="F372" s="59" t="inlineStr">
        <is>
          <t>2 tuần trước</t>
        </is>
      </c>
      <c r="G372" s="61" t="n">
        <v>14</v>
      </c>
      <c r="H372" s="62" t="n">
        <v>15</v>
      </c>
      <c r="I372" s="9" t="inlineStr">
        <is>
          <t>Dog Breeder / Trại chó chuyên nghiệp (28-30đ)</t>
        </is>
      </c>
      <c r="J372" s="62" t="n">
        <v>28</v>
      </c>
      <c r="K372" s="9" t="inlineStr">
        <is>
          <t>American Bully / Bully, Great Dane / Working Giant</t>
        </is>
      </c>
      <c r="L372" s="62" t="n">
        <v>15</v>
      </c>
      <c r="M372" s="62" t="n">
        <v>0</v>
      </c>
      <c r="N372" s="9" t="inlineStr">
        <is>
          <t>Amazon link not found</t>
        </is>
      </c>
      <c r="O372" s="62">
        <f>IF(N372="Selling pet toys + Artificial grass/Pet toilets (TARGET)",15,IF(N372="Selling artificial grass/pet toilets (TARGET)",10,IF(N372="Selling pet toys",7,IF(N372="There's an Amazon link, but no target sales.",3,0))))</f>
        <v/>
      </c>
      <c r="P372" s="67">
        <f>H372+J372+L372+M372+O372</f>
        <v/>
      </c>
      <c r="Q372" s="66">
        <f>IF(OR(H372=0,P372&lt;30),"Tier D (Đóng băng)",IF(P372&gt;=85,"Tier S (Kim Cương: 85-100đ)",IF(P372&gt;=70,"Tier A (Vàng: 70-84đ)",IF(P372&gt;=61,"Tier B+ / Cấp A (Hot Lead: 61-69đ)",IF(P372&gt;=50,"Tier B (Bạc: 50-60đ)","Tier C (Đồng: 30-49đ)")))))</f>
        <v/>
      </c>
      <c r="R372" s="9" t="inlineStr">
        <is>
          <t>Trọn gói Take-Home Starter Kit V2/V3 (Cỏ nhân tạo + Khay Potty + Đồ chơi Teething/Snuggle)</t>
        </is>
      </c>
      <c r="S372" s="9" t="inlineStr">
        <is>
          <t>Cấp B Tiềm năng: Tiếp cận tự động qua chuỗi Email Marketing + Chăm sóc bổ sung bằng Telesale</t>
        </is>
      </c>
    </row>
    <row r="373">
      <c r="A373" s="53" t="n">
        <v>2740</v>
      </c>
      <c r="B373" s="12" t="inlineStr">
        <is>
          <t>Reynolds Farms Cavaliers</t>
        </is>
      </c>
      <c r="C373" s="54" t="inlineStr">
        <is>
          <t>https://www.facebook.com/reynoldsfarmscavaliers</t>
        </is>
      </c>
      <c r="D373" s="6" t="inlineStr">
        <is>
          <t>Cần quét Bio Fanpage</t>
        </is>
      </c>
      <c r="E373" s="53" t="inlineStr">
        <is>
          <t>26/09/2026 19:34:40</t>
        </is>
      </c>
      <c r="F373" s="53" t="inlineStr">
        <is>
          <t>2 tuần trước</t>
        </is>
      </c>
      <c r="G373" s="55" t="n">
        <v>14</v>
      </c>
      <c r="H373" s="56" t="n">
        <v>15</v>
      </c>
      <c r="I373" s="6" t="inlineStr">
        <is>
          <t>Dog Breeder / Trại nhân giống (28-30đ)</t>
        </is>
      </c>
      <c r="J373" s="56" t="n">
        <v>28</v>
      </c>
      <c r="K373" s="6" t="inlineStr">
        <is>
          <t>Cavapoo</t>
        </is>
      </c>
      <c r="L373" s="56" t="n">
        <v>10</v>
      </c>
      <c r="M373" s="56" t="n">
        <v>5</v>
      </c>
      <c r="N373" s="6" t="inlineStr">
        <is>
          <t>Amazon link not found</t>
        </is>
      </c>
      <c r="O373" s="56">
        <f>IF(N373="Selling pet toys + Artificial grass/Pet toilets (TARGET)",15,IF(N373="Selling artificial grass/pet toilets (TARGET)",10,IF(N373="Selling pet toys",7,IF(N373="There's an Amazon link, but no target sales.",3,0))))</f>
        <v/>
      </c>
      <c r="P373" s="65">
        <f>H373+J373+L373+M373+O373</f>
        <v/>
      </c>
      <c r="Q373" s="66">
        <f>IF(OR(H373=0,P373&lt;30),"Tier D (Đóng băng)",IF(P373&gt;=85,"Tier S (Kim Cương: 85-100đ)",IF(P373&gt;=70,"Tier A (Vàng: 70-84đ)",IF(P373&gt;=61,"Tier B+ / Cấp A (Hot Lead: 61-69đ)",IF(P373&gt;=50,"Tier B (Bạc: 50-60đ)","Tier C (Đồng: 30-49đ)")))))</f>
        <v/>
      </c>
      <c r="R373" s="6" t="inlineStr">
        <is>
          <t>Trọn gói Take-Home Starter Kit V2/V3 (Cỏ nhân tạo + Khay Potty + Đồ chơi cún con)</t>
        </is>
      </c>
      <c r="S373" s="6" t="inlineStr">
        <is>
          <t>Cấp B Tiềm năng: Tiếp cận tự động qua chuỗi Email Marketing + Chăm sóc bổ sung bằng Telesale</t>
        </is>
      </c>
    </row>
    <row r="374">
      <c r="A374" s="59" t="n">
        <v>5062</v>
      </c>
      <c r="B374" s="15" t="inlineStr">
        <is>
          <t>Point and Howl Dog Training</t>
        </is>
      </c>
      <c r="C374" s="60" t="inlineStr">
        <is>
          <t>https://www.facebook.com/pointandhowldogtraining</t>
        </is>
      </c>
      <c r="D374" s="9" t="inlineStr">
        <is>
          <t>Cần quét Bio Fanpage</t>
        </is>
      </c>
      <c r="E374" s="59" t="inlineStr">
        <is>
          <t>13/10/2026 09:10:50</t>
        </is>
      </c>
      <c r="F374" s="59" t="inlineStr">
        <is>
          <t>52 phút trước</t>
        </is>
      </c>
      <c r="G374" s="61" t="n">
        <v>0.04</v>
      </c>
      <c r="H374" s="62" t="n">
        <v>35</v>
      </c>
      <c r="I374" s="9" t="inlineStr">
        <is>
          <t>Pet Boarding / Huấn luyện K9 &amp; Dịch vụ (20-22đ)</t>
        </is>
      </c>
      <c r="J374" s="62" t="n">
        <v>22</v>
      </c>
      <c r="K374" s="9" t="inlineStr">
        <is>
          <t>Chưa rõ giống (Cần quét Bio)</t>
        </is>
      </c>
      <c r="L374" s="62" t="n">
        <v>0</v>
      </c>
      <c r="M374" s="62" t="n">
        <v>0</v>
      </c>
      <c r="N374" s="9" t="inlineStr">
        <is>
          <t>Amazon link not found</t>
        </is>
      </c>
      <c r="O374" s="62">
        <f>IF(N374="Selling pet toys + Artificial grass/Pet toilets (TARGET)",15,IF(N374="Selling artificial grass/pet toilets (TARGET)",10,IF(N374="Selling pet toys",7,IF(N374="There's an Amazon link, but no target sales.",3,0))))</f>
        <v/>
      </c>
      <c r="P374" s="67">
        <f>H374+J374+L374+M374+O374</f>
        <v/>
      </c>
      <c r="Q374" s="66">
        <f>IF(OR(H374=0,P374&lt;30),"Tier D (Đóng băng)",IF(P374&gt;=85,"Tier S (Kim Cương: 85-100đ)",IF(P374&gt;=70,"Tier A (Vàng: 70-84đ)",IF(P374&gt;=61,"Tier B+ / Cấp A (Hot Lead: 61-69đ)",IF(P374&gt;=50,"Tier B (Bạc: 50-60đ)","Tier C (Đồng: 30-49đ)")))))</f>
        <v/>
      </c>
      <c r="R374" s="9" t="inlineStr">
        <is>
          <t>Cỏ nhân tạo sân chơi/huấn luyện (Dog Turf) + Đồ chơi nhai chịu lực (KONG/Chew Toys)</t>
        </is>
      </c>
      <c r="S374" s="9" t="inlineStr">
        <is>
          <t>Cấp B Tiềm năng: Tiếp cận tự động qua chuỗi Email Marketing + Chăm sóc bổ sung bằng Telesale</t>
        </is>
      </c>
    </row>
    <row r="375">
      <c r="A375" s="53" t="n">
        <v>4276</v>
      </c>
      <c r="B375" s="12" t="inlineStr">
        <is>
          <t>K9 Creed</t>
        </is>
      </c>
      <c r="C375" s="54" t="inlineStr">
        <is>
          <t>https://www.facebook.com/K9creedheroes</t>
        </is>
      </c>
      <c r="D375" s="6" t="inlineStr">
        <is>
          <t>Cần quét Bio Fanpage</t>
        </is>
      </c>
      <c r="E375" s="53" t="inlineStr">
        <is>
          <t>13/10/2026 08:01:54</t>
        </is>
      </c>
      <c r="F375" s="53" t="inlineStr">
        <is>
          <t>35 phút trước</t>
        </is>
      </c>
      <c r="G375" s="55" t="n">
        <v>0.02</v>
      </c>
      <c r="H375" s="56" t="n">
        <v>35</v>
      </c>
      <c r="I375" s="6" t="inlineStr">
        <is>
          <t>Pet Boarding / Huấn luyện K9 &amp; Dịch vụ (20-22đ)</t>
        </is>
      </c>
      <c r="J375" s="56" t="n">
        <v>22</v>
      </c>
      <c r="K375" s="6" t="inlineStr">
        <is>
          <t>Chưa rõ giống (Cần quét Bio)</t>
        </is>
      </c>
      <c r="L375" s="56" t="n">
        <v>0</v>
      </c>
      <c r="M375" s="56" t="n">
        <v>0</v>
      </c>
      <c r="N375" s="6" t="inlineStr">
        <is>
          <t>Amazon link not found</t>
        </is>
      </c>
      <c r="O375" s="56">
        <f>IF(N375="Selling pet toys + Artificial grass/Pet toilets (TARGET)",15,IF(N375="Selling artificial grass/pet toilets (TARGET)",10,IF(N375="Selling pet toys",7,IF(N375="There's an Amazon link, but no target sales.",3,0))))</f>
        <v/>
      </c>
      <c r="P375" s="65">
        <f>H375+J375+L375+M375+O375</f>
        <v/>
      </c>
      <c r="Q375" s="66">
        <f>IF(OR(H375=0,P375&lt;30),"Tier D (Đóng băng)",IF(P375&gt;=85,"Tier S (Kim Cương: 85-100đ)",IF(P375&gt;=70,"Tier A (Vàng: 70-84đ)",IF(P375&gt;=61,"Tier B+ / Cấp A (Hot Lead: 61-69đ)",IF(P375&gt;=50,"Tier B (Bạc: 50-60đ)","Tier C (Đồng: 30-49đ)")))))</f>
        <v/>
      </c>
      <c r="R375" s="6" t="inlineStr">
        <is>
          <t>Cỏ nhân tạo sân chơi/huấn luyện (Dog Turf) + Đồ chơi nhai chịu lực (KONG/Chew Toys)</t>
        </is>
      </c>
      <c r="S375" s="6" t="inlineStr">
        <is>
          <t>Cấp B Tiềm năng: Tiếp cận tự động qua chuỗi Email Marketing + Chăm sóc bổ sung bằng Telesale</t>
        </is>
      </c>
    </row>
    <row r="376">
      <c r="A376" s="59" t="n">
        <v>4248</v>
      </c>
      <c r="B376" s="15" t="inlineStr">
        <is>
          <t>Jordan Detection K9 - Electronic Detection K9</t>
        </is>
      </c>
      <c r="C376" s="60" t="inlineStr">
        <is>
          <t>https://www.facebook.com/electronicdetectionk9</t>
        </is>
      </c>
      <c r="D376" s="9" t="inlineStr">
        <is>
          <t>Cần quét Bio Fanpage</t>
        </is>
      </c>
      <c r="E376" s="59" t="inlineStr">
        <is>
          <t>13/10/2026 08:00:06</t>
        </is>
      </c>
      <c r="F376" s="59" t="inlineStr">
        <is>
          <t>34 phút trước</t>
        </is>
      </c>
      <c r="G376" s="61" t="n">
        <v>0.02</v>
      </c>
      <c r="H376" s="62" t="n">
        <v>35</v>
      </c>
      <c r="I376" s="9" t="inlineStr">
        <is>
          <t>Pet Boarding / Huấn luyện K9 &amp; Dịch vụ (20-22đ)</t>
        </is>
      </c>
      <c r="J376" s="62" t="n">
        <v>22</v>
      </c>
      <c r="K376" s="9" t="inlineStr">
        <is>
          <t>Chưa rõ giống (Cần quét Bio)</t>
        </is>
      </c>
      <c r="L376" s="62" t="n">
        <v>0</v>
      </c>
      <c r="M376" s="62" t="n">
        <v>0</v>
      </c>
      <c r="N376" s="9" t="inlineStr">
        <is>
          <t>Amazon link not found</t>
        </is>
      </c>
      <c r="O376" s="62">
        <f>IF(N376="Selling pet toys + Artificial grass/Pet toilets (TARGET)",15,IF(N376="Selling artificial grass/pet toilets (TARGET)",10,IF(N376="Selling pet toys",7,IF(N376="There's an Amazon link, but no target sales.",3,0))))</f>
        <v/>
      </c>
      <c r="P376" s="67">
        <f>H376+J376+L376+M376+O376</f>
        <v/>
      </c>
      <c r="Q376" s="66">
        <f>IF(OR(H376=0,P376&lt;30),"Tier D (Đóng băng)",IF(P376&gt;=85,"Tier S (Kim Cương: 85-100đ)",IF(P376&gt;=70,"Tier A (Vàng: 70-84đ)",IF(P376&gt;=61,"Tier B+ / Cấp A (Hot Lead: 61-69đ)",IF(P376&gt;=50,"Tier B (Bạc: 50-60đ)","Tier C (Đồng: 30-49đ)")))))</f>
        <v/>
      </c>
      <c r="R376" s="9" t="inlineStr">
        <is>
          <t>Cỏ nhân tạo sân chơi/huấn luyện (Dog Turf) + Đồ chơi nhai chịu lực (KONG/Chew Toys)</t>
        </is>
      </c>
      <c r="S376" s="9" t="inlineStr">
        <is>
          <t>Cấp B Tiềm năng: Tiếp cận tự động qua chuỗi Email Marketing + Chăm sóc bổ sung bằng Telesale</t>
        </is>
      </c>
    </row>
    <row r="377">
      <c r="A377" s="53" t="n">
        <v>5261</v>
      </c>
      <c r="B377" s="12" t="inlineStr">
        <is>
          <t>Rucker Dog Training</t>
        </is>
      </c>
      <c r="C377" s="54" t="inlineStr">
        <is>
          <t>https://www.facebook.com/Ruckerdogtraining</t>
        </is>
      </c>
      <c r="D377" s="6" t="inlineStr">
        <is>
          <t>Cần quét Bio Fanpage</t>
        </is>
      </c>
      <c r="E377" s="53" t="inlineStr">
        <is>
          <t>13/10/2026 07:25:51</t>
        </is>
      </c>
      <c r="F377" s="53" t="inlineStr">
        <is>
          <t>2 giờ trước</t>
        </is>
      </c>
      <c r="G377" s="55" t="n">
        <v>0.08</v>
      </c>
      <c r="H377" s="56" t="n">
        <v>35</v>
      </c>
      <c r="I377" s="6" t="inlineStr">
        <is>
          <t>Pet Boarding / Huấn luyện K9 &amp; Dịch vụ (20-22đ)</t>
        </is>
      </c>
      <c r="J377" s="56" t="n">
        <v>22</v>
      </c>
      <c r="K377" s="6" t="inlineStr">
        <is>
          <t>Chưa rõ giống (Cần quét Bio)</t>
        </is>
      </c>
      <c r="L377" s="56" t="n">
        <v>0</v>
      </c>
      <c r="M377" s="56" t="n">
        <v>0</v>
      </c>
      <c r="N377" s="6" t="inlineStr">
        <is>
          <t>Amazon link not found</t>
        </is>
      </c>
      <c r="O377" s="56">
        <f>IF(N377="Selling pet toys + Artificial grass/Pet toilets (TARGET)",15,IF(N377="Selling artificial grass/pet toilets (TARGET)",10,IF(N377="Selling pet toys",7,IF(N377="There's an Amazon link, but no target sales.",3,0))))</f>
        <v/>
      </c>
      <c r="P377" s="65">
        <f>H377+J377+L377+M377+O377</f>
        <v/>
      </c>
      <c r="Q377" s="66">
        <f>IF(OR(H377=0,P377&lt;30),"Tier D (Đóng băng)",IF(P377&gt;=85,"Tier S (Kim Cương: 85-100đ)",IF(P377&gt;=70,"Tier A (Vàng: 70-84đ)",IF(P377&gt;=61,"Tier B+ / Cấp A (Hot Lead: 61-69đ)",IF(P377&gt;=50,"Tier B (Bạc: 50-60đ)","Tier C (Đồng: 30-49đ)")))))</f>
        <v/>
      </c>
      <c r="R377" s="6" t="inlineStr">
        <is>
          <t>Cỏ nhân tạo sân chơi/huấn luyện (Dog Turf) + Đồ chơi nhai chịu lực (KONG/Chew Toys)</t>
        </is>
      </c>
      <c r="S377" s="6" t="inlineStr">
        <is>
          <t>Cấp B Tiềm năng: Tiếp cận tự động qua chuỗi Email Marketing + Chăm sóc bổ sung bằng Telesale</t>
        </is>
      </c>
    </row>
    <row r="378">
      <c r="A378" s="59" t="n">
        <v>4282</v>
      </c>
      <c r="B378" s="15" t="inlineStr">
        <is>
          <t>K9 KEEP</t>
        </is>
      </c>
      <c r="C378" s="60" t="inlineStr">
        <is>
          <t>https://www.facebook.com/profile.php?id=61575802710225</t>
        </is>
      </c>
      <c r="D378" s="9" t="inlineStr">
        <is>
          <t>Cần quét Bio Fanpage</t>
        </is>
      </c>
      <c r="E378" s="59" t="inlineStr">
        <is>
          <t>13/10/2026 07:11:18</t>
        </is>
      </c>
      <c r="F378" s="59" t="inlineStr">
        <is>
          <t>1 giờ trước</t>
        </is>
      </c>
      <c r="G378" s="61" t="n">
        <v>0.04</v>
      </c>
      <c r="H378" s="62" t="n">
        <v>35</v>
      </c>
      <c r="I378" s="9" t="inlineStr">
        <is>
          <t>Pet Boarding / Huấn luyện K9 &amp; Dịch vụ (20-22đ)</t>
        </is>
      </c>
      <c r="J378" s="62" t="n">
        <v>22</v>
      </c>
      <c r="K378" s="9" t="inlineStr">
        <is>
          <t>Chưa rõ giống (Cần quét Bio)</t>
        </is>
      </c>
      <c r="L378" s="62" t="n">
        <v>0</v>
      </c>
      <c r="M378" s="62" t="n">
        <v>0</v>
      </c>
      <c r="N378" s="9" t="inlineStr">
        <is>
          <t>Amazon link not found</t>
        </is>
      </c>
      <c r="O378" s="62">
        <f>IF(N378="Selling pet toys + Artificial grass/Pet toilets (TARGET)",15,IF(N378="Selling artificial grass/pet toilets (TARGET)",10,IF(N378="Selling pet toys",7,IF(N378="There's an Amazon link, but no target sales.",3,0))))</f>
        <v/>
      </c>
      <c r="P378" s="67">
        <f>H378+J378+L378+M378+O378</f>
        <v/>
      </c>
      <c r="Q378" s="66">
        <f>IF(OR(H378=0,P378&lt;30),"Tier D (Đóng băng)",IF(P378&gt;=85,"Tier S (Kim Cương: 85-100đ)",IF(P378&gt;=70,"Tier A (Vàng: 70-84đ)",IF(P378&gt;=61,"Tier B+ / Cấp A (Hot Lead: 61-69đ)",IF(P378&gt;=50,"Tier B (Bạc: 50-60đ)","Tier C (Đồng: 30-49đ)")))))</f>
        <v/>
      </c>
      <c r="R378" s="9" t="inlineStr">
        <is>
          <t>Cỏ nhân tạo sân chơi/huấn luyện (Dog Turf) + Đồ chơi nhai chịu lực (KONG/Chew Toys)</t>
        </is>
      </c>
      <c r="S378" s="9" t="inlineStr">
        <is>
          <t>Cấp B Tiềm năng: Tiếp cận tự động qua chuỗi Email Marketing + Chăm sóc bổ sung bằng Telesale</t>
        </is>
      </c>
    </row>
    <row r="379">
      <c r="A379" s="53" t="n">
        <v>4466</v>
      </c>
      <c r="B379" s="12" t="inlineStr">
        <is>
          <t>LCC K-9 Comfort Dogs</t>
        </is>
      </c>
      <c r="C379" s="54" t="inlineStr">
        <is>
          <t>https://www.facebook.com/k9comfort</t>
        </is>
      </c>
      <c r="D379" s="6" t="inlineStr">
        <is>
          <t>Cần quét Bio Fanpage</t>
        </is>
      </c>
      <c r="E379" s="53" t="inlineStr">
        <is>
          <t>13/10/2026 06:45:30</t>
        </is>
      </c>
      <c r="F379" s="53" t="inlineStr">
        <is>
          <t>2 giờ trước</t>
        </is>
      </c>
      <c r="G379" s="55" t="n">
        <v>0.08</v>
      </c>
      <c r="H379" s="56" t="n">
        <v>35</v>
      </c>
      <c r="I379" s="6" t="inlineStr">
        <is>
          <t>Pet Boarding / Huấn luyện K9 &amp; Dịch vụ (20-22đ)</t>
        </is>
      </c>
      <c r="J379" s="56" t="n">
        <v>22</v>
      </c>
      <c r="K379" s="6" t="inlineStr">
        <is>
          <t>Chưa rõ giống (Cần quét Bio)</t>
        </is>
      </c>
      <c r="L379" s="56" t="n">
        <v>0</v>
      </c>
      <c r="M379" s="56" t="n">
        <v>0</v>
      </c>
      <c r="N379" s="6" t="inlineStr">
        <is>
          <t>Amazon link not found</t>
        </is>
      </c>
      <c r="O379" s="56">
        <f>IF(N379="Selling pet toys + Artificial grass/Pet toilets (TARGET)",15,IF(N379="Selling artificial grass/pet toilets (TARGET)",10,IF(N379="Selling pet toys",7,IF(N379="There's an Amazon link, but no target sales.",3,0))))</f>
        <v/>
      </c>
      <c r="P379" s="65">
        <f>H379+J379+L379+M379+O379</f>
        <v/>
      </c>
      <c r="Q379" s="66">
        <f>IF(OR(H379=0,P379&lt;30),"Tier D (Đóng băng)",IF(P379&gt;=85,"Tier S (Kim Cương: 85-100đ)",IF(P379&gt;=70,"Tier A (Vàng: 70-84đ)",IF(P379&gt;=61,"Tier B+ / Cấp A (Hot Lead: 61-69đ)",IF(P379&gt;=50,"Tier B (Bạc: 50-60đ)","Tier C (Đồng: 30-49đ)")))))</f>
        <v/>
      </c>
      <c r="R379" s="6" t="inlineStr">
        <is>
          <t>Cỏ nhân tạo sân chơi/huấn luyện (Dog Turf) + Đồ chơi nhai chịu lực (KONG/Chew Toys)</t>
        </is>
      </c>
      <c r="S379" s="6" t="inlineStr">
        <is>
          <t>Cấp B Tiềm năng: Tiếp cận tự động qua chuỗi Email Marketing + Chăm sóc bổ sung bằng Telesale</t>
        </is>
      </c>
    </row>
    <row r="380">
      <c r="A380" s="59" t="n">
        <v>3124</v>
      </c>
      <c r="B380" s="15" t="inlineStr">
        <is>
          <t>The Good Dog Training And Rehabilitation</t>
        </is>
      </c>
      <c r="C380" s="60" t="inlineStr">
        <is>
          <t>https://www.facebook.com/TheGoodDogTraining</t>
        </is>
      </c>
      <c r="D380" s="9" t="inlineStr">
        <is>
          <t>Cần quét Bio Fanpage</t>
        </is>
      </c>
      <c r="E380" s="59" t="inlineStr">
        <is>
          <t>13/10/2026 06:27:54</t>
        </is>
      </c>
      <c r="F380" s="59" t="inlineStr">
        <is>
          <t>4 phút trước</t>
        </is>
      </c>
      <c r="G380" s="61" t="n">
        <v>0</v>
      </c>
      <c r="H380" s="62" t="n">
        <v>35</v>
      </c>
      <c r="I380" s="9" t="inlineStr">
        <is>
          <t>Pet Boarding / Huấn luyện K9 &amp; Dịch vụ (20-22đ)</t>
        </is>
      </c>
      <c r="J380" s="62" t="n">
        <v>22</v>
      </c>
      <c r="K380" s="9" t="inlineStr">
        <is>
          <t>Chưa rõ giống (Cần quét Bio)</t>
        </is>
      </c>
      <c r="L380" s="62" t="n">
        <v>0</v>
      </c>
      <c r="M380" s="62" t="n">
        <v>0</v>
      </c>
      <c r="N380" s="9" t="inlineStr">
        <is>
          <t>Amazon link not found</t>
        </is>
      </c>
      <c r="O380" s="62">
        <f>IF(N380="Selling pet toys + Artificial grass/Pet toilets (TARGET)",15,IF(N380="Selling artificial grass/pet toilets (TARGET)",10,IF(N380="Selling pet toys",7,IF(N380="There's an Amazon link, but no target sales.",3,0))))</f>
        <v/>
      </c>
      <c r="P380" s="67">
        <f>H380+J380+L380+M380+O380</f>
        <v/>
      </c>
      <c r="Q380" s="66">
        <f>IF(OR(H380=0,P380&lt;30),"Tier D (Đóng băng)",IF(P380&gt;=85,"Tier S (Kim Cương: 85-100đ)",IF(P380&gt;=70,"Tier A (Vàng: 70-84đ)",IF(P380&gt;=61,"Tier B+ / Cấp A (Hot Lead: 61-69đ)",IF(P380&gt;=50,"Tier B (Bạc: 50-60đ)","Tier C (Đồng: 30-49đ)")))))</f>
        <v/>
      </c>
      <c r="R380" s="9" t="inlineStr">
        <is>
          <t>Cỏ nhân tạo sân chơi/huấn luyện (Dog Turf) + Đồ chơi nhai chịu lực (KONG/Chew Toys)</t>
        </is>
      </c>
      <c r="S380" s="9" t="inlineStr">
        <is>
          <t>Cấp B Tiềm năng: Tiếp cận tự động qua chuỗi Email Marketing + Chăm sóc bổ sung bằng Telesale</t>
        </is>
      </c>
    </row>
    <row r="381">
      <c r="A381" s="53" t="n">
        <v>2931</v>
      </c>
      <c r="B381" s="12" t="inlineStr">
        <is>
          <t>Solid K9 Training</t>
        </is>
      </c>
      <c r="C381" s="54" t="inlineStr">
        <is>
          <t>https://www.facebook.com/SolidK9TrainingRI</t>
        </is>
      </c>
      <c r="D381" s="6" t="inlineStr">
        <is>
          <t>Cần quét Bio Fanpage</t>
        </is>
      </c>
      <c r="E381" s="53" t="inlineStr">
        <is>
          <t>13/10/2026 06:04:16</t>
        </is>
      </c>
      <c r="F381" s="53" t="inlineStr">
        <is>
          <t>7 phút trước</t>
        </is>
      </c>
      <c r="G381" s="55" t="n">
        <v>0</v>
      </c>
      <c r="H381" s="56" t="n">
        <v>35</v>
      </c>
      <c r="I381" s="6" t="inlineStr">
        <is>
          <t>Pet Boarding / Huấn luyện K9 &amp; Dịch vụ (20-22đ)</t>
        </is>
      </c>
      <c r="J381" s="56" t="n">
        <v>22</v>
      </c>
      <c r="K381" s="6" t="inlineStr">
        <is>
          <t>Chưa rõ giống (Cần quét Bio)</t>
        </is>
      </c>
      <c r="L381" s="56" t="n">
        <v>0</v>
      </c>
      <c r="M381" s="56" t="n">
        <v>0</v>
      </c>
      <c r="N381" s="6" t="inlineStr">
        <is>
          <t>Amazon link not found</t>
        </is>
      </c>
      <c r="O381" s="56">
        <f>IF(N381="Selling pet toys + Artificial grass/Pet toilets (TARGET)",15,IF(N381="Selling artificial grass/pet toilets (TARGET)",10,IF(N381="Selling pet toys",7,IF(N381="There's an Amazon link, but no target sales.",3,0))))</f>
        <v/>
      </c>
      <c r="P381" s="65">
        <f>H381+J381+L381+M381+O381</f>
        <v/>
      </c>
      <c r="Q381" s="66">
        <f>IF(OR(H381=0,P381&lt;30),"Tier D (Đóng băng)",IF(P381&gt;=85,"Tier S (Kim Cương: 85-100đ)",IF(P381&gt;=70,"Tier A (Vàng: 70-84đ)",IF(P381&gt;=61,"Tier B+ / Cấp A (Hot Lead: 61-69đ)",IF(P381&gt;=50,"Tier B (Bạc: 50-60đ)","Tier C (Đồng: 30-49đ)")))))</f>
        <v/>
      </c>
      <c r="R381" s="6" t="inlineStr">
        <is>
          <t>Cỏ nhân tạo sân chơi/huấn luyện (Dog Turf) + Đồ chơi nhai chịu lực (KONG/Chew Toys)</t>
        </is>
      </c>
      <c r="S381" s="6" t="inlineStr">
        <is>
          <t>Cấp B Tiềm năng: Tiếp cận tự động qua chuỗi Email Marketing + Chăm sóc bổ sung bằng Telesale</t>
        </is>
      </c>
    </row>
    <row r="382">
      <c r="A382" s="59" t="n">
        <v>4292</v>
      </c>
      <c r="B382" s="15" t="inlineStr">
        <is>
          <t>K9 Pro - The K9 Professionals</t>
        </is>
      </c>
      <c r="C382" s="60" t="inlineStr">
        <is>
          <t>https://www.facebook.com/k9pro</t>
        </is>
      </c>
      <c r="D382" s="9" t="inlineStr">
        <is>
          <t>Cần quét Bio Fanpage</t>
        </is>
      </c>
      <c r="E382" s="59" t="inlineStr">
        <is>
          <t>13/10/2026 06:00:07</t>
        </is>
      </c>
      <c r="F382" s="59" t="inlineStr">
        <is>
          <t>2 giờ trước</t>
        </is>
      </c>
      <c r="G382" s="61" t="n">
        <v>0.08</v>
      </c>
      <c r="H382" s="62" t="n">
        <v>35</v>
      </c>
      <c r="I382" s="9" t="inlineStr">
        <is>
          <t>Pet Boarding / Huấn luyện K9 &amp; Dịch vụ (20-22đ)</t>
        </is>
      </c>
      <c r="J382" s="62" t="n">
        <v>22</v>
      </c>
      <c r="K382" s="9" t="inlineStr">
        <is>
          <t>Chưa rõ giống (Cần quét Bio)</t>
        </is>
      </c>
      <c r="L382" s="62" t="n">
        <v>0</v>
      </c>
      <c r="M382" s="62" t="n">
        <v>0</v>
      </c>
      <c r="N382" s="9" t="inlineStr">
        <is>
          <t>Amazon link not found</t>
        </is>
      </c>
      <c r="O382" s="62">
        <f>IF(N382="Selling pet toys + Artificial grass/Pet toilets (TARGET)",15,IF(N382="Selling artificial grass/pet toilets (TARGET)",10,IF(N382="Selling pet toys",7,IF(N382="There's an Amazon link, but no target sales.",3,0))))</f>
        <v/>
      </c>
      <c r="P382" s="67">
        <f>H382+J382+L382+M382+O382</f>
        <v/>
      </c>
      <c r="Q382" s="66">
        <f>IF(OR(H382=0,P382&lt;30),"Tier D (Đóng băng)",IF(P382&gt;=85,"Tier S (Kim Cương: 85-100đ)",IF(P382&gt;=70,"Tier A (Vàng: 70-84đ)",IF(P382&gt;=61,"Tier B+ / Cấp A (Hot Lead: 61-69đ)",IF(P382&gt;=50,"Tier B (Bạc: 50-60đ)","Tier C (Đồng: 30-49đ)")))))</f>
        <v/>
      </c>
      <c r="R382" s="9" t="inlineStr">
        <is>
          <t>Cỏ nhân tạo sân chơi/huấn luyện (Dog Turf) + Đồ chơi nhai chịu lực (KONG/Chew Toys)</t>
        </is>
      </c>
      <c r="S382" s="9" t="inlineStr">
        <is>
          <t>Cấp B Tiềm năng: Tiếp cận tự động qua chuỗi Email Marketing + Chăm sóc bổ sung bằng Telesale</t>
        </is>
      </c>
    </row>
    <row r="383">
      <c r="A383" s="53" t="n">
        <v>4835</v>
      </c>
      <c r="B383" s="12" t="inlineStr">
        <is>
          <t>Omaha Dog Training James Burden</t>
        </is>
      </c>
      <c r="C383" s="54" t="inlineStr">
        <is>
          <t>https://www.facebook.com/OmahaDogTraining</t>
        </is>
      </c>
      <c r="D383" s="6" t="inlineStr">
        <is>
          <t>Cần quét Bio Fanpage</t>
        </is>
      </c>
      <c r="E383" s="53" t="inlineStr">
        <is>
          <t>13/10/2026 05:58:40</t>
        </is>
      </c>
      <c r="F383" s="53" t="inlineStr">
        <is>
          <t>3 giờ trước</t>
        </is>
      </c>
      <c r="G383" s="55" t="n">
        <v>0.12</v>
      </c>
      <c r="H383" s="56" t="n">
        <v>35</v>
      </c>
      <c r="I383" s="6" t="inlineStr">
        <is>
          <t>Pet Boarding / Huấn luyện K9 &amp; Dịch vụ (20-22đ)</t>
        </is>
      </c>
      <c r="J383" s="56" t="n">
        <v>22</v>
      </c>
      <c r="K383" s="6" t="inlineStr">
        <is>
          <t>Chưa rõ giống (Cần quét Bio)</t>
        </is>
      </c>
      <c r="L383" s="56" t="n">
        <v>0</v>
      </c>
      <c r="M383" s="56" t="n">
        <v>0</v>
      </c>
      <c r="N383" s="6" t="inlineStr">
        <is>
          <t>Amazon link not found</t>
        </is>
      </c>
      <c r="O383" s="56">
        <f>IF(N383="Selling pet toys + Artificial grass/Pet toilets (TARGET)",15,IF(N383="Selling artificial grass/pet toilets (TARGET)",10,IF(N383="Selling pet toys",7,IF(N383="There's an Amazon link, but no target sales.",3,0))))</f>
        <v/>
      </c>
      <c r="P383" s="65">
        <f>H383+J383+L383+M383+O383</f>
        <v/>
      </c>
      <c r="Q383" s="66">
        <f>IF(OR(H383=0,P383&lt;30),"Tier D (Đóng băng)",IF(P383&gt;=85,"Tier S (Kim Cương: 85-100đ)",IF(P383&gt;=70,"Tier A (Vàng: 70-84đ)",IF(P383&gt;=61,"Tier B+ / Cấp A (Hot Lead: 61-69đ)",IF(P383&gt;=50,"Tier B (Bạc: 50-60đ)","Tier C (Đồng: 30-49đ)")))))</f>
        <v/>
      </c>
      <c r="R383" s="6" t="inlineStr">
        <is>
          <t>Cỏ nhân tạo sân chơi/huấn luyện (Dog Turf) + Đồ chơi nhai chịu lực (KONG/Chew Toys)</t>
        </is>
      </c>
      <c r="S383" s="6" t="inlineStr">
        <is>
          <t>Cấp B Tiềm năng: Tiếp cận tự động qua chuỗi Email Marketing + Chăm sóc bổ sung bằng Telesale</t>
        </is>
      </c>
    </row>
    <row r="384">
      <c r="A384" s="59" t="n">
        <v>4273</v>
      </c>
      <c r="B384" s="15" t="inlineStr">
        <is>
          <t>K9 Biathlon for alle</t>
        </is>
      </c>
      <c r="C384" s="60" t="inlineStr">
        <is>
          <t>https://www.facebook.com/profile.php?id=100063911540111</t>
        </is>
      </c>
      <c r="D384" s="9" t="inlineStr">
        <is>
          <t>Cần quét Bio Fanpage</t>
        </is>
      </c>
      <c r="E384" s="59" t="inlineStr">
        <is>
          <t>13/10/2026 04:40:57</t>
        </is>
      </c>
      <c r="F384" s="59" t="inlineStr">
        <is>
          <t>3 giờ trước</t>
        </is>
      </c>
      <c r="G384" s="61" t="n">
        <v>0.12</v>
      </c>
      <c r="H384" s="62" t="n">
        <v>35</v>
      </c>
      <c r="I384" s="9" t="inlineStr">
        <is>
          <t>Pet Boarding / Huấn luyện K9 &amp; Dịch vụ (20-22đ)</t>
        </is>
      </c>
      <c r="J384" s="62" t="n">
        <v>22</v>
      </c>
      <c r="K384" s="9" t="inlineStr">
        <is>
          <t>Chưa rõ giống (Cần quét Bio)</t>
        </is>
      </c>
      <c r="L384" s="62" t="n">
        <v>0</v>
      </c>
      <c r="M384" s="62" t="n">
        <v>0</v>
      </c>
      <c r="N384" s="9" t="inlineStr">
        <is>
          <t>Amazon link not found</t>
        </is>
      </c>
      <c r="O384" s="62">
        <f>IF(N384="Selling pet toys + Artificial grass/Pet toilets (TARGET)",15,IF(N384="Selling artificial grass/pet toilets (TARGET)",10,IF(N384="Selling pet toys",7,IF(N384="There's an Amazon link, but no target sales.",3,0))))</f>
        <v/>
      </c>
      <c r="P384" s="67">
        <f>H384+J384+L384+M384+O384</f>
        <v/>
      </c>
      <c r="Q384" s="66">
        <f>IF(OR(H384=0,P384&lt;30),"Tier D (Đóng băng)",IF(P384&gt;=85,"Tier S (Kim Cương: 85-100đ)",IF(P384&gt;=70,"Tier A (Vàng: 70-84đ)",IF(P384&gt;=61,"Tier B+ / Cấp A (Hot Lead: 61-69đ)",IF(P384&gt;=50,"Tier B (Bạc: 50-60đ)","Tier C (Đồng: 30-49đ)")))))</f>
        <v/>
      </c>
      <c r="R384" s="9" t="inlineStr">
        <is>
          <t>Cỏ nhân tạo sân chơi/huấn luyện (Dog Turf) + Đồ chơi nhai chịu lực (KONG/Chew Toys)</t>
        </is>
      </c>
      <c r="S384" s="9" t="inlineStr">
        <is>
          <t>Cấp B Tiềm năng: Tiếp cận tự động qua chuỗi Email Marketing + Chăm sóc bổ sung bằng Telesale</t>
        </is>
      </c>
    </row>
    <row r="385">
      <c r="A385" s="53" t="n">
        <v>4074</v>
      </c>
      <c r="B385" s="12" t="inlineStr">
        <is>
          <t>Happy Chappy Dog Training</t>
        </is>
      </c>
      <c r="C385" s="54" t="inlineStr">
        <is>
          <t>https://www.facebook.com/happychappydogtraining</t>
        </is>
      </c>
      <c r="D385" s="6" t="inlineStr">
        <is>
          <t>Cần quét Bio Fanpage</t>
        </is>
      </c>
      <c r="E385" s="53" t="inlineStr">
        <is>
          <t>13/10/2026 04:31:43</t>
        </is>
      </c>
      <c r="F385" s="53" t="inlineStr">
        <is>
          <t>3 giờ trước</t>
        </is>
      </c>
      <c r="G385" s="55" t="n">
        <v>0.12</v>
      </c>
      <c r="H385" s="56" t="n">
        <v>35</v>
      </c>
      <c r="I385" s="6" t="inlineStr">
        <is>
          <t>Pet Boarding / Huấn luyện K9 &amp; Dịch vụ (20-22đ)</t>
        </is>
      </c>
      <c r="J385" s="56" t="n">
        <v>22</v>
      </c>
      <c r="K385" s="6" t="inlineStr">
        <is>
          <t>Chưa rõ giống (Cần quét Bio)</t>
        </is>
      </c>
      <c r="L385" s="56" t="n">
        <v>0</v>
      </c>
      <c r="M385" s="56" t="n">
        <v>0</v>
      </c>
      <c r="N385" s="6" t="inlineStr">
        <is>
          <t>Amazon link not found</t>
        </is>
      </c>
      <c r="O385" s="56">
        <f>IF(N385="Selling pet toys + Artificial grass/Pet toilets (TARGET)",15,IF(N385="Selling artificial grass/pet toilets (TARGET)",10,IF(N385="Selling pet toys",7,IF(N385="There's an Amazon link, but no target sales.",3,0))))</f>
        <v/>
      </c>
      <c r="P385" s="65">
        <f>H385+J385+L385+M385+O385</f>
        <v/>
      </c>
      <c r="Q385" s="66">
        <f>IF(OR(H385=0,P385&lt;30),"Tier D (Đóng băng)",IF(P385&gt;=85,"Tier S (Kim Cương: 85-100đ)",IF(P385&gt;=70,"Tier A (Vàng: 70-84đ)",IF(P385&gt;=61,"Tier B+ / Cấp A (Hot Lead: 61-69đ)",IF(P385&gt;=50,"Tier B (Bạc: 50-60đ)","Tier C (Đồng: 30-49đ)")))))</f>
        <v/>
      </c>
      <c r="R385" s="6" t="inlineStr">
        <is>
          <t>Cỏ nhân tạo sân chơi/huấn luyện (Dog Turf) + Đồ chơi nhai chịu lực (KONG/Chew Toys)</t>
        </is>
      </c>
      <c r="S385" s="6" t="inlineStr">
        <is>
          <t>Cấp B Tiềm năng: Tiếp cận tự động qua chuỗi Email Marketing + Chăm sóc bổ sung bằng Telesale</t>
        </is>
      </c>
    </row>
    <row r="386">
      <c r="A386" s="59" t="n">
        <v>1828</v>
      </c>
      <c r="B386" s="15" t="inlineStr">
        <is>
          <t>K9brats &amp; K9 Brats Agility Club</t>
        </is>
      </c>
      <c r="C386" s="60" t="inlineStr">
        <is>
          <t>https://www.facebook.com/profile.php?id=100057286487026</t>
        </is>
      </c>
      <c r="D386" s="9" t="inlineStr">
        <is>
          <t>Cần quét Bio Fanpage</t>
        </is>
      </c>
      <c r="E386" s="59" t="inlineStr">
        <is>
          <t>13/10/2026 04:11:15</t>
        </is>
      </c>
      <c r="F386" s="59" t="inlineStr">
        <is>
          <t>1 phút trước</t>
        </is>
      </c>
      <c r="G386" s="61" t="n">
        <v>0</v>
      </c>
      <c r="H386" s="62" t="n">
        <v>35</v>
      </c>
      <c r="I386" s="9" t="inlineStr">
        <is>
          <t>Pet Boarding / Huấn luyện K9 &amp; Dịch vụ (20-22đ)</t>
        </is>
      </c>
      <c r="J386" s="62" t="n">
        <v>22</v>
      </c>
      <c r="K386" s="9" t="inlineStr">
        <is>
          <t>Chưa rõ giống (Cần quét Bio)</t>
        </is>
      </c>
      <c r="L386" s="62" t="n">
        <v>0</v>
      </c>
      <c r="M386" s="62" t="n">
        <v>0</v>
      </c>
      <c r="N386" s="9" t="inlineStr">
        <is>
          <t>Amazon link not found</t>
        </is>
      </c>
      <c r="O386" s="62">
        <f>IF(N386="Selling pet toys + Artificial grass/Pet toilets (TARGET)",15,IF(N386="Selling artificial grass/pet toilets (TARGET)",10,IF(N386="Selling pet toys",7,IF(N386="There's an Amazon link, but no target sales.",3,0))))</f>
        <v/>
      </c>
      <c r="P386" s="67">
        <f>H386+J386+L386+M386+O386</f>
        <v/>
      </c>
      <c r="Q386" s="66">
        <f>IF(OR(H386=0,P386&lt;30),"Tier D (Đóng băng)",IF(P386&gt;=85,"Tier S (Kim Cương: 85-100đ)",IF(P386&gt;=70,"Tier A (Vàng: 70-84đ)",IF(P386&gt;=61,"Tier B+ / Cấp A (Hot Lead: 61-69đ)",IF(P386&gt;=50,"Tier B (Bạc: 50-60đ)","Tier C (Đồng: 30-49đ)")))))</f>
        <v/>
      </c>
      <c r="R386" s="9" t="inlineStr">
        <is>
          <t>Cỏ nhân tạo sân chơi/huấn luyện (Dog Turf) + Đồ chơi nhai chịu lực (KONG/Chew Toys)</t>
        </is>
      </c>
      <c r="S386" s="9" t="inlineStr">
        <is>
          <t>Cấp B Tiềm năng: Tiếp cận tự động qua chuỗi Email Marketing + Chăm sóc bổ sung bằng Telesale</t>
        </is>
      </c>
    </row>
    <row r="387">
      <c r="A387" s="53" t="n">
        <v>3270</v>
      </c>
      <c r="B387" s="12" t="inlineStr">
        <is>
          <t>Unleashed Dog Training</t>
        </is>
      </c>
      <c r="C387" s="54" t="inlineStr">
        <is>
          <t>https://www.facebook.com/profile.php?id=100087915525904</t>
        </is>
      </c>
      <c r="D387" s="6" t="inlineStr">
        <is>
          <t>Cần quét Bio Fanpage</t>
        </is>
      </c>
      <c r="E387" s="53" t="inlineStr">
        <is>
          <t>13/10/2026 03:44:35</t>
        </is>
      </c>
      <c r="F387" s="53" t="inlineStr">
        <is>
          <t>3 giờ trước</t>
        </is>
      </c>
      <c r="G387" s="55" t="n">
        <v>0.12</v>
      </c>
      <c r="H387" s="56" t="n">
        <v>35</v>
      </c>
      <c r="I387" s="6" t="inlineStr">
        <is>
          <t>Pet Boarding / Huấn luyện K9 &amp; Dịch vụ (20-22đ)</t>
        </is>
      </c>
      <c r="J387" s="56" t="n">
        <v>22</v>
      </c>
      <c r="K387" s="6" t="inlineStr">
        <is>
          <t>Chưa rõ giống (Cần quét Bio)</t>
        </is>
      </c>
      <c r="L387" s="56" t="n">
        <v>0</v>
      </c>
      <c r="M387" s="56" t="n">
        <v>0</v>
      </c>
      <c r="N387" s="6" t="inlineStr">
        <is>
          <t>Amazon link not found</t>
        </is>
      </c>
      <c r="O387" s="56">
        <f>IF(N387="Selling pet toys + Artificial grass/Pet toilets (TARGET)",15,IF(N387="Selling artificial grass/pet toilets (TARGET)",10,IF(N387="Selling pet toys",7,IF(N387="There's an Amazon link, but no target sales.",3,0))))</f>
        <v/>
      </c>
      <c r="P387" s="65">
        <f>H387+J387+L387+M387+O387</f>
        <v/>
      </c>
      <c r="Q387" s="66">
        <f>IF(OR(H387=0,P387&lt;30),"Tier D (Đóng băng)",IF(P387&gt;=85,"Tier S (Kim Cương: 85-100đ)",IF(P387&gt;=70,"Tier A (Vàng: 70-84đ)",IF(P387&gt;=61,"Tier B+ / Cấp A (Hot Lead: 61-69đ)",IF(P387&gt;=50,"Tier B (Bạc: 50-60đ)","Tier C (Đồng: 30-49đ)")))))</f>
        <v/>
      </c>
      <c r="R387" s="6" t="inlineStr">
        <is>
          <t>Cỏ nhân tạo sân chơi/huấn luyện (Dog Turf) + Đồ chơi nhai chịu lực (KONG/Chew Toys)</t>
        </is>
      </c>
      <c r="S387" s="6" t="inlineStr">
        <is>
          <t>Cấp B Tiềm năng: Tiếp cận tự động qua chuỗi Email Marketing + Chăm sóc bổ sung bằng Telesale</t>
        </is>
      </c>
    </row>
    <row r="388">
      <c r="A388" s="59" t="n">
        <v>1814</v>
      </c>
      <c r="B388" s="15" t="inlineStr">
        <is>
          <t>K9 Nut</t>
        </is>
      </c>
      <c r="C388" s="60" t="inlineStr">
        <is>
          <t>https://www.facebook.com/K9Nut</t>
        </is>
      </c>
      <c r="D388" s="9" t="inlineStr">
        <is>
          <t>Cần quét Bio Fanpage</t>
        </is>
      </c>
      <c r="E388" s="59" t="inlineStr">
        <is>
          <t>13/10/2026 03:43:44</t>
        </is>
      </c>
      <c r="F388" s="59" t="inlineStr">
        <is>
          <t>27 phút trước</t>
        </is>
      </c>
      <c r="G388" s="61" t="n">
        <v>0.02</v>
      </c>
      <c r="H388" s="62" t="n">
        <v>35</v>
      </c>
      <c r="I388" s="9" t="inlineStr">
        <is>
          <t>Pet Boarding / Huấn luyện K9 &amp; Dịch vụ (20-22đ)</t>
        </is>
      </c>
      <c r="J388" s="62" t="n">
        <v>22</v>
      </c>
      <c r="K388" s="9" t="inlineStr">
        <is>
          <t>Chưa rõ giống (Cần quét Bio)</t>
        </is>
      </c>
      <c r="L388" s="62" t="n">
        <v>0</v>
      </c>
      <c r="M388" s="62" t="n">
        <v>0</v>
      </c>
      <c r="N388" s="9" t="inlineStr">
        <is>
          <t>Amazon link not found</t>
        </is>
      </c>
      <c r="O388" s="62">
        <f>IF(N388="Selling pet toys + Artificial grass/Pet toilets (TARGET)",15,IF(N388="Selling artificial grass/pet toilets (TARGET)",10,IF(N388="Selling pet toys",7,IF(N388="There's an Amazon link, but no target sales.",3,0))))</f>
        <v/>
      </c>
      <c r="P388" s="67">
        <f>H388+J388+L388+M388+O388</f>
        <v/>
      </c>
      <c r="Q388" s="66">
        <f>IF(OR(H388=0,P388&lt;30),"Tier D (Đóng băng)",IF(P388&gt;=85,"Tier S (Kim Cương: 85-100đ)",IF(P388&gt;=70,"Tier A (Vàng: 70-84đ)",IF(P388&gt;=61,"Tier B+ / Cấp A (Hot Lead: 61-69đ)",IF(P388&gt;=50,"Tier B (Bạc: 50-60đ)","Tier C (Đồng: 30-49đ)")))))</f>
        <v/>
      </c>
      <c r="R388" s="9" t="inlineStr">
        <is>
          <t>Cỏ nhân tạo sân chơi/huấn luyện (Dog Turf) + Đồ chơi nhai chịu lực (KONG/Chew Toys)</t>
        </is>
      </c>
      <c r="S388" s="9" t="inlineStr">
        <is>
          <t>Cấp B Tiềm năng: Tiếp cận tự động qua chuỗi Email Marketing + Chăm sóc bổ sung bằng Telesale</t>
        </is>
      </c>
    </row>
    <row r="389">
      <c r="A389" s="53" t="n">
        <v>816</v>
      </c>
      <c r="B389" s="12" t="inlineStr">
        <is>
          <t>Camp K-9 Pet Resort and Spa</t>
        </is>
      </c>
      <c r="C389" s="54" t="inlineStr">
        <is>
          <t>https://www.facebook.com/Campk9fun</t>
        </is>
      </c>
      <c r="D389" s="6" t="inlineStr">
        <is>
          <t>Cần quét Bio Fanpage</t>
        </is>
      </c>
      <c r="E389" s="53" t="inlineStr">
        <is>
          <t>13/10/2026 02:13:12</t>
        </is>
      </c>
      <c r="F389" s="53" t="inlineStr">
        <is>
          <t>10 phút trước</t>
        </is>
      </c>
      <c r="G389" s="55" t="n">
        <v>0.01</v>
      </c>
      <c r="H389" s="56" t="n">
        <v>35</v>
      </c>
      <c r="I389" s="6" t="inlineStr">
        <is>
          <t>Pet Boarding / Huấn luyện K9 &amp; Dịch vụ (20-22đ)</t>
        </is>
      </c>
      <c r="J389" s="56" t="n">
        <v>22</v>
      </c>
      <c r="K389" s="6" t="inlineStr">
        <is>
          <t>Chưa rõ giống (Cần quét Bio)</t>
        </is>
      </c>
      <c r="L389" s="56" t="n">
        <v>0</v>
      </c>
      <c r="M389" s="56" t="n">
        <v>0</v>
      </c>
      <c r="N389" s="6" t="inlineStr">
        <is>
          <t>Amazon link not found</t>
        </is>
      </c>
      <c r="O389" s="56">
        <f>IF(N389="Selling pet toys + Artificial grass/Pet toilets (TARGET)",15,IF(N389="Selling artificial grass/pet toilets (TARGET)",10,IF(N389="Selling pet toys",7,IF(N389="There's an Amazon link, but no target sales.",3,0))))</f>
        <v/>
      </c>
      <c r="P389" s="65">
        <f>H389+J389+L389+M389+O389</f>
        <v/>
      </c>
      <c r="Q389" s="66">
        <f>IF(OR(H389=0,P389&lt;30),"Tier D (Đóng băng)",IF(P389&gt;=85,"Tier S (Kim Cương: 85-100đ)",IF(P389&gt;=70,"Tier A (Vàng: 70-84đ)",IF(P389&gt;=61,"Tier B+ / Cấp A (Hot Lead: 61-69đ)",IF(P389&gt;=50,"Tier B (Bạc: 50-60đ)","Tier C (Đồng: 30-49đ)")))))</f>
        <v/>
      </c>
      <c r="R389" s="6" t="inlineStr">
        <is>
          <t>Cỏ nhân tạo sân chơi/huấn luyện (Dog Turf) + Đồ chơi nhai chịu lực (KONG/Chew Toys)</t>
        </is>
      </c>
      <c r="S389" s="6" t="inlineStr">
        <is>
          <t>Cấp B Tiềm năng: Tiếp cận tự động qua chuỗi Email Marketing + Chăm sóc bổ sung bằng Telesale</t>
        </is>
      </c>
    </row>
    <row r="390">
      <c r="A390" s="59" t="n">
        <v>1581</v>
      </c>
      <c r="B390" s="15" t="inlineStr">
        <is>
          <t>Gunderson Dog Training and Boarding</t>
        </is>
      </c>
      <c r="C390" s="60" t="inlineStr">
        <is>
          <t>https://www.facebook.com/Gundersondogtrainingandboarding</t>
        </is>
      </c>
      <c r="D390" s="9" t="inlineStr">
        <is>
          <t>Cần quét Bio Fanpage</t>
        </is>
      </c>
      <c r="E390" s="59" t="inlineStr">
        <is>
          <t>13/10/2026 01:42:43</t>
        </is>
      </c>
      <c r="F390" s="59" t="inlineStr">
        <is>
          <t>2 giờ trước</t>
        </is>
      </c>
      <c r="G390" s="61" t="n">
        <v>0.08</v>
      </c>
      <c r="H390" s="62" t="n">
        <v>35</v>
      </c>
      <c r="I390" s="9" t="inlineStr">
        <is>
          <t>Pet Boarding / Huấn luyện K9 &amp; Dịch vụ (20-22đ)</t>
        </is>
      </c>
      <c r="J390" s="62" t="n">
        <v>22</v>
      </c>
      <c r="K390" s="9" t="inlineStr">
        <is>
          <t>Chưa rõ giống (Cần quét Bio)</t>
        </is>
      </c>
      <c r="L390" s="62" t="n">
        <v>0</v>
      </c>
      <c r="M390" s="62" t="n">
        <v>0</v>
      </c>
      <c r="N390" s="9" t="inlineStr">
        <is>
          <t>Amazon link not found</t>
        </is>
      </c>
      <c r="O390" s="62">
        <f>IF(N390="Selling pet toys + Artificial grass/Pet toilets (TARGET)",15,IF(N390="Selling artificial grass/pet toilets (TARGET)",10,IF(N390="Selling pet toys",7,IF(N390="There's an Amazon link, but no target sales.",3,0))))</f>
        <v/>
      </c>
      <c r="P390" s="67">
        <f>H390+J390+L390+M390+O390</f>
        <v/>
      </c>
      <c r="Q390" s="66">
        <f>IF(OR(H390=0,P390&lt;30),"Tier D (Đóng băng)",IF(P390&gt;=85,"Tier S (Kim Cương: 85-100đ)",IF(P390&gt;=70,"Tier A (Vàng: 70-84đ)",IF(P390&gt;=61,"Tier B+ / Cấp A (Hot Lead: 61-69đ)",IF(P390&gt;=50,"Tier B (Bạc: 50-60đ)","Tier C (Đồng: 30-49đ)")))))</f>
        <v/>
      </c>
      <c r="R390" s="9" t="inlineStr">
        <is>
          <t>Cỏ nhân tạo sân chơi/huấn luyện (Dog Turf) + Đồ chơi nhai chịu lực (KONG/Chew Toys)</t>
        </is>
      </c>
      <c r="S390" s="9" t="inlineStr">
        <is>
          <t>Cấp B Tiềm năng: Tiếp cận tự động qua chuỗi Email Marketing + Chăm sóc bổ sung bằng Telesale</t>
        </is>
      </c>
    </row>
    <row r="391">
      <c r="A391" s="53" t="n">
        <v>934</v>
      </c>
      <c r="B391" s="12" t="inlineStr">
        <is>
          <t>Complete K9 Care</t>
        </is>
      </c>
      <c r="C391" s="54" t="inlineStr">
        <is>
          <t>https://www.facebook.com/profile.php?id=100090580474722</t>
        </is>
      </c>
      <c r="D391" s="6" t="inlineStr">
        <is>
          <t>Cần quét Bio Fanpage</t>
        </is>
      </c>
      <c r="E391" s="53" t="inlineStr">
        <is>
          <t>13/10/2026 00:53:50</t>
        </is>
      </c>
      <c r="F391" s="53" t="inlineStr">
        <is>
          <t>1 giờ trước</t>
        </is>
      </c>
      <c r="G391" s="55" t="n">
        <v>0.04</v>
      </c>
      <c r="H391" s="56" t="n">
        <v>35</v>
      </c>
      <c r="I391" s="6" t="inlineStr">
        <is>
          <t>Pet Boarding / Huấn luyện K9 &amp; Dịch vụ (20-22đ)</t>
        </is>
      </c>
      <c r="J391" s="56" t="n">
        <v>22</v>
      </c>
      <c r="K391" s="6" t="inlineStr">
        <is>
          <t>Chưa rõ giống (Cần quét Bio)</t>
        </is>
      </c>
      <c r="L391" s="56" t="n">
        <v>0</v>
      </c>
      <c r="M391" s="56" t="n">
        <v>0</v>
      </c>
      <c r="N391" s="6" t="inlineStr">
        <is>
          <t>Amazon link not found</t>
        </is>
      </c>
      <c r="O391" s="56">
        <f>IF(N391="Selling pet toys + Artificial grass/Pet toilets (TARGET)",15,IF(N391="Selling artificial grass/pet toilets (TARGET)",10,IF(N391="Selling pet toys",7,IF(N391="There's an Amazon link, but no target sales.",3,0))))</f>
        <v/>
      </c>
      <c r="P391" s="65">
        <f>H391+J391+L391+M391+O391</f>
        <v/>
      </c>
      <c r="Q391" s="66">
        <f>IF(OR(H391=0,P391&lt;30),"Tier D (Đóng băng)",IF(P391&gt;=85,"Tier S (Kim Cương: 85-100đ)",IF(P391&gt;=70,"Tier A (Vàng: 70-84đ)",IF(P391&gt;=61,"Tier B+ / Cấp A (Hot Lead: 61-69đ)",IF(P391&gt;=50,"Tier B (Bạc: 50-60đ)","Tier C (Đồng: 30-49đ)")))))</f>
        <v/>
      </c>
      <c r="R391" s="6" t="inlineStr">
        <is>
          <t>Cỏ nhân tạo sân chơi/huấn luyện (Dog Turf) + Đồ chơi nhai chịu lực (KONG/Chew Toys)</t>
        </is>
      </c>
      <c r="S391" s="6" t="inlineStr">
        <is>
          <t>Cấp B Tiềm năng: Tiếp cận tự động qua chuỗi Email Marketing + Chăm sóc bổ sung bằng Telesale</t>
        </is>
      </c>
    </row>
    <row r="392">
      <c r="A392" s="59" t="n">
        <v>220</v>
      </c>
      <c r="B392" s="15" t="inlineStr">
        <is>
          <t>McMahon Dog Training</t>
        </is>
      </c>
      <c r="C392" s="60" t="inlineStr">
        <is>
          <t>https://www.facebook.com/profile.php?id=61554724832090</t>
        </is>
      </c>
      <c r="D392" s="9" t="inlineStr">
        <is>
          <t>Cần quét Bio Fanpage</t>
        </is>
      </c>
      <c r="E392" s="59" t="inlineStr">
        <is>
          <t>13/10/2026 00:32:11</t>
        </is>
      </c>
      <c r="F392" s="59" t="inlineStr">
        <is>
          <t>46 phút trước</t>
        </is>
      </c>
      <c r="G392" s="61" t="n">
        <v>0.03</v>
      </c>
      <c r="H392" s="62" t="n">
        <v>35</v>
      </c>
      <c r="I392" s="9" t="inlineStr">
        <is>
          <t>Pet Boarding / Huấn luyện K9 &amp; Dịch vụ (20-22đ)</t>
        </is>
      </c>
      <c r="J392" s="62" t="n">
        <v>22</v>
      </c>
      <c r="K392" s="9" t="inlineStr">
        <is>
          <t>Chưa rõ giống (Cần quét Bio)</t>
        </is>
      </c>
      <c r="L392" s="62" t="n">
        <v>0</v>
      </c>
      <c r="M392" s="62" t="n">
        <v>0</v>
      </c>
      <c r="N392" s="9" t="inlineStr">
        <is>
          <t>Amazon link not found</t>
        </is>
      </c>
      <c r="O392" s="62">
        <f>IF(N392="Selling pet toys + Artificial grass/Pet toilets (TARGET)",15,IF(N392="Selling artificial grass/pet toilets (TARGET)",10,IF(N392="Selling pet toys",7,IF(N392="There's an Amazon link, but no target sales.",3,0))))</f>
        <v/>
      </c>
      <c r="P392" s="67">
        <f>H392+J392+L392+M392+O392</f>
        <v/>
      </c>
      <c r="Q392" s="66">
        <f>IF(OR(H392=0,P392&lt;30),"Tier D (Đóng băng)",IF(P392&gt;=85,"Tier S (Kim Cương: 85-100đ)",IF(P392&gt;=70,"Tier A (Vàng: 70-84đ)",IF(P392&gt;=61,"Tier B+ / Cấp A (Hot Lead: 61-69đ)",IF(P392&gt;=50,"Tier B (Bạc: 50-60đ)","Tier C (Đồng: 30-49đ)")))))</f>
        <v/>
      </c>
      <c r="R392" s="9" t="inlineStr">
        <is>
          <t>Cỏ nhân tạo sân chơi/huấn luyện (Dog Turf) + Đồ chơi nhai chịu lực (KONG/Chew Toys)</t>
        </is>
      </c>
      <c r="S392" s="9" t="inlineStr">
        <is>
          <t>Cấp B Tiềm năng: Tiếp cận tự động qua chuỗi Email Marketing + Chăm sóc bổ sung bằng Telesale</t>
        </is>
      </c>
    </row>
    <row r="393">
      <c r="A393" s="53" t="n">
        <v>3206</v>
      </c>
      <c r="B393" s="12" t="inlineStr">
        <is>
          <t>Tom Cantwell - Gundog Trainer</t>
        </is>
      </c>
      <c r="C393" s="54" t="inlineStr">
        <is>
          <t>https://www.facebook.com/twfod</t>
        </is>
      </c>
      <c r="D393" s="6" t="inlineStr">
        <is>
          <t>Cần quét Bio Fanpage</t>
        </is>
      </c>
      <c r="E393" s="53" t="inlineStr">
        <is>
          <t>12/10/2026 23:31:19</t>
        </is>
      </c>
      <c r="F393" s="53" t="inlineStr">
        <is>
          <t>7 giờ trước</t>
        </is>
      </c>
      <c r="G393" s="55" t="n">
        <v>0.29</v>
      </c>
      <c r="H393" s="56" t="n">
        <v>32</v>
      </c>
      <c r="I393" s="6" t="inlineStr">
        <is>
          <t>Pet Boarding / Huấn luyện K9 &amp; Dịch vụ (20-22đ)</t>
        </is>
      </c>
      <c r="J393" s="56" t="n">
        <v>20</v>
      </c>
      <c r="K393" s="6" t="inlineStr">
        <is>
          <t>Spaniel / Gun Dog / Retriever</t>
        </is>
      </c>
      <c r="L393" s="56" t="n">
        <v>5</v>
      </c>
      <c r="M393" s="56" t="n">
        <v>0</v>
      </c>
      <c r="N393" s="6" t="inlineStr">
        <is>
          <t>Amazon link not found</t>
        </is>
      </c>
      <c r="O393" s="56">
        <f>IF(N393="Selling pet toys + Artificial grass/Pet toilets (TARGET)",15,IF(N393="Selling artificial grass/pet toilets (TARGET)",10,IF(N393="Selling pet toys",7,IF(N393="There's an Amazon link, but no target sales.",3,0))))</f>
        <v/>
      </c>
      <c r="P393" s="65">
        <f>H393+J393+L393+M393+O393</f>
        <v/>
      </c>
      <c r="Q393" s="66">
        <f>IF(OR(H393=0,P393&lt;30),"Tier D (Đóng băng)",IF(P393&gt;=85,"Tier S (Kim Cương: 85-100đ)",IF(P393&gt;=70,"Tier A (Vàng: 70-84đ)",IF(P393&gt;=61,"Tier B+ / Cấp A (Hot Lead: 61-69đ)",IF(P393&gt;=50,"Tier B (Bạc: 50-60đ)","Tier C (Đồng: 30-49đ)")))))</f>
        <v/>
      </c>
      <c r="R393" s="6" t="inlineStr">
        <is>
          <t>Cỏ nhân tạo sân chơi/huấn luyện (Dog Turf) + Đồ chơi nhai chịu lực (KONG/Chew Toys)</t>
        </is>
      </c>
      <c r="S393" s="6" t="inlineStr">
        <is>
          <t>Cấp B Tiềm năng: Tiếp cận tự động qua chuỗi Email Marketing + Chăm sóc bổ sung bằng Telesale</t>
        </is>
      </c>
    </row>
    <row r="394">
      <c r="A394" s="59" t="n">
        <v>896</v>
      </c>
      <c r="B394" s="15" t="inlineStr">
        <is>
          <t>Chris Taylor-Rea - Dog Training</t>
        </is>
      </c>
      <c r="C394" s="60" t="inlineStr">
        <is>
          <t>https://www.facebook.com/ChrisTaylorReaDogTraining</t>
        </is>
      </c>
      <c r="D394" s="9" t="inlineStr">
        <is>
          <t>Cần quét Bio Fanpage</t>
        </is>
      </c>
      <c r="E394" s="59" t="inlineStr">
        <is>
          <t>12/10/2026 23:03:14</t>
        </is>
      </c>
      <c r="F394" s="59" t="inlineStr">
        <is>
          <t>3 giờ trước</t>
        </is>
      </c>
      <c r="G394" s="61" t="n">
        <v>0.12</v>
      </c>
      <c r="H394" s="62" t="n">
        <v>35</v>
      </c>
      <c r="I394" s="9" t="inlineStr">
        <is>
          <t>Pet Boarding / Huấn luyện K9 &amp; Dịch vụ (20-22đ)</t>
        </is>
      </c>
      <c r="J394" s="62" t="n">
        <v>22</v>
      </c>
      <c r="K394" s="9" t="inlineStr">
        <is>
          <t>Chưa rõ giống (Cần quét Bio)</t>
        </is>
      </c>
      <c r="L394" s="62" t="n">
        <v>0</v>
      </c>
      <c r="M394" s="62" t="n">
        <v>0</v>
      </c>
      <c r="N394" s="9" t="inlineStr">
        <is>
          <t>Amazon link not found</t>
        </is>
      </c>
      <c r="O394" s="62">
        <f>IF(N394="Selling pet toys + Artificial grass/Pet toilets (TARGET)",15,IF(N394="Selling artificial grass/pet toilets (TARGET)",10,IF(N394="Selling pet toys",7,IF(N394="There's an Amazon link, but no target sales.",3,0))))</f>
        <v/>
      </c>
      <c r="P394" s="67">
        <f>H394+J394+L394+M394+O394</f>
        <v/>
      </c>
      <c r="Q394" s="66">
        <f>IF(OR(H394=0,P394&lt;30),"Tier D (Đóng băng)",IF(P394&gt;=85,"Tier S (Kim Cương: 85-100đ)",IF(P394&gt;=70,"Tier A (Vàng: 70-84đ)",IF(P394&gt;=61,"Tier B+ / Cấp A (Hot Lead: 61-69đ)",IF(P394&gt;=50,"Tier B (Bạc: 50-60đ)","Tier C (Đồng: 30-49đ)")))))</f>
        <v/>
      </c>
      <c r="R394" s="9" t="inlineStr">
        <is>
          <t>Cỏ nhân tạo sân chơi/huấn luyện (Dog Turf) + Đồ chơi nhai chịu lực (KONG/Chew Toys)</t>
        </is>
      </c>
      <c r="S394" s="9" t="inlineStr">
        <is>
          <t>Cấp B Tiềm năng: Tiếp cận tự động qua chuỗi Email Marketing + Chăm sóc bổ sung bằng Telesale</t>
        </is>
      </c>
    </row>
    <row r="395">
      <c r="A395" s="53" t="n">
        <v>18</v>
      </c>
      <c r="B395" s="12" t="inlineStr">
        <is>
          <t>Tom Davis Dog Training</t>
        </is>
      </c>
      <c r="C395" s="54" t="inlineStr">
        <is>
          <t>https://www.facebook.com/AmericasCanineEducator</t>
        </is>
      </c>
      <c r="D395" s="6" t="inlineStr">
        <is>
          <t>Cần quét Bio Fanpage</t>
        </is>
      </c>
      <c r="E395" s="53" t="inlineStr">
        <is>
          <t>12/10/2026 23:01:14</t>
        </is>
      </c>
      <c r="F395" s="53" t="inlineStr">
        <is>
          <t>1 giờ trước</t>
        </is>
      </c>
      <c r="G395" s="55" t="n">
        <v>0.04</v>
      </c>
      <c r="H395" s="56" t="n">
        <v>35</v>
      </c>
      <c r="I395" s="6" t="inlineStr">
        <is>
          <t>Pet Boarding / Huấn luyện K9 &amp; Dịch vụ (20-22đ)</t>
        </is>
      </c>
      <c r="J395" s="56" t="n">
        <v>22</v>
      </c>
      <c r="K395" s="6" t="inlineStr">
        <is>
          <t>Chưa rõ giống (Cần quét Bio)</t>
        </is>
      </c>
      <c r="L395" s="56" t="n">
        <v>0</v>
      </c>
      <c r="M395" s="56" t="n">
        <v>0</v>
      </c>
      <c r="N395" s="6" t="inlineStr">
        <is>
          <t>Amazon link not found</t>
        </is>
      </c>
      <c r="O395" s="56">
        <f>IF(N395="Selling pet toys + Artificial grass/Pet toilets (TARGET)",15,IF(N395="Selling artificial grass/pet toilets (TARGET)",10,IF(N395="Selling pet toys",7,IF(N395="There's an Amazon link, but no target sales.",3,0))))</f>
        <v/>
      </c>
      <c r="P395" s="65">
        <f>H395+J395+L395+M395+O395</f>
        <v/>
      </c>
      <c r="Q395" s="66">
        <f>IF(OR(H395=0,P395&lt;30),"Tier D (Đóng băng)",IF(P395&gt;=85,"Tier S (Kim Cương: 85-100đ)",IF(P395&gt;=70,"Tier A (Vàng: 70-84đ)",IF(P395&gt;=61,"Tier B+ / Cấp A (Hot Lead: 61-69đ)",IF(P395&gt;=50,"Tier B (Bạc: 50-60đ)","Tier C (Đồng: 30-49đ)")))))</f>
        <v/>
      </c>
      <c r="R395" s="6" t="inlineStr">
        <is>
          <t>Cỏ nhân tạo sân chơi/huấn luyện (Dog Turf) + Đồ chơi nhai chịu lực (KONG/Chew Toys)</t>
        </is>
      </c>
      <c r="S395" s="6" t="inlineStr">
        <is>
          <t>Cấp B Tiềm năng: Tiếp cận tự động qua chuỗi Email Marketing + Chăm sóc bổ sung bằng Telesale</t>
        </is>
      </c>
    </row>
    <row r="396">
      <c r="A396" s="59" t="n">
        <v>199</v>
      </c>
      <c r="B396" s="15" t="inlineStr">
        <is>
          <t>Julius-K9</t>
        </is>
      </c>
      <c r="C396" s="60" t="inlineStr">
        <is>
          <t>https://www.facebook.com/JuliusK9USA</t>
        </is>
      </c>
      <c r="D396" s="9" t="inlineStr">
        <is>
          <t>Cần quét Bio Fanpage</t>
        </is>
      </c>
      <c r="E396" s="59" t="inlineStr">
        <is>
          <t>12/10/2026 23:00:40</t>
        </is>
      </c>
      <c r="F396" s="59" t="inlineStr">
        <is>
          <t>2 giờ trước</t>
        </is>
      </c>
      <c r="G396" s="61" t="n">
        <v>0.08</v>
      </c>
      <c r="H396" s="62" t="n">
        <v>35</v>
      </c>
      <c r="I396" s="9" t="inlineStr">
        <is>
          <t>Pet Boarding / Huấn luyện K9 &amp; Dịch vụ (20-22đ)</t>
        </is>
      </c>
      <c r="J396" s="62" t="n">
        <v>22</v>
      </c>
      <c r="K396" s="9" t="inlineStr">
        <is>
          <t>Chưa rõ giống (Cần quét Bio)</t>
        </is>
      </c>
      <c r="L396" s="62" t="n">
        <v>0</v>
      </c>
      <c r="M396" s="62" t="n">
        <v>0</v>
      </c>
      <c r="N396" s="9" t="inlineStr">
        <is>
          <t>Amazon link not found</t>
        </is>
      </c>
      <c r="O396" s="62">
        <f>IF(N396="Selling pet toys + Artificial grass/Pet toilets (TARGET)",15,IF(N396="Selling artificial grass/pet toilets (TARGET)",10,IF(N396="Selling pet toys",7,IF(N396="There's an Amazon link, but no target sales.",3,0))))</f>
        <v/>
      </c>
      <c r="P396" s="67">
        <f>H396+J396+L396+M396+O396</f>
        <v/>
      </c>
      <c r="Q396" s="66">
        <f>IF(OR(H396=0,P396&lt;30),"Tier D (Đóng băng)",IF(P396&gt;=85,"Tier S (Kim Cương: 85-100đ)",IF(P396&gt;=70,"Tier A (Vàng: 70-84đ)",IF(P396&gt;=61,"Tier B+ / Cấp A (Hot Lead: 61-69đ)",IF(P396&gt;=50,"Tier B (Bạc: 50-60đ)","Tier C (Đồng: 30-49đ)")))))</f>
        <v/>
      </c>
      <c r="R396" s="9" t="inlineStr">
        <is>
          <t>Cỏ nhân tạo sân chơi/huấn luyện (Dog Turf) + Đồ chơi nhai chịu lực (KONG/Chew Toys)</t>
        </is>
      </c>
      <c r="S396" s="9" t="inlineStr">
        <is>
          <t>Cấp B Tiềm năng: Tiếp cận tự động qua chuỗi Email Marketing + Chăm sóc bổ sung bằng Telesale</t>
        </is>
      </c>
    </row>
    <row r="397">
      <c r="A397" s="53" t="n">
        <v>43</v>
      </c>
      <c r="B397" s="12" t="inlineStr">
        <is>
          <t>Method K9</t>
        </is>
      </c>
      <c r="C397" s="54" t="inlineStr">
        <is>
          <t>https://www.facebook.com/methodk9</t>
        </is>
      </c>
      <c r="D397" s="6" t="inlineStr">
        <is>
          <t>Cần quét Bio Fanpage</t>
        </is>
      </c>
      <c r="E397" s="53" t="inlineStr">
        <is>
          <t>12/10/2026 22:01:44</t>
        </is>
      </c>
      <c r="F397" s="53" t="inlineStr">
        <is>
          <t>2 giờ trước</t>
        </is>
      </c>
      <c r="G397" s="55" t="n">
        <v>0.08</v>
      </c>
      <c r="H397" s="56" t="n">
        <v>35</v>
      </c>
      <c r="I397" s="6" t="inlineStr">
        <is>
          <t>Pet Boarding / Huấn luyện K9 &amp; Dịch vụ (20-22đ)</t>
        </is>
      </c>
      <c r="J397" s="56" t="n">
        <v>22</v>
      </c>
      <c r="K397" s="6" t="inlineStr">
        <is>
          <t>Chưa rõ giống (Cần quét Bio)</t>
        </is>
      </c>
      <c r="L397" s="56" t="n">
        <v>0</v>
      </c>
      <c r="M397" s="56" t="n">
        <v>0</v>
      </c>
      <c r="N397" s="6" t="inlineStr">
        <is>
          <t>Amazon link not found</t>
        </is>
      </c>
      <c r="O397" s="56">
        <f>IF(N397="Selling pet toys + Artificial grass/Pet toilets (TARGET)",15,IF(N397="Selling artificial grass/pet toilets (TARGET)",10,IF(N397="Selling pet toys",7,IF(N397="There's an Amazon link, but no target sales.",3,0))))</f>
        <v/>
      </c>
      <c r="P397" s="65">
        <f>H397+J397+L397+M397+O397</f>
        <v/>
      </c>
      <c r="Q397" s="66">
        <f>IF(OR(H397=0,P397&lt;30),"Tier D (Đóng băng)",IF(P397&gt;=85,"Tier S (Kim Cương: 85-100đ)",IF(P397&gt;=70,"Tier A (Vàng: 70-84đ)",IF(P397&gt;=61,"Tier B+ / Cấp A (Hot Lead: 61-69đ)",IF(P397&gt;=50,"Tier B (Bạc: 50-60đ)","Tier C (Đồng: 30-49đ)")))))</f>
        <v/>
      </c>
      <c r="R397" s="6" t="inlineStr">
        <is>
          <t>Cỏ nhân tạo sân chơi/huấn luyện (Dog Turf) + Đồ chơi nhai chịu lực (KONG/Chew Toys)</t>
        </is>
      </c>
      <c r="S397" s="6" t="inlineStr">
        <is>
          <t>Cấp B Tiềm năng: Tiếp cận tự động qua chuỗi Email Marketing + Chăm sóc bổ sung bằng Telesale</t>
        </is>
      </c>
    </row>
    <row r="398">
      <c r="A398" s="59" t="n">
        <v>197</v>
      </c>
      <c r="B398" s="15" t="inlineStr">
        <is>
          <t>J'Adorables Pawsitive Packleader Pet Training</t>
        </is>
      </c>
      <c r="C398" s="60" t="inlineStr">
        <is>
          <t>https://www.facebook.com/JAdorablesPnD</t>
        </is>
      </c>
      <c r="D398" s="9" t="inlineStr">
        <is>
          <t>Cần quét Bio Fanpage</t>
        </is>
      </c>
      <c r="E398" s="59" t="inlineStr">
        <is>
          <t>12/10/2026 21:19:10</t>
        </is>
      </c>
      <c r="F398" s="59" t="inlineStr">
        <is>
          <t>3 giờ trước</t>
        </is>
      </c>
      <c r="G398" s="61" t="n">
        <v>0.12</v>
      </c>
      <c r="H398" s="62" t="n">
        <v>35</v>
      </c>
      <c r="I398" s="9" t="inlineStr">
        <is>
          <t>Pet Boarding / Huấn luyện K9 &amp; Dịch vụ (20-22đ)</t>
        </is>
      </c>
      <c r="J398" s="62" t="n">
        <v>22</v>
      </c>
      <c r="K398" s="9" t="inlineStr">
        <is>
          <t>Chưa rõ giống (Cần quét Bio)</t>
        </is>
      </c>
      <c r="L398" s="62" t="n">
        <v>0</v>
      </c>
      <c r="M398" s="62" t="n">
        <v>0</v>
      </c>
      <c r="N398" s="9" t="inlineStr">
        <is>
          <t>Amazon link not found</t>
        </is>
      </c>
      <c r="O398" s="62">
        <f>IF(N398="Selling pet toys + Artificial grass/Pet toilets (TARGET)",15,IF(N398="Selling artificial grass/pet toilets (TARGET)",10,IF(N398="Selling pet toys",7,IF(N398="There's an Amazon link, but no target sales.",3,0))))</f>
        <v/>
      </c>
      <c r="P398" s="67">
        <f>H398+J398+L398+M398+O398</f>
        <v/>
      </c>
      <c r="Q398" s="66">
        <f>IF(OR(H398=0,P398&lt;30),"Tier D (Đóng băng)",IF(P398&gt;=85,"Tier S (Kim Cương: 85-100đ)",IF(P398&gt;=70,"Tier A (Vàng: 70-84đ)",IF(P398&gt;=61,"Tier B+ / Cấp A (Hot Lead: 61-69đ)",IF(P398&gt;=50,"Tier B (Bạc: 50-60đ)","Tier C (Đồng: 30-49đ)")))))</f>
        <v/>
      </c>
      <c r="R398" s="9" t="inlineStr">
        <is>
          <t>Cỏ nhân tạo sân chơi/huấn luyện (Dog Turf) + Đồ chơi nhai chịu lực (KONG/Chew Toys)</t>
        </is>
      </c>
      <c r="S398" s="9" t="inlineStr">
        <is>
          <t>Cấp B Tiềm năng: Tiếp cận tự động qua chuỗi Email Marketing + Chăm sóc bổ sung bằng Telesale</t>
        </is>
      </c>
    </row>
    <row r="399">
      <c r="A399" s="53" t="n">
        <v>572</v>
      </c>
      <c r="B399" s="12" t="inlineStr">
        <is>
          <t>Bad Habit Gundogs</t>
        </is>
      </c>
      <c r="C399" s="54" t="inlineStr">
        <is>
          <t>https://www.facebook.com/badhabitgundogs</t>
        </is>
      </c>
      <c r="D399" s="6" t="inlineStr">
        <is>
          <t>Cần quét Bio Fanpage</t>
        </is>
      </c>
      <c r="E399" s="53" t="inlineStr">
        <is>
          <t>12/10/2026 08:51:57</t>
        </is>
      </c>
      <c r="F399" s="53" t="inlineStr">
        <is>
          <t>17 giờ trước</t>
        </is>
      </c>
      <c r="G399" s="55" t="n">
        <v>0.71</v>
      </c>
      <c r="H399" s="56" t="n">
        <v>32</v>
      </c>
      <c r="I399" s="6" t="inlineStr">
        <is>
          <t>Pet Boarding / Huấn luyện K9 &amp; Dịch vụ (20-22đ)</t>
        </is>
      </c>
      <c r="J399" s="56" t="n">
        <v>20</v>
      </c>
      <c r="K399" s="6" t="inlineStr">
        <is>
          <t>Spaniel / Gun Dog / Retriever</t>
        </is>
      </c>
      <c r="L399" s="56" t="n">
        <v>5</v>
      </c>
      <c r="M399" s="56" t="n">
        <v>0</v>
      </c>
      <c r="N399" s="6" t="inlineStr">
        <is>
          <t>Amazon link not found</t>
        </is>
      </c>
      <c r="O399" s="56">
        <f>IF(N399="Selling pet toys + Artificial grass/Pet toilets (TARGET)",15,IF(N399="Selling artificial grass/pet toilets (TARGET)",10,IF(N399="Selling pet toys",7,IF(N399="There's an Amazon link, but no target sales.",3,0))))</f>
        <v/>
      </c>
      <c r="P399" s="65">
        <f>H399+J399+L399+M399+O399</f>
        <v/>
      </c>
      <c r="Q399" s="66">
        <f>IF(OR(H399=0,P399&lt;30),"Tier D (Đóng băng)",IF(P399&gt;=85,"Tier S (Kim Cương: 85-100đ)",IF(P399&gt;=70,"Tier A (Vàng: 70-84đ)",IF(P399&gt;=61,"Tier B+ / Cấp A (Hot Lead: 61-69đ)",IF(P399&gt;=50,"Tier B (Bạc: 50-60đ)","Tier C (Đồng: 30-49đ)")))))</f>
        <v/>
      </c>
      <c r="R399" s="6" t="inlineStr">
        <is>
          <t>Cỏ nhân tạo sân chơi/huấn luyện (Dog Turf) + Đồ chơi nhai chịu lực (KONG/Chew Toys)</t>
        </is>
      </c>
      <c r="S399" s="6" t="inlineStr">
        <is>
          <t>Cấp B Tiềm năng: Tiếp cận tự động qua chuỗi Email Marketing + Chăm sóc bổ sung bằng Telesale</t>
        </is>
      </c>
    </row>
    <row r="400">
      <c r="A400" s="59" t="n">
        <v>5861</v>
      </c>
      <c r="B400" s="15" t="inlineStr">
        <is>
          <t>West Coast Cane Corso Rescue</t>
        </is>
      </c>
      <c r="C400" s="60" t="inlineStr">
        <is>
          <t>https://www.facebook.com/westcoastcanecorsorescue</t>
        </is>
      </c>
      <c r="D400" s="9" t="inlineStr">
        <is>
          <t>Cần quét Bio Fanpage</t>
        </is>
      </c>
      <c r="E400" s="59" t="inlineStr">
        <is>
          <t>13/10/2026 09:41:31</t>
        </is>
      </c>
      <c r="F400" s="59" t="inlineStr">
        <is>
          <t>1 giờ trước</t>
        </is>
      </c>
      <c r="G400" s="61" t="n">
        <v>0.04</v>
      </c>
      <c r="H400" s="62" t="n">
        <v>35</v>
      </c>
      <c r="I400" s="9" t="inlineStr">
        <is>
          <t>Pet Rescue / Trạm cứu trợ (14-16đ)</t>
        </is>
      </c>
      <c r="J400" s="62" t="n">
        <v>16</v>
      </c>
      <c r="K400" s="9" t="inlineStr">
        <is>
          <t>Cane Corso / Mastiff</t>
        </is>
      </c>
      <c r="L400" s="62" t="n">
        <v>5</v>
      </c>
      <c r="M400" s="62" t="n">
        <v>0</v>
      </c>
      <c r="N400" s="9" t="inlineStr">
        <is>
          <t>Amazon link not found</t>
        </is>
      </c>
      <c r="O400" s="62">
        <f>IF(N400="Selling pet toys + Artificial grass/Pet toilets (TARGET)",15,IF(N400="Selling artificial grass/pet toilets (TARGET)",10,IF(N400="Selling pet toys",7,IF(N400="There's an Amazon link, but no target sales.",3,0))))</f>
        <v/>
      </c>
      <c r="P400" s="67">
        <f>H400+J400+L400+M400+O400</f>
        <v/>
      </c>
      <c r="Q400" s="66">
        <f>IF(OR(H400=0,P400&lt;30),"Tier D (Đóng băng)",IF(P400&gt;=85,"Tier S (Kim Cương: 85-100đ)",IF(P400&gt;=70,"Tier A (Vàng: 70-84đ)",IF(P400&gt;=61,"Tier B+ / Cấp A (Hot Lead: 61-69đ)",IF(P400&gt;=50,"Tier B (Bạc: 50-60đ)","Tier C (Đồng: 30-49đ)")))))</f>
        <v/>
      </c>
      <c r="R400" s="9" t="inlineStr">
        <is>
          <t>Nhà vệ sinh &amp; Tã lót (Potty Tray / Pee Pads) + Cỏ nhân tạo lót chuồng</t>
        </is>
      </c>
      <c r="S400" s="9" t="inlineStr">
        <is>
          <t>Cấp B Tiềm năng: Tiếp cận tự động qua chuỗi Email Marketing + Chăm sóc bổ sung bằng Telesale</t>
        </is>
      </c>
    </row>
    <row r="401">
      <c r="A401" s="53" t="n">
        <v>5206</v>
      </c>
      <c r="B401" s="12" t="inlineStr">
        <is>
          <t>Rescue Ranch</t>
        </is>
      </c>
      <c r="C401" s="54" t="inlineStr">
        <is>
          <t>https://www.facebook.com/therescueranch</t>
        </is>
      </c>
      <c r="D401" s="6" t="inlineStr">
        <is>
          <t>Cần quét Bio Fanpage</t>
        </is>
      </c>
      <c r="E401" s="53" t="inlineStr">
        <is>
          <t>13/10/2026 07:39:01</t>
        </is>
      </c>
      <c r="F401" s="53" t="inlineStr">
        <is>
          <t>2 giờ trước</t>
        </is>
      </c>
      <c r="G401" s="55" t="n">
        <v>0.08</v>
      </c>
      <c r="H401" s="56" t="n">
        <v>35</v>
      </c>
      <c r="I401" s="6" t="inlineStr">
        <is>
          <t>Pet Rescue / Trạm cứu trợ (14-16đ)</t>
        </is>
      </c>
      <c r="J401" s="56" t="n">
        <v>16</v>
      </c>
      <c r="K401" s="6" t="inlineStr">
        <is>
          <t>Chưa rõ giống (Cần quét Bio)</t>
        </is>
      </c>
      <c r="L401" s="56" t="n">
        <v>0</v>
      </c>
      <c r="M401" s="56" t="n">
        <v>5</v>
      </c>
      <c r="N401" s="6" t="inlineStr">
        <is>
          <t>Amazon link not found</t>
        </is>
      </c>
      <c r="O401" s="56">
        <f>IF(N401="Selling pet toys + Artificial grass/Pet toilets (TARGET)",15,IF(N401="Selling artificial grass/pet toilets (TARGET)",10,IF(N401="Selling pet toys",7,IF(N401="There's an Amazon link, but no target sales.",3,0))))</f>
        <v/>
      </c>
      <c r="P401" s="65">
        <f>H401+J401+L401+M401+O401</f>
        <v/>
      </c>
      <c r="Q401" s="66">
        <f>IF(OR(H401=0,P401&lt;30),"Tier D (Đóng băng)",IF(P401&gt;=85,"Tier S (Kim Cương: 85-100đ)",IF(P401&gt;=70,"Tier A (Vàng: 70-84đ)",IF(P401&gt;=61,"Tier B+ / Cấp A (Hot Lead: 61-69đ)",IF(P401&gt;=50,"Tier B (Bạc: 50-60đ)","Tier C (Đồng: 30-49đ)")))))</f>
        <v/>
      </c>
      <c r="R401" s="6" t="inlineStr">
        <is>
          <t>Nhà vệ sinh &amp; Tã lót (Potty Tray / Pee Pads) + Cỏ nhân tạo lót chuồng</t>
        </is>
      </c>
      <c r="S401" s="6" t="inlineStr">
        <is>
          <t>Cấp B Tiềm năng: Tiếp cận tự động qua chuỗi Email Marketing + Chăm sóc bổ sung bằng Telesale</t>
        </is>
      </c>
    </row>
    <row r="402">
      <c r="A402" s="59" t="n">
        <v>4520</v>
      </c>
      <c r="B402" s="15" t="inlineStr">
        <is>
          <t>Lone Star Dog Ranch &amp; Dog Ranch Rescue</t>
        </is>
      </c>
      <c r="C402" s="60" t="inlineStr">
        <is>
          <t>https://www.facebook.com/lonestardogranch</t>
        </is>
      </c>
      <c r="D402" s="9" t="inlineStr">
        <is>
          <t>Cần quét Bio Fanpage</t>
        </is>
      </c>
      <c r="E402" s="59" t="inlineStr">
        <is>
          <t>13/10/2026 07:00:52</t>
        </is>
      </c>
      <c r="F402" s="59" t="inlineStr">
        <is>
          <t>2 giờ trước</t>
        </is>
      </c>
      <c r="G402" s="61" t="n">
        <v>0.08</v>
      </c>
      <c r="H402" s="62" t="n">
        <v>35</v>
      </c>
      <c r="I402" s="9" t="inlineStr">
        <is>
          <t>Pet Rescue / Trạm cứu trợ (14-16đ)</t>
        </is>
      </c>
      <c r="J402" s="62" t="n">
        <v>16</v>
      </c>
      <c r="K402" s="9" t="inlineStr">
        <is>
          <t>Chưa rõ giống (Cần quét Bio)</t>
        </is>
      </c>
      <c r="L402" s="62" t="n">
        <v>0</v>
      </c>
      <c r="M402" s="62" t="n">
        <v>5</v>
      </c>
      <c r="N402" s="9" t="inlineStr">
        <is>
          <t>Amazon link not found</t>
        </is>
      </c>
      <c r="O402" s="62">
        <f>IF(N402="Selling pet toys + Artificial grass/Pet toilets (TARGET)",15,IF(N402="Selling artificial grass/pet toilets (TARGET)",10,IF(N402="Selling pet toys",7,IF(N402="There's an Amazon link, but no target sales.",3,0))))</f>
        <v/>
      </c>
      <c r="P402" s="67">
        <f>H402+J402+L402+M402+O402</f>
        <v/>
      </c>
      <c r="Q402" s="66">
        <f>IF(OR(H402=0,P402&lt;30),"Tier D (Đóng băng)",IF(P402&gt;=85,"Tier S (Kim Cương: 85-100đ)",IF(P402&gt;=70,"Tier A (Vàng: 70-84đ)",IF(P402&gt;=61,"Tier B+ / Cấp A (Hot Lead: 61-69đ)",IF(P402&gt;=50,"Tier B (Bạc: 50-60đ)","Tier C (Đồng: 30-49đ)")))))</f>
        <v/>
      </c>
      <c r="R402" s="9" t="inlineStr">
        <is>
          <t>Nhà vệ sinh &amp; Tã lót (Potty Tray / Pee Pads) + Cỏ nhân tạo lót chuồng</t>
        </is>
      </c>
      <c r="S402" s="9" t="inlineStr">
        <is>
          <t>Cấp B Tiềm năng: Tiếp cận tự động qua chuỗi Email Marketing + Chăm sóc bổ sung bằng Telesale</t>
        </is>
      </c>
    </row>
    <row r="403">
      <c r="A403" s="53" t="n">
        <v>2822</v>
      </c>
      <c r="B403" s="12" t="inlineStr">
        <is>
          <t>Sandy Paws Rescue Inc.</t>
        </is>
      </c>
      <c r="C403" s="54" t="inlineStr">
        <is>
          <t>https://www.facebook.com/SandyPawsRescue</t>
        </is>
      </c>
      <c r="D403" s="6" t="inlineStr">
        <is>
          <t>Cần quét Bio Fanpage</t>
        </is>
      </c>
      <c r="E403" s="53" t="inlineStr">
        <is>
          <t>13/10/2026 05:36:19</t>
        </is>
      </c>
      <c r="F403" s="53" t="inlineStr">
        <is>
          <t>23 phút trước</t>
        </is>
      </c>
      <c r="G403" s="55" t="n">
        <v>0.02</v>
      </c>
      <c r="H403" s="56" t="n">
        <v>35</v>
      </c>
      <c r="I403" s="6" t="inlineStr">
        <is>
          <t>Pet Rescue / Trạm cứu trợ (14-16đ)</t>
        </is>
      </c>
      <c r="J403" s="56" t="n">
        <v>16</v>
      </c>
      <c r="K403" s="6" t="inlineStr">
        <is>
          <t>Chưa rõ giống (Cần quét Bio)</t>
        </is>
      </c>
      <c r="L403" s="56" t="n">
        <v>0</v>
      </c>
      <c r="M403" s="56" t="n">
        <v>5</v>
      </c>
      <c r="N403" s="6" t="inlineStr">
        <is>
          <t>Amazon link not found</t>
        </is>
      </c>
      <c r="O403" s="56">
        <f>IF(N403="Selling pet toys + Artificial grass/Pet toilets (TARGET)",15,IF(N403="Selling artificial grass/pet toilets (TARGET)",10,IF(N403="Selling pet toys",7,IF(N403="There's an Amazon link, but no target sales.",3,0))))</f>
        <v/>
      </c>
      <c r="P403" s="65">
        <f>H403+J403+L403+M403+O403</f>
        <v/>
      </c>
      <c r="Q403" s="66">
        <f>IF(OR(H403=0,P403&lt;30),"Tier D (Đóng băng)",IF(P403&gt;=85,"Tier S (Kim Cương: 85-100đ)",IF(P403&gt;=70,"Tier A (Vàng: 70-84đ)",IF(P403&gt;=61,"Tier B+ / Cấp A (Hot Lead: 61-69đ)",IF(P403&gt;=50,"Tier B (Bạc: 50-60đ)","Tier C (Đồng: 30-49đ)")))))</f>
        <v/>
      </c>
      <c r="R403" s="6" t="inlineStr">
        <is>
          <t>Nhà vệ sinh &amp; Tã lót (Potty Tray / Pee Pads) + Cỏ nhân tạo lót chuồng</t>
        </is>
      </c>
      <c r="S403" s="6" t="inlineStr">
        <is>
          <t>Cấp B Tiềm năng: Tiếp cận tự động qua chuỗi Email Marketing + Chăm sóc bổ sung bằng Telesale</t>
        </is>
      </c>
    </row>
    <row r="404">
      <c r="A404" s="59" t="n">
        <v>4021</v>
      </c>
      <c r="B404" s="15" t="inlineStr">
        <is>
          <t>Great Plains Mastiff Rescue</t>
        </is>
      </c>
      <c r="C404" s="60" t="inlineStr">
        <is>
          <t>https://www.facebook.com/Great.Plains.Mastiff.Rescue</t>
        </is>
      </c>
      <c r="D404" s="9" t="inlineStr">
        <is>
          <t>Cần quét Bio Fanpage</t>
        </is>
      </c>
      <c r="E404" s="59" t="inlineStr">
        <is>
          <t>13/10/2026 04:57:11</t>
        </is>
      </c>
      <c r="F404" s="59" t="inlineStr">
        <is>
          <t>3 giờ trước</t>
        </is>
      </c>
      <c r="G404" s="61" t="n">
        <v>0.12</v>
      </c>
      <c r="H404" s="62" t="n">
        <v>35</v>
      </c>
      <c r="I404" s="9" t="inlineStr">
        <is>
          <t>Pet Rescue / Trạm cứu trợ (14-16đ)</t>
        </is>
      </c>
      <c r="J404" s="62" t="n">
        <v>16</v>
      </c>
      <c r="K404" s="9" t="inlineStr">
        <is>
          <t>Cane Corso / Mastiff</t>
        </is>
      </c>
      <c r="L404" s="62" t="n">
        <v>5</v>
      </c>
      <c r="M404" s="62" t="n">
        <v>0</v>
      </c>
      <c r="N404" s="9" t="inlineStr">
        <is>
          <t>Amazon link not found</t>
        </is>
      </c>
      <c r="O404" s="62">
        <f>IF(N404="Selling pet toys + Artificial grass/Pet toilets (TARGET)",15,IF(N404="Selling artificial grass/pet toilets (TARGET)",10,IF(N404="Selling pet toys",7,IF(N404="There's an Amazon link, but no target sales.",3,0))))</f>
        <v/>
      </c>
      <c r="P404" s="67">
        <f>H404+J404+L404+M404+O404</f>
        <v/>
      </c>
      <c r="Q404" s="66">
        <f>IF(OR(H404=0,P404&lt;30),"Tier D (Đóng băng)",IF(P404&gt;=85,"Tier S (Kim Cương: 85-100đ)",IF(P404&gt;=70,"Tier A (Vàng: 70-84đ)",IF(P404&gt;=61,"Tier B+ / Cấp A (Hot Lead: 61-69đ)",IF(P404&gt;=50,"Tier B (Bạc: 50-60đ)","Tier C (Đồng: 30-49đ)")))))</f>
        <v/>
      </c>
      <c r="R404" s="9" t="inlineStr">
        <is>
          <t>Nhà vệ sinh &amp; Tã lót (Potty Tray / Pee Pads) + Cỏ nhân tạo lót chuồng</t>
        </is>
      </c>
      <c r="S404" s="9" t="inlineStr">
        <is>
          <t>Cấp B Tiềm năng: Tiếp cận tự động qua chuỗi Email Marketing + Chăm sóc bổ sung bằng Telesale</t>
        </is>
      </c>
    </row>
    <row r="405">
      <c r="A405" s="53" t="n">
        <v>2262</v>
      </c>
      <c r="B405" s="12" t="inlineStr">
        <is>
          <t>National Bernese Mountain Dog Rescue Network</t>
        </is>
      </c>
      <c r="C405" s="54" t="inlineStr">
        <is>
          <t>https://www.facebook.com/nationalbernesemountiandogrescuenetwork</t>
        </is>
      </c>
      <c r="D405" s="6" t="inlineStr">
        <is>
          <t>Cần quét Bio Fanpage</t>
        </is>
      </c>
      <c r="E405" s="53" t="inlineStr">
        <is>
          <t>13/10/2026 04:00:04</t>
        </is>
      </c>
      <c r="F405" s="53" t="inlineStr">
        <is>
          <t>59 phút trước</t>
        </is>
      </c>
      <c r="G405" s="55" t="n">
        <v>0.04</v>
      </c>
      <c r="H405" s="56" t="n">
        <v>35</v>
      </c>
      <c r="I405" s="6" t="inlineStr">
        <is>
          <t>Pet Rescue / Trạm cứu trợ (14-16đ)</t>
        </is>
      </c>
      <c r="J405" s="56" t="n">
        <v>16</v>
      </c>
      <c r="K405" s="6" t="inlineStr">
        <is>
          <t>Bernese Mountain Dog</t>
        </is>
      </c>
      <c r="L405" s="56" t="n">
        <v>5</v>
      </c>
      <c r="M405" s="56" t="n">
        <v>0</v>
      </c>
      <c r="N405" s="6" t="inlineStr">
        <is>
          <t>Amazon link not found</t>
        </is>
      </c>
      <c r="O405" s="56">
        <f>IF(N405="Selling pet toys + Artificial grass/Pet toilets (TARGET)",15,IF(N405="Selling artificial grass/pet toilets (TARGET)",10,IF(N405="Selling pet toys",7,IF(N405="There's an Amazon link, but no target sales.",3,0))))</f>
        <v/>
      </c>
      <c r="P405" s="65">
        <f>H405+J405+L405+M405+O405</f>
        <v/>
      </c>
      <c r="Q405" s="66">
        <f>IF(OR(H405=0,P405&lt;30),"Tier D (Đóng băng)",IF(P405&gt;=85,"Tier S (Kim Cương: 85-100đ)",IF(P405&gt;=70,"Tier A (Vàng: 70-84đ)",IF(P405&gt;=61,"Tier B+ / Cấp A (Hot Lead: 61-69đ)",IF(P405&gt;=50,"Tier B (Bạc: 50-60đ)","Tier C (Đồng: 30-49đ)")))))</f>
        <v/>
      </c>
      <c r="R405" s="6" t="inlineStr">
        <is>
          <t>Nhà vệ sinh &amp; Tã lót (Potty Tray / Pee Pads) + Cỏ nhân tạo lót chuồng</t>
        </is>
      </c>
      <c r="S405" s="6" t="inlineStr">
        <is>
          <t>Cấp B Tiềm năng: Tiếp cận tự động qua chuỗi Email Marketing + Chăm sóc bổ sung bằng Telesale</t>
        </is>
      </c>
    </row>
    <row r="406">
      <c r="A406" s="59" t="n">
        <v>2745</v>
      </c>
      <c r="B406" s="15" t="inlineStr">
        <is>
          <t>Ridgetop Rescue, Inc</t>
        </is>
      </c>
      <c r="C406" s="60" t="inlineStr">
        <is>
          <t>https://www.facebook.com/RidgetopRescue</t>
        </is>
      </c>
      <c r="D406" s="9" t="inlineStr">
        <is>
          <t>Cần quét Bio Fanpage</t>
        </is>
      </c>
      <c r="E406" s="59" t="inlineStr">
        <is>
          <t>13/10/2026 02:00:34</t>
        </is>
      </c>
      <c r="F406" s="59" t="inlineStr">
        <is>
          <t>3 giờ trước</t>
        </is>
      </c>
      <c r="G406" s="61" t="n">
        <v>0.12</v>
      </c>
      <c r="H406" s="62" t="n">
        <v>35</v>
      </c>
      <c r="I406" s="9" t="inlineStr">
        <is>
          <t>Pet Rescue / Trạm cứu trợ (14-16đ)</t>
        </is>
      </c>
      <c r="J406" s="62" t="n">
        <v>16</v>
      </c>
      <c r="K406" s="9" t="inlineStr">
        <is>
          <t>Chưa rõ giống (Cần quét Bio)</t>
        </is>
      </c>
      <c r="L406" s="62" t="n">
        <v>0</v>
      </c>
      <c r="M406" s="62" t="n">
        <v>5</v>
      </c>
      <c r="N406" s="9" t="inlineStr">
        <is>
          <t>Amazon link not found</t>
        </is>
      </c>
      <c r="O406" s="62">
        <f>IF(N406="Selling pet toys + Artificial grass/Pet toilets (TARGET)",15,IF(N406="Selling artificial grass/pet toilets (TARGET)",10,IF(N406="Selling pet toys",7,IF(N406="There's an Amazon link, but no target sales.",3,0))))</f>
        <v/>
      </c>
      <c r="P406" s="67">
        <f>H406+J406+L406+M406+O406</f>
        <v/>
      </c>
      <c r="Q406" s="66">
        <f>IF(OR(H406=0,P406&lt;30),"Tier D (Đóng băng)",IF(P406&gt;=85,"Tier S (Kim Cương: 85-100đ)",IF(P406&gt;=70,"Tier A (Vàng: 70-84đ)",IF(P406&gt;=61,"Tier B+ / Cấp A (Hot Lead: 61-69đ)",IF(P406&gt;=50,"Tier B (Bạc: 50-60đ)","Tier C (Đồng: 30-49đ)")))))</f>
        <v/>
      </c>
      <c r="R406" s="9" t="inlineStr">
        <is>
          <t>Nhà vệ sinh &amp; Tã lót (Potty Tray / Pee Pads) + Cỏ nhân tạo lót chuồng</t>
        </is>
      </c>
      <c r="S406" s="9" t="inlineStr">
        <is>
          <t>Cấp B Tiềm năng: Tiếp cận tự động qua chuỗi Email Marketing + Chăm sóc bổ sung bằng Telesale</t>
        </is>
      </c>
    </row>
    <row r="407">
      <c r="A407" s="53" t="n">
        <v>822</v>
      </c>
      <c r="B407" s="12" t="inlineStr">
        <is>
          <t>Candy’s Hound Rescue</t>
        </is>
      </c>
      <c r="C407" s="54" t="inlineStr">
        <is>
          <t>https://www.facebook.com/profile.php?id=61553081333127</t>
        </is>
      </c>
      <c r="D407" s="6" t="inlineStr">
        <is>
          <t>Cần quét Bio Fanpage</t>
        </is>
      </c>
      <c r="E407" s="53" t="inlineStr">
        <is>
          <t>13/10/2026 01:23:11</t>
        </is>
      </c>
      <c r="F407" s="53" t="inlineStr">
        <is>
          <t>1 giờ trước</t>
        </is>
      </c>
      <c r="G407" s="55" t="n">
        <v>0.04</v>
      </c>
      <c r="H407" s="56" t="n">
        <v>35</v>
      </c>
      <c r="I407" s="6" t="inlineStr">
        <is>
          <t>Pet Rescue / Trạm cứu trợ (14-16đ)</t>
        </is>
      </c>
      <c r="J407" s="56" t="n">
        <v>16</v>
      </c>
      <c r="K407" s="6" t="inlineStr">
        <is>
          <t>Hound / Beagle / Basset</t>
        </is>
      </c>
      <c r="L407" s="56" t="n">
        <v>5</v>
      </c>
      <c r="M407" s="56" t="n">
        <v>0</v>
      </c>
      <c r="N407" s="6" t="inlineStr">
        <is>
          <t>Amazon link not found</t>
        </is>
      </c>
      <c r="O407" s="56">
        <f>IF(N407="Selling pet toys + Artificial grass/Pet toilets (TARGET)",15,IF(N407="Selling artificial grass/pet toilets (TARGET)",10,IF(N407="Selling pet toys",7,IF(N407="There's an Amazon link, but no target sales.",3,0))))</f>
        <v/>
      </c>
      <c r="P407" s="65">
        <f>H407+J407+L407+M407+O407</f>
        <v/>
      </c>
      <c r="Q407" s="66">
        <f>IF(OR(H407=0,P407&lt;30),"Tier D (Đóng băng)",IF(P407&gt;=85,"Tier S (Kim Cương: 85-100đ)",IF(P407&gt;=70,"Tier A (Vàng: 70-84đ)",IF(P407&gt;=61,"Tier B+ / Cấp A (Hot Lead: 61-69đ)",IF(P407&gt;=50,"Tier B (Bạc: 50-60đ)","Tier C (Đồng: 30-49đ)")))))</f>
        <v/>
      </c>
      <c r="R407" s="6" t="inlineStr">
        <is>
          <t>Nhà vệ sinh &amp; Tã lót (Potty Tray / Pee Pads) + Cỏ nhân tạo lót chuồng</t>
        </is>
      </c>
      <c r="S407" s="6" t="inlineStr">
        <is>
          <t>Cấp B Tiềm năng: Tiếp cận tự động qua chuỗi Email Marketing + Chăm sóc bổ sung bằng Telesale</t>
        </is>
      </c>
    </row>
    <row r="408">
      <c r="A408" s="59" t="n">
        <v>668</v>
      </c>
      <c r="B408" s="15" t="inlineStr">
        <is>
          <t>Big Dog Ranch Rescue</t>
        </is>
      </c>
      <c r="C408" s="60" t="inlineStr">
        <is>
          <t>https://www.facebook.com/bigdogranchrescue</t>
        </is>
      </c>
      <c r="D408" s="9" t="inlineStr">
        <is>
          <t>Cần quét Bio Fanpage</t>
        </is>
      </c>
      <c r="E408" s="59" t="inlineStr">
        <is>
          <t>13/10/2026 00:54:13</t>
        </is>
      </c>
      <c r="F408" s="59" t="inlineStr">
        <is>
          <t>1 giờ trước</t>
        </is>
      </c>
      <c r="G408" s="61" t="n">
        <v>0.04</v>
      </c>
      <c r="H408" s="62" t="n">
        <v>35</v>
      </c>
      <c r="I408" s="9" t="inlineStr">
        <is>
          <t>Pet Rescue / Trạm cứu trợ (14-16đ)</t>
        </is>
      </c>
      <c r="J408" s="62" t="n">
        <v>16</v>
      </c>
      <c r="K408" s="9" t="inlineStr">
        <is>
          <t>Chưa rõ giống (Cần quét Bio)</t>
        </is>
      </c>
      <c r="L408" s="62" t="n">
        <v>0</v>
      </c>
      <c r="M408" s="62" t="n">
        <v>5</v>
      </c>
      <c r="N408" s="9" t="inlineStr">
        <is>
          <t>Amazon link not found</t>
        </is>
      </c>
      <c r="O408" s="62">
        <f>IF(N408="Selling pet toys + Artificial grass/Pet toilets (TARGET)",15,IF(N408="Selling artificial grass/pet toilets (TARGET)",10,IF(N408="Selling pet toys",7,IF(N408="There's an Amazon link, but no target sales.",3,0))))</f>
        <v/>
      </c>
      <c r="P408" s="67">
        <f>H408+J408+L408+M408+O408</f>
        <v/>
      </c>
      <c r="Q408" s="66">
        <f>IF(OR(H408=0,P408&lt;30),"Tier D (Đóng băng)",IF(P408&gt;=85,"Tier S (Kim Cương: 85-100đ)",IF(P408&gt;=70,"Tier A (Vàng: 70-84đ)",IF(P408&gt;=61,"Tier B+ / Cấp A (Hot Lead: 61-69đ)",IF(P408&gt;=50,"Tier B (Bạc: 50-60đ)","Tier C (Đồng: 30-49đ)")))))</f>
        <v/>
      </c>
      <c r="R408" s="9" t="inlineStr">
        <is>
          <t>Nhà vệ sinh &amp; Tã lót (Potty Tray / Pee Pads) + Cỏ nhân tạo lót chuồng</t>
        </is>
      </c>
      <c r="S408" s="9" t="inlineStr">
        <is>
          <t>Cấp B Tiềm năng: Tiếp cận tự động qua chuỗi Email Marketing + Chăm sóc bổ sung bằng Telesale</t>
        </is>
      </c>
    </row>
    <row r="409">
      <c r="A409" s="53" t="n">
        <v>165</v>
      </c>
      <c r="B409" s="12" t="inlineStr">
        <is>
          <t>Emotional Rescue LLC</t>
        </is>
      </c>
      <c r="C409" s="54" t="inlineStr">
        <is>
          <t>https://www.facebook.com/profile.php?id=100064563736699</t>
        </is>
      </c>
      <c r="D409" s="6" t="inlineStr">
        <is>
          <t>Cần quét Bio Fanpage</t>
        </is>
      </c>
      <c r="E409" s="53" t="inlineStr">
        <is>
          <t>12/10/2026 23:58:15</t>
        </is>
      </c>
      <c r="F409" s="53" t="inlineStr">
        <is>
          <t>1 giờ trước</t>
        </is>
      </c>
      <c r="G409" s="55" t="n">
        <v>0.04</v>
      </c>
      <c r="H409" s="56" t="n">
        <v>35</v>
      </c>
      <c r="I409" s="6" t="inlineStr">
        <is>
          <t>Pet Rescue / Trạm cứu trợ (14-16đ)</t>
        </is>
      </c>
      <c r="J409" s="56" t="n">
        <v>16</v>
      </c>
      <c r="K409" s="6" t="inlineStr">
        <is>
          <t>Chưa rõ giống (Cần quét Bio)</t>
        </is>
      </c>
      <c r="L409" s="56" t="n">
        <v>0</v>
      </c>
      <c r="M409" s="56" t="n">
        <v>5</v>
      </c>
      <c r="N409" s="6" t="inlineStr">
        <is>
          <t>Amazon link not found</t>
        </is>
      </c>
      <c r="O409" s="56">
        <f>IF(N409="Selling pet toys + Artificial grass/Pet toilets (TARGET)",15,IF(N409="Selling artificial grass/pet toilets (TARGET)",10,IF(N409="Selling pet toys",7,IF(N409="There's an Amazon link, but no target sales.",3,0))))</f>
        <v/>
      </c>
      <c r="P409" s="65">
        <f>H409+J409+L409+M409+O409</f>
        <v/>
      </c>
      <c r="Q409" s="66">
        <f>IF(OR(H409=0,P409&lt;30),"Tier D (Đóng băng)",IF(P409&gt;=85,"Tier S (Kim Cương: 85-100đ)",IF(P409&gt;=70,"Tier A (Vàng: 70-84đ)",IF(P409&gt;=61,"Tier B+ / Cấp A (Hot Lead: 61-69đ)",IF(P409&gt;=50,"Tier B (Bạc: 50-60đ)","Tier C (Đồng: 30-49đ)")))))</f>
        <v/>
      </c>
      <c r="R409" s="6" t="inlineStr">
        <is>
          <t>Nhà vệ sinh &amp; Tã lót (Potty Tray / Pee Pads) + Cỏ nhân tạo lót chuồng</t>
        </is>
      </c>
      <c r="S409" s="6" t="inlineStr">
        <is>
          <t>Cấp B Tiềm năng: Tiếp cận tự động qua chuỗi Email Marketing + Chăm sóc bổ sung bằng Telesale</t>
        </is>
      </c>
    </row>
    <row r="410">
      <c r="A410" s="59" t="n">
        <v>222</v>
      </c>
      <c r="B410" s="15" t="inlineStr">
        <is>
          <t>Minnesota Basset Rescue</t>
        </is>
      </c>
      <c r="C410" s="60" t="inlineStr">
        <is>
          <t>https://www.facebook.com/mnbassetrescue</t>
        </is>
      </c>
      <c r="D410" s="9" t="inlineStr">
        <is>
          <t>Cần quét Bio Fanpage</t>
        </is>
      </c>
      <c r="E410" s="59" t="inlineStr">
        <is>
          <t>12/10/2026 23:05:56</t>
        </is>
      </c>
      <c r="F410" s="59" t="inlineStr">
        <is>
          <t>2 giờ trước</t>
        </is>
      </c>
      <c r="G410" s="61" t="n">
        <v>0.08</v>
      </c>
      <c r="H410" s="62" t="n">
        <v>35</v>
      </c>
      <c r="I410" s="9" t="inlineStr">
        <is>
          <t>Pet Rescue / Trạm cứu trợ (14-16đ)</t>
        </is>
      </c>
      <c r="J410" s="62" t="n">
        <v>16</v>
      </c>
      <c r="K410" s="9" t="inlineStr">
        <is>
          <t>Hound / Beagle / Basset</t>
        </is>
      </c>
      <c r="L410" s="62" t="n">
        <v>5</v>
      </c>
      <c r="M410" s="62" t="n">
        <v>0</v>
      </c>
      <c r="N410" s="9" t="inlineStr">
        <is>
          <t>Amazon link not found</t>
        </is>
      </c>
      <c r="O410" s="62">
        <f>IF(N410="Selling pet toys + Artificial grass/Pet toilets (TARGET)",15,IF(N410="Selling artificial grass/pet toilets (TARGET)",10,IF(N410="Selling pet toys",7,IF(N410="There's an Amazon link, but no target sales.",3,0))))</f>
        <v/>
      </c>
      <c r="P410" s="67">
        <f>H410+J410+L410+M410+O410</f>
        <v/>
      </c>
      <c r="Q410" s="66">
        <f>IF(OR(H410=0,P410&lt;30),"Tier D (Đóng băng)",IF(P410&gt;=85,"Tier S (Kim Cương: 85-100đ)",IF(P410&gt;=70,"Tier A (Vàng: 70-84đ)",IF(P410&gt;=61,"Tier B+ / Cấp A (Hot Lead: 61-69đ)",IF(P410&gt;=50,"Tier B (Bạc: 50-60đ)","Tier C (Đồng: 30-49đ)")))))</f>
        <v/>
      </c>
      <c r="R410" s="9" t="inlineStr">
        <is>
          <t>Nhà vệ sinh &amp; Tã lót (Potty Tray / Pee Pads) + Cỏ nhân tạo lót chuồng</t>
        </is>
      </c>
      <c r="S410" s="9" t="inlineStr">
        <is>
          <t>Cấp B Tiềm năng: Tiếp cận tự động qua chuỗi Email Marketing + Chăm sóc bổ sung bằng Telesale</t>
        </is>
      </c>
    </row>
    <row r="411">
      <c r="A411" s="53" t="n">
        <v>849</v>
      </c>
      <c r="B411" s="12" t="inlineStr">
        <is>
          <t>Carolina Poodle Rescue</t>
        </is>
      </c>
      <c r="C411" s="54" t="inlineStr">
        <is>
          <t>https://www.facebook.com/CarolinaPoodleRescue</t>
        </is>
      </c>
      <c r="D411" s="6" t="inlineStr">
        <is>
          <t>Cần quét Bio Fanpage</t>
        </is>
      </c>
      <c r="E411" s="53" t="inlineStr">
        <is>
          <t>12/10/2026 23:00:18</t>
        </is>
      </c>
      <c r="F411" s="53" t="inlineStr">
        <is>
          <t>3 giờ trước</t>
        </is>
      </c>
      <c r="G411" s="55" t="n">
        <v>0.12</v>
      </c>
      <c r="H411" s="56" t="n">
        <v>35</v>
      </c>
      <c r="I411" s="6" t="inlineStr">
        <is>
          <t>Pet Rescue / Trạm cứu trợ (14-16đ)</t>
        </is>
      </c>
      <c r="J411" s="56" t="n">
        <v>16</v>
      </c>
      <c r="K411" s="6" t="inlineStr">
        <is>
          <t>Poodle (Standard/Mini/Toy)</t>
        </is>
      </c>
      <c r="L411" s="56" t="n">
        <v>5</v>
      </c>
      <c r="M411" s="56" t="n">
        <v>0</v>
      </c>
      <c r="N411" s="6" t="inlineStr">
        <is>
          <t>Amazon link not found</t>
        </is>
      </c>
      <c r="O411" s="56">
        <f>IF(N411="Selling pet toys + Artificial grass/Pet toilets (TARGET)",15,IF(N411="Selling artificial grass/pet toilets (TARGET)",10,IF(N411="Selling pet toys",7,IF(N411="There's an Amazon link, but no target sales.",3,0))))</f>
        <v/>
      </c>
      <c r="P411" s="65">
        <f>H411+J411+L411+M411+O411</f>
        <v/>
      </c>
      <c r="Q411" s="66">
        <f>IF(OR(H411=0,P411&lt;30),"Tier D (Đóng băng)",IF(P411&gt;=85,"Tier S (Kim Cương: 85-100đ)",IF(P411&gt;=70,"Tier A (Vàng: 70-84đ)",IF(P411&gt;=61,"Tier B+ / Cấp A (Hot Lead: 61-69đ)",IF(P411&gt;=50,"Tier B (Bạc: 50-60đ)","Tier C (Đồng: 30-49đ)")))))</f>
        <v/>
      </c>
      <c r="R411" s="6" t="inlineStr">
        <is>
          <t>Nhà vệ sinh &amp; Tã lót (Potty Tray / Pee Pads) + Cỏ nhân tạo lót chuồng</t>
        </is>
      </c>
      <c r="S411" s="6" t="inlineStr">
        <is>
          <t>Cấp B Tiềm năng: Tiếp cận tự động qua chuỗi Email Marketing + Chăm sóc bổ sung bằng Telesale</t>
        </is>
      </c>
    </row>
    <row r="412">
      <c r="A412" s="59" t="n">
        <v>290</v>
      </c>
      <c r="B412" s="15" t="inlineStr">
        <is>
          <t>Whispering Willows Senior Dog Sanctuary, Inc.</t>
        </is>
      </c>
      <c r="C412" s="60" t="inlineStr">
        <is>
          <t>https://www.facebook.com/whisperingwillowsseniordogsanctuary</t>
        </is>
      </c>
      <c r="D412" s="9" t="inlineStr">
        <is>
          <t>Cần quét Bio Fanpage</t>
        </is>
      </c>
      <c r="E412" s="59" t="inlineStr">
        <is>
          <t>12/10/2026 22:02:40</t>
        </is>
      </c>
      <c r="F412" s="59" t="inlineStr">
        <is>
          <t>3 giờ trước</t>
        </is>
      </c>
      <c r="G412" s="61" t="n">
        <v>0.12</v>
      </c>
      <c r="H412" s="62" t="n">
        <v>35</v>
      </c>
      <c r="I412" s="9" t="inlineStr">
        <is>
          <t>Pet Rescue / Trạm cứu trợ (14-16đ)</t>
        </is>
      </c>
      <c r="J412" s="62" t="n">
        <v>16</v>
      </c>
      <c r="K412" s="9" t="inlineStr">
        <is>
          <t>Chưa rõ giống (Cần quét Bio)</t>
        </is>
      </c>
      <c r="L412" s="62" t="n">
        <v>0</v>
      </c>
      <c r="M412" s="62" t="n">
        <v>5</v>
      </c>
      <c r="N412" s="9" t="inlineStr">
        <is>
          <t>Amazon link not found</t>
        </is>
      </c>
      <c r="O412" s="62">
        <f>IF(N412="Selling pet toys + Artificial grass/Pet toilets (TARGET)",15,IF(N412="Selling artificial grass/pet toilets (TARGET)",10,IF(N412="Selling pet toys",7,IF(N412="There's an Amazon link, but no target sales.",3,0))))</f>
        <v/>
      </c>
      <c r="P412" s="67">
        <f>H412+J412+L412+M412+O412</f>
        <v/>
      </c>
      <c r="Q412" s="66">
        <f>IF(OR(H412=0,P412&lt;30),"Tier D (Đóng băng)",IF(P412&gt;=85,"Tier S (Kim Cương: 85-100đ)",IF(P412&gt;=70,"Tier A (Vàng: 70-84đ)",IF(P412&gt;=61,"Tier B+ / Cấp A (Hot Lead: 61-69đ)",IF(P412&gt;=50,"Tier B (Bạc: 50-60đ)","Tier C (Đồng: 30-49đ)")))))</f>
        <v/>
      </c>
      <c r="R412" s="9" t="inlineStr">
        <is>
          <t>Nhà vệ sinh &amp; Tã lót (Potty Tray / Pee Pads) + Cỏ nhân tạo lót chuồng</t>
        </is>
      </c>
      <c r="S412" s="9" t="inlineStr">
        <is>
          <t>Cấp B Tiềm năng: Tiếp cận tự động qua chuỗi Email Marketing + Chăm sóc bổ sung bằng Telesale</t>
        </is>
      </c>
    </row>
    <row r="413">
      <c r="A413" s="53" t="n">
        <v>546</v>
      </c>
      <c r="B413" s="12" t="inlineStr">
        <is>
          <t>Atchafalaya River Rescue, Inc. 501C3 Nonprofit</t>
        </is>
      </c>
      <c r="C413" s="54" t="inlineStr">
        <is>
          <t>https://www.facebook.com/AtchafalayaRiverRescue</t>
        </is>
      </c>
      <c r="D413" s="6" t="inlineStr">
        <is>
          <t>Cần quét Bio Fanpage</t>
        </is>
      </c>
      <c r="E413" s="53" t="inlineStr">
        <is>
          <t>12/10/2026 22:01:24</t>
        </is>
      </c>
      <c r="F413" s="53" t="inlineStr">
        <is>
          <t>3 giờ trước</t>
        </is>
      </c>
      <c r="G413" s="55" t="n">
        <v>0.12</v>
      </c>
      <c r="H413" s="56" t="n">
        <v>35</v>
      </c>
      <c r="I413" s="6" t="inlineStr">
        <is>
          <t>Pet Rescue / Trạm cứu trợ (14-16đ)</t>
        </is>
      </c>
      <c r="J413" s="56" t="n">
        <v>16</v>
      </c>
      <c r="K413" s="6" t="inlineStr">
        <is>
          <t>Chưa rõ giống (Cần quét Bio)</t>
        </is>
      </c>
      <c r="L413" s="56" t="n">
        <v>0</v>
      </c>
      <c r="M413" s="56" t="n">
        <v>5</v>
      </c>
      <c r="N413" s="6" t="inlineStr">
        <is>
          <t>Amazon link not found</t>
        </is>
      </c>
      <c r="O413" s="56">
        <f>IF(N413="Selling pet toys + Artificial grass/Pet toilets (TARGET)",15,IF(N413="Selling artificial grass/pet toilets (TARGET)",10,IF(N413="Selling pet toys",7,IF(N413="There's an Amazon link, but no target sales.",3,0))))</f>
        <v/>
      </c>
      <c r="P413" s="65">
        <f>H413+J413+L413+M413+O413</f>
        <v/>
      </c>
      <c r="Q413" s="66">
        <f>IF(OR(H413=0,P413&lt;30),"Tier D (Đóng băng)",IF(P413&gt;=85,"Tier S (Kim Cương: 85-100đ)",IF(P413&gt;=70,"Tier A (Vàng: 70-84đ)",IF(P413&gt;=61,"Tier B+ / Cấp A (Hot Lead: 61-69đ)",IF(P413&gt;=50,"Tier B (Bạc: 50-60đ)","Tier C (Đồng: 30-49đ)")))))</f>
        <v/>
      </c>
      <c r="R413" s="6" t="inlineStr">
        <is>
          <t>Nhà vệ sinh &amp; Tã lót (Potty Tray / Pee Pads) + Cỏ nhân tạo lót chuồng</t>
        </is>
      </c>
      <c r="S413" s="6" t="inlineStr">
        <is>
          <t>Cấp B Tiềm năng: Tiếp cận tự động qua chuỗi Email Marketing + Chăm sóc bổ sung bằng Telesale</t>
        </is>
      </c>
    </row>
    <row r="414">
      <c r="A414" s="59" t="n">
        <v>5748</v>
      </c>
      <c r="B414" s="15" t="inlineStr">
        <is>
          <t>Utah Bulldog Life</t>
        </is>
      </c>
      <c r="C414" s="60" t="inlineStr">
        <is>
          <t>https://www.facebook.com/utahbulldoglife</t>
        </is>
      </c>
      <c r="D414" s="9" t="inlineStr">
        <is>
          <t>Cần quét Bio Fanpage</t>
        </is>
      </c>
      <c r="E414" s="59" t="inlineStr">
        <is>
          <t>13/10/2026 11:06:09</t>
        </is>
      </c>
      <c r="F414" s="59" t="inlineStr">
        <is>
          <t>12 phút trước</t>
        </is>
      </c>
      <c r="G414" s="61" t="n">
        <v>0.01</v>
      </c>
      <c r="H414" s="62" t="n">
        <v>35</v>
      </c>
      <c r="I414" s="9" t="inlineStr">
        <is>
          <t>Pet Owner / Kênh cá nhân thú cưng (10đ)</t>
        </is>
      </c>
      <c r="J414" s="62" t="n">
        <v>10</v>
      </c>
      <c r="K414" s="9" t="inlineStr">
        <is>
          <t>English Bulldog</t>
        </is>
      </c>
      <c r="L414" s="62" t="n">
        <v>10</v>
      </c>
      <c r="M414" s="62" t="n">
        <v>0</v>
      </c>
      <c r="N414" s="9" t="inlineStr">
        <is>
          <t>Amazon link not found</t>
        </is>
      </c>
      <c r="O414" s="62">
        <f>IF(N414="Selling pet toys + Artificial grass/Pet toilets (TARGET)",15,IF(N414="Selling artificial grass/pet toilets (TARGET)",10,IF(N414="Selling pet toys",7,IF(N414="There's an Amazon link, but no target sales.",3,0))))</f>
        <v/>
      </c>
      <c r="P414" s="67">
        <f>H414+J414+L414+M414+O414</f>
        <v/>
      </c>
      <c r="Q414" s="66">
        <f>IF(OR(H414=0,P414&lt;30),"Tier D (Đóng băng)",IF(P414&gt;=85,"Tier S (Kim Cương: 85-100đ)",IF(P414&gt;=70,"Tier A (Vàng: 70-84đ)",IF(P414&gt;=61,"Tier B+ / Cấp A (Hot Lead: 61-69đ)",IF(P414&gt;=50,"Tier B (Bạc: 50-60đ)","Tier C (Đồng: 30-49đ)")))))</f>
        <v/>
      </c>
      <c r="R414" s="9" t="inlineStr">
        <is>
          <t>Khay vệ sinh trong nhà (Indoor Dog Potty) + Đồ chơi thú cưng lẻ</t>
        </is>
      </c>
      <c r="S414" s="9" t="inlineStr">
        <is>
          <t>Cấp B Tiềm năng: Tiếp cận tự động qua chuỗi Email Marketing + Chăm sóc bổ sung bằng Telesale</t>
        </is>
      </c>
    </row>
    <row r="415">
      <c r="A415" s="53" t="n">
        <v>5407</v>
      </c>
      <c r="B415" s="12" t="inlineStr">
        <is>
          <t>somefrenchienamedapollo</t>
        </is>
      </c>
      <c r="C415" s="54" t="inlineStr">
        <is>
          <t>https://www.facebook.com/somefrenchienamedapollo</t>
        </is>
      </c>
      <c r="D415" s="6" t="inlineStr">
        <is>
          <t>Cần quét Bio Fanpage</t>
        </is>
      </c>
      <c r="E415" s="53" t="inlineStr">
        <is>
          <t>13/10/2026 10:08:54</t>
        </is>
      </c>
      <c r="F415" s="53" t="inlineStr">
        <is>
          <t>31 phút trước</t>
        </is>
      </c>
      <c r="G415" s="55" t="n">
        <v>0.02</v>
      </c>
      <c r="H415" s="56" t="n">
        <v>35</v>
      </c>
      <c r="I415" s="6" t="inlineStr">
        <is>
          <t>Pet Owner / Kênh cá nhân thú cưng (10đ)</t>
        </is>
      </c>
      <c r="J415" s="56" t="n">
        <v>10</v>
      </c>
      <c r="K415" s="6" t="inlineStr">
        <is>
          <t>French Bulldog</t>
        </is>
      </c>
      <c r="L415" s="56" t="n">
        <v>10</v>
      </c>
      <c r="M415" s="56" t="n">
        <v>0</v>
      </c>
      <c r="N415" s="6" t="inlineStr">
        <is>
          <t>Amazon link not found</t>
        </is>
      </c>
      <c r="O415" s="56">
        <f>IF(N415="Selling pet toys + Artificial grass/Pet toilets (TARGET)",15,IF(N415="Selling artificial grass/pet toilets (TARGET)",10,IF(N415="Selling pet toys",7,IF(N415="There's an Amazon link, but no target sales.",3,0))))</f>
        <v/>
      </c>
      <c r="P415" s="65">
        <f>H415+J415+L415+M415+O415</f>
        <v/>
      </c>
      <c r="Q415" s="66">
        <f>IF(OR(H415=0,P415&lt;30),"Tier D (Đóng băng)",IF(P415&gt;=85,"Tier S (Kim Cương: 85-100đ)",IF(P415&gt;=70,"Tier A (Vàng: 70-84đ)",IF(P415&gt;=61,"Tier B+ / Cấp A (Hot Lead: 61-69đ)",IF(P415&gt;=50,"Tier B (Bạc: 50-60đ)","Tier C (Đồng: 30-49đ)")))))</f>
        <v/>
      </c>
      <c r="R415" s="6" t="inlineStr">
        <is>
          <t>Khay vệ sinh trong nhà (Indoor Dog Potty) + Đồ chơi thú cưng lẻ</t>
        </is>
      </c>
      <c r="S415" s="6" t="inlineStr">
        <is>
          <t>Cấp B Tiềm năng: Tiếp cận tự động qua chuỗi Email Marketing + Chăm sóc bổ sung bằng Telesale</t>
        </is>
      </c>
    </row>
    <row r="416">
      <c r="A416" s="59" t="n">
        <v>5266</v>
      </c>
      <c r="B416" s="15" t="inlineStr">
        <is>
          <t>Run Wild Dog Sports</t>
        </is>
      </c>
      <c r="C416" s="60" t="inlineStr">
        <is>
          <t>https://www.facebook.com/100093900725065</t>
        </is>
      </c>
      <c r="D416" s="9" t="inlineStr">
        <is>
          <t>Cần quét Bio Fanpage</t>
        </is>
      </c>
      <c r="E416" s="59" t="inlineStr">
        <is>
          <t>13/10/2026 09:33:29</t>
        </is>
      </c>
      <c r="F416" s="59" t="inlineStr">
        <is>
          <t>52 phút trước</t>
        </is>
      </c>
      <c r="G416" s="61" t="n">
        <v>0.04</v>
      </c>
      <c r="H416" s="62" t="n">
        <v>35</v>
      </c>
      <c r="I416" s="9" t="inlineStr">
        <is>
          <t>Pet Boarding / Huấn luyện K9 &amp; Dịch vụ (20-22đ)</t>
        </is>
      </c>
      <c r="J416" s="62" t="n">
        <v>20</v>
      </c>
      <c r="K416" s="9" t="inlineStr">
        <is>
          <t>Chưa rõ giống (Cần quét Bio)</t>
        </is>
      </c>
      <c r="L416" s="62" t="n">
        <v>0</v>
      </c>
      <c r="M416" s="62" t="n">
        <v>0</v>
      </c>
      <c r="N416" s="9" t="inlineStr">
        <is>
          <t>Amazon link not found</t>
        </is>
      </c>
      <c r="O416" s="62">
        <f>IF(N416="Selling pet toys + Artificial grass/Pet toilets (TARGET)",15,IF(N416="Selling artificial grass/pet toilets (TARGET)",10,IF(N416="Selling pet toys",7,IF(N416="There's an Amazon link, but no target sales.",3,0))))</f>
        <v/>
      </c>
      <c r="P416" s="67">
        <f>H416+J416+L416+M416+O416</f>
        <v/>
      </c>
      <c r="Q416" s="66">
        <f>IF(OR(H416=0,P416&lt;30),"Tier D (Đóng băng)",IF(P416&gt;=85,"Tier S (Kim Cương: 85-100đ)",IF(P416&gt;=70,"Tier A (Vàng: 70-84đ)",IF(P416&gt;=61,"Tier B+ / Cấp A (Hot Lead: 61-69đ)",IF(P416&gt;=50,"Tier B (Bạc: 50-60đ)","Tier C (Đồng: 30-49đ)")))))</f>
        <v/>
      </c>
      <c r="R416" s="9" t="inlineStr">
        <is>
          <t>Cỏ nhân tạo sân chơi/huấn luyện (Dog Turf) + Đồ chơi nhai chịu lực (KONG/Chew Toys)</t>
        </is>
      </c>
      <c r="S416" s="9" t="inlineStr">
        <is>
          <t>Cấp B Tiềm năng: Tiếp cận tự động qua chuỗi Email Marketing + Chăm sóc bổ sung bằng Telesale</t>
        </is>
      </c>
    </row>
    <row r="417">
      <c r="A417" s="53" t="n">
        <v>5738</v>
      </c>
      <c r="B417" s="12" t="inlineStr">
        <is>
          <t>United States Dog Agility Association</t>
        </is>
      </c>
      <c r="C417" s="54" t="inlineStr">
        <is>
          <t>https://www.facebook.com/USDAA</t>
        </is>
      </c>
      <c r="D417" s="6" t="inlineStr">
        <is>
          <t>Cần quét Bio Fanpage</t>
        </is>
      </c>
      <c r="E417" s="53" t="inlineStr">
        <is>
          <t>13/10/2026 08:00:03</t>
        </is>
      </c>
      <c r="F417" s="53" t="inlineStr">
        <is>
          <t>3 giờ trước</t>
        </is>
      </c>
      <c r="G417" s="55" t="n">
        <v>0.12</v>
      </c>
      <c r="H417" s="56" t="n">
        <v>35</v>
      </c>
      <c r="I417" s="6" t="inlineStr">
        <is>
          <t>Pet Boarding / Huấn luyện K9 &amp; Dịch vụ (20-22đ)</t>
        </is>
      </c>
      <c r="J417" s="56" t="n">
        <v>20</v>
      </c>
      <c r="K417" s="6" t="inlineStr">
        <is>
          <t>Chưa rõ giống (Cần quét Bio)</t>
        </is>
      </c>
      <c r="L417" s="56" t="n">
        <v>0</v>
      </c>
      <c r="M417" s="56" t="n">
        <v>0</v>
      </c>
      <c r="N417" s="6" t="inlineStr">
        <is>
          <t>Amazon link not found</t>
        </is>
      </c>
      <c r="O417" s="56">
        <f>IF(N417="Selling pet toys + Artificial grass/Pet toilets (TARGET)",15,IF(N417="Selling artificial grass/pet toilets (TARGET)",10,IF(N417="Selling pet toys",7,IF(N417="There's an Amazon link, but no target sales.",3,0))))</f>
        <v/>
      </c>
      <c r="P417" s="65">
        <f>H417+J417+L417+M417+O417</f>
        <v/>
      </c>
      <c r="Q417" s="66">
        <f>IF(OR(H417=0,P417&lt;30),"Tier D (Đóng băng)",IF(P417&gt;=85,"Tier S (Kim Cương: 85-100đ)",IF(P417&gt;=70,"Tier A (Vàng: 70-84đ)",IF(P417&gt;=61,"Tier B+ / Cấp A (Hot Lead: 61-69đ)",IF(P417&gt;=50,"Tier B (Bạc: 50-60đ)","Tier C (Đồng: 30-49đ)")))))</f>
        <v/>
      </c>
      <c r="R417" s="6" t="inlineStr">
        <is>
          <t>Cỏ nhân tạo sân chơi/huấn luyện (Dog Turf) + Đồ chơi nhai chịu lực (KONG/Chew Toys)</t>
        </is>
      </c>
      <c r="S417" s="6" t="inlineStr">
        <is>
          <t>Cấp B Tiềm năng: Tiếp cận tự động qua chuỗi Email Marketing + Chăm sóc bổ sung bằng Telesale</t>
        </is>
      </c>
    </row>
    <row r="418">
      <c r="A418" s="59" t="n">
        <v>3910</v>
      </c>
      <c r="B418" s="15" t="inlineStr">
        <is>
          <t>French Bulldog Lovers</t>
        </is>
      </c>
      <c r="C418" s="60" t="inlineStr">
        <is>
          <t>https://www.facebook.com/frenchbulldogloverspage</t>
        </is>
      </c>
      <c r="D418" s="9" t="inlineStr">
        <is>
          <t>Cần quét Bio Fanpage</t>
        </is>
      </c>
      <c r="E418" s="59" t="inlineStr">
        <is>
          <t>13/10/2026 07:48:11</t>
        </is>
      </c>
      <c r="F418" s="59" t="inlineStr">
        <is>
          <t>10 phút trước</t>
        </is>
      </c>
      <c r="G418" s="61" t="n">
        <v>0.01</v>
      </c>
      <c r="H418" s="62" t="n">
        <v>35</v>
      </c>
      <c r="I418" s="9" t="inlineStr">
        <is>
          <t>Pet Owner / Kênh cá nhân thú cưng (10đ)</t>
        </is>
      </c>
      <c r="J418" s="62" t="n">
        <v>10</v>
      </c>
      <c r="K418" s="9" t="inlineStr">
        <is>
          <t>French Bulldog</t>
        </is>
      </c>
      <c r="L418" s="62" t="n">
        <v>10</v>
      </c>
      <c r="M418" s="62" t="n">
        <v>0</v>
      </c>
      <c r="N418" s="9" t="inlineStr">
        <is>
          <t>Amazon link not found</t>
        </is>
      </c>
      <c r="O418" s="62">
        <f>IF(N418="Selling pet toys + Artificial grass/Pet toilets (TARGET)",15,IF(N418="Selling artificial grass/pet toilets (TARGET)",10,IF(N418="Selling pet toys",7,IF(N418="There's an Amazon link, but no target sales.",3,0))))</f>
        <v/>
      </c>
      <c r="P418" s="67">
        <f>H418+J418+L418+M418+O418</f>
        <v/>
      </c>
      <c r="Q418" s="66">
        <f>IF(OR(H418=0,P418&lt;30),"Tier D (Đóng băng)",IF(P418&gt;=85,"Tier S (Kim Cương: 85-100đ)",IF(P418&gt;=70,"Tier A (Vàng: 70-84đ)",IF(P418&gt;=61,"Tier B+ / Cấp A (Hot Lead: 61-69đ)",IF(P418&gt;=50,"Tier B (Bạc: 50-60đ)","Tier C (Đồng: 30-49đ)")))))</f>
        <v/>
      </c>
      <c r="R418" s="9" t="inlineStr">
        <is>
          <t>Khay vệ sinh trong nhà (Indoor Dog Potty) + Đồ chơi thú cưng lẻ</t>
        </is>
      </c>
      <c r="S418" s="9" t="inlineStr">
        <is>
          <t>Cấp B Tiềm năng: Tiếp cận tự động qua chuỗi Email Marketing + Chăm sóc bổ sung bằng Telesale</t>
        </is>
      </c>
    </row>
    <row r="419">
      <c r="A419" s="53" t="n">
        <v>3217</v>
      </c>
      <c r="B419" s="12" t="inlineStr">
        <is>
          <t>Tora The Belgian Malinois Dog</t>
        </is>
      </c>
      <c r="C419" s="54" t="inlineStr">
        <is>
          <t>https://www.facebook.com/Torathebelgianmalinoisdog</t>
        </is>
      </c>
      <c r="D419" s="6" t="inlineStr">
        <is>
          <t>Cần quét Bio Fanpage</t>
        </is>
      </c>
      <c r="E419" s="53" t="inlineStr">
        <is>
          <t>13/10/2026 05:42:16</t>
        </is>
      </c>
      <c r="F419" s="53" t="inlineStr">
        <is>
          <t>1 giờ trước</t>
        </is>
      </c>
      <c r="G419" s="55" t="n">
        <v>0.04</v>
      </c>
      <c r="H419" s="56" t="n">
        <v>35</v>
      </c>
      <c r="I419" s="6" t="inlineStr">
        <is>
          <t>Pet Owner / Kênh cá nhân thú cưng (10đ)</t>
        </is>
      </c>
      <c r="J419" s="56" t="n">
        <v>10</v>
      </c>
      <c r="K419" s="6" t="inlineStr">
        <is>
          <t>Malinois</t>
        </is>
      </c>
      <c r="L419" s="56" t="n">
        <v>10</v>
      </c>
      <c r="M419" s="56" t="n">
        <v>0</v>
      </c>
      <c r="N419" s="6" t="inlineStr">
        <is>
          <t>Amazon link not found</t>
        </is>
      </c>
      <c r="O419" s="56">
        <f>IF(N419="Selling pet toys + Artificial grass/Pet toilets (TARGET)",15,IF(N419="Selling artificial grass/pet toilets (TARGET)",10,IF(N419="Selling pet toys",7,IF(N419="There's an Amazon link, but no target sales.",3,0))))</f>
        <v/>
      </c>
      <c r="P419" s="65">
        <f>H419+J419+L419+M419+O419</f>
        <v/>
      </c>
      <c r="Q419" s="66">
        <f>IF(OR(H419=0,P419&lt;30),"Tier D (Đóng băng)",IF(P419&gt;=85,"Tier S (Kim Cương: 85-100đ)",IF(P419&gt;=70,"Tier A (Vàng: 70-84đ)",IF(P419&gt;=61,"Tier B+ / Cấp A (Hot Lead: 61-69đ)",IF(P419&gt;=50,"Tier B (Bạc: 50-60đ)","Tier C (Đồng: 30-49đ)")))))</f>
        <v/>
      </c>
      <c r="R419" s="6" t="inlineStr">
        <is>
          <t>Khay vệ sinh trong nhà (Indoor Dog Potty) + Đồ chơi thú cưng lẻ</t>
        </is>
      </c>
      <c r="S419" s="6" t="inlineStr">
        <is>
          <t>Cấp B Tiềm năng: Tiếp cận tự động qua chuỗi Email Marketing + Chăm sóc bổ sung bằng Telesale</t>
        </is>
      </c>
    </row>
    <row r="420">
      <c r="A420" s="59" t="n">
        <v>3993</v>
      </c>
      <c r="B420" s="15" t="inlineStr">
        <is>
          <t>Golden Gate Dog Sports</t>
        </is>
      </c>
      <c r="C420" s="60" t="inlineStr">
        <is>
          <t>https://www.facebook.com/goldengatedogsports</t>
        </is>
      </c>
      <c r="D420" s="9" t="inlineStr">
        <is>
          <t>Cần quét Bio Fanpage</t>
        </is>
      </c>
      <c r="E420" s="59" t="inlineStr">
        <is>
          <t>13/10/2026 04:57:14</t>
        </is>
      </c>
      <c r="F420" s="59" t="inlineStr">
        <is>
          <t>3 giờ trước</t>
        </is>
      </c>
      <c r="G420" s="61" t="n">
        <v>0.12</v>
      </c>
      <c r="H420" s="62" t="n">
        <v>35</v>
      </c>
      <c r="I420" s="9" t="inlineStr">
        <is>
          <t>Pet Boarding / Huấn luyện K9 &amp; Dịch vụ (20-22đ)</t>
        </is>
      </c>
      <c r="J420" s="62" t="n">
        <v>20</v>
      </c>
      <c r="K420" s="9" t="inlineStr">
        <is>
          <t>Chưa rõ giống (Cần quét Bio)</t>
        </is>
      </c>
      <c r="L420" s="62" t="n">
        <v>0</v>
      </c>
      <c r="M420" s="62" t="n">
        <v>0</v>
      </c>
      <c r="N420" s="9" t="inlineStr">
        <is>
          <t>Amazon link not found</t>
        </is>
      </c>
      <c r="O420" s="62">
        <f>IF(N420="Selling pet toys + Artificial grass/Pet toilets (TARGET)",15,IF(N420="Selling artificial grass/pet toilets (TARGET)",10,IF(N420="Selling pet toys",7,IF(N420="There's an Amazon link, but no target sales.",3,0))))</f>
        <v/>
      </c>
      <c r="P420" s="67">
        <f>H420+J420+L420+M420+O420</f>
        <v/>
      </c>
      <c r="Q420" s="66">
        <f>IF(OR(H420=0,P420&lt;30),"Tier D (Đóng băng)",IF(P420&gt;=85,"Tier S (Kim Cương: 85-100đ)",IF(P420&gt;=70,"Tier A (Vàng: 70-84đ)",IF(P420&gt;=61,"Tier B+ / Cấp A (Hot Lead: 61-69đ)",IF(P420&gt;=50,"Tier B (Bạc: 50-60đ)","Tier C (Đồng: 30-49đ)")))))</f>
        <v/>
      </c>
      <c r="R420" s="9" t="inlineStr">
        <is>
          <t>Cỏ nhân tạo sân chơi/huấn luyện (Dog Turf) + Đồ chơi nhai chịu lực (KONG/Chew Toys)</t>
        </is>
      </c>
      <c r="S420" s="9" t="inlineStr">
        <is>
          <t>Cấp B Tiềm năng: Tiếp cận tự động qua chuỗi Email Marketing + Chăm sóc bổ sung bằng Telesale</t>
        </is>
      </c>
    </row>
    <row r="421">
      <c r="A421" s="53" t="n">
        <v>1713</v>
      </c>
      <c r="B421" s="12" t="inlineStr">
        <is>
          <t>I Love My Frenchie</t>
        </is>
      </c>
      <c r="C421" s="54" t="inlineStr">
        <is>
          <t>https://www.facebook.com/Iheartfrenchbulldogs</t>
        </is>
      </c>
      <c r="D421" s="6" t="inlineStr">
        <is>
          <t>Cần quét Bio Fanpage</t>
        </is>
      </c>
      <c r="E421" s="53" t="inlineStr">
        <is>
          <t>13/10/2026 02:31:11</t>
        </is>
      </c>
      <c r="F421" s="53" t="inlineStr">
        <is>
          <t>1 giờ trước</t>
        </is>
      </c>
      <c r="G421" s="55" t="n">
        <v>0.04</v>
      </c>
      <c r="H421" s="56" t="n">
        <v>35</v>
      </c>
      <c r="I421" s="6" t="inlineStr">
        <is>
          <t>Pet Owner / Kênh cá nhân thú cưng (10đ)</t>
        </is>
      </c>
      <c r="J421" s="56" t="n">
        <v>10</v>
      </c>
      <c r="K421" s="6" t="inlineStr">
        <is>
          <t>French Bulldog</t>
        </is>
      </c>
      <c r="L421" s="56" t="n">
        <v>10</v>
      </c>
      <c r="M421" s="56" t="n">
        <v>0</v>
      </c>
      <c r="N421" s="6" t="inlineStr">
        <is>
          <t>Amazon link not found</t>
        </is>
      </c>
      <c r="O421" s="56">
        <f>IF(N421="Selling pet toys + Artificial grass/Pet toilets (TARGET)",15,IF(N421="Selling artificial grass/pet toilets (TARGET)",10,IF(N421="Selling pet toys",7,IF(N421="There's an Amazon link, but no target sales.",3,0))))</f>
        <v/>
      </c>
      <c r="P421" s="65">
        <f>H421+J421+L421+M421+O421</f>
        <v/>
      </c>
      <c r="Q421" s="66">
        <f>IF(OR(H421=0,P421&lt;30),"Tier D (Đóng băng)",IF(P421&gt;=85,"Tier S (Kim Cương: 85-100đ)",IF(P421&gt;=70,"Tier A (Vàng: 70-84đ)",IF(P421&gt;=61,"Tier B+ / Cấp A (Hot Lead: 61-69đ)",IF(P421&gt;=50,"Tier B (Bạc: 50-60đ)","Tier C (Đồng: 30-49đ)")))))</f>
        <v/>
      </c>
      <c r="R421" s="6" t="inlineStr">
        <is>
          <t>Khay vệ sinh trong nhà (Indoor Dog Potty) + Đồ chơi thú cưng lẻ</t>
        </is>
      </c>
      <c r="S421" s="6" t="inlineStr">
        <is>
          <t>Cấp B Tiềm năng: Tiếp cận tự động qua chuỗi Email Marketing + Chăm sóc bổ sung bằng Telesale</t>
        </is>
      </c>
    </row>
    <row r="422">
      <c r="A422" s="59" t="n">
        <v>781</v>
      </c>
      <c r="B422" s="15" t="inlineStr">
        <is>
          <t>Bugalugs Pet Care</t>
        </is>
      </c>
      <c r="C422" s="60" t="inlineStr">
        <is>
          <t>https://www.facebook.com/bugalugspetcare</t>
        </is>
      </c>
      <c r="D422" s="9" t="inlineStr">
        <is>
          <t>Cần quét Bio Fanpage</t>
        </is>
      </c>
      <c r="E422" s="59" t="inlineStr">
        <is>
          <t>13/10/2026 01:09:04</t>
        </is>
      </c>
      <c r="F422" s="59" t="inlineStr">
        <is>
          <t>1 giờ trước</t>
        </is>
      </c>
      <c r="G422" s="61" t="n">
        <v>0.04</v>
      </c>
      <c r="H422" s="62" t="n">
        <v>35</v>
      </c>
      <c r="I422" s="9" t="inlineStr">
        <is>
          <t>Pet Boarding / Huấn luyện K9 &amp; Dịch vụ (20-22đ)</t>
        </is>
      </c>
      <c r="J422" s="62" t="n">
        <v>20</v>
      </c>
      <c r="K422" s="9" t="inlineStr">
        <is>
          <t>Chưa rõ giống (Cần quét Bio)</t>
        </is>
      </c>
      <c r="L422" s="62" t="n">
        <v>0</v>
      </c>
      <c r="M422" s="62" t="n">
        <v>0</v>
      </c>
      <c r="N422" s="9" t="inlineStr">
        <is>
          <t>Amazon link not found</t>
        </is>
      </c>
      <c r="O422" s="62">
        <f>IF(N422="Selling pet toys + Artificial grass/Pet toilets (TARGET)",15,IF(N422="Selling artificial grass/pet toilets (TARGET)",10,IF(N422="Selling pet toys",7,IF(N422="There's an Amazon link, but no target sales.",3,0))))</f>
        <v/>
      </c>
      <c r="P422" s="67">
        <f>H422+J422+L422+M422+O422</f>
        <v/>
      </c>
      <c r="Q422" s="66">
        <f>IF(OR(H422=0,P422&lt;30),"Tier D (Đóng băng)",IF(P422&gt;=85,"Tier S (Kim Cương: 85-100đ)",IF(P422&gt;=70,"Tier A (Vàng: 70-84đ)",IF(P422&gt;=61,"Tier B+ / Cấp A (Hot Lead: 61-69đ)",IF(P422&gt;=50,"Tier B (Bạc: 50-60đ)","Tier C (Đồng: 30-49đ)")))))</f>
        <v/>
      </c>
      <c r="R422" s="9" t="inlineStr">
        <is>
          <t>Cỏ nhân tạo sân chơi/huấn luyện (Dog Turf) + Đồ chơi nhai chịu lực (KONG/Chew Toys)</t>
        </is>
      </c>
      <c r="S422" s="9" t="inlineStr">
        <is>
          <t>Cấp B Tiềm năng: Tiếp cận tự động qua chuỗi Email Marketing + Chăm sóc bổ sung bằng Telesale</t>
        </is>
      </c>
    </row>
    <row r="423">
      <c r="A423" s="53" t="n">
        <v>86</v>
      </c>
      <c r="B423" s="12" t="inlineStr">
        <is>
          <t>We Dog Trainer</t>
        </is>
      </c>
      <c r="C423" s="54" t="inlineStr">
        <is>
          <t>https://www.facebook.com/profile.php?id=100080290106972</t>
        </is>
      </c>
      <c r="D423" s="6" t="inlineStr">
        <is>
          <t>Cần quét Bio Fanpage</t>
        </is>
      </c>
      <c r="E423" s="53" t="inlineStr">
        <is>
          <t>13/10/2026 00:31:51</t>
        </is>
      </c>
      <c r="F423" s="53" t="inlineStr">
        <is>
          <t>32 phút trước</t>
        </is>
      </c>
      <c r="G423" s="55" t="n">
        <v>0.02</v>
      </c>
      <c r="H423" s="56" t="n">
        <v>35</v>
      </c>
      <c r="I423" s="6" t="inlineStr">
        <is>
          <t>Pet Boarding / Huấn luyện K9 &amp; Dịch vụ (20-22đ)</t>
        </is>
      </c>
      <c r="J423" s="56" t="n">
        <v>20</v>
      </c>
      <c r="K423" s="6" t="inlineStr">
        <is>
          <t>Chưa rõ giống (Cần quét Bio)</t>
        </is>
      </c>
      <c r="L423" s="56" t="n">
        <v>0</v>
      </c>
      <c r="M423" s="56" t="n">
        <v>0</v>
      </c>
      <c r="N423" s="6" t="inlineStr">
        <is>
          <t>Amazon link not found</t>
        </is>
      </c>
      <c r="O423" s="56">
        <f>IF(N423="Selling pet toys + Artificial grass/Pet toilets (TARGET)",15,IF(N423="Selling artificial grass/pet toilets (TARGET)",10,IF(N423="Selling pet toys",7,IF(N423="There's an Amazon link, but no target sales.",3,0))))</f>
        <v/>
      </c>
      <c r="P423" s="65">
        <f>H423+J423+L423+M423+O423</f>
        <v/>
      </c>
      <c r="Q423" s="66">
        <f>IF(OR(H423=0,P423&lt;30),"Tier D (Đóng băng)",IF(P423&gt;=85,"Tier S (Kim Cương: 85-100đ)",IF(P423&gt;=70,"Tier A (Vàng: 70-84đ)",IF(P423&gt;=61,"Tier B+ / Cấp A (Hot Lead: 61-69đ)",IF(P423&gt;=50,"Tier B (Bạc: 50-60đ)","Tier C (Đồng: 30-49đ)")))))</f>
        <v/>
      </c>
      <c r="R423" s="6" t="inlineStr">
        <is>
          <t>Cỏ nhân tạo sân chơi/huấn luyện (Dog Turf) + Đồ chơi nhai chịu lực (KONG/Chew Toys)</t>
        </is>
      </c>
      <c r="S423" s="6" t="inlineStr">
        <is>
          <t>Cấp B Tiềm năng: Tiếp cận tự động qua chuỗi Email Marketing + Chăm sóc bổ sung bằng Telesale</t>
        </is>
      </c>
    </row>
    <row r="424">
      <c r="A424" s="59" t="n">
        <v>683</v>
      </c>
      <c r="B424" s="15" t="inlineStr">
        <is>
          <t>BJ's Pet Resort &amp; Spa</t>
        </is>
      </c>
      <c r="C424" s="60" t="inlineStr">
        <is>
          <t>https://www.facebook.com/bjpetresort</t>
        </is>
      </c>
      <c r="D424" s="9" t="inlineStr">
        <is>
          <t>Cần quét Bio Fanpage</t>
        </is>
      </c>
      <c r="E424" s="59" t="inlineStr">
        <is>
          <t>13/10/2026 00:04:24</t>
        </is>
      </c>
      <c r="F424" s="59" t="inlineStr">
        <is>
          <t>2 giờ trước</t>
        </is>
      </c>
      <c r="G424" s="61" t="n">
        <v>0.08</v>
      </c>
      <c r="H424" s="62" t="n">
        <v>35</v>
      </c>
      <c r="I424" s="9" t="inlineStr">
        <is>
          <t>Pet Boarding / Huấn luyện K9 &amp; Dịch vụ (20-22đ)</t>
        </is>
      </c>
      <c r="J424" s="62" t="n">
        <v>20</v>
      </c>
      <c r="K424" s="9" t="inlineStr">
        <is>
          <t>Chưa rõ giống (Cần quét Bio)</t>
        </is>
      </c>
      <c r="L424" s="62" t="n">
        <v>0</v>
      </c>
      <c r="M424" s="62" t="n">
        <v>0</v>
      </c>
      <c r="N424" s="9" t="inlineStr">
        <is>
          <t>Amazon link not found</t>
        </is>
      </c>
      <c r="O424" s="62">
        <f>IF(N424="Selling pet toys + Artificial grass/Pet toilets (TARGET)",15,IF(N424="Selling artificial grass/pet toilets (TARGET)",10,IF(N424="Selling pet toys",7,IF(N424="There's an Amazon link, but no target sales.",3,0))))</f>
        <v/>
      </c>
      <c r="P424" s="67">
        <f>H424+J424+L424+M424+O424</f>
        <v/>
      </c>
      <c r="Q424" s="66">
        <f>IF(OR(H424=0,P424&lt;30),"Tier D (Đóng băng)",IF(P424&gt;=85,"Tier S (Kim Cương: 85-100đ)",IF(P424&gt;=70,"Tier A (Vàng: 70-84đ)",IF(P424&gt;=61,"Tier B+ / Cấp A (Hot Lead: 61-69đ)",IF(P424&gt;=50,"Tier B (Bạc: 50-60đ)","Tier C (Đồng: 30-49đ)")))))</f>
        <v/>
      </c>
      <c r="R424" s="9" t="inlineStr">
        <is>
          <t>Cỏ nhân tạo sân chơi/huấn luyện (Dog Turf) + Đồ chơi nhai chịu lực (KONG/Chew Toys)</t>
        </is>
      </c>
      <c r="S424" s="9" t="inlineStr">
        <is>
          <t>Cấp B Tiềm năng: Tiếp cận tự động qua chuỗi Email Marketing + Chăm sóc bổ sung bằng Telesale</t>
        </is>
      </c>
    </row>
    <row r="425">
      <c r="A425" s="53" t="n">
        <v>501</v>
      </c>
      <c r="B425" s="12" t="inlineStr">
        <is>
          <t>Annie’s Dog Walking and Pet Care</t>
        </is>
      </c>
      <c r="C425" s="54" t="inlineStr">
        <is>
          <t>https://www.facebook.com/profile.php?id=61584700992217</t>
        </is>
      </c>
      <c r="D425" s="6" t="inlineStr">
        <is>
          <t>Cần quét Bio Fanpage</t>
        </is>
      </c>
      <c r="E425" s="53" t="inlineStr">
        <is>
          <t>13/10/2026 00:04:12</t>
        </is>
      </c>
      <c r="F425" s="53" t="inlineStr">
        <is>
          <t>1 giờ trước</t>
        </is>
      </c>
      <c r="G425" s="55" t="n">
        <v>0.04</v>
      </c>
      <c r="H425" s="56" t="n">
        <v>35</v>
      </c>
      <c r="I425" s="6" t="inlineStr">
        <is>
          <t>Pet Boarding / Huấn luyện K9 &amp; Dịch vụ (20-22đ)</t>
        </is>
      </c>
      <c r="J425" s="56" t="n">
        <v>20</v>
      </c>
      <c r="K425" s="6" t="inlineStr">
        <is>
          <t>Chưa rõ giống (Cần quét Bio)</t>
        </is>
      </c>
      <c r="L425" s="56" t="n">
        <v>0</v>
      </c>
      <c r="M425" s="56" t="n">
        <v>0</v>
      </c>
      <c r="N425" s="6" t="inlineStr">
        <is>
          <t>Amazon link not found</t>
        </is>
      </c>
      <c r="O425" s="56">
        <f>IF(N425="Selling pet toys + Artificial grass/Pet toilets (TARGET)",15,IF(N425="Selling artificial grass/pet toilets (TARGET)",10,IF(N425="Selling pet toys",7,IF(N425="There's an Amazon link, but no target sales.",3,0))))</f>
        <v/>
      </c>
      <c r="P425" s="65">
        <f>H425+J425+L425+M425+O425</f>
        <v/>
      </c>
      <c r="Q425" s="66">
        <f>IF(OR(H425=0,P425&lt;30),"Tier D (Đóng băng)",IF(P425&gt;=85,"Tier S (Kim Cương: 85-100đ)",IF(P425&gt;=70,"Tier A (Vàng: 70-84đ)",IF(P425&gt;=61,"Tier B+ / Cấp A (Hot Lead: 61-69đ)",IF(P425&gt;=50,"Tier B (Bạc: 50-60đ)","Tier C (Đồng: 30-49đ)")))))</f>
        <v/>
      </c>
      <c r="R425" s="6" t="inlineStr">
        <is>
          <t>Cỏ nhân tạo sân chơi/huấn luyện (Dog Turf) + Đồ chơi nhai chịu lực (KONG/Chew Toys)</t>
        </is>
      </c>
      <c r="S425" s="6" t="inlineStr">
        <is>
          <t>Cấp B Tiềm năng: Tiếp cận tự động qua chuỗi Email Marketing + Chăm sóc bổ sung bằng Telesale</t>
        </is>
      </c>
    </row>
    <row r="426">
      <c r="A426" s="59" t="n">
        <v>2992</v>
      </c>
      <c r="B426" s="15" t="inlineStr">
        <is>
          <t>Start to Finish Dog Training</t>
        </is>
      </c>
      <c r="C426" s="60" t="inlineStr">
        <is>
          <t>https://www.facebook.com/lakelandcanineacademy</t>
        </is>
      </c>
      <c r="D426" s="9" t="inlineStr">
        <is>
          <t>Cần quét Bio Fanpage</t>
        </is>
      </c>
      <c r="E426" s="59" t="inlineStr">
        <is>
          <t>12/10/2026 03:19:35</t>
        </is>
      </c>
      <c r="F426" s="59" t="inlineStr">
        <is>
          <t>1 ngày trước</t>
        </is>
      </c>
      <c r="G426" s="61" t="n">
        <v>1</v>
      </c>
      <c r="H426" s="62" t="n">
        <v>28</v>
      </c>
      <c r="I426" s="9" t="inlineStr">
        <is>
          <t>Pet Boarding / Huấn luyện K9 &amp; Dịch vụ (20-22đ)</t>
        </is>
      </c>
      <c r="J426" s="62" t="n">
        <v>22</v>
      </c>
      <c r="K426" s="9" t="inlineStr">
        <is>
          <t>Chưa rõ giống (Cần quét Bio)</t>
        </is>
      </c>
      <c r="L426" s="62" t="n">
        <v>0</v>
      </c>
      <c r="M426" s="62" t="n">
        <v>5</v>
      </c>
      <c r="N426" s="9" t="inlineStr">
        <is>
          <t>Amazon link not found</t>
        </is>
      </c>
      <c r="O426" s="62">
        <f>IF(N426="Selling pet toys + Artificial grass/Pet toilets (TARGET)",15,IF(N426="Selling artificial grass/pet toilets (TARGET)",10,IF(N426="Selling pet toys",7,IF(N426="There's an Amazon link, but no target sales.",3,0))))</f>
        <v/>
      </c>
      <c r="P426" s="67">
        <f>H426+J426+L426+M426+O426</f>
        <v/>
      </c>
      <c r="Q426" s="66">
        <f>IF(OR(H426=0,P426&lt;30),"Tier D (Đóng băng)",IF(P426&gt;=85,"Tier S (Kim Cương: 85-100đ)",IF(P426&gt;=70,"Tier A (Vàng: 70-84đ)",IF(P426&gt;=61,"Tier B+ / Cấp A (Hot Lead: 61-69đ)",IF(P426&gt;=50,"Tier B (Bạc: 50-60đ)","Tier C (Đồng: 30-49đ)")))))</f>
        <v/>
      </c>
      <c r="R426" s="9" t="inlineStr">
        <is>
          <t>Cỏ nhân tạo sân chơi/huấn luyện (Dog Turf) + Đồ chơi nhai chịu lực (KONG/Chew Toys)</t>
        </is>
      </c>
      <c r="S426" s="9" t="inlineStr">
        <is>
          <t>Cấp B Tiềm năng: Tiếp cận tự động qua chuỗi Email Marketing + Chăm sóc bổ sung bằng Telesale</t>
        </is>
      </c>
    </row>
    <row r="427">
      <c r="A427" s="53" t="n">
        <v>956</v>
      </c>
      <c r="B427" s="12" t="inlineStr">
        <is>
          <t>Crayell working dogs</t>
        </is>
      </c>
      <c r="C427" s="54" t="inlineStr">
        <is>
          <t>https://www.facebook.com/crayellworkingdogs</t>
        </is>
      </c>
      <c r="D427" s="6" t="inlineStr">
        <is>
          <t>Cần quét Bio Fanpage</t>
        </is>
      </c>
      <c r="E427" s="53" t="inlineStr">
        <is>
          <t>12/10/2026 01:18:24</t>
        </is>
      </c>
      <c r="F427" s="53" t="inlineStr">
        <is>
          <t>1 ngày trước</t>
        </is>
      </c>
      <c r="G427" s="55" t="n">
        <v>1</v>
      </c>
      <c r="H427" s="56" t="n">
        <v>28</v>
      </c>
      <c r="I427" s="6" t="inlineStr">
        <is>
          <t>Pet Boarding / Huấn luyện K9 &amp; Dịch vụ (20-22đ)</t>
        </is>
      </c>
      <c r="J427" s="56" t="n">
        <v>22</v>
      </c>
      <c r="K427" s="6" t="inlineStr">
        <is>
          <t>Chưa rõ giống (Cần quét Bio)</t>
        </is>
      </c>
      <c r="L427" s="56" t="n">
        <v>0</v>
      </c>
      <c r="M427" s="56" t="n">
        <v>5</v>
      </c>
      <c r="N427" s="6" t="inlineStr">
        <is>
          <t>Amazon link not found</t>
        </is>
      </c>
      <c r="O427" s="56">
        <f>IF(N427="Selling pet toys + Artificial grass/Pet toilets (TARGET)",15,IF(N427="Selling artificial grass/pet toilets (TARGET)",10,IF(N427="Selling pet toys",7,IF(N427="There's an Amazon link, but no target sales.",3,0))))</f>
        <v/>
      </c>
      <c r="P427" s="65">
        <f>H427+J427+L427+M427+O427</f>
        <v/>
      </c>
      <c r="Q427" s="66">
        <f>IF(OR(H427=0,P427&lt;30),"Tier D (Đóng băng)",IF(P427&gt;=85,"Tier S (Kim Cương: 85-100đ)",IF(P427&gt;=70,"Tier A (Vàng: 70-84đ)",IF(P427&gt;=61,"Tier B+ / Cấp A (Hot Lead: 61-69đ)",IF(P427&gt;=50,"Tier B (Bạc: 50-60đ)","Tier C (Đồng: 30-49đ)")))))</f>
        <v/>
      </c>
      <c r="R427" s="6" t="inlineStr">
        <is>
          <t>Cỏ nhân tạo sân chơi/huấn luyện (Dog Turf) + Đồ chơi nhai chịu lực (KONG/Chew Toys)</t>
        </is>
      </c>
      <c r="S427" s="6" t="inlineStr">
        <is>
          <t>Cấp B Tiềm năng: Tiếp cận tự động qua chuỗi Email Marketing + Chăm sóc bổ sung bằng Telesale</t>
        </is>
      </c>
    </row>
    <row r="428">
      <c r="A428" s="59" t="n">
        <v>2104</v>
      </c>
      <c r="B428" s="15" t="inlineStr">
        <is>
          <t>Maher &amp; Hound Dog Training &amp; Behaviour</t>
        </is>
      </c>
      <c r="C428" s="60" t="inlineStr">
        <is>
          <t>https://www.facebook.com/maherandhounddogtraining</t>
        </is>
      </c>
      <c r="D428" s="9" t="inlineStr">
        <is>
          <t>Cần quét Bio Fanpage</t>
        </is>
      </c>
      <c r="E428" s="59" t="inlineStr">
        <is>
          <t>11/10/2026 23:06:08</t>
        </is>
      </c>
      <c r="F428" s="59" t="inlineStr">
        <is>
          <t>1 ngày trước</t>
        </is>
      </c>
      <c r="G428" s="61" t="n">
        <v>1</v>
      </c>
      <c r="H428" s="62" t="n">
        <v>28</v>
      </c>
      <c r="I428" s="9" t="inlineStr">
        <is>
          <t>Pet Boarding / Huấn luyện K9 &amp; Dịch vụ (20-22đ)</t>
        </is>
      </c>
      <c r="J428" s="62" t="n">
        <v>22</v>
      </c>
      <c r="K428" s="9" t="inlineStr">
        <is>
          <t>Hound / Beagle / Basset</t>
        </is>
      </c>
      <c r="L428" s="62" t="n">
        <v>5</v>
      </c>
      <c r="M428" s="62" t="n">
        <v>0</v>
      </c>
      <c r="N428" s="9" t="inlineStr">
        <is>
          <t>Amazon link not found</t>
        </is>
      </c>
      <c r="O428" s="62">
        <f>IF(N428="Selling pet toys + Artificial grass/Pet toilets (TARGET)",15,IF(N428="Selling artificial grass/pet toilets (TARGET)",10,IF(N428="Selling pet toys",7,IF(N428="There's an Amazon link, but no target sales.",3,0))))</f>
        <v/>
      </c>
      <c r="P428" s="67">
        <f>H428+J428+L428+M428+O428</f>
        <v/>
      </c>
      <c r="Q428" s="66">
        <f>IF(OR(H428=0,P428&lt;30),"Tier D (Đóng băng)",IF(P428&gt;=85,"Tier S (Kim Cương: 85-100đ)",IF(P428&gt;=70,"Tier A (Vàng: 70-84đ)",IF(P428&gt;=61,"Tier B+ / Cấp A (Hot Lead: 61-69đ)",IF(P428&gt;=50,"Tier B (Bạc: 50-60đ)","Tier C (Đồng: 30-49đ)")))))</f>
        <v/>
      </c>
      <c r="R428" s="9" t="inlineStr">
        <is>
          <t>Cỏ nhân tạo sân chơi/huấn luyện (Dog Turf) + Đồ chơi nhai chịu lực (KONG/Chew Toys)</t>
        </is>
      </c>
      <c r="S428" s="9" t="inlineStr">
        <is>
          <t>Cấp B Tiềm năng: Tiếp cận tự động qua chuỗi Email Marketing + Chăm sóc bổ sung bằng Telesale</t>
        </is>
      </c>
    </row>
    <row r="429">
      <c r="A429" s="53" t="n">
        <v>2599</v>
      </c>
      <c r="B429" s="12" t="inlineStr">
        <is>
          <t>Pop Up Puppy Yoga</t>
        </is>
      </c>
      <c r="C429" s="54" t="inlineStr">
        <is>
          <t>https://www.facebook.com/profile.php?id=61578093398674</t>
        </is>
      </c>
      <c r="D429" s="6" t="inlineStr">
        <is>
          <t>Cần quét Bio Fanpage</t>
        </is>
      </c>
      <c r="E429" s="53" t="inlineStr">
        <is>
          <t>11/10/2026 19:43:20</t>
        </is>
      </c>
      <c r="F429" s="53" t="inlineStr">
        <is>
          <t>1 ngày trước</t>
        </is>
      </c>
      <c r="G429" s="55" t="n">
        <v>1</v>
      </c>
      <c r="H429" s="56" t="n">
        <v>28</v>
      </c>
      <c r="I429" s="6" t="inlineStr">
        <is>
          <t>Pet Boarding / Huấn luyện K9 &amp; Dịch vụ (20-22đ)</t>
        </is>
      </c>
      <c r="J429" s="56" t="n">
        <v>22</v>
      </c>
      <c r="K429" s="6" t="inlineStr">
        <is>
          <t>Chưa rõ giống (Cần quét Bio)</t>
        </is>
      </c>
      <c r="L429" s="56" t="n">
        <v>0</v>
      </c>
      <c r="M429" s="56" t="n">
        <v>5</v>
      </c>
      <c r="N429" s="6" t="inlineStr">
        <is>
          <t>Amazon link not found</t>
        </is>
      </c>
      <c r="O429" s="56">
        <f>IF(N429="Selling pet toys + Artificial grass/Pet toilets (TARGET)",15,IF(N429="Selling artificial grass/pet toilets (TARGET)",10,IF(N429="Selling pet toys",7,IF(N429="There's an Amazon link, but no target sales.",3,0))))</f>
        <v/>
      </c>
      <c r="P429" s="65">
        <f>H429+J429+L429+M429+O429</f>
        <v/>
      </c>
      <c r="Q429" s="66">
        <f>IF(OR(H429=0,P429&lt;30),"Tier D (Đóng băng)",IF(P429&gt;=85,"Tier S (Kim Cương: 85-100đ)",IF(P429&gt;=70,"Tier A (Vàng: 70-84đ)",IF(P429&gt;=61,"Tier B+ / Cấp A (Hot Lead: 61-69đ)",IF(P429&gt;=50,"Tier B (Bạc: 50-60đ)","Tier C (Đồng: 30-49đ)")))))</f>
        <v/>
      </c>
      <c r="R429" s="6" t="inlineStr">
        <is>
          <t>Cỏ nhân tạo sân chơi/huấn luyện (Dog Turf) + Đồ chơi nhai chịu lực (KONG/Chew Toys)</t>
        </is>
      </c>
      <c r="S429" s="6" t="inlineStr">
        <is>
          <t>Cấp B Tiềm năng: Tiếp cận tự động qua chuỗi Email Marketing + Chăm sóc bổ sung bằng Telesale</t>
        </is>
      </c>
    </row>
    <row r="430">
      <c r="A430" s="59" t="n">
        <v>914</v>
      </c>
      <c r="B430" s="15" t="inlineStr">
        <is>
          <t>Club Meg Dog Training, LLC</t>
        </is>
      </c>
      <c r="C430" s="60" t="inlineStr">
        <is>
          <t>https://www.facebook.com/ClubMegDogTraining</t>
        </is>
      </c>
      <c r="D430" s="9" t="inlineStr">
        <is>
          <t>Cần quét Bio Fanpage</t>
        </is>
      </c>
      <c r="E430" s="59" t="inlineStr">
        <is>
          <t>11/10/2026 09:20:00</t>
        </is>
      </c>
      <c r="F430" s="59" t="inlineStr">
        <is>
          <t>1 ngày trước</t>
        </is>
      </c>
      <c r="G430" s="61" t="n">
        <v>1</v>
      </c>
      <c r="H430" s="62" t="n">
        <v>28</v>
      </c>
      <c r="I430" s="9" t="inlineStr">
        <is>
          <t>Pet Boarding / Huấn luyện K9 &amp; Dịch vụ (20-22đ)</t>
        </is>
      </c>
      <c r="J430" s="62" t="n">
        <v>22</v>
      </c>
      <c r="K430" s="9" t="inlineStr">
        <is>
          <t>Chưa rõ giống (Cần quét Bio)</t>
        </is>
      </c>
      <c r="L430" s="62" t="n">
        <v>0</v>
      </c>
      <c r="M430" s="62" t="n">
        <v>5</v>
      </c>
      <c r="N430" s="9" t="inlineStr">
        <is>
          <t>Amazon link not found</t>
        </is>
      </c>
      <c r="O430" s="62">
        <f>IF(N430="Selling pet toys + Artificial grass/Pet toilets (TARGET)",15,IF(N430="Selling artificial grass/pet toilets (TARGET)",10,IF(N430="Selling pet toys",7,IF(N430="There's an Amazon link, but no target sales.",3,0))))</f>
        <v/>
      </c>
      <c r="P430" s="67">
        <f>H430+J430+L430+M430+O430</f>
        <v/>
      </c>
      <c r="Q430" s="66">
        <f>IF(OR(H430=0,P430&lt;30),"Tier D (Đóng băng)",IF(P430&gt;=85,"Tier S (Kim Cương: 85-100đ)",IF(P430&gt;=70,"Tier A (Vàng: 70-84đ)",IF(P430&gt;=61,"Tier B+ / Cấp A (Hot Lead: 61-69đ)",IF(P430&gt;=50,"Tier B (Bạc: 50-60đ)","Tier C (Đồng: 30-49đ)")))))</f>
        <v/>
      </c>
      <c r="R430" s="9" t="inlineStr">
        <is>
          <t>Cỏ nhân tạo sân chơi/huấn luyện (Dog Turf) + Đồ chơi nhai chịu lực (KONG/Chew Toys)</t>
        </is>
      </c>
      <c r="S430" s="9" t="inlineStr">
        <is>
          <t>Cấp B Tiềm năng: Tiếp cận tự động qua chuỗi Email Marketing + Chăm sóc bổ sung bằng Telesale</t>
        </is>
      </c>
    </row>
    <row r="431">
      <c r="A431" s="53" t="n">
        <v>1825</v>
      </c>
      <c r="B431" s="12" t="inlineStr">
        <is>
          <t>K9 Training Academy</t>
        </is>
      </c>
      <c r="C431" s="54" t="inlineStr">
        <is>
          <t>https://www.facebook.com/K9TrainingAcademyNorCal</t>
        </is>
      </c>
      <c r="D431" s="6" t="inlineStr">
        <is>
          <t>Cần quét Bio Fanpage</t>
        </is>
      </c>
      <c r="E431" s="53" t="inlineStr">
        <is>
          <t>11/10/2026 08:03:37</t>
        </is>
      </c>
      <c r="F431" s="53" t="inlineStr">
        <is>
          <t>1 ngày trước</t>
        </is>
      </c>
      <c r="G431" s="55" t="n">
        <v>1</v>
      </c>
      <c r="H431" s="56" t="n">
        <v>28</v>
      </c>
      <c r="I431" s="6" t="inlineStr">
        <is>
          <t>Pet Boarding / Huấn luyện K9 &amp; Dịch vụ (20-22đ)</t>
        </is>
      </c>
      <c r="J431" s="56" t="n">
        <v>22</v>
      </c>
      <c r="K431" s="6" t="inlineStr">
        <is>
          <t>Chưa rõ giống (Cần quét Bio)</t>
        </is>
      </c>
      <c r="L431" s="56" t="n">
        <v>0</v>
      </c>
      <c r="M431" s="56" t="n">
        <v>5</v>
      </c>
      <c r="N431" s="6" t="inlineStr">
        <is>
          <t>Amazon link not found</t>
        </is>
      </c>
      <c r="O431" s="56">
        <f>IF(N431="Selling pet toys + Artificial grass/Pet toilets (TARGET)",15,IF(N431="Selling artificial grass/pet toilets (TARGET)",10,IF(N431="Selling pet toys",7,IF(N431="There's an Amazon link, but no target sales.",3,0))))</f>
        <v/>
      </c>
      <c r="P431" s="65">
        <f>H431+J431+L431+M431+O431</f>
        <v/>
      </c>
      <c r="Q431" s="66">
        <f>IF(OR(H431=0,P431&lt;30),"Tier D (Đóng băng)",IF(P431&gt;=85,"Tier S (Kim Cương: 85-100đ)",IF(P431&gt;=70,"Tier A (Vàng: 70-84đ)",IF(P431&gt;=61,"Tier B+ / Cấp A (Hot Lead: 61-69đ)",IF(P431&gt;=50,"Tier B (Bạc: 50-60đ)","Tier C (Đồng: 30-49đ)")))))</f>
        <v/>
      </c>
      <c r="R431" s="6" t="inlineStr">
        <is>
          <t>Cỏ nhân tạo sân chơi/huấn luyện (Dog Turf) + Đồ chơi nhai chịu lực (KONG/Chew Toys)</t>
        </is>
      </c>
      <c r="S431" s="6" t="inlineStr">
        <is>
          <t>Cấp B Tiềm năng: Tiếp cận tự động qua chuỗi Email Marketing + Chăm sóc bổ sung bằng Telesale</t>
        </is>
      </c>
    </row>
    <row r="432">
      <c r="A432" s="59" t="n">
        <v>230</v>
      </c>
      <c r="B432" s="15" t="inlineStr">
        <is>
          <t>Next Generation Dog Training</t>
        </is>
      </c>
      <c r="C432" s="60" t="inlineStr">
        <is>
          <t>https://www.facebook.com/NextGenerationGunDogTraining</t>
        </is>
      </c>
      <c r="D432" s="9" t="inlineStr">
        <is>
          <t>Cần quét Bio Fanpage</t>
        </is>
      </c>
      <c r="E432" s="59" t="inlineStr">
        <is>
          <t>11/10/2026 05:59:48</t>
        </is>
      </c>
      <c r="F432" s="59" t="inlineStr">
        <is>
          <t>1 ngày trước</t>
        </is>
      </c>
      <c r="G432" s="61" t="n">
        <v>1</v>
      </c>
      <c r="H432" s="62" t="n">
        <v>28</v>
      </c>
      <c r="I432" s="9" t="inlineStr">
        <is>
          <t>Pet Boarding / Huấn luyện K9 &amp; Dịch vụ (20-22đ)</t>
        </is>
      </c>
      <c r="J432" s="62" t="n">
        <v>22</v>
      </c>
      <c r="K432" s="9" t="inlineStr">
        <is>
          <t>Spaniel / Gun Dog / Retriever</t>
        </is>
      </c>
      <c r="L432" s="62" t="n">
        <v>5</v>
      </c>
      <c r="M432" s="62" t="n">
        <v>0</v>
      </c>
      <c r="N432" s="9" t="inlineStr">
        <is>
          <t>Amazon link not found</t>
        </is>
      </c>
      <c r="O432" s="62">
        <f>IF(N432="Selling pet toys + Artificial grass/Pet toilets (TARGET)",15,IF(N432="Selling artificial grass/pet toilets (TARGET)",10,IF(N432="Selling pet toys",7,IF(N432="There's an Amazon link, but no target sales.",3,0))))</f>
        <v/>
      </c>
      <c r="P432" s="67">
        <f>H432+J432+L432+M432+O432</f>
        <v/>
      </c>
      <c r="Q432" s="66">
        <f>IF(OR(H432=0,P432&lt;30),"Tier D (Đóng băng)",IF(P432&gt;=85,"Tier S (Kim Cương: 85-100đ)",IF(P432&gt;=70,"Tier A (Vàng: 70-84đ)",IF(P432&gt;=61,"Tier B+ / Cấp A (Hot Lead: 61-69đ)",IF(P432&gt;=50,"Tier B (Bạc: 50-60đ)","Tier C (Đồng: 30-49đ)")))))</f>
        <v/>
      </c>
      <c r="R432" s="9" t="inlineStr">
        <is>
          <t>Cỏ nhân tạo sân chơi/huấn luyện (Dog Turf) + Đồ chơi nhai chịu lực (KONG/Chew Toys)</t>
        </is>
      </c>
      <c r="S432" s="9" t="inlineStr">
        <is>
          <t>Cấp B Tiềm năng: Tiếp cận tự động qua chuỗi Email Marketing + Chăm sóc bổ sung bằng Telesale</t>
        </is>
      </c>
    </row>
    <row r="433">
      <c r="A433" s="53" t="n">
        <v>3421</v>
      </c>
      <c r="B433" s="12" t="inlineStr">
        <is>
          <t>Willow Creek Dog Training LLC</t>
        </is>
      </c>
      <c r="C433" s="54" t="inlineStr">
        <is>
          <t>https://www.facebook.com/WillowCreekDogsGA</t>
        </is>
      </c>
      <c r="D433" s="6" t="inlineStr">
        <is>
          <t>Cần quét Bio Fanpage</t>
        </is>
      </c>
      <c r="E433" s="53" t="inlineStr">
        <is>
          <t>11/10/2026 02:48:05</t>
        </is>
      </c>
      <c r="F433" s="53" t="inlineStr">
        <is>
          <t>2 ngày trước</t>
        </is>
      </c>
      <c r="G433" s="55" t="n">
        <v>2</v>
      </c>
      <c r="H433" s="56" t="n">
        <v>28</v>
      </c>
      <c r="I433" s="6" t="inlineStr">
        <is>
          <t>Pet Boarding / Huấn luyện K9 &amp; Dịch vụ (20-22đ)</t>
        </is>
      </c>
      <c r="J433" s="56" t="n">
        <v>22</v>
      </c>
      <c r="K433" s="6" t="inlineStr">
        <is>
          <t>Chưa rõ giống (Cần quét Bio)</t>
        </is>
      </c>
      <c r="L433" s="56" t="n">
        <v>0</v>
      </c>
      <c r="M433" s="56" t="n">
        <v>5</v>
      </c>
      <c r="N433" s="6" t="inlineStr">
        <is>
          <t>Amazon link not found</t>
        </is>
      </c>
      <c r="O433" s="56">
        <f>IF(N433="Selling pet toys + Artificial grass/Pet toilets (TARGET)",15,IF(N433="Selling artificial grass/pet toilets (TARGET)",10,IF(N433="Selling pet toys",7,IF(N433="There's an Amazon link, but no target sales.",3,0))))</f>
        <v/>
      </c>
      <c r="P433" s="65">
        <f>H433+J433+L433+M433+O433</f>
        <v/>
      </c>
      <c r="Q433" s="66">
        <f>IF(OR(H433=0,P433&lt;30),"Tier D (Đóng băng)",IF(P433&gt;=85,"Tier S (Kim Cương: 85-100đ)",IF(P433&gt;=70,"Tier A (Vàng: 70-84đ)",IF(P433&gt;=61,"Tier B+ / Cấp A (Hot Lead: 61-69đ)",IF(P433&gt;=50,"Tier B (Bạc: 50-60đ)","Tier C (Đồng: 30-49đ)")))))</f>
        <v/>
      </c>
      <c r="R433" s="6" t="inlineStr">
        <is>
          <t>Cỏ nhân tạo sân chơi/huấn luyện (Dog Turf) + Đồ chơi nhai chịu lực (KONG/Chew Toys)</t>
        </is>
      </c>
      <c r="S433" s="6" t="inlineStr">
        <is>
          <t>Cấp B Tiềm năng: Tiếp cận tự động qua chuỗi Email Marketing + Chăm sóc bổ sung bằng Telesale</t>
        </is>
      </c>
    </row>
    <row r="434">
      <c r="A434" s="59" t="n">
        <v>1132</v>
      </c>
      <c r="B434" s="15" t="inlineStr">
        <is>
          <t>Doggy Playcare Daycare &amp; Training Center</t>
        </is>
      </c>
      <c r="C434" s="60" t="inlineStr">
        <is>
          <t>https://www.facebook.com/profile.php?id=61559021933424</t>
        </is>
      </c>
      <c r="D434" s="9" t="inlineStr">
        <is>
          <t>Cần quét Bio Fanpage</t>
        </is>
      </c>
      <c r="E434" s="59" t="inlineStr">
        <is>
          <t>11/10/2026 00:32:49</t>
        </is>
      </c>
      <c r="F434" s="59" t="inlineStr">
        <is>
          <t>2 ngày trước</t>
        </is>
      </c>
      <c r="G434" s="61" t="n">
        <v>2</v>
      </c>
      <c r="H434" s="62" t="n">
        <v>28</v>
      </c>
      <c r="I434" s="9" t="inlineStr">
        <is>
          <t>Pet Boarding / Huấn luyện K9 &amp; Dịch vụ (20-22đ)</t>
        </is>
      </c>
      <c r="J434" s="62" t="n">
        <v>22</v>
      </c>
      <c r="K434" s="9" t="inlineStr">
        <is>
          <t>Chưa rõ giống (Cần quét Bio)</t>
        </is>
      </c>
      <c r="L434" s="62" t="n">
        <v>0</v>
      </c>
      <c r="M434" s="62" t="n">
        <v>5</v>
      </c>
      <c r="N434" s="9" t="inlineStr">
        <is>
          <t>Amazon link not found</t>
        </is>
      </c>
      <c r="O434" s="62">
        <f>IF(N434="Selling pet toys + Artificial grass/Pet toilets (TARGET)",15,IF(N434="Selling artificial grass/pet toilets (TARGET)",10,IF(N434="Selling pet toys",7,IF(N434="There's an Amazon link, but no target sales.",3,0))))</f>
        <v/>
      </c>
      <c r="P434" s="67">
        <f>H434+J434+L434+M434+O434</f>
        <v/>
      </c>
      <c r="Q434" s="66">
        <f>IF(OR(H434=0,P434&lt;30),"Tier D (Đóng băng)",IF(P434&gt;=85,"Tier S (Kim Cương: 85-100đ)",IF(P434&gt;=70,"Tier A (Vàng: 70-84đ)",IF(P434&gt;=61,"Tier B+ / Cấp A (Hot Lead: 61-69đ)",IF(P434&gt;=50,"Tier B (Bạc: 50-60đ)","Tier C (Đồng: 30-49đ)")))))</f>
        <v/>
      </c>
      <c r="R434" s="9" t="inlineStr">
        <is>
          <t>Cỏ nhân tạo sân chơi/huấn luyện (Dog Turf) + Đồ chơi nhai chịu lực (KONG/Chew Toys)</t>
        </is>
      </c>
      <c r="S434" s="9" t="inlineStr">
        <is>
          <t>Cấp B Tiềm năng: Tiếp cận tự động qua chuỗi Email Marketing + Chăm sóc bổ sung bằng Telesale</t>
        </is>
      </c>
    </row>
    <row r="435">
      <c r="A435" s="53" t="n">
        <v>975</v>
      </c>
      <c r="B435" s="12" t="inlineStr">
        <is>
          <t>Cumbria Working Dogs</t>
        </is>
      </c>
      <c r="C435" s="54" t="inlineStr">
        <is>
          <t>https://www.facebook.com/profile.php?id=61577175699454</t>
        </is>
      </c>
      <c r="D435" s="6" t="inlineStr">
        <is>
          <t>Cần quét Bio Fanpage</t>
        </is>
      </c>
      <c r="E435" s="53" t="inlineStr">
        <is>
          <t>10/10/2026 23:40:04</t>
        </is>
      </c>
      <c r="F435" s="53" t="inlineStr">
        <is>
          <t>2 ngày trước</t>
        </is>
      </c>
      <c r="G435" s="55" t="n">
        <v>2</v>
      </c>
      <c r="H435" s="56" t="n">
        <v>28</v>
      </c>
      <c r="I435" s="6" t="inlineStr">
        <is>
          <t>Pet Boarding / Huấn luyện K9 &amp; Dịch vụ (20-22đ)</t>
        </is>
      </c>
      <c r="J435" s="56" t="n">
        <v>22</v>
      </c>
      <c r="K435" s="6" t="inlineStr">
        <is>
          <t>Chưa rõ giống (Cần quét Bio)</t>
        </is>
      </c>
      <c r="L435" s="56" t="n">
        <v>0</v>
      </c>
      <c r="M435" s="56" t="n">
        <v>5</v>
      </c>
      <c r="N435" s="6" t="inlineStr">
        <is>
          <t>Amazon link not found</t>
        </is>
      </c>
      <c r="O435" s="56">
        <f>IF(N435="Selling pet toys + Artificial grass/Pet toilets (TARGET)",15,IF(N435="Selling artificial grass/pet toilets (TARGET)",10,IF(N435="Selling pet toys",7,IF(N435="There's an Amazon link, but no target sales.",3,0))))</f>
        <v/>
      </c>
      <c r="P435" s="65">
        <f>H435+J435+L435+M435+O435</f>
        <v/>
      </c>
      <c r="Q435" s="66">
        <f>IF(OR(H435=0,P435&lt;30),"Tier D (Đóng băng)",IF(P435&gt;=85,"Tier S (Kim Cương: 85-100đ)",IF(P435&gt;=70,"Tier A (Vàng: 70-84đ)",IF(P435&gt;=61,"Tier B+ / Cấp A (Hot Lead: 61-69đ)",IF(P435&gt;=50,"Tier B (Bạc: 50-60đ)","Tier C (Đồng: 30-49đ)")))))</f>
        <v/>
      </c>
      <c r="R435" s="6" t="inlineStr">
        <is>
          <t>Cỏ nhân tạo sân chơi/huấn luyện (Dog Turf) + Đồ chơi nhai chịu lực (KONG/Chew Toys)</t>
        </is>
      </c>
      <c r="S435" s="6" t="inlineStr">
        <is>
          <t>Cấp B Tiềm năng: Tiếp cận tự động qua chuỗi Email Marketing + Chăm sóc bổ sung bằng Telesale</t>
        </is>
      </c>
    </row>
    <row r="436">
      <c r="A436" s="59" t="n">
        <v>723</v>
      </c>
      <c r="B436" s="15" t="inlineStr">
        <is>
          <t>Boomin' Greens Lawn Care</t>
        </is>
      </c>
      <c r="C436" s="60" t="inlineStr">
        <is>
          <t>https://www.facebook.com/profile.php?id=61561820042604</t>
        </is>
      </c>
      <c r="D436" s="9" t="inlineStr">
        <is>
          <t>Cần quét Bio Fanpage</t>
        </is>
      </c>
      <c r="E436" s="59" t="inlineStr">
        <is>
          <t>10/10/2026 23:02:00</t>
        </is>
      </c>
      <c r="F436" s="59" t="inlineStr">
        <is>
          <t>2 ngày trước</t>
        </is>
      </c>
      <c r="G436" s="61" t="n">
        <v>2</v>
      </c>
      <c r="H436" s="62" t="n">
        <v>28</v>
      </c>
      <c r="I436" s="9" t="inlineStr">
        <is>
          <t>Pet Boarding / Huấn luyện K9 &amp; Dịch vụ (20-22đ)</t>
        </is>
      </c>
      <c r="J436" s="62" t="n">
        <v>22</v>
      </c>
      <c r="K436" s="9" t="inlineStr">
        <is>
          <t>Chưa rõ giống (Cần quét Bio)</t>
        </is>
      </c>
      <c r="L436" s="62" t="n">
        <v>0</v>
      </c>
      <c r="M436" s="62" t="n">
        <v>5</v>
      </c>
      <c r="N436" s="9" t="inlineStr">
        <is>
          <t>Amazon link not found</t>
        </is>
      </c>
      <c r="O436" s="62">
        <f>IF(N436="Selling pet toys + Artificial grass/Pet toilets (TARGET)",15,IF(N436="Selling artificial grass/pet toilets (TARGET)",10,IF(N436="Selling pet toys",7,IF(N436="There's an Amazon link, but no target sales.",3,0))))</f>
        <v/>
      </c>
      <c r="P436" s="67">
        <f>H436+J436+L436+M436+O436</f>
        <v/>
      </c>
      <c r="Q436" s="66">
        <f>IF(OR(H436=0,P436&lt;30),"Tier D (Đóng băng)",IF(P436&gt;=85,"Tier S (Kim Cương: 85-100đ)",IF(P436&gt;=70,"Tier A (Vàng: 70-84đ)",IF(P436&gt;=61,"Tier B+ / Cấp A (Hot Lead: 61-69đ)",IF(P436&gt;=50,"Tier B (Bạc: 50-60đ)","Tier C (Đồng: 30-49đ)")))))</f>
        <v/>
      </c>
      <c r="R436" s="9" t="inlineStr">
        <is>
          <t>Cỏ nhân tạo sân chơi/huấn luyện (Dog Turf) + Đồ chơi nhai chịu lực (KONG/Chew Toys)</t>
        </is>
      </c>
      <c r="S436" s="9" t="inlineStr">
        <is>
          <t>Cấp B Tiềm năng: Tiếp cận tự động qua chuỗi Email Marketing + Chăm sóc bổ sung bằng Telesale</t>
        </is>
      </c>
    </row>
    <row r="437">
      <c r="A437" s="53" t="n">
        <v>1917</v>
      </c>
      <c r="B437" s="12" t="inlineStr">
        <is>
          <t>Kennelwood Academy for Professional Dog Trainers</t>
        </is>
      </c>
      <c r="C437" s="54" t="inlineStr">
        <is>
          <t>https://www.facebook.com/KennelwoodAcademy</t>
        </is>
      </c>
      <c r="D437" s="6" t="inlineStr">
        <is>
          <t>Cần quét Bio Fanpage</t>
        </is>
      </c>
      <c r="E437" s="53" t="inlineStr">
        <is>
          <t>10/10/2026 22:53:44</t>
        </is>
      </c>
      <c r="F437" s="53" t="inlineStr">
        <is>
          <t>2 ngày trước</t>
        </is>
      </c>
      <c r="G437" s="55" t="n">
        <v>2</v>
      </c>
      <c r="H437" s="56" t="n">
        <v>28</v>
      </c>
      <c r="I437" s="6" t="inlineStr">
        <is>
          <t>Pet Boarding / Huấn luyện K9 &amp; Dịch vụ (20-22đ)</t>
        </is>
      </c>
      <c r="J437" s="56" t="n">
        <v>22</v>
      </c>
      <c r="K437" s="6" t="inlineStr">
        <is>
          <t>Chưa rõ giống (Cần quét Bio)</t>
        </is>
      </c>
      <c r="L437" s="56" t="n">
        <v>0</v>
      </c>
      <c r="M437" s="56" t="n">
        <v>5</v>
      </c>
      <c r="N437" s="6" t="inlineStr">
        <is>
          <t>Amazon link not found</t>
        </is>
      </c>
      <c r="O437" s="56">
        <f>IF(N437="Selling pet toys + Artificial grass/Pet toilets (TARGET)",15,IF(N437="Selling artificial grass/pet toilets (TARGET)",10,IF(N437="Selling pet toys",7,IF(N437="There's an Amazon link, but no target sales.",3,0))))</f>
        <v/>
      </c>
      <c r="P437" s="65">
        <f>H437+J437+L437+M437+O437</f>
        <v/>
      </c>
      <c r="Q437" s="66">
        <f>IF(OR(H437=0,P437&lt;30),"Tier D (Đóng băng)",IF(P437&gt;=85,"Tier S (Kim Cương: 85-100đ)",IF(P437&gt;=70,"Tier A (Vàng: 70-84đ)",IF(P437&gt;=61,"Tier B+ / Cấp A (Hot Lead: 61-69đ)",IF(P437&gt;=50,"Tier B (Bạc: 50-60đ)","Tier C (Đồng: 30-49đ)")))))</f>
        <v/>
      </c>
      <c r="R437" s="6" t="inlineStr">
        <is>
          <t>Cỏ nhân tạo sân chơi/huấn luyện (Dog Turf) + Đồ chơi nhai chịu lực (KONG/Chew Toys)</t>
        </is>
      </c>
      <c r="S437" s="6" t="inlineStr">
        <is>
          <t>Cấp B Tiềm năng: Tiếp cận tự động qua chuỗi Email Marketing + Chăm sóc bổ sung bằng Telesale</t>
        </is>
      </c>
    </row>
    <row r="438">
      <c r="A438" s="59" t="n">
        <v>2802</v>
      </c>
      <c r="B438" s="15" t="inlineStr">
        <is>
          <t>Rytex Gundogs</t>
        </is>
      </c>
      <c r="C438" s="60" t="inlineStr">
        <is>
          <t>https://www.facebook.com/rytexgundogtraining</t>
        </is>
      </c>
      <c r="D438" s="9" t="inlineStr">
        <is>
          <t>Cần quét Bio Fanpage</t>
        </is>
      </c>
      <c r="E438" s="59" t="inlineStr">
        <is>
          <t>10/10/2026 21:44:14</t>
        </is>
      </c>
      <c r="F438" s="59" t="inlineStr">
        <is>
          <t>2 ngày trước</t>
        </is>
      </c>
      <c r="G438" s="61" t="n">
        <v>2</v>
      </c>
      <c r="H438" s="62" t="n">
        <v>28</v>
      </c>
      <c r="I438" s="9" t="inlineStr">
        <is>
          <t>Pet Boarding / Huấn luyện K9 &amp; Dịch vụ (20-22đ)</t>
        </is>
      </c>
      <c r="J438" s="62" t="n">
        <v>22</v>
      </c>
      <c r="K438" s="9" t="inlineStr">
        <is>
          <t>Spaniel / Gun Dog / Retriever</t>
        </is>
      </c>
      <c r="L438" s="62" t="n">
        <v>5</v>
      </c>
      <c r="M438" s="62" t="n">
        <v>0</v>
      </c>
      <c r="N438" s="9" t="inlineStr">
        <is>
          <t>Amazon link not found</t>
        </is>
      </c>
      <c r="O438" s="62">
        <f>IF(N438="Selling pet toys + Artificial grass/Pet toilets (TARGET)",15,IF(N438="Selling artificial grass/pet toilets (TARGET)",10,IF(N438="Selling pet toys",7,IF(N438="There's an Amazon link, but no target sales.",3,0))))</f>
        <v/>
      </c>
      <c r="P438" s="67">
        <f>H438+J438+L438+M438+O438</f>
        <v/>
      </c>
      <c r="Q438" s="66">
        <f>IF(OR(H438=0,P438&lt;30),"Tier D (Đóng băng)",IF(P438&gt;=85,"Tier S (Kim Cương: 85-100đ)",IF(P438&gt;=70,"Tier A (Vàng: 70-84đ)",IF(P438&gt;=61,"Tier B+ / Cấp A (Hot Lead: 61-69đ)",IF(P438&gt;=50,"Tier B (Bạc: 50-60đ)","Tier C (Đồng: 30-49đ)")))))</f>
        <v/>
      </c>
      <c r="R438" s="9" t="inlineStr">
        <is>
          <t>Cỏ nhân tạo sân chơi/huấn luyện (Dog Turf) + Đồ chơi nhai chịu lực (KONG/Chew Toys)</t>
        </is>
      </c>
      <c r="S438" s="9" t="inlineStr">
        <is>
          <t>Cấp B Tiềm năng: Tiếp cận tự động qua chuỗi Email Marketing + Chăm sóc bổ sung bằng Telesale</t>
        </is>
      </c>
    </row>
    <row r="439">
      <c r="A439" s="53" t="n">
        <v>831</v>
      </c>
      <c r="B439" s="12" t="inlineStr">
        <is>
          <t>Cape Cod Dog Center</t>
        </is>
      </c>
      <c r="C439" s="54" t="inlineStr">
        <is>
          <t>https://www.facebook.com/CapeCodDogCenter</t>
        </is>
      </c>
      <c r="D439" s="6" t="inlineStr">
        <is>
          <t>Cần quét Bio Fanpage</t>
        </is>
      </c>
      <c r="E439" s="53" t="inlineStr">
        <is>
          <t>10/10/2026 21:01:19</t>
        </is>
      </c>
      <c r="F439" s="53" t="inlineStr">
        <is>
          <t>2 ngày trước</t>
        </is>
      </c>
      <c r="G439" s="55" t="n">
        <v>2</v>
      </c>
      <c r="H439" s="56" t="n">
        <v>28</v>
      </c>
      <c r="I439" s="6" t="inlineStr">
        <is>
          <t>Pet Boarding / Huấn luyện K9 &amp; Dịch vụ (20-22đ)</t>
        </is>
      </c>
      <c r="J439" s="56" t="n">
        <v>22</v>
      </c>
      <c r="K439" s="6" t="inlineStr">
        <is>
          <t>Chưa rõ giống (Cần quét Bio)</t>
        </is>
      </c>
      <c r="L439" s="56" t="n">
        <v>0</v>
      </c>
      <c r="M439" s="56" t="n">
        <v>5</v>
      </c>
      <c r="N439" s="6" t="inlineStr">
        <is>
          <t>Amazon link not found</t>
        </is>
      </c>
      <c r="O439" s="56">
        <f>IF(N439="Selling pet toys + Artificial grass/Pet toilets (TARGET)",15,IF(N439="Selling artificial grass/pet toilets (TARGET)",10,IF(N439="Selling pet toys",7,IF(N439="There's an Amazon link, but no target sales.",3,0))))</f>
        <v/>
      </c>
      <c r="P439" s="65">
        <f>H439+J439+L439+M439+O439</f>
        <v/>
      </c>
      <c r="Q439" s="66">
        <f>IF(OR(H439=0,P439&lt;30),"Tier D (Đóng băng)",IF(P439&gt;=85,"Tier S (Kim Cương: 85-100đ)",IF(P439&gt;=70,"Tier A (Vàng: 70-84đ)",IF(P439&gt;=61,"Tier B+ / Cấp A (Hot Lead: 61-69đ)",IF(P439&gt;=50,"Tier B (Bạc: 50-60đ)","Tier C (Đồng: 30-49đ)")))))</f>
        <v/>
      </c>
      <c r="R439" s="6" t="inlineStr">
        <is>
          <t>Cỏ nhân tạo sân chơi/huấn luyện (Dog Turf) + Đồ chơi nhai chịu lực (KONG/Chew Toys)</t>
        </is>
      </c>
      <c r="S439" s="6" t="inlineStr">
        <is>
          <t>Cấp B Tiềm năng: Tiếp cận tự động qua chuỗi Email Marketing + Chăm sóc bổ sung bằng Telesale</t>
        </is>
      </c>
    </row>
    <row r="440">
      <c r="A440" s="59" t="n">
        <v>2173</v>
      </c>
      <c r="B440" s="15" t="inlineStr">
        <is>
          <t>Mid-Carolina K9 LLC.</t>
        </is>
      </c>
      <c r="C440" s="60" t="inlineStr">
        <is>
          <t>https://www.facebook.com/profile.php?id=100089780643597</t>
        </is>
      </c>
      <c r="D440" s="9" t="inlineStr">
        <is>
          <t>Cần quét Bio Fanpage</t>
        </is>
      </c>
      <c r="E440" s="59" t="inlineStr">
        <is>
          <t>10/10/2026 09:04:39</t>
        </is>
      </c>
      <c r="F440" s="59" t="inlineStr">
        <is>
          <t>2 ngày trước</t>
        </is>
      </c>
      <c r="G440" s="61" t="n">
        <v>2</v>
      </c>
      <c r="H440" s="62" t="n">
        <v>28</v>
      </c>
      <c r="I440" s="9" t="inlineStr">
        <is>
          <t>Pet Boarding / Huấn luyện K9 &amp; Dịch vụ (20-22đ)</t>
        </is>
      </c>
      <c r="J440" s="62" t="n">
        <v>22</v>
      </c>
      <c r="K440" s="9" t="inlineStr">
        <is>
          <t>Chưa rõ giống (Cần quét Bio)</t>
        </is>
      </c>
      <c r="L440" s="62" t="n">
        <v>0</v>
      </c>
      <c r="M440" s="62" t="n">
        <v>5</v>
      </c>
      <c r="N440" s="9" t="inlineStr">
        <is>
          <t>Amazon link not found</t>
        </is>
      </c>
      <c r="O440" s="62">
        <f>IF(N440="Selling pet toys + Artificial grass/Pet toilets (TARGET)",15,IF(N440="Selling artificial grass/pet toilets (TARGET)",10,IF(N440="Selling pet toys",7,IF(N440="There's an Amazon link, but no target sales.",3,0))))</f>
        <v/>
      </c>
      <c r="P440" s="67">
        <f>H440+J440+L440+M440+O440</f>
        <v/>
      </c>
      <c r="Q440" s="66">
        <f>IF(OR(H440=0,P440&lt;30),"Tier D (Đóng băng)",IF(P440&gt;=85,"Tier S (Kim Cương: 85-100đ)",IF(P440&gt;=70,"Tier A (Vàng: 70-84đ)",IF(P440&gt;=61,"Tier B+ / Cấp A (Hot Lead: 61-69đ)",IF(P440&gt;=50,"Tier B (Bạc: 50-60đ)","Tier C (Đồng: 30-49đ)")))))</f>
        <v/>
      </c>
      <c r="R440" s="9" t="inlineStr">
        <is>
          <t>Cỏ nhân tạo sân chơi/huấn luyện (Dog Turf) + Đồ chơi nhai chịu lực (KONG/Chew Toys)</t>
        </is>
      </c>
      <c r="S440" s="9" t="inlineStr">
        <is>
          <t>Cấp B Tiềm năng: Tiếp cận tự động qua chuỗi Email Marketing + Chăm sóc bổ sung bằng Telesale</t>
        </is>
      </c>
    </row>
    <row r="441">
      <c r="A441" s="53" t="n">
        <v>110</v>
      </c>
      <c r="B441" s="12" t="inlineStr">
        <is>
          <t>Baxter &amp; Bella - The Online Puppy School</t>
        </is>
      </c>
      <c r="C441" s="54" t="inlineStr">
        <is>
          <t>https://www.facebook.com/theonlinepuppyschool</t>
        </is>
      </c>
      <c r="D441" s="6" t="inlineStr">
        <is>
          <t>Cần quét Bio Fanpage</t>
        </is>
      </c>
      <c r="E441" s="53" t="inlineStr">
        <is>
          <t>10/10/2026 04:56:29</t>
        </is>
      </c>
      <c r="F441" s="53" t="inlineStr">
        <is>
          <t>2 ngày trước</t>
        </is>
      </c>
      <c r="G441" s="55" t="n">
        <v>2</v>
      </c>
      <c r="H441" s="56" t="n">
        <v>28</v>
      </c>
      <c r="I441" s="6" t="inlineStr">
        <is>
          <t>Pet Boarding / Huấn luyện K9 &amp; Dịch vụ (20-22đ)</t>
        </is>
      </c>
      <c r="J441" s="56" t="n">
        <v>22</v>
      </c>
      <c r="K441" s="6" t="inlineStr">
        <is>
          <t>Chưa rõ giống (Cần quét Bio)</t>
        </is>
      </c>
      <c r="L441" s="56" t="n">
        <v>0</v>
      </c>
      <c r="M441" s="56" t="n">
        <v>5</v>
      </c>
      <c r="N441" s="6" t="inlineStr">
        <is>
          <t>Amazon link not found</t>
        </is>
      </c>
      <c r="O441" s="56">
        <f>IF(N441="Selling pet toys + Artificial grass/Pet toilets (TARGET)",15,IF(N441="Selling artificial grass/pet toilets (TARGET)",10,IF(N441="Selling pet toys",7,IF(N441="There's an Amazon link, but no target sales.",3,0))))</f>
        <v/>
      </c>
      <c r="P441" s="65">
        <f>H441+J441+L441+M441+O441</f>
        <v/>
      </c>
      <c r="Q441" s="66">
        <f>IF(OR(H441=0,P441&lt;30),"Tier D (Đóng băng)",IF(P441&gt;=85,"Tier S (Kim Cương: 85-100đ)",IF(P441&gt;=70,"Tier A (Vàng: 70-84đ)",IF(P441&gt;=61,"Tier B+ / Cấp A (Hot Lead: 61-69đ)",IF(P441&gt;=50,"Tier B (Bạc: 50-60đ)","Tier C (Đồng: 30-49đ)")))))</f>
        <v/>
      </c>
      <c r="R441" s="6" t="inlineStr">
        <is>
          <t>Cỏ nhân tạo sân chơi/huấn luyện (Dog Turf) + Đồ chơi nhai chịu lực (KONG/Chew Toys)</t>
        </is>
      </c>
      <c r="S441" s="6" t="inlineStr">
        <is>
          <t>Cấp B Tiềm năng: Tiếp cận tự động qua chuỗi Email Marketing + Chăm sóc bổ sung bằng Telesale</t>
        </is>
      </c>
    </row>
    <row r="442">
      <c r="A442" s="59" t="n">
        <v>707</v>
      </c>
      <c r="B442" s="15" t="inlineStr">
        <is>
          <t>Blue Star K9, LLC</t>
        </is>
      </c>
      <c r="C442" s="60" t="inlineStr">
        <is>
          <t>https://www.facebook.com/bluestark9</t>
        </is>
      </c>
      <c r="D442" s="9" t="inlineStr">
        <is>
          <t>Cần quét Bio Fanpage</t>
        </is>
      </c>
      <c r="E442" s="59" t="inlineStr">
        <is>
          <t>10/10/2026 03:52:45</t>
        </is>
      </c>
      <c r="F442" s="59" t="inlineStr">
        <is>
          <t>2 ngày trước</t>
        </is>
      </c>
      <c r="G442" s="61" t="n">
        <v>2</v>
      </c>
      <c r="H442" s="62" t="n">
        <v>28</v>
      </c>
      <c r="I442" s="9" t="inlineStr">
        <is>
          <t>Pet Boarding / Huấn luyện K9 &amp; Dịch vụ (20-22đ)</t>
        </is>
      </c>
      <c r="J442" s="62" t="n">
        <v>22</v>
      </c>
      <c r="K442" s="9" t="inlineStr">
        <is>
          <t>Chưa rõ giống (Cần quét Bio)</t>
        </is>
      </c>
      <c r="L442" s="62" t="n">
        <v>0</v>
      </c>
      <c r="M442" s="62" t="n">
        <v>5</v>
      </c>
      <c r="N442" s="9" t="inlineStr">
        <is>
          <t>Amazon link not found</t>
        </is>
      </c>
      <c r="O442" s="62">
        <f>IF(N442="Selling pet toys + Artificial grass/Pet toilets (TARGET)",15,IF(N442="Selling artificial grass/pet toilets (TARGET)",10,IF(N442="Selling pet toys",7,IF(N442="There's an Amazon link, but no target sales.",3,0))))</f>
        <v/>
      </c>
      <c r="P442" s="67">
        <f>H442+J442+L442+M442+O442</f>
        <v/>
      </c>
      <c r="Q442" s="66">
        <f>IF(OR(H442=0,P442&lt;30),"Tier D (Đóng băng)",IF(P442&gt;=85,"Tier S (Kim Cương: 85-100đ)",IF(P442&gt;=70,"Tier A (Vàng: 70-84đ)",IF(P442&gt;=61,"Tier B+ / Cấp A (Hot Lead: 61-69đ)",IF(P442&gt;=50,"Tier B (Bạc: 50-60đ)","Tier C (Đồng: 30-49đ)")))))</f>
        <v/>
      </c>
      <c r="R442" s="9" t="inlineStr">
        <is>
          <t>Cỏ nhân tạo sân chơi/huấn luyện (Dog Turf) + Đồ chơi nhai chịu lực (KONG/Chew Toys)</t>
        </is>
      </c>
      <c r="S442" s="9" t="inlineStr">
        <is>
          <t>Cấp B Tiềm năng: Tiếp cận tự động qua chuỗi Email Marketing + Chăm sóc bổ sung bằng Telesale</t>
        </is>
      </c>
    </row>
    <row r="443">
      <c r="A443" s="53" t="n">
        <v>747</v>
      </c>
      <c r="B443" s="12" t="inlineStr">
        <is>
          <t>Bow Creek Kennels</t>
        </is>
      </c>
      <c r="C443" s="54" t="inlineStr">
        <is>
          <t>https://www.facebook.com/BowCreekKennels</t>
        </is>
      </c>
      <c r="D443" s="6" t="inlineStr">
        <is>
          <t>Cần quét Bio Fanpage</t>
        </is>
      </c>
      <c r="E443" s="53" t="inlineStr">
        <is>
          <t>09/10/2026 00:10:04</t>
        </is>
      </c>
      <c r="F443" s="53" t="inlineStr">
        <is>
          <t>4 ngày trước</t>
        </is>
      </c>
      <c r="G443" s="55" t="n">
        <v>4</v>
      </c>
      <c r="H443" s="56" t="n">
        <v>20</v>
      </c>
      <c r="I443" s="6" t="inlineStr">
        <is>
          <t>Dog Breeder / Trại chó chuyên nghiệp (28-30đ)</t>
        </is>
      </c>
      <c r="J443" s="56" t="n">
        <v>30</v>
      </c>
      <c r="K443" s="6" t="inlineStr">
        <is>
          <t>Chưa rõ giống (Cần quét Bio)</t>
        </is>
      </c>
      <c r="L443" s="56" t="n">
        <v>0</v>
      </c>
      <c r="M443" s="56" t="n">
        <v>5</v>
      </c>
      <c r="N443" s="6" t="inlineStr">
        <is>
          <t>Amazon link not found</t>
        </is>
      </c>
      <c r="O443" s="56">
        <f>IF(N443="Selling pet toys + Artificial grass/Pet toilets (TARGET)",15,IF(N443="Selling artificial grass/pet toilets (TARGET)",10,IF(N443="Selling pet toys",7,IF(N443="There's an Amazon link, but no target sales.",3,0))))</f>
        <v/>
      </c>
      <c r="P443" s="65">
        <f>H443+J443+L443+M443+O443</f>
        <v/>
      </c>
      <c r="Q443" s="66">
        <f>IF(OR(H443=0,P443&lt;30),"Tier D (Đóng băng)",IF(P443&gt;=85,"Tier S (Kim Cương: 85-100đ)",IF(P443&gt;=70,"Tier A (Vàng: 70-84đ)",IF(P443&gt;=61,"Tier B+ / Cấp A (Hot Lead: 61-69đ)",IF(P443&gt;=50,"Tier B (Bạc: 50-60đ)","Tier C (Đồng: 30-49đ)")))))</f>
        <v/>
      </c>
      <c r="R443" s="6" t="inlineStr">
        <is>
          <t>Trọn gói Take-Home Starter Kit V2/V3 (Cỏ nhân tạo + Khay Potty + Đồ chơi Teething/Snuggle)</t>
        </is>
      </c>
      <c r="S443" s="6" t="inlineStr">
        <is>
          <t>Cấp B Tiềm năng: Tiếp cận tự động qua chuỗi Email Marketing + Chăm sóc bổ sung bằng Telesale</t>
        </is>
      </c>
    </row>
    <row r="444">
      <c r="A444" s="59" t="n">
        <v>3055</v>
      </c>
      <c r="B444" s="15" t="inlineStr">
        <is>
          <t>Tammy's Puppies</t>
        </is>
      </c>
      <c r="C444" s="60" t="inlineStr">
        <is>
          <t>https://www.facebook.com/tammys.puppies.16</t>
        </is>
      </c>
      <c r="D444" s="9" t="inlineStr">
        <is>
          <t>Cần quét Bio Fanpage</t>
        </is>
      </c>
      <c r="E444" s="59" t="inlineStr">
        <is>
          <t>08/10/2026 23:10:09</t>
        </is>
      </c>
      <c r="F444" s="59" t="inlineStr">
        <is>
          <t>4 ngày trước</t>
        </is>
      </c>
      <c r="G444" s="61" t="n">
        <v>4</v>
      </c>
      <c r="H444" s="62" t="n">
        <v>20</v>
      </c>
      <c r="I444" s="9" t="inlineStr">
        <is>
          <t>Dog Breeder / Trại chó chuyên nghiệp (28-30đ)</t>
        </is>
      </c>
      <c r="J444" s="62" t="n">
        <v>30</v>
      </c>
      <c r="K444" s="9" t="inlineStr">
        <is>
          <t>Chưa rõ giống (Cần quét Bio)</t>
        </is>
      </c>
      <c r="L444" s="62" t="n">
        <v>0</v>
      </c>
      <c r="M444" s="62" t="n">
        <v>5</v>
      </c>
      <c r="N444" s="9" t="inlineStr">
        <is>
          <t>Amazon link not found</t>
        </is>
      </c>
      <c r="O444" s="62">
        <f>IF(N444="Selling pet toys + Artificial grass/Pet toilets (TARGET)",15,IF(N444="Selling artificial grass/pet toilets (TARGET)",10,IF(N444="Selling pet toys",7,IF(N444="There's an Amazon link, but no target sales.",3,0))))</f>
        <v/>
      </c>
      <c r="P444" s="67">
        <f>H444+J444+L444+M444+O444</f>
        <v/>
      </c>
      <c r="Q444" s="66">
        <f>IF(OR(H444=0,P444&lt;30),"Tier D (Đóng băng)",IF(P444&gt;=85,"Tier S (Kim Cương: 85-100đ)",IF(P444&gt;=70,"Tier A (Vàng: 70-84đ)",IF(P444&gt;=61,"Tier B+ / Cấp A (Hot Lead: 61-69đ)",IF(P444&gt;=50,"Tier B (Bạc: 50-60đ)","Tier C (Đồng: 30-49đ)")))))</f>
        <v/>
      </c>
      <c r="R444" s="9" t="inlineStr">
        <is>
          <t>Trọn gói Take-Home Starter Kit V2/V3 (Cỏ nhân tạo + Khay Potty + Đồ chơi Teething/Snuggle)</t>
        </is>
      </c>
      <c r="S444" s="9" t="inlineStr">
        <is>
          <t>Cấp B Tiềm năng: Tiếp cận tự động qua chuỗi Email Marketing + Chăm sóc bổ sung bằng Telesale</t>
        </is>
      </c>
    </row>
    <row r="445">
      <c r="A445" s="53" t="n">
        <v>166</v>
      </c>
      <c r="B445" s="12" t="inlineStr">
        <is>
          <t>Estrellas Kennel</t>
        </is>
      </c>
      <c r="C445" s="54" t="inlineStr">
        <is>
          <t>https://www.facebook.com/vonvimal</t>
        </is>
      </c>
      <c r="D445" s="6" t="inlineStr">
        <is>
          <t>Cần quét Bio Fanpage</t>
        </is>
      </c>
      <c r="E445" s="53" t="inlineStr">
        <is>
          <t>08/10/2026 17:50:45</t>
        </is>
      </c>
      <c r="F445" s="53" t="inlineStr">
        <is>
          <t>4 ngày trước</t>
        </is>
      </c>
      <c r="G445" s="55" t="n">
        <v>4</v>
      </c>
      <c r="H445" s="56" t="n">
        <v>20</v>
      </c>
      <c r="I445" s="6" t="inlineStr">
        <is>
          <t>Dog Breeder / Trại chó chuyên nghiệp (28-30đ)</t>
        </is>
      </c>
      <c r="J445" s="56" t="n">
        <v>30</v>
      </c>
      <c r="K445" s="6" t="inlineStr">
        <is>
          <t>Chưa rõ giống (Cần quét Bio)</t>
        </is>
      </c>
      <c r="L445" s="56" t="n">
        <v>0</v>
      </c>
      <c r="M445" s="56" t="n">
        <v>5</v>
      </c>
      <c r="N445" s="6" t="inlineStr">
        <is>
          <t>Amazon link not found</t>
        </is>
      </c>
      <c r="O445" s="56">
        <f>IF(N445="Selling pet toys + Artificial grass/Pet toilets (TARGET)",15,IF(N445="Selling artificial grass/pet toilets (TARGET)",10,IF(N445="Selling pet toys",7,IF(N445="There's an Amazon link, but no target sales.",3,0))))</f>
        <v/>
      </c>
      <c r="P445" s="65">
        <f>H445+J445+L445+M445+O445</f>
        <v/>
      </c>
      <c r="Q445" s="66">
        <f>IF(OR(H445=0,P445&lt;30),"Tier D (Đóng băng)",IF(P445&gt;=85,"Tier S (Kim Cương: 85-100đ)",IF(P445&gt;=70,"Tier A (Vàng: 70-84đ)",IF(P445&gt;=61,"Tier B+ / Cấp A (Hot Lead: 61-69đ)",IF(P445&gt;=50,"Tier B (Bạc: 50-60đ)","Tier C (Đồng: 30-49đ)")))))</f>
        <v/>
      </c>
      <c r="R445" s="6" t="inlineStr">
        <is>
          <t>Trọn gói Take-Home Starter Kit V2/V3 (Cỏ nhân tạo + Khay Potty + Đồ chơi Teething/Snuggle)</t>
        </is>
      </c>
      <c r="S445" s="6" t="inlineStr">
        <is>
          <t>Cấp B Tiềm năng: Tiếp cận tự động qua chuỗi Email Marketing + Chăm sóc bổ sung bằng Telesale</t>
        </is>
      </c>
    </row>
    <row r="446">
      <c r="A446" s="59" t="n">
        <v>3238</v>
      </c>
      <c r="B446" s="15" t="inlineStr">
        <is>
          <t>Triumphant Kennels</t>
        </is>
      </c>
      <c r="C446" s="60" t="inlineStr">
        <is>
          <t>https://www.facebook.com/triumphantkennels</t>
        </is>
      </c>
      <c r="D446" s="9" t="inlineStr">
        <is>
          <t>Cần quét Bio Fanpage</t>
        </is>
      </c>
      <c r="E446" s="59" t="inlineStr">
        <is>
          <t>08/10/2026 09:04:03</t>
        </is>
      </c>
      <c r="F446" s="59" t="inlineStr">
        <is>
          <t>4 ngày trước</t>
        </is>
      </c>
      <c r="G446" s="61" t="n">
        <v>4</v>
      </c>
      <c r="H446" s="62" t="n">
        <v>20</v>
      </c>
      <c r="I446" s="9" t="inlineStr">
        <is>
          <t>Dog Breeder / Trại chó chuyên nghiệp (28-30đ)</t>
        </is>
      </c>
      <c r="J446" s="62" t="n">
        <v>30</v>
      </c>
      <c r="K446" s="9" t="inlineStr">
        <is>
          <t>Chưa rõ giống (Cần quét Bio)</t>
        </is>
      </c>
      <c r="L446" s="62" t="n">
        <v>0</v>
      </c>
      <c r="M446" s="62" t="n">
        <v>5</v>
      </c>
      <c r="N446" s="9" t="inlineStr">
        <is>
          <t>Amazon link not found</t>
        </is>
      </c>
      <c r="O446" s="62">
        <f>IF(N446="Selling pet toys + Artificial grass/Pet toilets (TARGET)",15,IF(N446="Selling artificial grass/pet toilets (TARGET)",10,IF(N446="Selling pet toys",7,IF(N446="There's an Amazon link, but no target sales.",3,0))))</f>
        <v/>
      </c>
      <c r="P446" s="67">
        <f>H446+J446+L446+M446+O446</f>
        <v/>
      </c>
      <c r="Q446" s="66">
        <f>IF(OR(H446=0,P446&lt;30),"Tier D (Đóng băng)",IF(P446&gt;=85,"Tier S (Kim Cương: 85-100đ)",IF(P446&gt;=70,"Tier A (Vàng: 70-84đ)",IF(P446&gt;=61,"Tier B+ / Cấp A (Hot Lead: 61-69đ)",IF(P446&gt;=50,"Tier B (Bạc: 50-60đ)","Tier C (Đồng: 30-49đ)")))))</f>
        <v/>
      </c>
      <c r="R446" s="9" t="inlineStr">
        <is>
          <t>Trọn gói Take-Home Starter Kit V2/V3 (Cỏ nhân tạo + Khay Potty + Đồ chơi Teething/Snuggle)</t>
        </is>
      </c>
      <c r="S446" s="9" t="inlineStr">
        <is>
          <t>Cấp B Tiềm năng: Tiếp cận tự động qua chuỗi Email Marketing + Chăm sóc bổ sung bằng Telesale</t>
        </is>
      </c>
    </row>
    <row r="447">
      <c r="A447" s="53" t="n">
        <v>1772</v>
      </c>
      <c r="B447" s="12" t="inlineStr">
        <is>
          <t>Jokister &amp; Steve's Eden Kennel</t>
        </is>
      </c>
      <c r="C447" s="54" t="inlineStr">
        <is>
          <t>https://www.facebook.com/jokisteretsteveseden</t>
        </is>
      </c>
      <c r="D447" s="6" t="inlineStr">
        <is>
          <t>Cần quét Bio Fanpage</t>
        </is>
      </c>
      <c r="E447" s="53" t="inlineStr">
        <is>
          <t>08/10/2026 02:21:29</t>
        </is>
      </c>
      <c r="F447" s="53" t="inlineStr">
        <is>
          <t>5 ngày trước</t>
        </is>
      </c>
      <c r="G447" s="55" t="n">
        <v>5</v>
      </c>
      <c r="H447" s="56" t="n">
        <v>20</v>
      </c>
      <c r="I447" s="6" t="inlineStr">
        <is>
          <t>Dog Breeder / Trại chó chuyên nghiệp (28-30đ)</t>
        </is>
      </c>
      <c r="J447" s="56" t="n">
        <v>30</v>
      </c>
      <c r="K447" s="6" t="inlineStr">
        <is>
          <t>Chưa rõ giống (Cần quét Bio)</t>
        </is>
      </c>
      <c r="L447" s="56" t="n">
        <v>0</v>
      </c>
      <c r="M447" s="56" t="n">
        <v>5</v>
      </c>
      <c r="N447" s="6" t="inlineStr">
        <is>
          <t>Amazon link not found</t>
        </is>
      </c>
      <c r="O447" s="56">
        <f>IF(N447="Selling pet toys + Artificial grass/Pet toilets (TARGET)",15,IF(N447="Selling artificial grass/pet toilets (TARGET)",10,IF(N447="Selling pet toys",7,IF(N447="There's an Amazon link, but no target sales.",3,0))))</f>
        <v/>
      </c>
      <c r="P447" s="65">
        <f>H447+J447+L447+M447+O447</f>
        <v/>
      </c>
      <c r="Q447" s="66">
        <f>IF(OR(H447=0,P447&lt;30),"Tier D (Đóng băng)",IF(P447&gt;=85,"Tier S (Kim Cương: 85-100đ)",IF(P447&gt;=70,"Tier A (Vàng: 70-84đ)",IF(P447&gt;=61,"Tier B+ / Cấp A (Hot Lead: 61-69đ)",IF(P447&gt;=50,"Tier B (Bạc: 50-60đ)","Tier C (Đồng: 30-49đ)")))))</f>
        <v/>
      </c>
      <c r="R447" s="6" t="inlineStr">
        <is>
          <t>Trọn gói Take-Home Starter Kit V2/V3 (Cỏ nhân tạo + Khay Potty + Đồ chơi Teething/Snuggle)</t>
        </is>
      </c>
      <c r="S447" s="6" t="inlineStr">
        <is>
          <t>Cấp B Tiềm năng: Tiếp cận tự động qua chuỗi Email Marketing + Chăm sóc bổ sung bằng Telesale</t>
        </is>
      </c>
    </row>
    <row r="448">
      <c r="A448" s="59" t="n">
        <v>2530</v>
      </c>
      <c r="B448" s="15" t="inlineStr">
        <is>
          <t>Petra Novosel  (Schwarz Herz Kennel)</t>
        </is>
      </c>
      <c r="C448" s="60" t="inlineStr">
        <is>
          <t>https://www.facebook.com/petra.rottw</t>
        </is>
      </c>
      <c r="D448" s="9" t="inlineStr">
        <is>
          <t>Cần quét Bio Fanpage</t>
        </is>
      </c>
      <c r="E448" s="59" t="inlineStr">
        <is>
          <t>08/10/2026 02:19:09</t>
        </is>
      </c>
      <c r="F448" s="59" t="inlineStr">
        <is>
          <t>5 ngày trước</t>
        </is>
      </c>
      <c r="G448" s="61" t="n">
        <v>5</v>
      </c>
      <c r="H448" s="62" t="n">
        <v>20</v>
      </c>
      <c r="I448" s="9" t="inlineStr">
        <is>
          <t>Dog Breeder / Trại chó chuyên nghiệp (28-30đ)</t>
        </is>
      </c>
      <c r="J448" s="62" t="n">
        <v>30</v>
      </c>
      <c r="K448" s="9" t="inlineStr">
        <is>
          <t>Chưa rõ giống (Cần quét Bio)</t>
        </is>
      </c>
      <c r="L448" s="62" t="n">
        <v>0</v>
      </c>
      <c r="M448" s="62" t="n">
        <v>5</v>
      </c>
      <c r="N448" s="9" t="inlineStr">
        <is>
          <t>Amazon link not found</t>
        </is>
      </c>
      <c r="O448" s="62">
        <f>IF(N448="Selling pet toys + Artificial grass/Pet toilets (TARGET)",15,IF(N448="Selling artificial grass/pet toilets (TARGET)",10,IF(N448="Selling pet toys",7,IF(N448="There's an Amazon link, but no target sales.",3,0))))</f>
        <v/>
      </c>
      <c r="P448" s="67">
        <f>H448+J448+L448+M448+O448</f>
        <v/>
      </c>
      <c r="Q448" s="66">
        <f>IF(OR(H448=0,P448&lt;30),"Tier D (Đóng băng)",IF(P448&gt;=85,"Tier S (Kim Cương: 85-100đ)",IF(P448&gt;=70,"Tier A (Vàng: 70-84đ)",IF(P448&gt;=61,"Tier B+ / Cấp A (Hot Lead: 61-69đ)",IF(P448&gt;=50,"Tier B (Bạc: 50-60đ)","Tier C (Đồng: 30-49đ)")))))</f>
        <v/>
      </c>
      <c r="R448" s="9" t="inlineStr">
        <is>
          <t>Trọn gói Take-Home Starter Kit V2/V3 (Cỏ nhân tạo + Khay Potty + Đồ chơi Teething/Snuggle)</t>
        </is>
      </c>
      <c r="S448" s="9" t="inlineStr">
        <is>
          <t>Cấp B Tiềm năng: Tiếp cận tự động qua chuỗi Email Marketing + Chăm sóc bổ sung bằng Telesale</t>
        </is>
      </c>
    </row>
    <row r="449">
      <c r="A449" s="53" t="n">
        <v>1937</v>
      </c>
      <c r="B449" s="12" t="inlineStr">
        <is>
          <t>Kokrus kennel</t>
        </is>
      </c>
      <c r="C449" s="54" t="inlineStr">
        <is>
          <t>https://www.facebook.com/kokrus.kennel</t>
        </is>
      </c>
      <c r="D449" s="6" t="inlineStr">
        <is>
          <t>Cần quét Bio Fanpage</t>
        </is>
      </c>
      <c r="E449" s="53" t="inlineStr">
        <is>
          <t>08/10/2026 01:32:32</t>
        </is>
      </c>
      <c r="F449" s="53" t="inlineStr">
        <is>
          <t>5 ngày trước</t>
        </is>
      </c>
      <c r="G449" s="55" t="n">
        <v>5</v>
      </c>
      <c r="H449" s="56" t="n">
        <v>20</v>
      </c>
      <c r="I449" s="6" t="inlineStr">
        <is>
          <t>Dog Breeder / Trại chó chuyên nghiệp (28-30đ)</t>
        </is>
      </c>
      <c r="J449" s="56" t="n">
        <v>30</v>
      </c>
      <c r="K449" s="6" t="inlineStr">
        <is>
          <t>Chưa rõ giống (Cần quét Bio)</t>
        </is>
      </c>
      <c r="L449" s="56" t="n">
        <v>0</v>
      </c>
      <c r="M449" s="56" t="n">
        <v>5</v>
      </c>
      <c r="N449" s="6" t="inlineStr">
        <is>
          <t>Amazon link not found</t>
        </is>
      </c>
      <c r="O449" s="56">
        <f>IF(N449="Selling pet toys + Artificial grass/Pet toilets (TARGET)",15,IF(N449="Selling artificial grass/pet toilets (TARGET)",10,IF(N449="Selling pet toys",7,IF(N449="There's an Amazon link, but no target sales.",3,0))))</f>
        <v/>
      </c>
      <c r="P449" s="65">
        <f>H449+J449+L449+M449+O449</f>
        <v/>
      </c>
      <c r="Q449" s="66">
        <f>IF(OR(H449=0,P449&lt;30),"Tier D (Đóng băng)",IF(P449&gt;=85,"Tier S (Kim Cương: 85-100đ)",IF(P449&gt;=70,"Tier A (Vàng: 70-84đ)",IF(P449&gt;=61,"Tier B+ / Cấp A (Hot Lead: 61-69đ)",IF(P449&gt;=50,"Tier B (Bạc: 50-60đ)","Tier C (Đồng: 30-49đ)")))))</f>
        <v/>
      </c>
      <c r="R449" s="6" t="inlineStr">
        <is>
          <t>Trọn gói Take-Home Starter Kit V2/V3 (Cỏ nhân tạo + Khay Potty + Đồ chơi Teething/Snuggle)</t>
        </is>
      </c>
      <c r="S449" s="6" t="inlineStr">
        <is>
          <t>Cấp B Tiềm năng: Tiếp cận tự động qua chuỗi Email Marketing + Chăm sóc bổ sung bằng Telesale</t>
        </is>
      </c>
    </row>
    <row r="450">
      <c r="A450" s="59" t="n">
        <v>1488</v>
      </c>
      <c r="B450" s="15" t="inlineStr">
        <is>
          <t>Gator Kennels</t>
        </is>
      </c>
      <c r="C450" s="60" t="inlineStr">
        <is>
          <t>https://www.facebook.com/GatorKennels</t>
        </is>
      </c>
      <c r="D450" s="9" t="inlineStr">
        <is>
          <t>Cần quét Bio Fanpage</t>
        </is>
      </c>
      <c r="E450" s="59" t="inlineStr">
        <is>
          <t>07/10/2026 23:45:01</t>
        </is>
      </c>
      <c r="F450" s="59" t="inlineStr">
        <is>
          <t>5 ngày trước</t>
        </is>
      </c>
      <c r="G450" s="61" t="n">
        <v>5</v>
      </c>
      <c r="H450" s="62" t="n">
        <v>20</v>
      </c>
      <c r="I450" s="9" t="inlineStr">
        <is>
          <t>Dog Breeder / Trại chó chuyên nghiệp (28-30đ)</t>
        </is>
      </c>
      <c r="J450" s="62" t="n">
        <v>30</v>
      </c>
      <c r="K450" s="9" t="inlineStr">
        <is>
          <t>Chưa rõ giống (Cần quét Bio)</t>
        </is>
      </c>
      <c r="L450" s="62" t="n">
        <v>0</v>
      </c>
      <c r="M450" s="62" t="n">
        <v>5</v>
      </c>
      <c r="N450" s="9" t="inlineStr">
        <is>
          <t>Amazon link not found</t>
        </is>
      </c>
      <c r="O450" s="62">
        <f>IF(N450="Selling pet toys + Artificial grass/Pet toilets (TARGET)",15,IF(N450="Selling artificial grass/pet toilets (TARGET)",10,IF(N450="Selling pet toys",7,IF(N450="There's an Amazon link, but no target sales.",3,0))))</f>
        <v/>
      </c>
      <c r="P450" s="67">
        <f>H450+J450+L450+M450+O450</f>
        <v/>
      </c>
      <c r="Q450" s="66">
        <f>IF(OR(H450=0,P450&lt;30),"Tier D (Đóng băng)",IF(P450&gt;=85,"Tier S (Kim Cương: 85-100đ)",IF(P450&gt;=70,"Tier A (Vàng: 70-84đ)",IF(P450&gt;=61,"Tier B+ / Cấp A (Hot Lead: 61-69đ)",IF(P450&gt;=50,"Tier B (Bạc: 50-60đ)","Tier C (Đồng: 30-49đ)")))))</f>
        <v/>
      </c>
      <c r="R450" s="9" t="inlineStr">
        <is>
          <t>Trọn gói Take-Home Starter Kit V2/V3 (Cỏ nhân tạo + Khay Potty + Đồ chơi Teething/Snuggle)</t>
        </is>
      </c>
      <c r="S450" s="9" t="inlineStr">
        <is>
          <t>Cấp B Tiềm năng: Tiếp cận tự động qua chuỗi Email Marketing + Chăm sóc bổ sung bằng Telesale</t>
        </is>
      </c>
    </row>
    <row r="451">
      <c r="A451" s="53" t="n">
        <v>89</v>
      </c>
      <c r="B451" s="12" t="inlineStr">
        <is>
          <t>4E Kennels Healing Hearts</t>
        </is>
      </c>
      <c r="C451" s="54" t="inlineStr">
        <is>
          <t>https://www.facebook.com/4ekennelshealinghearts</t>
        </is>
      </c>
      <c r="D451" s="6" t="inlineStr">
        <is>
          <t>Cần quét Bio Fanpage</t>
        </is>
      </c>
      <c r="E451" s="53" t="inlineStr">
        <is>
          <t>07/10/2026 22:32:44</t>
        </is>
      </c>
      <c r="F451" s="53" t="inlineStr">
        <is>
          <t>5 ngày trước</t>
        </is>
      </c>
      <c r="G451" s="55" t="n">
        <v>5</v>
      </c>
      <c r="H451" s="56" t="n">
        <v>20</v>
      </c>
      <c r="I451" s="6" t="inlineStr">
        <is>
          <t>Dog Breeder / Trại chó chuyên nghiệp (28-30đ)</t>
        </is>
      </c>
      <c r="J451" s="56" t="n">
        <v>30</v>
      </c>
      <c r="K451" s="6" t="inlineStr">
        <is>
          <t>Chưa rõ giống (Cần quét Bio)</t>
        </is>
      </c>
      <c r="L451" s="56" t="n">
        <v>0</v>
      </c>
      <c r="M451" s="56" t="n">
        <v>5</v>
      </c>
      <c r="N451" s="6" t="inlineStr">
        <is>
          <t>Amazon link not found</t>
        </is>
      </c>
      <c r="O451" s="56">
        <f>IF(N451="Selling pet toys + Artificial grass/Pet toilets (TARGET)",15,IF(N451="Selling artificial grass/pet toilets (TARGET)",10,IF(N451="Selling pet toys",7,IF(N451="There's an Amazon link, but no target sales.",3,0))))</f>
        <v/>
      </c>
      <c r="P451" s="65">
        <f>H451+J451+L451+M451+O451</f>
        <v/>
      </c>
      <c r="Q451" s="66">
        <f>IF(OR(H451=0,P451&lt;30),"Tier D (Đóng băng)",IF(P451&gt;=85,"Tier S (Kim Cương: 85-100đ)",IF(P451&gt;=70,"Tier A (Vàng: 70-84đ)",IF(P451&gt;=61,"Tier B+ / Cấp A (Hot Lead: 61-69đ)",IF(P451&gt;=50,"Tier B (Bạc: 50-60đ)","Tier C (Đồng: 30-49đ)")))))</f>
        <v/>
      </c>
      <c r="R451" s="6" t="inlineStr">
        <is>
          <t>Trọn gói Take-Home Starter Kit V2/V3 (Cỏ nhân tạo + Khay Potty + Đồ chơi Teething/Snuggle)</t>
        </is>
      </c>
      <c r="S451" s="6" t="inlineStr">
        <is>
          <t>Cấp B Tiềm năng: Tiếp cận tự động qua chuỗi Email Marketing + Chăm sóc bổ sung bằng Telesale</t>
        </is>
      </c>
    </row>
    <row r="452">
      <c r="A452" s="59" t="n">
        <v>1885</v>
      </c>
      <c r="B452" s="15" t="inlineStr">
        <is>
          <t>Kennel Græsmarkens</t>
        </is>
      </c>
      <c r="C452" s="60" t="inlineStr">
        <is>
          <t>https://www.facebook.com/graesmarkens</t>
        </is>
      </c>
      <c r="D452" s="9" t="inlineStr">
        <is>
          <t>Cần quét Bio Fanpage</t>
        </is>
      </c>
      <c r="E452" s="59" t="inlineStr">
        <is>
          <t>07/10/2026 13:17:20</t>
        </is>
      </c>
      <c r="F452" s="59" t="inlineStr">
        <is>
          <t>5 ngày trước</t>
        </is>
      </c>
      <c r="G452" s="61" t="n">
        <v>5</v>
      </c>
      <c r="H452" s="62" t="n">
        <v>20</v>
      </c>
      <c r="I452" s="9" t="inlineStr">
        <is>
          <t>Dog Breeder / Trại chó chuyên nghiệp (28-30đ)</t>
        </is>
      </c>
      <c r="J452" s="62" t="n">
        <v>30</v>
      </c>
      <c r="K452" s="9" t="inlineStr">
        <is>
          <t>Chưa rõ giống (Cần quét Bio)</t>
        </is>
      </c>
      <c r="L452" s="62" t="n">
        <v>0</v>
      </c>
      <c r="M452" s="62" t="n">
        <v>5</v>
      </c>
      <c r="N452" s="9" t="inlineStr">
        <is>
          <t>Amazon link not found</t>
        </is>
      </c>
      <c r="O452" s="62">
        <f>IF(N452="Selling pet toys + Artificial grass/Pet toilets (TARGET)",15,IF(N452="Selling artificial grass/pet toilets (TARGET)",10,IF(N452="Selling pet toys",7,IF(N452="There's an Amazon link, but no target sales.",3,0))))</f>
        <v/>
      </c>
      <c r="P452" s="67">
        <f>H452+J452+L452+M452+O452</f>
        <v/>
      </c>
      <c r="Q452" s="66">
        <f>IF(OR(H452=0,P452&lt;30),"Tier D (Đóng băng)",IF(P452&gt;=85,"Tier S (Kim Cương: 85-100đ)",IF(P452&gt;=70,"Tier A (Vàng: 70-84đ)",IF(P452&gt;=61,"Tier B+ / Cấp A (Hot Lead: 61-69đ)",IF(P452&gt;=50,"Tier B (Bạc: 50-60đ)","Tier C (Đồng: 30-49đ)")))))</f>
        <v/>
      </c>
      <c r="R452" s="9" t="inlineStr">
        <is>
          <t>Trọn gói Take-Home Starter Kit V2/V3 (Cỏ nhân tạo + Khay Potty + Đồ chơi Teething/Snuggle)</t>
        </is>
      </c>
      <c r="S452" s="9" t="inlineStr">
        <is>
          <t>Cấp B Tiềm năng: Tiếp cận tự động qua chuỗi Email Marketing + Chăm sóc bổ sung bằng Telesale</t>
        </is>
      </c>
    </row>
    <row r="453">
      <c r="A453" s="53" t="n">
        <v>1943</v>
      </c>
      <c r="B453" s="12" t="inlineStr">
        <is>
          <t>Krautkramer Kennels</t>
        </is>
      </c>
      <c r="C453" s="54" t="inlineStr">
        <is>
          <t>https://www.facebook.com/profile.php?id=100057560014996</t>
        </is>
      </c>
      <c r="D453" s="6" t="inlineStr">
        <is>
          <t>Cần quét Bio Fanpage</t>
        </is>
      </c>
      <c r="E453" s="53" t="inlineStr">
        <is>
          <t>07/10/2026 11:51:27</t>
        </is>
      </c>
      <c r="F453" s="53" t="inlineStr">
        <is>
          <t>5 ngày trước</t>
        </is>
      </c>
      <c r="G453" s="55" t="n">
        <v>5</v>
      </c>
      <c r="H453" s="56" t="n">
        <v>20</v>
      </c>
      <c r="I453" s="6" t="inlineStr">
        <is>
          <t>Dog Breeder / Trại chó chuyên nghiệp (28-30đ)</t>
        </is>
      </c>
      <c r="J453" s="56" t="n">
        <v>30</v>
      </c>
      <c r="K453" s="6" t="inlineStr">
        <is>
          <t>Chưa rõ giống (Cần quét Bio)</t>
        </is>
      </c>
      <c r="L453" s="56" t="n">
        <v>0</v>
      </c>
      <c r="M453" s="56" t="n">
        <v>5</v>
      </c>
      <c r="N453" s="6" t="inlineStr">
        <is>
          <t>Amazon link not found</t>
        </is>
      </c>
      <c r="O453" s="56">
        <f>IF(N453="Selling pet toys + Artificial grass/Pet toilets (TARGET)",15,IF(N453="Selling artificial grass/pet toilets (TARGET)",10,IF(N453="Selling pet toys",7,IF(N453="There's an Amazon link, but no target sales.",3,0))))</f>
        <v/>
      </c>
      <c r="P453" s="65">
        <f>H453+J453+L453+M453+O453</f>
        <v/>
      </c>
      <c r="Q453" s="66">
        <f>IF(OR(H453=0,P453&lt;30),"Tier D (Đóng băng)",IF(P453&gt;=85,"Tier S (Kim Cương: 85-100đ)",IF(P453&gt;=70,"Tier A (Vàng: 70-84đ)",IF(P453&gt;=61,"Tier B+ / Cấp A (Hot Lead: 61-69đ)",IF(P453&gt;=50,"Tier B (Bạc: 50-60đ)","Tier C (Đồng: 30-49đ)")))))</f>
        <v/>
      </c>
      <c r="R453" s="6" t="inlineStr">
        <is>
          <t>Trọn gói Take-Home Starter Kit V2/V3 (Cỏ nhân tạo + Khay Potty + Đồ chơi Teething/Snuggle)</t>
        </is>
      </c>
      <c r="S453" s="6" t="inlineStr">
        <is>
          <t>Cấp B Tiềm năng: Tiếp cận tự động qua chuỗi Email Marketing + Chăm sóc bổ sung bằng Telesale</t>
        </is>
      </c>
    </row>
    <row r="454">
      <c r="A454" s="59" t="n">
        <v>3073</v>
      </c>
      <c r="B454" s="15" t="inlineStr">
        <is>
          <t>Teddy Kennel Kodai  (Teddy kennel)</t>
        </is>
      </c>
      <c r="C454" s="60" t="inlineStr">
        <is>
          <t>https://www.facebook.com/suresh.raja.9250</t>
        </is>
      </c>
      <c r="D454" s="9" t="inlineStr">
        <is>
          <t>Cần quét Bio Fanpage</t>
        </is>
      </c>
      <c r="E454" s="59" t="inlineStr">
        <is>
          <t>07/10/2026 10:55:35</t>
        </is>
      </c>
      <c r="F454" s="59" t="inlineStr">
        <is>
          <t>5 ngày trước</t>
        </is>
      </c>
      <c r="G454" s="61" t="n">
        <v>5</v>
      </c>
      <c r="H454" s="62" t="n">
        <v>20</v>
      </c>
      <c r="I454" s="9" t="inlineStr">
        <is>
          <t>Dog Breeder / Trại chó chuyên nghiệp (28-30đ)</t>
        </is>
      </c>
      <c r="J454" s="62" t="n">
        <v>30</v>
      </c>
      <c r="K454" s="9" t="inlineStr">
        <is>
          <t>Chưa rõ giống (Cần quét Bio)</t>
        </is>
      </c>
      <c r="L454" s="62" t="n">
        <v>0</v>
      </c>
      <c r="M454" s="62" t="n">
        <v>5</v>
      </c>
      <c r="N454" s="9" t="inlineStr">
        <is>
          <t>Amazon link not found</t>
        </is>
      </c>
      <c r="O454" s="62">
        <f>IF(N454="Selling pet toys + Artificial grass/Pet toilets (TARGET)",15,IF(N454="Selling artificial grass/pet toilets (TARGET)",10,IF(N454="Selling pet toys",7,IF(N454="There's an Amazon link, but no target sales.",3,0))))</f>
        <v/>
      </c>
      <c r="P454" s="67">
        <f>H454+J454+L454+M454+O454</f>
        <v/>
      </c>
      <c r="Q454" s="66">
        <f>IF(OR(H454=0,P454&lt;30),"Tier D (Đóng băng)",IF(P454&gt;=85,"Tier S (Kim Cương: 85-100đ)",IF(P454&gt;=70,"Tier A (Vàng: 70-84đ)",IF(P454&gt;=61,"Tier B+ / Cấp A (Hot Lead: 61-69đ)",IF(P454&gt;=50,"Tier B (Bạc: 50-60đ)","Tier C (Đồng: 30-49đ)")))))</f>
        <v/>
      </c>
      <c r="R454" s="9" t="inlineStr">
        <is>
          <t>Trọn gói Take-Home Starter Kit V2/V3 (Cỏ nhân tạo + Khay Potty + Đồ chơi Teething/Snuggle)</t>
        </is>
      </c>
      <c r="S454" s="9" t="inlineStr">
        <is>
          <t>Cấp B Tiềm năng: Tiếp cận tự động qua chuỗi Email Marketing + Chăm sóc bổ sung bằng Telesale</t>
        </is>
      </c>
    </row>
    <row r="455">
      <c r="A455" s="53" t="n">
        <v>20</v>
      </c>
      <c r="B455" s="12" t="inlineStr">
        <is>
          <t>Bossy Kennels</t>
        </is>
      </c>
      <c r="C455" s="54" t="inlineStr">
        <is>
          <t>https://www.facebook.com/bossykennels15</t>
        </is>
      </c>
      <c r="D455" s="6" t="inlineStr">
        <is>
          <t>Cần quét Bio Fanpage</t>
        </is>
      </c>
      <c r="E455" s="53" t="inlineStr">
        <is>
          <t>07/10/2026 08:30:26</t>
        </is>
      </c>
      <c r="F455" s="53" t="inlineStr">
        <is>
          <t>5 ngày trước</t>
        </is>
      </c>
      <c r="G455" s="55" t="n">
        <v>5</v>
      </c>
      <c r="H455" s="56" t="n">
        <v>20</v>
      </c>
      <c r="I455" s="6" t="inlineStr">
        <is>
          <t>Dog Breeder / Trại chó chuyên nghiệp (28-30đ)</t>
        </is>
      </c>
      <c r="J455" s="56" t="n">
        <v>30</v>
      </c>
      <c r="K455" s="6" t="inlineStr">
        <is>
          <t>Chưa rõ giống (Cần quét Bio)</t>
        </is>
      </c>
      <c r="L455" s="56" t="n">
        <v>0</v>
      </c>
      <c r="M455" s="56" t="n">
        <v>5</v>
      </c>
      <c r="N455" s="6" t="inlineStr">
        <is>
          <t>Amazon link not found</t>
        </is>
      </c>
      <c r="O455" s="56">
        <f>IF(N455="Selling pet toys + Artificial grass/Pet toilets (TARGET)",15,IF(N455="Selling artificial grass/pet toilets (TARGET)",10,IF(N455="Selling pet toys",7,IF(N455="There's an Amazon link, but no target sales.",3,0))))</f>
        <v/>
      </c>
      <c r="P455" s="65">
        <f>H455+J455+L455+M455+O455</f>
        <v/>
      </c>
      <c r="Q455" s="66">
        <f>IF(OR(H455=0,P455&lt;30),"Tier D (Đóng băng)",IF(P455&gt;=85,"Tier S (Kim Cương: 85-100đ)",IF(P455&gt;=70,"Tier A (Vàng: 70-84đ)",IF(P455&gt;=61,"Tier B+ / Cấp A (Hot Lead: 61-69đ)",IF(P455&gt;=50,"Tier B (Bạc: 50-60đ)","Tier C (Đồng: 30-49đ)")))))</f>
        <v/>
      </c>
      <c r="R455" s="6" t="inlineStr">
        <is>
          <t>Trọn gói Take-Home Starter Kit V2/V3 (Cỏ nhân tạo + Khay Potty + Đồ chơi Teething/Snuggle)</t>
        </is>
      </c>
      <c r="S455" s="6" t="inlineStr">
        <is>
          <t>Cấp B Tiềm năng: Tiếp cận tự động qua chuỗi Email Marketing + Chăm sóc bổ sung bằng Telesale</t>
        </is>
      </c>
    </row>
    <row r="456">
      <c r="A456" s="59" t="n">
        <v>1795</v>
      </c>
      <c r="B456" s="15" t="inlineStr">
        <is>
          <t>Justice Kennels Training Group</t>
        </is>
      </c>
      <c r="C456" s="60" t="inlineStr">
        <is>
          <t>https://www.facebook.com/JusticeKennels</t>
        </is>
      </c>
      <c r="D456" s="9" t="inlineStr">
        <is>
          <t>Cần quét Bio Fanpage</t>
        </is>
      </c>
      <c r="E456" s="59" t="inlineStr">
        <is>
          <t>07/10/2026 06:13:02</t>
        </is>
      </c>
      <c r="F456" s="59" t="inlineStr">
        <is>
          <t>5 ngày trước</t>
        </is>
      </c>
      <c r="G456" s="61" t="n">
        <v>5</v>
      </c>
      <c r="H456" s="62" t="n">
        <v>20</v>
      </c>
      <c r="I456" s="9" t="inlineStr">
        <is>
          <t>Dog Breeder / Trại chó chuyên nghiệp (28-30đ)</t>
        </is>
      </c>
      <c r="J456" s="62" t="n">
        <v>30</v>
      </c>
      <c r="K456" s="9" t="inlineStr">
        <is>
          <t>Chưa rõ giống (Cần quét Bio)</t>
        </is>
      </c>
      <c r="L456" s="62" t="n">
        <v>0</v>
      </c>
      <c r="M456" s="62" t="n">
        <v>5</v>
      </c>
      <c r="N456" s="9" t="inlineStr">
        <is>
          <t>Amazon link not found</t>
        </is>
      </c>
      <c r="O456" s="62">
        <f>IF(N456="Selling pet toys + Artificial grass/Pet toilets (TARGET)",15,IF(N456="Selling artificial grass/pet toilets (TARGET)",10,IF(N456="Selling pet toys",7,IF(N456="There's an Amazon link, but no target sales.",3,0))))</f>
        <v/>
      </c>
      <c r="P456" s="67">
        <f>H456+J456+L456+M456+O456</f>
        <v/>
      </c>
      <c r="Q456" s="66">
        <f>IF(OR(H456=0,P456&lt;30),"Tier D (Đóng băng)",IF(P456&gt;=85,"Tier S (Kim Cương: 85-100đ)",IF(P456&gt;=70,"Tier A (Vàng: 70-84đ)",IF(P456&gt;=61,"Tier B+ / Cấp A (Hot Lead: 61-69đ)",IF(P456&gt;=50,"Tier B (Bạc: 50-60đ)","Tier C (Đồng: 30-49đ)")))))</f>
        <v/>
      </c>
      <c r="R456" s="9" t="inlineStr">
        <is>
          <t>Trọn gói Take-Home Starter Kit V2/V3 (Cỏ nhân tạo + Khay Potty + Đồ chơi Teething/Snuggle)</t>
        </is>
      </c>
      <c r="S456" s="9" t="inlineStr">
        <is>
          <t>Cấp B Tiềm năng: Tiếp cận tự động qua chuỗi Email Marketing + Chăm sóc bổ sung bằng Telesale</t>
        </is>
      </c>
    </row>
    <row r="457">
      <c r="A457" s="53" t="n">
        <v>916</v>
      </c>
      <c r="B457" s="12" t="inlineStr">
        <is>
          <t>Clutch Kennels</t>
        </is>
      </c>
      <c r="C457" s="54" t="inlineStr">
        <is>
          <t>https://www.facebook.com/profile.php?id=100063656492467</t>
        </is>
      </c>
      <c r="D457" s="6" t="inlineStr">
        <is>
          <t>Cần quét Bio Fanpage</t>
        </is>
      </c>
      <c r="E457" s="53" t="inlineStr">
        <is>
          <t>07/10/2026 03:31:35</t>
        </is>
      </c>
      <c r="F457" s="53" t="inlineStr">
        <is>
          <t>5 ngày trước</t>
        </is>
      </c>
      <c r="G457" s="55" t="n">
        <v>5</v>
      </c>
      <c r="H457" s="56" t="n">
        <v>20</v>
      </c>
      <c r="I457" s="6" t="inlineStr">
        <is>
          <t>Dog Breeder / Trại chó chuyên nghiệp (28-30đ)</t>
        </is>
      </c>
      <c r="J457" s="56" t="n">
        <v>30</v>
      </c>
      <c r="K457" s="6" t="inlineStr">
        <is>
          <t>Chưa rõ giống (Cần quét Bio)</t>
        </is>
      </c>
      <c r="L457" s="56" t="n">
        <v>0</v>
      </c>
      <c r="M457" s="56" t="n">
        <v>5</v>
      </c>
      <c r="N457" s="6" t="inlineStr">
        <is>
          <t>Amazon link not found</t>
        </is>
      </c>
      <c r="O457" s="56">
        <f>IF(N457="Selling pet toys + Artificial grass/Pet toilets (TARGET)",15,IF(N457="Selling artificial grass/pet toilets (TARGET)",10,IF(N457="Selling pet toys",7,IF(N457="There's an Amazon link, but no target sales.",3,0))))</f>
        <v/>
      </c>
      <c r="P457" s="65">
        <f>H457+J457+L457+M457+O457</f>
        <v/>
      </c>
      <c r="Q457" s="66">
        <f>IF(OR(H457=0,P457&lt;30),"Tier D (Đóng băng)",IF(P457&gt;=85,"Tier S (Kim Cương: 85-100đ)",IF(P457&gt;=70,"Tier A (Vàng: 70-84đ)",IF(P457&gt;=61,"Tier B+ / Cấp A (Hot Lead: 61-69đ)",IF(P457&gt;=50,"Tier B (Bạc: 50-60đ)","Tier C (Đồng: 30-49đ)")))))</f>
        <v/>
      </c>
      <c r="R457" s="6" t="inlineStr">
        <is>
          <t>Trọn gói Take-Home Starter Kit V2/V3 (Cỏ nhân tạo + Khay Potty + Đồ chơi Teething/Snuggle)</t>
        </is>
      </c>
      <c r="S457" s="6" t="inlineStr">
        <is>
          <t>Cấp B Tiềm năng: Tiếp cận tự động qua chuỗi Email Marketing + Chăm sóc bổ sung bằng Telesale</t>
        </is>
      </c>
    </row>
    <row r="458">
      <c r="A458" s="59" t="n">
        <v>942</v>
      </c>
      <c r="B458" s="15" t="inlineStr">
        <is>
          <t>Cordoba Kennel</t>
        </is>
      </c>
      <c r="C458" s="60" t="inlineStr">
        <is>
          <t>https://www.facebook.com/cordoba.kennel</t>
        </is>
      </c>
      <c r="D458" s="9" t="inlineStr">
        <is>
          <t>Cần quét Bio Fanpage</t>
        </is>
      </c>
      <c r="E458" s="59" t="inlineStr">
        <is>
          <t>06/10/2026 21:46:38</t>
        </is>
      </c>
      <c r="F458" s="59" t="inlineStr">
        <is>
          <t>6 ngày trước</t>
        </is>
      </c>
      <c r="G458" s="61" t="n">
        <v>6</v>
      </c>
      <c r="H458" s="62" t="n">
        <v>20</v>
      </c>
      <c r="I458" s="9" t="inlineStr">
        <is>
          <t>Dog Breeder / Trại chó chuyên nghiệp (28-30đ)</t>
        </is>
      </c>
      <c r="J458" s="62" t="n">
        <v>30</v>
      </c>
      <c r="K458" s="9" t="inlineStr">
        <is>
          <t>Chưa rõ giống (Cần quét Bio)</t>
        </is>
      </c>
      <c r="L458" s="62" t="n">
        <v>0</v>
      </c>
      <c r="M458" s="62" t="n">
        <v>5</v>
      </c>
      <c r="N458" s="9" t="inlineStr">
        <is>
          <t>Amazon link not found</t>
        </is>
      </c>
      <c r="O458" s="62">
        <f>IF(N458="Selling pet toys + Artificial grass/Pet toilets (TARGET)",15,IF(N458="Selling artificial grass/pet toilets (TARGET)",10,IF(N458="Selling pet toys",7,IF(N458="There's an Amazon link, but no target sales.",3,0))))</f>
        <v/>
      </c>
      <c r="P458" s="67">
        <f>H458+J458+L458+M458+O458</f>
        <v/>
      </c>
      <c r="Q458" s="66">
        <f>IF(OR(H458=0,P458&lt;30),"Tier D (Đóng băng)",IF(P458&gt;=85,"Tier S (Kim Cương: 85-100đ)",IF(P458&gt;=70,"Tier A (Vàng: 70-84đ)",IF(P458&gt;=61,"Tier B+ / Cấp A (Hot Lead: 61-69đ)",IF(P458&gt;=50,"Tier B (Bạc: 50-60đ)","Tier C (Đồng: 30-49đ)")))))</f>
        <v/>
      </c>
      <c r="R458" s="9" t="inlineStr">
        <is>
          <t>Trọn gói Take-Home Starter Kit V2/V3 (Cỏ nhân tạo + Khay Potty + Đồ chơi Teething/Snuggle)</t>
        </is>
      </c>
      <c r="S458" s="9" t="inlineStr">
        <is>
          <t>Cấp B Tiềm năng: Tiếp cận tự động qua chuỗi Email Marketing + Chăm sóc bổ sung bằng Telesale</t>
        </is>
      </c>
    </row>
    <row r="459">
      <c r="A459" s="53" t="n">
        <v>1768</v>
      </c>
      <c r="B459" s="12" t="inlineStr">
        <is>
          <t>Jitterbug Kennels</t>
        </is>
      </c>
      <c r="C459" s="54" t="inlineStr">
        <is>
          <t>https://www.facebook.com/JitterbugKennel</t>
        </is>
      </c>
      <c r="D459" s="6" t="inlineStr">
        <is>
          <t>Cần quét Bio Fanpage</t>
        </is>
      </c>
      <c r="E459" s="53" t="inlineStr">
        <is>
          <t>06/10/2026 19:25:33</t>
        </is>
      </c>
      <c r="F459" s="53" t="inlineStr">
        <is>
          <t>6 ngày trước</t>
        </is>
      </c>
      <c r="G459" s="55" t="n">
        <v>6</v>
      </c>
      <c r="H459" s="56" t="n">
        <v>20</v>
      </c>
      <c r="I459" s="6" t="inlineStr">
        <is>
          <t>Dog Breeder / Trại chó chuyên nghiệp (28-30đ)</t>
        </is>
      </c>
      <c r="J459" s="56" t="n">
        <v>30</v>
      </c>
      <c r="K459" s="6" t="inlineStr">
        <is>
          <t>Chưa rõ giống (Cần quét Bio)</t>
        </is>
      </c>
      <c r="L459" s="56" t="n">
        <v>0</v>
      </c>
      <c r="M459" s="56" t="n">
        <v>5</v>
      </c>
      <c r="N459" s="6" t="inlineStr">
        <is>
          <t>Amazon link not found</t>
        </is>
      </c>
      <c r="O459" s="56">
        <f>IF(N459="Selling pet toys + Artificial grass/Pet toilets (TARGET)",15,IF(N459="Selling artificial grass/pet toilets (TARGET)",10,IF(N459="Selling pet toys",7,IF(N459="There's an Amazon link, but no target sales.",3,0))))</f>
        <v/>
      </c>
      <c r="P459" s="65">
        <f>H459+J459+L459+M459+O459</f>
        <v/>
      </c>
      <c r="Q459" s="66">
        <f>IF(OR(H459=0,P459&lt;30),"Tier D (Đóng băng)",IF(P459&gt;=85,"Tier S (Kim Cương: 85-100đ)",IF(P459&gt;=70,"Tier A (Vàng: 70-84đ)",IF(P459&gt;=61,"Tier B+ / Cấp A (Hot Lead: 61-69đ)",IF(P459&gt;=50,"Tier B (Bạc: 50-60đ)","Tier C (Đồng: 30-49đ)")))))</f>
        <v/>
      </c>
      <c r="R459" s="6" t="inlineStr">
        <is>
          <t>Trọn gói Take-Home Starter Kit V2/V3 (Cỏ nhân tạo + Khay Potty + Đồ chơi Teething/Snuggle)</t>
        </is>
      </c>
      <c r="S459" s="6" t="inlineStr">
        <is>
          <t>Cấp B Tiềm năng: Tiếp cận tự động qua chuỗi Email Marketing + Chăm sóc bổ sung bằng Telesale</t>
        </is>
      </c>
    </row>
    <row r="460">
      <c r="A460" s="59" t="n">
        <v>1487</v>
      </c>
      <c r="B460" s="15" t="inlineStr">
        <is>
          <t>Garcini Kennels</t>
        </is>
      </c>
      <c r="C460" s="60" t="inlineStr">
        <is>
          <t>https://www.facebook.com/profile.php?id=61592187434362</t>
        </is>
      </c>
      <c r="D460" s="9" t="inlineStr">
        <is>
          <t>Cần quét Bio Fanpage</t>
        </is>
      </c>
      <c r="E460" s="59" t="inlineStr">
        <is>
          <t>06/10/2026 19:22:37</t>
        </is>
      </c>
      <c r="F460" s="59" t="inlineStr">
        <is>
          <t>6 ngày trước</t>
        </is>
      </c>
      <c r="G460" s="61" t="n">
        <v>6</v>
      </c>
      <c r="H460" s="62" t="n">
        <v>20</v>
      </c>
      <c r="I460" s="9" t="inlineStr">
        <is>
          <t>Dog Breeder / Trại chó chuyên nghiệp (28-30đ)</t>
        </is>
      </c>
      <c r="J460" s="62" t="n">
        <v>30</v>
      </c>
      <c r="K460" s="9" t="inlineStr">
        <is>
          <t>Chưa rõ giống (Cần quét Bio)</t>
        </is>
      </c>
      <c r="L460" s="62" t="n">
        <v>0</v>
      </c>
      <c r="M460" s="62" t="n">
        <v>5</v>
      </c>
      <c r="N460" s="9" t="inlineStr">
        <is>
          <t>Amazon link not found</t>
        </is>
      </c>
      <c r="O460" s="62">
        <f>IF(N460="Selling pet toys + Artificial grass/Pet toilets (TARGET)",15,IF(N460="Selling artificial grass/pet toilets (TARGET)",10,IF(N460="Selling pet toys",7,IF(N460="There's an Amazon link, but no target sales.",3,0))))</f>
        <v/>
      </c>
      <c r="P460" s="67">
        <f>H460+J460+L460+M460+O460</f>
        <v/>
      </c>
      <c r="Q460" s="66">
        <f>IF(OR(H460=0,P460&lt;30),"Tier D (Đóng băng)",IF(P460&gt;=85,"Tier S (Kim Cương: 85-100đ)",IF(P460&gt;=70,"Tier A (Vàng: 70-84đ)",IF(P460&gt;=61,"Tier B+ / Cấp A (Hot Lead: 61-69đ)",IF(P460&gt;=50,"Tier B (Bạc: 50-60đ)","Tier C (Đồng: 30-49đ)")))))</f>
        <v/>
      </c>
      <c r="R460" s="9" t="inlineStr">
        <is>
          <t>Trọn gói Take-Home Starter Kit V2/V3 (Cỏ nhân tạo + Khay Potty + Đồ chơi Teething/Snuggle)</t>
        </is>
      </c>
      <c r="S460" s="9" t="inlineStr">
        <is>
          <t>Cấp B Tiềm năng: Tiếp cận tự động qua chuỗi Email Marketing + Chăm sóc bổ sung bằng Telesale</t>
        </is>
      </c>
    </row>
    <row r="461">
      <c r="A461" s="53" t="n">
        <v>1025</v>
      </c>
      <c r="B461" s="12" t="inlineStr">
        <is>
          <t>Dereks Rott Kennel</t>
        </is>
      </c>
      <c r="C461" s="54" t="inlineStr">
        <is>
          <t>https://www.facebook.com/derek.william.10</t>
        </is>
      </c>
      <c r="D461" s="6" t="inlineStr">
        <is>
          <t>Cần quét Bio Fanpage</t>
        </is>
      </c>
      <c r="E461" s="53" t="inlineStr">
        <is>
          <t>06/10/2026 17:01:49</t>
        </is>
      </c>
      <c r="F461" s="53" t="inlineStr">
        <is>
          <t>6 ngày trước</t>
        </is>
      </c>
      <c r="G461" s="55" t="n">
        <v>6</v>
      </c>
      <c r="H461" s="56" t="n">
        <v>20</v>
      </c>
      <c r="I461" s="6" t="inlineStr">
        <is>
          <t>Dog Breeder / Trại chó chuyên nghiệp (28-30đ)</t>
        </is>
      </c>
      <c r="J461" s="56" t="n">
        <v>30</v>
      </c>
      <c r="K461" s="6" t="inlineStr">
        <is>
          <t>Chưa rõ giống (Cần quét Bio)</t>
        </is>
      </c>
      <c r="L461" s="56" t="n">
        <v>0</v>
      </c>
      <c r="M461" s="56" t="n">
        <v>5</v>
      </c>
      <c r="N461" s="6" t="inlineStr">
        <is>
          <t>Amazon link not found</t>
        </is>
      </c>
      <c r="O461" s="56">
        <f>IF(N461="Selling pet toys + Artificial grass/Pet toilets (TARGET)",15,IF(N461="Selling artificial grass/pet toilets (TARGET)",10,IF(N461="Selling pet toys",7,IF(N461="There's an Amazon link, but no target sales.",3,0))))</f>
        <v/>
      </c>
      <c r="P461" s="65">
        <f>H461+J461+L461+M461+O461</f>
        <v/>
      </c>
      <c r="Q461" s="66">
        <f>IF(OR(H461=0,P461&lt;30),"Tier D (Đóng băng)",IF(P461&gt;=85,"Tier S (Kim Cương: 85-100đ)",IF(P461&gt;=70,"Tier A (Vàng: 70-84đ)",IF(P461&gt;=61,"Tier B+ / Cấp A (Hot Lead: 61-69đ)",IF(P461&gt;=50,"Tier B (Bạc: 50-60đ)","Tier C (Đồng: 30-49đ)")))))</f>
        <v/>
      </c>
      <c r="R461" s="6" t="inlineStr">
        <is>
          <t>Trọn gói Take-Home Starter Kit V2/V3 (Cỏ nhân tạo + Khay Potty + Đồ chơi Teething/Snuggle)</t>
        </is>
      </c>
      <c r="S461" s="6" t="inlineStr">
        <is>
          <t>Cấp B Tiềm năng: Tiếp cận tự động qua chuỗi Email Marketing + Chăm sóc bổ sung bằng Telesale</t>
        </is>
      </c>
    </row>
    <row r="462">
      <c r="A462" s="59" t="n">
        <v>1009</v>
      </c>
      <c r="B462" s="15" t="inlineStr">
        <is>
          <t>De Grande Vinko kennel</t>
        </is>
      </c>
      <c r="C462" s="60" t="inlineStr">
        <is>
          <t>https://www.facebook.com/deGrandeVinko</t>
        </is>
      </c>
      <c r="D462" s="9" t="inlineStr">
        <is>
          <t>Cần quét Bio Fanpage</t>
        </is>
      </c>
      <c r="E462" s="59" t="inlineStr">
        <is>
          <t>06/10/2026 15:03:13</t>
        </is>
      </c>
      <c r="F462" s="59" t="inlineStr">
        <is>
          <t>6 ngày trước</t>
        </is>
      </c>
      <c r="G462" s="61" t="n">
        <v>6</v>
      </c>
      <c r="H462" s="62" t="n">
        <v>20</v>
      </c>
      <c r="I462" s="9" t="inlineStr">
        <is>
          <t>Dog Breeder / Trại chó chuyên nghiệp (28-30đ)</t>
        </is>
      </c>
      <c r="J462" s="62" t="n">
        <v>30</v>
      </c>
      <c r="K462" s="9" t="inlineStr">
        <is>
          <t>Chưa rõ giống (Cần quét Bio)</t>
        </is>
      </c>
      <c r="L462" s="62" t="n">
        <v>0</v>
      </c>
      <c r="M462" s="62" t="n">
        <v>5</v>
      </c>
      <c r="N462" s="9" t="inlineStr">
        <is>
          <t>Amazon link not found</t>
        </is>
      </c>
      <c r="O462" s="62">
        <f>IF(N462="Selling pet toys + Artificial grass/Pet toilets (TARGET)",15,IF(N462="Selling artificial grass/pet toilets (TARGET)",10,IF(N462="Selling pet toys",7,IF(N462="There's an Amazon link, but no target sales.",3,0))))</f>
        <v/>
      </c>
      <c r="P462" s="67">
        <f>H462+J462+L462+M462+O462</f>
        <v/>
      </c>
      <c r="Q462" s="66">
        <f>IF(OR(H462=0,P462&lt;30),"Tier D (Đóng băng)",IF(P462&gt;=85,"Tier S (Kim Cương: 85-100đ)",IF(P462&gt;=70,"Tier A (Vàng: 70-84đ)",IF(P462&gt;=61,"Tier B+ / Cấp A (Hot Lead: 61-69đ)",IF(P462&gt;=50,"Tier B (Bạc: 50-60đ)","Tier C (Đồng: 30-49đ)")))))</f>
        <v/>
      </c>
      <c r="R462" s="9" t="inlineStr">
        <is>
          <t>Trọn gói Take-Home Starter Kit V2/V3 (Cỏ nhân tạo + Khay Potty + Đồ chơi Teething/Snuggle)</t>
        </is>
      </c>
      <c r="S462" s="9" t="inlineStr">
        <is>
          <t>Cấp B Tiềm năng: Tiếp cận tự động qua chuỗi Email Marketing + Chăm sóc bổ sung bằng Telesale</t>
        </is>
      </c>
    </row>
    <row r="463">
      <c r="A463" s="53" t="n">
        <v>693</v>
      </c>
      <c r="B463" s="12" t="inlineStr">
        <is>
          <t>Blacksmith - Raven Kennel</t>
        </is>
      </c>
      <c r="C463" s="54" t="inlineStr">
        <is>
          <t>https://www.facebook.com/blacksmithraven</t>
        </is>
      </c>
      <c r="D463" s="6" t="inlineStr">
        <is>
          <t>Cần quét Bio Fanpage</t>
        </is>
      </c>
      <c r="E463" s="53" t="inlineStr">
        <is>
          <t>06/10/2026 09:55:52</t>
        </is>
      </c>
      <c r="F463" s="53" t="inlineStr">
        <is>
          <t>6 ngày trước</t>
        </is>
      </c>
      <c r="G463" s="55" t="n">
        <v>6</v>
      </c>
      <c r="H463" s="56" t="n">
        <v>20</v>
      </c>
      <c r="I463" s="6" t="inlineStr">
        <is>
          <t>Dog Breeder / Trại chó chuyên nghiệp (28-30đ)</t>
        </is>
      </c>
      <c r="J463" s="56" t="n">
        <v>30</v>
      </c>
      <c r="K463" s="6" t="inlineStr">
        <is>
          <t>Chưa rõ giống (Cần quét Bio)</t>
        </is>
      </c>
      <c r="L463" s="56" t="n">
        <v>0</v>
      </c>
      <c r="M463" s="56" t="n">
        <v>5</v>
      </c>
      <c r="N463" s="6" t="inlineStr">
        <is>
          <t>Amazon link not found</t>
        </is>
      </c>
      <c r="O463" s="56">
        <f>IF(N463="Selling pet toys + Artificial grass/Pet toilets (TARGET)",15,IF(N463="Selling artificial grass/pet toilets (TARGET)",10,IF(N463="Selling pet toys",7,IF(N463="There's an Amazon link, but no target sales.",3,0))))</f>
        <v/>
      </c>
      <c r="P463" s="65">
        <f>H463+J463+L463+M463+O463</f>
        <v/>
      </c>
      <c r="Q463" s="66">
        <f>IF(OR(H463=0,P463&lt;30),"Tier D (Đóng băng)",IF(P463&gt;=85,"Tier S (Kim Cương: 85-100đ)",IF(P463&gt;=70,"Tier A (Vàng: 70-84đ)",IF(P463&gt;=61,"Tier B+ / Cấp A (Hot Lead: 61-69đ)",IF(P463&gt;=50,"Tier B (Bạc: 50-60đ)","Tier C (Đồng: 30-49đ)")))))</f>
        <v/>
      </c>
      <c r="R463" s="6" t="inlineStr">
        <is>
          <t>Trọn gói Take-Home Starter Kit V2/V3 (Cỏ nhân tạo + Khay Potty + Đồ chơi Teething/Snuggle)</t>
        </is>
      </c>
      <c r="S463" s="6" t="inlineStr">
        <is>
          <t>Cấp B Tiềm năng: Tiếp cận tự động qua chuỗi Email Marketing + Chăm sóc bổ sung bằng Telesale</t>
        </is>
      </c>
    </row>
    <row r="464">
      <c r="A464" s="59" t="n">
        <v>1376</v>
      </c>
      <c r="B464" s="15" t="inlineStr">
        <is>
          <t>Fieldstone Kennels</t>
        </is>
      </c>
      <c r="C464" s="60" t="inlineStr">
        <is>
          <t>https://www.facebook.com/Fieldstonekennels</t>
        </is>
      </c>
      <c r="D464" s="9" t="inlineStr">
        <is>
          <t>Cần quét Bio Fanpage</t>
        </is>
      </c>
      <c r="E464" s="59" t="inlineStr">
        <is>
          <t>06/10/2026 04:45:47</t>
        </is>
      </c>
      <c r="F464" s="59" t="inlineStr">
        <is>
          <t>6 ngày trước</t>
        </is>
      </c>
      <c r="G464" s="61" t="n">
        <v>6</v>
      </c>
      <c r="H464" s="62" t="n">
        <v>20</v>
      </c>
      <c r="I464" s="9" t="inlineStr">
        <is>
          <t>Dog Breeder / Trại chó chuyên nghiệp (28-30đ)</t>
        </is>
      </c>
      <c r="J464" s="62" t="n">
        <v>30</v>
      </c>
      <c r="K464" s="9" t="inlineStr">
        <is>
          <t>Chưa rõ giống (Cần quét Bio)</t>
        </is>
      </c>
      <c r="L464" s="62" t="n">
        <v>0</v>
      </c>
      <c r="M464" s="62" t="n">
        <v>5</v>
      </c>
      <c r="N464" s="9" t="inlineStr">
        <is>
          <t>Amazon link not found</t>
        </is>
      </c>
      <c r="O464" s="62">
        <f>IF(N464="Selling pet toys + Artificial grass/Pet toilets (TARGET)",15,IF(N464="Selling artificial grass/pet toilets (TARGET)",10,IF(N464="Selling pet toys",7,IF(N464="There's an Amazon link, but no target sales.",3,0))))</f>
        <v/>
      </c>
      <c r="P464" s="67">
        <f>H464+J464+L464+M464+O464</f>
        <v/>
      </c>
      <c r="Q464" s="66">
        <f>IF(OR(H464=0,P464&lt;30),"Tier D (Đóng băng)",IF(P464&gt;=85,"Tier S (Kim Cương: 85-100đ)",IF(P464&gt;=70,"Tier A (Vàng: 70-84đ)",IF(P464&gt;=61,"Tier B+ / Cấp A (Hot Lead: 61-69đ)",IF(P464&gt;=50,"Tier B (Bạc: 50-60đ)","Tier C (Đồng: 30-49đ)")))))</f>
        <v/>
      </c>
      <c r="R464" s="9" t="inlineStr">
        <is>
          <t>Trọn gói Take-Home Starter Kit V2/V3 (Cỏ nhân tạo + Khay Potty + Đồ chơi Teething/Snuggle)</t>
        </is>
      </c>
      <c r="S464" s="9" t="inlineStr">
        <is>
          <t>Cấp B Tiềm năng: Tiếp cận tự động qua chuỗi Email Marketing + Chăm sóc bổ sung bằng Telesale</t>
        </is>
      </c>
    </row>
    <row r="465">
      <c r="A465" s="53" t="n">
        <v>2659</v>
      </c>
      <c r="B465" s="12" t="inlineStr">
        <is>
          <t>Puppies on the Prairie</t>
        </is>
      </c>
      <c r="C465" s="54" t="inlineStr">
        <is>
          <t>https://www.facebook.com/profile.php?id=61550479265151</t>
        </is>
      </c>
      <c r="D465" s="6" t="inlineStr">
        <is>
          <t>Cần quét Bio Fanpage</t>
        </is>
      </c>
      <c r="E465" s="53" t="inlineStr">
        <is>
          <t>05/10/2026 22:51:46</t>
        </is>
      </c>
      <c r="F465" s="53" t="inlineStr">
        <is>
          <t>1 tuần trước</t>
        </is>
      </c>
      <c r="G465" s="55" t="n">
        <v>7</v>
      </c>
      <c r="H465" s="56" t="n">
        <v>20</v>
      </c>
      <c r="I465" s="6" t="inlineStr">
        <is>
          <t>Dog Breeder / Trại chó chuyên nghiệp (28-30đ)</t>
        </is>
      </c>
      <c r="J465" s="56" t="n">
        <v>30</v>
      </c>
      <c r="K465" s="6" t="inlineStr">
        <is>
          <t>Chưa rõ giống (Cần quét Bio)</t>
        </is>
      </c>
      <c r="L465" s="56" t="n">
        <v>0</v>
      </c>
      <c r="M465" s="56" t="n">
        <v>5</v>
      </c>
      <c r="N465" s="6" t="inlineStr">
        <is>
          <t>Amazon link not found</t>
        </is>
      </c>
      <c r="O465" s="56">
        <f>IF(N465="Selling pet toys + Artificial grass/Pet toilets (TARGET)",15,IF(N465="Selling artificial grass/pet toilets (TARGET)",10,IF(N465="Selling pet toys",7,IF(N465="There's an Amazon link, but no target sales.",3,0))))</f>
        <v/>
      </c>
      <c r="P465" s="65">
        <f>H465+J465+L465+M465+O465</f>
        <v/>
      </c>
      <c r="Q465" s="66">
        <f>IF(OR(H465=0,P465&lt;30),"Tier D (Đóng băng)",IF(P465&gt;=85,"Tier S (Kim Cương: 85-100đ)",IF(P465&gt;=70,"Tier A (Vàng: 70-84đ)",IF(P465&gt;=61,"Tier B+ / Cấp A (Hot Lead: 61-69đ)",IF(P465&gt;=50,"Tier B (Bạc: 50-60đ)","Tier C (Đồng: 30-49đ)")))))</f>
        <v/>
      </c>
      <c r="R465" s="6" t="inlineStr">
        <is>
          <t>Trọn gói Take-Home Starter Kit V2/V3 (Cỏ nhân tạo + Khay Potty + Đồ chơi Teething/Snuggle)</t>
        </is>
      </c>
      <c r="S465" s="6" t="inlineStr">
        <is>
          <t>Cấp B Tiềm năng: Tiếp cận tự động qua chuỗi Email Marketing + Chăm sóc bổ sung bằng Telesale</t>
        </is>
      </c>
    </row>
    <row r="466">
      <c r="A466" s="59" t="n">
        <v>2346</v>
      </c>
      <c r="B466" s="15" t="inlineStr">
        <is>
          <t>Okelani Kennels</t>
        </is>
      </c>
      <c r="C466" s="60" t="inlineStr">
        <is>
          <t>https://www.facebook.com/okelanikennels</t>
        </is>
      </c>
      <c r="D466" s="9" t="inlineStr">
        <is>
          <t>Cần quét Bio Fanpage</t>
        </is>
      </c>
      <c r="E466" s="59" t="inlineStr">
        <is>
          <t>05/10/2026 17:18:39</t>
        </is>
      </c>
      <c r="F466" s="59" t="inlineStr">
        <is>
          <t>1 tuần trước</t>
        </is>
      </c>
      <c r="G466" s="61" t="n">
        <v>7</v>
      </c>
      <c r="H466" s="62" t="n">
        <v>20</v>
      </c>
      <c r="I466" s="9" t="inlineStr">
        <is>
          <t>Dog Breeder / Trại chó chuyên nghiệp (28-30đ)</t>
        </is>
      </c>
      <c r="J466" s="62" t="n">
        <v>30</v>
      </c>
      <c r="K466" s="9" t="inlineStr">
        <is>
          <t>Chưa rõ giống (Cần quét Bio)</t>
        </is>
      </c>
      <c r="L466" s="62" t="n">
        <v>0</v>
      </c>
      <c r="M466" s="62" t="n">
        <v>5</v>
      </c>
      <c r="N466" s="9" t="inlineStr">
        <is>
          <t>Amazon link not found</t>
        </is>
      </c>
      <c r="O466" s="62">
        <f>IF(N466="Selling pet toys + Artificial grass/Pet toilets (TARGET)",15,IF(N466="Selling artificial grass/pet toilets (TARGET)",10,IF(N466="Selling pet toys",7,IF(N466="There's an Amazon link, but no target sales.",3,0))))</f>
        <v/>
      </c>
      <c r="P466" s="67">
        <f>H466+J466+L466+M466+O466</f>
        <v/>
      </c>
      <c r="Q466" s="66">
        <f>IF(OR(H466=0,P466&lt;30),"Tier D (Đóng băng)",IF(P466&gt;=85,"Tier S (Kim Cương: 85-100đ)",IF(P466&gt;=70,"Tier A (Vàng: 70-84đ)",IF(P466&gt;=61,"Tier B+ / Cấp A (Hot Lead: 61-69đ)",IF(P466&gt;=50,"Tier B (Bạc: 50-60đ)","Tier C (Đồng: 30-49đ)")))))</f>
        <v/>
      </c>
      <c r="R466" s="9" t="inlineStr">
        <is>
          <t>Trọn gói Take-Home Starter Kit V2/V3 (Cỏ nhân tạo + Khay Potty + Đồ chơi Teething/Snuggle)</t>
        </is>
      </c>
      <c r="S466" s="9" t="inlineStr">
        <is>
          <t>Cấp B Tiềm năng: Tiếp cận tự động qua chuỗi Email Marketing + Chăm sóc bổ sung bằng Telesale</t>
        </is>
      </c>
    </row>
    <row r="467">
      <c r="A467" s="53" t="n">
        <v>357</v>
      </c>
      <c r="B467" s="12" t="inlineStr">
        <is>
          <t>Akbarforce Kennel</t>
        </is>
      </c>
      <c r="C467" s="54" t="inlineStr">
        <is>
          <t>https://www.facebook.com/profile.php?id=100063583932931</t>
        </is>
      </c>
      <c r="D467" s="6" t="inlineStr">
        <is>
          <t>Cần quét Bio Fanpage</t>
        </is>
      </c>
      <c r="E467" s="53" t="inlineStr">
        <is>
          <t>05/10/2026 10:45:27</t>
        </is>
      </c>
      <c r="F467" s="53" t="inlineStr">
        <is>
          <t>1 tuần trước</t>
        </is>
      </c>
      <c r="G467" s="55" t="n">
        <v>7</v>
      </c>
      <c r="H467" s="56" t="n">
        <v>20</v>
      </c>
      <c r="I467" s="6" t="inlineStr">
        <is>
          <t>Dog Breeder / Trại chó chuyên nghiệp (28-30đ)</t>
        </is>
      </c>
      <c r="J467" s="56" t="n">
        <v>30</v>
      </c>
      <c r="K467" s="6" t="inlineStr">
        <is>
          <t>Chưa rõ giống (Cần quét Bio)</t>
        </is>
      </c>
      <c r="L467" s="56" t="n">
        <v>0</v>
      </c>
      <c r="M467" s="56" t="n">
        <v>5</v>
      </c>
      <c r="N467" s="6" t="inlineStr">
        <is>
          <t>Amazon link not found</t>
        </is>
      </c>
      <c r="O467" s="56">
        <f>IF(N467="Selling pet toys + Artificial grass/Pet toilets (TARGET)",15,IF(N467="Selling artificial grass/pet toilets (TARGET)",10,IF(N467="Selling pet toys",7,IF(N467="There's an Amazon link, but no target sales.",3,0))))</f>
        <v/>
      </c>
      <c r="P467" s="65">
        <f>H467+J467+L467+M467+O467</f>
        <v/>
      </c>
      <c r="Q467" s="66">
        <f>IF(OR(H467=0,P467&lt;30),"Tier D (Đóng băng)",IF(P467&gt;=85,"Tier S (Kim Cương: 85-100đ)",IF(P467&gt;=70,"Tier A (Vàng: 70-84đ)",IF(P467&gt;=61,"Tier B+ / Cấp A (Hot Lead: 61-69đ)",IF(P467&gt;=50,"Tier B (Bạc: 50-60đ)","Tier C (Đồng: 30-49đ)")))))</f>
        <v/>
      </c>
      <c r="R467" s="6" t="inlineStr">
        <is>
          <t>Trọn gói Take-Home Starter Kit V2/V3 (Cỏ nhân tạo + Khay Potty + Đồ chơi Teething/Snuggle)</t>
        </is>
      </c>
      <c r="S467" s="6" t="inlineStr">
        <is>
          <t>Cấp B Tiềm năng: Tiếp cận tự động qua chuỗi Email Marketing + Chăm sóc bổ sung bằng Telesale</t>
        </is>
      </c>
    </row>
    <row r="468">
      <c r="A468" s="59" t="n">
        <v>383</v>
      </c>
      <c r="B468" s="15" t="inlineStr">
        <is>
          <t>Allclarity Kennels</t>
        </is>
      </c>
      <c r="C468" s="60" t="inlineStr">
        <is>
          <t>https://www.facebook.com/allclaritykennels</t>
        </is>
      </c>
      <c r="D468" s="9" t="inlineStr">
        <is>
          <t>Cần quét Bio Fanpage</t>
        </is>
      </c>
      <c r="E468" s="59" t="inlineStr">
        <is>
          <t>05/10/2026 06:09:02</t>
        </is>
      </c>
      <c r="F468" s="59" t="inlineStr">
        <is>
          <t>1 tuần trước</t>
        </is>
      </c>
      <c r="G468" s="61" t="n">
        <v>7</v>
      </c>
      <c r="H468" s="62" t="n">
        <v>20</v>
      </c>
      <c r="I468" s="9" t="inlineStr">
        <is>
          <t>Dog Breeder / Trại chó chuyên nghiệp (28-30đ)</t>
        </is>
      </c>
      <c r="J468" s="62" t="n">
        <v>30</v>
      </c>
      <c r="K468" s="9" t="inlineStr">
        <is>
          <t>Chưa rõ giống (Cần quét Bio)</t>
        </is>
      </c>
      <c r="L468" s="62" t="n">
        <v>0</v>
      </c>
      <c r="M468" s="62" t="n">
        <v>5</v>
      </c>
      <c r="N468" s="9" t="inlineStr">
        <is>
          <t>Amazon link not found</t>
        </is>
      </c>
      <c r="O468" s="62">
        <f>IF(N468="Selling pet toys + Artificial grass/Pet toilets (TARGET)",15,IF(N468="Selling artificial grass/pet toilets (TARGET)",10,IF(N468="Selling pet toys",7,IF(N468="There's an Amazon link, but no target sales.",3,0))))</f>
        <v/>
      </c>
      <c r="P468" s="67">
        <f>H468+J468+L468+M468+O468</f>
        <v/>
      </c>
      <c r="Q468" s="66">
        <f>IF(OR(H468=0,P468&lt;30),"Tier D (Đóng băng)",IF(P468&gt;=85,"Tier S (Kim Cương: 85-100đ)",IF(P468&gt;=70,"Tier A (Vàng: 70-84đ)",IF(P468&gt;=61,"Tier B+ / Cấp A (Hot Lead: 61-69đ)",IF(P468&gt;=50,"Tier B (Bạc: 50-60đ)","Tier C (Đồng: 30-49đ)")))))</f>
        <v/>
      </c>
      <c r="R468" s="9" t="inlineStr">
        <is>
          <t>Trọn gói Take-Home Starter Kit V2/V3 (Cỏ nhân tạo + Khay Potty + Đồ chơi Teething/Snuggle)</t>
        </is>
      </c>
      <c r="S468" s="9" t="inlineStr">
        <is>
          <t>Cấp B Tiềm năng: Tiếp cận tự động qua chuỗi Email Marketing + Chăm sóc bổ sung bằng Telesale</t>
        </is>
      </c>
    </row>
    <row r="469">
      <c r="A469" s="53" t="n">
        <v>1903</v>
      </c>
      <c r="B469" s="12" t="inlineStr">
        <is>
          <t>Kennel Snowtroopers'</t>
        </is>
      </c>
      <c r="C469" s="54" t="inlineStr">
        <is>
          <t>https://www.facebook.com/KennelSnowtroopers</t>
        </is>
      </c>
      <c r="D469" s="6" t="inlineStr">
        <is>
          <t>Cần quét Bio Fanpage</t>
        </is>
      </c>
      <c r="E469" s="53" t="inlineStr">
        <is>
          <t>04/10/2026 14:41:54</t>
        </is>
      </c>
      <c r="F469" s="53" t="inlineStr">
        <is>
          <t>1 tuần trước</t>
        </is>
      </c>
      <c r="G469" s="55" t="n">
        <v>7</v>
      </c>
      <c r="H469" s="56" t="n">
        <v>20</v>
      </c>
      <c r="I469" s="6" t="inlineStr">
        <is>
          <t>Dog Breeder / Trại chó chuyên nghiệp (28-30đ)</t>
        </is>
      </c>
      <c r="J469" s="56" t="n">
        <v>30</v>
      </c>
      <c r="K469" s="6" t="inlineStr">
        <is>
          <t>Chưa rõ giống (Cần quét Bio)</t>
        </is>
      </c>
      <c r="L469" s="56" t="n">
        <v>0</v>
      </c>
      <c r="M469" s="56" t="n">
        <v>5</v>
      </c>
      <c r="N469" s="6" t="inlineStr">
        <is>
          <t>Amazon link not found</t>
        </is>
      </c>
      <c r="O469" s="56">
        <f>IF(N469="Selling pet toys + Artificial grass/Pet toilets (TARGET)",15,IF(N469="Selling artificial grass/pet toilets (TARGET)",10,IF(N469="Selling pet toys",7,IF(N469="There's an Amazon link, but no target sales.",3,0))))</f>
        <v/>
      </c>
      <c r="P469" s="65">
        <f>H469+J469+L469+M469+O469</f>
        <v/>
      </c>
      <c r="Q469" s="66">
        <f>IF(OR(H469=0,P469&lt;30),"Tier D (Đóng băng)",IF(P469&gt;=85,"Tier S (Kim Cương: 85-100đ)",IF(P469&gt;=70,"Tier A (Vàng: 70-84đ)",IF(P469&gt;=61,"Tier B+ / Cấp A (Hot Lead: 61-69đ)",IF(P469&gt;=50,"Tier B (Bạc: 50-60đ)","Tier C (Đồng: 30-49đ)")))))</f>
        <v/>
      </c>
      <c r="R469" s="6" t="inlineStr">
        <is>
          <t>Trọn gói Take-Home Starter Kit V2/V3 (Cỏ nhân tạo + Khay Potty + Đồ chơi Teething/Snuggle)</t>
        </is>
      </c>
      <c r="S469" s="6" t="inlineStr">
        <is>
          <t>Cấp B Tiềm năng: Tiếp cận tự động qua chuỗi Email Marketing + Chăm sóc bổ sung bằng Telesale</t>
        </is>
      </c>
    </row>
    <row r="470">
      <c r="A470" s="59" t="n">
        <v>2018</v>
      </c>
      <c r="B470" s="15" t="inlineStr">
        <is>
          <t>Lightspeed Kennels</t>
        </is>
      </c>
      <c r="C470" s="60" t="inlineStr">
        <is>
          <t>https://www.facebook.com/LightSpeedKennels</t>
        </is>
      </c>
      <c r="D470" s="9" t="inlineStr">
        <is>
          <t>Cần quét Bio Fanpage</t>
        </is>
      </c>
      <c r="E470" s="59" t="inlineStr">
        <is>
          <t>04/10/2026 03:28:04</t>
        </is>
      </c>
      <c r="F470" s="59" t="inlineStr">
        <is>
          <t>1 tuần trước</t>
        </is>
      </c>
      <c r="G470" s="61" t="n">
        <v>7</v>
      </c>
      <c r="H470" s="62" t="n">
        <v>20</v>
      </c>
      <c r="I470" s="9" t="inlineStr">
        <is>
          <t>Dog Breeder / Trại chó chuyên nghiệp (28-30đ)</t>
        </is>
      </c>
      <c r="J470" s="62" t="n">
        <v>30</v>
      </c>
      <c r="K470" s="9" t="inlineStr">
        <is>
          <t>Chưa rõ giống (Cần quét Bio)</t>
        </is>
      </c>
      <c r="L470" s="62" t="n">
        <v>0</v>
      </c>
      <c r="M470" s="62" t="n">
        <v>5</v>
      </c>
      <c r="N470" s="9" t="inlineStr">
        <is>
          <t>Amazon link not found</t>
        </is>
      </c>
      <c r="O470" s="62">
        <f>IF(N470="Selling pet toys + Artificial grass/Pet toilets (TARGET)",15,IF(N470="Selling artificial grass/pet toilets (TARGET)",10,IF(N470="Selling pet toys",7,IF(N470="There's an Amazon link, but no target sales.",3,0))))</f>
        <v/>
      </c>
      <c r="P470" s="67">
        <f>H470+J470+L470+M470+O470</f>
        <v/>
      </c>
      <c r="Q470" s="66">
        <f>IF(OR(H470=0,P470&lt;30),"Tier D (Đóng băng)",IF(P470&gt;=85,"Tier S (Kim Cương: 85-100đ)",IF(P470&gt;=70,"Tier A (Vàng: 70-84đ)",IF(P470&gt;=61,"Tier B+ / Cấp A (Hot Lead: 61-69đ)",IF(P470&gt;=50,"Tier B (Bạc: 50-60đ)","Tier C (Đồng: 30-49đ)")))))</f>
        <v/>
      </c>
      <c r="R470" s="9" t="inlineStr">
        <is>
          <t>Trọn gói Take-Home Starter Kit V2/V3 (Cỏ nhân tạo + Khay Potty + Đồ chơi Teething/Snuggle)</t>
        </is>
      </c>
      <c r="S470" s="9" t="inlineStr">
        <is>
          <t>Cấp B Tiềm năng: Tiếp cận tự động qua chuỗi Email Marketing + Chăm sóc bổ sung bằng Telesale</t>
        </is>
      </c>
    </row>
    <row r="471">
      <c r="A471" s="53" t="n">
        <v>1914</v>
      </c>
      <c r="B471" s="12" t="inlineStr">
        <is>
          <t>Kennel White Rewyr</t>
        </is>
      </c>
      <c r="C471" s="54" t="inlineStr">
        <is>
          <t>https://www.facebook.com/WhiteRewyr</t>
        </is>
      </c>
      <c r="D471" s="6" t="inlineStr">
        <is>
          <t>Cần quét Bio Fanpage</t>
        </is>
      </c>
      <c r="E471" s="53" t="inlineStr">
        <is>
          <t>04/10/2026 00:39:14</t>
        </is>
      </c>
      <c r="F471" s="53" t="inlineStr">
        <is>
          <t>1 tuần trước</t>
        </is>
      </c>
      <c r="G471" s="55" t="n">
        <v>7</v>
      </c>
      <c r="H471" s="56" t="n">
        <v>20</v>
      </c>
      <c r="I471" s="6" t="inlineStr">
        <is>
          <t>Dog Breeder / Trại chó chuyên nghiệp (28-30đ)</t>
        </is>
      </c>
      <c r="J471" s="56" t="n">
        <v>30</v>
      </c>
      <c r="K471" s="6" t="inlineStr">
        <is>
          <t>Chưa rõ giống (Cần quét Bio)</t>
        </is>
      </c>
      <c r="L471" s="56" t="n">
        <v>0</v>
      </c>
      <c r="M471" s="56" t="n">
        <v>5</v>
      </c>
      <c r="N471" s="6" t="inlineStr">
        <is>
          <t>Amazon link not found</t>
        </is>
      </c>
      <c r="O471" s="56">
        <f>IF(N471="Selling pet toys + Artificial grass/Pet toilets (TARGET)",15,IF(N471="Selling artificial grass/pet toilets (TARGET)",10,IF(N471="Selling pet toys",7,IF(N471="There's an Amazon link, but no target sales.",3,0))))</f>
        <v/>
      </c>
      <c r="P471" s="65">
        <f>H471+J471+L471+M471+O471</f>
        <v/>
      </c>
      <c r="Q471" s="66">
        <f>IF(OR(H471=0,P471&lt;30),"Tier D (Đóng băng)",IF(P471&gt;=85,"Tier S (Kim Cương: 85-100đ)",IF(P471&gt;=70,"Tier A (Vàng: 70-84đ)",IF(P471&gt;=61,"Tier B+ / Cấp A (Hot Lead: 61-69đ)",IF(P471&gt;=50,"Tier B (Bạc: 50-60đ)","Tier C (Đồng: 30-49đ)")))))</f>
        <v/>
      </c>
      <c r="R471" s="6" t="inlineStr">
        <is>
          <t>Trọn gói Take-Home Starter Kit V2/V3 (Cỏ nhân tạo + Khay Potty + Đồ chơi Teething/Snuggle)</t>
        </is>
      </c>
      <c r="S471" s="6" t="inlineStr">
        <is>
          <t>Cấp B Tiềm năng: Tiếp cận tự động qua chuỗi Email Marketing + Chăm sóc bổ sung bằng Telesale</t>
        </is>
      </c>
    </row>
    <row r="472">
      <c r="A472" s="59" t="n">
        <v>112</v>
      </c>
      <c r="B472" s="15" t="inlineStr">
        <is>
          <t>Beaver Creek Kennels</t>
        </is>
      </c>
      <c r="C472" s="60" t="inlineStr">
        <is>
          <t>https://www.facebook.com/BeaverCreekKennels1</t>
        </is>
      </c>
      <c r="D472" s="9" t="inlineStr">
        <is>
          <t>Cần quét Bio Fanpage</t>
        </is>
      </c>
      <c r="E472" s="59" t="inlineStr">
        <is>
          <t>03/10/2026 01:59:35</t>
        </is>
      </c>
      <c r="F472" s="59" t="inlineStr">
        <is>
          <t>1 tuần trước</t>
        </is>
      </c>
      <c r="G472" s="61" t="n">
        <v>7</v>
      </c>
      <c r="H472" s="62" t="n">
        <v>20</v>
      </c>
      <c r="I472" s="9" t="inlineStr">
        <is>
          <t>Dog Breeder / Trại chó chuyên nghiệp (28-30đ)</t>
        </is>
      </c>
      <c r="J472" s="62" t="n">
        <v>30</v>
      </c>
      <c r="K472" s="9" t="inlineStr">
        <is>
          <t>Chưa rõ giống (Cần quét Bio)</t>
        </is>
      </c>
      <c r="L472" s="62" t="n">
        <v>0</v>
      </c>
      <c r="M472" s="62" t="n">
        <v>5</v>
      </c>
      <c r="N472" s="9" t="inlineStr">
        <is>
          <t>Amazon link not found</t>
        </is>
      </c>
      <c r="O472" s="62">
        <f>IF(N472="Selling pet toys + Artificial grass/Pet toilets (TARGET)",15,IF(N472="Selling artificial grass/pet toilets (TARGET)",10,IF(N472="Selling pet toys",7,IF(N472="There's an Amazon link, but no target sales.",3,0))))</f>
        <v/>
      </c>
      <c r="P472" s="67">
        <f>H472+J472+L472+M472+O472</f>
        <v/>
      </c>
      <c r="Q472" s="66">
        <f>IF(OR(H472=0,P472&lt;30),"Tier D (Đóng băng)",IF(P472&gt;=85,"Tier S (Kim Cương: 85-100đ)",IF(P472&gt;=70,"Tier A (Vàng: 70-84đ)",IF(P472&gt;=61,"Tier B+ / Cấp A (Hot Lead: 61-69đ)",IF(P472&gt;=50,"Tier B (Bạc: 50-60đ)","Tier C (Đồng: 30-49đ)")))))</f>
        <v/>
      </c>
      <c r="R472" s="9" t="inlineStr">
        <is>
          <t>Trọn gói Take-Home Starter Kit V2/V3 (Cỏ nhân tạo + Khay Potty + Đồ chơi Teething/Snuggle)</t>
        </is>
      </c>
      <c r="S472" s="9" t="inlineStr">
        <is>
          <t>Cấp B Tiềm năng: Tiếp cận tự động qua chuỗi Email Marketing + Chăm sóc bổ sung bằng Telesale</t>
        </is>
      </c>
    </row>
    <row r="473">
      <c r="A473" s="53" t="n">
        <v>3069</v>
      </c>
      <c r="B473" s="12" t="inlineStr">
        <is>
          <t>TDF Kennels</t>
        </is>
      </c>
      <c r="C473" s="54" t="inlineStr">
        <is>
          <t>https://www.facebook.com/tdfkennels</t>
        </is>
      </c>
      <c r="D473" s="6" t="inlineStr">
        <is>
          <t>Cần quét Bio Fanpage</t>
        </is>
      </c>
      <c r="E473" s="53" t="inlineStr">
        <is>
          <t>02/10/2026 23:24:34</t>
        </is>
      </c>
      <c r="F473" s="53" t="inlineStr">
        <is>
          <t>1 tuần trước</t>
        </is>
      </c>
      <c r="G473" s="55" t="n">
        <v>7</v>
      </c>
      <c r="H473" s="56" t="n">
        <v>20</v>
      </c>
      <c r="I473" s="6" t="inlineStr">
        <is>
          <t>Dog Breeder / Trại chó chuyên nghiệp (28-30đ)</t>
        </is>
      </c>
      <c r="J473" s="56" t="n">
        <v>30</v>
      </c>
      <c r="K473" s="6" t="inlineStr">
        <is>
          <t>Chưa rõ giống (Cần quét Bio)</t>
        </is>
      </c>
      <c r="L473" s="56" t="n">
        <v>0</v>
      </c>
      <c r="M473" s="56" t="n">
        <v>5</v>
      </c>
      <c r="N473" s="6" t="inlineStr">
        <is>
          <t>Amazon link not found</t>
        </is>
      </c>
      <c r="O473" s="56">
        <f>IF(N473="Selling pet toys + Artificial grass/Pet toilets (TARGET)",15,IF(N473="Selling artificial grass/pet toilets (TARGET)",10,IF(N473="Selling pet toys",7,IF(N473="There's an Amazon link, but no target sales.",3,0))))</f>
        <v/>
      </c>
      <c r="P473" s="65">
        <f>H473+J473+L473+M473+O473</f>
        <v/>
      </c>
      <c r="Q473" s="66">
        <f>IF(OR(H473=0,P473&lt;30),"Tier D (Đóng băng)",IF(P473&gt;=85,"Tier S (Kim Cương: 85-100đ)",IF(P473&gt;=70,"Tier A (Vàng: 70-84đ)",IF(P473&gt;=61,"Tier B+ / Cấp A (Hot Lead: 61-69đ)",IF(P473&gt;=50,"Tier B (Bạc: 50-60đ)","Tier C (Đồng: 30-49đ)")))))</f>
        <v/>
      </c>
      <c r="R473" s="6" t="inlineStr">
        <is>
          <t>Trọn gói Take-Home Starter Kit V2/V3 (Cỏ nhân tạo + Khay Potty + Đồ chơi Teething/Snuggle)</t>
        </is>
      </c>
      <c r="S473" s="6" t="inlineStr">
        <is>
          <t>Cấp B Tiềm năng: Tiếp cận tự động qua chuỗi Email Marketing + Chăm sóc bổ sung bằng Telesale</t>
        </is>
      </c>
    </row>
    <row r="474">
      <c r="A474" s="59" t="n">
        <v>3050</v>
      </c>
      <c r="B474" s="15" t="inlineStr">
        <is>
          <t>TAKE A BULL Kennel</t>
        </is>
      </c>
      <c r="C474" s="60" t="inlineStr">
        <is>
          <t>https://www.facebook.com/TAKEABULL</t>
        </is>
      </c>
      <c r="D474" s="9" t="inlineStr">
        <is>
          <t>Cần quét Bio Fanpage</t>
        </is>
      </c>
      <c r="E474" s="59" t="inlineStr">
        <is>
          <t>02/10/2026 23:00:10</t>
        </is>
      </c>
      <c r="F474" s="59" t="inlineStr">
        <is>
          <t>1 tuần trước</t>
        </is>
      </c>
      <c r="G474" s="61" t="n">
        <v>7</v>
      </c>
      <c r="H474" s="62" t="n">
        <v>20</v>
      </c>
      <c r="I474" s="9" t="inlineStr">
        <is>
          <t>Dog Breeder / Trại chó chuyên nghiệp (28-30đ)</t>
        </is>
      </c>
      <c r="J474" s="62" t="n">
        <v>30</v>
      </c>
      <c r="K474" s="9" t="inlineStr">
        <is>
          <t>Chưa rõ giống (Cần quét Bio)</t>
        </is>
      </c>
      <c r="L474" s="62" t="n">
        <v>0</v>
      </c>
      <c r="M474" s="62" t="n">
        <v>5</v>
      </c>
      <c r="N474" s="9" t="inlineStr">
        <is>
          <t>Amazon link not found</t>
        </is>
      </c>
      <c r="O474" s="62">
        <f>IF(N474="Selling pet toys + Artificial grass/Pet toilets (TARGET)",15,IF(N474="Selling artificial grass/pet toilets (TARGET)",10,IF(N474="Selling pet toys",7,IF(N474="There's an Amazon link, but no target sales.",3,0))))</f>
        <v/>
      </c>
      <c r="P474" s="67">
        <f>H474+J474+L474+M474+O474</f>
        <v/>
      </c>
      <c r="Q474" s="66">
        <f>IF(OR(H474=0,P474&lt;30),"Tier D (Đóng băng)",IF(P474&gt;=85,"Tier S (Kim Cương: 85-100đ)",IF(P474&gt;=70,"Tier A (Vàng: 70-84đ)",IF(P474&gt;=61,"Tier B+ / Cấp A (Hot Lead: 61-69đ)",IF(P474&gt;=50,"Tier B (Bạc: 50-60đ)","Tier C (Đồng: 30-49đ)")))))</f>
        <v/>
      </c>
      <c r="R474" s="9" t="inlineStr">
        <is>
          <t>Trọn gói Take-Home Starter Kit V2/V3 (Cỏ nhân tạo + Khay Potty + Đồ chơi Teething/Snuggle)</t>
        </is>
      </c>
      <c r="S474" s="9" t="inlineStr">
        <is>
          <t>Cấp B Tiềm năng: Tiếp cận tự động qua chuỗi Email Marketing + Chăm sóc bổ sung bằng Telesale</t>
        </is>
      </c>
    </row>
    <row r="475">
      <c r="A475" s="53" t="n">
        <v>1865</v>
      </c>
      <c r="B475" s="12" t="inlineStr">
        <is>
          <t>Kennel "Grande Somiso" Mastino Napoletano</t>
        </is>
      </c>
      <c r="C475" s="54" t="inlineStr">
        <is>
          <t>https://www.facebook.com/robulfedorkennel</t>
        </is>
      </c>
      <c r="D475" s="6" t="inlineStr">
        <is>
          <t>Cần quét Bio Fanpage</t>
        </is>
      </c>
      <c r="E475" s="53" t="inlineStr">
        <is>
          <t>02/10/2026 21:42:23</t>
        </is>
      </c>
      <c r="F475" s="53" t="inlineStr">
        <is>
          <t>1 tuần trước</t>
        </is>
      </c>
      <c r="G475" s="55" t="n">
        <v>7</v>
      </c>
      <c r="H475" s="56" t="n">
        <v>20</v>
      </c>
      <c r="I475" s="6" t="inlineStr">
        <is>
          <t>Dog Breeder / Trại chó chuyên nghiệp (28-30đ)</t>
        </is>
      </c>
      <c r="J475" s="56" t="n">
        <v>30</v>
      </c>
      <c r="K475" s="6" t="inlineStr">
        <is>
          <t>Chưa rõ giống (Cần quét Bio)</t>
        </is>
      </c>
      <c r="L475" s="56" t="n">
        <v>0</v>
      </c>
      <c r="M475" s="56" t="n">
        <v>5</v>
      </c>
      <c r="N475" s="6" t="inlineStr">
        <is>
          <t>Amazon link not found</t>
        </is>
      </c>
      <c r="O475" s="56">
        <f>IF(N475="Selling pet toys + Artificial grass/Pet toilets (TARGET)",15,IF(N475="Selling artificial grass/pet toilets (TARGET)",10,IF(N475="Selling pet toys",7,IF(N475="There's an Amazon link, but no target sales.",3,0))))</f>
        <v/>
      </c>
      <c r="P475" s="65">
        <f>H475+J475+L475+M475+O475</f>
        <v/>
      </c>
      <c r="Q475" s="66">
        <f>IF(OR(H475=0,P475&lt;30),"Tier D (Đóng băng)",IF(P475&gt;=85,"Tier S (Kim Cương: 85-100đ)",IF(P475&gt;=70,"Tier A (Vàng: 70-84đ)",IF(P475&gt;=61,"Tier B+ / Cấp A (Hot Lead: 61-69đ)",IF(P475&gt;=50,"Tier B (Bạc: 50-60đ)","Tier C (Đồng: 30-49đ)")))))</f>
        <v/>
      </c>
      <c r="R475" s="6" t="inlineStr">
        <is>
          <t>Trọn gói Take-Home Starter Kit V2/V3 (Cỏ nhân tạo + Khay Potty + Đồ chơi Teething/Snuggle)</t>
        </is>
      </c>
      <c r="S475" s="6" t="inlineStr">
        <is>
          <t>Cấp B Tiềm năng: Tiếp cận tự động qua chuỗi Email Marketing + Chăm sóc bổ sung bằng Telesale</t>
        </is>
      </c>
    </row>
    <row r="476">
      <c r="A476" s="59" t="n">
        <v>322</v>
      </c>
      <c r="B476" s="15" t="inlineStr">
        <is>
          <t>Aavistuksen kennel</t>
        </is>
      </c>
      <c r="C476" s="60" t="inlineStr">
        <is>
          <t>https://www.facebook.com/Aavistuksen.kennel</t>
        </is>
      </c>
      <c r="D476" s="9" t="inlineStr">
        <is>
          <t>Cần quét Bio Fanpage</t>
        </is>
      </c>
      <c r="E476" s="59" t="inlineStr">
        <is>
          <t>02/10/2026 13:26:23</t>
        </is>
      </c>
      <c r="F476" s="59" t="inlineStr">
        <is>
          <t>1 tuần trước</t>
        </is>
      </c>
      <c r="G476" s="61" t="n">
        <v>7</v>
      </c>
      <c r="H476" s="62" t="n">
        <v>20</v>
      </c>
      <c r="I476" s="9" t="inlineStr">
        <is>
          <t>Dog Breeder / Trại chó chuyên nghiệp (28-30đ)</t>
        </is>
      </c>
      <c r="J476" s="62" t="n">
        <v>30</v>
      </c>
      <c r="K476" s="9" t="inlineStr">
        <is>
          <t>Chưa rõ giống (Cần quét Bio)</t>
        </is>
      </c>
      <c r="L476" s="62" t="n">
        <v>0</v>
      </c>
      <c r="M476" s="62" t="n">
        <v>5</v>
      </c>
      <c r="N476" s="9" t="inlineStr">
        <is>
          <t>Amazon link not found</t>
        </is>
      </c>
      <c r="O476" s="62">
        <f>IF(N476="Selling pet toys + Artificial grass/Pet toilets (TARGET)",15,IF(N476="Selling artificial grass/pet toilets (TARGET)",10,IF(N476="Selling pet toys",7,IF(N476="There's an Amazon link, but no target sales.",3,0))))</f>
        <v/>
      </c>
      <c r="P476" s="67">
        <f>H476+J476+L476+M476+O476</f>
        <v/>
      </c>
      <c r="Q476" s="66">
        <f>IF(OR(H476=0,P476&lt;30),"Tier D (Đóng băng)",IF(P476&gt;=85,"Tier S (Kim Cương: 85-100đ)",IF(P476&gt;=70,"Tier A (Vàng: 70-84đ)",IF(P476&gt;=61,"Tier B+ / Cấp A (Hot Lead: 61-69đ)",IF(P476&gt;=50,"Tier B (Bạc: 50-60đ)","Tier C (Đồng: 30-49đ)")))))</f>
        <v/>
      </c>
      <c r="R476" s="9" t="inlineStr">
        <is>
          <t>Trọn gói Take-Home Starter Kit V2/V3 (Cỏ nhân tạo + Khay Potty + Đồ chơi Teething/Snuggle)</t>
        </is>
      </c>
      <c r="S476" s="9" t="inlineStr">
        <is>
          <t>Cấp B Tiềm năng: Tiếp cận tự động qua chuỗi Email Marketing + Chăm sóc bổ sung bằng Telesale</t>
        </is>
      </c>
    </row>
    <row r="477">
      <c r="A477" s="53" t="n">
        <v>3369</v>
      </c>
      <c r="B477" s="12" t="inlineStr">
        <is>
          <t>Walton Kennels  (Marathon Riders)</t>
        </is>
      </c>
      <c r="C477" s="54" t="inlineStr">
        <is>
          <t>https://www.facebook.com/waltonkennnels</t>
        </is>
      </c>
      <c r="D477" s="6" t="inlineStr">
        <is>
          <t>Cần quét Bio Fanpage</t>
        </is>
      </c>
      <c r="E477" s="53" t="inlineStr">
        <is>
          <t>02/10/2026 10:32:38</t>
        </is>
      </c>
      <c r="F477" s="53" t="inlineStr">
        <is>
          <t>1 tuần trước</t>
        </is>
      </c>
      <c r="G477" s="55" t="n">
        <v>7</v>
      </c>
      <c r="H477" s="56" t="n">
        <v>20</v>
      </c>
      <c r="I477" s="6" t="inlineStr">
        <is>
          <t>Dog Breeder / Trại chó chuyên nghiệp (28-30đ)</t>
        </is>
      </c>
      <c r="J477" s="56" t="n">
        <v>30</v>
      </c>
      <c r="K477" s="6" t="inlineStr">
        <is>
          <t>Chưa rõ giống (Cần quét Bio)</t>
        </is>
      </c>
      <c r="L477" s="56" t="n">
        <v>0</v>
      </c>
      <c r="M477" s="56" t="n">
        <v>5</v>
      </c>
      <c r="N477" s="6" t="inlineStr">
        <is>
          <t>Amazon link not found</t>
        </is>
      </c>
      <c r="O477" s="56">
        <f>IF(N477="Selling pet toys + Artificial grass/Pet toilets (TARGET)",15,IF(N477="Selling artificial grass/pet toilets (TARGET)",10,IF(N477="Selling pet toys",7,IF(N477="There's an Amazon link, but no target sales.",3,0))))</f>
        <v/>
      </c>
      <c r="P477" s="65">
        <f>H477+J477+L477+M477+O477</f>
        <v/>
      </c>
      <c r="Q477" s="66">
        <f>IF(OR(H477=0,P477&lt;30),"Tier D (Đóng băng)",IF(P477&gt;=85,"Tier S (Kim Cương: 85-100đ)",IF(P477&gt;=70,"Tier A (Vàng: 70-84đ)",IF(P477&gt;=61,"Tier B+ / Cấp A (Hot Lead: 61-69đ)",IF(P477&gt;=50,"Tier B (Bạc: 50-60đ)","Tier C (Đồng: 30-49đ)")))))</f>
        <v/>
      </c>
      <c r="R477" s="6" t="inlineStr">
        <is>
          <t>Trọn gói Take-Home Starter Kit V2/V3 (Cỏ nhân tạo + Khay Potty + Đồ chơi Teething/Snuggle)</t>
        </is>
      </c>
      <c r="S477" s="6" t="inlineStr">
        <is>
          <t>Cấp B Tiềm năng: Tiếp cận tự động qua chuỗi Email Marketing + Chăm sóc bổ sung bằng Telesale</t>
        </is>
      </c>
    </row>
    <row r="478">
      <c r="A478" s="59" t="n">
        <v>1970</v>
      </c>
      <c r="B478" s="15" t="inlineStr">
        <is>
          <t>Lady Darling Puppies</t>
        </is>
      </c>
      <c r="C478" s="60" t="inlineStr">
        <is>
          <t>https://www.facebook.com/LadyDarlingPuppies</t>
        </is>
      </c>
      <c r="D478" s="9" t="inlineStr">
        <is>
          <t>Cần quét Bio Fanpage</t>
        </is>
      </c>
      <c r="E478" s="59" t="inlineStr">
        <is>
          <t>02/10/2026 06:02:58</t>
        </is>
      </c>
      <c r="F478" s="59" t="inlineStr">
        <is>
          <t>1 tuần trước</t>
        </is>
      </c>
      <c r="G478" s="61" t="n">
        <v>7</v>
      </c>
      <c r="H478" s="62" t="n">
        <v>20</v>
      </c>
      <c r="I478" s="9" t="inlineStr">
        <is>
          <t>Dog Breeder / Trại chó chuyên nghiệp (28-30đ)</t>
        </is>
      </c>
      <c r="J478" s="62" t="n">
        <v>30</v>
      </c>
      <c r="K478" s="9" t="inlineStr">
        <is>
          <t>Chưa rõ giống (Cần quét Bio)</t>
        </is>
      </c>
      <c r="L478" s="62" t="n">
        <v>0</v>
      </c>
      <c r="M478" s="62" t="n">
        <v>5</v>
      </c>
      <c r="N478" s="9" t="inlineStr">
        <is>
          <t>Amazon link not found</t>
        </is>
      </c>
      <c r="O478" s="62">
        <f>IF(N478="Selling pet toys + Artificial grass/Pet toilets (TARGET)",15,IF(N478="Selling artificial grass/pet toilets (TARGET)",10,IF(N478="Selling pet toys",7,IF(N478="There's an Amazon link, but no target sales.",3,0))))</f>
        <v/>
      </c>
      <c r="P478" s="67">
        <f>H478+J478+L478+M478+O478</f>
        <v/>
      </c>
      <c r="Q478" s="66">
        <f>IF(OR(H478=0,P478&lt;30),"Tier D (Đóng băng)",IF(P478&gt;=85,"Tier S (Kim Cương: 85-100đ)",IF(P478&gt;=70,"Tier A (Vàng: 70-84đ)",IF(P478&gt;=61,"Tier B+ / Cấp A (Hot Lead: 61-69đ)",IF(P478&gt;=50,"Tier B (Bạc: 50-60đ)","Tier C (Đồng: 30-49đ)")))))</f>
        <v/>
      </c>
      <c r="R478" s="9" t="inlineStr">
        <is>
          <t>Trọn gói Take-Home Starter Kit V2/V3 (Cỏ nhân tạo + Khay Potty + Đồ chơi Teething/Snuggle)</t>
        </is>
      </c>
      <c r="S478" s="9" t="inlineStr">
        <is>
          <t>Cấp B Tiềm năng: Tiếp cận tự động qua chuỗi Email Marketing + Chăm sóc bổ sung bằng Telesale</t>
        </is>
      </c>
    </row>
    <row r="479">
      <c r="A479" s="53" t="n">
        <v>2892</v>
      </c>
      <c r="B479" s="12" t="inlineStr">
        <is>
          <t>Shylo Star Kennels</t>
        </is>
      </c>
      <c r="C479" s="54" t="inlineStr">
        <is>
          <t>https://www.facebook.com/shylostar</t>
        </is>
      </c>
      <c r="D479" s="6" t="inlineStr">
        <is>
          <t>Cần quét Bio Fanpage</t>
        </is>
      </c>
      <c r="E479" s="53" t="inlineStr">
        <is>
          <t>02/10/2026 01:08:56</t>
        </is>
      </c>
      <c r="F479" s="53" t="inlineStr">
        <is>
          <t>1 tuần trước</t>
        </is>
      </c>
      <c r="G479" s="55" t="n">
        <v>7</v>
      </c>
      <c r="H479" s="56" t="n">
        <v>20</v>
      </c>
      <c r="I479" s="6" t="inlineStr">
        <is>
          <t>Dog Breeder / Trại chó chuyên nghiệp (28-30đ)</t>
        </is>
      </c>
      <c r="J479" s="56" t="n">
        <v>30</v>
      </c>
      <c r="K479" s="6" t="inlineStr">
        <is>
          <t>Chưa rõ giống (Cần quét Bio)</t>
        </is>
      </c>
      <c r="L479" s="56" t="n">
        <v>0</v>
      </c>
      <c r="M479" s="56" t="n">
        <v>5</v>
      </c>
      <c r="N479" s="6" t="inlineStr">
        <is>
          <t>Amazon link not found</t>
        </is>
      </c>
      <c r="O479" s="56">
        <f>IF(N479="Selling pet toys + Artificial grass/Pet toilets (TARGET)",15,IF(N479="Selling artificial grass/pet toilets (TARGET)",10,IF(N479="Selling pet toys",7,IF(N479="There's an Amazon link, but no target sales.",3,0))))</f>
        <v/>
      </c>
      <c r="P479" s="65">
        <f>H479+J479+L479+M479+O479</f>
        <v/>
      </c>
      <c r="Q479" s="66">
        <f>IF(OR(H479=0,P479&lt;30),"Tier D (Đóng băng)",IF(P479&gt;=85,"Tier S (Kim Cương: 85-100đ)",IF(P479&gt;=70,"Tier A (Vàng: 70-84đ)",IF(P479&gt;=61,"Tier B+ / Cấp A (Hot Lead: 61-69đ)",IF(P479&gt;=50,"Tier B (Bạc: 50-60đ)","Tier C (Đồng: 30-49đ)")))))</f>
        <v/>
      </c>
      <c r="R479" s="6" t="inlineStr">
        <is>
          <t>Trọn gói Take-Home Starter Kit V2/V3 (Cỏ nhân tạo + Khay Potty + Đồ chơi Teething/Snuggle)</t>
        </is>
      </c>
      <c r="S479" s="6" t="inlineStr">
        <is>
          <t>Cấp B Tiềm năng: Tiếp cận tự động qua chuỗi Email Marketing + Chăm sóc bổ sung bằng Telesale</t>
        </is>
      </c>
    </row>
    <row r="480">
      <c r="A480" s="59" t="n">
        <v>1871</v>
      </c>
      <c r="B480" s="15" t="inlineStr">
        <is>
          <t>Kennel Baltiyskiy Talisman</t>
        </is>
      </c>
      <c r="C480" s="60" t="inlineStr">
        <is>
          <t>https://www.facebook.com/dlyayulii</t>
        </is>
      </c>
      <c r="D480" s="9" t="inlineStr">
        <is>
          <t>Cần quét Bio Fanpage</t>
        </is>
      </c>
      <c r="E480" s="59" t="inlineStr">
        <is>
          <t>30/09/2026 16:24:06</t>
        </is>
      </c>
      <c r="F480" s="59" t="inlineStr">
        <is>
          <t>1 tuần trước</t>
        </is>
      </c>
      <c r="G480" s="61" t="n">
        <v>7</v>
      </c>
      <c r="H480" s="62" t="n">
        <v>20</v>
      </c>
      <c r="I480" s="9" t="inlineStr">
        <is>
          <t>Dog Breeder / Trại chó chuyên nghiệp (28-30đ)</t>
        </is>
      </c>
      <c r="J480" s="62" t="n">
        <v>30</v>
      </c>
      <c r="K480" s="9" t="inlineStr">
        <is>
          <t>Chưa rõ giống (Cần quét Bio)</t>
        </is>
      </c>
      <c r="L480" s="62" t="n">
        <v>0</v>
      </c>
      <c r="M480" s="62" t="n">
        <v>5</v>
      </c>
      <c r="N480" s="9" t="inlineStr">
        <is>
          <t>Amazon link not found</t>
        </is>
      </c>
      <c r="O480" s="62">
        <f>IF(N480="Selling pet toys + Artificial grass/Pet toilets (TARGET)",15,IF(N480="Selling artificial grass/pet toilets (TARGET)",10,IF(N480="Selling pet toys",7,IF(N480="There's an Amazon link, but no target sales.",3,0))))</f>
        <v/>
      </c>
      <c r="P480" s="67">
        <f>H480+J480+L480+M480+O480</f>
        <v/>
      </c>
      <c r="Q480" s="66">
        <f>IF(OR(H480=0,P480&lt;30),"Tier D (Đóng băng)",IF(P480&gt;=85,"Tier S (Kim Cương: 85-100đ)",IF(P480&gt;=70,"Tier A (Vàng: 70-84đ)",IF(P480&gt;=61,"Tier B+ / Cấp A (Hot Lead: 61-69đ)",IF(P480&gt;=50,"Tier B (Bạc: 50-60đ)","Tier C (Đồng: 30-49đ)")))))</f>
        <v/>
      </c>
      <c r="R480" s="9" t="inlineStr">
        <is>
          <t>Trọn gói Take-Home Starter Kit V2/V3 (Cỏ nhân tạo + Khay Potty + Đồ chơi Teething/Snuggle)</t>
        </is>
      </c>
      <c r="S480" s="9" t="inlineStr">
        <is>
          <t>Cấp B Tiềm năng: Tiếp cận tự động qua chuỗi Email Marketing + Chăm sóc bổ sung bằng Telesale</t>
        </is>
      </c>
    </row>
    <row r="481">
      <c r="A481" s="53" t="n">
        <v>2787</v>
      </c>
      <c r="B481" s="12" t="inlineStr">
        <is>
          <t>Royal Pacific Kennels</t>
        </is>
      </c>
      <c r="C481" s="54" t="inlineStr">
        <is>
          <t>https://www.facebook.com/royalpacifickennels</t>
        </is>
      </c>
      <c r="D481" s="6" t="inlineStr">
        <is>
          <t>Cần quét Bio Fanpage</t>
        </is>
      </c>
      <c r="E481" s="53" t="inlineStr">
        <is>
          <t>30/09/2026 12:58:31</t>
        </is>
      </c>
      <c r="F481" s="53" t="inlineStr">
        <is>
          <t>1 tuần trước</t>
        </is>
      </c>
      <c r="G481" s="55" t="n">
        <v>7</v>
      </c>
      <c r="H481" s="56" t="n">
        <v>20</v>
      </c>
      <c r="I481" s="6" t="inlineStr">
        <is>
          <t>Dog Breeder / Trại chó chuyên nghiệp (28-30đ)</t>
        </is>
      </c>
      <c r="J481" s="56" t="n">
        <v>30</v>
      </c>
      <c r="K481" s="6" t="inlineStr">
        <is>
          <t>Chưa rõ giống (Cần quét Bio)</t>
        </is>
      </c>
      <c r="L481" s="56" t="n">
        <v>0</v>
      </c>
      <c r="M481" s="56" t="n">
        <v>5</v>
      </c>
      <c r="N481" s="6" t="inlineStr">
        <is>
          <t>Amazon link not found</t>
        </is>
      </c>
      <c r="O481" s="56">
        <f>IF(N481="Selling pet toys + Artificial grass/Pet toilets (TARGET)",15,IF(N481="Selling artificial grass/pet toilets (TARGET)",10,IF(N481="Selling pet toys",7,IF(N481="There's an Amazon link, but no target sales.",3,0))))</f>
        <v/>
      </c>
      <c r="P481" s="65">
        <f>H481+J481+L481+M481+O481</f>
        <v/>
      </c>
      <c r="Q481" s="66">
        <f>IF(OR(H481=0,P481&lt;30),"Tier D (Đóng băng)",IF(P481&gt;=85,"Tier S (Kim Cương: 85-100đ)",IF(P481&gt;=70,"Tier A (Vàng: 70-84đ)",IF(P481&gt;=61,"Tier B+ / Cấp A (Hot Lead: 61-69đ)",IF(P481&gt;=50,"Tier B (Bạc: 50-60đ)","Tier C (Đồng: 30-49đ)")))))</f>
        <v/>
      </c>
      <c r="R481" s="6" t="inlineStr">
        <is>
          <t>Trọn gói Take-Home Starter Kit V2/V3 (Cỏ nhân tạo + Khay Potty + Đồ chơi Teething/Snuggle)</t>
        </is>
      </c>
      <c r="S481" s="6" t="inlineStr">
        <is>
          <t>Cấp B Tiềm năng: Tiếp cận tự động qua chuỗi Email Marketing + Chăm sóc bổ sung bằng Telesale</t>
        </is>
      </c>
    </row>
    <row r="482">
      <c r="A482" s="59" t="n">
        <v>2764</v>
      </c>
      <c r="B482" s="15" t="inlineStr">
        <is>
          <t>Robmond Kennels</t>
        </is>
      </c>
      <c r="C482" s="60" t="inlineStr">
        <is>
          <t>https://www.facebook.com/robmondkennels</t>
        </is>
      </c>
      <c r="D482" s="9" t="inlineStr">
        <is>
          <t>Cần quét Bio Fanpage</t>
        </is>
      </c>
      <c r="E482" s="59" t="inlineStr">
        <is>
          <t>30/09/2026 12:55:30</t>
        </is>
      </c>
      <c r="F482" s="59" t="inlineStr">
        <is>
          <t>1 tuần trước</t>
        </is>
      </c>
      <c r="G482" s="61" t="n">
        <v>7</v>
      </c>
      <c r="H482" s="62" t="n">
        <v>20</v>
      </c>
      <c r="I482" s="9" t="inlineStr">
        <is>
          <t>Dog Breeder / Trại chó chuyên nghiệp (28-30đ)</t>
        </is>
      </c>
      <c r="J482" s="62" t="n">
        <v>30</v>
      </c>
      <c r="K482" s="9" t="inlineStr">
        <is>
          <t>Chưa rõ giống (Cần quét Bio)</t>
        </is>
      </c>
      <c r="L482" s="62" t="n">
        <v>0</v>
      </c>
      <c r="M482" s="62" t="n">
        <v>5</v>
      </c>
      <c r="N482" s="9" t="inlineStr">
        <is>
          <t>Amazon link not found</t>
        </is>
      </c>
      <c r="O482" s="62">
        <f>IF(N482="Selling pet toys + Artificial grass/Pet toilets (TARGET)",15,IF(N482="Selling artificial grass/pet toilets (TARGET)",10,IF(N482="Selling pet toys",7,IF(N482="There's an Amazon link, but no target sales.",3,0))))</f>
        <v/>
      </c>
      <c r="P482" s="67">
        <f>H482+J482+L482+M482+O482</f>
        <v/>
      </c>
      <c r="Q482" s="66">
        <f>IF(OR(H482=0,P482&lt;30),"Tier D (Đóng băng)",IF(P482&gt;=85,"Tier S (Kim Cương: 85-100đ)",IF(P482&gt;=70,"Tier A (Vàng: 70-84đ)",IF(P482&gt;=61,"Tier B+ / Cấp A (Hot Lead: 61-69đ)",IF(P482&gt;=50,"Tier B (Bạc: 50-60đ)","Tier C (Đồng: 30-49đ)")))))</f>
        <v/>
      </c>
      <c r="R482" s="9" t="inlineStr">
        <is>
          <t>Trọn gói Take-Home Starter Kit V2/V3 (Cỏ nhân tạo + Khay Potty + Đồ chơi Teething/Snuggle)</t>
        </is>
      </c>
      <c r="S482" s="9" t="inlineStr">
        <is>
          <t>Cấp B Tiềm năng: Tiếp cận tự động qua chuỗi Email Marketing + Chăm sóc bổ sung bằng Telesale</t>
        </is>
      </c>
    </row>
    <row r="483">
      <c r="A483" s="53" t="n">
        <v>1892</v>
      </c>
      <c r="B483" s="12" t="inlineStr">
        <is>
          <t>Kennel Legend Kelixa</t>
        </is>
      </c>
      <c r="C483" s="54" t="inlineStr">
        <is>
          <t>https://www.facebook.com/KennelLegendKelixa</t>
        </is>
      </c>
      <c r="D483" s="6" t="inlineStr">
        <is>
          <t>Cần quét Bio Fanpage</t>
        </is>
      </c>
      <c r="E483" s="53" t="inlineStr">
        <is>
          <t>30/09/2026 01:37:12</t>
        </is>
      </c>
      <c r="F483" s="53" t="inlineStr">
        <is>
          <t>1 tuần trước</t>
        </is>
      </c>
      <c r="G483" s="55" t="n">
        <v>7</v>
      </c>
      <c r="H483" s="56" t="n">
        <v>20</v>
      </c>
      <c r="I483" s="6" t="inlineStr">
        <is>
          <t>Dog Breeder / Trại chó chuyên nghiệp (28-30đ)</t>
        </is>
      </c>
      <c r="J483" s="56" t="n">
        <v>30</v>
      </c>
      <c r="K483" s="6" t="inlineStr">
        <is>
          <t>Chưa rõ giống (Cần quét Bio)</t>
        </is>
      </c>
      <c r="L483" s="56" t="n">
        <v>0</v>
      </c>
      <c r="M483" s="56" t="n">
        <v>5</v>
      </c>
      <c r="N483" s="6" t="inlineStr">
        <is>
          <t>Amazon link not found</t>
        </is>
      </c>
      <c r="O483" s="56">
        <f>IF(N483="Selling pet toys + Artificial grass/Pet toilets (TARGET)",15,IF(N483="Selling artificial grass/pet toilets (TARGET)",10,IF(N483="Selling pet toys",7,IF(N483="There's an Amazon link, but no target sales.",3,0))))</f>
        <v/>
      </c>
      <c r="P483" s="65">
        <f>H483+J483+L483+M483+O483</f>
        <v/>
      </c>
      <c r="Q483" s="66">
        <f>IF(OR(H483=0,P483&lt;30),"Tier D (Đóng băng)",IF(P483&gt;=85,"Tier S (Kim Cương: 85-100đ)",IF(P483&gt;=70,"Tier A (Vàng: 70-84đ)",IF(P483&gt;=61,"Tier B+ / Cấp A (Hot Lead: 61-69đ)",IF(P483&gt;=50,"Tier B (Bạc: 50-60đ)","Tier C (Đồng: 30-49đ)")))))</f>
        <v/>
      </c>
      <c r="R483" s="6" t="inlineStr">
        <is>
          <t>Trọn gói Take-Home Starter Kit V2/V3 (Cỏ nhân tạo + Khay Potty + Đồ chơi Teething/Snuggle)</t>
        </is>
      </c>
      <c r="S483" s="6" t="inlineStr">
        <is>
          <t>Cấp B Tiềm năng: Tiếp cận tự động qua chuỗi Email Marketing + Chăm sóc bổ sung bằng Telesale</t>
        </is>
      </c>
    </row>
    <row r="484">
      <c r="A484" s="59" t="n">
        <v>3104</v>
      </c>
      <c r="B484" s="15" t="inlineStr">
        <is>
          <t>The Dog Kennel Collection</t>
        </is>
      </c>
      <c r="C484" s="60" t="inlineStr">
        <is>
          <t>https://www.facebook.com/dogkennelcollection</t>
        </is>
      </c>
      <c r="D484" s="9" t="inlineStr">
        <is>
          <t>Cần quét Bio Fanpage</t>
        </is>
      </c>
      <c r="E484" s="59" t="inlineStr">
        <is>
          <t>29/09/2026 22:46:00</t>
        </is>
      </c>
      <c r="F484" s="59" t="inlineStr">
        <is>
          <t>1 tuần trước</t>
        </is>
      </c>
      <c r="G484" s="61" t="n">
        <v>7</v>
      </c>
      <c r="H484" s="62" t="n">
        <v>20</v>
      </c>
      <c r="I484" s="9" t="inlineStr">
        <is>
          <t>Dog Breeder / Trại chó chuyên nghiệp (28-30đ)</t>
        </is>
      </c>
      <c r="J484" s="62" t="n">
        <v>30</v>
      </c>
      <c r="K484" s="9" t="inlineStr">
        <is>
          <t>Chưa rõ giống (Cần quét Bio)</t>
        </is>
      </c>
      <c r="L484" s="62" t="n">
        <v>0</v>
      </c>
      <c r="M484" s="62" t="n">
        <v>5</v>
      </c>
      <c r="N484" s="9" t="inlineStr">
        <is>
          <t>Amazon link not found</t>
        </is>
      </c>
      <c r="O484" s="62">
        <f>IF(N484="Selling pet toys + Artificial grass/Pet toilets (TARGET)",15,IF(N484="Selling artificial grass/pet toilets (TARGET)",10,IF(N484="Selling pet toys",7,IF(N484="There's an Amazon link, but no target sales.",3,0))))</f>
        <v/>
      </c>
      <c r="P484" s="67">
        <f>H484+J484+L484+M484+O484</f>
        <v/>
      </c>
      <c r="Q484" s="66">
        <f>IF(OR(H484=0,P484&lt;30),"Tier D (Đóng băng)",IF(P484&gt;=85,"Tier S (Kim Cương: 85-100đ)",IF(P484&gt;=70,"Tier A (Vàng: 70-84đ)",IF(P484&gt;=61,"Tier B+ / Cấp A (Hot Lead: 61-69đ)",IF(P484&gt;=50,"Tier B (Bạc: 50-60đ)","Tier C (Đồng: 30-49đ)")))))</f>
        <v/>
      </c>
      <c r="R484" s="9" t="inlineStr">
        <is>
          <t>Trọn gói Take-Home Starter Kit V2/V3 (Cỏ nhân tạo + Khay Potty + Đồ chơi Teething/Snuggle)</t>
        </is>
      </c>
      <c r="S484" s="9" t="inlineStr">
        <is>
          <t>Cấp B Tiềm năng: Tiếp cận tự động qua chuỗi Email Marketing + Chăm sóc bổ sung bằng Telesale</t>
        </is>
      </c>
    </row>
    <row r="485">
      <c r="A485" s="53" t="n">
        <v>1231</v>
      </c>
      <c r="B485" s="12" t="inlineStr">
        <is>
          <t>Driftwood Kennel</t>
        </is>
      </c>
      <c r="C485" s="54" t="inlineStr">
        <is>
          <t>https://www.facebook.com/DriftwoodKennel</t>
        </is>
      </c>
      <c r="D485" s="6" t="inlineStr">
        <is>
          <t>Cần quét Bio Fanpage</t>
        </is>
      </c>
      <c r="E485" s="53" t="inlineStr">
        <is>
          <t>29/09/2026 09:35:37</t>
        </is>
      </c>
      <c r="F485" s="53" t="inlineStr">
        <is>
          <t>1 tuần trước</t>
        </is>
      </c>
      <c r="G485" s="55" t="n">
        <v>7</v>
      </c>
      <c r="H485" s="56" t="n">
        <v>20</v>
      </c>
      <c r="I485" s="6" t="inlineStr">
        <is>
          <t>Dog Breeder / Trại chó chuyên nghiệp (28-30đ)</t>
        </is>
      </c>
      <c r="J485" s="56" t="n">
        <v>30</v>
      </c>
      <c r="K485" s="6" t="inlineStr">
        <is>
          <t>Chưa rõ giống (Cần quét Bio)</t>
        </is>
      </c>
      <c r="L485" s="56" t="n">
        <v>0</v>
      </c>
      <c r="M485" s="56" t="n">
        <v>5</v>
      </c>
      <c r="N485" s="6" t="inlineStr">
        <is>
          <t>Amazon link not found</t>
        </is>
      </c>
      <c r="O485" s="56">
        <f>IF(N485="Selling pet toys + Artificial grass/Pet toilets (TARGET)",15,IF(N485="Selling artificial grass/pet toilets (TARGET)",10,IF(N485="Selling pet toys",7,IF(N485="There's an Amazon link, but no target sales.",3,0))))</f>
        <v/>
      </c>
      <c r="P485" s="65">
        <f>H485+J485+L485+M485+O485</f>
        <v/>
      </c>
      <c r="Q485" s="66">
        <f>IF(OR(H485=0,P485&lt;30),"Tier D (Đóng băng)",IF(P485&gt;=85,"Tier S (Kim Cương: 85-100đ)",IF(P485&gt;=70,"Tier A (Vàng: 70-84đ)",IF(P485&gt;=61,"Tier B+ / Cấp A (Hot Lead: 61-69đ)",IF(P485&gt;=50,"Tier B (Bạc: 50-60đ)","Tier C (Đồng: 30-49đ)")))))</f>
        <v/>
      </c>
      <c r="R485" s="6" t="inlineStr">
        <is>
          <t>Trọn gói Take-Home Starter Kit V2/V3 (Cỏ nhân tạo + Khay Potty + Đồ chơi Teething/Snuggle)</t>
        </is>
      </c>
      <c r="S485" s="6" t="inlineStr">
        <is>
          <t>Cấp B Tiềm năng: Tiếp cận tự động qua chuỗi Email Marketing + Chăm sóc bổ sung bằng Telesale</t>
        </is>
      </c>
    </row>
    <row r="486">
      <c r="A486" s="59" t="n">
        <v>2813</v>
      </c>
      <c r="B486" s="15" t="inlineStr">
        <is>
          <t>Salhia St. Bernard Kennels</t>
        </is>
      </c>
      <c r="C486" s="60" t="inlineStr">
        <is>
          <t>https://www.facebook.com/Salhiast.bernards</t>
        </is>
      </c>
      <c r="D486" s="9" t="inlineStr">
        <is>
          <t>Cần quét Bio Fanpage</t>
        </is>
      </c>
      <c r="E486" s="59" t="inlineStr">
        <is>
          <t>22/09/2026 16:03:11</t>
        </is>
      </c>
      <c r="F486" s="59" t="inlineStr">
        <is>
          <t>2 tuần trước</t>
        </is>
      </c>
      <c r="G486" s="61" t="n">
        <v>14</v>
      </c>
      <c r="H486" s="62" t="n">
        <v>15</v>
      </c>
      <c r="I486" s="9" t="inlineStr">
        <is>
          <t>Dog Breeder / Trại chó chuyên nghiệp (28-30đ)</t>
        </is>
      </c>
      <c r="J486" s="62" t="n">
        <v>30</v>
      </c>
      <c r="K486" s="9" t="inlineStr">
        <is>
          <t>Great Dane / Working Giant</t>
        </is>
      </c>
      <c r="L486" s="62" t="n">
        <v>5</v>
      </c>
      <c r="M486" s="62" t="n">
        <v>5</v>
      </c>
      <c r="N486" s="9" t="inlineStr">
        <is>
          <t>Amazon link not found</t>
        </is>
      </c>
      <c r="O486" s="62">
        <f>IF(N486="Selling pet toys + Artificial grass/Pet toilets (TARGET)",15,IF(N486="Selling artificial grass/pet toilets (TARGET)",10,IF(N486="Selling pet toys",7,IF(N486="There's an Amazon link, but no target sales.",3,0))))</f>
        <v/>
      </c>
      <c r="P486" s="67">
        <f>H486+J486+L486+M486+O486</f>
        <v/>
      </c>
      <c r="Q486" s="66">
        <f>IF(OR(H486=0,P486&lt;30),"Tier D (Đóng băng)",IF(P486&gt;=85,"Tier S (Kim Cương: 85-100đ)",IF(P486&gt;=70,"Tier A (Vàng: 70-84đ)",IF(P486&gt;=61,"Tier B+ / Cấp A (Hot Lead: 61-69đ)",IF(P486&gt;=50,"Tier B (Bạc: 50-60đ)","Tier C (Đồng: 30-49đ)")))))</f>
        <v/>
      </c>
      <c r="R486" s="9" t="inlineStr">
        <is>
          <t>Trọn gói Take-Home Starter Kit V2/V3 (Cỏ nhân tạo + Khay Potty + Đồ chơi Teething/Snuggle)</t>
        </is>
      </c>
      <c r="S486" s="9" t="inlineStr">
        <is>
          <t>Cấp B Tiềm năng: Tiếp cận tự động qua chuỗi Email Marketing + Chăm sóc bổ sung bằng Telesale</t>
        </is>
      </c>
    </row>
    <row r="487">
      <c r="A487" s="53" t="n">
        <v>5296</v>
      </c>
      <c r="B487" s="12" t="inlineStr">
        <is>
          <t>Santa Paula Animal Rescue Center</t>
        </is>
      </c>
      <c r="C487" s="54" t="inlineStr">
        <is>
          <t>https://www.facebook.com/santapaulaarc</t>
        </is>
      </c>
      <c r="D487" s="6" t="inlineStr">
        <is>
          <t>Cần quét Bio Fanpage</t>
        </is>
      </c>
      <c r="E487" s="53" t="inlineStr">
        <is>
          <t>13/10/2026 08:00:10</t>
        </is>
      </c>
      <c r="F487" s="53" t="inlineStr">
        <is>
          <t>2 giờ trước</t>
        </is>
      </c>
      <c r="G487" s="55" t="n">
        <v>0.08</v>
      </c>
      <c r="H487" s="56" t="n">
        <v>35</v>
      </c>
      <c r="I487" s="6" t="inlineStr">
        <is>
          <t>Pet Rescue / Trạm cứu trợ (14-16đ)</t>
        </is>
      </c>
      <c r="J487" s="56" t="n">
        <v>14</v>
      </c>
      <c r="K487" s="6" t="inlineStr">
        <is>
          <t>Chưa rõ giống (Cần quét Bio)</t>
        </is>
      </c>
      <c r="L487" s="56" t="n">
        <v>0</v>
      </c>
      <c r="M487" s="56" t="n">
        <v>5</v>
      </c>
      <c r="N487" s="6" t="inlineStr">
        <is>
          <t>Amazon link not found</t>
        </is>
      </c>
      <c r="O487" s="56">
        <f>IF(N487="Selling pet toys + Artificial grass/Pet toilets (TARGET)",15,IF(N487="Selling artificial grass/pet toilets (TARGET)",10,IF(N487="Selling pet toys",7,IF(N487="There's an Amazon link, but no target sales.",3,0))))</f>
        <v/>
      </c>
      <c r="P487" s="65">
        <f>H487+J487+L487+M487+O487</f>
        <v/>
      </c>
      <c r="Q487" s="66">
        <f>IF(OR(H487=0,P487&lt;30),"Tier D (Đóng băng)",IF(P487&gt;=85,"Tier S (Kim Cương: 85-100đ)",IF(P487&gt;=70,"Tier A (Vàng: 70-84đ)",IF(P487&gt;=61,"Tier B+ / Cấp A (Hot Lead: 61-69đ)",IF(P487&gt;=50,"Tier B (Bạc: 50-60đ)","Tier C (Đồng: 30-49đ)")))))</f>
        <v/>
      </c>
      <c r="R487" s="6" t="inlineStr">
        <is>
          <t>Nhà vệ sinh &amp; Tã lót (Potty Tray / Pee Pads) + Cỏ nhân tạo lót chuồng</t>
        </is>
      </c>
      <c r="S487" s="6" t="inlineStr">
        <is>
          <t>Cấp B Tiềm năng: Tiếp cận tự động qua chuỗi Email Marketing + Chăm sóc bổ sung bằng Telesale</t>
        </is>
      </c>
    </row>
    <row r="488">
      <c r="A488" s="59" t="n">
        <v>5135</v>
      </c>
      <c r="B488" s="15" t="inlineStr">
        <is>
          <t>Puppy Luv Animal Rescue</t>
        </is>
      </c>
      <c r="C488" s="60" t="inlineStr">
        <is>
          <t>https://www.facebook.com/puppyluvar</t>
        </is>
      </c>
      <c r="D488" s="9" t="inlineStr">
        <is>
          <t>Cần quét Bio Fanpage</t>
        </is>
      </c>
      <c r="E488" s="59" t="inlineStr">
        <is>
          <t>13/10/2026 07:30:58</t>
        </is>
      </c>
      <c r="F488" s="59" t="inlineStr">
        <is>
          <t>2 giờ trước</t>
        </is>
      </c>
      <c r="G488" s="61" t="n">
        <v>0.08</v>
      </c>
      <c r="H488" s="62" t="n">
        <v>35</v>
      </c>
      <c r="I488" s="9" t="inlineStr">
        <is>
          <t>Pet Rescue / Trạm cứu trợ (14-16đ)</t>
        </is>
      </c>
      <c r="J488" s="62" t="n">
        <v>14</v>
      </c>
      <c r="K488" s="9" t="inlineStr">
        <is>
          <t>Chưa rõ giống (Cần quét Bio)</t>
        </is>
      </c>
      <c r="L488" s="62" t="n">
        <v>0</v>
      </c>
      <c r="M488" s="62" t="n">
        <v>5</v>
      </c>
      <c r="N488" s="9" t="inlineStr">
        <is>
          <t>Amazon link not found</t>
        </is>
      </c>
      <c r="O488" s="62">
        <f>IF(N488="Selling pet toys + Artificial grass/Pet toilets (TARGET)",15,IF(N488="Selling artificial grass/pet toilets (TARGET)",10,IF(N488="Selling pet toys",7,IF(N488="There's an Amazon link, but no target sales.",3,0))))</f>
        <v/>
      </c>
      <c r="P488" s="67">
        <f>H488+J488+L488+M488+O488</f>
        <v/>
      </c>
      <c r="Q488" s="66">
        <f>IF(OR(H488=0,P488&lt;30),"Tier D (Đóng băng)",IF(P488&gt;=85,"Tier S (Kim Cương: 85-100đ)",IF(P488&gt;=70,"Tier A (Vàng: 70-84đ)",IF(P488&gt;=61,"Tier B+ / Cấp A (Hot Lead: 61-69đ)",IF(P488&gt;=50,"Tier B (Bạc: 50-60đ)","Tier C (Đồng: 30-49đ)")))))</f>
        <v/>
      </c>
      <c r="R488" s="9" t="inlineStr">
        <is>
          <t>Nhà vệ sinh &amp; Tã lót (Potty Tray / Pee Pads) + Cỏ nhân tạo lót chuồng</t>
        </is>
      </c>
      <c r="S488" s="9" t="inlineStr">
        <is>
          <t>Cấp B Tiềm năng: Tiếp cận tự động qua chuỗi Email Marketing + Chăm sóc bổ sung bằng Telesale</t>
        </is>
      </c>
    </row>
    <row r="489">
      <c r="A489" s="53" t="n">
        <v>4648</v>
      </c>
      <c r="B489" s="12" t="inlineStr">
        <is>
          <t>Midwest Animal Rescue &amp; Services</t>
        </is>
      </c>
      <c r="C489" s="54" t="inlineStr">
        <is>
          <t>https://www.facebook.com/MidwestAnimalRescue</t>
        </is>
      </c>
      <c r="D489" s="6" t="inlineStr">
        <is>
          <t>Cần quét Bio Fanpage</t>
        </is>
      </c>
      <c r="E489" s="53" t="inlineStr">
        <is>
          <t>13/10/2026 06:02:03</t>
        </is>
      </c>
      <c r="F489" s="53" t="inlineStr">
        <is>
          <t>3 giờ trước</t>
        </is>
      </c>
      <c r="G489" s="55" t="n">
        <v>0.12</v>
      </c>
      <c r="H489" s="56" t="n">
        <v>35</v>
      </c>
      <c r="I489" s="6" t="inlineStr">
        <is>
          <t>Pet Rescue / Trạm cứu trợ (14-16đ)</t>
        </is>
      </c>
      <c r="J489" s="56" t="n">
        <v>14</v>
      </c>
      <c r="K489" s="6" t="inlineStr">
        <is>
          <t>Chưa rõ giống (Cần quét Bio)</t>
        </is>
      </c>
      <c r="L489" s="56" t="n">
        <v>0</v>
      </c>
      <c r="M489" s="56" t="n">
        <v>5</v>
      </c>
      <c r="N489" s="6" t="inlineStr">
        <is>
          <t>Amazon link not found</t>
        </is>
      </c>
      <c r="O489" s="56">
        <f>IF(N489="Selling pet toys + Artificial grass/Pet toilets (TARGET)",15,IF(N489="Selling artificial grass/pet toilets (TARGET)",10,IF(N489="Selling pet toys",7,IF(N489="There's an Amazon link, but no target sales.",3,0))))</f>
        <v/>
      </c>
      <c r="P489" s="65">
        <f>H489+J489+L489+M489+O489</f>
        <v/>
      </c>
      <c r="Q489" s="66">
        <f>IF(OR(H489=0,P489&lt;30),"Tier D (Đóng băng)",IF(P489&gt;=85,"Tier S (Kim Cương: 85-100đ)",IF(P489&gt;=70,"Tier A (Vàng: 70-84đ)",IF(P489&gt;=61,"Tier B+ / Cấp A (Hot Lead: 61-69đ)",IF(P489&gt;=50,"Tier B (Bạc: 50-60đ)","Tier C (Đồng: 30-49đ)")))))</f>
        <v/>
      </c>
      <c r="R489" s="6" t="inlineStr">
        <is>
          <t>Nhà vệ sinh &amp; Tã lót (Potty Tray / Pee Pads) + Cỏ nhân tạo lót chuồng</t>
        </is>
      </c>
      <c r="S489" s="6" t="inlineStr">
        <is>
          <t>Cấp B Tiềm năng: Tiếp cận tự động qua chuỗi Email Marketing + Chăm sóc bổ sung bằng Telesale</t>
        </is>
      </c>
    </row>
    <row r="490">
      <c r="A490" s="59" t="n">
        <v>2614</v>
      </c>
      <c r="B490" s="15" t="inlineStr">
        <is>
          <t>Precision Canine Dog Training</t>
        </is>
      </c>
      <c r="C490" s="60" t="inlineStr">
        <is>
          <t>https://www.facebook.com/Precisioncaninedogtraining</t>
        </is>
      </c>
      <c r="D490" s="9" t="inlineStr">
        <is>
          <t>Cần quét Bio Fanpage</t>
        </is>
      </c>
      <c r="E490" s="59" t="inlineStr">
        <is>
          <t>13/10/2026 00:15:02</t>
        </is>
      </c>
      <c r="F490" s="59" t="inlineStr">
        <is>
          <t>5 giờ trước</t>
        </is>
      </c>
      <c r="G490" s="61" t="n">
        <v>0.21</v>
      </c>
      <c r="H490" s="62" t="n">
        <v>32</v>
      </c>
      <c r="I490" s="9" t="inlineStr">
        <is>
          <t>Pet Boarding / Huấn luyện K9 &amp; Dịch vụ (20-22đ)</t>
        </is>
      </c>
      <c r="J490" s="62" t="n">
        <v>22</v>
      </c>
      <c r="K490" s="9" t="inlineStr">
        <is>
          <t>Chưa rõ giống (Cần quét Bio)</t>
        </is>
      </c>
      <c r="L490" s="62" t="n">
        <v>0</v>
      </c>
      <c r="M490" s="62" t="n">
        <v>0</v>
      </c>
      <c r="N490" s="9" t="inlineStr">
        <is>
          <t>Amazon link not found</t>
        </is>
      </c>
      <c r="O490" s="62">
        <f>IF(N490="Selling pet toys + Artificial grass/Pet toilets (TARGET)",15,IF(N490="Selling artificial grass/pet toilets (TARGET)",10,IF(N490="Selling pet toys",7,IF(N490="There's an Amazon link, but no target sales.",3,0))))</f>
        <v/>
      </c>
      <c r="P490" s="67">
        <f>H490+J490+L490+M490+O490</f>
        <v/>
      </c>
      <c r="Q490" s="66">
        <f>IF(OR(H490=0,P490&lt;30),"Tier D (Đóng băng)",IF(P490&gt;=85,"Tier S (Kim Cương: 85-100đ)",IF(P490&gt;=70,"Tier A (Vàng: 70-84đ)",IF(P490&gt;=61,"Tier B+ / Cấp A (Hot Lead: 61-69đ)",IF(P490&gt;=50,"Tier B (Bạc: 50-60đ)","Tier C (Đồng: 30-49đ)")))))</f>
        <v/>
      </c>
      <c r="R490" s="9" t="inlineStr">
        <is>
          <t>Cỏ nhân tạo sân chơi/huấn luyện (Dog Turf) + Đồ chơi nhai chịu lực (KONG/Chew Toys)</t>
        </is>
      </c>
      <c r="S490" s="9" t="inlineStr">
        <is>
          <t>Cấp B Tiềm năng: Tiếp cận tự động qua chuỗi Email Marketing + Chăm sóc bổ sung bằng Telesale</t>
        </is>
      </c>
    </row>
    <row r="491">
      <c r="A491" s="53" t="n">
        <v>2852</v>
      </c>
      <c r="B491" s="12" t="inlineStr">
        <is>
          <t>Second Home Pet Boarding</t>
        </is>
      </c>
      <c r="C491" s="54" t="inlineStr">
        <is>
          <t>https://www.facebook.com/secondhomepetboarding</t>
        </is>
      </c>
      <c r="D491" s="6" t="inlineStr">
        <is>
          <t>Cần quét Bio Fanpage</t>
        </is>
      </c>
      <c r="E491" s="53" t="inlineStr">
        <is>
          <t>12/10/2026 23:18:01</t>
        </is>
      </c>
      <c r="F491" s="53" t="inlineStr">
        <is>
          <t>6 giờ trước</t>
        </is>
      </c>
      <c r="G491" s="55" t="n">
        <v>0.25</v>
      </c>
      <c r="H491" s="56" t="n">
        <v>32</v>
      </c>
      <c r="I491" s="6" t="inlineStr">
        <is>
          <t>Pet Boarding / Huấn luyện K9 &amp; Dịch vụ (20-22đ)</t>
        </is>
      </c>
      <c r="J491" s="56" t="n">
        <v>22</v>
      </c>
      <c r="K491" s="6" t="inlineStr">
        <is>
          <t>Chưa rõ giống (Cần quét Bio)</t>
        </is>
      </c>
      <c r="L491" s="56" t="n">
        <v>0</v>
      </c>
      <c r="M491" s="56" t="n">
        <v>0</v>
      </c>
      <c r="N491" s="6" t="inlineStr">
        <is>
          <t>Amazon link not found</t>
        </is>
      </c>
      <c r="O491" s="56">
        <f>IF(N491="Selling pet toys + Artificial grass/Pet toilets (TARGET)",15,IF(N491="Selling artificial grass/pet toilets (TARGET)",10,IF(N491="Selling pet toys",7,IF(N491="There's an Amazon link, but no target sales.",3,0))))</f>
        <v/>
      </c>
      <c r="P491" s="65">
        <f>H491+J491+L491+M491+O491</f>
        <v/>
      </c>
      <c r="Q491" s="66">
        <f>IF(OR(H491=0,P491&lt;30),"Tier D (Đóng băng)",IF(P491&gt;=85,"Tier S (Kim Cương: 85-100đ)",IF(P491&gt;=70,"Tier A (Vàng: 70-84đ)",IF(P491&gt;=61,"Tier B+ / Cấp A (Hot Lead: 61-69đ)",IF(P491&gt;=50,"Tier B (Bạc: 50-60đ)","Tier C (Đồng: 30-49đ)")))))</f>
        <v/>
      </c>
      <c r="R491" s="6" t="inlineStr">
        <is>
          <t>Cỏ nhân tạo sân chơi/huấn luyện (Dog Turf) + Đồ chơi nhai chịu lực (KONG/Chew Toys)</t>
        </is>
      </c>
      <c r="S491" s="6" t="inlineStr">
        <is>
          <t>Cấp B Tiềm năng: Tiếp cận tự động qua chuỗi Email Marketing + Chăm sóc bổ sung bằng Telesale</t>
        </is>
      </c>
    </row>
    <row r="492">
      <c r="A492" s="59" t="n">
        <v>1788</v>
      </c>
      <c r="B492" s="15" t="inlineStr">
        <is>
          <t>Julius-K9</t>
        </is>
      </c>
      <c r="C492" s="60" t="inlineStr">
        <is>
          <t>https://www.facebook.com/juliusk9</t>
        </is>
      </c>
      <c r="D492" s="9" t="inlineStr">
        <is>
          <t>Cần quét Bio Fanpage</t>
        </is>
      </c>
      <c r="E492" s="59" t="inlineStr">
        <is>
          <t>12/10/2026 23:00:40</t>
        </is>
      </c>
      <c r="F492" s="59" t="inlineStr">
        <is>
          <t>5 giờ trước</t>
        </is>
      </c>
      <c r="G492" s="61" t="n">
        <v>0.21</v>
      </c>
      <c r="H492" s="62" t="n">
        <v>32</v>
      </c>
      <c r="I492" s="9" t="inlineStr">
        <is>
          <t>Pet Boarding / Huấn luyện K9 &amp; Dịch vụ (20-22đ)</t>
        </is>
      </c>
      <c r="J492" s="62" t="n">
        <v>22</v>
      </c>
      <c r="K492" s="9" t="inlineStr">
        <is>
          <t>Chưa rõ giống (Cần quét Bio)</t>
        </is>
      </c>
      <c r="L492" s="62" t="n">
        <v>0</v>
      </c>
      <c r="M492" s="62" t="n">
        <v>0</v>
      </c>
      <c r="N492" s="9" t="inlineStr">
        <is>
          <t>Amazon link not found</t>
        </is>
      </c>
      <c r="O492" s="62">
        <f>IF(N492="Selling pet toys + Artificial grass/Pet toilets (TARGET)",15,IF(N492="Selling artificial grass/pet toilets (TARGET)",10,IF(N492="Selling pet toys",7,IF(N492="There's an Amazon link, but no target sales.",3,0))))</f>
        <v/>
      </c>
      <c r="P492" s="67">
        <f>H492+J492+L492+M492+O492</f>
        <v/>
      </c>
      <c r="Q492" s="66">
        <f>IF(OR(H492=0,P492&lt;30),"Tier D (Đóng băng)",IF(P492&gt;=85,"Tier S (Kim Cương: 85-100đ)",IF(P492&gt;=70,"Tier A (Vàng: 70-84đ)",IF(P492&gt;=61,"Tier B+ / Cấp A (Hot Lead: 61-69đ)",IF(P492&gt;=50,"Tier B (Bạc: 50-60đ)","Tier C (Đồng: 30-49đ)")))))</f>
        <v/>
      </c>
      <c r="R492" s="9" t="inlineStr">
        <is>
          <t>Cỏ nhân tạo sân chơi/huấn luyện (Dog Turf) + Đồ chơi nhai chịu lực (KONG/Chew Toys)</t>
        </is>
      </c>
      <c r="S492" s="9" t="inlineStr">
        <is>
          <t>Cấp B Tiềm năng: Tiếp cận tự động qua chuỗi Email Marketing + Chăm sóc bổ sung bằng Telesale</t>
        </is>
      </c>
    </row>
    <row r="493">
      <c r="A493" s="53" t="n">
        <v>1789</v>
      </c>
      <c r="B493" s="12" t="inlineStr">
        <is>
          <t>Julius-K9</t>
        </is>
      </c>
      <c r="C493" s="54" t="inlineStr">
        <is>
          <t>https://www.facebook.com/juliusk9de</t>
        </is>
      </c>
      <c r="D493" s="6" t="inlineStr">
        <is>
          <t>Cần quét Bio Fanpage</t>
        </is>
      </c>
      <c r="E493" s="53" t="inlineStr">
        <is>
          <t>12/10/2026 23:00:40</t>
        </is>
      </c>
      <c r="F493" s="53" t="inlineStr">
        <is>
          <t>5 giờ trước</t>
        </is>
      </c>
      <c r="G493" s="55" t="n">
        <v>0.21</v>
      </c>
      <c r="H493" s="56" t="n">
        <v>32</v>
      </c>
      <c r="I493" s="6" t="inlineStr">
        <is>
          <t>Pet Boarding / Huấn luyện K9 &amp; Dịch vụ (20-22đ)</t>
        </is>
      </c>
      <c r="J493" s="56" t="n">
        <v>22</v>
      </c>
      <c r="K493" s="6" t="inlineStr">
        <is>
          <t>Chưa rõ giống (Cần quét Bio)</t>
        </is>
      </c>
      <c r="L493" s="56" t="n">
        <v>0</v>
      </c>
      <c r="M493" s="56" t="n">
        <v>0</v>
      </c>
      <c r="N493" s="6" t="inlineStr">
        <is>
          <t>Amazon link not found</t>
        </is>
      </c>
      <c r="O493" s="56">
        <f>IF(N493="Selling pet toys + Artificial grass/Pet toilets (TARGET)",15,IF(N493="Selling artificial grass/pet toilets (TARGET)",10,IF(N493="Selling pet toys",7,IF(N493="There's an Amazon link, but no target sales.",3,0))))</f>
        <v/>
      </c>
      <c r="P493" s="65">
        <f>H493+J493+L493+M493+O493</f>
        <v/>
      </c>
      <c r="Q493" s="66">
        <f>IF(OR(H493=0,P493&lt;30),"Tier D (Đóng băng)",IF(P493&gt;=85,"Tier S (Kim Cương: 85-100đ)",IF(P493&gt;=70,"Tier A (Vàng: 70-84đ)",IF(P493&gt;=61,"Tier B+ / Cấp A (Hot Lead: 61-69đ)",IF(P493&gt;=50,"Tier B (Bạc: 50-60đ)","Tier C (Đồng: 30-49đ)")))))</f>
        <v/>
      </c>
      <c r="R493" s="6" t="inlineStr">
        <is>
          <t>Cỏ nhân tạo sân chơi/huấn luyện (Dog Turf) + Đồ chơi nhai chịu lực (KONG/Chew Toys)</t>
        </is>
      </c>
      <c r="S493" s="6" t="inlineStr">
        <is>
          <t>Cấp B Tiềm năng: Tiếp cận tự động qua chuỗi Email Marketing + Chăm sóc bổ sung bằng Telesale</t>
        </is>
      </c>
    </row>
    <row r="494">
      <c r="A494" s="59" t="n">
        <v>1790</v>
      </c>
      <c r="B494" s="15" t="inlineStr">
        <is>
          <t>Julius-K9</t>
        </is>
      </c>
      <c r="C494" s="60" t="inlineStr">
        <is>
          <t>https://www.facebook.com/juliusk9hu</t>
        </is>
      </c>
      <c r="D494" s="9" t="inlineStr">
        <is>
          <t>Cần quét Bio Fanpage</t>
        </is>
      </c>
      <c r="E494" s="59" t="inlineStr">
        <is>
          <t>12/10/2026 23:00:40</t>
        </is>
      </c>
      <c r="F494" s="59" t="inlineStr">
        <is>
          <t>5 giờ trước</t>
        </is>
      </c>
      <c r="G494" s="61" t="n">
        <v>0.21</v>
      </c>
      <c r="H494" s="62" t="n">
        <v>32</v>
      </c>
      <c r="I494" s="9" t="inlineStr">
        <is>
          <t>Pet Boarding / Huấn luyện K9 &amp; Dịch vụ (20-22đ)</t>
        </is>
      </c>
      <c r="J494" s="62" t="n">
        <v>22</v>
      </c>
      <c r="K494" s="9" t="inlineStr">
        <is>
          <t>Chưa rõ giống (Cần quét Bio)</t>
        </is>
      </c>
      <c r="L494" s="62" t="n">
        <v>0</v>
      </c>
      <c r="M494" s="62" t="n">
        <v>0</v>
      </c>
      <c r="N494" s="9" t="inlineStr">
        <is>
          <t>Amazon link not found</t>
        </is>
      </c>
      <c r="O494" s="62">
        <f>IF(N494="Selling pet toys + Artificial grass/Pet toilets (TARGET)",15,IF(N494="Selling artificial grass/pet toilets (TARGET)",10,IF(N494="Selling pet toys",7,IF(N494="There's an Amazon link, but no target sales.",3,0))))</f>
        <v/>
      </c>
      <c r="P494" s="67">
        <f>H494+J494+L494+M494+O494</f>
        <v/>
      </c>
      <c r="Q494" s="66">
        <f>IF(OR(H494=0,P494&lt;30),"Tier D (Đóng băng)",IF(P494&gt;=85,"Tier S (Kim Cương: 85-100đ)",IF(P494&gt;=70,"Tier A (Vàng: 70-84đ)",IF(P494&gt;=61,"Tier B+ / Cấp A (Hot Lead: 61-69đ)",IF(P494&gt;=50,"Tier B (Bạc: 50-60đ)","Tier C (Đồng: 30-49đ)")))))</f>
        <v/>
      </c>
      <c r="R494" s="9" t="inlineStr">
        <is>
          <t>Cỏ nhân tạo sân chơi/huấn luyện (Dog Turf) + Đồ chơi nhai chịu lực (KONG/Chew Toys)</t>
        </is>
      </c>
      <c r="S494" s="9" t="inlineStr">
        <is>
          <t>Cấp B Tiềm năng: Tiếp cận tự động qua chuỗi Email Marketing + Chăm sóc bổ sung bằng Telesale</t>
        </is>
      </c>
    </row>
    <row r="495">
      <c r="A495" s="53" t="n">
        <v>870</v>
      </c>
      <c r="B495" s="12" t="inlineStr">
        <is>
          <t>Central Coast Herding Dog Rescue</t>
        </is>
      </c>
      <c r="C495" s="54" t="inlineStr">
        <is>
          <t>https://www.facebook.com/www.cchdrescue.org</t>
        </is>
      </c>
      <c r="D495" s="6" t="inlineStr">
        <is>
          <t>Cần quét Bio Fanpage</t>
        </is>
      </c>
      <c r="E495" s="53" t="inlineStr">
        <is>
          <t>12/10/2026 22:56:26</t>
        </is>
      </c>
      <c r="F495" s="53" t="inlineStr">
        <is>
          <t>3 giờ trước</t>
        </is>
      </c>
      <c r="G495" s="55" t="n">
        <v>0.12</v>
      </c>
      <c r="H495" s="56" t="n">
        <v>35</v>
      </c>
      <c r="I495" s="6" t="inlineStr">
        <is>
          <t>Pet Rescue / Trạm cứu trợ (14-16đ)</t>
        </is>
      </c>
      <c r="J495" s="56" t="n">
        <v>14</v>
      </c>
      <c r="K495" s="6" t="inlineStr">
        <is>
          <t>Chưa rõ giống (Cần quét Bio)</t>
        </is>
      </c>
      <c r="L495" s="56" t="n">
        <v>0</v>
      </c>
      <c r="M495" s="56" t="n">
        <v>5</v>
      </c>
      <c r="N495" s="6" t="inlineStr">
        <is>
          <t>Amazon link not found</t>
        </is>
      </c>
      <c r="O495" s="56">
        <f>IF(N495="Selling pet toys + Artificial grass/Pet toilets (TARGET)",15,IF(N495="Selling artificial grass/pet toilets (TARGET)",10,IF(N495="Selling pet toys",7,IF(N495="There's an Amazon link, but no target sales.",3,0))))</f>
        <v/>
      </c>
      <c r="P495" s="65">
        <f>H495+J495+L495+M495+O495</f>
        <v/>
      </c>
      <c r="Q495" s="66">
        <f>IF(OR(H495=0,P495&lt;30),"Tier D (Đóng băng)",IF(P495&gt;=85,"Tier S (Kim Cương: 85-100đ)",IF(P495&gt;=70,"Tier A (Vàng: 70-84đ)",IF(P495&gt;=61,"Tier B+ / Cấp A (Hot Lead: 61-69đ)",IF(P495&gt;=50,"Tier B (Bạc: 50-60đ)","Tier C (Đồng: 30-49đ)")))))</f>
        <v/>
      </c>
      <c r="R495" s="6" t="inlineStr">
        <is>
          <t>Nhà vệ sinh &amp; Tã lót (Potty Tray / Pee Pads) + Cỏ nhân tạo lót chuồng</t>
        </is>
      </c>
      <c r="S495" s="6" t="inlineStr">
        <is>
          <t>Cấp B Tiềm năng: Tiếp cận tự động qua chuỗi Email Marketing + Chăm sóc bổ sung bằng Telesale</t>
        </is>
      </c>
    </row>
    <row r="496">
      <c r="A496" s="59" t="n">
        <v>2069</v>
      </c>
      <c r="B496" s="15" t="inlineStr">
        <is>
          <t>Lucky Dog Luxury Daycare &amp; Boarding</t>
        </is>
      </c>
      <c r="C496" s="60" t="inlineStr">
        <is>
          <t>https://www.facebook.com/LuckyDogLuxuryDaycare</t>
        </is>
      </c>
      <c r="D496" s="9" t="inlineStr">
        <is>
          <t>Cần quét Bio Fanpage</t>
        </is>
      </c>
      <c r="E496" s="59" t="inlineStr">
        <is>
          <t>12/10/2026 22:39:38</t>
        </is>
      </c>
      <c r="F496" s="59" t="inlineStr">
        <is>
          <t>5 giờ trước</t>
        </is>
      </c>
      <c r="G496" s="61" t="n">
        <v>0.21</v>
      </c>
      <c r="H496" s="62" t="n">
        <v>32</v>
      </c>
      <c r="I496" s="9" t="inlineStr">
        <is>
          <t>Pet Boarding / Huấn luyện K9 &amp; Dịch vụ (20-22đ)</t>
        </is>
      </c>
      <c r="J496" s="62" t="n">
        <v>22</v>
      </c>
      <c r="K496" s="9" t="inlineStr">
        <is>
          <t>Chưa rõ giống (Cần quét Bio)</t>
        </is>
      </c>
      <c r="L496" s="62" t="n">
        <v>0</v>
      </c>
      <c r="M496" s="62" t="n">
        <v>0</v>
      </c>
      <c r="N496" s="9" t="inlineStr">
        <is>
          <t>Amazon link not found</t>
        </is>
      </c>
      <c r="O496" s="62">
        <f>IF(N496="Selling pet toys + Artificial grass/Pet toilets (TARGET)",15,IF(N496="Selling artificial grass/pet toilets (TARGET)",10,IF(N496="Selling pet toys",7,IF(N496="There's an Amazon link, but no target sales.",3,0))))</f>
        <v/>
      </c>
      <c r="P496" s="67">
        <f>H496+J496+L496+M496+O496</f>
        <v/>
      </c>
      <c r="Q496" s="66">
        <f>IF(OR(H496=0,P496&lt;30),"Tier D (Đóng băng)",IF(P496&gt;=85,"Tier S (Kim Cương: 85-100đ)",IF(P496&gt;=70,"Tier A (Vàng: 70-84đ)",IF(P496&gt;=61,"Tier B+ / Cấp A (Hot Lead: 61-69đ)",IF(P496&gt;=50,"Tier B (Bạc: 50-60đ)","Tier C (Đồng: 30-49đ)")))))</f>
        <v/>
      </c>
      <c r="R496" s="9" t="inlineStr">
        <is>
          <t>Cỏ nhân tạo sân chơi/huấn luyện (Dog Turf) + Đồ chơi nhai chịu lực (KONG/Chew Toys)</t>
        </is>
      </c>
      <c r="S496" s="9" t="inlineStr">
        <is>
          <t>Cấp B Tiềm năng: Tiếp cận tự động qua chuỗi Email Marketing + Chăm sóc bổ sung bằng Telesale</t>
        </is>
      </c>
    </row>
    <row r="497">
      <c r="A497" s="53" t="n">
        <v>1815</v>
      </c>
      <c r="B497" s="12" t="inlineStr">
        <is>
          <t>K9 Officers</t>
        </is>
      </c>
      <c r="C497" s="54" t="inlineStr">
        <is>
          <t>https://www.facebook.com/k9officers1</t>
        </is>
      </c>
      <c r="D497" s="6" t="inlineStr">
        <is>
          <t>Cần quét Bio Fanpage</t>
        </is>
      </c>
      <c r="E497" s="53" t="inlineStr">
        <is>
          <t>12/10/2026 22:33:51</t>
        </is>
      </c>
      <c r="F497" s="53" t="inlineStr">
        <is>
          <t>5 giờ trước</t>
        </is>
      </c>
      <c r="G497" s="55" t="n">
        <v>0.21</v>
      </c>
      <c r="H497" s="56" t="n">
        <v>32</v>
      </c>
      <c r="I497" s="6" t="inlineStr">
        <is>
          <t>Pet Boarding / Huấn luyện K9 &amp; Dịch vụ (20-22đ)</t>
        </is>
      </c>
      <c r="J497" s="56" t="n">
        <v>22</v>
      </c>
      <c r="K497" s="6" t="inlineStr">
        <is>
          <t>Chưa rõ giống (Cần quét Bio)</t>
        </is>
      </c>
      <c r="L497" s="56" t="n">
        <v>0</v>
      </c>
      <c r="M497" s="56" t="n">
        <v>0</v>
      </c>
      <c r="N497" s="6" t="inlineStr">
        <is>
          <t>Amazon link not found</t>
        </is>
      </c>
      <c r="O497" s="56">
        <f>IF(N497="Selling pet toys + Artificial grass/Pet toilets (TARGET)",15,IF(N497="Selling artificial grass/pet toilets (TARGET)",10,IF(N497="Selling pet toys",7,IF(N497="There's an Amazon link, but no target sales.",3,0))))</f>
        <v/>
      </c>
      <c r="P497" s="65">
        <f>H497+J497+L497+M497+O497</f>
        <v/>
      </c>
      <c r="Q497" s="66">
        <f>IF(OR(H497=0,P497&lt;30),"Tier D (Đóng băng)",IF(P497&gt;=85,"Tier S (Kim Cương: 85-100đ)",IF(P497&gt;=70,"Tier A (Vàng: 70-84đ)",IF(P497&gt;=61,"Tier B+ / Cấp A (Hot Lead: 61-69đ)",IF(P497&gt;=50,"Tier B (Bạc: 50-60đ)","Tier C (Đồng: 30-49đ)")))))</f>
        <v/>
      </c>
      <c r="R497" s="6" t="inlineStr">
        <is>
          <t>Cỏ nhân tạo sân chơi/huấn luyện (Dog Turf) + Đồ chơi nhai chịu lực (KONG/Chew Toys)</t>
        </is>
      </c>
      <c r="S497" s="6" t="inlineStr">
        <is>
          <t>Cấp B Tiềm năng: Tiếp cận tự động qua chuỗi Email Marketing + Chăm sóc bổ sung bằng Telesale</t>
        </is>
      </c>
    </row>
    <row r="498">
      <c r="A498" s="59" t="n">
        <v>1106</v>
      </c>
      <c r="B498" s="15" t="inlineStr">
        <is>
          <t>Dog Training Elite Columbus</t>
        </is>
      </c>
      <c r="C498" s="60" t="inlineStr">
        <is>
          <t>https://www.facebook.com/dogtrainingelitecolumbus</t>
        </is>
      </c>
      <c r="D498" s="9" t="inlineStr">
        <is>
          <t>Cần quét Bio Fanpage</t>
        </is>
      </c>
      <c r="E498" s="59" t="inlineStr">
        <is>
          <t>12/10/2026 22:30:14</t>
        </is>
      </c>
      <c r="F498" s="59" t="inlineStr">
        <is>
          <t>4 giờ trước</t>
        </is>
      </c>
      <c r="G498" s="61" t="n">
        <v>0.17</v>
      </c>
      <c r="H498" s="62" t="n">
        <v>32</v>
      </c>
      <c r="I498" s="9" t="inlineStr">
        <is>
          <t>Pet Boarding / Huấn luyện K9 &amp; Dịch vụ (20-22đ)</t>
        </is>
      </c>
      <c r="J498" s="62" t="n">
        <v>22</v>
      </c>
      <c r="K498" s="9" t="inlineStr">
        <is>
          <t>Chưa rõ giống (Cần quét Bio)</t>
        </is>
      </c>
      <c r="L498" s="62" t="n">
        <v>0</v>
      </c>
      <c r="M498" s="62" t="n">
        <v>0</v>
      </c>
      <c r="N498" s="9" t="inlineStr">
        <is>
          <t>Amazon link not found</t>
        </is>
      </c>
      <c r="O498" s="62">
        <f>IF(N498="Selling pet toys + Artificial grass/Pet toilets (TARGET)",15,IF(N498="Selling artificial grass/pet toilets (TARGET)",10,IF(N498="Selling pet toys",7,IF(N498="There's an Amazon link, but no target sales.",3,0))))</f>
        <v/>
      </c>
      <c r="P498" s="67">
        <f>H498+J498+L498+M498+O498</f>
        <v/>
      </c>
      <c r="Q498" s="66">
        <f>IF(OR(H498=0,P498&lt;30),"Tier D (Đóng băng)",IF(P498&gt;=85,"Tier S (Kim Cương: 85-100đ)",IF(P498&gt;=70,"Tier A (Vàng: 70-84đ)",IF(P498&gt;=61,"Tier B+ / Cấp A (Hot Lead: 61-69đ)",IF(P498&gt;=50,"Tier B (Bạc: 50-60đ)","Tier C (Đồng: 30-49đ)")))))</f>
        <v/>
      </c>
      <c r="R498" s="9" t="inlineStr">
        <is>
          <t>Cỏ nhân tạo sân chơi/huấn luyện (Dog Turf) + Đồ chơi nhai chịu lực (KONG/Chew Toys)</t>
        </is>
      </c>
      <c r="S498" s="9" t="inlineStr">
        <is>
          <t>Cấp B Tiềm năng: Tiếp cận tự động qua chuỗi Email Marketing + Chăm sóc bổ sung bằng Telesale</t>
        </is>
      </c>
    </row>
    <row r="499">
      <c r="A499" s="53" t="n">
        <v>880</v>
      </c>
      <c r="B499" s="12" t="inlineStr">
        <is>
          <t>Charley’s Angels Dog Training</t>
        </is>
      </c>
      <c r="C499" s="54" t="inlineStr">
        <is>
          <t>https://www.facebook.com/charleysangelsdogs</t>
        </is>
      </c>
      <c r="D499" s="6" t="inlineStr">
        <is>
          <t>Cần quét Bio Fanpage</t>
        </is>
      </c>
      <c r="E499" s="53" t="inlineStr">
        <is>
          <t>12/10/2026 22:09:42</t>
        </is>
      </c>
      <c r="F499" s="53" t="inlineStr">
        <is>
          <t>4 giờ trước</t>
        </is>
      </c>
      <c r="G499" s="55" t="n">
        <v>0.17</v>
      </c>
      <c r="H499" s="56" t="n">
        <v>32</v>
      </c>
      <c r="I499" s="6" t="inlineStr">
        <is>
          <t>Pet Boarding / Huấn luyện K9 &amp; Dịch vụ (20-22đ)</t>
        </is>
      </c>
      <c r="J499" s="56" t="n">
        <v>22</v>
      </c>
      <c r="K499" s="6" t="inlineStr">
        <is>
          <t>Chưa rõ giống (Cần quét Bio)</t>
        </is>
      </c>
      <c r="L499" s="56" t="n">
        <v>0</v>
      </c>
      <c r="M499" s="56" t="n">
        <v>0</v>
      </c>
      <c r="N499" s="6" t="inlineStr">
        <is>
          <t>Amazon link not found</t>
        </is>
      </c>
      <c r="O499" s="56">
        <f>IF(N499="Selling pet toys + Artificial grass/Pet toilets (TARGET)",15,IF(N499="Selling artificial grass/pet toilets (TARGET)",10,IF(N499="Selling pet toys",7,IF(N499="There's an Amazon link, but no target sales.",3,0))))</f>
        <v/>
      </c>
      <c r="P499" s="65">
        <f>H499+J499+L499+M499+O499</f>
        <v/>
      </c>
      <c r="Q499" s="66">
        <f>IF(OR(H499=0,P499&lt;30),"Tier D (Đóng băng)",IF(P499&gt;=85,"Tier S (Kim Cương: 85-100đ)",IF(P499&gt;=70,"Tier A (Vàng: 70-84đ)",IF(P499&gt;=61,"Tier B+ / Cấp A (Hot Lead: 61-69đ)",IF(P499&gt;=50,"Tier B (Bạc: 50-60đ)","Tier C (Đồng: 30-49đ)")))))</f>
        <v/>
      </c>
      <c r="R499" s="6" t="inlineStr">
        <is>
          <t>Cỏ nhân tạo sân chơi/huấn luyện (Dog Turf) + Đồ chơi nhai chịu lực (KONG/Chew Toys)</t>
        </is>
      </c>
      <c r="S499" s="6" t="inlineStr">
        <is>
          <t>Cấp B Tiềm năng: Tiếp cận tự động qua chuỗi Email Marketing + Chăm sóc bổ sung bằng Telesale</t>
        </is>
      </c>
    </row>
    <row r="500">
      <c r="A500" s="59" t="n">
        <v>2338</v>
      </c>
      <c r="B500" s="15" t="inlineStr">
        <is>
          <t>Off Leash K9 Training - Detroit</t>
        </is>
      </c>
      <c r="C500" s="60" t="inlineStr">
        <is>
          <t>https://www.facebook.com/OLK9Detroit</t>
        </is>
      </c>
      <c r="D500" s="9" t="inlineStr">
        <is>
          <t>Cần quét Bio Fanpage</t>
        </is>
      </c>
      <c r="E500" s="59" t="inlineStr">
        <is>
          <t>12/10/2026 22:02:58</t>
        </is>
      </c>
      <c r="F500" s="59" t="inlineStr">
        <is>
          <t>7 giờ trước</t>
        </is>
      </c>
      <c r="G500" s="61" t="n">
        <v>0.29</v>
      </c>
      <c r="H500" s="62" t="n">
        <v>32</v>
      </c>
      <c r="I500" s="9" t="inlineStr">
        <is>
          <t>Pet Boarding / Huấn luyện K9 &amp; Dịch vụ (20-22đ)</t>
        </is>
      </c>
      <c r="J500" s="62" t="n">
        <v>22</v>
      </c>
      <c r="K500" s="9" t="inlineStr">
        <is>
          <t>Chưa rõ giống (Cần quét Bio)</t>
        </is>
      </c>
      <c r="L500" s="62" t="n">
        <v>0</v>
      </c>
      <c r="M500" s="62" t="n">
        <v>0</v>
      </c>
      <c r="N500" s="9" t="inlineStr">
        <is>
          <t>Amazon link not found</t>
        </is>
      </c>
      <c r="O500" s="62">
        <f>IF(N500="Selling pet toys + Artificial grass/Pet toilets (TARGET)",15,IF(N500="Selling artificial grass/pet toilets (TARGET)",10,IF(N500="Selling pet toys",7,IF(N500="There's an Amazon link, but no target sales.",3,0))))</f>
        <v/>
      </c>
      <c r="P500" s="67">
        <f>H500+J500+L500+M500+O500</f>
        <v/>
      </c>
      <c r="Q500" s="66">
        <f>IF(OR(H500=0,P500&lt;30),"Tier D (Đóng băng)",IF(P500&gt;=85,"Tier S (Kim Cương: 85-100đ)",IF(P500&gt;=70,"Tier A (Vàng: 70-84đ)",IF(P500&gt;=61,"Tier B+ / Cấp A (Hot Lead: 61-69đ)",IF(P500&gt;=50,"Tier B (Bạc: 50-60đ)","Tier C (Đồng: 30-49đ)")))))</f>
        <v/>
      </c>
      <c r="R500" s="9" t="inlineStr">
        <is>
          <t>Cỏ nhân tạo sân chơi/huấn luyện (Dog Turf) + Đồ chơi nhai chịu lực (KONG/Chew Toys)</t>
        </is>
      </c>
      <c r="S500" s="9" t="inlineStr">
        <is>
          <t>Cấp B Tiềm năng: Tiếp cận tự động qua chuỗi Email Marketing + Chăm sóc bổ sung bằng Telesale</t>
        </is>
      </c>
    </row>
    <row r="501">
      <c r="A501" s="53" t="n">
        <v>1413</v>
      </c>
      <c r="B501" s="12" t="inlineStr">
        <is>
          <t>For the Love of Dog Training</t>
        </is>
      </c>
      <c r="C501" s="54" t="inlineStr">
        <is>
          <t>https://www.facebook.com/fortheloveofdogoroville</t>
        </is>
      </c>
      <c r="D501" s="6" t="inlineStr">
        <is>
          <t>Cần quét Bio Fanpage</t>
        </is>
      </c>
      <c r="E501" s="53" t="inlineStr">
        <is>
          <t>12/10/2026 21:26:08</t>
        </is>
      </c>
      <c r="F501" s="53" t="inlineStr">
        <is>
          <t>6 giờ trước</t>
        </is>
      </c>
      <c r="G501" s="55" t="n">
        <v>0.25</v>
      </c>
      <c r="H501" s="56" t="n">
        <v>32</v>
      </c>
      <c r="I501" s="6" t="inlineStr">
        <is>
          <t>Pet Boarding / Huấn luyện K9 &amp; Dịch vụ (20-22đ)</t>
        </is>
      </c>
      <c r="J501" s="56" t="n">
        <v>22</v>
      </c>
      <c r="K501" s="6" t="inlineStr">
        <is>
          <t>Chưa rõ giống (Cần quét Bio)</t>
        </is>
      </c>
      <c r="L501" s="56" t="n">
        <v>0</v>
      </c>
      <c r="M501" s="56" t="n">
        <v>0</v>
      </c>
      <c r="N501" s="6" t="inlineStr">
        <is>
          <t>Amazon link not found</t>
        </is>
      </c>
      <c r="O501" s="56">
        <f>IF(N501="Selling pet toys + Artificial grass/Pet toilets (TARGET)",15,IF(N501="Selling artificial grass/pet toilets (TARGET)",10,IF(N501="Selling pet toys",7,IF(N501="There's an Amazon link, but no target sales.",3,0))))</f>
        <v/>
      </c>
      <c r="P501" s="65">
        <f>H501+J501+L501+M501+O501</f>
        <v/>
      </c>
      <c r="Q501" s="66">
        <f>IF(OR(H501=0,P501&lt;30),"Tier D (Đóng băng)",IF(P501&gt;=85,"Tier S (Kim Cương: 85-100đ)",IF(P501&gt;=70,"Tier A (Vàng: 70-84đ)",IF(P501&gt;=61,"Tier B+ / Cấp A (Hot Lead: 61-69đ)",IF(P501&gt;=50,"Tier B (Bạc: 50-60đ)","Tier C (Đồng: 30-49đ)")))))</f>
        <v/>
      </c>
      <c r="R501" s="6" t="inlineStr">
        <is>
          <t>Cỏ nhân tạo sân chơi/huấn luyện (Dog Turf) + Đồ chơi nhai chịu lực (KONG/Chew Toys)</t>
        </is>
      </c>
      <c r="S501" s="6" t="inlineStr">
        <is>
          <t>Cấp B Tiềm năng: Tiếp cận tự động qua chuỗi Email Marketing + Chăm sóc bổ sung bằng Telesale</t>
        </is>
      </c>
    </row>
    <row r="502">
      <c r="A502" s="59" t="n">
        <v>128</v>
      </c>
      <c r="B502" s="15" t="inlineStr">
        <is>
          <t>Canine Revolution Dog Training</t>
        </is>
      </c>
      <c r="C502" s="60" t="inlineStr">
        <is>
          <t>https://www.facebook.com/caninerevolutiondogtraining</t>
        </is>
      </c>
      <c r="D502" s="9" t="inlineStr">
        <is>
          <t>Cần quét Bio Fanpage</t>
        </is>
      </c>
      <c r="E502" s="59" t="inlineStr">
        <is>
          <t>12/10/2026 21:01:02</t>
        </is>
      </c>
      <c r="F502" s="59" t="inlineStr">
        <is>
          <t>4 giờ trước</t>
        </is>
      </c>
      <c r="G502" s="61" t="n">
        <v>0.17</v>
      </c>
      <c r="H502" s="62" t="n">
        <v>32</v>
      </c>
      <c r="I502" s="9" t="inlineStr">
        <is>
          <t>Pet Boarding / Huấn luyện K9 &amp; Dịch vụ (20-22đ)</t>
        </is>
      </c>
      <c r="J502" s="62" t="n">
        <v>22</v>
      </c>
      <c r="K502" s="9" t="inlineStr">
        <is>
          <t>Chưa rõ giống (Cần quét Bio)</t>
        </is>
      </c>
      <c r="L502" s="62" t="n">
        <v>0</v>
      </c>
      <c r="M502" s="62" t="n">
        <v>0</v>
      </c>
      <c r="N502" s="9" t="inlineStr">
        <is>
          <t>Amazon link not found</t>
        </is>
      </c>
      <c r="O502" s="62">
        <f>IF(N502="Selling pet toys + Artificial grass/Pet toilets (TARGET)",15,IF(N502="Selling artificial grass/pet toilets (TARGET)",10,IF(N502="Selling pet toys",7,IF(N502="There's an Amazon link, but no target sales.",3,0))))</f>
        <v/>
      </c>
      <c r="P502" s="67">
        <f>H502+J502+L502+M502+O502</f>
        <v/>
      </c>
      <c r="Q502" s="66">
        <f>IF(OR(H502=0,P502&lt;30),"Tier D (Đóng băng)",IF(P502&gt;=85,"Tier S (Kim Cương: 85-100đ)",IF(P502&gt;=70,"Tier A (Vàng: 70-84đ)",IF(P502&gt;=61,"Tier B+ / Cấp A (Hot Lead: 61-69đ)",IF(P502&gt;=50,"Tier B (Bạc: 50-60đ)","Tier C (Đồng: 30-49đ)")))))</f>
        <v/>
      </c>
      <c r="R502" s="9" t="inlineStr">
        <is>
          <t>Cỏ nhân tạo sân chơi/huấn luyện (Dog Turf) + Đồ chơi nhai chịu lực (KONG/Chew Toys)</t>
        </is>
      </c>
      <c r="S502" s="9" t="inlineStr">
        <is>
          <t>Cấp B Tiềm năng: Tiếp cận tự động qua chuỗi Email Marketing + Chăm sóc bổ sung bằng Telesale</t>
        </is>
      </c>
    </row>
    <row r="503">
      <c r="A503" s="53" t="n">
        <v>1805</v>
      </c>
      <c r="B503" s="12" t="inlineStr">
        <is>
          <t>K9 Fun Zone</t>
        </is>
      </c>
      <c r="C503" s="54" t="inlineStr">
        <is>
          <t>https://www.facebook.com/k9funzone</t>
        </is>
      </c>
      <c r="D503" s="6" t="inlineStr">
        <is>
          <t>Cần quét Bio Fanpage</t>
        </is>
      </c>
      <c r="E503" s="53" t="inlineStr">
        <is>
          <t>12/10/2026 20:57:47</t>
        </is>
      </c>
      <c r="F503" s="53" t="inlineStr">
        <is>
          <t>7 giờ trước</t>
        </is>
      </c>
      <c r="G503" s="55" t="n">
        <v>0.29</v>
      </c>
      <c r="H503" s="56" t="n">
        <v>32</v>
      </c>
      <c r="I503" s="6" t="inlineStr">
        <is>
          <t>Pet Boarding / Huấn luyện K9 &amp; Dịch vụ (20-22đ)</t>
        </is>
      </c>
      <c r="J503" s="56" t="n">
        <v>22</v>
      </c>
      <c r="K503" s="6" t="inlineStr">
        <is>
          <t>Chưa rõ giống (Cần quét Bio)</t>
        </is>
      </c>
      <c r="L503" s="56" t="n">
        <v>0</v>
      </c>
      <c r="M503" s="56" t="n">
        <v>0</v>
      </c>
      <c r="N503" s="6" t="inlineStr">
        <is>
          <t>Amazon link not found</t>
        </is>
      </c>
      <c r="O503" s="56">
        <f>IF(N503="Selling pet toys + Artificial grass/Pet toilets (TARGET)",15,IF(N503="Selling artificial grass/pet toilets (TARGET)",10,IF(N503="Selling pet toys",7,IF(N503="There's an Amazon link, but no target sales.",3,0))))</f>
        <v/>
      </c>
      <c r="P503" s="65">
        <f>H503+J503+L503+M503+O503</f>
        <v/>
      </c>
      <c r="Q503" s="66">
        <f>IF(OR(H503=0,P503&lt;30),"Tier D (Đóng băng)",IF(P503&gt;=85,"Tier S (Kim Cương: 85-100đ)",IF(P503&gt;=70,"Tier A (Vàng: 70-84đ)",IF(P503&gt;=61,"Tier B+ / Cấp A (Hot Lead: 61-69đ)",IF(P503&gt;=50,"Tier B (Bạc: 50-60đ)","Tier C (Đồng: 30-49đ)")))))</f>
        <v/>
      </c>
      <c r="R503" s="6" t="inlineStr">
        <is>
          <t>Cỏ nhân tạo sân chơi/huấn luyện (Dog Turf) + Đồ chơi nhai chịu lực (KONG/Chew Toys)</t>
        </is>
      </c>
      <c r="S503" s="6" t="inlineStr">
        <is>
          <t>Cấp B Tiềm năng: Tiếp cận tự động qua chuỗi Email Marketing + Chăm sóc bổ sung bằng Telesale</t>
        </is>
      </c>
    </row>
    <row r="504">
      <c r="A504" s="59" t="n">
        <v>1817</v>
      </c>
      <c r="B504" s="15" t="inlineStr">
        <is>
          <t>K9 Optima</t>
        </is>
      </c>
      <c r="C504" s="60" t="inlineStr">
        <is>
          <t>https://www.facebook.com/k9optima</t>
        </is>
      </c>
      <c r="D504" s="9" t="inlineStr">
        <is>
          <t>Cần quét Bio Fanpage</t>
        </is>
      </c>
      <c r="E504" s="59" t="inlineStr">
        <is>
          <t>12/10/2026 20:55:31</t>
        </is>
      </c>
      <c r="F504" s="59" t="inlineStr">
        <is>
          <t>7 giờ trước</t>
        </is>
      </c>
      <c r="G504" s="61" t="n">
        <v>0.29</v>
      </c>
      <c r="H504" s="62" t="n">
        <v>32</v>
      </c>
      <c r="I504" s="9" t="inlineStr">
        <is>
          <t>Pet Boarding / Huấn luyện K9 &amp; Dịch vụ (20-22đ)</t>
        </is>
      </c>
      <c r="J504" s="62" t="n">
        <v>22</v>
      </c>
      <c r="K504" s="9" t="inlineStr">
        <is>
          <t>Chưa rõ giống (Cần quét Bio)</t>
        </is>
      </c>
      <c r="L504" s="62" t="n">
        <v>0</v>
      </c>
      <c r="M504" s="62" t="n">
        <v>0</v>
      </c>
      <c r="N504" s="9" t="inlineStr">
        <is>
          <t>Amazon link not found</t>
        </is>
      </c>
      <c r="O504" s="62">
        <f>IF(N504="Selling pet toys + Artificial grass/Pet toilets (TARGET)",15,IF(N504="Selling artificial grass/pet toilets (TARGET)",10,IF(N504="Selling pet toys",7,IF(N504="There's an Amazon link, but no target sales.",3,0))))</f>
        <v/>
      </c>
      <c r="P504" s="67">
        <f>H504+J504+L504+M504+O504</f>
        <v/>
      </c>
      <c r="Q504" s="66">
        <f>IF(OR(H504=0,P504&lt;30),"Tier D (Đóng băng)",IF(P504&gt;=85,"Tier S (Kim Cương: 85-100đ)",IF(P504&gt;=70,"Tier A (Vàng: 70-84đ)",IF(P504&gt;=61,"Tier B+ / Cấp A (Hot Lead: 61-69đ)",IF(P504&gt;=50,"Tier B (Bạc: 50-60đ)","Tier C (Đồng: 30-49đ)")))))</f>
        <v/>
      </c>
      <c r="R504" s="9" t="inlineStr">
        <is>
          <t>Cỏ nhân tạo sân chơi/huấn luyện (Dog Turf) + Đồ chơi nhai chịu lực (KONG/Chew Toys)</t>
        </is>
      </c>
      <c r="S504" s="9" t="inlineStr">
        <is>
          <t>Cấp B Tiềm năng: Tiếp cận tự động qua chuỗi Email Marketing + Chăm sóc bổ sung bằng Telesale</t>
        </is>
      </c>
    </row>
    <row r="505">
      <c r="A505" s="53" t="n">
        <v>1256</v>
      </c>
      <c r="B505" s="12" t="inlineStr">
        <is>
          <t>Dynamite Dog Training</t>
        </is>
      </c>
      <c r="C505" s="54" t="inlineStr">
        <is>
          <t>https://www.facebook.com/dynamitedogtraining</t>
        </is>
      </c>
      <c r="D505" s="6" t="inlineStr">
        <is>
          <t>Cần quét Bio Fanpage</t>
        </is>
      </c>
      <c r="E505" s="53" t="inlineStr">
        <is>
          <t>12/10/2026 20:01:24</t>
        </is>
      </c>
      <c r="F505" s="53" t="inlineStr">
        <is>
          <t>7 giờ trước</t>
        </is>
      </c>
      <c r="G505" s="55" t="n">
        <v>0.29</v>
      </c>
      <c r="H505" s="56" t="n">
        <v>32</v>
      </c>
      <c r="I505" s="6" t="inlineStr">
        <is>
          <t>Pet Boarding / Huấn luyện K9 &amp; Dịch vụ (20-22đ)</t>
        </is>
      </c>
      <c r="J505" s="56" t="n">
        <v>22</v>
      </c>
      <c r="K505" s="6" t="inlineStr">
        <is>
          <t>Chưa rõ giống (Cần quét Bio)</t>
        </is>
      </c>
      <c r="L505" s="56" t="n">
        <v>0</v>
      </c>
      <c r="M505" s="56" t="n">
        <v>0</v>
      </c>
      <c r="N505" s="6" t="inlineStr">
        <is>
          <t>Amazon link not found</t>
        </is>
      </c>
      <c r="O505" s="56">
        <f>IF(N505="Selling pet toys + Artificial grass/Pet toilets (TARGET)",15,IF(N505="Selling artificial grass/pet toilets (TARGET)",10,IF(N505="Selling pet toys",7,IF(N505="There's an Amazon link, but no target sales.",3,0))))</f>
        <v/>
      </c>
      <c r="P505" s="65">
        <f>H505+J505+L505+M505+O505</f>
        <v/>
      </c>
      <c r="Q505" s="66">
        <f>IF(OR(H505=0,P505&lt;30),"Tier D (Đóng băng)",IF(P505&gt;=85,"Tier S (Kim Cương: 85-100đ)",IF(P505&gt;=70,"Tier A (Vàng: 70-84đ)",IF(P505&gt;=61,"Tier B+ / Cấp A (Hot Lead: 61-69đ)",IF(P505&gt;=50,"Tier B (Bạc: 50-60đ)","Tier C (Đồng: 30-49đ)")))))</f>
        <v/>
      </c>
      <c r="R505" s="6" t="inlineStr">
        <is>
          <t>Cỏ nhân tạo sân chơi/huấn luyện (Dog Turf) + Đồ chơi nhai chịu lực (KONG/Chew Toys)</t>
        </is>
      </c>
      <c r="S505" s="6" t="inlineStr">
        <is>
          <t>Cấp B Tiềm năng: Tiếp cận tự động qua chuỗi Email Marketing + Chăm sóc bổ sung bằng Telesale</t>
        </is>
      </c>
    </row>
    <row r="506">
      <c r="A506" s="59" t="n">
        <v>2858</v>
      </c>
      <c r="B506" s="15" t="inlineStr">
        <is>
          <t>Serafim Dog Training</t>
        </is>
      </c>
      <c r="C506" s="60" t="inlineStr">
        <is>
          <t>https://www.facebook.com/profile.php?id=61573318749080</t>
        </is>
      </c>
      <c r="D506" s="9" t="inlineStr">
        <is>
          <t>Cần quét Bio Fanpage</t>
        </is>
      </c>
      <c r="E506" s="59" t="inlineStr">
        <is>
          <t>12/10/2026 19:43:09</t>
        </is>
      </c>
      <c r="F506" s="59" t="inlineStr">
        <is>
          <t>10 giờ trước</t>
        </is>
      </c>
      <c r="G506" s="61" t="n">
        <v>0.42</v>
      </c>
      <c r="H506" s="62" t="n">
        <v>32</v>
      </c>
      <c r="I506" s="9" t="inlineStr">
        <is>
          <t>Pet Boarding / Huấn luyện K9 &amp; Dịch vụ (20-22đ)</t>
        </is>
      </c>
      <c r="J506" s="62" t="n">
        <v>22</v>
      </c>
      <c r="K506" s="9" t="inlineStr">
        <is>
          <t>Chưa rõ giống (Cần quét Bio)</t>
        </is>
      </c>
      <c r="L506" s="62" t="n">
        <v>0</v>
      </c>
      <c r="M506" s="62" t="n">
        <v>0</v>
      </c>
      <c r="N506" s="9" t="inlineStr">
        <is>
          <t>Amazon link not found</t>
        </is>
      </c>
      <c r="O506" s="62">
        <f>IF(N506="Selling pet toys + Artificial grass/Pet toilets (TARGET)",15,IF(N506="Selling artificial grass/pet toilets (TARGET)",10,IF(N506="Selling pet toys",7,IF(N506="There's an Amazon link, but no target sales.",3,0))))</f>
        <v/>
      </c>
      <c r="P506" s="67">
        <f>H506+J506+L506+M506+O506</f>
        <v/>
      </c>
      <c r="Q506" s="66">
        <f>IF(OR(H506=0,P506&lt;30),"Tier D (Đóng băng)",IF(P506&gt;=85,"Tier S (Kim Cương: 85-100đ)",IF(P506&gt;=70,"Tier A (Vàng: 70-84đ)",IF(P506&gt;=61,"Tier B+ / Cấp A (Hot Lead: 61-69đ)",IF(P506&gt;=50,"Tier B (Bạc: 50-60đ)","Tier C (Đồng: 30-49đ)")))))</f>
        <v/>
      </c>
      <c r="R506" s="9" t="inlineStr">
        <is>
          <t>Cỏ nhân tạo sân chơi/huấn luyện (Dog Turf) + Đồ chơi nhai chịu lực (KONG/Chew Toys)</t>
        </is>
      </c>
      <c r="S506" s="9" t="inlineStr">
        <is>
          <t>Cấp B Tiềm năng: Tiếp cận tự động qua chuỗi Email Marketing + Chăm sóc bổ sung bằng Telesale</t>
        </is>
      </c>
    </row>
    <row r="507">
      <c r="A507" s="53" t="n">
        <v>142</v>
      </c>
      <c r="B507" s="12" t="inlineStr">
        <is>
          <t>Darwin's Dog Training School</t>
        </is>
      </c>
      <c r="C507" s="54" t="inlineStr">
        <is>
          <t>https://www.facebook.com/DarwinsDogTrainingSchool</t>
        </is>
      </c>
      <c r="D507" s="6" t="inlineStr">
        <is>
          <t>Cần quét Bio Fanpage</t>
        </is>
      </c>
      <c r="E507" s="53" t="inlineStr">
        <is>
          <t>12/10/2026 19:36:03</t>
        </is>
      </c>
      <c r="F507" s="53" t="inlineStr">
        <is>
          <t>5 giờ trước</t>
        </is>
      </c>
      <c r="G507" s="55" t="n">
        <v>0.21</v>
      </c>
      <c r="H507" s="56" t="n">
        <v>32</v>
      </c>
      <c r="I507" s="6" t="inlineStr">
        <is>
          <t>Pet Boarding / Huấn luyện K9 &amp; Dịch vụ (20-22đ)</t>
        </is>
      </c>
      <c r="J507" s="56" t="n">
        <v>22</v>
      </c>
      <c r="K507" s="6" t="inlineStr">
        <is>
          <t>Chưa rõ giống (Cần quét Bio)</t>
        </is>
      </c>
      <c r="L507" s="56" t="n">
        <v>0</v>
      </c>
      <c r="M507" s="56" t="n">
        <v>0</v>
      </c>
      <c r="N507" s="6" t="inlineStr">
        <is>
          <t>Amazon link not found</t>
        </is>
      </c>
      <c r="O507" s="56">
        <f>IF(N507="Selling pet toys + Artificial grass/Pet toilets (TARGET)",15,IF(N507="Selling artificial grass/pet toilets (TARGET)",10,IF(N507="Selling pet toys",7,IF(N507="There's an Amazon link, but no target sales.",3,0))))</f>
        <v/>
      </c>
      <c r="P507" s="65">
        <f>H507+J507+L507+M507+O507</f>
        <v/>
      </c>
      <c r="Q507" s="66">
        <f>IF(OR(H507=0,P507&lt;30),"Tier D (Đóng băng)",IF(P507&gt;=85,"Tier S (Kim Cương: 85-100đ)",IF(P507&gt;=70,"Tier A (Vàng: 70-84đ)",IF(P507&gt;=61,"Tier B+ / Cấp A (Hot Lead: 61-69đ)",IF(P507&gt;=50,"Tier B (Bạc: 50-60đ)","Tier C (Đồng: 30-49đ)")))))</f>
        <v/>
      </c>
      <c r="R507" s="6" t="inlineStr">
        <is>
          <t>Cỏ nhân tạo sân chơi/huấn luyện (Dog Turf) + Đồ chơi nhai chịu lực (KONG/Chew Toys)</t>
        </is>
      </c>
      <c r="S507" s="6" t="inlineStr">
        <is>
          <t>Cấp B Tiềm năng: Tiếp cận tự động qua chuỗi Email Marketing + Chăm sóc bổ sung bằng Telesale</t>
        </is>
      </c>
    </row>
    <row r="508">
      <c r="A508" s="59" t="n">
        <v>2417</v>
      </c>
      <c r="B508" s="15" t="inlineStr">
        <is>
          <t>Pawsability Dog Training</t>
        </is>
      </c>
      <c r="C508" s="60" t="inlineStr">
        <is>
          <t>https://www.facebook.com/catcombefarmsomerton</t>
        </is>
      </c>
      <c r="D508" s="9" t="inlineStr">
        <is>
          <t>Cần quét Bio Fanpage</t>
        </is>
      </c>
      <c r="E508" s="59" t="inlineStr">
        <is>
          <t>12/10/2026 19:18:23</t>
        </is>
      </c>
      <c r="F508" s="59" t="inlineStr">
        <is>
          <t>9 giờ trước</t>
        </is>
      </c>
      <c r="G508" s="61" t="n">
        <v>0.38</v>
      </c>
      <c r="H508" s="62" t="n">
        <v>32</v>
      </c>
      <c r="I508" s="9" t="inlineStr">
        <is>
          <t>Pet Boarding / Huấn luyện K9 &amp; Dịch vụ (20-22đ)</t>
        </is>
      </c>
      <c r="J508" s="62" t="n">
        <v>22</v>
      </c>
      <c r="K508" s="9" t="inlineStr">
        <is>
          <t>Chưa rõ giống (Cần quét Bio)</t>
        </is>
      </c>
      <c r="L508" s="62" t="n">
        <v>0</v>
      </c>
      <c r="M508" s="62" t="n">
        <v>0</v>
      </c>
      <c r="N508" s="9" t="inlineStr">
        <is>
          <t>Amazon link not found</t>
        </is>
      </c>
      <c r="O508" s="62">
        <f>IF(N508="Selling pet toys + Artificial grass/Pet toilets (TARGET)",15,IF(N508="Selling artificial grass/pet toilets (TARGET)",10,IF(N508="Selling pet toys",7,IF(N508="There's an Amazon link, but no target sales.",3,0))))</f>
        <v/>
      </c>
      <c r="P508" s="67">
        <f>H508+J508+L508+M508+O508</f>
        <v/>
      </c>
      <c r="Q508" s="66">
        <f>IF(OR(H508=0,P508&lt;30),"Tier D (Đóng băng)",IF(P508&gt;=85,"Tier S (Kim Cương: 85-100đ)",IF(P508&gt;=70,"Tier A (Vàng: 70-84đ)",IF(P508&gt;=61,"Tier B+ / Cấp A (Hot Lead: 61-69đ)",IF(P508&gt;=50,"Tier B (Bạc: 50-60đ)","Tier C (Đồng: 30-49đ)")))))</f>
        <v/>
      </c>
      <c r="R508" s="9" t="inlineStr">
        <is>
          <t>Cỏ nhân tạo sân chơi/huấn luyện (Dog Turf) + Đồ chơi nhai chịu lực (KONG/Chew Toys)</t>
        </is>
      </c>
      <c r="S508" s="9" t="inlineStr">
        <is>
          <t>Cấp B Tiềm năng: Tiếp cận tự động qua chuỗi Email Marketing + Chăm sóc bổ sung bằng Telesale</t>
        </is>
      </c>
    </row>
    <row r="509">
      <c r="A509" s="53" t="n">
        <v>1137</v>
      </c>
      <c r="B509" s="12" t="inlineStr">
        <is>
          <t>Doghouse Training</t>
        </is>
      </c>
      <c r="C509" s="54" t="inlineStr">
        <is>
          <t>https://www.facebook.com/profile.php?id=100064906321761</t>
        </is>
      </c>
      <c r="D509" s="6" t="inlineStr">
        <is>
          <t>Cần quét Bio Fanpage</t>
        </is>
      </c>
      <c r="E509" s="53" t="inlineStr">
        <is>
          <t>12/10/2026 19:12:19</t>
        </is>
      </c>
      <c r="F509" s="53" t="inlineStr">
        <is>
          <t>7 giờ trước</t>
        </is>
      </c>
      <c r="G509" s="55" t="n">
        <v>0.29</v>
      </c>
      <c r="H509" s="56" t="n">
        <v>32</v>
      </c>
      <c r="I509" s="6" t="inlineStr">
        <is>
          <t>Pet Boarding / Huấn luyện K9 &amp; Dịch vụ (20-22đ)</t>
        </is>
      </c>
      <c r="J509" s="56" t="n">
        <v>22</v>
      </c>
      <c r="K509" s="6" t="inlineStr">
        <is>
          <t>Chưa rõ giống (Cần quét Bio)</t>
        </is>
      </c>
      <c r="L509" s="56" t="n">
        <v>0</v>
      </c>
      <c r="M509" s="56" t="n">
        <v>0</v>
      </c>
      <c r="N509" s="6" t="inlineStr">
        <is>
          <t>Amazon link not found</t>
        </is>
      </c>
      <c r="O509" s="56">
        <f>IF(N509="Selling pet toys + Artificial grass/Pet toilets (TARGET)",15,IF(N509="Selling artificial grass/pet toilets (TARGET)",10,IF(N509="Selling pet toys",7,IF(N509="There's an Amazon link, but no target sales.",3,0))))</f>
        <v/>
      </c>
      <c r="P509" s="65">
        <f>H509+J509+L509+M509+O509</f>
        <v/>
      </c>
      <c r="Q509" s="66">
        <f>IF(OR(H509=0,P509&lt;30),"Tier D (Đóng băng)",IF(P509&gt;=85,"Tier S (Kim Cương: 85-100đ)",IF(P509&gt;=70,"Tier A (Vàng: 70-84đ)",IF(P509&gt;=61,"Tier B+ / Cấp A (Hot Lead: 61-69đ)",IF(P509&gt;=50,"Tier B (Bạc: 50-60đ)","Tier C (Đồng: 30-49đ)")))))</f>
        <v/>
      </c>
      <c r="R509" s="6" t="inlineStr">
        <is>
          <t>Cỏ nhân tạo sân chơi/huấn luyện (Dog Turf) + Đồ chơi nhai chịu lực (KONG/Chew Toys)</t>
        </is>
      </c>
      <c r="S509" s="6" t="inlineStr">
        <is>
          <t>Cấp B Tiềm năng: Tiếp cận tự động qua chuỗi Email Marketing + Chăm sóc bổ sung bằng Telesale</t>
        </is>
      </c>
    </row>
    <row r="510">
      <c r="A510" s="59" t="n">
        <v>3184</v>
      </c>
      <c r="B510" s="15" t="inlineStr">
        <is>
          <t>Throw Me a Bone - Dog Training &amp; Behaviour</t>
        </is>
      </c>
      <c r="C510" s="60" t="inlineStr">
        <is>
          <t>https://www.facebook.com/tmb.dogtraining</t>
        </is>
      </c>
      <c r="D510" s="9" t="inlineStr">
        <is>
          <t>Cần quét Bio Fanpage</t>
        </is>
      </c>
      <c r="E510" s="59" t="inlineStr">
        <is>
          <t>12/10/2026 19:09:36</t>
        </is>
      </c>
      <c r="F510" s="59" t="inlineStr">
        <is>
          <t>11 giờ trước</t>
        </is>
      </c>
      <c r="G510" s="61" t="n">
        <v>0.46</v>
      </c>
      <c r="H510" s="62" t="n">
        <v>32</v>
      </c>
      <c r="I510" s="9" t="inlineStr">
        <is>
          <t>Pet Boarding / Huấn luyện K9 &amp; Dịch vụ (20-22đ)</t>
        </is>
      </c>
      <c r="J510" s="62" t="n">
        <v>22</v>
      </c>
      <c r="K510" s="9" t="inlineStr">
        <is>
          <t>Chưa rõ giống (Cần quét Bio)</t>
        </is>
      </c>
      <c r="L510" s="62" t="n">
        <v>0</v>
      </c>
      <c r="M510" s="62" t="n">
        <v>0</v>
      </c>
      <c r="N510" s="9" t="inlineStr">
        <is>
          <t>Amazon link not found</t>
        </is>
      </c>
      <c r="O510" s="62">
        <f>IF(N510="Selling pet toys + Artificial grass/Pet toilets (TARGET)",15,IF(N510="Selling artificial grass/pet toilets (TARGET)",10,IF(N510="Selling pet toys",7,IF(N510="There's an Amazon link, but no target sales.",3,0))))</f>
        <v/>
      </c>
      <c r="P510" s="67">
        <f>H510+J510+L510+M510+O510</f>
        <v/>
      </c>
      <c r="Q510" s="66">
        <f>IF(OR(H510=0,P510&lt;30),"Tier D (Đóng băng)",IF(P510&gt;=85,"Tier S (Kim Cương: 85-100đ)",IF(P510&gt;=70,"Tier A (Vàng: 70-84đ)",IF(P510&gt;=61,"Tier B+ / Cấp A (Hot Lead: 61-69đ)",IF(P510&gt;=50,"Tier B (Bạc: 50-60đ)","Tier C (Đồng: 30-49đ)")))))</f>
        <v/>
      </c>
      <c r="R510" s="9" t="inlineStr">
        <is>
          <t>Cỏ nhân tạo sân chơi/huấn luyện (Dog Turf) + Đồ chơi nhai chịu lực (KONG/Chew Toys)</t>
        </is>
      </c>
      <c r="S510" s="9" t="inlineStr">
        <is>
          <t>Cấp B Tiềm năng: Tiếp cận tự động qua chuỗi Email Marketing + Chăm sóc bổ sung bằng Telesale</t>
        </is>
      </c>
    </row>
    <row r="511">
      <c r="A511" s="53" t="n">
        <v>3353</v>
      </c>
      <c r="B511" s="12" t="inlineStr">
        <is>
          <t>Voyagers K9 Apparel</t>
        </is>
      </c>
      <c r="C511" s="54" t="inlineStr">
        <is>
          <t>https://www.facebook.com/voyagersk9apparel</t>
        </is>
      </c>
      <c r="D511" s="6" t="inlineStr">
        <is>
          <t>Cần quét Bio Fanpage</t>
        </is>
      </c>
      <c r="E511" s="53" t="inlineStr">
        <is>
          <t>12/10/2026 19:00:03</t>
        </is>
      </c>
      <c r="F511" s="53" t="inlineStr">
        <is>
          <t>11 giờ trước</t>
        </is>
      </c>
      <c r="G511" s="55" t="n">
        <v>0.46</v>
      </c>
      <c r="H511" s="56" t="n">
        <v>32</v>
      </c>
      <c r="I511" s="6" t="inlineStr">
        <is>
          <t>Pet Boarding / Huấn luyện K9 &amp; Dịch vụ (20-22đ)</t>
        </is>
      </c>
      <c r="J511" s="56" t="n">
        <v>22</v>
      </c>
      <c r="K511" s="6" t="inlineStr">
        <is>
          <t>Chưa rõ giống (Cần quét Bio)</t>
        </is>
      </c>
      <c r="L511" s="56" t="n">
        <v>0</v>
      </c>
      <c r="M511" s="56" t="n">
        <v>0</v>
      </c>
      <c r="N511" s="6" t="inlineStr">
        <is>
          <t>Amazon link not found</t>
        </is>
      </c>
      <c r="O511" s="56">
        <f>IF(N511="Selling pet toys + Artificial grass/Pet toilets (TARGET)",15,IF(N511="Selling artificial grass/pet toilets (TARGET)",10,IF(N511="Selling pet toys",7,IF(N511="There's an Amazon link, but no target sales.",3,0))))</f>
        <v/>
      </c>
      <c r="P511" s="65">
        <f>H511+J511+L511+M511+O511</f>
        <v/>
      </c>
      <c r="Q511" s="66">
        <f>IF(OR(H511=0,P511&lt;30),"Tier D (Đóng băng)",IF(P511&gt;=85,"Tier S (Kim Cương: 85-100đ)",IF(P511&gt;=70,"Tier A (Vàng: 70-84đ)",IF(P511&gt;=61,"Tier B+ / Cấp A (Hot Lead: 61-69đ)",IF(P511&gt;=50,"Tier B (Bạc: 50-60đ)","Tier C (Đồng: 30-49đ)")))))</f>
        <v/>
      </c>
      <c r="R511" s="6" t="inlineStr">
        <is>
          <t>Cỏ nhân tạo sân chơi/huấn luyện (Dog Turf) + Đồ chơi nhai chịu lực (KONG/Chew Toys)</t>
        </is>
      </c>
      <c r="S511" s="6" t="inlineStr">
        <is>
          <t>Cấp B Tiềm năng: Tiếp cận tự động qua chuỗi Email Marketing + Chăm sóc bổ sung bằng Telesale</t>
        </is>
      </c>
    </row>
    <row r="512">
      <c r="A512" s="59" t="n">
        <v>140</v>
      </c>
      <c r="B512" s="15" t="inlineStr">
        <is>
          <t>Craze Dog Training</t>
        </is>
      </c>
      <c r="C512" s="60" t="inlineStr">
        <is>
          <t>https://www.facebook.com/profile.php?id=61552708209957</t>
        </is>
      </c>
      <c r="D512" s="9" t="inlineStr">
        <is>
          <t>Cần quét Bio Fanpage</t>
        </is>
      </c>
      <c r="E512" s="59" t="inlineStr">
        <is>
          <t>12/10/2026 18:25:47</t>
        </is>
      </c>
      <c r="F512" s="59" t="inlineStr">
        <is>
          <t>6 giờ trước</t>
        </is>
      </c>
      <c r="G512" s="61" t="n">
        <v>0.25</v>
      </c>
      <c r="H512" s="62" t="n">
        <v>32</v>
      </c>
      <c r="I512" s="9" t="inlineStr">
        <is>
          <t>Pet Boarding / Huấn luyện K9 &amp; Dịch vụ (20-22đ)</t>
        </is>
      </c>
      <c r="J512" s="62" t="n">
        <v>22</v>
      </c>
      <c r="K512" s="9" t="inlineStr">
        <is>
          <t>Chưa rõ giống (Cần quét Bio)</t>
        </is>
      </c>
      <c r="L512" s="62" t="n">
        <v>0</v>
      </c>
      <c r="M512" s="62" t="n">
        <v>0</v>
      </c>
      <c r="N512" s="9" t="inlineStr">
        <is>
          <t>Amazon link not found</t>
        </is>
      </c>
      <c r="O512" s="62">
        <f>IF(N512="Selling pet toys + Artificial grass/Pet toilets (TARGET)",15,IF(N512="Selling artificial grass/pet toilets (TARGET)",10,IF(N512="Selling pet toys",7,IF(N512="There's an Amazon link, but no target sales.",3,0))))</f>
        <v/>
      </c>
      <c r="P512" s="67">
        <f>H512+J512+L512+M512+O512</f>
        <v/>
      </c>
      <c r="Q512" s="66">
        <f>IF(OR(H512=0,P512&lt;30),"Tier D (Đóng băng)",IF(P512&gt;=85,"Tier S (Kim Cương: 85-100đ)",IF(P512&gt;=70,"Tier A (Vàng: 70-84đ)",IF(P512&gt;=61,"Tier B+ / Cấp A (Hot Lead: 61-69đ)",IF(P512&gt;=50,"Tier B (Bạc: 50-60đ)","Tier C (Đồng: 30-49đ)")))))</f>
        <v/>
      </c>
      <c r="R512" s="9" t="inlineStr">
        <is>
          <t>Cỏ nhân tạo sân chơi/huấn luyện (Dog Turf) + Đồ chơi nhai chịu lực (KONG/Chew Toys)</t>
        </is>
      </c>
      <c r="S512" s="9" t="inlineStr">
        <is>
          <t>Cấp B Tiềm năng: Tiếp cận tự động qua chuỗi Email Marketing + Chăm sóc bổ sung bằng Telesale</t>
        </is>
      </c>
    </row>
    <row r="513">
      <c r="A513" s="53" t="n">
        <v>1806</v>
      </c>
      <c r="B513" s="12" t="inlineStr">
        <is>
          <t>K9 Heroes 4 Heroes</t>
        </is>
      </c>
      <c r="C513" s="54" t="inlineStr">
        <is>
          <t>https://www.facebook.com/K9H4H</t>
        </is>
      </c>
      <c r="D513" s="6" t="inlineStr">
        <is>
          <t>Cần quét Bio Fanpage</t>
        </is>
      </c>
      <c r="E513" s="53" t="inlineStr">
        <is>
          <t>12/10/2026 18:00:36</t>
        </is>
      </c>
      <c r="F513" s="53" t="inlineStr">
        <is>
          <t>10 giờ trước</t>
        </is>
      </c>
      <c r="G513" s="55" t="n">
        <v>0.42</v>
      </c>
      <c r="H513" s="56" t="n">
        <v>32</v>
      </c>
      <c r="I513" s="6" t="inlineStr">
        <is>
          <t>Pet Boarding / Huấn luyện K9 &amp; Dịch vụ (20-22đ)</t>
        </is>
      </c>
      <c r="J513" s="56" t="n">
        <v>22</v>
      </c>
      <c r="K513" s="6" t="inlineStr">
        <is>
          <t>Chưa rõ giống (Cần quét Bio)</t>
        </is>
      </c>
      <c r="L513" s="56" t="n">
        <v>0</v>
      </c>
      <c r="M513" s="56" t="n">
        <v>0</v>
      </c>
      <c r="N513" s="6" t="inlineStr">
        <is>
          <t>Amazon link not found</t>
        </is>
      </c>
      <c r="O513" s="56">
        <f>IF(N513="Selling pet toys + Artificial grass/Pet toilets (TARGET)",15,IF(N513="Selling artificial grass/pet toilets (TARGET)",10,IF(N513="Selling pet toys",7,IF(N513="There's an Amazon link, but no target sales.",3,0))))</f>
        <v/>
      </c>
      <c r="P513" s="65">
        <f>H513+J513+L513+M513+O513</f>
        <v/>
      </c>
      <c r="Q513" s="66">
        <f>IF(OR(H513=0,P513&lt;30),"Tier D (Đóng băng)",IF(P513&gt;=85,"Tier S (Kim Cương: 85-100đ)",IF(P513&gt;=70,"Tier A (Vàng: 70-84đ)",IF(P513&gt;=61,"Tier B+ / Cấp A (Hot Lead: 61-69đ)",IF(P513&gt;=50,"Tier B (Bạc: 50-60đ)","Tier C (Đồng: 30-49đ)")))))</f>
        <v/>
      </c>
      <c r="R513" s="6" t="inlineStr">
        <is>
          <t>Cỏ nhân tạo sân chơi/huấn luyện (Dog Turf) + Đồ chơi nhai chịu lực (KONG/Chew Toys)</t>
        </is>
      </c>
      <c r="S513" s="6" t="inlineStr">
        <is>
          <t>Cấp B Tiềm năng: Tiếp cận tự động qua chuỗi Email Marketing + Chăm sóc bổ sung bằng Telesale</t>
        </is>
      </c>
    </row>
    <row r="514">
      <c r="A514" s="59" t="n">
        <v>868</v>
      </c>
      <c r="B514" s="15" t="inlineStr">
        <is>
          <t>Celtic K9</t>
        </is>
      </c>
      <c r="C514" s="60" t="inlineStr">
        <is>
          <t>https://www.facebook.com/celtick9</t>
        </is>
      </c>
      <c r="D514" s="9" t="inlineStr">
        <is>
          <t>Cần quét Bio Fanpage</t>
        </is>
      </c>
      <c r="E514" s="59" t="inlineStr">
        <is>
          <t>12/10/2026 17:35:30</t>
        </is>
      </c>
      <c r="F514" s="59" t="inlineStr">
        <is>
          <t>8 giờ trước</t>
        </is>
      </c>
      <c r="G514" s="61" t="n">
        <v>0.33</v>
      </c>
      <c r="H514" s="62" t="n">
        <v>32</v>
      </c>
      <c r="I514" s="9" t="inlineStr">
        <is>
          <t>Pet Boarding / Huấn luyện K9 &amp; Dịch vụ (20-22đ)</t>
        </is>
      </c>
      <c r="J514" s="62" t="n">
        <v>22</v>
      </c>
      <c r="K514" s="9" t="inlineStr">
        <is>
          <t>Chưa rõ giống (Cần quét Bio)</t>
        </is>
      </c>
      <c r="L514" s="62" t="n">
        <v>0</v>
      </c>
      <c r="M514" s="62" t="n">
        <v>0</v>
      </c>
      <c r="N514" s="9" t="inlineStr">
        <is>
          <t>Amazon link not found</t>
        </is>
      </c>
      <c r="O514" s="62">
        <f>IF(N514="Selling pet toys + Artificial grass/Pet toilets (TARGET)",15,IF(N514="Selling artificial grass/pet toilets (TARGET)",10,IF(N514="Selling pet toys",7,IF(N514="There's an Amazon link, but no target sales.",3,0))))</f>
        <v/>
      </c>
      <c r="P514" s="67">
        <f>H514+J514+L514+M514+O514</f>
        <v/>
      </c>
      <c r="Q514" s="66">
        <f>IF(OR(H514=0,P514&lt;30),"Tier D (Đóng băng)",IF(P514&gt;=85,"Tier S (Kim Cương: 85-100đ)",IF(P514&gt;=70,"Tier A (Vàng: 70-84đ)",IF(P514&gt;=61,"Tier B+ / Cấp A (Hot Lead: 61-69đ)",IF(P514&gt;=50,"Tier B (Bạc: 50-60đ)","Tier C (Đồng: 30-49đ)")))))</f>
        <v/>
      </c>
      <c r="R514" s="9" t="inlineStr">
        <is>
          <t>Cỏ nhân tạo sân chơi/huấn luyện (Dog Turf) + Đồ chơi nhai chịu lực (KONG/Chew Toys)</t>
        </is>
      </c>
      <c r="S514" s="9" t="inlineStr">
        <is>
          <t>Cấp B Tiềm năng: Tiếp cận tự động qua chuỗi Email Marketing + Chăm sóc bổ sung bằng Telesale</t>
        </is>
      </c>
    </row>
    <row r="515">
      <c r="A515" s="53" t="n">
        <v>3318</v>
      </c>
      <c r="B515" s="12" t="inlineStr">
        <is>
          <t>vibadog.training</t>
        </is>
      </c>
      <c r="C515" s="54" t="inlineStr">
        <is>
          <t>https://www.facebook.com/profile.php?id=61575490034394</t>
        </is>
      </c>
      <c r="D515" s="6" t="inlineStr">
        <is>
          <t>Cần quét Bio Fanpage</t>
        </is>
      </c>
      <c r="E515" s="53" t="inlineStr">
        <is>
          <t>12/10/2026 17:22:18</t>
        </is>
      </c>
      <c r="F515" s="53" t="inlineStr">
        <is>
          <t>13 giờ trước</t>
        </is>
      </c>
      <c r="G515" s="55" t="n">
        <v>0.54</v>
      </c>
      <c r="H515" s="56" t="n">
        <v>32</v>
      </c>
      <c r="I515" s="6" t="inlineStr">
        <is>
          <t>Pet Boarding / Huấn luyện K9 &amp; Dịch vụ (20-22đ)</t>
        </is>
      </c>
      <c r="J515" s="56" t="n">
        <v>22</v>
      </c>
      <c r="K515" s="6" t="inlineStr">
        <is>
          <t>Chưa rõ giống (Cần quét Bio)</t>
        </is>
      </c>
      <c r="L515" s="56" t="n">
        <v>0</v>
      </c>
      <c r="M515" s="56" t="n">
        <v>0</v>
      </c>
      <c r="N515" s="6" t="inlineStr">
        <is>
          <t>Amazon link not found</t>
        </is>
      </c>
      <c r="O515" s="56">
        <f>IF(N515="Selling pet toys + Artificial grass/Pet toilets (TARGET)",15,IF(N515="Selling artificial grass/pet toilets (TARGET)",10,IF(N515="Selling pet toys",7,IF(N515="There's an Amazon link, but no target sales.",3,0))))</f>
        <v/>
      </c>
      <c r="P515" s="65">
        <f>H515+J515+L515+M515+O515</f>
        <v/>
      </c>
      <c r="Q515" s="66">
        <f>IF(OR(H515=0,P515&lt;30),"Tier D (Đóng băng)",IF(P515&gt;=85,"Tier S (Kim Cương: 85-100đ)",IF(P515&gt;=70,"Tier A (Vàng: 70-84đ)",IF(P515&gt;=61,"Tier B+ / Cấp A (Hot Lead: 61-69đ)",IF(P515&gt;=50,"Tier B (Bạc: 50-60đ)","Tier C (Đồng: 30-49đ)")))))</f>
        <v/>
      </c>
      <c r="R515" s="6" t="inlineStr">
        <is>
          <t>Cỏ nhân tạo sân chơi/huấn luyện (Dog Turf) + Đồ chơi nhai chịu lực (KONG/Chew Toys)</t>
        </is>
      </c>
      <c r="S515" s="6" t="inlineStr">
        <is>
          <t>Cấp B Tiềm năng: Tiếp cận tự động qua chuỗi Email Marketing + Chăm sóc bổ sung bằng Telesale</t>
        </is>
      </c>
    </row>
    <row r="516">
      <c r="A516" s="59" t="n">
        <v>2108</v>
      </c>
      <c r="B516" s="15" t="inlineStr">
        <is>
          <t>Mak Pack Dog Training and Boarding Ahwatukee</t>
        </is>
      </c>
      <c r="C516" s="60" t="inlineStr">
        <is>
          <t>https://www.facebook.com/MakPackAZ</t>
        </is>
      </c>
      <c r="D516" s="9" t="inlineStr">
        <is>
          <t>Cần quét Bio Fanpage</t>
        </is>
      </c>
      <c r="E516" s="59" t="inlineStr">
        <is>
          <t>12/10/2026 17:15:17</t>
        </is>
      </c>
      <c r="F516" s="59" t="inlineStr">
        <is>
          <t>11 giờ trước</t>
        </is>
      </c>
      <c r="G516" s="61" t="n">
        <v>0.46</v>
      </c>
      <c r="H516" s="62" t="n">
        <v>32</v>
      </c>
      <c r="I516" s="9" t="inlineStr">
        <is>
          <t>Pet Boarding / Huấn luyện K9 &amp; Dịch vụ (20-22đ)</t>
        </is>
      </c>
      <c r="J516" s="62" t="n">
        <v>22</v>
      </c>
      <c r="K516" s="9" t="inlineStr">
        <is>
          <t>Chưa rõ giống (Cần quét Bio)</t>
        </is>
      </c>
      <c r="L516" s="62" t="n">
        <v>0</v>
      </c>
      <c r="M516" s="62" t="n">
        <v>0</v>
      </c>
      <c r="N516" s="9" t="inlineStr">
        <is>
          <t>Amazon link not found</t>
        </is>
      </c>
      <c r="O516" s="62">
        <f>IF(N516="Selling pet toys + Artificial grass/Pet toilets (TARGET)",15,IF(N516="Selling artificial grass/pet toilets (TARGET)",10,IF(N516="Selling pet toys",7,IF(N516="There's an Amazon link, but no target sales.",3,0))))</f>
        <v/>
      </c>
      <c r="P516" s="67">
        <f>H516+J516+L516+M516+O516</f>
        <v/>
      </c>
      <c r="Q516" s="66">
        <f>IF(OR(H516=0,P516&lt;30),"Tier D (Đóng băng)",IF(P516&gt;=85,"Tier S (Kim Cương: 85-100đ)",IF(P516&gt;=70,"Tier A (Vàng: 70-84đ)",IF(P516&gt;=61,"Tier B+ / Cấp A (Hot Lead: 61-69đ)",IF(P516&gt;=50,"Tier B (Bạc: 50-60đ)","Tier C (Đồng: 30-49đ)")))))</f>
        <v/>
      </c>
      <c r="R516" s="9" t="inlineStr">
        <is>
          <t>Cỏ nhân tạo sân chơi/huấn luyện (Dog Turf) + Đồ chơi nhai chịu lực (KONG/Chew Toys)</t>
        </is>
      </c>
      <c r="S516" s="9" t="inlineStr">
        <is>
          <t>Cấp B Tiềm năng: Tiếp cận tự động qua chuỗi Email Marketing + Chăm sóc bổ sung bằng Telesale</t>
        </is>
      </c>
    </row>
    <row r="517">
      <c r="A517" s="53" t="n">
        <v>3388</v>
      </c>
      <c r="B517" s="12" t="inlineStr">
        <is>
          <t>Werwolf.K9</t>
        </is>
      </c>
      <c r="C517" s="54" t="inlineStr">
        <is>
          <t>https://www.facebook.com/profile.php?id=100089686290366</t>
        </is>
      </c>
      <c r="D517" s="6" t="inlineStr">
        <is>
          <t>Cần quét Bio Fanpage</t>
        </is>
      </c>
      <c r="E517" s="53" t="inlineStr">
        <is>
          <t>12/10/2026 15:05:28</t>
        </is>
      </c>
      <c r="F517" s="53" t="inlineStr">
        <is>
          <t>15 giờ trước</t>
        </is>
      </c>
      <c r="G517" s="55" t="n">
        <v>0.62</v>
      </c>
      <c r="H517" s="56" t="n">
        <v>32</v>
      </c>
      <c r="I517" s="6" t="inlineStr">
        <is>
          <t>Pet Boarding / Huấn luyện K9 &amp; Dịch vụ (20-22đ)</t>
        </is>
      </c>
      <c r="J517" s="56" t="n">
        <v>22</v>
      </c>
      <c r="K517" s="6" t="inlineStr">
        <is>
          <t>Chưa rõ giống (Cần quét Bio)</t>
        </is>
      </c>
      <c r="L517" s="56" t="n">
        <v>0</v>
      </c>
      <c r="M517" s="56" t="n">
        <v>0</v>
      </c>
      <c r="N517" s="6" t="inlineStr">
        <is>
          <t>Amazon link not found</t>
        </is>
      </c>
      <c r="O517" s="56">
        <f>IF(N517="Selling pet toys + Artificial grass/Pet toilets (TARGET)",15,IF(N517="Selling artificial grass/pet toilets (TARGET)",10,IF(N517="Selling pet toys",7,IF(N517="There's an Amazon link, but no target sales.",3,0))))</f>
        <v/>
      </c>
      <c r="P517" s="65">
        <f>H517+J517+L517+M517+O517</f>
        <v/>
      </c>
      <c r="Q517" s="66">
        <f>IF(OR(H517=0,P517&lt;30),"Tier D (Đóng băng)",IF(P517&gt;=85,"Tier S (Kim Cương: 85-100đ)",IF(P517&gt;=70,"Tier A (Vàng: 70-84đ)",IF(P517&gt;=61,"Tier B+ / Cấp A (Hot Lead: 61-69đ)",IF(P517&gt;=50,"Tier B (Bạc: 50-60đ)","Tier C (Đồng: 30-49đ)")))))</f>
        <v/>
      </c>
      <c r="R517" s="6" t="inlineStr">
        <is>
          <t>Cỏ nhân tạo sân chơi/huấn luyện (Dog Turf) + Đồ chơi nhai chịu lực (KONG/Chew Toys)</t>
        </is>
      </c>
      <c r="S517" s="6" t="inlineStr">
        <is>
          <t>Cấp B Tiềm năng: Tiếp cận tự động qua chuỗi Email Marketing + Chăm sóc bổ sung bằng Telesale</t>
        </is>
      </c>
    </row>
    <row r="518">
      <c r="A518" s="59" t="n">
        <v>323</v>
      </c>
      <c r="B518" s="15" t="inlineStr">
        <is>
          <t>AB K9 Training</t>
        </is>
      </c>
      <c r="C518" s="60" t="inlineStr">
        <is>
          <t>https://www.facebook.com/abk9training</t>
        </is>
      </c>
      <c r="D518" s="9" t="inlineStr">
        <is>
          <t>Cần quét Bio Fanpage</t>
        </is>
      </c>
      <c r="E518" s="59" t="inlineStr">
        <is>
          <t>12/10/2026 13:45:41</t>
        </is>
      </c>
      <c r="F518" s="59" t="inlineStr">
        <is>
          <t>11 giờ trước</t>
        </is>
      </c>
      <c r="G518" s="61" t="n">
        <v>0.46</v>
      </c>
      <c r="H518" s="62" t="n">
        <v>32</v>
      </c>
      <c r="I518" s="9" t="inlineStr">
        <is>
          <t>Pet Boarding / Huấn luyện K9 &amp; Dịch vụ (20-22đ)</t>
        </is>
      </c>
      <c r="J518" s="62" t="n">
        <v>22</v>
      </c>
      <c r="K518" s="9" t="inlineStr">
        <is>
          <t>Chưa rõ giống (Cần quét Bio)</t>
        </is>
      </c>
      <c r="L518" s="62" t="n">
        <v>0</v>
      </c>
      <c r="M518" s="62" t="n">
        <v>0</v>
      </c>
      <c r="N518" s="9" t="inlineStr">
        <is>
          <t>Amazon link not found</t>
        </is>
      </c>
      <c r="O518" s="62">
        <f>IF(N518="Selling pet toys + Artificial grass/Pet toilets (TARGET)",15,IF(N518="Selling artificial grass/pet toilets (TARGET)",10,IF(N518="Selling pet toys",7,IF(N518="There's an Amazon link, but no target sales.",3,0))))</f>
        <v/>
      </c>
      <c r="P518" s="67">
        <f>H518+J518+L518+M518+O518</f>
        <v/>
      </c>
      <c r="Q518" s="66">
        <f>IF(OR(H518=0,P518&lt;30),"Tier D (Đóng băng)",IF(P518&gt;=85,"Tier S (Kim Cương: 85-100đ)",IF(P518&gt;=70,"Tier A (Vàng: 70-84đ)",IF(P518&gt;=61,"Tier B+ / Cấp A (Hot Lead: 61-69đ)",IF(P518&gt;=50,"Tier B (Bạc: 50-60đ)","Tier C (Đồng: 30-49đ)")))))</f>
        <v/>
      </c>
      <c r="R518" s="9" t="inlineStr">
        <is>
          <t>Cỏ nhân tạo sân chơi/huấn luyện (Dog Turf) + Đồ chơi nhai chịu lực (KONG/Chew Toys)</t>
        </is>
      </c>
      <c r="S518" s="9" t="inlineStr">
        <is>
          <t>Cấp B Tiềm năng: Tiếp cận tự động qua chuỗi Email Marketing + Chăm sóc bổ sung bằng Telesale</t>
        </is>
      </c>
    </row>
    <row r="519">
      <c r="A519" s="53" t="n">
        <v>329</v>
      </c>
      <c r="B519" s="12" t="inlineStr">
        <is>
          <t>Above and Beyond Dog Training and Rehabilitation</t>
        </is>
      </c>
      <c r="C519" s="54" t="inlineStr">
        <is>
          <t>https://www.facebook.com/aboveandbeyonddogtrainingandrehabilitation</t>
        </is>
      </c>
      <c r="D519" s="6" t="inlineStr">
        <is>
          <t>Cần quét Bio Fanpage</t>
        </is>
      </c>
      <c r="E519" s="53" t="inlineStr">
        <is>
          <t>12/10/2026 13:36:34</t>
        </is>
      </c>
      <c r="F519" s="53" t="inlineStr">
        <is>
          <t>11 giờ trước</t>
        </is>
      </c>
      <c r="G519" s="55" t="n">
        <v>0.46</v>
      </c>
      <c r="H519" s="56" t="n">
        <v>32</v>
      </c>
      <c r="I519" s="6" t="inlineStr">
        <is>
          <t>Pet Boarding / Huấn luyện K9 &amp; Dịch vụ (20-22đ)</t>
        </is>
      </c>
      <c r="J519" s="56" t="n">
        <v>22</v>
      </c>
      <c r="K519" s="6" t="inlineStr">
        <is>
          <t>Chưa rõ giống (Cần quét Bio)</t>
        </is>
      </c>
      <c r="L519" s="56" t="n">
        <v>0</v>
      </c>
      <c r="M519" s="56" t="n">
        <v>0</v>
      </c>
      <c r="N519" s="6" t="inlineStr">
        <is>
          <t>Amazon link not found</t>
        </is>
      </c>
      <c r="O519" s="56">
        <f>IF(N519="Selling pet toys + Artificial grass/Pet toilets (TARGET)",15,IF(N519="Selling artificial grass/pet toilets (TARGET)",10,IF(N519="Selling pet toys",7,IF(N519="There's an Amazon link, but no target sales.",3,0))))</f>
        <v/>
      </c>
      <c r="P519" s="65">
        <f>H519+J519+L519+M519+O519</f>
        <v/>
      </c>
      <c r="Q519" s="66">
        <f>IF(OR(H519=0,P519&lt;30),"Tier D (Đóng băng)",IF(P519&gt;=85,"Tier S (Kim Cương: 85-100đ)",IF(P519&gt;=70,"Tier A (Vàng: 70-84đ)",IF(P519&gt;=61,"Tier B+ / Cấp A (Hot Lead: 61-69đ)",IF(P519&gt;=50,"Tier B (Bạc: 50-60đ)","Tier C (Đồng: 30-49đ)")))))</f>
        <v/>
      </c>
      <c r="R519" s="6" t="inlineStr">
        <is>
          <t>Cỏ nhân tạo sân chơi/huấn luyện (Dog Turf) + Đồ chơi nhai chịu lực (KONG/Chew Toys)</t>
        </is>
      </c>
      <c r="S519" s="6" t="inlineStr">
        <is>
          <t>Cấp B Tiềm năng: Tiếp cận tự động qua chuỗi Email Marketing + Chăm sóc bổ sung bằng Telesale</t>
        </is>
      </c>
    </row>
    <row r="520">
      <c r="A520" s="59" t="n">
        <v>984</v>
      </c>
      <c r="B520" s="15" t="inlineStr">
        <is>
          <t>Cydymaith Dog Training</t>
        </is>
      </c>
      <c r="C520" s="60" t="inlineStr">
        <is>
          <t>https://www.facebook.com/profile.php?id=61557027566977</t>
        </is>
      </c>
      <c r="D520" s="9" t="inlineStr">
        <is>
          <t>Cần quét Bio Fanpage</t>
        </is>
      </c>
      <c r="E520" s="59" t="inlineStr">
        <is>
          <t>12/10/2026 13:30:52</t>
        </is>
      </c>
      <c r="F520" s="59" t="inlineStr">
        <is>
          <t>13 giờ trước</t>
        </is>
      </c>
      <c r="G520" s="61" t="n">
        <v>0.54</v>
      </c>
      <c r="H520" s="62" t="n">
        <v>32</v>
      </c>
      <c r="I520" s="9" t="inlineStr">
        <is>
          <t>Pet Boarding / Huấn luyện K9 &amp; Dịch vụ (20-22đ)</t>
        </is>
      </c>
      <c r="J520" s="62" t="n">
        <v>22</v>
      </c>
      <c r="K520" s="9" t="inlineStr">
        <is>
          <t>Chưa rõ giống (Cần quét Bio)</t>
        </is>
      </c>
      <c r="L520" s="62" t="n">
        <v>0</v>
      </c>
      <c r="M520" s="62" t="n">
        <v>0</v>
      </c>
      <c r="N520" s="9" t="inlineStr">
        <is>
          <t>Amazon link not found</t>
        </is>
      </c>
      <c r="O520" s="62">
        <f>IF(N520="Selling pet toys + Artificial grass/Pet toilets (TARGET)",15,IF(N520="Selling artificial grass/pet toilets (TARGET)",10,IF(N520="Selling pet toys",7,IF(N520="There's an Amazon link, but no target sales.",3,0))))</f>
        <v/>
      </c>
      <c r="P520" s="67">
        <f>H520+J520+L520+M520+O520</f>
        <v/>
      </c>
      <c r="Q520" s="66">
        <f>IF(OR(H520=0,P520&lt;30),"Tier D (Đóng băng)",IF(P520&gt;=85,"Tier S (Kim Cương: 85-100đ)",IF(P520&gt;=70,"Tier A (Vàng: 70-84đ)",IF(P520&gt;=61,"Tier B+ / Cấp A (Hot Lead: 61-69đ)",IF(P520&gt;=50,"Tier B (Bạc: 50-60đ)","Tier C (Đồng: 30-49đ)")))))</f>
        <v/>
      </c>
      <c r="R520" s="9" t="inlineStr">
        <is>
          <t>Cỏ nhân tạo sân chơi/huấn luyện (Dog Turf) + Đồ chơi nhai chịu lực (KONG/Chew Toys)</t>
        </is>
      </c>
      <c r="S520" s="9" t="inlineStr">
        <is>
          <t>Cấp B Tiềm năng: Tiếp cận tự động qua chuỗi Email Marketing + Chăm sóc bổ sung bằng Telesale</t>
        </is>
      </c>
    </row>
    <row r="521">
      <c r="A521" s="53" t="n">
        <v>3260</v>
      </c>
      <c r="B521" s="12" t="inlineStr">
        <is>
          <t>Two Amigos Pet Supplies Limited</t>
        </is>
      </c>
      <c r="C521" s="54" t="inlineStr">
        <is>
          <t>https://www.facebook.com/twoamigospetsupplieslimited</t>
        </is>
      </c>
      <c r="D521" s="6" t="inlineStr">
        <is>
          <t>Cần quét Bio Fanpage</t>
        </is>
      </c>
      <c r="E521" s="53" t="inlineStr">
        <is>
          <t>12/10/2026 13:01:03</t>
        </is>
      </c>
      <c r="F521" s="53" t="inlineStr">
        <is>
          <t>17 giờ trước</t>
        </is>
      </c>
      <c r="G521" s="55" t="n">
        <v>0.71</v>
      </c>
      <c r="H521" s="56" t="n">
        <v>32</v>
      </c>
      <c r="I521" s="6" t="inlineStr">
        <is>
          <t>Pet Owner / Cộng đồng nuôi cún (10đ)</t>
        </is>
      </c>
      <c r="J521" s="56" t="n">
        <v>10</v>
      </c>
      <c r="K521" s="6" t="inlineStr">
        <is>
          <t>Chưa rõ giống (Cần quét Bio)</t>
        </is>
      </c>
      <c r="L521" s="56" t="n">
        <v>0</v>
      </c>
      <c r="M521" s="56" t="n">
        <v>5</v>
      </c>
      <c r="N521" s="6" t="inlineStr">
        <is>
          <t>Selling pet toys</t>
        </is>
      </c>
      <c r="O521" s="56">
        <f>IF(N521="Selling pet toys + Artificial grass/Pet toilets (TARGET)",15,IF(N521="Selling artificial grass/pet toilets (TARGET)",10,IF(N521="Selling pet toys",7,IF(N521="There's an Amazon link, but no target sales.",3,0))))</f>
        <v/>
      </c>
      <c r="P521" s="65">
        <f>H521+J521+L521+M521+O521</f>
        <v/>
      </c>
      <c r="Q521" s="66">
        <f>IF(OR(H521=0,P521&lt;30),"Tier D (Đóng băng)",IF(P521&gt;=85,"Tier S (Kim Cương: 85-100đ)",IF(P521&gt;=70,"Tier A (Vàng: 70-84đ)",IF(P521&gt;=61,"Tier B+ / Cấp A (Hot Lead: 61-69đ)",IF(P521&gt;=50,"Tier B (Bạc: 50-60đ)","Tier C (Đồng: 30-49đ)")))))</f>
        <v/>
      </c>
      <c r="R521" s="6" t="inlineStr">
        <is>
          <t>Khay vệ sinh chung cư (Indoor Potty) + Thảm cỏ ban công (Grass Patch) + Đồ chơi</t>
        </is>
      </c>
      <c r="S521" s="6" t="inlineStr">
        <is>
          <t>Cấp B Tiềm năng: Tiếp cận tự động qua chuỗi Email Marketing + Chăm sóc bổ sung bằng Telesale</t>
        </is>
      </c>
    </row>
    <row r="522">
      <c r="A522" s="59" t="n">
        <v>2771</v>
      </c>
      <c r="B522" s="15" t="inlineStr">
        <is>
          <t>Rocky View K9 Crew</t>
        </is>
      </c>
      <c r="C522" s="60" t="inlineStr">
        <is>
          <t>https://www.facebook.com/profile.php?id=100070135712074</t>
        </is>
      </c>
      <c r="D522" s="9" t="inlineStr">
        <is>
          <t>Cần quét Bio Fanpage</t>
        </is>
      </c>
      <c r="E522" s="59" t="inlineStr">
        <is>
          <t>12/10/2026 12:23:03</t>
        </is>
      </c>
      <c r="F522" s="59" t="inlineStr">
        <is>
          <t>17 giờ trước</t>
        </is>
      </c>
      <c r="G522" s="61" t="n">
        <v>0.71</v>
      </c>
      <c r="H522" s="62" t="n">
        <v>32</v>
      </c>
      <c r="I522" s="9" t="inlineStr">
        <is>
          <t>Pet Boarding / Huấn luyện K9 &amp; Dịch vụ (20-22đ)</t>
        </is>
      </c>
      <c r="J522" s="62" t="n">
        <v>22</v>
      </c>
      <c r="K522" s="9" t="inlineStr">
        <is>
          <t>Chưa rõ giống (Cần quét Bio)</t>
        </is>
      </c>
      <c r="L522" s="62" t="n">
        <v>0</v>
      </c>
      <c r="M522" s="62" t="n">
        <v>0</v>
      </c>
      <c r="N522" s="9" t="inlineStr">
        <is>
          <t>Amazon link not found</t>
        </is>
      </c>
      <c r="O522" s="62">
        <f>IF(N522="Selling pet toys + Artificial grass/Pet toilets (TARGET)",15,IF(N522="Selling artificial grass/pet toilets (TARGET)",10,IF(N522="Selling pet toys",7,IF(N522="There's an Amazon link, but no target sales.",3,0))))</f>
        <v/>
      </c>
      <c r="P522" s="67">
        <f>H522+J522+L522+M522+O522</f>
        <v/>
      </c>
      <c r="Q522" s="66">
        <f>IF(OR(H522=0,P522&lt;30),"Tier D (Đóng băng)",IF(P522&gt;=85,"Tier S (Kim Cương: 85-100đ)",IF(P522&gt;=70,"Tier A (Vàng: 70-84đ)",IF(P522&gt;=61,"Tier B+ / Cấp A (Hot Lead: 61-69đ)",IF(P522&gt;=50,"Tier B (Bạc: 50-60đ)","Tier C (Đồng: 30-49đ)")))))</f>
        <v/>
      </c>
      <c r="R522" s="9" t="inlineStr">
        <is>
          <t>Cỏ nhân tạo sân chơi/huấn luyện (Dog Turf) + Đồ chơi nhai chịu lực (KONG/Chew Toys)</t>
        </is>
      </c>
      <c r="S522" s="9" t="inlineStr">
        <is>
          <t>Cấp B Tiềm năng: Tiếp cận tự động qua chuỗi Email Marketing + Chăm sóc bổ sung bằng Telesale</t>
        </is>
      </c>
    </row>
    <row r="523">
      <c r="A523" s="53" t="n">
        <v>371</v>
      </c>
      <c r="B523" s="12" t="inlineStr">
        <is>
          <t>Aligned K9</t>
        </is>
      </c>
      <c r="C523" s="54" t="inlineStr">
        <is>
          <t>https://www.facebook.com/profile.php?id=100090459896484</t>
        </is>
      </c>
      <c r="D523" s="6" t="inlineStr">
        <is>
          <t>Cần quét Bio Fanpage</t>
        </is>
      </c>
      <c r="E523" s="53" t="inlineStr">
        <is>
          <t>12/10/2026 09:13:53</t>
        </is>
      </c>
      <c r="F523" s="53" t="inlineStr">
        <is>
          <t>16 giờ trước</t>
        </is>
      </c>
      <c r="G523" s="55" t="n">
        <v>0.67</v>
      </c>
      <c r="H523" s="56" t="n">
        <v>32</v>
      </c>
      <c r="I523" s="6" t="inlineStr">
        <is>
          <t>Pet Boarding / Huấn luyện K9 &amp; Dịch vụ (20-22đ)</t>
        </is>
      </c>
      <c r="J523" s="56" t="n">
        <v>22</v>
      </c>
      <c r="K523" s="6" t="inlineStr">
        <is>
          <t>Chưa rõ giống (Cần quét Bio)</t>
        </is>
      </c>
      <c r="L523" s="56" t="n">
        <v>0</v>
      </c>
      <c r="M523" s="56" t="n">
        <v>0</v>
      </c>
      <c r="N523" s="6" t="inlineStr">
        <is>
          <t>Amazon link not found</t>
        </is>
      </c>
      <c r="O523" s="56">
        <f>IF(N523="Selling pet toys + Artificial grass/Pet toilets (TARGET)",15,IF(N523="Selling artificial grass/pet toilets (TARGET)",10,IF(N523="Selling pet toys",7,IF(N523="There's an Amazon link, but no target sales.",3,0))))</f>
        <v/>
      </c>
      <c r="P523" s="65">
        <f>H523+J523+L523+M523+O523</f>
        <v/>
      </c>
      <c r="Q523" s="66">
        <f>IF(OR(H523=0,P523&lt;30),"Tier D (Đóng băng)",IF(P523&gt;=85,"Tier S (Kim Cương: 85-100đ)",IF(P523&gt;=70,"Tier A (Vàng: 70-84đ)",IF(P523&gt;=61,"Tier B+ / Cấp A (Hot Lead: 61-69đ)",IF(P523&gt;=50,"Tier B (Bạc: 50-60đ)","Tier C (Đồng: 30-49đ)")))))</f>
        <v/>
      </c>
      <c r="R523" s="6" t="inlineStr">
        <is>
          <t>Cỏ nhân tạo sân chơi/huấn luyện (Dog Turf) + Đồ chơi nhai chịu lực (KONG/Chew Toys)</t>
        </is>
      </c>
      <c r="S523" s="6" t="inlineStr">
        <is>
          <t>Cấp B Tiềm năng: Tiếp cận tự động qua chuỗi Email Marketing + Chăm sóc bổ sung bằng Telesale</t>
        </is>
      </c>
    </row>
    <row r="524">
      <c r="A524" s="59" t="n">
        <v>2633</v>
      </c>
      <c r="B524" s="15" t="inlineStr">
        <is>
          <t>Pro Dog Training</t>
        </is>
      </c>
      <c r="C524" s="60" t="inlineStr">
        <is>
          <t>https://www.facebook.com/prodogtrainingmelbourne</t>
        </is>
      </c>
      <c r="D524" s="9" t="inlineStr">
        <is>
          <t>Cần quét Bio Fanpage</t>
        </is>
      </c>
      <c r="E524" s="59" t="inlineStr">
        <is>
          <t>12/10/2026 06:53:47</t>
        </is>
      </c>
      <c r="F524" s="59" t="inlineStr">
        <is>
          <t>22 giờ trước</t>
        </is>
      </c>
      <c r="G524" s="61" t="n">
        <v>0.92</v>
      </c>
      <c r="H524" s="62" t="n">
        <v>32</v>
      </c>
      <c r="I524" s="9" t="inlineStr">
        <is>
          <t>Pet Boarding / Huấn luyện K9 &amp; Dịch vụ (20-22đ)</t>
        </is>
      </c>
      <c r="J524" s="62" t="n">
        <v>22</v>
      </c>
      <c r="K524" s="9" t="inlineStr">
        <is>
          <t>Chưa rõ giống (Cần quét Bio)</t>
        </is>
      </c>
      <c r="L524" s="62" t="n">
        <v>0</v>
      </c>
      <c r="M524" s="62" t="n">
        <v>0</v>
      </c>
      <c r="N524" s="9" t="inlineStr">
        <is>
          <t>Amazon link not found</t>
        </is>
      </c>
      <c r="O524" s="62">
        <f>IF(N524="Selling pet toys + Artificial grass/Pet toilets (TARGET)",15,IF(N524="Selling artificial grass/pet toilets (TARGET)",10,IF(N524="Selling pet toys",7,IF(N524="There's an Amazon link, but no target sales.",3,0))))</f>
        <v/>
      </c>
      <c r="P524" s="67">
        <f>H524+J524+L524+M524+O524</f>
        <v/>
      </c>
      <c r="Q524" s="66">
        <f>IF(OR(H524=0,P524&lt;30),"Tier D (Đóng băng)",IF(P524&gt;=85,"Tier S (Kim Cương: 85-100đ)",IF(P524&gt;=70,"Tier A (Vàng: 70-84đ)",IF(P524&gt;=61,"Tier B+ / Cấp A (Hot Lead: 61-69đ)",IF(P524&gt;=50,"Tier B (Bạc: 50-60đ)","Tier C (Đồng: 30-49đ)")))))</f>
        <v/>
      </c>
      <c r="R524" s="9" t="inlineStr">
        <is>
          <t>Cỏ nhân tạo sân chơi/huấn luyện (Dog Turf) + Đồ chơi nhai chịu lực (KONG/Chew Toys)</t>
        </is>
      </c>
      <c r="S524" s="9" t="inlineStr">
        <is>
          <t>Cấp B Tiềm năng: Tiếp cận tự động qua chuỗi Email Marketing + Chăm sóc bổ sung bằng Telesale</t>
        </is>
      </c>
    </row>
    <row r="525">
      <c r="A525" s="53" t="n">
        <v>1942</v>
      </c>
      <c r="B525" s="12" t="inlineStr">
        <is>
          <t>Kraken K9</t>
        </is>
      </c>
      <c r="C525" s="54" t="inlineStr">
        <is>
          <t>https://www.facebook.com/krakenk9</t>
        </is>
      </c>
      <c r="D525" s="6" t="inlineStr">
        <is>
          <t>Cần quét Bio Fanpage</t>
        </is>
      </c>
      <c r="E525" s="53" t="inlineStr">
        <is>
          <t>12/10/2026 05:58:52</t>
        </is>
      </c>
      <c r="F525" s="53" t="inlineStr">
        <is>
          <t>22 giờ trước</t>
        </is>
      </c>
      <c r="G525" s="55" t="n">
        <v>0.92</v>
      </c>
      <c r="H525" s="56" t="n">
        <v>32</v>
      </c>
      <c r="I525" s="6" t="inlineStr">
        <is>
          <t>Pet Boarding / Huấn luyện K9 &amp; Dịch vụ (20-22đ)</t>
        </is>
      </c>
      <c r="J525" s="56" t="n">
        <v>22</v>
      </c>
      <c r="K525" s="6" t="inlineStr">
        <is>
          <t>Chưa rõ giống (Cần quét Bio)</t>
        </is>
      </c>
      <c r="L525" s="56" t="n">
        <v>0</v>
      </c>
      <c r="M525" s="56" t="n">
        <v>0</v>
      </c>
      <c r="N525" s="6" t="inlineStr">
        <is>
          <t>Amazon link not found</t>
        </is>
      </c>
      <c r="O525" s="56">
        <f>IF(N525="Selling pet toys + Artificial grass/Pet toilets (TARGET)",15,IF(N525="Selling artificial grass/pet toilets (TARGET)",10,IF(N525="Selling pet toys",7,IF(N525="There's an Amazon link, but no target sales.",3,0))))</f>
        <v/>
      </c>
      <c r="P525" s="65">
        <f>H525+J525+L525+M525+O525</f>
        <v/>
      </c>
      <c r="Q525" s="66">
        <f>IF(OR(H525=0,P525&lt;30),"Tier D (Đóng băng)",IF(P525&gt;=85,"Tier S (Kim Cương: 85-100đ)",IF(P525&gt;=70,"Tier A (Vàng: 70-84đ)",IF(P525&gt;=61,"Tier B+ / Cấp A (Hot Lead: 61-69đ)",IF(P525&gt;=50,"Tier B (Bạc: 50-60đ)","Tier C (Đồng: 30-49đ)")))))</f>
        <v/>
      </c>
      <c r="R525" s="6" t="inlineStr">
        <is>
          <t>Cỏ nhân tạo sân chơi/huấn luyện (Dog Turf) + Đồ chơi nhai chịu lực (KONG/Chew Toys)</t>
        </is>
      </c>
      <c r="S525" s="6" t="inlineStr">
        <is>
          <t>Cấp B Tiềm năng: Tiếp cận tự động qua chuỗi Email Marketing + Chăm sóc bổ sung bằng Telesale</t>
        </is>
      </c>
    </row>
    <row r="526">
      <c r="A526" s="59" t="n">
        <v>354</v>
      </c>
      <c r="B526" s="15" t="inlineStr">
        <is>
          <t>Aiming High Dog Training</t>
        </is>
      </c>
      <c r="C526" s="60" t="inlineStr">
        <is>
          <t>https://www.facebook.com/AimingHighDogTraining</t>
        </is>
      </c>
      <c r="D526" s="9" t="inlineStr">
        <is>
          <t>Cần quét Bio Fanpage</t>
        </is>
      </c>
      <c r="E526" s="59" t="inlineStr">
        <is>
          <t>12/10/2026 03:05:35</t>
        </is>
      </c>
      <c r="F526" s="59" t="inlineStr">
        <is>
          <t>22 giờ trước</t>
        </is>
      </c>
      <c r="G526" s="61" t="n">
        <v>0.92</v>
      </c>
      <c r="H526" s="62" t="n">
        <v>32</v>
      </c>
      <c r="I526" s="9" t="inlineStr">
        <is>
          <t>Pet Boarding / Huấn luyện K9 &amp; Dịch vụ (20-22đ)</t>
        </is>
      </c>
      <c r="J526" s="62" t="n">
        <v>22</v>
      </c>
      <c r="K526" s="9" t="inlineStr">
        <is>
          <t>Chưa rõ giống (Cần quét Bio)</t>
        </is>
      </c>
      <c r="L526" s="62" t="n">
        <v>0</v>
      </c>
      <c r="M526" s="62" t="n">
        <v>0</v>
      </c>
      <c r="N526" s="9" t="inlineStr">
        <is>
          <t>Amazon link not found</t>
        </is>
      </c>
      <c r="O526" s="62">
        <f>IF(N526="Selling pet toys + Artificial grass/Pet toilets (TARGET)",15,IF(N526="Selling artificial grass/pet toilets (TARGET)",10,IF(N526="Selling pet toys",7,IF(N526="There's an Amazon link, but no target sales.",3,0))))</f>
        <v/>
      </c>
      <c r="P526" s="67">
        <f>H526+J526+L526+M526+O526</f>
        <v/>
      </c>
      <c r="Q526" s="66">
        <f>IF(OR(H526=0,P526&lt;30),"Tier D (Đóng băng)",IF(P526&gt;=85,"Tier S (Kim Cương: 85-100đ)",IF(P526&gt;=70,"Tier A (Vàng: 70-84đ)",IF(P526&gt;=61,"Tier B+ / Cấp A (Hot Lead: 61-69đ)",IF(P526&gt;=50,"Tier B (Bạc: 50-60đ)","Tier C (Đồng: 30-49đ)")))))</f>
        <v/>
      </c>
      <c r="R526" s="9" t="inlineStr">
        <is>
          <t>Cỏ nhân tạo sân chơi/huấn luyện (Dog Turf) + Đồ chơi nhai chịu lực (KONG/Chew Toys)</t>
        </is>
      </c>
      <c r="S526" s="9" t="inlineStr">
        <is>
          <t>Cấp B Tiềm năng: Tiếp cận tự động qua chuỗi Email Marketing + Chăm sóc bổ sung bằng Telesale</t>
        </is>
      </c>
    </row>
    <row r="527">
      <c r="A527" s="53" t="n">
        <v>1498</v>
      </c>
      <c r="B527" s="12" t="inlineStr">
        <is>
          <t>German Shepherd Rescue of Northern California</t>
        </is>
      </c>
      <c r="C527" s="54" t="inlineStr">
        <is>
          <t>https://www.facebook.com/gsrnc</t>
        </is>
      </c>
      <c r="D527" s="6" t="inlineStr">
        <is>
          <t>Cần quét Bio Fanpage</t>
        </is>
      </c>
      <c r="E527" s="53" t="inlineStr">
        <is>
          <t>10/10/2026 04:39:06</t>
        </is>
      </c>
      <c r="F527" s="53" t="inlineStr">
        <is>
          <t>2 ngày trước</t>
        </is>
      </c>
      <c r="G527" s="55" t="n">
        <v>2</v>
      </c>
      <c r="H527" s="56" t="n">
        <v>28</v>
      </c>
      <c r="I527" s="6" t="inlineStr">
        <is>
          <t>Pet Rescue / Trạm cứu trợ (14-16đ)</t>
        </is>
      </c>
      <c r="J527" s="56" t="n">
        <v>16</v>
      </c>
      <c r="K527" s="6" t="inlineStr">
        <is>
          <t>German Shepherd</t>
        </is>
      </c>
      <c r="L527" s="56" t="n">
        <v>10</v>
      </c>
      <c r="M527" s="56" t="n">
        <v>0</v>
      </c>
      <c r="N527" s="6" t="inlineStr">
        <is>
          <t>Amazon link not found</t>
        </is>
      </c>
      <c r="O527" s="56">
        <f>IF(N527="Selling pet toys + Artificial grass/Pet toilets (TARGET)",15,IF(N527="Selling artificial grass/pet toilets (TARGET)",10,IF(N527="Selling pet toys",7,IF(N527="There's an Amazon link, but no target sales.",3,0))))</f>
        <v/>
      </c>
      <c r="P527" s="65">
        <f>H527+J527+L527+M527+O527</f>
        <v/>
      </c>
      <c r="Q527" s="66">
        <f>IF(OR(H527=0,P527&lt;30),"Tier D (Đóng băng)",IF(P527&gt;=85,"Tier S (Kim Cương: 85-100đ)",IF(P527&gt;=70,"Tier A (Vàng: 70-84đ)",IF(P527&gt;=61,"Tier B+ / Cấp A (Hot Lead: 61-69đ)",IF(P527&gt;=50,"Tier B (Bạc: 50-60đ)","Tier C (Đồng: 30-49đ)")))))</f>
        <v/>
      </c>
      <c r="R527" s="6" t="inlineStr">
        <is>
          <t>Nhà vệ sinh &amp; Tã lót (Potty Tray / Pee Pads) + Cỏ nhân tạo lót chuồng</t>
        </is>
      </c>
      <c r="S527" s="6" t="inlineStr">
        <is>
          <t>Cấp B Tiềm năng: Tiếp cận tự động qua chuỗi Email Marketing + Chăm sóc bổ sung bằng Telesale</t>
        </is>
      </c>
    </row>
    <row r="528">
      <c r="A528" s="59" t="n">
        <v>991</v>
      </c>
      <c r="B528" s="15" t="inlineStr">
        <is>
          <t>Dachshunds and Friends Rescue</t>
        </is>
      </c>
      <c r="C528" s="60" t="inlineStr">
        <is>
          <t>https://www.facebook.com/DoxieandFriends</t>
        </is>
      </c>
      <c r="D528" s="9" t="inlineStr">
        <is>
          <t>Cần quét Bio Fanpage</t>
        </is>
      </c>
      <c r="E528" s="59" t="inlineStr">
        <is>
          <t>12/10/2026 22:07:05</t>
        </is>
      </c>
      <c r="F528" s="59" t="inlineStr">
        <is>
          <t>4 giờ trước</t>
        </is>
      </c>
      <c r="G528" s="61" t="n">
        <v>0.17</v>
      </c>
      <c r="H528" s="62" t="n">
        <v>32</v>
      </c>
      <c r="I528" s="9" t="inlineStr">
        <is>
          <t>Pet Rescue / Trạm cứu trợ (14-16đ)</t>
        </is>
      </c>
      <c r="J528" s="62" t="n">
        <v>16</v>
      </c>
      <c r="K528" s="9" t="inlineStr">
        <is>
          <t>Dachshund</t>
        </is>
      </c>
      <c r="L528" s="62" t="n">
        <v>5</v>
      </c>
      <c r="M528" s="62" t="n">
        <v>0</v>
      </c>
      <c r="N528" s="9" t="inlineStr">
        <is>
          <t>Amazon link not found</t>
        </is>
      </c>
      <c r="O528" s="62">
        <f>IF(N528="Selling pet toys + Artificial grass/Pet toilets (TARGET)",15,IF(N528="Selling artificial grass/pet toilets (TARGET)",10,IF(N528="Selling pet toys",7,IF(N528="There's an Amazon link, but no target sales.",3,0))))</f>
        <v/>
      </c>
      <c r="P528" s="67">
        <f>H528+J528+L528+M528+O528</f>
        <v/>
      </c>
      <c r="Q528" s="66">
        <f>IF(OR(H528=0,P528&lt;30),"Tier D (Đóng băng)",IF(P528&gt;=85,"Tier S (Kim Cương: 85-100đ)",IF(P528&gt;=70,"Tier A (Vàng: 70-84đ)",IF(P528&gt;=61,"Tier B+ / Cấp A (Hot Lead: 61-69đ)",IF(P528&gt;=50,"Tier B (Bạc: 50-60đ)","Tier C (Đồng: 30-49đ)")))))</f>
        <v/>
      </c>
      <c r="R528" s="9" t="inlineStr">
        <is>
          <t>Nhà vệ sinh &amp; Tã lót (Potty Tray / Pee Pads) + Cỏ nhân tạo lót chuồng</t>
        </is>
      </c>
      <c r="S528" s="9" t="inlineStr">
        <is>
          <t>Cấp B Tiềm năng: Tiếp cận tự động qua chuỗi Email Marketing + Chăm sóc bổ sung bằng Telesale</t>
        </is>
      </c>
    </row>
    <row r="529">
      <c r="A529" s="53" t="n">
        <v>2733</v>
      </c>
      <c r="B529" s="12" t="inlineStr">
        <is>
          <t>Rescue Pups Inc</t>
        </is>
      </c>
      <c r="C529" s="54" t="inlineStr">
        <is>
          <t>https://www.facebook.com/RescuePup585</t>
        </is>
      </c>
      <c r="D529" s="6" t="inlineStr">
        <is>
          <t>Cần quét Bio Fanpage</t>
        </is>
      </c>
      <c r="E529" s="53" t="inlineStr">
        <is>
          <t>12/10/2026 21:19:21</t>
        </is>
      </c>
      <c r="F529" s="53" t="inlineStr">
        <is>
          <t>8 giờ trước</t>
        </is>
      </c>
      <c r="G529" s="55" t="n">
        <v>0.33</v>
      </c>
      <c r="H529" s="56" t="n">
        <v>32</v>
      </c>
      <c r="I529" s="6" t="inlineStr">
        <is>
          <t>Pet Rescue / Trạm cứu trợ (14-16đ)</t>
        </is>
      </c>
      <c r="J529" s="56" t="n">
        <v>16</v>
      </c>
      <c r="K529" s="6" t="inlineStr">
        <is>
          <t>Chưa rõ giống (Cần quét Bio)</t>
        </is>
      </c>
      <c r="L529" s="56" t="n">
        <v>0</v>
      </c>
      <c r="M529" s="56" t="n">
        <v>5</v>
      </c>
      <c r="N529" s="6" t="inlineStr">
        <is>
          <t>Amazon link not found</t>
        </is>
      </c>
      <c r="O529" s="56">
        <f>IF(N529="Selling pet toys + Artificial grass/Pet toilets (TARGET)",15,IF(N529="Selling artificial grass/pet toilets (TARGET)",10,IF(N529="Selling pet toys",7,IF(N529="There's an Amazon link, but no target sales.",3,0))))</f>
        <v/>
      </c>
      <c r="P529" s="65">
        <f>H529+J529+L529+M529+O529</f>
        <v/>
      </c>
      <c r="Q529" s="66">
        <f>IF(OR(H529=0,P529&lt;30),"Tier D (Đóng băng)",IF(P529&gt;=85,"Tier S (Kim Cương: 85-100đ)",IF(P529&gt;=70,"Tier A (Vàng: 70-84đ)",IF(P529&gt;=61,"Tier B+ / Cấp A (Hot Lead: 61-69đ)",IF(P529&gt;=50,"Tier B (Bạc: 50-60đ)","Tier C (Đồng: 30-49đ)")))))</f>
        <v/>
      </c>
      <c r="R529" s="6" t="inlineStr">
        <is>
          <t>Nhà vệ sinh &amp; Tã lót (Potty Tray / Pee Pads) + Cỏ nhân tạo lót chuồng</t>
        </is>
      </c>
      <c r="S529" s="6" t="inlineStr">
        <is>
          <t>Cấp B Tiềm năng: Tiếp cận tự động qua chuỗi Email Marketing + Chăm sóc bổ sung bằng Telesale</t>
        </is>
      </c>
    </row>
    <row r="530">
      <c r="A530" s="59" t="n">
        <v>2239</v>
      </c>
      <c r="B530" s="15" t="inlineStr">
        <is>
          <t>MustLuvBoxers Rescue</t>
        </is>
      </c>
      <c r="C530" s="60" t="inlineStr">
        <is>
          <t>https://www.facebook.com/Mustluvboxersrescue</t>
        </is>
      </c>
      <c r="D530" s="9" t="inlineStr">
        <is>
          <t>Cần quét Bio Fanpage</t>
        </is>
      </c>
      <c r="E530" s="59" t="inlineStr">
        <is>
          <t>12/10/2026 20:40:01</t>
        </is>
      </c>
      <c r="F530" s="59" t="inlineStr">
        <is>
          <t>8 giờ trước</t>
        </is>
      </c>
      <c r="G530" s="61" t="n">
        <v>0.33</v>
      </c>
      <c r="H530" s="62" t="n">
        <v>32</v>
      </c>
      <c r="I530" s="9" t="inlineStr">
        <is>
          <t>Pet Rescue / Trạm cứu trợ (14-16đ)</t>
        </is>
      </c>
      <c r="J530" s="62" t="n">
        <v>16</v>
      </c>
      <c r="K530" s="9" t="inlineStr">
        <is>
          <t>Great Dane / Working Giant</t>
        </is>
      </c>
      <c r="L530" s="62" t="n">
        <v>5</v>
      </c>
      <c r="M530" s="62" t="n">
        <v>0</v>
      </c>
      <c r="N530" s="9" t="inlineStr">
        <is>
          <t>Amazon link not found</t>
        </is>
      </c>
      <c r="O530" s="62">
        <f>IF(N530="Selling pet toys + Artificial grass/Pet toilets (TARGET)",15,IF(N530="Selling artificial grass/pet toilets (TARGET)",10,IF(N530="Selling pet toys",7,IF(N530="There's an Amazon link, but no target sales.",3,0))))</f>
        <v/>
      </c>
      <c r="P530" s="67">
        <f>H530+J530+L530+M530+O530</f>
        <v/>
      </c>
      <c r="Q530" s="66">
        <f>IF(OR(H530=0,P530&lt;30),"Tier D (Đóng băng)",IF(P530&gt;=85,"Tier S (Kim Cương: 85-100đ)",IF(P530&gt;=70,"Tier A (Vàng: 70-84đ)",IF(P530&gt;=61,"Tier B+ / Cấp A (Hot Lead: 61-69đ)",IF(P530&gt;=50,"Tier B (Bạc: 50-60đ)","Tier C (Đồng: 30-49đ)")))))</f>
        <v/>
      </c>
      <c r="R530" s="9" t="inlineStr">
        <is>
          <t>Nhà vệ sinh &amp; Tã lót (Potty Tray / Pee Pads) + Cỏ nhân tạo lót chuồng</t>
        </is>
      </c>
      <c r="S530" s="9" t="inlineStr">
        <is>
          <t>Cấp B Tiềm năng: Tiếp cận tự động qua chuỗi Email Marketing + Chăm sóc bổ sung bằng Telesale</t>
        </is>
      </c>
    </row>
    <row r="531">
      <c r="A531" s="53" t="n">
        <v>1509</v>
      </c>
      <c r="B531" s="12" t="inlineStr">
        <is>
          <t>Glen Highland Senior Border Collie Rescue &amp; Sanctuary</t>
        </is>
      </c>
      <c r="C531" s="54" t="inlineStr">
        <is>
          <t>https://www.facebook.com/GlenHighlandFarm</t>
        </is>
      </c>
      <c r="D531" s="6" t="inlineStr">
        <is>
          <t>Cần quét Bio Fanpage</t>
        </is>
      </c>
      <c r="E531" s="53" t="inlineStr">
        <is>
          <t>12/10/2026 18:39:36</t>
        </is>
      </c>
      <c r="F531" s="53" t="inlineStr">
        <is>
          <t>8 giờ trước</t>
        </is>
      </c>
      <c r="G531" s="55" t="n">
        <v>0.33</v>
      </c>
      <c r="H531" s="56" t="n">
        <v>32</v>
      </c>
      <c r="I531" s="6" t="inlineStr">
        <is>
          <t>Pet Rescue / Trạm cứu trợ (14-16đ)</t>
        </is>
      </c>
      <c r="J531" s="56" t="n">
        <v>16</v>
      </c>
      <c r="K531" s="6" t="inlineStr">
        <is>
          <t>Australian Shepherd / Herding</t>
        </is>
      </c>
      <c r="L531" s="56" t="n">
        <v>5</v>
      </c>
      <c r="M531" s="56" t="n">
        <v>0</v>
      </c>
      <c r="N531" s="6" t="inlineStr">
        <is>
          <t>Amazon link not found</t>
        </is>
      </c>
      <c r="O531" s="56">
        <f>IF(N531="Selling pet toys + Artificial grass/Pet toilets (TARGET)",15,IF(N531="Selling artificial grass/pet toilets (TARGET)",10,IF(N531="Selling pet toys",7,IF(N531="There's an Amazon link, but no target sales.",3,0))))</f>
        <v/>
      </c>
      <c r="P531" s="65">
        <f>H531+J531+L531+M531+O531</f>
        <v/>
      </c>
      <c r="Q531" s="66">
        <f>IF(OR(H531=0,P531&lt;30),"Tier D (Đóng băng)",IF(P531&gt;=85,"Tier S (Kim Cương: 85-100đ)",IF(P531&gt;=70,"Tier A (Vàng: 70-84đ)",IF(P531&gt;=61,"Tier B+ / Cấp A (Hot Lead: 61-69đ)",IF(P531&gt;=50,"Tier B (Bạc: 50-60đ)","Tier C (Đồng: 30-49đ)")))))</f>
        <v/>
      </c>
      <c r="R531" s="6" t="inlineStr">
        <is>
          <t>Nhà vệ sinh &amp; Tã lót (Potty Tray / Pee Pads) + Cỏ nhân tạo lót chuồng</t>
        </is>
      </c>
      <c r="S531" s="6" t="inlineStr">
        <is>
          <t>Cấp B Tiềm năng: Tiếp cận tự động qua chuỗi Email Marketing + Chăm sóc bổ sung bằng Telesale</t>
        </is>
      </c>
    </row>
    <row r="532">
      <c r="A532" s="59" t="n">
        <v>408</v>
      </c>
      <c r="B532" s="15" t="inlineStr">
        <is>
          <t>American Brittany Rescue, Inc</t>
        </is>
      </c>
      <c r="C532" s="60" t="inlineStr">
        <is>
          <t>https://www.facebook.com/americanbrittanyrescue</t>
        </is>
      </c>
      <c r="D532" s="9" t="inlineStr">
        <is>
          <t>Cần quét Bio Fanpage</t>
        </is>
      </c>
      <c r="E532" s="59" t="inlineStr">
        <is>
          <t>12/10/2026 18:30:00</t>
        </is>
      </c>
      <c r="F532" s="59" t="inlineStr">
        <is>
          <t>7 giờ trước</t>
        </is>
      </c>
      <c r="G532" s="61" t="n">
        <v>0.29</v>
      </c>
      <c r="H532" s="62" t="n">
        <v>32</v>
      </c>
      <c r="I532" s="9" t="inlineStr">
        <is>
          <t>Pet Rescue / Trạm cứu trợ (14-16đ)</t>
        </is>
      </c>
      <c r="J532" s="62" t="n">
        <v>16</v>
      </c>
      <c r="K532" s="9" t="inlineStr">
        <is>
          <t>Chưa rõ giống (Cần quét Bio)</t>
        </is>
      </c>
      <c r="L532" s="62" t="n">
        <v>0</v>
      </c>
      <c r="M532" s="62" t="n">
        <v>5</v>
      </c>
      <c r="N532" s="9" t="inlineStr">
        <is>
          <t>Amazon link not found</t>
        </is>
      </c>
      <c r="O532" s="62">
        <f>IF(N532="Selling pet toys + Artificial grass/Pet toilets (TARGET)",15,IF(N532="Selling artificial grass/pet toilets (TARGET)",10,IF(N532="Selling pet toys",7,IF(N532="There's an Amazon link, but no target sales.",3,0))))</f>
        <v/>
      </c>
      <c r="P532" s="67">
        <f>H532+J532+L532+M532+O532</f>
        <v/>
      </c>
      <c r="Q532" s="66">
        <f>IF(OR(H532=0,P532&lt;30),"Tier D (Đóng băng)",IF(P532&gt;=85,"Tier S (Kim Cương: 85-100đ)",IF(P532&gt;=70,"Tier A (Vàng: 70-84đ)",IF(P532&gt;=61,"Tier B+ / Cấp A (Hot Lead: 61-69đ)",IF(P532&gt;=50,"Tier B (Bạc: 50-60đ)","Tier C (Đồng: 30-49đ)")))))</f>
        <v/>
      </c>
      <c r="R532" s="9" t="inlineStr">
        <is>
          <t>Nhà vệ sinh &amp; Tã lót (Potty Tray / Pee Pads) + Cỏ nhân tạo lót chuồng</t>
        </is>
      </c>
      <c r="S532" s="9" t="inlineStr">
        <is>
          <t>Cấp B Tiềm năng: Tiếp cận tự động qua chuỗi Email Marketing + Chăm sóc bổ sung bằng Telesale</t>
        </is>
      </c>
    </row>
    <row r="533">
      <c r="A533" s="53" t="n">
        <v>990</v>
      </c>
      <c r="B533" s="12" t="inlineStr">
        <is>
          <t>Dachshund Haus Rescue</t>
        </is>
      </c>
      <c r="C533" s="54" t="inlineStr">
        <is>
          <t>https://www.facebook.com/DachshundHausRescue</t>
        </is>
      </c>
      <c r="D533" s="6" t="inlineStr">
        <is>
          <t>Cần quét Bio Fanpage</t>
        </is>
      </c>
      <c r="E533" s="53" t="inlineStr">
        <is>
          <t>12/10/2026 16:36:15</t>
        </is>
      </c>
      <c r="F533" s="53" t="inlineStr">
        <is>
          <t>10 giờ trước</t>
        </is>
      </c>
      <c r="G533" s="55" t="n">
        <v>0.42</v>
      </c>
      <c r="H533" s="56" t="n">
        <v>32</v>
      </c>
      <c r="I533" s="6" t="inlineStr">
        <is>
          <t>Pet Rescue / Trạm cứu trợ (14-16đ)</t>
        </is>
      </c>
      <c r="J533" s="56" t="n">
        <v>16</v>
      </c>
      <c r="K533" s="6" t="inlineStr">
        <is>
          <t>Dachshund</t>
        </is>
      </c>
      <c r="L533" s="56" t="n">
        <v>5</v>
      </c>
      <c r="M533" s="56" t="n">
        <v>0</v>
      </c>
      <c r="N533" s="6" t="inlineStr">
        <is>
          <t>Amazon link not found</t>
        </is>
      </c>
      <c r="O533" s="56">
        <f>IF(N533="Selling pet toys + Artificial grass/Pet toilets (TARGET)",15,IF(N533="Selling artificial grass/pet toilets (TARGET)",10,IF(N533="Selling pet toys",7,IF(N533="There's an Amazon link, but no target sales.",3,0))))</f>
        <v/>
      </c>
      <c r="P533" s="65">
        <f>H533+J533+L533+M533+O533</f>
        <v/>
      </c>
      <c r="Q533" s="66">
        <f>IF(OR(H533=0,P533&lt;30),"Tier D (Đóng băng)",IF(P533&gt;=85,"Tier S (Kim Cương: 85-100đ)",IF(P533&gt;=70,"Tier A (Vàng: 70-84đ)",IF(P533&gt;=61,"Tier B+ / Cấp A (Hot Lead: 61-69đ)",IF(P533&gt;=50,"Tier B (Bạc: 50-60đ)","Tier C (Đồng: 30-49đ)")))))</f>
        <v/>
      </c>
      <c r="R533" s="6" t="inlineStr">
        <is>
          <t>Nhà vệ sinh &amp; Tã lót (Potty Tray / Pee Pads) + Cỏ nhân tạo lót chuồng</t>
        </is>
      </c>
      <c r="S533" s="6" t="inlineStr">
        <is>
          <t>Cấp B Tiềm năng: Tiếp cận tự động qua chuỗi Email Marketing + Chăm sóc bổ sung bằng Telesale</t>
        </is>
      </c>
    </row>
    <row r="534">
      <c r="A534" s="59" t="n">
        <v>178</v>
      </c>
      <c r="B534" s="15" t="inlineStr">
        <is>
          <t>Great Pyrenees Rescue, Montana</t>
        </is>
      </c>
      <c r="C534" s="60" t="inlineStr">
        <is>
          <t>https://www.facebook.com/GreatPyreneesRescueMontana</t>
        </is>
      </c>
      <c r="D534" s="9" t="inlineStr">
        <is>
          <t>Cần quét Bio Fanpage</t>
        </is>
      </c>
      <c r="E534" s="59" t="inlineStr">
        <is>
          <t>12/10/2026 05:00:12</t>
        </is>
      </c>
      <c r="F534" s="59" t="inlineStr">
        <is>
          <t>20 giờ trước</t>
        </is>
      </c>
      <c r="G534" s="61" t="n">
        <v>0.83</v>
      </c>
      <c r="H534" s="62" t="n">
        <v>32</v>
      </c>
      <c r="I534" s="9" t="inlineStr">
        <is>
          <t>Pet Rescue / Trạm cứu trợ (14-16đ)</t>
        </is>
      </c>
      <c r="J534" s="62" t="n">
        <v>16</v>
      </c>
      <c r="K534" s="9" t="inlineStr">
        <is>
          <t>Great Dane / Working Giant</t>
        </is>
      </c>
      <c r="L534" s="62" t="n">
        <v>5</v>
      </c>
      <c r="M534" s="62" t="n">
        <v>0</v>
      </c>
      <c r="N534" s="9" t="inlineStr">
        <is>
          <t>Amazon link not found</t>
        </is>
      </c>
      <c r="O534" s="62">
        <f>IF(N534="Selling pet toys + Artificial grass/Pet toilets (TARGET)",15,IF(N534="Selling artificial grass/pet toilets (TARGET)",10,IF(N534="Selling pet toys",7,IF(N534="There's an Amazon link, but no target sales.",3,0))))</f>
        <v/>
      </c>
      <c r="P534" s="67">
        <f>H534+J534+L534+M534+O534</f>
        <v/>
      </c>
      <c r="Q534" s="66">
        <f>IF(OR(H534=0,P534&lt;30),"Tier D (Đóng băng)",IF(P534&gt;=85,"Tier S (Kim Cương: 85-100đ)",IF(P534&gt;=70,"Tier A (Vàng: 70-84đ)",IF(P534&gt;=61,"Tier B+ / Cấp A (Hot Lead: 61-69đ)",IF(P534&gt;=50,"Tier B (Bạc: 50-60đ)","Tier C (Đồng: 30-49đ)")))))</f>
        <v/>
      </c>
      <c r="R534" s="9" t="inlineStr">
        <is>
          <t>Nhà vệ sinh &amp; Tã lót (Potty Tray / Pee Pads) + Cỏ nhân tạo lót chuồng</t>
        </is>
      </c>
      <c r="S534" s="9" t="inlineStr">
        <is>
          <t>Cấp B Tiềm năng: Tiếp cận tự động qua chuỗi Email Marketing + Chăm sóc bổ sung bằng Telesale</t>
        </is>
      </c>
    </row>
    <row r="535">
      <c r="A535" s="53" t="n">
        <v>203</v>
      </c>
      <c r="B535" s="12" t="inlineStr">
        <is>
          <t>Knine Rescue Inc.</t>
        </is>
      </c>
      <c r="C535" s="54" t="inlineStr">
        <is>
          <t>https://www.facebook.com/Knine.rescue.inc.1</t>
        </is>
      </c>
      <c r="D535" s="6" t="inlineStr">
        <is>
          <t>Cần quét Bio Fanpage</t>
        </is>
      </c>
      <c r="E535" s="53" t="inlineStr">
        <is>
          <t>12/10/2026 04:11:24</t>
        </is>
      </c>
      <c r="F535" s="53" t="inlineStr">
        <is>
          <t>21 giờ trước</t>
        </is>
      </c>
      <c r="G535" s="55" t="n">
        <v>0.88</v>
      </c>
      <c r="H535" s="56" t="n">
        <v>32</v>
      </c>
      <c r="I535" s="6" t="inlineStr">
        <is>
          <t>Pet Rescue / Trạm cứu trợ (14-16đ)</t>
        </is>
      </c>
      <c r="J535" s="56" t="n">
        <v>16</v>
      </c>
      <c r="K535" s="6" t="inlineStr">
        <is>
          <t>Chưa rõ giống (Cần quét Bio)</t>
        </is>
      </c>
      <c r="L535" s="56" t="n">
        <v>0</v>
      </c>
      <c r="M535" s="56" t="n">
        <v>5</v>
      </c>
      <c r="N535" s="6" t="inlineStr">
        <is>
          <t>Amazon link not found</t>
        </is>
      </c>
      <c r="O535" s="56">
        <f>IF(N535="Selling pet toys + Artificial grass/Pet toilets (TARGET)",15,IF(N535="Selling artificial grass/pet toilets (TARGET)",10,IF(N535="Selling pet toys",7,IF(N535="There's an Amazon link, but no target sales.",3,0))))</f>
        <v/>
      </c>
      <c r="P535" s="65">
        <f>H535+J535+L535+M535+O535</f>
        <v/>
      </c>
      <c r="Q535" s="66">
        <f>IF(OR(H535=0,P535&lt;30),"Tier D (Đóng băng)",IF(P535&gt;=85,"Tier S (Kim Cương: 85-100đ)",IF(P535&gt;=70,"Tier A (Vàng: 70-84đ)",IF(P535&gt;=61,"Tier B+ / Cấp A (Hot Lead: 61-69đ)",IF(P535&gt;=50,"Tier B (Bạc: 50-60đ)","Tier C (Đồng: 30-49đ)")))))</f>
        <v/>
      </c>
      <c r="R535" s="6" t="inlineStr">
        <is>
          <t>Nhà vệ sinh &amp; Tã lót (Potty Tray / Pee Pads) + Cỏ nhân tạo lót chuồng</t>
        </is>
      </c>
      <c r="S535" s="6" t="inlineStr">
        <is>
          <t>Cấp B Tiềm năng: Tiếp cận tự động qua chuỗi Email Marketing + Chăm sóc bổ sung bằng Telesale</t>
        </is>
      </c>
    </row>
    <row r="536">
      <c r="A536" s="59" t="n">
        <v>3061</v>
      </c>
      <c r="B536" s="15" t="inlineStr">
        <is>
          <t>Tarncrag Gundogs</t>
        </is>
      </c>
      <c r="C536" s="60" t="inlineStr">
        <is>
          <t>https://www.facebook.com/profile.php?id=100046841779357</t>
        </is>
      </c>
      <c r="D536" s="9" t="inlineStr">
        <is>
          <t>Cần quét Bio Fanpage</t>
        </is>
      </c>
      <c r="E536" s="59" t="inlineStr">
        <is>
          <t>12/10/2026 03:30:16</t>
        </is>
      </c>
      <c r="F536" s="59" t="inlineStr">
        <is>
          <t>1 ngày trước</t>
        </is>
      </c>
      <c r="G536" s="61" t="n">
        <v>1</v>
      </c>
      <c r="H536" s="62" t="n">
        <v>28</v>
      </c>
      <c r="I536" s="9" t="inlineStr">
        <is>
          <t>Pet Boarding / Huấn luyện K9 &amp; Dịch vụ (20-22đ)</t>
        </is>
      </c>
      <c r="J536" s="62" t="n">
        <v>20</v>
      </c>
      <c r="K536" s="9" t="inlineStr">
        <is>
          <t>Spaniel / Gun Dog / Retriever</t>
        </is>
      </c>
      <c r="L536" s="62" t="n">
        <v>5</v>
      </c>
      <c r="M536" s="62" t="n">
        <v>0</v>
      </c>
      <c r="N536" s="9" t="inlineStr">
        <is>
          <t>Amazon link not found</t>
        </is>
      </c>
      <c r="O536" s="62">
        <f>IF(N536="Selling pet toys + Artificial grass/Pet toilets (TARGET)",15,IF(N536="Selling artificial grass/pet toilets (TARGET)",10,IF(N536="Selling pet toys",7,IF(N536="There's an Amazon link, but no target sales.",3,0))))</f>
        <v/>
      </c>
      <c r="P536" s="67">
        <f>H536+J536+L536+M536+O536</f>
        <v/>
      </c>
      <c r="Q536" s="66">
        <f>IF(OR(H536=0,P536&lt;30),"Tier D (Đóng băng)",IF(P536&gt;=85,"Tier S (Kim Cương: 85-100đ)",IF(P536&gt;=70,"Tier A (Vàng: 70-84đ)",IF(P536&gt;=61,"Tier B+ / Cấp A (Hot Lead: 61-69đ)",IF(P536&gt;=50,"Tier B (Bạc: 50-60đ)","Tier C (Đồng: 30-49đ)")))))</f>
        <v/>
      </c>
      <c r="R536" s="9" t="inlineStr">
        <is>
          <t>Cỏ nhân tạo sân chơi/huấn luyện (Dog Turf) + Đồ chơi nhai chịu lực (KONG/Chew Toys)</t>
        </is>
      </c>
      <c r="S536" s="9" t="inlineStr">
        <is>
          <t>Cấp B Tiềm năng: Tiếp cận tự động qua chuỗi Email Marketing + Chăm sóc bổ sung bằng Telesale</t>
        </is>
      </c>
    </row>
    <row r="537">
      <c r="A537" s="53" t="n">
        <v>3431</v>
      </c>
      <c r="B537" s="12" t="inlineStr">
        <is>
          <t>Wintercoombe Gundogs</t>
        </is>
      </c>
      <c r="C537" s="54" t="inlineStr">
        <is>
          <t>https://www.facebook.com/Wintercoombe</t>
        </is>
      </c>
      <c r="D537" s="6" t="inlineStr">
        <is>
          <t>Cần quét Bio Fanpage</t>
        </is>
      </c>
      <c r="E537" s="53" t="inlineStr">
        <is>
          <t>11/10/2026 21:06:09</t>
        </is>
      </c>
      <c r="F537" s="53" t="inlineStr">
        <is>
          <t>1 ngày trước</t>
        </is>
      </c>
      <c r="G537" s="55" t="n">
        <v>1</v>
      </c>
      <c r="H537" s="56" t="n">
        <v>28</v>
      </c>
      <c r="I537" s="6" t="inlineStr">
        <is>
          <t>Pet Boarding / Huấn luyện K9 &amp; Dịch vụ (20-22đ)</t>
        </is>
      </c>
      <c r="J537" s="56" t="n">
        <v>20</v>
      </c>
      <c r="K537" s="6" t="inlineStr">
        <is>
          <t>Spaniel / Gun Dog / Retriever</t>
        </is>
      </c>
      <c r="L537" s="56" t="n">
        <v>5</v>
      </c>
      <c r="M537" s="56" t="n">
        <v>0</v>
      </c>
      <c r="N537" s="6" t="inlineStr">
        <is>
          <t>Amazon link not found</t>
        </is>
      </c>
      <c r="O537" s="56">
        <f>IF(N537="Selling pet toys + Artificial grass/Pet toilets (TARGET)",15,IF(N537="Selling artificial grass/pet toilets (TARGET)",10,IF(N537="Selling pet toys",7,IF(N537="There's an Amazon link, but no target sales.",3,0))))</f>
        <v/>
      </c>
      <c r="P537" s="65">
        <f>H537+J537+L537+M537+O537</f>
        <v/>
      </c>
      <c r="Q537" s="66">
        <f>IF(OR(H537=0,P537&lt;30),"Tier D (Đóng băng)",IF(P537&gt;=85,"Tier S (Kim Cương: 85-100đ)",IF(P537&gt;=70,"Tier A (Vàng: 70-84đ)",IF(P537&gt;=61,"Tier B+ / Cấp A (Hot Lead: 61-69đ)",IF(P537&gt;=50,"Tier B (Bạc: 50-60đ)","Tier C (Đồng: 30-49đ)")))))</f>
        <v/>
      </c>
      <c r="R537" s="6" t="inlineStr">
        <is>
          <t>Cỏ nhân tạo sân chơi/huấn luyện (Dog Turf) + Đồ chơi nhai chịu lực (KONG/Chew Toys)</t>
        </is>
      </c>
      <c r="S537" s="6" t="inlineStr">
        <is>
          <t>Cấp B Tiềm năng: Tiếp cận tự động qua chuỗi Email Marketing + Chăm sóc bổ sung bằng Telesale</t>
        </is>
      </c>
    </row>
    <row r="538">
      <c r="A538" s="59" t="n">
        <v>176</v>
      </c>
      <c r="B538" s="15" t="inlineStr">
        <is>
          <t>Golden Grouse Gundogs Owners Page</t>
        </is>
      </c>
      <c r="C538" s="60" t="inlineStr">
        <is>
          <t>https://www.facebook.com/goldengrouse</t>
        </is>
      </c>
      <c r="D538" s="9" t="inlineStr">
        <is>
          <t>Cần quét Bio Fanpage</t>
        </is>
      </c>
      <c r="E538" s="59" t="inlineStr">
        <is>
          <t>11/10/2026 01:55:49</t>
        </is>
      </c>
      <c r="F538" s="59" t="inlineStr">
        <is>
          <t>1 ngày trước</t>
        </is>
      </c>
      <c r="G538" s="61" t="n">
        <v>1</v>
      </c>
      <c r="H538" s="62" t="n">
        <v>28</v>
      </c>
      <c r="I538" s="9" t="inlineStr">
        <is>
          <t>Pet Boarding / Huấn luyện K9 &amp; Dịch vụ (20-22đ)</t>
        </is>
      </c>
      <c r="J538" s="62" t="n">
        <v>20</v>
      </c>
      <c r="K538" s="9" t="inlineStr">
        <is>
          <t>Spaniel / Gun Dog / Retriever</t>
        </is>
      </c>
      <c r="L538" s="62" t="n">
        <v>5</v>
      </c>
      <c r="M538" s="62" t="n">
        <v>0</v>
      </c>
      <c r="N538" s="9" t="inlineStr">
        <is>
          <t>Amazon link not found</t>
        </is>
      </c>
      <c r="O538" s="62">
        <f>IF(N538="Selling pet toys + Artificial grass/Pet toilets (TARGET)",15,IF(N538="Selling artificial grass/pet toilets (TARGET)",10,IF(N538="Selling pet toys",7,IF(N538="There's an Amazon link, but no target sales.",3,0))))</f>
        <v/>
      </c>
      <c r="P538" s="67">
        <f>H538+J538+L538+M538+O538</f>
        <v/>
      </c>
      <c r="Q538" s="66">
        <f>IF(OR(H538=0,P538&lt;30),"Tier D (Đóng băng)",IF(P538&gt;=85,"Tier S (Kim Cương: 85-100đ)",IF(P538&gt;=70,"Tier A (Vàng: 70-84đ)",IF(P538&gt;=61,"Tier B+ / Cấp A (Hot Lead: 61-69đ)",IF(P538&gt;=50,"Tier B (Bạc: 50-60đ)","Tier C (Đồng: 30-49đ)")))))</f>
        <v/>
      </c>
      <c r="R538" s="9" t="inlineStr">
        <is>
          <t>Cỏ nhân tạo sân chơi/huấn luyện (Dog Turf) + Đồ chơi nhai chịu lực (KONG/Chew Toys)</t>
        </is>
      </c>
      <c r="S538" s="9" t="inlineStr">
        <is>
          <t>Cấp B Tiềm năng: Tiếp cận tự động qua chuỗi Email Marketing + Chăm sóc bổ sung bằng Telesale</t>
        </is>
      </c>
    </row>
    <row r="539">
      <c r="A539" s="53" t="n">
        <v>3066</v>
      </c>
      <c r="B539" s="12" t="inlineStr">
        <is>
          <t>Tay Valley Gundog Association</t>
        </is>
      </c>
      <c r="C539" s="54" t="inlineStr">
        <is>
          <t>https://www.facebook.com/profile.php?id=100080072311031</t>
        </is>
      </c>
      <c r="D539" s="6" t="inlineStr">
        <is>
          <t>Cần quét Bio Fanpage</t>
        </is>
      </c>
      <c r="E539" s="53" t="inlineStr">
        <is>
          <t>10/10/2026 23:53:16</t>
        </is>
      </c>
      <c r="F539" s="53" t="inlineStr">
        <is>
          <t>2 ngày trước</t>
        </is>
      </c>
      <c r="G539" s="55" t="n">
        <v>2</v>
      </c>
      <c r="H539" s="56" t="n">
        <v>28</v>
      </c>
      <c r="I539" s="6" t="inlineStr">
        <is>
          <t>Pet Boarding / Huấn luyện K9 &amp; Dịch vụ (20-22đ)</t>
        </is>
      </c>
      <c r="J539" s="56" t="n">
        <v>20</v>
      </c>
      <c r="K539" s="6" t="inlineStr">
        <is>
          <t>Spaniel / Gun Dog / Retriever</t>
        </is>
      </c>
      <c r="L539" s="56" t="n">
        <v>5</v>
      </c>
      <c r="M539" s="56" t="n">
        <v>0</v>
      </c>
      <c r="N539" s="6" t="inlineStr">
        <is>
          <t>Amazon link not found</t>
        </is>
      </c>
      <c r="O539" s="56">
        <f>IF(N539="Selling pet toys + Artificial grass/Pet toilets (TARGET)",15,IF(N539="Selling artificial grass/pet toilets (TARGET)",10,IF(N539="Selling pet toys",7,IF(N539="There's an Amazon link, but no target sales.",3,0))))</f>
        <v/>
      </c>
      <c r="P539" s="65">
        <f>H539+J539+L539+M539+O539</f>
        <v/>
      </c>
      <c r="Q539" s="66">
        <f>IF(OR(H539=0,P539&lt;30),"Tier D (Đóng băng)",IF(P539&gt;=85,"Tier S (Kim Cương: 85-100đ)",IF(P539&gt;=70,"Tier A (Vàng: 70-84đ)",IF(P539&gt;=61,"Tier B+ / Cấp A (Hot Lead: 61-69đ)",IF(P539&gt;=50,"Tier B (Bạc: 50-60đ)","Tier C (Đồng: 30-49đ)")))))</f>
        <v/>
      </c>
      <c r="R539" s="6" t="inlineStr">
        <is>
          <t>Cỏ nhân tạo sân chơi/huấn luyện (Dog Turf) + Đồ chơi nhai chịu lực (KONG/Chew Toys)</t>
        </is>
      </c>
      <c r="S539" s="6" t="inlineStr">
        <is>
          <t>Cấp B Tiềm năng: Tiếp cận tự động qua chuỗi Email Marketing + Chăm sóc bổ sung bằng Telesale</t>
        </is>
      </c>
    </row>
    <row r="540">
      <c r="A540" s="59" t="n">
        <v>1594</v>
      </c>
      <c r="B540" s="15" t="inlineStr">
        <is>
          <t>Hampshire Gundog Society</t>
        </is>
      </c>
      <c r="C540" s="60" t="inlineStr">
        <is>
          <t>https://www.facebook.com/HampshireGundogSociety</t>
        </is>
      </c>
      <c r="D540" s="9" t="inlineStr">
        <is>
          <t>Cần quét Bio Fanpage</t>
        </is>
      </c>
      <c r="E540" s="59" t="inlineStr">
        <is>
          <t>10/10/2026 17:46:15</t>
        </is>
      </c>
      <c r="F540" s="59" t="inlineStr">
        <is>
          <t>2 ngày trước</t>
        </is>
      </c>
      <c r="G540" s="61" t="n">
        <v>2</v>
      </c>
      <c r="H540" s="62" t="n">
        <v>28</v>
      </c>
      <c r="I540" s="9" t="inlineStr">
        <is>
          <t>Pet Boarding / Huấn luyện K9 &amp; Dịch vụ (20-22đ)</t>
        </is>
      </c>
      <c r="J540" s="62" t="n">
        <v>20</v>
      </c>
      <c r="K540" s="9" t="inlineStr">
        <is>
          <t>Spaniel / Gun Dog / Retriever</t>
        </is>
      </c>
      <c r="L540" s="62" t="n">
        <v>5</v>
      </c>
      <c r="M540" s="62" t="n">
        <v>0</v>
      </c>
      <c r="N540" s="9" t="inlineStr">
        <is>
          <t>Amazon link not found</t>
        </is>
      </c>
      <c r="O540" s="62">
        <f>IF(N540="Selling pet toys + Artificial grass/Pet toilets (TARGET)",15,IF(N540="Selling artificial grass/pet toilets (TARGET)",10,IF(N540="Selling pet toys",7,IF(N540="There's an Amazon link, but no target sales.",3,0))))</f>
        <v/>
      </c>
      <c r="P540" s="67">
        <f>H540+J540+L540+M540+O540</f>
        <v/>
      </c>
      <c r="Q540" s="66">
        <f>IF(OR(H540=0,P540&lt;30),"Tier D (Đóng băng)",IF(P540&gt;=85,"Tier S (Kim Cương: 85-100đ)",IF(P540&gt;=70,"Tier A (Vàng: 70-84đ)",IF(P540&gt;=61,"Tier B+ / Cấp A (Hot Lead: 61-69đ)",IF(P540&gt;=50,"Tier B (Bạc: 50-60đ)","Tier C (Đồng: 30-49đ)")))))</f>
        <v/>
      </c>
      <c r="R540" s="9" t="inlineStr">
        <is>
          <t>Cỏ nhân tạo sân chơi/huấn luyện (Dog Turf) + Đồ chơi nhai chịu lực (KONG/Chew Toys)</t>
        </is>
      </c>
      <c r="S540" s="9" t="inlineStr">
        <is>
          <t>Cấp B Tiềm năng: Tiếp cận tự động qua chuỗi Email Marketing + Chăm sóc bổ sung bằng Telesale</t>
        </is>
      </c>
    </row>
    <row r="541">
      <c r="A541" s="53" t="n">
        <v>2264</v>
      </c>
      <c r="B541" s="12" t="inlineStr">
        <is>
          <t>National Gundog Association</t>
        </is>
      </c>
      <c r="C541" s="54" t="inlineStr">
        <is>
          <t>https://www.facebook.com/NationalGundogAssociation</t>
        </is>
      </c>
      <c r="D541" s="6" t="inlineStr">
        <is>
          <t>Cần quét Bio Fanpage</t>
        </is>
      </c>
      <c r="E541" s="53" t="inlineStr">
        <is>
          <t>10/10/2026 14:39:58</t>
        </is>
      </c>
      <c r="F541" s="53" t="inlineStr">
        <is>
          <t>2 ngày trước</t>
        </is>
      </c>
      <c r="G541" s="55" t="n">
        <v>2</v>
      </c>
      <c r="H541" s="56" t="n">
        <v>28</v>
      </c>
      <c r="I541" s="6" t="inlineStr">
        <is>
          <t>Pet Boarding / Huấn luyện K9 &amp; Dịch vụ (20-22đ)</t>
        </is>
      </c>
      <c r="J541" s="56" t="n">
        <v>20</v>
      </c>
      <c r="K541" s="6" t="inlineStr">
        <is>
          <t>Spaniel / Gun Dog / Retriever</t>
        </is>
      </c>
      <c r="L541" s="56" t="n">
        <v>5</v>
      </c>
      <c r="M541" s="56" t="n">
        <v>0</v>
      </c>
      <c r="N541" s="6" t="inlineStr">
        <is>
          <t>Amazon link not found</t>
        </is>
      </c>
      <c r="O541" s="56">
        <f>IF(N541="Selling pet toys + Artificial grass/Pet toilets (TARGET)",15,IF(N541="Selling artificial grass/pet toilets (TARGET)",10,IF(N541="Selling pet toys",7,IF(N541="There's an Amazon link, but no target sales.",3,0))))</f>
        <v/>
      </c>
      <c r="P541" s="65">
        <f>H541+J541+L541+M541+O541</f>
        <v/>
      </c>
      <c r="Q541" s="66">
        <f>IF(OR(H541=0,P541&lt;30),"Tier D (Đóng băng)",IF(P541&gt;=85,"Tier S (Kim Cương: 85-100đ)",IF(P541&gt;=70,"Tier A (Vàng: 70-84đ)",IF(P541&gt;=61,"Tier B+ / Cấp A (Hot Lead: 61-69đ)",IF(P541&gt;=50,"Tier B (Bạc: 50-60đ)","Tier C (Đồng: 30-49đ)")))))</f>
        <v/>
      </c>
      <c r="R541" s="6" t="inlineStr">
        <is>
          <t>Cỏ nhân tạo sân chơi/huấn luyện (Dog Turf) + Đồ chơi nhai chịu lực (KONG/Chew Toys)</t>
        </is>
      </c>
      <c r="S541" s="6" t="inlineStr">
        <is>
          <t>Cấp B Tiềm năng: Tiếp cận tự động qua chuỗi Email Marketing + Chăm sóc bổ sung bằng Telesale</t>
        </is>
      </c>
    </row>
    <row r="542">
      <c r="A542" s="59" t="n">
        <v>285</v>
      </c>
      <c r="B542" s="15" t="inlineStr">
        <is>
          <t>Tullyah Gundogs</t>
        </is>
      </c>
      <c r="C542" s="60" t="inlineStr">
        <is>
          <t>https://www.facebook.com/profile.php?id=100057515736200</t>
        </is>
      </c>
      <c r="D542" s="9" t="inlineStr">
        <is>
          <t>Cần quét Bio Fanpage</t>
        </is>
      </c>
      <c r="E542" s="59" t="inlineStr">
        <is>
          <t>10/10/2026 02:13:41</t>
        </is>
      </c>
      <c r="F542" s="59" t="inlineStr">
        <is>
          <t>2 ngày trước</t>
        </is>
      </c>
      <c r="G542" s="61" t="n">
        <v>2</v>
      </c>
      <c r="H542" s="62" t="n">
        <v>28</v>
      </c>
      <c r="I542" s="9" t="inlineStr">
        <is>
          <t>Pet Boarding / Huấn luyện K9 &amp; Dịch vụ (20-22đ)</t>
        </is>
      </c>
      <c r="J542" s="62" t="n">
        <v>20</v>
      </c>
      <c r="K542" s="9" t="inlineStr">
        <is>
          <t>Spaniel / Gun Dog / Retriever</t>
        </is>
      </c>
      <c r="L542" s="62" t="n">
        <v>5</v>
      </c>
      <c r="M542" s="62" t="n">
        <v>0</v>
      </c>
      <c r="N542" s="9" t="inlineStr">
        <is>
          <t>Amazon link not found</t>
        </is>
      </c>
      <c r="O542" s="62">
        <f>IF(N542="Selling pet toys + Artificial grass/Pet toilets (TARGET)",15,IF(N542="Selling artificial grass/pet toilets (TARGET)",10,IF(N542="Selling pet toys",7,IF(N542="There's an Amazon link, but no target sales.",3,0))))</f>
        <v/>
      </c>
      <c r="P542" s="67">
        <f>H542+J542+L542+M542+O542</f>
        <v/>
      </c>
      <c r="Q542" s="66">
        <f>IF(OR(H542=0,P542&lt;30),"Tier D (Đóng băng)",IF(P542&gt;=85,"Tier S (Kim Cương: 85-100đ)",IF(P542&gt;=70,"Tier A (Vàng: 70-84đ)",IF(P542&gt;=61,"Tier B+ / Cấp A (Hot Lead: 61-69đ)",IF(P542&gt;=50,"Tier B (Bạc: 50-60đ)","Tier C (Đồng: 30-49đ)")))))</f>
        <v/>
      </c>
      <c r="R542" s="9" t="inlineStr">
        <is>
          <t>Cỏ nhân tạo sân chơi/huấn luyện (Dog Turf) + Đồ chơi nhai chịu lực (KONG/Chew Toys)</t>
        </is>
      </c>
      <c r="S542" s="9" t="inlineStr">
        <is>
          <t>Cấp B Tiềm năng: Tiếp cận tự động qua chuỗi Email Marketing + Chăm sóc bổ sung bằng Telesale</t>
        </is>
      </c>
    </row>
    <row r="543">
      <c r="A543" s="53" t="n">
        <v>1426</v>
      </c>
      <c r="B543" s="12" t="inlineStr">
        <is>
          <t>Foxhope gundogs</t>
        </is>
      </c>
      <c r="C543" s="54" t="inlineStr">
        <is>
          <t>https://www.facebook.com/profile.php?id=100086625580910</t>
        </is>
      </c>
      <c r="D543" s="6" t="inlineStr">
        <is>
          <t>Cần quét Bio Fanpage</t>
        </is>
      </c>
      <c r="E543" s="53" t="inlineStr">
        <is>
          <t>09/10/2026 23:19:31</t>
        </is>
      </c>
      <c r="F543" s="53" t="inlineStr">
        <is>
          <t>3 ngày trước</t>
        </is>
      </c>
      <c r="G543" s="55" t="n">
        <v>3</v>
      </c>
      <c r="H543" s="56" t="n">
        <v>28</v>
      </c>
      <c r="I543" s="6" t="inlineStr">
        <is>
          <t>Pet Boarding / Huấn luyện K9 &amp; Dịch vụ (20-22đ)</t>
        </is>
      </c>
      <c r="J543" s="56" t="n">
        <v>20</v>
      </c>
      <c r="K543" s="6" t="inlineStr">
        <is>
          <t>Spaniel / Gun Dog / Retriever</t>
        </is>
      </c>
      <c r="L543" s="56" t="n">
        <v>5</v>
      </c>
      <c r="M543" s="56" t="n">
        <v>0</v>
      </c>
      <c r="N543" s="6" t="inlineStr">
        <is>
          <t>Amazon link not found</t>
        </is>
      </c>
      <c r="O543" s="56">
        <f>IF(N543="Selling pet toys + Artificial grass/Pet toilets (TARGET)",15,IF(N543="Selling artificial grass/pet toilets (TARGET)",10,IF(N543="Selling pet toys",7,IF(N543="There's an Amazon link, but no target sales.",3,0))))</f>
        <v/>
      </c>
      <c r="P543" s="65">
        <f>H543+J543+L543+M543+O543</f>
        <v/>
      </c>
      <c r="Q543" s="66">
        <f>IF(OR(H543=0,P543&lt;30),"Tier D (Đóng băng)",IF(P543&gt;=85,"Tier S (Kim Cương: 85-100đ)",IF(P543&gt;=70,"Tier A (Vàng: 70-84đ)",IF(P543&gt;=61,"Tier B+ / Cấp A (Hot Lead: 61-69đ)",IF(P543&gt;=50,"Tier B (Bạc: 50-60đ)","Tier C (Đồng: 30-49đ)")))))</f>
        <v/>
      </c>
      <c r="R543" s="6" t="inlineStr">
        <is>
          <t>Cỏ nhân tạo sân chơi/huấn luyện (Dog Turf) + Đồ chơi nhai chịu lực (KONG/Chew Toys)</t>
        </is>
      </c>
      <c r="S543" s="6" t="inlineStr">
        <is>
          <t>Cấp B Tiềm năng: Tiếp cận tự động qua chuỗi Email Marketing + Chăm sóc bổ sung bằng Telesale</t>
        </is>
      </c>
    </row>
    <row r="544">
      <c r="A544" s="59" t="n">
        <v>613</v>
      </c>
      <c r="B544" s="15" t="inlineStr">
        <is>
          <t>Beau the Bernese Mountain Dog</t>
        </is>
      </c>
      <c r="C544" s="60" t="inlineStr">
        <is>
          <t>https://www.facebook.com/profile.php?id=61556296920880</t>
        </is>
      </c>
      <c r="D544" s="9" t="inlineStr">
        <is>
          <t>Cần quét Bio Fanpage</t>
        </is>
      </c>
      <c r="E544" s="59" t="inlineStr">
        <is>
          <t>09/10/2026 01:41:35</t>
        </is>
      </c>
      <c r="F544" s="59" t="inlineStr">
        <is>
          <t>4 ngày trước</t>
        </is>
      </c>
      <c r="G544" s="61" t="n">
        <v>4</v>
      </c>
      <c r="H544" s="62" t="n">
        <v>20</v>
      </c>
      <c r="I544" s="9" t="inlineStr">
        <is>
          <t>Dog Breeder / Trại chó chuyên nghiệp (28-30đ)</t>
        </is>
      </c>
      <c r="J544" s="62" t="n">
        <v>28</v>
      </c>
      <c r="K544" s="9" t="inlineStr">
        <is>
          <t>Bernese Mountain Dog</t>
        </is>
      </c>
      <c r="L544" s="62" t="n">
        <v>5</v>
      </c>
      <c r="M544" s="62" t="n">
        <v>0</v>
      </c>
      <c r="N544" s="9" t="inlineStr">
        <is>
          <t>Amazon link not found</t>
        </is>
      </c>
      <c r="O544" s="62">
        <f>IF(N544="Selling pet toys + Artificial grass/Pet toilets (TARGET)",15,IF(N544="Selling artificial grass/pet toilets (TARGET)",10,IF(N544="Selling pet toys",7,IF(N544="There's an Amazon link, but no target sales.",3,0))))</f>
        <v/>
      </c>
      <c r="P544" s="67">
        <f>H544+J544+L544+M544+O544</f>
        <v/>
      </c>
      <c r="Q544" s="66">
        <f>IF(OR(H544=0,P544&lt;30),"Tier D (Đóng băng)",IF(P544&gt;=85,"Tier S (Kim Cương: 85-100đ)",IF(P544&gt;=70,"Tier A (Vàng: 70-84đ)",IF(P544&gt;=61,"Tier B+ / Cấp A (Hot Lead: 61-69đ)",IF(P544&gt;=50,"Tier B (Bạc: 50-60đ)","Tier C (Đồng: 30-49đ)")))))</f>
        <v/>
      </c>
      <c r="R544" s="9" t="inlineStr">
        <is>
          <t>Trọn gói Take-Home Starter Kit V2/V3 (Cỏ nhân tạo + Khay Potty + Đồ chơi Teething/Snuggle)</t>
        </is>
      </c>
      <c r="S544" s="9" t="inlineStr">
        <is>
          <t>Cấp B Tiềm năng: Tiếp cận tự động qua chuỗi Email Marketing + Chăm sóc bổ sung bằng Telesale</t>
        </is>
      </c>
    </row>
    <row r="545">
      <c r="A545" s="53" t="n">
        <v>600</v>
      </c>
      <c r="B545" s="12" t="inlineStr">
        <is>
          <t>Bassethound Pavia - Bassethound Ticinum</t>
        </is>
      </c>
      <c r="C545" s="54" t="inlineStr">
        <is>
          <t>https://www.facebook.com/BassethoundPavia</t>
        </is>
      </c>
      <c r="D545" s="6" t="inlineStr">
        <is>
          <t>Cần quét Bio Fanpage</t>
        </is>
      </c>
      <c r="E545" s="53" t="inlineStr">
        <is>
          <t>08/10/2026 23:16:15</t>
        </is>
      </c>
      <c r="F545" s="53" t="inlineStr">
        <is>
          <t>4 ngày trước</t>
        </is>
      </c>
      <c r="G545" s="55" t="n">
        <v>4</v>
      </c>
      <c r="H545" s="56" t="n">
        <v>20</v>
      </c>
      <c r="I545" s="6" t="inlineStr">
        <is>
          <t>Dog Breeder / Trại nhân giống (28-30đ)</t>
        </is>
      </c>
      <c r="J545" s="56" t="n">
        <v>28</v>
      </c>
      <c r="K545" s="6" t="inlineStr">
        <is>
          <t>Hound / Beagle / Basset</t>
        </is>
      </c>
      <c r="L545" s="56" t="n">
        <v>5</v>
      </c>
      <c r="M545" s="56" t="n">
        <v>0</v>
      </c>
      <c r="N545" s="6" t="inlineStr">
        <is>
          <t>Amazon link not found</t>
        </is>
      </c>
      <c r="O545" s="56">
        <f>IF(N545="Selling pet toys + Artificial grass/Pet toilets (TARGET)",15,IF(N545="Selling artificial grass/pet toilets (TARGET)",10,IF(N545="Selling pet toys",7,IF(N545="There's an Amazon link, but no target sales.",3,0))))</f>
        <v/>
      </c>
      <c r="P545" s="65">
        <f>H545+J545+L545+M545+O545</f>
        <v/>
      </c>
      <c r="Q545" s="66">
        <f>IF(OR(H545=0,P545&lt;30),"Tier D (Đóng băng)",IF(P545&gt;=85,"Tier S (Kim Cương: 85-100đ)",IF(P545&gt;=70,"Tier A (Vàng: 70-84đ)",IF(P545&gt;=61,"Tier B+ / Cấp A (Hot Lead: 61-69đ)",IF(P545&gt;=50,"Tier B (Bạc: 50-60đ)","Tier C (Đồng: 30-49đ)")))))</f>
        <v/>
      </c>
      <c r="R545" s="6" t="inlineStr">
        <is>
          <t>Trọn gói Take-Home Starter Kit V2/V3 (Cỏ nhân tạo + Khay Potty + Đồ chơi cún con)</t>
        </is>
      </c>
      <c r="S545" s="6" t="inlineStr">
        <is>
          <t>Cấp B Tiềm năng: Tiếp cận tự động qua chuỗi Email Marketing + Chăm sóc bổ sung bằng Telesale</t>
        </is>
      </c>
    </row>
    <row r="546">
      <c r="A546" s="59" t="n">
        <v>227</v>
      </c>
      <c r="B546" s="15" t="inlineStr">
        <is>
          <t>Multipet International, Inc.</t>
        </is>
      </c>
      <c r="C546" s="60" t="inlineStr">
        <is>
          <t>https://www.facebook.com/MultipetInternational</t>
        </is>
      </c>
      <c r="D546" s="9" t="inlineStr">
        <is>
          <t>Cần quét Bio Fanpage</t>
        </is>
      </c>
      <c r="E546" s="59" t="inlineStr">
        <is>
          <t>08/10/2026 20:05:01</t>
        </is>
      </c>
      <c r="F546" s="59" t="inlineStr">
        <is>
          <t>4 ngày trước</t>
        </is>
      </c>
      <c r="G546" s="61" t="n">
        <v>4</v>
      </c>
      <c r="H546" s="62" t="n">
        <v>20</v>
      </c>
      <c r="I546" s="9" t="inlineStr">
        <is>
          <t>Dog Breeder / Trại nhân giống (28-30đ)</t>
        </is>
      </c>
      <c r="J546" s="62" t="n">
        <v>28</v>
      </c>
      <c r="K546" s="9" t="inlineStr">
        <is>
          <t>Chưa rõ giống (Cần quét Bio)</t>
        </is>
      </c>
      <c r="L546" s="62" t="n">
        <v>0</v>
      </c>
      <c r="M546" s="62" t="n">
        <v>5</v>
      </c>
      <c r="N546" s="9" t="inlineStr">
        <is>
          <t>Amazon link not found</t>
        </is>
      </c>
      <c r="O546" s="62">
        <f>IF(N546="Selling pet toys + Artificial grass/Pet toilets (TARGET)",15,IF(N546="Selling artificial grass/pet toilets (TARGET)",10,IF(N546="Selling pet toys",7,IF(N546="There's an Amazon link, but no target sales.",3,0))))</f>
        <v/>
      </c>
      <c r="P546" s="67">
        <f>H546+J546+L546+M546+O546</f>
        <v/>
      </c>
      <c r="Q546" s="66">
        <f>IF(OR(H546=0,P546&lt;30),"Tier D (Đóng băng)",IF(P546&gt;=85,"Tier S (Kim Cương: 85-100đ)",IF(P546&gt;=70,"Tier A (Vàng: 70-84đ)",IF(P546&gt;=61,"Tier B+ / Cấp A (Hot Lead: 61-69đ)",IF(P546&gt;=50,"Tier B (Bạc: 50-60đ)","Tier C (Đồng: 30-49đ)")))))</f>
        <v/>
      </c>
      <c r="R546" s="9" t="inlineStr">
        <is>
          <t>Trọn gói Take-Home Starter Kit V2/V3 (Cỏ nhân tạo + Khay Potty + Đồ chơi cún con)</t>
        </is>
      </c>
      <c r="S546" s="9" t="inlineStr">
        <is>
          <t>Cấp B Tiềm năng: Tiếp cận tự động qua chuỗi Email Marketing + Chăm sóc bổ sung bằng Telesale</t>
        </is>
      </c>
    </row>
    <row r="547">
      <c r="A547" s="53" t="n">
        <v>237</v>
      </c>
      <c r="B547" s="12" t="inlineStr">
        <is>
          <t>Outward Hound</t>
        </is>
      </c>
      <c r="C547" s="54" t="inlineStr">
        <is>
          <t>https://www.facebook.com/OutwardHound</t>
        </is>
      </c>
      <c r="D547" s="6" t="inlineStr">
        <is>
          <t>Cần quét Bio Fanpage</t>
        </is>
      </c>
      <c r="E547" s="53" t="inlineStr">
        <is>
          <t>08/10/2026 03:29:47</t>
        </is>
      </c>
      <c r="F547" s="53" t="inlineStr">
        <is>
          <t>4 ngày trước</t>
        </is>
      </c>
      <c r="G547" s="55" t="n">
        <v>4</v>
      </c>
      <c r="H547" s="56" t="n">
        <v>20</v>
      </c>
      <c r="I547" s="6" t="inlineStr">
        <is>
          <t>Dog Breeder / Trại nhân giống (28-30đ)</t>
        </is>
      </c>
      <c r="J547" s="56" t="n">
        <v>28</v>
      </c>
      <c r="K547" s="6" t="inlineStr">
        <is>
          <t>Hound / Beagle / Basset</t>
        </is>
      </c>
      <c r="L547" s="56" t="n">
        <v>5</v>
      </c>
      <c r="M547" s="56" t="n">
        <v>0</v>
      </c>
      <c r="N547" s="6" t="inlineStr">
        <is>
          <t>Amazon link not found</t>
        </is>
      </c>
      <c r="O547" s="56">
        <f>IF(N547="Selling pet toys + Artificial grass/Pet toilets (TARGET)",15,IF(N547="Selling artificial grass/pet toilets (TARGET)",10,IF(N547="Selling pet toys",7,IF(N547="There's an Amazon link, but no target sales.",3,0))))</f>
        <v/>
      </c>
      <c r="P547" s="65">
        <f>H547+J547+L547+M547+O547</f>
        <v/>
      </c>
      <c r="Q547" s="66">
        <f>IF(OR(H547=0,P547&lt;30),"Tier D (Đóng băng)",IF(P547&gt;=85,"Tier S (Kim Cương: 85-100đ)",IF(P547&gt;=70,"Tier A (Vàng: 70-84đ)",IF(P547&gt;=61,"Tier B+ / Cấp A (Hot Lead: 61-69đ)",IF(P547&gt;=50,"Tier B (Bạc: 50-60đ)","Tier C (Đồng: 30-49đ)")))))</f>
        <v/>
      </c>
      <c r="R547" s="6" t="inlineStr">
        <is>
          <t>Trọn gói Take-Home Starter Kit V2/V3 (Cỏ nhân tạo + Khay Potty + Đồ chơi cún con)</t>
        </is>
      </c>
      <c r="S547" s="6" t="inlineStr">
        <is>
          <t>Cấp B Tiềm năng: Tiếp cận tự động qua chuỗi Email Marketing + Chăm sóc bổ sung bằng Telesale</t>
        </is>
      </c>
    </row>
    <row r="548">
      <c r="A548" s="59" t="n">
        <v>2821</v>
      </c>
      <c r="B548" s="15" t="inlineStr">
        <is>
          <t>Sandy Hill Basset Hounds</t>
        </is>
      </c>
      <c r="C548" s="60" t="inlineStr">
        <is>
          <t>https://www.facebook.com/SandyHillBassetHounds</t>
        </is>
      </c>
      <c r="D548" s="9" t="inlineStr">
        <is>
          <t>Cần quét Bio Fanpage</t>
        </is>
      </c>
      <c r="E548" s="59" t="inlineStr">
        <is>
          <t>08/10/2026 02:21:58</t>
        </is>
      </c>
      <c r="F548" s="59" t="inlineStr">
        <is>
          <t>5 ngày trước</t>
        </is>
      </c>
      <c r="G548" s="61" t="n">
        <v>5</v>
      </c>
      <c r="H548" s="62" t="n">
        <v>20</v>
      </c>
      <c r="I548" s="9" t="inlineStr">
        <is>
          <t>Dog Breeder / Trại chó chuyên nghiệp (28-30đ)</t>
        </is>
      </c>
      <c r="J548" s="62" t="n">
        <v>28</v>
      </c>
      <c r="K548" s="9" t="inlineStr">
        <is>
          <t>Hound / Beagle / Basset</t>
        </is>
      </c>
      <c r="L548" s="62" t="n">
        <v>5</v>
      </c>
      <c r="M548" s="62" t="n">
        <v>0</v>
      </c>
      <c r="N548" s="9" t="inlineStr">
        <is>
          <t>Amazon link not found</t>
        </is>
      </c>
      <c r="O548" s="62">
        <f>IF(N548="Selling pet toys + Artificial grass/Pet toilets (TARGET)",15,IF(N548="Selling artificial grass/pet toilets (TARGET)",10,IF(N548="Selling pet toys",7,IF(N548="There's an Amazon link, but no target sales.",3,0))))</f>
        <v/>
      </c>
      <c r="P548" s="67">
        <f>H548+J548+L548+M548+O548</f>
        <v/>
      </c>
      <c r="Q548" s="66">
        <f>IF(OR(H548=0,P548&lt;30),"Tier D (Đóng băng)",IF(P548&gt;=85,"Tier S (Kim Cương: 85-100đ)",IF(P548&gt;=70,"Tier A (Vàng: 70-84đ)",IF(P548&gt;=61,"Tier B+ / Cấp A (Hot Lead: 61-69đ)",IF(P548&gt;=50,"Tier B (Bạc: 50-60đ)","Tier C (Đồng: 30-49đ)")))))</f>
        <v/>
      </c>
      <c r="R548" s="9" t="inlineStr">
        <is>
          <t>Trọn gói Take-Home Starter Kit V2/V3 (Cỏ nhân tạo + Khay Potty + Đồ chơi Teething/Snuggle)</t>
        </is>
      </c>
      <c r="S548" s="9" t="inlineStr">
        <is>
          <t>Cấp B Tiềm năng: Tiếp cận tự động qua chuỗi Email Marketing + Chăm sóc bổ sung bằng Telesale</t>
        </is>
      </c>
    </row>
    <row r="549">
      <c r="A549" s="53" t="n">
        <v>649</v>
      </c>
      <c r="B549" s="12" t="inlineStr">
        <is>
          <t>Bernese Mountain Dogs - looking back</t>
        </is>
      </c>
      <c r="C549" s="54" t="inlineStr">
        <is>
          <t>https://www.facebook.com/Berneselookingback</t>
        </is>
      </c>
      <c r="D549" s="6" t="inlineStr">
        <is>
          <t>Cần quét Bio Fanpage</t>
        </is>
      </c>
      <c r="E549" s="53" t="inlineStr">
        <is>
          <t>08/10/2026 01:49:47</t>
        </is>
      </c>
      <c r="F549" s="53" t="inlineStr">
        <is>
          <t>5 ngày trước</t>
        </is>
      </c>
      <c r="G549" s="55" t="n">
        <v>5</v>
      </c>
      <c r="H549" s="56" t="n">
        <v>20</v>
      </c>
      <c r="I549" s="6" t="inlineStr">
        <is>
          <t>Dog Breeder / Trại chó chuyên nghiệp (28-30đ)</t>
        </is>
      </c>
      <c r="J549" s="56" t="n">
        <v>28</v>
      </c>
      <c r="K549" s="6" t="inlineStr">
        <is>
          <t>Bernese Mountain Dog</t>
        </is>
      </c>
      <c r="L549" s="56" t="n">
        <v>5</v>
      </c>
      <c r="M549" s="56" t="n">
        <v>0</v>
      </c>
      <c r="N549" s="6" t="inlineStr">
        <is>
          <t>Amazon link not found</t>
        </is>
      </c>
      <c r="O549" s="56">
        <f>IF(N549="Selling pet toys + Artificial grass/Pet toilets (TARGET)",15,IF(N549="Selling artificial grass/pet toilets (TARGET)",10,IF(N549="Selling pet toys",7,IF(N549="There's an Amazon link, but no target sales.",3,0))))</f>
        <v/>
      </c>
      <c r="P549" s="65">
        <f>H549+J549+L549+M549+O549</f>
        <v/>
      </c>
      <c r="Q549" s="66">
        <f>IF(OR(H549=0,P549&lt;30),"Tier D (Đóng băng)",IF(P549&gt;=85,"Tier S (Kim Cương: 85-100đ)",IF(P549&gt;=70,"Tier A (Vàng: 70-84đ)",IF(P549&gt;=61,"Tier B+ / Cấp A (Hot Lead: 61-69đ)",IF(P549&gt;=50,"Tier B (Bạc: 50-60đ)","Tier C (Đồng: 30-49đ)")))))</f>
        <v/>
      </c>
      <c r="R549" s="6" t="inlineStr">
        <is>
          <t>Trọn gói Take-Home Starter Kit V2/V3 (Cỏ nhân tạo + Khay Potty + Đồ chơi Teething/Snuggle)</t>
        </is>
      </c>
      <c r="S549" s="6" t="inlineStr">
        <is>
          <t>Cấp B Tiềm năng: Tiếp cận tự động qua chuỗi Email Marketing + Chăm sóc bổ sung bằng Telesale</t>
        </is>
      </c>
    </row>
    <row r="550">
      <c r="A550" s="59" t="n">
        <v>1459</v>
      </c>
      <c r="B550" s="15" t="inlineStr">
        <is>
          <t>Freybach‘s Shetland Sheepdogs</t>
        </is>
      </c>
      <c r="C550" s="60" t="inlineStr">
        <is>
          <t>https://www.facebook.com/profile.php?id=61575113287671</t>
        </is>
      </c>
      <c r="D550" s="9" t="inlineStr">
        <is>
          <t>Cần quét Bio Fanpage</t>
        </is>
      </c>
      <c r="E550" s="59" t="inlineStr">
        <is>
          <t>07/10/2026 13:32:27</t>
        </is>
      </c>
      <c r="F550" s="59" t="inlineStr">
        <is>
          <t>5 ngày trước</t>
        </is>
      </c>
      <c r="G550" s="61" t="n">
        <v>5</v>
      </c>
      <c r="H550" s="62" t="n">
        <v>20</v>
      </c>
      <c r="I550" s="9" t="inlineStr">
        <is>
          <t>Dog Breeder / Trại nhân giống (28-30đ)</t>
        </is>
      </c>
      <c r="J550" s="62" t="n">
        <v>28</v>
      </c>
      <c r="K550" s="9" t="inlineStr">
        <is>
          <t>Australian Shepherd / Herding</t>
        </is>
      </c>
      <c r="L550" s="62" t="n">
        <v>5</v>
      </c>
      <c r="M550" s="62" t="n">
        <v>0</v>
      </c>
      <c r="N550" s="9" t="inlineStr">
        <is>
          <t>Amazon link not found</t>
        </is>
      </c>
      <c r="O550" s="62">
        <f>IF(N550="Selling pet toys + Artificial grass/Pet toilets (TARGET)",15,IF(N550="Selling artificial grass/pet toilets (TARGET)",10,IF(N550="Selling pet toys",7,IF(N550="There's an Amazon link, but no target sales.",3,0))))</f>
        <v/>
      </c>
      <c r="P550" s="67">
        <f>H550+J550+L550+M550+O550</f>
        <v/>
      </c>
      <c r="Q550" s="66">
        <f>IF(OR(H550=0,P550&lt;30),"Tier D (Đóng băng)",IF(P550&gt;=85,"Tier S (Kim Cương: 85-100đ)",IF(P550&gt;=70,"Tier A (Vàng: 70-84đ)",IF(P550&gt;=61,"Tier B+ / Cấp A (Hot Lead: 61-69đ)",IF(P550&gt;=50,"Tier B (Bạc: 50-60đ)","Tier C (Đồng: 30-49đ)")))))</f>
        <v/>
      </c>
      <c r="R550" s="9" t="inlineStr">
        <is>
          <t>Trọn gói Take-Home Starter Kit V2/V3 (Cỏ nhân tạo + Khay Potty + Đồ chơi cún con)</t>
        </is>
      </c>
      <c r="S550" s="9" t="inlineStr">
        <is>
          <t>Cấp B Tiềm năng: Tiếp cận tự động qua chuỗi Email Marketing + Chăm sóc bổ sung bằng Telesale</t>
        </is>
      </c>
    </row>
    <row r="551">
      <c r="A551" s="53" t="n">
        <v>2748</v>
      </c>
      <c r="B551" s="12" t="inlineStr">
        <is>
          <t>rileythebernesemountaindog</t>
        </is>
      </c>
      <c r="C551" s="54" t="inlineStr">
        <is>
          <t>https://www.facebook.com/profile.php?id=100063886251612</t>
        </is>
      </c>
      <c r="D551" s="6" t="inlineStr">
        <is>
          <t>Cần quét Bio Fanpage</t>
        </is>
      </c>
      <c r="E551" s="53" t="inlineStr">
        <is>
          <t>07/10/2026 13:23:12</t>
        </is>
      </c>
      <c r="F551" s="53" t="inlineStr">
        <is>
          <t>5 ngày trước</t>
        </is>
      </c>
      <c r="G551" s="55" t="n">
        <v>5</v>
      </c>
      <c r="H551" s="56" t="n">
        <v>20</v>
      </c>
      <c r="I551" s="6" t="inlineStr">
        <is>
          <t>Dog Breeder / Trại nhân giống (28-30đ)</t>
        </is>
      </c>
      <c r="J551" s="56" t="n">
        <v>28</v>
      </c>
      <c r="K551" s="6" t="inlineStr">
        <is>
          <t>Bernese Mountain Dog</t>
        </is>
      </c>
      <c r="L551" s="56" t="n">
        <v>5</v>
      </c>
      <c r="M551" s="56" t="n">
        <v>0</v>
      </c>
      <c r="N551" s="6" t="inlineStr">
        <is>
          <t>Amazon link not found</t>
        </is>
      </c>
      <c r="O551" s="56">
        <f>IF(N551="Selling pet toys + Artificial grass/Pet toilets (TARGET)",15,IF(N551="Selling artificial grass/pet toilets (TARGET)",10,IF(N551="Selling pet toys",7,IF(N551="There's an Amazon link, but no target sales.",3,0))))</f>
        <v/>
      </c>
      <c r="P551" s="65">
        <f>H551+J551+L551+M551+O551</f>
        <v/>
      </c>
      <c r="Q551" s="66">
        <f>IF(OR(H551=0,P551&lt;30),"Tier D (Đóng băng)",IF(P551&gt;=85,"Tier S (Kim Cương: 85-100đ)",IF(P551&gt;=70,"Tier A (Vàng: 70-84đ)",IF(P551&gt;=61,"Tier B+ / Cấp A (Hot Lead: 61-69đ)",IF(P551&gt;=50,"Tier B (Bạc: 50-60đ)","Tier C (Đồng: 30-49đ)")))))</f>
        <v/>
      </c>
      <c r="R551" s="6" t="inlineStr">
        <is>
          <t>Trọn gói Take-Home Starter Kit V2/V3 (Cỏ nhân tạo + Khay Potty + Đồ chơi cún con)</t>
        </is>
      </c>
      <c r="S551" s="6" t="inlineStr">
        <is>
          <t>Cấp B Tiềm năng: Tiếp cận tự động qua chuỗi Email Marketing + Chăm sóc bổ sung bằng Telesale</t>
        </is>
      </c>
    </row>
    <row r="552">
      <c r="A552" s="59" t="n">
        <v>2714</v>
      </c>
      <c r="B552" s="15" t="inlineStr">
        <is>
          <t>Red Star Show Dogs LLC</t>
        </is>
      </c>
      <c r="C552" s="60" t="inlineStr">
        <is>
          <t>https://www.facebook.com/profile.php?id=61555788640769</t>
        </is>
      </c>
      <c r="D552" s="9" t="inlineStr">
        <is>
          <t>Cần quét Bio Fanpage</t>
        </is>
      </c>
      <c r="E552" s="59" t="inlineStr">
        <is>
          <t>06/10/2026 23:42:56</t>
        </is>
      </c>
      <c r="F552" s="59" t="inlineStr">
        <is>
          <t>6 ngày trước</t>
        </is>
      </c>
      <c r="G552" s="61" t="n">
        <v>6</v>
      </c>
      <c r="H552" s="62" t="n">
        <v>20</v>
      </c>
      <c r="I552" s="9" t="inlineStr">
        <is>
          <t>Dog Breeder / Trại nhân giống (28-30đ)</t>
        </is>
      </c>
      <c r="J552" s="62" t="n">
        <v>28</v>
      </c>
      <c r="K552" s="9" t="inlineStr">
        <is>
          <t>Chưa rõ giống (Cần quét Bio)</t>
        </is>
      </c>
      <c r="L552" s="62" t="n">
        <v>0</v>
      </c>
      <c r="M552" s="62" t="n">
        <v>5</v>
      </c>
      <c r="N552" s="9" t="inlineStr">
        <is>
          <t>Amazon link not found</t>
        </is>
      </c>
      <c r="O552" s="62">
        <f>IF(N552="Selling pet toys + Artificial grass/Pet toilets (TARGET)",15,IF(N552="Selling artificial grass/pet toilets (TARGET)",10,IF(N552="Selling pet toys",7,IF(N552="There's an Amazon link, but no target sales.",3,0))))</f>
        <v/>
      </c>
      <c r="P552" s="67">
        <f>H552+J552+L552+M552+O552</f>
        <v/>
      </c>
      <c r="Q552" s="66">
        <f>IF(OR(H552=0,P552&lt;30),"Tier D (Đóng băng)",IF(P552&gt;=85,"Tier S (Kim Cương: 85-100đ)",IF(P552&gt;=70,"Tier A (Vàng: 70-84đ)",IF(P552&gt;=61,"Tier B+ / Cấp A (Hot Lead: 61-69đ)",IF(P552&gt;=50,"Tier B (Bạc: 50-60đ)","Tier C (Đồng: 30-49đ)")))))</f>
        <v/>
      </c>
      <c r="R552" s="9" t="inlineStr">
        <is>
          <t>Trọn gói Take-Home Starter Kit V2/V3 (Cỏ nhân tạo + Khay Potty + Đồ chơi cún con)</t>
        </is>
      </c>
      <c r="S552" s="9" t="inlineStr">
        <is>
          <t>Cấp B Tiềm năng: Tiếp cận tự động qua chuỗi Email Marketing + Chăm sóc bổ sung bằng Telesale</t>
        </is>
      </c>
    </row>
    <row r="553">
      <c r="A553" s="53" t="n">
        <v>1695</v>
      </c>
      <c r="B553" s="12" t="inlineStr">
        <is>
          <t>Huastecos Hounds, BLUE TICK Aldama tamps.</t>
        </is>
      </c>
      <c r="C553" s="54" t="inlineStr">
        <is>
          <t>https://www.facebook.com/profile.php?id=61572398502706</t>
        </is>
      </c>
      <c r="D553" s="6" t="inlineStr">
        <is>
          <t>Cần quét Bio Fanpage</t>
        </is>
      </c>
      <c r="E553" s="53" t="inlineStr">
        <is>
          <t>06/10/2026 23:36:19</t>
        </is>
      </c>
      <c r="F553" s="53" t="inlineStr">
        <is>
          <t>6 ngày trước</t>
        </is>
      </c>
      <c r="G553" s="55" t="n">
        <v>6</v>
      </c>
      <c r="H553" s="56" t="n">
        <v>20</v>
      </c>
      <c r="I553" s="6" t="inlineStr">
        <is>
          <t>Dog Breeder / Trại chó chuyên nghiệp (28-30đ)</t>
        </is>
      </c>
      <c r="J553" s="56" t="n">
        <v>28</v>
      </c>
      <c r="K553" s="6" t="inlineStr">
        <is>
          <t>Hound / Beagle / Basset</t>
        </is>
      </c>
      <c r="L553" s="56" t="n">
        <v>5</v>
      </c>
      <c r="M553" s="56" t="n">
        <v>0</v>
      </c>
      <c r="N553" s="6" t="inlineStr">
        <is>
          <t>Amazon link not found</t>
        </is>
      </c>
      <c r="O553" s="56">
        <f>IF(N553="Selling pet toys + Artificial grass/Pet toilets (TARGET)",15,IF(N553="Selling artificial grass/pet toilets (TARGET)",10,IF(N553="Selling pet toys",7,IF(N553="There's an Amazon link, but no target sales.",3,0))))</f>
        <v/>
      </c>
      <c r="P553" s="65">
        <f>H553+J553+L553+M553+O553</f>
        <v/>
      </c>
      <c r="Q553" s="66">
        <f>IF(OR(H553=0,P553&lt;30),"Tier D (Đóng băng)",IF(P553&gt;=85,"Tier S (Kim Cương: 85-100đ)",IF(P553&gt;=70,"Tier A (Vàng: 70-84đ)",IF(P553&gt;=61,"Tier B+ / Cấp A (Hot Lead: 61-69đ)",IF(P553&gt;=50,"Tier B (Bạc: 50-60đ)","Tier C (Đồng: 30-49đ)")))))</f>
        <v/>
      </c>
      <c r="R553" s="6" t="inlineStr">
        <is>
          <t>Trọn gói Take-Home Starter Kit V2/V3 (Cỏ nhân tạo + Khay Potty + Đồ chơi Teething/Snuggle)</t>
        </is>
      </c>
      <c r="S553" s="6" t="inlineStr">
        <is>
          <t>Cấp B Tiềm năng: Tiếp cận tự động qua chuỗi Email Marketing + Chăm sóc bổ sung bằng Telesale</t>
        </is>
      </c>
    </row>
    <row r="554">
      <c r="A554" s="59" t="n">
        <v>235</v>
      </c>
      <c r="B554" s="15" t="inlineStr">
        <is>
          <t>Northstar Basset Hounds</t>
        </is>
      </c>
      <c r="C554" s="60" t="inlineStr">
        <is>
          <t>https://www.facebook.com/northstarhounds</t>
        </is>
      </c>
      <c r="D554" s="9" t="inlineStr">
        <is>
          <t>Cần quét Bio Fanpage</t>
        </is>
      </c>
      <c r="E554" s="59" t="inlineStr">
        <is>
          <t>06/10/2026 21:43:06</t>
        </is>
      </c>
      <c r="F554" s="59" t="inlineStr">
        <is>
          <t>6 ngày trước</t>
        </is>
      </c>
      <c r="G554" s="61" t="n">
        <v>6</v>
      </c>
      <c r="H554" s="62" t="n">
        <v>20</v>
      </c>
      <c r="I554" s="9" t="inlineStr">
        <is>
          <t>Dog Breeder / Trại chó chuyên nghiệp (28-30đ)</t>
        </is>
      </c>
      <c r="J554" s="62" t="n">
        <v>28</v>
      </c>
      <c r="K554" s="9" t="inlineStr">
        <is>
          <t>Hound / Beagle / Basset</t>
        </is>
      </c>
      <c r="L554" s="62" t="n">
        <v>5</v>
      </c>
      <c r="M554" s="62" t="n">
        <v>0</v>
      </c>
      <c r="N554" s="9" t="inlineStr">
        <is>
          <t>Amazon link not found</t>
        </is>
      </c>
      <c r="O554" s="62">
        <f>IF(N554="Selling pet toys + Artificial grass/Pet toilets (TARGET)",15,IF(N554="Selling artificial grass/pet toilets (TARGET)",10,IF(N554="Selling pet toys",7,IF(N554="There's an Amazon link, but no target sales.",3,0))))</f>
        <v/>
      </c>
      <c r="P554" s="67">
        <f>H554+J554+L554+M554+O554</f>
        <v/>
      </c>
      <c r="Q554" s="66">
        <f>IF(OR(H554=0,P554&lt;30),"Tier D (Đóng băng)",IF(P554&gt;=85,"Tier S (Kim Cương: 85-100đ)",IF(P554&gt;=70,"Tier A (Vàng: 70-84đ)",IF(P554&gt;=61,"Tier B+ / Cấp A (Hot Lead: 61-69đ)",IF(P554&gt;=50,"Tier B (Bạc: 50-60đ)","Tier C (Đồng: 30-49đ)")))))</f>
        <v/>
      </c>
      <c r="R554" s="9" t="inlineStr">
        <is>
          <t>Trọn gói Take-Home Starter Kit V2/V3 (Cỏ nhân tạo + Khay Potty + Đồ chơi Teething/Snuggle)</t>
        </is>
      </c>
      <c r="S554" s="9" t="inlineStr">
        <is>
          <t>Cấp B Tiềm năng: Tiếp cận tự động qua chuỗi Email Marketing + Chăm sóc bổ sung bằng Telesale</t>
        </is>
      </c>
    </row>
    <row r="555">
      <c r="A555" s="53" t="n">
        <v>103</v>
      </c>
      <c r="B555" s="12" t="inlineStr">
        <is>
          <t>Aroha Hounds</t>
        </is>
      </c>
      <c r="C555" s="54" t="inlineStr">
        <is>
          <t>https://www.facebook.com/arohahounds</t>
        </is>
      </c>
      <c r="D555" s="6" t="inlineStr">
        <is>
          <t>Cần quét Bio Fanpage</t>
        </is>
      </c>
      <c r="E555" s="53" t="inlineStr">
        <is>
          <t>06/10/2026 09:55:55</t>
        </is>
      </c>
      <c r="F555" s="53" t="inlineStr">
        <is>
          <t>6 ngày trước</t>
        </is>
      </c>
      <c r="G555" s="55" t="n">
        <v>6</v>
      </c>
      <c r="H555" s="56" t="n">
        <v>20</v>
      </c>
      <c r="I555" s="6" t="inlineStr">
        <is>
          <t>Dog Breeder / Trại chó chuyên nghiệp (28-30đ)</t>
        </is>
      </c>
      <c r="J555" s="56" t="n">
        <v>28</v>
      </c>
      <c r="K555" s="6" t="inlineStr">
        <is>
          <t>Hound / Beagle / Basset</t>
        </is>
      </c>
      <c r="L555" s="56" t="n">
        <v>5</v>
      </c>
      <c r="M555" s="56" t="n">
        <v>0</v>
      </c>
      <c r="N555" s="6" t="inlineStr">
        <is>
          <t>Amazon link not found</t>
        </is>
      </c>
      <c r="O555" s="56">
        <f>IF(N555="Selling pet toys + Artificial grass/Pet toilets (TARGET)",15,IF(N555="Selling artificial grass/pet toilets (TARGET)",10,IF(N555="Selling pet toys",7,IF(N555="There's an Amazon link, but no target sales.",3,0))))</f>
        <v/>
      </c>
      <c r="P555" s="65">
        <f>H555+J555+L555+M555+O555</f>
        <v/>
      </c>
      <c r="Q555" s="66">
        <f>IF(OR(H555=0,P555&lt;30),"Tier D (Đóng băng)",IF(P555&gt;=85,"Tier S (Kim Cương: 85-100đ)",IF(P555&gt;=70,"Tier A (Vàng: 70-84đ)",IF(P555&gt;=61,"Tier B+ / Cấp A (Hot Lead: 61-69đ)",IF(P555&gt;=50,"Tier B (Bạc: 50-60đ)","Tier C (Đồng: 30-49đ)")))))</f>
        <v/>
      </c>
      <c r="R555" s="6" t="inlineStr">
        <is>
          <t>Trọn gói Take-Home Starter Kit V2/V3 (Cỏ nhân tạo + Khay Potty + Đồ chơi Teething/Snuggle)</t>
        </is>
      </c>
      <c r="S555" s="6" t="inlineStr">
        <is>
          <t>Cấp B Tiềm năng: Tiếp cận tự động qua chuỗi Email Marketing + Chăm sóc bổ sung bằng Telesale</t>
        </is>
      </c>
    </row>
    <row r="556">
      <c r="A556" s="59" t="n">
        <v>1355</v>
      </c>
      <c r="B556" s="15" t="inlineStr">
        <is>
          <t>FarMore Boxers</t>
        </is>
      </c>
      <c r="C556" s="60" t="inlineStr">
        <is>
          <t>https://www.facebook.com/farmoreboxers</t>
        </is>
      </c>
      <c r="D556" s="9" t="inlineStr">
        <is>
          <t>Cần quét Bio Fanpage</t>
        </is>
      </c>
      <c r="E556" s="59" t="inlineStr">
        <is>
          <t>06/10/2026 07:18:13</t>
        </is>
      </c>
      <c r="F556" s="59" t="inlineStr">
        <is>
          <t>6 ngày trước</t>
        </is>
      </c>
      <c r="G556" s="61" t="n">
        <v>6</v>
      </c>
      <c r="H556" s="62" t="n">
        <v>20</v>
      </c>
      <c r="I556" s="9" t="inlineStr">
        <is>
          <t>Dog Breeder / Trại chó chuyên nghiệp (28-30đ)</t>
        </is>
      </c>
      <c r="J556" s="62" t="n">
        <v>28</v>
      </c>
      <c r="K556" s="9" t="inlineStr">
        <is>
          <t>Great Dane / Working Giant</t>
        </is>
      </c>
      <c r="L556" s="62" t="n">
        <v>5</v>
      </c>
      <c r="M556" s="62" t="n">
        <v>0</v>
      </c>
      <c r="N556" s="9" t="inlineStr">
        <is>
          <t>Amazon link not found</t>
        </is>
      </c>
      <c r="O556" s="62">
        <f>IF(N556="Selling pet toys + Artificial grass/Pet toilets (TARGET)",15,IF(N556="Selling artificial grass/pet toilets (TARGET)",10,IF(N556="Selling pet toys",7,IF(N556="There's an Amazon link, but no target sales.",3,0))))</f>
        <v/>
      </c>
      <c r="P556" s="67">
        <f>H556+J556+L556+M556+O556</f>
        <v/>
      </c>
      <c r="Q556" s="66">
        <f>IF(OR(H556=0,P556&lt;30),"Tier D (Đóng băng)",IF(P556&gt;=85,"Tier S (Kim Cương: 85-100đ)",IF(P556&gt;=70,"Tier A (Vàng: 70-84đ)",IF(P556&gt;=61,"Tier B+ / Cấp A (Hot Lead: 61-69đ)",IF(P556&gt;=50,"Tier B (Bạc: 50-60đ)","Tier C (Đồng: 30-49đ)")))))</f>
        <v/>
      </c>
      <c r="R556" s="9" t="inlineStr">
        <is>
          <t>Trọn gói Take-Home Starter Kit V2/V3 (Cỏ nhân tạo + Khay Potty + Đồ chơi Teething/Snuggle)</t>
        </is>
      </c>
      <c r="S556" s="9" t="inlineStr">
        <is>
          <t>Cấp B Tiềm năng: Tiếp cận tự động qua chuỗi Email Marketing + Chăm sóc bổ sung bằng Telesale</t>
        </is>
      </c>
    </row>
    <row r="557">
      <c r="A557" s="53" t="n">
        <v>2817</v>
      </c>
      <c r="B557" s="12" t="inlineStr">
        <is>
          <t>Salty Buns Dog Co</t>
        </is>
      </c>
      <c r="C557" s="54" t="inlineStr">
        <is>
          <t>https://www.facebook.com/SaltyBunsDogCo</t>
        </is>
      </c>
      <c r="D557" s="6" t="inlineStr">
        <is>
          <t>Cần quét Bio Fanpage</t>
        </is>
      </c>
      <c r="E557" s="53" t="inlineStr">
        <is>
          <t>06/10/2026 05:13:09</t>
        </is>
      </c>
      <c r="F557" s="53" t="inlineStr">
        <is>
          <t>1 tuần trước</t>
        </is>
      </c>
      <c r="G557" s="55" t="n">
        <v>7</v>
      </c>
      <c r="H557" s="56" t="n">
        <v>20</v>
      </c>
      <c r="I557" s="6" t="inlineStr">
        <is>
          <t>Dog Breeder / Trại nhân giống (28-30đ)</t>
        </is>
      </c>
      <c r="J557" s="56" t="n">
        <v>28</v>
      </c>
      <c r="K557" s="6" t="inlineStr">
        <is>
          <t>Chưa rõ giống (Cần quét Bio)</t>
        </is>
      </c>
      <c r="L557" s="56" t="n">
        <v>0</v>
      </c>
      <c r="M557" s="56" t="n">
        <v>5</v>
      </c>
      <c r="N557" s="6" t="inlineStr">
        <is>
          <t>Amazon link not found</t>
        </is>
      </c>
      <c r="O557" s="56">
        <f>IF(N557="Selling pet toys + Artificial grass/Pet toilets (TARGET)",15,IF(N557="Selling artificial grass/pet toilets (TARGET)",10,IF(N557="Selling pet toys",7,IF(N557="There's an Amazon link, but no target sales.",3,0))))</f>
        <v/>
      </c>
      <c r="P557" s="65">
        <f>H557+J557+L557+M557+O557</f>
        <v/>
      </c>
      <c r="Q557" s="66">
        <f>IF(OR(H557=0,P557&lt;30),"Tier D (Đóng băng)",IF(P557&gt;=85,"Tier S (Kim Cương: 85-100đ)",IF(P557&gt;=70,"Tier A (Vàng: 70-84đ)",IF(P557&gt;=61,"Tier B+ / Cấp A (Hot Lead: 61-69đ)",IF(P557&gt;=50,"Tier B (Bạc: 50-60đ)","Tier C (Đồng: 30-49đ)")))))</f>
        <v/>
      </c>
      <c r="R557" s="6" t="inlineStr">
        <is>
          <t>Trọn gói Take-Home Starter Kit V2/V3 (Cỏ nhân tạo + Khay Potty + Đồ chơi cún con)</t>
        </is>
      </c>
      <c r="S557" s="6" t="inlineStr">
        <is>
          <t>Cấp B Tiềm năng: Tiếp cận tự động qua chuỗi Email Marketing + Chăm sóc bổ sung bằng Telesale</t>
        </is>
      </c>
    </row>
    <row r="558">
      <c r="A558" s="59" t="n">
        <v>1762</v>
      </c>
      <c r="B558" s="15" t="inlineStr">
        <is>
          <t>Jesstar Shetland Sheepdogs</t>
        </is>
      </c>
      <c r="C558" s="60" t="inlineStr">
        <is>
          <t>https://www.facebook.com/profile.php?id=100063629705806</t>
        </is>
      </c>
      <c r="D558" s="9" t="inlineStr">
        <is>
          <t>Cần quét Bio Fanpage</t>
        </is>
      </c>
      <c r="E558" s="59" t="inlineStr">
        <is>
          <t>06/10/2026 02:12:40</t>
        </is>
      </c>
      <c r="F558" s="59" t="inlineStr">
        <is>
          <t>1 tuần trước</t>
        </is>
      </c>
      <c r="G558" s="61" t="n">
        <v>7</v>
      </c>
      <c r="H558" s="62" t="n">
        <v>20</v>
      </c>
      <c r="I558" s="9" t="inlineStr">
        <is>
          <t>Dog Breeder / Trại nhân giống (28-30đ)</t>
        </is>
      </c>
      <c r="J558" s="62" t="n">
        <v>28</v>
      </c>
      <c r="K558" s="9" t="inlineStr">
        <is>
          <t>Australian Shepherd / Herding</t>
        </is>
      </c>
      <c r="L558" s="62" t="n">
        <v>5</v>
      </c>
      <c r="M558" s="62" t="n">
        <v>0</v>
      </c>
      <c r="N558" s="9" t="inlineStr">
        <is>
          <t>Amazon link not found</t>
        </is>
      </c>
      <c r="O558" s="62">
        <f>IF(N558="Selling pet toys + Artificial grass/Pet toilets (TARGET)",15,IF(N558="Selling artificial grass/pet toilets (TARGET)",10,IF(N558="Selling pet toys",7,IF(N558="There's an Amazon link, but no target sales.",3,0))))</f>
        <v/>
      </c>
      <c r="P558" s="67">
        <f>H558+J558+L558+M558+O558</f>
        <v/>
      </c>
      <c r="Q558" s="66">
        <f>IF(OR(H558=0,P558&lt;30),"Tier D (Đóng băng)",IF(P558&gt;=85,"Tier S (Kim Cương: 85-100đ)",IF(P558&gt;=70,"Tier A (Vàng: 70-84đ)",IF(P558&gt;=61,"Tier B+ / Cấp A (Hot Lead: 61-69đ)",IF(P558&gt;=50,"Tier B (Bạc: 50-60đ)","Tier C (Đồng: 30-49đ)")))))</f>
        <v/>
      </c>
      <c r="R558" s="9" t="inlineStr">
        <is>
          <t>Trọn gói Take-Home Starter Kit V2/V3 (Cỏ nhân tạo + Khay Potty + Đồ chơi cún con)</t>
        </is>
      </c>
      <c r="S558" s="9" t="inlineStr">
        <is>
          <t>Cấp B Tiềm năng: Tiếp cận tự động qua chuỗi Email Marketing + Chăm sóc bổ sung bằng Telesale</t>
        </is>
      </c>
    </row>
    <row r="559">
      <c r="A559" s="53" t="n">
        <v>416</v>
      </c>
      <c r="B559" s="12" t="inlineStr">
        <is>
          <t>American Whippet Club</t>
        </is>
      </c>
      <c r="C559" s="54" t="inlineStr">
        <is>
          <t>https://www.facebook.com/AmericanWhippetClub</t>
        </is>
      </c>
      <c r="D559" s="6" t="inlineStr">
        <is>
          <t>Cần quét Bio Fanpage</t>
        </is>
      </c>
      <c r="E559" s="53" t="inlineStr">
        <is>
          <t>06/10/2026 00:27:08</t>
        </is>
      </c>
      <c r="F559" s="53" t="inlineStr">
        <is>
          <t>1 tuần trước</t>
        </is>
      </c>
      <c r="G559" s="55" t="n">
        <v>7</v>
      </c>
      <c r="H559" s="56" t="n">
        <v>20</v>
      </c>
      <c r="I559" s="6" t="inlineStr">
        <is>
          <t>Dog Breeder / Trại nhân giống (28-30đ)</t>
        </is>
      </c>
      <c r="J559" s="56" t="n">
        <v>28</v>
      </c>
      <c r="K559" s="6" t="inlineStr">
        <is>
          <t>Hound / Beagle / Basset</t>
        </is>
      </c>
      <c r="L559" s="56" t="n">
        <v>5</v>
      </c>
      <c r="M559" s="56" t="n">
        <v>0</v>
      </c>
      <c r="N559" s="6" t="inlineStr">
        <is>
          <t>Amazon link not found</t>
        </is>
      </c>
      <c r="O559" s="56">
        <f>IF(N559="Selling pet toys + Artificial grass/Pet toilets (TARGET)",15,IF(N559="Selling artificial grass/pet toilets (TARGET)",10,IF(N559="Selling pet toys",7,IF(N559="There's an Amazon link, but no target sales.",3,0))))</f>
        <v/>
      </c>
      <c r="P559" s="65">
        <f>H559+J559+L559+M559+O559</f>
        <v/>
      </c>
      <c r="Q559" s="66">
        <f>IF(OR(H559=0,P559&lt;30),"Tier D (Đóng băng)",IF(P559&gt;=85,"Tier S (Kim Cương: 85-100đ)",IF(P559&gt;=70,"Tier A (Vàng: 70-84đ)",IF(P559&gt;=61,"Tier B+ / Cấp A (Hot Lead: 61-69đ)",IF(P559&gt;=50,"Tier B (Bạc: 50-60đ)","Tier C (Đồng: 30-49đ)")))))</f>
        <v/>
      </c>
      <c r="R559" s="6" t="inlineStr">
        <is>
          <t>Trọn gói Take-Home Starter Kit V2/V3 (Cỏ nhân tạo + Khay Potty + Đồ chơi cún con)</t>
        </is>
      </c>
      <c r="S559" s="6" t="inlineStr">
        <is>
          <t>Cấp B Tiềm năng: Tiếp cận tự động qua chuỗi Email Marketing + Chăm sóc bổ sung bằng Telesale</t>
        </is>
      </c>
    </row>
    <row r="560">
      <c r="A560" s="59" t="n">
        <v>637</v>
      </c>
      <c r="B560" s="15" t="inlineStr">
        <is>
          <t>Bernese Mountain Dog - Conformation and Movement</t>
        </is>
      </c>
      <c r="C560" s="60" t="inlineStr">
        <is>
          <t>https://www.facebook.com/ConformationandmovementBMD</t>
        </is>
      </c>
      <c r="D560" s="9" t="inlineStr">
        <is>
          <t>Cần quét Bio Fanpage</t>
        </is>
      </c>
      <c r="E560" s="59" t="inlineStr">
        <is>
          <t>05/10/2026 21:30:55</t>
        </is>
      </c>
      <c r="F560" s="59" t="inlineStr">
        <is>
          <t>1 tuần trước</t>
        </is>
      </c>
      <c r="G560" s="61" t="n">
        <v>7</v>
      </c>
      <c r="H560" s="62" t="n">
        <v>20</v>
      </c>
      <c r="I560" s="9" t="inlineStr">
        <is>
          <t>Dog Breeder / Trại chó chuyên nghiệp (28-30đ)</t>
        </is>
      </c>
      <c r="J560" s="62" t="n">
        <v>28</v>
      </c>
      <c r="K560" s="9" t="inlineStr">
        <is>
          <t>Bernese Mountain Dog</t>
        </is>
      </c>
      <c r="L560" s="62" t="n">
        <v>5</v>
      </c>
      <c r="M560" s="62" t="n">
        <v>0</v>
      </c>
      <c r="N560" s="9" t="inlineStr">
        <is>
          <t>Amazon link not found</t>
        </is>
      </c>
      <c r="O560" s="62">
        <f>IF(N560="Selling pet toys + Artificial grass/Pet toilets (TARGET)",15,IF(N560="Selling artificial grass/pet toilets (TARGET)",10,IF(N560="Selling pet toys",7,IF(N560="There's an Amazon link, but no target sales.",3,0))))</f>
        <v/>
      </c>
      <c r="P560" s="67">
        <f>H560+J560+L560+M560+O560</f>
        <v/>
      </c>
      <c r="Q560" s="66">
        <f>IF(OR(H560=0,P560&lt;30),"Tier D (Đóng băng)",IF(P560&gt;=85,"Tier S (Kim Cương: 85-100đ)",IF(P560&gt;=70,"Tier A (Vàng: 70-84đ)",IF(P560&gt;=61,"Tier B+ / Cấp A (Hot Lead: 61-69đ)",IF(P560&gt;=50,"Tier B (Bạc: 50-60đ)","Tier C (Đồng: 30-49đ)")))))</f>
        <v/>
      </c>
      <c r="R560" s="9" t="inlineStr">
        <is>
          <t>Trọn gói Take-Home Starter Kit V2/V3 (Cỏ nhân tạo + Khay Potty + Đồ chơi Teething/Snuggle)</t>
        </is>
      </c>
      <c r="S560" s="9" t="inlineStr">
        <is>
          <t>Cấp B Tiềm năng: Tiếp cận tự động qua chuỗi Email Marketing + Chăm sóc bổ sung bằng Telesale</t>
        </is>
      </c>
    </row>
    <row r="561">
      <c r="A561" s="53" t="n">
        <v>3367</v>
      </c>
      <c r="B561" s="12" t="inlineStr">
        <is>
          <t>Walnut Creek Bernese Mountain Dogs</t>
        </is>
      </c>
      <c r="C561" s="54" t="inlineStr">
        <is>
          <t>https://www.facebook.com/walnutcreekbernese</t>
        </is>
      </c>
      <c r="D561" s="6" t="inlineStr">
        <is>
          <t>Cần quét Bio Fanpage</t>
        </is>
      </c>
      <c r="E561" s="53" t="inlineStr">
        <is>
          <t>05/10/2026 09:30:07</t>
        </is>
      </c>
      <c r="F561" s="53" t="inlineStr">
        <is>
          <t>1 tuần trước</t>
        </is>
      </c>
      <c r="G561" s="55" t="n">
        <v>7</v>
      </c>
      <c r="H561" s="56" t="n">
        <v>20</v>
      </c>
      <c r="I561" s="6" t="inlineStr">
        <is>
          <t>Dog Breeder / Trại chó chuyên nghiệp (28-30đ)</t>
        </is>
      </c>
      <c r="J561" s="56" t="n">
        <v>28</v>
      </c>
      <c r="K561" s="6" t="inlineStr">
        <is>
          <t>Bernese Mountain Dog</t>
        </is>
      </c>
      <c r="L561" s="56" t="n">
        <v>5</v>
      </c>
      <c r="M561" s="56" t="n">
        <v>0</v>
      </c>
      <c r="N561" s="6" t="inlineStr">
        <is>
          <t>Amazon link not found</t>
        </is>
      </c>
      <c r="O561" s="56">
        <f>IF(N561="Selling pet toys + Artificial grass/Pet toilets (TARGET)",15,IF(N561="Selling artificial grass/pet toilets (TARGET)",10,IF(N561="Selling pet toys",7,IF(N561="There's an Amazon link, but no target sales.",3,0))))</f>
        <v/>
      </c>
      <c r="P561" s="65">
        <f>H561+J561+L561+M561+O561</f>
        <v/>
      </c>
      <c r="Q561" s="66">
        <f>IF(OR(H561=0,P561&lt;30),"Tier D (Đóng băng)",IF(P561&gt;=85,"Tier S (Kim Cương: 85-100đ)",IF(P561&gt;=70,"Tier A (Vàng: 70-84đ)",IF(P561&gt;=61,"Tier B+ / Cấp A (Hot Lead: 61-69đ)",IF(P561&gt;=50,"Tier B (Bạc: 50-60đ)","Tier C (Đồng: 30-49đ)")))))</f>
        <v/>
      </c>
      <c r="R561" s="6" t="inlineStr">
        <is>
          <t>Trọn gói Take-Home Starter Kit V2/V3 (Cỏ nhân tạo + Khay Potty + Đồ chơi Teething/Snuggle)</t>
        </is>
      </c>
      <c r="S561" s="6" t="inlineStr">
        <is>
          <t>Cấp B Tiềm năng: Tiếp cận tự động qua chuỗi Email Marketing + Chăm sóc bổ sung bằng Telesale</t>
        </is>
      </c>
    </row>
    <row r="562">
      <c r="A562" s="59" t="n">
        <v>2036</v>
      </c>
      <c r="B562" s="15" t="inlineStr">
        <is>
          <t>Littledale Sheepdogs</t>
        </is>
      </c>
      <c r="C562" s="60" t="inlineStr">
        <is>
          <t>https://www.facebook.com/littledalemafia</t>
        </is>
      </c>
      <c r="D562" s="9" t="inlineStr">
        <is>
          <t>Cần quét Bio Fanpage</t>
        </is>
      </c>
      <c r="E562" s="59" t="inlineStr">
        <is>
          <t>05/10/2026 02:03:07</t>
        </is>
      </c>
      <c r="F562" s="59" t="inlineStr">
        <is>
          <t>1 tuần trước</t>
        </is>
      </c>
      <c r="G562" s="61" t="n">
        <v>7</v>
      </c>
      <c r="H562" s="62" t="n">
        <v>20</v>
      </c>
      <c r="I562" s="9" t="inlineStr">
        <is>
          <t>Dog Breeder / Trại nhân giống (28-30đ)</t>
        </is>
      </c>
      <c r="J562" s="62" t="n">
        <v>28</v>
      </c>
      <c r="K562" s="9" t="inlineStr">
        <is>
          <t>Australian Shepherd / Herding</t>
        </is>
      </c>
      <c r="L562" s="62" t="n">
        <v>5</v>
      </c>
      <c r="M562" s="62" t="n">
        <v>0</v>
      </c>
      <c r="N562" s="9" t="inlineStr">
        <is>
          <t>Amazon link not found</t>
        </is>
      </c>
      <c r="O562" s="62">
        <f>IF(N562="Selling pet toys + Artificial grass/Pet toilets (TARGET)",15,IF(N562="Selling artificial grass/pet toilets (TARGET)",10,IF(N562="Selling pet toys",7,IF(N562="There's an Amazon link, but no target sales.",3,0))))</f>
        <v/>
      </c>
      <c r="P562" s="67">
        <f>H562+J562+L562+M562+O562</f>
        <v/>
      </c>
      <c r="Q562" s="66">
        <f>IF(OR(H562=0,P562&lt;30),"Tier D (Đóng băng)",IF(P562&gt;=85,"Tier S (Kim Cương: 85-100đ)",IF(P562&gt;=70,"Tier A (Vàng: 70-84đ)",IF(P562&gt;=61,"Tier B+ / Cấp A (Hot Lead: 61-69đ)",IF(P562&gt;=50,"Tier B (Bạc: 50-60đ)","Tier C (Đồng: 30-49đ)")))))</f>
        <v/>
      </c>
      <c r="R562" s="9" t="inlineStr">
        <is>
          <t>Trọn gói Take-Home Starter Kit V2/V3 (Cỏ nhân tạo + Khay Potty + Đồ chơi cún con)</t>
        </is>
      </c>
      <c r="S562" s="9" t="inlineStr">
        <is>
          <t>Cấp B Tiềm năng: Tiếp cận tự động qua chuỗi Email Marketing + Chăm sóc bổ sung bằng Telesale</t>
        </is>
      </c>
    </row>
    <row r="563">
      <c r="A563" s="53" t="n">
        <v>373</v>
      </c>
      <c r="B563" s="12" t="inlineStr">
        <is>
          <t>All Aboard Pet Transport LLC</t>
        </is>
      </c>
      <c r="C563" s="54" t="inlineStr">
        <is>
          <t>https://www.facebook.com/AllAboardPetTransport</t>
        </is>
      </c>
      <c r="D563" s="6" t="inlineStr">
        <is>
          <t>Cần quét Bio Fanpage</t>
        </is>
      </c>
      <c r="E563" s="53" t="inlineStr">
        <is>
          <t>04/10/2026 16:04:51</t>
        </is>
      </c>
      <c r="F563" s="53" t="inlineStr">
        <is>
          <t>1 tuần trước</t>
        </is>
      </c>
      <c r="G563" s="55" t="n">
        <v>7</v>
      </c>
      <c r="H563" s="56" t="n">
        <v>20</v>
      </c>
      <c r="I563" s="6" t="inlineStr">
        <is>
          <t>Dog Breeder / Trại nhân giống (28-30đ)</t>
        </is>
      </c>
      <c r="J563" s="56" t="n">
        <v>28</v>
      </c>
      <c r="K563" s="6" t="inlineStr">
        <is>
          <t>Chưa rõ giống (Cần quét Bio)</t>
        </is>
      </c>
      <c r="L563" s="56" t="n">
        <v>0</v>
      </c>
      <c r="M563" s="56" t="n">
        <v>5</v>
      </c>
      <c r="N563" s="6" t="inlineStr">
        <is>
          <t>Amazon link not found</t>
        </is>
      </c>
      <c r="O563" s="56">
        <f>IF(N563="Selling pet toys + Artificial grass/Pet toilets (TARGET)",15,IF(N563="Selling artificial grass/pet toilets (TARGET)",10,IF(N563="Selling pet toys",7,IF(N563="There's an Amazon link, but no target sales.",3,0))))</f>
        <v/>
      </c>
      <c r="P563" s="65">
        <f>H563+J563+L563+M563+O563</f>
        <v/>
      </c>
      <c r="Q563" s="66">
        <f>IF(OR(H563=0,P563&lt;30),"Tier D (Đóng băng)",IF(P563&gt;=85,"Tier S (Kim Cương: 85-100đ)",IF(P563&gt;=70,"Tier A (Vàng: 70-84đ)",IF(P563&gt;=61,"Tier B+ / Cấp A (Hot Lead: 61-69đ)",IF(P563&gt;=50,"Tier B (Bạc: 50-60đ)","Tier C (Đồng: 30-49đ)")))))</f>
        <v/>
      </c>
      <c r="R563" s="6" t="inlineStr">
        <is>
          <t>Trọn gói Take-Home Starter Kit V2/V3 (Cỏ nhân tạo + Khay Potty + Đồ chơi cún con)</t>
        </is>
      </c>
      <c r="S563" s="6" t="inlineStr">
        <is>
          <t>Cấp B Tiềm năng: Tiếp cận tự động qua chuỗi Email Marketing + Chăm sóc bổ sung bằng Telesale</t>
        </is>
      </c>
    </row>
    <row r="564">
      <c r="A564" s="59" t="n">
        <v>1738</v>
      </c>
      <c r="B564" s="15" t="inlineStr">
        <is>
          <t>Island Bound Old English Sheepdogs</t>
        </is>
      </c>
      <c r="C564" s="60" t="inlineStr">
        <is>
          <t>https://www.facebook.com/IslandBoundSheepdogs</t>
        </is>
      </c>
      <c r="D564" s="9" t="inlineStr">
        <is>
          <t>Cần quét Bio Fanpage</t>
        </is>
      </c>
      <c r="E564" s="59" t="inlineStr">
        <is>
          <t>04/10/2026 04:35:29</t>
        </is>
      </c>
      <c r="F564" s="59" t="inlineStr">
        <is>
          <t>1 tuần trước</t>
        </is>
      </c>
      <c r="G564" s="61" t="n">
        <v>7</v>
      </c>
      <c r="H564" s="62" t="n">
        <v>20</v>
      </c>
      <c r="I564" s="9" t="inlineStr">
        <is>
          <t>Dog Breeder / Trại nhân giống (28-30đ)</t>
        </is>
      </c>
      <c r="J564" s="62" t="n">
        <v>28</v>
      </c>
      <c r="K564" s="9" t="inlineStr">
        <is>
          <t>Australian Shepherd / Herding</t>
        </is>
      </c>
      <c r="L564" s="62" t="n">
        <v>5</v>
      </c>
      <c r="M564" s="62" t="n">
        <v>0</v>
      </c>
      <c r="N564" s="9" t="inlineStr">
        <is>
          <t>Amazon link not found</t>
        </is>
      </c>
      <c r="O564" s="62">
        <f>IF(N564="Selling pet toys + Artificial grass/Pet toilets (TARGET)",15,IF(N564="Selling artificial grass/pet toilets (TARGET)",10,IF(N564="Selling pet toys",7,IF(N564="There's an Amazon link, but no target sales.",3,0))))</f>
        <v/>
      </c>
      <c r="P564" s="67">
        <f>H564+J564+L564+M564+O564</f>
        <v/>
      </c>
      <c r="Q564" s="66">
        <f>IF(OR(H564=0,P564&lt;30),"Tier D (Đóng băng)",IF(P564&gt;=85,"Tier S (Kim Cương: 85-100đ)",IF(P564&gt;=70,"Tier A (Vàng: 70-84đ)",IF(P564&gt;=61,"Tier B+ / Cấp A (Hot Lead: 61-69đ)",IF(P564&gt;=50,"Tier B (Bạc: 50-60đ)","Tier C (Đồng: 30-49đ)")))))</f>
        <v/>
      </c>
      <c r="R564" s="9" t="inlineStr">
        <is>
          <t>Trọn gói Take-Home Starter Kit V2/V3 (Cỏ nhân tạo + Khay Potty + Đồ chơi cún con)</t>
        </is>
      </c>
      <c r="S564" s="9" t="inlineStr">
        <is>
          <t>Cấp B Tiềm năng: Tiếp cận tự động qua chuỗi Email Marketing + Chăm sóc bổ sung bằng Telesale</t>
        </is>
      </c>
    </row>
    <row r="565">
      <c r="A565" s="53" t="n">
        <v>703</v>
      </c>
      <c r="B565" s="12" t="inlineStr">
        <is>
          <t>Blue Feather Bernese Mountain Dogs</t>
        </is>
      </c>
      <c r="C565" s="54" t="inlineStr">
        <is>
          <t>https://www.facebook.com/profile.php?id=100054442753137</t>
        </is>
      </c>
      <c r="D565" s="6" t="inlineStr">
        <is>
          <t>Cần quét Bio Fanpage</t>
        </is>
      </c>
      <c r="E565" s="53" t="inlineStr">
        <is>
          <t>04/10/2026 00:03:48</t>
        </is>
      </c>
      <c r="F565" s="53" t="inlineStr">
        <is>
          <t>1 tuần trước</t>
        </is>
      </c>
      <c r="G565" s="55" t="n">
        <v>7</v>
      </c>
      <c r="H565" s="56" t="n">
        <v>20</v>
      </c>
      <c r="I565" s="6" t="inlineStr">
        <is>
          <t>Dog Breeder / Trại chó chuyên nghiệp (28-30đ)</t>
        </is>
      </c>
      <c r="J565" s="56" t="n">
        <v>28</v>
      </c>
      <c r="K565" s="6" t="inlineStr">
        <is>
          <t>Bernese Mountain Dog</t>
        </is>
      </c>
      <c r="L565" s="56" t="n">
        <v>5</v>
      </c>
      <c r="M565" s="56" t="n">
        <v>0</v>
      </c>
      <c r="N565" s="6" t="inlineStr">
        <is>
          <t>Amazon link not found</t>
        </is>
      </c>
      <c r="O565" s="56">
        <f>IF(N565="Selling pet toys + Artificial grass/Pet toilets (TARGET)",15,IF(N565="Selling artificial grass/pet toilets (TARGET)",10,IF(N565="Selling pet toys",7,IF(N565="There's an Amazon link, but no target sales.",3,0))))</f>
        <v/>
      </c>
      <c r="P565" s="65">
        <f>H565+J565+L565+M565+O565</f>
        <v/>
      </c>
      <c r="Q565" s="66">
        <f>IF(OR(H565=0,P565&lt;30),"Tier D (Đóng băng)",IF(P565&gt;=85,"Tier S (Kim Cương: 85-100đ)",IF(P565&gt;=70,"Tier A (Vàng: 70-84đ)",IF(P565&gt;=61,"Tier B+ / Cấp A (Hot Lead: 61-69đ)",IF(P565&gt;=50,"Tier B (Bạc: 50-60đ)","Tier C (Đồng: 30-49đ)")))))</f>
        <v/>
      </c>
      <c r="R565" s="6" t="inlineStr">
        <is>
          <t>Trọn gói Take-Home Starter Kit V2/V3 (Cỏ nhân tạo + Khay Potty + Đồ chơi Teething/Snuggle)</t>
        </is>
      </c>
      <c r="S565" s="6" t="inlineStr">
        <is>
          <t>Cấp B Tiềm năng: Tiếp cận tự động qua chuỗi Email Marketing + Chăm sóc bổ sung bằng Telesale</t>
        </is>
      </c>
    </row>
    <row r="566">
      <c r="A566" s="59" t="n">
        <v>1381</v>
      </c>
      <c r="B566" s="15" t="inlineStr">
        <is>
          <t>Find My Stud Dog</t>
        </is>
      </c>
      <c r="C566" s="60" t="inlineStr">
        <is>
          <t>https://www.facebook.com/profile.php?id=61588954546290</t>
        </is>
      </c>
      <c r="D566" s="9" t="inlineStr">
        <is>
          <t>Cần quét Bio Fanpage</t>
        </is>
      </c>
      <c r="E566" s="59" t="inlineStr">
        <is>
          <t>03/10/2026 23:30:14</t>
        </is>
      </c>
      <c r="F566" s="59" t="inlineStr">
        <is>
          <t>1 tuần trước</t>
        </is>
      </c>
      <c r="G566" s="61" t="n">
        <v>7</v>
      </c>
      <c r="H566" s="62" t="n">
        <v>20</v>
      </c>
      <c r="I566" s="9" t="inlineStr">
        <is>
          <t>Dog Breeder / Trại chó chuyên nghiệp (28-30đ)</t>
        </is>
      </c>
      <c r="J566" s="62" t="n">
        <v>28</v>
      </c>
      <c r="K566" s="9" t="inlineStr">
        <is>
          <t>Chưa rõ giống (Cần quét Bio)</t>
        </is>
      </c>
      <c r="L566" s="62" t="n">
        <v>0</v>
      </c>
      <c r="M566" s="62" t="n">
        <v>5</v>
      </c>
      <c r="N566" s="9" t="inlineStr">
        <is>
          <t>Amazon link not found</t>
        </is>
      </c>
      <c r="O566" s="62">
        <f>IF(N566="Selling pet toys + Artificial grass/Pet toilets (TARGET)",15,IF(N566="Selling artificial grass/pet toilets (TARGET)",10,IF(N566="Selling pet toys",7,IF(N566="There's an Amazon link, but no target sales.",3,0))))</f>
        <v/>
      </c>
      <c r="P566" s="67">
        <f>H566+J566+L566+M566+O566</f>
        <v/>
      </c>
      <c r="Q566" s="66">
        <f>IF(OR(H566=0,P566&lt;30),"Tier D (Đóng băng)",IF(P566&gt;=85,"Tier S (Kim Cương: 85-100đ)",IF(P566&gt;=70,"Tier A (Vàng: 70-84đ)",IF(P566&gt;=61,"Tier B+ / Cấp A (Hot Lead: 61-69đ)",IF(P566&gt;=50,"Tier B (Bạc: 50-60đ)","Tier C (Đồng: 30-49đ)")))))</f>
        <v/>
      </c>
      <c r="R566" s="9" t="inlineStr">
        <is>
          <t>Trọn gói Take-Home Starter Kit V2/V3 (Cỏ nhân tạo + Khay Potty + Đồ chơi Teething/Snuggle)</t>
        </is>
      </c>
      <c r="S566" s="9" t="inlineStr">
        <is>
          <t>Cấp B Tiềm năng: Tiếp cận tự động qua chuỗi Email Marketing + Chăm sóc bổ sung bằng Telesale</t>
        </is>
      </c>
    </row>
    <row r="567">
      <c r="A567" s="53" t="n">
        <v>144</v>
      </c>
      <c r="B567" s="12" t="inlineStr">
        <is>
          <t>Dog Friendly Co.</t>
        </is>
      </c>
      <c r="C567" s="54" t="inlineStr">
        <is>
          <t>https://www.facebook.com/dogfriendlyco</t>
        </is>
      </c>
      <c r="D567" s="6" t="inlineStr">
        <is>
          <t>Cần quét Bio Fanpage</t>
        </is>
      </c>
      <c r="E567" s="53" t="inlineStr">
        <is>
          <t>03/10/2026 23:17:54</t>
        </is>
      </c>
      <c r="F567" s="53" t="inlineStr">
        <is>
          <t>1 tuần trước</t>
        </is>
      </c>
      <c r="G567" s="55" t="n">
        <v>7</v>
      </c>
      <c r="H567" s="56" t="n">
        <v>20</v>
      </c>
      <c r="I567" s="6" t="inlineStr">
        <is>
          <t>Dog Breeder / Trại nhân giống (28-30đ)</t>
        </is>
      </c>
      <c r="J567" s="56" t="n">
        <v>28</v>
      </c>
      <c r="K567" s="6" t="inlineStr">
        <is>
          <t>Chưa rõ giống (Cần quét Bio)</t>
        </is>
      </c>
      <c r="L567" s="56" t="n">
        <v>0</v>
      </c>
      <c r="M567" s="56" t="n">
        <v>5</v>
      </c>
      <c r="N567" s="6" t="inlineStr">
        <is>
          <t>Amazon link not found</t>
        </is>
      </c>
      <c r="O567" s="56">
        <f>IF(N567="Selling pet toys + Artificial grass/Pet toilets (TARGET)",15,IF(N567="Selling artificial grass/pet toilets (TARGET)",10,IF(N567="Selling pet toys",7,IF(N567="There's an Amazon link, but no target sales.",3,0))))</f>
        <v/>
      </c>
      <c r="P567" s="65">
        <f>H567+J567+L567+M567+O567</f>
        <v/>
      </c>
      <c r="Q567" s="66">
        <f>IF(OR(H567=0,P567&lt;30),"Tier D (Đóng băng)",IF(P567&gt;=85,"Tier S (Kim Cương: 85-100đ)",IF(P567&gt;=70,"Tier A (Vàng: 70-84đ)",IF(P567&gt;=61,"Tier B+ / Cấp A (Hot Lead: 61-69đ)",IF(P567&gt;=50,"Tier B (Bạc: 50-60đ)","Tier C (Đồng: 30-49đ)")))))</f>
        <v/>
      </c>
      <c r="R567" s="6" t="inlineStr">
        <is>
          <t>Trọn gói Take-Home Starter Kit V2/V3 (Cỏ nhân tạo + Khay Potty + Đồ chơi cún con)</t>
        </is>
      </c>
      <c r="S567" s="6" t="inlineStr">
        <is>
          <t>Cấp B Tiềm năng: Tiếp cận tự động qua chuỗi Email Marketing + Chăm sóc bổ sung bằng Telesale</t>
        </is>
      </c>
    </row>
    <row r="568">
      <c r="A568" s="59" t="n">
        <v>574</v>
      </c>
      <c r="B568" s="15" t="inlineStr">
        <is>
          <t>Badlands Ranch Pets</t>
        </is>
      </c>
      <c r="C568" s="60" t="inlineStr">
        <is>
          <t>https://www.facebook.com/badlandsranchpets</t>
        </is>
      </c>
      <c r="D568" s="9" t="inlineStr">
        <is>
          <t>Cần quét Bio Fanpage</t>
        </is>
      </c>
      <c r="E568" s="59" t="inlineStr">
        <is>
          <t>01/10/2026 23:30:48</t>
        </is>
      </c>
      <c r="F568" s="59" t="inlineStr">
        <is>
          <t>1 tuần trước</t>
        </is>
      </c>
      <c r="G568" s="61" t="n">
        <v>7</v>
      </c>
      <c r="H568" s="62" t="n">
        <v>20</v>
      </c>
      <c r="I568" s="9" t="inlineStr">
        <is>
          <t>Dog Breeder / Trại nhân giống (28-30đ)</t>
        </is>
      </c>
      <c r="J568" s="62" t="n">
        <v>28</v>
      </c>
      <c r="K568" s="9" t="inlineStr">
        <is>
          <t>Chưa rõ giống (Cần quét Bio)</t>
        </is>
      </c>
      <c r="L568" s="62" t="n">
        <v>0</v>
      </c>
      <c r="M568" s="62" t="n">
        <v>5</v>
      </c>
      <c r="N568" s="9" t="inlineStr">
        <is>
          <t>Amazon link not found</t>
        </is>
      </c>
      <c r="O568" s="62">
        <f>IF(N568="Selling pet toys + Artificial grass/Pet toilets (TARGET)",15,IF(N568="Selling artificial grass/pet toilets (TARGET)",10,IF(N568="Selling pet toys",7,IF(N568="There's an Amazon link, but no target sales.",3,0))))</f>
        <v/>
      </c>
      <c r="P568" s="67">
        <f>H568+J568+L568+M568+O568</f>
        <v/>
      </c>
      <c r="Q568" s="66">
        <f>IF(OR(H568=0,P568&lt;30),"Tier D (Đóng băng)",IF(P568&gt;=85,"Tier S (Kim Cương: 85-100đ)",IF(P568&gt;=70,"Tier A (Vàng: 70-84đ)",IF(P568&gt;=61,"Tier B+ / Cấp A (Hot Lead: 61-69đ)",IF(P568&gt;=50,"Tier B (Bạc: 50-60đ)","Tier C (Đồng: 30-49đ)")))))</f>
        <v/>
      </c>
      <c r="R568" s="9" t="inlineStr">
        <is>
          <t>Trọn gói Take-Home Starter Kit V2/V3 (Cỏ nhân tạo + Khay Potty + Đồ chơi cún con)</t>
        </is>
      </c>
      <c r="S568" s="9" t="inlineStr">
        <is>
          <t>Cấp B Tiềm năng: Tiếp cận tự động qua chuỗi Email Marketing + Chăm sóc bổ sung bằng Telesale</t>
        </is>
      </c>
    </row>
    <row r="569">
      <c r="A569" s="53" t="n">
        <v>3394</v>
      </c>
      <c r="B569" s="12" t="inlineStr">
        <is>
          <t>Western Skies Bernese Mountain Dogs</t>
        </is>
      </c>
      <c r="C569" s="54" t="inlineStr">
        <is>
          <t>https://www.facebook.com/westernskiesdoodles</t>
        </is>
      </c>
      <c r="D569" s="6" t="inlineStr">
        <is>
          <t>Cần quét Bio Fanpage</t>
        </is>
      </c>
      <c r="E569" s="53" t="inlineStr">
        <is>
          <t>01/10/2026 03:40:48</t>
        </is>
      </c>
      <c r="F569" s="53" t="inlineStr">
        <is>
          <t>1 tuần trước</t>
        </is>
      </c>
      <c r="G569" s="55" t="n">
        <v>7</v>
      </c>
      <c r="H569" s="56" t="n">
        <v>20</v>
      </c>
      <c r="I569" s="6" t="inlineStr">
        <is>
          <t>Dog Breeder / Trại chó chuyên nghiệp (28-30đ)</t>
        </is>
      </c>
      <c r="J569" s="56" t="n">
        <v>28</v>
      </c>
      <c r="K569" s="6" t="inlineStr">
        <is>
          <t>Bernese Mountain Dog</t>
        </is>
      </c>
      <c r="L569" s="56" t="n">
        <v>5</v>
      </c>
      <c r="M569" s="56" t="n">
        <v>0</v>
      </c>
      <c r="N569" s="6" t="inlineStr">
        <is>
          <t>Amazon link not found</t>
        </is>
      </c>
      <c r="O569" s="56">
        <f>IF(N569="Selling pet toys + Artificial grass/Pet toilets (TARGET)",15,IF(N569="Selling artificial grass/pet toilets (TARGET)",10,IF(N569="Selling pet toys",7,IF(N569="There's an Amazon link, but no target sales.",3,0))))</f>
        <v/>
      </c>
      <c r="P569" s="65">
        <f>H569+J569+L569+M569+O569</f>
        <v/>
      </c>
      <c r="Q569" s="66">
        <f>IF(OR(H569=0,P569&lt;30),"Tier D (Đóng băng)",IF(P569&gt;=85,"Tier S (Kim Cương: 85-100đ)",IF(P569&gt;=70,"Tier A (Vàng: 70-84đ)",IF(P569&gt;=61,"Tier B+ / Cấp A (Hot Lead: 61-69đ)",IF(P569&gt;=50,"Tier B (Bạc: 50-60đ)","Tier C (Đồng: 30-49đ)")))))</f>
        <v/>
      </c>
      <c r="R569" s="6" t="inlineStr">
        <is>
          <t>Trọn gói Take-Home Starter Kit V2/V3 (Cỏ nhân tạo + Khay Potty + Đồ chơi Teething/Snuggle)</t>
        </is>
      </c>
      <c r="S569" s="6" t="inlineStr">
        <is>
          <t>Cấp B Tiềm năng: Tiếp cận tự động qua chuỗi Email Marketing + Chăm sóc bổ sung bằng Telesale</t>
        </is>
      </c>
    </row>
    <row r="570">
      <c r="A570" s="59" t="n">
        <v>2186</v>
      </c>
      <c r="B570" s="15" t="inlineStr">
        <is>
          <t>Milligan Ranch Mobile Petting Zoo</t>
        </is>
      </c>
      <c r="C570" s="60" t="inlineStr">
        <is>
          <t>https://www.facebook.com/cutepiggytails</t>
        </is>
      </c>
      <c r="D570" s="9" t="inlineStr">
        <is>
          <t>Cần quét Bio Fanpage</t>
        </is>
      </c>
      <c r="E570" s="59" t="inlineStr">
        <is>
          <t>01/10/2026 01:29:08</t>
        </is>
      </c>
      <c r="F570" s="59" t="inlineStr">
        <is>
          <t>1 tuần trước</t>
        </is>
      </c>
      <c r="G570" s="61" t="n">
        <v>7</v>
      </c>
      <c r="H570" s="62" t="n">
        <v>20</v>
      </c>
      <c r="I570" s="9" t="inlineStr">
        <is>
          <t>Dog Breeder / Trại nhân giống (28-30đ)</t>
        </is>
      </c>
      <c r="J570" s="62" t="n">
        <v>28</v>
      </c>
      <c r="K570" s="9" t="inlineStr">
        <is>
          <t>Chưa rõ giống (Cần quét Bio)</t>
        </is>
      </c>
      <c r="L570" s="62" t="n">
        <v>0</v>
      </c>
      <c r="M570" s="62" t="n">
        <v>5</v>
      </c>
      <c r="N570" s="9" t="inlineStr">
        <is>
          <t>Amazon link not found</t>
        </is>
      </c>
      <c r="O570" s="62">
        <f>IF(N570="Selling pet toys + Artificial grass/Pet toilets (TARGET)",15,IF(N570="Selling artificial grass/pet toilets (TARGET)",10,IF(N570="Selling pet toys",7,IF(N570="There's an Amazon link, but no target sales.",3,0))))</f>
        <v/>
      </c>
      <c r="P570" s="67">
        <f>H570+J570+L570+M570+O570</f>
        <v/>
      </c>
      <c r="Q570" s="66">
        <f>IF(OR(H570=0,P570&lt;30),"Tier D (Đóng băng)",IF(P570&gt;=85,"Tier S (Kim Cương: 85-100đ)",IF(P570&gt;=70,"Tier A (Vàng: 70-84đ)",IF(P570&gt;=61,"Tier B+ / Cấp A (Hot Lead: 61-69đ)",IF(P570&gt;=50,"Tier B (Bạc: 50-60đ)","Tier C (Đồng: 30-49đ)")))))</f>
        <v/>
      </c>
      <c r="R570" s="9" t="inlineStr">
        <is>
          <t>Trọn gói Take-Home Starter Kit V2/V3 (Cỏ nhân tạo + Khay Potty + Đồ chơi cún con)</t>
        </is>
      </c>
      <c r="S570" s="9" t="inlineStr">
        <is>
          <t>Cấp B Tiềm năng: Tiếp cận tự động qua chuỗi Email Marketing + Chăm sóc bổ sung bằng Telesale</t>
        </is>
      </c>
    </row>
    <row r="571">
      <c r="A571" s="53" t="n">
        <v>829</v>
      </c>
      <c r="B571" s="12" t="inlineStr">
        <is>
          <t>Canine Corner/ Tru-Luv Whippets</t>
        </is>
      </c>
      <c r="C571" s="54" t="inlineStr">
        <is>
          <t>https://www.facebook.com/profile.php?id=100063570191481</t>
        </is>
      </c>
      <c r="D571" s="6" t="inlineStr">
        <is>
          <t>Cần quét Bio Fanpage</t>
        </is>
      </c>
      <c r="E571" s="53" t="inlineStr">
        <is>
          <t>29/09/2026 07:47:06</t>
        </is>
      </c>
      <c r="F571" s="53" t="inlineStr">
        <is>
          <t>1 tuần trước</t>
        </is>
      </c>
      <c r="G571" s="55" t="n">
        <v>7</v>
      </c>
      <c r="H571" s="56" t="n">
        <v>20</v>
      </c>
      <c r="I571" s="6" t="inlineStr">
        <is>
          <t>Dog Breeder / Trại chó chuyên nghiệp (28-30đ)</t>
        </is>
      </c>
      <c r="J571" s="56" t="n">
        <v>28</v>
      </c>
      <c r="K571" s="6" t="inlineStr">
        <is>
          <t>Hound / Beagle / Basset</t>
        </is>
      </c>
      <c r="L571" s="56" t="n">
        <v>5</v>
      </c>
      <c r="M571" s="56" t="n">
        <v>0</v>
      </c>
      <c r="N571" s="6" t="inlineStr">
        <is>
          <t>Amazon link not found</t>
        </is>
      </c>
      <c r="O571" s="56">
        <f>IF(N571="Selling pet toys + Artificial grass/Pet toilets (TARGET)",15,IF(N571="Selling artificial grass/pet toilets (TARGET)",10,IF(N571="Selling pet toys",7,IF(N571="There's an Amazon link, but no target sales.",3,0))))</f>
        <v/>
      </c>
      <c r="P571" s="65">
        <f>H571+J571+L571+M571+O571</f>
        <v/>
      </c>
      <c r="Q571" s="66">
        <f>IF(OR(H571=0,P571&lt;30),"Tier D (Đóng băng)",IF(P571&gt;=85,"Tier S (Kim Cương: 85-100đ)",IF(P571&gt;=70,"Tier A (Vàng: 70-84đ)",IF(P571&gt;=61,"Tier B+ / Cấp A (Hot Lead: 61-69đ)",IF(P571&gt;=50,"Tier B (Bạc: 50-60đ)","Tier C (Đồng: 30-49đ)")))))</f>
        <v/>
      </c>
      <c r="R571" s="6" t="inlineStr">
        <is>
          <t>Trọn gói Take-Home Starter Kit V2/V3 (Cỏ nhân tạo + Khay Potty + Đồ chơi Teething/Snuggle)</t>
        </is>
      </c>
      <c r="S571" s="6" t="inlineStr">
        <is>
          <t>Cấp B Tiềm năng: Tiếp cận tự động qua chuỗi Email Marketing + Chăm sóc bổ sung bằng Telesale</t>
        </is>
      </c>
    </row>
    <row r="572">
      <c r="A572" s="59" t="n">
        <v>2378</v>
      </c>
      <c r="B572" s="15" t="inlineStr">
        <is>
          <t>Our House French Bulldogs</t>
        </is>
      </c>
      <c r="C572" s="60" t="inlineStr">
        <is>
          <t>https://www.facebook.com/ourhousefrenchies</t>
        </is>
      </c>
      <c r="D572" s="9" t="inlineStr">
        <is>
          <t>Cần quét Bio Fanpage</t>
        </is>
      </c>
      <c r="E572" s="59" t="inlineStr">
        <is>
          <t>28/09/2026 00:31:07</t>
        </is>
      </c>
      <c r="F572" s="59" t="inlineStr">
        <is>
          <t>2 tuần trước</t>
        </is>
      </c>
      <c r="G572" s="61" t="n">
        <v>14</v>
      </c>
      <c r="H572" s="62" t="n">
        <v>15</v>
      </c>
      <c r="I572" s="9" t="inlineStr">
        <is>
          <t>Dog Breeder / Trại chó chuyên nghiệp (28-30đ)</t>
        </is>
      </c>
      <c r="J572" s="62" t="n">
        <v>28</v>
      </c>
      <c r="K572" s="9" t="inlineStr">
        <is>
          <t>French Bulldog</t>
        </is>
      </c>
      <c r="L572" s="62" t="n">
        <v>10</v>
      </c>
      <c r="M572" s="62" t="n">
        <v>0</v>
      </c>
      <c r="N572" s="9" t="inlineStr">
        <is>
          <t>Amazon link not found</t>
        </is>
      </c>
      <c r="O572" s="62">
        <f>IF(N572="Selling pet toys + Artificial grass/Pet toilets (TARGET)",15,IF(N572="Selling artificial grass/pet toilets (TARGET)",10,IF(N572="Selling pet toys",7,IF(N572="There's an Amazon link, but no target sales.",3,0))))</f>
        <v/>
      </c>
      <c r="P572" s="67">
        <f>H572+J572+L572+M572+O572</f>
        <v/>
      </c>
      <c r="Q572" s="66">
        <f>IF(OR(H572=0,P572&lt;30),"Tier D (Đóng băng)",IF(P572&gt;=85,"Tier S (Kim Cương: 85-100đ)",IF(P572&gt;=70,"Tier A (Vàng: 70-84đ)",IF(P572&gt;=61,"Tier B+ / Cấp A (Hot Lead: 61-69đ)",IF(P572&gt;=50,"Tier B (Bạc: 50-60đ)","Tier C (Đồng: 30-49đ)")))))</f>
        <v/>
      </c>
      <c r="R572" s="9" t="inlineStr">
        <is>
          <t>Trọn gói Take-Home Starter Kit V2/V3 (Cỏ nhân tạo + Khay Potty + Đồ chơi Teething/Snuggle)</t>
        </is>
      </c>
      <c r="S572" s="9" t="inlineStr">
        <is>
          <t>Cấp B Tiềm năng: Tiếp cận tự động qua chuỗi Email Marketing + Chăm sóc bổ sung bằng Telesale</t>
        </is>
      </c>
    </row>
    <row r="573">
      <c r="A573" s="53" t="n">
        <v>2933</v>
      </c>
      <c r="B573" s="12" t="inlineStr">
        <is>
          <t>Solutions Pet Products, LLC</t>
        </is>
      </c>
      <c r="C573" s="54" t="inlineStr">
        <is>
          <t>https://www.facebook.com/solutionspetproductsllc</t>
        </is>
      </c>
      <c r="D573" s="6" t="inlineStr">
        <is>
          <t>Cần quét Bio Fanpage</t>
        </is>
      </c>
      <c r="E573" s="53" t="inlineStr">
        <is>
          <t>26/09/2026 02:06:49</t>
        </is>
      </c>
      <c r="F573" s="53" t="inlineStr">
        <is>
          <t>2 tuần trước</t>
        </is>
      </c>
      <c r="G573" s="55" t="n">
        <v>14</v>
      </c>
      <c r="H573" s="56" t="n">
        <v>15</v>
      </c>
      <c r="I573" s="6" t="inlineStr">
        <is>
          <t>Dog Breeder / Trại nhân giống (28-30đ)</t>
        </is>
      </c>
      <c r="J573" s="56" t="n">
        <v>28</v>
      </c>
      <c r="K573" s="6" t="inlineStr">
        <is>
          <t>Chưa rõ giống (Cần quét Bio)</t>
        </is>
      </c>
      <c r="L573" s="56" t="n">
        <v>0</v>
      </c>
      <c r="M573" s="56" t="n">
        <v>10</v>
      </c>
      <c r="N573" s="6" t="inlineStr">
        <is>
          <t>Amazon link not found</t>
        </is>
      </c>
      <c r="O573" s="56">
        <f>IF(N573="Selling pet toys + Artificial grass/Pet toilets (TARGET)",15,IF(N573="Selling artificial grass/pet toilets (TARGET)",10,IF(N573="Selling pet toys",7,IF(N573="There's an Amazon link, but no target sales.",3,0))))</f>
        <v/>
      </c>
      <c r="P573" s="65">
        <f>H573+J573+L573+M573+O573</f>
        <v/>
      </c>
      <c r="Q573" s="66">
        <f>IF(OR(H573=0,P573&lt;30),"Tier D (Đóng băng)",IF(P573&gt;=85,"Tier S (Kim Cương: 85-100đ)",IF(P573&gt;=70,"Tier A (Vàng: 70-84đ)",IF(P573&gt;=61,"Tier B+ / Cấp A (Hot Lead: 61-69đ)",IF(P573&gt;=50,"Tier B (Bạc: 50-60đ)","Tier C (Đồng: 30-49đ)")))))</f>
        <v/>
      </c>
      <c r="R573" s="6" t="inlineStr">
        <is>
          <t>Trọn gói Take-Home Starter Kit V2/V3 (Cỏ nhân tạo + Khay Potty + Đồ chơi cún con)</t>
        </is>
      </c>
      <c r="S573" s="6" t="inlineStr">
        <is>
          <t>Cấp B Tiềm năng: Tiếp cận tự động qua chuỗi Email Marketing + Chăm sóc bổ sung bằng Telesale</t>
        </is>
      </c>
    </row>
    <row r="574">
      <c r="A574" s="59" t="n">
        <v>1281</v>
      </c>
      <c r="B574" s="15" t="inlineStr">
        <is>
          <t>Emma.the.Bulldog</t>
        </is>
      </c>
      <c r="C574" s="60" t="inlineStr">
        <is>
          <t>https://www.facebook.com/BulldogEmma</t>
        </is>
      </c>
      <c r="D574" s="9" t="inlineStr">
        <is>
          <t>Cần quét Bio Fanpage</t>
        </is>
      </c>
      <c r="E574" s="59" t="inlineStr">
        <is>
          <t>26/09/2026 00:07:37</t>
        </is>
      </c>
      <c r="F574" s="59" t="inlineStr">
        <is>
          <t>2 tuần trước</t>
        </is>
      </c>
      <c r="G574" s="61" t="n">
        <v>14</v>
      </c>
      <c r="H574" s="62" t="n">
        <v>15</v>
      </c>
      <c r="I574" s="9" t="inlineStr">
        <is>
          <t>Dog Breeder / Trại nhân giống (28-30đ)</t>
        </is>
      </c>
      <c r="J574" s="62" t="n">
        <v>28</v>
      </c>
      <c r="K574" s="9" t="inlineStr">
        <is>
          <t>English Bulldog</t>
        </is>
      </c>
      <c r="L574" s="62" t="n">
        <v>10</v>
      </c>
      <c r="M574" s="62" t="n">
        <v>0</v>
      </c>
      <c r="N574" s="9" t="inlineStr">
        <is>
          <t>Amazon link not found</t>
        </is>
      </c>
      <c r="O574" s="62">
        <f>IF(N574="Selling pet toys + Artificial grass/Pet toilets (TARGET)",15,IF(N574="Selling artificial grass/pet toilets (TARGET)",10,IF(N574="Selling pet toys",7,IF(N574="There's an Amazon link, but no target sales.",3,0))))</f>
        <v/>
      </c>
      <c r="P574" s="67">
        <f>H574+J574+L574+M574+O574</f>
        <v/>
      </c>
      <c r="Q574" s="66">
        <f>IF(OR(H574=0,P574&lt;30),"Tier D (Đóng băng)",IF(P574&gt;=85,"Tier S (Kim Cương: 85-100đ)",IF(P574&gt;=70,"Tier A (Vàng: 70-84đ)",IF(P574&gt;=61,"Tier B+ / Cấp A (Hot Lead: 61-69đ)",IF(P574&gt;=50,"Tier B (Bạc: 50-60đ)","Tier C (Đồng: 30-49đ)")))))</f>
        <v/>
      </c>
      <c r="R574" s="9" t="inlineStr">
        <is>
          <t>Trọn gói Take-Home Starter Kit V2/V3 (Cỏ nhân tạo + Khay Potty + Đồ chơi cún con)</t>
        </is>
      </c>
      <c r="S574" s="9" t="inlineStr">
        <is>
          <t>Cấp B Tiềm năng: Tiếp cận tự động qua chuỗi Email Marketing + Chăm sóc bổ sung bằng Telesale</t>
        </is>
      </c>
    </row>
    <row r="575">
      <c r="A575" s="53" t="n">
        <v>2696</v>
      </c>
      <c r="B575" s="12" t="inlineStr">
        <is>
          <t>Ravenbulls French Bulldogs</t>
        </is>
      </c>
      <c r="C575" s="54" t="inlineStr">
        <is>
          <t>https://www.facebook.com/RavenbullsFrenchies</t>
        </is>
      </c>
      <c r="D575" s="6" t="inlineStr">
        <is>
          <t>Cần quét Bio Fanpage</t>
        </is>
      </c>
      <c r="E575" s="53" t="inlineStr">
        <is>
          <t>25/09/2026 23:23:16</t>
        </is>
      </c>
      <c r="F575" s="53" t="inlineStr">
        <is>
          <t>2 tuần trước</t>
        </is>
      </c>
      <c r="G575" s="55" t="n">
        <v>14</v>
      </c>
      <c r="H575" s="56" t="n">
        <v>15</v>
      </c>
      <c r="I575" s="6" t="inlineStr">
        <is>
          <t>Dog Breeder / Trại chó chuyên nghiệp (28-30đ)</t>
        </is>
      </c>
      <c r="J575" s="56" t="n">
        <v>28</v>
      </c>
      <c r="K575" s="6" t="inlineStr">
        <is>
          <t>French Bulldog</t>
        </is>
      </c>
      <c r="L575" s="56" t="n">
        <v>10</v>
      </c>
      <c r="M575" s="56" t="n">
        <v>0</v>
      </c>
      <c r="N575" s="6" t="inlineStr">
        <is>
          <t>Amazon link not found</t>
        </is>
      </c>
      <c r="O575" s="56">
        <f>IF(N575="Selling pet toys + Artificial grass/Pet toilets (TARGET)",15,IF(N575="Selling artificial grass/pet toilets (TARGET)",10,IF(N575="Selling pet toys",7,IF(N575="There's an Amazon link, but no target sales.",3,0))))</f>
        <v/>
      </c>
      <c r="P575" s="65">
        <f>H575+J575+L575+M575+O575</f>
        <v/>
      </c>
      <c r="Q575" s="66">
        <f>IF(OR(H575=0,P575&lt;30),"Tier D (Đóng băng)",IF(P575&gt;=85,"Tier S (Kim Cương: 85-100đ)",IF(P575&gt;=70,"Tier A (Vàng: 70-84đ)",IF(P575&gt;=61,"Tier B+ / Cấp A (Hot Lead: 61-69đ)",IF(P575&gt;=50,"Tier B (Bạc: 50-60đ)","Tier C (Đồng: 30-49đ)")))))</f>
        <v/>
      </c>
      <c r="R575" s="6" t="inlineStr">
        <is>
          <t>Trọn gói Take-Home Starter Kit V2/V3 (Cỏ nhân tạo + Khay Potty + Đồ chơi Teething/Snuggle)</t>
        </is>
      </c>
      <c r="S575" s="6" t="inlineStr">
        <is>
          <t>Cấp B Tiềm năng: Tiếp cận tự động qua chuỗi Email Marketing + Chăm sóc bổ sung bằng Telesale</t>
        </is>
      </c>
    </row>
    <row r="576">
      <c r="A576" s="59" t="n">
        <v>2750</v>
      </c>
      <c r="B576" s="15" t="inlineStr">
        <is>
          <t>Rio Bravo Bulldogs - Olde English Bulldogges</t>
        </is>
      </c>
      <c r="C576" s="60" t="inlineStr">
        <is>
          <t>https://www.facebook.com/RioBravoBulldogges</t>
        </is>
      </c>
      <c r="D576" s="9" t="inlineStr">
        <is>
          <t>Cần quét Bio Fanpage</t>
        </is>
      </c>
      <c r="E576" s="59" t="inlineStr">
        <is>
          <t>22/09/2026 22:10:48</t>
        </is>
      </c>
      <c r="F576" s="59" t="inlineStr">
        <is>
          <t>2 tuần trước</t>
        </is>
      </c>
      <c r="G576" s="61" t="n">
        <v>14</v>
      </c>
      <c r="H576" s="62" t="n">
        <v>15</v>
      </c>
      <c r="I576" s="9" t="inlineStr">
        <is>
          <t>Dog Breeder / Trại chó chuyên nghiệp (28-30đ)</t>
        </is>
      </c>
      <c r="J576" s="62" t="n">
        <v>28</v>
      </c>
      <c r="K576" s="9" t="inlineStr">
        <is>
          <t>English Bulldog</t>
        </is>
      </c>
      <c r="L576" s="62" t="n">
        <v>10</v>
      </c>
      <c r="M576" s="62" t="n">
        <v>0</v>
      </c>
      <c r="N576" s="9" t="inlineStr">
        <is>
          <t>Amazon link not found</t>
        </is>
      </c>
      <c r="O576" s="62">
        <f>IF(N576="Selling pet toys + Artificial grass/Pet toilets (TARGET)",15,IF(N576="Selling artificial grass/pet toilets (TARGET)",10,IF(N576="Selling pet toys",7,IF(N576="There's an Amazon link, but no target sales.",3,0))))</f>
        <v/>
      </c>
      <c r="P576" s="67">
        <f>H576+J576+L576+M576+O576</f>
        <v/>
      </c>
      <c r="Q576" s="66">
        <f>IF(OR(H576=0,P576&lt;30),"Tier D (Đóng băng)",IF(P576&gt;=85,"Tier S (Kim Cương: 85-100đ)",IF(P576&gt;=70,"Tier A (Vàng: 70-84đ)",IF(P576&gt;=61,"Tier B+ / Cấp A (Hot Lead: 61-69đ)",IF(P576&gt;=50,"Tier B (Bạc: 50-60đ)","Tier C (Đồng: 30-49đ)")))))</f>
        <v/>
      </c>
      <c r="R576" s="9" t="inlineStr">
        <is>
          <t>Trọn gói Take-Home Starter Kit V2/V3 (Cỏ nhân tạo + Khay Potty + Đồ chơi Teething/Snuggle)</t>
        </is>
      </c>
      <c r="S576" s="9" t="inlineStr">
        <is>
          <t>Cấp B Tiềm năng: Tiếp cận tự động qua chuỗi Email Marketing + Chăm sóc bổ sung bằng Telesale</t>
        </is>
      </c>
    </row>
    <row r="577">
      <c r="A577" s="53" t="n">
        <v>1211</v>
      </c>
      <c r="B577" s="12" t="inlineStr">
        <is>
          <t>Doodle Squad Puppies</t>
        </is>
      </c>
      <c r="C577" s="54" t="inlineStr">
        <is>
          <t>https://www.facebook.com/doodlesquad1</t>
        </is>
      </c>
      <c r="D577" s="6" t="inlineStr">
        <is>
          <t>Cần quét Bio Fanpage</t>
        </is>
      </c>
      <c r="E577" s="53" t="inlineStr">
        <is>
          <t>22/09/2026 00:21:11</t>
        </is>
      </c>
      <c r="F577" s="53" t="inlineStr">
        <is>
          <t>3 tuần trước</t>
        </is>
      </c>
      <c r="G577" s="55" t="n">
        <v>21</v>
      </c>
      <c r="H577" s="56" t="n">
        <v>8</v>
      </c>
      <c r="I577" s="6" t="inlineStr">
        <is>
          <t>Dog Breeder / Trại chó chuyên nghiệp (28-30đ)</t>
        </is>
      </c>
      <c r="J577" s="56" t="n">
        <v>30</v>
      </c>
      <c r="K577" s="6" t="inlineStr">
        <is>
          <t>Goldendoodle</t>
        </is>
      </c>
      <c r="L577" s="56" t="n">
        <v>10</v>
      </c>
      <c r="M577" s="56" t="n">
        <v>5</v>
      </c>
      <c r="N577" s="6" t="inlineStr">
        <is>
          <t>Amazon link not found</t>
        </is>
      </c>
      <c r="O577" s="56">
        <f>IF(N577="Selling pet toys + Artificial grass/Pet toilets (TARGET)",15,IF(N577="Selling artificial grass/pet toilets (TARGET)",10,IF(N577="Selling pet toys",7,IF(N577="There's an Amazon link, but no target sales.",3,0))))</f>
        <v/>
      </c>
      <c r="P577" s="65">
        <f>H577+J577+L577+M577+O577</f>
        <v/>
      </c>
      <c r="Q577" s="66">
        <f>IF(OR(H577=0,P577&lt;30),"Tier D (Đóng băng)",IF(P577&gt;=85,"Tier S (Kim Cương: 85-100đ)",IF(P577&gt;=70,"Tier A (Vàng: 70-84đ)",IF(P577&gt;=61,"Tier B+ / Cấp A (Hot Lead: 61-69đ)",IF(P577&gt;=50,"Tier B (Bạc: 50-60đ)","Tier C (Đồng: 30-49đ)")))))</f>
        <v/>
      </c>
      <c r="R577" s="6" t="inlineStr">
        <is>
          <t>Trọn gói Take-Home Starter Kit V2/V3 (Cỏ nhân tạo + Khay Potty + Đồ chơi Teething/Snuggle)</t>
        </is>
      </c>
      <c r="S577" s="6" t="inlineStr">
        <is>
          <t>Cấp B Tiềm năng: Tiếp cận tự động qua chuỗi Email Marketing + Chăm sóc bổ sung bằng Telesale</t>
        </is>
      </c>
    </row>
    <row r="578">
      <c r="A578" s="59" t="n">
        <v>2887</v>
      </c>
      <c r="B578" s="15" t="inlineStr">
        <is>
          <t>Shortstop Frenchies LLC</t>
        </is>
      </c>
      <c r="C578" s="60" t="inlineStr">
        <is>
          <t>https://www.facebook.com/ShortstopFrenchies</t>
        </is>
      </c>
      <c r="D578" s="9" t="inlineStr">
        <is>
          <t>Cần quét Bio Fanpage</t>
        </is>
      </c>
      <c r="E578" s="59" t="inlineStr">
        <is>
          <t>17/09/2026 00:56:39</t>
        </is>
      </c>
      <c r="F578" s="59" t="inlineStr">
        <is>
          <t>3 tuần trước</t>
        </is>
      </c>
      <c r="G578" s="61" t="n">
        <v>21</v>
      </c>
      <c r="H578" s="62" t="n">
        <v>8</v>
      </c>
      <c r="I578" s="9" t="inlineStr">
        <is>
          <t>Dog Breeder / Trại chó chuyên nghiệp (28-30đ)</t>
        </is>
      </c>
      <c r="J578" s="62" t="n">
        <v>30</v>
      </c>
      <c r="K578" s="9" t="inlineStr">
        <is>
          <t>French Bulldog</t>
        </is>
      </c>
      <c r="L578" s="62" t="n">
        <v>10</v>
      </c>
      <c r="M578" s="62" t="n">
        <v>5</v>
      </c>
      <c r="N578" s="9" t="inlineStr">
        <is>
          <t>Amazon link not found</t>
        </is>
      </c>
      <c r="O578" s="62">
        <f>IF(N578="Selling pet toys + Artificial grass/Pet toilets (TARGET)",15,IF(N578="Selling artificial grass/pet toilets (TARGET)",10,IF(N578="Selling pet toys",7,IF(N578="There's an Amazon link, but no target sales.",3,0))))</f>
        <v/>
      </c>
      <c r="P578" s="67">
        <f>H578+J578+L578+M578+O578</f>
        <v/>
      </c>
      <c r="Q578" s="66">
        <f>IF(OR(H578=0,P578&lt;30),"Tier D (Đóng băng)",IF(P578&gt;=85,"Tier S (Kim Cương: 85-100đ)",IF(P578&gt;=70,"Tier A (Vàng: 70-84đ)",IF(P578&gt;=61,"Tier B+ / Cấp A (Hot Lead: 61-69đ)",IF(P578&gt;=50,"Tier B (Bạc: 50-60đ)","Tier C (Đồng: 30-49đ)")))))</f>
        <v/>
      </c>
      <c r="R578" s="9" t="inlineStr">
        <is>
          <t>Trọn gói Take-Home Starter Kit V2/V3 (Cỏ nhân tạo + Khay Potty + Đồ chơi Teething/Snuggle)</t>
        </is>
      </c>
      <c r="S578" s="9" t="inlineStr">
        <is>
          <t>Cấp B Tiềm năng: Tiếp cận tự động qua chuỗi Email Marketing + Chăm sóc bổ sung bằng Telesale</t>
        </is>
      </c>
    </row>
    <row r="579">
      <c r="A579" s="53" t="n">
        <v>664</v>
      </c>
      <c r="B579" s="12" t="inlineStr">
        <is>
          <t>Big Block Bullies LLC</t>
        </is>
      </c>
      <c r="C579" s="54" t="inlineStr">
        <is>
          <t>https://www.facebook.com/profile.php?id=61583358357375</t>
        </is>
      </c>
      <c r="D579" s="6" t="inlineStr">
        <is>
          <t>Cần quét Bio Fanpage</t>
        </is>
      </c>
      <c r="E579" s="53" t="inlineStr">
        <is>
          <t>13/09/2026 22:19:56</t>
        </is>
      </c>
      <c r="F579" s="53" t="inlineStr">
        <is>
          <t>4 tuần trước</t>
        </is>
      </c>
      <c r="G579" s="55" t="n">
        <v>28</v>
      </c>
      <c r="H579" s="56" t="n">
        <v>8</v>
      </c>
      <c r="I579" s="6" t="inlineStr">
        <is>
          <t>Dog Breeder / Trại chó chuyên nghiệp (28-30đ)</t>
        </is>
      </c>
      <c r="J579" s="56" t="n">
        <v>30</v>
      </c>
      <c r="K579" s="6" t="inlineStr">
        <is>
          <t>American Bully / Bully</t>
        </is>
      </c>
      <c r="L579" s="56" t="n">
        <v>10</v>
      </c>
      <c r="M579" s="56" t="n">
        <v>5</v>
      </c>
      <c r="N579" s="6" t="inlineStr">
        <is>
          <t>Amazon link not found</t>
        </is>
      </c>
      <c r="O579" s="56">
        <f>IF(N579="Selling pet toys + Artificial grass/Pet toilets (TARGET)",15,IF(N579="Selling artificial grass/pet toilets (TARGET)",10,IF(N579="Selling pet toys",7,IF(N579="There's an Amazon link, but no target sales.",3,0))))</f>
        <v/>
      </c>
      <c r="P579" s="65">
        <f>H579+J579+L579+M579+O579</f>
        <v/>
      </c>
      <c r="Q579" s="66">
        <f>IF(OR(H579=0,P579&lt;30),"Tier D (Đóng băng)",IF(P579&gt;=85,"Tier S (Kim Cương: 85-100đ)",IF(P579&gt;=70,"Tier A (Vàng: 70-84đ)",IF(P579&gt;=61,"Tier B+ / Cấp A (Hot Lead: 61-69đ)",IF(P579&gt;=50,"Tier B (Bạc: 50-60đ)","Tier C (Đồng: 30-49đ)")))))</f>
        <v/>
      </c>
      <c r="R579" s="6" t="inlineStr">
        <is>
          <t>Trọn gói Take-Home Starter Kit V2/V3 (Cỏ nhân tạo + Khay Potty + Đồ chơi Teething/Snuggle)</t>
        </is>
      </c>
      <c r="S579" s="6" t="inlineStr">
        <is>
          <t>Cấp B Tiềm năng: Tiếp cận tự động qua chuỗi Email Marketing + Chăm sóc bổ sung bằng Telesale</t>
        </is>
      </c>
    </row>
    <row r="580">
      <c r="A580" s="59" t="n">
        <v>5564</v>
      </c>
      <c r="B580" s="15" t="inlineStr">
        <is>
          <t>The Bulldog Levi</t>
        </is>
      </c>
      <c r="C580" s="60" t="inlineStr">
        <is>
          <t>https://www.facebook.com/profile.php?id=100084743220489</t>
        </is>
      </c>
      <c r="D580" s="9" t="inlineStr">
        <is>
          <t>Cần quét Bio Fanpage</t>
        </is>
      </c>
      <c r="E580" s="59" t="inlineStr">
        <is>
          <t>13/10/2026 06:40:32</t>
        </is>
      </c>
      <c r="F580" s="59" t="inlineStr">
        <is>
          <t>4 giờ trước</t>
        </is>
      </c>
      <c r="G580" s="61" t="n">
        <v>0.17</v>
      </c>
      <c r="H580" s="62" t="n">
        <v>32</v>
      </c>
      <c r="I580" s="9" t="inlineStr">
        <is>
          <t>Pet Owner / Kênh cá nhân thú cưng (10đ)</t>
        </is>
      </c>
      <c r="J580" s="62" t="n">
        <v>10</v>
      </c>
      <c r="K580" s="9" t="inlineStr">
        <is>
          <t>English Bulldog</t>
        </is>
      </c>
      <c r="L580" s="62" t="n">
        <v>10</v>
      </c>
      <c r="M580" s="62" t="n">
        <v>0</v>
      </c>
      <c r="N580" s="9" t="inlineStr">
        <is>
          <t>Amazon link not found</t>
        </is>
      </c>
      <c r="O580" s="62">
        <f>IF(N580="Selling pet toys + Artificial grass/Pet toilets (TARGET)",15,IF(N580="Selling artificial grass/pet toilets (TARGET)",10,IF(N580="Selling pet toys",7,IF(N580="There's an Amazon link, but no target sales.",3,0))))</f>
        <v/>
      </c>
      <c r="P580" s="67">
        <f>H580+J580+L580+M580+O580</f>
        <v/>
      </c>
      <c r="Q580" s="66">
        <f>IF(OR(H580=0,P580&lt;30),"Tier D (Đóng băng)",IF(P580&gt;=85,"Tier S (Kim Cương: 85-100đ)",IF(P580&gt;=70,"Tier A (Vàng: 70-84đ)",IF(P580&gt;=61,"Tier B+ / Cấp A (Hot Lead: 61-69đ)",IF(P580&gt;=50,"Tier B (Bạc: 50-60đ)","Tier C (Đồng: 30-49đ)")))))</f>
        <v/>
      </c>
      <c r="R580" s="9" t="inlineStr">
        <is>
          <t>Khay vệ sinh trong nhà (Indoor Dog Potty) + Đồ chơi thú cưng lẻ</t>
        </is>
      </c>
      <c r="S580" s="9" t="inlineStr">
        <is>
          <t>Cấp B Tiềm năng: Tiếp cận tự động qua chuỗi Email Marketing + Chăm sóc bổ sung bằng Telesale</t>
        </is>
      </c>
    </row>
    <row r="581">
      <c r="A581" s="53" t="n">
        <v>5476</v>
      </c>
      <c r="B581" s="12" t="inlineStr">
        <is>
          <t>Stonehedge Barn Hunt and Dog Sports</t>
        </is>
      </c>
      <c r="C581" s="54" t="inlineStr">
        <is>
          <t>https://www.facebook.com/profile.php?id=61565757941530</t>
        </is>
      </c>
      <c r="D581" s="6" t="inlineStr">
        <is>
          <t>Cần quét Bio Fanpage</t>
        </is>
      </c>
      <c r="E581" s="53" t="inlineStr">
        <is>
          <t>13/10/2026 06:23:41</t>
        </is>
      </c>
      <c r="F581" s="53" t="inlineStr">
        <is>
          <t>4 giờ trước</t>
        </is>
      </c>
      <c r="G581" s="55" t="n">
        <v>0.17</v>
      </c>
      <c r="H581" s="56" t="n">
        <v>32</v>
      </c>
      <c r="I581" s="6" t="inlineStr">
        <is>
          <t>Pet Boarding / Huấn luyện K9 &amp; Dịch vụ (20-22đ)</t>
        </is>
      </c>
      <c r="J581" s="56" t="n">
        <v>20</v>
      </c>
      <c r="K581" s="6" t="inlineStr">
        <is>
          <t>Chưa rõ giống (Cần quét Bio)</t>
        </is>
      </c>
      <c r="L581" s="56" t="n">
        <v>0</v>
      </c>
      <c r="M581" s="56" t="n">
        <v>0</v>
      </c>
      <c r="N581" s="6" t="inlineStr">
        <is>
          <t>Amazon link not found</t>
        </is>
      </c>
      <c r="O581" s="56">
        <f>IF(N581="Selling pet toys + Artificial grass/Pet toilets (TARGET)",15,IF(N581="Selling artificial grass/pet toilets (TARGET)",10,IF(N581="Selling pet toys",7,IF(N581="There's an Amazon link, but no target sales.",3,0))))</f>
        <v/>
      </c>
      <c r="P581" s="65">
        <f>H581+J581+L581+M581+O581</f>
        <v/>
      </c>
      <c r="Q581" s="66">
        <f>IF(OR(H581=0,P581&lt;30),"Tier D (Đóng băng)",IF(P581&gt;=85,"Tier S (Kim Cương: 85-100đ)",IF(P581&gt;=70,"Tier A (Vàng: 70-84đ)",IF(P581&gt;=61,"Tier B+ / Cấp A (Hot Lead: 61-69đ)",IF(P581&gt;=50,"Tier B (Bạc: 50-60đ)","Tier C (Đồng: 30-49đ)")))))</f>
        <v/>
      </c>
      <c r="R581" s="6" t="inlineStr">
        <is>
          <t>Cỏ nhân tạo sân chơi/huấn luyện (Dog Turf) + Đồ chơi nhai chịu lực (KONG/Chew Toys)</t>
        </is>
      </c>
      <c r="S581" s="6" t="inlineStr">
        <is>
          <t>Cấp B Tiềm năng: Tiếp cận tự động qua chuỗi Email Marketing + Chăm sóc bổ sung bằng Telesale</t>
        </is>
      </c>
    </row>
    <row r="582">
      <c r="A582" s="59" t="n">
        <v>2781</v>
      </c>
      <c r="B582" s="15" t="inlineStr">
        <is>
          <t>Rose Speedlight Dog Camp</t>
        </is>
      </c>
      <c r="C582" s="60" t="inlineStr">
        <is>
          <t>https://www.facebook.com/rsdcsk</t>
        </is>
      </c>
      <c r="D582" s="9" t="inlineStr">
        <is>
          <t>Cần quét Bio Fanpage</t>
        </is>
      </c>
      <c r="E582" s="59" t="inlineStr">
        <is>
          <t>13/10/2026 01:26:15</t>
        </is>
      </c>
      <c r="F582" s="59" t="inlineStr">
        <is>
          <t>4 giờ trước</t>
        </is>
      </c>
      <c r="G582" s="61" t="n">
        <v>0.17</v>
      </c>
      <c r="H582" s="62" t="n">
        <v>32</v>
      </c>
      <c r="I582" s="9" t="inlineStr">
        <is>
          <t>Pet Boarding / Huấn luyện K9 &amp; Dịch vụ (20-22đ)</t>
        </is>
      </c>
      <c r="J582" s="62" t="n">
        <v>20</v>
      </c>
      <c r="K582" s="9" t="inlineStr">
        <is>
          <t>Chưa rõ giống (Cần quét Bio)</t>
        </is>
      </c>
      <c r="L582" s="62" t="n">
        <v>0</v>
      </c>
      <c r="M582" s="62" t="n">
        <v>0</v>
      </c>
      <c r="N582" s="9" t="inlineStr">
        <is>
          <t>Amazon link not found</t>
        </is>
      </c>
      <c r="O582" s="62">
        <f>IF(N582="Selling pet toys + Artificial grass/Pet toilets (TARGET)",15,IF(N582="Selling artificial grass/pet toilets (TARGET)",10,IF(N582="Selling pet toys",7,IF(N582="There's an Amazon link, but no target sales.",3,0))))</f>
        <v/>
      </c>
      <c r="P582" s="67">
        <f>H582+J582+L582+M582+O582</f>
        <v/>
      </c>
      <c r="Q582" s="66">
        <f>IF(OR(H582=0,P582&lt;30),"Tier D (Đóng băng)",IF(P582&gt;=85,"Tier S (Kim Cương: 85-100đ)",IF(P582&gt;=70,"Tier A (Vàng: 70-84đ)",IF(P582&gt;=61,"Tier B+ / Cấp A (Hot Lead: 61-69đ)",IF(P582&gt;=50,"Tier B (Bạc: 50-60đ)","Tier C (Đồng: 30-49đ)")))))</f>
        <v/>
      </c>
      <c r="R582" s="9" t="inlineStr">
        <is>
          <t>Cỏ nhân tạo sân chơi/huấn luyện (Dog Turf) + Đồ chơi nhai chịu lực (KONG/Chew Toys)</t>
        </is>
      </c>
      <c r="S582" s="9" t="inlineStr">
        <is>
          <t>Cấp B Tiềm năng: Tiếp cận tự động qua chuỗi Email Marketing + Chăm sóc bổ sung bằng Telesale</t>
        </is>
      </c>
    </row>
    <row r="583">
      <c r="A583" s="53" t="n">
        <v>3363</v>
      </c>
      <c r="B583" s="12" t="inlineStr">
        <is>
          <t>Walking tall with Wayne Pugh</t>
        </is>
      </c>
      <c r="C583" s="54" t="inlineStr">
        <is>
          <t>https://www.facebook.com/profile.php?id=100063650526397</t>
        </is>
      </c>
      <c r="D583" s="6" t="inlineStr">
        <is>
          <t>Cần quét Bio Fanpage</t>
        </is>
      </c>
      <c r="E583" s="53" t="inlineStr">
        <is>
          <t>13/10/2026 00:34:41</t>
        </is>
      </c>
      <c r="F583" s="53" t="inlineStr">
        <is>
          <t>6 giờ trước</t>
        </is>
      </c>
      <c r="G583" s="55" t="n">
        <v>0.25</v>
      </c>
      <c r="H583" s="56" t="n">
        <v>32</v>
      </c>
      <c r="I583" s="6" t="inlineStr">
        <is>
          <t>Pet Boarding / Huấn luyện K9 &amp; Dịch vụ (20-22đ)</t>
        </is>
      </c>
      <c r="J583" s="56" t="n">
        <v>20</v>
      </c>
      <c r="K583" s="6" t="inlineStr">
        <is>
          <t>Chưa rõ giống (Cần quét Bio)</t>
        </is>
      </c>
      <c r="L583" s="56" t="n">
        <v>0</v>
      </c>
      <c r="M583" s="56" t="n">
        <v>0</v>
      </c>
      <c r="N583" s="6" t="inlineStr">
        <is>
          <t>Amazon link not found</t>
        </is>
      </c>
      <c r="O583" s="56">
        <f>IF(N583="Selling pet toys + Artificial grass/Pet toilets (TARGET)",15,IF(N583="Selling artificial grass/pet toilets (TARGET)",10,IF(N583="Selling pet toys",7,IF(N583="There's an Amazon link, but no target sales.",3,0))))</f>
        <v/>
      </c>
      <c r="P583" s="65">
        <f>H583+J583+L583+M583+O583</f>
        <v/>
      </c>
      <c r="Q583" s="66">
        <f>IF(OR(H583=0,P583&lt;30),"Tier D (Đóng băng)",IF(P583&gt;=85,"Tier S (Kim Cương: 85-100đ)",IF(P583&gt;=70,"Tier A (Vàng: 70-84đ)",IF(P583&gt;=61,"Tier B+ / Cấp A (Hot Lead: 61-69đ)",IF(P583&gt;=50,"Tier B (Bạc: 50-60đ)","Tier C (Đồng: 30-49đ)")))))</f>
        <v/>
      </c>
      <c r="R583" s="6" t="inlineStr">
        <is>
          <t>Cỏ nhân tạo sân chơi/huấn luyện (Dog Turf) + Đồ chơi nhai chịu lực (KONG/Chew Toys)</t>
        </is>
      </c>
      <c r="S583" s="6" t="inlineStr">
        <is>
          <t>Cấp B Tiềm năng: Tiếp cận tự động qua chuỗi Email Marketing + Chăm sóc bổ sung bằng Telesale</t>
        </is>
      </c>
    </row>
    <row r="584">
      <c r="A584" s="59" t="n">
        <v>1945</v>
      </c>
      <c r="B584" s="15" t="inlineStr">
        <is>
          <t>Kruisin' Kanines Agility and Dog Sports Club</t>
        </is>
      </c>
      <c r="C584" s="60" t="inlineStr">
        <is>
          <t>https://www.facebook.com/KruisinKaninesDogAgilityClub</t>
        </is>
      </c>
      <c r="D584" s="9" t="inlineStr">
        <is>
          <t>Cần quét Bio Fanpage</t>
        </is>
      </c>
      <c r="E584" s="59" t="inlineStr">
        <is>
          <t>12/10/2026 22:41:25</t>
        </is>
      </c>
      <c r="F584" s="59" t="inlineStr">
        <is>
          <t>5 giờ trước</t>
        </is>
      </c>
      <c r="G584" s="61" t="n">
        <v>0.21</v>
      </c>
      <c r="H584" s="62" t="n">
        <v>32</v>
      </c>
      <c r="I584" s="9" t="inlineStr">
        <is>
          <t>Pet Boarding / Huấn luyện K9 &amp; Dịch vụ (20-22đ)</t>
        </is>
      </c>
      <c r="J584" s="62" t="n">
        <v>20</v>
      </c>
      <c r="K584" s="9" t="inlineStr">
        <is>
          <t>Chưa rõ giống (Cần quét Bio)</t>
        </is>
      </c>
      <c r="L584" s="62" t="n">
        <v>0</v>
      </c>
      <c r="M584" s="62" t="n">
        <v>0</v>
      </c>
      <c r="N584" s="9" t="inlineStr">
        <is>
          <t>Amazon link not found</t>
        </is>
      </c>
      <c r="O584" s="62">
        <f>IF(N584="Selling pet toys + Artificial grass/Pet toilets (TARGET)",15,IF(N584="Selling artificial grass/pet toilets (TARGET)",10,IF(N584="Selling pet toys",7,IF(N584="There's an Amazon link, but no target sales.",3,0))))</f>
        <v/>
      </c>
      <c r="P584" s="67">
        <f>H584+J584+L584+M584+O584</f>
        <v/>
      </c>
      <c r="Q584" s="66">
        <f>IF(OR(H584=0,P584&lt;30),"Tier D (Đóng băng)",IF(P584&gt;=85,"Tier S (Kim Cương: 85-100đ)",IF(P584&gt;=70,"Tier A (Vàng: 70-84đ)",IF(P584&gt;=61,"Tier B+ / Cấp A (Hot Lead: 61-69đ)",IF(P584&gt;=50,"Tier B (Bạc: 50-60đ)","Tier C (Đồng: 30-49đ)")))))</f>
        <v/>
      </c>
      <c r="R584" s="9" t="inlineStr">
        <is>
          <t>Cỏ nhân tạo sân chơi/huấn luyện (Dog Turf) + Đồ chơi nhai chịu lực (KONG/Chew Toys)</t>
        </is>
      </c>
      <c r="S584" s="9" t="inlineStr">
        <is>
          <t>Cấp B Tiềm năng: Tiếp cận tự động qua chuỗi Email Marketing + Chăm sóc bổ sung bằng Telesale</t>
        </is>
      </c>
    </row>
    <row r="585">
      <c r="A585" s="53" t="n">
        <v>3223</v>
      </c>
      <c r="B585" s="12" t="inlineStr">
        <is>
          <t>Train and Simple Dog Behaviour Consulting</t>
        </is>
      </c>
      <c r="C585" s="54" t="inlineStr">
        <is>
          <t>https://www.facebook.com/trainandsimpledogs</t>
        </is>
      </c>
      <c r="D585" s="6" t="inlineStr">
        <is>
          <t>Cần quét Bio Fanpage</t>
        </is>
      </c>
      <c r="E585" s="53" t="inlineStr">
        <is>
          <t>12/10/2026 22:35:22</t>
        </is>
      </c>
      <c r="F585" s="53" t="inlineStr">
        <is>
          <t>8 giờ trước</t>
        </is>
      </c>
      <c r="G585" s="55" t="n">
        <v>0.33</v>
      </c>
      <c r="H585" s="56" t="n">
        <v>32</v>
      </c>
      <c r="I585" s="6" t="inlineStr">
        <is>
          <t>Pet Boarding / Huấn luyện K9 &amp; Dịch vụ (20-22đ)</t>
        </is>
      </c>
      <c r="J585" s="56" t="n">
        <v>20</v>
      </c>
      <c r="K585" s="6" t="inlineStr">
        <is>
          <t>Chưa rõ giống (Cần quét Bio)</t>
        </is>
      </c>
      <c r="L585" s="56" t="n">
        <v>0</v>
      </c>
      <c r="M585" s="56" t="n">
        <v>0</v>
      </c>
      <c r="N585" s="6" t="inlineStr">
        <is>
          <t>Amazon link not found</t>
        </is>
      </c>
      <c r="O585" s="56">
        <f>IF(N585="Selling pet toys + Artificial grass/Pet toilets (TARGET)",15,IF(N585="Selling artificial grass/pet toilets (TARGET)",10,IF(N585="Selling pet toys",7,IF(N585="There's an Amazon link, but no target sales.",3,0))))</f>
        <v/>
      </c>
      <c r="P585" s="65">
        <f>H585+J585+L585+M585+O585</f>
        <v/>
      </c>
      <c r="Q585" s="66">
        <f>IF(OR(H585=0,P585&lt;30),"Tier D (Đóng băng)",IF(P585&gt;=85,"Tier S (Kim Cương: 85-100đ)",IF(P585&gt;=70,"Tier A (Vàng: 70-84đ)",IF(P585&gt;=61,"Tier B+ / Cấp A (Hot Lead: 61-69đ)",IF(P585&gt;=50,"Tier B (Bạc: 50-60đ)","Tier C (Đồng: 30-49đ)")))))</f>
        <v/>
      </c>
      <c r="R585" s="6" t="inlineStr">
        <is>
          <t>Cỏ nhân tạo sân chơi/huấn luyện (Dog Turf) + Đồ chơi nhai chịu lực (KONG/Chew Toys)</t>
        </is>
      </c>
      <c r="S585" s="6" t="inlineStr">
        <is>
          <t>Cấp B Tiềm năng: Tiếp cận tự động qua chuỗi Email Marketing + Chăm sóc bổ sung bằng Telesale</t>
        </is>
      </c>
    </row>
    <row r="586">
      <c r="A586" s="59" t="n">
        <v>1990</v>
      </c>
      <c r="B586" s="15" t="inlineStr">
        <is>
          <t>Lather In Love Dog Grooming</t>
        </is>
      </c>
      <c r="C586" s="60" t="inlineStr">
        <is>
          <t>https://www.facebook.com/profile.php?id=100090450523865</t>
        </is>
      </c>
      <c r="D586" s="9" t="inlineStr">
        <is>
          <t>Cần quét Bio Fanpage</t>
        </is>
      </c>
      <c r="E586" s="59" t="inlineStr">
        <is>
          <t>12/10/2026 22:30:44</t>
        </is>
      </c>
      <c r="F586" s="59" t="inlineStr">
        <is>
          <t>5 giờ trước</t>
        </is>
      </c>
      <c r="G586" s="61" t="n">
        <v>0.21</v>
      </c>
      <c r="H586" s="62" t="n">
        <v>32</v>
      </c>
      <c r="I586" s="9" t="inlineStr">
        <is>
          <t>Pet Boarding / Huấn luyện K9 &amp; Dịch vụ (20-22đ)</t>
        </is>
      </c>
      <c r="J586" s="62" t="n">
        <v>20</v>
      </c>
      <c r="K586" s="9" t="inlineStr">
        <is>
          <t>Chưa rõ giống (Cần quét Bio)</t>
        </is>
      </c>
      <c r="L586" s="62" t="n">
        <v>0</v>
      </c>
      <c r="M586" s="62" t="n">
        <v>0</v>
      </c>
      <c r="N586" s="9" t="inlineStr">
        <is>
          <t>Amazon link not found</t>
        </is>
      </c>
      <c r="O586" s="62">
        <f>IF(N586="Selling pet toys + Artificial grass/Pet toilets (TARGET)",15,IF(N586="Selling artificial grass/pet toilets (TARGET)",10,IF(N586="Selling pet toys",7,IF(N586="There's an Amazon link, but no target sales.",3,0))))</f>
        <v/>
      </c>
      <c r="P586" s="67">
        <f>H586+J586+L586+M586+O586</f>
        <v/>
      </c>
      <c r="Q586" s="66">
        <f>IF(OR(H586=0,P586&lt;30),"Tier D (Đóng băng)",IF(P586&gt;=85,"Tier S (Kim Cương: 85-100đ)",IF(P586&gt;=70,"Tier A (Vàng: 70-84đ)",IF(P586&gt;=61,"Tier B+ / Cấp A (Hot Lead: 61-69đ)",IF(P586&gt;=50,"Tier B (Bạc: 50-60đ)","Tier C (Đồng: 30-49đ)")))))</f>
        <v/>
      </c>
      <c r="R586" s="9" t="inlineStr">
        <is>
          <t>Cỏ nhân tạo sân chơi/huấn luyện (Dog Turf) + Đồ chơi nhai chịu lực (KONG/Chew Toys)</t>
        </is>
      </c>
      <c r="S586" s="9" t="inlineStr">
        <is>
          <t>Cấp B Tiềm năng: Tiếp cận tự động qua chuỗi Email Marketing + Chăm sóc bổ sung bằng Telesale</t>
        </is>
      </c>
    </row>
    <row r="587">
      <c r="A587" s="53" t="n">
        <v>1454</v>
      </c>
      <c r="B587" s="12" t="inlineStr">
        <is>
          <t>frenchies.vs.everybody</t>
        </is>
      </c>
      <c r="C587" s="54" t="inlineStr">
        <is>
          <t>https://www.facebook.com/profile.php?id=100082131992324</t>
        </is>
      </c>
      <c r="D587" s="6" t="inlineStr">
        <is>
          <t>Cần quét Bio Fanpage</t>
        </is>
      </c>
      <c r="E587" s="53" t="inlineStr">
        <is>
          <t>12/10/2026 21:02:09</t>
        </is>
      </c>
      <c r="F587" s="53" t="inlineStr">
        <is>
          <t>6 giờ trước</t>
        </is>
      </c>
      <c r="G587" s="55" t="n">
        <v>0.25</v>
      </c>
      <c r="H587" s="56" t="n">
        <v>32</v>
      </c>
      <c r="I587" s="6" t="inlineStr">
        <is>
          <t>Pet Owner / Kênh cá nhân thú cưng (10đ)</t>
        </is>
      </c>
      <c r="J587" s="56" t="n">
        <v>10</v>
      </c>
      <c r="K587" s="6" t="inlineStr">
        <is>
          <t>French Bulldog</t>
        </is>
      </c>
      <c r="L587" s="56" t="n">
        <v>10</v>
      </c>
      <c r="M587" s="56" t="n">
        <v>0</v>
      </c>
      <c r="N587" s="6" t="inlineStr">
        <is>
          <t>Amazon link not found</t>
        </is>
      </c>
      <c r="O587" s="56">
        <f>IF(N587="Selling pet toys + Artificial grass/Pet toilets (TARGET)",15,IF(N587="Selling artificial grass/pet toilets (TARGET)",10,IF(N587="Selling pet toys",7,IF(N587="There's an Amazon link, but no target sales.",3,0))))</f>
        <v/>
      </c>
      <c r="P587" s="65">
        <f>H587+J587+L587+M587+O587</f>
        <v/>
      </c>
      <c r="Q587" s="66">
        <f>IF(OR(H587=0,P587&lt;30),"Tier D (Đóng băng)",IF(P587&gt;=85,"Tier S (Kim Cương: 85-100đ)",IF(P587&gt;=70,"Tier A (Vàng: 70-84đ)",IF(P587&gt;=61,"Tier B+ / Cấp A (Hot Lead: 61-69đ)",IF(P587&gt;=50,"Tier B (Bạc: 50-60đ)","Tier C (Đồng: 30-49đ)")))))</f>
        <v/>
      </c>
      <c r="R587" s="6" t="inlineStr">
        <is>
          <t>Khay vệ sinh trong nhà (Indoor Dog Potty) + Đồ chơi thú cưng lẻ</t>
        </is>
      </c>
      <c r="S587" s="6" t="inlineStr">
        <is>
          <t>Cấp B Tiềm năng: Tiếp cận tự động qua chuỗi Email Marketing + Chăm sóc bổ sung bằng Telesale</t>
        </is>
      </c>
    </row>
    <row r="588">
      <c r="A588" s="59" t="n">
        <v>787</v>
      </c>
      <c r="B588" s="15" t="inlineStr">
        <is>
          <t>Bulldog Lover In USA</t>
        </is>
      </c>
      <c r="C588" s="60" t="inlineStr">
        <is>
          <t>https://www.facebook.com/BulldogLoverinusa50</t>
        </is>
      </c>
      <c r="D588" s="9" t="inlineStr">
        <is>
          <t>Cần quét Bio Fanpage</t>
        </is>
      </c>
      <c r="E588" s="59" t="inlineStr">
        <is>
          <t>12/10/2026 20:34:02</t>
        </is>
      </c>
      <c r="F588" s="59" t="inlineStr">
        <is>
          <t>5 giờ trước</t>
        </is>
      </c>
      <c r="G588" s="61" t="n">
        <v>0.21</v>
      </c>
      <c r="H588" s="62" t="n">
        <v>32</v>
      </c>
      <c r="I588" s="9" t="inlineStr">
        <is>
          <t>Pet Owner / Kênh cá nhân thú cưng (10đ)</t>
        </is>
      </c>
      <c r="J588" s="62" t="n">
        <v>10</v>
      </c>
      <c r="K588" s="9" t="inlineStr">
        <is>
          <t>English Bulldog</t>
        </is>
      </c>
      <c r="L588" s="62" t="n">
        <v>10</v>
      </c>
      <c r="M588" s="62" t="n">
        <v>0</v>
      </c>
      <c r="N588" s="9" t="inlineStr">
        <is>
          <t>Amazon link not found</t>
        </is>
      </c>
      <c r="O588" s="62">
        <f>IF(N588="Selling pet toys + Artificial grass/Pet toilets (TARGET)",15,IF(N588="Selling artificial grass/pet toilets (TARGET)",10,IF(N588="Selling pet toys",7,IF(N588="There's an Amazon link, but no target sales.",3,0))))</f>
        <v/>
      </c>
      <c r="P588" s="67">
        <f>H588+J588+L588+M588+O588</f>
        <v/>
      </c>
      <c r="Q588" s="66">
        <f>IF(OR(H588=0,P588&lt;30),"Tier D (Đóng băng)",IF(P588&gt;=85,"Tier S (Kim Cương: 85-100đ)",IF(P588&gt;=70,"Tier A (Vàng: 70-84đ)",IF(P588&gt;=61,"Tier B+ / Cấp A (Hot Lead: 61-69đ)",IF(P588&gt;=50,"Tier B (Bạc: 50-60đ)","Tier C (Đồng: 30-49đ)")))))</f>
        <v/>
      </c>
      <c r="R588" s="9" t="inlineStr">
        <is>
          <t>Khay vệ sinh trong nhà (Indoor Dog Potty) + Đồ chơi thú cưng lẻ</t>
        </is>
      </c>
      <c r="S588" s="9" t="inlineStr">
        <is>
          <t>Cấp B Tiềm năng: Tiếp cận tự động qua chuỗi Email Marketing + Chăm sóc bổ sung bằng Telesale</t>
        </is>
      </c>
    </row>
    <row r="589">
      <c r="A589" s="53" t="n">
        <v>1051</v>
      </c>
      <c r="B589" s="12" t="inlineStr">
        <is>
          <t>Dog Behavior Specialist-Deb Nabb</t>
        </is>
      </c>
      <c r="C589" s="54" t="inlineStr">
        <is>
          <t>https://www.facebook.com/TheMuttMaster1111</t>
        </is>
      </c>
      <c r="D589" s="6" t="inlineStr">
        <is>
          <t>Cần quét Bio Fanpage</t>
        </is>
      </c>
      <c r="E589" s="53" t="inlineStr">
        <is>
          <t>12/10/2026 20:25:57</t>
        </is>
      </c>
      <c r="F589" s="53" t="inlineStr">
        <is>
          <t>6 giờ trước</t>
        </is>
      </c>
      <c r="G589" s="55" t="n">
        <v>0.25</v>
      </c>
      <c r="H589" s="56" t="n">
        <v>32</v>
      </c>
      <c r="I589" s="6" t="inlineStr">
        <is>
          <t>Pet Boarding / Huấn luyện K9 &amp; Dịch vụ (20-22đ)</t>
        </is>
      </c>
      <c r="J589" s="56" t="n">
        <v>20</v>
      </c>
      <c r="K589" s="6" t="inlineStr">
        <is>
          <t>Chưa rõ giống (Cần quét Bio)</t>
        </is>
      </c>
      <c r="L589" s="56" t="n">
        <v>0</v>
      </c>
      <c r="M589" s="56" t="n">
        <v>0</v>
      </c>
      <c r="N589" s="6" t="inlineStr">
        <is>
          <t>Amazon link not found</t>
        </is>
      </c>
      <c r="O589" s="56">
        <f>IF(N589="Selling pet toys + Artificial grass/Pet toilets (TARGET)",15,IF(N589="Selling artificial grass/pet toilets (TARGET)",10,IF(N589="Selling pet toys",7,IF(N589="There's an Amazon link, but no target sales.",3,0))))</f>
        <v/>
      </c>
      <c r="P589" s="65">
        <f>H589+J589+L589+M589+O589</f>
        <v/>
      </c>
      <c r="Q589" s="66">
        <f>IF(OR(H589=0,P589&lt;30),"Tier D (Đóng băng)",IF(P589&gt;=85,"Tier S (Kim Cương: 85-100đ)",IF(P589&gt;=70,"Tier A (Vàng: 70-84đ)",IF(P589&gt;=61,"Tier B+ / Cấp A (Hot Lead: 61-69đ)",IF(P589&gt;=50,"Tier B (Bạc: 50-60đ)","Tier C (Đồng: 30-49đ)")))))</f>
        <v/>
      </c>
      <c r="R589" s="6" t="inlineStr">
        <is>
          <t>Cỏ nhân tạo sân chơi/huấn luyện (Dog Turf) + Đồ chơi nhai chịu lực (KONG/Chew Toys)</t>
        </is>
      </c>
      <c r="S589" s="6" t="inlineStr">
        <is>
          <t>Cấp B Tiềm năng: Tiếp cận tự động qua chuỗi Email Marketing + Chăm sóc bổ sung bằng Telesale</t>
        </is>
      </c>
    </row>
    <row r="590">
      <c r="A590" s="59" t="n">
        <v>102</v>
      </c>
      <c r="B590" s="15" t="inlineStr">
        <is>
          <t>ANYA the German Shepherd Dog</t>
        </is>
      </c>
      <c r="C590" s="60" t="inlineStr">
        <is>
          <t>https://www.facebook.com/anyathegsd</t>
        </is>
      </c>
      <c r="D590" s="9" t="inlineStr">
        <is>
          <t>Cần quét Bio Fanpage</t>
        </is>
      </c>
      <c r="E590" s="59" t="inlineStr">
        <is>
          <t>12/10/2026 20:01:28</t>
        </is>
      </c>
      <c r="F590" s="59" t="inlineStr">
        <is>
          <t>5 giờ trước</t>
        </is>
      </c>
      <c r="G590" s="61" t="n">
        <v>0.21</v>
      </c>
      <c r="H590" s="62" t="n">
        <v>32</v>
      </c>
      <c r="I590" s="9" t="inlineStr">
        <is>
          <t>Pet Owner / Kênh cá nhân thú cưng (10đ)</t>
        </is>
      </c>
      <c r="J590" s="62" t="n">
        <v>10</v>
      </c>
      <c r="K590" s="9" t="inlineStr">
        <is>
          <t>German Shepherd</t>
        </is>
      </c>
      <c r="L590" s="62" t="n">
        <v>10</v>
      </c>
      <c r="M590" s="62" t="n">
        <v>0</v>
      </c>
      <c r="N590" s="9" t="inlineStr">
        <is>
          <t>Amazon link not found</t>
        </is>
      </c>
      <c r="O590" s="62">
        <f>IF(N590="Selling pet toys + Artificial grass/Pet toilets (TARGET)",15,IF(N590="Selling artificial grass/pet toilets (TARGET)",10,IF(N590="Selling pet toys",7,IF(N590="There's an Amazon link, but no target sales.",3,0))))</f>
        <v/>
      </c>
      <c r="P590" s="67">
        <f>H590+J590+L590+M590+O590</f>
        <v/>
      </c>
      <c r="Q590" s="66">
        <f>IF(OR(H590=0,P590&lt;30),"Tier D (Đóng băng)",IF(P590&gt;=85,"Tier S (Kim Cương: 85-100đ)",IF(P590&gt;=70,"Tier A (Vàng: 70-84đ)",IF(P590&gt;=61,"Tier B+ / Cấp A (Hot Lead: 61-69đ)",IF(P590&gt;=50,"Tier B (Bạc: 50-60đ)","Tier C (Đồng: 30-49đ)")))))</f>
        <v/>
      </c>
      <c r="R590" s="9" t="inlineStr">
        <is>
          <t>Khay vệ sinh trong nhà (Indoor Dog Potty) + Đồ chơi thú cưng lẻ</t>
        </is>
      </c>
      <c r="S590" s="9" t="inlineStr">
        <is>
          <t>Cấp B Tiềm năng: Tiếp cận tự động qua chuỗi Email Marketing + Chăm sóc bổ sung bằng Telesale</t>
        </is>
      </c>
    </row>
    <row r="591">
      <c r="A591" s="53" t="n">
        <v>3192</v>
      </c>
      <c r="B591" s="12" t="inlineStr">
        <is>
          <t>TJ The Frenchie</t>
        </is>
      </c>
      <c r="C591" s="54" t="inlineStr">
        <is>
          <t>https://www.facebook.com/tjthefrenchie</t>
        </is>
      </c>
      <c r="D591" s="6" t="inlineStr">
        <is>
          <t>Cần quét Bio Fanpage</t>
        </is>
      </c>
      <c r="E591" s="53" t="inlineStr">
        <is>
          <t>12/10/2026 18:35:40</t>
        </is>
      </c>
      <c r="F591" s="53" t="inlineStr">
        <is>
          <t>12 giờ trước</t>
        </is>
      </c>
      <c r="G591" s="55" t="n">
        <v>0.5</v>
      </c>
      <c r="H591" s="56" t="n">
        <v>32</v>
      </c>
      <c r="I591" s="6" t="inlineStr">
        <is>
          <t>Pet Owner / Kênh cá nhân thú cưng (10đ)</t>
        </is>
      </c>
      <c r="J591" s="56" t="n">
        <v>10</v>
      </c>
      <c r="K591" s="6" t="inlineStr">
        <is>
          <t>French Bulldog</t>
        </is>
      </c>
      <c r="L591" s="56" t="n">
        <v>10</v>
      </c>
      <c r="M591" s="56" t="n">
        <v>0</v>
      </c>
      <c r="N591" s="6" t="inlineStr">
        <is>
          <t>Amazon link not found</t>
        </is>
      </c>
      <c r="O591" s="56">
        <f>IF(N591="Selling pet toys + Artificial grass/Pet toilets (TARGET)",15,IF(N591="Selling artificial grass/pet toilets (TARGET)",10,IF(N591="Selling pet toys",7,IF(N591="There's an Amazon link, but no target sales.",3,0))))</f>
        <v/>
      </c>
      <c r="P591" s="65">
        <f>H591+J591+L591+M591+O591</f>
        <v/>
      </c>
      <c r="Q591" s="66">
        <f>IF(OR(H591=0,P591&lt;30),"Tier D (Đóng băng)",IF(P591&gt;=85,"Tier S (Kim Cương: 85-100đ)",IF(P591&gt;=70,"Tier A (Vàng: 70-84đ)",IF(P591&gt;=61,"Tier B+ / Cấp A (Hot Lead: 61-69đ)",IF(P591&gt;=50,"Tier B (Bạc: 50-60đ)","Tier C (Đồng: 30-49đ)")))))</f>
        <v/>
      </c>
      <c r="R591" s="6" t="inlineStr">
        <is>
          <t>Khay vệ sinh trong nhà (Indoor Dog Potty) + Đồ chơi thú cưng lẻ</t>
        </is>
      </c>
      <c r="S591" s="6" t="inlineStr">
        <is>
          <t>Cấp B Tiềm năng: Tiếp cận tự động qua chuỗi Email Marketing + Chăm sóc bổ sung bằng Telesale</t>
        </is>
      </c>
    </row>
    <row r="592">
      <c r="A592" s="59" t="n">
        <v>2880</v>
      </c>
      <c r="B592" s="15" t="inlineStr">
        <is>
          <t>Shelley's pet care</t>
        </is>
      </c>
      <c r="C592" s="60" t="inlineStr">
        <is>
          <t>https://www.facebook.com/profile.php?id=100063792361738</t>
        </is>
      </c>
      <c r="D592" s="9" t="inlineStr">
        <is>
          <t>Cần quét Bio Fanpage</t>
        </is>
      </c>
      <c r="E592" s="59" t="inlineStr">
        <is>
          <t>12/10/2026 17:35:14</t>
        </is>
      </c>
      <c r="F592" s="59" t="inlineStr">
        <is>
          <t>12 giờ trước</t>
        </is>
      </c>
      <c r="G592" s="61" t="n">
        <v>0.5</v>
      </c>
      <c r="H592" s="62" t="n">
        <v>32</v>
      </c>
      <c r="I592" s="9" t="inlineStr">
        <is>
          <t>Pet Boarding / Huấn luyện K9 &amp; Dịch vụ (20-22đ)</t>
        </is>
      </c>
      <c r="J592" s="62" t="n">
        <v>20</v>
      </c>
      <c r="K592" s="9" t="inlineStr">
        <is>
          <t>Chưa rõ giống (Cần quét Bio)</t>
        </is>
      </c>
      <c r="L592" s="62" t="n">
        <v>0</v>
      </c>
      <c r="M592" s="62" t="n">
        <v>0</v>
      </c>
      <c r="N592" s="9" t="inlineStr">
        <is>
          <t>Amazon link not found</t>
        </is>
      </c>
      <c r="O592" s="62">
        <f>IF(N592="Selling pet toys + Artificial grass/Pet toilets (TARGET)",15,IF(N592="Selling artificial grass/pet toilets (TARGET)",10,IF(N592="Selling pet toys",7,IF(N592="There's an Amazon link, but no target sales.",3,0))))</f>
        <v/>
      </c>
      <c r="P592" s="67">
        <f>H592+J592+L592+M592+O592</f>
        <v/>
      </c>
      <c r="Q592" s="66">
        <f>IF(OR(H592=0,P592&lt;30),"Tier D (Đóng băng)",IF(P592&gt;=85,"Tier S (Kim Cương: 85-100đ)",IF(P592&gt;=70,"Tier A (Vàng: 70-84đ)",IF(P592&gt;=61,"Tier B+ / Cấp A (Hot Lead: 61-69đ)",IF(P592&gt;=50,"Tier B (Bạc: 50-60đ)","Tier C (Đồng: 30-49đ)")))))</f>
        <v/>
      </c>
      <c r="R592" s="9" t="inlineStr">
        <is>
          <t>Cỏ nhân tạo sân chơi/huấn luyện (Dog Turf) + Đồ chơi nhai chịu lực (KONG/Chew Toys)</t>
        </is>
      </c>
      <c r="S592" s="9" t="inlineStr">
        <is>
          <t>Cấp B Tiềm năng: Tiếp cận tự động qua chuỗi Email Marketing + Chăm sóc bổ sung bằng Telesale</t>
        </is>
      </c>
    </row>
    <row r="593">
      <c r="A593" s="53" t="n">
        <v>3451</v>
      </c>
      <c r="B593" s="12" t="inlineStr">
        <is>
          <t>Working-dog Agility</t>
        </is>
      </c>
      <c r="C593" s="54" t="inlineStr">
        <is>
          <t>https://www.facebook.com/workingdog.agility</t>
        </is>
      </c>
      <c r="D593" s="6" t="inlineStr">
        <is>
          <t>Cần quét Bio Fanpage</t>
        </is>
      </c>
      <c r="E593" s="53" t="inlineStr">
        <is>
          <t>12/10/2026 16:25:24</t>
        </is>
      </c>
      <c r="F593" s="53" t="inlineStr">
        <is>
          <t>14 giờ trước</t>
        </is>
      </c>
      <c r="G593" s="55" t="n">
        <v>0.58</v>
      </c>
      <c r="H593" s="56" t="n">
        <v>32</v>
      </c>
      <c r="I593" s="6" t="inlineStr">
        <is>
          <t>Pet Boarding / Huấn luyện K9 &amp; Dịch vụ (20-22đ)</t>
        </is>
      </c>
      <c r="J593" s="56" t="n">
        <v>20</v>
      </c>
      <c r="K593" s="6" t="inlineStr">
        <is>
          <t>Chưa rõ giống (Cần quét Bio)</t>
        </is>
      </c>
      <c r="L593" s="56" t="n">
        <v>0</v>
      </c>
      <c r="M593" s="56" t="n">
        <v>0</v>
      </c>
      <c r="N593" s="6" t="inlineStr">
        <is>
          <t>Amazon link not found</t>
        </is>
      </c>
      <c r="O593" s="56">
        <f>IF(N593="Selling pet toys + Artificial grass/Pet toilets (TARGET)",15,IF(N593="Selling artificial grass/pet toilets (TARGET)",10,IF(N593="Selling pet toys",7,IF(N593="There's an Amazon link, but no target sales.",3,0))))</f>
        <v/>
      </c>
      <c r="P593" s="65">
        <f>H593+J593+L593+M593+O593</f>
        <v/>
      </c>
      <c r="Q593" s="66">
        <f>IF(OR(H593=0,P593&lt;30),"Tier D (Đóng băng)",IF(P593&gt;=85,"Tier S (Kim Cương: 85-100đ)",IF(P593&gt;=70,"Tier A (Vàng: 70-84đ)",IF(P593&gt;=61,"Tier B+ / Cấp A (Hot Lead: 61-69đ)",IF(P593&gt;=50,"Tier B (Bạc: 50-60đ)","Tier C (Đồng: 30-49đ)")))))</f>
        <v/>
      </c>
      <c r="R593" s="6" t="inlineStr">
        <is>
          <t>Cỏ nhân tạo sân chơi/huấn luyện (Dog Turf) + Đồ chơi nhai chịu lực (KONG/Chew Toys)</t>
        </is>
      </c>
      <c r="S593" s="6" t="inlineStr">
        <is>
          <t>Cấp B Tiềm năng: Tiếp cận tự động qua chuỗi Email Marketing + Chăm sóc bổ sung bằng Telesale</t>
        </is>
      </c>
    </row>
    <row r="594">
      <c r="A594" s="59" t="n">
        <v>403</v>
      </c>
      <c r="B594" s="15" t="inlineStr">
        <is>
          <t>Amelia Steele - Dog Trainer</t>
        </is>
      </c>
      <c r="C594" s="60" t="inlineStr">
        <is>
          <t>https://www.facebook.com/ameliathedogtrainer</t>
        </is>
      </c>
      <c r="D594" s="9" t="inlineStr">
        <is>
          <t>Cần quét Bio Fanpage</t>
        </is>
      </c>
      <c r="E594" s="59" t="inlineStr">
        <is>
          <t>12/10/2026 16:13:11</t>
        </is>
      </c>
      <c r="F594" s="59" t="inlineStr">
        <is>
          <t>9 giờ trước</t>
        </is>
      </c>
      <c r="G594" s="61" t="n">
        <v>0.38</v>
      </c>
      <c r="H594" s="62" t="n">
        <v>32</v>
      </c>
      <c r="I594" s="9" t="inlineStr">
        <is>
          <t>Pet Boarding / Huấn luyện K9 &amp; Dịch vụ (20-22đ)</t>
        </is>
      </c>
      <c r="J594" s="62" t="n">
        <v>20</v>
      </c>
      <c r="K594" s="9" t="inlineStr">
        <is>
          <t>Chưa rõ giống (Cần quét Bio)</t>
        </is>
      </c>
      <c r="L594" s="62" t="n">
        <v>0</v>
      </c>
      <c r="M594" s="62" t="n">
        <v>0</v>
      </c>
      <c r="N594" s="9" t="inlineStr">
        <is>
          <t>Amazon link not found</t>
        </is>
      </c>
      <c r="O594" s="62">
        <f>IF(N594="Selling pet toys + Artificial grass/Pet toilets (TARGET)",15,IF(N594="Selling artificial grass/pet toilets (TARGET)",10,IF(N594="Selling pet toys",7,IF(N594="There's an Amazon link, but no target sales.",3,0))))</f>
        <v/>
      </c>
      <c r="P594" s="67">
        <f>H594+J594+L594+M594+O594</f>
        <v/>
      </c>
      <c r="Q594" s="66">
        <f>IF(OR(H594=0,P594&lt;30),"Tier D (Đóng băng)",IF(P594&gt;=85,"Tier S (Kim Cương: 85-100đ)",IF(P594&gt;=70,"Tier A (Vàng: 70-84đ)",IF(P594&gt;=61,"Tier B+ / Cấp A (Hot Lead: 61-69đ)",IF(P594&gt;=50,"Tier B (Bạc: 50-60đ)","Tier C (Đồng: 30-49đ)")))))</f>
        <v/>
      </c>
      <c r="R594" s="9" t="inlineStr">
        <is>
          <t>Cỏ nhân tạo sân chơi/huấn luyện (Dog Turf) + Đồ chơi nhai chịu lực (KONG/Chew Toys)</t>
        </is>
      </c>
      <c r="S594" s="9" t="inlineStr">
        <is>
          <t>Cấp B Tiềm năng: Tiếp cận tự động qua chuỗi Email Marketing + Chăm sóc bổ sung bằng Telesale</t>
        </is>
      </c>
    </row>
    <row r="595">
      <c r="A595" s="53" t="n">
        <v>3115</v>
      </c>
      <c r="B595" s="12" t="inlineStr">
        <is>
          <t>The Everyday Dog Trainer</t>
        </is>
      </c>
      <c r="C595" s="54" t="inlineStr">
        <is>
          <t>https://www.facebook.com/profile.php?id=100085589439015</t>
        </is>
      </c>
      <c r="D595" s="6" t="inlineStr">
        <is>
          <t>Cần quét Bio Fanpage</t>
        </is>
      </c>
      <c r="E595" s="53" t="inlineStr">
        <is>
          <t>12/10/2026 15:35:13</t>
        </is>
      </c>
      <c r="F595" s="53" t="inlineStr">
        <is>
          <t>14 giờ trước</t>
        </is>
      </c>
      <c r="G595" s="55" t="n">
        <v>0.58</v>
      </c>
      <c r="H595" s="56" t="n">
        <v>32</v>
      </c>
      <c r="I595" s="6" t="inlineStr">
        <is>
          <t>Pet Boarding / Huấn luyện K9 &amp; Dịch vụ (20-22đ)</t>
        </is>
      </c>
      <c r="J595" s="56" t="n">
        <v>20</v>
      </c>
      <c r="K595" s="6" t="inlineStr">
        <is>
          <t>Chưa rõ giống (Cần quét Bio)</t>
        </is>
      </c>
      <c r="L595" s="56" t="n">
        <v>0</v>
      </c>
      <c r="M595" s="56" t="n">
        <v>0</v>
      </c>
      <c r="N595" s="6" t="inlineStr">
        <is>
          <t>Amazon link not found</t>
        </is>
      </c>
      <c r="O595" s="56">
        <f>IF(N595="Selling pet toys + Artificial grass/Pet toilets (TARGET)",15,IF(N595="Selling artificial grass/pet toilets (TARGET)",10,IF(N595="Selling pet toys",7,IF(N595="There's an Amazon link, but no target sales.",3,0))))</f>
        <v/>
      </c>
      <c r="P595" s="65">
        <f>H595+J595+L595+M595+O595</f>
        <v/>
      </c>
      <c r="Q595" s="66">
        <f>IF(OR(H595=0,P595&lt;30),"Tier D (Đóng băng)",IF(P595&gt;=85,"Tier S (Kim Cương: 85-100đ)",IF(P595&gt;=70,"Tier A (Vàng: 70-84đ)",IF(P595&gt;=61,"Tier B+ / Cấp A (Hot Lead: 61-69đ)",IF(P595&gt;=50,"Tier B (Bạc: 50-60đ)","Tier C (Đồng: 30-49đ)")))))</f>
        <v/>
      </c>
      <c r="R595" s="6" t="inlineStr">
        <is>
          <t>Cỏ nhân tạo sân chơi/huấn luyện (Dog Turf) + Đồ chơi nhai chịu lực (KONG/Chew Toys)</t>
        </is>
      </c>
      <c r="S595" s="6" t="inlineStr">
        <is>
          <t>Cấp B Tiềm năng: Tiếp cận tự động qua chuỗi Email Marketing + Chăm sóc bổ sung bằng Telesale</t>
        </is>
      </c>
    </row>
    <row r="596">
      <c r="A596" s="59" t="n">
        <v>562</v>
      </c>
      <c r="B596" s="15" t="inlineStr">
        <is>
          <t>Australian Dog Grooming School</t>
        </is>
      </c>
      <c r="C596" s="60" t="inlineStr">
        <is>
          <t>https://www.facebook.com/australiandoggroomingschool</t>
        </is>
      </c>
      <c r="D596" s="9" t="inlineStr">
        <is>
          <t>Cần quét Bio Fanpage</t>
        </is>
      </c>
      <c r="E596" s="59" t="inlineStr">
        <is>
          <t>12/10/2026 15:34:25</t>
        </is>
      </c>
      <c r="F596" s="59" t="inlineStr">
        <is>
          <t>10 giờ trước</t>
        </is>
      </c>
      <c r="G596" s="61" t="n">
        <v>0.42</v>
      </c>
      <c r="H596" s="62" t="n">
        <v>32</v>
      </c>
      <c r="I596" s="9" t="inlineStr">
        <is>
          <t>Pet Boarding / Huấn luyện K9 &amp; Dịch vụ (20-22đ)</t>
        </is>
      </c>
      <c r="J596" s="62" t="n">
        <v>20</v>
      </c>
      <c r="K596" s="9" t="inlineStr">
        <is>
          <t>Chưa rõ giống (Cần quét Bio)</t>
        </is>
      </c>
      <c r="L596" s="62" t="n">
        <v>0</v>
      </c>
      <c r="M596" s="62" t="n">
        <v>0</v>
      </c>
      <c r="N596" s="9" t="inlineStr">
        <is>
          <t>Amazon link not found</t>
        </is>
      </c>
      <c r="O596" s="62">
        <f>IF(N596="Selling pet toys + Artificial grass/Pet toilets (TARGET)",15,IF(N596="Selling artificial grass/pet toilets (TARGET)",10,IF(N596="Selling pet toys",7,IF(N596="There's an Amazon link, but no target sales.",3,0))))</f>
        <v/>
      </c>
      <c r="P596" s="67">
        <f>H596+J596+L596+M596+O596</f>
        <v/>
      </c>
      <c r="Q596" s="66">
        <f>IF(OR(H596=0,P596&lt;30),"Tier D (Đóng băng)",IF(P596&gt;=85,"Tier S (Kim Cương: 85-100đ)",IF(P596&gt;=70,"Tier A (Vàng: 70-84đ)",IF(P596&gt;=61,"Tier B+ / Cấp A (Hot Lead: 61-69đ)",IF(P596&gt;=50,"Tier B (Bạc: 50-60đ)","Tier C (Đồng: 30-49đ)")))))</f>
        <v/>
      </c>
      <c r="R596" s="9" t="inlineStr">
        <is>
          <t>Cỏ nhân tạo sân chơi/huấn luyện (Dog Turf) + Đồ chơi nhai chịu lực (KONG/Chew Toys)</t>
        </is>
      </c>
      <c r="S596" s="9" t="inlineStr">
        <is>
          <t>Cấp B Tiềm năng: Tiếp cận tự động qua chuỗi Email Marketing + Chăm sóc bổ sung bằng Telesale</t>
        </is>
      </c>
    </row>
    <row r="597">
      <c r="A597" s="53" t="n">
        <v>2828</v>
      </c>
      <c r="B597" s="12" t="inlineStr">
        <is>
          <t>Sarah Lufe Dog Behaviour Modification</t>
        </is>
      </c>
      <c r="C597" s="54" t="inlineStr">
        <is>
          <t>https://www.facebook.com/profile.php?id=100091919752419</t>
        </is>
      </c>
      <c r="D597" s="6" t="inlineStr">
        <is>
          <t>Cần quét Bio Fanpage</t>
        </is>
      </c>
      <c r="E597" s="53" t="inlineStr">
        <is>
          <t>12/10/2026 15:02:56</t>
        </is>
      </c>
      <c r="F597" s="53" t="inlineStr">
        <is>
          <t>14 giờ trước</t>
        </is>
      </c>
      <c r="G597" s="55" t="n">
        <v>0.58</v>
      </c>
      <c r="H597" s="56" t="n">
        <v>32</v>
      </c>
      <c r="I597" s="6" t="inlineStr">
        <is>
          <t>Pet Boarding / Huấn luyện K9 &amp; Dịch vụ (20-22đ)</t>
        </is>
      </c>
      <c r="J597" s="56" t="n">
        <v>20</v>
      </c>
      <c r="K597" s="6" t="inlineStr">
        <is>
          <t>Chưa rõ giống (Cần quét Bio)</t>
        </is>
      </c>
      <c r="L597" s="56" t="n">
        <v>0</v>
      </c>
      <c r="M597" s="56" t="n">
        <v>0</v>
      </c>
      <c r="N597" s="6" t="inlineStr">
        <is>
          <t>Amazon link not found</t>
        </is>
      </c>
      <c r="O597" s="56">
        <f>IF(N597="Selling pet toys + Artificial grass/Pet toilets (TARGET)",15,IF(N597="Selling artificial grass/pet toilets (TARGET)",10,IF(N597="Selling pet toys",7,IF(N597="There's an Amazon link, but no target sales.",3,0))))</f>
        <v/>
      </c>
      <c r="P597" s="65">
        <f>H597+J597+L597+M597+O597</f>
        <v/>
      </c>
      <c r="Q597" s="66">
        <f>IF(OR(H597=0,P597&lt;30),"Tier D (Đóng băng)",IF(P597&gt;=85,"Tier S (Kim Cương: 85-100đ)",IF(P597&gt;=70,"Tier A (Vàng: 70-84đ)",IF(P597&gt;=61,"Tier B+ / Cấp A (Hot Lead: 61-69đ)",IF(P597&gt;=50,"Tier B (Bạc: 50-60đ)","Tier C (Đồng: 30-49đ)")))))</f>
        <v/>
      </c>
      <c r="R597" s="6" t="inlineStr">
        <is>
          <t>Cỏ nhân tạo sân chơi/huấn luyện (Dog Turf) + Đồ chơi nhai chịu lực (KONG/Chew Toys)</t>
        </is>
      </c>
      <c r="S597" s="6" t="inlineStr">
        <is>
          <t>Cấp B Tiềm năng: Tiếp cận tự động qua chuỗi Email Marketing + Chăm sóc bổ sung bằng Telesale</t>
        </is>
      </c>
    </row>
    <row r="598">
      <c r="A598" s="59" t="n">
        <v>1447</v>
      </c>
      <c r="B598" s="15" t="inlineStr">
        <is>
          <t>Frenchie.baby</t>
        </is>
      </c>
      <c r="C598" s="60" t="inlineStr">
        <is>
          <t>https://www.facebook.com/profile.php?id=100091780843168</t>
        </is>
      </c>
      <c r="D598" s="9" t="inlineStr">
        <is>
          <t>Cần quét Bio Fanpage</t>
        </is>
      </c>
      <c r="E598" s="59" t="inlineStr">
        <is>
          <t>12/10/2026 13:11:42</t>
        </is>
      </c>
      <c r="F598" s="59" t="inlineStr">
        <is>
          <t>14 giờ trước</t>
        </is>
      </c>
      <c r="G598" s="61" t="n">
        <v>0.58</v>
      </c>
      <c r="H598" s="62" t="n">
        <v>32</v>
      </c>
      <c r="I598" s="9" t="inlineStr">
        <is>
          <t>Pet Owner / Kênh cá nhân thú cưng (10đ)</t>
        </is>
      </c>
      <c r="J598" s="62" t="n">
        <v>10</v>
      </c>
      <c r="K598" s="9" t="inlineStr">
        <is>
          <t>French Bulldog</t>
        </is>
      </c>
      <c r="L598" s="62" t="n">
        <v>10</v>
      </c>
      <c r="M598" s="62" t="n">
        <v>0</v>
      </c>
      <c r="N598" s="9" t="inlineStr">
        <is>
          <t>Amazon link not found</t>
        </is>
      </c>
      <c r="O598" s="62">
        <f>IF(N598="Selling pet toys + Artificial grass/Pet toilets (TARGET)",15,IF(N598="Selling artificial grass/pet toilets (TARGET)",10,IF(N598="Selling pet toys",7,IF(N598="There's an Amazon link, but no target sales.",3,0))))</f>
        <v/>
      </c>
      <c r="P598" s="67">
        <f>H598+J598+L598+M598+O598</f>
        <v/>
      </c>
      <c r="Q598" s="66">
        <f>IF(OR(H598=0,P598&lt;30),"Tier D (Đóng băng)",IF(P598&gt;=85,"Tier S (Kim Cương: 85-100đ)",IF(P598&gt;=70,"Tier A (Vàng: 70-84đ)",IF(P598&gt;=61,"Tier B+ / Cấp A (Hot Lead: 61-69đ)",IF(P598&gt;=50,"Tier B (Bạc: 50-60đ)","Tier C (Đồng: 30-49đ)")))))</f>
        <v/>
      </c>
      <c r="R598" s="9" t="inlineStr">
        <is>
          <t>Khay vệ sinh trong nhà (Indoor Dog Potty) + Đồ chơi thú cưng lẻ</t>
        </is>
      </c>
      <c r="S598" s="9" t="inlineStr">
        <is>
          <t>Cấp B Tiềm năng: Tiếp cận tự động qua chuỗi Email Marketing + Chăm sóc bổ sung bằng Telesale</t>
        </is>
      </c>
    </row>
    <row r="599">
      <c r="A599" s="53" t="n">
        <v>122</v>
      </c>
      <c r="B599" s="12" t="inlineStr">
        <is>
          <t>Bulldog Art By Daria</t>
        </is>
      </c>
      <c r="C599" s="54" t="inlineStr">
        <is>
          <t>https://www.facebook.com/ryzhkovadaria</t>
        </is>
      </c>
      <c r="D599" s="6" t="inlineStr">
        <is>
          <t>Cần quét Bio Fanpage</t>
        </is>
      </c>
      <c r="E599" s="53" t="inlineStr">
        <is>
          <t>12/10/2026 12:08:13</t>
        </is>
      </c>
      <c r="F599" s="53" t="inlineStr">
        <is>
          <t>12 giờ trước</t>
        </is>
      </c>
      <c r="G599" s="55" t="n">
        <v>0.5</v>
      </c>
      <c r="H599" s="56" t="n">
        <v>32</v>
      </c>
      <c r="I599" s="6" t="inlineStr">
        <is>
          <t>Pet Owner / Kênh cá nhân thú cưng (10đ)</t>
        </is>
      </c>
      <c r="J599" s="56" t="n">
        <v>10</v>
      </c>
      <c r="K599" s="6" t="inlineStr">
        <is>
          <t>English Bulldog</t>
        </is>
      </c>
      <c r="L599" s="56" t="n">
        <v>10</v>
      </c>
      <c r="M599" s="56" t="n">
        <v>0</v>
      </c>
      <c r="N599" s="6" t="inlineStr">
        <is>
          <t>Amazon link not found</t>
        </is>
      </c>
      <c r="O599" s="56">
        <f>IF(N599="Selling pet toys + Artificial grass/Pet toilets (TARGET)",15,IF(N599="Selling artificial grass/pet toilets (TARGET)",10,IF(N599="Selling pet toys",7,IF(N599="There's an Amazon link, but no target sales.",3,0))))</f>
        <v/>
      </c>
      <c r="P599" s="65">
        <f>H599+J599+L599+M599+O599</f>
        <v/>
      </c>
      <c r="Q599" s="66">
        <f>IF(OR(H599=0,P599&lt;30),"Tier D (Đóng băng)",IF(P599&gt;=85,"Tier S (Kim Cương: 85-100đ)",IF(P599&gt;=70,"Tier A (Vàng: 70-84đ)",IF(P599&gt;=61,"Tier B+ / Cấp A (Hot Lead: 61-69đ)",IF(P599&gt;=50,"Tier B (Bạc: 50-60đ)","Tier C (Đồng: 30-49đ)")))))</f>
        <v/>
      </c>
      <c r="R599" s="6" t="inlineStr">
        <is>
          <t>Khay vệ sinh trong nhà (Indoor Dog Potty) + Đồ chơi thú cưng lẻ</t>
        </is>
      </c>
      <c r="S599" s="6" t="inlineStr">
        <is>
          <t>Cấp B Tiềm năng: Tiếp cận tự động qua chuỗi Email Marketing + Chăm sóc bổ sung bằng Telesale</t>
        </is>
      </c>
    </row>
    <row r="600">
      <c r="A600" s="59" t="n">
        <v>376</v>
      </c>
      <c r="B600" s="15" t="inlineStr">
        <is>
          <t>All Dogs Sports Park</t>
        </is>
      </c>
      <c r="C600" s="60" t="inlineStr">
        <is>
          <t>https://www.facebook.com/alldogssportspark</t>
        </is>
      </c>
      <c r="D600" s="9" t="inlineStr">
        <is>
          <t>Cần quét Bio Fanpage</t>
        </is>
      </c>
      <c r="E600" s="59" t="inlineStr">
        <is>
          <t>12/10/2026 10:49:30</t>
        </is>
      </c>
      <c r="F600" s="59" t="inlineStr">
        <is>
          <t>14 giờ trước</t>
        </is>
      </c>
      <c r="G600" s="61" t="n">
        <v>0.58</v>
      </c>
      <c r="H600" s="62" t="n">
        <v>32</v>
      </c>
      <c r="I600" s="9" t="inlineStr">
        <is>
          <t>Pet Boarding / Huấn luyện K9 &amp; Dịch vụ (20-22đ)</t>
        </is>
      </c>
      <c r="J600" s="62" t="n">
        <v>20</v>
      </c>
      <c r="K600" s="9" t="inlineStr">
        <is>
          <t>Chưa rõ giống (Cần quét Bio)</t>
        </is>
      </c>
      <c r="L600" s="62" t="n">
        <v>0</v>
      </c>
      <c r="M600" s="62" t="n">
        <v>0</v>
      </c>
      <c r="N600" s="9" t="inlineStr">
        <is>
          <t>Amazon link not found</t>
        </is>
      </c>
      <c r="O600" s="62">
        <f>IF(N600="Selling pet toys + Artificial grass/Pet toilets (TARGET)",15,IF(N600="Selling artificial grass/pet toilets (TARGET)",10,IF(N600="Selling pet toys",7,IF(N600="There's an Amazon link, but no target sales.",3,0))))</f>
        <v/>
      </c>
      <c r="P600" s="67">
        <f>H600+J600+L600+M600+O600</f>
        <v/>
      </c>
      <c r="Q600" s="66">
        <f>IF(OR(H600=0,P600&lt;30),"Tier D (Đóng băng)",IF(P600&gt;=85,"Tier S (Kim Cương: 85-100đ)",IF(P600&gt;=70,"Tier A (Vàng: 70-84đ)",IF(P600&gt;=61,"Tier B+ / Cấp A (Hot Lead: 61-69đ)",IF(P600&gt;=50,"Tier B (Bạc: 50-60đ)","Tier C (Đồng: 30-49đ)")))))</f>
        <v/>
      </c>
      <c r="R600" s="9" t="inlineStr">
        <is>
          <t>Cỏ nhân tạo sân chơi/huấn luyện (Dog Turf) + Đồ chơi nhai chịu lực (KONG/Chew Toys)</t>
        </is>
      </c>
      <c r="S600" s="9" t="inlineStr">
        <is>
          <t>Cấp B Tiềm năng: Tiếp cận tự động qua chuỗi Email Marketing + Chăm sóc bổ sung bằng Telesale</t>
        </is>
      </c>
    </row>
    <row r="601">
      <c r="A601" s="53" t="n">
        <v>2416</v>
      </c>
      <c r="B601" s="12" t="inlineStr">
        <is>
          <t>Paws with Claws Pet Spa &amp; Resort</t>
        </is>
      </c>
      <c r="C601" s="54" t="inlineStr">
        <is>
          <t>https://www.facebook.com/PawsWClaws</t>
        </is>
      </c>
      <c r="D601" s="6" t="inlineStr">
        <is>
          <t>Cần quét Bio Fanpage</t>
        </is>
      </c>
      <c r="E601" s="53" t="inlineStr">
        <is>
          <t>12/10/2026 10:38:51</t>
        </is>
      </c>
      <c r="F601" s="53" t="inlineStr">
        <is>
          <t>18 giờ trước</t>
        </is>
      </c>
      <c r="G601" s="55" t="n">
        <v>0.75</v>
      </c>
      <c r="H601" s="56" t="n">
        <v>32</v>
      </c>
      <c r="I601" s="6" t="inlineStr">
        <is>
          <t>Pet Boarding / Huấn luyện K9 &amp; Dịch vụ (20-22đ)</t>
        </is>
      </c>
      <c r="J601" s="56" t="n">
        <v>20</v>
      </c>
      <c r="K601" s="6" t="inlineStr">
        <is>
          <t>Chưa rõ giống (Cần quét Bio)</t>
        </is>
      </c>
      <c r="L601" s="56" t="n">
        <v>0</v>
      </c>
      <c r="M601" s="56" t="n">
        <v>0</v>
      </c>
      <c r="N601" s="6" t="inlineStr">
        <is>
          <t>Amazon link not found</t>
        </is>
      </c>
      <c r="O601" s="56">
        <f>IF(N601="Selling pet toys + Artificial grass/Pet toilets (TARGET)",15,IF(N601="Selling artificial grass/pet toilets (TARGET)",10,IF(N601="Selling pet toys",7,IF(N601="There's an Amazon link, but no target sales.",3,0))))</f>
        <v/>
      </c>
      <c r="P601" s="65">
        <f>H601+J601+L601+M601+O601</f>
        <v/>
      </c>
      <c r="Q601" s="66">
        <f>IF(OR(H601=0,P601&lt;30),"Tier D (Đóng băng)",IF(P601&gt;=85,"Tier S (Kim Cương: 85-100đ)",IF(P601&gt;=70,"Tier A (Vàng: 70-84đ)",IF(P601&gt;=61,"Tier B+ / Cấp A (Hot Lead: 61-69đ)",IF(P601&gt;=50,"Tier B (Bạc: 50-60đ)","Tier C (Đồng: 30-49đ)")))))</f>
        <v/>
      </c>
      <c r="R601" s="6" t="inlineStr">
        <is>
          <t>Cỏ nhân tạo sân chơi/huấn luyện (Dog Turf) + Đồ chơi nhai chịu lực (KONG/Chew Toys)</t>
        </is>
      </c>
      <c r="S601" s="6" t="inlineStr">
        <is>
          <t>Cấp B Tiềm năng: Tiếp cận tự động qua chuỗi Email Marketing + Chăm sóc bổ sung bằng Telesale</t>
        </is>
      </c>
    </row>
    <row r="602">
      <c r="A602" s="59" t="n">
        <v>405</v>
      </c>
      <c r="B602" s="15" t="inlineStr">
        <is>
          <t>America's Sport Dogs</t>
        </is>
      </c>
      <c r="C602" s="60" t="inlineStr">
        <is>
          <t>https://www.facebook.com/americassportdogs</t>
        </is>
      </c>
      <c r="D602" s="9" t="inlineStr">
        <is>
          <t>Cần quét Bio Fanpage</t>
        </is>
      </c>
      <c r="E602" s="59" t="inlineStr">
        <is>
          <t>12/10/2026 08:36:26</t>
        </is>
      </c>
      <c r="F602" s="59" t="inlineStr">
        <is>
          <t>17 giờ trước</t>
        </is>
      </c>
      <c r="G602" s="61" t="n">
        <v>0.71</v>
      </c>
      <c r="H602" s="62" t="n">
        <v>32</v>
      </c>
      <c r="I602" s="9" t="inlineStr">
        <is>
          <t>Pet Boarding / Huấn luyện K9 &amp; Dịch vụ (20-22đ)</t>
        </is>
      </c>
      <c r="J602" s="62" t="n">
        <v>20</v>
      </c>
      <c r="K602" s="9" t="inlineStr">
        <is>
          <t>Chưa rõ giống (Cần quét Bio)</t>
        </is>
      </c>
      <c r="L602" s="62" t="n">
        <v>0</v>
      </c>
      <c r="M602" s="62" t="n">
        <v>0</v>
      </c>
      <c r="N602" s="9" t="inlineStr">
        <is>
          <t>Amazon link not found</t>
        </is>
      </c>
      <c r="O602" s="62">
        <f>IF(N602="Selling pet toys + Artificial grass/Pet toilets (TARGET)",15,IF(N602="Selling artificial grass/pet toilets (TARGET)",10,IF(N602="Selling pet toys",7,IF(N602="There's an Amazon link, but no target sales.",3,0))))</f>
        <v/>
      </c>
      <c r="P602" s="67">
        <f>H602+J602+L602+M602+O602</f>
        <v/>
      </c>
      <c r="Q602" s="66">
        <f>IF(OR(H602=0,P602&lt;30),"Tier D (Đóng băng)",IF(P602&gt;=85,"Tier S (Kim Cương: 85-100đ)",IF(P602&gt;=70,"Tier A (Vàng: 70-84đ)",IF(P602&gt;=61,"Tier B+ / Cấp A (Hot Lead: 61-69đ)",IF(P602&gt;=50,"Tier B (Bạc: 50-60đ)","Tier C (Đồng: 30-49đ)")))))</f>
        <v/>
      </c>
      <c r="R602" s="9" t="inlineStr">
        <is>
          <t>Cỏ nhân tạo sân chơi/huấn luyện (Dog Turf) + Đồ chơi nhai chịu lực (KONG/Chew Toys)</t>
        </is>
      </c>
      <c r="S602" s="9" t="inlineStr">
        <is>
          <t>Cấp B Tiềm năng: Tiếp cận tự động qua chuỗi Email Marketing + Chăm sóc bổ sung bằng Telesale</t>
        </is>
      </c>
    </row>
    <row r="603">
      <c r="A603" s="53" t="n">
        <v>814</v>
      </c>
      <c r="B603" s="12" t="inlineStr">
        <is>
          <t>Camo Dog Trainer</t>
        </is>
      </c>
      <c r="C603" s="54" t="inlineStr">
        <is>
          <t>https://www.facebook.com/profile.php?id=61556077353700</t>
        </is>
      </c>
      <c r="D603" s="6" t="inlineStr">
        <is>
          <t>Cần quét Bio Fanpage</t>
        </is>
      </c>
      <c r="E603" s="53" t="inlineStr">
        <is>
          <t>12/10/2026 05:00:30</t>
        </is>
      </c>
      <c r="F603" s="53" t="inlineStr">
        <is>
          <t>21 giờ trước</t>
        </is>
      </c>
      <c r="G603" s="55" t="n">
        <v>0.88</v>
      </c>
      <c r="H603" s="56" t="n">
        <v>32</v>
      </c>
      <c r="I603" s="6" t="inlineStr">
        <is>
          <t>Pet Boarding / Huấn luyện K9 &amp; Dịch vụ (20-22đ)</t>
        </is>
      </c>
      <c r="J603" s="56" t="n">
        <v>20</v>
      </c>
      <c r="K603" s="6" t="inlineStr">
        <is>
          <t>Chưa rõ giống (Cần quét Bio)</t>
        </is>
      </c>
      <c r="L603" s="56" t="n">
        <v>0</v>
      </c>
      <c r="M603" s="56" t="n">
        <v>0</v>
      </c>
      <c r="N603" s="6" t="inlineStr">
        <is>
          <t>Amazon link not found</t>
        </is>
      </c>
      <c r="O603" s="56">
        <f>IF(N603="Selling pet toys + Artificial grass/Pet toilets (TARGET)",15,IF(N603="Selling artificial grass/pet toilets (TARGET)",10,IF(N603="Selling pet toys",7,IF(N603="There's an Amazon link, but no target sales.",3,0))))</f>
        <v/>
      </c>
      <c r="P603" s="65">
        <f>H603+J603+L603+M603+O603</f>
        <v/>
      </c>
      <c r="Q603" s="66">
        <f>IF(OR(H603=0,P603&lt;30),"Tier D (Đóng băng)",IF(P603&gt;=85,"Tier S (Kim Cương: 85-100đ)",IF(P603&gt;=70,"Tier A (Vàng: 70-84đ)",IF(P603&gt;=61,"Tier B+ / Cấp A (Hot Lead: 61-69đ)",IF(P603&gt;=50,"Tier B (Bạc: 50-60đ)","Tier C (Đồng: 30-49đ)")))))</f>
        <v/>
      </c>
      <c r="R603" s="6" t="inlineStr">
        <is>
          <t>Cỏ nhân tạo sân chơi/huấn luyện (Dog Turf) + Đồ chơi nhai chịu lực (KONG/Chew Toys)</t>
        </is>
      </c>
      <c r="S603" s="6" t="inlineStr">
        <is>
          <t>Cấp B Tiềm năng: Tiếp cận tự động qua chuỗi Email Marketing + Chăm sóc bổ sung bằng Telesale</t>
        </is>
      </c>
    </row>
    <row r="604">
      <c r="A604" s="59" t="n">
        <v>2602</v>
      </c>
      <c r="B604" s="15" t="inlineStr">
        <is>
          <t>Positive K9 LLC Training Center</t>
        </is>
      </c>
      <c r="C604" s="60" t="inlineStr">
        <is>
          <t>https://www.facebook.com/positivek9trainingcenter</t>
        </is>
      </c>
      <c r="D604" s="9" t="inlineStr">
        <is>
          <t>Cần quét Bio Fanpage</t>
        </is>
      </c>
      <c r="E604" s="59" t="inlineStr">
        <is>
          <t>29/09/2026 20:46:02</t>
        </is>
      </c>
      <c r="F604" s="59" t="inlineStr">
        <is>
          <t>1 tuần trước</t>
        </is>
      </c>
      <c r="G604" s="61" t="n">
        <v>7</v>
      </c>
      <c r="H604" s="62" t="n">
        <v>20</v>
      </c>
      <c r="I604" s="9" t="inlineStr">
        <is>
          <t>Pet Boarding / Huấn luyện K9 &amp; Dịch vụ (20-22đ)</t>
        </is>
      </c>
      <c r="J604" s="62" t="n">
        <v>22</v>
      </c>
      <c r="K604" s="9" t="inlineStr">
        <is>
          <t>Chưa rõ giống (Cần quét Bio)</t>
        </is>
      </c>
      <c r="L604" s="62" t="n">
        <v>0</v>
      </c>
      <c r="M604" s="62" t="n">
        <v>10</v>
      </c>
      <c r="N604" s="9" t="inlineStr">
        <is>
          <t>Amazon link not found</t>
        </is>
      </c>
      <c r="O604" s="62">
        <f>IF(N604="Selling pet toys + Artificial grass/Pet toilets (TARGET)",15,IF(N604="Selling artificial grass/pet toilets (TARGET)",10,IF(N604="Selling pet toys",7,IF(N604="There's an Amazon link, but no target sales.",3,0))))</f>
        <v/>
      </c>
      <c r="P604" s="67">
        <f>H604+J604+L604+M604+O604</f>
        <v/>
      </c>
      <c r="Q604" s="66">
        <f>IF(OR(H604=0,P604&lt;30),"Tier D (Đóng băng)",IF(P604&gt;=85,"Tier S (Kim Cương: 85-100đ)",IF(P604&gt;=70,"Tier A (Vàng: 70-84đ)",IF(P604&gt;=61,"Tier B+ / Cấp A (Hot Lead: 61-69đ)",IF(P604&gt;=50,"Tier B (Bạc: 50-60đ)","Tier C (Đồng: 30-49đ)")))))</f>
        <v/>
      </c>
      <c r="R604" s="9" t="inlineStr">
        <is>
          <t>Cỏ nhân tạo sân chơi/huấn luyện (Dog Turf) + Đồ chơi nhai chịu lực (KONG/Chew Toys)</t>
        </is>
      </c>
      <c r="S604" s="9" t="inlineStr">
        <is>
          <t>Cấp B Tiềm năng: Tiếp cận tự động qua chuỗi Email Marketing + Chăm sóc bổ sung bằng Telesale</t>
        </is>
      </c>
    </row>
    <row r="605">
      <c r="A605" s="53" t="n">
        <v>2984</v>
      </c>
      <c r="B605" s="12" t="inlineStr">
        <is>
          <t>St Cloud's Rescue</t>
        </is>
      </c>
      <c r="C605" s="54" t="inlineStr">
        <is>
          <t>https://www.facebook.com/www.stcloudsrescue.org</t>
        </is>
      </c>
      <c r="D605" s="6" t="inlineStr">
        <is>
          <t>Cần quét Bio Fanpage</t>
        </is>
      </c>
      <c r="E605" s="53" t="inlineStr">
        <is>
          <t>12/10/2026 22:45:52</t>
        </is>
      </c>
      <c r="F605" s="53" t="inlineStr">
        <is>
          <t>7 giờ trước</t>
        </is>
      </c>
      <c r="G605" s="55" t="n">
        <v>0.29</v>
      </c>
      <c r="H605" s="56" t="n">
        <v>32</v>
      </c>
      <c r="I605" s="6" t="inlineStr">
        <is>
          <t>Pet Rescue / Trạm cứu trợ (14-16đ)</t>
        </is>
      </c>
      <c r="J605" s="56" t="n">
        <v>14</v>
      </c>
      <c r="K605" s="6" t="inlineStr">
        <is>
          <t>Chưa rõ giống (Cần quét Bio)</t>
        </is>
      </c>
      <c r="L605" s="56" t="n">
        <v>0</v>
      </c>
      <c r="M605" s="56" t="n">
        <v>5</v>
      </c>
      <c r="N605" s="6" t="inlineStr">
        <is>
          <t>Amazon link not found</t>
        </is>
      </c>
      <c r="O605" s="56">
        <f>IF(N605="Selling pet toys + Artificial grass/Pet toilets (TARGET)",15,IF(N605="Selling artificial grass/pet toilets (TARGET)",10,IF(N605="Selling pet toys",7,IF(N605="There's an Amazon link, but no target sales.",3,0))))</f>
        <v/>
      </c>
      <c r="P605" s="65">
        <f>H605+J605+L605+M605+O605</f>
        <v/>
      </c>
      <c r="Q605" s="66">
        <f>IF(OR(H605=0,P605&lt;30),"Tier D (Đóng băng)",IF(P605&gt;=85,"Tier S (Kim Cương: 85-100đ)",IF(P605&gt;=70,"Tier A (Vàng: 70-84đ)",IF(P605&gt;=61,"Tier B+ / Cấp A (Hot Lead: 61-69đ)",IF(P605&gt;=50,"Tier B (Bạc: 50-60đ)","Tier C (Đồng: 30-49đ)")))))</f>
        <v/>
      </c>
      <c r="R605" s="6" t="inlineStr">
        <is>
          <t>Nhà vệ sinh &amp; Tã lót (Potty Tray / Pee Pads) + Cỏ nhân tạo lót chuồng</t>
        </is>
      </c>
      <c r="S605" s="6" t="inlineStr">
        <is>
          <t>Cấp B Tiềm năng: Tiếp cận tự động qua chuỗi Email Marketing + Chăm sóc bổ sung bằng Telesale</t>
        </is>
      </c>
    </row>
    <row r="606">
      <c r="A606" s="59" t="n">
        <v>3140</v>
      </c>
      <c r="B606" s="15" t="inlineStr">
        <is>
          <t>The Lucky Puppy Rescue</t>
        </is>
      </c>
      <c r="C606" s="60" t="inlineStr">
        <is>
          <t>https://www.facebook.com/TheLuckyPuppy</t>
        </is>
      </c>
      <c r="D606" s="9" t="inlineStr">
        <is>
          <t>Cần quét Bio Fanpage</t>
        </is>
      </c>
      <c r="E606" s="59" t="inlineStr">
        <is>
          <t>12/10/2026 19:58:50</t>
        </is>
      </c>
      <c r="F606" s="59" t="inlineStr">
        <is>
          <t>10 giờ trước</t>
        </is>
      </c>
      <c r="G606" s="61" t="n">
        <v>0.42</v>
      </c>
      <c r="H606" s="62" t="n">
        <v>32</v>
      </c>
      <c r="I606" s="9" t="inlineStr">
        <is>
          <t>Pet Rescue / Trạm cứu trợ (14-16đ)</t>
        </is>
      </c>
      <c r="J606" s="62" t="n">
        <v>14</v>
      </c>
      <c r="K606" s="9" t="inlineStr">
        <is>
          <t>Chưa rõ giống (Cần quét Bio)</t>
        </is>
      </c>
      <c r="L606" s="62" t="n">
        <v>0</v>
      </c>
      <c r="M606" s="62" t="n">
        <v>5</v>
      </c>
      <c r="N606" s="9" t="inlineStr">
        <is>
          <t>Amazon link not found</t>
        </is>
      </c>
      <c r="O606" s="62">
        <f>IF(N606="Selling pet toys + Artificial grass/Pet toilets (TARGET)",15,IF(N606="Selling artificial grass/pet toilets (TARGET)",10,IF(N606="Selling pet toys",7,IF(N606="There's an Amazon link, but no target sales.",3,0))))</f>
        <v/>
      </c>
      <c r="P606" s="67">
        <f>H606+J606+L606+M606+O606</f>
        <v/>
      </c>
      <c r="Q606" s="66">
        <f>IF(OR(H606=0,P606&lt;30),"Tier D (Đóng băng)",IF(P606&gt;=85,"Tier S (Kim Cương: 85-100đ)",IF(P606&gt;=70,"Tier A (Vàng: 70-84đ)",IF(P606&gt;=61,"Tier B+ / Cấp A (Hot Lead: 61-69đ)",IF(P606&gt;=50,"Tier B (Bạc: 50-60đ)","Tier C (Đồng: 30-49đ)")))))</f>
        <v/>
      </c>
      <c r="R606" s="9" t="inlineStr">
        <is>
          <t>Nhà vệ sinh &amp; Tã lót (Potty Tray / Pee Pads) + Cỏ nhân tạo lót chuồng</t>
        </is>
      </c>
      <c r="S606" s="9" t="inlineStr">
        <is>
          <t>Cấp B Tiềm năng: Tiếp cận tự động qua chuỗi Email Marketing + Chăm sóc bổ sung bằng Telesale</t>
        </is>
      </c>
    </row>
    <row r="607">
      <c r="A607" s="53" t="n">
        <v>296</v>
      </c>
      <c r="B607" s="12" t="inlineStr">
        <is>
          <t>"Paws for Thought" Rescue</t>
        </is>
      </c>
      <c r="C607" s="54" t="inlineStr">
        <is>
          <t>https://www.facebook.com/www.pawsforthoughtrescue.com.au</t>
        </is>
      </c>
      <c r="D607" s="6" t="inlineStr">
        <is>
          <t>Cần quét Bio Fanpage</t>
        </is>
      </c>
      <c r="E607" s="53" t="inlineStr">
        <is>
          <t>12/10/2026 17:17:59</t>
        </is>
      </c>
      <c r="F607" s="53" t="inlineStr">
        <is>
          <t>8 giờ trước</t>
        </is>
      </c>
      <c r="G607" s="55" t="n">
        <v>0.33</v>
      </c>
      <c r="H607" s="56" t="n">
        <v>32</v>
      </c>
      <c r="I607" s="6" t="inlineStr">
        <is>
          <t>Pet Rescue / Trạm cứu trợ (14-16đ)</t>
        </is>
      </c>
      <c r="J607" s="56" t="n">
        <v>14</v>
      </c>
      <c r="K607" s="6" t="inlineStr">
        <is>
          <t>Chưa rõ giống (Cần quét Bio)</t>
        </is>
      </c>
      <c r="L607" s="56" t="n">
        <v>0</v>
      </c>
      <c r="M607" s="56" t="n">
        <v>5</v>
      </c>
      <c r="N607" s="6" t="inlineStr">
        <is>
          <t>Amazon link not found</t>
        </is>
      </c>
      <c r="O607" s="56">
        <f>IF(N607="Selling pet toys + Artificial grass/Pet toilets (TARGET)",15,IF(N607="Selling artificial grass/pet toilets (TARGET)",10,IF(N607="Selling pet toys",7,IF(N607="There's an Amazon link, but no target sales.",3,0))))</f>
        <v/>
      </c>
      <c r="P607" s="65">
        <f>H607+J607+L607+M607+O607</f>
        <v/>
      </c>
      <c r="Q607" s="66">
        <f>IF(OR(H607=0,P607&lt;30),"Tier D (Đóng băng)",IF(P607&gt;=85,"Tier S (Kim Cương: 85-100đ)",IF(P607&gt;=70,"Tier A (Vàng: 70-84đ)",IF(P607&gt;=61,"Tier B+ / Cấp A (Hot Lead: 61-69đ)",IF(P607&gt;=50,"Tier B (Bạc: 50-60đ)","Tier C (Đồng: 30-49đ)")))))</f>
        <v/>
      </c>
      <c r="R607" s="6" t="inlineStr">
        <is>
          <t>Nhà vệ sinh &amp; Tã lót (Potty Tray / Pee Pads) + Cỏ nhân tạo lót chuồng</t>
        </is>
      </c>
      <c r="S607" s="6" t="inlineStr">
        <is>
          <t>Cấp B Tiềm năng: Tiếp cận tự động qua chuỗi Email Marketing + Chăm sóc bổ sung bằng Telesale</t>
        </is>
      </c>
    </row>
    <row r="608">
      <c r="A608" s="59" t="n">
        <v>2305</v>
      </c>
      <c r="B608" s="15" t="inlineStr">
        <is>
          <t>Nolalu Fire Rescue and First Response</t>
        </is>
      </c>
      <c r="C608" s="60" t="inlineStr">
        <is>
          <t>https://www.facebook.com/NolaluEmergencyServicesTeam</t>
        </is>
      </c>
      <c r="D608" s="9" t="inlineStr">
        <is>
          <t>Cần quét Bio Fanpage</t>
        </is>
      </c>
      <c r="E608" s="59" t="inlineStr">
        <is>
          <t>12/10/2026 17:00:01</t>
        </is>
      </c>
      <c r="F608" s="59" t="inlineStr">
        <is>
          <t>12 giờ trước</t>
        </is>
      </c>
      <c r="G608" s="61" t="n">
        <v>0.5</v>
      </c>
      <c r="H608" s="62" t="n">
        <v>32</v>
      </c>
      <c r="I608" s="9" t="inlineStr">
        <is>
          <t>Pet Rescue / Trạm cứu trợ (14-16đ)</t>
        </is>
      </c>
      <c r="J608" s="62" t="n">
        <v>14</v>
      </c>
      <c r="K608" s="9" t="inlineStr">
        <is>
          <t>Chưa rõ giống (Cần quét Bio)</t>
        </is>
      </c>
      <c r="L608" s="62" t="n">
        <v>0</v>
      </c>
      <c r="M608" s="62" t="n">
        <v>5</v>
      </c>
      <c r="N608" s="9" t="inlineStr">
        <is>
          <t>Amazon link not found</t>
        </is>
      </c>
      <c r="O608" s="62">
        <f>IF(N608="Selling pet toys + Artificial grass/Pet toilets (TARGET)",15,IF(N608="Selling artificial grass/pet toilets (TARGET)",10,IF(N608="Selling pet toys",7,IF(N608="There's an Amazon link, but no target sales.",3,0))))</f>
        <v/>
      </c>
      <c r="P608" s="67">
        <f>H608+J608+L608+M608+O608</f>
        <v/>
      </c>
      <c r="Q608" s="66">
        <f>IF(OR(H608=0,P608&lt;30),"Tier D (Đóng băng)",IF(P608&gt;=85,"Tier S (Kim Cương: 85-100đ)",IF(P608&gt;=70,"Tier A (Vàng: 70-84đ)",IF(P608&gt;=61,"Tier B+ / Cấp A (Hot Lead: 61-69đ)",IF(P608&gt;=50,"Tier B (Bạc: 50-60đ)","Tier C (Đồng: 30-49đ)")))))</f>
        <v/>
      </c>
      <c r="R608" s="9" t="inlineStr">
        <is>
          <t>Nhà vệ sinh &amp; Tã lót (Potty Tray / Pee Pads) + Cỏ nhân tạo lót chuồng</t>
        </is>
      </c>
      <c r="S608" s="9" t="inlineStr">
        <is>
          <t>Cấp B Tiềm năng: Tiếp cận tự động qua chuỗi Email Marketing + Chăm sóc bổ sung bằng Telesale</t>
        </is>
      </c>
    </row>
    <row r="609">
      <c r="A609" s="53" t="n">
        <v>465</v>
      </c>
      <c r="B609" s="12" t="inlineStr">
        <is>
          <t>Animal love rescue center</t>
        </is>
      </c>
      <c r="C609" s="54" t="inlineStr">
        <is>
          <t>https://www.facebook.com/animalloverescuecenter</t>
        </is>
      </c>
      <c r="D609" s="6" t="inlineStr">
        <is>
          <t>Cần quét Bio Fanpage</t>
        </is>
      </c>
      <c r="E609" s="53" t="inlineStr">
        <is>
          <t>12/10/2026 02:15:35</t>
        </is>
      </c>
      <c r="F609" s="53" t="inlineStr">
        <is>
          <t>23 giờ trước</t>
        </is>
      </c>
      <c r="G609" s="55" t="n">
        <v>0.96</v>
      </c>
      <c r="H609" s="56" t="n">
        <v>32</v>
      </c>
      <c r="I609" s="6" t="inlineStr">
        <is>
          <t>Pet Rescue / Trạm cứu trợ (14-16đ)</t>
        </is>
      </c>
      <c r="J609" s="56" t="n">
        <v>14</v>
      </c>
      <c r="K609" s="6" t="inlineStr">
        <is>
          <t>Chưa rõ giống (Cần quét Bio)</t>
        </is>
      </c>
      <c r="L609" s="56" t="n">
        <v>0</v>
      </c>
      <c r="M609" s="56" t="n">
        <v>5</v>
      </c>
      <c r="N609" s="6" t="inlineStr">
        <is>
          <t>Amazon link not found</t>
        </is>
      </c>
      <c r="O609" s="56">
        <f>IF(N609="Selling pet toys + Artificial grass/Pet toilets (TARGET)",15,IF(N609="Selling artificial grass/pet toilets (TARGET)",10,IF(N609="Selling pet toys",7,IF(N609="There's an Amazon link, but no target sales.",3,0))))</f>
        <v/>
      </c>
      <c r="P609" s="65">
        <f>H609+J609+L609+M609+O609</f>
        <v/>
      </c>
      <c r="Q609" s="66">
        <f>IF(OR(H609=0,P609&lt;30),"Tier D (Đóng băng)",IF(P609&gt;=85,"Tier S (Kim Cương: 85-100đ)",IF(P609&gt;=70,"Tier A (Vàng: 70-84đ)",IF(P609&gt;=61,"Tier B+ / Cấp A (Hot Lead: 61-69đ)",IF(P609&gt;=50,"Tier B (Bạc: 50-60đ)","Tier C (Đồng: 30-49đ)")))))</f>
        <v/>
      </c>
      <c r="R609" s="6" t="inlineStr">
        <is>
          <t>Nhà vệ sinh &amp; Tã lót (Potty Tray / Pee Pads) + Cỏ nhân tạo lót chuồng</t>
        </is>
      </c>
      <c r="S609" s="6" t="inlineStr">
        <is>
          <t>Cấp B Tiềm năng: Tiếp cận tự động qua chuỗi Email Marketing + Chăm sóc bổ sung bằng Telesale</t>
        </is>
      </c>
    </row>
    <row r="610">
      <c r="A610" s="59" t="n">
        <v>1674</v>
      </c>
      <c r="B610" s="15" t="inlineStr">
        <is>
          <t>Homeward Bound Golden Retriever Rescue &amp; Sanctuary, Inc.</t>
        </is>
      </c>
      <c r="C610" s="60" t="inlineStr">
        <is>
          <t>https://www.facebook.com/HomewardBoundGoldens</t>
        </is>
      </c>
      <c r="D610" s="9" t="inlineStr">
        <is>
          <t>Cần quét Bio Fanpage</t>
        </is>
      </c>
      <c r="E610" s="59" t="inlineStr">
        <is>
          <t>09/10/2026 03:36:27</t>
        </is>
      </c>
      <c r="F610" s="59" t="inlineStr">
        <is>
          <t>4 ngày trước</t>
        </is>
      </c>
      <c r="G610" s="61" t="n">
        <v>4</v>
      </c>
      <c r="H610" s="62" t="n">
        <v>20</v>
      </c>
      <c r="I610" s="9" t="inlineStr">
        <is>
          <t>Pet Rescue / Trạm cứu trợ (14-16đ)</t>
        </is>
      </c>
      <c r="J610" s="62" t="n">
        <v>16</v>
      </c>
      <c r="K610" s="9" t="inlineStr">
        <is>
          <t>Golden Retriever</t>
        </is>
      </c>
      <c r="L610" s="62" t="n">
        <v>10</v>
      </c>
      <c r="M610" s="62" t="n">
        <v>5</v>
      </c>
      <c r="N610" s="9" t="inlineStr">
        <is>
          <t>Amazon link not found</t>
        </is>
      </c>
      <c r="O610" s="62">
        <f>IF(N610="Selling pet toys + Artificial grass/Pet toilets (TARGET)",15,IF(N610="Selling artificial grass/pet toilets (TARGET)",10,IF(N610="Selling pet toys",7,IF(N610="There's an Amazon link, but no target sales.",3,0))))</f>
        <v/>
      </c>
      <c r="P610" s="67">
        <f>H610+J610+L610+M610+O610</f>
        <v/>
      </c>
      <c r="Q610" s="66">
        <f>IF(OR(H610=0,P610&lt;30),"Tier D (Đóng băng)",IF(P610&gt;=85,"Tier S (Kim Cương: 85-100đ)",IF(P610&gt;=70,"Tier A (Vàng: 70-84đ)",IF(P610&gt;=61,"Tier B+ / Cấp A (Hot Lead: 61-69đ)",IF(P610&gt;=50,"Tier B (Bạc: 50-60đ)","Tier C (Đồng: 30-49đ)")))))</f>
        <v/>
      </c>
      <c r="R610" s="9" t="inlineStr">
        <is>
          <t>Nhà vệ sinh &amp; Tã lót (Potty Tray / Pee Pads) + Cỏ nhân tạo lót chuồng</t>
        </is>
      </c>
      <c r="S610" s="9" t="inlineStr">
        <is>
          <t>Cấp B Tiềm năng: Tiếp cận tự động qua chuỗi Email Marketing + Chăm sóc bổ sung bằng Telesale</t>
        </is>
      </c>
    </row>
    <row r="611">
      <c r="A611" s="53" t="n">
        <v>4607</v>
      </c>
      <c r="B611" s="12" t="inlineStr">
        <is>
          <t>Mavis Duke Hinton's Books: Dachshund Books for Dog Lovers</t>
        </is>
      </c>
      <c r="C611" s="54" t="inlineStr">
        <is>
          <t>https://www.facebook.com/MavisDukeHintonsBooks</t>
        </is>
      </c>
      <c r="D611" s="6" t="inlineStr">
        <is>
          <t>Cần quét Bio Fanpage</t>
        </is>
      </c>
      <c r="E611" s="53" t="inlineStr">
        <is>
          <t>13/10/2026 08:46:11</t>
        </is>
      </c>
      <c r="F611" s="53" t="inlineStr">
        <is>
          <t>27 phút trước</t>
        </is>
      </c>
      <c r="G611" s="55" t="n">
        <v>0.02</v>
      </c>
      <c r="H611" s="56" t="n">
        <v>35</v>
      </c>
      <c r="I611" s="6" t="inlineStr">
        <is>
          <t>Pet Owner / Kênh cá nhân thú cưng (10đ)</t>
        </is>
      </c>
      <c r="J611" s="56" t="n">
        <v>10</v>
      </c>
      <c r="K611" s="6" t="inlineStr">
        <is>
          <t>Dachshund</t>
        </is>
      </c>
      <c r="L611" s="56" t="n">
        <v>5</v>
      </c>
      <c r="M611" s="56" t="n">
        <v>0</v>
      </c>
      <c r="N611" s="6" t="inlineStr">
        <is>
          <t>Amazon link not found</t>
        </is>
      </c>
      <c r="O611" s="56">
        <f>IF(N611="Selling pet toys + Artificial grass/Pet toilets (TARGET)",15,IF(N611="Selling artificial grass/pet toilets (TARGET)",10,IF(N611="Selling pet toys",7,IF(N611="There's an Amazon link, but no target sales.",3,0))))</f>
        <v/>
      </c>
      <c r="P611" s="65">
        <f>H611+J611+L611+M611+O611</f>
        <v/>
      </c>
      <c r="Q611" s="66">
        <f>IF(OR(H611=0,P611&lt;30),"Tier D (Đóng băng)",IF(P611&gt;=85,"Tier S (Kim Cương: 85-100đ)",IF(P611&gt;=70,"Tier A (Vàng: 70-84đ)",IF(P611&gt;=61,"Tier B+ / Cấp A (Hot Lead: 61-69đ)",IF(P611&gt;=50,"Tier B (Bạc: 50-60đ)","Tier C (Đồng: 30-49đ)")))))</f>
        <v/>
      </c>
      <c r="R611" s="6" t="inlineStr">
        <is>
          <t>Khay vệ sinh trong nhà (Indoor Dog Potty) + Đồ chơi thú cưng lẻ</t>
        </is>
      </c>
      <c r="S611" s="6" t="inlineStr">
        <is>
          <t>Cấp B Tiềm năng: Tiếp cận tự động qua chuỗi Email Marketing + Chăm sóc bổ sung bằng Telesale</t>
        </is>
      </c>
    </row>
    <row r="612">
      <c r="A612" s="59" t="n">
        <v>4938</v>
      </c>
      <c r="B612" s="15" t="inlineStr">
        <is>
          <t>Pet Snacks</t>
        </is>
      </c>
      <c r="C612" s="60" t="inlineStr">
        <is>
          <t>https://www.facebook.com/petsnacksonline</t>
        </is>
      </c>
      <c r="D612" s="9" t="inlineStr">
        <is>
          <t>Cần quét Bio Fanpage</t>
        </is>
      </c>
      <c r="E612" s="59" t="inlineStr">
        <is>
          <t>13/10/2026 08:35:29</t>
        </is>
      </c>
      <c r="F612" s="59" t="inlineStr">
        <is>
          <t>1 giờ trước</t>
        </is>
      </c>
      <c r="G612" s="61" t="n">
        <v>0.04</v>
      </c>
      <c r="H612" s="62" t="n">
        <v>35</v>
      </c>
      <c r="I612" s="9" t="inlineStr">
        <is>
          <t>Pet Owner / Cộng đồng nuôi cún (10đ)</t>
        </is>
      </c>
      <c r="J612" s="62" t="n">
        <v>10</v>
      </c>
      <c r="K612" s="9" t="inlineStr">
        <is>
          <t>Chưa rõ giống (Cần quét Bio)</t>
        </is>
      </c>
      <c r="L612" s="62" t="n">
        <v>0</v>
      </c>
      <c r="M612" s="62" t="n">
        <v>5</v>
      </c>
      <c r="N612" s="9" t="inlineStr">
        <is>
          <t>Amazon link not found</t>
        </is>
      </c>
      <c r="O612" s="62">
        <f>IF(N612="Selling pet toys + Artificial grass/Pet toilets (TARGET)",15,IF(N612="Selling artificial grass/pet toilets (TARGET)",10,IF(N612="Selling pet toys",7,IF(N612="There's an Amazon link, but no target sales.",3,0))))</f>
        <v/>
      </c>
      <c r="P612" s="67">
        <f>H612+J612+L612+M612+O612</f>
        <v/>
      </c>
      <c r="Q612" s="66">
        <f>IF(OR(H612=0,P612&lt;30),"Tier D (Đóng băng)",IF(P612&gt;=85,"Tier S (Kim Cương: 85-100đ)",IF(P612&gt;=70,"Tier A (Vàng: 70-84đ)",IF(P612&gt;=61,"Tier B+ / Cấp A (Hot Lead: 61-69đ)",IF(P612&gt;=50,"Tier B (Bạc: 50-60đ)","Tier C (Đồng: 30-49đ)")))))</f>
        <v/>
      </c>
      <c r="R612" s="9" t="inlineStr">
        <is>
          <t>Khay vệ sinh chung cư (Indoor Potty) + Thảm cỏ ban công (Grass Patch) + Đồ chơi</t>
        </is>
      </c>
      <c r="S612" s="9" t="inlineStr">
        <is>
          <t>Cấp B Tiềm năng: Tiếp cận tự động qua chuỗi Email Marketing + Chăm sóc bổ sung bằng Telesale</t>
        </is>
      </c>
    </row>
    <row r="613">
      <c r="A613" s="53" t="n">
        <v>4181</v>
      </c>
      <c r="B613" s="12" t="inlineStr">
        <is>
          <t>I Love Every Dog</t>
        </is>
      </c>
      <c r="C613" s="54" t="inlineStr">
        <is>
          <t>https://www.facebook.com/iloveeverydogofficial</t>
        </is>
      </c>
      <c r="D613" s="6" t="inlineStr">
        <is>
          <t>Cần quét Bio Fanpage</t>
        </is>
      </c>
      <c r="E613" s="53" t="inlineStr">
        <is>
          <t>13/10/2026 08:00:01</t>
        </is>
      </c>
      <c r="F613" s="53" t="inlineStr">
        <is>
          <t>27 phút trước</t>
        </is>
      </c>
      <c r="G613" s="55" t="n">
        <v>0.02</v>
      </c>
      <c r="H613" s="56" t="n">
        <v>35</v>
      </c>
      <c r="I613" s="6" t="inlineStr">
        <is>
          <t>Pet Owner / Cộng đồng nuôi cún (10đ)</t>
        </is>
      </c>
      <c r="J613" s="56" t="n">
        <v>10</v>
      </c>
      <c r="K613" s="6" t="inlineStr">
        <is>
          <t>Chưa rõ giống (Cần quét Bio)</t>
        </is>
      </c>
      <c r="L613" s="56" t="n">
        <v>0</v>
      </c>
      <c r="M613" s="56" t="n">
        <v>5</v>
      </c>
      <c r="N613" s="6" t="inlineStr">
        <is>
          <t>Amazon link not found</t>
        </is>
      </c>
      <c r="O613" s="56">
        <f>IF(N613="Selling pet toys + Artificial grass/Pet toilets (TARGET)",15,IF(N613="Selling artificial grass/pet toilets (TARGET)",10,IF(N613="Selling pet toys",7,IF(N613="There's an Amazon link, but no target sales.",3,0))))</f>
        <v/>
      </c>
      <c r="P613" s="65">
        <f>H613+J613+L613+M613+O613</f>
        <v/>
      </c>
      <c r="Q613" s="66">
        <f>IF(OR(H613=0,P613&lt;30),"Tier D (Đóng băng)",IF(P613&gt;=85,"Tier S (Kim Cương: 85-100đ)",IF(P613&gt;=70,"Tier A (Vàng: 70-84đ)",IF(P613&gt;=61,"Tier B+ / Cấp A (Hot Lead: 61-69đ)",IF(P613&gt;=50,"Tier B (Bạc: 50-60đ)","Tier C (Đồng: 30-49đ)")))))</f>
        <v/>
      </c>
      <c r="R613" s="6" t="inlineStr">
        <is>
          <t>Khay vệ sinh chung cư (Indoor Potty) + Thảm cỏ ban công (Grass Patch) + Đồ chơi</t>
        </is>
      </c>
      <c r="S613" s="6" t="inlineStr">
        <is>
          <t>Cấp B Tiềm năng: Tiếp cận tự động qua chuỗi Email Marketing + Chăm sóc bổ sung bằng Telesale</t>
        </is>
      </c>
    </row>
    <row r="614">
      <c r="A614" s="59" t="n">
        <v>5124</v>
      </c>
      <c r="B614" s="15" t="inlineStr">
        <is>
          <t>Pug Lovers Tee</t>
        </is>
      </c>
      <c r="C614" s="60" t="inlineStr">
        <is>
          <t>https://www.facebook.com/pugloverstee</t>
        </is>
      </c>
      <c r="D614" s="9" t="inlineStr">
        <is>
          <t>Cần quét Bio Fanpage</t>
        </is>
      </c>
      <c r="E614" s="59" t="inlineStr">
        <is>
          <t>13/10/2026 07:57:53</t>
        </is>
      </c>
      <c r="F614" s="59" t="inlineStr">
        <is>
          <t>2 giờ trước</t>
        </is>
      </c>
      <c r="G614" s="61" t="n">
        <v>0.08</v>
      </c>
      <c r="H614" s="62" t="n">
        <v>35</v>
      </c>
      <c r="I614" s="9" t="inlineStr">
        <is>
          <t>Pet Owner / Kênh cá nhân thú cưng (10đ)</t>
        </is>
      </c>
      <c r="J614" s="62" t="n">
        <v>10</v>
      </c>
      <c r="K614" s="9" t="inlineStr">
        <is>
          <t>Pug</t>
        </is>
      </c>
      <c r="L614" s="62" t="n">
        <v>5</v>
      </c>
      <c r="M614" s="62" t="n">
        <v>0</v>
      </c>
      <c r="N614" s="9" t="inlineStr">
        <is>
          <t>Amazon link not found</t>
        </is>
      </c>
      <c r="O614" s="62">
        <f>IF(N614="Selling pet toys + Artificial grass/Pet toilets (TARGET)",15,IF(N614="Selling artificial grass/pet toilets (TARGET)",10,IF(N614="Selling pet toys",7,IF(N614="There's an Amazon link, but no target sales.",3,0))))</f>
        <v/>
      </c>
      <c r="P614" s="67">
        <f>H614+J614+L614+M614+O614</f>
        <v/>
      </c>
      <c r="Q614" s="66">
        <f>IF(OR(H614=0,P614&lt;30),"Tier D (Đóng băng)",IF(P614&gt;=85,"Tier S (Kim Cương: 85-100đ)",IF(P614&gt;=70,"Tier A (Vàng: 70-84đ)",IF(P614&gt;=61,"Tier B+ / Cấp A (Hot Lead: 61-69đ)",IF(P614&gt;=50,"Tier B (Bạc: 50-60đ)","Tier C (Đồng: 30-49đ)")))))</f>
        <v/>
      </c>
      <c r="R614" s="9" t="inlineStr">
        <is>
          <t>Khay vệ sinh trong nhà (Indoor Dog Potty) + Đồ chơi thú cưng lẻ</t>
        </is>
      </c>
      <c r="S614" s="9" t="inlineStr">
        <is>
          <t>Cấp B Tiềm năng: Tiếp cận tự động qua chuỗi Email Marketing + Chăm sóc bổ sung bằng Telesale</t>
        </is>
      </c>
    </row>
    <row r="615">
      <c r="A615" s="53" t="n">
        <v>5625</v>
      </c>
      <c r="B615" s="12" t="inlineStr">
        <is>
          <t>THE PUG QUEEN</t>
        </is>
      </c>
      <c r="C615" s="54" t="inlineStr">
        <is>
          <t>https://www.facebook.com/ThePugQueen</t>
        </is>
      </c>
      <c r="D615" s="6" t="inlineStr">
        <is>
          <t>Cần quét Bio Fanpage</t>
        </is>
      </c>
      <c r="E615" s="53" t="inlineStr">
        <is>
          <t>13/10/2026 07:30:41</t>
        </is>
      </c>
      <c r="F615" s="53" t="inlineStr">
        <is>
          <t>3 giờ trước</t>
        </is>
      </c>
      <c r="G615" s="55" t="n">
        <v>0.12</v>
      </c>
      <c r="H615" s="56" t="n">
        <v>35</v>
      </c>
      <c r="I615" s="6" t="inlineStr">
        <is>
          <t>Pet Owner / Kênh cá nhân thú cưng (10đ)</t>
        </is>
      </c>
      <c r="J615" s="56" t="n">
        <v>10</v>
      </c>
      <c r="K615" s="6" t="inlineStr">
        <is>
          <t>Pug</t>
        </is>
      </c>
      <c r="L615" s="56" t="n">
        <v>5</v>
      </c>
      <c r="M615" s="56" t="n">
        <v>0</v>
      </c>
      <c r="N615" s="6" t="inlineStr">
        <is>
          <t>Amazon link not found</t>
        </is>
      </c>
      <c r="O615" s="56">
        <f>IF(N615="Selling pet toys + Artificial grass/Pet toilets (TARGET)",15,IF(N615="Selling artificial grass/pet toilets (TARGET)",10,IF(N615="Selling pet toys",7,IF(N615="There's an Amazon link, but no target sales.",3,0))))</f>
        <v/>
      </c>
      <c r="P615" s="65">
        <f>H615+J615+L615+M615+O615</f>
        <v/>
      </c>
      <c r="Q615" s="66">
        <f>IF(OR(H615=0,P615&lt;30),"Tier D (Đóng băng)",IF(P615&gt;=85,"Tier S (Kim Cương: 85-100đ)",IF(P615&gt;=70,"Tier A (Vàng: 70-84đ)",IF(P615&gt;=61,"Tier B+ / Cấp A (Hot Lead: 61-69đ)",IF(P615&gt;=50,"Tier B (Bạc: 50-60đ)","Tier C (Đồng: 30-49đ)")))))</f>
        <v/>
      </c>
      <c r="R615" s="6" t="inlineStr">
        <is>
          <t>Khay vệ sinh trong nhà (Indoor Dog Potty) + Đồ chơi thú cưng lẻ</t>
        </is>
      </c>
      <c r="S615" s="6" t="inlineStr">
        <is>
          <t>Cấp B Tiềm năng: Tiếp cận tự động qua chuỗi Email Marketing + Chăm sóc bổ sung bằng Telesale</t>
        </is>
      </c>
    </row>
    <row r="616">
      <c r="A616" s="59" t="n">
        <v>4511</v>
      </c>
      <c r="B616" s="15" t="inlineStr">
        <is>
          <t>LivingstonDogs.com</t>
        </is>
      </c>
      <c r="C616" s="60" t="inlineStr">
        <is>
          <t>https://www.facebook.com/livingstondogs</t>
        </is>
      </c>
      <c r="D616" s="9" t="inlineStr">
        <is>
          <t>https://livingstondogs.com</t>
        </is>
      </c>
      <c r="E616" s="59" t="inlineStr">
        <is>
          <t>13/10/2026 07:26:15</t>
        </is>
      </c>
      <c r="F616" s="59" t="inlineStr">
        <is>
          <t>1 giờ trước</t>
        </is>
      </c>
      <c r="G616" s="61" t="n">
        <v>0.04</v>
      </c>
      <c r="H616" s="62" t="n">
        <v>35</v>
      </c>
      <c r="I616" s="9" t="inlineStr">
        <is>
          <t>Pet Owner / Cộng đồng nuôi cún (10đ)</t>
        </is>
      </c>
      <c r="J616" s="62" t="n">
        <v>10</v>
      </c>
      <c r="K616" s="9" t="inlineStr">
        <is>
          <t>Chưa rõ giống (Cần quét Bio)</t>
        </is>
      </c>
      <c r="L616" s="62" t="n">
        <v>0</v>
      </c>
      <c r="M616" s="62" t="n">
        <v>5</v>
      </c>
      <c r="N616" s="9" t="inlineStr">
        <is>
          <t>Amazon link not found</t>
        </is>
      </c>
      <c r="O616" s="62">
        <f>IF(N616="Selling pet toys + Artificial grass/Pet toilets (TARGET)",15,IF(N616="Selling artificial grass/pet toilets (TARGET)",10,IF(N616="Selling pet toys",7,IF(N616="There's an Amazon link, but no target sales.",3,0))))</f>
        <v/>
      </c>
      <c r="P616" s="67">
        <f>H616+J616+L616+M616+O616</f>
        <v/>
      </c>
      <c r="Q616" s="66">
        <f>IF(OR(H616=0,P616&lt;30),"Tier D (Đóng băng)",IF(P616&gt;=85,"Tier S (Kim Cương: 85-100đ)",IF(P616&gt;=70,"Tier A (Vàng: 70-84đ)",IF(P616&gt;=61,"Tier B+ / Cấp A (Hot Lead: 61-69đ)",IF(P616&gt;=50,"Tier B (Bạc: 50-60đ)","Tier C (Đồng: 30-49đ)")))))</f>
        <v/>
      </c>
      <c r="R616" s="9" t="inlineStr">
        <is>
          <t>Khay vệ sinh chung cư (Indoor Potty) + Thảm cỏ ban công (Grass Patch) + Đồ chơi</t>
        </is>
      </c>
      <c r="S616" s="9" t="inlineStr">
        <is>
          <t>Cấp B Tiềm năng: Tiếp cận tự động qua chuỗi Email Marketing + Chăm sóc bổ sung bằng Telesale</t>
        </is>
      </c>
    </row>
    <row r="617">
      <c r="A617" s="53" t="n">
        <v>4302</v>
      </c>
      <c r="B617" s="12" t="inlineStr">
        <is>
          <t>K9s.org</t>
        </is>
      </c>
      <c r="C617" s="54" t="inlineStr">
        <is>
          <t>https://www.facebook.com/K9sorg</t>
        </is>
      </c>
      <c r="D617" s="6" t="inlineStr">
        <is>
          <t>https://k9s.org</t>
        </is>
      </c>
      <c r="E617" s="53" t="inlineStr">
        <is>
          <t>13/10/2026 07:15:37</t>
        </is>
      </c>
      <c r="F617" s="53" t="inlineStr">
        <is>
          <t>1 giờ trước</t>
        </is>
      </c>
      <c r="G617" s="55" t="n">
        <v>0.04</v>
      </c>
      <c r="H617" s="56" t="n">
        <v>35</v>
      </c>
      <c r="I617" s="6" t="inlineStr">
        <is>
          <t>Pet Owner / Cộng đồng nuôi cún (10đ)</t>
        </is>
      </c>
      <c r="J617" s="56" t="n">
        <v>10</v>
      </c>
      <c r="K617" s="6" t="inlineStr">
        <is>
          <t>Chưa rõ giống (Cần quét Bio)</t>
        </is>
      </c>
      <c r="L617" s="56" t="n">
        <v>0</v>
      </c>
      <c r="M617" s="56" t="n">
        <v>5</v>
      </c>
      <c r="N617" s="6" t="inlineStr">
        <is>
          <t>Amazon link not found</t>
        </is>
      </c>
      <c r="O617" s="56">
        <f>IF(N617="Selling pet toys + Artificial grass/Pet toilets (TARGET)",15,IF(N617="Selling artificial grass/pet toilets (TARGET)",10,IF(N617="Selling pet toys",7,IF(N617="There's an Amazon link, but no target sales.",3,0))))</f>
        <v/>
      </c>
      <c r="P617" s="65">
        <f>H617+J617+L617+M617+O617</f>
        <v/>
      </c>
      <c r="Q617" s="66">
        <f>IF(OR(H617=0,P617&lt;30),"Tier D (Đóng băng)",IF(P617&gt;=85,"Tier S (Kim Cương: 85-100đ)",IF(P617&gt;=70,"Tier A (Vàng: 70-84đ)",IF(P617&gt;=61,"Tier B+ / Cấp A (Hot Lead: 61-69đ)",IF(P617&gt;=50,"Tier B (Bạc: 50-60đ)","Tier C (Đồng: 30-49đ)")))))</f>
        <v/>
      </c>
      <c r="R617" s="6" t="inlineStr">
        <is>
          <t>Khay vệ sinh chung cư (Indoor Potty) + Thảm cỏ ban công (Grass Patch) + Đồ chơi</t>
        </is>
      </c>
      <c r="S617" s="6" t="inlineStr">
        <is>
          <t>Cấp B Tiềm năng: Tiếp cận tự động qua chuỗi Email Marketing + Chăm sóc bổ sung bằng Telesale</t>
        </is>
      </c>
    </row>
    <row r="618">
      <c r="A618" s="59" t="n">
        <v>3647</v>
      </c>
      <c r="B618" s="15" t="inlineStr">
        <is>
          <t>Dogs Make Me Happy</t>
        </is>
      </c>
      <c r="C618" s="60" t="inlineStr">
        <is>
          <t>https://www.facebook.com/DogsMakeMeHappyOfficial</t>
        </is>
      </c>
      <c r="D618" s="9" t="inlineStr">
        <is>
          <t>Cần quét Bio Fanpage</t>
        </is>
      </c>
      <c r="E618" s="59" t="inlineStr">
        <is>
          <t>13/10/2026 06:19:40</t>
        </is>
      </c>
      <c r="F618" s="59" t="inlineStr">
        <is>
          <t>1 giờ trước</t>
        </is>
      </c>
      <c r="G618" s="61" t="n">
        <v>0.04</v>
      </c>
      <c r="H618" s="62" t="n">
        <v>35</v>
      </c>
      <c r="I618" s="9" t="inlineStr">
        <is>
          <t>Pet Owner / Cộng đồng nuôi cún (10đ)</t>
        </is>
      </c>
      <c r="J618" s="62" t="n">
        <v>10</v>
      </c>
      <c r="K618" s="9" t="inlineStr">
        <is>
          <t>Chưa rõ giống (Cần quét Bio)</t>
        </is>
      </c>
      <c r="L618" s="62" t="n">
        <v>0</v>
      </c>
      <c r="M618" s="62" t="n">
        <v>5</v>
      </c>
      <c r="N618" s="9" t="inlineStr">
        <is>
          <t>Amazon link not found</t>
        </is>
      </c>
      <c r="O618" s="62">
        <f>IF(N618="Selling pet toys + Artificial grass/Pet toilets (TARGET)",15,IF(N618="Selling artificial grass/pet toilets (TARGET)",10,IF(N618="Selling pet toys",7,IF(N618="There's an Amazon link, but no target sales.",3,0))))</f>
        <v/>
      </c>
      <c r="P618" s="67">
        <f>H618+J618+L618+M618+O618</f>
        <v/>
      </c>
      <c r="Q618" s="66">
        <f>IF(OR(H618=0,P618&lt;30),"Tier D (Đóng băng)",IF(P618&gt;=85,"Tier S (Kim Cương: 85-100đ)",IF(P618&gt;=70,"Tier A (Vàng: 70-84đ)",IF(P618&gt;=61,"Tier B+ / Cấp A (Hot Lead: 61-69đ)",IF(P618&gt;=50,"Tier B (Bạc: 50-60đ)","Tier C (Đồng: 30-49đ)")))))</f>
        <v/>
      </c>
      <c r="R618" s="9" t="inlineStr">
        <is>
          <t>Khay vệ sinh chung cư (Indoor Potty) + Thảm cỏ ban công (Grass Patch) + Đồ chơi</t>
        </is>
      </c>
      <c r="S618" s="9" t="inlineStr">
        <is>
          <t>Cấp B Tiềm năng: Tiếp cận tự động qua chuỗi Email Marketing + Chăm sóc bổ sung bằng Telesale</t>
        </is>
      </c>
    </row>
    <row r="619">
      <c r="A619" s="53" t="n">
        <v>3583</v>
      </c>
      <c r="B619" s="12" t="inlineStr">
        <is>
          <t>Dog.com</t>
        </is>
      </c>
      <c r="C619" s="54" t="inlineStr">
        <is>
          <t>https://www.facebook.com/UnhingedSarcasm</t>
        </is>
      </c>
      <c r="D619" s="6" t="inlineStr">
        <is>
          <t>https://dog.com</t>
        </is>
      </c>
      <c r="E619" s="53" t="inlineStr">
        <is>
          <t>13/10/2026 04:25:32</t>
        </is>
      </c>
      <c r="F619" s="53" t="inlineStr">
        <is>
          <t>2 giờ trước</t>
        </is>
      </c>
      <c r="G619" s="55" t="n">
        <v>0.08</v>
      </c>
      <c r="H619" s="56" t="n">
        <v>35</v>
      </c>
      <c r="I619" s="6" t="inlineStr">
        <is>
          <t>Pet Owner / Cộng đồng nuôi cún (10đ)</t>
        </is>
      </c>
      <c r="J619" s="56" t="n">
        <v>10</v>
      </c>
      <c r="K619" s="6" t="inlineStr">
        <is>
          <t>Chưa rõ giống (Cần quét Bio)</t>
        </is>
      </c>
      <c r="L619" s="56" t="n">
        <v>0</v>
      </c>
      <c r="M619" s="56" t="n">
        <v>5</v>
      </c>
      <c r="N619" s="6" t="inlineStr">
        <is>
          <t>Amazon link not found</t>
        </is>
      </c>
      <c r="O619" s="56">
        <f>IF(N619="Selling pet toys + Artificial grass/Pet toilets (TARGET)",15,IF(N619="Selling artificial grass/pet toilets (TARGET)",10,IF(N619="Selling pet toys",7,IF(N619="There's an Amazon link, but no target sales.",3,0))))</f>
        <v/>
      </c>
      <c r="P619" s="65">
        <f>H619+J619+L619+M619+O619</f>
        <v/>
      </c>
      <c r="Q619" s="66">
        <f>IF(OR(H619=0,P619&lt;30),"Tier D (Đóng băng)",IF(P619&gt;=85,"Tier S (Kim Cương: 85-100đ)",IF(P619&gt;=70,"Tier A (Vàng: 70-84đ)",IF(P619&gt;=61,"Tier B+ / Cấp A (Hot Lead: 61-69đ)",IF(P619&gt;=50,"Tier B (Bạc: 50-60đ)","Tier C (Đồng: 30-49đ)")))))</f>
        <v/>
      </c>
      <c r="R619" s="6" t="inlineStr">
        <is>
          <t>Khay vệ sinh chung cư (Indoor Potty) + Thảm cỏ ban công (Grass Patch) + Đồ chơi</t>
        </is>
      </c>
      <c r="S619" s="6" t="inlineStr">
        <is>
          <t>Cấp B Tiềm năng: Tiếp cận tự động qua chuỗi Email Marketing + Chăm sóc bổ sung bằng Telesale</t>
        </is>
      </c>
    </row>
    <row r="620">
      <c r="A620" s="59" t="n">
        <v>3325</v>
      </c>
      <c r="B620" s="15" t="inlineStr">
        <is>
          <t>VillalobosRescueCenter</t>
        </is>
      </c>
      <c r="C620" s="60" t="inlineStr">
        <is>
          <t>https://www.facebook.com/VillalobosRescueCenter</t>
        </is>
      </c>
      <c r="D620" s="9" t="inlineStr">
        <is>
          <t>Cần quét Bio Fanpage</t>
        </is>
      </c>
      <c r="E620" s="59" t="inlineStr">
        <is>
          <t>13/10/2026 04:23:15</t>
        </is>
      </c>
      <c r="F620" s="59" t="inlineStr">
        <is>
          <t>2 giờ trước</t>
        </is>
      </c>
      <c r="G620" s="61" t="n">
        <v>0.08</v>
      </c>
      <c r="H620" s="62" t="n">
        <v>35</v>
      </c>
      <c r="I620" s="9" t="inlineStr">
        <is>
          <t>Pet Owner / Cộng đồng nuôi cún (10đ)</t>
        </is>
      </c>
      <c r="J620" s="62" t="n">
        <v>10</v>
      </c>
      <c r="K620" s="9" t="inlineStr">
        <is>
          <t>Chưa rõ giống (Cần quét Bio)</t>
        </is>
      </c>
      <c r="L620" s="62" t="n">
        <v>0</v>
      </c>
      <c r="M620" s="62" t="n">
        <v>5</v>
      </c>
      <c r="N620" s="9" t="inlineStr">
        <is>
          <t>Amazon link not found</t>
        </is>
      </c>
      <c r="O620" s="62">
        <f>IF(N620="Selling pet toys + Artificial grass/Pet toilets (TARGET)",15,IF(N620="Selling artificial grass/pet toilets (TARGET)",10,IF(N620="Selling pet toys",7,IF(N620="There's an Amazon link, but no target sales.",3,0))))</f>
        <v/>
      </c>
      <c r="P620" s="67">
        <f>H620+J620+L620+M620+O620</f>
        <v/>
      </c>
      <c r="Q620" s="66">
        <f>IF(OR(H620=0,P620&lt;30),"Tier D (Đóng băng)",IF(P620&gt;=85,"Tier S (Kim Cương: 85-100đ)",IF(P620&gt;=70,"Tier A (Vàng: 70-84đ)",IF(P620&gt;=61,"Tier B+ / Cấp A (Hot Lead: 61-69đ)",IF(P620&gt;=50,"Tier B (Bạc: 50-60đ)","Tier C (Đồng: 30-49đ)")))))</f>
        <v/>
      </c>
      <c r="R620" s="9" t="inlineStr">
        <is>
          <t>Khay vệ sinh chung cư (Indoor Potty) + Thảm cỏ ban công (Grass Patch) + Đồ chơi</t>
        </is>
      </c>
      <c r="S620" s="9" t="inlineStr">
        <is>
          <t>Cấp B Tiềm năng: Tiếp cận tự động qua chuỗi Email Marketing + Chăm sóc bổ sung bằng Telesale</t>
        </is>
      </c>
    </row>
    <row r="621">
      <c r="A621" s="53" t="n">
        <v>3215</v>
      </c>
      <c r="B621" s="12" t="inlineStr">
        <is>
          <t>TopPets.com</t>
        </is>
      </c>
      <c r="C621" s="54" t="inlineStr">
        <is>
          <t>https://www.facebook.com/CelebratingTopPets</t>
        </is>
      </c>
      <c r="D621" s="6" t="inlineStr">
        <is>
          <t>https://toppets.com</t>
        </is>
      </c>
      <c r="E621" s="53" t="inlineStr">
        <is>
          <t>13/10/2026 03:51:02</t>
        </is>
      </c>
      <c r="F621" s="53" t="inlineStr">
        <is>
          <t>2 giờ trước</t>
        </is>
      </c>
      <c r="G621" s="55" t="n">
        <v>0.08</v>
      </c>
      <c r="H621" s="56" t="n">
        <v>35</v>
      </c>
      <c r="I621" s="6" t="inlineStr">
        <is>
          <t>Pet Owner / Cộng đồng nuôi cún (10đ)</t>
        </is>
      </c>
      <c r="J621" s="56" t="n">
        <v>10</v>
      </c>
      <c r="K621" s="6" t="inlineStr">
        <is>
          <t>Chưa rõ giống (Cần quét Bio)</t>
        </is>
      </c>
      <c r="L621" s="56" t="n">
        <v>0</v>
      </c>
      <c r="M621" s="56" t="n">
        <v>5</v>
      </c>
      <c r="N621" s="6" t="inlineStr">
        <is>
          <t>Amazon link not found</t>
        </is>
      </c>
      <c r="O621" s="56">
        <f>IF(N621="Selling pet toys + Artificial grass/Pet toilets (TARGET)",15,IF(N621="Selling artificial grass/pet toilets (TARGET)",10,IF(N621="Selling pet toys",7,IF(N621="There's an Amazon link, but no target sales.",3,0))))</f>
        <v/>
      </c>
      <c r="P621" s="65">
        <f>H621+J621+L621+M621+O621</f>
        <v/>
      </c>
      <c r="Q621" s="66">
        <f>IF(OR(H621=0,P621&lt;30),"Tier D (Đóng băng)",IF(P621&gt;=85,"Tier S (Kim Cương: 85-100đ)",IF(P621&gt;=70,"Tier A (Vàng: 70-84đ)",IF(P621&gt;=61,"Tier B+ / Cấp A (Hot Lead: 61-69đ)",IF(P621&gt;=50,"Tier B (Bạc: 50-60đ)","Tier C (Đồng: 30-49đ)")))))</f>
        <v/>
      </c>
      <c r="R621" s="6" t="inlineStr">
        <is>
          <t>Khay vệ sinh chung cư (Indoor Potty) + Thảm cỏ ban công (Grass Patch) + Đồ chơi</t>
        </is>
      </c>
      <c r="S621" s="6" t="inlineStr">
        <is>
          <t>Cấp B Tiềm năng: Tiếp cận tự động qua chuỗi Email Marketing + Chăm sóc bổ sung bằng Telesale</t>
        </is>
      </c>
    </row>
    <row r="622">
      <c r="A622" s="59" t="n">
        <v>2267</v>
      </c>
      <c r="B622" s="15" t="inlineStr">
        <is>
          <t>Natural Dog Company</t>
        </is>
      </c>
      <c r="C622" s="60" t="inlineStr">
        <is>
          <t>https://www.facebook.com/NaturalDogCompany</t>
        </is>
      </c>
      <c r="D622" s="9" t="inlineStr">
        <is>
          <t>Cần quét Bio Fanpage</t>
        </is>
      </c>
      <c r="E622" s="59" t="inlineStr">
        <is>
          <t>13/10/2026 02:25:02</t>
        </is>
      </c>
      <c r="F622" s="59" t="inlineStr">
        <is>
          <t>2 giờ trước</t>
        </is>
      </c>
      <c r="G622" s="61" t="n">
        <v>0.08</v>
      </c>
      <c r="H622" s="62" t="n">
        <v>35</v>
      </c>
      <c r="I622" s="9" t="inlineStr">
        <is>
          <t>Pet Owner / Cộng đồng nuôi cún (10đ)</t>
        </is>
      </c>
      <c r="J622" s="62" t="n">
        <v>10</v>
      </c>
      <c r="K622" s="9" t="inlineStr">
        <is>
          <t>Chưa rõ giống (Cần quét Bio)</t>
        </is>
      </c>
      <c r="L622" s="62" t="n">
        <v>0</v>
      </c>
      <c r="M622" s="62" t="n">
        <v>5</v>
      </c>
      <c r="N622" s="9" t="inlineStr">
        <is>
          <t>Amazon link not found</t>
        </is>
      </c>
      <c r="O622" s="62">
        <f>IF(N622="Selling pet toys + Artificial grass/Pet toilets (TARGET)",15,IF(N622="Selling artificial grass/pet toilets (TARGET)",10,IF(N622="Selling pet toys",7,IF(N622="There's an Amazon link, but no target sales.",3,0))))</f>
        <v/>
      </c>
      <c r="P622" s="67">
        <f>H622+J622+L622+M622+O622</f>
        <v/>
      </c>
      <c r="Q622" s="66">
        <f>IF(OR(H622=0,P622&lt;30),"Tier D (Đóng băng)",IF(P622&gt;=85,"Tier S (Kim Cương: 85-100đ)",IF(P622&gt;=70,"Tier A (Vàng: 70-84đ)",IF(P622&gt;=61,"Tier B+ / Cấp A (Hot Lead: 61-69đ)",IF(P622&gt;=50,"Tier B (Bạc: 50-60đ)","Tier C (Đồng: 30-49đ)")))))</f>
        <v/>
      </c>
      <c r="R622" s="9" t="inlineStr">
        <is>
          <t>Khay vệ sinh chung cư (Indoor Potty) + Thảm cỏ ban công (Grass Patch) + Đồ chơi</t>
        </is>
      </c>
      <c r="S622" s="9" t="inlineStr">
        <is>
          <t>Cấp B Tiềm năng: Tiếp cận tự động qua chuỗi Email Marketing + Chăm sóc bổ sung bằng Telesale</t>
        </is>
      </c>
    </row>
    <row r="623">
      <c r="A623" s="53" t="n">
        <v>2501</v>
      </c>
      <c r="B623" s="12" t="inlineStr">
        <is>
          <t>Peters Design Company</t>
        </is>
      </c>
      <c r="C623" s="54" t="inlineStr">
        <is>
          <t>https://www.facebook.com/PetersDesignCompany</t>
        </is>
      </c>
      <c r="D623" s="6" t="inlineStr">
        <is>
          <t>Cần quét Bio Fanpage</t>
        </is>
      </c>
      <c r="E623" s="53" t="inlineStr">
        <is>
          <t>13/10/2026 01:31:47</t>
        </is>
      </c>
      <c r="F623" s="53" t="inlineStr">
        <is>
          <t>3 giờ trước</t>
        </is>
      </c>
      <c r="G623" s="55" t="n">
        <v>0.12</v>
      </c>
      <c r="H623" s="56" t="n">
        <v>35</v>
      </c>
      <c r="I623" s="6" t="inlineStr">
        <is>
          <t>Pet Owner / Cộng đồng nuôi cún (10đ)</t>
        </is>
      </c>
      <c r="J623" s="56" t="n">
        <v>10</v>
      </c>
      <c r="K623" s="6" t="inlineStr">
        <is>
          <t>Chưa rõ giống (Cần quét Bio)</t>
        </is>
      </c>
      <c r="L623" s="56" t="n">
        <v>0</v>
      </c>
      <c r="M623" s="56" t="n">
        <v>5</v>
      </c>
      <c r="N623" s="6" t="inlineStr">
        <is>
          <t>Amazon link not found</t>
        </is>
      </c>
      <c r="O623" s="56">
        <f>IF(N623="Selling pet toys + Artificial grass/Pet toilets (TARGET)",15,IF(N623="Selling artificial grass/pet toilets (TARGET)",10,IF(N623="Selling pet toys",7,IF(N623="There's an Amazon link, but no target sales.",3,0))))</f>
        <v/>
      </c>
      <c r="P623" s="65">
        <f>H623+J623+L623+M623+O623</f>
        <v/>
      </c>
      <c r="Q623" s="66">
        <f>IF(OR(H623=0,P623&lt;30),"Tier D (Đóng băng)",IF(P623&gt;=85,"Tier S (Kim Cương: 85-100đ)",IF(P623&gt;=70,"Tier A (Vàng: 70-84đ)",IF(P623&gt;=61,"Tier B+ / Cấp A (Hot Lead: 61-69đ)",IF(P623&gt;=50,"Tier B (Bạc: 50-60đ)","Tier C (Đồng: 30-49đ)")))))</f>
        <v/>
      </c>
      <c r="R623" s="6" t="inlineStr">
        <is>
          <t>Khay vệ sinh chung cư (Indoor Potty) + Thảm cỏ ban công (Grass Patch) + Đồ chơi</t>
        </is>
      </c>
      <c r="S623" s="6" t="inlineStr">
        <is>
          <t>Cấp B Tiềm năng: Tiếp cận tự động qua chuỗi Email Marketing + Chăm sóc bổ sung bằng Telesale</t>
        </is>
      </c>
    </row>
    <row r="624">
      <c r="A624" s="59" t="n">
        <v>550</v>
      </c>
      <c r="B624" s="15" t="inlineStr">
        <is>
          <t>Atlas Pet Company</t>
        </is>
      </c>
      <c r="C624" s="60" t="inlineStr">
        <is>
          <t>https://www.facebook.com/atlaspetcompany</t>
        </is>
      </c>
      <c r="D624" s="9" t="inlineStr">
        <is>
          <t>Cần quét Bio Fanpage</t>
        </is>
      </c>
      <c r="E624" s="59" t="inlineStr">
        <is>
          <t>12/10/2026 23:00:25</t>
        </is>
      </c>
      <c r="F624" s="59" t="inlineStr">
        <is>
          <t>2 giờ trước</t>
        </is>
      </c>
      <c r="G624" s="61" t="n">
        <v>0.08</v>
      </c>
      <c r="H624" s="62" t="n">
        <v>35</v>
      </c>
      <c r="I624" s="9" t="inlineStr">
        <is>
          <t>Pet Owner / Cộng đồng nuôi cún (10đ)</t>
        </is>
      </c>
      <c r="J624" s="62" t="n">
        <v>10</v>
      </c>
      <c r="K624" s="9" t="inlineStr">
        <is>
          <t>Chưa rõ giống (Cần quét Bio)</t>
        </is>
      </c>
      <c r="L624" s="62" t="n">
        <v>0</v>
      </c>
      <c r="M624" s="62" t="n">
        <v>5</v>
      </c>
      <c r="N624" s="9" t="inlineStr">
        <is>
          <t>Amazon link not found</t>
        </is>
      </c>
      <c r="O624" s="62">
        <f>IF(N624="Selling pet toys + Artificial grass/Pet toilets (TARGET)",15,IF(N624="Selling artificial grass/pet toilets (TARGET)",10,IF(N624="Selling pet toys",7,IF(N624="There's an Amazon link, but no target sales.",3,0))))</f>
        <v/>
      </c>
      <c r="P624" s="67">
        <f>H624+J624+L624+M624+O624</f>
        <v/>
      </c>
      <c r="Q624" s="66">
        <f>IF(OR(H624=0,P624&lt;30),"Tier D (Đóng băng)",IF(P624&gt;=85,"Tier S (Kim Cương: 85-100đ)",IF(P624&gt;=70,"Tier A (Vàng: 70-84đ)",IF(P624&gt;=61,"Tier B+ / Cấp A (Hot Lead: 61-69đ)",IF(P624&gt;=50,"Tier B (Bạc: 50-60đ)","Tier C (Đồng: 30-49đ)")))))</f>
        <v/>
      </c>
      <c r="R624" s="9" t="inlineStr">
        <is>
          <t>Khay vệ sinh chung cư (Indoor Potty) + Thảm cỏ ban công (Grass Patch) + Đồ chơi</t>
        </is>
      </c>
      <c r="S624" s="9" t="inlineStr">
        <is>
          <t>Cấp B Tiềm năng: Tiếp cận tự động qua chuỗi Email Marketing + Chăm sóc bổ sung bằng Telesale</t>
        </is>
      </c>
    </row>
    <row r="625">
      <c r="A625" s="53" t="n">
        <v>37</v>
      </c>
      <c r="B625" s="12" t="inlineStr">
        <is>
          <t>DogPack</t>
        </is>
      </c>
      <c r="C625" s="54" t="inlineStr">
        <is>
          <t>https://www.facebook.com/officialdogpack</t>
        </is>
      </c>
      <c r="D625" s="6" t="inlineStr">
        <is>
          <t>Cần quét Bio Fanpage</t>
        </is>
      </c>
      <c r="E625" s="53" t="inlineStr">
        <is>
          <t>12/10/2026 22:20:46</t>
        </is>
      </c>
      <c r="F625" s="53" t="inlineStr">
        <is>
          <t>2 giờ trước</t>
        </is>
      </c>
      <c r="G625" s="55" t="n">
        <v>0.08</v>
      </c>
      <c r="H625" s="56" t="n">
        <v>35</v>
      </c>
      <c r="I625" s="6" t="inlineStr">
        <is>
          <t>Pet Owner / Cộng đồng nuôi cún (10đ)</t>
        </is>
      </c>
      <c r="J625" s="56" t="n">
        <v>10</v>
      </c>
      <c r="K625" s="6" t="inlineStr">
        <is>
          <t>Chưa rõ giống (Cần quét Bio)</t>
        </is>
      </c>
      <c r="L625" s="56" t="n">
        <v>0</v>
      </c>
      <c r="M625" s="56" t="n">
        <v>5</v>
      </c>
      <c r="N625" s="6" t="inlineStr">
        <is>
          <t>Amazon link not found</t>
        </is>
      </c>
      <c r="O625" s="56">
        <f>IF(N625="Selling pet toys + Artificial grass/Pet toilets (TARGET)",15,IF(N625="Selling artificial grass/pet toilets (TARGET)",10,IF(N625="Selling pet toys",7,IF(N625="There's an Amazon link, but no target sales.",3,0))))</f>
        <v/>
      </c>
      <c r="P625" s="65">
        <f>H625+J625+L625+M625+O625</f>
        <v/>
      </c>
      <c r="Q625" s="66">
        <f>IF(OR(H625=0,P625&lt;30),"Tier D (Đóng băng)",IF(P625&gt;=85,"Tier S (Kim Cương: 85-100đ)",IF(P625&gt;=70,"Tier A (Vàng: 70-84đ)",IF(P625&gt;=61,"Tier B+ / Cấp A (Hot Lead: 61-69đ)",IF(P625&gt;=50,"Tier B (Bạc: 50-60đ)","Tier C (Đồng: 30-49đ)")))))</f>
        <v/>
      </c>
      <c r="R625" s="6" t="inlineStr">
        <is>
          <t>Khay vệ sinh chung cư (Indoor Potty) + Thảm cỏ ban công (Grass Patch) + Đồ chơi</t>
        </is>
      </c>
      <c r="S625" s="6" t="inlineStr">
        <is>
          <t>Cấp B Tiềm năng: Tiếp cận tự động qua chuỗi Email Marketing + Chăm sóc bổ sung bằng Telesale</t>
        </is>
      </c>
    </row>
    <row r="626">
      <c r="A626" s="59" t="n">
        <v>3218</v>
      </c>
      <c r="B626" s="15" t="inlineStr">
        <is>
          <t>Total K9 Connection</t>
        </is>
      </c>
      <c r="C626" s="60" t="inlineStr">
        <is>
          <t>https://www.facebook.com/totalk9c</t>
        </is>
      </c>
      <c r="D626" s="9" t="inlineStr">
        <is>
          <t>Cần quét Bio Fanpage</t>
        </is>
      </c>
      <c r="E626" s="59" t="inlineStr">
        <is>
          <t>12/10/2026 03:32:36</t>
        </is>
      </c>
      <c r="F626" s="59" t="inlineStr">
        <is>
          <t>1 ngày trước</t>
        </is>
      </c>
      <c r="G626" s="61" t="n">
        <v>1</v>
      </c>
      <c r="H626" s="62" t="n">
        <v>28</v>
      </c>
      <c r="I626" s="9" t="inlineStr">
        <is>
          <t>Pet Boarding / Huấn luyện K9 &amp; Dịch vụ (20-22đ)</t>
        </is>
      </c>
      <c r="J626" s="62" t="n">
        <v>22</v>
      </c>
      <c r="K626" s="9" t="inlineStr">
        <is>
          <t>Chưa rõ giống (Cần quét Bio)</t>
        </is>
      </c>
      <c r="L626" s="62" t="n">
        <v>0</v>
      </c>
      <c r="M626" s="62" t="n">
        <v>0</v>
      </c>
      <c r="N626" s="9" t="inlineStr">
        <is>
          <t>Amazon link not found</t>
        </is>
      </c>
      <c r="O626" s="62">
        <f>IF(N626="Selling pet toys + Artificial grass/Pet toilets (TARGET)",15,IF(N626="Selling artificial grass/pet toilets (TARGET)",10,IF(N626="Selling pet toys",7,IF(N626="There's an Amazon link, but no target sales.",3,0))))</f>
        <v/>
      </c>
      <c r="P626" s="67">
        <f>H626+J626+L626+M626+O626</f>
        <v/>
      </c>
      <c r="Q626" s="66">
        <f>IF(OR(H626=0,P626&lt;30),"Tier D (Đóng băng)",IF(P626&gt;=85,"Tier S (Kim Cương: 85-100đ)",IF(P626&gt;=70,"Tier A (Vàng: 70-84đ)",IF(P626&gt;=61,"Tier B+ / Cấp A (Hot Lead: 61-69đ)",IF(P626&gt;=50,"Tier B (Bạc: 50-60đ)","Tier C (Đồng: 30-49đ)")))))</f>
        <v/>
      </c>
      <c r="R626" s="9" t="inlineStr">
        <is>
          <t>Cỏ nhân tạo sân chơi/huấn luyện (Dog Turf) + Đồ chơi nhai chịu lực (KONG/Chew Toys)</t>
        </is>
      </c>
      <c r="S626" s="9" t="inlineStr">
        <is>
          <t>Cấp B Tiềm năng: Tiếp cận tự động qua chuỗi Email Marketing + Chăm sóc bổ sung bằng Telesale</t>
        </is>
      </c>
    </row>
    <row r="627">
      <c r="A627" s="53" t="n">
        <v>3136</v>
      </c>
      <c r="B627" s="12" t="inlineStr">
        <is>
          <t>The K9 Retreat</t>
        </is>
      </c>
      <c r="C627" s="54" t="inlineStr">
        <is>
          <t>https://www.facebook.com/profile.php?id=61590253547431</t>
        </is>
      </c>
      <c r="D627" s="6" t="inlineStr">
        <is>
          <t>Cần quét Bio Fanpage</t>
        </is>
      </c>
      <c r="E627" s="53" t="inlineStr">
        <is>
          <t>12/10/2026 01:57:17</t>
        </is>
      </c>
      <c r="F627" s="53" t="inlineStr">
        <is>
          <t>1 ngày trước</t>
        </is>
      </c>
      <c r="G627" s="55" t="n">
        <v>1</v>
      </c>
      <c r="H627" s="56" t="n">
        <v>28</v>
      </c>
      <c r="I627" s="6" t="inlineStr">
        <is>
          <t>Pet Boarding / Huấn luyện K9 &amp; Dịch vụ (20-22đ)</t>
        </is>
      </c>
      <c r="J627" s="56" t="n">
        <v>22</v>
      </c>
      <c r="K627" s="6" t="inlineStr">
        <is>
          <t>Chưa rõ giống (Cần quét Bio)</t>
        </is>
      </c>
      <c r="L627" s="56" t="n">
        <v>0</v>
      </c>
      <c r="M627" s="56" t="n">
        <v>0</v>
      </c>
      <c r="N627" s="6" t="inlineStr">
        <is>
          <t>Amazon link not found</t>
        </is>
      </c>
      <c r="O627" s="56">
        <f>IF(N627="Selling pet toys + Artificial grass/Pet toilets (TARGET)",15,IF(N627="Selling artificial grass/pet toilets (TARGET)",10,IF(N627="Selling pet toys",7,IF(N627="There's an Amazon link, but no target sales.",3,0))))</f>
        <v/>
      </c>
      <c r="P627" s="65">
        <f>H627+J627+L627+M627+O627</f>
        <v/>
      </c>
      <c r="Q627" s="66">
        <f>IF(OR(H627=0,P627&lt;30),"Tier D (Đóng băng)",IF(P627&gt;=85,"Tier S (Kim Cương: 85-100đ)",IF(P627&gt;=70,"Tier A (Vàng: 70-84đ)",IF(P627&gt;=61,"Tier B+ / Cấp A (Hot Lead: 61-69đ)",IF(P627&gt;=50,"Tier B (Bạc: 50-60đ)","Tier C (Đồng: 30-49đ)")))))</f>
        <v/>
      </c>
      <c r="R627" s="6" t="inlineStr">
        <is>
          <t>Cỏ nhân tạo sân chơi/huấn luyện (Dog Turf) + Đồ chơi nhai chịu lực (KONG/Chew Toys)</t>
        </is>
      </c>
      <c r="S627" s="6" t="inlineStr">
        <is>
          <t>Cấp B Tiềm năng: Tiếp cận tự động qua chuỗi Email Marketing + Chăm sóc bổ sung bằng Telesale</t>
        </is>
      </c>
    </row>
    <row r="628">
      <c r="A628" s="59" t="n">
        <v>1382</v>
      </c>
      <c r="B628" s="15" t="inlineStr">
        <is>
          <t>Find Your Balance Dog Training</t>
        </is>
      </c>
      <c r="C628" s="60" t="inlineStr">
        <is>
          <t>https://www.facebook.com/findyourbalancedogtraining</t>
        </is>
      </c>
      <c r="D628" s="9" t="inlineStr">
        <is>
          <t>Cần quét Bio Fanpage</t>
        </is>
      </c>
      <c r="E628" s="59" t="inlineStr">
        <is>
          <t>12/10/2026 00:52:17</t>
        </is>
      </c>
      <c r="F628" s="59" t="inlineStr">
        <is>
          <t>1 ngày trước</t>
        </is>
      </c>
      <c r="G628" s="61" t="n">
        <v>1</v>
      </c>
      <c r="H628" s="62" t="n">
        <v>28</v>
      </c>
      <c r="I628" s="9" t="inlineStr">
        <is>
          <t>Pet Boarding / Huấn luyện K9 &amp; Dịch vụ (20-22đ)</t>
        </is>
      </c>
      <c r="J628" s="62" t="n">
        <v>22</v>
      </c>
      <c r="K628" s="9" t="inlineStr">
        <is>
          <t>Chưa rõ giống (Cần quét Bio)</t>
        </is>
      </c>
      <c r="L628" s="62" t="n">
        <v>0</v>
      </c>
      <c r="M628" s="62" t="n">
        <v>0</v>
      </c>
      <c r="N628" s="9" t="inlineStr">
        <is>
          <t>Amazon link not found</t>
        </is>
      </c>
      <c r="O628" s="62">
        <f>IF(N628="Selling pet toys + Artificial grass/Pet toilets (TARGET)",15,IF(N628="Selling artificial grass/pet toilets (TARGET)",10,IF(N628="Selling pet toys",7,IF(N628="There's an Amazon link, but no target sales.",3,0))))</f>
        <v/>
      </c>
      <c r="P628" s="67">
        <f>H628+J628+L628+M628+O628</f>
        <v/>
      </c>
      <c r="Q628" s="66">
        <f>IF(OR(H628=0,P628&lt;30),"Tier D (Đóng băng)",IF(P628&gt;=85,"Tier S (Kim Cương: 85-100đ)",IF(P628&gt;=70,"Tier A (Vàng: 70-84đ)",IF(P628&gt;=61,"Tier B+ / Cấp A (Hot Lead: 61-69đ)",IF(P628&gt;=50,"Tier B (Bạc: 50-60đ)","Tier C (Đồng: 30-49đ)")))))</f>
        <v/>
      </c>
      <c r="R628" s="9" t="inlineStr">
        <is>
          <t>Cỏ nhân tạo sân chơi/huấn luyện (Dog Turf) + Đồ chơi nhai chịu lực (KONG/Chew Toys)</t>
        </is>
      </c>
      <c r="S628" s="9" t="inlineStr">
        <is>
          <t>Cấp B Tiềm năng: Tiếp cận tự động qua chuỗi Email Marketing + Chăm sóc bổ sung bằng Telesale</t>
        </is>
      </c>
    </row>
    <row r="629">
      <c r="A629" s="53" t="n">
        <v>960</v>
      </c>
      <c r="B629" s="12" t="inlineStr">
        <is>
          <t>Creative K9</t>
        </is>
      </c>
      <c r="C629" s="54" t="inlineStr">
        <is>
          <t>https://www.facebook.com/ChanieceDesrochersGrooming</t>
        </is>
      </c>
      <c r="D629" s="6" t="inlineStr">
        <is>
          <t>Cần quét Bio Fanpage</t>
        </is>
      </c>
      <c r="E629" s="53" t="inlineStr">
        <is>
          <t>11/10/2026 23:19:57</t>
        </is>
      </c>
      <c r="F629" s="53" t="inlineStr">
        <is>
          <t>1 ngày trước</t>
        </is>
      </c>
      <c r="G629" s="55" t="n">
        <v>1</v>
      </c>
      <c r="H629" s="56" t="n">
        <v>28</v>
      </c>
      <c r="I629" s="6" t="inlineStr">
        <is>
          <t>Pet Boarding / Huấn luyện K9 &amp; Dịch vụ (20-22đ)</t>
        </is>
      </c>
      <c r="J629" s="56" t="n">
        <v>22</v>
      </c>
      <c r="K629" s="6" t="inlineStr">
        <is>
          <t>Chưa rõ giống (Cần quét Bio)</t>
        </is>
      </c>
      <c r="L629" s="56" t="n">
        <v>0</v>
      </c>
      <c r="M629" s="56" t="n">
        <v>0</v>
      </c>
      <c r="N629" s="6" t="inlineStr">
        <is>
          <t>Amazon link not found</t>
        </is>
      </c>
      <c r="O629" s="56">
        <f>IF(N629="Selling pet toys + Artificial grass/Pet toilets (TARGET)",15,IF(N629="Selling artificial grass/pet toilets (TARGET)",10,IF(N629="Selling pet toys",7,IF(N629="There's an Amazon link, but no target sales.",3,0))))</f>
        <v/>
      </c>
      <c r="P629" s="65">
        <f>H629+J629+L629+M629+O629</f>
        <v/>
      </c>
      <c r="Q629" s="66">
        <f>IF(OR(H629=0,P629&lt;30),"Tier D (Đóng băng)",IF(P629&gt;=85,"Tier S (Kim Cương: 85-100đ)",IF(P629&gt;=70,"Tier A (Vàng: 70-84đ)",IF(P629&gt;=61,"Tier B+ / Cấp A (Hot Lead: 61-69đ)",IF(P629&gt;=50,"Tier B (Bạc: 50-60đ)","Tier C (Đồng: 30-49đ)")))))</f>
        <v/>
      </c>
      <c r="R629" s="6" t="inlineStr">
        <is>
          <t>Cỏ nhân tạo sân chơi/huấn luyện (Dog Turf) + Đồ chơi nhai chịu lực (KONG/Chew Toys)</t>
        </is>
      </c>
      <c r="S629" s="6" t="inlineStr">
        <is>
          <t>Cấp B Tiềm năng: Tiếp cận tự động qua chuỗi Email Marketing + Chăm sóc bổ sung bằng Telesale</t>
        </is>
      </c>
    </row>
    <row r="630">
      <c r="A630" s="59" t="n">
        <v>2053</v>
      </c>
      <c r="B630" s="15" t="inlineStr">
        <is>
          <t>Loque K9</t>
        </is>
      </c>
      <c r="C630" s="60" t="inlineStr">
        <is>
          <t>https://www.facebook.com/profile.php?id=61557159721172</t>
        </is>
      </c>
      <c r="D630" s="9" t="inlineStr">
        <is>
          <t>Cần quét Bio Fanpage</t>
        </is>
      </c>
      <c r="E630" s="59" t="inlineStr">
        <is>
          <t>11/10/2026 23:00:19</t>
        </is>
      </c>
      <c r="F630" s="59" t="inlineStr">
        <is>
          <t>1 ngày trước</t>
        </is>
      </c>
      <c r="G630" s="61" t="n">
        <v>1</v>
      </c>
      <c r="H630" s="62" t="n">
        <v>28</v>
      </c>
      <c r="I630" s="9" t="inlineStr">
        <is>
          <t>Pet Boarding / Huấn luyện K9 &amp; Dịch vụ (20-22đ)</t>
        </is>
      </c>
      <c r="J630" s="62" t="n">
        <v>22</v>
      </c>
      <c r="K630" s="9" t="inlineStr">
        <is>
          <t>Chưa rõ giống (Cần quét Bio)</t>
        </is>
      </c>
      <c r="L630" s="62" t="n">
        <v>0</v>
      </c>
      <c r="M630" s="62" t="n">
        <v>0</v>
      </c>
      <c r="N630" s="9" t="inlineStr">
        <is>
          <t>Amazon link not found</t>
        </is>
      </c>
      <c r="O630" s="62">
        <f>IF(N630="Selling pet toys + Artificial grass/Pet toilets (TARGET)",15,IF(N630="Selling artificial grass/pet toilets (TARGET)",10,IF(N630="Selling pet toys",7,IF(N630="There's an Amazon link, but no target sales.",3,0))))</f>
        <v/>
      </c>
      <c r="P630" s="67">
        <f>H630+J630+L630+M630+O630</f>
        <v/>
      </c>
      <c r="Q630" s="66">
        <f>IF(OR(H630=0,P630&lt;30),"Tier D (Đóng băng)",IF(P630&gt;=85,"Tier S (Kim Cương: 85-100đ)",IF(P630&gt;=70,"Tier A (Vàng: 70-84đ)",IF(P630&gt;=61,"Tier B+ / Cấp A (Hot Lead: 61-69đ)",IF(P630&gt;=50,"Tier B (Bạc: 50-60đ)","Tier C (Đồng: 30-49đ)")))))</f>
        <v/>
      </c>
      <c r="R630" s="9" t="inlineStr">
        <is>
          <t>Cỏ nhân tạo sân chơi/huấn luyện (Dog Turf) + Đồ chơi nhai chịu lực (KONG/Chew Toys)</t>
        </is>
      </c>
      <c r="S630" s="9" t="inlineStr">
        <is>
          <t>Cấp B Tiềm năng: Tiếp cận tự động qua chuỗi Email Marketing + Chăm sóc bổ sung bằng Telesale</t>
        </is>
      </c>
    </row>
    <row r="631">
      <c r="A631" s="53" t="n">
        <v>1809</v>
      </c>
      <c r="B631" s="12" t="inlineStr">
        <is>
          <t>K9 JETS</t>
        </is>
      </c>
      <c r="C631" s="54" t="inlineStr">
        <is>
          <t>https://www.facebook.com/k9jets</t>
        </is>
      </c>
      <c r="D631" s="6" t="inlineStr">
        <is>
          <t>Cần quét Bio Fanpage</t>
        </is>
      </c>
      <c r="E631" s="53" t="inlineStr">
        <is>
          <t>11/10/2026 21:45:57</t>
        </is>
      </c>
      <c r="F631" s="53" t="inlineStr">
        <is>
          <t>1 ngày trước</t>
        </is>
      </c>
      <c r="G631" s="55" t="n">
        <v>1</v>
      </c>
      <c r="H631" s="56" t="n">
        <v>28</v>
      </c>
      <c r="I631" s="6" t="inlineStr">
        <is>
          <t>Pet Boarding / Huấn luyện K9 &amp; Dịch vụ (20-22đ)</t>
        </is>
      </c>
      <c r="J631" s="56" t="n">
        <v>22</v>
      </c>
      <c r="K631" s="6" t="inlineStr">
        <is>
          <t>Chưa rõ giống (Cần quét Bio)</t>
        </is>
      </c>
      <c r="L631" s="56" t="n">
        <v>0</v>
      </c>
      <c r="M631" s="56" t="n">
        <v>0</v>
      </c>
      <c r="N631" s="6" t="inlineStr">
        <is>
          <t>Amazon link not found</t>
        </is>
      </c>
      <c r="O631" s="56">
        <f>IF(N631="Selling pet toys + Artificial grass/Pet toilets (TARGET)",15,IF(N631="Selling artificial grass/pet toilets (TARGET)",10,IF(N631="Selling pet toys",7,IF(N631="There's an Amazon link, but no target sales.",3,0))))</f>
        <v/>
      </c>
      <c r="P631" s="65">
        <f>H631+J631+L631+M631+O631</f>
        <v/>
      </c>
      <c r="Q631" s="66">
        <f>IF(OR(H631=0,P631&lt;30),"Tier D (Đóng băng)",IF(P631&gt;=85,"Tier S (Kim Cương: 85-100đ)",IF(P631&gt;=70,"Tier A (Vàng: 70-84đ)",IF(P631&gt;=61,"Tier B+ / Cấp A (Hot Lead: 61-69đ)",IF(P631&gt;=50,"Tier B (Bạc: 50-60đ)","Tier C (Đồng: 30-49đ)")))))</f>
        <v/>
      </c>
      <c r="R631" s="6" t="inlineStr">
        <is>
          <t>Cỏ nhân tạo sân chơi/huấn luyện (Dog Turf) + Đồ chơi nhai chịu lực (KONG/Chew Toys)</t>
        </is>
      </c>
      <c r="S631" s="6" t="inlineStr">
        <is>
          <t>Cấp B Tiềm năng: Tiếp cận tự động qua chuỗi Email Marketing + Chăm sóc bổ sung bằng Telesale</t>
        </is>
      </c>
    </row>
    <row r="632">
      <c r="A632" s="59" t="n">
        <v>289</v>
      </c>
      <c r="B632" s="15" t="inlineStr">
        <is>
          <t>West Lancs K9 Splash &amp; Hydro</t>
        </is>
      </c>
      <c r="C632" s="60" t="inlineStr">
        <is>
          <t>https://www.facebook.com/profile.php?id=61580987213139</t>
        </is>
      </c>
      <c r="D632" s="9" t="inlineStr">
        <is>
          <t>Cần quét Bio Fanpage</t>
        </is>
      </c>
      <c r="E632" s="59" t="inlineStr">
        <is>
          <t>11/10/2026 21:27:33</t>
        </is>
      </c>
      <c r="F632" s="59" t="inlineStr">
        <is>
          <t>1 ngày trước</t>
        </is>
      </c>
      <c r="G632" s="61" t="n">
        <v>1</v>
      </c>
      <c r="H632" s="62" t="n">
        <v>28</v>
      </c>
      <c r="I632" s="9" t="inlineStr">
        <is>
          <t>Pet Boarding / Huấn luyện K9 &amp; Dịch vụ (20-22đ)</t>
        </is>
      </c>
      <c r="J632" s="62" t="n">
        <v>22</v>
      </c>
      <c r="K632" s="9" t="inlineStr">
        <is>
          <t>Chưa rõ giống (Cần quét Bio)</t>
        </is>
      </c>
      <c r="L632" s="62" t="n">
        <v>0</v>
      </c>
      <c r="M632" s="62" t="n">
        <v>0</v>
      </c>
      <c r="N632" s="9" t="inlineStr">
        <is>
          <t>Amazon link not found</t>
        </is>
      </c>
      <c r="O632" s="62">
        <f>IF(N632="Selling pet toys + Artificial grass/Pet toilets (TARGET)",15,IF(N632="Selling artificial grass/pet toilets (TARGET)",10,IF(N632="Selling pet toys",7,IF(N632="There's an Amazon link, but no target sales.",3,0))))</f>
        <v/>
      </c>
      <c r="P632" s="67">
        <f>H632+J632+L632+M632+O632</f>
        <v/>
      </c>
      <c r="Q632" s="66">
        <f>IF(OR(H632=0,P632&lt;30),"Tier D (Đóng băng)",IF(P632&gt;=85,"Tier S (Kim Cương: 85-100đ)",IF(P632&gt;=70,"Tier A (Vàng: 70-84đ)",IF(P632&gt;=61,"Tier B+ / Cấp A (Hot Lead: 61-69đ)",IF(P632&gt;=50,"Tier B (Bạc: 50-60đ)","Tier C (Đồng: 30-49đ)")))))</f>
        <v/>
      </c>
      <c r="R632" s="9" t="inlineStr">
        <is>
          <t>Cỏ nhân tạo sân chơi/huấn luyện (Dog Turf) + Đồ chơi nhai chịu lực (KONG/Chew Toys)</t>
        </is>
      </c>
      <c r="S632" s="9" t="inlineStr">
        <is>
          <t>Cấp B Tiềm năng: Tiếp cận tự động qua chuỗi Email Marketing + Chăm sóc bổ sung bằng Telesale</t>
        </is>
      </c>
    </row>
    <row r="633">
      <c r="A633" s="53" t="n">
        <v>2115</v>
      </c>
      <c r="B633" s="12" t="inlineStr">
        <is>
          <t>Mandy Wood Dog Training/Groomer</t>
        </is>
      </c>
      <c r="C633" s="54" t="inlineStr">
        <is>
          <t>https://www.facebook.com/trainingtipsfordogs</t>
        </is>
      </c>
      <c r="D633" s="6" t="inlineStr">
        <is>
          <t>Cần quét Bio Fanpage</t>
        </is>
      </c>
      <c r="E633" s="53" t="inlineStr">
        <is>
          <t>11/10/2026 10:05:19</t>
        </is>
      </c>
      <c r="F633" s="53" t="inlineStr">
        <is>
          <t>1 ngày trước</t>
        </is>
      </c>
      <c r="G633" s="55" t="n">
        <v>1</v>
      </c>
      <c r="H633" s="56" t="n">
        <v>28</v>
      </c>
      <c r="I633" s="6" t="inlineStr">
        <is>
          <t>Pet Boarding / Huấn luyện K9 &amp; Dịch vụ (20-22đ)</t>
        </is>
      </c>
      <c r="J633" s="56" t="n">
        <v>22</v>
      </c>
      <c r="K633" s="6" t="inlineStr">
        <is>
          <t>Chưa rõ giống (Cần quét Bio)</t>
        </is>
      </c>
      <c r="L633" s="56" t="n">
        <v>0</v>
      </c>
      <c r="M633" s="56" t="n">
        <v>0</v>
      </c>
      <c r="N633" s="6" t="inlineStr">
        <is>
          <t>Amazon link not found</t>
        </is>
      </c>
      <c r="O633" s="56">
        <f>IF(N633="Selling pet toys + Artificial grass/Pet toilets (TARGET)",15,IF(N633="Selling artificial grass/pet toilets (TARGET)",10,IF(N633="Selling pet toys",7,IF(N633="There's an Amazon link, but no target sales.",3,0))))</f>
        <v/>
      </c>
      <c r="P633" s="65">
        <f>H633+J633+L633+M633+O633</f>
        <v/>
      </c>
      <c r="Q633" s="66">
        <f>IF(OR(H633=0,P633&lt;30),"Tier D (Đóng băng)",IF(P633&gt;=85,"Tier S (Kim Cương: 85-100đ)",IF(P633&gt;=70,"Tier A (Vàng: 70-84đ)",IF(P633&gt;=61,"Tier B+ / Cấp A (Hot Lead: 61-69đ)",IF(P633&gt;=50,"Tier B (Bạc: 50-60đ)","Tier C (Đồng: 30-49đ)")))))</f>
        <v/>
      </c>
      <c r="R633" s="6" t="inlineStr">
        <is>
          <t>Cỏ nhân tạo sân chơi/huấn luyện (Dog Turf) + Đồ chơi nhai chịu lực (KONG/Chew Toys)</t>
        </is>
      </c>
      <c r="S633" s="6" t="inlineStr">
        <is>
          <t>Cấp B Tiềm năng: Tiếp cận tự động qua chuỗi Email Marketing + Chăm sóc bổ sung bằng Telesale</t>
        </is>
      </c>
    </row>
    <row r="634">
      <c r="A634" s="59" t="n">
        <v>3181</v>
      </c>
      <c r="B634" s="15" t="inlineStr">
        <is>
          <t>Three Rivers Community Schools K9 Comfort Crew</t>
        </is>
      </c>
      <c r="C634" s="60" t="inlineStr">
        <is>
          <t>https://www.facebook.com/TRCSK9Comfort</t>
        </is>
      </c>
      <c r="D634" s="9" t="inlineStr">
        <is>
          <t>Cần quét Bio Fanpage</t>
        </is>
      </c>
      <c r="E634" s="59" t="inlineStr">
        <is>
          <t>11/10/2026 06:11:33</t>
        </is>
      </c>
      <c r="F634" s="59" t="inlineStr">
        <is>
          <t>2 ngày trước</t>
        </is>
      </c>
      <c r="G634" s="61" t="n">
        <v>2</v>
      </c>
      <c r="H634" s="62" t="n">
        <v>28</v>
      </c>
      <c r="I634" s="9" t="inlineStr">
        <is>
          <t>Pet Boarding / Huấn luyện K9 &amp; Dịch vụ (20-22đ)</t>
        </is>
      </c>
      <c r="J634" s="62" t="n">
        <v>22</v>
      </c>
      <c r="K634" s="9" t="inlineStr">
        <is>
          <t>Chưa rõ giống (Cần quét Bio)</t>
        </is>
      </c>
      <c r="L634" s="62" t="n">
        <v>0</v>
      </c>
      <c r="M634" s="62" t="n">
        <v>0</v>
      </c>
      <c r="N634" s="9" t="inlineStr">
        <is>
          <t>Amazon link not found</t>
        </is>
      </c>
      <c r="O634" s="62">
        <f>IF(N634="Selling pet toys + Artificial grass/Pet toilets (TARGET)",15,IF(N634="Selling artificial grass/pet toilets (TARGET)",10,IF(N634="Selling pet toys",7,IF(N634="There's an Amazon link, but no target sales.",3,0))))</f>
        <v/>
      </c>
      <c r="P634" s="67">
        <f>H634+J634+L634+M634+O634</f>
        <v/>
      </c>
      <c r="Q634" s="66">
        <f>IF(OR(H634=0,P634&lt;30),"Tier D (Đóng băng)",IF(P634&gt;=85,"Tier S (Kim Cương: 85-100đ)",IF(P634&gt;=70,"Tier A (Vàng: 70-84đ)",IF(P634&gt;=61,"Tier B+ / Cấp A (Hot Lead: 61-69đ)",IF(P634&gt;=50,"Tier B (Bạc: 50-60đ)","Tier C (Đồng: 30-49đ)")))))</f>
        <v/>
      </c>
      <c r="R634" s="9" t="inlineStr">
        <is>
          <t>Cỏ nhân tạo sân chơi/huấn luyện (Dog Turf) + Đồ chơi nhai chịu lực (KONG/Chew Toys)</t>
        </is>
      </c>
      <c r="S634" s="9" t="inlineStr">
        <is>
          <t>Cấp B Tiềm năng: Tiếp cận tự động qua chuỗi Email Marketing + Chăm sóc bổ sung bằng Telesale</t>
        </is>
      </c>
    </row>
    <row r="635">
      <c r="A635" s="53" t="n">
        <v>2419</v>
      </c>
      <c r="B635" s="12" t="inlineStr">
        <is>
          <t>Pawsitive Chance Dog Training</t>
        </is>
      </c>
      <c r="C635" s="54" t="inlineStr">
        <is>
          <t>https://www.facebook.com/pawsitivechancedogtraining</t>
        </is>
      </c>
      <c r="D635" s="6" t="inlineStr">
        <is>
          <t>Cần quét Bio Fanpage</t>
        </is>
      </c>
      <c r="E635" s="53" t="inlineStr">
        <is>
          <t>11/10/2026 06:00:30</t>
        </is>
      </c>
      <c r="F635" s="53" t="inlineStr">
        <is>
          <t>1 ngày trước</t>
        </is>
      </c>
      <c r="G635" s="55" t="n">
        <v>1</v>
      </c>
      <c r="H635" s="56" t="n">
        <v>28</v>
      </c>
      <c r="I635" s="6" t="inlineStr">
        <is>
          <t>Pet Boarding / Huấn luyện K9 &amp; Dịch vụ (20-22đ)</t>
        </is>
      </c>
      <c r="J635" s="56" t="n">
        <v>22</v>
      </c>
      <c r="K635" s="6" t="inlineStr">
        <is>
          <t>Chưa rõ giống (Cần quét Bio)</t>
        </is>
      </c>
      <c r="L635" s="56" t="n">
        <v>0</v>
      </c>
      <c r="M635" s="56" t="n">
        <v>0</v>
      </c>
      <c r="N635" s="6" t="inlineStr">
        <is>
          <t>Amazon link not found</t>
        </is>
      </c>
      <c r="O635" s="56">
        <f>IF(N635="Selling pet toys + Artificial grass/Pet toilets (TARGET)",15,IF(N635="Selling artificial grass/pet toilets (TARGET)",10,IF(N635="Selling pet toys",7,IF(N635="There's an Amazon link, but no target sales.",3,0))))</f>
        <v/>
      </c>
      <c r="P635" s="65">
        <f>H635+J635+L635+M635+O635</f>
        <v/>
      </c>
      <c r="Q635" s="66">
        <f>IF(OR(H635=0,P635&lt;30),"Tier D (Đóng băng)",IF(P635&gt;=85,"Tier S (Kim Cương: 85-100đ)",IF(P635&gt;=70,"Tier A (Vàng: 70-84đ)",IF(P635&gt;=61,"Tier B+ / Cấp A (Hot Lead: 61-69đ)",IF(P635&gt;=50,"Tier B (Bạc: 50-60đ)","Tier C (Đồng: 30-49đ)")))))</f>
        <v/>
      </c>
      <c r="R635" s="6" t="inlineStr">
        <is>
          <t>Cỏ nhân tạo sân chơi/huấn luyện (Dog Turf) + Đồ chơi nhai chịu lực (KONG/Chew Toys)</t>
        </is>
      </c>
      <c r="S635" s="6" t="inlineStr">
        <is>
          <t>Cấp B Tiềm năng: Tiếp cận tự động qua chuỗi Email Marketing + Chăm sóc bổ sung bằng Telesale</t>
        </is>
      </c>
    </row>
    <row r="636">
      <c r="A636" s="59" t="n">
        <v>2882</v>
      </c>
      <c r="B636" s="15" t="inlineStr">
        <is>
          <t>Shickle K9, Illinois Dog Training</t>
        </is>
      </c>
      <c r="C636" s="60" t="inlineStr">
        <is>
          <t>https://www.facebook.com/Shicklek9</t>
        </is>
      </c>
      <c r="D636" s="9" t="inlineStr">
        <is>
          <t>Cần quét Bio Fanpage</t>
        </is>
      </c>
      <c r="E636" s="59" t="inlineStr">
        <is>
          <t>11/10/2026 02:35:09</t>
        </is>
      </c>
      <c r="F636" s="59" t="inlineStr">
        <is>
          <t>2 ngày trước</t>
        </is>
      </c>
      <c r="G636" s="61" t="n">
        <v>2</v>
      </c>
      <c r="H636" s="62" t="n">
        <v>28</v>
      </c>
      <c r="I636" s="9" t="inlineStr">
        <is>
          <t>Pet Boarding / Huấn luyện K9 &amp; Dịch vụ (20-22đ)</t>
        </is>
      </c>
      <c r="J636" s="62" t="n">
        <v>22</v>
      </c>
      <c r="K636" s="9" t="inlineStr">
        <is>
          <t>Chưa rõ giống (Cần quét Bio)</t>
        </is>
      </c>
      <c r="L636" s="62" t="n">
        <v>0</v>
      </c>
      <c r="M636" s="62" t="n">
        <v>0</v>
      </c>
      <c r="N636" s="9" t="inlineStr">
        <is>
          <t>Amazon link not found</t>
        </is>
      </c>
      <c r="O636" s="62">
        <f>IF(N636="Selling pet toys + Artificial grass/Pet toilets (TARGET)",15,IF(N636="Selling artificial grass/pet toilets (TARGET)",10,IF(N636="Selling pet toys",7,IF(N636="There's an Amazon link, but no target sales.",3,0))))</f>
        <v/>
      </c>
      <c r="P636" s="67">
        <f>H636+J636+L636+M636+O636</f>
        <v/>
      </c>
      <c r="Q636" s="66">
        <f>IF(OR(H636=0,P636&lt;30),"Tier D (Đóng băng)",IF(P636&gt;=85,"Tier S (Kim Cương: 85-100đ)",IF(P636&gt;=70,"Tier A (Vàng: 70-84đ)",IF(P636&gt;=61,"Tier B+ / Cấp A (Hot Lead: 61-69đ)",IF(P636&gt;=50,"Tier B (Bạc: 50-60đ)","Tier C (Đồng: 30-49đ)")))))</f>
        <v/>
      </c>
      <c r="R636" s="9" t="inlineStr">
        <is>
          <t>Cỏ nhân tạo sân chơi/huấn luyện (Dog Turf) + Đồ chơi nhai chịu lực (KONG/Chew Toys)</t>
        </is>
      </c>
      <c r="S636" s="9" t="inlineStr">
        <is>
          <t>Cấp B Tiềm năng: Tiếp cận tự động qua chuỗi Email Marketing + Chăm sóc bổ sung bằng Telesale</t>
        </is>
      </c>
    </row>
    <row r="637">
      <c r="A637" s="53" t="n">
        <v>745</v>
      </c>
      <c r="B637" s="12" t="inlineStr">
        <is>
          <t>Bound Ahead Dog Training</t>
        </is>
      </c>
      <c r="C637" s="54" t="inlineStr">
        <is>
          <t>https://www.facebook.com/profile.php?id=61558421985910</t>
        </is>
      </c>
      <c r="D637" s="6" t="inlineStr">
        <is>
          <t>Cần quét Bio Fanpage</t>
        </is>
      </c>
      <c r="E637" s="53" t="inlineStr">
        <is>
          <t>11/10/2026 00:38:02</t>
        </is>
      </c>
      <c r="F637" s="53" t="inlineStr">
        <is>
          <t>2 ngày trước</t>
        </is>
      </c>
      <c r="G637" s="55" t="n">
        <v>2</v>
      </c>
      <c r="H637" s="56" t="n">
        <v>28</v>
      </c>
      <c r="I637" s="6" t="inlineStr">
        <is>
          <t>Pet Boarding / Huấn luyện K9 &amp; Dịch vụ (20-22đ)</t>
        </is>
      </c>
      <c r="J637" s="56" t="n">
        <v>22</v>
      </c>
      <c r="K637" s="6" t="inlineStr">
        <is>
          <t>Chưa rõ giống (Cần quét Bio)</t>
        </is>
      </c>
      <c r="L637" s="56" t="n">
        <v>0</v>
      </c>
      <c r="M637" s="56" t="n">
        <v>0</v>
      </c>
      <c r="N637" s="6" t="inlineStr">
        <is>
          <t>Amazon link not found</t>
        </is>
      </c>
      <c r="O637" s="56">
        <f>IF(N637="Selling pet toys + Artificial grass/Pet toilets (TARGET)",15,IF(N637="Selling artificial grass/pet toilets (TARGET)",10,IF(N637="Selling pet toys",7,IF(N637="There's an Amazon link, but no target sales.",3,0))))</f>
        <v/>
      </c>
      <c r="P637" s="65">
        <f>H637+J637+L637+M637+O637</f>
        <v/>
      </c>
      <c r="Q637" s="66">
        <f>IF(OR(H637=0,P637&lt;30),"Tier D (Đóng băng)",IF(P637&gt;=85,"Tier S (Kim Cương: 85-100đ)",IF(P637&gt;=70,"Tier A (Vàng: 70-84đ)",IF(P637&gt;=61,"Tier B+ / Cấp A (Hot Lead: 61-69đ)",IF(P637&gt;=50,"Tier B (Bạc: 50-60đ)","Tier C (Đồng: 30-49đ)")))))</f>
        <v/>
      </c>
      <c r="R637" s="6" t="inlineStr">
        <is>
          <t>Cỏ nhân tạo sân chơi/huấn luyện (Dog Turf) + Đồ chơi nhai chịu lực (KONG/Chew Toys)</t>
        </is>
      </c>
      <c r="S637" s="6" t="inlineStr">
        <is>
          <t>Cấp B Tiềm năng: Tiếp cận tự động qua chuỗi Email Marketing + Chăm sóc bổ sung bằng Telesale</t>
        </is>
      </c>
    </row>
    <row r="638">
      <c r="A638" s="59" t="n">
        <v>3046</v>
      </c>
      <c r="B638" s="15" t="inlineStr">
        <is>
          <t>Synchro Dog Training</t>
        </is>
      </c>
      <c r="C638" s="60" t="inlineStr">
        <is>
          <t>https://www.facebook.com/synchrodog</t>
        </is>
      </c>
      <c r="D638" s="9" t="inlineStr">
        <is>
          <t>Cần quét Bio Fanpage</t>
        </is>
      </c>
      <c r="E638" s="59" t="inlineStr">
        <is>
          <t>10/10/2026 23:11:46</t>
        </is>
      </c>
      <c r="F638" s="59" t="inlineStr">
        <is>
          <t>2 ngày trước</t>
        </is>
      </c>
      <c r="G638" s="61" t="n">
        <v>2</v>
      </c>
      <c r="H638" s="62" t="n">
        <v>28</v>
      </c>
      <c r="I638" s="9" t="inlineStr">
        <is>
          <t>Pet Boarding / Huấn luyện K9 &amp; Dịch vụ (20-22đ)</t>
        </is>
      </c>
      <c r="J638" s="62" t="n">
        <v>22</v>
      </c>
      <c r="K638" s="9" t="inlineStr">
        <is>
          <t>Chưa rõ giống (Cần quét Bio)</t>
        </is>
      </c>
      <c r="L638" s="62" t="n">
        <v>0</v>
      </c>
      <c r="M638" s="62" t="n">
        <v>0</v>
      </c>
      <c r="N638" s="9" t="inlineStr">
        <is>
          <t>Amazon link not found</t>
        </is>
      </c>
      <c r="O638" s="62">
        <f>IF(N638="Selling pet toys + Artificial grass/Pet toilets (TARGET)",15,IF(N638="Selling artificial grass/pet toilets (TARGET)",10,IF(N638="Selling pet toys",7,IF(N638="There's an Amazon link, but no target sales.",3,0))))</f>
        <v/>
      </c>
      <c r="P638" s="67">
        <f>H638+J638+L638+M638+O638</f>
        <v/>
      </c>
      <c r="Q638" s="66">
        <f>IF(OR(H638=0,P638&lt;30),"Tier D (Đóng băng)",IF(P638&gt;=85,"Tier S (Kim Cương: 85-100đ)",IF(P638&gt;=70,"Tier A (Vàng: 70-84đ)",IF(P638&gt;=61,"Tier B+ / Cấp A (Hot Lead: 61-69đ)",IF(P638&gt;=50,"Tier B (Bạc: 50-60đ)","Tier C (Đồng: 30-49đ)")))))</f>
        <v/>
      </c>
      <c r="R638" s="9" t="inlineStr">
        <is>
          <t>Cỏ nhân tạo sân chơi/huấn luyện (Dog Turf) + Đồ chơi nhai chịu lực (KONG/Chew Toys)</t>
        </is>
      </c>
      <c r="S638" s="9" t="inlineStr">
        <is>
          <t>Cấp B Tiềm năng: Tiếp cận tự động qua chuỗi Email Marketing + Chăm sóc bổ sung bằng Telesale</t>
        </is>
      </c>
    </row>
    <row r="639">
      <c r="A639" s="53" t="n">
        <v>1824</v>
      </c>
      <c r="B639" s="12" t="inlineStr">
        <is>
          <t>K9 Thor</t>
        </is>
      </c>
      <c r="C639" s="54" t="inlineStr">
        <is>
          <t>https://www.facebook.com/profile.php?id=61583344166692</t>
        </is>
      </c>
      <c r="D639" s="6" t="inlineStr">
        <is>
          <t>Cần quét Bio Fanpage</t>
        </is>
      </c>
      <c r="E639" s="53" t="inlineStr">
        <is>
          <t>10/10/2026 23:05:18</t>
        </is>
      </c>
      <c r="F639" s="53" t="inlineStr">
        <is>
          <t>2 ngày trước</t>
        </is>
      </c>
      <c r="G639" s="55" t="n">
        <v>2</v>
      </c>
      <c r="H639" s="56" t="n">
        <v>28</v>
      </c>
      <c r="I639" s="6" t="inlineStr">
        <is>
          <t>Pet Boarding / Huấn luyện K9 &amp; Dịch vụ (20-22đ)</t>
        </is>
      </c>
      <c r="J639" s="56" t="n">
        <v>22</v>
      </c>
      <c r="K639" s="6" t="inlineStr">
        <is>
          <t>Chưa rõ giống (Cần quét Bio)</t>
        </is>
      </c>
      <c r="L639" s="56" t="n">
        <v>0</v>
      </c>
      <c r="M639" s="56" t="n">
        <v>0</v>
      </c>
      <c r="N639" s="6" t="inlineStr">
        <is>
          <t>Amazon link not found</t>
        </is>
      </c>
      <c r="O639" s="56">
        <f>IF(N639="Selling pet toys + Artificial grass/Pet toilets (TARGET)",15,IF(N639="Selling artificial grass/pet toilets (TARGET)",10,IF(N639="Selling pet toys",7,IF(N639="There's an Amazon link, but no target sales.",3,0))))</f>
        <v/>
      </c>
      <c r="P639" s="65">
        <f>H639+J639+L639+M639+O639</f>
        <v/>
      </c>
      <c r="Q639" s="66">
        <f>IF(OR(H639=0,P639&lt;30),"Tier D (Đóng băng)",IF(P639&gt;=85,"Tier S (Kim Cương: 85-100đ)",IF(P639&gt;=70,"Tier A (Vàng: 70-84đ)",IF(P639&gt;=61,"Tier B+ / Cấp A (Hot Lead: 61-69đ)",IF(P639&gt;=50,"Tier B (Bạc: 50-60đ)","Tier C (Đồng: 30-49đ)")))))</f>
        <v/>
      </c>
      <c r="R639" s="6" t="inlineStr">
        <is>
          <t>Cỏ nhân tạo sân chơi/huấn luyện (Dog Turf) + Đồ chơi nhai chịu lực (KONG/Chew Toys)</t>
        </is>
      </c>
      <c r="S639" s="6" t="inlineStr">
        <is>
          <t>Cấp B Tiềm năng: Tiếp cận tự động qua chuỗi Email Marketing + Chăm sóc bổ sung bằng Telesale</t>
        </is>
      </c>
    </row>
    <row r="640">
      <c r="A640" s="59" t="n">
        <v>2600</v>
      </c>
      <c r="B640" s="15" t="inlineStr">
        <is>
          <t>Poplar Reserve Dog Training</t>
        </is>
      </c>
      <c r="C640" s="60" t="inlineStr">
        <is>
          <t>https://www.facebook.com/100091574593586</t>
        </is>
      </c>
      <c r="D640" s="9" t="inlineStr">
        <is>
          <t>Cần quét Bio Fanpage</t>
        </is>
      </c>
      <c r="E640" s="59" t="inlineStr">
        <is>
          <t>10/10/2026 18:21:59</t>
        </is>
      </c>
      <c r="F640" s="59" t="inlineStr">
        <is>
          <t>2 ngày trước</t>
        </is>
      </c>
      <c r="G640" s="61" t="n">
        <v>2</v>
      </c>
      <c r="H640" s="62" t="n">
        <v>28</v>
      </c>
      <c r="I640" s="9" t="inlineStr">
        <is>
          <t>Pet Boarding / Huấn luyện K9 &amp; Dịch vụ (20-22đ)</t>
        </is>
      </c>
      <c r="J640" s="62" t="n">
        <v>22</v>
      </c>
      <c r="K640" s="9" t="inlineStr">
        <is>
          <t>Chưa rõ giống (Cần quét Bio)</t>
        </is>
      </c>
      <c r="L640" s="62" t="n">
        <v>0</v>
      </c>
      <c r="M640" s="62" t="n">
        <v>0</v>
      </c>
      <c r="N640" s="9" t="inlineStr">
        <is>
          <t>Amazon link not found</t>
        </is>
      </c>
      <c r="O640" s="62">
        <f>IF(N640="Selling pet toys + Artificial grass/Pet toilets (TARGET)",15,IF(N640="Selling artificial grass/pet toilets (TARGET)",10,IF(N640="Selling pet toys",7,IF(N640="There's an Amazon link, but no target sales.",3,0))))</f>
        <v/>
      </c>
      <c r="P640" s="67">
        <f>H640+J640+L640+M640+O640</f>
        <v/>
      </c>
      <c r="Q640" s="66">
        <f>IF(OR(H640=0,P640&lt;30),"Tier D (Đóng băng)",IF(P640&gt;=85,"Tier S (Kim Cương: 85-100đ)",IF(P640&gt;=70,"Tier A (Vàng: 70-84đ)",IF(P640&gt;=61,"Tier B+ / Cấp A (Hot Lead: 61-69đ)",IF(P640&gt;=50,"Tier B (Bạc: 50-60đ)","Tier C (Đồng: 30-49đ)")))))</f>
        <v/>
      </c>
      <c r="R640" s="9" t="inlineStr">
        <is>
          <t>Cỏ nhân tạo sân chơi/huấn luyện (Dog Turf) + Đồ chơi nhai chịu lực (KONG/Chew Toys)</t>
        </is>
      </c>
      <c r="S640" s="9" t="inlineStr">
        <is>
          <t>Cấp B Tiềm năng: Tiếp cận tự động qua chuỗi Email Marketing + Chăm sóc bổ sung bằng Telesale</t>
        </is>
      </c>
    </row>
    <row r="641">
      <c r="A641" s="53" t="n">
        <v>384</v>
      </c>
      <c r="B641" s="12" t="inlineStr">
        <is>
          <t>Alldogs Security &amp; Training</t>
        </is>
      </c>
      <c r="C641" s="54" t="inlineStr">
        <is>
          <t>https://www.facebook.com/alldogsk9</t>
        </is>
      </c>
      <c r="D641" s="6" t="inlineStr">
        <is>
          <t>Cần quét Bio Fanpage</t>
        </is>
      </c>
      <c r="E641" s="53" t="inlineStr">
        <is>
          <t>10/10/2026 14:45:32</t>
        </is>
      </c>
      <c r="F641" s="53" t="inlineStr">
        <is>
          <t>2 ngày trước</t>
        </is>
      </c>
      <c r="G641" s="55" t="n">
        <v>2</v>
      </c>
      <c r="H641" s="56" t="n">
        <v>28</v>
      </c>
      <c r="I641" s="6" t="inlineStr">
        <is>
          <t>Pet Boarding / Huấn luyện K9 &amp; Dịch vụ (20-22đ)</t>
        </is>
      </c>
      <c r="J641" s="56" t="n">
        <v>22</v>
      </c>
      <c r="K641" s="6" t="inlineStr">
        <is>
          <t>Chưa rõ giống (Cần quét Bio)</t>
        </is>
      </c>
      <c r="L641" s="56" t="n">
        <v>0</v>
      </c>
      <c r="M641" s="56" t="n">
        <v>0</v>
      </c>
      <c r="N641" s="6" t="inlineStr">
        <is>
          <t>Amazon link not found</t>
        </is>
      </c>
      <c r="O641" s="56">
        <f>IF(N641="Selling pet toys + Artificial grass/Pet toilets (TARGET)",15,IF(N641="Selling artificial grass/pet toilets (TARGET)",10,IF(N641="Selling pet toys",7,IF(N641="There's an Amazon link, but no target sales.",3,0))))</f>
        <v/>
      </c>
      <c r="P641" s="65">
        <f>H641+J641+L641+M641+O641</f>
        <v/>
      </c>
      <c r="Q641" s="66">
        <f>IF(OR(H641=0,P641&lt;30),"Tier D (Đóng băng)",IF(P641&gt;=85,"Tier S (Kim Cương: 85-100đ)",IF(P641&gt;=70,"Tier A (Vàng: 70-84đ)",IF(P641&gt;=61,"Tier B+ / Cấp A (Hot Lead: 61-69đ)",IF(P641&gt;=50,"Tier B (Bạc: 50-60đ)","Tier C (Đồng: 30-49đ)")))))</f>
        <v/>
      </c>
      <c r="R641" s="6" t="inlineStr">
        <is>
          <t>Cỏ nhân tạo sân chơi/huấn luyện (Dog Turf) + Đồ chơi nhai chịu lực (KONG/Chew Toys)</t>
        </is>
      </c>
      <c r="S641" s="6" t="inlineStr">
        <is>
          <t>Cấp B Tiềm năng: Tiếp cận tự động qua chuỗi Email Marketing + Chăm sóc bổ sung bằng Telesale</t>
        </is>
      </c>
    </row>
    <row r="642">
      <c r="A642" s="59" t="n">
        <v>2204</v>
      </c>
      <c r="B642" s="15" t="inlineStr">
        <is>
          <t>Moirail K9 Training</t>
        </is>
      </c>
      <c r="C642" s="60" t="inlineStr">
        <is>
          <t>https://www.facebook.com/profile.php?id=100094923648210</t>
        </is>
      </c>
      <c r="D642" s="9" t="inlineStr">
        <is>
          <t>Cần quét Bio Fanpage</t>
        </is>
      </c>
      <c r="E642" s="59" t="inlineStr">
        <is>
          <t>10/10/2026 14:44:12</t>
        </is>
      </c>
      <c r="F642" s="59" t="inlineStr">
        <is>
          <t>2 ngày trước</t>
        </is>
      </c>
      <c r="G642" s="61" t="n">
        <v>2</v>
      </c>
      <c r="H642" s="62" t="n">
        <v>28</v>
      </c>
      <c r="I642" s="9" t="inlineStr">
        <is>
          <t>Pet Boarding / Huấn luyện K9 &amp; Dịch vụ (20-22đ)</t>
        </is>
      </c>
      <c r="J642" s="62" t="n">
        <v>22</v>
      </c>
      <c r="K642" s="9" t="inlineStr">
        <is>
          <t>Chưa rõ giống (Cần quét Bio)</t>
        </is>
      </c>
      <c r="L642" s="62" t="n">
        <v>0</v>
      </c>
      <c r="M642" s="62" t="n">
        <v>0</v>
      </c>
      <c r="N642" s="9" t="inlineStr">
        <is>
          <t>Amazon link not found</t>
        </is>
      </c>
      <c r="O642" s="62">
        <f>IF(N642="Selling pet toys + Artificial grass/Pet toilets (TARGET)",15,IF(N642="Selling artificial grass/pet toilets (TARGET)",10,IF(N642="Selling pet toys",7,IF(N642="There's an Amazon link, but no target sales.",3,0))))</f>
        <v/>
      </c>
      <c r="P642" s="67">
        <f>H642+J642+L642+M642+O642</f>
        <v/>
      </c>
      <c r="Q642" s="66">
        <f>IF(OR(H642=0,P642&lt;30),"Tier D (Đóng băng)",IF(P642&gt;=85,"Tier S (Kim Cương: 85-100đ)",IF(P642&gt;=70,"Tier A (Vàng: 70-84đ)",IF(P642&gt;=61,"Tier B+ / Cấp A (Hot Lead: 61-69đ)",IF(P642&gt;=50,"Tier B (Bạc: 50-60đ)","Tier C (Đồng: 30-49đ)")))))</f>
        <v/>
      </c>
      <c r="R642" s="9" t="inlineStr">
        <is>
          <t>Cỏ nhân tạo sân chơi/huấn luyện (Dog Turf) + Đồ chơi nhai chịu lực (KONG/Chew Toys)</t>
        </is>
      </c>
      <c r="S642" s="9" t="inlineStr">
        <is>
          <t>Cấp B Tiềm năng: Tiếp cận tự động qua chuỗi Email Marketing + Chăm sóc bổ sung bằng Telesale</t>
        </is>
      </c>
    </row>
    <row r="643">
      <c r="A643" s="53" t="n">
        <v>356</v>
      </c>
      <c r="B643" s="12" t="inlineStr">
        <is>
          <t>Akademia K9</t>
        </is>
      </c>
      <c r="C643" s="54" t="inlineStr">
        <is>
          <t>https://www.facebook.com/profile.php?id=61591030300885</t>
        </is>
      </c>
      <c r="D643" s="6" t="inlineStr">
        <is>
          <t>Cần quét Bio Fanpage</t>
        </is>
      </c>
      <c r="E643" s="53" t="inlineStr">
        <is>
          <t>10/10/2026 07:29:48</t>
        </is>
      </c>
      <c r="F643" s="53" t="inlineStr">
        <is>
          <t>2 ngày trước</t>
        </is>
      </c>
      <c r="G643" s="55" t="n">
        <v>2</v>
      </c>
      <c r="H643" s="56" t="n">
        <v>28</v>
      </c>
      <c r="I643" s="6" t="inlineStr">
        <is>
          <t>Pet Boarding / Huấn luyện K9 &amp; Dịch vụ (20-22đ)</t>
        </is>
      </c>
      <c r="J643" s="56" t="n">
        <v>22</v>
      </c>
      <c r="K643" s="6" t="inlineStr">
        <is>
          <t>Chưa rõ giống (Cần quét Bio)</t>
        </is>
      </c>
      <c r="L643" s="56" t="n">
        <v>0</v>
      </c>
      <c r="M643" s="56" t="n">
        <v>0</v>
      </c>
      <c r="N643" s="6" t="inlineStr">
        <is>
          <t>Amazon link not found</t>
        </is>
      </c>
      <c r="O643" s="56">
        <f>IF(N643="Selling pet toys + Artificial grass/Pet toilets (TARGET)",15,IF(N643="Selling artificial grass/pet toilets (TARGET)",10,IF(N643="Selling pet toys",7,IF(N643="There's an Amazon link, but no target sales.",3,0))))</f>
        <v/>
      </c>
      <c r="P643" s="65">
        <f>H643+J643+L643+M643+O643</f>
        <v/>
      </c>
      <c r="Q643" s="66">
        <f>IF(OR(H643=0,P643&lt;30),"Tier D (Đóng băng)",IF(P643&gt;=85,"Tier S (Kim Cương: 85-100đ)",IF(P643&gt;=70,"Tier A (Vàng: 70-84đ)",IF(P643&gt;=61,"Tier B+ / Cấp A (Hot Lead: 61-69đ)",IF(P643&gt;=50,"Tier B (Bạc: 50-60đ)","Tier C (Đồng: 30-49đ)")))))</f>
        <v/>
      </c>
      <c r="R643" s="6" t="inlineStr">
        <is>
          <t>Cỏ nhân tạo sân chơi/huấn luyện (Dog Turf) + Đồ chơi nhai chịu lực (KONG/Chew Toys)</t>
        </is>
      </c>
      <c r="S643" s="6" t="inlineStr">
        <is>
          <t>Cấp B Tiềm năng: Tiếp cận tự động qua chuỗi Email Marketing + Chăm sóc bổ sung bằng Telesale</t>
        </is>
      </c>
    </row>
    <row r="644">
      <c r="A644" s="59" t="n">
        <v>78</v>
      </c>
      <c r="B644" s="15" t="inlineStr">
        <is>
          <t>STS K9 - Nino Drowaert</t>
        </is>
      </c>
      <c r="C644" s="60" t="inlineStr">
        <is>
          <t>https://www.facebook.com/STSK9nino</t>
        </is>
      </c>
      <c r="D644" s="9" t="inlineStr">
        <is>
          <t>Cần quét Bio Fanpage</t>
        </is>
      </c>
      <c r="E644" s="59" t="inlineStr">
        <is>
          <t>10/10/2026 04:10:10</t>
        </is>
      </c>
      <c r="F644" s="59" t="inlineStr">
        <is>
          <t>2 ngày trước</t>
        </is>
      </c>
      <c r="G644" s="61" t="n">
        <v>2</v>
      </c>
      <c r="H644" s="62" t="n">
        <v>28</v>
      </c>
      <c r="I644" s="9" t="inlineStr">
        <is>
          <t>Pet Boarding / Huấn luyện K9 &amp; Dịch vụ (20-22đ)</t>
        </is>
      </c>
      <c r="J644" s="62" t="n">
        <v>22</v>
      </c>
      <c r="K644" s="9" t="inlineStr">
        <is>
          <t>Chưa rõ giống (Cần quét Bio)</t>
        </is>
      </c>
      <c r="L644" s="62" t="n">
        <v>0</v>
      </c>
      <c r="M644" s="62" t="n">
        <v>0</v>
      </c>
      <c r="N644" s="9" t="inlineStr">
        <is>
          <t>Amazon link not found</t>
        </is>
      </c>
      <c r="O644" s="62">
        <f>IF(N644="Selling pet toys + Artificial grass/Pet toilets (TARGET)",15,IF(N644="Selling artificial grass/pet toilets (TARGET)",10,IF(N644="Selling pet toys",7,IF(N644="There's an Amazon link, but no target sales.",3,0))))</f>
        <v/>
      </c>
      <c r="P644" s="67">
        <f>H644+J644+L644+M644+O644</f>
        <v/>
      </c>
      <c r="Q644" s="66">
        <f>IF(OR(H644=0,P644&lt;30),"Tier D (Đóng băng)",IF(P644&gt;=85,"Tier S (Kim Cương: 85-100đ)",IF(P644&gt;=70,"Tier A (Vàng: 70-84đ)",IF(P644&gt;=61,"Tier B+ / Cấp A (Hot Lead: 61-69đ)",IF(P644&gt;=50,"Tier B (Bạc: 50-60đ)","Tier C (Đồng: 30-49đ)")))))</f>
        <v/>
      </c>
      <c r="R644" s="9" t="inlineStr">
        <is>
          <t>Cỏ nhân tạo sân chơi/huấn luyện (Dog Turf) + Đồ chơi nhai chịu lực (KONG/Chew Toys)</t>
        </is>
      </c>
      <c r="S644" s="9" t="inlineStr">
        <is>
          <t>Cấp B Tiềm năng: Tiếp cận tự động qua chuỗi Email Marketing + Chăm sóc bổ sung bằng Telesale</t>
        </is>
      </c>
    </row>
    <row r="645">
      <c r="A645" s="53" t="n">
        <v>1933</v>
      </c>
      <c r="B645" s="12" t="inlineStr">
        <is>
          <t>Kissable K9</t>
        </is>
      </c>
      <c r="C645" s="54" t="inlineStr">
        <is>
          <t>https://www.facebook.com/KissableK9Care</t>
        </is>
      </c>
      <c r="D645" s="6" t="inlineStr">
        <is>
          <t>Cần quét Bio Fanpage</t>
        </is>
      </c>
      <c r="E645" s="53" t="inlineStr">
        <is>
          <t>10/10/2026 03:26:01</t>
        </is>
      </c>
      <c r="F645" s="53" t="inlineStr">
        <is>
          <t>3 ngày trước</t>
        </is>
      </c>
      <c r="G645" s="55" t="n">
        <v>3</v>
      </c>
      <c r="H645" s="56" t="n">
        <v>28</v>
      </c>
      <c r="I645" s="6" t="inlineStr">
        <is>
          <t>Pet Boarding / Huấn luyện K9 &amp; Dịch vụ (20-22đ)</t>
        </is>
      </c>
      <c r="J645" s="56" t="n">
        <v>22</v>
      </c>
      <c r="K645" s="6" t="inlineStr">
        <is>
          <t>Chưa rõ giống (Cần quét Bio)</t>
        </is>
      </c>
      <c r="L645" s="56" t="n">
        <v>0</v>
      </c>
      <c r="M645" s="56" t="n">
        <v>0</v>
      </c>
      <c r="N645" s="6" t="inlineStr">
        <is>
          <t>Amazon link not found</t>
        </is>
      </c>
      <c r="O645" s="56">
        <f>IF(N645="Selling pet toys + Artificial grass/Pet toilets (TARGET)",15,IF(N645="Selling artificial grass/pet toilets (TARGET)",10,IF(N645="Selling pet toys",7,IF(N645="There's an Amazon link, but no target sales.",3,0))))</f>
        <v/>
      </c>
      <c r="P645" s="65">
        <f>H645+J645+L645+M645+O645</f>
        <v/>
      </c>
      <c r="Q645" s="66">
        <f>IF(OR(H645=0,P645&lt;30),"Tier D (Đóng băng)",IF(P645&gt;=85,"Tier S (Kim Cương: 85-100đ)",IF(P645&gt;=70,"Tier A (Vàng: 70-84đ)",IF(P645&gt;=61,"Tier B+ / Cấp A (Hot Lead: 61-69đ)",IF(P645&gt;=50,"Tier B (Bạc: 50-60đ)","Tier C (Đồng: 30-49đ)")))))</f>
        <v/>
      </c>
      <c r="R645" s="6" t="inlineStr">
        <is>
          <t>Cỏ nhân tạo sân chơi/huấn luyện (Dog Turf) + Đồ chơi nhai chịu lực (KONG/Chew Toys)</t>
        </is>
      </c>
      <c r="S645" s="6" t="inlineStr">
        <is>
          <t>Cấp B Tiềm năng: Tiếp cận tự động qua chuỗi Email Marketing + Chăm sóc bổ sung bằng Telesale</t>
        </is>
      </c>
    </row>
    <row r="646">
      <c r="A646" s="59" t="n">
        <v>2989</v>
      </c>
      <c r="B646" s="15" t="inlineStr">
        <is>
          <t>Stand With Me Assistance Dog Team Training</t>
        </is>
      </c>
      <c r="C646" s="60" t="inlineStr">
        <is>
          <t>https://www.facebook.com/StandWithMeAssistanceDogTeamTraining</t>
        </is>
      </c>
      <c r="D646" s="9" t="inlineStr">
        <is>
          <t>Cần quét Bio Fanpage</t>
        </is>
      </c>
      <c r="E646" s="59" t="inlineStr">
        <is>
          <t>10/10/2026 01:57:02</t>
        </is>
      </c>
      <c r="F646" s="59" t="inlineStr">
        <is>
          <t>3 ngày trước</t>
        </is>
      </c>
      <c r="G646" s="61" t="n">
        <v>3</v>
      </c>
      <c r="H646" s="62" t="n">
        <v>28</v>
      </c>
      <c r="I646" s="9" t="inlineStr">
        <is>
          <t>Pet Boarding / Huấn luyện K9 &amp; Dịch vụ (20-22đ)</t>
        </is>
      </c>
      <c r="J646" s="62" t="n">
        <v>22</v>
      </c>
      <c r="K646" s="9" t="inlineStr">
        <is>
          <t>Chưa rõ giống (Cần quét Bio)</t>
        </is>
      </c>
      <c r="L646" s="62" t="n">
        <v>0</v>
      </c>
      <c r="M646" s="62" t="n">
        <v>0</v>
      </c>
      <c r="N646" s="9" t="inlineStr">
        <is>
          <t>Amazon link not found</t>
        </is>
      </c>
      <c r="O646" s="62">
        <f>IF(N646="Selling pet toys + Artificial grass/Pet toilets (TARGET)",15,IF(N646="Selling artificial grass/pet toilets (TARGET)",10,IF(N646="Selling pet toys",7,IF(N646="There's an Amazon link, but no target sales.",3,0))))</f>
        <v/>
      </c>
      <c r="P646" s="67">
        <f>H646+J646+L646+M646+O646</f>
        <v/>
      </c>
      <c r="Q646" s="66">
        <f>IF(OR(H646=0,P646&lt;30),"Tier D (Đóng băng)",IF(P646&gt;=85,"Tier S (Kim Cương: 85-100đ)",IF(P646&gt;=70,"Tier A (Vàng: 70-84đ)",IF(P646&gt;=61,"Tier B+ / Cấp A (Hot Lead: 61-69đ)",IF(P646&gt;=50,"Tier B (Bạc: 50-60đ)","Tier C (Đồng: 30-49đ)")))))</f>
        <v/>
      </c>
      <c r="R646" s="9" t="inlineStr">
        <is>
          <t>Cỏ nhân tạo sân chơi/huấn luyện (Dog Turf) + Đồ chơi nhai chịu lực (KONG/Chew Toys)</t>
        </is>
      </c>
      <c r="S646" s="9" t="inlineStr">
        <is>
          <t>Cấp B Tiềm năng: Tiếp cận tự động qua chuỗi Email Marketing + Chăm sóc bổ sung bằng Telesale</t>
        </is>
      </c>
    </row>
    <row r="647">
      <c r="A647" s="53" t="n">
        <v>1927</v>
      </c>
      <c r="B647" s="12" t="inlineStr">
        <is>
          <t>Kim Hawkinson - On Point Dog Training</t>
        </is>
      </c>
      <c r="C647" s="54" t="inlineStr">
        <is>
          <t>https://www.facebook.com/onpointdogtraining</t>
        </is>
      </c>
      <c r="D647" s="6" t="inlineStr">
        <is>
          <t>Cần quét Bio Fanpage</t>
        </is>
      </c>
      <c r="E647" s="53" t="inlineStr">
        <is>
          <t>10/10/2026 00:22:53</t>
        </is>
      </c>
      <c r="F647" s="53" t="inlineStr">
        <is>
          <t>3 ngày trước</t>
        </is>
      </c>
      <c r="G647" s="55" t="n">
        <v>3</v>
      </c>
      <c r="H647" s="56" t="n">
        <v>28</v>
      </c>
      <c r="I647" s="6" t="inlineStr">
        <is>
          <t>Pet Boarding / Huấn luyện K9 &amp; Dịch vụ (20-22đ)</t>
        </is>
      </c>
      <c r="J647" s="56" t="n">
        <v>22</v>
      </c>
      <c r="K647" s="6" t="inlineStr">
        <is>
          <t>Chưa rõ giống (Cần quét Bio)</t>
        </is>
      </c>
      <c r="L647" s="56" t="n">
        <v>0</v>
      </c>
      <c r="M647" s="56" t="n">
        <v>0</v>
      </c>
      <c r="N647" s="6" t="inlineStr">
        <is>
          <t>Amazon link not found</t>
        </is>
      </c>
      <c r="O647" s="56">
        <f>IF(N647="Selling pet toys + Artificial grass/Pet toilets (TARGET)",15,IF(N647="Selling artificial grass/pet toilets (TARGET)",10,IF(N647="Selling pet toys",7,IF(N647="There's an Amazon link, but no target sales.",3,0))))</f>
        <v/>
      </c>
      <c r="P647" s="65">
        <f>H647+J647+L647+M647+O647</f>
        <v/>
      </c>
      <c r="Q647" s="66">
        <f>IF(OR(H647=0,P647&lt;30),"Tier D (Đóng băng)",IF(P647&gt;=85,"Tier S (Kim Cương: 85-100đ)",IF(P647&gt;=70,"Tier A (Vàng: 70-84đ)",IF(P647&gt;=61,"Tier B+ / Cấp A (Hot Lead: 61-69đ)",IF(P647&gt;=50,"Tier B (Bạc: 50-60đ)","Tier C (Đồng: 30-49đ)")))))</f>
        <v/>
      </c>
      <c r="R647" s="6" t="inlineStr">
        <is>
          <t>Cỏ nhân tạo sân chơi/huấn luyện (Dog Turf) + Đồ chơi nhai chịu lực (KONG/Chew Toys)</t>
        </is>
      </c>
      <c r="S647" s="6" t="inlineStr">
        <is>
          <t>Cấp B Tiềm năng: Tiếp cận tự động qua chuỗi Email Marketing + Chăm sóc bổ sung bằng Telesale</t>
        </is>
      </c>
    </row>
    <row r="648">
      <c r="A648" s="59" t="n">
        <v>878</v>
      </c>
      <c r="B648" s="15" t="inlineStr">
        <is>
          <t>Charleston Dog Training Club</t>
        </is>
      </c>
      <c r="C648" s="60" t="inlineStr">
        <is>
          <t>https://www.facebook.com/CharlestonDogTrainingClub</t>
        </is>
      </c>
      <c r="D648" s="9" t="inlineStr">
        <is>
          <t>Cần quét Bio Fanpage</t>
        </is>
      </c>
      <c r="E648" s="59" t="inlineStr">
        <is>
          <t>09/10/2026 22:06:39</t>
        </is>
      </c>
      <c r="F648" s="59" t="inlineStr">
        <is>
          <t>3 ngày trước</t>
        </is>
      </c>
      <c r="G648" s="61" t="n">
        <v>3</v>
      </c>
      <c r="H648" s="62" t="n">
        <v>28</v>
      </c>
      <c r="I648" s="9" t="inlineStr">
        <is>
          <t>Pet Boarding / Huấn luyện K9 &amp; Dịch vụ (20-22đ)</t>
        </is>
      </c>
      <c r="J648" s="62" t="n">
        <v>22</v>
      </c>
      <c r="K648" s="9" t="inlineStr">
        <is>
          <t>Chưa rõ giống (Cần quét Bio)</t>
        </is>
      </c>
      <c r="L648" s="62" t="n">
        <v>0</v>
      </c>
      <c r="M648" s="62" t="n">
        <v>0</v>
      </c>
      <c r="N648" s="9" t="inlineStr">
        <is>
          <t>Amazon link not found</t>
        </is>
      </c>
      <c r="O648" s="62">
        <f>IF(N648="Selling pet toys + Artificial grass/Pet toilets (TARGET)",15,IF(N648="Selling artificial grass/pet toilets (TARGET)",10,IF(N648="Selling pet toys",7,IF(N648="There's an Amazon link, but no target sales.",3,0))))</f>
        <v/>
      </c>
      <c r="P648" s="67">
        <f>H648+J648+L648+M648+O648</f>
        <v/>
      </c>
      <c r="Q648" s="66">
        <f>IF(OR(H648=0,P648&lt;30),"Tier D (Đóng băng)",IF(P648&gt;=85,"Tier S (Kim Cương: 85-100đ)",IF(P648&gt;=70,"Tier A (Vàng: 70-84đ)",IF(P648&gt;=61,"Tier B+ / Cấp A (Hot Lead: 61-69đ)",IF(P648&gt;=50,"Tier B (Bạc: 50-60đ)","Tier C (Đồng: 30-49đ)")))))</f>
        <v/>
      </c>
      <c r="R648" s="9" t="inlineStr">
        <is>
          <t>Cỏ nhân tạo sân chơi/huấn luyện (Dog Turf) + Đồ chơi nhai chịu lực (KONG/Chew Toys)</t>
        </is>
      </c>
      <c r="S648" s="9" t="inlineStr">
        <is>
          <t>Cấp B Tiềm năng: Tiếp cận tự động qua chuỗi Email Marketing + Chăm sóc bổ sung bằng Telesale</t>
        </is>
      </c>
    </row>
    <row r="649">
      <c r="A649" s="53" t="n">
        <v>1802</v>
      </c>
      <c r="B649" s="12" t="inlineStr">
        <is>
          <t>K9 City Camp</t>
        </is>
      </c>
      <c r="C649" s="54" t="inlineStr">
        <is>
          <t>https://www.facebook.com/profile.php?id=61576111135759</t>
        </is>
      </c>
      <c r="D649" s="6" t="inlineStr">
        <is>
          <t>Cần quét Bio Fanpage</t>
        </is>
      </c>
      <c r="E649" s="53" t="inlineStr">
        <is>
          <t>09/10/2026 16:03:06</t>
        </is>
      </c>
      <c r="F649" s="53" t="inlineStr">
        <is>
          <t>3 ngày trước</t>
        </is>
      </c>
      <c r="G649" s="55" t="n">
        <v>3</v>
      </c>
      <c r="H649" s="56" t="n">
        <v>28</v>
      </c>
      <c r="I649" s="6" t="inlineStr">
        <is>
          <t>Pet Boarding / Huấn luyện K9 &amp; Dịch vụ (20-22đ)</t>
        </is>
      </c>
      <c r="J649" s="56" t="n">
        <v>22</v>
      </c>
      <c r="K649" s="6" t="inlineStr">
        <is>
          <t>Chưa rõ giống (Cần quét Bio)</t>
        </is>
      </c>
      <c r="L649" s="56" t="n">
        <v>0</v>
      </c>
      <c r="M649" s="56" t="n">
        <v>0</v>
      </c>
      <c r="N649" s="6" t="inlineStr">
        <is>
          <t>Amazon link not found</t>
        </is>
      </c>
      <c r="O649" s="56">
        <f>IF(N649="Selling pet toys + Artificial grass/Pet toilets (TARGET)",15,IF(N649="Selling artificial grass/pet toilets (TARGET)",10,IF(N649="Selling pet toys",7,IF(N649="There's an Amazon link, but no target sales.",3,0))))</f>
        <v/>
      </c>
      <c r="P649" s="65">
        <f>H649+J649+L649+M649+O649</f>
        <v/>
      </c>
      <c r="Q649" s="66">
        <f>IF(OR(H649=0,P649&lt;30),"Tier D (Đóng băng)",IF(P649&gt;=85,"Tier S (Kim Cương: 85-100đ)",IF(P649&gt;=70,"Tier A (Vàng: 70-84đ)",IF(P649&gt;=61,"Tier B+ / Cấp A (Hot Lead: 61-69đ)",IF(P649&gt;=50,"Tier B (Bạc: 50-60đ)","Tier C (Đồng: 30-49đ)")))))</f>
        <v/>
      </c>
      <c r="R649" s="6" t="inlineStr">
        <is>
          <t>Cỏ nhân tạo sân chơi/huấn luyện (Dog Turf) + Đồ chơi nhai chịu lực (KONG/Chew Toys)</t>
        </is>
      </c>
      <c r="S649" s="6" t="inlineStr">
        <is>
          <t>Cấp B Tiềm năng: Tiếp cận tự động qua chuỗi Email Marketing + Chăm sóc bổ sung bằng Telesale</t>
        </is>
      </c>
    </row>
    <row r="650">
      <c r="A650" s="59" t="n">
        <v>366</v>
      </c>
      <c r="B650" s="15" t="inlineStr">
        <is>
          <t>Alert-K9 Training</t>
        </is>
      </c>
      <c r="C650" s="60" t="inlineStr">
        <is>
          <t>https://www.facebook.com/profile.php?id=61571315684945</t>
        </is>
      </c>
      <c r="D650" s="9" t="inlineStr">
        <is>
          <t>Cần quét Bio Fanpage</t>
        </is>
      </c>
      <c r="E650" s="59" t="inlineStr">
        <is>
          <t>09/10/2026 07:15:29</t>
        </is>
      </c>
      <c r="F650" s="59" t="inlineStr">
        <is>
          <t>3 ngày trước</t>
        </is>
      </c>
      <c r="G650" s="61" t="n">
        <v>3</v>
      </c>
      <c r="H650" s="62" t="n">
        <v>28</v>
      </c>
      <c r="I650" s="9" t="inlineStr">
        <is>
          <t>Pet Boarding / Huấn luyện K9 &amp; Dịch vụ (20-22đ)</t>
        </is>
      </c>
      <c r="J650" s="62" t="n">
        <v>22</v>
      </c>
      <c r="K650" s="9" t="inlineStr">
        <is>
          <t>Chưa rõ giống (Cần quét Bio)</t>
        </is>
      </c>
      <c r="L650" s="62" t="n">
        <v>0</v>
      </c>
      <c r="M650" s="62" t="n">
        <v>0</v>
      </c>
      <c r="N650" s="9" t="inlineStr">
        <is>
          <t>Amazon link not found</t>
        </is>
      </c>
      <c r="O650" s="62">
        <f>IF(N650="Selling pet toys + Artificial grass/Pet toilets (TARGET)",15,IF(N650="Selling artificial grass/pet toilets (TARGET)",10,IF(N650="Selling pet toys",7,IF(N650="There's an Amazon link, but no target sales.",3,0))))</f>
        <v/>
      </c>
      <c r="P650" s="67">
        <f>H650+J650+L650+M650+O650</f>
        <v/>
      </c>
      <c r="Q650" s="66">
        <f>IF(OR(H650=0,P650&lt;30),"Tier D (Đóng băng)",IF(P650&gt;=85,"Tier S (Kim Cương: 85-100đ)",IF(P650&gt;=70,"Tier A (Vàng: 70-84đ)",IF(P650&gt;=61,"Tier B+ / Cấp A (Hot Lead: 61-69đ)",IF(P650&gt;=50,"Tier B (Bạc: 50-60đ)","Tier C (Đồng: 30-49đ)")))))</f>
        <v/>
      </c>
      <c r="R650" s="9" t="inlineStr">
        <is>
          <t>Cỏ nhân tạo sân chơi/huấn luyện (Dog Turf) + Đồ chơi nhai chịu lực (KONG/Chew Toys)</t>
        </is>
      </c>
      <c r="S650" s="9" t="inlineStr">
        <is>
          <t>Cấp B Tiềm năng: Tiếp cận tự động qua chuỗi Email Marketing + Chăm sóc bổ sung bằng Telesale</t>
        </is>
      </c>
    </row>
    <row r="651">
      <c r="A651" s="53" t="n">
        <v>1469</v>
      </c>
      <c r="B651" s="12" t="inlineStr">
        <is>
          <t>Frog Dog K9</t>
        </is>
      </c>
      <c r="C651" s="54" t="inlineStr">
        <is>
          <t>https://www.facebook.com/K9Storm</t>
        </is>
      </c>
      <c r="D651" s="6" t="inlineStr">
        <is>
          <t>Cần quét Bio Fanpage</t>
        </is>
      </c>
      <c r="E651" s="53" t="inlineStr">
        <is>
          <t>09/10/2026 03:59:48</t>
        </is>
      </c>
      <c r="F651" s="53" t="inlineStr">
        <is>
          <t>3 ngày trước</t>
        </is>
      </c>
      <c r="G651" s="55" t="n">
        <v>3</v>
      </c>
      <c r="H651" s="56" t="n">
        <v>28</v>
      </c>
      <c r="I651" s="6" t="inlineStr">
        <is>
          <t>Pet Boarding / Huấn luyện K9 &amp; Dịch vụ (20-22đ)</t>
        </is>
      </c>
      <c r="J651" s="56" t="n">
        <v>22</v>
      </c>
      <c r="K651" s="6" t="inlineStr">
        <is>
          <t>Chưa rõ giống (Cần quét Bio)</t>
        </is>
      </c>
      <c r="L651" s="56" t="n">
        <v>0</v>
      </c>
      <c r="M651" s="56" t="n">
        <v>0</v>
      </c>
      <c r="N651" s="6" t="inlineStr">
        <is>
          <t>Amazon link not found</t>
        </is>
      </c>
      <c r="O651" s="56">
        <f>IF(N651="Selling pet toys + Artificial grass/Pet toilets (TARGET)",15,IF(N651="Selling artificial grass/pet toilets (TARGET)",10,IF(N651="Selling pet toys",7,IF(N651="There's an Amazon link, but no target sales.",3,0))))</f>
        <v/>
      </c>
      <c r="P651" s="65">
        <f>H651+J651+L651+M651+O651</f>
        <v/>
      </c>
      <c r="Q651" s="66">
        <f>IF(OR(H651=0,P651&lt;30),"Tier D (Đóng băng)",IF(P651&gt;=85,"Tier S (Kim Cương: 85-100đ)",IF(P651&gt;=70,"Tier A (Vàng: 70-84đ)",IF(P651&gt;=61,"Tier B+ / Cấp A (Hot Lead: 61-69đ)",IF(P651&gt;=50,"Tier B (Bạc: 50-60đ)","Tier C (Đồng: 30-49đ)")))))</f>
        <v/>
      </c>
      <c r="R651" s="6" t="inlineStr">
        <is>
          <t>Cỏ nhân tạo sân chơi/huấn luyện (Dog Turf) + Đồ chơi nhai chịu lực (KONG/Chew Toys)</t>
        </is>
      </c>
      <c r="S651" s="6" t="inlineStr">
        <is>
          <t>Cấp B Tiềm năng: Tiếp cận tự động qua chuỗi Email Marketing + Chăm sóc bổ sung bằng Telesale</t>
        </is>
      </c>
    </row>
    <row r="652">
      <c r="A652" s="59" t="n">
        <v>2747</v>
      </c>
      <c r="B652" s="15" t="inlineStr">
        <is>
          <t>Riha Lakeside Kennel</t>
        </is>
      </c>
      <c r="C652" s="60" t="inlineStr">
        <is>
          <t>https://www.facebook.com/profile.php?id=100047660035850</t>
        </is>
      </c>
      <c r="D652" s="9" t="inlineStr">
        <is>
          <t>Cần quét Bio Fanpage</t>
        </is>
      </c>
      <c r="E652" s="59" t="inlineStr">
        <is>
          <t>29/09/2026 02:41:26</t>
        </is>
      </c>
      <c r="F652" s="59" t="inlineStr">
        <is>
          <t>2 tuần trước</t>
        </is>
      </c>
      <c r="G652" s="61" t="n">
        <v>14</v>
      </c>
      <c r="H652" s="62" t="n">
        <v>15</v>
      </c>
      <c r="I652" s="9" t="inlineStr">
        <is>
          <t>Dog Breeder / Trại chó chuyên nghiệp (28-30đ)</t>
        </is>
      </c>
      <c r="J652" s="62" t="n">
        <v>30</v>
      </c>
      <c r="K652" s="9" t="inlineStr">
        <is>
          <t>Chưa rõ giống (Cần quét Bio)</t>
        </is>
      </c>
      <c r="L652" s="62" t="n">
        <v>0</v>
      </c>
      <c r="M652" s="62" t="n">
        <v>5</v>
      </c>
      <c r="N652" s="9" t="inlineStr">
        <is>
          <t>Amazon link not found</t>
        </is>
      </c>
      <c r="O652" s="62">
        <f>IF(N652="Selling pet toys + Artificial grass/Pet toilets (TARGET)",15,IF(N652="Selling artificial grass/pet toilets (TARGET)",10,IF(N652="Selling pet toys",7,IF(N652="There's an Amazon link, but no target sales.",3,0))))</f>
        <v/>
      </c>
      <c r="P652" s="67">
        <f>H652+J652+L652+M652+O652</f>
        <v/>
      </c>
      <c r="Q652" s="66">
        <f>IF(OR(H652=0,P652&lt;30),"Tier D (Đóng băng)",IF(P652&gt;=85,"Tier S (Kim Cương: 85-100đ)",IF(P652&gt;=70,"Tier A (Vàng: 70-84đ)",IF(P652&gt;=61,"Tier B+ / Cấp A (Hot Lead: 61-69đ)",IF(P652&gt;=50,"Tier B (Bạc: 50-60đ)","Tier C (Đồng: 30-49đ)")))))</f>
        <v/>
      </c>
      <c r="R652" s="9" t="inlineStr">
        <is>
          <t>Trọn gói Take-Home Starter Kit V2/V3 (Cỏ nhân tạo + Khay Potty + Đồ chơi Teething/Snuggle)</t>
        </is>
      </c>
      <c r="S652" s="9" t="inlineStr">
        <is>
          <t>Cấp B Tiềm năng: Tiếp cận tự động qua chuỗi Email Marketing + Chăm sóc bổ sung bằng Telesale</t>
        </is>
      </c>
    </row>
    <row r="653">
      <c r="A653" s="53" t="n">
        <v>852</v>
      </c>
      <c r="B653" s="12" t="inlineStr">
        <is>
          <t>Cartmell Kennels</t>
        </is>
      </c>
      <c r="C653" s="54" t="inlineStr">
        <is>
          <t>https://www.facebook.com/cartmellkennels</t>
        </is>
      </c>
      <c r="D653" s="6" t="inlineStr">
        <is>
          <t>Cần quét Bio Fanpage</t>
        </is>
      </c>
      <c r="E653" s="53" t="inlineStr">
        <is>
          <t>28/09/2026 23:27:12</t>
        </is>
      </c>
      <c r="F653" s="53" t="inlineStr">
        <is>
          <t>2 tuần trước</t>
        </is>
      </c>
      <c r="G653" s="55" t="n">
        <v>14</v>
      </c>
      <c r="H653" s="56" t="n">
        <v>15</v>
      </c>
      <c r="I653" s="6" t="inlineStr">
        <is>
          <t>Dog Breeder / Trại chó chuyên nghiệp (28-30đ)</t>
        </is>
      </c>
      <c r="J653" s="56" t="n">
        <v>30</v>
      </c>
      <c r="K653" s="6" t="inlineStr">
        <is>
          <t>Chưa rõ giống (Cần quét Bio)</t>
        </is>
      </c>
      <c r="L653" s="56" t="n">
        <v>0</v>
      </c>
      <c r="M653" s="56" t="n">
        <v>5</v>
      </c>
      <c r="N653" s="6" t="inlineStr">
        <is>
          <t>Amazon link not found</t>
        </is>
      </c>
      <c r="O653" s="56">
        <f>IF(N653="Selling pet toys + Artificial grass/Pet toilets (TARGET)",15,IF(N653="Selling artificial grass/pet toilets (TARGET)",10,IF(N653="Selling pet toys",7,IF(N653="There's an Amazon link, but no target sales.",3,0))))</f>
        <v/>
      </c>
      <c r="P653" s="65">
        <f>H653+J653+L653+M653+O653</f>
        <v/>
      </c>
      <c r="Q653" s="66">
        <f>IF(OR(H653=0,P653&lt;30),"Tier D (Đóng băng)",IF(P653&gt;=85,"Tier S (Kim Cương: 85-100đ)",IF(P653&gt;=70,"Tier A (Vàng: 70-84đ)",IF(P653&gt;=61,"Tier B+ / Cấp A (Hot Lead: 61-69đ)",IF(P653&gt;=50,"Tier B (Bạc: 50-60đ)","Tier C (Đồng: 30-49đ)")))))</f>
        <v/>
      </c>
      <c r="R653" s="6" t="inlineStr">
        <is>
          <t>Trọn gói Take-Home Starter Kit V2/V3 (Cỏ nhân tạo + Khay Potty + Đồ chơi Teething/Snuggle)</t>
        </is>
      </c>
      <c r="S653" s="6" t="inlineStr">
        <is>
          <t>Cấp B Tiềm năng: Tiếp cận tự động qua chuỗi Email Marketing + Chăm sóc bổ sung bằng Telesale</t>
        </is>
      </c>
    </row>
    <row r="654">
      <c r="A654" s="59" t="n">
        <v>1946</v>
      </c>
      <c r="B654" s="15" t="inlineStr">
        <is>
          <t>Kullman Kennels</t>
        </is>
      </c>
      <c r="C654" s="60" t="inlineStr">
        <is>
          <t>https://www.facebook.com/profile.php?id=100071154683006</t>
        </is>
      </c>
      <c r="D654" s="9" t="inlineStr">
        <is>
          <t>Cần quét Bio Fanpage</t>
        </is>
      </c>
      <c r="E654" s="59" t="inlineStr">
        <is>
          <t>27/09/2026 21:52:45</t>
        </is>
      </c>
      <c r="F654" s="59" t="inlineStr">
        <is>
          <t>2 tuần trước</t>
        </is>
      </c>
      <c r="G654" s="61" t="n">
        <v>14</v>
      </c>
      <c r="H654" s="62" t="n">
        <v>15</v>
      </c>
      <c r="I654" s="9" t="inlineStr">
        <is>
          <t>Dog Breeder / Trại chó chuyên nghiệp (28-30đ)</t>
        </is>
      </c>
      <c r="J654" s="62" t="n">
        <v>30</v>
      </c>
      <c r="K654" s="9" t="inlineStr">
        <is>
          <t>Chưa rõ giống (Cần quét Bio)</t>
        </is>
      </c>
      <c r="L654" s="62" t="n">
        <v>0</v>
      </c>
      <c r="M654" s="62" t="n">
        <v>5</v>
      </c>
      <c r="N654" s="9" t="inlineStr">
        <is>
          <t>Amazon link not found</t>
        </is>
      </c>
      <c r="O654" s="62">
        <f>IF(N654="Selling pet toys + Artificial grass/Pet toilets (TARGET)",15,IF(N654="Selling artificial grass/pet toilets (TARGET)",10,IF(N654="Selling pet toys",7,IF(N654="There's an Amazon link, but no target sales.",3,0))))</f>
        <v/>
      </c>
      <c r="P654" s="67">
        <f>H654+J654+L654+M654+O654</f>
        <v/>
      </c>
      <c r="Q654" s="66">
        <f>IF(OR(H654=0,P654&lt;30),"Tier D (Đóng băng)",IF(P654&gt;=85,"Tier S (Kim Cương: 85-100đ)",IF(P654&gt;=70,"Tier A (Vàng: 70-84đ)",IF(P654&gt;=61,"Tier B+ / Cấp A (Hot Lead: 61-69đ)",IF(P654&gt;=50,"Tier B (Bạc: 50-60đ)","Tier C (Đồng: 30-49đ)")))))</f>
        <v/>
      </c>
      <c r="R654" s="9" t="inlineStr">
        <is>
          <t>Trọn gói Take-Home Starter Kit V2/V3 (Cỏ nhân tạo + Khay Potty + Đồ chơi Teething/Snuggle)</t>
        </is>
      </c>
      <c r="S654" s="9" t="inlineStr">
        <is>
          <t>Cấp B Tiềm năng: Tiếp cận tự động qua chuỗi Email Marketing + Chăm sóc bổ sung bằng Telesale</t>
        </is>
      </c>
    </row>
    <row r="655">
      <c r="A655" s="53" t="n">
        <v>864</v>
      </c>
      <c r="B655" s="12" t="inlineStr">
        <is>
          <t>Cedar View Farm Percherons and Kennels</t>
        </is>
      </c>
      <c r="C655" s="54" t="inlineStr">
        <is>
          <t>https://www.facebook.com/profile.php?id=100064843996826</t>
        </is>
      </c>
      <c r="D655" s="6" t="inlineStr">
        <is>
          <t>Cần quét Bio Fanpage</t>
        </is>
      </c>
      <c r="E655" s="53" t="inlineStr">
        <is>
          <t>27/09/2026 06:19:48</t>
        </is>
      </c>
      <c r="F655" s="53" t="inlineStr">
        <is>
          <t>2 tuần trước</t>
        </is>
      </c>
      <c r="G655" s="55" t="n">
        <v>14</v>
      </c>
      <c r="H655" s="56" t="n">
        <v>15</v>
      </c>
      <c r="I655" s="6" t="inlineStr">
        <is>
          <t>Dog Breeder / Trại chó chuyên nghiệp (28-30đ)</t>
        </is>
      </c>
      <c r="J655" s="56" t="n">
        <v>30</v>
      </c>
      <c r="K655" s="6" t="inlineStr">
        <is>
          <t>Chưa rõ giống (Cần quét Bio)</t>
        </is>
      </c>
      <c r="L655" s="56" t="n">
        <v>0</v>
      </c>
      <c r="M655" s="56" t="n">
        <v>5</v>
      </c>
      <c r="N655" s="6" t="inlineStr">
        <is>
          <t>Amazon link not found</t>
        </is>
      </c>
      <c r="O655" s="56">
        <f>IF(N655="Selling pet toys + Artificial grass/Pet toilets (TARGET)",15,IF(N655="Selling artificial grass/pet toilets (TARGET)",10,IF(N655="Selling pet toys",7,IF(N655="There's an Amazon link, but no target sales.",3,0))))</f>
        <v/>
      </c>
      <c r="P655" s="65">
        <f>H655+J655+L655+M655+O655</f>
        <v/>
      </c>
      <c r="Q655" s="66">
        <f>IF(OR(H655=0,P655&lt;30),"Tier D (Đóng băng)",IF(P655&gt;=85,"Tier S (Kim Cương: 85-100đ)",IF(P655&gt;=70,"Tier A (Vàng: 70-84đ)",IF(P655&gt;=61,"Tier B+ / Cấp A (Hot Lead: 61-69đ)",IF(P655&gt;=50,"Tier B (Bạc: 50-60đ)","Tier C (Đồng: 30-49đ)")))))</f>
        <v/>
      </c>
      <c r="R655" s="6" t="inlineStr">
        <is>
          <t>Trọn gói Take-Home Starter Kit V2/V3 (Cỏ nhân tạo + Khay Potty + Đồ chơi Teething/Snuggle)</t>
        </is>
      </c>
      <c r="S655" s="6" t="inlineStr">
        <is>
          <t>Cấp B Tiềm năng: Tiếp cận tự động qua chuỗi Email Marketing + Chăm sóc bổ sung bằng Telesale</t>
        </is>
      </c>
    </row>
    <row r="656">
      <c r="A656" s="59" t="n">
        <v>2593</v>
      </c>
      <c r="B656" s="15" t="inlineStr">
        <is>
          <t>Poledux kennel - DDB Aston</t>
        </is>
      </c>
      <c r="C656" s="60" t="inlineStr">
        <is>
          <t>https://www.facebook.com/poledux</t>
        </is>
      </c>
      <c r="D656" s="9" t="inlineStr">
        <is>
          <t>Cần quét Bio Fanpage</t>
        </is>
      </c>
      <c r="E656" s="59" t="inlineStr">
        <is>
          <t>26/09/2026 18:30:57</t>
        </is>
      </c>
      <c r="F656" s="59" t="inlineStr">
        <is>
          <t>2 tuần trước</t>
        </is>
      </c>
      <c r="G656" s="61" t="n">
        <v>14</v>
      </c>
      <c r="H656" s="62" t="n">
        <v>15</v>
      </c>
      <c r="I656" s="9" t="inlineStr">
        <is>
          <t>Dog Breeder / Trại chó chuyên nghiệp (28-30đ)</t>
        </is>
      </c>
      <c r="J656" s="62" t="n">
        <v>30</v>
      </c>
      <c r="K656" s="9" t="inlineStr">
        <is>
          <t>Chưa rõ giống (Cần quét Bio)</t>
        </is>
      </c>
      <c r="L656" s="62" t="n">
        <v>0</v>
      </c>
      <c r="M656" s="62" t="n">
        <v>5</v>
      </c>
      <c r="N656" s="9" t="inlineStr">
        <is>
          <t>Amazon link not found</t>
        </is>
      </c>
      <c r="O656" s="62">
        <f>IF(N656="Selling pet toys + Artificial grass/Pet toilets (TARGET)",15,IF(N656="Selling artificial grass/pet toilets (TARGET)",10,IF(N656="Selling pet toys",7,IF(N656="There's an Amazon link, but no target sales.",3,0))))</f>
        <v/>
      </c>
      <c r="P656" s="67">
        <f>H656+J656+L656+M656+O656</f>
        <v/>
      </c>
      <c r="Q656" s="66">
        <f>IF(OR(H656=0,P656&lt;30),"Tier D (Đóng băng)",IF(P656&gt;=85,"Tier S (Kim Cương: 85-100đ)",IF(P656&gt;=70,"Tier A (Vàng: 70-84đ)",IF(P656&gt;=61,"Tier B+ / Cấp A (Hot Lead: 61-69đ)",IF(P656&gt;=50,"Tier B (Bạc: 50-60đ)","Tier C (Đồng: 30-49đ)")))))</f>
        <v/>
      </c>
      <c r="R656" s="9" t="inlineStr">
        <is>
          <t>Trọn gói Take-Home Starter Kit V2/V3 (Cỏ nhân tạo + Khay Potty + Đồ chơi Teething/Snuggle)</t>
        </is>
      </c>
      <c r="S656" s="9" t="inlineStr">
        <is>
          <t>Cấp B Tiềm năng: Tiếp cận tự động qua chuỗi Email Marketing + Chăm sóc bổ sung bằng Telesale</t>
        </is>
      </c>
    </row>
    <row r="657">
      <c r="A657" s="53" t="n">
        <v>2903</v>
      </c>
      <c r="B657" s="12" t="inlineStr">
        <is>
          <t>Silverblue Kennels</t>
        </is>
      </c>
      <c r="C657" s="54" t="inlineStr">
        <is>
          <t>https://www.facebook.com/SilverblueKennels</t>
        </is>
      </c>
      <c r="D657" s="6" t="inlineStr">
        <is>
          <t>Cần quét Bio Fanpage</t>
        </is>
      </c>
      <c r="E657" s="53" t="inlineStr">
        <is>
          <t>26/09/2026 16:01:21</t>
        </is>
      </c>
      <c r="F657" s="53" t="inlineStr">
        <is>
          <t>2 tuần trước</t>
        </is>
      </c>
      <c r="G657" s="55" t="n">
        <v>14</v>
      </c>
      <c r="H657" s="56" t="n">
        <v>15</v>
      </c>
      <c r="I657" s="6" t="inlineStr">
        <is>
          <t>Dog Breeder / Trại chó chuyên nghiệp (28-30đ)</t>
        </is>
      </c>
      <c r="J657" s="56" t="n">
        <v>30</v>
      </c>
      <c r="K657" s="6" t="inlineStr">
        <is>
          <t>Chưa rõ giống (Cần quét Bio)</t>
        </is>
      </c>
      <c r="L657" s="56" t="n">
        <v>0</v>
      </c>
      <c r="M657" s="56" t="n">
        <v>5</v>
      </c>
      <c r="N657" s="6" t="inlineStr">
        <is>
          <t>Amazon link not found</t>
        </is>
      </c>
      <c r="O657" s="56">
        <f>IF(N657="Selling pet toys + Artificial grass/Pet toilets (TARGET)",15,IF(N657="Selling artificial grass/pet toilets (TARGET)",10,IF(N657="Selling pet toys",7,IF(N657="There's an Amazon link, but no target sales.",3,0))))</f>
        <v/>
      </c>
      <c r="P657" s="65">
        <f>H657+J657+L657+M657+O657</f>
        <v/>
      </c>
      <c r="Q657" s="66">
        <f>IF(OR(H657=0,P657&lt;30),"Tier D (Đóng băng)",IF(P657&gt;=85,"Tier S (Kim Cương: 85-100đ)",IF(P657&gt;=70,"Tier A (Vàng: 70-84đ)",IF(P657&gt;=61,"Tier B+ / Cấp A (Hot Lead: 61-69đ)",IF(P657&gt;=50,"Tier B (Bạc: 50-60đ)","Tier C (Đồng: 30-49đ)")))))</f>
        <v/>
      </c>
      <c r="R657" s="6" t="inlineStr">
        <is>
          <t>Trọn gói Take-Home Starter Kit V2/V3 (Cỏ nhân tạo + Khay Potty + Đồ chơi Teething/Snuggle)</t>
        </is>
      </c>
      <c r="S657" s="6" t="inlineStr">
        <is>
          <t>Cấp B Tiềm năng: Tiếp cận tự động qua chuỗi Email Marketing + Chăm sóc bổ sung bằng Telesale</t>
        </is>
      </c>
    </row>
    <row r="658">
      <c r="A658" s="59" t="n">
        <v>1472</v>
      </c>
      <c r="B658" s="15" t="inlineStr">
        <is>
          <t>Fun For Puppies</t>
        </is>
      </c>
      <c r="C658" s="60" t="inlineStr">
        <is>
          <t>https://www.facebook.com/profile.php?id=100093478863671</t>
        </is>
      </c>
      <c r="D658" s="9" t="inlineStr">
        <is>
          <t>Cần quét Bio Fanpage</t>
        </is>
      </c>
      <c r="E658" s="59" t="inlineStr">
        <is>
          <t>26/09/2026 03:17:40</t>
        </is>
      </c>
      <c r="F658" s="59" t="inlineStr">
        <is>
          <t>2 tuần trước</t>
        </is>
      </c>
      <c r="G658" s="61" t="n">
        <v>14</v>
      </c>
      <c r="H658" s="62" t="n">
        <v>15</v>
      </c>
      <c r="I658" s="9" t="inlineStr">
        <is>
          <t>Dog Breeder / Trại chó chuyên nghiệp (28-30đ)</t>
        </is>
      </c>
      <c r="J658" s="62" t="n">
        <v>30</v>
      </c>
      <c r="K658" s="9" t="inlineStr">
        <is>
          <t>Chưa rõ giống (Cần quét Bio)</t>
        </is>
      </c>
      <c r="L658" s="62" t="n">
        <v>0</v>
      </c>
      <c r="M658" s="62" t="n">
        <v>5</v>
      </c>
      <c r="N658" s="9" t="inlineStr">
        <is>
          <t>Amazon link not found</t>
        </is>
      </c>
      <c r="O658" s="62">
        <f>IF(N658="Selling pet toys + Artificial grass/Pet toilets (TARGET)",15,IF(N658="Selling artificial grass/pet toilets (TARGET)",10,IF(N658="Selling pet toys",7,IF(N658="There's an Amazon link, but no target sales.",3,0))))</f>
        <v/>
      </c>
      <c r="P658" s="67">
        <f>H658+J658+L658+M658+O658</f>
        <v/>
      </c>
      <c r="Q658" s="66">
        <f>IF(OR(H658=0,P658&lt;30),"Tier D (Đóng băng)",IF(P658&gt;=85,"Tier S (Kim Cương: 85-100đ)",IF(P658&gt;=70,"Tier A (Vàng: 70-84đ)",IF(P658&gt;=61,"Tier B+ / Cấp A (Hot Lead: 61-69đ)",IF(P658&gt;=50,"Tier B (Bạc: 50-60đ)","Tier C (Đồng: 30-49đ)")))))</f>
        <v/>
      </c>
      <c r="R658" s="9" t="inlineStr">
        <is>
          <t>Trọn gói Take-Home Starter Kit V2/V3 (Cỏ nhân tạo + Khay Potty + Đồ chơi Teething/Snuggle)</t>
        </is>
      </c>
      <c r="S658" s="9" t="inlineStr">
        <is>
          <t>Cấp B Tiềm năng: Tiếp cận tự động qua chuỗi Email Marketing + Chăm sóc bổ sung bằng Telesale</t>
        </is>
      </c>
    </row>
    <row r="659">
      <c r="A659" s="53" t="n">
        <v>1992</v>
      </c>
      <c r="B659" s="12" t="inlineStr">
        <is>
          <t>LAW Kennels</t>
        </is>
      </c>
      <c r="C659" s="54" t="inlineStr">
        <is>
          <t>https://www.facebook.com/LAWKennelsFL</t>
        </is>
      </c>
      <c r="D659" s="6" t="inlineStr">
        <is>
          <t>Cần quét Bio Fanpage</t>
        </is>
      </c>
      <c r="E659" s="53" t="inlineStr">
        <is>
          <t>25/09/2026 06:45:52</t>
        </is>
      </c>
      <c r="F659" s="53" t="inlineStr">
        <is>
          <t>2 tuần trước</t>
        </is>
      </c>
      <c r="G659" s="55" t="n">
        <v>14</v>
      </c>
      <c r="H659" s="56" t="n">
        <v>15</v>
      </c>
      <c r="I659" s="6" t="inlineStr">
        <is>
          <t>Dog Breeder / Trại chó chuyên nghiệp (28-30đ)</t>
        </is>
      </c>
      <c r="J659" s="56" t="n">
        <v>30</v>
      </c>
      <c r="K659" s="6" t="inlineStr">
        <is>
          <t>Chưa rõ giống (Cần quét Bio)</t>
        </is>
      </c>
      <c r="L659" s="56" t="n">
        <v>0</v>
      </c>
      <c r="M659" s="56" t="n">
        <v>5</v>
      </c>
      <c r="N659" s="6" t="inlineStr">
        <is>
          <t>Amazon link not found</t>
        </is>
      </c>
      <c r="O659" s="56">
        <f>IF(N659="Selling pet toys + Artificial grass/Pet toilets (TARGET)",15,IF(N659="Selling artificial grass/pet toilets (TARGET)",10,IF(N659="Selling pet toys",7,IF(N659="There's an Amazon link, but no target sales.",3,0))))</f>
        <v/>
      </c>
      <c r="P659" s="65">
        <f>H659+J659+L659+M659+O659</f>
        <v/>
      </c>
      <c r="Q659" s="66">
        <f>IF(OR(H659=0,P659&lt;30),"Tier D (Đóng băng)",IF(P659&gt;=85,"Tier S (Kim Cương: 85-100đ)",IF(P659&gt;=70,"Tier A (Vàng: 70-84đ)",IF(P659&gt;=61,"Tier B+ / Cấp A (Hot Lead: 61-69đ)",IF(P659&gt;=50,"Tier B (Bạc: 50-60đ)","Tier C (Đồng: 30-49đ)")))))</f>
        <v/>
      </c>
      <c r="R659" s="6" t="inlineStr">
        <is>
          <t>Trọn gói Take-Home Starter Kit V2/V3 (Cỏ nhân tạo + Khay Potty + Đồ chơi Teething/Snuggle)</t>
        </is>
      </c>
      <c r="S659" s="6" t="inlineStr">
        <is>
          <t>Cấp B Tiềm năng: Tiếp cận tự động qua chuỗi Email Marketing + Chăm sóc bổ sung bằng Telesale</t>
        </is>
      </c>
    </row>
    <row r="660">
      <c r="A660" s="59" t="n">
        <v>1891</v>
      </c>
      <c r="B660" s="15" t="inlineStr">
        <is>
          <t>Kennel Latmon</t>
        </is>
      </c>
      <c r="C660" s="60" t="inlineStr">
        <is>
          <t>https://www.facebook.com/KennelLatmon</t>
        </is>
      </c>
      <c r="D660" s="9" t="inlineStr">
        <is>
          <t>Cần quét Bio Fanpage</t>
        </is>
      </c>
      <c r="E660" s="59" t="inlineStr">
        <is>
          <t>25/09/2026 02:50:01</t>
        </is>
      </c>
      <c r="F660" s="59" t="inlineStr">
        <is>
          <t>2 tuần trước</t>
        </is>
      </c>
      <c r="G660" s="61" t="n">
        <v>14</v>
      </c>
      <c r="H660" s="62" t="n">
        <v>15</v>
      </c>
      <c r="I660" s="9" t="inlineStr">
        <is>
          <t>Dog Breeder / Trại chó chuyên nghiệp (28-30đ)</t>
        </is>
      </c>
      <c r="J660" s="62" t="n">
        <v>30</v>
      </c>
      <c r="K660" s="9" t="inlineStr">
        <is>
          <t>Chưa rõ giống (Cần quét Bio)</t>
        </is>
      </c>
      <c r="L660" s="62" t="n">
        <v>0</v>
      </c>
      <c r="M660" s="62" t="n">
        <v>5</v>
      </c>
      <c r="N660" s="9" t="inlineStr">
        <is>
          <t>Amazon link not found</t>
        </is>
      </c>
      <c r="O660" s="62">
        <f>IF(N660="Selling pet toys + Artificial grass/Pet toilets (TARGET)",15,IF(N660="Selling artificial grass/pet toilets (TARGET)",10,IF(N660="Selling pet toys",7,IF(N660="There's an Amazon link, but no target sales.",3,0))))</f>
        <v/>
      </c>
      <c r="P660" s="67">
        <f>H660+J660+L660+M660+O660</f>
        <v/>
      </c>
      <c r="Q660" s="66">
        <f>IF(OR(H660=0,P660&lt;30),"Tier D (Đóng băng)",IF(P660&gt;=85,"Tier S (Kim Cương: 85-100đ)",IF(P660&gt;=70,"Tier A (Vàng: 70-84đ)",IF(P660&gt;=61,"Tier B+ / Cấp A (Hot Lead: 61-69đ)",IF(P660&gt;=50,"Tier B (Bạc: 50-60đ)","Tier C (Đồng: 30-49đ)")))))</f>
        <v/>
      </c>
      <c r="R660" s="9" t="inlineStr">
        <is>
          <t>Trọn gói Take-Home Starter Kit V2/V3 (Cỏ nhân tạo + Khay Potty + Đồ chơi Teething/Snuggle)</t>
        </is>
      </c>
      <c r="S660" s="9" t="inlineStr">
        <is>
          <t>Cấp B Tiềm năng: Tiếp cận tự động qua chuỗi Email Marketing + Chăm sóc bổ sung bằng Telesale</t>
        </is>
      </c>
    </row>
    <row r="661">
      <c r="A661" s="53" t="n">
        <v>1873</v>
      </c>
      <c r="B661" s="12" t="inlineStr">
        <is>
          <t>Kennel Bullworks</t>
        </is>
      </c>
      <c r="C661" s="54" t="inlineStr">
        <is>
          <t>https://www.facebook.com/kennelbullworks</t>
        </is>
      </c>
      <c r="D661" s="6" t="inlineStr">
        <is>
          <t>Cần quét Bio Fanpage</t>
        </is>
      </c>
      <c r="E661" s="53" t="inlineStr">
        <is>
          <t>24/09/2026 17:40:56</t>
        </is>
      </c>
      <c r="F661" s="53" t="inlineStr">
        <is>
          <t>2 tuần trước</t>
        </is>
      </c>
      <c r="G661" s="55" t="n">
        <v>14</v>
      </c>
      <c r="H661" s="56" t="n">
        <v>15</v>
      </c>
      <c r="I661" s="6" t="inlineStr">
        <is>
          <t>Dog Breeder / Trại chó chuyên nghiệp (28-30đ)</t>
        </is>
      </c>
      <c r="J661" s="56" t="n">
        <v>30</v>
      </c>
      <c r="K661" s="6" t="inlineStr">
        <is>
          <t>Chưa rõ giống (Cần quét Bio)</t>
        </is>
      </c>
      <c r="L661" s="56" t="n">
        <v>0</v>
      </c>
      <c r="M661" s="56" t="n">
        <v>5</v>
      </c>
      <c r="N661" s="6" t="inlineStr">
        <is>
          <t>Amazon link not found</t>
        </is>
      </c>
      <c r="O661" s="56">
        <f>IF(N661="Selling pet toys + Artificial grass/Pet toilets (TARGET)",15,IF(N661="Selling artificial grass/pet toilets (TARGET)",10,IF(N661="Selling pet toys",7,IF(N661="There's an Amazon link, but no target sales.",3,0))))</f>
        <v/>
      </c>
      <c r="P661" s="65">
        <f>H661+J661+L661+M661+O661</f>
        <v/>
      </c>
      <c r="Q661" s="66">
        <f>IF(OR(H661=0,P661&lt;30),"Tier D (Đóng băng)",IF(P661&gt;=85,"Tier S (Kim Cương: 85-100đ)",IF(P661&gt;=70,"Tier A (Vàng: 70-84đ)",IF(P661&gt;=61,"Tier B+ / Cấp A (Hot Lead: 61-69đ)",IF(P661&gt;=50,"Tier B (Bạc: 50-60đ)","Tier C (Đồng: 30-49đ)")))))</f>
        <v/>
      </c>
      <c r="R661" s="6" t="inlineStr">
        <is>
          <t>Trọn gói Take-Home Starter Kit V2/V3 (Cỏ nhân tạo + Khay Potty + Đồ chơi Teething/Snuggle)</t>
        </is>
      </c>
      <c r="S661" s="6" t="inlineStr">
        <is>
          <t>Cấp B Tiềm năng: Tiếp cận tự động qua chuỗi Email Marketing + Chăm sóc bổ sung bằng Telesale</t>
        </is>
      </c>
    </row>
    <row r="662">
      <c r="A662" s="59" t="n">
        <v>1662</v>
      </c>
      <c r="B662" s="15" t="inlineStr">
        <is>
          <t>Hockley Kennels</t>
        </is>
      </c>
      <c r="C662" s="60" t="inlineStr">
        <is>
          <t>https://www.facebook.com/HockleyKennels</t>
        </is>
      </c>
      <c r="D662" s="9" t="inlineStr">
        <is>
          <t>Cần quét Bio Fanpage</t>
        </is>
      </c>
      <c r="E662" s="59" t="inlineStr">
        <is>
          <t>24/09/2026 09:41:40</t>
        </is>
      </c>
      <c r="F662" s="59" t="inlineStr">
        <is>
          <t>2 tuần trước</t>
        </is>
      </c>
      <c r="G662" s="61" t="n">
        <v>14</v>
      </c>
      <c r="H662" s="62" t="n">
        <v>15</v>
      </c>
      <c r="I662" s="9" t="inlineStr">
        <is>
          <t>Dog Breeder / Trại chó chuyên nghiệp (28-30đ)</t>
        </is>
      </c>
      <c r="J662" s="62" t="n">
        <v>30</v>
      </c>
      <c r="K662" s="9" t="inlineStr">
        <is>
          <t>Chưa rõ giống (Cần quét Bio)</t>
        </is>
      </c>
      <c r="L662" s="62" t="n">
        <v>0</v>
      </c>
      <c r="M662" s="62" t="n">
        <v>5</v>
      </c>
      <c r="N662" s="9" t="inlineStr">
        <is>
          <t>Amazon link not found</t>
        </is>
      </c>
      <c r="O662" s="62">
        <f>IF(N662="Selling pet toys + Artificial grass/Pet toilets (TARGET)",15,IF(N662="Selling artificial grass/pet toilets (TARGET)",10,IF(N662="Selling pet toys",7,IF(N662="There's an Amazon link, but no target sales.",3,0))))</f>
        <v/>
      </c>
      <c r="P662" s="67">
        <f>H662+J662+L662+M662+O662</f>
        <v/>
      </c>
      <c r="Q662" s="66">
        <f>IF(OR(H662=0,P662&lt;30),"Tier D (Đóng băng)",IF(P662&gt;=85,"Tier S (Kim Cương: 85-100đ)",IF(P662&gt;=70,"Tier A (Vàng: 70-84đ)",IF(P662&gt;=61,"Tier B+ / Cấp A (Hot Lead: 61-69đ)",IF(P662&gt;=50,"Tier B (Bạc: 50-60đ)","Tier C (Đồng: 30-49đ)")))))</f>
        <v/>
      </c>
      <c r="R662" s="9" t="inlineStr">
        <is>
          <t>Trọn gói Take-Home Starter Kit V2/V3 (Cỏ nhân tạo + Khay Potty + Đồ chơi Teething/Snuggle)</t>
        </is>
      </c>
      <c r="S662" s="9" t="inlineStr">
        <is>
          <t>Cấp B Tiềm năng: Tiếp cận tự động qua chuỗi Email Marketing + Chăm sóc bổ sung bằng Telesale</t>
        </is>
      </c>
    </row>
    <row r="663">
      <c r="A663" s="53" t="n">
        <v>2117</v>
      </c>
      <c r="B663" s="12" t="inlineStr">
        <is>
          <t>Manipulus Kennel</t>
        </is>
      </c>
      <c r="C663" s="54" t="inlineStr">
        <is>
          <t>https://www.facebook.com/manipulus.kennel</t>
        </is>
      </c>
      <c r="D663" s="6" t="inlineStr">
        <is>
          <t>Cần quét Bio Fanpage</t>
        </is>
      </c>
      <c r="E663" s="53" t="inlineStr">
        <is>
          <t>24/09/2026 00:26:17</t>
        </is>
      </c>
      <c r="F663" s="53" t="inlineStr">
        <is>
          <t>2 tuần trước</t>
        </is>
      </c>
      <c r="G663" s="55" t="n">
        <v>14</v>
      </c>
      <c r="H663" s="56" t="n">
        <v>15</v>
      </c>
      <c r="I663" s="6" t="inlineStr">
        <is>
          <t>Dog Breeder / Trại chó chuyên nghiệp (28-30đ)</t>
        </is>
      </c>
      <c r="J663" s="56" t="n">
        <v>30</v>
      </c>
      <c r="K663" s="6" t="inlineStr">
        <is>
          <t>Chưa rõ giống (Cần quét Bio)</t>
        </is>
      </c>
      <c r="L663" s="56" t="n">
        <v>0</v>
      </c>
      <c r="M663" s="56" t="n">
        <v>5</v>
      </c>
      <c r="N663" s="6" t="inlineStr">
        <is>
          <t>Amazon link not found</t>
        </is>
      </c>
      <c r="O663" s="56">
        <f>IF(N663="Selling pet toys + Artificial grass/Pet toilets (TARGET)",15,IF(N663="Selling artificial grass/pet toilets (TARGET)",10,IF(N663="Selling pet toys",7,IF(N663="There's an Amazon link, but no target sales.",3,0))))</f>
        <v/>
      </c>
      <c r="P663" s="65">
        <f>H663+J663+L663+M663+O663</f>
        <v/>
      </c>
      <c r="Q663" s="66">
        <f>IF(OR(H663=0,P663&lt;30),"Tier D (Đóng băng)",IF(P663&gt;=85,"Tier S (Kim Cương: 85-100đ)",IF(P663&gt;=70,"Tier A (Vàng: 70-84đ)",IF(P663&gt;=61,"Tier B+ / Cấp A (Hot Lead: 61-69đ)",IF(P663&gt;=50,"Tier B (Bạc: 50-60đ)","Tier C (Đồng: 30-49đ)")))))</f>
        <v/>
      </c>
      <c r="R663" s="6" t="inlineStr">
        <is>
          <t>Trọn gói Take-Home Starter Kit V2/V3 (Cỏ nhân tạo + Khay Potty + Đồ chơi Teething/Snuggle)</t>
        </is>
      </c>
      <c r="S663" s="6" t="inlineStr">
        <is>
          <t>Cấp B Tiềm năng: Tiếp cận tự động qua chuỗi Email Marketing + Chăm sóc bổ sung bằng Telesale</t>
        </is>
      </c>
    </row>
    <row r="664">
      <c r="A664" s="59" t="n">
        <v>1396</v>
      </c>
      <c r="B664" s="15" t="inlineStr">
        <is>
          <t>Five Star Kennels</t>
        </is>
      </c>
      <c r="C664" s="60" t="inlineStr">
        <is>
          <t>https://www.facebook.com/profile.php?id=100063831384103</t>
        </is>
      </c>
      <c r="D664" s="9" t="inlineStr">
        <is>
          <t>Cần quét Bio Fanpage</t>
        </is>
      </c>
      <c r="E664" s="59" t="inlineStr">
        <is>
          <t>23/09/2026 10:00:09</t>
        </is>
      </c>
      <c r="F664" s="59" t="inlineStr">
        <is>
          <t>2 tuần trước</t>
        </is>
      </c>
      <c r="G664" s="61" t="n">
        <v>14</v>
      </c>
      <c r="H664" s="62" t="n">
        <v>15</v>
      </c>
      <c r="I664" s="9" t="inlineStr">
        <is>
          <t>Dog Breeder / Trại chó chuyên nghiệp (28-30đ)</t>
        </is>
      </c>
      <c r="J664" s="62" t="n">
        <v>30</v>
      </c>
      <c r="K664" s="9" t="inlineStr">
        <is>
          <t>Chưa rõ giống (Cần quét Bio)</t>
        </is>
      </c>
      <c r="L664" s="62" t="n">
        <v>0</v>
      </c>
      <c r="M664" s="62" t="n">
        <v>5</v>
      </c>
      <c r="N664" s="9" t="inlineStr">
        <is>
          <t>Amazon link not found</t>
        </is>
      </c>
      <c r="O664" s="62">
        <f>IF(N664="Selling pet toys + Artificial grass/Pet toilets (TARGET)",15,IF(N664="Selling artificial grass/pet toilets (TARGET)",10,IF(N664="Selling pet toys",7,IF(N664="There's an Amazon link, but no target sales.",3,0))))</f>
        <v/>
      </c>
      <c r="P664" s="67">
        <f>H664+J664+L664+M664+O664</f>
        <v/>
      </c>
      <c r="Q664" s="66">
        <f>IF(OR(H664=0,P664&lt;30),"Tier D (Đóng băng)",IF(P664&gt;=85,"Tier S (Kim Cương: 85-100đ)",IF(P664&gt;=70,"Tier A (Vàng: 70-84đ)",IF(P664&gt;=61,"Tier B+ / Cấp A (Hot Lead: 61-69đ)",IF(P664&gt;=50,"Tier B (Bạc: 50-60đ)","Tier C (Đồng: 30-49đ)")))))</f>
        <v/>
      </c>
      <c r="R664" s="9" t="inlineStr">
        <is>
          <t>Trọn gói Take-Home Starter Kit V2/V3 (Cỏ nhân tạo + Khay Potty + Đồ chơi Teething/Snuggle)</t>
        </is>
      </c>
      <c r="S664" s="9" t="inlineStr">
        <is>
          <t>Cấp B Tiềm năng: Tiếp cận tự động qua chuỗi Email Marketing + Chăm sóc bổ sung bằng Telesale</t>
        </is>
      </c>
    </row>
    <row r="665">
      <c r="A665" s="53" t="n">
        <v>3422</v>
      </c>
      <c r="B665" s="12" t="inlineStr">
        <is>
          <t>Willynwood Kennel</t>
        </is>
      </c>
      <c r="C665" s="54" t="inlineStr">
        <is>
          <t>https://www.facebook.com/willynwoodamstaffs</t>
        </is>
      </c>
      <c r="D665" s="6" t="inlineStr">
        <is>
          <t>Cần quét Bio Fanpage</t>
        </is>
      </c>
      <c r="E665" s="53" t="inlineStr">
        <is>
          <t>22/09/2026 22:48:27</t>
        </is>
      </c>
      <c r="F665" s="53" t="inlineStr">
        <is>
          <t>2 tuần trước</t>
        </is>
      </c>
      <c r="G665" s="55" t="n">
        <v>14</v>
      </c>
      <c r="H665" s="56" t="n">
        <v>15</v>
      </c>
      <c r="I665" s="6" t="inlineStr">
        <is>
          <t>Dog Breeder / Trại chó chuyên nghiệp (28-30đ)</t>
        </is>
      </c>
      <c r="J665" s="56" t="n">
        <v>30</v>
      </c>
      <c r="K665" s="6" t="inlineStr">
        <is>
          <t>Chưa rõ giống (Cần quét Bio)</t>
        </is>
      </c>
      <c r="L665" s="56" t="n">
        <v>0</v>
      </c>
      <c r="M665" s="56" t="n">
        <v>5</v>
      </c>
      <c r="N665" s="6" t="inlineStr">
        <is>
          <t>Amazon link not found</t>
        </is>
      </c>
      <c r="O665" s="56">
        <f>IF(N665="Selling pet toys + Artificial grass/Pet toilets (TARGET)",15,IF(N665="Selling artificial grass/pet toilets (TARGET)",10,IF(N665="Selling pet toys",7,IF(N665="There's an Amazon link, but no target sales.",3,0))))</f>
        <v/>
      </c>
      <c r="P665" s="65">
        <f>H665+J665+L665+M665+O665</f>
        <v/>
      </c>
      <c r="Q665" s="66">
        <f>IF(OR(H665=0,P665&lt;30),"Tier D (Đóng băng)",IF(P665&gt;=85,"Tier S (Kim Cương: 85-100đ)",IF(P665&gt;=70,"Tier A (Vàng: 70-84đ)",IF(P665&gt;=61,"Tier B+ / Cấp A (Hot Lead: 61-69đ)",IF(P665&gt;=50,"Tier B (Bạc: 50-60đ)","Tier C (Đồng: 30-49đ)")))))</f>
        <v/>
      </c>
      <c r="R665" s="6" t="inlineStr">
        <is>
          <t>Trọn gói Take-Home Starter Kit V2/V3 (Cỏ nhân tạo + Khay Potty + Đồ chơi Teething/Snuggle)</t>
        </is>
      </c>
      <c r="S665" s="6" t="inlineStr">
        <is>
          <t>Cấp B Tiềm năng: Tiếp cận tự động qua chuỗi Email Marketing + Chăm sóc bổ sung bằng Telesale</t>
        </is>
      </c>
    </row>
    <row r="666">
      <c r="A666" s="59" t="n">
        <v>535</v>
      </c>
      <c r="B666" s="15" t="inlineStr">
        <is>
          <t>Ashrose Kennels Pet Services &amp; Goldens</t>
        </is>
      </c>
      <c r="C666" s="60" t="inlineStr">
        <is>
          <t>https://www.facebook.com/ashrosekennels</t>
        </is>
      </c>
      <c r="D666" s="9" t="inlineStr">
        <is>
          <t>Cần quét Bio Fanpage</t>
        </is>
      </c>
      <c r="E666" s="59" t="inlineStr">
        <is>
          <t>13/07/2026 01:41:07</t>
        </is>
      </c>
      <c r="F666" s="59" t="inlineStr">
        <is>
          <t>3 tháng trước</t>
        </is>
      </c>
      <c r="G666" s="61" t="n">
        <v>90</v>
      </c>
      <c r="H666" s="62" t="n">
        <v>0</v>
      </c>
      <c r="I666" s="9" t="inlineStr">
        <is>
          <t>Dog Breeder / Trại chó chuyên nghiệp (28-30đ)</t>
        </is>
      </c>
      <c r="J666" s="62" t="n">
        <v>30</v>
      </c>
      <c r="K666" s="9" t="inlineStr">
        <is>
          <t>Golden Retriever</t>
        </is>
      </c>
      <c r="L666" s="62" t="n">
        <v>10</v>
      </c>
      <c r="M666" s="62" t="n">
        <v>10</v>
      </c>
      <c r="N666" s="9" t="inlineStr">
        <is>
          <t>Amazon link not found</t>
        </is>
      </c>
      <c r="O666" s="62">
        <f>IF(N666="Selling pet toys + Artificial grass/Pet toilets (TARGET)",15,IF(N666="Selling artificial grass/pet toilets (TARGET)",10,IF(N666="Selling pet toys",7,IF(N666="There's an Amazon link, but no target sales.",3,0))))</f>
        <v/>
      </c>
      <c r="P666" s="67">
        <f>H666+J666+L666+M666+O666</f>
        <v/>
      </c>
      <c r="Q666" s="68">
        <f>IF(OR(H666=0,P666&lt;30),"Tier D (Đóng băng)",IF(P666&gt;=85,"Tier S (Kim Cương: 85-100đ)",IF(P666&gt;=70,"Tier A (Vàng: 70-84đ)",IF(P666&gt;=61,"Tier B+ / Cấp A (Hot Lead: 61-69đ)",IF(P666&gt;=50,"Tier B (Bạc: 50-60đ)","Tier C (Đồng: 30-49đ)")))))</f>
        <v/>
      </c>
      <c r="R666" s="9" t="inlineStr">
        <is>
          <t>Trọn gói Take-Home Starter Kit V2/V3 (Cỏ nhân tạo + Khay Potty + Đồ chơi Teething/Snuggle)</t>
        </is>
      </c>
      <c r="S666" s="9" t="inlineStr">
        <is>
          <t>Đóng băng tương tác (&gt;30 ngày): Lưu trữ chờ kích hoạt lại, không tốn tài nguyên Sales</t>
        </is>
      </c>
    </row>
    <row r="667">
      <c r="A667" s="53" t="n">
        <v>631</v>
      </c>
      <c r="B667" s="12" t="inlineStr">
        <is>
          <t>Berg's Farm Doodles and Poodles</t>
        </is>
      </c>
      <c r="C667" s="54" t="inlineStr">
        <is>
          <t>https://www.facebook.com/BergsFarmDoodlesPoodles</t>
        </is>
      </c>
      <c r="D667" s="6" t="inlineStr">
        <is>
          <t>Cần quét Bio Fanpage</t>
        </is>
      </c>
      <c r="E667" s="53" t="inlineStr">
        <is>
          <t>11/05/2024 23:21:33</t>
        </is>
      </c>
      <c r="F667" s="53" t="inlineStr">
        <is>
          <t>2 năm trước</t>
        </is>
      </c>
      <c r="G667" s="55" t="n">
        <v>730</v>
      </c>
      <c r="H667" s="56" t="n">
        <v>0</v>
      </c>
      <c r="I667" s="6" t="inlineStr">
        <is>
          <t>Dog Breeder / Trại chó chuyên nghiệp (28-30đ)</t>
        </is>
      </c>
      <c r="J667" s="56" t="n">
        <v>30</v>
      </c>
      <c r="K667" s="6" t="inlineStr">
        <is>
          <t>Goldendoodle, Poodle (Standard/Mini/Toy)</t>
        </is>
      </c>
      <c r="L667" s="56" t="n">
        <v>15</v>
      </c>
      <c r="M667" s="56" t="n">
        <v>5</v>
      </c>
      <c r="N667" s="6" t="inlineStr">
        <is>
          <t>Amazon link not found</t>
        </is>
      </c>
      <c r="O667" s="56">
        <f>IF(N667="Selling pet toys + Artificial grass/Pet toilets (TARGET)",15,IF(N667="Selling artificial grass/pet toilets (TARGET)",10,IF(N667="Selling pet toys",7,IF(N667="There's an Amazon link, but no target sales.",3,0))))</f>
        <v/>
      </c>
      <c r="P667" s="65">
        <f>H667+J667+L667+M667+O667</f>
        <v/>
      </c>
      <c r="Q667" s="68">
        <f>IF(OR(H667=0,P667&lt;30),"Tier D (Đóng băng)",IF(P667&gt;=85,"Tier S (Kim Cương: 85-100đ)",IF(P667&gt;=70,"Tier A (Vàng: 70-84đ)",IF(P667&gt;=61,"Tier B+ / Cấp A (Hot Lead: 61-69đ)",IF(P667&gt;=50,"Tier B (Bạc: 50-60đ)","Tier C (Đồng: 30-49đ)")))))</f>
        <v/>
      </c>
      <c r="R667" s="6" t="inlineStr">
        <is>
          <t>Trọn gói Take-Home Starter Kit V2/V3 (Cỏ nhân tạo + Khay Potty + Đồ chơi Teething/Snuggle)</t>
        </is>
      </c>
      <c r="S667" s="6" t="inlineStr">
        <is>
          <t>Đóng băng tương tác (&gt;30 ngày): Lưu trữ chờ kích hoạt lại, không tốn tài nguyên Sales</t>
        </is>
      </c>
    </row>
    <row r="668">
      <c r="A668" s="59" t="n">
        <v>521</v>
      </c>
      <c r="B668" s="15" t="inlineStr">
        <is>
          <t>Arran Labrador / Bogarie Pet Supplies</t>
        </is>
      </c>
      <c r="C668" s="60" t="inlineStr">
        <is>
          <t>https://www.facebook.com/profile.php?id=100064331906026</t>
        </is>
      </c>
      <c r="D668" s="9" t="inlineStr">
        <is>
          <t>Cần quét Bio Fanpage</t>
        </is>
      </c>
      <c r="E668" s="59" t="inlineStr">
        <is>
          <t>24/08/2023 22:51:18</t>
        </is>
      </c>
      <c r="F668" s="59" t="inlineStr">
        <is>
          <t>3 năm trước</t>
        </is>
      </c>
      <c r="G668" s="61" t="n">
        <v>1095</v>
      </c>
      <c r="H668" s="62" t="n">
        <v>0</v>
      </c>
      <c r="I668" s="9" t="inlineStr">
        <is>
          <t>Dog Breeder / Trại nhân giống (28-30đ)</t>
        </is>
      </c>
      <c r="J668" s="62" t="n">
        <v>28</v>
      </c>
      <c r="K668" s="9" t="inlineStr">
        <is>
          <t>Labrador</t>
        </is>
      </c>
      <c r="L668" s="62" t="n">
        <v>10</v>
      </c>
      <c r="M668" s="62" t="n">
        <v>5</v>
      </c>
      <c r="N668" s="9" t="inlineStr">
        <is>
          <t>Selling pet toys</t>
        </is>
      </c>
      <c r="O668" s="62">
        <f>IF(N668="Selling pet toys + Artificial grass/Pet toilets (TARGET)",15,IF(N668="Selling artificial grass/pet toilets (TARGET)",10,IF(N668="Selling pet toys",7,IF(N668="There's an Amazon link, but no target sales.",3,0))))</f>
        <v/>
      </c>
      <c r="P668" s="67">
        <f>H668+J668+L668+M668+O668</f>
        <v/>
      </c>
      <c r="Q668" s="68">
        <f>IF(OR(H668=0,P668&lt;30),"Tier D (Đóng băng)",IF(P668&gt;=85,"Tier S (Kim Cương: 85-100đ)",IF(P668&gt;=70,"Tier A (Vàng: 70-84đ)",IF(P668&gt;=61,"Tier B+ / Cấp A (Hot Lead: 61-69đ)",IF(P668&gt;=50,"Tier B (Bạc: 50-60đ)","Tier C (Đồng: 30-49đ)")))))</f>
        <v/>
      </c>
      <c r="R668" s="9" t="inlineStr">
        <is>
          <t>Trọn gói Take-Home Starter Kit V2/V3 (Cỏ nhân tạo + Khay Potty + Đồ chơi cún con)</t>
        </is>
      </c>
      <c r="S668" s="9" t="inlineStr">
        <is>
          <t>Đóng băng tương tác (&gt;30 ngày): Lưu trữ chờ kích hoạt lại, không tốn tài nguyên Sales</t>
        </is>
      </c>
    </row>
    <row r="669">
      <c r="A669" s="53" t="n">
        <v>5914</v>
      </c>
      <c r="B669" s="12" t="inlineStr">
        <is>
          <t>Woodside Wildlife Rescue</t>
        </is>
      </c>
      <c r="C669" s="54" t="inlineStr">
        <is>
          <t>https://www.facebook.com/woodsidewildliferescue</t>
        </is>
      </c>
      <c r="D669" s="6" t="inlineStr">
        <is>
          <t>Cần quét Bio Fanpage</t>
        </is>
      </c>
      <c r="E669" s="53" t="inlineStr">
        <is>
          <t>13/10/2026 11:09:03</t>
        </is>
      </c>
      <c r="F669" s="53" t="inlineStr">
        <is>
          <t>27 phút trước</t>
        </is>
      </c>
      <c r="G669" s="55" t="n">
        <v>0.02</v>
      </c>
      <c r="H669" s="56" t="n">
        <v>35</v>
      </c>
      <c r="I669" s="6" t="inlineStr">
        <is>
          <t>Pet Rescue / Trạm cứu trợ (14-16đ)</t>
        </is>
      </c>
      <c r="J669" s="56" t="n">
        <v>14</v>
      </c>
      <c r="K669" s="6" t="inlineStr">
        <is>
          <t>Chưa rõ giống (Cần quét Bio)</t>
        </is>
      </c>
      <c r="L669" s="56" t="n">
        <v>0</v>
      </c>
      <c r="M669" s="56" t="n">
        <v>0</v>
      </c>
      <c r="N669" s="6" t="inlineStr">
        <is>
          <t>Amazon link not found</t>
        </is>
      </c>
      <c r="O669" s="56">
        <f>IF(N669="Selling pet toys + Artificial grass/Pet toilets (TARGET)",15,IF(N669="Selling artificial grass/pet toilets (TARGET)",10,IF(N669="Selling pet toys",7,IF(N669="There's an Amazon link, but no target sales.",3,0))))</f>
        <v/>
      </c>
      <c r="P669" s="65">
        <f>H669+J669+L669+M669+O669</f>
        <v/>
      </c>
      <c r="Q669" s="69">
        <f>IF(OR(H669=0,P669&lt;30),"Tier D (Đóng băng)",IF(P669&gt;=85,"Tier S (Kim Cương: 85-100đ)",IF(P669&gt;=70,"Tier A (Vàng: 70-84đ)",IF(P669&gt;=61,"Tier B+ / Cấp A (Hot Lead: 61-69đ)",IF(P669&gt;=50,"Tier B (Bạc: 50-60đ)","Tier C (Đồng: 30-49đ)")))))</f>
        <v/>
      </c>
      <c r="R669" s="6" t="inlineStr">
        <is>
          <t>Nhà vệ sinh &amp; Tã lót (Potty Tray / Pee Pads) + Cỏ nhân tạo lót chuồng</t>
        </is>
      </c>
      <c r="S669" s="6" t="inlineStr">
        <is>
          <t>Cấp C Chi phí thấp: Nhắn tin trực tiếp qua Fanpage Facebook/Instagram + Nuôi dưỡng nội dung</t>
        </is>
      </c>
    </row>
    <row r="670">
      <c r="A670" s="59" t="n">
        <v>5896</v>
      </c>
      <c r="B670" s="15" t="inlineStr">
        <is>
          <t>Wilton Animal Rescue</t>
        </is>
      </c>
      <c r="C670" s="60" t="inlineStr">
        <is>
          <t>https://www.facebook.com/WiltonAnimalRescue</t>
        </is>
      </c>
      <c r="D670" s="9" t="inlineStr">
        <is>
          <t>Cần quét Bio Fanpage</t>
        </is>
      </c>
      <c r="E670" s="59" t="inlineStr">
        <is>
          <t>13/10/2026 10:37:54</t>
        </is>
      </c>
      <c r="F670" s="59" t="inlineStr">
        <is>
          <t>56 phút trước</t>
        </is>
      </c>
      <c r="G670" s="61" t="n">
        <v>0.04</v>
      </c>
      <c r="H670" s="62" t="n">
        <v>35</v>
      </c>
      <c r="I670" s="9" t="inlineStr">
        <is>
          <t>Pet Rescue / Trạm cứu trợ (14-16đ)</t>
        </is>
      </c>
      <c r="J670" s="62" t="n">
        <v>14</v>
      </c>
      <c r="K670" s="9" t="inlineStr">
        <is>
          <t>Chưa rõ giống (Cần quét Bio)</t>
        </is>
      </c>
      <c r="L670" s="62" t="n">
        <v>0</v>
      </c>
      <c r="M670" s="62" t="n">
        <v>0</v>
      </c>
      <c r="N670" s="9" t="inlineStr">
        <is>
          <t>Amazon link not found</t>
        </is>
      </c>
      <c r="O670" s="62">
        <f>IF(N670="Selling pet toys + Artificial grass/Pet toilets (TARGET)",15,IF(N670="Selling artificial grass/pet toilets (TARGET)",10,IF(N670="Selling pet toys",7,IF(N670="There's an Amazon link, but no target sales.",3,0))))</f>
        <v/>
      </c>
      <c r="P670" s="67">
        <f>H670+J670+L670+M670+O670</f>
        <v/>
      </c>
      <c r="Q670" s="69">
        <f>IF(OR(H670=0,P670&lt;30),"Tier D (Đóng băng)",IF(P670&gt;=85,"Tier S (Kim Cương: 85-100đ)",IF(P670&gt;=70,"Tier A (Vàng: 70-84đ)",IF(P670&gt;=61,"Tier B+ / Cấp A (Hot Lead: 61-69đ)",IF(P670&gt;=50,"Tier B (Bạc: 50-60đ)","Tier C (Đồng: 30-49đ)")))))</f>
        <v/>
      </c>
      <c r="R670" s="9" t="inlineStr">
        <is>
          <t>Nhà vệ sinh &amp; Tã lót (Potty Tray / Pee Pads) + Cỏ nhân tạo lót chuồng</t>
        </is>
      </c>
      <c r="S670" s="9" t="inlineStr">
        <is>
          <t>Cấp C Chi phí thấp: Nhắn tin trực tiếp qua Fanpage Facebook/Instagram + Nuôi dưỡng nội dung</t>
        </is>
      </c>
    </row>
    <row r="671">
      <c r="A671" s="53" t="n">
        <v>4527</v>
      </c>
      <c r="B671" s="12" t="inlineStr">
        <is>
          <t>Lost and Found Pets Long Island: Nassau/Suffolk County</t>
        </is>
      </c>
      <c r="C671" s="54" t="inlineStr">
        <is>
          <t>https://www.facebook.com/LostandFoundPetsLongIslandNassauSuffolkCounty</t>
        </is>
      </c>
      <c r="D671" s="6" t="inlineStr">
        <is>
          <t>Cần quét Bio Fanpage</t>
        </is>
      </c>
      <c r="E671" s="53" t="inlineStr">
        <is>
          <t>13/10/2026 09:02:35</t>
        </is>
      </c>
      <c r="F671" s="53" t="inlineStr">
        <is>
          <t>2 phút trước</t>
        </is>
      </c>
      <c r="G671" s="55" t="n">
        <v>0</v>
      </c>
      <c r="H671" s="56" t="n">
        <v>35</v>
      </c>
      <c r="I671" s="6" t="inlineStr">
        <is>
          <t>Pet Rescue / Trạm cứu trợ (14-16đ)</t>
        </is>
      </c>
      <c r="J671" s="56" t="n">
        <v>14</v>
      </c>
      <c r="K671" s="6" t="inlineStr">
        <is>
          <t>Chưa rõ giống (Cần quét Bio)</t>
        </is>
      </c>
      <c r="L671" s="56" t="n">
        <v>0</v>
      </c>
      <c r="M671" s="56" t="n">
        <v>0</v>
      </c>
      <c r="N671" s="6" t="inlineStr">
        <is>
          <t>Amazon link not found</t>
        </is>
      </c>
      <c r="O671" s="56">
        <f>IF(N671="Selling pet toys + Artificial grass/Pet toilets (TARGET)",15,IF(N671="Selling artificial grass/pet toilets (TARGET)",10,IF(N671="Selling pet toys",7,IF(N671="There's an Amazon link, but no target sales.",3,0))))</f>
        <v/>
      </c>
      <c r="P671" s="65">
        <f>H671+J671+L671+M671+O671</f>
        <v/>
      </c>
      <c r="Q671" s="69">
        <f>IF(OR(H671=0,P671&lt;30),"Tier D (Đóng băng)",IF(P671&gt;=85,"Tier S (Kim Cương: 85-100đ)",IF(P671&gt;=70,"Tier A (Vàng: 70-84đ)",IF(P671&gt;=61,"Tier B+ / Cấp A (Hot Lead: 61-69đ)",IF(P671&gt;=50,"Tier B (Bạc: 50-60đ)","Tier C (Đồng: 30-49đ)")))))</f>
        <v/>
      </c>
      <c r="R671" s="6" t="inlineStr">
        <is>
          <t>Nhà vệ sinh &amp; Tã lót (Potty Tray / Pee Pads) + Cỏ nhân tạo lót chuồng</t>
        </is>
      </c>
      <c r="S671" s="6" t="inlineStr">
        <is>
          <t>Cấp C Chi phí thấp: Nhắn tin trực tiếp qua Fanpage Facebook/Instagram + Nuôi dưỡng nội dung</t>
        </is>
      </c>
    </row>
    <row r="672">
      <c r="A672" s="59" t="n">
        <v>4863</v>
      </c>
      <c r="B672" s="15" t="inlineStr">
        <is>
          <t>Pack Leaders Rescue of Connecticut</t>
        </is>
      </c>
      <c r="C672" s="60" t="inlineStr">
        <is>
          <t>https://www.facebook.com/packleadersrescuect</t>
        </is>
      </c>
      <c r="D672" s="9" t="inlineStr">
        <is>
          <t>Cần quét Bio Fanpage</t>
        </is>
      </c>
      <c r="E672" s="59" t="inlineStr">
        <is>
          <t>13/10/2026 08:57:44</t>
        </is>
      </c>
      <c r="F672" s="59" t="inlineStr">
        <is>
          <t>44 phút trước</t>
        </is>
      </c>
      <c r="G672" s="61" t="n">
        <v>0.03</v>
      </c>
      <c r="H672" s="62" t="n">
        <v>35</v>
      </c>
      <c r="I672" s="9" t="inlineStr">
        <is>
          <t>Pet Rescue / Trạm cứu trợ (14-16đ)</t>
        </is>
      </c>
      <c r="J672" s="62" t="n">
        <v>14</v>
      </c>
      <c r="K672" s="9" t="inlineStr">
        <is>
          <t>Chưa rõ giống (Cần quét Bio)</t>
        </is>
      </c>
      <c r="L672" s="62" t="n">
        <v>0</v>
      </c>
      <c r="M672" s="62" t="n">
        <v>0</v>
      </c>
      <c r="N672" s="9" t="inlineStr">
        <is>
          <t>Amazon link not found</t>
        </is>
      </c>
      <c r="O672" s="62">
        <f>IF(N672="Selling pet toys + Artificial grass/Pet toilets (TARGET)",15,IF(N672="Selling artificial grass/pet toilets (TARGET)",10,IF(N672="Selling pet toys",7,IF(N672="There's an Amazon link, but no target sales.",3,0))))</f>
        <v/>
      </c>
      <c r="P672" s="67">
        <f>H672+J672+L672+M672+O672</f>
        <v/>
      </c>
      <c r="Q672" s="69">
        <f>IF(OR(H672=0,P672&lt;30),"Tier D (Đóng băng)",IF(P672&gt;=85,"Tier S (Kim Cương: 85-100đ)",IF(P672&gt;=70,"Tier A (Vàng: 70-84đ)",IF(P672&gt;=61,"Tier B+ / Cấp A (Hot Lead: 61-69đ)",IF(P672&gt;=50,"Tier B (Bạc: 50-60đ)","Tier C (Đồng: 30-49đ)")))))</f>
        <v/>
      </c>
      <c r="R672" s="9" t="inlineStr">
        <is>
          <t>Nhà vệ sinh &amp; Tã lót (Potty Tray / Pee Pads) + Cỏ nhân tạo lót chuồng</t>
        </is>
      </c>
      <c r="S672" s="9" t="inlineStr">
        <is>
          <t>Cấp C Chi phí thấp: Nhắn tin trực tiếp qua Fanpage Facebook/Instagram + Nuôi dưỡng nội dung</t>
        </is>
      </c>
    </row>
    <row r="673">
      <c r="A673" s="53" t="n">
        <v>5799</v>
      </c>
      <c r="B673" s="12" t="inlineStr">
        <is>
          <t>Vintage Pet Rescue</t>
        </is>
      </c>
      <c r="C673" s="54" t="inlineStr">
        <is>
          <t>https://www.facebook.com/vintagepetrescue</t>
        </is>
      </c>
      <c r="D673" s="6" t="inlineStr">
        <is>
          <t>Cần quét Bio Fanpage</t>
        </is>
      </c>
      <c r="E673" s="53" t="inlineStr">
        <is>
          <t>13/10/2026 08:11:12</t>
        </is>
      </c>
      <c r="F673" s="53" t="inlineStr">
        <is>
          <t>3 giờ trước</t>
        </is>
      </c>
      <c r="G673" s="55" t="n">
        <v>0.12</v>
      </c>
      <c r="H673" s="56" t="n">
        <v>35</v>
      </c>
      <c r="I673" s="6" t="inlineStr">
        <is>
          <t>Pet Rescue / Trạm cứu trợ (14-16đ)</t>
        </is>
      </c>
      <c r="J673" s="56" t="n">
        <v>14</v>
      </c>
      <c r="K673" s="6" t="inlineStr">
        <is>
          <t>Chưa rõ giống (Cần quét Bio)</t>
        </is>
      </c>
      <c r="L673" s="56" t="n">
        <v>0</v>
      </c>
      <c r="M673" s="56" t="n">
        <v>0</v>
      </c>
      <c r="N673" s="6" t="inlineStr">
        <is>
          <t>Amazon link not found</t>
        </is>
      </c>
      <c r="O673" s="56">
        <f>IF(N673="Selling pet toys + Artificial grass/Pet toilets (TARGET)",15,IF(N673="Selling artificial grass/pet toilets (TARGET)",10,IF(N673="Selling pet toys",7,IF(N673="There's an Amazon link, but no target sales.",3,0))))</f>
        <v/>
      </c>
      <c r="P673" s="65">
        <f>H673+J673+L673+M673+O673</f>
        <v/>
      </c>
      <c r="Q673" s="69">
        <f>IF(OR(H673=0,P673&lt;30),"Tier D (Đóng băng)",IF(P673&gt;=85,"Tier S (Kim Cương: 85-100đ)",IF(P673&gt;=70,"Tier A (Vàng: 70-84đ)",IF(P673&gt;=61,"Tier B+ / Cấp A (Hot Lead: 61-69đ)",IF(P673&gt;=50,"Tier B (Bạc: 50-60đ)","Tier C (Đồng: 30-49đ)")))))</f>
        <v/>
      </c>
      <c r="R673" s="6" t="inlineStr">
        <is>
          <t>Nhà vệ sinh &amp; Tã lót (Potty Tray / Pee Pads) + Cỏ nhân tạo lót chuồng</t>
        </is>
      </c>
      <c r="S673" s="6" t="inlineStr">
        <is>
          <t>Cấp C Chi phí thấp: Nhắn tin trực tiếp qua Fanpage Facebook/Instagram + Nuôi dưỡng nội dung</t>
        </is>
      </c>
    </row>
    <row r="674">
      <c r="A674" s="59" t="n">
        <v>4868</v>
      </c>
      <c r="B674" s="15" t="inlineStr">
        <is>
          <t>Palm Beach Parrot &amp; Bird Rescue/Sanctuary Of South Florida</t>
        </is>
      </c>
      <c r="C674" s="60" t="inlineStr">
        <is>
          <t>https://www.facebook.com/palmbeachparrotrescue</t>
        </is>
      </c>
      <c r="D674" s="9" t="inlineStr">
        <is>
          <t>Cần quét Bio Fanpage</t>
        </is>
      </c>
      <c r="E674" s="59" t="inlineStr">
        <is>
          <t>13/10/2026 07:58:37</t>
        </is>
      </c>
      <c r="F674" s="59" t="inlineStr">
        <is>
          <t>1 giờ trước</t>
        </is>
      </c>
      <c r="G674" s="61" t="n">
        <v>0.04</v>
      </c>
      <c r="H674" s="62" t="n">
        <v>35</v>
      </c>
      <c r="I674" s="9" t="inlineStr">
        <is>
          <t>Pet Rescue / Trạm cứu trợ (14-16đ)</t>
        </is>
      </c>
      <c r="J674" s="62" t="n">
        <v>14</v>
      </c>
      <c r="K674" s="9" t="inlineStr">
        <is>
          <t>Chưa rõ giống (Cần quét Bio)</t>
        </is>
      </c>
      <c r="L674" s="62" t="n">
        <v>0</v>
      </c>
      <c r="M674" s="62" t="n">
        <v>0</v>
      </c>
      <c r="N674" s="9" t="inlineStr">
        <is>
          <t>Amazon link not found</t>
        </is>
      </c>
      <c r="O674" s="62">
        <f>IF(N674="Selling pet toys + Artificial grass/Pet toilets (TARGET)",15,IF(N674="Selling artificial grass/pet toilets (TARGET)",10,IF(N674="Selling pet toys",7,IF(N674="There's an Amazon link, but no target sales.",3,0))))</f>
        <v/>
      </c>
      <c r="P674" s="67">
        <f>H674+J674+L674+M674+O674</f>
        <v/>
      </c>
      <c r="Q674" s="69">
        <f>IF(OR(H674=0,P674&lt;30),"Tier D (Đóng băng)",IF(P674&gt;=85,"Tier S (Kim Cương: 85-100đ)",IF(P674&gt;=70,"Tier A (Vàng: 70-84đ)",IF(P674&gt;=61,"Tier B+ / Cấp A (Hot Lead: 61-69đ)",IF(P674&gt;=50,"Tier B (Bạc: 50-60đ)","Tier C (Đồng: 30-49đ)")))))</f>
        <v/>
      </c>
      <c r="R674" s="9" t="inlineStr">
        <is>
          <t>Nhà vệ sinh &amp; Tã lót (Potty Tray / Pee Pads) + Cỏ nhân tạo lót chuồng</t>
        </is>
      </c>
      <c r="S674" s="9" t="inlineStr">
        <is>
          <t>Cấp C Chi phí thấp: Nhắn tin trực tiếp qua Fanpage Facebook/Instagram + Nuôi dưỡng nội dung</t>
        </is>
      </c>
    </row>
    <row r="675">
      <c r="A675" s="53" t="n">
        <v>3679</v>
      </c>
      <c r="B675" s="12" t="inlineStr">
        <is>
          <t>Dogwood Animal Rescue Project</t>
        </is>
      </c>
      <c r="C675" s="54" t="inlineStr">
        <is>
          <t>https://www.facebook.com/DogwoodAnimalRescue</t>
        </is>
      </c>
      <c r="D675" s="6" t="inlineStr">
        <is>
          <t>Cần quét Bio Fanpage</t>
        </is>
      </c>
      <c r="E675" s="53" t="inlineStr">
        <is>
          <t>13/10/2026 07:32:15</t>
        </is>
      </c>
      <c r="F675" s="53" t="inlineStr">
        <is>
          <t>vừa xong</t>
        </is>
      </c>
      <c r="G675" s="55" t="n">
        <v>0</v>
      </c>
      <c r="H675" s="56" t="n">
        <v>35</v>
      </c>
      <c r="I675" s="6" t="inlineStr">
        <is>
          <t>Pet Rescue / Trạm cứu trợ (14-16đ)</t>
        </is>
      </c>
      <c r="J675" s="56" t="n">
        <v>14</v>
      </c>
      <c r="K675" s="6" t="inlineStr">
        <is>
          <t>Chưa rõ giống (Cần quét Bio)</t>
        </is>
      </c>
      <c r="L675" s="56" t="n">
        <v>0</v>
      </c>
      <c r="M675" s="56" t="n">
        <v>0</v>
      </c>
      <c r="N675" s="6" t="inlineStr">
        <is>
          <t>Amazon link not found</t>
        </is>
      </c>
      <c r="O675" s="56">
        <f>IF(N675="Selling pet toys + Artificial grass/Pet toilets (TARGET)",15,IF(N675="Selling artificial grass/pet toilets (TARGET)",10,IF(N675="Selling pet toys",7,IF(N675="There's an Amazon link, but no target sales.",3,0))))</f>
        <v/>
      </c>
      <c r="P675" s="65">
        <f>H675+J675+L675+M675+O675</f>
        <v/>
      </c>
      <c r="Q675" s="69">
        <f>IF(OR(H675=0,P675&lt;30),"Tier D (Đóng băng)",IF(P675&gt;=85,"Tier S (Kim Cương: 85-100đ)",IF(P675&gt;=70,"Tier A (Vàng: 70-84đ)",IF(P675&gt;=61,"Tier B+ / Cấp A (Hot Lead: 61-69đ)",IF(P675&gt;=50,"Tier B (Bạc: 50-60đ)","Tier C (Đồng: 30-49đ)")))))</f>
        <v/>
      </c>
      <c r="R675" s="6" t="inlineStr">
        <is>
          <t>Nhà vệ sinh &amp; Tã lót (Potty Tray / Pee Pads) + Cỏ nhân tạo lót chuồng</t>
        </is>
      </c>
      <c r="S675" s="6" t="inlineStr">
        <is>
          <t>Cấp C Chi phí thấp: Nhắn tin trực tiếp qua Fanpage Facebook/Instagram + Nuôi dưỡng nội dung</t>
        </is>
      </c>
    </row>
    <row r="676">
      <c r="A676" s="59" t="n">
        <v>5322</v>
      </c>
      <c r="B676" s="15" t="inlineStr">
        <is>
          <t>Second Chance Animal Rescue of Fayette County</t>
        </is>
      </c>
      <c r="C676" s="60" t="inlineStr">
        <is>
          <t>https://www.facebook.com/secondchancerescueoffayettecounty</t>
        </is>
      </c>
      <c r="D676" s="9" t="inlineStr">
        <is>
          <t>Cần quét Bio Fanpage</t>
        </is>
      </c>
      <c r="E676" s="59" t="inlineStr">
        <is>
          <t>13/10/2026 07:28:47</t>
        </is>
      </c>
      <c r="F676" s="59" t="inlineStr">
        <is>
          <t>3 giờ trước</t>
        </is>
      </c>
      <c r="G676" s="61" t="n">
        <v>0.12</v>
      </c>
      <c r="H676" s="62" t="n">
        <v>35</v>
      </c>
      <c r="I676" s="9" t="inlineStr">
        <is>
          <t>Pet Rescue / Trạm cứu trợ (14-16đ)</t>
        </is>
      </c>
      <c r="J676" s="62" t="n">
        <v>14</v>
      </c>
      <c r="K676" s="9" t="inlineStr">
        <is>
          <t>Chưa rõ giống (Cần quét Bio)</t>
        </is>
      </c>
      <c r="L676" s="62" t="n">
        <v>0</v>
      </c>
      <c r="M676" s="62" t="n">
        <v>0</v>
      </c>
      <c r="N676" s="9" t="inlineStr">
        <is>
          <t>Amazon link not found</t>
        </is>
      </c>
      <c r="O676" s="62">
        <f>IF(N676="Selling pet toys + Artificial grass/Pet toilets (TARGET)",15,IF(N676="Selling artificial grass/pet toilets (TARGET)",10,IF(N676="Selling pet toys",7,IF(N676="There's an Amazon link, but no target sales.",3,0))))</f>
        <v/>
      </c>
      <c r="P676" s="67">
        <f>H676+J676+L676+M676+O676</f>
        <v/>
      </c>
      <c r="Q676" s="69">
        <f>IF(OR(H676=0,P676&lt;30),"Tier D (Đóng băng)",IF(P676&gt;=85,"Tier S (Kim Cương: 85-100đ)",IF(P676&gt;=70,"Tier A (Vàng: 70-84đ)",IF(P676&gt;=61,"Tier B+ / Cấp A (Hot Lead: 61-69đ)",IF(P676&gt;=50,"Tier B (Bạc: 50-60đ)","Tier C (Đồng: 30-49đ)")))))</f>
        <v/>
      </c>
      <c r="R676" s="9" t="inlineStr">
        <is>
          <t>Nhà vệ sinh &amp; Tã lót (Potty Tray / Pee Pads) + Cỏ nhân tạo lót chuồng</t>
        </is>
      </c>
      <c r="S676" s="9" t="inlineStr">
        <is>
          <t>Cấp C Chi phí thấp: Nhắn tin trực tiếp qua Fanpage Facebook/Instagram + Nuôi dưỡng nội dung</t>
        </is>
      </c>
    </row>
    <row r="677">
      <c r="A677" s="53" t="n">
        <v>4799</v>
      </c>
      <c r="B677" s="12" t="inlineStr">
        <is>
          <t>Notorious D.O.G Dog Rescue</t>
        </is>
      </c>
      <c r="C677" s="54" t="inlineStr">
        <is>
          <t>https://www.facebook.com/profile.php?id=100091509333551</t>
        </is>
      </c>
      <c r="D677" s="6" t="inlineStr">
        <is>
          <t>Cần quét Bio Fanpage</t>
        </is>
      </c>
      <c r="E677" s="53" t="inlineStr">
        <is>
          <t>13/10/2026 07:25:08</t>
        </is>
      </c>
      <c r="F677" s="53" t="inlineStr">
        <is>
          <t>2 giờ trước</t>
        </is>
      </c>
      <c r="G677" s="55" t="n">
        <v>0.08</v>
      </c>
      <c r="H677" s="56" t="n">
        <v>35</v>
      </c>
      <c r="I677" s="6" t="inlineStr">
        <is>
          <t>Pet Rescue / Trạm cứu trợ (14-16đ)</t>
        </is>
      </c>
      <c r="J677" s="56" t="n">
        <v>14</v>
      </c>
      <c r="K677" s="6" t="inlineStr">
        <is>
          <t>Chưa rõ giống (Cần quét Bio)</t>
        </is>
      </c>
      <c r="L677" s="56" t="n">
        <v>0</v>
      </c>
      <c r="M677" s="56" t="n">
        <v>0</v>
      </c>
      <c r="N677" s="6" t="inlineStr">
        <is>
          <t>Amazon link not found</t>
        </is>
      </c>
      <c r="O677" s="56">
        <f>IF(N677="Selling pet toys + Artificial grass/Pet toilets (TARGET)",15,IF(N677="Selling artificial grass/pet toilets (TARGET)",10,IF(N677="Selling pet toys",7,IF(N677="There's an Amazon link, but no target sales.",3,0))))</f>
        <v/>
      </c>
      <c r="P677" s="65">
        <f>H677+J677+L677+M677+O677</f>
        <v/>
      </c>
      <c r="Q677" s="69">
        <f>IF(OR(H677=0,P677&lt;30),"Tier D (Đóng băng)",IF(P677&gt;=85,"Tier S (Kim Cương: 85-100đ)",IF(P677&gt;=70,"Tier A (Vàng: 70-84đ)",IF(P677&gt;=61,"Tier B+ / Cấp A (Hot Lead: 61-69đ)",IF(P677&gt;=50,"Tier B (Bạc: 50-60đ)","Tier C (Đồng: 30-49đ)")))))</f>
        <v/>
      </c>
      <c r="R677" s="6" t="inlineStr">
        <is>
          <t>Nhà vệ sinh &amp; Tã lót (Potty Tray / Pee Pads) + Cỏ nhân tạo lót chuồng</t>
        </is>
      </c>
      <c r="S677" s="6" t="inlineStr">
        <is>
          <t>Cấp C Chi phí thấp: Nhắn tin trực tiếp qua Fanpage Facebook/Instagram + Nuôi dưỡng nội dung</t>
        </is>
      </c>
    </row>
    <row r="678">
      <c r="A678" s="59" t="n">
        <v>5254</v>
      </c>
      <c r="B678" s="15" t="inlineStr">
        <is>
          <t>Rotts of Friends Animal Rescue</t>
        </is>
      </c>
      <c r="C678" s="60" t="inlineStr">
        <is>
          <t>https://www.facebook.com/rottsoffriends</t>
        </is>
      </c>
      <c r="D678" s="9" t="inlineStr">
        <is>
          <t>Cần quét Bio Fanpage</t>
        </is>
      </c>
      <c r="E678" s="59" t="inlineStr">
        <is>
          <t>13/10/2026 07:16:13</t>
        </is>
      </c>
      <c r="F678" s="59" t="inlineStr">
        <is>
          <t>3 giờ trước</t>
        </is>
      </c>
      <c r="G678" s="61" t="n">
        <v>0.12</v>
      </c>
      <c r="H678" s="62" t="n">
        <v>35</v>
      </c>
      <c r="I678" s="9" t="inlineStr">
        <is>
          <t>Pet Rescue / Trạm cứu trợ (14-16đ)</t>
        </is>
      </c>
      <c r="J678" s="62" t="n">
        <v>14</v>
      </c>
      <c r="K678" s="9" t="inlineStr">
        <is>
          <t>Chưa rõ giống (Cần quét Bio)</t>
        </is>
      </c>
      <c r="L678" s="62" t="n">
        <v>0</v>
      </c>
      <c r="M678" s="62" t="n">
        <v>0</v>
      </c>
      <c r="N678" s="9" t="inlineStr">
        <is>
          <t>Amazon link not found</t>
        </is>
      </c>
      <c r="O678" s="62">
        <f>IF(N678="Selling pet toys + Artificial grass/Pet toilets (TARGET)",15,IF(N678="Selling artificial grass/pet toilets (TARGET)",10,IF(N678="Selling pet toys",7,IF(N678="There's an Amazon link, but no target sales.",3,0))))</f>
        <v/>
      </c>
      <c r="P678" s="67">
        <f>H678+J678+L678+M678+O678</f>
        <v/>
      </c>
      <c r="Q678" s="69">
        <f>IF(OR(H678=0,P678&lt;30),"Tier D (Đóng băng)",IF(P678&gt;=85,"Tier S (Kim Cương: 85-100đ)",IF(P678&gt;=70,"Tier A (Vàng: 70-84đ)",IF(P678&gt;=61,"Tier B+ / Cấp A (Hot Lead: 61-69đ)",IF(P678&gt;=50,"Tier B (Bạc: 50-60đ)","Tier C (Đồng: 30-49đ)")))))</f>
        <v/>
      </c>
      <c r="R678" s="9" t="inlineStr">
        <is>
          <t>Nhà vệ sinh &amp; Tã lót (Potty Tray / Pee Pads) + Cỏ nhân tạo lót chuồng</t>
        </is>
      </c>
      <c r="S678" s="9" t="inlineStr">
        <is>
          <t>Cấp C Chi phí thấp: Nhắn tin trực tiếp qua Fanpage Facebook/Instagram + Nuôi dưỡng nội dung</t>
        </is>
      </c>
    </row>
    <row r="679">
      <c r="A679" s="53" t="n">
        <v>5094</v>
      </c>
      <c r="B679" s="12" t="inlineStr">
        <is>
          <t>Pressman's Home Rescue</t>
        </is>
      </c>
      <c r="C679" s="54" t="inlineStr">
        <is>
          <t>https://www.facebook.com/profile.php?id=61573454595534</t>
        </is>
      </c>
      <c r="D679" s="6" t="inlineStr">
        <is>
          <t>Cần quét Bio Fanpage</t>
        </is>
      </c>
      <c r="E679" s="53" t="inlineStr">
        <is>
          <t>13/10/2026 06:52:01</t>
        </is>
      </c>
      <c r="F679" s="53" t="inlineStr">
        <is>
          <t>3 giờ trước</t>
        </is>
      </c>
      <c r="G679" s="55" t="n">
        <v>0.12</v>
      </c>
      <c r="H679" s="56" t="n">
        <v>35</v>
      </c>
      <c r="I679" s="6" t="inlineStr">
        <is>
          <t>Pet Rescue / Trạm cứu trợ (14-16đ)</t>
        </is>
      </c>
      <c r="J679" s="56" t="n">
        <v>14</v>
      </c>
      <c r="K679" s="6" t="inlineStr">
        <is>
          <t>Chưa rõ giống (Cần quét Bio)</t>
        </is>
      </c>
      <c r="L679" s="56" t="n">
        <v>0</v>
      </c>
      <c r="M679" s="56" t="n">
        <v>0</v>
      </c>
      <c r="N679" s="6" t="inlineStr">
        <is>
          <t>Amazon link not found</t>
        </is>
      </c>
      <c r="O679" s="56">
        <f>IF(N679="Selling pet toys + Artificial grass/Pet toilets (TARGET)",15,IF(N679="Selling artificial grass/pet toilets (TARGET)",10,IF(N679="Selling pet toys",7,IF(N679="There's an Amazon link, but no target sales.",3,0))))</f>
        <v/>
      </c>
      <c r="P679" s="65">
        <f>H679+J679+L679+M679+O679</f>
        <v/>
      </c>
      <c r="Q679" s="69">
        <f>IF(OR(H679=0,P679&lt;30),"Tier D (Đóng băng)",IF(P679&gt;=85,"Tier S (Kim Cương: 85-100đ)",IF(P679&gt;=70,"Tier A (Vàng: 70-84đ)",IF(P679&gt;=61,"Tier B+ / Cấp A (Hot Lead: 61-69đ)",IF(P679&gt;=50,"Tier B (Bạc: 50-60đ)","Tier C (Đồng: 30-49đ)")))))</f>
        <v/>
      </c>
      <c r="R679" s="6" t="inlineStr">
        <is>
          <t>Nhà vệ sinh &amp; Tã lót (Potty Tray / Pee Pads) + Cỏ nhân tạo lót chuồng</t>
        </is>
      </c>
      <c r="S679" s="6" t="inlineStr">
        <is>
          <t>Cấp C Chi phí thấp: Nhắn tin trực tiếp qua Fanpage Facebook/Instagram + Nuôi dưỡng nội dung</t>
        </is>
      </c>
    </row>
    <row r="680">
      <c r="A680" s="59" t="n">
        <v>4807</v>
      </c>
      <c r="B680" s="15" t="inlineStr">
        <is>
          <t>Oakdale Tiny Paws Rescue</t>
        </is>
      </c>
      <c r="C680" s="60" t="inlineStr">
        <is>
          <t>https://www.facebook.com/profile.php?id=61552321181593</t>
        </is>
      </c>
      <c r="D680" s="9" t="inlineStr">
        <is>
          <t>Cần quét Bio Fanpage</t>
        </is>
      </c>
      <c r="E680" s="59" t="inlineStr">
        <is>
          <t>13/10/2026 06:49:56</t>
        </is>
      </c>
      <c r="F680" s="59" t="inlineStr">
        <is>
          <t>2 giờ trước</t>
        </is>
      </c>
      <c r="G680" s="61" t="n">
        <v>0.08</v>
      </c>
      <c r="H680" s="62" t="n">
        <v>35</v>
      </c>
      <c r="I680" s="9" t="inlineStr">
        <is>
          <t>Pet Rescue / Trạm cứu trợ (14-16đ)</t>
        </is>
      </c>
      <c r="J680" s="62" t="n">
        <v>14</v>
      </c>
      <c r="K680" s="9" t="inlineStr">
        <is>
          <t>Chưa rõ giống (Cần quét Bio)</t>
        </is>
      </c>
      <c r="L680" s="62" t="n">
        <v>0</v>
      </c>
      <c r="M680" s="62" t="n">
        <v>0</v>
      </c>
      <c r="N680" s="9" t="inlineStr">
        <is>
          <t>Amazon link not found</t>
        </is>
      </c>
      <c r="O680" s="62">
        <f>IF(N680="Selling pet toys + Artificial grass/Pet toilets (TARGET)",15,IF(N680="Selling artificial grass/pet toilets (TARGET)",10,IF(N680="Selling pet toys",7,IF(N680="There's an Amazon link, but no target sales.",3,0))))</f>
        <v/>
      </c>
      <c r="P680" s="67">
        <f>H680+J680+L680+M680+O680</f>
        <v/>
      </c>
      <c r="Q680" s="69">
        <f>IF(OR(H680=0,P680&lt;30),"Tier D (Đóng băng)",IF(P680&gt;=85,"Tier S (Kim Cương: 85-100đ)",IF(P680&gt;=70,"Tier A (Vàng: 70-84đ)",IF(P680&gt;=61,"Tier B+ / Cấp A (Hot Lead: 61-69đ)",IF(P680&gt;=50,"Tier B (Bạc: 50-60đ)","Tier C (Đồng: 30-49đ)")))))</f>
        <v/>
      </c>
      <c r="R680" s="9" t="inlineStr">
        <is>
          <t>Nhà vệ sinh &amp; Tã lót (Potty Tray / Pee Pads) + Cỏ nhân tạo lót chuồng</t>
        </is>
      </c>
      <c r="S680" s="9" t="inlineStr">
        <is>
          <t>Cấp C Chi phí thấp: Nhắn tin trực tiếp qua Fanpage Facebook/Instagram + Nuôi dưỡng nội dung</t>
        </is>
      </c>
    </row>
    <row r="681">
      <c r="A681" s="53" t="n">
        <v>3707</v>
      </c>
      <c r="B681" s="12" t="inlineStr">
        <is>
          <t>Drone Animal Rescue</t>
        </is>
      </c>
      <c r="C681" s="54" t="inlineStr">
        <is>
          <t>https://www.facebook.com/droneanimalrescue</t>
        </is>
      </c>
      <c r="D681" s="6" t="inlineStr">
        <is>
          <t>Cần quét Bio Fanpage</t>
        </is>
      </c>
      <c r="E681" s="53" t="inlineStr">
        <is>
          <t>13/10/2026 06:45:16</t>
        </is>
      </c>
      <c r="F681" s="53" t="inlineStr">
        <is>
          <t>50 phút trước</t>
        </is>
      </c>
      <c r="G681" s="55" t="n">
        <v>0.03</v>
      </c>
      <c r="H681" s="56" t="n">
        <v>35</v>
      </c>
      <c r="I681" s="6" t="inlineStr">
        <is>
          <t>Pet Rescue / Trạm cứu trợ (14-16đ)</t>
        </is>
      </c>
      <c r="J681" s="56" t="n">
        <v>14</v>
      </c>
      <c r="K681" s="6" t="inlineStr">
        <is>
          <t>Chưa rõ giống (Cần quét Bio)</t>
        </is>
      </c>
      <c r="L681" s="56" t="n">
        <v>0</v>
      </c>
      <c r="M681" s="56" t="n">
        <v>0</v>
      </c>
      <c r="N681" s="6" t="inlineStr">
        <is>
          <t>Amazon link not found</t>
        </is>
      </c>
      <c r="O681" s="56">
        <f>IF(N681="Selling pet toys + Artificial grass/Pet toilets (TARGET)",15,IF(N681="Selling artificial grass/pet toilets (TARGET)",10,IF(N681="Selling pet toys",7,IF(N681="There's an Amazon link, but no target sales.",3,0))))</f>
        <v/>
      </c>
      <c r="P681" s="65">
        <f>H681+J681+L681+M681+O681</f>
        <v/>
      </c>
      <c r="Q681" s="69">
        <f>IF(OR(H681=0,P681&lt;30),"Tier D (Đóng băng)",IF(P681&gt;=85,"Tier S (Kim Cương: 85-100đ)",IF(P681&gt;=70,"Tier A (Vàng: 70-84đ)",IF(P681&gt;=61,"Tier B+ / Cấp A (Hot Lead: 61-69đ)",IF(P681&gt;=50,"Tier B (Bạc: 50-60đ)","Tier C (Đồng: 30-49đ)")))))</f>
        <v/>
      </c>
      <c r="R681" s="6" t="inlineStr">
        <is>
          <t>Nhà vệ sinh &amp; Tã lót (Potty Tray / Pee Pads) + Cỏ nhân tạo lót chuồng</t>
        </is>
      </c>
      <c r="S681" s="6" t="inlineStr">
        <is>
          <t>Cấp C Chi phí thấp: Nhắn tin trực tiếp qua Fanpage Facebook/Instagram + Nuôi dưỡng nội dung</t>
        </is>
      </c>
    </row>
    <row r="682">
      <c r="A682" s="59" t="n">
        <v>5203</v>
      </c>
      <c r="B682" s="15" t="inlineStr">
        <is>
          <t>Rescue Dogs Rock NYC</t>
        </is>
      </c>
      <c r="C682" s="60" t="inlineStr">
        <is>
          <t>https://www.facebook.com/RescueDogsRockNyc</t>
        </is>
      </c>
      <c r="D682" s="9" t="inlineStr">
        <is>
          <t>Cần quét Bio Fanpage</t>
        </is>
      </c>
      <c r="E682" s="59" t="inlineStr">
        <is>
          <t>13/10/2026 06:41:20</t>
        </is>
      </c>
      <c r="F682" s="59" t="inlineStr">
        <is>
          <t>3 giờ trước</t>
        </is>
      </c>
      <c r="G682" s="61" t="n">
        <v>0.12</v>
      </c>
      <c r="H682" s="62" t="n">
        <v>35</v>
      </c>
      <c r="I682" s="9" t="inlineStr">
        <is>
          <t>Pet Rescue / Trạm cứu trợ (14-16đ)</t>
        </is>
      </c>
      <c r="J682" s="62" t="n">
        <v>14</v>
      </c>
      <c r="K682" s="9" t="inlineStr">
        <is>
          <t>Chưa rõ giống (Cần quét Bio)</t>
        </is>
      </c>
      <c r="L682" s="62" t="n">
        <v>0</v>
      </c>
      <c r="M682" s="62" t="n">
        <v>0</v>
      </c>
      <c r="N682" s="9" t="inlineStr">
        <is>
          <t>Amazon link not found</t>
        </is>
      </c>
      <c r="O682" s="62">
        <f>IF(N682="Selling pet toys + Artificial grass/Pet toilets (TARGET)",15,IF(N682="Selling artificial grass/pet toilets (TARGET)",10,IF(N682="Selling pet toys",7,IF(N682="There's an Amazon link, but no target sales.",3,0))))</f>
        <v/>
      </c>
      <c r="P682" s="67">
        <f>H682+J682+L682+M682+O682</f>
        <v/>
      </c>
      <c r="Q682" s="69">
        <f>IF(OR(H682=0,P682&lt;30),"Tier D (Đóng băng)",IF(P682&gt;=85,"Tier S (Kim Cương: 85-100đ)",IF(P682&gt;=70,"Tier A (Vàng: 70-84đ)",IF(P682&gt;=61,"Tier B+ / Cấp A (Hot Lead: 61-69đ)",IF(P682&gt;=50,"Tier B (Bạc: 50-60đ)","Tier C (Đồng: 30-49đ)")))))</f>
        <v/>
      </c>
      <c r="R682" s="9" t="inlineStr">
        <is>
          <t>Nhà vệ sinh &amp; Tã lót (Potty Tray / Pee Pads) + Cỏ nhân tạo lót chuồng</t>
        </is>
      </c>
      <c r="S682" s="9" t="inlineStr">
        <is>
          <t>Cấp C Chi phí thấp: Nhắn tin trực tiếp qua Fanpage Facebook/Instagram + Nuôi dưỡng nội dung</t>
        </is>
      </c>
    </row>
    <row r="683">
      <c r="A683" s="53" t="n">
        <v>4890</v>
      </c>
      <c r="B683" s="12" t="inlineStr">
        <is>
          <t>PawSafe Animal Rescue</t>
        </is>
      </c>
      <c r="C683" s="54" t="inlineStr">
        <is>
          <t>https://www.facebook.com/PawSafeAR</t>
        </is>
      </c>
      <c r="D683" s="6" t="inlineStr">
        <is>
          <t>Cần quét Bio Fanpage</t>
        </is>
      </c>
      <c r="E683" s="53" t="inlineStr">
        <is>
          <t>13/10/2026 06:40:37</t>
        </is>
      </c>
      <c r="F683" s="53" t="inlineStr">
        <is>
          <t>3 giờ trước</t>
        </is>
      </c>
      <c r="G683" s="55" t="n">
        <v>0.12</v>
      </c>
      <c r="H683" s="56" t="n">
        <v>35</v>
      </c>
      <c r="I683" s="6" t="inlineStr">
        <is>
          <t>Pet Rescue / Trạm cứu trợ (14-16đ)</t>
        </is>
      </c>
      <c r="J683" s="56" t="n">
        <v>14</v>
      </c>
      <c r="K683" s="6" t="inlineStr">
        <is>
          <t>Chưa rõ giống (Cần quét Bio)</t>
        </is>
      </c>
      <c r="L683" s="56" t="n">
        <v>0</v>
      </c>
      <c r="M683" s="56" t="n">
        <v>0</v>
      </c>
      <c r="N683" s="6" t="inlineStr">
        <is>
          <t>Amazon link not found</t>
        </is>
      </c>
      <c r="O683" s="56">
        <f>IF(N683="Selling pet toys + Artificial grass/Pet toilets (TARGET)",15,IF(N683="Selling artificial grass/pet toilets (TARGET)",10,IF(N683="Selling pet toys",7,IF(N683="There's an Amazon link, but no target sales.",3,0))))</f>
        <v/>
      </c>
      <c r="P683" s="65">
        <f>H683+J683+L683+M683+O683</f>
        <v/>
      </c>
      <c r="Q683" s="69">
        <f>IF(OR(H683=0,P683&lt;30),"Tier D (Đóng băng)",IF(P683&gt;=85,"Tier S (Kim Cương: 85-100đ)",IF(P683&gt;=70,"Tier A (Vàng: 70-84đ)",IF(P683&gt;=61,"Tier B+ / Cấp A (Hot Lead: 61-69đ)",IF(P683&gt;=50,"Tier B (Bạc: 50-60đ)","Tier C (Đồng: 30-49đ)")))))</f>
        <v/>
      </c>
      <c r="R683" s="6" t="inlineStr">
        <is>
          <t>Nhà vệ sinh &amp; Tã lót (Potty Tray / Pee Pads) + Cỏ nhân tạo lót chuồng</t>
        </is>
      </c>
      <c r="S683" s="6" t="inlineStr">
        <is>
          <t>Cấp C Chi phí thấp: Nhắn tin trực tiếp qua Fanpage Facebook/Instagram + Nuôi dưỡng nội dung</t>
        </is>
      </c>
    </row>
    <row r="684">
      <c r="A684" s="59" t="n">
        <v>4307</v>
      </c>
      <c r="B684" s="15" t="inlineStr">
        <is>
          <t>Kaingaroa Village Animal Rescue</t>
        </is>
      </c>
      <c r="C684" s="60" t="inlineStr">
        <is>
          <t>https://www.facebook.com/profile.php?id=100080288994585</t>
        </is>
      </c>
      <c r="D684" s="9" t="inlineStr">
        <is>
          <t>Cần quét Bio Fanpage</t>
        </is>
      </c>
      <c r="E684" s="59" t="inlineStr">
        <is>
          <t>13/10/2026 06:36:36</t>
        </is>
      </c>
      <c r="F684" s="59" t="inlineStr">
        <is>
          <t>2 giờ trước</t>
        </is>
      </c>
      <c r="G684" s="61" t="n">
        <v>0.08</v>
      </c>
      <c r="H684" s="62" t="n">
        <v>35</v>
      </c>
      <c r="I684" s="9" t="inlineStr">
        <is>
          <t>Pet Rescue / Trạm cứu trợ (14-16đ)</t>
        </is>
      </c>
      <c r="J684" s="62" t="n">
        <v>14</v>
      </c>
      <c r="K684" s="9" t="inlineStr">
        <is>
          <t>Chưa rõ giống (Cần quét Bio)</t>
        </is>
      </c>
      <c r="L684" s="62" t="n">
        <v>0</v>
      </c>
      <c r="M684" s="62" t="n">
        <v>0</v>
      </c>
      <c r="N684" s="9" t="inlineStr">
        <is>
          <t>Amazon link not found</t>
        </is>
      </c>
      <c r="O684" s="62">
        <f>IF(N684="Selling pet toys + Artificial grass/Pet toilets (TARGET)",15,IF(N684="Selling artificial grass/pet toilets (TARGET)",10,IF(N684="Selling pet toys",7,IF(N684="There's an Amazon link, but no target sales.",3,0))))</f>
        <v/>
      </c>
      <c r="P684" s="67">
        <f>H684+J684+L684+M684+O684</f>
        <v/>
      </c>
      <c r="Q684" s="69">
        <f>IF(OR(H684=0,P684&lt;30),"Tier D (Đóng băng)",IF(P684&gt;=85,"Tier S (Kim Cương: 85-100đ)",IF(P684&gt;=70,"Tier A (Vàng: 70-84đ)",IF(P684&gt;=61,"Tier B+ / Cấp A (Hot Lead: 61-69đ)",IF(P684&gt;=50,"Tier B (Bạc: 50-60đ)","Tier C (Đồng: 30-49đ)")))))</f>
        <v/>
      </c>
      <c r="R684" s="9" t="inlineStr">
        <is>
          <t>Nhà vệ sinh &amp; Tã lót (Potty Tray / Pee Pads) + Cỏ nhân tạo lót chuồng</t>
        </is>
      </c>
      <c r="S684" s="9" t="inlineStr">
        <is>
          <t>Cấp C Chi phí thấp: Nhắn tin trực tiếp qua Fanpage Facebook/Instagram + Nuôi dưỡng nội dung</t>
        </is>
      </c>
    </row>
    <row r="685">
      <c r="A685" s="53" t="n">
        <v>4214</v>
      </c>
      <c r="B685" s="12" t="inlineStr">
        <is>
          <t>It's a Pittie Rescue</t>
        </is>
      </c>
      <c r="C685" s="54" t="inlineStr">
        <is>
          <t>https://www.facebook.com/ItsAPittieRescue</t>
        </is>
      </c>
      <c r="D685" s="6" t="inlineStr">
        <is>
          <t>Cần quét Bio Fanpage</t>
        </is>
      </c>
      <c r="E685" s="53" t="inlineStr">
        <is>
          <t>13/10/2026 06:30:59</t>
        </is>
      </c>
      <c r="F685" s="53" t="inlineStr">
        <is>
          <t>2 giờ trước</t>
        </is>
      </c>
      <c r="G685" s="55" t="n">
        <v>0.08</v>
      </c>
      <c r="H685" s="56" t="n">
        <v>35</v>
      </c>
      <c r="I685" s="6" t="inlineStr">
        <is>
          <t>Pet Rescue / Trạm cứu trợ (14-16đ)</t>
        </is>
      </c>
      <c r="J685" s="56" t="n">
        <v>14</v>
      </c>
      <c r="K685" s="6" t="inlineStr">
        <is>
          <t>Chưa rõ giống (Cần quét Bio)</t>
        </is>
      </c>
      <c r="L685" s="56" t="n">
        <v>0</v>
      </c>
      <c r="M685" s="56" t="n">
        <v>0</v>
      </c>
      <c r="N685" s="6" t="inlineStr">
        <is>
          <t>Amazon link not found</t>
        </is>
      </c>
      <c r="O685" s="56">
        <f>IF(N685="Selling pet toys + Artificial grass/Pet toilets (TARGET)",15,IF(N685="Selling artificial grass/pet toilets (TARGET)",10,IF(N685="Selling pet toys",7,IF(N685="There's an Amazon link, but no target sales.",3,0))))</f>
        <v/>
      </c>
      <c r="P685" s="65">
        <f>H685+J685+L685+M685+O685</f>
        <v/>
      </c>
      <c r="Q685" s="69">
        <f>IF(OR(H685=0,P685&lt;30),"Tier D (Đóng băng)",IF(P685&gt;=85,"Tier S (Kim Cương: 85-100đ)",IF(P685&gt;=70,"Tier A (Vàng: 70-84đ)",IF(P685&gt;=61,"Tier B+ / Cấp A (Hot Lead: 61-69đ)",IF(P685&gt;=50,"Tier B (Bạc: 50-60đ)","Tier C (Đồng: 30-49đ)")))))</f>
        <v/>
      </c>
      <c r="R685" s="6" t="inlineStr">
        <is>
          <t>Nhà vệ sinh &amp; Tã lót (Potty Tray / Pee Pads) + Cỏ nhân tạo lót chuồng</t>
        </is>
      </c>
      <c r="S685" s="6" t="inlineStr">
        <is>
          <t>Cấp C Chi phí thấp: Nhắn tin trực tiếp qua Fanpage Facebook/Instagram + Nuôi dưỡng nội dung</t>
        </is>
      </c>
    </row>
    <row r="686">
      <c r="A686" s="59" t="n">
        <v>4688</v>
      </c>
      <c r="B686" s="15" t="inlineStr">
        <is>
          <t>Mostly Muttz Rescue</t>
        </is>
      </c>
      <c r="C686" s="60" t="inlineStr">
        <is>
          <t>https://www.facebook.com/mostlymuttz</t>
        </is>
      </c>
      <c r="D686" s="9" t="inlineStr">
        <is>
          <t>Cần quét Bio Fanpage</t>
        </is>
      </c>
      <c r="E686" s="59" t="inlineStr">
        <is>
          <t>13/10/2026 06:00:24</t>
        </is>
      </c>
      <c r="F686" s="59" t="inlineStr">
        <is>
          <t>3 giờ trước</t>
        </is>
      </c>
      <c r="G686" s="61" t="n">
        <v>0.12</v>
      </c>
      <c r="H686" s="62" t="n">
        <v>35</v>
      </c>
      <c r="I686" s="9" t="inlineStr">
        <is>
          <t>Pet Rescue / Trạm cứu trợ (14-16đ)</t>
        </is>
      </c>
      <c r="J686" s="62" t="n">
        <v>14</v>
      </c>
      <c r="K686" s="9" t="inlineStr">
        <is>
          <t>Chưa rõ giống (Cần quét Bio)</t>
        </is>
      </c>
      <c r="L686" s="62" t="n">
        <v>0</v>
      </c>
      <c r="M686" s="62" t="n">
        <v>0</v>
      </c>
      <c r="N686" s="9" t="inlineStr">
        <is>
          <t>Amazon link not found</t>
        </is>
      </c>
      <c r="O686" s="62">
        <f>IF(N686="Selling pet toys + Artificial grass/Pet toilets (TARGET)",15,IF(N686="Selling artificial grass/pet toilets (TARGET)",10,IF(N686="Selling pet toys",7,IF(N686="There's an Amazon link, but no target sales.",3,0))))</f>
        <v/>
      </c>
      <c r="P686" s="67">
        <f>H686+J686+L686+M686+O686</f>
        <v/>
      </c>
      <c r="Q686" s="69">
        <f>IF(OR(H686=0,P686&lt;30),"Tier D (Đóng băng)",IF(P686&gt;=85,"Tier S (Kim Cương: 85-100đ)",IF(P686&gt;=70,"Tier A (Vàng: 70-84đ)",IF(P686&gt;=61,"Tier B+ / Cấp A (Hot Lead: 61-69đ)",IF(P686&gt;=50,"Tier B (Bạc: 50-60đ)","Tier C (Đồng: 30-49đ)")))))</f>
        <v/>
      </c>
      <c r="R686" s="9" t="inlineStr">
        <is>
          <t>Nhà vệ sinh &amp; Tã lót (Potty Tray / Pee Pads) + Cỏ nhân tạo lót chuồng</t>
        </is>
      </c>
      <c r="S686" s="9" t="inlineStr">
        <is>
          <t>Cấp C Chi phí thấp: Nhắn tin trực tiếp qua Fanpage Facebook/Instagram + Nuôi dưỡng nội dung</t>
        </is>
      </c>
    </row>
    <row r="687">
      <c r="A687" s="53" t="n">
        <v>2833</v>
      </c>
      <c r="B687" s="12" t="inlineStr">
        <is>
          <t>Save Monroe Strays Rescue</t>
        </is>
      </c>
      <c r="C687" s="54" t="inlineStr">
        <is>
          <t>https://www.facebook.com/SaveMonroeStraysRescue</t>
        </is>
      </c>
      <c r="D687" s="6" t="inlineStr">
        <is>
          <t>Cần quét Bio Fanpage</t>
        </is>
      </c>
      <c r="E687" s="53" t="inlineStr">
        <is>
          <t>13/10/2026 06:00:01</t>
        </is>
      </c>
      <c r="F687" s="53" t="inlineStr">
        <is>
          <t>vừa xong</t>
        </is>
      </c>
      <c r="G687" s="55" t="n">
        <v>0</v>
      </c>
      <c r="H687" s="56" t="n">
        <v>35</v>
      </c>
      <c r="I687" s="6" t="inlineStr">
        <is>
          <t>Pet Rescue / Trạm cứu trợ (14-16đ)</t>
        </is>
      </c>
      <c r="J687" s="56" t="n">
        <v>14</v>
      </c>
      <c r="K687" s="6" t="inlineStr">
        <is>
          <t>Chưa rõ giống (Cần quét Bio)</t>
        </is>
      </c>
      <c r="L687" s="56" t="n">
        <v>0</v>
      </c>
      <c r="M687" s="56" t="n">
        <v>0</v>
      </c>
      <c r="N687" s="6" t="inlineStr">
        <is>
          <t>Amazon link not found</t>
        </is>
      </c>
      <c r="O687" s="56">
        <f>IF(N687="Selling pet toys + Artificial grass/Pet toilets (TARGET)",15,IF(N687="Selling artificial grass/pet toilets (TARGET)",10,IF(N687="Selling pet toys",7,IF(N687="There's an Amazon link, but no target sales.",3,0))))</f>
        <v/>
      </c>
      <c r="P687" s="65">
        <f>H687+J687+L687+M687+O687</f>
        <v/>
      </c>
      <c r="Q687" s="69">
        <f>IF(OR(H687=0,P687&lt;30),"Tier D (Đóng băng)",IF(P687&gt;=85,"Tier S (Kim Cương: 85-100đ)",IF(P687&gt;=70,"Tier A (Vàng: 70-84đ)",IF(P687&gt;=61,"Tier B+ / Cấp A (Hot Lead: 61-69đ)",IF(P687&gt;=50,"Tier B (Bạc: 50-60đ)","Tier C (Đồng: 30-49đ)")))))</f>
        <v/>
      </c>
      <c r="R687" s="6" t="inlineStr">
        <is>
          <t>Nhà vệ sinh &amp; Tã lót (Potty Tray / Pee Pads) + Cỏ nhân tạo lót chuồng</t>
        </is>
      </c>
      <c r="S687" s="6" t="inlineStr">
        <is>
          <t>Cấp C Chi phí thấp: Nhắn tin trực tiếp qua Fanpage Facebook/Instagram + Nuôi dưỡng nội dung</t>
        </is>
      </c>
    </row>
    <row r="688">
      <c r="A688" s="59" t="n">
        <v>4772</v>
      </c>
      <c r="B688" s="15" t="inlineStr">
        <is>
          <t>No Paw Left Behind Animal Rescue</t>
        </is>
      </c>
      <c r="C688" s="60" t="inlineStr">
        <is>
          <t>https://www.facebook.com/NoPawLeftBehindAR</t>
        </is>
      </c>
      <c r="D688" s="9" t="inlineStr">
        <is>
          <t>Cần quét Bio Fanpage</t>
        </is>
      </c>
      <c r="E688" s="59" t="inlineStr">
        <is>
          <t>13/10/2026 05:58:16</t>
        </is>
      </c>
      <c r="F688" s="59" t="inlineStr">
        <is>
          <t>3 giờ trước</t>
        </is>
      </c>
      <c r="G688" s="61" t="n">
        <v>0.12</v>
      </c>
      <c r="H688" s="62" t="n">
        <v>35</v>
      </c>
      <c r="I688" s="9" t="inlineStr">
        <is>
          <t>Pet Rescue / Trạm cứu trợ (14-16đ)</t>
        </is>
      </c>
      <c r="J688" s="62" t="n">
        <v>14</v>
      </c>
      <c r="K688" s="9" t="inlineStr">
        <is>
          <t>Chưa rõ giống (Cần quét Bio)</t>
        </is>
      </c>
      <c r="L688" s="62" t="n">
        <v>0</v>
      </c>
      <c r="M688" s="62" t="n">
        <v>0</v>
      </c>
      <c r="N688" s="9" t="inlineStr">
        <is>
          <t>Amazon link not found</t>
        </is>
      </c>
      <c r="O688" s="62">
        <f>IF(N688="Selling pet toys + Artificial grass/Pet toilets (TARGET)",15,IF(N688="Selling artificial grass/pet toilets (TARGET)",10,IF(N688="Selling pet toys",7,IF(N688="There's an Amazon link, but no target sales.",3,0))))</f>
        <v/>
      </c>
      <c r="P688" s="67">
        <f>H688+J688+L688+M688+O688</f>
        <v/>
      </c>
      <c r="Q688" s="69">
        <f>IF(OR(H688=0,P688&lt;30),"Tier D (Đóng băng)",IF(P688&gt;=85,"Tier S (Kim Cương: 85-100đ)",IF(P688&gt;=70,"Tier A (Vàng: 70-84đ)",IF(P688&gt;=61,"Tier B+ / Cấp A (Hot Lead: 61-69đ)",IF(P688&gt;=50,"Tier B (Bạc: 50-60đ)","Tier C (Đồng: 30-49đ)")))))</f>
        <v/>
      </c>
      <c r="R688" s="9" t="inlineStr">
        <is>
          <t>Nhà vệ sinh &amp; Tã lót (Potty Tray / Pee Pads) + Cỏ nhân tạo lót chuồng</t>
        </is>
      </c>
      <c r="S688" s="9" t="inlineStr">
        <is>
          <t>Cấp C Chi phí thấp: Nhắn tin trực tiếp qua Fanpage Facebook/Instagram + Nuôi dưỡng nội dung</t>
        </is>
      </c>
    </row>
    <row r="689">
      <c r="A689" s="53" t="n">
        <v>3219</v>
      </c>
      <c r="B689" s="12" t="inlineStr">
        <is>
          <t>Town of Hempstead Animal Shelter</t>
        </is>
      </c>
      <c r="C689" s="54" t="inlineStr">
        <is>
          <t>https://www.facebook.com/TOHAnimalShelter</t>
        </is>
      </c>
      <c r="D689" s="6" t="inlineStr">
        <is>
          <t>Cần quét Bio Fanpage</t>
        </is>
      </c>
      <c r="E689" s="53" t="inlineStr">
        <is>
          <t>13/10/2026 05:00:06</t>
        </is>
      </c>
      <c r="F689" s="53" t="inlineStr">
        <is>
          <t>1 giờ trước</t>
        </is>
      </c>
      <c r="G689" s="55" t="n">
        <v>0.04</v>
      </c>
      <c r="H689" s="56" t="n">
        <v>35</v>
      </c>
      <c r="I689" s="6" t="inlineStr">
        <is>
          <t>Pet Rescue / Trạm cứu trợ (14-16đ)</t>
        </is>
      </c>
      <c r="J689" s="56" t="n">
        <v>14</v>
      </c>
      <c r="K689" s="6" t="inlineStr">
        <is>
          <t>Chưa rõ giống (Cần quét Bio)</t>
        </is>
      </c>
      <c r="L689" s="56" t="n">
        <v>0</v>
      </c>
      <c r="M689" s="56" t="n">
        <v>0</v>
      </c>
      <c r="N689" s="6" t="inlineStr">
        <is>
          <t>Amazon link not found</t>
        </is>
      </c>
      <c r="O689" s="56">
        <f>IF(N689="Selling pet toys + Artificial grass/Pet toilets (TARGET)",15,IF(N689="Selling artificial grass/pet toilets (TARGET)",10,IF(N689="Selling pet toys",7,IF(N689="There's an Amazon link, but no target sales.",3,0))))</f>
        <v/>
      </c>
      <c r="P689" s="65">
        <f>H689+J689+L689+M689+O689</f>
        <v/>
      </c>
      <c r="Q689" s="69">
        <f>IF(OR(H689=0,P689&lt;30),"Tier D (Đóng băng)",IF(P689&gt;=85,"Tier S (Kim Cương: 85-100đ)",IF(P689&gt;=70,"Tier A (Vàng: 70-84đ)",IF(P689&gt;=61,"Tier B+ / Cấp A (Hot Lead: 61-69đ)",IF(P689&gt;=50,"Tier B (Bạc: 50-60đ)","Tier C (Đồng: 30-49đ)")))))</f>
        <v/>
      </c>
      <c r="R689" s="6" t="inlineStr">
        <is>
          <t>Nhà vệ sinh &amp; Tã lót (Potty Tray / Pee Pads) + Cỏ nhân tạo lót chuồng</t>
        </is>
      </c>
      <c r="S689" s="6" t="inlineStr">
        <is>
          <t>Cấp C Chi phí thấp: Nhắn tin trực tiếp qua Fanpage Facebook/Instagram + Nuôi dưỡng nội dung</t>
        </is>
      </c>
    </row>
    <row r="690">
      <c r="A690" s="59" t="n">
        <v>3412</v>
      </c>
      <c r="B690" s="15" t="inlineStr">
        <is>
          <t>Wichita Animal Shelter</t>
        </is>
      </c>
      <c r="C690" s="60" t="inlineStr">
        <is>
          <t>https://www.facebook.com/profile.php?id=61566479226739</t>
        </is>
      </c>
      <c r="D690" s="9" t="inlineStr">
        <is>
          <t>Cần quét Bio Fanpage</t>
        </is>
      </c>
      <c r="E690" s="59" t="inlineStr">
        <is>
          <t>13/10/2026 04:50:03</t>
        </is>
      </c>
      <c r="F690" s="59" t="inlineStr">
        <is>
          <t>2 giờ trước</t>
        </is>
      </c>
      <c r="G690" s="61" t="n">
        <v>0.08</v>
      </c>
      <c r="H690" s="62" t="n">
        <v>35</v>
      </c>
      <c r="I690" s="9" t="inlineStr">
        <is>
          <t>Pet Rescue / Trạm cứu trợ (14-16đ)</t>
        </is>
      </c>
      <c r="J690" s="62" t="n">
        <v>14</v>
      </c>
      <c r="K690" s="9" t="inlineStr">
        <is>
          <t>Chưa rõ giống (Cần quét Bio)</t>
        </is>
      </c>
      <c r="L690" s="62" t="n">
        <v>0</v>
      </c>
      <c r="M690" s="62" t="n">
        <v>0</v>
      </c>
      <c r="N690" s="9" t="inlineStr">
        <is>
          <t>Amazon link not found</t>
        </is>
      </c>
      <c r="O690" s="62">
        <f>IF(N690="Selling pet toys + Artificial grass/Pet toilets (TARGET)",15,IF(N690="Selling artificial grass/pet toilets (TARGET)",10,IF(N690="Selling pet toys",7,IF(N690="There's an Amazon link, but no target sales.",3,0))))</f>
        <v/>
      </c>
      <c r="P690" s="67">
        <f>H690+J690+L690+M690+O690</f>
        <v/>
      </c>
      <c r="Q690" s="69">
        <f>IF(OR(H690=0,P690&lt;30),"Tier D (Đóng băng)",IF(P690&gt;=85,"Tier S (Kim Cương: 85-100đ)",IF(P690&gt;=70,"Tier A (Vàng: 70-84đ)",IF(P690&gt;=61,"Tier B+ / Cấp A (Hot Lead: 61-69đ)",IF(P690&gt;=50,"Tier B (Bạc: 50-60đ)","Tier C (Đồng: 30-49đ)")))))</f>
        <v/>
      </c>
      <c r="R690" s="9" t="inlineStr">
        <is>
          <t>Nhà vệ sinh &amp; Tã lót (Potty Tray / Pee Pads) + Cỏ nhân tạo lót chuồng</t>
        </is>
      </c>
      <c r="S690" s="9" t="inlineStr">
        <is>
          <t>Cấp C Chi phí thấp: Nhắn tin trực tiếp qua Fanpage Facebook/Instagram + Nuôi dưỡng nội dung</t>
        </is>
      </c>
    </row>
    <row r="691">
      <c r="A691" s="53" t="n">
        <v>1622</v>
      </c>
      <c r="B691" s="12" t="inlineStr">
        <is>
          <t>Haseya’s New Beginning Animal Rescue</t>
        </is>
      </c>
      <c r="C691" s="54" t="inlineStr">
        <is>
          <t>https://www.facebook.com/haseyasnewbeginning</t>
        </is>
      </c>
      <c r="D691" s="6" t="inlineStr">
        <is>
          <t>Cần quét Bio Fanpage</t>
        </is>
      </c>
      <c r="E691" s="53" t="inlineStr">
        <is>
          <t>13/10/2026 03:40:14</t>
        </is>
      </c>
      <c r="F691" s="53" t="inlineStr">
        <is>
          <t>10 phút trước</t>
        </is>
      </c>
      <c r="G691" s="55" t="n">
        <v>0.01</v>
      </c>
      <c r="H691" s="56" t="n">
        <v>35</v>
      </c>
      <c r="I691" s="6" t="inlineStr">
        <is>
          <t>Pet Rescue / Trạm cứu trợ (14-16đ)</t>
        </is>
      </c>
      <c r="J691" s="56" t="n">
        <v>14</v>
      </c>
      <c r="K691" s="6" t="inlineStr">
        <is>
          <t>Chưa rõ giống (Cần quét Bio)</t>
        </is>
      </c>
      <c r="L691" s="56" t="n">
        <v>0</v>
      </c>
      <c r="M691" s="56" t="n">
        <v>0</v>
      </c>
      <c r="N691" s="6" t="inlineStr">
        <is>
          <t>Amazon link not found</t>
        </is>
      </c>
      <c r="O691" s="56">
        <f>IF(N691="Selling pet toys + Artificial grass/Pet toilets (TARGET)",15,IF(N691="Selling artificial grass/pet toilets (TARGET)",10,IF(N691="Selling pet toys",7,IF(N691="There's an Amazon link, but no target sales.",3,0))))</f>
        <v/>
      </c>
      <c r="P691" s="65">
        <f>H691+J691+L691+M691+O691</f>
        <v/>
      </c>
      <c r="Q691" s="69">
        <f>IF(OR(H691=0,P691&lt;30),"Tier D (Đóng băng)",IF(P691&gt;=85,"Tier S (Kim Cương: 85-100đ)",IF(P691&gt;=70,"Tier A (Vàng: 70-84đ)",IF(P691&gt;=61,"Tier B+ / Cấp A (Hot Lead: 61-69đ)",IF(P691&gt;=50,"Tier B (Bạc: 50-60đ)","Tier C (Đồng: 30-49đ)")))))</f>
        <v/>
      </c>
      <c r="R691" s="6" t="inlineStr">
        <is>
          <t>Nhà vệ sinh &amp; Tã lót (Potty Tray / Pee Pads) + Cỏ nhân tạo lót chuồng</t>
        </is>
      </c>
      <c r="S691" s="6" t="inlineStr">
        <is>
          <t>Cấp C Chi phí thấp: Nhắn tin trực tiếp qua Fanpage Facebook/Instagram + Nuôi dưỡng nội dung</t>
        </is>
      </c>
    </row>
    <row r="692">
      <c r="A692" s="59" t="n">
        <v>722</v>
      </c>
      <c r="B692" s="15" t="inlineStr">
        <is>
          <t>Boomer's Best Buddies Rescue</t>
        </is>
      </c>
      <c r="C692" s="60" t="inlineStr">
        <is>
          <t>https://www.facebook.com/boomersbestbuddiesrescue</t>
        </is>
      </c>
      <c r="D692" s="9" t="inlineStr">
        <is>
          <t>Cần quét Bio Fanpage</t>
        </is>
      </c>
      <c r="E692" s="59" t="inlineStr">
        <is>
          <t>13/10/2026 02:05:18</t>
        </is>
      </c>
      <c r="F692" s="59" t="inlineStr">
        <is>
          <t>7 phút trước</t>
        </is>
      </c>
      <c r="G692" s="61" t="n">
        <v>0</v>
      </c>
      <c r="H692" s="62" t="n">
        <v>35</v>
      </c>
      <c r="I692" s="9" t="inlineStr">
        <is>
          <t>Pet Rescue / Trạm cứu trợ (14-16đ)</t>
        </is>
      </c>
      <c r="J692" s="62" t="n">
        <v>14</v>
      </c>
      <c r="K692" s="9" t="inlineStr">
        <is>
          <t>Chưa rõ giống (Cần quét Bio)</t>
        </is>
      </c>
      <c r="L692" s="62" t="n">
        <v>0</v>
      </c>
      <c r="M692" s="62" t="n">
        <v>0</v>
      </c>
      <c r="N692" s="9" t="inlineStr">
        <is>
          <t>Amazon link not found</t>
        </is>
      </c>
      <c r="O692" s="62">
        <f>IF(N692="Selling pet toys + Artificial grass/Pet toilets (TARGET)",15,IF(N692="Selling artificial grass/pet toilets (TARGET)",10,IF(N692="Selling pet toys",7,IF(N692="There's an Amazon link, but no target sales.",3,0))))</f>
        <v/>
      </c>
      <c r="P692" s="67">
        <f>H692+J692+L692+M692+O692</f>
        <v/>
      </c>
      <c r="Q692" s="69">
        <f>IF(OR(H692=0,P692&lt;30),"Tier D (Đóng băng)",IF(P692&gt;=85,"Tier S (Kim Cương: 85-100đ)",IF(P692&gt;=70,"Tier A (Vàng: 70-84đ)",IF(P692&gt;=61,"Tier B+ / Cấp A (Hot Lead: 61-69đ)",IF(P692&gt;=50,"Tier B (Bạc: 50-60đ)","Tier C (Đồng: 30-49đ)")))))</f>
        <v/>
      </c>
      <c r="R692" s="9" t="inlineStr">
        <is>
          <t>Nhà vệ sinh &amp; Tã lót (Potty Tray / Pee Pads) + Cỏ nhân tạo lót chuồng</t>
        </is>
      </c>
      <c r="S692" s="9" t="inlineStr">
        <is>
          <t>Cấp C Chi phí thấp: Nhắn tin trực tiếp qua Fanpage Facebook/Instagram + Nuôi dưỡng nội dung</t>
        </is>
      </c>
    </row>
    <row r="693">
      <c r="A693" s="53" t="n">
        <v>1033</v>
      </c>
      <c r="B693" s="12" t="inlineStr">
        <is>
          <t>Diamonds in the Ruff Animal Rescue</t>
        </is>
      </c>
      <c r="C693" s="54" t="inlineStr">
        <is>
          <t>https://www.facebook.com/DITRWNY</t>
        </is>
      </c>
      <c r="D693" s="6" t="inlineStr">
        <is>
          <t>Cần quét Bio Fanpage</t>
        </is>
      </c>
      <c r="E693" s="53" t="inlineStr">
        <is>
          <t>13/10/2026 02:00:52</t>
        </is>
      </c>
      <c r="F693" s="53" t="inlineStr">
        <is>
          <t>45 phút trước</t>
        </is>
      </c>
      <c r="G693" s="55" t="n">
        <v>0.03</v>
      </c>
      <c r="H693" s="56" t="n">
        <v>35</v>
      </c>
      <c r="I693" s="6" t="inlineStr">
        <is>
          <t>Pet Rescue / Trạm cứu trợ (14-16đ)</t>
        </is>
      </c>
      <c r="J693" s="56" t="n">
        <v>14</v>
      </c>
      <c r="K693" s="6" t="inlineStr">
        <is>
          <t>Chưa rõ giống (Cần quét Bio)</t>
        </is>
      </c>
      <c r="L693" s="56" t="n">
        <v>0</v>
      </c>
      <c r="M693" s="56" t="n">
        <v>0</v>
      </c>
      <c r="N693" s="6" t="inlineStr">
        <is>
          <t>Amazon link not found</t>
        </is>
      </c>
      <c r="O693" s="56">
        <f>IF(N693="Selling pet toys + Artificial grass/Pet toilets (TARGET)",15,IF(N693="Selling artificial grass/pet toilets (TARGET)",10,IF(N693="Selling pet toys",7,IF(N693="There's an Amazon link, but no target sales.",3,0))))</f>
        <v/>
      </c>
      <c r="P693" s="65">
        <f>H693+J693+L693+M693+O693</f>
        <v/>
      </c>
      <c r="Q693" s="69">
        <f>IF(OR(H693=0,P693&lt;30),"Tier D (Đóng băng)",IF(P693&gt;=85,"Tier S (Kim Cương: 85-100đ)",IF(P693&gt;=70,"Tier A (Vàng: 70-84đ)",IF(P693&gt;=61,"Tier B+ / Cấp A (Hot Lead: 61-69đ)",IF(P693&gt;=50,"Tier B (Bạc: 50-60đ)","Tier C (Đồng: 30-49đ)")))))</f>
        <v/>
      </c>
      <c r="R693" s="6" t="inlineStr">
        <is>
          <t>Nhà vệ sinh &amp; Tã lót (Potty Tray / Pee Pads) + Cỏ nhân tạo lót chuồng</t>
        </is>
      </c>
      <c r="S693" s="6" t="inlineStr">
        <is>
          <t>Cấp C Chi phí thấp: Nhắn tin trực tiếp qua Fanpage Facebook/Instagram + Nuôi dưỡng nội dung</t>
        </is>
      </c>
    </row>
    <row r="694">
      <c r="A694" s="59" t="n">
        <v>2792</v>
      </c>
      <c r="B694" s="15" t="inlineStr">
        <is>
          <t>Ruff Day Rescue</t>
        </is>
      </c>
      <c r="C694" s="60" t="inlineStr">
        <is>
          <t>https://www.facebook.com/RuffDayRescue</t>
        </is>
      </c>
      <c r="D694" s="9" t="inlineStr">
        <is>
          <t>Cần quét Bio Fanpage</t>
        </is>
      </c>
      <c r="E694" s="59" t="inlineStr">
        <is>
          <t>13/10/2026 02:00:28</t>
        </is>
      </c>
      <c r="F694" s="59" t="inlineStr">
        <is>
          <t>3 giờ trước</t>
        </is>
      </c>
      <c r="G694" s="61" t="n">
        <v>0.12</v>
      </c>
      <c r="H694" s="62" t="n">
        <v>35</v>
      </c>
      <c r="I694" s="9" t="inlineStr">
        <is>
          <t>Pet Rescue / Trạm cứu trợ (14-16đ)</t>
        </is>
      </c>
      <c r="J694" s="62" t="n">
        <v>14</v>
      </c>
      <c r="K694" s="9" t="inlineStr">
        <is>
          <t>Chưa rõ giống (Cần quét Bio)</t>
        </is>
      </c>
      <c r="L694" s="62" t="n">
        <v>0</v>
      </c>
      <c r="M694" s="62" t="n">
        <v>0</v>
      </c>
      <c r="N694" s="9" t="inlineStr">
        <is>
          <t>Amazon link not found</t>
        </is>
      </c>
      <c r="O694" s="62">
        <f>IF(N694="Selling pet toys + Artificial grass/Pet toilets (TARGET)",15,IF(N694="Selling artificial grass/pet toilets (TARGET)",10,IF(N694="Selling pet toys",7,IF(N694="There's an Amazon link, but no target sales.",3,0))))</f>
        <v/>
      </c>
      <c r="P694" s="67">
        <f>H694+J694+L694+M694+O694</f>
        <v/>
      </c>
      <c r="Q694" s="69">
        <f>IF(OR(H694=0,P694&lt;30),"Tier D (Đóng băng)",IF(P694&gt;=85,"Tier S (Kim Cương: 85-100đ)",IF(P694&gt;=70,"Tier A (Vàng: 70-84đ)",IF(P694&gt;=61,"Tier B+ / Cấp A (Hot Lead: 61-69đ)",IF(P694&gt;=50,"Tier B (Bạc: 50-60đ)","Tier C (Đồng: 30-49đ)")))))</f>
        <v/>
      </c>
      <c r="R694" s="9" t="inlineStr">
        <is>
          <t>Nhà vệ sinh &amp; Tã lót (Potty Tray / Pee Pads) + Cỏ nhân tạo lót chuồng</t>
        </is>
      </c>
      <c r="S694" s="9" t="inlineStr">
        <is>
          <t>Cấp C Chi phí thấp: Nhắn tin trực tiếp qua Fanpage Facebook/Instagram + Nuôi dưỡng nội dung</t>
        </is>
      </c>
    </row>
    <row r="695">
      <c r="A695" s="53" t="n">
        <v>1611</v>
      </c>
      <c r="B695" s="12" t="inlineStr">
        <is>
          <t>Harbin SHS Animal Rescue</t>
        </is>
      </c>
      <c r="C695" s="54" t="inlineStr">
        <is>
          <t>https://www.facebook.com/SlaughterhouseSurvivors</t>
        </is>
      </c>
      <c r="D695" s="6" t="inlineStr">
        <is>
          <t>Cần quét Bio Fanpage</t>
        </is>
      </c>
      <c r="E695" s="53" t="inlineStr">
        <is>
          <t>13/10/2026 01:37:02</t>
        </is>
      </c>
      <c r="F695" s="53" t="inlineStr">
        <is>
          <t>2 giờ trước</t>
        </is>
      </c>
      <c r="G695" s="55" t="n">
        <v>0.08</v>
      </c>
      <c r="H695" s="56" t="n">
        <v>35</v>
      </c>
      <c r="I695" s="6" t="inlineStr">
        <is>
          <t>Pet Rescue / Trạm cứu trợ (14-16đ)</t>
        </is>
      </c>
      <c r="J695" s="56" t="n">
        <v>14</v>
      </c>
      <c r="K695" s="6" t="inlineStr">
        <is>
          <t>Chưa rõ giống (Cần quét Bio)</t>
        </is>
      </c>
      <c r="L695" s="56" t="n">
        <v>0</v>
      </c>
      <c r="M695" s="56" t="n">
        <v>0</v>
      </c>
      <c r="N695" s="6" t="inlineStr">
        <is>
          <t>Amazon link not found</t>
        </is>
      </c>
      <c r="O695" s="56">
        <f>IF(N695="Selling pet toys + Artificial grass/Pet toilets (TARGET)",15,IF(N695="Selling artificial grass/pet toilets (TARGET)",10,IF(N695="Selling pet toys",7,IF(N695="There's an Amazon link, but no target sales.",3,0))))</f>
        <v/>
      </c>
      <c r="P695" s="65">
        <f>H695+J695+L695+M695+O695</f>
        <v/>
      </c>
      <c r="Q695" s="69">
        <f>IF(OR(H695=0,P695&lt;30),"Tier D (Đóng băng)",IF(P695&gt;=85,"Tier S (Kim Cương: 85-100đ)",IF(P695&gt;=70,"Tier A (Vàng: 70-84đ)",IF(P695&gt;=61,"Tier B+ / Cấp A (Hot Lead: 61-69đ)",IF(P695&gt;=50,"Tier B (Bạc: 50-60đ)","Tier C (Đồng: 30-49đ)")))))</f>
        <v/>
      </c>
      <c r="R695" s="6" t="inlineStr">
        <is>
          <t>Nhà vệ sinh &amp; Tã lót (Potty Tray / Pee Pads) + Cỏ nhân tạo lót chuồng</t>
        </is>
      </c>
      <c r="S695" s="6" t="inlineStr">
        <is>
          <t>Cấp C Chi phí thấp: Nhắn tin trực tiếp qua Fanpage Facebook/Instagram + Nuôi dưỡng nội dung</t>
        </is>
      </c>
    </row>
    <row r="696">
      <c r="A696" s="59" t="n">
        <v>2197</v>
      </c>
      <c r="B696" s="15" t="inlineStr">
        <is>
          <t>Mississippi Animal Rescue League</t>
        </is>
      </c>
      <c r="C696" s="60" t="inlineStr">
        <is>
          <t>https://www.facebook.com/MARLshelter</t>
        </is>
      </c>
      <c r="D696" s="9" t="inlineStr">
        <is>
          <t>Cần quét Bio Fanpage</t>
        </is>
      </c>
      <c r="E696" s="59" t="inlineStr">
        <is>
          <t>13/10/2026 01:14:26</t>
        </is>
      </c>
      <c r="F696" s="59" t="inlineStr">
        <is>
          <t>3 giờ trước</t>
        </is>
      </c>
      <c r="G696" s="61" t="n">
        <v>0.12</v>
      </c>
      <c r="H696" s="62" t="n">
        <v>35</v>
      </c>
      <c r="I696" s="9" t="inlineStr">
        <is>
          <t>Pet Rescue / Trạm cứu trợ (14-16đ)</t>
        </is>
      </c>
      <c r="J696" s="62" t="n">
        <v>14</v>
      </c>
      <c r="K696" s="9" t="inlineStr">
        <is>
          <t>Chưa rõ giống (Cần quét Bio)</t>
        </is>
      </c>
      <c r="L696" s="62" t="n">
        <v>0</v>
      </c>
      <c r="M696" s="62" t="n">
        <v>0</v>
      </c>
      <c r="N696" s="9" t="inlineStr">
        <is>
          <t>Amazon link not found</t>
        </is>
      </c>
      <c r="O696" s="62">
        <f>IF(N696="Selling pet toys + Artificial grass/Pet toilets (TARGET)",15,IF(N696="Selling artificial grass/pet toilets (TARGET)",10,IF(N696="Selling pet toys",7,IF(N696="There's an Amazon link, but no target sales.",3,0))))</f>
        <v/>
      </c>
      <c r="P696" s="67">
        <f>H696+J696+L696+M696+O696</f>
        <v/>
      </c>
      <c r="Q696" s="69">
        <f>IF(OR(H696=0,P696&lt;30),"Tier D (Đóng băng)",IF(P696&gt;=85,"Tier S (Kim Cương: 85-100đ)",IF(P696&gt;=70,"Tier A (Vàng: 70-84đ)",IF(P696&gt;=61,"Tier B+ / Cấp A (Hot Lead: 61-69đ)",IF(P696&gt;=50,"Tier B (Bạc: 50-60đ)","Tier C (Đồng: 30-49đ)")))))</f>
        <v/>
      </c>
      <c r="R696" s="9" t="inlineStr">
        <is>
          <t>Nhà vệ sinh &amp; Tã lót (Potty Tray / Pee Pads) + Cỏ nhân tạo lót chuồng</t>
        </is>
      </c>
      <c r="S696" s="9" t="inlineStr">
        <is>
          <t>Cấp C Chi phí thấp: Nhắn tin trực tiếp qua Fanpage Facebook/Instagram + Nuôi dưỡng nội dung</t>
        </is>
      </c>
    </row>
    <row r="697">
      <c r="A697" s="53" t="n">
        <v>2141</v>
      </c>
      <c r="B697" s="12" t="inlineStr">
        <is>
          <t>May’s Galgo Rescue</t>
        </is>
      </c>
      <c r="C697" s="54" t="inlineStr">
        <is>
          <t>https://www.facebook.com/maysgalgorescue</t>
        </is>
      </c>
      <c r="D697" s="6" t="inlineStr">
        <is>
          <t>Cần quét Bio Fanpage</t>
        </is>
      </c>
      <c r="E697" s="53" t="inlineStr">
        <is>
          <t>13/10/2026 00:56:38</t>
        </is>
      </c>
      <c r="F697" s="53" t="inlineStr">
        <is>
          <t>3 giờ trước</t>
        </is>
      </c>
      <c r="G697" s="55" t="n">
        <v>0.12</v>
      </c>
      <c r="H697" s="56" t="n">
        <v>35</v>
      </c>
      <c r="I697" s="6" t="inlineStr">
        <is>
          <t>Pet Rescue / Trạm cứu trợ (14-16đ)</t>
        </is>
      </c>
      <c r="J697" s="56" t="n">
        <v>14</v>
      </c>
      <c r="K697" s="6" t="inlineStr">
        <is>
          <t>Chưa rõ giống (Cần quét Bio)</t>
        </is>
      </c>
      <c r="L697" s="56" t="n">
        <v>0</v>
      </c>
      <c r="M697" s="56" t="n">
        <v>0</v>
      </c>
      <c r="N697" s="6" t="inlineStr">
        <is>
          <t>Amazon link not found</t>
        </is>
      </c>
      <c r="O697" s="56">
        <f>IF(N697="Selling pet toys + Artificial grass/Pet toilets (TARGET)",15,IF(N697="Selling artificial grass/pet toilets (TARGET)",10,IF(N697="Selling pet toys",7,IF(N697="There's an Amazon link, but no target sales.",3,0))))</f>
        <v/>
      </c>
      <c r="P697" s="65">
        <f>H697+J697+L697+M697+O697</f>
        <v/>
      </c>
      <c r="Q697" s="69">
        <f>IF(OR(H697=0,P697&lt;30),"Tier D (Đóng băng)",IF(P697&gt;=85,"Tier S (Kim Cương: 85-100đ)",IF(P697&gt;=70,"Tier A (Vàng: 70-84đ)",IF(P697&gt;=61,"Tier B+ / Cấp A (Hot Lead: 61-69đ)",IF(P697&gt;=50,"Tier B (Bạc: 50-60đ)","Tier C (Đồng: 30-49đ)")))))</f>
        <v/>
      </c>
      <c r="R697" s="6" t="inlineStr">
        <is>
          <t>Nhà vệ sinh &amp; Tã lót (Potty Tray / Pee Pads) + Cỏ nhân tạo lót chuồng</t>
        </is>
      </c>
      <c r="S697" s="6" t="inlineStr">
        <is>
          <t>Cấp C Chi phí thấp: Nhắn tin trực tiếp qua Fanpage Facebook/Instagram + Nuôi dưỡng nội dung</t>
        </is>
      </c>
    </row>
    <row r="698">
      <c r="A698" s="59" t="n">
        <v>1003</v>
      </c>
      <c r="B698" s="15" t="inlineStr">
        <is>
          <t>DARNA Animal Rescue</t>
        </is>
      </c>
      <c r="C698" s="60" t="inlineStr">
        <is>
          <t>https://www.facebook.com/santuariodarna</t>
        </is>
      </c>
      <c r="D698" s="9" t="inlineStr">
        <is>
          <t>Cần quét Bio Fanpage</t>
        </is>
      </c>
      <c r="E698" s="59" t="inlineStr">
        <is>
          <t>13/10/2026 00:53:10</t>
        </is>
      </c>
      <c r="F698" s="59" t="inlineStr">
        <is>
          <t>1 giờ trước</t>
        </is>
      </c>
      <c r="G698" s="61" t="n">
        <v>0.04</v>
      </c>
      <c r="H698" s="62" t="n">
        <v>35</v>
      </c>
      <c r="I698" s="9" t="inlineStr">
        <is>
          <t>Pet Rescue / Trạm cứu trợ (14-16đ)</t>
        </is>
      </c>
      <c r="J698" s="62" t="n">
        <v>14</v>
      </c>
      <c r="K698" s="9" t="inlineStr">
        <is>
          <t>Chưa rõ giống (Cần quét Bio)</t>
        </is>
      </c>
      <c r="L698" s="62" t="n">
        <v>0</v>
      </c>
      <c r="M698" s="62" t="n">
        <v>0</v>
      </c>
      <c r="N698" s="9" t="inlineStr">
        <is>
          <t>Amazon link not found</t>
        </is>
      </c>
      <c r="O698" s="62">
        <f>IF(N698="Selling pet toys + Artificial grass/Pet toilets (TARGET)",15,IF(N698="Selling artificial grass/pet toilets (TARGET)",10,IF(N698="Selling pet toys",7,IF(N698="There's an Amazon link, but no target sales.",3,0))))</f>
        <v/>
      </c>
      <c r="P698" s="67">
        <f>H698+J698+L698+M698+O698</f>
        <v/>
      </c>
      <c r="Q698" s="69">
        <f>IF(OR(H698=0,P698&lt;30),"Tier D (Đóng băng)",IF(P698&gt;=85,"Tier S (Kim Cương: 85-100đ)",IF(P698&gt;=70,"Tier A (Vàng: 70-84đ)",IF(P698&gt;=61,"Tier B+ / Cấp A (Hot Lead: 61-69đ)",IF(P698&gt;=50,"Tier B (Bạc: 50-60đ)","Tier C (Đồng: 30-49đ)")))))</f>
        <v/>
      </c>
      <c r="R698" s="9" t="inlineStr">
        <is>
          <t>Nhà vệ sinh &amp; Tã lót (Potty Tray / Pee Pads) + Cỏ nhân tạo lót chuồng</t>
        </is>
      </c>
      <c r="S698" s="9" t="inlineStr">
        <is>
          <t>Cấp C Chi phí thấp: Nhắn tin trực tiếp qua Fanpage Facebook/Instagram + Nuôi dưỡng nội dung</t>
        </is>
      </c>
    </row>
    <row r="699">
      <c r="A699" s="53" t="n">
        <v>910</v>
      </c>
      <c r="B699" s="12" t="inlineStr">
        <is>
          <t>Cleft Rescue Unit</t>
        </is>
      </c>
      <c r="C699" s="54" t="inlineStr">
        <is>
          <t>https://www.facebook.com/CRUrescue</t>
        </is>
      </c>
      <c r="D699" s="6" t="inlineStr">
        <is>
          <t>Cần quét Bio Fanpage</t>
        </is>
      </c>
      <c r="E699" s="53" t="inlineStr">
        <is>
          <t>13/10/2026 00:30:28</t>
        </is>
      </c>
      <c r="F699" s="53" t="inlineStr">
        <is>
          <t>2 giờ trước</t>
        </is>
      </c>
      <c r="G699" s="55" t="n">
        <v>0.08</v>
      </c>
      <c r="H699" s="56" t="n">
        <v>35</v>
      </c>
      <c r="I699" s="6" t="inlineStr">
        <is>
          <t>Pet Rescue / Trạm cứu trợ (14-16đ)</t>
        </is>
      </c>
      <c r="J699" s="56" t="n">
        <v>14</v>
      </c>
      <c r="K699" s="6" t="inlineStr">
        <is>
          <t>Chưa rõ giống (Cần quét Bio)</t>
        </is>
      </c>
      <c r="L699" s="56" t="n">
        <v>0</v>
      </c>
      <c r="M699" s="56" t="n">
        <v>0</v>
      </c>
      <c r="N699" s="6" t="inlineStr">
        <is>
          <t>Amazon link not found</t>
        </is>
      </c>
      <c r="O699" s="56">
        <f>IF(N699="Selling pet toys + Artificial grass/Pet toilets (TARGET)",15,IF(N699="Selling artificial grass/pet toilets (TARGET)",10,IF(N699="Selling pet toys",7,IF(N699="There's an Amazon link, but no target sales.",3,0))))</f>
        <v/>
      </c>
      <c r="P699" s="65">
        <f>H699+J699+L699+M699+O699</f>
        <v/>
      </c>
      <c r="Q699" s="69">
        <f>IF(OR(H699=0,P699&lt;30),"Tier D (Đóng băng)",IF(P699&gt;=85,"Tier S (Kim Cương: 85-100đ)",IF(P699&gt;=70,"Tier A (Vàng: 70-84đ)",IF(P699&gt;=61,"Tier B+ / Cấp A (Hot Lead: 61-69đ)",IF(P699&gt;=50,"Tier B (Bạc: 50-60đ)","Tier C (Đồng: 30-49đ)")))))</f>
        <v/>
      </c>
      <c r="R699" s="6" t="inlineStr">
        <is>
          <t>Nhà vệ sinh &amp; Tã lót (Potty Tray / Pee Pads) + Cỏ nhân tạo lót chuồng</t>
        </is>
      </c>
      <c r="S699" s="6" t="inlineStr">
        <is>
          <t>Cấp C Chi phí thấp: Nhắn tin trực tiếp qua Fanpage Facebook/Instagram + Nuôi dưỡng nội dung</t>
        </is>
      </c>
    </row>
    <row r="700">
      <c r="A700" s="59" t="n">
        <v>512</v>
      </c>
      <c r="B700" s="15" t="inlineStr">
        <is>
          <t>Arf-Anage Dog Rescue</t>
        </is>
      </c>
      <c r="C700" s="60" t="inlineStr">
        <is>
          <t>https://www.facebook.com/ArfAnageDogRescue</t>
        </is>
      </c>
      <c r="D700" s="9" t="inlineStr">
        <is>
          <t>Cần quét Bio Fanpage</t>
        </is>
      </c>
      <c r="E700" s="59" t="inlineStr">
        <is>
          <t>13/10/2026 00:27:23</t>
        </is>
      </c>
      <c r="F700" s="59" t="inlineStr">
        <is>
          <t>1 giờ trước</t>
        </is>
      </c>
      <c r="G700" s="61" t="n">
        <v>0.04</v>
      </c>
      <c r="H700" s="62" t="n">
        <v>35</v>
      </c>
      <c r="I700" s="9" t="inlineStr">
        <is>
          <t>Pet Rescue / Trạm cứu trợ (14-16đ)</t>
        </is>
      </c>
      <c r="J700" s="62" t="n">
        <v>14</v>
      </c>
      <c r="K700" s="9" t="inlineStr">
        <is>
          <t>Chưa rõ giống (Cần quét Bio)</t>
        </is>
      </c>
      <c r="L700" s="62" t="n">
        <v>0</v>
      </c>
      <c r="M700" s="62" t="n">
        <v>0</v>
      </c>
      <c r="N700" s="9" t="inlineStr">
        <is>
          <t>Amazon link not found</t>
        </is>
      </c>
      <c r="O700" s="62">
        <f>IF(N700="Selling pet toys + Artificial grass/Pet toilets (TARGET)",15,IF(N700="Selling artificial grass/pet toilets (TARGET)",10,IF(N700="Selling pet toys",7,IF(N700="There's an Amazon link, but no target sales.",3,0))))</f>
        <v/>
      </c>
      <c r="P700" s="67">
        <f>H700+J700+L700+M700+O700</f>
        <v/>
      </c>
      <c r="Q700" s="69">
        <f>IF(OR(H700=0,P700&lt;30),"Tier D (Đóng băng)",IF(P700&gt;=85,"Tier S (Kim Cương: 85-100đ)",IF(P700&gt;=70,"Tier A (Vàng: 70-84đ)",IF(P700&gt;=61,"Tier B+ / Cấp A (Hot Lead: 61-69đ)",IF(P700&gt;=50,"Tier B (Bạc: 50-60đ)","Tier C (Đồng: 30-49đ)")))))</f>
        <v/>
      </c>
      <c r="R700" s="9" t="inlineStr">
        <is>
          <t>Nhà vệ sinh &amp; Tã lót (Potty Tray / Pee Pads) + Cỏ nhân tạo lót chuồng</t>
        </is>
      </c>
      <c r="S700" s="9" t="inlineStr">
        <is>
          <t>Cấp C Chi phí thấp: Nhắn tin trực tiếp qua Fanpage Facebook/Instagram + Nuôi dưỡng nội dung</t>
        </is>
      </c>
    </row>
    <row r="701">
      <c r="A701" s="53" t="n">
        <v>475</v>
      </c>
      <c r="B701" s="12" t="inlineStr">
        <is>
          <t>Animal Rescue Corps</t>
        </is>
      </c>
      <c r="C701" s="54" t="inlineStr">
        <is>
          <t>https://www.facebook.com/AnimalRescueCorps</t>
        </is>
      </c>
      <c r="D701" s="6" t="inlineStr">
        <is>
          <t>Cần quét Bio Fanpage</t>
        </is>
      </c>
      <c r="E701" s="53" t="inlineStr">
        <is>
          <t>13/10/2026 00:16:51</t>
        </is>
      </c>
      <c r="F701" s="53" t="inlineStr">
        <is>
          <t>1 giờ trước</t>
        </is>
      </c>
      <c r="G701" s="55" t="n">
        <v>0.04</v>
      </c>
      <c r="H701" s="56" t="n">
        <v>35</v>
      </c>
      <c r="I701" s="6" t="inlineStr">
        <is>
          <t>Pet Rescue / Trạm cứu trợ (14-16đ)</t>
        </is>
      </c>
      <c r="J701" s="56" t="n">
        <v>14</v>
      </c>
      <c r="K701" s="6" t="inlineStr">
        <is>
          <t>Chưa rõ giống (Cần quét Bio)</t>
        </is>
      </c>
      <c r="L701" s="56" t="n">
        <v>0</v>
      </c>
      <c r="M701" s="56" t="n">
        <v>0</v>
      </c>
      <c r="N701" s="6" t="inlineStr">
        <is>
          <t>Amazon link not found</t>
        </is>
      </c>
      <c r="O701" s="56">
        <f>IF(N701="Selling pet toys + Artificial grass/Pet toilets (TARGET)",15,IF(N701="Selling artificial grass/pet toilets (TARGET)",10,IF(N701="Selling pet toys",7,IF(N701="There's an Amazon link, but no target sales.",3,0))))</f>
        <v/>
      </c>
      <c r="P701" s="65">
        <f>H701+J701+L701+M701+O701</f>
        <v/>
      </c>
      <c r="Q701" s="69">
        <f>IF(OR(H701=0,P701&lt;30),"Tier D (Đóng băng)",IF(P701&gt;=85,"Tier S (Kim Cương: 85-100đ)",IF(P701&gt;=70,"Tier A (Vàng: 70-84đ)",IF(P701&gt;=61,"Tier B+ / Cấp A (Hot Lead: 61-69đ)",IF(P701&gt;=50,"Tier B (Bạc: 50-60đ)","Tier C (Đồng: 30-49đ)")))))</f>
        <v/>
      </c>
      <c r="R701" s="6" t="inlineStr">
        <is>
          <t>Nhà vệ sinh &amp; Tã lót (Potty Tray / Pee Pads) + Cỏ nhân tạo lót chuồng</t>
        </is>
      </c>
      <c r="S701" s="6" t="inlineStr">
        <is>
          <t>Cấp C Chi phí thấp: Nhắn tin trực tiếp qua Fanpage Facebook/Instagram + Nuôi dưỡng nội dung</t>
        </is>
      </c>
    </row>
    <row r="702">
      <c r="A702" s="59" t="n">
        <v>206</v>
      </c>
      <c r="B702" s="15" t="inlineStr">
        <is>
          <t>KY Hopeful Paws Rescue</t>
        </is>
      </c>
      <c r="C702" s="60" t="inlineStr">
        <is>
          <t>https://www.facebook.com/kyhopefulpaws</t>
        </is>
      </c>
      <c r="D702" s="9" t="inlineStr">
        <is>
          <t>Cần quét Bio Fanpage</t>
        </is>
      </c>
      <c r="E702" s="59" t="inlineStr">
        <is>
          <t>13/10/2026 00:00:55</t>
        </is>
      </c>
      <c r="F702" s="59" t="inlineStr">
        <is>
          <t>1 giờ trước</t>
        </is>
      </c>
      <c r="G702" s="61" t="n">
        <v>0.04</v>
      </c>
      <c r="H702" s="62" t="n">
        <v>35</v>
      </c>
      <c r="I702" s="9" t="inlineStr">
        <is>
          <t>Pet Rescue / Trạm cứu trợ (14-16đ)</t>
        </is>
      </c>
      <c r="J702" s="62" t="n">
        <v>14</v>
      </c>
      <c r="K702" s="9" t="inlineStr">
        <is>
          <t>Chưa rõ giống (Cần quét Bio)</t>
        </is>
      </c>
      <c r="L702" s="62" t="n">
        <v>0</v>
      </c>
      <c r="M702" s="62" t="n">
        <v>0</v>
      </c>
      <c r="N702" s="9" t="inlineStr">
        <is>
          <t>Amazon link not found</t>
        </is>
      </c>
      <c r="O702" s="62">
        <f>IF(N702="Selling pet toys + Artificial grass/Pet toilets (TARGET)",15,IF(N702="Selling artificial grass/pet toilets (TARGET)",10,IF(N702="Selling pet toys",7,IF(N702="There's an Amazon link, but no target sales.",3,0))))</f>
        <v/>
      </c>
      <c r="P702" s="67">
        <f>H702+J702+L702+M702+O702</f>
        <v/>
      </c>
      <c r="Q702" s="69">
        <f>IF(OR(H702=0,P702&lt;30),"Tier D (Đóng băng)",IF(P702&gt;=85,"Tier S (Kim Cương: 85-100đ)",IF(P702&gt;=70,"Tier A (Vàng: 70-84đ)",IF(P702&gt;=61,"Tier B+ / Cấp A (Hot Lead: 61-69đ)",IF(P702&gt;=50,"Tier B (Bạc: 50-60đ)","Tier C (Đồng: 30-49đ)")))))</f>
        <v/>
      </c>
      <c r="R702" s="9" t="inlineStr">
        <is>
          <t>Nhà vệ sinh &amp; Tã lót (Potty Tray / Pee Pads) + Cỏ nhân tạo lót chuồng</t>
        </is>
      </c>
      <c r="S702" s="9" t="inlineStr">
        <is>
          <t>Cấp C Chi phí thấp: Nhắn tin trực tiếp qua Fanpage Facebook/Instagram + Nuôi dưỡng nội dung</t>
        </is>
      </c>
    </row>
    <row r="703">
      <c r="A703" s="53" t="n">
        <v>573</v>
      </c>
      <c r="B703" s="12" t="inlineStr">
        <is>
          <t>Badass Animal Rescue</t>
        </is>
      </c>
      <c r="C703" s="54" t="inlineStr">
        <is>
          <t>https://www.facebook.com/BadassAnimalRescue</t>
        </is>
      </c>
      <c r="D703" s="6" t="inlineStr">
        <is>
          <t>Cần quét Bio Fanpage</t>
        </is>
      </c>
      <c r="E703" s="53" t="inlineStr">
        <is>
          <t>12/10/2026 23:58:18</t>
        </is>
      </c>
      <c r="F703" s="53" t="inlineStr">
        <is>
          <t>1 giờ trước</t>
        </is>
      </c>
      <c r="G703" s="55" t="n">
        <v>0.04</v>
      </c>
      <c r="H703" s="56" t="n">
        <v>35</v>
      </c>
      <c r="I703" s="6" t="inlineStr">
        <is>
          <t>Pet Rescue / Trạm cứu trợ (14-16đ)</t>
        </is>
      </c>
      <c r="J703" s="56" t="n">
        <v>14</v>
      </c>
      <c r="K703" s="6" t="inlineStr">
        <is>
          <t>Chưa rõ giống (Cần quét Bio)</t>
        </is>
      </c>
      <c r="L703" s="56" t="n">
        <v>0</v>
      </c>
      <c r="M703" s="56" t="n">
        <v>0</v>
      </c>
      <c r="N703" s="6" t="inlineStr">
        <is>
          <t>Amazon link not found</t>
        </is>
      </c>
      <c r="O703" s="56">
        <f>IF(N703="Selling pet toys + Artificial grass/Pet toilets (TARGET)",15,IF(N703="Selling artificial grass/pet toilets (TARGET)",10,IF(N703="Selling pet toys",7,IF(N703="There's an Amazon link, but no target sales.",3,0))))</f>
        <v/>
      </c>
      <c r="P703" s="65">
        <f>H703+J703+L703+M703+O703</f>
        <v/>
      </c>
      <c r="Q703" s="69">
        <f>IF(OR(H703=0,P703&lt;30),"Tier D (Đóng băng)",IF(P703&gt;=85,"Tier S (Kim Cương: 85-100đ)",IF(P703&gt;=70,"Tier A (Vàng: 70-84đ)",IF(P703&gt;=61,"Tier B+ / Cấp A (Hot Lead: 61-69đ)",IF(P703&gt;=50,"Tier B (Bạc: 50-60đ)","Tier C (Đồng: 30-49đ)")))))</f>
        <v/>
      </c>
      <c r="R703" s="6" t="inlineStr">
        <is>
          <t>Nhà vệ sinh &amp; Tã lót (Potty Tray / Pee Pads) + Cỏ nhân tạo lót chuồng</t>
        </is>
      </c>
      <c r="S703" s="6" t="inlineStr">
        <is>
          <t>Cấp C Chi phí thấp: Nhắn tin trực tiếp qua Fanpage Facebook/Instagram + Nuôi dưỡng nội dung</t>
        </is>
      </c>
    </row>
    <row r="704">
      <c r="A704" s="59" t="n">
        <v>522</v>
      </c>
      <c r="B704" s="15" t="inlineStr">
        <is>
          <t>Arrow's Heart Animal Rescue</t>
        </is>
      </c>
      <c r="C704" s="60" t="inlineStr">
        <is>
          <t>https://www.facebook.com/ArrowsHeartAnimalRescue</t>
        </is>
      </c>
      <c r="D704" s="9" t="inlineStr">
        <is>
          <t>Cần quét Bio Fanpage</t>
        </is>
      </c>
      <c r="E704" s="59" t="inlineStr">
        <is>
          <t>12/10/2026 23:28:45</t>
        </is>
      </c>
      <c r="F704" s="59" t="inlineStr">
        <is>
          <t>2 giờ trước</t>
        </is>
      </c>
      <c r="G704" s="61" t="n">
        <v>0.08</v>
      </c>
      <c r="H704" s="62" t="n">
        <v>35</v>
      </c>
      <c r="I704" s="9" t="inlineStr">
        <is>
          <t>Pet Rescue / Trạm cứu trợ (14-16đ)</t>
        </is>
      </c>
      <c r="J704" s="62" t="n">
        <v>14</v>
      </c>
      <c r="K704" s="9" t="inlineStr">
        <is>
          <t>Chưa rõ giống (Cần quét Bio)</t>
        </is>
      </c>
      <c r="L704" s="62" t="n">
        <v>0</v>
      </c>
      <c r="M704" s="62" t="n">
        <v>0</v>
      </c>
      <c r="N704" s="9" t="inlineStr">
        <is>
          <t>Amazon link not found</t>
        </is>
      </c>
      <c r="O704" s="62">
        <f>IF(N704="Selling pet toys + Artificial grass/Pet toilets (TARGET)",15,IF(N704="Selling artificial grass/pet toilets (TARGET)",10,IF(N704="Selling pet toys",7,IF(N704="There's an Amazon link, but no target sales.",3,0))))</f>
        <v/>
      </c>
      <c r="P704" s="67">
        <f>H704+J704+L704+M704+O704</f>
        <v/>
      </c>
      <c r="Q704" s="69">
        <f>IF(OR(H704=0,P704&lt;30),"Tier D (Đóng băng)",IF(P704&gt;=85,"Tier S (Kim Cương: 85-100đ)",IF(P704&gt;=70,"Tier A (Vàng: 70-84đ)",IF(P704&gt;=61,"Tier B+ / Cấp A (Hot Lead: 61-69đ)",IF(P704&gt;=50,"Tier B (Bạc: 50-60đ)","Tier C (Đồng: 30-49đ)")))))</f>
        <v/>
      </c>
      <c r="R704" s="9" t="inlineStr">
        <is>
          <t>Nhà vệ sinh &amp; Tã lót (Potty Tray / Pee Pads) + Cỏ nhân tạo lót chuồng</t>
        </is>
      </c>
      <c r="S704" s="9" t="inlineStr">
        <is>
          <t>Cấp C Chi phí thấp: Nhắn tin trực tiếp qua Fanpage Facebook/Instagram + Nuôi dưỡng nội dung</t>
        </is>
      </c>
    </row>
    <row r="705">
      <c r="A705" s="53" t="n">
        <v>421</v>
      </c>
      <c r="B705" s="12" t="inlineStr">
        <is>
          <t>Amy’s Angels Dog Rescue</t>
        </is>
      </c>
      <c r="C705" s="54" t="inlineStr">
        <is>
          <t>https://www.facebook.com/profile.php?id=100084749073316</t>
        </is>
      </c>
      <c r="D705" s="6" t="inlineStr">
        <is>
          <t>Cần quét Bio Fanpage</t>
        </is>
      </c>
      <c r="E705" s="53" t="inlineStr">
        <is>
          <t>12/10/2026 23:20:39</t>
        </is>
      </c>
      <c r="F705" s="53" t="inlineStr">
        <is>
          <t>2 giờ trước</t>
        </is>
      </c>
      <c r="G705" s="55" t="n">
        <v>0.08</v>
      </c>
      <c r="H705" s="56" t="n">
        <v>35</v>
      </c>
      <c r="I705" s="6" t="inlineStr">
        <is>
          <t>Pet Rescue / Trạm cứu trợ (14-16đ)</t>
        </is>
      </c>
      <c r="J705" s="56" t="n">
        <v>14</v>
      </c>
      <c r="K705" s="6" t="inlineStr">
        <is>
          <t>Chưa rõ giống (Cần quét Bio)</t>
        </is>
      </c>
      <c r="L705" s="56" t="n">
        <v>0</v>
      </c>
      <c r="M705" s="56" t="n">
        <v>0</v>
      </c>
      <c r="N705" s="6" t="inlineStr">
        <is>
          <t>Amazon link not found</t>
        </is>
      </c>
      <c r="O705" s="56">
        <f>IF(N705="Selling pet toys + Artificial grass/Pet toilets (TARGET)",15,IF(N705="Selling artificial grass/pet toilets (TARGET)",10,IF(N705="Selling pet toys",7,IF(N705="There's an Amazon link, but no target sales.",3,0))))</f>
        <v/>
      </c>
      <c r="P705" s="65">
        <f>H705+J705+L705+M705+O705</f>
        <v/>
      </c>
      <c r="Q705" s="69">
        <f>IF(OR(H705=0,P705&lt;30),"Tier D (Đóng băng)",IF(P705&gt;=85,"Tier S (Kim Cương: 85-100đ)",IF(P705&gt;=70,"Tier A (Vàng: 70-84đ)",IF(P705&gt;=61,"Tier B+ / Cấp A (Hot Lead: 61-69đ)",IF(P705&gt;=50,"Tier B (Bạc: 50-60đ)","Tier C (Đồng: 30-49đ)")))))</f>
        <v/>
      </c>
      <c r="R705" s="6" t="inlineStr">
        <is>
          <t>Nhà vệ sinh &amp; Tã lót (Potty Tray / Pee Pads) + Cỏ nhân tạo lót chuồng</t>
        </is>
      </c>
      <c r="S705" s="6" t="inlineStr">
        <is>
          <t>Cấp C Chi phí thấp: Nhắn tin trực tiếp qua Fanpage Facebook/Instagram + Nuôi dưỡng nội dung</t>
        </is>
      </c>
    </row>
    <row r="706">
      <c r="A706" s="59" t="n">
        <v>618</v>
      </c>
      <c r="B706" s="15" t="inlineStr">
        <is>
          <t>Because of Bubbles Rescue</t>
        </is>
      </c>
      <c r="C706" s="60" t="inlineStr">
        <is>
          <t>https://www.facebook.com/profile.php?id=100088005750668</t>
        </is>
      </c>
      <c r="D706" s="9" t="inlineStr">
        <is>
          <t>Cần quét Bio Fanpage</t>
        </is>
      </c>
      <c r="E706" s="59" t="inlineStr">
        <is>
          <t>12/10/2026 22:55:58</t>
        </is>
      </c>
      <c r="F706" s="59" t="inlineStr">
        <is>
          <t>3 giờ trước</t>
        </is>
      </c>
      <c r="G706" s="61" t="n">
        <v>0.12</v>
      </c>
      <c r="H706" s="62" t="n">
        <v>35</v>
      </c>
      <c r="I706" s="9" t="inlineStr">
        <is>
          <t>Pet Rescue / Trạm cứu trợ (14-16đ)</t>
        </is>
      </c>
      <c r="J706" s="62" t="n">
        <v>14</v>
      </c>
      <c r="K706" s="9" t="inlineStr">
        <is>
          <t>Chưa rõ giống (Cần quét Bio)</t>
        </is>
      </c>
      <c r="L706" s="62" t="n">
        <v>0</v>
      </c>
      <c r="M706" s="62" t="n">
        <v>0</v>
      </c>
      <c r="N706" s="9" t="inlineStr">
        <is>
          <t>Amazon link not found</t>
        </is>
      </c>
      <c r="O706" s="62">
        <f>IF(N706="Selling pet toys + Artificial grass/Pet toilets (TARGET)",15,IF(N706="Selling artificial grass/pet toilets (TARGET)",10,IF(N706="Selling pet toys",7,IF(N706="There's an Amazon link, but no target sales.",3,0))))</f>
        <v/>
      </c>
      <c r="P706" s="67">
        <f>H706+J706+L706+M706+O706</f>
        <v/>
      </c>
      <c r="Q706" s="69">
        <f>IF(OR(H706=0,P706&lt;30),"Tier D (Đóng băng)",IF(P706&gt;=85,"Tier S (Kim Cương: 85-100đ)",IF(P706&gt;=70,"Tier A (Vàng: 70-84đ)",IF(P706&gt;=61,"Tier B+ / Cấp A (Hot Lead: 61-69đ)",IF(P706&gt;=50,"Tier B (Bạc: 50-60đ)","Tier C (Đồng: 30-49đ)")))))</f>
        <v/>
      </c>
      <c r="R706" s="9" t="inlineStr">
        <is>
          <t>Nhà vệ sinh &amp; Tã lót (Potty Tray / Pee Pads) + Cỏ nhân tạo lót chuồng</t>
        </is>
      </c>
      <c r="S706" s="9" t="inlineStr">
        <is>
          <t>Cấp C Chi phí thấp: Nhắn tin trực tiếp qua Fanpage Facebook/Instagram + Nuôi dưỡng nội dung</t>
        </is>
      </c>
    </row>
    <row r="707">
      <c r="A707" s="53" t="n">
        <v>385</v>
      </c>
      <c r="B707" s="12" t="inlineStr">
        <is>
          <t>Allegany County Animal Shelter</t>
        </is>
      </c>
      <c r="C707" s="54" t="inlineStr">
        <is>
          <t>https://www.facebook.com/alleganyshelter</t>
        </is>
      </c>
      <c r="D707" s="6" t="inlineStr">
        <is>
          <t>Cần quét Bio Fanpage</t>
        </is>
      </c>
      <c r="E707" s="53" t="inlineStr">
        <is>
          <t>12/10/2026 21:42:15</t>
        </is>
      </c>
      <c r="F707" s="53" t="inlineStr">
        <is>
          <t>3 giờ trước</t>
        </is>
      </c>
      <c r="G707" s="55" t="n">
        <v>0.12</v>
      </c>
      <c r="H707" s="56" t="n">
        <v>35</v>
      </c>
      <c r="I707" s="6" t="inlineStr">
        <is>
          <t>Pet Rescue / Trạm cứu trợ (14-16đ)</t>
        </is>
      </c>
      <c r="J707" s="56" t="n">
        <v>14</v>
      </c>
      <c r="K707" s="6" t="inlineStr">
        <is>
          <t>Chưa rõ giống (Cần quét Bio)</t>
        </is>
      </c>
      <c r="L707" s="56" t="n">
        <v>0</v>
      </c>
      <c r="M707" s="56" t="n">
        <v>0</v>
      </c>
      <c r="N707" s="6" t="inlineStr">
        <is>
          <t>Amazon link not found</t>
        </is>
      </c>
      <c r="O707" s="56">
        <f>IF(N707="Selling pet toys + Artificial grass/Pet toilets (TARGET)",15,IF(N707="Selling artificial grass/pet toilets (TARGET)",10,IF(N707="Selling pet toys",7,IF(N707="There's an Amazon link, but no target sales.",3,0))))</f>
        <v/>
      </c>
      <c r="P707" s="65">
        <f>H707+J707+L707+M707+O707</f>
        <v/>
      </c>
      <c r="Q707" s="69">
        <f>IF(OR(H707=0,P707&lt;30),"Tier D (Đóng băng)",IF(P707&gt;=85,"Tier S (Kim Cương: 85-100đ)",IF(P707&gt;=70,"Tier A (Vàng: 70-84đ)",IF(P707&gt;=61,"Tier B+ / Cấp A (Hot Lead: 61-69đ)",IF(P707&gt;=50,"Tier B (Bạc: 50-60đ)","Tier C (Đồng: 30-49đ)")))))</f>
        <v/>
      </c>
      <c r="R707" s="6" t="inlineStr">
        <is>
          <t>Nhà vệ sinh &amp; Tã lót (Potty Tray / Pee Pads) + Cỏ nhân tạo lót chuồng</t>
        </is>
      </c>
      <c r="S707" s="6" t="inlineStr">
        <is>
          <t>Cấp C Chi phí thấp: Nhắn tin trực tiếp qua Fanpage Facebook/Instagram + Nuôi dưỡng nội dung</t>
        </is>
      </c>
    </row>
    <row r="708">
      <c r="A708" s="59" t="n">
        <v>320</v>
      </c>
      <c r="B708" s="15" t="inlineStr">
        <is>
          <t>AA Dog Rescue</t>
        </is>
      </c>
      <c r="C708" s="60" t="inlineStr">
        <is>
          <t>https://www.facebook.com/aadogrescue</t>
        </is>
      </c>
      <c r="D708" s="9" t="inlineStr">
        <is>
          <t>Cần quét Bio Fanpage</t>
        </is>
      </c>
      <c r="E708" s="59" t="inlineStr">
        <is>
          <t>12/10/2026 21:42:03</t>
        </is>
      </c>
      <c r="F708" s="59" t="inlineStr">
        <is>
          <t>3 giờ trước</t>
        </is>
      </c>
      <c r="G708" s="61" t="n">
        <v>0.12</v>
      </c>
      <c r="H708" s="62" t="n">
        <v>35</v>
      </c>
      <c r="I708" s="9" t="inlineStr">
        <is>
          <t>Pet Rescue / Trạm cứu trợ (14-16đ)</t>
        </is>
      </c>
      <c r="J708" s="62" t="n">
        <v>14</v>
      </c>
      <c r="K708" s="9" t="inlineStr">
        <is>
          <t>Chưa rõ giống (Cần quét Bio)</t>
        </is>
      </c>
      <c r="L708" s="62" t="n">
        <v>0</v>
      </c>
      <c r="M708" s="62" t="n">
        <v>0</v>
      </c>
      <c r="N708" s="9" t="inlineStr">
        <is>
          <t>Amazon link not found</t>
        </is>
      </c>
      <c r="O708" s="62">
        <f>IF(N708="Selling pet toys + Artificial grass/Pet toilets (TARGET)",15,IF(N708="Selling artificial grass/pet toilets (TARGET)",10,IF(N708="Selling pet toys",7,IF(N708="There's an Amazon link, but no target sales.",3,0))))</f>
        <v/>
      </c>
      <c r="P708" s="67">
        <f>H708+J708+L708+M708+O708</f>
        <v/>
      </c>
      <c r="Q708" s="69">
        <f>IF(OR(H708=0,P708&lt;30),"Tier D (Đóng băng)",IF(P708&gt;=85,"Tier S (Kim Cương: 85-100đ)",IF(P708&gt;=70,"Tier A (Vàng: 70-84đ)",IF(P708&gt;=61,"Tier B+ / Cấp A (Hot Lead: 61-69đ)",IF(P708&gt;=50,"Tier B (Bạc: 50-60đ)","Tier C (Đồng: 30-49đ)")))))</f>
        <v/>
      </c>
      <c r="R708" s="9" t="inlineStr">
        <is>
          <t>Nhà vệ sinh &amp; Tã lót (Potty Tray / Pee Pads) + Cỏ nhân tạo lót chuồng</t>
        </is>
      </c>
      <c r="S708" s="9" t="inlineStr">
        <is>
          <t>Cấp C Chi phí thấp: Nhắn tin trực tiếp qua Fanpage Facebook/Instagram + Nuôi dưỡng nội dung</t>
        </is>
      </c>
    </row>
    <row r="709">
      <c r="A709" s="53" t="n">
        <v>272</v>
      </c>
      <c r="B709" s="12" t="inlineStr">
        <is>
          <t>Strong Island Animal Rescue League</t>
        </is>
      </c>
      <c r="C709" s="54" t="inlineStr">
        <is>
          <t>https://www.facebook.com/strongislandrescue</t>
        </is>
      </c>
      <c r="D709" s="6" t="inlineStr">
        <is>
          <t>Cần quét Bio Fanpage</t>
        </is>
      </c>
      <c r="E709" s="53" t="inlineStr">
        <is>
          <t>12/10/2026 21:30:01</t>
        </is>
      </c>
      <c r="F709" s="53" t="inlineStr">
        <is>
          <t>3 giờ trước</t>
        </is>
      </c>
      <c r="G709" s="55" t="n">
        <v>0.12</v>
      </c>
      <c r="H709" s="56" t="n">
        <v>35</v>
      </c>
      <c r="I709" s="6" t="inlineStr">
        <is>
          <t>Pet Rescue / Trạm cứu trợ (14-16đ)</t>
        </is>
      </c>
      <c r="J709" s="56" t="n">
        <v>14</v>
      </c>
      <c r="K709" s="6" t="inlineStr">
        <is>
          <t>Chưa rõ giống (Cần quét Bio)</t>
        </is>
      </c>
      <c r="L709" s="56" t="n">
        <v>0</v>
      </c>
      <c r="M709" s="56" t="n">
        <v>0</v>
      </c>
      <c r="N709" s="6" t="inlineStr">
        <is>
          <t>Amazon link not found</t>
        </is>
      </c>
      <c r="O709" s="56">
        <f>IF(N709="Selling pet toys + Artificial grass/Pet toilets (TARGET)",15,IF(N709="Selling artificial grass/pet toilets (TARGET)",10,IF(N709="Selling pet toys",7,IF(N709="There's an Amazon link, but no target sales.",3,0))))</f>
        <v/>
      </c>
      <c r="P709" s="65">
        <f>H709+J709+L709+M709+O709</f>
        <v/>
      </c>
      <c r="Q709" s="69">
        <f>IF(OR(H709=0,P709&lt;30),"Tier D (Đóng băng)",IF(P709&gt;=85,"Tier S (Kim Cương: 85-100đ)",IF(P709&gt;=70,"Tier A (Vàng: 70-84đ)",IF(P709&gt;=61,"Tier B+ / Cấp A (Hot Lead: 61-69đ)",IF(P709&gt;=50,"Tier B (Bạc: 50-60đ)","Tier C (Đồng: 30-49đ)")))))</f>
        <v/>
      </c>
      <c r="R709" s="6" t="inlineStr">
        <is>
          <t>Nhà vệ sinh &amp; Tã lót (Potty Tray / Pee Pads) + Cỏ nhân tạo lót chuồng</t>
        </is>
      </c>
      <c r="S709" s="6" t="inlineStr">
        <is>
          <t>Cấp C Chi phí thấp: Nhắn tin trực tiếp qua Fanpage Facebook/Instagram + Nuôi dưỡng nội dung</t>
        </is>
      </c>
    </row>
    <row r="710">
      <c r="A710" s="59" t="n">
        <v>213</v>
      </c>
      <c r="B710" s="15" t="inlineStr">
        <is>
          <t>Levi the Husky Rescue</t>
        </is>
      </c>
      <c r="C710" s="60" t="inlineStr">
        <is>
          <t>https://www.facebook.com/levithehuskyrescue</t>
        </is>
      </c>
      <c r="D710" s="9" t="inlineStr">
        <is>
          <t>Cần quét Bio Fanpage</t>
        </is>
      </c>
      <c r="E710" s="59" t="inlineStr">
        <is>
          <t>12/10/2026 01:15:49</t>
        </is>
      </c>
      <c r="F710" s="59" t="inlineStr">
        <is>
          <t>1 ngày trước</t>
        </is>
      </c>
      <c r="G710" s="61" t="n">
        <v>1</v>
      </c>
      <c r="H710" s="62" t="n">
        <v>28</v>
      </c>
      <c r="I710" s="9" t="inlineStr">
        <is>
          <t>Pet Rescue / Trạm cứu trợ (14-16đ)</t>
        </is>
      </c>
      <c r="J710" s="62" t="n">
        <v>16</v>
      </c>
      <c r="K710" s="9" t="inlineStr">
        <is>
          <t>Husky / Malamute / Samoyed / Spitz</t>
        </is>
      </c>
      <c r="L710" s="62" t="n">
        <v>5</v>
      </c>
      <c r="M710" s="62" t="n">
        <v>0</v>
      </c>
      <c r="N710" s="9" t="inlineStr">
        <is>
          <t>Amazon link not found</t>
        </is>
      </c>
      <c r="O710" s="62">
        <f>IF(N710="Selling pet toys + Artificial grass/Pet toilets (TARGET)",15,IF(N710="Selling artificial grass/pet toilets (TARGET)",10,IF(N710="Selling pet toys",7,IF(N710="There's an Amazon link, but no target sales.",3,0))))</f>
        <v/>
      </c>
      <c r="P710" s="67">
        <f>H710+J710+L710+M710+O710</f>
        <v/>
      </c>
      <c r="Q710" s="69">
        <f>IF(OR(H710=0,P710&lt;30),"Tier D (Đóng băng)",IF(P710&gt;=85,"Tier S (Kim Cương: 85-100đ)",IF(P710&gt;=70,"Tier A (Vàng: 70-84đ)",IF(P710&gt;=61,"Tier B+ / Cấp A (Hot Lead: 61-69đ)",IF(P710&gt;=50,"Tier B (Bạc: 50-60đ)","Tier C (Đồng: 30-49đ)")))))</f>
        <v/>
      </c>
      <c r="R710" s="9" t="inlineStr">
        <is>
          <t>Nhà vệ sinh &amp; Tã lót (Potty Tray / Pee Pads) + Cỏ nhân tạo lót chuồng</t>
        </is>
      </c>
      <c r="S710" s="9" t="inlineStr">
        <is>
          <t>Cấp C Chi phí thấp: Nhắn tin trực tiếp qua Fanpage Facebook/Instagram + Nuôi dưỡng nội dung</t>
        </is>
      </c>
    </row>
    <row r="711">
      <c r="A711" s="53" t="n">
        <v>742</v>
      </c>
      <c r="B711" s="12" t="inlineStr">
        <is>
          <t>Boston Terrier Rescue of Western Washington</t>
        </is>
      </c>
      <c r="C711" s="54" t="inlineStr">
        <is>
          <t>https://www.facebook.com/BTRofWesternWA</t>
        </is>
      </c>
      <c r="D711" s="6" t="inlineStr">
        <is>
          <t>Cần quét Bio Fanpage</t>
        </is>
      </c>
      <c r="E711" s="53" t="inlineStr">
        <is>
          <t>12/10/2026 00:57:37</t>
        </is>
      </c>
      <c r="F711" s="53" t="inlineStr">
        <is>
          <t>1 ngày trước</t>
        </is>
      </c>
      <c r="G711" s="55" t="n">
        <v>1</v>
      </c>
      <c r="H711" s="56" t="n">
        <v>28</v>
      </c>
      <c r="I711" s="6" t="inlineStr">
        <is>
          <t>Pet Rescue / Trạm cứu trợ (14-16đ)</t>
        </is>
      </c>
      <c r="J711" s="56" t="n">
        <v>16</v>
      </c>
      <c r="K711" s="6" t="inlineStr">
        <is>
          <t>Terrier (Jack Russell/Yorkie/Boston/Staffy)</t>
        </is>
      </c>
      <c r="L711" s="56" t="n">
        <v>5</v>
      </c>
      <c r="M711" s="56" t="n">
        <v>0</v>
      </c>
      <c r="N711" s="6" t="inlineStr">
        <is>
          <t>Amazon link not found</t>
        </is>
      </c>
      <c r="O711" s="56">
        <f>IF(N711="Selling pet toys + Artificial grass/Pet toilets (TARGET)",15,IF(N711="Selling artificial grass/pet toilets (TARGET)",10,IF(N711="Selling pet toys",7,IF(N711="There's an Amazon link, but no target sales.",3,0))))</f>
        <v/>
      </c>
      <c r="P711" s="65">
        <f>H711+J711+L711+M711+O711</f>
        <v/>
      </c>
      <c r="Q711" s="69">
        <f>IF(OR(H711=0,P711&lt;30),"Tier D (Đóng băng)",IF(P711&gt;=85,"Tier S (Kim Cương: 85-100đ)",IF(P711&gt;=70,"Tier A (Vàng: 70-84đ)",IF(P711&gt;=61,"Tier B+ / Cấp A (Hot Lead: 61-69đ)",IF(P711&gt;=50,"Tier B (Bạc: 50-60đ)","Tier C (Đồng: 30-49đ)")))))</f>
        <v/>
      </c>
      <c r="R711" s="6" t="inlineStr">
        <is>
          <t>Nhà vệ sinh &amp; Tã lót (Potty Tray / Pee Pads) + Cỏ nhân tạo lót chuồng</t>
        </is>
      </c>
      <c r="S711" s="6" t="inlineStr">
        <is>
          <t>Cấp C Chi phí thấp: Nhắn tin trực tiếp qua Fanpage Facebook/Instagram + Nuôi dưỡng nội dung</t>
        </is>
      </c>
    </row>
    <row r="712">
      <c r="A712" s="59" t="n">
        <v>2692</v>
      </c>
      <c r="B712" s="15" t="inlineStr">
        <is>
          <t>Ranch Paws Rescue</t>
        </is>
      </c>
      <c r="C712" s="60" t="inlineStr">
        <is>
          <t>https://www.facebook.com/RanchPawsRescue</t>
        </is>
      </c>
      <c r="D712" s="9" t="inlineStr">
        <is>
          <t>Cần quét Bio Fanpage</t>
        </is>
      </c>
      <c r="E712" s="59" t="inlineStr">
        <is>
          <t>11/10/2026 19:26:19</t>
        </is>
      </c>
      <c r="F712" s="59" t="inlineStr">
        <is>
          <t>1 ngày trước</t>
        </is>
      </c>
      <c r="G712" s="61" t="n">
        <v>1</v>
      </c>
      <c r="H712" s="62" t="n">
        <v>28</v>
      </c>
      <c r="I712" s="9" t="inlineStr">
        <is>
          <t>Pet Rescue / Trạm cứu trợ (14-16đ)</t>
        </is>
      </c>
      <c r="J712" s="62" t="n">
        <v>16</v>
      </c>
      <c r="K712" s="9" t="inlineStr">
        <is>
          <t>Chưa rõ giống (Cần quét Bio)</t>
        </is>
      </c>
      <c r="L712" s="62" t="n">
        <v>0</v>
      </c>
      <c r="M712" s="62" t="n">
        <v>5</v>
      </c>
      <c r="N712" s="9" t="inlineStr">
        <is>
          <t>Amazon link not found</t>
        </is>
      </c>
      <c r="O712" s="62">
        <f>IF(N712="Selling pet toys + Artificial grass/Pet toilets (TARGET)",15,IF(N712="Selling artificial grass/pet toilets (TARGET)",10,IF(N712="Selling pet toys",7,IF(N712="There's an Amazon link, but no target sales.",3,0))))</f>
        <v/>
      </c>
      <c r="P712" s="67">
        <f>H712+J712+L712+M712+O712</f>
        <v/>
      </c>
      <c r="Q712" s="69">
        <f>IF(OR(H712=0,P712&lt;30),"Tier D (Đóng băng)",IF(P712&gt;=85,"Tier S (Kim Cương: 85-100đ)",IF(P712&gt;=70,"Tier A (Vàng: 70-84đ)",IF(P712&gt;=61,"Tier B+ / Cấp A (Hot Lead: 61-69đ)",IF(P712&gt;=50,"Tier B (Bạc: 50-60đ)","Tier C (Đồng: 30-49đ)")))))</f>
        <v/>
      </c>
      <c r="R712" s="9" t="inlineStr">
        <is>
          <t>Nhà vệ sinh &amp; Tã lót (Potty Tray / Pee Pads) + Cỏ nhân tạo lót chuồng</t>
        </is>
      </c>
      <c r="S712" s="9" t="inlineStr">
        <is>
          <t>Cấp C Chi phí thấp: Nhắn tin trực tiếp qua Fanpage Facebook/Instagram + Nuôi dưỡng nội dung</t>
        </is>
      </c>
    </row>
    <row r="713">
      <c r="A713" s="53" t="n">
        <v>374</v>
      </c>
      <c r="B713" s="12" t="inlineStr">
        <is>
          <t>All Breeds Canine Rescue Inc</t>
        </is>
      </c>
      <c r="C713" s="54" t="inlineStr">
        <is>
          <t>https://www.facebook.com/ABCRInc</t>
        </is>
      </c>
      <c r="D713" s="6" t="inlineStr">
        <is>
          <t>Cần quét Bio Fanpage</t>
        </is>
      </c>
      <c r="E713" s="53" t="inlineStr">
        <is>
          <t>10/10/2026 04:41:44</t>
        </is>
      </c>
      <c r="F713" s="53" t="inlineStr">
        <is>
          <t>2 ngày trước</t>
        </is>
      </c>
      <c r="G713" s="55" t="n">
        <v>2</v>
      </c>
      <c r="H713" s="56" t="n">
        <v>28</v>
      </c>
      <c r="I713" s="6" t="inlineStr">
        <is>
          <t>Pet Rescue / Trạm cứu trợ (14-16đ)</t>
        </is>
      </c>
      <c r="J713" s="56" t="n">
        <v>16</v>
      </c>
      <c r="K713" s="6" t="inlineStr">
        <is>
          <t>Chưa rõ giống (Cần quét Bio)</t>
        </is>
      </c>
      <c r="L713" s="56" t="n">
        <v>0</v>
      </c>
      <c r="M713" s="56" t="n">
        <v>5</v>
      </c>
      <c r="N713" s="6" t="inlineStr">
        <is>
          <t>Amazon link not found</t>
        </is>
      </c>
      <c r="O713" s="56">
        <f>IF(N713="Selling pet toys + Artificial grass/Pet toilets (TARGET)",15,IF(N713="Selling artificial grass/pet toilets (TARGET)",10,IF(N713="Selling pet toys",7,IF(N713="There's an Amazon link, but no target sales.",3,0))))</f>
        <v/>
      </c>
      <c r="P713" s="65">
        <f>H713+J713+L713+M713+O713</f>
        <v/>
      </c>
      <c r="Q713" s="69">
        <f>IF(OR(H713=0,P713&lt;30),"Tier D (Đóng băng)",IF(P713&gt;=85,"Tier S (Kim Cương: 85-100đ)",IF(P713&gt;=70,"Tier A (Vàng: 70-84đ)",IF(P713&gt;=61,"Tier B+ / Cấp A (Hot Lead: 61-69đ)",IF(P713&gt;=50,"Tier B (Bạc: 50-60đ)","Tier C (Đồng: 30-49đ)")))))</f>
        <v/>
      </c>
      <c r="R713" s="6" t="inlineStr">
        <is>
          <t>Nhà vệ sinh &amp; Tã lót (Potty Tray / Pee Pads) + Cỏ nhân tạo lót chuồng</t>
        </is>
      </c>
      <c r="S713" s="6" t="inlineStr">
        <is>
          <t>Cấp C Chi phí thấp: Nhắn tin trực tiếp qua Fanpage Facebook/Instagram + Nuôi dưỡng nội dung</t>
        </is>
      </c>
    </row>
    <row r="714">
      <c r="A714" s="59" t="n">
        <v>3460</v>
      </c>
      <c r="B714" s="15" t="inlineStr">
        <is>
          <t>Yap Yap Dog Grooming</t>
        </is>
      </c>
      <c r="C714" s="60" t="inlineStr">
        <is>
          <t>https://www.facebook.com/profile.php?id=100063628987348</t>
        </is>
      </c>
      <c r="D714" s="9" t="inlineStr">
        <is>
          <t>Cần quét Bio Fanpage</t>
        </is>
      </c>
      <c r="E714" s="59" t="inlineStr">
        <is>
          <t>12/10/2026 06:20:00</t>
        </is>
      </c>
      <c r="F714" s="59" t="inlineStr">
        <is>
          <t>1 ngày trước</t>
        </is>
      </c>
      <c r="G714" s="61" t="n">
        <v>1</v>
      </c>
      <c r="H714" s="62" t="n">
        <v>28</v>
      </c>
      <c r="I714" s="9" t="inlineStr">
        <is>
          <t>Pet Boarding / Huấn luyện K9 &amp; Dịch vụ (20-22đ)</t>
        </is>
      </c>
      <c r="J714" s="62" t="n">
        <v>20</v>
      </c>
      <c r="K714" s="9" t="inlineStr">
        <is>
          <t>Chưa rõ giống (Cần quét Bio)</t>
        </is>
      </c>
      <c r="L714" s="62" t="n">
        <v>0</v>
      </c>
      <c r="M714" s="62" t="n">
        <v>0</v>
      </c>
      <c r="N714" s="9" t="inlineStr">
        <is>
          <t>Amazon link not found</t>
        </is>
      </c>
      <c r="O714" s="62">
        <f>IF(N714="Selling pet toys + Artificial grass/Pet toilets (TARGET)",15,IF(N714="Selling artificial grass/pet toilets (TARGET)",10,IF(N714="Selling pet toys",7,IF(N714="There's an Amazon link, but no target sales.",3,0))))</f>
        <v/>
      </c>
      <c r="P714" s="67">
        <f>H714+J714+L714+M714+O714</f>
        <v/>
      </c>
      <c r="Q714" s="69">
        <f>IF(OR(H714=0,P714&lt;30),"Tier D (Đóng băng)",IF(P714&gt;=85,"Tier S (Kim Cương: 85-100đ)",IF(P714&gt;=70,"Tier A (Vàng: 70-84đ)",IF(P714&gt;=61,"Tier B+ / Cấp A (Hot Lead: 61-69đ)",IF(P714&gt;=50,"Tier B (Bạc: 50-60đ)","Tier C (Đồng: 30-49đ)")))))</f>
        <v/>
      </c>
      <c r="R714" s="9" t="inlineStr">
        <is>
          <t>Cỏ nhân tạo sân chơi/huấn luyện (Dog Turf) + Đồ chơi nhai chịu lực (KONG/Chew Toys)</t>
        </is>
      </c>
      <c r="S714" s="9" t="inlineStr">
        <is>
          <t>Cấp C Chi phí thấp: Nhắn tin trực tiếp qua Fanpage Facebook/Instagram + Nuôi dưỡng nội dung</t>
        </is>
      </c>
    </row>
    <row r="715">
      <c r="A715" s="53" t="n">
        <v>2983</v>
      </c>
      <c r="B715" s="12" t="inlineStr">
        <is>
          <t>SS Sport Dogs</t>
        </is>
      </c>
      <c r="C715" s="54" t="inlineStr">
        <is>
          <t>https://www.facebook.com/profile.php?id=61588218372860</t>
        </is>
      </c>
      <c r="D715" s="6" t="inlineStr">
        <is>
          <t>Cần quét Bio Fanpage</t>
        </is>
      </c>
      <c r="E715" s="53" t="inlineStr">
        <is>
          <t>12/10/2026 05:57:29</t>
        </is>
      </c>
      <c r="F715" s="53" t="inlineStr">
        <is>
          <t>1 ngày trước</t>
        </is>
      </c>
      <c r="G715" s="55" t="n">
        <v>1</v>
      </c>
      <c r="H715" s="56" t="n">
        <v>28</v>
      </c>
      <c r="I715" s="6" t="inlineStr">
        <is>
          <t>Pet Boarding / Huấn luyện K9 &amp; Dịch vụ (20-22đ)</t>
        </is>
      </c>
      <c r="J715" s="56" t="n">
        <v>20</v>
      </c>
      <c r="K715" s="6" t="inlineStr">
        <is>
          <t>Chưa rõ giống (Cần quét Bio)</t>
        </is>
      </c>
      <c r="L715" s="56" t="n">
        <v>0</v>
      </c>
      <c r="M715" s="56" t="n">
        <v>0</v>
      </c>
      <c r="N715" s="6" t="inlineStr">
        <is>
          <t>Amazon link not found</t>
        </is>
      </c>
      <c r="O715" s="56">
        <f>IF(N715="Selling pet toys + Artificial grass/Pet toilets (TARGET)",15,IF(N715="Selling artificial grass/pet toilets (TARGET)",10,IF(N715="Selling pet toys",7,IF(N715="There's an Amazon link, but no target sales.",3,0))))</f>
        <v/>
      </c>
      <c r="P715" s="65">
        <f>H715+J715+L715+M715+O715</f>
        <v/>
      </c>
      <c r="Q715" s="69">
        <f>IF(OR(H715=0,P715&lt;30),"Tier D (Đóng băng)",IF(P715&gt;=85,"Tier S (Kim Cương: 85-100đ)",IF(P715&gt;=70,"Tier A (Vàng: 70-84đ)",IF(P715&gt;=61,"Tier B+ / Cấp A (Hot Lead: 61-69đ)",IF(P715&gt;=50,"Tier B (Bạc: 50-60đ)","Tier C (Đồng: 30-49đ)")))))</f>
        <v/>
      </c>
      <c r="R715" s="6" t="inlineStr">
        <is>
          <t>Cỏ nhân tạo sân chơi/huấn luyện (Dog Turf) + Đồ chơi nhai chịu lực (KONG/Chew Toys)</t>
        </is>
      </c>
      <c r="S715" s="6" t="inlineStr">
        <is>
          <t>Cấp C Chi phí thấp: Nhắn tin trực tiếp qua Fanpage Facebook/Instagram + Nuôi dưỡng nội dung</t>
        </is>
      </c>
    </row>
    <row r="716">
      <c r="A716" s="59" t="n">
        <v>3222</v>
      </c>
      <c r="B716" s="15" t="inlineStr">
        <is>
          <t>Trails &amp; Tails Pet Care</t>
        </is>
      </c>
      <c r="C716" s="60" t="inlineStr">
        <is>
          <t>https://www.facebook.com/TrailsandTailsFergus</t>
        </is>
      </c>
      <c r="D716" s="9" t="inlineStr">
        <is>
          <t>Cần quét Bio Fanpage</t>
        </is>
      </c>
      <c r="E716" s="59" t="inlineStr">
        <is>
          <t>12/10/2026 02:28:23</t>
        </is>
      </c>
      <c r="F716" s="59" t="inlineStr">
        <is>
          <t>1 ngày trước</t>
        </is>
      </c>
      <c r="G716" s="61" t="n">
        <v>1</v>
      </c>
      <c r="H716" s="62" t="n">
        <v>28</v>
      </c>
      <c r="I716" s="9" t="inlineStr">
        <is>
          <t>Pet Boarding / Huấn luyện K9 &amp; Dịch vụ (20-22đ)</t>
        </is>
      </c>
      <c r="J716" s="62" t="n">
        <v>20</v>
      </c>
      <c r="K716" s="9" t="inlineStr">
        <is>
          <t>Chưa rõ giống (Cần quét Bio)</t>
        </is>
      </c>
      <c r="L716" s="62" t="n">
        <v>0</v>
      </c>
      <c r="M716" s="62" t="n">
        <v>0</v>
      </c>
      <c r="N716" s="9" t="inlineStr">
        <is>
          <t>Amazon link not found</t>
        </is>
      </c>
      <c r="O716" s="62">
        <f>IF(N716="Selling pet toys + Artificial grass/Pet toilets (TARGET)",15,IF(N716="Selling artificial grass/pet toilets (TARGET)",10,IF(N716="Selling pet toys",7,IF(N716="There's an Amazon link, but no target sales.",3,0))))</f>
        <v/>
      </c>
      <c r="P716" s="67">
        <f>H716+J716+L716+M716+O716</f>
        <v/>
      </c>
      <c r="Q716" s="69">
        <f>IF(OR(H716=0,P716&lt;30),"Tier D (Đóng băng)",IF(P716&gt;=85,"Tier S (Kim Cương: 85-100đ)",IF(P716&gt;=70,"Tier A (Vàng: 70-84đ)",IF(P716&gt;=61,"Tier B+ / Cấp A (Hot Lead: 61-69đ)",IF(P716&gt;=50,"Tier B (Bạc: 50-60đ)","Tier C (Đồng: 30-49đ)")))))</f>
        <v/>
      </c>
      <c r="R716" s="9" t="inlineStr">
        <is>
          <t>Cỏ nhân tạo sân chơi/huấn luyện (Dog Turf) + Đồ chơi nhai chịu lực (KONG/Chew Toys)</t>
        </is>
      </c>
      <c r="S716" s="9" t="inlineStr">
        <is>
          <t>Cấp C Chi phí thấp: Nhắn tin trực tiếp qua Fanpage Facebook/Instagram + Nuôi dưỡng nội dung</t>
        </is>
      </c>
    </row>
    <row r="717">
      <c r="A717" s="53" t="n">
        <v>3093</v>
      </c>
      <c r="B717" s="12" t="inlineStr">
        <is>
          <t>The Bulldog Nest</t>
        </is>
      </c>
      <c r="C717" s="54" t="inlineStr">
        <is>
          <t>https://www.facebook.com/thebulldognest</t>
        </is>
      </c>
      <c r="D717" s="6" t="inlineStr">
        <is>
          <t>Cần quét Bio Fanpage</t>
        </is>
      </c>
      <c r="E717" s="53" t="inlineStr">
        <is>
          <t>12/10/2026 02:27:25</t>
        </is>
      </c>
      <c r="F717" s="53" t="inlineStr">
        <is>
          <t>1 ngày trước</t>
        </is>
      </c>
      <c r="G717" s="55" t="n">
        <v>1</v>
      </c>
      <c r="H717" s="56" t="n">
        <v>28</v>
      </c>
      <c r="I717" s="6" t="inlineStr">
        <is>
          <t>Pet Owner / Kênh cá nhân thú cưng (10đ)</t>
        </is>
      </c>
      <c r="J717" s="56" t="n">
        <v>10</v>
      </c>
      <c r="K717" s="6" t="inlineStr">
        <is>
          <t>English Bulldog</t>
        </is>
      </c>
      <c r="L717" s="56" t="n">
        <v>10</v>
      </c>
      <c r="M717" s="56" t="n">
        <v>0</v>
      </c>
      <c r="N717" s="6" t="inlineStr">
        <is>
          <t>Amazon link not found</t>
        </is>
      </c>
      <c r="O717" s="56">
        <f>IF(N717="Selling pet toys + Artificial grass/Pet toilets (TARGET)",15,IF(N717="Selling artificial grass/pet toilets (TARGET)",10,IF(N717="Selling pet toys",7,IF(N717="There's an Amazon link, but no target sales.",3,0))))</f>
        <v/>
      </c>
      <c r="P717" s="65">
        <f>H717+J717+L717+M717+O717</f>
        <v/>
      </c>
      <c r="Q717" s="69">
        <f>IF(OR(H717=0,P717&lt;30),"Tier D (Đóng băng)",IF(P717&gt;=85,"Tier S (Kim Cương: 85-100đ)",IF(P717&gt;=70,"Tier A (Vàng: 70-84đ)",IF(P717&gt;=61,"Tier B+ / Cấp A (Hot Lead: 61-69đ)",IF(P717&gt;=50,"Tier B (Bạc: 50-60đ)","Tier C (Đồng: 30-49đ)")))))</f>
        <v/>
      </c>
      <c r="R717" s="6" t="inlineStr">
        <is>
          <t>Khay vệ sinh trong nhà (Indoor Dog Potty) + Đồ chơi thú cưng lẻ</t>
        </is>
      </c>
      <c r="S717" s="6" t="inlineStr">
        <is>
          <t>Cấp C Chi phí thấp: Nhắn tin trực tiếp qua Fanpage Facebook/Instagram + Nuôi dưỡng nội dung</t>
        </is>
      </c>
    </row>
    <row r="718">
      <c r="A718" s="59" t="n">
        <v>72</v>
      </c>
      <c r="B718" s="15" t="inlineStr">
        <is>
          <t>Pack Leader Dog Psychology &amp; Behavior</t>
        </is>
      </c>
      <c r="C718" s="60" t="inlineStr">
        <is>
          <t>https://www.facebook.com/PackLeaderDogs</t>
        </is>
      </c>
      <c r="D718" s="9" t="inlineStr">
        <is>
          <t>Cần quét Bio Fanpage</t>
        </is>
      </c>
      <c r="E718" s="59" t="inlineStr">
        <is>
          <t>11/10/2026 23:35:15</t>
        </is>
      </c>
      <c r="F718" s="59" t="inlineStr">
        <is>
          <t>1 ngày trước</t>
        </is>
      </c>
      <c r="G718" s="61" t="n">
        <v>1</v>
      </c>
      <c r="H718" s="62" t="n">
        <v>28</v>
      </c>
      <c r="I718" s="9" t="inlineStr">
        <is>
          <t>Pet Boarding / Huấn luyện K9 &amp; Dịch vụ (20-22đ)</t>
        </is>
      </c>
      <c r="J718" s="62" t="n">
        <v>20</v>
      </c>
      <c r="K718" s="9" t="inlineStr">
        <is>
          <t>Chưa rõ giống (Cần quét Bio)</t>
        </is>
      </c>
      <c r="L718" s="62" t="n">
        <v>0</v>
      </c>
      <c r="M718" s="62" t="n">
        <v>0</v>
      </c>
      <c r="N718" s="9" t="inlineStr">
        <is>
          <t>Amazon link not found</t>
        </is>
      </c>
      <c r="O718" s="62">
        <f>IF(N718="Selling pet toys + Artificial grass/Pet toilets (TARGET)",15,IF(N718="Selling artificial grass/pet toilets (TARGET)",10,IF(N718="Selling pet toys",7,IF(N718="There's an Amazon link, but no target sales.",3,0))))</f>
        <v/>
      </c>
      <c r="P718" s="67">
        <f>H718+J718+L718+M718+O718</f>
        <v/>
      </c>
      <c r="Q718" s="69">
        <f>IF(OR(H718=0,P718&lt;30),"Tier D (Đóng băng)",IF(P718&gt;=85,"Tier S (Kim Cương: 85-100đ)",IF(P718&gt;=70,"Tier A (Vàng: 70-84đ)",IF(P718&gt;=61,"Tier B+ / Cấp A (Hot Lead: 61-69đ)",IF(P718&gt;=50,"Tier B (Bạc: 50-60đ)","Tier C (Đồng: 30-49đ)")))))</f>
        <v/>
      </c>
      <c r="R718" s="9" t="inlineStr">
        <is>
          <t>Cỏ nhân tạo sân chơi/huấn luyện (Dog Turf) + Đồ chơi nhai chịu lực (KONG/Chew Toys)</t>
        </is>
      </c>
      <c r="S718" s="9" t="inlineStr">
        <is>
          <t>Cấp C Chi phí thấp: Nhắn tin trực tiếp qua Fanpage Facebook/Instagram + Nuôi dưỡng nội dung</t>
        </is>
      </c>
    </row>
    <row r="719">
      <c r="A719" s="53" t="n">
        <v>3437</v>
      </c>
      <c r="B719" s="12" t="inlineStr">
        <is>
          <t>Wonton the Bulldog</t>
        </is>
      </c>
      <c r="C719" s="54" t="inlineStr">
        <is>
          <t>https://www.facebook.com/wontonthebulldog</t>
        </is>
      </c>
      <c r="D719" s="6" t="inlineStr">
        <is>
          <t>Cần quét Bio Fanpage</t>
        </is>
      </c>
      <c r="E719" s="53" t="inlineStr">
        <is>
          <t>11/10/2026 22:23:25</t>
        </is>
      </c>
      <c r="F719" s="53" t="inlineStr">
        <is>
          <t>1 ngày trước</t>
        </is>
      </c>
      <c r="G719" s="55" t="n">
        <v>1</v>
      </c>
      <c r="H719" s="56" t="n">
        <v>28</v>
      </c>
      <c r="I719" s="6" t="inlineStr">
        <is>
          <t>Pet Owner / Kênh cá nhân thú cưng (10đ)</t>
        </is>
      </c>
      <c r="J719" s="56" t="n">
        <v>10</v>
      </c>
      <c r="K719" s="6" t="inlineStr">
        <is>
          <t>English Bulldog</t>
        </is>
      </c>
      <c r="L719" s="56" t="n">
        <v>10</v>
      </c>
      <c r="M719" s="56" t="n">
        <v>0</v>
      </c>
      <c r="N719" s="6" t="inlineStr">
        <is>
          <t>Amazon link not found</t>
        </is>
      </c>
      <c r="O719" s="56">
        <f>IF(N719="Selling pet toys + Artificial grass/Pet toilets (TARGET)",15,IF(N719="Selling artificial grass/pet toilets (TARGET)",10,IF(N719="Selling pet toys",7,IF(N719="There's an Amazon link, but no target sales.",3,0))))</f>
        <v/>
      </c>
      <c r="P719" s="65">
        <f>H719+J719+L719+M719+O719</f>
        <v/>
      </c>
      <c r="Q719" s="69">
        <f>IF(OR(H719=0,P719&lt;30),"Tier D (Đóng băng)",IF(P719&gt;=85,"Tier S (Kim Cương: 85-100đ)",IF(P719&gt;=70,"Tier A (Vàng: 70-84đ)",IF(P719&gt;=61,"Tier B+ / Cấp A (Hot Lead: 61-69đ)",IF(P719&gt;=50,"Tier B (Bạc: 50-60đ)","Tier C (Đồng: 30-49đ)")))))</f>
        <v/>
      </c>
      <c r="R719" s="6" t="inlineStr">
        <is>
          <t>Khay vệ sinh trong nhà (Indoor Dog Potty) + Đồ chơi thú cưng lẻ</t>
        </is>
      </c>
      <c r="S719" s="6" t="inlineStr">
        <is>
          <t>Cấp C Chi phí thấp: Nhắn tin trực tiếp qua Fanpage Facebook/Instagram + Nuôi dưỡng nội dung</t>
        </is>
      </c>
    </row>
    <row r="720">
      <c r="A720" s="59" t="n">
        <v>1766</v>
      </c>
      <c r="B720" s="15" t="inlineStr">
        <is>
          <t>Jip Jip The Talking Frenchie - ipetjaxon</t>
        </is>
      </c>
      <c r="C720" s="60" t="inlineStr">
        <is>
          <t>https://www.facebook.com/Ipetjaxon</t>
        </is>
      </c>
      <c r="D720" s="9" t="inlineStr">
        <is>
          <t>Cần quét Bio Fanpage</t>
        </is>
      </c>
      <c r="E720" s="59" t="inlineStr">
        <is>
          <t>11/10/2026 20:40:40</t>
        </is>
      </c>
      <c r="F720" s="59" t="inlineStr">
        <is>
          <t>1 ngày trước</t>
        </is>
      </c>
      <c r="G720" s="61" t="n">
        <v>1</v>
      </c>
      <c r="H720" s="62" t="n">
        <v>28</v>
      </c>
      <c r="I720" s="9" t="inlineStr">
        <is>
          <t>Pet Owner / Kênh cá nhân thú cưng (10đ)</t>
        </is>
      </c>
      <c r="J720" s="62" t="n">
        <v>10</v>
      </c>
      <c r="K720" s="9" t="inlineStr">
        <is>
          <t>French Bulldog</t>
        </is>
      </c>
      <c r="L720" s="62" t="n">
        <v>10</v>
      </c>
      <c r="M720" s="62" t="n">
        <v>0</v>
      </c>
      <c r="N720" s="9" t="inlineStr">
        <is>
          <t>Amazon link not found</t>
        </is>
      </c>
      <c r="O720" s="62">
        <f>IF(N720="Selling pet toys + Artificial grass/Pet toilets (TARGET)",15,IF(N720="Selling artificial grass/pet toilets (TARGET)",10,IF(N720="Selling pet toys",7,IF(N720="There's an Amazon link, but no target sales.",3,0))))</f>
        <v/>
      </c>
      <c r="P720" s="67">
        <f>H720+J720+L720+M720+O720</f>
        <v/>
      </c>
      <c r="Q720" s="69">
        <f>IF(OR(H720=0,P720&lt;30),"Tier D (Đóng băng)",IF(P720&gt;=85,"Tier S (Kim Cương: 85-100đ)",IF(P720&gt;=70,"Tier A (Vàng: 70-84đ)",IF(P720&gt;=61,"Tier B+ / Cấp A (Hot Lead: 61-69đ)",IF(P720&gt;=50,"Tier B (Bạc: 50-60đ)","Tier C (Đồng: 30-49đ)")))))</f>
        <v/>
      </c>
      <c r="R720" s="9" t="inlineStr">
        <is>
          <t>Khay vệ sinh trong nhà (Indoor Dog Potty) + Đồ chơi thú cưng lẻ</t>
        </is>
      </c>
      <c r="S720" s="9" t="inlineStr">
        <is>
          <t>Cấp C Chi phí thấp: Nhắn tin trực tiếp qua Fanpage Facebook/Instagram + Nuôi dưỡng nội dung</t>
        </is>
      </c>
    </row>
    <row r="721">
      <c r="A721" s="53" t="n">
        <v>3445</v>
      </c>
      <c r="B721" s="12" t="inlineStr">
        <is>
          <t>Woof Gang Bakery &amp; Grooming St. Pete</t>
        </is>
      </c>
      <c r="C721" s="54" t="inlineStr">
        <is>
          <t>https://www.facebook.com/woofgangstpete</t>
        </is>
      </c>
      <c r="D721" s="6" t="inlineStr">
        <is>
          <t>Cần quét Bio Fanpage</t>
        </is>
      </c>
      <c r="E721" s="53" t="inlineStr">
        <is>
          <t>11/10/2026 19:01:55</t>
        </is>
      </c>
      <c r="F721" s="53" t="inlineStr">
        <is>
          <t>1 ngày trước</t>
        </is>
      </c>
      <c r="G721" s="55" t="n">
        <v>1</v>
      </c>
      <c r="H721" s="56" t="n">
        <v>28</v>
      </c>
      <c r="I721" s="6" t="inlineStr">
        <is>
          <t>Pet Boarding / Huấn luyện K9 &amp; Dịch vụ (20-22đ)</t>
        </is>
      </c>
      <c r="J721" s="56" t="n">
        <v>20</v>
      </c>
      <c r="K721" s="6" t="inlineStr">
        <is>
          <t>Chưa rõ giống (Cần quét Bio)</t>
        </is>
      </c>
      <c r="L721" s="56" t="n">
        <v>0</v>
      </c>
      <c r="M721" s="56" t="n">
        <v>0</v>
      </c>
      <c r="N721" s="6" t="inlineStr">
        <is>
          <t>Amazon link not found</t>
        </is>
      </c>
      <c r="O721" s="56">
        <f>IF(N721="Selling pet toys + Artificial grass/Pet toilets (TARGET)",15,IF(N721="Selling artificial grass/pet toilets (TARGET)",10,IF(N721="Selling pet toys",7,IF(N721="There's an Amazon link, but no target sales.",3,0))))</f>
        <v/>
      </c>
      <c r="P721" s="65">
        <f>H721+J721+L721+M721+O721</f>
        <v/>
      </c>
      <c r="Q721" s="69">
        <f>IF(OR(H721=0,P721&lt;30),"Tier D (Đóng băng)",IF(P721&gt;=85,"Tier S (Kim Cương: 85-100đ)",IF(P721&gt;=70,"Tier A (Vàng: 70-84đ)",IF(P721&gt;=61,"Tier B+ / Cấp A (Hot Lead: 61-69đ)",IF(P721&gt;=50,"Tier B (Bạc: 50-60đ)","Tier C (Đồng: 30-49đ)")))))</f>
        <v/>
      </c>
      <c r="R721" s="6" t="inlineStr">
        <is>
          <t>Cỏ nhân tạo sân chơi/huấn luyện (Dog Turf) + Đồ chơi nhai chịu lực (KONG/Chew Toys)</t>
        </is>
      </c>
      <c r="S721" s="6" t="inlineStr">
        <is>
          <t>Cấp C Chi phí thấp: Nhắn tin trực tiếp qua Fanpage Facebook/Instagram + Nuôi dưỡng nội dung</t>
        </is>
      </c>
    </row>
    <row r="722">
      <c r="A722" s="59" t="n">
        <v>526</v>
      </c>
      <c r="B722" s="15" t="inlineStr">
        <is>
          <t>Artero Pet Care</t>
        </is>
      </c>
      <c r="C722" s="60" t="inlineStr">
        <is>
          <t>https://www.facebook.com/Artero.PetCare</t>
        </is>
      </c>
      <c r="D722" s="9" t="inlineStr">
        <is>
          <t>Cần quét Bio Fanpage</t>
        </is>
      </c>
      <c r="E722" s="59" t="inlineStr">
        <is>
          <t>11/10/2026 15:02:51</t>
        </is>
      </c>
      <c r="F722" s="59" t="inlineStr">
        <is>
          <t>1 ngày trước</t>
        </is>
      </c>
      <c r="G722" s="61" t="n">
        <v>1</v>
      </c>
      <c r="H722" s="62" t="n">
        <v>28</v>
      </c>
      <c r="I722" s="9" t="inlineStr">
        <is>
          <t>Pet Boarding / Huấn luyện K9 &amp; Dịch vụ (20-22đ)</t>
        </is>
      </c>
      <c r="J722" s="62" t="n">
        <v>20</v>
      </c>
      <c r="K722" s="9" t="inlineStr">
        <is>
          <t>Chưa rõ giống (Cần quét Bio)</t>
        </is>
      </c>
      <c r="L722" s="62" t="n">
        <v>0</v>
      </c>
      <c r="M722" s="62" t="n">
        <v>0</v>
      </c>
      <c r="N722" s="9" t="inlineStr">
        <is>
          <t>Amazon link not found</t>
        </is>
      </c>
      <c r="O722" s="62">
        <f>IF(N722="Selling pet toys + Artificial grass/Pet toilets (TARGET)",15,IF(N722="Selling artificial grass/pet toilets (TARGET)",10,IF(N722="Selling pet toys",7,IF(N722="There's an Amazon link, but no target sales.",3,0))))</f>
        <v/>
      </c>
      <c r="P722" s="67">
        <f>H722+J722+L722+M722+O722</f>
        <v/>
      </c>
      <c r="Q722" s="69">
        <f>IF(OR(H722=0,P722&lt;30),"Tier D (Đóng băng)",IF(P722&gt;=85,"Tier S (Kim Cương: 85-100đ)",IF(P722&gt;=70,"Tier A (Vàng: 70-84đ)",IF(P722&gt;=61,"Tier B+ / Cấp A (Hot Lead: 61-69đ)",IF(P722&gt;=50,"Tier B (Bạc: 50-60đ)","Tier C (Đồng: 30-49đ)")))))</f>
        <v/>
      </c>
      <c r="R722" s="9" t="inlineStr">
        <is>
          <t>Cỏ nhân tạo sân chơi/huấn luyện (Dog Turf) + Đồ chơi nhai chịu lực (KONG/Chew Toys)</t>
        </is>
      </c>
      <c r="S722" s="9" t="inlineStr">
        <is>
          <t>Cấp C Chi phí thấp: Nhắn tin trực tiếp qua Fanpage Facebook/Instagram + Nuôi dưỡng nội dung</t>
        </is>
      </c>
    </row>
    <row r="723">
      <c r="A723" s="53" t="n">
        <v>688</v>
      </c>
      <c r="B723" s="12" t="inlineStr">
        <is>
          <t>Black Hawk Pet Care</t>
        </is>
      </c>
      <c r="C723" s="54" t="inlineStr">
        <is>
          <t>https://www.facebook.com/BlackHawkPetCare</t>
        </is>
      </c>
      <c r="D723" s="6" t="inlineStr">
        <is>
          <t>Cần quét Bio Fanpage</t>
        </is>
      </c>
      <c r="E723" s="53" t="inlineStr">
        <is>
          <t>11/10/2026 13:45:05</t>
        </is>
      </c>
      <c r="F723" s="53" t="inlineStr">
        <is>
          <t>1 ngày trước</t>
        </is>
      </c>
      <c r="G723" s="55" t="n">
        <v>1</v>
      </c>
      <c r="H723" s="56" t="n">
        <v>28</v>
      </c>
      <c r="I723" s="6" t="inlineStr">
        <is>
          <t>Pet Boarding / Huấn luyện K9 &amp; Dịch vụ (20-22đ)</t>
        </is>
      </c>
      <c r="J723" s="56" t="n">
        <v>20</v>
      </c>
      <c r="K723" s="6" t="inlineStr">
        <is>
          <t>Chưa rõ giống (Cần quét Bio)</t>
        </is>
      </c>
      <c r="L723" s="56" t="n">
        <v>0</v>
      </c>
      <c r="M723" s="56" t="n">
        <v>0</v>
      </c>
      <c r="N723" s="6" t="inlineStr">
        <is>
          <t>Amazon link not found</t>
        </is>
      </c>
      <c r="O723" s="56">
        <f>IF(N723="Selling pet toys + Artificial grass/Pet toilets (TARGET)",15,IF(N723="Selling artificial grass/pet toilets (TARGET)",10,IF(N723="Selling pet toys",7,IF(N723="There's an Amazon link, but no target sales.",3,0))))</f>
        <v/>
      </c>
      <c r="P723" s="65">
        <f>H723+J723+L723+M723+O723</f>
        <v/>
      </c>
      <c r="Q723" s="69">
        <f>IF(OR(H723=0,P723&lt;30),"Tier D (Đóng băng)",IF(P723&gt;=85,"Tier S (Kim Cương: 85-100đ)",IF(P723&gt;=70,"Tier A (Vàng: 70-84đ)",IF(P723&gt;=61,"Tier B+ / Cấp A (Hot Lead: 61-69đ)",IF(P723&gt;=50,"Tier B (Bạc: 50-60đ)","Tier C (Đồng: 30-49đ)")))))</f>
        <v/>
      </c>
      <c r="R723" s="6" t="inlineStr">
        <is>
          <t>Cỏ nhân tạo sân chơi/huấn luyện (Dog Turf) + Đồ chơi nhai chịu lực (KONG/Chew Toys)</t>
        </is>
      </c>
      <c r="S723" s="6" t="inlineStr">
        <is>
          <t>Cấp C Chi phí thấp: Nhắn tin trực tiếp qua Fanpage Facebook/Instagram + Nuôi dưỡng nội dung</t>
        </is>
      </c>
    </row>
    <row r="724">
      <c r="A724" s="59" t="n">
        <v>2144</v>
      </c>
      <c r="B724" s="15" t="inlineStr">
        <is>
          <t>McCann Dogs Agility</t>
        </is>
      </c>
      <c r="C724" s="60" t="inlineStr">
        <is>
          <t>https://www.facebook.com/McCannDogsAgility</t>
        </is>
      </c>
      <c r="D724" s="9" t="inlineStr">
        <is>
          <t>Cần quét Bio Fanpage</t>
        </is>
      </c>
      <c r="E724" s="59" t="inlineStr">
        <is>
          <t>11/10/2026 00:59:25</t>
        </is>
      </c>
      <c r="F724" s="59" t="inlineStr">
        <is>
          <t>2 ngày trước</t>
        </is>
      </c>
      <c r="G724" s="61" t="n">
        <v>2</v>
      </c>
      <c r="H724" s="62" t="n">
        <v>28</v>
      </c>
      <c r="I724" s="9" t="inlineStr">
        <is>
          <t>Pet Boarding / Huấn luyện K9 &amp; Dịch vụ (20-22đ)</t>
        </is>
      </c>
      <c r="J724" s="62" t="n">
        <v>20</v>
      </c>
      <c r="K724" s="9" t="inlineStr">
        <is>
          <t>Chưa rõ giống (Cần quét Bio)</t>
        </is>
      </c>
      <c r="L724" s="62" t="n">
        <v>0</v>
      </c>
      <c r="M724" s="62" t="n">
        <v>0</v>
      </c>
      <c r="N724" s="9" t="inlineStr">
        <is>
          <t>Amazon link not found</t>
        </is>
      </c>
      <c r="O724" s="62">
        <f>IF(N724="Selling pet toys + Artificial grass/Pet toilets (TARGET)",15,IF(N724="Selling artificial grass/pet toilets (TARGET)",10,IF(N724="Selling pet toys",7,IF(N724="There's an Amazon link, but no target sales.",3,0))))</f>
        <v/>
      </c>
      <c r="P724" s="67">
        <f>H724+J724+L724+M724+O724</f>
        <v/>
      </c>
      <c r="Q724" s="69">
        <f>IF(OR(H724=0,P724&lt;30),"Tier D (Đóng băng)",IF(P724&gt;=85,"Tier S (Kim Cương: 85-100đ)",IF(P724&gt;=70,"Tier A (Vàng: 70-84đ)",IF(P724&gt;=61,"Tier B+ / Cấp A (Hot Lead: 61-69đ)",IF(P724&gt;=50,"Tier B (Bạc: 50-60đ)","Tier C (Đồng: 30-49đ)")))))</f>
        <v/>
      </c>
      <c r="R724" s="9" t="inlineStr">
        <is>
          <t>Cỏ nhân tạo sân chơi/huấn luyện (Dog Turf) + Đồ chơi nhai chịu lực (KONG/Chew Toys)</t>
        </is>
      </c>
      <c r="S724" s="9" t="inlineStr">
        <is>
          <t>Cấp C Chi phí thấp: Nhắn tin trực tiếp qua Fanpage Facebook/Instagram + Nuôi dưỡng nội dung</t>
        </is>
      </c>
    </row>
    <row r="725">
      <c r="A725" s="53" t="n">
        <v>2007</v>
      </c>
      <c r="B725" s="12" t="inlineStr">
        <is>
          <t>Leo Chevy, Alexandria School Dog</t>
        </is>
      </c>
      <c r="C725" s="54" t="inlineStr">
        <is>
          <t>https://www.facebook.com/profile.php?id=100092585629125</t>
        </is>
      </c>
      <c r="D725" s="6" t="inlineStr">
        <is>
          <t>Cần quét Bio Fanpage</t>
        </is>
      </c>
      <c r="E725" s="53" t="inlineStr">
        <is>
          <t>10/10/2026 09:08:35</t>
        </is>
      </c>
      <c r="F725" s="53" t="inlineStr">
        <is>
          <t>2 ngày trước</t>
        </is>
      </c>
      <c r="G725" s="55" t="n">
        <v>2</v>
      </c>
      <c r="H725" s="56" t="n">
        <v>28</v>
      </c>
      <c r="I725" s="6" t="inlineStr">
        <is>
          <t>Pet Boarding / Huấn luyện K9 &amp; Dịch vụ (20-22đ)</t>
        </is>
      </c>
      <c r="J725" s="56" t="n">
        <v>20</v>
      </c>
      <c r="K725" s="6" t="inlineStr">
        <is>
          <t>Chưa rõ giống (Cần quét Bio)</t>
        </is>
      </c>
      <c r="L725" s="56" t="n">
        <v>0</v>
      </c>
      <c r="M725" s="56" t="n">
        <v>0</v>
      </c>
      <c r="N725" s="6" t="inlineStr">
        <is>
          <t>Amazon link not found</t>
        </is>
      </c>
      <c r="O725" s="56">
        <f>IF(N725="Selling pet toys + Artificial grass/Pet toilets (TARGET)",15,IF(N725="Selling artificial grass/pet toilets (TARGET)",10,IF(N725="Selling pet toys",7,IF(N725="There's an Amazon link, but no target sales.",3,0))))</f>
        <v/>
      </c>
      <c r="P725" s="65">
        <f>H725+J725+L725+M725+O725</f>
        <v/>
      </c>
      <c r="Q725" s="69">
        <f>IF(OR(H725=0,P725&lt;30),"Tier D (Đóng băng)",IF(P725&gt;=85,"Tier S (Kim Cương: 85-100đ)",IF(P725&gt;=70,"Tier A (Vàng: 70-84đ)",IF(P725&gt;=61,"Tier B+ / Cấp A (Hot Lead: 61-69đ)",IF(P725&gt;=50,"Tier B (Bạc: 50-60đ)","Tier C (Đồng: 30-49đ)")))))</f>
        <v/>
      </c>
      <c r="R725" s="6" t="inlineStr">
        <is>
          <t>Cỏ nhân tạo sân chơi/huấn luyện (Dog Turf) + Đồ chơi nhai chịu lực (KONG/Chew Toys)</t>
        </is>
      </c>
      <c r="S725" s="6" t="inlineStr">
        <is>
          <t>Cấp C Chi phí thấp: Nhắn tin trực tiếp qua Fanpage Facebook/Instagram + Nuôi dưỡng nội dung</t>
        </is>
      </c>
    </row>
    <row r="726">
      <c r="A726" s="59" t="n">
        <v>813</v>
      </c>
      <c r="B726" s="15" t="inlineStr">
        <is>
          <t>Cammie's Dog Grooming</t>
        </is>
      </c>
      <c r="C726" s="60" t="inlineStr">
        <is>
          <t>https://www.facebook.com/cammiesdoggrooming</t>
        </is>
      </c>
      <c r="D726" s="9" t="inlineStr">
        <is>
          <t>Cần quét Bio Fanpage</t>
        </is>
      </c>
      <c r="E726" s="59" t="inlineStr">
        <is>
          <t>10/10/2026 04:41:32</t>
        </is>
      </c>
      <c r="F726" s="59" t="inlineStr">
        <is>
          <t>2 ngày trước</t>
        </is>
      </c>
      <c r="G726" s="61" t="n">
        <v>2</v>
      </c>
      <c r="H726" s="62" t="n">
        <v>28</v>
      </c>
      <c r="I726" s="9" t="inlineStr">
        <is>
          <t>Pet Boarding / Huấn luyện K9 &amp; Dịch vụ (20-22đ)</t>
        </is>
      </c>
      <c r="J726" s="62" t="n">
        <v>20</v>
      </c>
      <c r="K726" s="9" t="inlineStr">
        <is>
          <t>Chưa rõ giống (Cần quét Bio)</t>
        </is>
      </c>
      <c r="L726" s="62" t="n">
        <v>0</v>
      </c>
      <c r="M726" s="62" t="n">
        <v>0</v>
      </c>
      <c r="N726" s="9" t="inlineStr">
        <is>
          <t>Amazon link not found</t>
        </is>
      </c>
      <c r="O726" s="62">
        <f>IF(N726="Selling pet toys + Artificial grass/Pet toilets (TARGET)",15,IF(N726="Selling artificial grass/pet toilets (TARGET)",10,IF(N726="Selling pet toys",7,IF(N726="There's an Amazon link, but no target sales.",3,0))))</f>
        <v/>
      </c>
      <c r="P726" s="67">
        <f>H726+J726+L726+M726+O726</f>
        <v/>
      </c>
      <c r="Q726" s="69">
        <f>IF(OR(H726=0,P726&lt;30),"Tier D (Đóng băng)",IF(P726&gt;=85,"Tier S (Kim Cương: 85-100đ)",IF(P726&gt;=70,"Tier A (Vàng: 70-84đ)",IF(P726&gt;=61,"Tier B+ / Cấp A (Hot Lead: 61-69đ)",IF(P726&gt;=50,"Tier B (Bạc: 50-60đ)","Tier C (Đồng: 30-49đ)")))))</f>
        <v/>
      </c>
      <c r="R726" s="9" t="inlineStr">
        <is>
          <t>Cỏ nhân tạo sân chơi/huấn luyện (Dog Turf) + Đồ chơi nhai chịu lực (KONG/Chew Toys)</t>
        </is>
      </c>
      <c r="S726" s="9" t="inlineStr">
        <is>
          <t>Cấp C Chi phí thấp: Nhắn tin trực tiếp qua Fanpage Facebook/Instagram + Nuôi dưỡng nội dung</t>
        </is>
      </c>
    </row>
    <row r="727">
      <c r="A727" s="53" t="n">
        <v>2268</v>
      </c>
      <c r="B727" s="12" t="inlineStr">
        <is>
          <t>Natural Pet Care System - International</t>
        </is>
      </c>
      <c r="C727" s="54" t="inlineStr">
        <is>
          <t>https://www.facebook.com/npcs.international</t>
        </is>
      </c>
      <c r="D727" s="6" t="inlineStr">
        <is>
          <t>Cần quét Bio Fanpage</t>
        </is>
      </c>
      <c r="E727" s="53" t="inlineStr">
        <is>
          <t>10/10/2026 00:55:07</t>
        </is>
      </c>
      <c r="F727" s="53" t="inlineStr">
        <is>
          <t>3 ngày trước</t>
        </is>
      </c>
      <c r="G727" s="55" t="n">
        <v>3</v>
      </c>
      <c r="H727" s="56" t="n">
        <v>28</v>
      </c>
      <c r="I727" s="6" t="inlineStr">
        <is>
          <t>Pet Boarding / Huấn luyện K9 &amp; Dịch vụ (20-22đ)</t>
        </is>
      </c>
      <c r="J727" s="56" t="n">
        <v>20</v>
      </c>
      <c r="K727" s="6" t="inlineStr">
        <is>
          <t>Chưa rõ giống (Cần quét Bio)</t>
        </is>
      </c>
      <c r="L727" s="56" t="n">
        <v>0</v>
      </c>
      <c r="M727" s="56" t="n">
        <v>0</v>
      </c>
      <c r="N727" s="6" t="inlineStr">
        <is>
          <t>Amazon link not found</t>
        </is>
      </c>
      <c r="O727" s="56">
        <f>IF(N727="Selling pet toys + Artificial grass/Pet toilets (TARGET)",15,IF(N727="Selling artificial grass/pet toilets (TARGET)",10,IF(N727="Selling pet toys",7,IF(N727="There's an Amazon link, but no target sales.",3,0))))</f>
        <v/>
      </c>
      <c r="P727" s="65">
        <f>H727+J727+L727+M727+O727</f>
        <v/>
      </c>
      <c r="Q727" s="69">
        <f>IF(OR(H727=0,P727&lt;30),"Tier D (Đóng băng)",IF(P727&gt;=85,"Tier S (Kim Cương: 85-100đ)",IF(P727&gt;=70,"Tier A (Vàng: 70-84đ)",IF(P727&gt;=61,"Tier B+ / Cấp A (Hot Lead: 61-69đ)",IF(P727&gt;=50,"Tier B (Bạc: 50-60đ)","Tier C (Đồng: 30-49đ)")))))</f>
        <v/>
      </c>
      <c r="R727" s="6" t="inlineStr">
        <is>
          <t>Cỏ nhân tạo sân chơi/huấn luyện (Dog Turf) + Đồ chơi nhai chịu lực (KONG/Chew Toys)</t>
        </is>
      </c>
      <c r="S727" s="6" t="inlineStr">
        <is>
          <t>Cấp C Chi phí thấp: Nhắn tin trực tiếp qua Fanpage Facebook/Instagram + Nuôi dưỡng nội dung</t>
        </is>
      </c>
    </row>
    <row r="728">
      <c r="A728" s="59" t="n">
        <v>1483</v>
      </c>
      <c r="B728" s="15" t="inlineStr">
        <is>
          <t>GAL dog handling suits</t>
        </is>
      </c>
      <c r="C728" s="60" t="inlineStr">
        <is>
          <t>https://www.facebook.com/Aneliya.Shankova.Petkova</t>
        </is>
      </c>
      <c r="D728" s="9" t="inlineStr">
        <is>
          <t>Cần quét Bio Fanpage</t>
        </is>
      </c>
      <c r="E728" s="59" t="inlineStr">
        <is>
          <t>09/10/2026 19:14:15</t>
        </is>
      </c>
      <c r="F728" s="59" t="inlineStr">
        <is>
          <t>3 ngày trước</t>
        </is>
      </c>
      <c r="G728" s="61" t="n">
        <v>3</v>
      </c>
      <c r="H728" s="62" t="n">
        <v>28</v>
      </c>
      <c r="I728" s="9" t="inlineStr">
        <is>
          <t>Pet Boarding / Huấn luyện K9 &amp; Dịch vụ (20-22đ)</t>
        </is>
      </c>
      <c r="J728" s="62" t="n">
        <v>20</v>
      </c>
      <c r="K728" s="9" t="inlineStr">
        <is>
          <t>Chưa rõ giống (Cần quét Bio)</t>
        </is>
      </c>
      <c r="L728" s="62" t="n">
        <v>0</v>
      </c>
      <c r="M728" s="62" t="n">
        <v>0</v>
      </c>
      <c r="N728" s="9" t="inlineStr">
        <is>
          <t>Amazon link not found</t>
        </is>
      </c>
      <c r="O728" s="62">
        <f>IF(N728="Selling pet toys + Artificial grass/Pet toilets (TARGET)",15,IF(N728="Selling artificial grass/pet toilets (TARGET)",10,IF(N728="Selling pet toys",7,IF(N728="There's an Amazon link, but no target sales.",3,0))))</f>
        <v/>
      </c>
      <c r="P728" s="67">
        <f>H728+J728+L728+M728+O728</f>
        <v/>
      </c>
      <c r="Q728" s="69">
        <f>IF(OR(H728=0,P728&lt;30),"Tier D (Đóng băng)",IF(P728&gt;=85,"Tier S (Kim Cương: 85-100đ)",IF(P728&gt;=70,"Tier A (Vàng: 70-84đ)",IF(P728&gt;=61,"Tier B+ / Cấp A (Hot Lead: 61-69đ)",IF(P728&gt;=50,"Tier B (Bạc: 50-60đ)","Tier C (Đồng: 30-49đ)")))))</f>
        <v/>
      </c>
      <c r="R728" s="9" t="inlineStr">
        <is>
          <t>Cỏ nhân tạo sân chơi/huấn luyện (Dog Turf) + Đồ chơi nhai chịu lực (KONG/Chew Toys)</t>
        </is>
      </c>
      <c r="S728" s="9" t="inlineStr">
        <is>
          <t>Cấp C Chi phí thấp: Nhắn tin trực tiếp qua Fanpage Facebook/Instagram + Nuôi dưỡng nội dung</t>
        </is>
      </c>
    </row>
    <row r="729">
      <c r="A729" s="53" t="n">
        <v>1121</v>
      </c>
      <c r="B729" s="12" t="inlineStr">
        <is>
          <t>Doggie G&amp;T - Grooming Salon in Macroom</t>
        </is>
      </c>
      <c r="C729" s="54" t="inlineStr">
        <is>
          <t>https://www.facebook.com/DoggieGandT</t>
        </is>
      </c>
      <c r="D729" s="6" t="inlineStr">
        <is>
          <t>Cần quét Bio Fanpage</t>
        </is>
      </c>
      <c r="E729" s="53" t="inlineStr">
        <is>
          <t>09/10/2026 18:18:50</t>
        </is>
      </c>
      <c r="F729" s="53" t="inlineStr">
        <is>
          <t>3 ngày trước</t>
        </is>
      </c>
      <c r="G729" s="55" t="n">
        <v>3</v>
      </c>
      <c r="H729" s="56" t="n">
        <v>28</v>
      </c>
      <c r="I729" s="6" t="inlineStr">
        <is>
          <t>Pet Boarding / Huấn luyện K9 &amp; Dịch vụ (20-22đ)</t>
        </is>
      </c>
      <c r="J729" s="56" t="n">
        <v>20</v>
      </c>
      <c r="K729" s="6" t="inlineStr">
        <is>
          <t>Chưa rõ giống (Cần quét Bio)</t>
        </is>
      </c>
      <c r="L729" s="56" t="n">
        <v>0</v>
      </c>
      <c r="M729" s="56" t="n">
        <v>0</v>
      </c>
      <c r="N729" s="6" t="inlineStr">
        <is>
          <t>Amazon link not found</t>
        </is>
      </c>
      <c r="O729" s="56">
        <f>IF(N729="Selling pet toys + Artificial grass/Pet toilets (TARGET)",15,IF(N729="Selling artificial grass/pet toilets (TARGET)",10,IF(N729="Selling pet toys",7,IF(N729="There's an Amazon link, but no target sales.",3,0))))</f>
        <v/>
      </c>
      <c r="P729" s="65">
        <f>H729+J729+L729+M729+O729</f>
        <v/>
      </c>
      <c r="Q729" s="69">
        <f>IF(OR(H729=0,P729&lt;30),"Tier D (Đóng băng)",IF(P729&gt;=85,"Tier S (Kim Cương: 85-100đ)",IF(P729&gt;=70,"Tier A (Vàng: 70-84đ)",IF(P729&gt;=61,"Tier B+ / Cấp A (Hot Lead: 61-69đ)",IF(P729&gt;=50,"Tier B (Bạc: 50-60đ)","Tier C (Đồng: 30-49đ)")))))</f>
        <v/>
      </c>
      <c r="R729" s="6" t="inlineStr">
        <is>
          <t>Cỏ nhân tạo sân chơi/huấn luyện (Dog Turf) + Đồ chơi nhai chịu lực (KONG/Chew Toys)</t>
        </is>
      </c>
      <c r="S729" s="6" t="inlineStr">
        <is>
          <t>Cấp C Chi phí thấp: Nhắn tin trực tiếp qua Fanpage Facebook/Instagram + Nuôi dưỡng nội dung</t>
        </is>
      </c>
    </row>
    <row r="730">
      <c r="A730" s="59" t="n">
        <v>542</v>
      </c>
      <c r="B730" s="15" t="inlineStr">
        <is>
          <t>Assistance Dogs of the West</t>
        </is>
      </c>
      <c r="C730" s="60" t="inlineStr">
        <is>
          <t>https://www.facebook.com/assistancedogsofthewestSF</t>
        </is>
      </c>
      <c r="D730" s="9" t="inlineStr">
        <is>
          <t>Cần quét Bio Fanpage</t>
        </is>
      </c>
      <c r="E730" s="59" t="inlineStr">
        <is>
          <t>07/10/2026 04:57:10</t>
        </is>
      </c>
      <c r="F730" s="59" t="inlineStr">
        <is>
          <t>5 ngày trước</t>
        </is>
      </c>
      <c r="G730" s="61" t="n">
        <v>5</v>
      </c>
      <c r="H730" s="62" t="n">
        <v>20</v>
      </c>
      <c r="I730" s="9" t="inlineStr">
        <is>
          <t>Dog Breeder / Trại chó chuyên nghiệp (28-30đ)</t>
        </is>
      </c>
      <c r="J730" s="62" t="n">
        <v>28</v>
      </c>
      <c r="K730" s="9" t="inlineStr">
        <is>
          <t>Chưa rõ giống (Cần quét Bio)</t>
        </is>
      </c>
      <c r="L730" s="62" t="n">
        <v>0</v>
      </c>
      <c r="M730" s="62" t="n">
        <v>0</v>
      </c>
      <c r="N730" s="9" t="inlineStr">
        <is>
          <t>Amazon link not found</t>
        </is>
      </c>
      <c r="O730" s="62">
        <f>IF(N730="Selling pet toys + Artificial grass/Pet toilets (TARGET)",15,IF(N730="Selling artificial grass/pet toilets (TARGET)",10,IF(N730="Selling pet toys",7,IF(N730="There's an Amazon link, but no target sales.",3,0))))</f>
        <v/>
      </c>
      <c r="P730" s="67">
        <f>H730+J730+L730+M730+O730</f>
        <v/>
      </c>
      <c r="Q730" s="69">
        <f>IF(OR(H730=0,P730&lt;30),"Tier D (Đóng băng)",IF(P730&gt;=85,"Tier S (Kim Cương: 85-100đ)",IF(P730&gt;=70,"Tier A (Vàng: 70-84đ)",IF(P730&gt;=61,"Tier B+ / Cấp A (Hot Lead: 61-69đ)",IF(P730&gt;=50,"Tier B (Bạc: 50-60đ)","Tier C (Đồng: 30-49đ)")))))</f>
        <v/>
      </c>
      <c r="R730" s="9" t="inlineStr">
        <is>
          <t>Trọn gói Take-Home Starter Kit V2/V3 (Cỏ nhân tạo + Khay Potty + Đồ chơi Teething/Snuggle)</t>
        </is>
      </c>
      <c r="S730" s="9" t="inlineStr">
        <is>
          <t>Cấp C Chi phí thấp: Nhắn tin trực tiếp qua Fanpage Facebook/Instagram + Nuôi dưỡng nội dung</t>
        </is>
      </c>
    </row>
    <row r="731">
      <c r="A731" s="53" t="n">
        <v>1699</v>
      </c>
      <c r="B731" s="12" t="inlineStr">
        <is>
          <t>Hungry Dogs of Tepuke  (Hungry Dogs of Tepuke)</t>
        </is>
      </c>
      <c r="C731" s="54" t="inlineStr">
        <is>
          <t>https://www.facebook.com/profile.php?id=100087902356724</t>
        </is>
      </c>
      <c r="D731" s="6" t="inlineStr">
        <is>
          <t>Cần quét Bio Fanpage</t>
        </is>
      </c>
      <c r="E731" s="53" t="inlineStr">
        <is>
          <t>04/10/2026 07:52:26</t>
        </is>
      </c>
      <c r="F731" s="53" t="inlineStr">
        <is>
          <t>1 tuần trước</t>
        </is>
      </c>
      <c r="G731" s="55" t="n">
        <v>7</v>
      </c>
      <c r="H731" s="56" t="n">
        <v>20</v>
      </c>
      <c r="I731" s="6" t="inlineStr">
        <is>
          <t>Dog Breeder / Trại chó chuyên nghiệp (28-30đ)</t>
        </is>
      </c>
      <c r="J731" s="56" t="n">
        <v>28</v>
      </c>
      <c r="K731" s="6" t="inlineStr">
        <is>
          <t>Chưa rõ giống (Cần quét Bio)</t>
        </is>
      </c>
      <c r="L731" s="56" t="n">
        <v>0</v>
      </c>
      <c r="M731" s="56" t="n">
        <v>0</v>
      </c>
      <c r="N731" s="6" t="inlineStr">
        <is>
          <t>Amazon link not found</t>
        </is>
      </c>
      <c r="O731" s="56">
        <f>IF(N731="Selling pet toys + Artificial grass/Pet toilets (TARGET)",15,IF(N731="Selling artificial grass/pet toilets (TARGET)",10,IF(N731="Selling pet toys",7,IF(N731="There's an Amazon link, but no target sales.",3,0))))</f>
        <v/>
      </c>
      <c r="P731" s="65">
        <f>H731+J731+L731+M731+O731</f>
        <v/>
      </c>
      <c r="Q731" s="69">
        <f>IF(OR(H731=0,P731&lt;30),"Tier D (Đóng băng)",IF(P731&gt;=85,"Tier S (Kim Cương: 85-100đ)",IF(P731&gt;=70,"Tier A (Vàng: 70-84đ)",IF(P731&gt;=61,"Tier B+ / Cấp A (Hot Lead: 61-69đ)",IF(P731&gt;=50,"Tier B (Bạc: 50-60đ)","Tier C (Đồng: 30-49đ)")))))</f>
        <v/>
      </c>
      <c r="R731" s="6" t="inlineStr">
        <is>
          <t>Trọn gói Take-Home Starter Kit V2/V3 (Cỏ nhân tạo + Khay Potty + Đồ chơi Teething/Snuggle)</t>
        </is>
      </c>
      <c r="S731" s="6" t="inlineStr">
        <is>
          <t>Cấp C Chi phí thấp: Nhắn tin trực tiếp qua Fanpage Facebook/Instagram + Nuôi dưỡng nội dung</t>
        </is>
      </c>
    </row>
    <row r="732">
      <c r="A732" s="59" t="n">
        <v>1163</v>
      </c>
      <c r="B732" s="15" t="inlineStr">
        <is>
          <t>Dogs Coffee Repeat</t>
        </is>
      </c>
      <c r="C732" s="60" t="inlineStr">
        <is>
          <t>https://www.facebook.com/thefoxandthehoundstreats</t>
        </is>
      </c>
      <c r="D732" s="9" t="inlineStr">
        <is>
          <t>Cần quét Bio Fanpage</t>
        </is>
      </c>
      <c r="E732" s="59" t="inlineStr">
        <is>
          <t>28/09/2026 22:05:50</t>
        </is>
      </c>
      <c r="F732" s="59" t="inlineStr">
        <is>
          <t>2 tuần trước</t>
        </is>
      </c>
      <c r="G732" s="61" t="n">
        <v>14</v>
      </c>
      <c r="H732" s="62" t="n">
        <v>15</v>
      </c>
      <c r="I732" s="9" t="inlineStr">
        <is>
          <t>Dog Breeder / Trại nhân giống (28-30đ)</t>
        </is>
      </c>
      <c r="J732" s="62" t="n">
        <v>28</v>
      </c>
      <c r="K732" s="9" t="inlineStr">
        <is>
          <t>Hound / Beagle / Basset</t>
        </is>
      </c>
      <c r="L732" s="62" t="n">
        <v>5</v>
      </c>
      <c r="M732" s="62" t="n">
        <v>0</v>
      </c>
      <c r="N732" s="9" t="inlineStr">
        <is>
          <t>Amazon link not found</t>
        </is>
      </c>
      <c r="O732" s="62">
        <f>IF(N732="Selling pet toys + Artificial grass/Pet toilets (TARGET)",15,IF(N732="Selling artificial grass/pet toilets (TARGET)",10,IF(N732="Selling pet toys",7,IF(N732="There's an Amazon link, but no target sales.",3,0))))</f>
        <v/>
      </c>
      <c r="P732" s="67">
        <f>H732+J732+L732+M732+O732</f>
        <v/>
      </c>
      <c r="Q732" s="69">
        <f>IF(OR(H732=0,P732&lt;30),"Tier D (Đóng băng)",IF(P732&gt;=85,"Tier S (Kim Cương: 85-100đ)",IF(P732&gt;=70,"Tier A (Vàng: 70-84đ)",IF(P732&gt;=61,"Tier B+ / Cấp A (Hot Lead: 61-69đ)",IF(P732&gt;=50,"Tier B (Bạc: 50-60đ)","Tier C (Đồng: 30-49đ)")))))</f>
        <v/>
      </c>
      <c r="R732" s="9" t="inlineStr">
        <is>
          <t>Trọn gói Take-Home Starter Kit V2/V3 (Cỏ nhân tạo + Khay Potty + Đồ chơi cún con)</t>
        </is>
      </c>
      <c r="S732" s="9" t="inlineStr">
        <is>
          <t>Cấp C Chi phí thấp: Nhắn tin trực tiếp qua Fanpage Facebook/Instagram + Nuôi dưỡng nội dung</t>
        </is>
      </c>
    </row>
    <row r="733">
      <c r="A733" s="53" t="n">
        <v>249</v>
      </c>
      <c r="B733" s="12" t="inlineStr">
        <is>
          <t>Puppy Smile</t>
        </is>
      </c>
      <c r="C733" s="54" t="inlineStr">
        <is>
          <t>https://www.facebook.com/puppysmilees</t>
        </is>
      </c>
      <c r="D733" s="6" t="inlineStr">
        <is>
          <t>Cần quét Bio Fanpage</t>
        </is>
      </c>
      <c r="E733" s="53" t="inlineStr">
        <is>
          <t>28/09/2026 16:06:41</t>
        </is>
      </c>
      <c r="F733" s="53" t="inlineStr">
        <is>
          <t>2 tuần trước</t>
        </is>
      </c>
      <c r="G733" s="55" t="n">
        <v>14</v>
      </c>
      <c r="H733" s="56" t="n">
        <v>15</v>
      </c>
      <c r="I733" s="6" t="inlineStr">
        <is>
          <t>Dog Breeder / Trại chó chuyên nghiệp (28-30đ)</t>
        </is>
      </c>
      <c r="J733" s="56" t="n">
        <v>28</v>
      </c>
      <c r="K733" s="6" t="inlineStr">
        <is>
          <t>Chưa rõ giống (Cần quét Bio)</t>
        </is>
      </c>
      <c r="L733" s="56" t="n">
        <v>0</v>
      </c>
      <c r="M733" s="56" t="n">
        <v>5</v>
      </c>
      <c r="N733" s="6" t="inlineStr">
        <is>
          <t>Amazon link not found</t>
        </is>
      </c>
      <c r="O733" s="56">
        <f>IF(N733="Selling pet toys + Artificial grass/Pet toilets (TARGET)",15,IF(N733="Selling artificial grass/pet toilets (TARGET)",10,IF(N733="Selling pet toys",7,IF(N733="There's an Amazon link, but no target sales.",3,0))))</f>
        <v/>
      </c>
      <c r="P733" s="65">
        <f>H733+J733+L733+M733+O733</f>
        <v/>
      </c>
      <c r="Q733" s="69">
        <f>IF(OR(H733=0,P733&lt;30),"Tier D (Đóng băng)",IF(P733&gt;=85,"Tier S (Kim Cương: 85-100đ)",IF(P733&gt;=70,"Tier A (Vàng: 70-84đ)",IF(P733&gt;=61,"Tier B+ / Cấp A (Hot Lead: 61-69đ)",IF(P733&gt;=50,"Tier B (Bạc: 50-60đ)","Tier C (Đồng: 30-49đ)")))))</f>
        <v/>
      </c>
      <c r="R733" s="6" t="inlineStr">
        <is>
          <t>Trọn gói Take-Home Starter Kit V2/V3 (Cỏ nhân tạo + Khay Potty + Đồ chơi Teething/Snuggle)</t>
        </is>
      </c>
      <c r="S733" s="6" t="inlineStr">
        <is>
          <t>Cấp C Chi phí thấp: Nhắn tin trực tiếp qua Fanpage Facebook/Instagram + Nuôi dưỡng nội dung</t>
        </is>
      </c>
    </row>
    <row r="734">
      <c r="A734" s="59" t="n">
        <v>558</v>
      </c>
      <c r="B734" s="15" t="inlineStr">
        <is>
          <t>Aussiedor of soul dog</t>
        </is>
      </c>
      <c r="C734" s="60" t="inlineStr">
        <is>
          <t>https://www.facebook.com/Aussiedorofsouldog</t>
        </is>
      </c>
      <c r="D734" s="9" t="inlineStr">
        <is>
          <t>Cần quét Bio Fanpage</t>
        </is>
      </c>
      <c r="E734" s="59" t="inlineStr">
        <is>
          <t>28/09/2026 14:50:58</t>
        </is>
      </c>
      <c r="F734" s="59" t="inlineStr">
        <is>
          <t>2 tuần trước</t>
        </is>
      </c>
      <c r="G734" s="61" t="n">
        <v>14</v>
      </c>
      <c r="H734" s="62" t="n">
        <v>15</v>
      </c>
      <c r="I734" s="9" t="inlineStr">
        <is>
          <t>Dog Breeder / Trại nhân giống (28-30đ)</t>
        </is>
      </c>
      <c r="J734" s="62" t="n">
        <v>28</v>
      </c>
      <c r="K734" s="9" t="inlineStr">
        <is>
          <t>Australian Shepherd / Herding</t>
        </is>
      </c>
      <c r="L734" s="62" t="n">
        <v>5</v>
      </c>
      <c r="M734" s="62" t="n">
        <v>0</v>
      </c>
      <c r="N734" s="9" t="inlineStr">
        <is>
          <t>Amazon link not found</t>
        </is>
      </c>
      <c r="O734" s="62">
        <f>IF(N734="Selling pet toys + Artificial grass/Pet toilets (TARGET)",15,IF(N734="Selling artificial grass/pet toilets (TARGET)",10,IF(N734="Selling pet toys",7,IF(N734="There's an Amazon link, but no target sales.",3,0))))</f>
        <v/>
      </c>
      <c r="P734" s="67">
        <f>H734+J734+L734+M734+O734</f>
        <v/>
      </c>
      <c r="Q734" s="69">
        <f>IF(OR(H734=0,P734&lt;30),"Tier D (Đóng băng)",IF(P734&gt;=85,"Tier S (Kim Cương: 85-100đ)",IF(P734&gt;=70,"Tier A (Vàng: 70-84đ)",IF(P734&gt;=61,"Tier B+ / Cấp A (Hot Lead: 61-69đ)",IF(P734&gt;=50,"Tier B (Bạc: 50-60đ)","Tier C (Đồng: 30-49đ)")))))</f>
        <v/>
      </c>
      <c r="R734" s="9" t="inlineStr">
        <is>
          <t>Trọn gói Take-Home Starter Kit V2/V3 (Cỏ nhân tạo + Khay Potty + Đồ chơi cún con)</t>
        </is>
      </c>
      <c r="S734" s="9" t="inlineStr">
        <is>
          <t>Cấp C Chi phí thấp: Nhắn tin trực tiếp qua Fanpage Facebook/Instagram + Nuôi dưỡng nội dung</t>
        </is>
      </c>
    </row>
    <row r="735">
      <c r="A735" s="53" t="n">
        <v>2665</v>
      </c>
      <c r="B735" s="12" t="inlineStr">
        <is>
          <t>Puppy Scapes</t>
        </is>
      </c>
      <c r="C735" s="54" t="inlineStr">
        <is>
          <t>https://www.facebook.com/puppyscapes</t>
        </is>
      </c>
      <c r="D735" s="6" t="inlineStr">
        <is>
          <t>Cần quét Bio Fanpage</t>
        </is>
      </c>
      <c r="E735" s="53" t="inlineStr">
        <is>
          <t>28/09/2026 02:39:16</t>
        </is>
      </c>
      <c r="F735" s="53" t="inlineStr">
        <is>
          <t>2 tuần trước</t>
        </is>
      </c>
      <c r="G735" s="55" t="n">
        <v>14</v>
      </c>
      <c r="H735" s="56" t="n">
        <v>15</v>
      </c>
      <c r="I735" s="6" t="inlineStr">
        <is>
          <t>Dog Breeder / Trại chó chuyên nghiệp (28-30đ)</t>
        </is>
      </c>
      <c r="J735" s="56" t="n">
        <v>28</v>
      </c>
      <c r="K735" s="6" t="inlineStr">
        <is>
          <t>Chưa rõ giống (Cần quét Bio)</t>
        </is>
      </c>
      <c r="L735" s="56" t="n">
        <v>0</v>
      </c>
      <c r="M735" s="56" t="n">
        <v>5</v>
      </c>
      <c r="N735" s="6" t="inlineStr">
        <is>
          <t>Amazon link not found</t>
        </is>
      </c>
      <c r="O735" s="56">
        <f>IF(N735="Selling pet toys + Artificial grass/Pet toilets (TARGET)",15,IF(N735="Selling artificial grass/pet toilets (TARGET)",10,IF(N735="Selling pet toys",7,IF(N735="There's an Amazon link, but no target sales.",3,0))))</f>
        <v/>
      </c>
      <c r="P735" s="65">
        <f>H735+J735+L735+M735+O735</f>
        <v/>
      </c>
      <c r="Q735" s="69">
        <f>IF(OR(H735=0,P735&lt;30),"Tier D (Đóng băng)",IF(P735&gt;=85,"Tier S (Kim Cương: 85-100đ)",IF(P735&gt;=70,"Tier A (Vàng: 70-84đ)",IF(P735&gt;=61,"Tier B+ / Cấp A (Hot Lead: 61-69đ)",IF(P735&gt;=50,"Tier B (Bạc: 50-60đ)","Tier C (Đồng: 30-49đ)")))))</f>
        <v/>
      </c>
      <c r="R735" s="6" t="inlineStr">
        <is>
          <t>Trọn gói Take-Home Starter Kit V2/V3 (Cỏ nhân tạo + Khay Potty + Đồ chơi Teething/Snuggle)</t>
        </is>
      </c>
      <c r="S735" s="6" t="inlineStr">
        <is>
          <t>Cấp C Chi phí thấp: Nhắn tin trực tiếp qua Fanpage Facebook/Instagram + Nuôi dưỡng nội dung</t>
        </is>
      </c>
    </row>
    <row r="736">
      <c r="A736" s="59" t="n">
        <v>189</v>
      </c>
      <c r="B736" s="15" t="inlineStr">
        <is>
          <t>Howlin Hounds</t>
        </is>
      </c>
      <c r="C736" s="60" t="inlineStr">
        <is>
          <t>https://www.facebook.com/AzHowlinHounds</t>
        </is>
      </c>
      <c r="D736" s="9" t="inlineStr">
        <is>
          <t>Cần quét Bio Fanpage</t>
        </is>
      </c>
      <c r="E736" s="59" t="inlineStr">
        <is>
          <t>28/09/2026 01:31:05</t>
        </is>
      </c>
      <c r="F736" s="59" t="inlineStr">
        <is>
          <t>2 tuần trước</t>
        </is>
      </c>
      <c r="G736" s="61" t="n">
        <v>14</v>
      </c>
      <c r="H736" s="62" t="n">
        <v>15</v>
      </c>
      <c r="I736" s="9" t="inlineStr">
        <is>
          <t>Dog Breeder / Trại chó chuyên nghiệp (28-30đ)</t>
        </is>
      </c>
      <c r="J736" s="62" t="n">
        <v>28</v>
      </c>
      <c r="K736" s="9" t="inlineStr">
        <is>
          <t>Hound / Beagle / Basset</t>
        </is>
      </c>
      <c r="L736" s="62" t="n">
        <v>5</v>
      </c>
      <c r="M736" s="62" t="n">
        <v>0</v>
      </c>
      <c r="N736" s="9" t="inlineStr">
        <is>
          <t>Amazon link not found</t>
        </is>
      </c>
      <c r="O736" s="62">
        <f>IF(N736="Selling pet toys + Artificial grass/Pet toilets (TARGET)",15,IF(N736="Selling artificial grass/pet toilets (TARGET)",10,IF(N736="Selling pet toys",7,IF(N736="There's an Amazon link, but no target sales.",3,0))))</f>
        <v/>
      </c>
      <c r="P736" s="67">
        <f>H736+J736+L736+M736+O736</f>
        <v/>
      </c>
      <c r="Q736" s="69">
        <f>IF(OR(H736=0,P736&lt;30),"Tier D (Đóng băng)",IF(P736&gt;=85,"Tier S (Kim Cương: 85-100đ)",IF(P736&gt;=70,"Tier A (Vàng: 70-84đ)",IF(P736&gt;=61,"Tier B+ / Cấp A (Hot Lead: 61-69đ)",IF(P736&gt;=50,"Tier B (Bạc: 50-60đ)","Tier C (Đồng: 30-49đ)")))))</f>
        <v/>
      </c>
      <c r="R736" s="9" t="inlineStr">
        <is>
          <t>Trọn gói Take-Home Starter Kit V2/V3 (Cỏ nhân tạo + Khay Potty + Đồ chơi Teething/Snuggle)</t>
        </is>
      </c>
      <c r="S736" s="9" t="inlineStr">
        <is>
          <t>Cấp C Chi phí thấp: Nhắn tin trực tiếp qua Fanpage Facebook/Instagram + Nuôi dưỡng nội dung</t>
        </is>
      </c>
    </row>
    <row r="737">
      <c r="A737" s="53" t="n">
        <v>2799</v>
      </c>
      <c r="B737" s="12" t="inlineStr">
        <is>
          <t>Rutlands Australian Cobberdogs</t>
        </is>
      </c>
      <c r="C737" s="54" t="inlineStr">
        <is>
          <t>https://www.facebook.com/cobberdogcofounder</t>
        </is>
      </c>
      <c r="D737" s="6" t="inlineStr">
        <is>
          <t>Cần quét Bio Fanpage</t>
        </is>
      </c>
      <c r="E737" s="53" t="inlineStr">
        <is>
          <t>26/09/2026 18:19:04</t>
        </is>
      </c>
      <c r="F737" s="53" t="inlineStr">
        <is>
          <t>2 tuần trước</t>
        </is>
      </c>
      <c r="G737" s="55" t="n">
        <v>14</v>
      </c>
      <c r="H737" s="56" t="n">
        <v>15</v>
      </c>
      <c r="I737" s="6" t="inlineStr">
        <is>
          <t>Dog Breeder / Trại nhân giống (28-30đ)</t>
        </is>
      </c>
      <c r="J737" s="56" t="n">
        <v>28</v>
      </c>
      <c r="K737" s="6" t="inlineStr">
        <is>
          <t>Australian Shepherd / Herding</t>
        </is>
      </c>
      <c r="L737" s="56" t="n">
        <v>5</v>
      </c>
      <c r="M737" s="56" t="n">
        <v>0</v>
      </c>
      <c r="N737" s="6" t="inlineStr">
        <is>
          <t>Amazon link not found</t>
        </is>
      </c>
      <c r="O737" s="56">
        <f>IF(N737="Selling pet toys + Artificial grass/Pet toilets (TARGET)",15,IF(N737="Selling artificial grass/pet toilets (TARGET)",10,IF(N737="Selling pet toys",7,IF(N737="There's an Amazon link, but no target sales.",3,0))))</f>
        <v/>
      </c>
      <c r="P737" s="65">
        <f>H737+J737+L737+M737+O737</f>
        <v/>
      </c>
      <c r="Q737" s="69">
        <f>IF(OR(H737=0,P737&lt;30),"Tier D (Đóng băng)",IF(P737&gt;=85,"Tier S (Kim Cương: 85-100đ)",IF(P737&gt;=70,"Tier A (Vàng: 70-84đ)",IF(P737&gt;=61,"Tier B+ / Cấp A (Hot Lead: 61-69đ)",IF(P737&gt;=50,"Tier B (Bạc: 50-60đ)","Tier C (Đồng: 30-49đ)")))))</f>
        <v/>
      </c>
      <c r="R737" s="6" t="inlineStr">
        <is>
          <t>Trọn gói Take-Home Starter Kit V2/V3 (Cỏ nhân tạo + Khay Potty + Đồ chơi cún con)</t>
        </is>
      </c>
      <c r="S737" s="6" t="inlineStr">
        <is>
          <t>Cấp C Chi phí thấp: Nhắn tin trực tiếp qua Fanpage Facebook/Instagram + Nuôi dưỡng nội dung</t>
        </is>
      </c>
    </row>
    <row r="738">
      <c r="A738" s="59" t="n">
        <v>1245</v>
      </c>
      <c r="B738" s="15" t="inlineStr">
        <is>
          <t>Dudswelriver.bouvier.bernois</t>
        </is>
      </c>
      <c r="C738" s="60" t="inlineStr">
        <is>
          <t>https://www.facebook.com/Dudswelriver.bouvier.bernois</t>
        </is>
      </c>
      <c r="D738" s="9" t="inlineStr">
        <is>
          <t>Cần quét Bio Fanpage</t>
        </is>
      </c>
      <c r="E738" s="59" t="inlineStr">
        <is>
          <t>24/09/2026 22:04:59</t>
        </is>
      </c>
      <c r="F738" s="59" t="inlineStr">
        <is>
          <t>2 tuần trước</t>
        </is>
      </c>
      <c r="G738" s="61" t="n">
        <v>14</v>
      </c>
      <c r="H738" s="62" t="n">
        <v>15</v>
      </c>
      <c r="I738" s="9" t="inlineStr">
        <is>
          <t>Dog Breeder / Trại nhân giống (28-30đ)</t>
        </is>
      </c>
      <c r="J738" s="62" t="n">
        <v>28</v>
      </c>
      <c r="K738" s="9" t="inlineStr">
        <is>
          <t>Bernese Mountain Dog</t>
        </is>
      </c>
      <c r="L738" s="62" t="n">
        <v>5</v>
      </c>
      <c r="M738" s="62" t="n">
        <v>0</v>
      </c>
      <c r="N738" s="9" t="inlineStr">
        <is>
          <t>Amazon link not found</t>
        </is>
      </c>
      <c r="O738" s="62">
        <f>IF(N738="Selling pet toys + Artificial grass/Pet toilets (TARGET)",15,IF(N738="Selling artificial grass/pet toilets (TARGET)",10,IF(N738="Selling pet toys",7,IF(N738="There's an Amazon link, but no target sales.",3,0))))</f>
        <v/>
      </c>
      <c r="P738" s="67">
        <f>H738+J738+L738+M738+O738</f>
        <v/>
      </c>
      <c r="Q738" s="69">
        <f>IF(OR(H738=0,P738&lt;30),"Tier D (Đóng băng)",IF(P738&gt;=85,"Tier S (Kim Cương: 85-100đ)",IF(P738&gt;=70,"Tier A (Vàng: 70-84đ)",IF(P738&gt;=61,"Tier B+ / Cấp A (Hot Lead: 61-69đ)",IF(P738&gt;=50,"Tier B (Bạc: 50-60đ)","Tier C (Đồng: 30-49đ)")))))</f>
        <v/>
      </c>
      <c r="R738" s="9" t="inlineStr">
        <is>
          <t>Trọn gói Take-Home Starter Kit V2/V3 (Cỏ nhân tạo + Khay Potty + Đồ chơi cún con)</t>
        </is>
      </c>
      <c r="S738" s="9" t="inlineStr">
        <is>
          <t>Cấp C Chi phí thấp: Nhắn tin trực tiếp qua Fanpage Facebook/Instagram + Nuôi dưỡng nội dung</t>
        </is>
      </c>
    </row>
    <row r="739">
      <c r="A739" s="53" t="n">
        <v>596</v>
      </c>
      <c r="B739" s="12" t="inlineStr">
        <is>
          <t>Barks at Bracks Farm</t>
        </is>
      </c>
      <c r="C739" s="54" t="inlineStr">
        <is>
          <t>https://www.facebook.com/BarksatBracksFarm</t>
        </is>
      </c>
      <c r="D739" s="6" t="inlineStr">
        <is>
          <t>Cần quét Bio Fanpage</t>
        </is>
      </c>
      <c r="E739" s="53" t="inlineStr">
        <is>
          <t>24/09/2026 16:53:07</t>
        </is>
      </c>
      <c r="F739" s="53" t="inlineStr">
        <is>
          <t>2 tuần trước</t>
        </is>
      </c>
      <c r="G739" s="55" t="n">
        <v>14</v>
      </c>
      <c r="H739" s="56" t="n">
        <v>15</v>
      </c>
      <c r="I739" s="6" t="inlineStr">
        <is>
          <t>Dog Breeder / Trại nhân giống (28-30đ)</t>
        </is>
      </c>
      <c r="J739" s="56" t="n">
        <v>28</v>
      </c>
      <c r="K739" s="6" t="inlineStr">
        <is>
          <t>Chưa rõ giống (Cần quét Bio)</t>
        </is>
      </c>
      <c r="L739" s="56" t="n">
        <v>0</v>
      </c>
      <c r="M739" s="56" t="n">
        <v>5</v>
      </c>
      <c r="N739" s="6" t="inlineStr">
        <is>
          <t>Amazon link not found</t>
        </is>
      </c>
      <c r="O739" s="56">
        <f>IF(N739="Selling pet toys + Artificial grass/Pet toilets (TARGET)",15,IF(N739="Selling artificial grass/pet toilets (TARGET)",10,IF(N739="Selling pet toys",7,IF(N739="There's an Amazon link, but no target sales.",3,0))))</f>
        <v/>
      </c>
      <c r="P739" s="65">
        <f>H739+J739+L739+M739+O739</f>
        <v/>
      </c>
      <c r="Q739" s="69">
        <f>IF(OR(H739=0,P739&lt;30),"Tier D (Đóng băng)",IF(P739&gt;=85,"Tier S (Kim Cương: 85-100đ)",IF(P739&gt;=70,"Tier A (Vàng: 70-84đ)",IF(P739&gt;=61,"Tier B+ / Cấp A (Hot Lead: 61-69đ)",IF(P739&gt;=50,"Tier B (Bạc: 50-60đ)","Tier C (Đồng: 30-49đ)")))))</f>
        <v/>
      </c>
      <c r="R739" s="6" t="inlineStr">
        <is>
          <t>Trọn gói Take-Home Starter Kit V2/V3 (Cỏ nhân tạo + Khay Potty + Đồ chơi cún con)</t>
        </is>
      </c>
      <c r="S739" s="6" t="inlineStr">
        <is>
          <t>Cấp C Chi phí thấp: Nhắn tin trực tiếp qua Fanpage Facebook/Instagram + Nuôi dưỡng nội dung</t>
        </is>
      </c>
    </row>
    <row r="740">
      <c r="A740" s="59" t="n">
        <v>740</v>
      </c>
      <c r="B740" s="15" t="inlineStr">
        <is>
          <t>Boston terrier Absolutely charming kennel</t>
        </is>
      </c>
      <c r="C740" s="60" t="inlineStr">
        <is>
          <t>https://www.facebook.com/bostonterriereurope</t>
        </is>
      </c>
      <c r="D740" s="9" t="inlineStr">
        <is>
          <t>Cần quét Bio Fanpage</t>
        </is>
      </c>
      <c r="E740" s="59" t="inlineStr">
        <is>
          <t>19/09/2026 14:21:27</t>
        </is>
      </c>
      <c r="F740" s="59" t="inlineStr">
        <is>
          <t>3 tuần trước</t>
        </is>
      </c>
      <c r="G740" s="61" t="n">
        <v>21</v>
      </c>
      <c r="H740" s="62" t="n">
        <v>8</v>
      </c>
      <c r="I740" s="9" t="inlineStr">
        <is>
          <t>Dog Breeder / Trại chó chuyên nghiệp (28-30đ)</t>
        </is>
      </c>
      <c r="J740" s="62" t="n">
        <v>30</v>
      </c>
      <c r="K740" s="9" t="inlineStr">
        <is>
          <t>Terrier (Jack Russell/Yorkie/Boston/Staffy)</t>
        </is>
      </c>
      <c r="L740" s="62" t="n">
        <v>5</v>
      </c>
      <c r="M740" s="62" t="n">
        <v>5</v>
      </c>
      <c r="N740" s="9" t="inlineStr">
        <is>
          <t>Amazon link not found</t>
        </is>
      </c>
      <c r="O740" s="62">
        <f>IF(N740="Selling pet toys + Artificial grass/Pet toilets (TARGET)",15,IF(N740="Selling artificial grass/pet toilets (TARGET)",10,IF(N740="Selling pet toys",7,IF(N740="There's an Amazon link, but no target sales.",3,0))))</f>
        <v/>
      </c>
      <c r="P740" s="67">
        <f>H740+J740+L740+M740+O740</f>
        <v/>
      </c>
      <c r="Q740" s="69">
        <f>IF(OR(H740=0,P740&lt;30),"Tier D (Đóng băng)",IF(P740&gt;=85,"Tier S (Kim Cương: 85-100đ)",IF(P740&gt;=70,"Tier A (Vàng: 70-84đ)",IF(P740&gt;=61,"Tier B+ / Cấp A (Hot Lead: 61-69đ)",IF(P740&gt;=50,"Tier B (Bạc: 50-60đ)","Tier C (Đồng: 30-49đ)")))))</f>
        <v/>
      </c>
      <c r="R740" s="9" t="inlineStr">
        <is>
          <t>Trọn gói Take-Home Starter Kit V2/V3 (Cỏ nhân tạo + Khay Potty + Đồ chơi Teething/Snuggle)</t>
        </is>
      </c>
      <c r="S740" s="9" t="inlineStr">
        <is>
          <t>Cấp C Chi phí thấp: Nhắn tin trực tiếp qua Fanpage Facebook/Instagram + Nuôi dưỡng nội dung</t>
        </is>
      </c>
    </row>
    <row r="741">
      <c r="A741" s="53" t="n">
        <v>979</v>
      </c>
      <c r="B741" s="12" t="inlineStr">
        <is>
          <t>Custodi Nos Cane Corso kennel</t>
        </is>
      </c>
      <c r="C741" s="54" t="inlineStr">
        <is>
          <t>https://www.facebook.com/profile.php?id=100063891120116</t>
        </is>
      </c>
      <c r="D741" s="6" t="inlineStr">
        <is>
          <t>Cần quét Bio Fanpage</t>
        </is>
      </c>
      <c r="E741" s="53" t="inlineStr">
        <is>
          <t>18/09/2026 04:11:14</t>
        </is>
      </c>
      <c r="F741" s="53" t="inlineStr">
        <is>
          <t>3 tuần trước</t>
        </is>
      </c>
      <c r="G741" s="55" t="n">
        <v>21</v>
      </c>
      <c r="H741" s="56" t="n">
        <v>8</v>
      </c>
      <c r="I741" s="6" t="inlineStr">
        <is>
          <t>Dog Breeder / Trại chó chuyên nghiệp (28-30đ)</t>
        </is>
      </c>
      <c r="J741" s="56" t="n">
        <v>30</v>
      </c>
      <c r="K741" s="6" t="inlineStr">
        <is>
          <t>Cane Corso / Mastiff</t>
        </is>
      </c>
      <c r="L741" s="56" t="n">
        <v>5</v>
      </c>
      <c r="M741" s="56" t="n">
        <v>5</v>
      </c>
      <c r="N741" s="6" t="inlineStr">
        <is>
          <t>Amazon link not found</t>
        </is>
      </c>
      <c r="O741" s="56">
        <f>IF(N741="Selling pet toys + Artificial grass/Pet toilets (TARGET)",15,IF(N741="Selling artificial grass/pet toilets (TARGET)",10,IF(N741="Selling pet toys",7,IF(N741="There's an Amazon link, but no target sales.",3,0))))</f>
        <v/>
      </c>
      <c r="P741" s="65">
        <f>H741+J741+L741+M741+O741</f>
        <v/>
      </c>
      <c r="Q741" s="69">
        <f>IF(OR(H741=0,P741&lt;30),"Tier D (Đóng băng)",IF(P741&gt;=85,"Tier S (Kim Cương: 85-100đ)",IF(P741&gt;=70,"Tier A (Vàng: 70-84đ)",IF(P741&gt;=61,"Tier B+ / Cấp A (Hot Lead: 61-69đ)",IF(P741&gt;=50,"Tier B (Bạc: 50-60đ)","Tier C (Đồng: 30-49đ)")))))</f>
        <v/>
      </c>
      <c r="R741" s="6" t="inlineStr">
        <is>
          <t>Trọn gói Take-Home Starter Kit V2/V3 (Cỏ nhân tạo + Khay Potty + Đồ chơi Teething/Snuggle)</t>
        </is>
      </c>
      <c r="S741" s="6" t="inlineStr">
        <is>
          <t>Cấp C Chi phí thấp: Nhắn tin trực tiếp qua Fanpage Facebook/Instagram + Nuôi dưỡng nội dung</t>
        </is>
      </c>
    </row>
    <row r="742">
      <c r="A742" s="59" t="n">
        <v>3243</v>
      </c>
      <c r="B742" s="15" t="inlineStr">
        <is>
          <t>Truck the Dog</t>
        </is>
      </c>
      <c r="C742" s="60" t="inlineStr">
        <is>
          <t>https://www.facebook.com/truckthedogofficial</t>
        </is>
      </c>
      <c r="D742" s="9" t="inlineStr">
        <is>
          <t>Cần quét Bio Fanpage</t>
        </is>
      </c>
      <c r="E742" s="59" t="inlineStr">
        <is>
          <t>13/10/2026 01:58:41</t>
        </is>
      </c>
      <c r="F742" s="59" t="inlineStr">
        <is>
          <t>4 giờ trước</t>
        </is>
      </c>
      <c r="G742" s="61" t="n">
        <v>0.17</v>
      </c>
      <c r="H742" s="62" t="n">
        <v>32</v>
      </c>
      <c r="I742" s="9" t="inlineStr">
        <is>
          <t>Pet Owner / Kênh cá nhân thú cưng (10đ)</t>
        </is>
      </c>
      <c r="J742" s="62" t="n">
        <v>10</v>
      </c>
      <c r="K742" s="9" t="inlineStr">
        <is>
          <t>Chưa rõ giống (Cần quét Bio)</t>
        </is>
      </c>
      <c r="L742" s="62" t="n">
        <v>0</v>
      </c>
      <c r="M742" s="62" t="n">
        <v>5</v>
      </c>
      <c r="N742" s="9" t="inlineStr">
        <is>
          <t>Amazon link not found</t>
        </is>
      </c>
      <c r="O742" s="62">
        <f>IF(N742="Selling pet toys + Artificial grass/Pet toilets (TARGET)",15,IF(N742="Selling artificial grass/pet toilets (TARGET)",10,IF(N742="Selling pet toys",7,IF(N742="There's an Amazon link, but no target sales.",3,0))))</f>
        <v/>
      </c>
      <c r="P742" s="67">
        <f>H742+J742+L742+M742+O742</f>
        <v/>
      </c>
      <c r="Q742" s="69">
        <f>IF(OR(H742=0,P742&lt;30),"Tier D (Đóng băng)",IF(P742&gt;=85,"Tier S (Kim Cương: 85-100đ)",IF(P742&gt;=70,"Tier A (Vàng: 70-84đ)",IF(P742&gt;=61,"Tier B+ / Cấp A (Hot Lead: 61-69đ)",IF(P742&gt;=50,"Tier B (Bạc: 50-60đ)","Tier C (Đồng: 30-49đ)")))))</f>
        <v/>
      </c>
      <c r="R742" s="9" t="inlineStr">
        <is>
          <t>Khay vệ sinh trong nhà (Indoor Dog Potty) + Đồ chơi thú cưng lẻ</t>
        </is>
      </c>
      <c r="S742" s="9" t="inlineStr">
        <is>
          <t>Cấp C Chi phí thấp: Nhắn tin trực tiếp qua Fanpage Facebook/Instagram + Nuôi dưỡng nội dung</t>
        </is>
      </c>
    </row>
    <row r="743">
      <c r="A743" s="53" t="n">
        <v>3003</v>
      </c>
      <c r="B743" s="12" t="inlineStr">
        <is>
          <t>Stone Mountain Pet Products</t>
        </is>
      </c>
      <c r="C743" s="54" t="inlineStr">
        <is>
          <t>https://www.facebook.com/profile.php?id=100057308416310</t>
        </is>
      </c>
      <c r="D743" s="6" t="inlineStr">
        <is>
          <t>Cần quét Bio Fanpage</t>
        </is>
      </c>
      <c r="E743" s="53" t="inlineStr">
        <is>
          <t>13/10/2026 01:29:04</t>
        </is>
      </c>
      <c r="F743" s="53" t="inlineStr">
        <is>
          <t>4 giờ trước</t>
        </is>
      </c>
      <c r="G743" s="55" t="n">
        <v>0.17</v>
      </c>
      <c r="H743" s="56" t="n">
        <v>32</v>
      </c>
      <c r="I743" s="6" t="inlineStr">
        <is>
          <t>Pet Owner / Cộng đồng nuôi cún (10đ)</t>
        </is>
      </c>
      <c r="J743" s="56" t="n">
        <v>10</v>
      </c>
      <c r="K743" s="6" t="inlineStr">
        <is>
          <t>Chưa rõ giống (Cần quét Bio)</t>
        </is>
      </c>
      <c r="L743" s="56" t="n">
        <v>0</v>
      </c>
      <c r="M743" s="56" t="n">
        <v>5</v>
      </c>
      <c r="N743" s="6" t="inlineStr">
        <is>
          <t>Amazon link not found</t>
        </is>
      </c>
      <c r="O743" s="56">
        <f>IF(N743="Selling pet toys + Artificial grass/Pet toilets (TARGET)",15,IF(N743="Selling artificial grass/pet toilets (TARGET)",10,IF(N743="Selling pet toys",7,IF(N743="There's an Amazon link, but no target sales.",3,0))))</f>
        <v/>
      </c>
      <c r="P743" s="65">
        <f>H743+J743+L743+M743+O743</f>
        <v/>
      </c>
      <c r="Q743" s="69">
        <f>IF(OR(H743=0,P743&lt;30),"Tier D (Đóng băng)",IF(P743&gt;=85,"Tier S (Kim Cương: 85-100đ)",IF(P743&gt;=70,"Tier A (Vàng: 70-84đ)",IF(P743&gt;=61,"Tier B+ / Cấp A (Hot Lead: 61-69đ)",IF(P743&gt;=50,"Tier B (Bạc: 50-60đ)","Tier C (Đồng: 30-49đ)")))))</f>
        <v/>
      </c>
      <c r="R743" s="6" t="inlineStr">
        <is>
          <t>Khay vệ sinh chung cư (Indoor Potty) + Thảm cỏ ban công (Grass Patch) + Đồ chơi</t>
        </is>
      </c>
      <c r="S743" s="6" t="inlineStr">
        <is>
          <t>Cấp C Chi phí thấp: Nhắn tin trực tiếp qua Fanpage Facebook/Instagram + Nuôi dưỡng nội dung</t>
        </is>
      </c>
    </row>
    <row r="744">
      <c r="A744" s="59" t="n">
        <v>3209</v>
      </c>
      <c r="B744" s="15" t="inlineStr">
        <is>
          <t>Top Dog Show Supplies</t>
        </is>
      </c>
      <c r="C744" s="60" t="inlineStr">
        <is>
          <t>https://www.facebook.com/profile.php?id=100057304936264</t>
        </is>
      </c>
      <c r="D744" s="9" t="inlineStr">
        <is>
          <t>Cần quét Bio Fanpage</t>
        </is>
      </c>
      <c r="E744" s="59" t="inlineStr">
        <is>
          <t>13/10/2026 00:19:31</t>
        </is>
      </c>
      <c r="F744" s="59" t="inlineStr">
        <is>
          <t>6 giờ trước</t>
        </is>
      </c>
      <c r="G744" s="61" t="n">
        <v>0.25</v>
      </c>
      <c r="H744" s="62" t="n">
        <v>32</v>
      </c>
      <c r="I744" s="9" t="inlineStr">
        <is>
          <t>Pet Owner / Cộng đồng nuôi cún (10đ)</t>
        </is>
      </c>
      <c r="J744" s="62" t="n">
        <v>10</v>
      </c>
      <c r="K744" s="9" t="inlineStr">
        <is>
          <t>Chưa rõ giống (Cần quét Bio)</t>
        </is>
      </c>
      <c r="L744" s="62" t="n">
        <v>0</v>
      </c>
      <c r="M744" s="62" t="n">
        <v>5</v>
      </c>
      <c r="N744" s="9" t="inlineStr">
        <is>
          <t>Amazon link not found</t>
        </is>
      </c>
      <c r="O744" s="62">
        <f>IF(N744="Selling pet toys + Artificial grass/Pet toilets (TARGET)",15,IF(N744="Selling artificial grass/pet toilets (TARGET)",10,IF(N744="Selling pet toys",7,IF(N744="There's an Amazon link, but no target sales.",3,0))))</f>
        <v/>
      </c>
      <c r="P744" s="67">
        <f>H744+J744+L744+M744+O744</f>
        <v/>
      </c>
      <c r="Q744" s="69">
        <f>IF(OR(H744=0,P744&lt;30),"Tier D (Đóng băng)",IF(P744&gt;=85,"Tier S (Kim Cương: 85-100đ)",IF(P744&gt;=70,"Tier A (Vàng: 70-84đ)",IF(P744&gt;=61,"Tier B+ / Cấp A (Hot Lead: 61-69đ)",IF(P744&gt;=50,"Tier B (Bạc: 50-60đ)","Tier C (Đồng: 30-49đ)")))))</f>
        <v/>
      </c>
      <c r="R744" s="9" t="inlineStr">
        <is>
          <t>Khay vệ sinh chung cư (Indoor Potty) + Thảm cỏ ban công (Grass Patch) + Đồ chơi</t>
        </is>
      </c>
      <c r="S744" s="9" t="inlineStr">
        <is>
          <t>Cấp C Chi phí thấp: Nhắn tin trực tiếp qua Fanpage Facebook/Instagram + Nuôi dưỡng nội dung</t>
        </is>
      </c>
    </row>
    <row r="745">
      <c r="A745" s="53" t="n">
        <v>2212</v>
      </c>
      <c r="B745" s="12" t="inlineStr">
        <is>
          <t>Morfa PET Shop</t>
        </is>
      </c>
      <c r="C745" s="54" t="inlineStr">
        <is>
          <t>https://www.facebook.com/profile.php?id=61592851124074</t>
        </is>
      </c>
      <c r="D745" s="6" t="inlineStr">
        <is>
          <t>Cần quét Bio Fanpage</t>
        </is>
      </c>
      <c r="E745" s="53" t="inlineStr">
        <is>
          <t>12/10/2026 23:58:53</t>
        </is>
      </c>
      <c r="F745" s="53" t="inlineStr">
        <is>
          <t>4 giờ trước</t>
        </is>
      </c>
      <c r="G745" s="55" t="n">
        <v>0.17</v>
      </c>
      <c r="H745" s="56" t="n">
        <v>32</v>
      </c>
      <c r="I745" s="6" t="inlineStr">
        <is>
          <t>Pet Owner / Cộng đồng nuôi cún (10đ)</t>
        </is>
      </c>
      <c r="J745" s="56" t="n">
        <v>10</v>
      </c>
      <c r="K745" s="6" t="inlineStr">
        <is>
          <t>Chưa rõ giống (Cần quét Bio)</t>
        </is>
      </c>
      <c r="L745" s="56" t="n">
        <v>0</v>
      </c>
      <c r="M745" s="56" t="n">
        <v>5</v>
      </c>
      <c r="N745" s="6" t="inlineStr">
        <is>
          <t>Amazon link not found</t>
        </is>
      </c>
      <c r="O745" s="56">
        <f>IF(N745="Selling pet toys + Artificial grass/Pet toilets (TARGET)",15,IF(N745="Selling artificial grass/pet toilets (TARGET)",10,IF(N745="Selling pet toys",7,IF(N745="There's an Amazon link, but no target sales.",3,0))))</f>
        <v/>
      </c>
      <c r="P745" s="65">
        <f>H745+J745+L745+M745+O745</f>
        <v/>
      </c>
      <c r="Q745" s="69">
        <f>IF(OR(H745=0,P745&lt;30),"Tier D (Đóng băng)",IF(P745&gt;=85,"Tier S (Kim Cương: 85-100đ)",IF(P745&gt;=70,"Tier A (Vàng: 70-84đ)",IF(P745&gt;=61,"Tier B+ / Cấp A (Hot Lead: 61-69đ)",IF(P745&gt;=50,"Tier B (Bạc: 50-60đ)","Tier C (Đồng: 30-49đ)")))))</f>
        <v/>
      </c>
      <c r="R745" s="6" t="inlineStr">
        <is>
          <t>Khay vệ sinh chung cư (Indoor Potty) + Thảm cỏ ban công (Grass Patch) + Đồ chơi</t>
        </is>
      </c>
      <c r="S745" s="6" t="inlineStr">
        <is>
          <t>Cấp C Chi phí thấp: Nhắn tin trực tiếp qua Fanpage Facebook/Instagram + Nuôi dưỡng nội dung</t>
        </is>
      </c>
    </row>
    <row r="746">
      <c r="A746" s="59" t="n">
        <v>2651</v>
      </c>
      <c r="B746" s="15" t="inlineStr">
        <is>
          <t>Pug Lovers</t>
        </is>
      </c>
      <c r="C746" s="60" t="inlineStr">
        <is>
          <t>https://www.facebook.com/pugloversinc</t>
        </is>
      </c>
      <c r="D746" s="9" t="inlineStr">
        <is>
          <t>Cần quét Bio Fanpage</t>
        </is>
      </c>
      <c r="E746" s="59" t="inlineStr">
        <is>
          <t>12/10/2026 22:07:09</t>
        </is>
      </c>
      <c r="F746" s="59" t="inlineStr">
        <is>
          <t>7 giờ trước</t>
        </is>
      </c>
      <c r="G746" s="61" t="n">
        <v>0.29</v>
      </c>
      <c r="H746" s="62" t="n">
        <v>32</v>
      </c>
      <c r="I746" s="9" t="inlineStr">
        <is>
          <t>Pet Owner / Kênh cá nhân thú cưng (10đ)</t>
        </is>
      </c>
      <c r="J746" s="62" t="n">
        <v>10</v>
      </c>
      <c r="K746" s="9" t="inlineStr">
        <is>
          <t>Pug</t>
        </is>
      </c>
      <c r="L746" s="62" t="n">
        <v>5</v>
      </c>
      <c r="M746" s="62" t="n">
        <v>0</v>
      </c>
      <c r="N746" s="9" t="inlineStr">
        <is>
          <t>Amazon link not found</t>
        </is>
      </c>
      <c r="O746" s="62">
        <f>IF(N746="Selling pet toys + Artificial grass/Pet toilets (TARGET)",15,IF(N746="Selling artificial grass/pet toilets (TARGET)",10,IF(N746="Selling pet toys",7,IF(N746="There's an Amazon link, but no target sales.",3,0))))</f>
        <v/>
      </c>
      <c r="P746" s="67">
        <f>H746+J746+L746+M746+O746</f>
        <v/>
      </c>
      <c r="Q746" s="69">
        <f>IF(OR(H746=0,P746&lt;30),"Tier D (Đóng băng)",IF(P746&gt;=85,"Tier S (Kim Cương: 85-100đ)",IF(P746&gt;=70,"Tier A (Vàng: 70-84đ)",IF(P746&gt;=61,"Tier B+ / Cấp A (Hot Lead: 61-69đ)",IF(P746&gt;=50,"Tier B (Bạc: 50-60đ)","Tier C (Đồng: 30-49đ)")))))</f>
        <v/>
      </c>
      <c r="R746" s="9" t="inlineStr">
        <is>
          <t>Khay vệ sinh trong nhà (Indoor Dog Potty) + Đồ chơi thú cưng lẻ</t>
        </is>
      </c>
      <c r="S746" s="9" t="inlineStr">
        <is>
          <t>Cấp C Chi phí thấp: Nhắn tin trực tiếp qua Fanpage Facebook/Instagram + Nuôi dưỡng nội dung</t>
        </is>
      </c>
    </row>
    <row r="747">
      <c r="A747" s="53" t="n">
        <v>2532</v>
      </c>
      <c r="B747" s="12" t="inlineStr">
        <is>
          <t>PetRelocation.com  (Pet Relocation)</t>
        </is>
      </c>
      <c r="C747" s="54" t="inlineStr">
        <is>
          <t>https://www.facebook.com/PetRelocation</t>
        </is>
      </c>
      <c r="D747" s="6" t="inlineStr">
        <is>
          <t>https://petrelocation.com</t>
        </is>
      </c>
      <c r="E747" s="53" t="inlineStr">
        <is>
          <t>12/10/2026 21:52:18</t>
        </is>
      </c>
      <c r="F747" s="53" t="inlineStr">
        <is>
          <t>7 giờ trước</t>
        </is>
      </c>
      <c r="G747" s="55" t="n">
        <v>0.29</v>
      </c>
      <c r="H747" s="56" t="n">
        <v>32</v>
      </c>
      <c r="I747" s="6" t="inlineStr">
        <is>
          <t>Pet Owner / Cộng đồng nuôi cún (10đ)</t>
        </is>
      </c>
      <c r="J747" s="56" t="n">
        <v>10</v>
      </c>
      <c r="K747" s="6" t="inlineStr">
        <is>
          <t>Chưa rõ giống (Cần quét Bio)</t>
        </is>
      </c>
      <c r="L747" s="56" t="n">
        <v>0</v>
      </c>
      <c r="M747" s="56" t="n">
        <v>5</v>
      </c>
      <c r="N747" s="6" t="inlineStr">
        <is>
          <t>Amazon link not found</t>
        </is>
      </c>
      <c r="O747" s="56">
        <f>IF(N747="Selling pet toys + Artificial grass/Pet toilets (TARGET)",15,IF(N747="Selling artificial grass/pet toilets (TARGET)",10,IF(N747="Selling pet toys",7,IF(N747="There's an Amazon link, but no target sales.",3,0))))</f>
        <v/>
      </c>
      <c r="P747" s="65">
        <f>H747+J747+L747+M747+O747</f>
        <v/>
      </c>
      <c r="Q747" s="69">
        <f>IF(OR(H747=0,P747&lt;30),"Tier D (Đóng băng)",IF(P747&gt;=85,"Tier S (Kim Cương: 85-100đ)",IF(P747&gt;=70,"Tier A (Vàng: 70-84đ)",IF(P747&gt;=61,"Tier B+ / Cấp A (Hot Lead: 61-69đ)",IF(P747&gt;=50,"Tier B (Bạc: 50-60đ)","Tier C (Đồng: 30-49đ)")))))</f>
        <v/>
      </c>
      <c r="R747" s="6" t="inlineStr">
        <is>
          <t>Khay vệ sinh chung cư (Indoor Potty) + Thảm cỏ ban công (Grass Patch) + Đồ chơi</t>
        </is>
      </c>
      <c r="S747" s="6" t="inlineStr">
        <is>
          <t>Cấp C Chi phí thấp: Nhắn tin trực tiếp qua Fanpage Facebook/Instagram + Nuôi dưỡng nội dung</t>
        </is>
      </c>
    </row>
    <row r="748">
      <c r="A748" s="59" t="n">
        <v>2826</v>
      </c>
      <c r="B748" s="15" t="inlineStr">
        <is>
          <t>Sara Dog</t>
        </is>
      </c>
      <c r="C748" s="60" t="inlineStr">
        <is>
          <t>https://www.facebook.com/saradogpetshop</t>
        </is>
      </c>
      <c r="D748" s="9" t="inlineStr">
        <is>
          <t>Cần quét Bio Fanpage</t>
        </is>
      </c>
      <c r="E748" s="59" t="inlineStr">
        <is>
          <t>12/10/2026 21:02:45</t>
        </is>
      </c>
      <c r="F748" s="59" t="inlineStr">
        <is>
          <t>8 giờ trước</t>
        </is>
      </c>
      <c r="G748" s="61" t="n">
        <v>0.33</v>
      </c>
      <c r="H748" s="62" t="n">
        <v>32</v>
      </c>
      <c r="I748" s="9" t="inlineStr">
        <is>
          <t>Pet Owner / Cộng đồng nuôi cún (10đ)</t>
        </is>
      </c>
      <c r="J748" s="62" t="n">
        <v>10</v>
      </c>
      <c r="K748" s="9" t="inlineStr">
        <is>
          <t>Chưa rõ giống (Cần quét Bio)</t>
        </is>
      </c>
      <c r="L748" s="62" t="n">
        <v>0</v>
      </c>
      <c r="M748" s="62" t="n">
        <v>5</v>
      </c>
      <c r="N748" s="9" t="inlineStr">
        <is>
          <t>Amazon link not found</t>
        </is>
      </c>
      <c r="O748" s="62">
        <f>IF(N748="Selling pet toys + Artificial grass/Pet toilets (TARGET)",15,IF(N748="Selling artificial grass/pet toilets (TARGET)",10,IF(N748="Selling pet toys",7,IF(N748="There's an Amazon link, but no target sales.",3,0))))</f>
        <v/>
      </c>
      <c r="P748" s="67">
        <f>H748+J748+L748+M748+O748</f>
        <v/>
      </c>
      <c r="Q748" s="69">
        <f>IF(OR(H748=0,P748&lt;30),"Tier D (Đóng băng)",IF(P748&gt;=85,"Tier S (Kim Cương: 85-100đ)",IF(P748&gt;=70,"Tier A (Vàng: 70-84đ)",IF(P748&gt;=61,"Tier B+ / Cấp A (Hot Lead: 61-69đ)",IF(P748&gt;=50,"Tier B (Bạc: 50-60đ)","Tier C (Đồng: 30-49đ)")))))</f>
        <v/>
      </c>
      <c r="R748" s="9" t="inlineStr">
        <is>
          <t>Khay vệ sinh chung cư (Indoor Potty) + Thảm cỏ ban công (Grass Patch) + Đồ chơi</t>
        </is>
      </c>
      <c r="S748" s="9" t="inlineStr">
        <is>
          <t>Cấp C Chi phí thấp: Nhắn tin trực tiếp qua Fanpage Facebook/Instagram + Nuôi dưỡng nội dung</t>
        </is>
      </c>
    </row>
    <row r="749">
      <c r="A749" s="53" t="n">
        <v>2058</v>
      </c>
      <c r="B749" s="12" t="inlineStr">
        <is>
          <t>Lothlorien Dog Services</t>
        </is>
      </c>
      <c r="C749" s="54" t="inlineStr">
        <is>
          <t>https://www.facebook.com/lds1875</t>
        </is>
      </c>
      <c r="D749" s="6" t="inlineStr">
        <is>
          <t>Cần quét Bio Fanpage</t>
        </is>
      </c>
      <c r="E749" s="53" t="inlineStr">
        <is>
          <t>12/10/2026 20:49:19</t>
        </is>
      </c>
      <c r="F749" s="53" t="inlineStr">
        <is>
          <t>7 giờ trước</t>
        </is>
      </c>
      <c r="G749" s="55" t="n">
        <v>0.29</v>
      </c>
      <c r="H749" s="56" t="n">
        <v>32</v>
      </c>
      <c r="I749" s="6" t="inlineStr">
        <is>
          <t>Pet Owner / Cộng đồng nuôi cún (10đ)</t>
        </is>
      </c>
      <c r="J749" s="56" t="n">
        <v>10</v>
      </c>
      <c r="K749" s="6" t="inlineStr">
        <is>
          <t>Chưa rõ giống (Cần quét Bio)</t>
        </is>
      </c>
      <c r="L749" s="56" t="n">
        <v>0</v>
      </c>
      <c r="M749" s="56" t="n">
        <v>5</v>
      </c>
      <c r="N749" s="6" t="inlineStr">
        <is>
          <t>Amazon link not found</t>
        </is>
      </c>
      <c r="O749" s="56">
        <f>IF(N749="Selling pet toys + Artificial grass/Pet toilets (TARGET)",15,IF(N749="Selling artificial grass/pet toilets (TARGET)",10,IF(N749="Selling pet toys",7,IF(N749="There's an Amazon link, but no target sales.",3,0))))</f>
        <v/>
      </c>
      <c r="P749" s="65">
        <f>H749+J749+L749+M749+O749</f>
        <v/>
      </c>
      <c r="Q749" s="69">
        <f>IF(OR(H749=0,P749&lt;30),"Tier D (Đóng băng)",IF(P749&gt;=85,"Tier S (Kim Cương: 85-100đ)",IF(P749&gt;=70,"Tier A (Vàng: 70-84đ)",IF(P749&gt;=61,"Tier B+ / Cấp A (Hot Lead: 61-69đ)",IF(P749&gt;=50,"Tier B (Bạc: 50-60đ)","Tier C (Đồng: 30-49đ)")))))</f>
        <v/>
      </c>
      <c r="R749" s="6" t="inlineStr">
        <is>
          <t>Khay vệ sinh chung cư (Indoor Potty) + Thảm cỏ ban công (Grass Patch) + Đồ chơi</t>
        </is>
      </c>
      <c r="S749" s="6" t="inlineStr">
        <is>
          <t>Cấp C Chi phí thấp: Nhắn tin trực tiếp qua Fanpage Facebook/Instagram + Nuôi dưỡng nội dung</t>
        </is>
      </c>
    </row>
    <row r="750">
      <c r="A750" s="59" t="n">
        <v>602</v>
      </c>
      <c r="B750" s="15" t="inlineStr">
        <is>
          <t>Bavarian Mountain Hound Lovers</t>
        </is>
      </c>
      <c r="C750" s="60" t="inlineStr">
        <is>
          <t>https://www.facebook.com/profile.php?id=61580981100579</t>
        </is>
      </c>
      <c r="D750" s="9" t="inlineStr">
        <is>
          <t>Cần quét Bio Fanpage</t>
        </is>
      </c>
      <c r="E750" s="59" t="inlineStr">
        <is>
          <t>12/10/2026 20:32:34</t>
        </is>
      </c>
      <c r="F750" s="59" t="inlineStr">
        <is>
          <t>5 giờ trước</t>
        </is>
      </c>
      <c r="G750" s="61" t="n">
        <v>0.21</v>
      </c>
      <c r="H750" s="62" t="n">
        <v>32</v>
      </c>
      <c r="I750" s="9" t="inlineStr">
        <is>
          <t>Pet Owner / Kênh cá nhân thú cưng (10đ)</t>
        </is>
      </c>
      <c r="J750" s="62" t="n">
        <v>10</v>
      </c>
      <c r="K750" s="9" t="inlineStr">
        <is>
          <t>Hound / Beagle / Basset</t>
        </is>
      </c>
      <c r="L750" s="62" t="n">
        <v>5</v>
      </c>
      <c r="M750" s="62" t="n">
        <v>0</v>
      </c>
      <c r="N750" s="9" t="inlineStr">
        <is>
          <t>Amazon link not found</t>
        </is>
      </c>
      <c r="O750" s="62">
        <f>IF(N750="Selling pet toys + Artificial grass/Pet toilets (TARGET)",15,IF(N750="Selling artificial grass/pet toilets (TARGET)",10,IF(N750="Selling pet toys",7,IF(N750="There's an Amazon link, but no target sales.",3,0))))</f>
        <v/>
      </c>
      <c r="P750" s="67">
        <f>H750+J750+L750+M750+O750</f>
        <v/>
      </c>
      <c r="Q750" s="69">
        <f>IF(OR(H750=0,P750&lt;30),"Tier D (Đóng băng)",IF(P750&gt;=85,"Tier S (Kim Cương: 85-100đ)",IF(P750&gt;=70,"Tier A (Vàng: 70-84đ)",IF(P750&gt;=61,"Tier B+ / Cấp A (Hot Lead: 61-69đ)",IF(P750&gt;=50,"Tier B (Bạc: 50-60đ)","Tier C (Đồng: 30-49đ)")))))</f>
        <v/>
      </c>
      <c r="R750" s="9" t="inlineStr">
        <is>
          <t>Khay vệ sinh trong nhà (Indoor Dog Potty) + Đồ chơi thú cưng lẻ</t>
        </is>
      </c>
      <c r="S750" s="9" t="inlineStr">
        <is>
          <t>Cấp C Chi phí thấp: Nhắn tin trực tiếp qua Fanpage Facebook/Instagram + Nuôi dưỡng nội dung</t>
        </is>
      </c>
    </row>
    <row r="751">
      <c r="A751" s="53" t="n">
        <v>1110</v>
      </c>
      <c r="B751" s="12" t="inlineStr">
        <is>
          <t>dog-foto.com</t>
        </is>
      </c>
      <c r="C751" s="54" t="inlineStr">
        <is>
          <t>https://www.facebook.com/dogfoto</t>
        </is>
      </c>
      <c r="D751" s="6" t="inlineStr">
        <is>
          <t>https://dog-foto.com</t>
        </is>
      </c>
      <c r="E751" s="53" t="inlineStr">
        <is>
          <t>12/10/2026 19:39:32</t>
        </is>
      </c>
      <c r="F751" s="53" t="inlineStr">
        <is>
          <t>7 giờ trước</t>
        </is>
      </c>
      <c r="G751" s="55" t="n">
        <v>0.29</v>
      </c>
      <c r="H751" s="56" t="n">
        <v>32</v>
      </c>
      <c r="I751" s="6" t="inlineStr">
        <is>
          <t>Pet Owner / Cộng đồng nuôi cún (10đ)</t>
        </is>
      </c>
      <c r="J751" s="56" t="n">
        <v>10</v>
      </c>
      <c r="K751" s="6" t="inlineStr">
        <is>
          <t>Chưa rõ giống (Cần quét Bio)</t>
        </is>
      </c>
      <c r="L751" s="56" t="n">
        <v>0</v>
      </c>
      <c r="M751" s="56" t="n">
        <v>5</v>
      </c>
      <c r="N751" s="6" t="inlineStr">
        <is>
          <t>Amazon link not found</t>
        </is>
      </c>
      <c r="O751" s="56">
        <f>IF(N751="Selling pet toys + Artificial grass/Pet toilets (TARGET)",15,IF(N751="Selling artificial grass/pet toilets (TARGET)",10,IF(N751="Selling pet toys",7,IF(N751="There's an Amazon link, but no target sales.",3,0))))</f>
        <v/>
      </c>
      <c r="P751" s="65">
        <f>H751+J751+L751+M751+O751</f>
        <v/>
      </c>
      <c r="Q751" s="69">
        <f>IF(OR(H751=0,P751&lt;30),"Tier D (Đóng băng)",IF(P751&gt;=85,"Tier S (Kim Cương: 85-100đ)",IF(P751&gt;=70,"Tier A (Vàng: 70-84đ)",IF(P751&gt;=61,"Tier B+ / Cấp A (Hot Lead: 61-69đ)",IF(P751&gt;=50,"Tier B (Bạc: 50-60đ)","Tier C (Đồng: 30-49đ)")))))</f>
        <v/>
      </c>
      <c r="R751" s="6" t="inlineStr">
        <is>
          <t>Khay vệ sinh chung cư (Indoor Potty) + Thảm cỏ ban công (Grass Patch) + Đồ chơi</t>
        </is>
      </c>
      <c r="S751" s="6" t="inlineStr">
        <is>
          <t>Cấp C Chi phí thấp: Nhắn tin trực tiếp qua Fanpage Facebook/Instagram + Nuôi dưỡng nội dung</t>
        </is>
      </c>
    </row>
    <row r="752">
      <c r="A752" s="59" t="n">
        <v>982</v>
      </c>
      <c r="B752" s="15" t="inlineStr">
        <is>
          <t>Cutepuppy316</t>
        </is>
      </c>
      <c r="C752" s="60" t="inlineStr">
        <is>
          <t>https://www.facebook.com/Cutepuppy316</t>
        </is>
      </c>
      <c r="D752" s="9" t="inlineStr">
        <is>
          <t>Cần quét Bio Fanpage</t>
        </is>
      </c>
      <c r="E752" s="59" t="inlineStr">
        <is>
          <t>12/10/2026 19:07:50</t>
        </is>
      </c>
      <c r="F752" s="59" t="inlineStr">
        <is>
          <t>7 giờ trước</t>
        </is>
      </c>
      <c r="G752" s="61" t="n">
        <v>0.29</v>
      </c>
      <c r="H752" s="62" t="n">
        <v>32</v>
      </c>
      <c r="I752" s="9" t="inlineStr">
        <is>
          <t>Pet Owner / Cộng đồng nuôi cún (10đ)</t>
        </is>
      </c>
      <c r="J752" s="62" t="n">
        <v>10</v>
      </c>
      <c r="K752" s="9" t="inlineStr">
        <is>
          <t>Chưa rõ giống (Cần quét Bio)</t>
        </is>
      </c>
      <c r="L752" s="62" t="n">
        <v>0</v>
      </c>
      <c r="M752" s="62" t="n">
        <v>5</v>
      </c>
      <c r="N752" s="9" t="inlineStr">
        <is>
          <t>Amazon link not found</t>
        </is>
      </c>
      <c r="O752" s="62">
        <f>IF(N752="Selling pet toys + Artificial grass/Pet toilets (TARGET)",15,IF(N752="Selling artificial grass/pet toilets (TARGET)",10,IF(N752="Selling pet toys",7,IF(N752="There's an Amazon link, but no target sales.",3,0))))</f>
        <v/>
      </c>
      <c r="P752" s="67">
        <f>H752+J752+L752+M752+O752</f>
        <v/>
      </c>
      <c r="Q752" s="69">
        <f>IF(OR(H752=0,P752&lt;30),"Tier D (Đóng băng)",IF(P752&gt;=85,"Tier S (Kim Cương: 85-100đ)",IF(P752&gt;=70,"Tier A (Vàng: 70-84đ)",IF(P752&gt;=61,"Tier B+ / Cấp A (Hot Lead: 61-69đ)",IF(P752&gt;=50,"Tier B (Bạc: 50-60đ)","Tier C (Đồng: 30-49đ)")))))</f>
        <v/>
      </c>
      <c r="R752" s="9" t="inlineStr">
        <is>
          <t>Khay vệ sinh chung cư (Indoor Potty) + Thảm cỏ ban công (Grass Patch) + Đồ chơi</t>
        </is>
      </c>
      <c r="S752" s="9" t="inlineStr">
        <is>
          <t>Cấp C Chi phí thấp: Nhắn tin trực tiếp qua Fanpage Facebook/Instagram + Nuôi dưỡng nội dung</t>
        </is>
      </c>
    </row>
    <row r="753">
      <c r="A753" s="53" t="n">
        <v>2646</v>
      </c>
      <c r="B753" s="12" t="inlineStr">
        <is>
          <t>Prowild Pet Food</t>
        </is>
      </c>
      <c r="C753" s="54" t="inlineStr">
        <is>
          <t>https://www.facebook.com/Prowildofficial</t>
        </is>
      </c>
      <c r="D753" s="6" t="inlineStr">
        <is>
          <t>Cần quét Bio Fanpage</t>
        </is>
      </c>
      <c r="E753" s="53" t="inlineStr">
        <is>
          <t>12/10/2026 08:31:52</t>
        </is>
      </c>
      <c r="F753" s="53" t="inlineStr">
        <is>
          <t>21 giờ trước</t>
        </is>
      </c>
      <c r="G753" s="55" t="n">
        <v>0.88</v>
      </c>
      <c r="H753" s="56" t="n">
        <v>32</v>
      </c>
      <c r="I753" s="6" t="inlineStr">
        <is>
          <t>Pet Owner / Cộng đồng nuôi cún (10đ)</t>
        </is>
      </c>
      <c r="J753" s="56" t="n">
        <v>10</v>
      </c>
      <c r="K753" s="6" t="inlineStr">
        <is>
          <t>Chưa rõ giống (Cần quét Bio)</t>
        </is>
      </c>
      <c r="L753" s="56" t="n">
        <v>0</v>
      </c>
      <c r="M753" s="56" t="n">
        <v>5</v>
      </c>
      <c r="N753" s="6" t="inlineStr">
        <is>
          <t>Amazon link not found</t>
        </is>
      </c>
      <c r="O753" s="56">
        <f>IF(N753="Selling pet toys + Artificial grass/Pet toilets (TARGET)",15,IF(N753="Selling artificial grass/pet toilets (TARGET)",10,IF(N753="Selling pet toys",7,IF(N753="There's an Amazon link, but no target sales.",3,0))))</f>
        <v/>
      </c>
      <c r="P753" s="65">
        <f>H753+J753+L753+M753+O753</f>
        <v/>
      </c>
      <c r="Q753" s="69">
        <f>IF(OR(H753=0,P753&lt;30),"Tier D (Đóng băng)",IF(P753&gt;=85,"Tier S (Kim Cương: 85-100đ)",IF(P753&gt;=70,"Tier A (Vàng: 70-84đ)",IF(P753&gt;=61,"Tier B+ / Cấp A (Hot Lead: 61-69đ)",IF(P753&gt;=50,"Tier B (Bạc: 50-60đ)","Tier C (Đồng: 30-49đ)")))))</f>
        <v/>
      </c>
      <c r="R753" s="6" t="inlineStr">
        <is>
          <t>Khay vệ sinh chung cư (Indoor Potty) + Thảm cỏ ban công (Grass Patch) + Đồ chơi</t>
        </is>
      </c>
      <c r="S753" s="6" t="inlineStr">
        <is>
          <t>Cấp C Chi phí thấp: Nhắn tin trực tiếp qua Fanpage Facebook/Instagram + Nuôi dưỡng nội dung</t>
        </is>
      </c>
    </row>
    <row r="754">
      <c r="A754" s="59" t="n">
        <v>246</v>
      </c>
      <c r="B754" s="15" t="inlineStr">
        <is>
          <t>Piglet, the deaf blind pink puppy.</t>
        </is>
      </c>
      <c r="C754" s="60" t="inlineStr">
        <is>
          <t>https://www.facebook.com/pinkpigletpuppy</t>
        </is>
      </c>
      <c r="D754" s="9" t="inlineStr">
        <is>
          <t>Cần quét Bio Fanpage</t>
        </is>
      </c>
      <c r="E754" s="59" t="inlineStr">
        <is>
          <t>12/10/2026 05:25:53</t>
        </is>
      </c>
      <c r="F754" s="59" t="inlineStr">
        <is>
          <t>19 giờ trước</t>
        </is>
      </c>
      <c r="G754" s="61" t="n">
        <v>0.79</v>
      </c>
      <c r="H754" s="62" t="n">
        <v>32</v>
      </c>
      <c r="I754" s="9" t="inlineStr">
        <is>
          <t>Pet Owner / Kênh cá nhân thú cưng (10đ)</t>
        </is>
      </c>
      <c r="J754" s="62" t="n">
        <v>10</v>
      </c>
      <c r="K754" s="9" t="inlineStr">
        <is>
          <t>Chưa rõ giống (Cần quét Bio)</t>
        </is>
      </c>
      <c r="L754" s="62" t="n">
        <v>0</v>
      </c>
      <c r="M754" s="62" t="n">
        <v>5</v>
      </c>
      <c r="N754" s="9" t="inlineStr">
        <is>
          <t>Amazon link not found</t>
        </is>
      </c>
      <c r="O754" s="62">
        <f>IF(N754="Selling pet toys + Artificial grass/Pet toilets (TARGET)",15,IF(N754="Selling artificial grass/pet toilets (TARGET)",10,IF(N754="Selling pet toys",7,IF(N754="There's an Amazon link, but no target sales.",3,0))))</f>
        <v/>
      </c>
      <c r="P754" s="67">
        <f>H754+J754+L754+M754+O754</f>
        <v/>
      </c>
      <c r="Q754" s="69">
        <f>IF(OR(H754=0,P754&lt;30),"Tier D (Đóng băng)",IF(P754&gt;=85,"Tier S (Kim Cương: 85-100đ)",IF(P754&gt;=70,"Tier A (Vàng: 70-84đ)",IF(P754&gt;=61,"Tier B+ / Cấp A (Hot Lead: 61-69đ)",IF(P754&gt;=50,"Tier B (Bạc: 50-60đ)","Tier C (Đồng: 30-49đ)")))))</f>
        <v/>
      </c>
      <c r="R754" s="9" t="inlineStr">
        <is>
          <t>Khay vệ sinh trong nhà (Indoor Dog Potty) + Đồ chơi thú cưng lẻ</t>
        </is>
      </c>
      <c r="S754" s="9" t="inlineStr">
        <is>
          <t>Cấp C Chi phí thấp: Nhắn tin trực tiếp qua Fanpage Facebook/Instagram + Nuôi dưỡng nội dung</t>
        </is>
      </c>
    </row>
    <row r="755">
      <c r="A755" s="53" t="n">
        <v>826</v>
      </c>
      <c r="B755" s="12" t="inlineStr">
        <is>
          <t>Canine &amp; Co. Dog Resort</t>
        </is>
      </c>
      <c r="C755" s="54" t="inlineStr">
        <is>
          <t>https://www.facebook.com/caninecoresort</t>
        </is>
      </c>
      <c r="D755" s="6" t="inlineStr">
        <is>
          <t>Cần quét Bio Fanpage</t>
        </is>
      </c>
      <c r="E755" s="53" t="inlineStr">
        <is>
          <t>08/10/2026 22:00:08</t>
        </is>
      </c>
      <c r="F755" s="53" t="inlineStr">
        <is>
          <t>4 ngày trước</t>
        </is>
      </c>
      <c r="G755" s="55" t="n">
        <v>4</v>
      </c>
      <c r="H755" s="56" t="n">
        <v>20</v>
      </c>
      <c r="I755" s="6" t="inlineStr">
        <is>
          <t>Pet Boarding / Huấn luyện K9 &amp; Dịch vụ (20-22đ)</t>
        </is>
      </c>
      <c r="J755" s="56" t="n">
        <v>22</v>
      </c>
      <c r="K755" s="6" t="inlineStr">
        <is>
          <t>Chưa rõ giống (Cần quét Bio)</t>
        </is>
      </c>
      <c r="L755" s="56" t="n">
        <v>0</v>
      </c>
      <c r="M755" s="56" t="n">
        <v>5</v>
      </c>
      <c r="N755" s="6" t="inlineStr">
        <is>
          <t>Amazon link not found</t>
        </is>
      </c>
      <c r="O755" s="56">
        <f>IF(N755="Selling pet toys + Artificial grass/Pet toilets (TARGET)",15,IF(N755="Selling artificial grass/pet toilets (TARGET)",10,IF(N755="Selling pet toys",7,IF(N755="There's an Amazon link, but no target sales.",3,0))))</f>
        <v/>
      </c>
      <c r="P755" s="65">
        <f>H755+J755+L755+M755+O755</f>
        <v/>
      </c>
      <c r="Q755" s="69">
        <f>IF(OR(H755=0,P755&lt;30),"Tier D (Đóng băng)",IF(P755&gt;=85,"Tier S (Kim Cương: 85-100đ)",IF(P755&gt;=70,"Tier A (Vàng: 70-84đ)",IF(P755&gt;=61,"Tier B+ / Cấp A (Hot Lead: 61-69đ)",IF(P755&gt;=50,"Tier B (Bạc: 50-60đ)","Tier C (Đồng: 30-49đ)")))))</f>
        <v/>
      </c>
      <c r="R755" s="6" t="inlineStr">
        <is>
          <t>Cỏ nhân tạo sân chơi/huấn luyện (Dog Turf) + Đồ chơi nhai chịu lực (KONG/Chew Toys)</t>
        </is>
      </c>
      <c r="S755" s="6" t="inlineStr">
        <is>
          <t>Cấp C Chi phí thấp: Nhắn tin trực tiếp qua Fanpage Facebook/Instagram + Nuôi dưỡng nội dung</t>
        </is>
      </c>
    </row>
    <row r="756">
      <c r="A756" s="59" t="n">
        <v>1791</v>
      </c>
      <c r="B756" s="15" t="inlineStr">
        <is>
          <t>Jumpstart Puppy Academy</t>
        </is>
      </c>
      <c r="C756" s="60" t="inlineStr">
        <is>
          <t>https://www.facebook.com/profile.php?id=61586293392245</t>
        </is>
      </c>
      <c r="D756" s="9" t="inlineStr">
        <is>
          <t>Cần quét Bio Fanpage</t>
        </is>
      </c>
      <c r="E756" s="59" t="inlineStr">
        <is>
          <t>08/10/2026 20:09:47</t>
        </is>
      </c>
      <c r="F756" s="59" t="inlineStr">
        <is>
          <t>4 ngày trước</t>
        </is>
      </c>
      <c r="G756" s="61" t="n">
        <v>4</v>
      </c>
      <c r="H756" s="62" t="n">
        <v>20</v>
      </c>
      <c r="I756" s="9" t="inlineStr">
        <is>
          <t>Pet Boarding / Huấn luyện K9 &amp; Dịch vụ (20-22đ)</t>
        </is>
      </c>
      <c r="J756" s="62" t="n">
        <v>22</v>
      </c>
      <c r="K756" s="9" t="inlineStr">
        <is>
          <t>Chưa rõ giống (Cần quét Bio)</t>
        </is>
      </c>
      <c r="L756" s="62" t="n">
        <v>0</v>
      </c>
      <c r="M756" s="62" t="n">
        <v>5</v>
      </c>
      <c r="N756" s="9" t="inlineStr">
        <is>
          <t>Amazon link not found</t>
        </is>
      </c>
      <c r="O756" s="62">
        <f>IF(N756="Selling pet toys + Artificial grass/Pet toilets (TARGET)",15,IF(N756="Selling artificial grass/pet toilets (TARGET)",10,IF(N756="Selling pet toys",7,IF(N756="There's an Amazon link, but no target sales.",3,0))))</f>
        <v/>
      </c>
      <c r="P756" s="67">
        <f>H756+J756+L756+M756+O756</f>
        <v/>
      </c>
      <c r="Q756" s="69">
        <f>IF(OR(H756=0,P756&lt;30),"Tier D (Đóng băng)",IF(P756&gt;=85,"Tier S (Kim Cương: 85-100đ)",IF(P756&gt;=70,"Tier A (Vàng: 70-84đ)",IF(P756&gt;=61,"Tier B+ / Cấp A (Hot Lead: 61-69đ)",IF(P756&gt;=50,"Tier B (Bạc: 50-60đ)","Tier C (Đồng: 30-49đ)")))))</f>
        <v/>
      </c>
      <c r="R756" s="9" t="inlineStr">
        <is>
          <t>Cỏ nhân tạo sân chơi/huấn luyện (Dog Turf) + Đồ chơi nhai chịu lực (KONG/Chew Toys)</t>
        </is>
      </c>
      <c r="S756" s="9" t="inlineStr">
        <is>
          <t>Cấp C Chi phí thấp: Nhắn tin trực tiếp qua Fanpage Facebook/Instagram + Nuôi dưỡng nội dung</t>
        </is>
      </c>
    </row>
    <row r="757">
      <c r="A757" s="53" t="n">
        <v>2226</v>
      </c>
      <c r="B757" s="12" t="inlineStr">
        <is>
          <t>MP Dog Training Academy</t>
        </is>
      </c>
      <c r="C757" s="54" t="inlineStr">
        <is>
          <t>https://www.facebook.com/profile.php?id=100059349500611</t>
        </is>
      </c>
      <c r="D757" s="6" t="inlineStr">
        <is>
          <t>Cần quét Bio Fanpage</t>
        </is>
      </c>
      <c r="E757" s="53" t="inlineStr">
        <is>
          <t>08/10/2026 18:32:16</t>
        </is>
      </c>
      <c r="F757" s="53" t="inlineStr">
        <is>
          <t>4 ngày trước</t>
        </is>
      </c>
      <c r="G757" s="55" t="n">
        <v>4</v>
      </c>
      <c r="H757" s="56" t="n">
        <v>20</v>
      </c>
      <c r="I757" s="6" t="inlineStr">
        <is>
          <t>Pet Boarding / Huấn luyện K9 &amp; Dịch vụ (20-22đ)</t>
        </is>
      </c>
      <c r="J757" s="56" t="n">
        <v>22</v>
      </c>
      <c r="K757" s="6" t="inlineStr">
        <is>
          <t>Chưa rõ giống (Cần quét Bio)</t>
        </is>
      </c>
      <c r="L757" s="56" t="n">
        <v>0</v>
      </c>
      <c r="M757" s="56" t="n">
        <v>5</v>
      </c>
      <c r="N757" s="6" t="inlineStr">
        <is>
          <t>Amazon link not found</t>
        </is>
      </c>
      <c r="O757" s="56">
        <f>IF(N757="Selling pet toys + Artificial grass/Pet toilets (TARGET)",15,IF(N757="Selling artificial grass/pet toilets (TARGET)",10,IF(N757="Selling pet toys",7,IF(N757="There's an Amazon link, but no target sales.",3,0))))</f>
        <v/>
      </c>
      <c r="P757" s="65">
        <f>H757+J757+L757+M757+O757</f>
        <v/>
      </c>
      <c r="Q757" s="69">
        <f>IF(OR(H757=0,P757&lt;30),"Tier D (Đóng băng)",IF(P757&gt;=85,"Tier S (Kim Cương: 85-100đ)",IF(P757&gt;=70,"Tier A (Vàng: 70-84đ)",IF(P757&gt;=61,"Tier B+ / Cấp A (Hot Lead: 61-69đ)",IF(P757&gt;=50,"Tier B (Bạc: 50-60đ)","Tier C (Đồng: 30-49đ)")))))</f>
        <v/>
      </c>
      <c r="R757" s="6" t="inlineStr">
        <is>
          <t>Cỏ nhân tạo sân chơi/huấn luyện (Dog Turf) + Đồ chơi nhai chịu lực (KONG/Chew Toys)</t>
        </is>
      </c>
      <c r="S757" s="6" t="inlineStr">
        <is>
          <t>Cấp C Chi phí thấp: Nhắn tin trực tiếp qua Fanpage Facebook/Instagram + Nuôi dưỡng nội dung</t>
        </is>
      </c>
    </row>
    <row r="758">
      <c r="A758" s="59" t="n">
        <v>3198</v>
      </c>
      <c r="B758" s="15" t="inlineStr">
        <is>
          <t>Tobias Oleynik Online Dog Training Academy</t>
        </is>
      </c>
      <c r="C758" s="60" t="inlineStr">
        <is>
          <t>https://www.facebook.com/TrackingObedienceProtection</t>
        </is>
      </c>
      <c r="D758" s="9" t="inlineStr">
        <is>
          <t>Cần quét Bio Fanpage</t>
        </is>
      </c>
      <c r="E758" s="59" t="inlineStr">
        <is>
          <t>08/10/2026 01:59:30</t>
        </is>
      </c>
      <c r="F758" s="59" t="inlineStr">
        <is>
          <t>5 ngày trước</t>
        </is>
      </c>
      <c r="G758" s="61" t="n">
        <v>5</v>
      </c>
      <c r="H758" s="62" t="n">
        <v>20</v>
      </c>
      <c r="I758" s="9" t="inlineStr">
        <is>
          <t>Pet Boarding / Huấn luyện K9 &amp; Dịch vụ (20-22đ)</t>
        </is>
      </c>
      <c r="J758" s="62" t="n">
        <v>22</v>
      </c>
      <c r="K758" s="9" t="inlineStr">
        <is>
          <t>Chưa rõ giống (Cần quét Bio)</t>
        </is>
      </c>
      <c r="L758" s="62" t="n">
        <v>0</v>
      </c>
      <c r="M758" s="62" t="n">
        <v>5</v>
      </c>
      <c r="N758" s="9" t="inlineStr">
        <is>
          <t>Amazon link not found</t>
        </is>
      </c>
      <c r="O758" s="62">
        <f>IF(N758="Selling pet toys + Artificial grass/Pet toilets (TARGET)",15,IF(N758="Selling artificial grass/pet toilets (TARGET)",10,IF(N758="Selling pet toys",7,IF(N758="There's an Amazon link, but no target sales.",3,0))))</f>
        <v/>
      </c>
      <c r="P758" s="67">
        <f>H758+J758+L758+M758+O758</f>
        <v/>
      </c>
      <c r="Q758" s="69">
        <f>IF(OR(H758=0,P758&lt;30),"Tier D (Đóng băng)",IF(P758&gt;=85,"Tier S (Kim Cương: 85-100đ)",IF(P758&gt;=70,"Tier A (Vàng: 70-84đ)",IF(P758&gt;=61,"Tier B+ / Cấp A (Hot Lead: 61-69đ)",IF(P758&gt;=50,"Tier B (Bạc: 50-60đ)","Tier C (Đồng: 30-49đ)")))))</f>
        <v/>
      </c>
      <c r="R758" s="9" t="inlineStr">
        <is>
          <t>Cỏ nhân tạo sân chơi/huấn luyện (Dog Turf) + Đồ chơi nhai chịu lực (KONG/Chew Toys)</t>
        </is>
      </c>
      <c r="S758" s="9" t="inlineStr">
        <is>
          <t>Cấp C Chi phí thấp: Nhắn tin trực tiếp qua Fanpage Facebook/Instagram + Nuôi dưỡng nội dung</t>
        </is>
      </c>
    </row>
    <row r="759">
      <c r="A759" s="53" t="n">
        <v>1062</v>
      </c>
      <c r="B759" s="12" t="inlineStr">
        <is>
          <t>Dog Gone Smart - Aqua Center</t>
        </is>
      </c>
      <c r="C759" s="54" t="inlineStr">
        <is>
          <t>https://www.facebook.com/dgsswims</t>
        </is>
      </c>
      <c r="D759" s="6" t="inlineStr">
        <is>
          <t>Cần quét Bio Fanpage</t>
        </is>
      </c>
      <c r="E759" s="53" t="inlineStr">
        <is>
          <t>08/10/2026 01:15:27</t>
        </is>
      </c>
      <c r="F759" s="53" t="inlineStr">
        <is>
          <t>5 ngày trước</t>
        </is>
      </c>
      <c r="G759" s="55" t="n">
        <v>5</v>
      </c>
      <c r="H759" s="56" t="n">
        <v>20</v>
      </c>
      <c r="I759" s="6" t="inlineStr">
        <is>
          <t>Pet Boarding / Huấn luyện K9 &amp; Dịch vụ (20-22đ)</t>
        </is>
      </c>
      <c r="J759" s="56" t="n">
        <v>22</v>
      </c>
      <c r="K759" s="6" t="inlineStr">
        <is>
          <t>Chưa rõ giống (Cần quét Bio)</t>
        </is>
      </c>
      <c r="L759" s="56" t="n">
        <v>0</v>
      </c>
      <c r="M759" s="56" t="n">
        <v>5</v>
      </c>
      <c r="N759" s="6" t="inlineStr">
        <is>
          <t>Amazon link not found</t>
        </is>
      </c>
      <c r="O759" s="56">
        <f>IF(N759="Selling pet toys + Artificial grass/Pet toilets (TARGET)",15,IF(N759="Selling artificial grass/pet toilets (TARGET)",10,IF(N759="Selling pet toys",7,IF(N759="There's an Amazon link, but no target sales.",3,0))))</f>
        <v/>
      </c>
      <c r="P759" s="65">
        <f>H759+J759+L759+M759+O759</f>
        <v/>
      </c>
      <c r="Q759" s="69">
        <f>IF(OR(H759=0,P759&lt;30),"Tier D (Đóng băng)",IF(P759&gt;=85,"Tier S (Kim Cương: 85-100đ)",IF(P759&gt;=70,"Tier A (Vàng: 70-84đ)",IF(P759&gt;=61,"Tier B+ / Cấp A (Hot Lead: 61-69đ)",IF(P759&gt;=50,"Tier B (Bạc: 50-60đ)","Tier C (Đồng: 30-49đ)")))))</f>
        <v/>
      </c>
      <c r="R759" s="6" t="inlineStr">
        <is>
          <t>Cỏ nhân tạo sân chơi/huấn luyện (Dog Turf) + Đồ chơi nhai chịu lực (KONG/Chew Toys)</t>
        </is>
      </c>
      <c r="S759" s="6" t="inlineStr">
        <is>
          <t>Cấp C Chi phí thấp: Nhắn tin trực tiếp qua Fanpage Facebook/Instagram + Nuôi dưỡng nội dung</t>
        </is>
      </c>
    </row>
    <row r="760">
      <c r="A760" s="59" t="n">
        <v>967</v>
      </c>
      <c r="B760" s="15" t="inlineStr">
        <is>
          <t>Crossbones Dog Academy</t>
        </is>
      </c>
      <c r="C760" s="60" t="inlineStr">
        <is>
          <t>https://www.facebook.com/XbonesDog</t>
        </is>
      </c>
      <c r="D760" s="9" t="inlineStr">
        <is>
          <t>Cần quét Bio Fanpage</t>
        </is>
      </c>
      <c r="E760" s="59" t="inlineStr">
        <is>
          <t>07/10/2026 03:34:16</t>
        </is>
      </c>
      <c r="F760" s="59" t="inlineStr">
        <is>
          <t>5 ngày trước</t>
        </is>
      </c>
      <c r="G760" s="61" t="n">
        <v>5</v>
      </c>
      <c r="H760" s="62" t="n">
        <v>20</v>
      </c>
      <c r="I760" s="9" t="inlineStr">
        <is>
          <t>Pet Boarding / Huấn luyện K9 &amp; Dịch vụ (20-22đ)</t>
        </is>
      </c>
      <c r="J760" s="62" t="n">
        <v>22</v>
      </c>
      <c r="K760" s="9" t="inlineStr">
        <is>
          <t>Chưa rõ giống (Cần quét Bio)</t>
        </is>
      </c>
      <c r="L760" s="62" t="n">
        <v>0</v>
      </c>
      <c r="M760" s="62" t="n">
        <v>5</v>
      </c>
      <c r="N760" s="9" t="inlineStr">
        <is>
          <t>Amazon link not found</t>
        </is>
      </c>
      <c r="O760" s="62">
        <f>IF(N760="Selling pet toys + Artificial grass/Pet toilets (TARGET)",15,IF(N760="Selling artificial grass/pet toilets (TARGET)",10,IF(N760="Selling pet toys",7,IF(N760="There's an Amazon link, but no target sales.",3,0))))</f>
        <v/>
      </c>
      <c r="P760" s="67">
        <f>H760+J760+L760+M760+O760</f>
        <v/>
      </c>
      <c r="Q760" s="69">
        <f>IF(OR(H760=0,P760&lt;30),"Tier D (Đóng băng)",IF(P760&gt;=85,"Tier S (Kim Cương: 85-100đ)",IF(P760&gt;=70,"Tier A (Vàng: 70-84đ)",IF(P760&gt;=61,"Tier B+ / Cấp A (Hot Lead: 61-69đ)",IF(P760&gt;=50,"Tier B (Bạc: 50-60đ)","Tier C (Đồng: 30-49đ)")))))</f>
        <v/>
      </c>
      <c r="R760" s="9" t="inlineStr">
        <is>
          <t>Cỏ nhân tạo sân chơi/huấn luyện (Dog Turf) + Đồ chơi nhai chịu lực (KONG/Chew Toys)</t>
        </is>
      </c>
      <c r="S760" s="9" t="inlineStr">
        <is>
          <t>Cấp C Chi phí thấp: Nhắn tin trực tiếp qua Fanpage Facebook/Instagram + Nuôi dưỡng nội dung</t>
        </is>
      </c>
    </row>
    <row r="761">
      <c r="A761" s="53" t="n">
        <v>1006</v>
      </c>
      <c r="B761" s="12" t="inlineStr">
        <is>
          <t>Day Hill Dog Training, LLC</t>
        </is>
      </c>
      <c r="C761" s="54" t="inlineStr">
        <is>
          <t>https://www.facebook.com/dayhilltraining</t>
        </is>
      </c>
      <c r="D761" s="6" t="inlineStr">
        <is>
          <t>Cần quét Bio Fanpage</t>
        </is>
      </c>
      <c r="E761" s="53" t="inlineStr">
        <is>
          <t>06/10/2026 22:01:34</t>
        </is>
      </c>
      <c r="F761" s="53" t="inlineStr">
        <is>
          <t>6 ngày trước</t>
        </is>
      </c>
      <c r="G761" s="55" t="n">
        <v>6</v>
      </c>
      <c r="H761" s="56" t="n">
        <v>20</v>
      </c>
      <c r="I761" s="6" t="inlineStr">
        <is>
          <t>Pet Boarding / Huấn luyện K9 &amp; Dịch vụ (20-22đ)</t>
        </is>
      </c>
      <c r="J761" s="56" t="n">
        <v>22</v>
      </c>
      <c r="K761" s="6" t="inlineStr">
        <is>
          <t>Chưa rõ giống (Cần quét Bio)</t>
        </is>
      </c>
      <c r="L761" s="56" t="n">
        <v>0</v>
      </c>
      <c r="M761" s="56" t="n">
        <v>5</v>
      </c>
      <c r="N761" s="6" t="inlineStr">
        <is>
          <t>Amazon link not found</t>
        </is>
      </c>
      <c r="O761" s="56">
        <f>IF(N761="Selling pet toys + Artificial grass/Pet toilets (TARGET)",15,IF(N761="Selling artificial grass/pet toilets (TARGET)",10,IF(N761="Selling pet toys",7,IF(N761="There's an Amazon link, but no target sales.",3,0))))</f>
        <v/>
      </c>
      <c r="P761" s="65">
        <f>H761+J761+L761+M761+O761</f>
        <v/>
      </c>
      <c r="Q761" s="69">
        <f>IF(OR(H761=0,P761&lt;30),"Tier D (Đóng băng)",IF(P761&gt;=85,"Tier S (Kim Cương: 85-100đ)",IF(P761&gt;=70,"Tier A (Vàng: 70-84đ)",IF(P761&gt;=61,"Tier B+ / Cấp A (Hot Lead: 61-69đ)",IF(P761&gt;=50,"Tier B (Bạc: 50-60đ)","Tier C (Đồng: 30-49đ)")))))</f>
        <v/>
      </c>
      <c r="R761" s="6" t="inlineStr">
        <is>
          <t>Cỏ nhân tạo sân chơi/huấn luyện (Dog Turf) + Đồ chơi nhai chịu lực (KONG/Chew Toys)</t>
        </is>
      </c>
      <c r="S761" s="6" t="inlineStr">
        <is>
          <t>Cấp C Chi phí thấp: Nhắn tin trực tiếp qua Fanpage Facebook/Instagram + Nuôi dưỡng nội dung</t>
        </is>
      </c>
    </row>
    <row r="762">
      <c r="A762" s="59" t="n">
        <v>2413</v>
      </c>
      <c r="B762" s="15" t="inlineStr">
        <is>
          <t>Paws Pack Dog Training &amp; Sports LLC</t>
        </is>
      </c>
      <c r="C762" s="60" t="inlineStr">
        <is>
          <t>https://www.facebook.com/PawsPackAgility</t>
        </is>
      </c>
      <c r="D762" s="9" t="inlineStr">
        <is>
          <t>Cần quét Bio Fanpage</t>
        </is>
      </c>
      <c r="E762" s="59" t="inlineStr">
        <is>
          <t>06/10/2026 18:15:09</t>
        </is>
      </c>
      <c r="F762" s="59" t="inlineStr">
        <is>
          <t>6 ngày trước</t>
        </is>
      </c>
      <c r="G762" s="61" t="n">
        <v>6</v>
      </c>
      <c r="H762" s="62" t="n">
        <v>20</v>
      </c>
      <c r="I762" s="9" t="inlineStr">
        <is>
          <t>Pet Boarding / Huấn luyện K9 &amp; Dịch vụ (20-22đ)</t>
        </is>
      </c>
      <c r="J762" s="62" t="n">
        <v>22</v>
      </c>
      <c r="K762" s="9" t="inlineStr">
        <is>
          <t>Chưa rõ giống (Cần quét Bio)</t>
        </is>
      </c>
      <c r="L762" s="62" t="n">
        <v>0</v>
      </c>
      <c r="M762" s="62" t="n">
        <v>5</v>
      </c>
      <c r="N762" s="9" t="inlineStr">
        <is>
          <t>Amazon link not found</t>
        </is>
      </c>
      <c r="O762" s="62">
        <f>IF(N762="Selling pet toys + Artificial grass/Pet toilets (TARGET)",15,IF(N762="Selling artificial grass/pet toilets (TARGET)",10,IF(N762="Selling pet toys",7,IF(N762="There's an Amazon link, but no target sales.",3,0))))</f>
        <v/>
      </c>
      <c r="P762" s="67">
        <f>H762+J762+L762+M762+O762</f>
        <v/>
      </c>
      <c r="Q762" s="69">
        <f>IF(OR(H762=0,P762&lt;30),"Tier D (Đóng băng)",IF(P762&gt;=85,"Tier S (Kim Cương: 85-100đ)",IF(P762&gt;=70,"Tier A (Vàng: 70-84đ)",IF(P762&gt;=61,"Tier B+ / Cấp A (Hot Lead: 61-69đ)",IF(P762&gt;=50,"Tier B (Bạc: 50-60đ)","Tier C (Đồng: 30-49đ)")))))</f>
        <v/>
      </c>
      <c r="R762" s="9" t="inlineStr">
        <is>
          <t>Cỏ nhân tạo sân chơi/huấn luyện (Dog Turf) + Đồ chơi nhai chịu lực (KONG/Chew Toys)</t>
        </is>
      </c>
      <c r="S762" s="9" t="inlineStr">
        <is>
          <t>Cấp C Chi phí thấp: Nhắn tin trực tiếp qua Fanpage Facebook/Instagram + Nuôi dưỡng nội dung</t>
        </is>
      </c>
    </row>
    <row r="763">
      <c r="A763" s="53" t="n">
        <v>1826</v>
      </c>
      <c r="B763" s="12" t="inlineStr">
        <is>
          <t>K9 Trial Services</t>
        </is>
      </c>
      <c r="C763" s="54" t="inlineStr">
        <is>
          <t>https://www.facebook.com/profile.php?id=61561304873395</t>
        </is>
      </c>
      <c r="D763" s="6" t="inlineStr">
        <is>
          <t>Cần quét Bio Fanpage</t>
        </is>
      </c>
      <c r="E763" s="53" t="inlineStr">
        <is>
          <t>05/10/2026 06:36:25</t>
        </is>
      </c>
      <c r="F763" s="53" t="inlineStr">
        <is>
          <t>1 tuần trước</t>
        </is>
      </c>
      <c r="G763" s="55" t="n">
        <v>7</v>
      </c>
      <c r="H763" s="56" t="n">
        <v>20</v>
      </c>
      <c r="I763" s="6" t="inlineStr">
        <is>
          <t>Pet Boarding / Huấn luyện K9 &amp; Dịch vụ (20-22đ)</t>
        </is>
      </c>
      <c r="J763" s="56" t="n">
        <v>22</v>
      </c>
      <c r="K763" s="6" t="inlineStr">
        <is>
          <t>Chưa rõ giống (Cần quét Bio)</t>
        </is>
      </c>
      <c r="L763" s="56" t="n">
        <v>0</v>
      </c>
      <c r="M763" s="56" t="n">
        <v>5</v>
      </c>
      <c r="N763" s="6" t="inlineStr">
        <is>
          <t>Amazon link not found</t>
        </is>
      </c>
      <c r="O763" s="56">
        <f>IF(N763="Selling pet toys + Artificial grass/Pet toilets (TARGET)",15,IF(N763="Selling artificial grass/pet toilets (TARGET)",10,IF(N763="Selling pet toys",7,IF(N763="There's an Amazon link, but no target sales.",3,0))))</f>
        <v/>
      </c>
      <c r="P763" s="65">
        <f>H763+J763+L763+M763+O763</f>
        <v/>
      </c>
      <c r="Q763" s="69">
        <f>IF(OR(H763=0,P763&lt;30),"Tier D (Đóng băng)",IF(P763&gt;=85,"Tier S (Kim Cương: 85-100đ)",IF(P763&gt;=70,"Tier A (Vàng: 70-84đ)",IF(P763&gt;=61,"Tier B+ / Cấp A (Hot Lead: 61-69đ)",IF(P763&gt;=50,"Tier B (Bạc: 50-60đ)","Tier C (Đồng: 30-49đ)")))))</f>
        <v/>
      </c>
      <c r="R763" s="6" t="inlineStr">
        <is>
          <t>Cỏ nhân tạo sân chơi/huấn luyện (Dog Turf) + Đồ chơi nhai chịu lực (KONG/Chew Toys)</t>
        </is>
      </c>
      <c r="S763" s="6" t="inlineStr">
        <is>
          <t>Cấp C Chi phí thấp: Nhắn tin trực tiếp qua Fanpage Facebook/Instagram + Nuôi dưỡng nội dung</t>
        </is>
      </c>
    </row>
    <row r="764">
      <c r="A764" s="59" t="n">
        <v>1722</v>
      </c>
      <c r="B764" s="15" t="inlineStr">
        <is>
          <t>INBTI-InterNational Bloodhound Training Institute</t>
        </is>
      </c>
      <c r="C764" s="60" t="inlineStr">
        <is>
          <t>https://www.facebook.com/INBTI</t>
        </is>
      </c>
      <c r="D764" s="9" t="inlineStr">
        <is>
          <t>Cần quét Bio Fanpage</t>
        </is>
      </c>
      <c r="E764" s="59" t="inlineStr">
        <is>
          <t>04/10/2026 20:35:38</t>
        </is>
      </c>
      <c r="F764" s="59" t="inlineStr">
        <is>
          <t>1 tuần trước</t>
        </is>
      </c>
      <c r="G764" s="61" t="n">
        <v>7</v>
      </c>
      <c r="H764" s="62" t="n">
        <v>20</v>
      </c>
      <c r="I764" s="9" t="inlineStr">
        <is>
          <t>Pet Boarding / Huấn luyện K9 &amp; Dịch vụ (20-22đ)</t>
        </is>
      </c>
      <c r="J764" s="62" t="n">
        <v>22</v>
      </c>
      <c r="K764" s="9" t="inlineStr">
        <is>
          <t>Hound / Beagle / Basset</t>
        </is>
      </c>
      <c r="L764" s="62" t="n">
        <v>5</v>
      </c>
      <c r="M764" s="62" t="n">
        <v>0</v>
      </c>
      <c r="N764" s="9" t="inlineStr">
        <is>
          <t>Amazon link not found</t>
        </is>
      </c>
      <c r="O764" s="62">
        <f>IF(N764="Selling pet toys + Artificial grass/Pet toilets (TARGET)",15,IF(N764="Selling artificial grass/pet toilets (TARGET)",10,IF(N764="Selling pet toys",7,IF(N764="There's an Amazon link, but no target sales.",3,0))))</f>
        <v/>
      </c>
      <c r="P764" s="67">
        <f>H764+J764+L764+M764+O764</f>
        <v/>
      </c>
      <c r="Q764" s="69">
        <f>IF(OR(H764=0,P764&lt;30),"Tier D (Đóng băng)",IF(P764&gt;=85,"Tier S (Kim Cương: 85-100đ)",IF(P764&gt;=70,"Tier A (Vàng: 70-84đ)",IF(P764&gt;=61,"Tier B+ / Cấp A (Hot Lead: 61-69đ)",IF(P764&gt;=50,"Tier B (Bạc: 50-60đ)","Tier C (Đồng: 30-49đ)")))))</f>
        <v/>
      </c>
      <c r="R764" s="9" t="inlineStr">
        <is>
          <t>Cỏ nhân tạo sân chơi/huấn luyện (Dog Turf) + Đồ chơi nhai chịu lực (KONG/Chew Toys)</t>
        </is>
      </c>
      <c r="S764" s="9" t="inlineStr">
        <is>
          <t>Cấp C Chi phí thấp: Nhắn tin trực tiếp qua Fanpage Facebook/Instagram + Nuôi dưỡng nội dung</t>
        </is>
      </c>
    </row>
    <row r="765">
      <c r="A765" s="53" t="n">
        <v>2414</v>
      </c>
      <c r="B765" s="12" t="inlineStr">
        <is>
          <t>Paws Truly, Personalized Pet Services</t>
        </is>
      </c>
      <c r="C765" s="54" t="inlineStr">
        <is>
          <t>https://www.facebook.com/profile.php?id=61578534628660</t>
        </is>
      </c>
      <c r="D765" s="6" t="inlineStr">
        <is>
          <t>Cần quét Bio Fanpage</t>
        </is>
      </c>
      <c r="E765" s="53" t="inlineStr">
        <is>
          <t>03/10/2026 20:56:29</t>
        </is>
      </c>
      <c r="F765" s="53" t="inlineStr">
        <is>
          <t>1 tuần trước</t>
        </is>
      </c>
      <c r="G765" s="55" t="n">
        <v>7</v>
      </c>
      <c r="H765" s="56" t="n">
        <v>20</v>
      </c>
      <c r="I765" s="6" t="inlineStr">
        <is>
          <t>Pet Boarding / Huấn luyện K9 &amp; Dịch vụ (20-22đ)</t>
        </is>
      </c>
      <c r="J765" s="56" t="n">
        <v>22</v>
      </c>
      <c r="K765" s="6" t="inlineStr">
        <is>
          <t>Chưa rõ giống (Cần quét Bio)</t>
        </is>
      </c>
      <c r="L765" s="56" t="n">
        <v>0</v>
      </c>
      <c r="M765" s="56" t="n">
        <v>5</v>
      </c>
      <c r="N765" s="6" t="inlineStr">
        <is>
          <t>Amazon link not found</t>
        </is>
      </c>
      <c r="O765" s="56">
        <f>IF(N765="Selling pet toys + Artificial grass/Pet toilets (TARGET)",15,IF(N765="Selling artificial grass/pet toilets (TARGET)",10,IF(N765="Selling pet toys",7,IF(N765="There's an Amazon link, but no target sales.",3,0))))</f>
        <v/>
      </c>
      <c r="P765" s="65">
        <f>H765+J765+L765+M765+O765</f>
        <v/>
      </c>
      <c r="Q765" s="69">
        <f>IF(OR(H765=0,P765&lt;30),"Tier D (Đóng băng)",IF(P765&gt;=85,"Tier S (Kim Cương: 85-100đ)",IF(P765&gt;=70,"Tier A (Vàng: 70-84đ)",IF(P765&gt;=61,"Tier B+ / Cấp A (Hot Lead: 61-69đ)",IF(P765&gt;=50,"Tier B (Bạc: 50-60đ)","Tier C (Đồng: 30-49đ)")))))</f>
        <v/>
      </c>
      <c r="R765" s="6" t="inlineStr">
        <is>
          <t>Cỏ nhân tạo sân chơi/huấn luyện (Dog Turf) + Đồ chơi nhai chịu lực (KONG/Chew Toys)</t>
        </is>
      </c>
      <c r="S765" s="6" t="inlineStr">
        <is>
          <t>Cấp C Chi phí thấp: Nhắn tin trực tiếp qua Fanpage Facebook/Instagram + Nuôi dưỡng nội dung</t>
        </is>
      </c>
    </row>
    <row r="766">
      <c r="A766" s="59" t="n">
        <v>769</v>
      </c>
      <c r="B766" s="15" t="inlineStr">
        <is>
          <t>Brookside Pet Training Studio for Dogs</t>
        </is>
      </c>
      <c r="C766" s="60" t="inlineStr">
        <is>
          <t>https://www.facebook.com/profile.php?id=100063645996594</t>
        </is>
      </c>
      <c r="D766" s="9" t="inlineStr">
        <is>
          <t>Cần quét Bio Fanpage</t>
        </is>
      </c>
      <c r="E766" s="59" t="inlineStr">
        <is>
          <t>02/10/2026 09:34:43</t>
        </is>
      </c>
      <c r="F766" s="59" t="inlineStr">
        <is>
          <t>1 tuần trước</t>
        </is>
      </c>
      <c r="G766" s="61" t="n">
        <v>7</v>
      </c>
      <c r="H766" s="62" t="n">
        <v>20</v>
      </c>
      <c r="I766" s="9" t="inlineStr">
        <is>
          <t>Pet Boarding / Huấn luyện K9 &amp; Dịch vụ (20-22đ)</t>
        </is>
      </c>
      <c r="J766" s="62" t="n">
        <v>22</v>
      </c>
      <c r="K766" s="9" t="inlineStr">
        <is>
          <t>Chưa rõ giống (Cần quét Bio)</t>
        </is>
      </c>
      <c r="L766" s="62" t="n">
        <v>0</v>
      </c>
      <c r="M766" s="62" t="n">
        <v>5</v>
      </c>
      <c r="N766" s="9" t="inlineStr">
        <is>
          <t>Amazon link not found</t>
        </is>
      </c>
      <c r="O766" s="62">
        <f>IF(N766="Selling pet toys + Artificial grass/Pet toilets (TARGET)",15,IF(N766="Selling artificial grass/pet toilets (TARGET)",10,IF(N766="Selling pet toys",7,IF(N766="There's an Amazon link, but no target sales.",3,0))))</f>
        <v/>
      </c>
      <c r="P766" s="67">
        <f>H766+J766+L766+M766+O766</f>
        <v/>
      </c>
      <c r="Q766" s="69">
        <f>IF(OR(H766=0,P766&lt;30),"Tier D (Đóng băng)",IF(P766&gt;=85,"Tier S (Kim Cương: 85-100đ)",IF(P766&gt;=70,"Tier A (Vàng: 70-84đ)",IF(P766&gt;=61,"Tier B+ / Cấp A (Hot Lead: 61-69đ)",IF(P766&gt;=50,"Tier B (Bạc: 50-60đ)","Tier C (Đồng: 30-49đ)")))))</f>
        <v/>
      </c>
      <c r="R766" s="9" t="inlineStr">
        <is>
          <t>Cỏ nhân tạo sân chơi/huấn luyện (Dog Turf) + Đồ chơi nhai chịu lực (KONG/Chew Toys)</t>
        </is>
      </c>
      <c r="S766" s="9" t="inlineStr">
        <is>
          <t>Cấp C Chi phí thấp: Nhắn tin trực tiếp qua Fanpage Facebook/Instagram + Nuôi dưỡng nội dung</t>
        </is>
      </c>
    </row>
    <row r="767">
      <c r="A767" s="53" t="n">
        <v>1600</v>
      </c>
      <c r="B767" s="12" t="inlineStr">
        <is>
          <t>Hannabee Puppy School</t>
        </is>
      </c>
      <c r="C767" s="54" t="inlineStr">
        <is>
          <t>https://www.facebook.com/hannabeepuppyschool</t>
        </is>
      </c>
      <c r="D767" s="6" t="inlineStr">
        <is>
          <t>Cần quét Bio Fanpage</t>
        </is>
      </c>
      <c r="E767" s="53" t="inlineStr">
        <is>
          <t>02/10/2026 03:02:56</t>
        </is>
      </c>
      <c r="F767" s="53" t="inlineStr">
        <is>
          <t>1 tuần trước</t>
        </is>
      </c>
      <c r="G767" s="55" t="n">
        <v>7</v>
      </c>
      <c r="H767" s="56" t="n">
        <v>20</v>
      </c>
      <c r="I767" s="6" t="inlineStr">
        <is>
          <t>Pet Boarding / Huấn luyện K9 &amp; Dịch vụ (20-22đ)</t>
        </is>
      </c>
      <c r="J767" s="56" t="n">
        <v>22</v>
      </c>
      <c r="K767" s="6" t="inlineStr">
        <is>
          <t>Chưa rõ giống (Cần quét Bio)</t>
        </is>
      </c>
      <c r="L767" s="56" t="n">
        <v>0</v>
      </c>
      <c r="M767" s="56" t="n">
        <v>5</v>
      </c>
      <c r="N767" s="6" t="inlineStr">
        <is>
          <t>Amazon link not found</t>
        </is>
      </c>
      <c r="O767" s="56">
        <f>IF(N767="Selling pet toys + Artificial grass/Pet toilets (TARGET)",15,IF(N767="Selling artificial grass/pet toilets (TARGET)",10,IF(N767="Selling pet toys",7,IF(N767="There's an Amazon link, but no target sales.",3,0))))</f>
        <v/>
      </c>
      <c r="P767" s="65">
        <f>H767+J767+L767+M767+O767</f>
        <v/>
      </c>
      <c r="Q767" s="69">
        <f>IF(OR(H767=0,P767&lt;30),"Tier D (Đóng băng)",IF(P767&gt;=85,"Tier S (Kim Cương: 85-100đ)",IF(P767&gt;=70,"Tier A (Vàng: 70-84đ)",IF(P767&gt;=61,"Tier B+ / Cấp A (Hot Lead: 61-69đ)",IF(P767&gt;=50,"Tier B (Bạc: 50-60đ)","Tier C (Đồng: 30-49đ)")))))</f>
        <v/>
      </c>
      <c r="R767" s="6" t="inlineStr">
        <is>
          <t>Cỏ nhân tạo sân chơi/huấn luyện (Dog Turf) + Đồ chơi nhai chịu lực (KONG/Chew Toys)</t>
        </is>
      </c>
      <c r="S767" s="6" t="inlineStr">
        <is>
          <t>Cấp C Chi phí thấp: Nhắn tin trực tiếp qua Fanpage Facebook/Instagram + Nuôi dưỡng nội dung</t>
        </is>
      </c>
    </row>
    <row r="768">
      <c r="A768" s="59" t="n">
        <v>1387</v>
      </c>
      <c r="B768" s="15" t="inlineStr">
        <is>
          <t>First Cut Lawn Care</t>
        </is>
      </c>
      <c r="C768" s="60" t="inlineStr">
        <is>
          <t>https://www.facebook.com/profile.php?id=61579053176745</t>
        </is>
      </c>
      <c r="D768" s="9" t="inlineStr">
        <is>
          <t>Cần quét Bio Fanpage</t>
        </is>
      </c>
      <c r="E768" s="59" t="inlineStr">
        <is>
          <t>30/09/2026 12:37:53</t>
        </is>
      </c>
      <c r="F768" s="59" t="inlineStr">
        <is>
          <t>1 tuần trước</t>
        </is>
      </c>
      <c r="G768" s="61" t="n">
        <v>7</v>
      </c>
      <c r="H768" s="62" t="n">
        <v>20</v>
      </c>
      <c r="I768" s="9" t="inlineStr">
        <is>
          <t>Pet Boarding / Huấn luyện K9 &amp; Dịch vụ (20-22đ)</t>
        </is>
      </c>
      <c r="J768" s="62" t="n">
        <v>22</v>
      </c>
      <c r="K768" s="9" t="inlineStr">
        <is>
          <t>Chưa rõ giống (Cần quét Bio)</t>
        </is>
      </c>
      <c r="L768" s="62" t="n">
        <v>0</v>
      </c>
      <c r="M768" s="62" t="n">
        <v>5</v>
      </c>
      <c r="N768" s="9" t="inlineStr">
        <is>
          <t>Amazon link not found</t>
        </is>
      </c>
      <c r="O768" s="62">
        <f>IF(N768="Selling pet toys + Artificial grass/Pet toilets (TARGET)",15,IF(N768="Selling artificial grass/pet toilets (TARGET)",10,IF(N768="Selling pet toys",7,IF(N768="There's an Amazon link, but no target sales.",3,0))))</f>
        <v/>
      </c>
      <c r="P768" s="67">
        <f>H768+J768+L768+M768+O768</f>
        <v/>
      </c>
      <c r="Q768" s="69">
        <f>IF(OR(H768=0,P768&lt;30),"Tier D (Đóng băng)",IF(P768&gt;=85,"Tier S (Kim Cương: 85-100đ)",IF(P768&gt;=70,"Tier A (Vàng: 70-84đ)",IF(P768&gt;=61,"Tier B+ / Cấp A (Hot Lead: 61-69đ)",IF(P768&gt;=50,"Tier B (Bạc: 50-60đ)","Tier C (Đồng: 30-49đ)")))))</f>
        <v/>
      </c>
      <c r="R768" s="9" t="inlineStr">
        <is>
          <t>Cỏ nhân tạo sân chơi/huấn luyện (Dog Turf) + Đồ chơi nhai chịu lực (KONG/Chew Toys)</t>
        </is>
      </c>
      <c r="S768" s="9" t="inlineStr">
        <is>
          <t>Cấp C Chi phí thấp: Nhắn tin trực tiếp qua Fanpage Facebook/Instagram + Nuôi dưỡng nội dung</t>
        </is>
      </c>
    </row>
    <row r="769">
      <c r="A769" s="53" t="n">
        <v>157</v>
      </c>
      <c r="B769" s="12" t="inlineStr">
        <is>
          <t>Dogs4motion Academy for active dogs</t>
        </is>
      </c>
      <c r="C769" s="54" t="inlineStr">
        <is>
          <t>https://www.facebook.com/dogs4motion</t>
        </is>
      </c>
      <c r="D769" s="6" t="inlineStr">
        <is>
          <t>Cần quét Bio Fanpage</t>
        </is>
      </c>
      <c r="E769" s="53" t="inlineStr">
        <is>
          <t>30/09/2026 09:00:23</t>
        </is>
      </c>
      <c r="F769" s="53" t="inlineStr">
        <is>
          <t>1 tuần trước</t>
        </is>
      </c>
      <c r="G769" s="55" t="n">
        <v>7</v>
      </c>
      <c r="H769" s="56" t="n">
        <v>20</v>
      </c>
      <c r="I769" s="6" t="inlineStr">
        <is>
          <t>Pet Boarding / Huấn luyện K9 &amp; Dịch vụ (20-22đ)</t>
        </is>
      </c>
      <c r="J769" s="56" t="n">
        <v>22</v>
      </c>
      <c r="K769" s="6" t="inlineStr">
        <is>
          <t>Chưa rõ giống (Cần quét Bio)</t>
        </is>
      </c>
      <c r="L769" s="56" t="n">
        <v>0</v>
      </c>
      <c r="M769" s="56" t="n">
        <v>5</v>
      </c>
      <c r="N769" s="6" t="inlineStr">
        <is>
          <t>Amazon link not found</t>
        </is>
      </c>
      <c r="O769" s="56">
        <f>IF(N769="Selling pet toys + Artificial grass/Pet toilets (TARGET)",15,IF(N769="Selling artificial grass/pet toilets (TARGET)",10,IF(N769="Selling pet toys",7,IF(N769="There's an Amazon link, but no target sales.",3,0))))</f>
        <v/>
      </c>
      <c r="P769" s="65">
        <f>H769+J769+L769+M769+O769</f>
        <v/>
      </c>
      <c r="Q769" s="69">
        <f>IF(OR(H769=0,P769&lt;30),"Tier D (Đóng băng)",IF(P769&gt;=85,"Tier S (Kim Cương: 85-100đ)",IF(P769&gt;=70,"Tier A (Vàng: 70-84đ)",IF(P769&gt;=61,"Tier B+ / Cấp A (Hot Lead: 61-69đ)",IF(P769&gt;=50,"Tier B (Bạc: 50-60đ)","Tier C (Đồng: 30-49đ)")))))</f>
        <v/>
      </c>
      <c r="R769" s="6" t="inlineStr">
        <is>
          <t>Cỏ nhân tạo sân chơi/huấn luyện (Dog Turf) + Đồ chơi nhai chịu lực (KONG/Chew Toys)</t>
        </is>
      </c>
      <c r="S769" s="6" t="inlineStr">
        <is>
          <t>Cấp C Chi phí thấp: Nhắn tin trực tiếp qua Fanpage Facebook/Instagram + Nuôi dưỡng nội dung</t>
        </is>
      </c>
    </row>
    <row r="770">
      <c r="A770" s="59" t="n">
        <v>5852</v>
      </c>
      <c r="B770" s="15" t="inlineStr">
        <is>
          <t>Webster Animal Shelter</t>
        </is>
      </c>
      <c r="C770" s="60" t="inlineStr">
        <is>
          <t>https://www.facebook.com/websteranimalshelter</t>
        </is>
      </c>
      <c r="D770" s="9" t="inlineStr">
        <is>
          <t>Cần quét Bio Fanpage</t>
        </is>
      </c>
      <c r="E770" s="59" t="inlineStr">
        <is>
          <t>13/10/2026 07:24:14</t>
        </is>
      </c>
      <c r="F770" s="59" t="inlineStr">
        <is>
          <t>4 giờ trước</t>
        </is>
      </c>
      <c r="G770" s="61" t="n">
        <v>0.17</v>
      </c>
      <c r="H770" s="62" t="n">
        <v>32</v>
      </c>
      <c r="I770" s="9" t="inlineStr">
        <is>
          <t>Pet Rescue / Trạm cứu trợ (14-16đ)</t>
        </is>
      </c>
      <c r="J770" s="62" t="n">
        <v>14</v>
      </c>
      <c r="K770" s="9" t="inlineStr">
        <is>
          <t>Chưa rõ giống (Cần quét Bio)</t>
        </is>
      </c>
      <c r="L770" s="62" t="n">
        <v>0</v>
      </c>
      <c r="M770" s="62" t="n">
        <v>0</v>
      </c>
      <c r="N770" s="9" t="inlineStr">
        <is>
          <t>Amazon link not found</t>
        </is>
      </c>
      <c r="O770" s="62">
        <f>IF(N770="Selling pet toys + Artificial grass/Pet toilets (TARGET)",15,IF(N770="Selling artificial grass/pet toilets (TARGET)",10,IF(N770="Selling pet toys",7,IF(N770="There's an Amazon link, but no target sales.",3,0))))</f>
        <v/>
      </c>
      <c r="P770" s="67">
        <f>H770+J770+L770+M770+O770</f>
        <v/>
      </c>
      <c r="Q770" s="69">
        <f>IF(OR(H770=0,P770&lt;30),"Tier D (Đóng băng)",IF(P770&gt;=85,"Tier S (Kim Cương: 85-100đ)",IF(P770&gt;=70,"Tier A (Vàng: 70-84đ)",IF(P770&gt;=61,"Tier B+ / Cấp A (Hot Lead: 61-69đ)",IF(P770&gt;=50,"Tier B (Bạc: 50-60đ)","Tier C (Đồng: 30-49đ)")))))</f>
        <v/>
      </c>
      <c r="R770" s="9" t="inlineStr">
        <is>
          <t>Nhà vệ sinh &amp; Tã lót (Potty Tray / Pee Pads) + Cỏ nhân tạo lót chuồng</t>
        </is>
      </c>
      <c r="S770" s="9" t="inlineStr">
        <is>
          <t>Cấp C Chi phí thấp: Nhắn tin trực tiếp qua Fanpage Facebook/Instagram + Nuôi dưỡng nội dung</t>
        </is>
      </c>
    </row>
    <row r="771">
      <c r="A771" s="53" t="n">
        <v>5830</v>
      </c>
      <c r="B771" s="12" t="inlineStr">
        <is>
          <t>Wag On Inn Rescue</t>
        </is>
      </c>
      <c r="C771" s="54" t="inlineStr">
        <is>
          <t>https://www.facebook.com/wagoninnrescue</t>
        </is>
      </c>
      <c r="D771" s="6" t="inlineStr">
        <is>
          <t>Cần quét Bio Fanpage</t>
        </is>
      </c>
      <c r="E771" s="53" t="inlineStr">
        <is>
          <t>13/10/2026 07:00:07</t>
        </is>
      </c>
      <c r="F771" s="53" t="inlineStr">
        <is>
          <t>4 giờ trước</t>
        </is>
      </c>
      <c r="G771" s="55" t="n">
        <v>0.17</v>
      </c>
      <c r="H771" s="56" t="n">
        <v>32</v>
      </c>
      <c r="I771" s="6" t="inlineStr">
        <is>
          <t>Pet Rescue / Trạm cứu trợ (14-16đ)</t>
        </is>
      </c>
      <c r="J771" s="56" t="n">
        <v>14</v>
      </c>
      <c r="K771" s="6" t="inlineStr">
        <is>
          <t>Chưa rõ giống (Cần quét Bio)</t>
        </is>
      </c>
      <c r="L771" s="56" t="n">
        <v>0</v>
      </c>
      <c r="M771" s="56" t="n">
        <v>0</v>
      </c>
      <c r="N771" s="6" t="inlineStr">
        <is>
          <t>Amazon link not found</t>
        </is>
      </c>
      <c r="O771" s="56">
        <f>IF(N771="Selling pet toys + Artificial grass/Pet toilets (TARGET)",15,IF(N771="Selling artificial grass/pet toilets (TARGET)",10,IF(N771="Selling pet toys",7,IF(N771="There's an Amazon link, but no target sales.",3,0))))</f>
        <v/>
      </c>
      <c r="P771" s="65">
        <f>H771+J771+L771+M771+O771</f>
        <v/>
      </c>
      <c r="Q771" s="69">
        <f>IF(OR(H771=0,P771&lt;30),"Tier D (Đóng băng)",IF(P771&gt;=85,"Tier S (Kim Cương: 85-100đ)",IF(P771&gt;=70,"Tier A (Vàng: 70-84đ)",IF(P771&gt;=61,"Tier B+ / Cấp A (Hot Lead: 61-69đ)",IF(P771&gt;=50,"Tier B (Bạc: 50-60đ)","Tier C (Đồng: 30-49đ)")))))</f>
        <v/>
      </c>
      <c r="R771" s="6" t="inlineStr">
        <is>
          <t>Nhà vệ sinh &amp; Tã lót (Potty Tray / Pee Pads) + Cỏ nhân tạo lót chuồng</t>
        </is>
      </c>
      <c r="S771" s="6" t="inlineStr">
        <is>
          <t>Cấp C Chi phí thấp: Nhắn tin trực tiếp qua Fanpage Facebook/Instagram + Nuôi dưỡng nội dung</t>
        </is>
      </c>
    </row>
    <row r="772">
      <c r="A772" s="59" t="n">
        <v>5341</v>
      </c>
      <c r="B772" s="15" t="inlineStr">
        <is>
          <t>Sevier County Animal Shelter</t>
        </is>
      </c>
      <c r="C772" s="60" t="inlineStr">
        <is>
          <t>https://www.facebook.com/seviercoanimalshelter</t>
        </is>
      </c>
      <c r="D772" s="9" t="inlineStr">
        <is>
          <t>Cần quét Bio Fanpage</t>
        </is>
      </c>
      <c r="E772" s="59" t="inlineStr">
        <is>
          <t>13/10/2026 06:20:03</t>
        </is>
      </c>
      <c r="F772" s="59" t="inlineStr">
        <is>
          <t>4 giờ trước</t>
        </is>
      </c>
      <c r="G772" s="61" t="n">
        <v>0.17</v>
      </c>
      <c r="H772" s="62" t="n">
        <v>32</v>
      </c>
      <c r="I772" s="9" t="inlineStr">
        <is>
          <t>Pet Rescue / Trạm cứu trợ (14-16đ)</t>
        </is>
      </c>
      <c r="J772" s="62" t="n">
        <v>14</v>
      </c>
      <c r="K772" s="9" t="inlineStr">
        <is>
          <t>Chưa rõ giống (Cần quét Bio)</t>
        </is>
      </c>
      <c r="L772" s="62" t="n">
        <v>0</v>
      </c>
      <c r="M772" s="62" t="n">
        <v>0</v>
      </c>
      <c r="N772" s="9" t="inlineStr">
        <is>
          <t>Amazon link not found</t>
        </is>
      </c>
      <c r="O772" s="62">
        <f>IF(N772="Selling pet toys + Artificial grass/Pet toilets (TARGET)",15,IF(N772="Selling artificial grass/pet toilets (TARGET)",10,IF(N772="Selling pet toys",7,IF(N772="There's an Amazon link, but no target sales.",3,0))))</f>
        <v/>
      </c>
      <c r="P772" s="67">
        <f>H772+J772+L772+M772+O772</f>
        <v/>
      </c>
      <c r="Q772" s="69">
        <f>IF(OR(H772=0,P772&lt;30),"Tier D (Đóng băng)",IF(P772&gt;=85,"Tier S (Kim Cương: 85-100đ)",IF(P772&gt;=70,"Tier A (Vàng: 70-84đ)",IF(P772&gt;=61,"Tier B+ / Cấp A (Hot Lead: 61-69đ)",IF(P772&gt;=50,"Tier B (Bạc: 50-60đ)","Tier C (Đồng: 30-49đ)")))))</f>
        <v/>
      </c>
      <c r="R772" s="9" t="inlineStr">
        <is>
          <t>Nhà vệ sinh &amp; Tã lót (Potty Tray / Pee Pads) + Cỏ nhân tạo lót chuồng</t>
        </is>
      </c>
      <c r="S772" s="9" t="inlineStr">
        <is>
          <t>Cấp C Chi phí thấp: Nhắn tin trực tiếp qua Fanpage Facebook/Instagram + Nuôi dưỡng nội dung</t>
        </is>
      </c>
    </row>
    <row r="773">
      <c r="A773" s="53" t="n">
        <v>3974</v>
      </c>
      <c r="B773" s="12" t="inlineStr">
        <is>
          <t>Gimme Love Animal Shelter</t>
        </is>
      </c>
      <c r="C773" s="54" t="inlineStr">
        <is>
          <t>https://www.facebook.com/gimmeloveanimalshelter</t>
        </is>
      </c>
      <c r="D773" s="6" t="inlineStr">
        <is>
          <t>Cần quét Bio Fanpage</t>
        </is>
      </c>
      <c r="E773" s="53" t="inlineStr">
        <is>
          <t>13/10/2026 04:01:19</t>
        </is>
      </c>
      <c r="F773" s="53" t="inlineStr">
        <is>
          <t>4 giờ trước</t>
        </is>
      </c>
      <c r="G773" s="55" t="n">
        <v>0.17</v>
      </c>
      <c r="H773" s="56" t="n">
        <v>32</v>
      </c>
      <c r="I773" s="6" t="inlineStr">
        <is>
          <t>Pet Rescue / Trạm cứu trợ (14-16đ)</t>
        </is>
      </c>
      <c r="J773" s="56" t="n">
        <v>14</v>
      </c>
      <c r="K773" s="6" t="inlineStr">
        <is>
          <t>Chưa rõ giống (Cần quét Bio)</t>
        </is>
      </c>
      <c r="L773" s="56" t="n">
        <v>0</v>
      </c>
      <c r="M773" s="56" t="n">
        <v>0</v>
      </c>
      <c r="N773" s="6" t="inlineStr">
        <is>
          <t>Amazon link not found</t>
        </is>
      </c>
      <c r="O773" s="56">
        <f>IF(N773="Selling pet toys + Artificial grass/Pet toilets (TARGET)",15,IF(N773="Selling artificial grass/pet toilets (TARGET)",10,IF(N773="Selling pet toys",7,IF(N773="There's an Amazon link, but no target sales.",3,0))))</f>
        <v/>
      </c>
      <c r="P773" s="65">
        <f>H773+J773+L773+M773+O773</f>
        <v/>
      </c>
      <c r="Q773" s="69">
        <f>IF(OR(H773=0,P773&lt;30),"Tier D (Đóng băng)",IF(P773&gt;=85,"Tier S (Kim Cương: 85-100đ)",IF(P773&gt;=70,"Tier A (Vàng: 70-84đ)",IF(P773&gt;=61,"Tier B+ / Cấp A (Hot Lead: 61-69đ)",IF(P773&gt;=50,"Tier B (Bạc: 50-60đ)","Tier C (Đồng: 30-49đ)")))))</f>
        <v/>
      </c>
      <c r="R773" s="6" t="inlineStr">
        <is>
          <t>Nhà vệ sinh &amp; Tã lót (Potty Tray / Pee Pads) + Cỏ nhân tạo lót chuồng</t>
        </is>
      </c>
      <c r="S773" s="6" t="inlineStr">
        <is>
          <t>Cấp C Chi phí thấp: Nhắn tin trực tiếp qua Fanpage Facebook/Instagram + Nuôi dưỡng nội dung</t>
        </is>
      </c>
    </row>
    <row r="774">
      <c r="A774" s="59" t="n">
        <v>3428</v>
      </c>
      <c r="B774" s="15" t="inlineStr">
        <is>
          <t>Wings of Rescue</t>
        </is>
      </c>
      <c r="C774" s="60" t="inlineStr">
        <is>
          <t>https://www.facebook.com/WingsofRescue</t>
        </is>
      </c>
      <c r="D774" s="9" t="inlineStr">
        <is>
          <t>Cần quét Bio Fanpage</t>
        </is>
      </c>
      <c r="E774" s="59" t="inlineStr">
        <is>
          <t>13/10/2026 02:39:59</t>
        </is>
      </c>
      <c r="F774" s="59" t="inlineStr">
        <is>
          <t>4 giờ trước</t>
        </is>
      </c>
      <c r="G774" s="61" t="n">
        <v>0.17</v>
      </c>
      <c r="H774" s="62" t="n">
        <v>32</v>
      </c>
      <c r="I774" s="9" t="inlineStr">
        <is>
          <t>Pet Rescue / Trạm cứu trợ (14-16đ)</t>
        </is>
      </c>
      <c r="J774" s="62" t="n">
        <v>14</v>
      </c>
      <c r="K774" s="9" t="inlineStr">
        <is>
          <t>Chưa rõ giống (Cần quét Bio)</t>
        </is>
      </c>
      <c r="L774" s="62" t="n">
        <v>0</v>
      </c>
      <c r="M774" s="62" t="n">
        <v>0</v>
      </c>
      <c r="N774" s="9" t="inlineStr">
        <is>
          <t>Amazon link not found</t>
        </is>
      </c>
      <c r="O774" s="62">
        <f>IF(N774="Selling pet toys + Artificial grass/Pet toilets (TARGET)",15,IF(N774="Selling artificial grass/pet toilets (TARGET)",10,IF(N774="Selling pet toys",7,IF(N774="There's an Amazon link, but no target sales.",3,0))))</f>
        <v/>
      </c>
      <c r="P774" s="67">
        <f>H774+J774+L774+M774+O774</f>
        <v/>
      </c>
      <c r="Q774" s="69">
        <f>IF(OR(H774=0,P774&lt;30),"Tier D (Đóng băng)",IF(P774&gt;=85,"Tier S (Kim Cương: 85-100đ)",IF(P774&gt;=70,"Tier A (Vàng: 70-84đ)",IF(P774&gt;=61,"Tier B+ / Cấp A (Hot Lead: 61-69đ)",IF(P774&gt;=50,"Tier B (Bạc: 50-60đ)","Tier C (Đồng: 30-49đ)")))))</f>
        <v/>
      </c>
      <c r="R774" s="9" t="inlineStr">
        <is>
          <t>Nhà vệ sinh &amp; Tã lót (Potty Tray / Pee Pads) + Cỏ nhân tạo lót chuồng</t>
        </is>
      </c>
      <c r="S774" s="9" t="inlineStr">
        <is>
          <t>Cấp C Chi phí thấp: Nhắn tin trực tiếp qua Fanpage Facebook/Instagram + Nuôi dưỡng nội dung</t>
        </is>
      </c>
    </row>
    <row r="775">
      <c r="A775" s="53" t="n">
        <v>2987</v>
      </c>
      <c r="B775" s="12" t="inlineStr">
        <is>
          <t>Stafford Animal Shelter</t>
        </is>
      </c>
      <c r="C775" s="54" t="inlineStr">
        <is>
          <t>https://www.facebook.com/thestaffordanimalshelter</t>
        </is>
      </c>
      <c r="D775" s="6" t="inlineStr">
        <is>
          <t>Cần quét Bio Fanpage</t>
        </is>
      </c>
      <c r="E775" s="53" t="inlineStr">
        <is>
          <t>13/10/2026 00:43:20</t>
        </is>
      </c>
      <c r="F775" s="53" t="inlineStr">
        <is>
          <t>5 giờ trước</t>
        </is>
      </c>
      <c r="G775" s="55" t="n">
        <v>0.21</v>
      </c>
      <c r="H775" s="56" t="n">
        <v>32</v>
      </c>
      <c r="I775" s="6" t="inlineStr">
        <is>
          <t>Pet Rescue / Trạm cứu trợ (14-16đ)</t>
        </is>
      </c>
      <c r="J775" s="56" t="n">
        <v>14</v>
      </c>
      <c r="K775" s="6" t="inlineStr">
        <is>
          <t>Chưa rõ giống (Cần quét Bio)</t>
        </is>
      </c>
      <c r="L775" s="56" t="n">
        <v>0</v>
      </c>
      <c r="M775" s="56" t="n">
        <v>0</v>
      </c>
      <c r="N775" s="6" t="inlineStr">
        <is>
          <t>Amazon link not found</t>
        </is>
      </c>
      <c r="O775" s="56">
        <f>IF(N775="Selling pet toys + Artificial grass/Pet toilets (TARGET)",15,IF(N775="Selling artificial grass/pet toilets (TARGET)",10,IF(N775="Selling pet toys",7,IF(N775="There's an Amazon link, but no target sales.",3,0))))</f>
        <v/>
      </c>
      <c r="P775" s="65">
        <f>H775+J775+L775+M775+O775</f>
        <v/>
      </c>
      <c r="Q775" s="69">
        <f>IF(OR(H775=0,P775&lt;30),"Tier D (Đóng băng)",IF(P775&gt;=85,"Tier S (Kim Cương: 85-100đ)",IF(P775&gt;=70,"Tier A (Vàng: 70-84đ)",IF(P775&gt;=61,"Tier B+ / Cấp A (Hot Lead: 61-69đ)",IF(P775&gt;=50,"Tier B (Bạc: 50-60đ)","Tier C (Đồng: 30-49đ)")))))</f>
        <v/>
      </c>
      <c r="R775" s="6" t="inlineStr">
        <is>
          <t>Nhà vệ sinh &amp; Tã lót (Potty Tray / Pee Pads) + Cỏ nhân tạo lót chuồng</t>
        </is>
      </c>
      <c r="S775" s="6" t="inlineStr">
        <is>
          <t>Cấp C Chi phí thấp: Nhắn tin trực tiếp qua Fanpage Facebook/Instagram + Nuôi dưỡng nội dung</t>
        </is>
      </c>
    </row>
    <row r="776">
      <c r="A776" s="59" t="n">
        <v>2142</v>
      </c>
      <c r="B776" s="15" t="inlineStr">
        <is>
          <t>Maz's Canine Rescue</t>
        </is>
      </c>
      <c r="C776" s="60" t="inlineStr">
        <is>
          <t>https://www.facebook.com/mazscaninerescue</t>
        </is>
      </c>
      <c r="D776" s="9" t="inlineStr">
        <is>
          <t>Cần quét Bio Fanpage</t>
        </is>
      </c>
      <c r="E776" s="59" t="inlineStr">
        <is>
          <t>13/10/2026 00:38:47</t>
        </is>
      </c>
      <c r="F776" s="59" t="inlineStr">
        <is>
          <t>4 giờ trước</t>
        </is>
      </c>
      <c r="G776" s="61" t="n">
        <v>0.17</v>
      </c>
      <c r="H776" s="62" t="n">
        <v>32</v>
      </c>
      <c r="I776" s="9" t="inlineStr">
        <is>
          <t>Pet Rescue / Trạm cứu trợ (14-16đ)</t>
        </is>
      </c>
      <c r="J776" s="62" t="n">
        <v>14</v>
      </c>
      <c r="K776" s="9" t="inlineStr">
        <is>
          <t>Chưa rõ giống (Cần quét Bio)</t>
        </is>
      </c>
      <c r="L776" s="62" t="n">
        <v>0</v>
      </c>
      <c r="M776" s="62" t="n">
        <v>0</v>
      </c>
      <c r="N776" s="9" t="inlineStr">
        <is>
          <t>Amazon link not found</t>
        </is>
      </c>
      <c r="O776" s="62">
        <f>IF(N776="Selling pet toys + Artificial grass/Pet toilets (TARGET)",15,IF(N776="Selling artificial grass/pet toilets (TARGET)",10,IF(N776="Selling pet toys",7,IF(N776="There's an Amazon link, but no target sales.",3,0))))</f>
        <v/>
      </c>
      <c r="P776" s="67">
        <f>H776+J776+L776+M776+O776</f>
        <v/>
      </c>
      <c r="Q776" s="69">
        <f>IF(OR(H776=0,P776&lt;30),"Tier D (Đóng băng)",IF(P776&gt;=85,"Tier S (Kim Cương: 85-100đ)",IF(P776&gt;=70,"Tier A (Vàng: 70-84đ)",IF(P776&gt;=61,"Tier B+ / Cấp A (Hot Lead: 61-69đ)",IF(P776&gt;=50,"Tier B (Bạc: 50-60đ)","Tier C (Đồng: 30-49đ)")))))</f>
        <v/>
      </c>
      <c r="R776" s="9" t="inlineStr">
        <is>
          <t>Nhà vệ sinh &amp; Tã lót (Potty Tray / Pee Pads) + Cỏ nhân tạo lót chuồng</t>
        </is>
      </c>
      <c r="S776" s="9" t="inlineStr">
        <is>
          <t>Cấp C Chi phí thấp: Nhắn tin trực tiếp qua Fanpage Facebook/Instagram + Nuôi dưỡng nội dung</t>
        </is>
      </c>
    </row>
    <row r="777">
      <c r="A777" s="53" t="n">
        <v>2504</v>
      </c>
      <c r="B777" s="12" t="inlineStr">
        <is>
          <t>Petfinder Foundation</t>
        </is>
      </c>
      <c r="C777" s="54" t="inlineStr">
        <is>
          <t>https://www.facebook.com/petfinderfoundation</t>
        </is>
      </c>
      <c r="D777" s="6" t="inlineStr">
        <is>
          <t>Cần quét Bio Fanpage</t>
        </is>
      </c>
      <c r="E777" s="53" t="inlineStr">
        <is>
          <t>13/10/2026 00:17:15</t>
        </is>
      </c>
      <c r="F777" s="53" t="inlineStr">
        <is>
          <t>5 giờ trước</t>
        </is>
      </c>
      <c r="G777" s="55" t="n">
        <v>0.21</v>
      </c>
      <c r="H777" s="56" t="n">
        <v>32</v>
      </c>
      <c r="I777" s="6" t="inlineStr">
        <is>
          <t>Pet Rescue / Trạm cứu trợ (14-16đ)</t>
        </is>
      </c>
      <c r="J777" s="56" t="n">
        <v>14</v>
      </c>
      <c r="K777" s="6" t="inlineStr">
        <is>
          <t>Chưa rõ giống (Cần quét Bio)</t>
        </is>
      </c>
      <c r="L777" s="56" t="n">
        <v>0</v>
      </c>
      <c r="M777" s="56" t="n">
        <v>0</v>
      </c>
      <c r="N777" s="6" t="inlineStr">
        <is>
          <t>Amazon link not found</t>
        </is>
      </c>
      <c r="O777" s="56">
        <f>IF(N777="Selling pet toys + Artificial grass/Pet toilets (TARGET)",15,IF(N777="Selling artificial grass/pet toilets (TARGET)",10,IF(N777="Selling pet toys",7,IF(N777="There's an Amazon link, but no target sales.",3,0))))</f>
        <v/>
      </c>
      <c r="P777" s="65">
        <f>H777+J777+L777+M777+O777</f>
        <v/>
      </c>
      <c r="Q777" s="69">
        <f>IF(OR(H777=0,P777&lt;30),"Tier D (Đóng băng)",IF(P777&gt;=85,"Tier S (Kim Cương: 85-100đ)",IF(P777&gt;=70,"Tier A (Vàng: 70-84đ)",IF(P777&gt;=61,"Tier B+ / Cấp A (Hot Lead: 61-69đ)",IF(P777&gt;=50,"Tier B (Bạc: 50-60đ)","Tier C (Đồng: 30-49đ)")))))</f>
        <v/>
      </c>
      <c r="R777" s="6" t="inlineStr">
        <is>
          <t>Nhà vệ sinh &amp; Tã lót (Potty Tray / Pee Pads) + Cỏ nhân tạo lót chuồng</t>
        </is>
      </c>
      <c r="S777" s="6" t="inlineStr">
        <is>
          <t>Cấp C Chi phí thấp: Nhắn tin trực tiếp qua Fanpage Facebook/Instagram + Nuôi dưỡng nội dung</t>
        </is>
      </c>
    </row>
    <row r="778">
      <c r="A778" s="59" t="n">
        <v>2722</v>
      </c>
      <c r="B778" s="15" t="inlineStr">
        <is>
          <t>Reigning Cat and Dogs Rescue</t>
        </is>
      </c>
      <c r="C778" s="60" t="inlineStr">
        <is>
          <t>https://www.facebook.com/reigningcatanddogsrescue</t>
        </is>
      </c>
      <c r="D778" s="9" t="inlineStr">
        <is>
          <t>Cần quét Bio Fanpage</t>
        </is>
      </c>
      <c r="E778" s="59" t="inlineStr">
        <is>
          <t>13/10/2026 00:01:22</t>
        </is>
      </c>
      <c r="F778" s="59" t="inlineStr">
        <is>
          <t>5 giờ trước</t>
        </is>
      </c>
      <c r="G778" s="61" t="n">
        <v>0.21</v>
      </c>
      <c r="H778" s="62" t="n">
        <v>32</v>
      </c>
      <c r="I778" s="9" t="inlineStr">
        <is>
          <t>Pet Rescue / Trạm cứu trợ (14-16đ)</t>
        </is>
      </c>
      <c r="J778" s="62" t="n">
        <v>14</v>
      </c>
      <c r="K778" s="9" t="inlineStr">
        <is>
          <t>Chưa rõ giống (Cần quét Bio)</t>
        </is>
      </c>
      <c r="L778" s="62" t="n">
        <v>0</v>
      </c>
      <c r="M778" s="62" t="n">
        <v>0</v>
      </c>
      <c r="N778" s="9" t="inlineStr">
        <is>
          <t>Amazon link not found</t>
        </is>
      </c>
      <c r="O778" s="62">
        <f>IF(N778="Selling pet toys + Artificial grass/Pet toilets (TARGET)",15,IF(N778="Selling artificial grass/pet toilets (TARGET)",10,IF(N778="Selling pet toys",7,IF(N778="There's an Amazon link, but no target sales.",3,0))))</f>
        <v/>
      </c>
      <c r="P778" s="67">
        <f>H778+J778+L778+M778+O778</f>
        <v/>
      </c>
      <c r="Q778" s="69">
        <f>IF(OR(H778=0,P778&lt;30),"Tier D (Đóng băng)",IF(P778&gt;=85,"Tier S (Kim Cương: 85-100đ)",IF(P778&gt;=70,"Tier A (Vàng: 70-84đ)",IF(P778&gt;=61,"Tier B+ / Cấp A (Hot Lead: 61-69đ)",IF(P778&gt;=50,"Tier B (Bạc: 50-60đ)","Tier C (Đồng: 30-49đ)")))))</f>
        <v/>
      </c>
      <c r="R778" s="9" t="inlineStr">
        <is>
          <t>Nhà vệ sinh &amp; Tã lót (Potty Tray / Pee Pads) + Cỏ nhân tạo lót chuồng</t>
        </is>
      </c>
      <c r="S778" s="9" t="inlineStr">
        <is>
          <t>Cấp C Chi phí thấp: Nhắn tin trực tiếp qua Fanpage Facebook/Instagram + Nuôi dưỡng nội dung</t>
        </is>
      </c>
    </row>
    <row r="779">
      <c r="A779" s="53" t="n">
        <v>2116</v>
      </c>
      <c r="B779" s="12" t="inlineStr">
        <is>
          <t>Mandy's Rescue Dogs</t>
        </is>
      </c>
      <c r="C779" s="54" t="inlineStr">
        <is>
          <t>https://www.facebook.com/MandysRescueDogs</t>
        </is>
      </c>
      <c r="D779" s="6" t="inlineStr">
        <is>
          <t>Cần quét Bio Fanpage</t>
        </is>
      </c>
      <c r="E779" s="53" t="inlineStr">
        <is>
          <t>12/10/2026 23:36:11</t>
        </is>
      </c>
      <c r="F779" s="53" t="inlineStr">
        <is>
          <t>5 giờ trước</t>
        </is>
      </c>
      <c r="G779" s="55" t="n">
        <v>0.21</v>
      </c>
      <c r="H779" s="56" t="n">
        <v>32</v>
      </c>
      <c r="I779" s="6" t="inlineStr">
        <is>
          <t>Pet Rescue / Trạm cứu trợ (14-16đ)</t>
        </is>
      </c>
      <c r="J779" s="56" t="n">
        <v>14</v>
      </c>
      <c r="K779" s="6" t="inlineStr">
        <is>
          <t>Chưa rõ giống (Cần quét Bio)</t>
        </is>
      </c>
      <c r="L779" s="56" t="n">
        <v>0</v>
      </c>
      <c r="M779" s="56" t="n">
        <v>0</v>
      </c>
      <c r="N779" s="6" t="inlineStr">
        <is>
          <t>Amazon link not found</t>
        </is>
      </c>
      <c r="O779" s="56">
        <f>IF(N779="Selling pet toys + Artificial grass/Pet toilets (TARGET)",15,IF(N779="Selling artificial grass/pet toilets (TARGET)",10,IF(N779="Selling pet toys",7,IF(N779="There's an Amazon link, but no target sales.",3,0))))</f>
        <v/>
      </c>
      <c r="P779" s="65">
        <f>H779+J779+L779+M779+O779</f>
        <v/>
      </c>
      <c r="Q779" s="69">
        <f>IF(OR(H779=0,P779&lt;30),"Tier D (Đóng băng)",IF(P779&gt;=85,"Tier S (Kim Cương: 85-100đ)",IF(P779&gt;=70,"Tier A (Vàng: 70-84đ)",IF(P779&gt;=61,"Tier B+ / Cấp A (Hot Lead: 61-69đ)",IF(P779&gt;=50,"Tier B (Bạc: 50-60đ)","Tier C (Đồng: 30-49đ)")))))</f>
        <v/>
      </c>
      <c r="R779" s="6" t="inlineStr">
        <is>
          <t>Nhà vệ sinh &amp; Tã lót (Potty Tray / Pee Pads) + Cỏ nhân tạo lót chuồng</t>
        </is>
      </c>
      <c r="S779" s="6" t="inlineStr">
        <is>
          <t>Cấp C Chi phí thấp: Nhắn tin trực tiếp qua Fanpage Facebook/Instagram + Nuôi dưỡng nội dung</t>
        </is>
      </c>
    </row>
    <row r="780">
      <c r="A780" s="59" t="n">
        <v>2917</v>
      </c>
      <c r="B780" s="15" t="inlineStr">
        <is>
          <t>Skydog Sanctuary</t>
        </is>
      </c>
      <c r="C780" s="60" t="inlineStr">
        <is>
          <t>https://www.facebook.com/Skydogsanctuary</t>
        </is>
      </c>
      <c r="D780" s="9" t="inlineStr">
        <is>
          <t>Cần quét Bio Fanpage</t>
        </is>
      </c>
      <c r="E780" s="59" t="inlineStr">
        <is>
          <t>12/10/2026 23:03:57</t>
        </is>
      </c>
      <c r="F780" s="59" t="inlineStr">
        <is>
          <t>7 giờ trước</t>
        </is>
      </c>
      <c r="G780" s="61" t="n">
        <v>0.29</v>
      </c>
      <c r="H780" s="62" t="n">
        <v>32</v>
      </c>
      <c r="I780" s="9" t="inlineStr">
        <is>
          <t>Pet Rescue / Trạm cứu trợ (14-16đ)</t>
        </is>
      </c>
      <c r="J780" s="62" t="n">
        <v>14</v>
      </c>
      <c r="K780" s="9" t="inlineStr">
        <is>
          <t>Chưa rõ giống (Cần quét Bio)</t>
        </is>
      </c>
      <c r="L780" s="62" t="n">
        <v>0</v>
      </c>
      <c r="M780" s="62" t="n">
        <v>0</v>
      </c>
      <c r="N780" s="9" t="inlineStr">
        <is>
          <t>Amazon link not found</t>
        </is>
      </c>
      <c r="O780" s="62">
        <f>IF(N780="Selling pet toys + Artificial grass/Pet toilets (TARGET)",15,IF(N780="Selling artificial grass/pet toilets (TARGET)",10,IF(N780="Selling pet toys",7,IF(N780="There's an Amazon link, but no target sales.",3,0))))</f>
        <v/>
      </c>
      <c r="P780" s="67">
        <f>H780+J780+L780+M780+O780</f>
        <v/>
      </c>
      <c r="Q780" s="69">
        <f>IF(OR(H780=0,P780&lt;30),"Tier D (Đóng băng)",IF(P780&gt;=85,"Tier S (Kim Cương: 85-100đ)",IF(P780&gt;=70,"Tier A (Vàng: 70-84đ)",IF(P780&gt;=61,"Tier B+ / Cấp A (Hot Lead: 61-69đ)",IF(P780&gt;=50,"Tier B (Bạc: 50-60đ)","Tier C (Đồng: 30-49đ)")))))</f>
        <v/>
      </c>
      <c r="R780" s="9" t="inlineStr">
        <is>
          <t>Nhà vệ sinh &amp; Tã lót (Potty Tray / Pee Pads) + Cỏ nhân tạo lót chuồng</t>
        </is>
      </c>
      <c r="S780" s="9" t="inlineStr">
        <is>
          <t>Cấp C Chi phí thấp: Nhắn tin trực tiếp qua Fanpage Facebook/Instagram + Nuôi dưỡng nội dung</t>
        </is>
      </c>
    </row>
    <row r="781">
      <c r="A781" s="53" t="n">
        <v>3441</v>
      </c>
      <c r="B781" s="12" t="inlineStr">
        <is>
          <t>Woodrock Animal Rescue</t>
        </is>
      </c>
      <c r="C781" s="54" t="inlineStr">
        <is>
          <t>https://www.facebook.com/WoodrockAnimalRescue</t>
        </is>
      </c>
      <c r="D781" s="6" t="inlineStr">
        <is>
          <t>Cần quét Bio Fanpage</t>
        </is>
      </c>
      <c r="E781" s="53" t="inlineStr">
        <is>
          <t>12/10/2026 23:00:35</t>
        </is>
      </c>
      <c r="F781" s="53" t="inlineStr">
        <is>
          <t>8 giờ trước</t>
        </is>
      </c>
      <c r="G781" s="55" t="n">
        <v>0.33</v>
      </c>
      <c r="H781" s="56" t="n">
        <v>32</v>
      </c>
      <c r="I781" s="6" t="inlineStr">
        <is>
          <t>Pet Rescue / Trạm cứu trợ (14-16đ)</t>
        </is>
      </c>
      <c r="J781" s="56" t="n">
        <v>14</v>
      </c>
      <c r="K781" s="6" t="inlineStr">
        <is>
          <t>Chưa rõ giống (Cần quét Bio)</t>
        </is>
      </c>
      <c r="L781" s="56" t="n">
        <v>0</v>
      </c>
      <c r="M781" s="56" t="n">
        <v>0</v>
      </c>
      <c r="N781" s="6" t="inlineStr">
        <is>
          <t>Amazon link not found</t>
        </is>
      </c>
      <c r="O781" s="56">
        <f>IF(N781="Selling pet toys + Artificial grass/Pet toilets (TARGET)",15,IF(N781="Selling artificial grass/pet toilets (TARGET)",10,IF(N781="Selling pet toys",7,IF(N781="There's an Amazon link, but no target sales.",3,0))))</f>
        <v/>
      </c>
      <c r="P781" s="65">
        <f>H781+J781+L781+M781+O781</f>
        <v/>
      </c>
      <c r="Q781" s="69">
        <f>IF(OR(H781=0,P781&lt;30),"Tier D (Đóng băng)",IF(P781&gt;=85,"Tier S (Kim Cương: 85-100đ)",IF(P781&gt;=70,"Tier A (Vàng: 70-84đ)",IF(P781&gt;=61,"Tier B+ / Cấp A (Hot Lead: 61-69đ)",IF(P781&gt;=50,"Tier B (Bạc: 50-60đ)","Tier C (Đồng: 30-49đ)")))))</f>
        <v/>
      </c>
      <c r="R781" s="6" t="inlineStr">
        <is>
          <t>Nhà vệ sinh &amp; Tã lót (Potty Tray / Pee Pads) + Cỏ nhân tạo lót chuồng</t>
        </is>
      </c>
      <c r="S781" s="6" t="inlineStr">
        <is>
          <t>Cấp C Chi phí thấp: Nhắn tin trực tiếp qua Fanpage Facebook/Instagram + Nuôi dưỡng nội dung</t>
        </is>
      </c>
    </row>
    <row r="782">
      <c r="A782" s="59" t="n">
        <v>2425</v>
      </c>
      <c r="B782" s="15" t="inlineStr">
        <is>
          <t>Peggy Adams Animal Rescue League</t>
        </is>
      </c>
      <c r="C782" s="60" t="inlineStr">
        <is>
          <t>https://www.facebook.com/PeggyAdamsARL</t>
        </is>
      </c>
      <c r="D782" s="9" t="inlineStr">
        <is>
          <t>Cần quét Bio Fanpage</t>
        </is>
      </c>
      <c r="E782" s="59" t="inlineStr">
        <is>
          <t>12/10/2026 22:50:04</t>
        </is>
      </c>
      <c r="F782" s="59" t="inlineStr">
        <is>
          <t>6 giờ trước</t>
        </is>
      </c>
      <c r="G782" s="61" t="n">
        <v>0.25</v>
      </c>
      <c r="H782" s="62" t="n">
        <v>32</v>
      </c>
      <c r="I782" s="9" t="inlineStr">
        <is>
          <t>Pet Rescue / Trạm cứu trợ (14-16đ)</t>
        </is>
      </c>
      <c r="J782" s="62" t="n">
        <v>14</v>
      </c>
      <c r="K782" s="9" t="inlineStr">
        <is>
          <t>Chưa rõ giống (Cần quét Bio)</t>
        </is>
      </c>
      <c r="L782" s="62" t="n">
        <v>0</v>
      </c>
      <c r="M782" s="62" t="n">
        <v>0</v>
      </c>
      <c r="N782" s="9" t="inlineStr">
        <is>
          <t>Amazon link not found</t>
        </is>
      </c>
      <c r="O782" s="62">
        <f>IF(N782="Selling pet toys + Artificial grass/Pet toilets (TARGET)",15,IF(N782="Selling artificial grass/pet toilets (TARGET)",10,IF(N782="Selling pet toys",7,IF(N782="There's an Amazon link, but no target sales.",3,0))))</f>
        <v/>
      </c>
      <c r="P782" s="67">
        <f>H782+J782+L782+M782+O782</f>
        <v/>
      </c>
      <c r="Q782" s="69">
        <f>IF(OR(H782=0,P782&lt;30),"Tier D (Đóng băng)",IF(P782&gt;=85,"Tier S (Kim Cương: 85-100đ)",IF(P782&gt;=70,"Tier A (Vàng: 70-84đ)",IF(P782&gt;=61,"Tier B+ / Cấp A (Hot Lead: 61-69đ)",IF(P782&gt;=50,"Tier B (Bạc: 50-60đ)","Tier C (Đồng: 30-49đ)")))))</f>
        <v/>
      </c>
      <c r="R782" s="9" t="inlineStr">
        <is>
          <t>Nhà vệ sinh &amp; Tã lót (Potty Tray / Pee Pads) + Cỏ nhân tạo lót chuồng</t>
        </is>
      </c>
      <c r="S782" s="9" t="inlineStr">
        <is>
          <t>Cấp C Chi phí thấp: Nhắn tin trực tiếp qua Fanpage Facebook/Instagram + Nuôi dưỡng nội dung</t>
        </is>
      </c>
    </row>
    <row r="783">
      <c r="A783" s="53" t="n">
        <v>3413</v>
      </c>
      <c r="B783" s="12" t="inlineStr">
        <is>
          <t>Wiggly Tails Dog Rescue</t>
        </is>
      </c>
      <c r="C783" s="54" t="inlineStr">
        <is>
          <t>https://www.facebook.com/WigglyTailsDogRescue</t>
        </is>
      </c>
      <c r="D783" s="6" t="inlineStr">
        <is>
          <t>Cần quét Bio Fanpage</t>
        </is>
      </c>
      <c r="E783" s="53" t="inlineStr">
        <is>
          <t>12/10/2026 22:17:12</t>
        </is>
      </c>
      <c r="F783" s="53" t="inlineStr">
        <is>
          <t>8 giờ trước</t>
        </is>
      </c>
      <c r="G783" s="55" t="n">
        <v>0.33</v>
      </c>
      <c r="H783" s="56" t="n">
        <v>32</v>
      </c>
      <c r="I783" s="6" t="inlineStr">
        <is>
          <t>Pet Rescue / Trạm cứu trợ (14-16đ)</t>
        </is>
      </c>
      <c r="J783" s="56" t="n">
        <v>14</v>
      </c>
      <c r="K783" s="6" t="inlineStr">
        <is>
          <t>Chưa rõ giống (Cần quét Bio)</t>
        </is>
      </c>
      <c r="L783" s="56" t="n">
        <v>0</v>
      </c>
      <c r="M783" s="56" t="n">
        <v>0</v>
      </c>
      <c r="N783" s="6" t="inlineStr">
        <is>
          <t>Amazon link not found</t>
        </is>
      </c>
      <c r="O783" s="56">
        <f>IF(N783="Selling pet toys + Artificial grass/Pet toilets (TARGET)",15,IF(N783="Selling artificial grass/pet toilets (TARGET)",10,IF(N783="Selling pet toys",7,IF(N783="There's an Amazon link, but no target sales.",3,0))))</f>
        <v/>
      </c>
      <c r="P783" s="65">
        <f>H783+J783+L783+M783+O783</f>
        <v/>
      </c>
      <c r="Q783" s="69">
        <f>IF(OR(H783=0,P783&lt;30),"Tier D (Đóng băng)",IF(P783&gt;=85,"Tier S (Kim Cương: 85-100đ)",IF(P783&gt;=70,"Tier A (Vàng: 70-84đ)",IF(P783&gt;=61,"Tier B+ / Cấp A (Hot Lead: 61-69đ)",IF(P783&gt;=50,"Tier B (Bạc: 50-60đ)","Tier C (Đồng: 30-49đ)")))))</f>
        <v/>
      </c>
      <c r="R783" s="6" t="inlineStr">
        <is>
          <t>Nhà vệ sinh &amp; Tã lót (Potty Tray / Pee Pads) + Cỏ nhân tạo lót chuồng</t>
        </is>
      </c>
      <c r="S783" s="6" t="inlineStr">
        <is>
          <t>Cấp C Chi phí thấp: Nhắn tin trực tiếp qua Fanpage Facebook/Instagram + Nuôi dưỡng nội dung</t>
        </is>
      </c>
    </row>
    <row r="784">
      <c r="A784" s="59" t="n">
        <v>777</v>
      </c>
      <c r="B784" s="15" t="inlineStr">
        <is>
          <t>Bubbles Dog Rescue</t>
        </is>
      </c>
      <c r="C784" s="60" t="inlineStr">
        <is>
          <t>https://www.facebook.com/BubblesDogRescue</t>
        </is>
      </c>
      <c r="D784" s="9" t="inlineStr">
        <is>
          <t>Cần quét Bio Fanpage</t>
        </is>
      </c>
      <c r="E784" s="59" t="inlineStr">
        <is>
          <t>12/10/2026 22:15:08</t>
        </is>
      </c>
      <c r="F784" s="59" t="inlineStr">
        <is>
          <t>4 giờ trước</t>
        </is>
      </c>
      <c r="G784" s="61" t="n">
        <v>0.17</v>
      </c>
      <c r="H784" s="62" t="n">
        <v>32</v>
      </c>
      <c r="I784" s="9" t="inlineStr">
        <is>
          <t>Pet Rescue / Trạm cứu trợ (14-16đ)</t>
        </is>
      </c>
      <c r="J784" s="62" t="n">
        <v>14</v>
      </c>
      <c r="K784" s="9" t="inlineStr">
        <is>
          <t>Chưa rõ giống (Cần quét Bio)</t>
        </is>
      </c>
      <c r="L784" s="62" t="n">
        <v>0</v>
      </c>
      <c r="M784" s="62" t="n">
        <v>0</v>
      </c>
      <c r="N784" s="9" t="inlineStr">
        <is>
          <t>Amazon link not found</t>
        </is>
      </c>
      <c r="O784" s="62">
        <f>IF(N784="Selling pet toys + Artificial grass/Pet toilets (TARGET)",15,IF(N784="Selling artificial grass/pet toilets (TARGET)",10,IF(N784="Selling pet toys",7,IF(N784="There's an Amazon link, but no target sales.",3,0))))</f>
        <v/>
      </c>
      <c r="P784" s="67">
        <f>H784+J784+L784+M784+O784</f>
        <v/>
      </c>
      <c r="Q784" s="69">
        <f>IF(OR(H784=0,P784&lt;30),"Tier D (Đóng băng)",IF(P784&gt;=85,"Tier S (Kim Cương: 85-100đ)",IF(P784&gt;=70,"Tier A (Vàng: 70-84đ)",IF(P784&gt;=61,"Tier B+ / Cấp A (Hot Lead: 61-69đ)",IF(P784&gt;=50,"Tier B (Bạc: 50-60đ)","Tier C (Đồng: 30-49đ)")))))</f>
        <v/>
      </c>
      <c r="R784" s="9" t="inlineStr">
        <is>
          <t>Nhà vệ sinh &amp; Tã lót (Potty Tray / Pee Pads) + Cỏ nhân tạo lót chuồng</t>
        </is>
      </c>
      <c r="S784" s="9" t="inlineStr">
        <is>
          <t>Cấp C Chi phí thấp: Nhắn tin trực tiếp qua Fanpage Facebook/Instagram + Nuôi dưỡng nội dung</t>
        </is>
      </c>
    </row>
    <row r="785">
      <c r="A785" s="53" t="n">
        <v>476</v>
      </c>
      <c r="B785" s="12" t="inlineStr">
        <is>
          <t>Animal Rescue Fund of MS (ARF)</t>
        </is>
      </c>
      <c r="C785" s="54" t="inlineStr">
        <is>
          <t>https://www.facebook.com/arfms</t>
        </is>
      </c>
      <c r="D785" s="6" t="inlineStr">
        <is>
          <t>Cần quét Bio Fanpage</t>
        </is>
      </c>
      <c r="E785" s="53" t="inlineStr">
        <is>
          <t>12/10/2026 21:44:34</t>
        </is>
      </c>
      <c r="F785" s="53" t="inlineStr">
        <is>
          <t>4 giờ trước</t>
        </is>
      </c>
      <c r="G785" s="55" t="n">
        <v>0.17</v>
      </c>
      <c r="H785" s="56" t="n">
        <v>32</v>
      </c>
      <c r="I785" s="6" t="inlineStr">
        <is>
          <t>Pet Rescue / Trạm cứu trợ (14-16đ)</t>
        </is>
      </c>
      <c r="J785" s="56" t="n">
        <v>14</v>
      </c>
      <c r="K785" s="6" t="inlineStr">
        <is>
          <t>Chưa rõ giống (Cần quét Bio)</t>
        </is>
      </c>
      <c r="L785" s="56" t="n">
        <v>0</v>
      </c>
      <c r="M785" s="56" t="n">
        <v>0</v>
      </c>
      <c r="N785" s="6" t="inlineStr">
        <is>
          <t>Amazon link not found</t>
        </is>
      </c>
      <c r="O785" s="56">
        <f>IF(N785="Selling pet toys + Artificial grass/Pet toilets (TARGET)",15,IF(N785="Selling artificial grass/pet toilets (TARGET)",10,IF(N785="Selling pet toys",7,IF(N785="There's an Amazon link, but no target sales.",3,0))))</f>
        <v/>
      </c>
      <c r="P785" s="65">
        <f>H785+J785+L785+M785+O785</f>
        <v/>
      </c>
      <c r="Q785" s="69">
        <f>IF(OR(H785=0,P785&lt;30),"Tier D (Đóng băng)",IF(P785&gt;=85,"Tier S (Kim Cương: 85-100đ)",IF(P785&gt;=70,"Tier A (Vàng: 70-84đ)",IF(P785&gt;=61,"Tier B+ / Cấp A (Hot Lead: 61-69đ)",IF(P785&gt;=50,"Tier B (Bạc: 50-60đ)","Tier C (Đồng: 30-49đ)")))))</f>
        <v/>
      </c>
      <c r="R785" s="6" t="inlineStr">
        <is>
          <t>Nhà vệ sinh &amp; Tã lót (Potty Tray / Pee Pads) + Cỏ nhân tạo lót chuồng</t>
        </is>
      </c>
      <c r="S785" s="6" t="inlineStr">
        <is>
          <t>Cấp C Chi phí thấp: Nhắn tin trực tiếp qua Fanpage Facebook/Instagram + Nuôi dưỡng nội dung</t>
        </is>
      </c>
    </row>
    <row r="786">
      <c r="A786" s="59" t="n">
        <v>2370</v>
      </c>
      <c r="B786" s="15" t="inlineStr">
        <is>
          <t>Orange Beach Surf Rescue</t>
        </is>
      </c>
      <c r="C786" s="60" t="inlineStr">
        <is>
          <t>https://www.facebook.com/OrangeBeachSurfRescue</t>
        </is>
      </c>
      <c r="D786" s="9" t="inlineStr">
        <is>
          <t>Cần quét Bio Fanpage</t>
        </is>
      </c>
      <c r="E786" s="59" t="inlineStr">
        <is>
          <t>12/10/2026 21:29:19</t>
        </is>
      </c>
      <c r="F786" s="59" t="inlineStr">
        <is>
          <t>7 giờ trước</t>
        </is>
      </c>
      <c r="G786" s="61" t="n">
        <v>0.29</v>
      </c>
      <c r="H786" s="62" t="n">
        <v>32</v>
      </c>
      <c r="I786" s="9" t="inlineStr">
        <is>
          <t>Pet Rescue / Trạm cứu trợ (14-16đ)</t>
        </is>
      </c>
      <c r="J786" s="62" t="n">
        <v>14</v>
      </c>
      <c r="K786" s="9" t="inlineStr">
        <is>
          <t>Chưa rõ giống (Cần quét Bio)</t>
        </is>
      </c>
      <c r="L786" s="62" t="n">
        <v>0</v>
      </c>
      <c r="M786" s="62" t="n">
        <v>0</v>
      </c>
      <c r="N786" s="9" t="inlineStr">
        <is>
          <t>Amazon link not found</t>
        </is>
      </c>
      <c r="O786" s="62">
        <f>IF(N786="Selling pet toys + Artificial grass/Pet toilets (TARGET)",15,IF(N786="Selling artificial grass/pet toilets (TARGET)",10,IF(N786="Selling pet toys",7,IF(N786="There's an Amazon link, but no target sales.",3,0))))</f>
        <v/>
      </c>
      <c r="P786" s="67">
        <f>H786+J786+L786+M786+O786</f>
        <v/>
      </c>
      <c r="Q786" s="69">
        <f>IF(OR(H786=0,P786&lt;30),"Tier D (Đóng băng)",IF(P786&gt;=85,"Tier S (Kim Cương: 85-100đ)",IF(P786&gt;=70,"Tier A (Vàng: 70-84đ)",IF(P786&gt;=61,"Tier B+ / Cấp A (Hot Lead: 61-69đ)",IF(P786&gt;=50,"Tier B (Bạc: 50-60đ)","Tier C (Đồng: 30-49đ)")))))</f>
        <v/>
      </c>
      <c r="R786" s="9" t="inlineStr">
        <is>
          <t>Nhà vệ sinh &amp; Tã lót (Potty Tray / Pee Pads) + Cỏ nhân tạo lót chuồng</t>
        </is>
      </c>
      <c r="S786" s="9" t="inlineStr">
        <is>
          <t>Cấp C Chi phí thấp: Nhắn tin trực tiếp qua Fanpage Facebook/Instagram + Nuôi dưỡng nội dung</t>
        </is>
      </c>
    </row>
    <row r="787">
      <c r="A787" s="53" t="n">
        <v>2845</v>
      </c>
      <c r="B787" s="12" t="inlineStr">
        <is>
          <t>Scituate Animal Shelter of Massachusetts</t>
        </is>
      </c>
      <c r="C787" s="54" t="inlineStr">
        <is>
          <t>https://www.facebook.com/ScituateAnimalShelter</t>
        </is>
      </c>
      <c r="D787" s="6" t="inlineStr">
        <is>
          <t>Cần quét Bio Fanpage</t>
        </is>
      </c>
      <c r="E787" s="53" t="inlineStr">
        <is>
          <t>12/10/2026 21:04:44</t>
        </is>
      </c>
      <c r="F787" s="53" t="inlineStr">
        <is>
          <t>8 giờ trước</t>
        </is>
      </c>
      <c r="G787" s="55" t="n">
        <v>0.33</v>
      </c>
      <c r="H787" s="56" t="n">
        <v>32</v>
      </c>
      <c r="I787" s="6" t="inlineStr">
        <is>
          <t>Pet Rescue / Trạm cứu trợ (14-16đ)</t>
        </is>
      </c>
      <c r="J787" s="56" t="n">
        <v>14</v>
      </c>
      <c r="K787" s="6" t="inlineStr">
        <is>
          <t>Chưa rõ giống (Cần quét Bio)</t>
        </is>
      </c>
      <c r="L787" s="56" t="n">
        <v>0</v>
      </c>
      <c r="M787" s="56" t="n">
        <v>0</v>
      </c>
      <c r="N787" s="6" t="inlineStr">
        <is>
          <t>Amazon link not found</t>
        </is>
      </c>
      <c r="O787" s="56">
        <f>IF(N787="Selling pet toys + Artificial grass/Pet toilets (TARGET)",15,IF(N787="Selling artificial grass/pet toilets (TARGET)",10,IF(N787="Selling pet toys",7,IF(N787="There's an Amazon link, but no target sales.",3,0))))</f>
        <v/>
      </c>
      <c r="P787" s="65">
        <f>H787+J787+L787+M787+O787</f>
        <v/>
      </c>
      <c r="Q787" s="69">
        <f>IF(OR(H787=0,P787&lt;30),"Tier D (Đóng băng)",IF(P787&gt;=85,"Tier S (Kim Cương: 85-100đ)",IF(P787&gt;=70,"Tier A (Vàng: 70-84đ)",IF(P787&gt;=61,"Tier B+ / Cấp A (Hot Lead: 61-69đ)",IF(P787&gt;=50,"Tier B (Bạc: 50-60đ)","Tier C (Đồng: 30-49đ)")))))</f>
        <v/>
      </c>
      <c r="R787" s="6" t="inlineStr">
        <is>
          <t>Nhà vệ sinh &amp; Tã lót (Potty Tray / Pee Pads) + Cỏ nhân tạo lót chuồng</t>
        </is>
      </c>
      <c r="S787" s="6" t="inlineStr">
        <is>
          <t>Cấp C Chi phí thấp: Nhắn tin trực tiếp qua Fanpage Facebook/Instagram + Nuôi dưỡng nội dung</t>
        </is>
      </c>
    </row>
    <row r="788">
      <c r="A788" s="59" t="n">
        <v>3416</v>
      </c>
      <c r="B788" s="15" t="inlineStr">
        <is>
          <t>Wild at Heart Rescue</t>
        </is>
      </c>
      <c r="C788" s="60" t="inlineStr">
        <is>
          <t>https://www.facebook.com/WildatHeartRescue</t>
        </is>
      </c>
      <c r="D788" s="9" t="inlineStr">
        <is>
          <t>Cần quét Bio Fanpage</t>
        </is>
      </c>
      <c r="E788" s="59" t="inlineStr">
        <is>
          <t>12/10/2026 21:00:44</t>
        </is>
      </c>
      <c r="F788" s="59" t="inlineStr">
        <is>
          <t>10 giờ trước</t>
        </is>
      </c>
      <c r="G788" s="61" t="n">
        <v>0.42</v>
      </c>
      <c r="H788" s="62" t="n">
        <v>32</v>
      </c>
      <c r="I788" s="9" t="inlineStr">
        <is>
          <t>Pet Rescue / Trạm cứu trợ (14-16đ)</t>
        </is>
      </c>
      <c r="J788" s="62" t="n">
        <v>14</v>
      </c>
      <c r="K788" s="9" t="inlineStr">
        <is>
          <t>Chưa rõ giống (Cần quét Bio)</t>
        </is>
      </c>
      <c r="L788" s="62" t="n">
        <v>0</v>
      </c>
      <c r="M788" s="62" t="n">
        <v>0</v>
      </c>
      <c r="N788" s="9" t="inlineStr">
        <is>
          <t>Amazon link not found</t>
        </is>
      </c>
      <c r="O788" s="62">
        <f>IF(N788="Selling pet toys + Artificial grass/Pet toilets (TARGET)",15,IF(N788="Selling artificial grass/pet toilets (TARGET)",10,IF(N788="Selling pet toys",7,IF(N788="There's an Amazon link, but no target sales.",3,0))))</f>
        <v/>
      </c>
      <c r="P788" s="67">
        <f>H788+J788+L788+M788+O788</f>
        <v/>
      </c>
      <c r="Q788" s="69">
        <f>IF(OR(H788=0,P788&lt;30),"Tier D (Đóng băng)",IF(P788&gt;=85,"Tier S (Kim Cương: 85-100đ)",IF(P788&gt;=70,"Tier A (Vàng: 70-84đ)",IF(P788&gt;=61,"Tier B+ / Cấp A (Hot Lead: 61-69đ)",IF(P788&gt;=50,"Tier B (Bạc: 50-60đ)","Tier C (Đồng: 30-49đ)")))))</f>
        <v/>
      </c>
      <c r="R788" s="9" t="inlineStr">
        <is>
          <t>Nhà vệ sinh &amp; Tã lót (Potty Tray / Pee Pads) + Cỏ nhân tạo lót chuồng</t>
        </is>
      </c>
      <c r="S788" s="9" t="inlineStr">
        <is>
          <t>Cấp C Chi phí thấp: Nhắn tin trực tiếp qua Fanpage Facebook/Instagram + Nuôi dưỡng nội dung</t>
        </is>
      </c>
    </row>
    <row r="789">
      <c r="A789" s="53" t="n">
        <v>591</v>
      </c>
      <c r="B789" s="12" t="inlineStr">
        <is>
          <t>Barkaandblossome Rescue</t>
        </is>
      </c>
      <c r="C789" s="54" t="inlineStr">
        <is>
          <t>https://www.facebook.com/profile.php?id=61566331880297</t>
        </is>
      </c>
      <c r="D789" s="6" t="inlineStr">
        <is>
          <t>Cần quét Bio Fanpage</t>
        </is>
      </c>
      <c r="E789" s="53" t="inlineStr">
        <is>
          <t>12/10/2026 21:00:31</t>
        </is>
      </c>
      <c r="F789" s="53" t="inlineStr">
        <is>
          <t>4 giờ trước</t>
        </is>
      </c>
      <c r="G789" s="55" t="n">
        <v>0.17</v>
      </c>
      <c r="H789" s="56" t="n">
        <v>32</v>
      </c>
      <c r="I789" s="6" t="inlineStr">
        <is>
          <t>Pet Rescue / Trạm cứu trợ (14-16đ)</t>
        </is>
      </c>
      <c r="J789" s="56" t="n">
        <v>14</v>
      </c>
      <c r="K789" s="6" t="inlineStr">
        <is>
          <t>Chưa rõ giống (Cần quét Bio)</t>
        </is>
      </c>
      <c r="L789" s="56" t="n">
        <v>0</v>
      </c>
      <c r="M789" s="56" t="n">
        <v>0</v>
      </c>
      <c r="N789" s="6" t="inlineStr">
        <is>
          <t>Amazon link not found</t>
        </is>
      </c>
      <c r="O789" s="56">
        <f>IF(N789="Selling pet toys + Artificial grass/Pet toilets (TARGET)",15,IF(N789="Selling artificial grass/pet toilets (TARGET)",10,IF(N789="Selling pet toys",7,IF(N789="There's an Amazon link, but no target sales.",3,0))))</f>
        <v/>
      </c>
      <c r="P789" s="65">
        <f>H789+J789+L789+M789+O789</f>
        <v/>
      </c>
      <c r="Q789" s="69">
        <f>IF(OR(H789=0,P789&lt;30),"Tier D (Đóng băng)",IF(P789&gt;=85,"Tier S (Kim Cương: 85-100đ)",IF(P789&gt;=70,"Tier A (Vàng: 70-84đ)",IF(P789&gt;=61,"Tier B+ / Cấp A (Hot Lead: 61-69đ)",IF(P789&gt;=50,"Tier B (Bạc: 50-60đ)","Tier C (Đồng: 30-49đ)")))))</f>
        <v/>
      </c>
      <c r="R789" s="6" t="inlineStr">
        <is>
          <t>Nhà vệ sinh &amp; Tã lót (Potty Tray / Pee Pads) + Cỏ nhân tạo lót chuồng</t>
        </is>
      </c>
      <c r="S789" s="6" t="inlineStr">
        <is>
          <t>Cấp C Chi phí thấp: Nhắn tin trực tiếp qua Fanpage Facebook/Instagram + Nuôi dưỡng nội dung</t>
        </is>
      </c>
    </row>
    <row r="790">
      <c r="A790" s="59" t="n">
        <v>1631</v>
      </c>
      <c r="B790" s="15" t="inlineStr">
        <is>
          <t>Headrock Dogs Rescue Association</t>
        </is>
      </c>
      <c r="C790" s="60" t="inlineStr">
        <is>
          <t>https://www.facebook.com/headrockdogs</t>
        </is>
      </c>
      <c r="D790" s="9" t="inlineStr">
        <is>
          <t>Cần quét Bio Fanpage</t>
        </is>
      </c>
      <c r="E790" s="59" t="inlineStr">
        <is>
          <t>12/10/2026 20:54:45</t>
        </is>
      </c>
      <c r="F790" s="59" t="inlineStr">
        <is>
          <t>6 giờ trước</t>
        </is>
      </c>
      <c r="G790" s="61" t="n">
        <v>0.25</v>
      </c>
      <c r="H790" s="62" t="n">
        <v>32</v>
      </c>
      <c r="I790" s="9" t="inlineStr">
        <is>
          <t>Pet Rescue / Trạm cứu trợ (14-16đ)</t>
        </is>
      </c>
      <c r="J790" s="62" t="n">
        <v>14</v>
      </c>
      <c r="K790" s="9" t="inlineStr">
        <is>
          <t>Chưa rõ giống (Cần quét Bio)</t>
        </is>
      </c>
      <c r="L790" s="62" t="n">
        <v>0</v>
      </c>
      <c r="M790" s="62" t="n">
        <v>0</v>
      </c>
      <c r="N790" s="9" t="inlineStr">
        <is>
          <t>Amazon link not found</t>
        </is>
      </c>
      <c r="O790" s="62">
        <f>IF(N790="Selling pet toys + Artificial grass/Pet toilets (TARGET)",15,IF(N790="Selling artificial grass/pet toilets (TARGET)",10,IF(N790="Selling pet toys",7,IF(N790="There's an Amazon link, but no target sales.",3,0))))</f>
        <v/>
      </c>
      <c r="P790" s="67">
        <f>H790+J790+L790+M790+O790</f>
        <v/>
      </c>
      <c r="Q790" s="69">
        <f>IF(OR(H790=0,P790&lt;30),"Tier D (Đóng băng)",IF(P790&gt;=85,"Tier S (Kim Cương: 85-100đ)",IF(P790&gt;=70,"Tier A (Vàng: 70-84đ)",IF(P790&gt;=61,"Tier B+ / Cấp A (Hot Lead: 61-69đ)",IF(P790&gt;=50,"Tier B (Bạc: 50-60đ)","Tier C (Đồng: 30-49đ)")))))</f>
        <v/>
      </c>
      <c r="R790" s="9" t="inlineStr">
        <is>
          <t>Nhà vệ sinh &amp; Tã lót (Potty Tray / Pee Pads) + Cỏ nhân tạo lót chuồng</t>
        </is>
      </c>
      <c r="S790" s="9" t="inlineStr">
        <is>
          <t>Cấp C Chi phí thấp: Nhắn tin trực tiếp qua Fanpage Facebook/Instagram + Nuôi dưỡng nội dung</t>
        </is>
      </c>
    </row>
    <row r="791">
      <c r="A791" s="53" t="n">
        <v>2939</v>
      </c>
      <c r="B791" s="12" t="inlineStr">
        <is>
          <t>SOS Podenco Rescue</t>
        </is>
      </c>
      <c r="C791" s="54" t="inlineStr">
        <is>
          <t>https://www.facebook.com/sos.podencorescue.7</t>
        </is>
      </c>
      <c r="D791" s="6" t="inlineStr">
        <is>
          <t>Cần quét Bio Fanpage</t>
        </is>
      </c>
      <c r="E791" s="53" t="inlineStr">
        <is>
          <t>12/10/2026 20:52:17</t>
        </is>
      </c>
      <c r="F791" s="53" t="inlineStr">
        <is>
          <t>9 giờ trước</t>
        </is>
      </c>
      <c r="G791" s="55" t="n">
        <v>0.38</v>
      </c>
      <c r="H791" s="56" t="n">
        <v>32</v>
      </c>
      <c r="I791" s="6" t="inlineStr">
        <is>
          <t>Pet Rescue / Trạm cứu trợ (14-16đ)</t>
        </is>
      </c>
      <c r="J791" s="56" t="n">
        <v>14</v>
      </c>
      <c r="K791" s="6" t="inlineStr">
        <is>
          <t>Chưa rõ giống (Cần quét Bio)</t>
        </is>
      </c>
      <c r="L791" s="56" t="n">
        <v>0</v>
      </c>
      <c r="M791" s="56" t="n">
        <v>0</v>
      </c>
      <c r="N791" s="6" t="inlineStr">
        <is>
          <t>Amazon link not found</t>
        </is>
      </c>
      <c r="O791" s="56">
        <f>IF(N791="Selling pet toys + Artificial grass/Pet toilets (TARGET)",15,IF(N791="Selling artificial grass/pet toilets (TARGET)",10,IF(N791="Selling pet toys",7,IF(N791="There's an Amazon link, but no target sales.",3,0))))</f>
        <v/>
      </c>
      <c r="P791" s="65">
        <f>H791+J791+L791+M791+O791</f>
        <v/>
      </c>
      <c r="Q791" s="69">
        <f>IF(OR(H791=0,P791&lt;30),"Tier D (Đóng băng)",IF(P791&gt;=85,"Tier S (Kim Cương: 85-100đ)",IF(P791&gt;=70,"Tier A (Vàng: 70-84đ)",IF(P791&gt;=61,"Tier B+ / Cấp A (Hot Lead: 61-69đ)",IF(P791&gt;=50,"Tier B (Bạc: 50-60đ)","Tier C (Đồng: 30-49đ)")))))</f>
        <v/>
      </c>
      <c r="R791" s="6" t="inlineStr">
        <is>
          <t>Nhà vệ sinh &amp; Tã lót (Potty Tray / Pee Pads) + Cỏ nhân tạo lót chuồng</t>
        </is>
      </c>
      <c r="S791" s="6" t="inlineStr">
        <is>
          <t>Cấp C Chi phí thấp: Nhắn tin trực tiếp qua Fanpage Facebook/Instagram + Nuôi dưỡng nội dung</t>
        </is>
      </c>
    </row>
    <row r="792">
      <c r="A792" s="59" t="n">
        <v>1756</v>
      </c>
      <c r="B792" s="15" t="inlineStr">
        <is>
          <t>Jax the lab rescue</t>
        </is>
      </c>
      <c r="C792" s="60" t="inlineStr">
        <is>
          <t>https://www.facebook.com/profile.php?id=61591539430754</t>
        </is>
      </c>
      <c r="D792" s="9" t="inlineStr">
        <is>
          <t>Cần quét Bio Fanpage</t>
        </is>
      </c>
      <c r="E792" s="59" t="inlineStr">
        <is>
          <t>12/10/2026 20:18:11</t>
        </is>
      </c>
      <c r="F792" s="59" t="inlineStr">
        <is>
          <t>7 giờ trước</t>
        </is>
      </c>
      <c r="G792" s="61" t="n">
        <v>0.29</v>
      </c>
      <c r="H792" s="62" t="n">
        <v>32</v>
      </c>
      <c r="I792" s="9" t="inlineStr">
        <is>
          <t>Pet Rescue / Trạm cứu trợ (14-16đ)</t>
        </is>
      </c>
      <c r="J792" s="62" t="n">
        <v>14</v>
      </c>
      <c r="K792" s="9" t="inlineStr">
        <is>
          <t>Chưa rõ giống (Cần quét Bio)</t>
        </is>
      </c>
      <c r="L792" s="62" t="n">
        <v>0</v>
      </c>
      <c r="M792" s="62" t="n">
        <v>0</v>
      </c>
      <c r="N792" s="9" t="inlineStr">
        <is>
          <t>Amazon link not found</t>
        </is>
      </c>
      <c r="O792" s="62">
        <f>IF(N792="Selling pet toys + Artificial grass/Pet toilets (TARGET)",15,IF(N792="Selling artificial grass/pet toilets (TARGET)",10,IF(N792="Selling pet toys",7,IF(N792="There's an Amazon link, but no target sales.",3,0))))</f>
        <v/>
      </c>
      <c r="P792" s="67">
        <f>H792+J792+L792+M792+O792</f>
        <v/>
      </c>
      <c r="Q792" s="69">
        <f>IF(OR(H792=0,P792&lt;30),"Tier D (Đóng băng)",IF(P792&gt;=85,"Tier S (Kim Cương: 85-100đ)",IF(P792&gt;=70,"Tier A (Vàng: 70-84đ)",IF(P792&gt;=61,"Tier B+ / Cấp A (Hot Lead: 61-69đ)",IF(P792&gt;=50,"Tier B (Bạc: 50-60đ)","Tier C (Đồng: 30-49đ)")))))</f>
        <v/>
      </c>
      <c r="R792" s="9" t="inlineStr">
        <is>
          <t>Nhà vệ sinh &amp; Tã lót (Potty Tray / Pee Pads) + Cỏ nhân tạo lót chuồng</t>
        </is>
      </c>
      <c r="S792" s="9" t="inlineStr">
        <is>
          <t>Cấp C Chi phí thấp: Nhắn tin trực tiếp qua Fanpage Facebook/Instagram + Nuôi dưỡng nội dung</t>
        </is>
      </c>
    </row>
    <row r="793">
      <c r="A793" s="53" t="n">
        <v>2023</v>
      </c>
      <c r="B793" s="12" t="inlineStr">
        <is>
          <t>Lincoln Park Animal Shelter</t>
        </is>
      </c>
      <c r="C793" s="54" t="inlineStr">
        <is>
          <t>https://www.facebook.com/LincolnParkAnimalShelter</t>
        </is>
      </c>
      <c r="D793" s="6" t="inlineStr">
        <is>
          <t>Cần quét Bio Fanpage</t>
        </is>
      </c>
      <c r="E793" s="53" t="inlineStr">
        <is>
          <t>12/10/2026 20:09:48</t>
        </is>
      </c>
      <c r="F793" s="53" t="inlineStr">
        <is>
          <t>8 giờ trước</t>
        </is>
      </c>
      <c r="G793" s="55" t="n">
        <v>0.33</v>
      </c>
      <c r="H793" s="56" t="n">
        <v>32</v>
      </c>
      <c r="I793" s="6" t="inlineStr">
        <is>
          <t>Pet Rescue / Trạm cứu trợ (14-16đ)</t>
        </is>
      </c>
      <c r="J793" s="56" t="n">
        <v>14</v>
      </c>
      <c r="K793" s="6" t="inlineStr">
        <is>
          <t>Chưa rõ giống (Cần quét Bio)</t>
        </is>
      </c>
      <c r="L793" s="56" t="n">
        <v>0</v>
      </c>
      <c r="M793" s="56" t="n">
        <v>0</v>
      </c>
      <c r="N793" s="6" t="inlineStr">
        <is>
          <t>Amazon link not found</t>
        </is>
      </c>
      <c r="O793" s="56">
        <f>IF(N793="Selling pet toys + Artificial grass/Pet toilets (TARGET)",15,IF(N793="Selling artificial grass/pet toilets (TARGET)",10,IF(N793="Selling pet toys",7,IF(N793="There's an Amazon link, but no target sales.",3,0))))</f>
        <v/>
      </c>
      <c r="P793" s="65">
        <f>H793+J793+L793+M793+O793</f>
        <v/>
      </c>
      <c r="Q793" s="69">
        <f>IF(OR(H793=0,P793&lt;30),"Tier D (Đóng băng)",IF(P793&gt;=85,"Tier S (Kim Cương: 85-100đ)",IF(P793&gt;=70,"Tier A (Vàng: 70-84đ)",IF(P793&gt;=61,"Tier B+ / Cấp A (Hot Lead: 61-69đ)",IF(P793&gt;=50,"Tier B (Bạc: 50-60đ)","Tier C (Đồng: 30-49đ)")))))</f>
        <v/>
      </c>
      <c r="R793" s="6" t="inlineStr">
        <is>
          <t>Nhà vệ sinh &amp; Tã lót (Potty Tray / Pee Pads) + Cỏ nhân tạo lót chuồng</t>
        </is>
      </c>
      <c r="S793" s="6" t="inlineStr">
        <is>
          <t>Cấp C Chi phí thấp: Nhắn tin trực tiếp qua Fanpage Facebook/Instagram + Nuôi dưỡng nội dung</t>
        </is>
      </c>
    </row>
    <row r="794">
      <c r="A794" s="59" t="n">
        <v>1461</v>
      </c>
      <c r="B794" s="15" t="inlineStr">
        <is>
          <t>Friends of Attleboro Animal Shelter</t>
        </is>
      </c>
      <c r="C794" s="60" t="inlineStr">
        <is>
          <t>https://www.facebook.com/FAASAttleboroPets</t>
        </is>
      </c>
      <c r="D794" s="9" t="inlineStr">
        <is>
          <t>Cần quét Bio Fanpage</t>
        </is>
      </c>
      <c r="E794" s="59" t="inlineStr">
        <is>
          <t>12/10/2026 20:02:45</t>
        </is>
      </c>
      <c r="F794" s="59" t="inlineStr">
        <is>
          <t>7 giờ trước</t>
        </is>
      </c>
      <c r="G794" s="61" t="n">
        <v>0.29</v>
      </c>
      <c r="H794" s="62" t="n">
        <v>32</v>
      </c>
      <c r="I794" s="9" t="inlineStr">
        <is>
          <t>Pet Rescue / Trạm cứu trợ (14-16đ)</t>
        </is>
      </c>
      <c r="J794" s="62" t="n">
        <v>14</v>
      </c>
      <c r="K794" s="9" t="inlineStr">
        <is>
          <t>Chưa rõ giống (Cần quét Bio)</t>
        </is>
      </c>
      <c r="L794" s="62" t="n">
        <v>0</v>
      </c>
      <c r="M794" s="62" t="n">
        <v>0</v>
      </c>
      <c r="N794" s="9" t="inlineStr">
        <is>
          <t>Amazon link not found</t>
        </is>
      </c>
      <c r="O794" s="62">
        <f>IF(N794="Selling pet toys + Artificial grass/Pet toilets (TARGET)",15,IF(N794="Selling artificial grass/pet toilets (TARGET)",10,IF(N794="Selling pet toys",7,IF(N794="There's an Amazon link, but no target sales.",3,0))))</f>
        <v/>
      </c>
      <c r="P794" s="67">
        <f>H794+J794+L794+M794+O794</f>
        <v/>
      </c>
      <c r="Q794" s="69">
        <f>IF(OR(H794=0,P794&lt;30),"Tier D (Đóng băng)",IF(P794&gt;=85,"Tier S (Kim Cương: 85-100đ)",IF(P794&gt;=70,"Tier A (Vàng: 70-84đ)",IF(P794&gt;=61,"Tier B+ / Cấp A (Hot Lead: 61-69đ)",IF(P794&gt;=50,"Tier B (Bạc: 50-60đ)","Tier C (Đồng: 30-49đ)")))))</f>
        <v/>
      </c>
      <c r="R794" s="9" t="inlineStr">
        <is>
          <t>Nhà vệ sinh &amp; Tã lót (Potty Tray / Pee Pads) + Cỏ nhân tạo lót chuồng</t>
        </is>
      </c>
      <c r="S794" s="9" t="inlineStr">
        <is>
          <t>Cấp C Chi phí thấp: Nhắn tin trực tiếp qua Fanpage Facebook/Instagram + Nuôi dưỡng nội dung</t>
        </is>
      </c>
    </row>
    <row r="795">
      <c r="A795" s="53" t="n">
        <v>99</v>
      </c>
      <c r="B795" s="12" t="inlineStr">
        <is>
          <t>Animal Rescue League of Iowa</t>
        </is>
      </c>
      <c r="C795" s="54" t="inlineStr">
        <is>
          <t>https://www.facebook.com/ARLIowa</t>
        </is>
      </c>
      <c r="D795" s="6" t="inlineStr">
        <is>
          <t>Cần quét Bio Fanpage</t>
        </is>
      </c>
      <c r="E795" s="53" t="inlineStr">
        <is>
          <t>12/10/2026 20:00:38</t>
        </is>
      </c>
      <c r="F795" s="53" t="inlineStr">
        <is>
          <t>5 giờ trước</t>
        </is>
      </c>
      <c r="G795" s="55" t="n">
        <v>0.21</v>
      </c>
      <c r="H795" s="56" t="n">
        <v>32</v>
      </c>
      <c r="I795" s="6" t="inlineStr">
        <is>
          <t>Pet Rescue / Trạm cứu trợ (14-16đ)</t>
        </is>
      </c>
      <c r="J795" s="56" t="n">
        <v>14</v>
      </c>
      <c r="K795" s="6" t="inlineStr">
        <is>
          <t>Chưa rõ giống (Cần quét Bio)</t>
        </is>
      </c>
      <c r="L795" s="56" t="n">
        <v>0</v>
      </c>
      <c r="M795" s="56" t="n">
        <v>0</v>
      </c>
      <c r="N795" s="6" t="inlineStr">
        <is>
          <t>Amazon link not found</t>
        </is>
      </c>
      <c r="O795" s="56">
        <f>IF(N795="Selling pet toys + Artificial grass/Pet toilets (TARGET)",15,IF(N795="Selling artificial grass/pet toilets (TARGET)",10,IF(N795="Selling pet toys",7,IF(N795="There's an Amazon link, but no target sales.",3,0))))</f>
        <v/>
      </c>
      <c r="P795" s="65">
        <f>H795+J795+L795+M795+O795</f>
        <v/>
      </c>
      <c r="Q795" s="69">
        <f>IF(OR(H795=0,P795&lt;30),"Tier D (Đóng băng)",IF(P795&gt;=85,"Tier S (Kim Cương: 85-100đ)",IF(P795&gt;=70,"Tier A (Vàng: 70-84đ)",IF(P795&gt;=61,"Tier B+ / Cấp A (Hot Lead: 61-69đ)",IF(P795&gt;=50,"Tier B (Bạc: 50-60đ)","Tier C (Đồng: 30-49đ)")))))</f>
        <v/>
      </c>
      <c r="R795" s="6" t="inlineStr">
        <is>
          <t>Nhà vệ sinh &amp; Tã lót (Potty Tray / Pee Pads) + Cỏ nhân tạo lót chuồng</t>
        </is>
      </c>
      <c r="S795" s="6" t="inlineStr">
        <is>
          <t>Cấp C Chi phí thấp: Nhắn tin trực tiếp qua Fanpage Facebook/Instagram + Nuôi dưỡng nội dung</t>
        </is>
      </c>
    </row>
    <row r="796">
      <c r="A796" s="59" t="n">
        <v>2180</v>
      </c>
      <c r="B796" s="15" t="inlineStr">
        <is>
          <t>Miles To Freedom Animal Rescue</t>
        </is>
      </c>
      <c r="C796" s="60" t="inlineStr">
        <is>
          <t>https://www.facebook.com/MilesToFreedomAnimalRescue</t>
        </is>
      </c>
      <c r="D796" s="9" t="inlineStr">
        <is>
          <t>Cần quét Bio Fanpage</t>
        </is>
      </c>
      <c r="E796" s="59" t="inlineStr">
        <is>
          <t>12/10/2026 18:51:02</t>
        </is>
      </c>
      <c r="F796" s="59" t="inlineStr">
        <is>
          <t>9 giờ trước</t>
        </is>
      </c>
      <c r="G796" s="61" t="n">
        <v>0.38</v>
      </c>
      <c r="H796" s="62" t="n">
        <v>32</v>
      </c>
      <c r="I796" s="9" t="inlineStr">
        <is>
          <t>Pet Rescue / Trạm cứu trợ (14-16đ)</t>
        </is>
      </c>
      <c r="J796" s="62" t="n">
        <v>14</v>
      </c>
      <c r="K796" s="9" t="inlineStr">
        <is>
          <t>Chưa rõ giống (Cần quét Bio)</t>
        </is>
      </c>
      <c r="L796" s="62" t="n">
        <v>0</v>
      </c>
      <c r="M796" s="62" t="n">
        <v>0</v>
      </c>
      <c r="N796" s="9" t="inlineStr">
        <is>
          <t>Amazon link not found</t>
        </is>
      </c>
      <c r="O796" s="62">
        <f>IF(N796="Selling pet toys + Artificial grass/Pet toilets (TARGET)",15,IF(N796="Selling artificial grass/pet toilets (TARGET)",10,IF(N796="Selling pet toys",7,IF(N796="There's an Amazon link, but no target sales.",3,0))))</f>
        <v/>
      </c>
      <c r="P796" s="67">
        <f>H796+J796+L796+M796+O796</f>
        <v/>
      </c>
      <c r="Q796" s="69">
        <f>IF(OR(H796=0,P796&lt;30),"Tier D (Đóng băng)",IF(P796&gt;=85,"Tier S (Kim Cương: 85-100đ)",IF(P796&gt;=70,"Tier A (Vàng: 70-84đ)",IF(P796&gt;=61,"Tier B+ / Cấp A (Hot Lead: 61-69đ)",IF(P796&gt;=50,"Tier B (Bạc: 50-60đ)","Tier C (Đồng: 30-49đ)")))))</f>
        <v/>
      </c>
      <c r="R796" s="9" t="inlineStr">
        <is>
          <t>Nhà vệ sinh &amp; Tã lót (Potty Tray / Pee Pads) + Cỏ nhân tạo lót chuồng</t>
        </is>
      </c>
      <c r="S796" s="9" t="inlineStr">
        <is>
          <t>Cấp C Chi phí thấp: Nhắn tin trực tiếp qua Fanpage Facebook/Instagram + Nuôi dưỡng nội dung</t>
        </is>
      </c>
    </row>
    <row r="797">
      <c r="A797" s="53" t="n">
        <v>1845</v>
      </c>
      <c r="B797" s="12" t="inlineStr">
        <is>
          <t>Karma's Place Rescue</t>
        </is>
      </c>
      <c r="C797" s="54" t="inlineStr">
        <is>
          <t>https://www.facebook.com/karmasplacerescue</t>
        </is>
      </c>
      <c r="D797" s="6" t="inlineStr">
        <is>
          <t>Cần quét Bio Fanpage</t>
        </is>
      </c>
      <c r="E797" s="53" t="inlineStr">
        <is>
          <t>12/10/2026 15:00:56</t>
        </is>
      </c>
      <c r="F797" s="53" t="inlineStr">
        <is>
          <t>13 giờ trước</t>
        </is>
      </c>
      <c r="G797" s="55" t="n">
        <v>0.54</v>
      </c>
      <c r="H797" s="56" t="n">
        <v>32</v>
      </c>
      <c r="I797" s="6" t="inlineStr">
        <is>
          <t>Pet Rescue / Trạm cứu trợ (14-16đ)</t>
        </is>
      </c>
      <c r="J797" s="56" t="n">
        <v>14</v>
      </c>
      <c r="K797" s="6" t="inlineStr">
        <is>
          <t>Chưa rõ giống (Cần quét Bio)</t>
        </is>
      </c>
      <c r="L797" s="56" t="n">
        <v>0</v>
      </c>
      <c r="M797" s="56" t="n">
        <v>0</v>
      </c>
      <c r="N797" s="6" t="inlineStr">
        <is>
          <t>Amazon link not found</t>
        </is>
      </c>
      <c r="O797" s="56">
        <f>IF(N797="Selling pet toys + Artificial grass/Pet toilets (TARGET)",15,IF(N797="Selling artificial grass/pet toilets (TARGET)",10,IF(N797="Selling pet toys",7,IF(N797="There's an Amazon link, but no target sales.",3,0))))</f>
        <v/>
      </c>
      <c r="P797" s="65">
        <f>H797+J797+L797+M797+O797</f>
        <v/>
      </c>
      <c r="Q797" s="69">
        <f>IF(OR(H797=0,P797&lt;30),"Tier D (Đóng băng)",IF(P797&gt;=85,"Tier S (Kim Cương: 85-100đ)",IF(P797&gt;=70,"Tier A (Vàng: 70-84đ)",IF(P797&gt;=61,"Tier B+ / Cấp A (Hot Lead: 61-69đ)",IF(P797&gt;=50,"Tier B (Bạc: 50-60đ)","Tier C (Đồng: 30-49đ)")))))</f>
        <v/>
      </c>
      <c r="R797" s="6" t="inlineStr">
        <is>
          <t>Nhà vệ sinh &amp; Tã lót (Potty Tray / Pee Pads) + Cỏ nhân tạo lót chuồng</t>
        </is>
      </c>
      <c r="S797" s="6" t="inlineStr">
        <is>
          <t>Cấp C Chi phí thấp: Nhắn tin trực tiếp qua Fanpage Facebook/Instagram + Nuôi dưỡng nội dung</t>
        </is>
      </c>
    </row>
    <row r="798">
      <c r="A798" s="59" t="n">
        <v>2609</v>
      </c>
      <c r="B798" s="15" t="inlineStr">
        <is>
          <t>Pound Paws Rescue</t>
        </is>
      </c>
      <c r="C798" s="60" t="inlineStr">
        <is>
          <t>https://www.facebook.com/poundpawsrescue</t>
        </is>
      </c>
      <c r="D798" s="9" t="inlineStr">
        <is>
          <t>Cần quét Bio Fanpage</t>
        </is>
      </c>
      <c r="E798" s="59" t="inlineStr">
        <is>
          <t>12/10/2026 14:52:43</t>
        </is>
      </c>
      <c r="F798" s="59" t="inlineStr">
        <is>
          <t>14 giờ trước</t>
        </is>
      </c>
      <c r="G798" s="61" t="n">
        <v>0.58</v>
      </c>
      <c r="H798" s="62" t="n">
        <v>32</v>
      </c>
      <c r="I798" s="9" t="inlineStr">
        <is>
          <t>Pet Rescue / Trạm cứu trợ (14-16đ)</t>
        </is>
      </c>
      <c r="J798" s="62" t="n">
        <v>14</v>
      </c>
      <c r="K798" s="9" t="inlineStr">
        <is>
          <t>Chưa rõ giống (Cần quét Bio)</t>
        </is>
      </c>
      <c r="L798" s="62" t="n">
        <v>0</v>
      </c>
      <c r="M798" s="62" t="n">
        <v>0</v>
      </c>
      <c r="N798" s="9" t="inlineStr">
        <is>
          <t>Amazon link not found</t>
        </is>
      </c>
      <c r="O798" s="62">
        <f>IF(N798="Selling pet toys + Artificial grass/Pet toilets (TARGET)",15,IF(N798="Selling artificial grass/pet toilets (TARGET)",10,IF(N798="Selling pet toys",7,IF(N798="There's an Amazon link, but no target sales.",3,0))))</f>
        <v/>
      </c>
      <c r="P798" s="67">
        <f>H798+J798+L798+M798+O798</f>
        <v/>
      </c>
      <c r="Q798" s="69">
        <f>IF(OR(H798=0,P798&lt;30),"Tier D (Đóng băng)",IF(P798&gt;=85,"Tier S (Kim Cương: 85-100đ)",IF(P798&gt;=70,"Tier A (Vàng: 70-84đ)",IF(P798&gt;=61,"Tier B+ / Cấp A (Hot Lead: 61-69đ)",IF(P798&gt;=50,"Tier B (Bạc: 50-60đ)","Tier C (Đồng: 30-49đ)")))))</f>
        <v/>
      </c>
      <c r="R798" s="9" t="inlineStr">
        <is>
          <t>Nhà vệ sinh &amp; Tã lót (Potty Tray / Pee Pads) + Cỏ nhân tạo lót chuồng</t>
        </is>
      </c>
      <c r="S798" s="9" t="inlineStr">
        <is>
          <t>Cấp C Chi phí thấp: Nhắn tin trực tiếp qua Fanpage Facebook/Instagram + Nuôi dưỡng nội dung</t>
        </is>
      </c>
    </row>
    <row r="799">
      <c r="A799" s="53" t="n">
        <v>2392</v>
      </c>
      <c r="B799" s="12" t="inlineStr">
        <is>
          <t>Pack Lyfe Rescue</t>
        </is>
      </c>
      <c r="C799" s="54" t="inlineStr">
        <is>
          <t>https://www.facebook.com/packlyferescueinc</t>
        </is>
      </c>
      <c r="D799" s="6" t="inlineStr">
        <is>
          <t>Cần quét Bio Fanpage</t>
        </is>
      </c>
      <c r="E799" s="53" t="inlineStr">
        <is>
          <t>12/10/2026 14:14:21</t>
        </is>
      </c>
      <c r="F799" s="53" t="inlineStr">
        <is>
          <t>14 giờ trước</t>
        </is>
      </c>
      <c r="G799" s="55" t="n">
        <v>0.58</v>
      </c>
      <c r="H799" s="56" t="n">
        <v>32</v>
      </c>
      <c r="I799" s="6" t="inlineStr">
        <is>
          <t>Pet Rescue / Trạm cứu trợ (14-16đ)</t>
        </is>
      </c>
      <c r="J799" s="56" t="n">
        <v>14</v>
      </c>
      <c r="K799" s="6" t="inlineStr">
        <is>
          <t>Chưa rõ giống (Cần quét Bio)</t>
        </is>
      </c>
      <c r="L799" s="56" t="n">
        <v>0</v>
      </c>
      <c r="M799" s="56" t="n">
        <v>0</v>
      </c>
      <c r="N799" s="6" t="inlineStr">
        <is>
          <t>Amazon link not found</t>
        </is>
      </c>
      <c r="O799" s="56">
        <f>IF(N799="Selling pet toys + Artificial grass/Pet toilets (TARGET)",15,IF(N799="Selling artificial grass/pet toilets (TARGET)",10,IF(N799="Selling pet toys",7,IF(N799="There's an Amazon link, but no target sales.",3,0))))</f>
        <v/>
      </c>
      <c r="P799" s="65">
        <f>H799+J799+L799+M799+O799</f>
        <v/>
      </c>
      <c r="Q799" s="69">
        <f>IF(OR(H799=0,P799&lt;30),"Tier D (Đóng băng)",IF(P799&gt;=85,"Tier S (Kim Cương: 85-100đ)",IF(P799&gt;=70,"Tier A (Vàng: 70-84đ)",IF(P799&gt;=61,"Tier B+ / Cấp A (Hot Lead: 61-69đ)",IF(P799&gt;=50,"Tier B (Bạc: 50-60đ)","Tier C (Đồng: 30-49đ)")))))</f>
        <v/>
      </c>
      <c r="R799" s="6" t="inlineStr">
        <is>
          <t>Nhà vệ sinh &amp; Tã lót (Potty Tray / Pee Pads) + Cỏ nhân tạo lót chuồng</t>
        </is>
      </c>
      <c r="S799" s="6" t="inlineStr">
        <is>
          <t>Cấp C Chi phí thấp: Nhắn tin trực tiếp qua Fanpage Facebook/Instagram + Nuôi dưỡng nội dung</t>
        </is>
      </c>
    </row>
    <row r="800">
      <c r="A800" s="59" t="n">
        <v>897</v>
      </c>
      <c r="B800" s="15" t="inlineStr">
        <is>
          <t>Christchurch Bull Breed Rescue</t>
        </is>
      </c>
      <c r="C800" s="60" t="inlineStr">
        <is>
          <t>https://www.facebook.com/ChristchurchBullBreedRescue</t>
        </is>
      </c>
      <c r="D800" s="9" t="inlineStr">
        <is>
          <t>Cần quét Bio Fanpage</t>
        </is>
      </c>
      <c r="E800" s="59" t="inlineStr">
        <is>
          <t>12/10/2026 13:17:26</t>
        </is>
      </c>
      <c r="F800" s="59" t="inlineStr">
        <is>
          <t>13 giờ trước</t>
        </is>
      </c>
      <c r="G800" s="61" t="n">
        <v>0.54</v>
      </c>
      <c r="H800" s="62" t="n">
        <v>32</v>
      </c>
      <c r="I800" s="9" t="inlineStr">
        <is>
          <t>Pet Rescue / Trạm cứu trợ (14-16đ)</t>
        </is>
      </c>
      <c r="J800" s="62" t="n">
        <v>14</v>
      </c>
      <c r="K800" s="9" t="inlineStr">
        <is>
          <t>Chưa rõ giống (Cần quét Bio)</t>
        </is>
      </c>
      <c r="L800" s="62" t="n">
        <v>0</v>
      </c>
      <c r="M800" s="62" t="n">
        <v>0</v>
      </c>
      <c r="N800" s="9" t="inlineStr">
        <is>
          <t>Amazon link not found</t>
        </is>
      </c>
      <c r="O800" s="62">
        <f>IF(N800="Selling pet toys + Artificial grass/Pet toilets (TARGET)",15,IF(N800="Selling artificial grass/pet toilets (TARGET)",10,IF(N800="Selling pet toys",7,IF(N800="There's an Amazon link, but no target sales.",3,0))))</f>
        <v/>
      </c>
      <c r="P800" s="67">
        <f>H800+J800+L800+M800+O800</f>
        <v/>
      </c>
      <c r="Q800" s="69">
        <f>IF(OR(H800=0,P800&lt;30),"Tier D (Đóng băng)",IF(P800&gt;=85,"Tier S (Kim Cương: 85-100đ)",IF(P800&gt;=70,"Tier A (Vàng: 70-84đ)",IF(P800&gt;=61,"Tier B+ / Cấp A (Hot Lead: 61-69đ)",IF(P800&gt;=50,"Tier B (Bạc: 50-60đ)","Tier C (Đồng: 30-49đ)")))))</f>
        <v/>
      </c>
      <c r="R800" s="9" t="inlineStr">
        <is>
          <t>Nhà vệ sinh &amp; Tã lót (Potty Tray / Pee Pads) + Cỏ nhân tạo lót chuồng</t>
        </is>
      </c>
      <c r="S800" s="9" t="inlineStr">
        <is>
          <t>Cấp C Chi phí thấp: Nhắn tin trực tiếp qua Fanpage Facebook/Instagram + Nuôi dưỡng nội dung</t>
        </is>
      </c>
    </row>
    <row r="801">
      <c r="A801" s="53" t="n">
        <v>2976</v>
      </c>
      <c r="B801" s="12" t="inlineStr">
        <is>
          <t>Spot Rescue</t>
        </is>
      </c>
      <c r="C801" s="54" t="inlineStr">
        <is>
          <t>https://www.facebook.com/profile.php?id=61551033241366</t>
        </is>
      </c>
      <c r="D801" s="6" t="inlineStr">
        <is>
          <t>Cần quét Bio Fanpage</t>
        </is>
      </c>
      <c r="E801" s="53" t="inlineStr">
        <is>
          <t>12/10/2026 12:19:50</t>
        </is>
      </c>
      <c r="F801" s="53" t="inlineStr">
        <is>
          <t>17 giờ trước</t>
        </is>
      </c>
      <c r="G801" s="55" t="n">
        <v>0.71</v>
      </c>
      <c r="H801" s="56" t="n">
        <v>32</v>
      </c>
      <c r="I801" s="6" t="inlineStr">
        <is>
          <t>Pet Rescue / Trạm cứu trợ (14-16đ)</t>
        </is>
      </c>
      <c r="J801" s="56" t="n">
        <v>14</v>
      </c>
      <c r="K801" s="6" t="inlineStr">
        <is>
          <t>Chưa rõ giống (Cần quét Bio)</t>
        </is>
      </c>
      <c r="L801" s="56" t="n">
        <v>0</v>
      </c>
      <c r="M801" s="56" t="n">
        <v>0</v>
      </c>
      <c r="N801" s="6" t="inlineStr">
        <is>
          <t>Amazon link not found</t>
        </is>
      </c>
      <c r="O801" s="56">
        <f>IF(N801="Selling pet toys + Artificial grass/Pet toilets (TARGET)",15,IF(N801="Selling artificial grass/pet toilets (TARGET)",10,IF(N801="Selling pet toys",7,IF(N801="There's an Amazon link, but no target sales.",3,0))))</f>
        <v/>
      </c>
      <c r="P801" s="65">
        <f>H801+J801+L801+M801+O801</f>
        <v/>
      </c>
      <c r="Q801" s="69">
        <f>IF(OR(H801=0,P801&lt;30),"Tier D (Đóng băng)",IF(P801&gt;=85,"Tier S (Kim Cương: 85-100đ)",IF(P801&gt;=70,"Tier A (Vàng: 70-84đ)",IF(P801&gt;=61,"Tier B+ / Cấp A (Hot Lead: 61-69đ)",IF(P801&gt;=50,"Tier B (Bạc: 50-60đ)","Tier C (Đồng: 30-49đ)")))))</f>
        <v/>
      </c>
      <c r="R801" s="6" t="inlineStr">
        <is>
          <t>Nhà vệ sinh &amp; Tã lót (Potty Tray / Pee Pads) + Cỏ nhân tạo lót chuồng</t>
        </is>
      </c>
      <c r="S801" s="6" t="inlineStr">
        <is>
          <t>Cấp C Chi phí thấp: Nhắn tin trực tiếp qua Fanpage Facebook/Instagram + Nuôi dưỡng nội dung</t>
        </is>
      </c>
    </row>
    <row r="802">
      <c r="A802" s="59" t="n">
        <v>2956</v>
      </c>
      <c r="B802" s="15" t="inlineStr">
        <is>
          <t>Southern Pets Animal Rescue</t>
        </is>
      </c>
      <c r="C802" s="60" t="inlineStr">
        <is>
          <t>https://www.facebook.com/profile.php?id=61574049467445</t>
        </is>
      </c>
      <c r="D802" s="9" t="inlineStr">
        <is>
          <t>Cần quét Bio Fanpage</t>
        </is>
      </c>
      <c r="E802" s="59" t="inlineStr">
        <is>
          <t>12/10/2026 12:15:45</t>
        </is>
      </c>
      <c r="F802" s="59" t="inlineStr">
        <is>
          <t>17 giờ trước</t>
        </is>
      </c>
      <c r="G802" s="61" t="n">
        <v>0.71</v>
      </c>
      <c r="H802" s="62" t="n">
        <v>32</v>
      </c>
      <c r="I802" s="9" t="inlineStr">
        <is>
          <t>Pet Rescue / Trạm cứu trợ (14-16đ)</t>
        </is>
      </c>
      <c r="J802" s="62" t="n">
        <v>14</v>
      </c>
      <c r="K802" s="9" t="inlineStr">
        <is>
          <t>Chưa rõ giống (Cần quét Bio)</t>
        </is>
      </c>
      <c r="L802" s="62" t="n">
        <v>0</v>
      </c>
      <c r="M802" s="62" t="n">
        <v>0</v>
      </c>
      <c r="N802" s="9" t="inlineStr">
        <is>
          <t>Amazon link not found</t>
        </is>
      </c>
      <c r="O802" s="62">
        <f>IF(N802="Selling pet toys + Artificial grass/Pet toilets (TARGET)",15,IF(N802="Selling artificial grass/pet toilets (TARGET)",10,IF(N802="Selling pet toys",7,IF(N802="There's an Amazon link, but no target sales.",3,0))))</f>
        <v/>
      </c>
      <c r="P802" s="67">
        <f>H802+J802+L802+M802+O802</f>
        <v/>
      </c>
      <c r="Q802" s="69">
        <f>IF(OR(H802=0,P802&lt;30),"Tier D (Đóng băng)",IF(P802&gt;=85,"Tier S (Kim Cương: 85-100đ)",IF(P802&gt;=70,"Tier A (Vàng: 70-84đ)",IF(P802&gt;=61,"Tier B+ / Cấp A (Hot Lead: 61-69đ)",IF(P802&gt;=50,"Tier B (Bạc: 50-60đ)","Tier C (Đồng: 30-49đ)")))))</f>
        <v/>
      </c>
      <c r="R802" s="9" t="inlineStr">
        <is>
          <t>Nhà vệ sinh &amp; Tã lót (Potty Tray / Pee Pads) + Cỏ nhân tạo lót chuồng</t>
        </is>
      </c>
      <c r="S802" s="9" t="inlineStr">
        <is>
          <t>Cấp C Chi phí thấp: Nhắn tin trực tiếp qua Fanpage Facebook/Instagram + Nuôi dưỡng nội dung</t>
        </is>
      </c>
    </row>
    <row r="803">
      <c r="A803" s="53" t="n">
        <v>716</v>
      </c>
      <c r="B803" s="12" t="inlineStr">
        <is>
          <t>Bogey The Rescue</t>
        </is>
      </c>
      <c r="C803" s="54" t="inlineStr">
        <is>
          <t>https://www.facebook.com/profile.php?id=61593756683693</t>
        </is>
      </c>
      <c r="D803" s="6" t="inlineStr">
        <is>
          <t>Cần quét Bio Fanpage</t>
        </is>
      </c>
      <c r="E803" s="53" t="inlineStr">
        <is>
          <t>12/10/2026 10:11:13</t>
        </is>
      </c>
      <c r="F803" s="53" t="inlineStr">
        <is>
          <t>16 giờ trước</t>
        </is>
      </c>
      <c r="G803" s="55" t="n">
        <v>0.67</v>
      </c>
      <c r="H803" s="56" t="n">
        <v>32</v>
      </c>
      <c r="I803" s="6" t="inlineStr">
        <is>
          <t>Pet Rescue / Trạm cứu trợ (14-16đ)</t>
        </is>
      </c>
      <c r="J803" s="56" t="n">
        <v>14</v>
      </c>
      <c r="K803" s="6" t="inlineStr">
        <is>
          <t>Chưa rõ giống (Cần quét Bio)</t>
        </is>
      </c>
      <c r="L803" s="56" t="n">
        <v>0</v>
      </c>
      <c r="M803" s="56" t="n">
        <v>0</v>
      </c>
      <c r="N803" s="6" t="inlineStr">
        <is>
          <t>Amazon link not found</t>
        </is>
      </c>
      <c r="O803" s="56">
        <f>IF(N803="Selling pet toys + Artificial grass/Pet toilets (TARGET)",15,IF(N803="Selling artificial grass/pet toilets (TARGET)",10,IF(N803="Selling pet toys",7,IF(N803="There's an Amazon link, but no target sales.",3,0))))</f>
        <v/>
      </c>
      <c r="P803" s="65">
        <f>H803+J803+L803+M803+O803</f>
        <v/>
      </c>
      <c r="Q803" s="69">
        <f>IF(OR(H803=0,P803&lt;30),"Tier D (Đóng băng)",IF(P803&gt;=85,"Tier S (Kim Cương: 85-100đ)",IF(P803&gt;=70,"Tier A (Vàng: 70-84đ)",IF(P803&gt;=61,"Tier B+ / Cấp A (Hot Lead: 61-69đ)",IF(P803&gt;=50,"Tier B (Bạc: 50-60đ)","Tier C (Đồng: 30-49đ)")))))</f>
        <v/>
      </c>
      <c r="R803" s="6" t="inlineStr">
        <is>
          <t>Nhà vệ sinh &amp; Tã lót (Potty Tray / Pee Pads) + Cỏ nhân tạo lót chuồng</t>
        </is>
      </c>
      <c r="S803" s="6" t="inlineStr">
        <is>
          <t>Cấp C Chi phí thấp: Nhắn tin trực tiếp qua Fanpage Facebook/Instagram + Nuôi dưỡng nội dung</t>
        </is>
      </c>
    </row>
    <row r="804">
      <c r="A804" s="59" t="n">
        <v>1361</v>
      </c>
      <c r="B804" s="15" t="inlineStr">
        <is>
          <t>Fearless Kitty Rescue</t>
        </is>
      </c>
      <c r="C804" s="60" t="inlineStr">
        <is>
          <t>https://www.facebook.com/fearlesskittyrescue</t>
        </is>
      </c>
      <c r="D804" s="9" t="inlineStr">
        <is>
          <t>Cần quét Bio Fanpage</t>
        </is>
      </c>
      <c r="E804" s="59" t="inlineStr">
        <is>
          <t>12/10/2026 09:00:30</t>
        </is>
      </c>
      <c r="F804" s="59" t="inlineStr">
        <is>
          <t>18 giờ trước</t>
        </is>
      </c>
      <c r="G804" s="61" t="n">
        <v>0.75</v>
      </c>
      <c r="H804" s="62" t="n">
        <v>32</v>
      </c>
      <c r="I804" s="9" t="inlineStr">
        <is>
          <t>Pet Rescue / Trạm cứu trợ (14-16đ)</t>
        </is>
      </c>
      <c r="J804" s="62" t="n">
        <v>14</v>
      </c>
      <c r="K804" s="9" t="inlineStr">
        <is>
          <t>Chưa rõ giống (Cần quét Bio)</t>
        </is>
      </c>
      <c r="L804" s="62" t="n">
        <v>0</v>
      </c>
      <c r="M804" s="62" t="n">
        <v>0</v>
      </c>
      <c r="N804" s="9" t="inlineStr">
        <is>
          <t>Amazon link not found</t>
        </is>
      </c>
      <c r="O804" s="62">
        <f>IF(N804="Selling pet toys + Artificial grass/Pet toilets (TARGET)",15,IF(N804="Selling artificial grass/pet toilets (TARGET)",10,IF(N804="Selling pet toys",7,IF(N804="There's an Amazon link, but no target sales.",3,0))))</f>
        <v/>
      </c>
      <c r="P804" s="67">
        <f>H804+J804+L804+M804+O804</f>
        <v/>
      </c>
      <c r="Q804" s="69">
        <f>IF(OR(H804=0,P804&lt;30),"Tier D (Đóng băng)",IF(P804&gt;=85,"Tier S (Kim Cương: 85-100đ)",IF(P804&gt;=70,"Tier A (Vàng: 70-84đ)",IF(P804&gt;=61,"Tier B+ / Cấp A (Hot Lead: 61-69đ)",IF(P804&gt;=50,"Tier B (Bạc: 50-60đ)","Tier C (Đồng: 30-49đ)")))))</f>
        <v/>
      </c>
      <c r="R804" s="9" t="inlineStr">
        <is>
          <t>Nhà vệ sinh &amp; Tã lót (Potty Tray / Pee Pads) + Cỏ nhân tạo lót chuồng</t>
        </is>
      </c>
      <c r="S804" s="9" t="inlineStr">
        <is>
          <t>Cấp C Chi phí thấp: Nhắn tin trực tiếp qua Fanpage Facebook/Instagram + Nuôi dưỡng nội dung</t>
        </is>
      </c>
    </row>
    <row r="805">
      <c r="A805" s="53" t="n">
        <v>390</v>
      </c>
      <c r="B805" s="12" t="inlineStr">
        <is>
          <t>Almost There: A Mom + Pups Rescue</t>
        </is>
      </c>
      <c r="C805" s="54" t="inlineStr">
        <is>
          <t>https://www.facebook.com/almostthererescue</t>
        </is>
      </c>
      <c r="D805" s="6" t="inlineStr">
        <is>
          <t>Cần quét Bio Fanpage</t>
        </is>
      </c>
      <c r="E805" s="53" t="inlineStr">
        <is>
          <t>12/10/2026 08:45:58</t>
        </is>
      </c>
      <c r="F805" s="53" t="inlineStr">
        <is>
          <t>16 giờ trước</t>
        </is>
      </c>
      <c r="G805" s="55" t="n">
        <v>0.67</v>
      </c>
      <c r="H805" s="56" t="n">
        <v>32</v>
      </c>
      <c r="I805" s="6" t="inlineStr">
        <is>
          <t>Pet Rescue / Trạm cứu trợ (14-16đ)</t>
        </is>
      </c>
      <c r="J805" s="56" t="n">
        <v>14</v>
      </c>
      <c r="K805" s="6" t="inlineStr">
        <is>
          <t>Chưa rõ giống (Cần quét Bio)</t>
        </is>
      </c>
      <c r="L805" s="56" t="n">
        <v>0</v>
      </c>
      <c r="M805" s="56" t="n">
        <v>0</v>
      </c>
      <c r="N805" s="6" t="inlineStr">
        <is>
          <t>Amazon link not found</t>
        </is>
      </c>
      <c r="O805" s="56">
        <f>IF(N805="Selling pet toys + Artificial grass/Pet toilets (TARGET)",15,IF(N805="Selling artificial grass/pet toilets (TARGET)",10,IF(N805="Selling pet toys",7,IF(N805="There's an Amazon link, but no target sales.",3,0))))</f>
        <v/>
      </c>
      <c r="P805" s="65">
        <f>H805+J805+L805+M805+O805</f>
        <v/>
      </c>
      <c r="Q805" s="69">
        <f>IF(OR(H805=0,P805&lt;30),"Tier D (Đóng băng)",IF(P805&gt;=85,"Tier S (Kim Cương: 85-100đ)",IF(P805&gt;=70,"Tier A (Vàng: 70-84đ)",IF(P805&gt;=61,"Tier B+ / Cấp A (Hot Lead: 61-69đ)",IF(P805&gt;=50,"Tier B (Bạc: 50-60đ)","Tier C (Đồng: 30-49đ)")))))</f>
        <v/>
      </c>
      <c r="R805" s="6" t="inlineStr">
        <is>
          <t>Nhà vệ sinh &amp; Tã lót (Potty Tray / Pee Pads) + Cỏ nhân tạo lót chuồng</t>
        </is>
      </c>
      <c r="S805" s="6" t="inlineStr">
        <is>
          <t>Cấp C Chi phí thấp: Nhắn tin trực tiếp qua Fanpage Facebook/Instagram + Nuôi dưỡng nội dung</t>
        </is>
      </c>
    </row>
    <row r="806">
      <c r="A806" s="59" t="n">
        <v>1589</v>
      </c>
      <c r="B806" s="15" t="inlineStr">
        <is>
          <t>H.F. Help No Kill Rescue</t>
        </is>
      </c>
      <c r="C806" s="60" t="inlineStr">
        <is>
          <t>https://www.facebook.com/hfhelpnokillrescue</t>
        </is>
      </c>
      <c r="D806" s="9" t="inlineStr">
        <is>
          <t>Cần quét Bio Fanpage</t>
        </is>
      </c>
      <c r="E806" s="59" t="inlineStr">
        <is>
          <t>12/10/2026 07:31:35</t>
        </is>
      </c>
      <c r="F806" s="59" t="inlineStr">
        <is>
          <t>20 giờ trước</t>
        </is>
      </c>
      <c r="G806" s="61" t="n">
        <v>0.83</v>
      </c>
      <c r="H806" s="62" t="n">
        <v>32</v>
      </c>
      <c r="I806" s="9" t="inlineStr">
        <is>
          <t>Pet Rescue / Trạm cứu trợ (14-16đ)</t>
        </is>
      </c>
      <c r="J806" s="62" t="n">
        <v>14</v>
      </c>
      <c r="K806" s="9" t="inlineStr">
        <is>
          <t>Chưa rõ giống (Cần quét Bio)</t>
        </is>
      </c>
      <c r="L806" s="62" t="n">
        <v>0</v>
      </c>
      <c r="M806" s="62" t="n">
        <v>0</v>
      </c>
      <c r="N806" s="9" t="inlineStr">
        <is>
          <t>Amazon link not found</t>
        </is>
      </c>
      <c r="O806" s="62">
        <f>IF(N806="Selling pet toys + Artificial grass/Pet toilets (TARGET)",15,IF(N806="Selling artificial grass/pet toilets (TARGET)",10,IF(N806="Selling pet toys",7,IF(N806="There's an Amazon link, but no target sales.",3,0))))</f>
        <v/>
      </c>
      <c r="P806" s="67">
        <f>H806+J806+L806+M806+O806</f>
        <v/>
      </c>
      <c r="Q806" s="69">
        <f>IF(OR(H806=0,P806&lt;30),"Tier D (Đóng băng)",IF(P806&gt;=85,"Tier S (Kim Cương: 85-100đ)",IF(P806&gt;=70,"Tier A (Vàng: 70-84đ)",IF(P806&gt;=61,"Tier B+ / Cấp A (Hot Lead: 61-69đ)",IF(P806&gt;=50,"Tier B (Bạc: 50-60đ)","Tier C (Đồng: 30-49đ)")))))</f>
        <v/>
      </c>
      <c r="R806" s="9" t="inlineStr">
        <is>
          <t>Nhà vệ sinh &amp; Tã lót (Potty Tray / Pee Pads) + Cỏ nhân tạo lót chuồng</t>
        </is>
      </c>
      <c r="S806" s="9" t="inlineStr">
        <is>
          <t>Cấp C Chi phí thấp: Nhắn tin trực tiếp qua Fanpage Facebook/Instagram + Nuôi dưỡng nội dung</t>
        </is>
      </c>
    </row>
    <row r="807">
      <c r="A807" s="53" t="n">
        <v>2318</v>
      </c>
      <c r="B807" s="12" t="inlineStr">
        <is>
          <t>Northeast Pyr Rescue</t>
        </is>
      </c>
      <c r="C807" s="54" t="inlineStr">
        <is>
          <t>https://www.facebook.com/NortheastPyrRescue</t>
        </is>
      </c>
      <c r="D807" s="6" t="inlineStr">
        <is>
          <t>Cần quét Bio Fanpage</t>
        </is>
      </c>
      <c r="E807" s="53" t="inlineStr">
        <is>
          <t>12/10/2026 07:25:35</t>
        </is>
      </c>
      <c r="F807" s="53" t="inlineStr">
        <is>
          <t>21 giờ trước</t>
        </is>
      </c>
      <c r="G807" s="55" t="n">
        <v>0.88</v>
      </c>
      <c r="H807" s="56" t="n">
        <v>32</v>
      </c>
      <c r="I807" s="6" t="inlineStr">
        <is>
          <t>Pet Rescue / Trạm cứu trợ (14-16đ)</t>
        </is>
      </c>
      <c r="J807" s="56" t="n">
        <v>14</v>
      </c>
      <c r="K807" s="6" t="inlineStr">
        <is>
          <t>Chưa rõ giống (Cần quét Bio)</t>
        </is>
      </c>
      <c r="L807" s="56" t="n">
        <v>0</v>
      </c>
      <c r="M807" s="56" t="n">
        <v>0</v>
      </c>
      <c r="N807" s="6" t="inlineStr">
        <is>
          <t>Amazon link not found</t>
        </is>
      </c>
      <c r="O807" s="56">
        <f>IF(N807="Selling pet toys + Artificial grass/Pet toilets (TARGET)",15,IF(N807="Selling artificial grass/pet toilets (TARGET)",10,IF(N807="Selling pet toys",7,IF(N807="There's an Amazon link, but no target sales.",3,0))))</f>
        <v/>
      </c>
      <c r="P807" s="65">
        <f>H807+J807+L807+M807+O807</f>
        <v/>
      </c>
      <c r="Q807" s="69">
        <f>IF(OR(H807=0,P807&lt;30),"Tier D (Đóng băng)",IF(P807&gt;=85,"Tier S (Kim Cương: 85-100đ)",IF(P807&gt;=70,"Tier A (Vàng: 70-84đ)",IF(P807&gt;=61,"Tier B+ / Cấp A (Hot Lead: 61-69đ)",IF(P807&gt;=50,"Tier B (Bạc: 50-60đ)","Tier C (Đồng: 30-49đ)")))))</f>
        <v/>
      </c>
      <c r="R807" s="6" t="inlineStr">
        <is>
          <t>Nhà vệ sinh &amp; Tã lót (Potty Tray / Pee Pads) + Cỏ nhân tạo lót chuồng</t>
        </is>
      </c>
      <c r="S807" s="6" t="inlineStr">
        <is>
          <t>Cấp C Chi phí thấp: Nhắn tin trực tiếp qua Fanpage Facebook/Instagram + Nuôi dưỡng nội dung</t>
        </is>
      </c>
    </row>
    <row r="808">
      <c r="A808" s="59" t="n">
        <v>91</v>
      </c>
      <c r="B808" s="15" t="inlineStr">
        <is>
          <t>Adelynn’s Plant Rescue</t>
        </is>
      </c>
      <c r="C808" s="60" t="inlineStr">
        <is>
          <t>https://www.facebook.com/profile.php?id=61589605042469</t>
        </is>
      </c>
      <c r="D808" s="9" t="inlineStr">
        <is>
          <t>Cần quét Bio Fanpage</t>
        </is>
      </c>
      <c r="E808" s="59" t="inlineStr">
        <is>
          <t>12/10/2026 06:59:46</t>
        </is>
      </c>
      <c r="F808" s="59" t="inlineStr">
        <is>
          <t>18 giờ trước</t>
        </is>
      </c>
      <c r="G808" s="61" t="n">
        <v>0.75</v>
      </c>
      <c r="H808" s="62" t="n">
        <v>32</v>
      </c>
      <c r="I808" s="9" t="inlineStr">
        <is>
          <t>Pet Rescue / Trạm cứu trợ (14-16đ)</t>
        </is>
      </c>
      <c r="J808" s="62" t="n">
        <v>14</v>
      </c>
      <c r="K808" s="9" t="inlineStr">
        <is>
          <t>Chưa rõ giống (Cần quét Bio)</t>
        </is>
      </c>
      <c r="L808" s="62" t="n">
        <v>0</v>
      </c>
      <c r="M808" s="62" t="n">
        <v>0</v>
      </c>
      <c r="N808" s="9" t="inlineStr">
        <is>
          <t>Amazon link not found</t>
        </is>
      </c>
      <c r="O808" s="62">
        <f>IF(N808="Selling pet toys + Artificial grass/Pet toilets (TARGET)",15,IF(N808="Selling artificial grass/pet toilets (TARGET)",10,IF(N808="Selling pet toys",7,IF(N808="There's an Amazon link, but no target sales.",3,0))))</f>
        <v/>
      </c>
      <c r="P808" s="67">
        <f>H808+J808+L808+M808+O808</f>
        <v/>
      </c>
      <c r="Q808" s="69">
        <f>IF(OR(H808=0,P808&lt;30),"Tier D (Đóng băng)",IF(P808&gt;=85,"Tier S (Kim Cương: 85-100đ)",IF(P808&gt;=70,"Tier A (Vàng: 70-84đ)",IF(P808&gt;=61,"Tier B+ / Cấp A (Hot Lead: 61-69đ)",IF(P808&gt;=50,"Tier B (Bạc: 50-60đ)","Tier C (Đồng: 30-49đ)")))))</f>
        <v/>
      </c>
      <c r="R808" s="9" t="inlineStr">
        <is>
          <t>Nhà vệ sinh &amp; Tã lót (Potty Tray / Pee Pads) + Cỏ nhân tạo lót chuồng</t>
        </is>
      </c>
      <c r="S808" s="9" t="inlineStr">
        <is>
          <t>Cấp C Chi phí thấp: Nhắn tin trực tiếp qua Fanpage Facebook/Instagram + Nuôi dưỡng nội dung</t>
        </is>
      </c>
    </row>
    <row r="809">
      <c r="A809" s="53" t="n">
        <v>2906</v>
      </c>
      <c r="B809" s="12" t="inlineStr">
        <is>
          <t>Simply Clefts Rescue</t>
        </is>
      </c>
      <c r="C809" s="54" t="inlineStr">
        <is>
          <t>https://www.facebook.com/profile.php?id=100091499516427</t>
        </is>
      </c>
      <c r="D809" s="6" t="inlineStr">
        <is>
          <t>Cần quét Bio Fanpage</t>
        </is>
      </c>
      <c r="E809" s="53" t="inlineStr">
        <is>
          <t>12/10/2026 06:43:40</t>
        </is>
      </c>
      <c r="F809" s="53" t="inlineStr">
        <is>
          <t>23 giờ trước</t>
        </is>
      </c>
      <c r="G809" s="55" t="n">
        <v>0.96</v>
      </c>
      <c r="H809" s="56" t="n">
        <v>32</v>
      </c>
      <c r="I809" s="6" t="inlineStr">
        <is>
          <t>Pet Rescue / Trạm cứu trợ (14-16đ)</t>
        </is>
      </c>
      <c r="J809" s="56" t="n">
        <v>14</v>
      </c>
      <c r="K809" s="6" t="inlineStr">
        <is>
          <t>Chưa rõ giống (Cần quét Bio)</t>
        </is>
      </c>
      <c r="L809" s="56" t="n">
        <v>0</v>
      </c>
      <c r="M809" s="56" t="n">
        <v>0</v>
      </c>
      <c r="N809" s="6" t="inlineStr">
        <is>
          <t>Amazon link not found</t>
        </is>
      </c>
      <c r="O809" s="56">
        <f>IF(N809="Selling pet toys + Artificial grass/Pet toilets (TARGET)",15,IF(N809="Selling artificial grass/pet toilets (TARGET)",10,IF(N809="Selling pet toys",7,IF(N809="There's an Amazon link, but no target sales.",3,0))))</f>
        <v/>
      </c>
      <c r="P809" s="65">
        <f>H809+J809+L809+M809+O809</f>
        <v/>
      </c>
      <c r="Q809" s="69">
        <f>IF(OR(H809=0,P809&lt;30),"Tier D (Đóng băng)",IF(P809&gt;=85,"Tier S (Kim Cương: 85-100đ)",IF(P809&gt;=70,"Tier A (Vàng: 70-84đ)",IF(P809&gt;=61,"Tier B+ / Cấp A (Hot Lead: 61-69đ)",IF(P809&gt;=50,"Tier B (Bạc: 50-60đ)","Tier C (Đồng: 30-49đ)")))))</f>
        <v/>
      </c>
      <c r="R809" s="6" t="inlineStr">
        <is>
          <t>Nhà vệ sinh &amp; Tã lót (Potty Tray / Pee Pads) + Cỏ nhân tạo lót chuồng</t>
        </is>
      </c>
      <c r="S809" s="6" t="inlineStr">
        <is>
          <t>Cấp C Chi phí thấp: Nhắn tin trực tiếp qua Fanpage Facebook/Instagram + Nuôi dưỡng nội dung</t>
        </is>
      </c>
    </row>
    <row r="810">
      <c r="A810" s="59" t="n">
        <v>2430</v>
      </c>
      <c r="B810" s="15" t="inlineStr">
        <is>
          <t>Perfect Paws Pet Rescue</t>
        </is>
      </c>
      <c r="C810" s="60" t="inlineStr">
        <is>
          <t>https://www.facebook.com/perfectpaws</t>
        </is>
      </c>
      <c r="D810" s="9" t="inlineStr">
        <is>
          <t>Cần quét Bio Fanpage</t>
        </is>
      </c>
      <c r="E810" s="59" t="inlineStr">
        <is>
          <t>12/10/2026 06:19:03</t>
        </is>
      </c>
      <c r="F810" s="59" t="inlineStr">
        <is>
          <t>22 giờ trước</t>
        </is>
      </c>
      <c r="G810" s="61" t="n">
        <v>0.92</v>
      </c>
      <c r="H810" s="62" t="n">
        <v>32</v>
      </c>
      <c r="I810" s="9" t="inlineStr">
        <is>
          <t>Pet Rescue / Trạm cứu trợ (14-16đ)</t>
        </is>
      </c>
      <c r="J810" s="62" t="n">
        <v>14</v>
      </c>
      <c r="K810" s="9" t="inlineStr">
        <is>
          <t>Chưa rõ giống (Cần quét Bio)</t>
        </is>
      </c>
      <c r="L810" s="62" t="n">
        <v>0</v>
      </c>
      <c r="M810" s="62" t="n">
        <v>0</v>
      </c>
      <c r="N810" s="9" t="inlineStr">
        <is>
          <t>Amazon link not found</t>
        </is>
      </c>
      <c r="O810" s="62">
        <f>IF(N810="Selling pet toys + Artificial grass/Pet toilets (TARGET)",15,IF(N810="Selling artificial grass/pet toilets (TARGET)",10,IF(N810="Selling pet toys",7,IF(N810="There's an Amazon link, but no target sales.",3,0))))</f>
        <v/>
      </c>
      <c r="P810" s="67">
        <f>H810+J810+L810+M810+O810</f>
        <v/>
      </c>
      <c r="Q810" s="69">
        <f>IF(OR(H810=0,P810&lt;30),"Tier D (Đóng băng)",IF(P810&gt;=85,"Tier S (Kim Cương: 85-100đ)",IF(P810&gt;=70,"Tier A (Vàng: 70-84đ)",IF(P810&gt;=61,"Tier B+ / Cấp A (Hot Lead: 61-69đ)",IF(P810&gt;=50,"Tier B (Bạc: 50-60đ)","Tier C (Đồng: 30-49đ)")))))</f>
        <v/>
      </c>
      <c r="R810" s="9" t="inlineStr">
        <is>
          <t>Nhà vệ sinh &amp; Tã lót (Potty Tray / Pee Pads) + Cỏ nhân tạo lót chuồng</t>
        </is>
      </c>
      <c r="S810" s="9" t="inlineStr">
        <is>
          <t>Cấp C Chi phí thấp: Nhắn tin trực tiếp qua Fanpage Facebook/Instagram + Nuôi dưỡng nội dung</t>
        </is>
      </c>
    </row>
    <row r="811">
      <c r="A811" s="53" t="n">
        <v>1692</v>
      </c>
      <c r="B811" s="12" t="inlineStr">
        <is>
          <t>Houston Collie Rescue, Inc.</t>
        </is>
      </c>
      <c r="C811" s="54" t="inlineStr">
        <is>
          <t>https://www.facebook.com/houstoncollie</t>
        </is>
      </c>
      <c r="D811" s="6" t="inlineStr">
        <is>
          <t>Cần quét Bio Fanpage</t>
        </is>
      </c>
      <c r="E811" s="53" t="inlineStr">
        <is>
          <t>04/10/2026 03:04:49</t>
        </is>
      </c>
      <c r="F811" s="53" t="inlineStr">
        <is>
          <t>1 tuần trước</t>
        </is>
      </c>
      <c r="G811" s="55" t="n">
        <v>7</v>
      </c>
      <c r="H811" s="56" t="n">
        <v>20</v>
      </c>
      <c r="I811" s="6" t="inlineStr">
        <is>
          <t>Pet Rescue / Trạm cứu trợ (14-16đ)</t>
        </is>
      </c>
      <c r="J811" s="56" t="n">
        <v>16</v>
      </c>
      <c r="K811" s="6" t="inlineStr">
        <is>
          <t>Australian Shepherd / Herding</t>
        </is>
      </c>
      <c r="L811" s="56" t="n">
        <v>5</v>
      </c>
      <c r="M811" s="56" t="n">
        <v>5</v>
      </c>
      <c r="N811" s="6" t="inlineStr">
        <is>
          <t>Amazon link not found</t>
        </is>
      </c>
      <c r="O811" s="56">
        <f>IF(N811="Selling pet toys + Artificial grass/Pet toilets (TARGET)",15,IF(N811="Selling artificial grass/pet toilets (TARGET)",10,IF(N811="Selling pet toys",7,IF(N811="There's an Amazon link, but no target sales.",3,0))))</f>
        <v/>
      </c>
      <c r="P811" s="65">
        <f>H811+J811+L811+M811+O811</f>
        <v/>
      </c>
      <c r="Q811" s="69">
        <f>IF(OR(H811=0,P811&lt;30),"Tier D (Đóng băng)",IF(P811&gt;=85,"Tier S (Kim Cương: 85-100đ)",IF(P811&gt;=70,"Tier A (Vàng: 70-84đ)",IF(P811&gt;=61,"Tier B+ / Cấp A (Hot Lead: 61-69đ)",IF(P811&gt;=50,"Tier B (Bạc: 50-60đ)","Tier C (Đồng: 30-49đ)")))))</f>
        <v/>
      </c>
      <c r="R811" s="6" t="inlineStr">
        <is>
          <t>Nhà vệ sinh &amp; Tã lót (Potty Tray / Pee Pads) + Cỏ nhân tạo lót chuồng</t>
        </is>
      </c>
      <c r="S811" s="6" t="inlineStr">
        <is>
          <t>Cấp C Chi phí thấp: Nhắn tin trực tiếp qua Fanpage Facebook/Instagram + Nuôi dưỡng nội dung</t>
        </is>
      </c>
    </row>
    <row r="812">
      <c r="A812" s="59" t="n">
        <v>3253</v>
      </c>
      <c r="B812" s="15" t="inlineStr">
        <is>
          <t>Turbo da bulldog</t>
        </is>
      </c>
      <c r="C812" s="60" t="inlineStr">
        <is>
          <t>https://www.facebook.com/profile.php?id=100035390276450</t>
        </is>
      </c>
      <c r="D812" s="9" t="inlineStr">
        <is>
          <t>Cần quét Bio Fanpage</t>
        </is>
      </c>
      <c r="E812" s="59" t="inlineStr">
        <is>
          <t>19/09/2026 23:14:32</t>
        </is>
      </c>
      <c r="F812" s="59" t="inlineStr">
        <is>
          <t>3 tuần trước</t>
        </is>
      </c>
      <c r="G812" s="61" t="n">
        <v>21</v>
      </c>
      <c r="H812" s="62" t="n">
        <v>8</v>
      </c>
      <c r="I812" s="9" t="inlineStr">
        <is>
          <t>Dog Breeder / Trại nhân giống (28-30đ)</t>
        </is>
      </c>
      <c r="J812" s="62" t="n">
        <v>28</v>
      </c>
      <c r="K812" s="9" t="inlineStr">
        <is>
          <t>English Bulldog</t>
        </is>
      </c>
      <c r="L812" s="62" t="n">
        <v>10</v>
      </c>
      <c r="M812" s="62" t="n">
        <v>0</v>
      </c>
      <c r="N812" s="9" t="inlineStr">
        <is>
          <t>Amazon link not found</t>
        </is>
      </c>
      <c r="O812" s="62">
        <f>IF(N812="Selling pet toys + Artificial grass/Pet toilets (TARGET)",15,IF(N812="Selling artificial grass/pet toilets (TARGET)",10,IF(N812="Selling pet toys",7,IF(N812="There's an Amazon link, but no target sales.",3,0))))</f>
        <v/>
      </c>
      <c r="P812" s="67">
        <f>H812+J812+L812+M812+O812</f>
        <v/>
      </c>
      <c r="Q812" s="69">
        <f>IF(OR(H812=0,P812&lt;30),"Tier D (Đóng băng)",IF(P812&gt;=85,"Tier S (Kim Cương: 85-100đ)",IF(P812&gt;=70,"Tier A (Vàng: 70-84đ)",IF(P812&gt;=61,"Tier B+ / Cấp A (Hot Lead: 61-69đ)",IF(P812&gt;=50,"Tier B (Bạc: 50-60đ)","Tier C (Đồng: 30-49đ)")))))</f>
        <v/>
      </c>
      <c r="R812" s="9" t="inlineStr">
        <is>
          <t>Trọn gói Take-Home Starter Kit V2/V3 (Cỏ nhân tạo + Khay Potty + Đồ chơi cún con)</t>
        </is>
      </c>
      <c r="S812" s="9" t="inlineStr">
        <is>
          <t>Cấp C Chi phí thấp: Nhắn tin trực tiếp qua Fanpage Facebook/Instagram + Nuôi dưỡng nội dung</t>
        </is>
      </c>
    </row>
    <row r="813">
      <c r="A813" s="53" t="n">
        <v>3391</v>
      </c>
      <c r="B813" s="12" t="inlineStr">
        <is>
          <t>West Texas French Bouledogue</t>
        </is>
      </c>
      <c r="C813" s="54" t="inlineStr">
        <is>
          <t>https://www.facebook.com/profile.php?id=61561051756533</t>
        </is>
      </c>
      <c r="D813" s="6" t="inlineStr">
        <is>
          <t>Cần quét Bio Fanpage</t>
        </is>
      </c>
      <c r="E813" s="53" t="inlineStr">
        <is>
          <t>18/09/2026 07:44:01</t>
        </is>
      </c>
      <c r="F813" s="53" t="inlineStr">
        <is>
          <t>3 tuần trước</t>
        </is>
      </c>
      <c r="G813" s="55" t="n">
        <v>21</v>
      </c>
      <c r="H813" s="56" t="n">
        <v>8</v>
      </c>
      <c r="I813" s="6" t="inlineStr">
        <is>
          <t>Dog Breeder / Trại nhân giống (28-30đ)</t>
        </is>
      </c>
      <c r="J813" s="56" t="n">
        <v>28</v>
      </c>
      <c r="K813" s="6" t="inlineStr">
        <is>
          <t>French Bulldog</t>
        </is>
      </c>
      <c r="L813" s="56" t="n">
        <v>10</v>
      </c>
      <c r="M813" s="56" t="n">
        <v>0</v>
      </c>
      <c r="N813" s="6" t="inlineStr">
        <is>
          <t>Amazon link not found</t>
        </is>
      </c>
      <c r="O813" s="56">
        <f>IF(N813="Selling pet toys + Artificial grass/Pet toilets (TARGET)",15,IF(N813="Selling artificial grass/pet toilets (TARGET)",10,IF(N813="Selling pet toys",7,IF(N813="There's an Amazon link, but no target sales.",3,0))))</f>
        <v/>
      </c>
      <c r="P813" s="65">
        <f>H813+J813+L813+M813+O813</f>
        <v/>
      </c>
      <c r="Q813" s="69">
        <f>IF(OR(H813=0,P813&lt;30),"Tier D (Đóng băng)",IF(P813&gt;=85,"Tier S (Kim Cương: 85-100đ)",IF(P813&gt;=70,"Tier A (Vàng: 70-84đ)",IF(P813&gt;=61,"Tier B+ / Cấp A (Hot Lead: 61-69đ)",IF(P813&gt;=50,"Tier B (Bạc: 50-60đ)","Tier C (Đồng: 30-49đ)")))))</f>
        <v/>
      </c>
      <c r="R813" s="6" t="inlineStr">
        <is>
          <t>Trọn gói Take-Home Starter Kit V2/V3 (Cỏ nhân tạo + Khay Potty + Đồ chơi cún con)</t>
        </is>
      </c>
      <c r="S813" s="6" t="inlineStr">
        <is>
          <t>Cấp C Chi phí thấp: Nhắn tin trực tiếp qua Fanpage Facebook/Instagram + Nuôi dưỡng nội dung</t>
        </is>
      </c>
    </row>
    <row r="814">
      <c r="A814" s="59" t="n">
        <v>1733</v>
      </c>
      <c r="B814" s="15" t="inlineStr">
        <is>
          <t>Ira's Bulls Bulldogs</t>
        </is>
      </c>
      <c r="C814" s="60" t="inlineStr">
        <is>
          <t>https://www.facebook.com/Irasbulls</t>
        </is>
      </c>
      <c r="D814" s="9" t="inlineStr">
        <is>
          <t>Cần quét Bio Fanpage</t>
        </is>
      </c>
      <c r="E814" s="59" t="inlineStr">
        <is>
          <t>14/09/2026 21:15:51</t>
        </is>
      </c>
      <c r="F814" s="59" t="inlineStr">
        <is>
          <t>4 tuần trước</t>
        </is>
      </c>
      <c r="G814" s="61" t="n">
        <v>28</v>
      </c>
      <c r="H814" s="62" t="n">
        <v>8</v>
      </c>
      <c r="I814" s="9" t="inlineStr">
        <is>
          <t>Dog Breeder / Trại chó chuyên nghiệp (28-30đ)</t>
        </is>
      </c>
      <c r="J814" s="62" t="n">
        <v>28</v>
      </c>
      <c r="K814" s="9" t="inlineStr">
        <is>
          <t>English Bulldog</t>
        </is>
      </c>
      <c r="L814" s="62" t="n">
        <v>10</v>
      </c>
      <c r="M814" s="62" t="n">
        <v>0</v>
      </c>
      <c r="N814" s="9" t="inlineStr">
        <is>
          <t>Amazon link not found</t>
        </is>
      </c>
      <c r="O814" s="62">
        <f>IF(N814="Selling pet toys + Artificial grass/Pet toilets (TARGET)",15,IF(N814="Selling artificial grass/pet toilets (TARGET)",10,IF(N814="Selling pet toys",7,IF(N814="There's an Amazon link, but no target sales.",3,0))))</f>
        <v/>
      </c>
      <c r="P814" s="67">
        <f>H814+J814+L814+M814+O814</f>
        <v/>
      </c>
      <c r="Q814" s="69">
        <f>IF(OR(H814=0,P814&lt;30),"Tier D (Đóng băng)",IF(P814&gt;=85,"Tier S (Kim Cương: 85-100đ)",IF(P814&gt;=70,"Tier A (Vàng: 70-84đ)",IF(P814&gt;=61,"Tier B+ / Cấp A (Hot Lead: 61-69đ)",IF(P814&gt;=50,"Tier B (Bạc: 50-60đ)","Tier C (Đồng: 30-49đ)")))))</f>
        <v/>
      </c>
      <c r="R814" s="9" t="inlineStr">
        <is>
          <t>Trọn gói Take-Home Starter Kit V2/V3 (Cỏ nhân tạo + Khay Potty + Đồ chơi Teething/Snuggle)</t>
        </is>
      </c>
      <c r="S814" s="9" t="inlineStr">
        <is>
          <t>Cấp C Chi phí thấp: Nhắn tin trực tiếp qua Fanpage Facebook/Instagram + Nuôi dưỡng nội dung</t>
        </is>
      </c>
    </row>
    <row r="815">
      <c r="A815" s="53" t="n">
        <v>4933</v>
      </c>
      <c r="B815" s="12" t="inlineStr">
        <is>
          <t>Pet Partners of St Louis</t>
        </is>
      </c>
      <c r="C815" s="54" t="inlineStr">
        <is>
          <t>https://www.facebook.com/profile.php?id=100083141660335</t>
        </is>
      </c>
      <c r="D815" s="6" t="inlineStr">
        <is>
          <t>Cần quét Bio Fanpage</t>
        </is>
      </c>
      <c r="E815" s="53" t="inlineStr">
        <is>
          <t>13/10/2026 09:41:47</t>
        </is>
      </c>
      <c r="F815" s="53" t="inlineStr">
        <is>
          <t>7 phút trước</t>
        </is>
      </c>
      <c r="G815" s="55" t="n">
        <v>0</v>
      </c>
      <c r="H815" s="56" t="n">
        <v>35</v>
      </c>
      <c r="I815" s="6" t="inlineStr">
        <is>
          <t>Pet Owner / Cộng đồng nuôi cún (10đ)</t>
        </is>
      </c>
      <c r="J815" s="56" t="n">
        <v>10</v>
      </c>
      <c r="K815" s="6" t="inlineStr">
        <is>
          <t>Chưa rõ giống (Cần quét Bio)</t>
        </is>
      </c>
      <c r="L815" s="56" t="n">
        <v>0</v>
      </c>
      <c r="M815" s="56" t="n">
        <v>0</v>
      </c>
      <c r="N815" s="6" t="inlineStr">
        <is>
          <t>Amazon link not found</t>
        </is>
      </c>
      <c r="O815" s="56">
        <f>IF(N815="Selling pet toys + Artificial grass/Pet toilets (TARGET)",15,IF(N815="Selling artificial grass/pet toilets (TARGET)",10,IF(N815="Selling pet toys",7,IF(N815="There's an Amazon link, but no target sales.",3,0))))</f>
        <v/>
      </c>
      <c r="P815" s="65">
        <f>H815+J815+L815+M815+O815</f>
        <v/>
      </c>
      <c r="Q815" s="69">
        <f>IF(OR(H815=0,P815&lt;30),"Tier D (Đóng băng)",IF(P815&gt;=85,"Tier S (Kim Cương: 85-100đ)",IF(P815&gt;=70,"Tier A (Vàng: 70-84đ)",IF(P815&gt;=61,"Tier B+ / Cấp A (Hot Lead: 61-69đ)",IF(P815&gt;=50,"Tier B (Bạc: 50-60đ)","Tier C (Đồng: 30-49đ)")))))</f>
        <v/>
      </c>
      <c r="R815" s="6" t="inlineStr">
        <is>
          <t>Khay vệ sinh chung cư (Indoor Potty) + Thảm cỏ ban công (Grass Patch) + Đồ chơi</t>
        </is>
      </c>
      <c r="S815" s="6" t="inlineStr">
        <is>
          <t>Cấp C Chi phí thấp: Nhắn tin trực tiếp qua Fanpage Facebook/Instagram + Nuôi dưỡng nội dung</t>
        </is>
      </c>
    </row>
    <row r="816">
      <c r="A816" s="59" t="n">
        <v>5033</v>
      </c>
      <c r="B816" s="15" t="inlineStr">
        <is>
          <t>PetyPup</t>
        </is>
      </c>
      <c r="C816" s="60" t="inlineStr">
        <is>
          <t>https://www.facebook.com/PetyPup</t>
        </is>
      </c>
      <c r="D816" s="9" t="inlineStr">
        <is>
          <t>Cần quét Bio Fanpage</t>
        </is>
      </c>
      <c r="E816" s="59" t="inlineStr">
        <is>
          <t>13/10/2026 09:31:52</t>
        </is>
      </c>
      <c r="F816" s="59" t="inlineStr">
        <is>
          <t>28 phút trước</t>
        </is>
      </c>
      <c r="G816" s="61" t="n">
        <v>0.02</v>
      </c>
      <c r="H816" s="62" t="n">
        <v>35</v>
      </c>
      <c r="I816" s="9" t="inlineStr">
        <is>
          <t>Pet Owner / Cộng đồng nuôi cún (10đ)</t>
        </is>
      </c>
      <c r="J816" s="62" t="n">
        <v>10</v>
      </c>
      <c r="K816" s="9" t="inlineStr">
        <is>
          <t>Chưa rõ giống (Cần quét Bio)</t>
        </is>
      </c>
      <c r="L816" s="62" t="n">
        <v>0</v>
      </c>
      <c r="M816" s="62" t="n">
        <v>0</v>
      </c>
      <c r="N816" s="9" t="inlineStr">
        <is>
          <t>Amazon link not found</t>
        </is>
      </c>
      <c r="O816" s="62">
        <f>IF(N816="Selling pet toys + Artificial grass/Pet toilets (TARGET)",15,IF(N816="Selling artificial grass/pet toilets (TARGET)",10,IF(N816="Selling pet toys",7,IF(N816="There's an Amazon link, but no target sales.",3,0))))</f>
        <v/>
      </c>
      <c r="P816" s="67">
        <f>H816+J816+L816+M816+O816</f>
        <v/>
      </c>
      <c r="Q816" s="69">
        <f>IF(OR(H816=0,P816&lt;30),"Tier D (Đóng băng)",IF(P816&gt;=85,"Tier S (Kim Cương: 85-100đ)",IF(P816&gt;=70,"Tier A (Vàng: 70-84đ)",IF(P816&gt;=61,"Tier B+ / Cấp A (Hot Lead: 61-69đ)",IF(P816&gt;=50,"Tier B (Bạc: 50-60đ)","Tier C (Đồng: 30-49đ)")))))</f>
        <v/>
      </c>
      <c r="R816" s="9" t="inlineStr">
        <is>
          <t>Khay vệ sinh chung cư (Indoor Potty) + Thảm cỏ ban công (Grass Patch) + Đồ chơi</t>
        </is>
      </c>
      <c r="S816" s="9" t="inlineStr">
        <is>
          <t>Cấp C Chi phí thấp: Nhắn tin trực tiếp qua Fanpage Facebook/Instagram + Nuôi dưỡng nội dung</t>
        </is>
      </c>
    </row>
    <row r="817">
      <c r="A817" s="53" t="n">
        <v>4814</v>
      </c>
      <c r="B817" s="12" t="inlineStr">
        <is>
          <t>Oh Lovely Dog</t>
        </is>
      </c>
      <c r="C817" s="54" t="inlineStr">
        <is>
          <t>https://www.facebook.com/oh.lovely.dog</t>
        </is>
      </c>
      <c r="D817" s="6" t="inlineStr">
        <is>
          <t>Cần quét Bio Fanpage</t>
        </is>
      </c>
      <c r="E817" s="53" t="inlineStr">
        <is>
          <t>13/10/2026 09:00:21</t>
        </is>
      </c>
      <c r="F817" s="53" t="inlineStr">
        <is>
          <t>36 phút trước</t>
        </is>
      </c>
      <c r="G817" s="55" t="n">
        <v>0.03</v>
      </c>
      <c r="H817" s="56" t="n">
        <v>35</v>
      </c>
      <c r="I817" s="6" t="inlineStr">
        <is>
          <t>Pet Owner / Cộng đồng nuôi cún (10đ)</t>
        </is>
      </c>
      <c r="J817" s="56" t="n">
        <v>10</v>
      </c>
      <c r="K817" s="6" t="inlineStr">
        <is>
          <t>Chưa rõ giống (Cần quét Bio)</t>
        </is>
      </c>
      <c r="L817" s="56" t="n">
        <v>0</v>
      </c>
      <c r="M817" s="56" t="n">
        <v>0</v>
      </c>
      <c r="N817" s="6" t="inlineStr">
        <is>
          <t>Amazon link not found</t>
        </is>
      </c>
      <c r="O817" s="56">
        <f>IF(N817="Selling pet toys + Artificial grass/Pet toilets (TARGET)",15,IF(N817="Selling artificial grass/pet toilets (TARGET)",10,IF(N817="Selling pet toys",7,IF(N817="There's an Amazon link, but no target sales.",3,0))))</f>
        <v/>
      </c>
      <c r="P817" s="65">
        <f>H817+J817+L817+M817+O817</f>
        <v/>
      </c>
      <c r="Q817" s="69">
        <f>IF(OR(H817=0,P817&lt;30),"Tier D (Đóng băng)",IF(P817&gt;=85,"Tier S (Kim Cương: 85-100đ)",IF(P817&gt;=70,"Tier A (Vàng: 70-84đ)",IF(P817&gt;=61,"Tier B+ / Cấp A (Hot Lead: 61-69đ)",IF(P817&gt;=50,"Tier B (Bạc: 50-60đ)","Tier C (Đồng: 30-49đ)")))))</f>
        <v/>
      </c>
      <c r="R817" s="6" t="inlineStr">
        <is>
          <t>Khay vệ sinh chung cư (Indoor Potty) + Thảm cỏ ban công (Grass Patch) + Đồ chơi</t>
        </is>
      </c>
      <c r="S817" s="6" t="inlineStr">
        <is>
          <t>Cấp C Chi phí thấp: Nhắn tin trực tiếp qua Fanpage Facebook/Instagram + Nuôi dưỡng nội dung</t>
        </is>
      </c>
    </row>
    <row r="818">
      <c r="A818" s="59" t="n">
        <v>4301</v>
      </c>
      <c r="B818" s="15" t="inlineStr">
        <is>
          <t>K9Fox</t>
        </is>
      </c>
      <c r="C818" s="60" t="inlineStr">
        <is>
          <t>https://www.facebook.com/profile.php?id=61585501622247</t>
        </is>
      </c>
      <c r="D818" s="9" t="inlineStr">
        <is>
          <t>Cần quét Bio Fanpage</t>
        </is>
      </c>
      <c r="E818" s="59" t="inlineStr">
        <is>
          <t>13/10/2026 08:22:15</t>
        </is>
      </c>
      <c r="F818" s="59" t="inlineStr">
        <is>
          <t>18 phút trước</t>
        </is>
      </c>
      <c r="G818" s="61" t="n">
        <v>0.01</v>
      </c>
      <c r="H818" s="62" t="n">
        <v>35</v>
      </c>
      <c r="I818" s="9" t="inlineStr">
        <is>
          <t>Pet Owner / Cộng đồng nuôi cún (10đ)</t>
        </is>
      </c>
      <c r="J818" s="62" t="n">
        <v>10</v>
      </c>
      <c r="K818" s="9" t="inlineStr">
        <is>
          <t>Chưa rõ giống (Cần quét Bio)</t>
        </is>
      </c>
      <c r="L818" s="62" t="n">
        <v>0</v>
      </c>
      <c r="M818" s="62" t="n">
        <v>0</v>
      </c>
      <c r="N818" s="9" t="inlineStr">
        <is>
          <t>Amazon link not found</t>
        </is>
      </c>
      <c r="O818" s="62">
        <f>IF(N818="Selling pet toys + Artificial grass/Pet toilets (TARGET)",15,IF(N818="Selling artificial grass/pet toilets (TARGET)",10,IF(N818="Selling pet toys",7,IF(N818="There's an Amazon link, but no target sales.",3,0))))</f>
        <v/>
      </c>
      <c r="P818" s="67">
        <f>H818+J818+L818+M818+O818</f>
        <v/>
      </c>
      <c r="Q818" s="69">
        <f>IF(OR(H818=0,P818&lt;30),"Tier D (Đóng băng)",IF(P818&gt;=85,"Tier S (Kim Cương: 85-100đ)",IF(P818&gt;=70,"Tier A (Vàng: 70-84đ)",IF(P818&gt;=61,"Tier B+ / Cấp A (Hot Lead: 61-69đ)",IF(P818&gt;=50,"Tier B (Bạc: 50-60đ)","Tier C (Đồng: 30-49đ)")))))</f>
        <v/>
      </c>
      <c r="R818" s="9" t="inlineStr">
        <is>
          <t>Khay vệ sinh chung cư (Indoor Potty) + Thảm cỏ ban công (Grass Patch) + Đồ chơi</t>
        </is>
      </c>
      <c r="S818" s="9" t="inlineStr">
        <is>
          <t>Cấp C Chi phí thấp: Nhắn tin trực tiếp qua Fanpage Facebook/Instagram + Nuôi dưỡng nội dung</t>
        </is>
      </c>
    </row>
    <row r="819">
      <c r="A819" s="53" t="n">
        <v>4956</v>
      </c>
      <c r="B819" s="12" t="inlineStr">
        <is>
          <t>PETE KOZA METAL ART</t>
        </is>
      </c>
      <c r="C819" s="54" t="inlineStr">
        <is>
          <t>https://www.facebook.com/PeteKozaMetalArt</t>
        </is>
      </c>
      <c r="D819" s="6" t="inlineStr">
        <is>
          <t>Cần quét Bio Fanpage</t>
        </is>
      </c>
      <c r="E819" s="53" t="inlineStr">
        <is>
          <t>13/10/2026 08:18:40</t>
        </is>
      </c>
      <c r="F819" s="53" t="inlineStr">
        <is>
          <t>1 giờ trước</t>
        </is>
      </c>
      <c r="G819" s="55" t="n">
        <v>0.04</v>
      </c>
      <c r="H819" s="56" t="n">
        <v>35</v>
      </c>
      <c r="I819" s="6" t="inlineStr">
        <is>
          <t>Pet Owner / Cộng đồng nuôi cún (10đ)</t>
        </is>
      </c>
      <c r="J819" s="56" t="n">
        <v>10</v>
      </c>
      <c r="K819" s="6" t="inlineStr">
        <is>
          <t>Chưa rõ giống (Cần quét Bio)</t>
        </is>
      </c>
      <c r="L819" s="56" t="n">
        <v>0</v>
      </c>
      <c r="M819" s="56" t="n">
        <v>0</v>
      </c>
      <c r="N819" s="6" t="inlineStr">
        <is>
          <t>Amazon link not found</t>
        </is>
      </c>
      <c r="O819" s="56">
        <f>IF(N819="Selling pet toys + Artificial grass/Pet toilets (TARGET)",15,IF(N819="Selling artificial grass/pet toilets (TARGET)",10,IF(N819="Selling pet toys",7,IF(N819="There's an Amazon link, but no target sales.",3,0))))</f>
        <v/>
      </c>
      <c r="P819" s="65">
        <f>H819+J819+L819+M819+O819</f>
        <v/>
      </c>
      <c r="Q819" s="69">
        <f>IF(OR(H819=0,P819&lt;30),"Tier D (Đóng băng)",IF(P819&gt;=85,"Tier S (Kim Cương: 85-100đ)",IF(P819&gt;=70,"Tier A (Vàng: 70-84đ)",IF(P819&gt;=61,"Tier B+ / Cấp A (Hot Lead: 61-69đ)",IF(P819&gt;=50,"Tier B (Bạc: 50-60đ)","Tier C (Đồng: 30-49đ)")))))</f>
        <v/>
      </c>
      <c r="R819" s="6" t="inlineStr">
        <is>
          <t>Khay vệ sinh chung cư (Indoor Potty) + Thảm cỏ ban công (Grass Patch) + Đồ chơi</t>
        </is>
      </c>
      <c r="S819" s="6" t="inlineStr">
        <is>
          <t>Cấp C Chi phí thấp: Nhắn tin trực tiếp qua Fanpage Facebook/Instagram + Nuôi dưỡng nội dung</t>
        </is>
      </c>
    </row>
    <row r="820">
      <c r="A820" s="59" t="n">
        <v>5574</v>
      </c>
      <c r="B820" s="15" t="inlineStr">
        <is>
          <t>thedogdaddyy</t>
        </is>
      </c>
      <c r="C820" s="60" t="inlineStr">
        <is>
          <t>https://www.facebook.com/thedogdaddyy</t>
        </is>
      </c>
      <c r="D820" s="9" t="inlineStr">
        <is>
          <t>Cần quét Bio Fanpage</t>
        </is>
      </c>
      <c r="E820" s="59" t="inlineStr">
        <is>
          <t>13/10/2026 08:15:08</t>
        </is>
      </c>
      <c r="F820" s="59" t="inlineStr">
        <is>
          <t>2 giờ trước</t>
        </is>
      </c>
      <c r="G820" s="61" t="n">
        <v>0.08</v>
      </c>
      <c r="H820" s="62" t="n">
        <v>35</v>
      </c>
      <c r="I820" s="9" t="inlineStr">
        <is>
          <t>Pet Owner / Cộng đồng nuôi cún (10đ)</t>
        </is>
      </c>
      <c r="J820" s="62" t="n">
        <v>10</v>
      </c>
      <c r="K820" s="9" t="inlineStr">
        <is>
          <t>Chưa rõ giống (Cần quét Bio)</t>
        </is>
      </c>
      <c r="L820" s="62" t="n">
        <v>0</v>
      </c>
      <c r="M820" s="62" t="n">
        <v>0</v>
      </c>
      <c r="N820" s="9" t="inlineStr">
        <is>
          <t>Amazon link not found</t>
        </is>
      </c>
      <c r="O820" s="62">
        <f>IF(N820="Selling pet toys + Artificial grass/Pet toilets (TARGET)",15,IF(N820="Selling artificial grass/pet toilets (TARGET)",10,IF(N820="Selling pet toys",7,IF(N820="There's an Amazon link, but no target sales.",3,0))))</f>
        <v/>
      </c>
      <c r="P820" s="67">
        <f>H820+J820+L820+M820+O820</f>
        <v/>
      </c>
      <c r="Q820" s="69">
        <f>IF(OR(H820=0,P820&lt;30),"Tier D (Đóng băng)",IF(P820&gt;=85,"Tier S (Kim Cương: 85-100đ)",IF(P820&gt;=70,"Tier A (Vàng: 70-84đ)",IF(P820&gt;=61,"Tier B+ / Cấp A (Hot Lead: 61-69đ)",IF(P820&gt;=50,"Tier B (Bạc: 50-60đ)","Tier C (Đồng: 30-49đ)")))))</f>
        <v/>
      </c>
      <c r="R820" s="9" t="inlineStr">
        <is>
          <t>Khay vệ sinh chung cư (Indoor Potty) + Thảm cỏ ban công (Grass Patch) + Đồ chơi</t>
        </is>
      </c>
      <c r="S820" s="9" t="inlineStr">
        <is>
          <t>Cấp C Chi phí thấp: Nhắn tin trực tiếp qua Fanpage Facebook/Instagram + Nuôi dưỡng nội dung</t>
        </is>
      </c>
    </row>
    <row r="821">
      <c r="A821" s="53" t="n">
        <v>4917</v>
      </c>
      <c r="B821" s="12" t="inlineStr">
        <is>
          <t>Pet Chaos Central</t>
        </is>
      </c>
      <c r="C821" s="54" t="inlineStr">
        <is>
          <t>https://www.facebook.com/profile.php?id=61585450823497</t>
        </is>
      </c>
      <c r="D821" s="6" t="inlineStr">
        <is>
          <t>Cần quét Bio Fanpage</t>
        </is>
      </c>
      <c r="E821" s="53" t="inlineStr">
        <is>
          <t>13/10/2026 08:04:49</t>
        </is>
      </c>
      <c r="F821" s="53" t="inlineStr">
        <is>
          <t>1 giờ trước</t>
        </is>
      </c>
      <c r="G821" s="55" t="n">
        <v>0.04</v>
      </c>
      <c r="H821" s="56" t="n">
        <v>35</v>
      </c>
      <c r="I821" s="6" t="inlineStr">
        <is>
          <t>Pet Owner / Cộng đồng nuôi cún (10đ)</t>
        </is>
      </c>
      <c r="J821" s="56" t="n">
        <v>10</v>
      </c>
      <c r="K821" s="6" t="inlineStr">
        <is>
          <t>Chưa rõ giống (Cần quét Bio)</t>
        </is>
      </c>
      <c r="L821" s="56" t="n">
        <v>0</v>
      </c>
      <c r="M821" s="56" t="n">
        <v>0</v>
      </c>
      <c r="N821" s="6" t="inlineStr">
        <is>
          <t>Amazon link not found</t>
        </is>
      </c>
      <c r="O821" s="56">
        <f>IF(N821="Selling pet toys + Artificial grass/Pet toilets (TARGET)",15,IF(N821="Selling artificial grass/pet toilets (TARGET)",10,IF(N821="Selling pet toys",7,IF(N821="There's an Amazon link, but no target sales.",3,0))))</f>
        <v/>
      </c>
      <c r="P821" s="65">
        <f>H821+J821+L821+M821+O821</f>
        <v/>
      </c>
      <c r="Q821" s="69">
        <f>IF(OR(H821=0,P821&lt;30),"Tier D (Đóng băng)",IF(P821&gt;=85,"Tier S (Kim Cương: 85-100đ)",IF(P821&gt;=70,"Tier A (Vàng: 70-84đ)",IF(P821&gt;=61,"Tier B+ / Cấp A (Hot Lead: 61-69đ)",IF(P821&gt;=50,"Tier B (Bạc: 50-60đ)","Tier C (Đồng: 30-49đ)")))))</f>
        <v/>
      </c>
      <c r="R821" s="6" t="inlineStr">
        <is>
          <t>Khay vệ sinh chung cư (Indoor Potty) + Thảm cỏ ban công (Grass Patch) + Đồ chơi</t>
        </is>
      </c>
      <c r="S821" s="6" t="inlineStr">
        <is>
          <t>Cấp C Chi phí thấp: Nhắn tin trực tiếp qua Fanpage Facebook/Instagram + Nuôi dưỡng nội dung</t>
        </is>
      </c>
    </row>
    <row r="822">
      <c r="A822" s="59" t="n">
        <v>5025</v>
      </c>
      <c r="B822" s="15" t="inlineStr">
        <is>
          <t>Petstock</t>
        </is>
      </c>
      <c r="C822" s="60" t="inlineStr">
        <is>
          <t>https://www.facebook.com/PetstockAustralia</t>
        </is>
      </c>
      <c r="D822" s="9" t="inlineStr">
        <is>
          <t>Cần quét Bio Fanpage</t>
        </is>
      </c>
      <c r="E822" s="59" t="inlineStr">
        <is>
          <t>13/10/2026 08:01:25</t>
        </is>
      </c>
      <c r="F822" s="59" t="inlineStr">
        <is>
          <t>1 giờ trước</t>
        </is>
      </c>
      <c r="G822" s="61" t="n">
        <v>0.04</v>
      </c>
      <c r="H822" s="62" t="n">
        <v>35</v>
      </c>
      <c r="I822" s="9" t="inlineStr">
        <is>
          <t>Pet Owner / Cộng đồng nuôi cún (10đ)</t>
        </is>
      </c>
      <c r="J822" s="62" t="n">
        <v>10</v>
      </c>
      <c r="K822" s="9" t="inlineStr">
        <is>
          <t>Chưa rõ giống (Cần quét Bio)</t>
        </is>
      </c>
      <c r="L822" s="62" t="n">
        <v>0</v>
      </c>
      <c r="M822" s="62" t="n">
        <v>0</v>
      </c>
      <c r="N822" s="9" t="inlineStr">
        <is>
          <t>Amazon link not found</t>
        </is>
      </c>
      <c r="O822" s="62">
        <f>IF(N822="Selling pet toys + Artificial grass/Pet toilets (TARGET)",15,IF(N822="Selling artificial grass/pet toilets (TARGET)",10,IF(N822="Selling pet toys",7,IF(N822="There's an Amazon link, but no target sales.",3,0))))</f>
        <v/>
      </c>
      <c r="P822" s="67">
        <f>H822+J822+L822+M822+O822</f>
        <v/>
      </c>
      <c r="Q822" s="69">
        <f>IF(OR(H822=0,P822&lt;30),"Tier D (Đóng băng)",IF(P822&gt;=85,"Tier S (Kim Cương: 85-100đ)",IF(P822&gt;=70,"Tier A (Vàng: 70-84đ)",IF(P822&gt;=61,"Tier B+ / Cấp A (Hot Lead: 61-69đ)",IF(P822&gt;=50,"Tier B (Bạc: 50-60đ)","Tier C (Đồng: 30-49đ)")))))</f>
        <v/>
      </c>
      <c r="R822" s="9" t="inlineStr">
        <is>
          <t>Khay vệ sinh chung cư (Indoor Potty) + Thảm cỏ ban công (Grass Patch) + Đồ chơi</t>
        </is>
      </c>
      <c r="S822" s="9" t="inlineStr">
        <is>
          <t>Cấp C Chi phí thấp: Nhắn tin trực tiếp qua Fanpage Facebook/Instagram + Nuôi dưỡng nội dung</t>
        </is>
      </c>
    </row>
    <row r="823">
      <c r="A823" s="53" t="n">
        <v>5618</v>
      </c>
      <c r="B823" s="12" t="inlineStr">
        <is>
          <t>thepetcollective</t>
        </is>
      </c>
      <c r="C823" s="54" t="inlineStr">
        <is>
          <t>https://www.facebook.com/thepetcollective</t>
        </is>
      </c>
      <c r="D823" s="6" t="inlineStr">
        <is>
          <t>Cần quét Bio Fanpage</t>
        </is>
      </c>
      <c r="E823" s="53" t="inlineStr">
        <is>
          <t>13/10/2026 08:00:46</t>
        </is>
      </c>
      <c r="F823" s="53" t="inlineStr">
        <is>
          <t>3 giờ trước</t>
        </is>
      </c>
      <c r="G823" s="55" t="n">
        <v>0.12</v>
      </c>
      <c r="H823" s="56" t="n">
        <v>35</v>
      </c>
      <c r="I823" s="6" t="inlineStr">
        <is>
          <t>Pet Owner / Cộng đồng nuôi cún (10đ)</t>
        </is>
      </c>
      <c r="J823" s="56" t="n">
        <v>10</v>
      </c>
      <c r="K823" s="6" t="inlineStr">
        <is>
          <t>Chưa rõ giống (Cần quét Bio)</t>
        </is>
      </c>
      <c r="L823" s="56" t="n">
        <v>0</v>
      </c>
      <c r="M823" s="56" t="n">
        <v>0</v>
      </c>
      <c r="N823" s="6" t="inlineStr">
        <is>
          <t>Amazon link not found</t>
        </is>
      </c>
      <c r="O823" s="56">
        <f>IF(N823="Selling pet toys + Artificial grass/Pet toilets (TARGET)",15,IF(N823="Selling artificial grass/pet toilets (TARGET)",10,IF(N823="Selling pet toys",7,IF(N823="There's an Amazon link, but no target sales.",3,0))))</f>
        <v/>
      </c>
      <c r="P823" s="65">
        <f>H823+J823+L823+M823+O823</f>
        <v/>
      </c>
      <c r="Q823" s="69">
        <f>IF(OR(H823=0,P823&lt;30),"Tier D (Đóng băng)",IF(P823&gt;=85,"Tier S (Kim Cương: 85-100đ)",IF(P823&gt;=70,"Tier A (Vàng: 70-84đ)",IF(P823&gt;=61,"Tier B+ / Cấp A (Hot Lead: 61-69đ)",IF(P823&gt;=50,"Tier B (Bạc: 50-60đ)","Tier C (Đồng: 30-49đ)")))))</f>
        <v/>
      </c>
      <c r="R823" s="6" t="inlineStr">
        <is>
          <t>Khay vệ sinh chung cư (Indoor Potty) + Thảm cỏ ban công (Grass Patch) + Đồ chơi</t>
        </is>
      </c>
      <c r="S823" s="6" t="inlineStr">
        <is>
          <t>Cấp C Chi phí thấp: Nhắn tin trực tiếp qua Fanpage Facebook/Instagram + Nuôi dưỡng nội dung</t>
        </is>
      </c>
    </row>
    <row r="824">
      <c r="A824" s="59" t="n">
        <v>5401</v>
      </c>
      <c r="B824" s="15" t="inlineStr">
        <is>
          <t>Soggie Doggie</t>
        </is>
      </c>
      <c r="C824" s="60" t="inlineStr">
        <is>
          <t>https://www.facebook.com/mysoggiedoggie</t>
        </is>
      </c>
      <c r="D824" s="9" t="inlineStr">
        <is>
          <t>Cần quét Bio Fanpage</t>
        </is>
      </c>
      <c r="E824" s="59" t="inlineStr">
        <is>
          <t>13/10/2026 08:00:07</t>
        </is>
      </c>
      <c r="F824" s="59" t="inlineStr">
        <is>
          <t>2 giờ trước</t>
        </is>
      </c>
      <c r="G824" s="61" t="n">
        <v>0.08</v>
      </c>
      <c r="H824" s="62" t="n">
        <v>35</v>
      </c>
      <c r="I824" s="9" t="inlineStr">
        <is>
          <t>Pet Owner / Cộng đồng nuôi cún (10đ)</t>
        </is>
      </c>
      <c r="J824" s="62" t="n">
        <v>10</v>
      </c>
      <c r="K824" s="9" t="inlineStr">
        <is>
          <t>Chưa rõ giống (Cần quét Bio)</t>
        </is>
      </c>
      <c r="L824" s="62" t="n">
        <v>0</v>
      </c>
      <c r="M824" s="62" t="n">
        <v>0</v>
      </c>
      <c r="N824" s="9" t="inlineStr">
        <is>
          <t>Amazon link not found</t>
        </is>
      </c>
      <c r="O824" s="62">
        <f>IF(N824="Selling pet toys + Artificial grass/Pet toilets (TARGET)",15,IF(N824="Selling artificial grass/pet toilets (TARGET)",10,IF(N824="Selling pet toys",7,IF(N824="There's an Amazon link, but no target sales.",3,0))))</f>
        <v/>
      </c>
      <c r="P824" s="67">
        <f>H824+J824+L824+M824+O824</f>
        <v/>
      </c>
      <c r="Q824" s="69">
        <f>IF(OR(H824=0,P824&lt;30),"Tier D (Đóng băng)",IF(P824&gt;=85,"Tier S (Kim Cương: 85-100đ)",IF(P824&gt;=70,"Tier A (Vàng: 70-84đ)",IF(P824&gt;=61,"Tier B+ / Cấp A (Hot Lead: 61-69đ)",IF(P824&gt;=50,"Tier B (Bạc: 50-60đ)","Tier C (Đồng: 30-49đ)")))))</f>
        <v/>
      </c>
      <c r="R824" s="9" t="inlineStr">
        <is>
          <t>Khay vệ sinh chung cư (Indoor Potty) + Thảm cỏ ban công (Grass Patch) + Đồ chơi</t>
        </is>
      </c>
      <c r="S824" s="9" t="inlineStr">
        <is>
          <t>Cấp C Chi phí thấp: Nhắn tin trực tiếp qua Fanpage Facebook/Instagram + Nuôi dưỡng nội dung</t>
        </is>
      </c>
    </row>
    <row r="825">
      <c r="A825" s="53" t="n">
        <v>5397</v>
      </c>
      <c r="B825" s="12" t="inlineStr">
        <is>
          <t>Snow Dogs Vlogs</t>
        </is>
      </c>
      <c r="C825" s="54" t="inlineStr">
        <is>
          <t>https://www.facebook.com/snowdogsvlogs</t>
        </is>
      </c>
      <c r="D825" s="6" t="inlineStr">
        <is>
          <t>Cần quét Bio Fanpage</t>
        </is>
      </c>
      <c r="E825" s="53" t="inlineStr">
        <is>
          <t>13/10/2026 07:40:55</t>
        </is>
      </c>
      <c r="F825" s="53" t="inlineStr">
        <is>
          <t>2 giờ trước</t>
        </is>
      </c>
      <c r="G825" s="55" t="n">
        <v>0.08</v>
      </c>
      <c r="H825" s="56" t="n">
        <v>35</v>
      </c>
      <c r="I825" s="6" t="inlineStr">
        <is>
          <t>Pet Owner / Cộng đồng nuôi cún (10đ)</t>
        </is>
      </c>
      <c r="J825" s="56" t="n">
        <v>10</v>
      </c>
      <c r="K825" s="6" t="inlineStr">
        <is>
          <t>Chưa rõ giống (Cần quét Bio)</t>
        </is>
      </c>
      <c r="L825" s="56" t="n">
        <v>0</v>
      </c>
      <c r="M825" s="56" t="n">
        <v>0</v>
      </c>
      <c r="N825" s="6" t="inlineStr">
        <is>
          <t>Amazon link not found</t>
        </is>
      </c>
      <c r="O825" s="56">
        <f>IF(N825="Selling pet toys + Artificial grass/Pet toilets (TARGET)",15,IF(N825="Selling artificial grass/pet toilets (TARGET)",10,IF(N825="Selling pet toys",7,IF(N825="There's an Amazon link, but no target sales.",3,0))))</f>
        <v/>
      </c>
      <c r="P825" s="65">
        <f>H825+J825+L825+M825+O825</f>
        <v/>
      </c>
      <c r="Q825" s="69">
        <f>IF(OR(H825=0,P825&lt;30),"Tier D (Đóng băng)",IF(P825&gt;=85,"Tier S (Kim Cương: 85-100đ)",IF(P825&gt;=70,"Tier A (Vàng: 70-84đ)",IF(P825&gt;=61,"Tier B+ / Cấp A (Hot Lead: 61-69đ)",IF(P825&gt;=50,"Tier B (Bạc: 50-60đ)","Tier C (Đồng: 30-49đ)")))))</f>
        <v/>
      </c>
      <c r="R825" s="6" t="inlineStr">
        <is>
          <t>Khay vệ sinh chung cư (Indoor Potty) + Thảm cỏ ban công (Grass Patch) + Đồ chơi</t>
        </is>
      </c>
      <c r="S825" s="6" t="inlineStr">
        <is>
          <t>Cấp C Chi phí thấp: Nhắn tin trực tiếp qua Fanpage Facebook/Instagram + Nuôi dưỡng nội dung</t>
        </is>
      </c>
    </row>
    <row r="826">
      <c r="A826" s="59" t="n">
        <v>5745</v>
      </c>
      <c r="B826" s="15" t="inlineStr">
        <is>
          <t>upsdogs</t>
        </is>
      </c>
      <c r="C826" s="60" t="inlineStr">
        <is>
          <t>https://www.facebook.com/upsdogs</t>
        </is>
      </c>
      <c r="D826" s="9" t="inlineStr">
        <is>
          <t>Cần quét Bio Fanpage</t>
        </is>
      </c>
      <c r="E826" s="59" t="inlineStr">
        <is>
          <t>13/10/2026 07:30:32</t>
        </is>
      </c>
      <c r="F826" s="59" t="inlineStr">
        <is>
          <t>3 giờ trước</t>
        </is>
      </c>
      <c r="G826" s="61" t="n">
        <v>0.12</v>
      </c>
      <c r="H826" s="62" t="n">
        <v>35</v>
      </c>
      <c r="I826" s="9" t="inlineStr">
        <is>
          <t>Pet Owner / Cộng đồng nuôi cún (10đ)</t>
        </is>
      </c>
      <c r="J826" s="62" t="n">
        <v>10</v>
      </c>
      <c r="K826" s="9" t="inlineStr">
        <is>
          <t>Chưa rõ giống (Cần quét Bio)</t>
        </is>
      </c>
      <c r="L826" s="62" t="n">
        <v>0</v>
      </c>
      <c r="M826" s="62" t="n">
        <v>0</v>
      </c>
      <c r="N826" s="9" t="inlineStr">
        <is>
          <t>Amazon link not found</t>
        </is>
      </c>
      <c r="O826" s="62">
        <f>IF(N826="Selling pet toys + Artificial grass/Pet toilets (TARGET)",15,IF(N826="Selling artificial grass/pet toilets (TARGET)",10,IF(N826="Selling pet toys",7,IF(N826="There's an Amazon link, but no target sales.",3,0))))</f>
        <v/>
      </c>
      <c r="P826" s="67">
        <f>H826+J826+L826+M826+O826</f>
        <v/>
      </c>
      <c r="Q826" s="69">
        <f>IF(OR(H826=0,P826&lt;30),"Tier D (Đóng băng)",IF(P826&gt;=85,"Tier S (Kim Cương: 85-100đ)",IF(P826&gt;=70,"Tier A (Vàng: 70-84đ)",IF(P826&gt;=61,"Tier B+ / Cấp A (Hot Lead: 61-69đ)",IF(P826&gt;=50,"Tier B (Bạc: 50-60đ)","Tier C (Đồng: 30-49đ)")))))</f>
        <v/>
      </c>
      <c r="R826" s="9" t="inlineStr">
        <is>
          <t>Khay vệ sinh chung cư (Indoor Potty) + Thảm cỏ ban công (Grass Patch) + Đồ chơi</t>
        </is>
      </c>
      <c r="S826" s="9" t="inlineStr">
        <is>
          <t>Cấp C Chi phí thấp: Nhắn tin trực tiếp qua Fanpage Facebook/Instagram + Nuôi dưỡng nội dung</t>
        </is>
      </c>
    </row>
    <row r="827">
      <c r="A827" s="53" t="n">
        <v>5069</v>
      </c>
      <c r="B827" s="12" t="inlineStr">
        <is>
          <t>Ponty pett</t>
        </is>
      </c>
      <c r="C827" s="54" t="inlineStr">
        <is>
          <t>https://www.facebook.com/profile.php?id=61587652760888</t>
        </is>
      </c>
      <c r="D827" s="6" t="inlineStr">
        <is>
          <t>Cần quét Bio Fanpage</t>
        </is>
      </c>
      <c r="E827" s="53" t="inlineStr">
        <is>
          <t>13/10/2026 07:14:31</t>
        </is>
      </c>
      <c r="F827" s="53" t="inlineStr">
        <is>
          <t>2 giờ trước</t>
        </is>
      </c>
      <c r="G827" s="55" t="n">
        <v>0.08</v>
      </c>
      <c r="H827" s="56" t="n">
        <v>35</v>
      </c>
      <c r="I827" s="6" t="inlineStr">
        <is>
          <t>Pet Owner / Cộng đồng nuôi cún (10đ)</t>
        </is>
      </c>
      <c r="J827" s="56" t="n">
        <v>10</v>
      </c>
      <c r="K827" s="6" t="inlineStr">
        <is>
          <t>Chưa rõ giống (Cần quét Bio)</t>
        </is>
      </c>
      <c r="L827" s="56" t="n">
        <v>0</v>
      </c>
      <c r="M827" s="56" t="n">
        <v>0</v>
      </c>
      <c r="N827" s="6" t="inlineStr">
        <is>
          <t>Amazon link not found</t>
        </is>
      </c>
      <c r="O827" s="56">
        <f>IF(N827="Selling pet toys + Artificial grass/Pet toilets (TARGET)",15,IF(N827="Selling artificial grass/pet toilets (TARGET)",10,IF(N827="Selling pet toys",7,IF(N827="There's an Amazon link, but no target sales.",3,0))))</f>
        <v/>
      </c>
      <c r="P827" s="65">
        <f>H827+J827+L827+M827+O827</f>
        <v/>
      </c>
      <c r="Q827" s="69">
        <f>IF(OR(H827=0,P827&lt;30),"Tier D (Đóng băng)",IF(P827&gt;=85,"Tier S (Kim Cương: 85-100đ)",IF(P827&gt;=70,"Tier A (Vàng: 70-84đ)",IF(P827&gt;=61,"Tier B+ / Cấp A (Hot Lead: 61-69đ)",IF(P827&gt;=50,"Tier B (Bạc: 50-60đ)","Tier C (Đồng: 30-49đ)")))))</f>
        <v/>
      </c>
      <c r="R827" s="6" t="inlineStr">
        <is>
          <t>Khay vệ sinh chung cư (Indoor Potty) + Thảm cỏ ban công (Grass Patch) + Đồ chơi</t>
        </is>
      </c>
      <c r="S827" s="6" t="inlineStr">
        <is>
          <t>Cấp C Chi phí thấp: Nhắn tin trực tiếp qua Fanpage Facebook/Instagram + Nuôi dưỡng nội dung</t>
        </is>
      </c>
    </row>
    <row r="828">
      <c r="A828" s="59" t="n">
        <v>3961</v>
      </c>
      <c r="B828" s="15" t="inlineStr">
        <is>
          <t>GB Titan Dog House</t>
        </is>
      </c>
      <c r="C828" s="60" t="inlineStr">
        <is>
          <t>https://www.facebook.com/gbtitan</t>
        </is>
      </c>
      <c r="D828" s="9" t="inlineStr">
        <is>
          <t>Cần quét Bio Fanpage</t>
        </is>
      </c>
      <c r="E828" s="59" t="inlineStr">
        <is>
          <t>13/10/2026 07:12:48</t>
        </is>
      </c>
      <c r="F828" s="59" t="inlineStr">
        <is>
          <t>51 phút trước</t>
        </is>
      </c>
      <c r="G828" s="61" t="n">
        <v>0.04</v>
      </c>
      <c r="H828" s="62" t="n">
        <v>35</v>
      </c>
      <c r="I828" s="9" t="inlineStr">
        <is>
          <t>Pet Owner / Cộng đồng nuôi cún (10đ)</t>
        </is>
      </c>
      <c r="J828" s="62" t="n">
        <v>10</v>
      </c>
      <c r="K828" s="9" t="inlineStr">
        <is>
          <t>Chưa rõ giống (Cần quét Bio)</t>
        </is>
      </c>
      <c r="L828" s="62" t="n">
        <v>0</v>
      </c>
      <c r="M828" s="62" t="n">
        <v>0</v>
      </c>
      <c r="N828" s="9" t="inlineStr">
        <is>
          <t>Amazon link not found</t>
        </is>
      </c>
      <c r="O828" s="62">
        <f>IF(N828="Selling pet toys + Artificial grass/Pet toilets (TARGET)",15,IF(N828="Selling artificial grass/pet toilets (TARGET)",10,IF(N828="Selling pet toys",7,IF(N828="There's an Amazon link, but no target sales.",3,0))))</f>
        <v/>
      </c>
      <c r="P828" s="67">
        <f>H828+J828+L828+M828+O828</f>
        <v/>
      </c>
      <c r="Q828" s="69">
        <f>IF(OR(H828=0,P828&lt;30),"Tier D (Đóng băng)",IF(P828&gt;=85,"Tier S (Kim Cương: 85-100đ)",IF(P828&gt;=70,"Tier A (Vàng: 70-84đ)",IF(P828&gt;=61,"Tier B+ / Cấp A (Hot Lead: 61-69đ)",IF(P828&gt;=50,"Tier B (Bạc: 50-60đ)","Tier C (Đồng: 30-49đ)")))))</f>
        <v/>
      </c>
      <c r="R828" s="9" t="inlineStr">
        <is>
          <t>Khay vệ sinh chung cư (Indoor Potty) + Thảm cỏ ban công (Grass Patch) + Đồ chơi</t>
        </is>
      </c>
      <c r="S828" s="9" t="inlineStr">
        <is>
          <t>Cấp C Chi phí thấp: Nhắn tin trực tiếp qua Fanpage Facebook/Instagram + Nuôi dưỡng nội dung</t>
        </is>
      </c>
    </row>
    <row r="829">
      <c r="A829" s="53" t="n">
        <v>4900</v>
      </c>
      <c r="B829" s="12" t="inlineStr">
        <is>
          <t>PEOPLE Pets</t>
        </is>
      </c>
      <c r="C829" s="54" t="inlineStr">
        <is>
          <t>https://www.facebook.com/peoplepets</t>
        </is>
      </c>
      <c r="D829" s="6" t="inlineStr">
        <is>
          <t>Cần quét Bio Fanpage</t>
        </is>
      </c>
      <c r="E829" s="53" t="inlineStr">
        <is>
          <t>13/10/2026 07:10:14</t>
        </is>
      </c>
      <c r="F829" s="53" t="inlineStr">
        <is>
          <t>2 giờ trước</t>
        </is>
      </c>
      <c r="G829" s="55" t="n">
        <v>0.08</v>
      </c>
      <c r="H829" s="56" t="n">
        <v>35</v>
      </c>
      <c r="I829" s="6" t="inlineStr">
        <is>
          <t>Pet Owner / Cộng đồng nuôi cún (10đ)</t>
        </is>
      </c>
      <c r="J829" s="56" t="n">
        <v>10</v>
      </c>
      <c r="K829" s="6" t="inlineStr">
        <is>
          <t>Chưa rõ giống (Cần quét Bio)</t>
        </is>
      </c>
      <c r="L829" s="56" t="n">
        <v>0</v>
      </c>
      <c r="M829" s="56" t="n">
        <v>0</v>
      </c>
      <c r="N829" s="6" t="inlineStr">
        <is>
          <t>Amazon link not found</t>
        </is>
      </c>
      <c r="O829" s="56">
        <f>IF(N829="Selling pet toys + Artificial grass/Pet toilets (TARGET)",15,IF(N829="Selling artificial grass/pet toilets (TARGET)",10,IF(N829="Selling pet toys",7,IF(N829="There's an Amazon link, but no target sales.",3,0))))</f>
        <v/>
      </c>
      <c r="P829" s="65">
        <f>H829+J829+L829+M829+O829</f>
        <v/>
      </c>
      <c r="Q829" s="69">
        <f>IF(OR(H829=0,P829&lt;30),"Tier D (Đóng băng)",IF(P829&gt;=85,"Tier S (Kim Cương: 85-100đ)",IF(P829&gt;=70,"Tier A (Vàng: 70-84đ)",IF(P829&gt;=61,"Tier B+ / Cấp A (Hot Lead: 61-69đ)",IF(P829&gt;=50,"Tier B (Bạc: 50-60đ)","Tier C (Đồng: 30-49đ)")))))</f>
        <v/>
      </c>
      <c r="R829" s="6" t="inlineStr">
        <is>
          <t>Khay vệ sinh chung cư (Indoor Potty) + Thảm cỏ ban công (Grass Patch) + Đồ chơi</t>
        </is>
      </c>
      <c r="S829" s="6" t="inlineStr">
        <is>
          <t>Cấp C Chi phí thấp: Nhắn tin trực tiếp qua Fanpage Facebook/Instagram + Nuôi dưỡng nội dung</t>
        </is>
      </c>
    </row>
    <row r="830">
      <c r="A830" s="59" t="n">
        <v>3630</v>
      </c>
      <c r="B830" s="15" t="inlineStr">
        <is>
          <t>DogsAreFamily</t>
        </is>
      </c>
      <c r="C830" s="60" t="inlineStr">
        <is>
          <t>https://www.facebook.com/DogsAreFamily</t>
        </is>
      </c>
      <c r="D830" s="9" t="inlineStr">
        <is>
          <t>Cần quét Bio Fanpage</t>
        </is>
      </c>
      <c r="E830" s="59" t="inlineStr">
        <is>
          <t>13/10/2026 07:10:03</t>
        </is>
      </c>
      <c r="F830" s="59" t="inlineStr">
        <is>
          <t>17 phút trước</t>
        </is>
      </c>
      <c r="G830" s="61" t="n">
        <v>0.01</v>
      </c>
      <c r="H830" s="62" t="n">
        <v>35</v>
      </c>
      <c r="I830" s="9" t="inlineStr">
        <is>
          <t>Pet Owner / Cộng đồng nuôi cún (10đ)</t>
        </is>
      </c>
      <c r="J830" s="62" t="n">
        <v>10</v>
      </c>
      <c r="K830" s="9" t="inlineStr">
        <is>
          <t>Chưa rõ giống (Cần quét Bio)</t>
        </is>
      </c>
      <c r="L830" s="62" t="n">
        <v>0</v>
      </c>
      <c r="M830" s="62" t="n">
        <v>0</v>
      </c>
      <c r="N830" s="9" t="inlineStr">
        <is>
          <t>Amazon link not found</t>
        </is>
      </c>
      <c r="O830" s="62">
        <f>IF(N830="Selling pet toys + Artificial grass/Pet toilets (TARGET)",15,IF(N830="Selling artificial grass/pet toilets (TARGET)",10,IF(N830="Selling pet toys",7,IF(N830="There's an Amazon link, but no target sales.",3,0))))</f>
        <v/>
      </c>
      <c r="P830" s="67">
        <f>H830+J830+L830+M830+O830</f>
        <v/>
      </c>
      <c r="Q830" s="69">
        <f>IF(OR(H830=0,P830&lt;30),"Tier D (Đóng băng)",IF(P830&gt;=85,"Tier S (Kim Cương: 85-100đ)",IF(P830&gt;=70,"Tier A (Vàng: 70-84đ)",IF(P830&gt;=61,"Tier B+ / Cấp A (Hot Lead: 61-69đ)",IF(P830&gt;=50,"Tier B (Bạc: 50-60đ)","Tier C (Đồng: 30-49đ)")))))</f>
        <v/>
      </c>
      <c r="R830" s="9" t="inlineStr">
        <is>
          <t>Khay vệ sinh chung cư (Indoor Potty) + Thảm cỏ ban công (Grass Patch) + Đồ chơi</t>
        </is>
      </c>
      <c r="S830" s="9" t="inlineStr">
        <is>
          <t>Cấp C Chi phí thấp: Nhắn tin trực tiếp qua Fanpage Facebook/Instagram + Nuôi dưỡng nội dung</t>
        </is>
      </c>
    </row>
    <row r="831">
      <c r="A831" s="53" t="n">
        <v>4209</v>
      </c>
      <c r="B831" s="12" t="inlineStr">
        <is>
          <t>ironside_bulldog</t>
        </is>
      </c>
      <c r="C831" s="54" t="inlineStr">
        <is>
          <t>https://www.facebook.com/IRONSIDEBRITISHBULLDOG</t>
        </is>
      </c>
      <c r="D831" s="6" t="inlineStr">
        <is>
          <t>Cần quét Bio Fanpage</t>
        </is>
      </c>
      <c r="E831" s="53" t="inlineStr">
        <is>
          <t>13/10/2026 07:08:53</t>
        </is>
      </c>
      <c r="F831" s="53" t="inlineStr">
        <is>
          <t>1 giờ trước</t>
        </is>
      </c>
      <c r="G831" s="55" t="n">
        <v>0.04</v>
      </c>
      <c r="H831" s="56" t="n">
        <v>35</v>
      </c>
      <c r="I831" s="6" t="inlineStr">
        <is>
          <t>Pet Owner / Cộng đồng nuôi cún (10đ)</t>
        </is>
      </c>
      <c r="J831" s="56" t="n">
        <v>10</v>
      </c>
      <c r="K831" s="6" t="inlineStr">
        <is>
          <t>Chưa rõ giống (Cần quét Bio)</t>
        </is>
      </c>
      <c r="L831" s="56" t="n">
        <v>0</v>
      </c>
      <c r="M831" s="56" t="n">
        <v>0</v>
      </c>
      <c r="N831" s="6" t="inlineStr">
        <is>
          <t>Amazon link not found</t>
        </is>
      </c>
      <c r="O831" s="56">
        <f>IF(N831="Selling pet toys + Artificial grass/Pet toilets (TARGET)",15,IF(N831="Selling artificial grass/pet toilets (TARGET)",10,IF(N831="Selling pet toys",7,IF(N831="There's an Amazon link, but no target sales.",3,0))))</f>
        <v/>
      </c>
      <c r="P831" s="65">
        <f>H831+J831+L831+M831+O831</f>
        <v/>
      </c>
      <c r="Q831" s="69">
        <f>IF(OR(H831=0,P831&lt;30),"Tier D (Đóng băng)",IF(P831&gt;=85,"Tier S (Kim Cương: 85-100đ)",IF(P831&gt;=70,"Tier A (Vàng: 70-84đ)",IF(P831&gt;=61,"Tier B+ / Cấp A (Hot Lead: 61-69đ)",IF(P831&gt;=50,"Tier B (Bạc: 50-60đ)","Tier C (Đồng: 30-49đ)")))))</f>
        <v/>
      </c>
      <c r="R831" s="6" t="inlineStr">
        <is>
          <t>Khay vệ sinh chung cư (Indoor Potty) + Thảm cỏ ban công (Grass Patch) + Đồ chơi</t>
        </is>
      </c>
      <c r="S831" s="6" t="inlineStr">
        <is>
          <t>Cấp C Chi phí thấp: Nhắn tin trực tiếp qua Fanpage Facebook/Instagram + Nuôi dưỡng nội dung</t>
        </is>
      </c>
    </row>
    <row r="832">
      <c r="A832" s="59" t="n">
        <v>3411</v>
      </c>
      <c r="B832" s="15" t="inlineStr">
        <is>
          <t>Wichita Animal Action League</t>
        </is>
      </c>
      <c r="C832" s="60" t="inlineStr">
        <is>
          <t>https://www.facebook.com/WAALrescue</t>
        </is>
      </c>
      <c r="D832" s="9" t="inlineStr">
        <is>
          <t>Cần quét Bio Fanpage</t>
        </is>
      </c>
      <c r="E832" s="59" t="inlineStr">
        <is>
          <t>13/10/2026 07:00:02</t>
        </is>
      </c>
      <c r="F832" s="59" t="inlineStr">
        <is>
          <t>3 phút trước</t>
        </is>
      </c>
      <c r="G832" s="61" t="n">
        <v>0</v>
      </c>
      <c r="H832" s="62" t="n">
        <v>35</v>
      </c>
      <c r="I832" s="9" t="inlineStr">
        <is>
          <t>Pet Owner / Cộng đồng nuôi cún (10đ)</t>
        </is>
      </c>
      <c r="J832" s="62" t="n">
        <v>10</v>
      </c>
      <c r="K832" s="9" t="inlineStr">
        <is>
          <t>Chưa rõ giống (Cần quét Bio)</t>
        </is>
      </c>
      <c r="L832" s="62" t="n">
        <v>0</v>
      </c>
      <c r="M832" s="62" t="n">
        <v>0</v>
      </c>
      <c r="N832" s="9" t="inlineStr">
        <is>
          <t>Amazon link not found</t>
        </is>
      </c>
      <c r="O832" s="62">
        <f>IF(N832="Selling pet toys + Artificial grass/Pet toilets (TARGET)",15,IF(N832="Selling artificial grass/pet toilets (TARGET)",10,IF(N832="Selling pet toys",7,IF(N832="There's an Amazon link, but no target sales.",3,0))))</f>
        <v/>
      </c>
      <c r="P832" s="67">
        <f>H832+J832+L832+M832+O832</f>
        <v/>
      </c>
      <c r="Q832" s="69">
        <f>IF(OR(H832=0,P832&lt;30),"Tier D (Đóng băng)",IF(P832&gt;=85,"Tier S (Kim Cương: 85-100đ)",IF(P832&gt;=70,"Tier A (Vàng: 70-84đ)",IF(P832&gt;=61,"Tier B+ / Cấp A (Hot Lead: 61-69đ)",IF(P832&gt;=50,"Tier B (Bạc: 50-60đ)","Tier C (Đồng: 30-49đ)")))))</f>
        <v/>
      </c>
      <c r="R832" s="9" t="inlineStr">
        <is>
          <t>Khay vệ sinh chung cư (Indoor Potty) + Thảm cỏ ban công (Grass Patch) + Đồ chơi</t>
        </is>
      </c>
      <c r="S832" s="9" t="inlineStr">
        <is>
          <t>Cấp C Chi phí thấp: Nhắn tin trực tiếp qua Fanpage Facebook/Instagram + Nuôi dưỡng nội dung</t>
        </is>
      </c>
    </row>
    <row r="833">
      <c r="A833" s="53" t="n">
        <v>4255</v>
      </c>
      <c r="B833" s="12" t="inlineStr">
        <is>
          <t>Joys of Living Assistance Dogs</t>
        </is>
      </c>
      <c r="C833" s="54" t="inlineStr">
        <is>
          <t>https://www.facebook.com/JLADjoydogs</t>
        </is>
      </c>
      <c r="D833" s="6" t="inlineStr">
        <is>
          <t>Cần quét Bio Fanpage</t>
        </is>
      </c>
      <c r="E833" s="53" t="inlineStr">
        <is>
          <t>13/10/2026 07:00:00</t>
        </is>
      </c>
      <c r="F833" s="53" t="inlineStr">
        <is>
          <t>1 giờ trước</t>
        </is>
      </c>
      <c r="G833" s="55" t="n">
        <v>0.04</v>
      </c>
      <c r="H833" s="56" t="n">
        <v>35</v>
      </c>
      <c r="I833" s="6" t="inlineStr">
        <is>
          <t>Pet Owner / Cộng đồng nuôi cún (10đ)</t>
        </is>
      </c>
      <c r="J833" s="56" t="n">
        <v>10</v>
      </c>
      <c r="K833" s="6" t="inlineStr">
        <is>
          <t>Chưa rõ giống (Cần quét Bio)</t>
        </is>
      </c>
      <c r="L833" s="56" t="n">
        <v>0</v>
      </c>
      <c r="M833" s="56" t="n">
        <v>0</v>
      </c>
      <c r="N833" s="6" t="inlineStr">
        <is>
          <t>Amazon link not found</t>
        </is>
      </c>
      <c r="O833" s="56">
        <f>IF(N833="Selling pet toys + Artificial grass/Pet toilets (TARGET)",15,IF(N833="Selling artificial grass/pet toilets (TARGET)",10,IF(N833="Selling pet toys",7,IF(N833="There's an Amazon link, but no target sales.",3,0))))</f>
        <v/>
      </c>
      <c r="P833" s="65">
        <f>H833+J833+L833+M833+O833</f>
        <v/>
      </c>
      <c r="Q833" s="69">
        <f>IF(OR(H833=0,P833&lt;30),"Tier D (Đóng băng)",IF(P833&gt;=85,"Tier S (Kim Cương: 85-100đ)",IF(P833&gt;=70,"Tier A (Vàng: 70-84đ)",IF(P833&gt;=61,"Tier B+ / Cấp A (Hot Lead: 61-69đ)",IF(P833&gt;=50,"Tier B (Bạc: 50-60đ)","Tier C (Đồng: 30-49đ)")))))</f>
        <v/>
      </c>
      <c r="R833" s="6" t="inlineStr">
        <is>
          <t>Khay vệ sinh chung cư (Indoor Potty) + Thảm cỏ ban công (Grass Patch) + Đồ chơi</t>
        </is>
      </c>
      <c r="S833" s="6" t="inlineStr">
        <is>
          <t>Cấp C Chi phí thấp: Nhắn tin trực tiếp qua Fanpage Facebook/Instagram + Nuôi dưỡng nội dung</t>
        </is>
      </c>
    </row>
    <row r="834">
      <c r="A834" s="59" t="n">
        <v>4578</v>
      </c>
      <c r="B834" s="15" t="inlineStr">
        <is>
          <t>Maine Lost Dog Recovery</t>
        </is>
      </c>
      <c r="C834" s="60" t="inlineStr">
        <is>
          <t>https://www.facebook.com/MaineLostDogRecovery</t>
        </is>
      </c>
      <c r="D834" s="9" t="inlineStr">
        <is>
          <t>Cần quét Bio Fanpage</t>
        </is>
      </c>
      <c r="E834" s="59" t="inlineStr">
        <is>
          <t>13/10/2026 06:58:07</t>
        </is>
      </c>
      <c r="F834" s="59" t="inlineStr">
        <is>
          <t>2 giờ trước</t>
        </is>
      </c>
      <c r="G834" s="61" t="n">
        <v>0.08</v>
      </c>
      <c r="H834" s="62" t="n">
        <v>35</v>
      </c>
      <c r="I834" s="9" t="inlineStr">
        <is>
          <t>Pet Owner / Cộng đồng nuôi cún (10đ)</t>
        </is>
      </c>
      <c r="J834" s="62" t="n">
        <v>10</v>
      </c>
      <c r="K834" s="9" t="inlineStr">
        <is>
          <t>Chưa rõ giống (Cần quét Bio)</t>
        </is>
      </c>
      <c r="L834" s="62" t="n">
        <v>0</v>
      </c>
      <c r="M834" s="62" t="n">
        <v>0</v>
      </c>
      <c r="N834" s="9" t="inlineStr">
        <is>
          <t>Amazon link not found</t>
        </is>
      </c>
      <c r="O834" s="62">
        <f>IF(N834="Selling pet toys + Artificial grass/Pet toilets (TARGET)",15,IF(N834="Selling artificial grass/pet toilets (TARGET)",10,IF(N834="Selling pet toys",7,IF(N834="There's an Amazon link, but no target sales.",3,0))))</f>
        <v/>
      </c>
      <c r="P834" s="67">
        <f>H834+J834+L834+M834+O834</f>
        <v/>
      </c>
      <c r="Q834" s="69">
        <f>IF(OR(H834=0,P834&lt;30),"Tier D (Đóng băng)",IF(P834&gt;=85,"Tier S (Kim Cương: 85-100đ)",IF(P834&gt;=70,"Tier A (Vàng: 70-84đ)",IF(P834&gt;=61,"Tier B+ / Cấp A (Hot Lead: 61-69đ)",IF(P834&gt;=50,"Tier B (Bạc: 50-60đ)","Tier C (Đồng: 30-49đ)")))))</f>
        <v/>
      </c>
      <c r="R834" s="9" t="inlineStr">
        <is>
          <t>Khay vệ sinh chung cư (Indoor Potty) + Thảm cỏ ban công (Grass Patch) + Đồ chơi</t>
        </is>
      </c>
      <c r="S834" s="9" t="inlineStr">
        <is>
          <t>Cấp C Chi phí thấp: Nhắn tin trực tiếp qua Fanpage Facebook/Instagram + Nuôi dưỡng nội dung</t>
        </is>
      </c>
    </row>
    <row r="835">
      <c r="A835" s="53" t="n">
        <v>3892</v>
      </c>
      <c r="B835" s="12" t="inlineStr">
        <is>
          <t>Forever Wildlife Lodge &amp; Clinic</t>
        </is>
      </c>
      <c r="C835" s="54" t="inlineStr">
        <is>
          <t>https://www.facebook.com/foreverwildanimalrescue</t>
        </is>
      </c>
      <c r="D835" s="6" t="inlineStr">
        <is>
          <t>Cần quét Bio Fanpage</t>
        </is>
      </c>
      <c r="E835" s="53" t="inlineStr">
        <is>
          <t>13/10/2026 06:55:06</t>
        </is>
      </c>
      <c r="F835" s="53" t="inlineStr">
        <is>
          <t>1 giờ trước</t>
        </is>
      </c>
      <c r="G835" s="55" t="n">
        <v>0.04</v>
      </c>
      <c r="H835" s="56" t="n">
        <v>35</v>
      </c>
      <c r="I835" s="6" t="inlineStr">
        <is>
          <t>Pet Owner / Cộng đồng nuôi cún (10đ)</t>
        </is>
      </c>
      <c r="J835" s="56" t="n">
        <v>10</v>
      </c>
      <c r="K835" s="6" t="inlineStr">
        <is>
          <t>Chưa rõ giống (Cần quét Bio)</t>
        </is>
      </c>
      <c r="L835" s="56" t="n">
        <v>0</v>
      </c>
      <c r="M835" s="56" t="n">
        <v>0</v>
      </c>
      <c r="N835" s="6" t="inlineStr">
        <is>
          <t>Amazon link not found</t>
        </is>
      </c>
      <c r="O835" s="56">
        <f>IF(N835="Selling pet toys + Artificial grass/Pet toilets (TARGET)",15,IF(N835="Selling artificial grass/pet toilets (TARGET)",10,IF(N835="Selling pet toys",7,IF(N835="There's an Amazon link, but no target sales.",3,0))))</f>
        <v/>
      </c>
      <c r="P835" s="65">
        <f>H835+J835+L835+M835+O835</f>
        <v/>
      </c>
      <c r="Q835" s="69">
        <f>IF(OR(H835=0,P835&lt;30),"Tier D (Đóng băng)",IF(P835&gt;=85,"Tier S (Kim Cương: 85-100đ)",IF(P835&gt;=70,"Tier A (Vàng: 70-84đ)",IF(P835&gt;=61,"Tier B+ / Cấp A (Hot Lead: 61-69đ)",IF(P835&gt;=50,"Tier B (Bạc: 50-60đ)","Tier C (Đồng: 30-49đ)")))))</f>
        <v/>
      </c>
      <c r="R835" s="6" t="inlineStr">
        <is>
          <t>Khay vệ sinh chung cư (Indoor Potty) + Thảm cỏ ban công (Grass Patch) + Đồ chơi</t>
        </is>
      </c>
      <c r="S835" s="6" t="inlineStr">
        <is>
          <t>Cấp C Chi phí thấp: Nhắn tin trực tiếp qua Fanpage Facebook/Instagram + Nuôi dưỡng nội dung</t>
        </is>
      </c>
    </row>
    <row r="836">
      <c r="A836" s="59" t="n">
        <v>3602</v>
      </c>
      <c r="B836" s="15" t="inlineStr">
        <is>
          <t>DogGurt</t>
        </is>
      </c>
      <c r="C836" s="60" t="inlineStr">
        <is>
          <t>https://www.facebook.com/DogGurt</t>
        </is>
      </c>
      <c r="D836" s="9" t="inlineStr">
        <is>
          <t>Cần quét Bio Fanpage</t>
        </is>
      </c>
      <c r="E836" s="59" t="inlineStr">
        <is>
          <t>13/10/2026 06:46:07</t>
        </is>
      </c>
      <c r="F836" s="59" t="inlineStr">
        <is>
          <t>37 phút trước</t>
        </is>
      </c>
      <c r="G836" s="61" t="n">
        <v>0.03</v>
      </c>
      <c r="H836" s="62" t="n">
        <v>35</v>
      </c>
      <c r="I836" s="9" t="inlineStr">
        <is>
          <t>Pet Owner / Cộng đồng nuôi cún (10đ)</t>
        </is>
      </c>
      <c r="J836" s="62" t="n">
        <v>10</v>
      </c>
      <c r="K836" s="9" t="inlineStr">
        <is>
          <t>Chưa rõ giống (Cần quét Bio)</t>
        </is>
      </c>
      <c r="L836" s="62" t="n">
        <v>0</v>
      </c>
      <c r="M836" s="62" t="n">
        <v>0</v>
      </c>
      <c r="N836" s="9" t="inlineStr">
        <is>
          <t>Amazon link not found</t>
        </is>
      </c>
      <c r="O836" s="62">
        <f>IF(N836="Selling pet toys + Artificial grass/Pet toilets (TARGET)",15,IF(N836="Selling artificial grass/pet toilets (TARGET)",10,IF(N836="Selling pet toys",7,IF(N836="There's an Amazon link, but no target sales.",3,0))))</f>
        <v/>
      </c>
      <c r="P836" s="67">
        <f>H836+J836+L836+M836+O836</f>
        <v/>
      </c>
      <c r="Q836" s="69">
        <f>IF(OR(H836=0,P836&lt;30),"Tier D (Đóng băng)",IF(P836&gt;=85,"Tier S (Kim Cương: 85-100đ)",IF(P836&gt;=70,"Tier A (Vàng: 70-84đ)",IF(P836&gt;=61,"Tier B+ / Cấp A (Hot Lead: 61-69đ)",IF(P836&gt;=50,"Tier B (Bạc: 50-60đ)","Tier C (Đồng: 30-49đ)")))))</f>
        <v/>
      </c>
      <c r="R836" s="9" t="inlineStr">
        <is>
          <t>Khay vệ sinh chung cư (Indoor Potty) + Thảm cỏ ban công (Grass Patch) + Đồ chơi</t>
        </is>
      </c>
      <c r="S836" s="9" t="inlineStr">
        <is>
          <t>Cấp C Chi phí thấp: Nhắn tin trực tiếp qua Fanpage Facebook/Instagram + Nuôi dưỡng nội dung</t>
        </is>
      </c>
    </row>
    <row r="837">
      <c r="A837" s="53" t="n">
        <v>4923</v>
      </c>
      <c r="B837" s="12" t="inlineStr">
        <is>
          <t>Pet Forever</t>
        </is>
      </c>
      <c r="C837" s="54" t="inlineStr">
        <is>
          <t>https://www.facebook.com/profile.php?id=61587145799154</t>
        </is>
      </c>
      <c r="D837" s="6" t="inlineStr">
        <is>
          <t>Cần quét Bio Fanpage</t>
        </is>
      </c>
      <c r="E837" s="53" t="inlineStr">
        <is>
          <t>13/10/2026 06:27:42</t>
        </is>
      </c>
      <c r="F837" s="53" t="inlineStr">
        <is>
          <t>3 giờ trước</t>
        </is>
      </c>
      <c r="G837" s="55" t="n">
        <v>0.12</v>
      </c>
      <c r="H837" s="56" t="n">
        <v>35</v>
      </c>
      <c r="I837" s="6" t="inlineStr">
        <is>
          <t>Pet Owner / Cộng đồng nuôi cún (10đ)</t>
        </is>
      </c>
      <c r="J837" s="56" t="n">
        <v>10</v>
      </c>
      <c r="K837" s="6" t="inlineStr">
        <is>
          <t>Chưa rõ giống (Cần quét Bio)</t>
        </is>
      </c>
      <c r="L837" s="56" t="n">
        <v>0</v>
      </c>
      <c r="M837" s="56" t="n">
        <v>0</v>
      </c>
      <c r="N837" s="6" t="inlineStr">
        <is>
          <t>Amazon link not found</t>
        </is>
      </c>
      <c r="O837" s="56">
        <f>IF(N837="Selling pet toys + Artificial grass/Pet toilets (TARGET)",15,IF(N837="Selling artificial grass/pet toilets (TARGET)",10,IF(N837="Selling pet toys",7,IF(N837="There's an Amazon link, but no target sales.",3,0))))</f>
        <v/>
      </c>
      <c r="P837" s="65">
        <f>H837+J837+L837+M837+O837</f>
        <v/>
      </c>
      <c r="Q837" s="69">
        <f>IF(OR(H837=0,P837&lt;30),"Tier D (Đóng băng)",IF(P837&gt;=85,"Tier S (Kim Cương: 85-100đ)",IF(P837&gt;=70,"Tier A (Vàng: 70-84đ)",IF(P837&gt;=61,"Tier B+ / Cấp A (Hot Lead: 61-69đ)",IF(P837&gt;=50,"Tier B (Bạc: 50-60đ)","Tier C (Đồng: 30-49đ)")))))</f>
        <v/>
      </c>
      <c r="R837" s="6" t="inlineStr">
        <is>
          <t>Khay vệ sinh chung cư (Indoor Potty) + Thảm cỏ ban công (Grass Patch) + Đồ chơi</t>
        </is>
      </c>
      <c r="S837" s="6" t="inlineStr">
        <is>
          <t>Cấp C Chi phí thấp: Nhắn tin trực tiếp qua Fanpage Facebook/Instagram + Nuôi dưỡng nội dung</t>
        </is>
      </c>
    </row>
    <row r="838">
      <c r="A838" s="59" t="n">
        <v>4998</v>
      </c>
      <c r="B838" s="15" t="inlineStr">
        <is>
          <t>Petra Ford</t>
        </is>
      </c>
      <c r="C838" s="60" t="inlineStr">
        <is>
          <t>https://www.facebook.com/petrafordtrainer</t>
        </is>
      </c>
      <c r="D838" s="9" t="inlineStr">
        <is>
          <t>Cần quét Bio Fanpage</t>
        </is>
      </c>
      <c r="E838" s="59" t="inlineStr">
        <is>
          <t>13/10/2026 06:10:21</t>
        </is>
      </c>
      <c r="F838" s="59" t="inlineStr">
        <is>
          <t>3 giờ trước</t>
        </is>
      </c>
      <c r="G838" s="61" t="n">
        <v>0.12</v>
      </c>
      <c r="H838" s="62" t="n">
        <v>35</v>
      </c>
      <c r="I838" s="9" t="inlineStr">
        <is>
          <t>Pet Owner / Cộng đồng nuôi cún (10đ)</t>
        </is>
      </c>
      <c r="J838" s="62" t="n">
        <v>10</v>
      </c>
      <c r="K838" s="9" t="inlineStr">
        <is>
          <t>Chưa rõ giống (Cần quét Bio)</t>
        </is>
      </c>
      <c r="L838" s="62" t="n">
        <v>0</v>
      </c>
      <c r="M838" s="62" t="n">
        <v>0</v>
      </c>
      <c r="N838" s="9" t="inlineStr">
        <is>
          <t>Amazon link not found</t>
        </is>
      </c>
      <c r="O838" s="62">
        <f>IF(N838="Selling pet toys + Artificial grass/Pet toilets (TARGET)",15,IF(N838="Selling artificial grass/pet toilets (TARGET)",10,IF(N838="Selling pet toys",7,IF(N838="There's an Amazon link, but no target sales.",3,0))))</f>
        <v/>
      </c>
      <c r="P838" s="67">
        <f>H838+J838+L838+M838+O838</f>
        <v/>
      </c>
      <c r="Q838" s="69">
        <f>IF(OR(H838=0,P838&lt;30),"Tier D (Đóng băng)",IF(P838&gt;=85,"Tier S (Kim Cương: 85-100đ)",IF(P838&gt;=70,"Tier A (Vàng: 70-84đ)",IF(P838&gt;=61,"Tier B+ / Cấp A (Hot Lead: 61-69đ)",IF(P838&gt;=50,"Tier B (Bạc: 50-60đ)","Tier C (Đồng: 30-49đ)")))))</f>
        <v/>
      </c>
      <c r="R838" s="9" t="inlineStr">
        <is>
          <t>Khay vệ sinh chung cư (Indoor Potty) + Thảm cỏ ban công (Grass Patch) + Đồ chơi</t>
        </is>
      </c>
      <c r="S838" s="9" t="inlineStr">
        <is>
          <t>Cấp C Chi phí thấp: Nhắn tin trực tiếp qua Fanpage Facebook/Instagram + Nuôi dưỡng nội dung</t>
        </is>
      </c>
    </row>
    <row r="839">
      <c r="A839" s="53" t="n">
        <v>3246</v>
      </c>
      <c r="B839" s="12" t="inlineStr">
        <is>
          <t>Trumpet Of Truth</t>
        </is>
      </c>
      <c r="C839" s="54" t="inlineStr">
        <is>
          <t>https://www.facebook.com/profile.php?id=61554134321326</t>
        </is>
      </c>
      <c r="D839" s="6" t="inlineStr">
        <is>
          <t>Cần quét Bio Fanpage</t>
        </is>
      </c>
      <c r="E839" s="53" t="inlineStr">
        <is>
          <t>13/10/2026 06:07:19</t>
        </is>
      </c>
      <c r="F839" s="53" t="inlineStr">
        <is>
          <t>38 phút trước</t>
        </is>
      </c>
      <c r="G839" s="55" t="n">
        <v>0.03</v>
      </c>
      <c r="H839" s="56" t="n">
        <v>35</v>
      </c>
      <c r="I839" s="6" t="inlineStr">
        <is>
          <t>Pet Owner / Cộng đồng nuôi cún (10đ)</t>
        </is>
      </c>
      <c r="J839" s="56" t="n">
        <v>10</v>
      </c>
      <c r="K839" s="6" t="inlineStr">
        <is>
          <t>Chưa rõ giống (Cần quét Bio)</t>
        </is>
      </c>
      <c r="L839" s="56" t="n">
        <v>0</v>
      </c>
      <c r="M839" s="56" t="n">
        <v>0</v>
      </c>
      <c r="N839" s="6" t="inlineStr">
        <is>
          <t>Amazon link not found</t>
        </is>
      </c>
      <c r="O839" s="56">
        <f>IF(N839="Selling pet toys + Artificial grass/Pet toilets (TARGET)",15,IF(N839="Selling artificial grass/pet toilets (TARGET)",10,IF(N839="Selling pet toys",7,IF(N839="There's an Amazon link, but no target sales.",3,0))))</f>
        <v/>
      </c>
      <c r="P839" s="65">
        <f>H839+J839+L839+M839+O839</f>
        <v/>
      </c>
      <c r="Q839" s="69">
        <f>IF(OR(H839=0,P839&lt;30),"Tier D (Đóng băng)",IF(P839&gt;=85,"Tier S (Kim Cương: 85-100đ)",IF(P839&gt;=70,"Tier A (Vàng: 70-84đ)",IF(P839&gt;=61,"Tier B+ / Cấp A (Hot Lead: 61-69đ)",IF(P839&gt;=50,"Tier B (Bạc: 50-60đ)","Tier C (Đồng: 30-49đ)")))))</f>
        <v/>
      </c>
      <c r="R839" s="6" t="inlineStr">
        <is>
          <t>Khay vệ sinh chung cư (Indoor Potty) + Thảm cỏ ban công (Grass Patch) + Đồ chơi</t>
        </is>
      </c>
      <c r="S839" s="6" t="inlineStr">
        <is>
          <t>Cấp C Chi phí thấp: Nhắn tin trực tiếp qua Fanpage Facebook/Instagram + Nuôi dưỡng nội dung</t>
        </is>
      </c>
    </row>
    <row r="840">
      <c r="A840" s="59" t="n">
        <v>4609</v>
      </c>
      <c r="B840" s="15" t="inlineStr">
        <is>
          <t>Max The Big Red Dog</t>
        </is>
      </c>
      <c r="C840" s="60" t="inlineStr">
        <is>
          <t>https://www.facebook.com/profile.php?id=61575427798685</t>
        </is>
      </c>
      <c r="D840" s="9" t="inlineStr">
        <is>
          <t>Cần quét Bio Fanpage</t>
        </is>
      </c>
      <c r="E840" s="59" t="inlineStr">
        <is>
          <t>13/10/2026 06:05:22</t>
        </is>
      </c>
      <c r="F840" s="59" t="inlineStr">
        <is>
          <t>3 giờ trước</t>
        </is>
      </c>
      <c r="G840" s="61" t="n">
        <v>0.12</v>
      </c>
      <c r="H840" s="62" t="n">
        <v>35</v>
      </c>
      <c r="I840" s="9" t="inlineStr">
        <is>
          <t>Pet Owner / Cộng đồng nuôi cún (10đ)</t>
        </is>
      </c>
      <c r="J840" s="62" t="n">
        <v>10</v>
      </c>
      <c r="K840" s="9" t="inlineStr">
        <is>
          <t>Chưa rõ giống (Cần quét Bio)</t>
        </is>
      </c>
      <c r="L840" s="62" t="n">
        <v>0</v>
      </c>
      <c r="M840" s="62" t="n">
        <v>0</v>
      </c>
      <c r="N840" s="9" t="inlineStr">
        <is>
          <t>Amazon link not found</t>
        </is>
      </c>
      <c r="O840" s="62">
        <f>IF(N840="Selling pet toys + Artificial grass/Pet toilets (TARGET)",15,IF(N840="Selling artificial grass/pet toilets (TARGET)",10,IF(N840="Selling pet toys",7,IF(N840="There's an Amazon link, but no target sales.",3,0))))</f>
        <v/>
      </c>
      <c r="P840" s="67">
        <f>H840+J840+L840+M840+O840</f>
        <v/>
      </c>
      <c r="Q840" s="69">
        <f>IF(OR(H840=0,P840&lt;30),"Tier D (Đóng băng)",IF(P840&gt;=85,"Tier S (Kim Cương: 85-100đ)",IF(P840&gt;=70,"Tier A (Vàng: 70-84đ)",IF(P840&gt;=61,"Tier B+ / Cấp A (Hot Lead: 61-69đ)",IF(P840&gt;=50,"Tier B (Bạc: 50-60đ)","Tier C (Đồng: 30-49đ)")))))</f>
        <v/>
      </c>
      <c r="R840" s="9" t="inlineStr">
        <is>
          <t>Khay vệ sinh chung cư (Indoor Potty) + Thảm cỏ ban công (Grass Patch) + Đồ chơi</t>
        </is>
      </c>
      <c r="S840" s="9" t="inlineStr">
        <is>
          <t>Cấp C Chi phí thấp: Nhắn tin trực tiếp qua Fanpage Facebook/Instagram + Nuôi dưỡng nội dung</t>
        </is>
      </c>
    </row>
    <row r="841">
      <c r="A841" s="53" t="n">
        <v>3054</v>
      </c>
      <c r="B841" s="12" t="inlineStr">
        <is>
          <t>Tamalitos Dog</t>
        </is>
      </c>
      <c r="C841" s="54" t="inlineStr">
        <is>
          <t>https://www.facebook.com/tamalitosdogmx</t>
        </is>
      </c>
      <c r="D841" s="6" t="inlineStr">
        <is>
          <t>Cần quét Bio Fanpage</t>
        </is>
      </c>
      <c r="E841" s="53" t="inlineStr">
        <is>
          <t>13/10/2026 06:00:51</t>
        </is>
      </c>
      <c r="F841" s="53" t="inlineStr">
        <is>
          <t>23 phút trước</t>
        </is>
      </c>
      <c r="G841" s="55" t="n">
        <v>0.02</v>
      </c>
      <c r="H841" s="56" t="n">
        <v>35</v>
      </c>
      <c r="I841" s="6" t="inlineStr">
        <is>
          <t>Pet Owner / Cộng đồng nuôi cún (10đ)</t>
        </is>
      </c>
      <c r="J841" s="56" t="n">
        <v>10</v>
      </c>
      <c r="K841" s="6" t="inlineStr">
        <is>
          <t>Chưa rõ giống (Cần quét Bio)</t>
        </is>
      </c>
      <c r="L841" s="56" t="n">
        <v>0</v>
      </c>
      <c r="M841" s="56" t="n">
        <v>0</v>
      </c>
      <c r="N841" s="6" t="inlineStr">
        <is>
          <t>Amazon link not found</t>
        </is>
      </c>
      <c r="O841" s="56">
        <f>IF(N841="Selling pet toys + Artificial grass/Pet toilets (TARGET)",15,IF(N841="Selling artificial grass/pet toilets (TARGET)",10,IF(N841="Selling pet toys",7,IF(N841="There's an Amazon link, but no target sales.",3,0))))</f>
        <v/>
      </c>
      <c r="P841" s="65">
        <f>H841+J841+L841+M841+O841</f>
        <v/>
      </c>
      <c r="Q841" s="69">
        <f>IF(OR(H841=0,P841&lt;30),"Tier D (Đóng băng)",IF(P841&gt;=85,"Tier S (Kim Cương: 85-100đ)",IF(P841&gt;=70,"Tier A (Vàng: 70-84đ)",IF(P841&gt;=61,"Tier B+ / Cấp A (Hot Lead: 61-69đ)",IF(P841&gt;=50,"Tier B (Bạc: 50-60đ)","Tier C (Đồng: 30-49đ)")))))</f>
        <v/>
      </c>
      <c r="R841" s="6" t="inlineStr">
        <is>
          <t>Khay vệ sinh chung cư (Indoor Potty) + Thảm cỏ ban công (Grass Patch) + Đồ chơi</t>
        </is>
      </c>
      <c r="S841" s="6" t="inlineStr">
        <is>
          <t>Cấp C Chi phí thấp: Nhắn tin trực tiếp qua Fanpage Facebook/Instagram + Nuôi dưỡng nội dung</t>
        </is>
      </c>
    </row>
    <row r="842">
      <c r="A842" s="59" t="n">
        <v>3328</v>
      </c>
      <c r="B842" s="15" t="inlineStr">
        <is>
          <t>Viral Pets</t>
        </is>
      </c>
      <c r="C842" s="60" t="inlineStr">
        <is>
          <t>https://www.facebook.com/Anibal.viralpets</t>
        </is>
      </c>
      <c r="D842" s="9" t="inlineStr">
        <is>
          <t>Cần quét Bio Fanpage</t>
        </is>
      </c>
      <c r="E842" s="59" t="inlineStr">
        <is>
          <t>13/10/2026 06:00:40</t>
        </is>
      </c>
      <c r="F842" s="59" t="inlineStr">
        <is>
          <t>53 phút trước</t>
        </is>
      </c>
      <c r="G842" s="61" t="n">
        <v>0.04</v>
      </c>
      <c r="H842" s="62" t="n">
        <v>35</v>
      </c>
      <c r="I842" s="9" t="inlineStr">
        <is>
          <t>Pet Owner / Cộng đồng nuôi cún (10đ)</t>
        </is>
      </c>
      <c r="J842" s="62" t="n">
        <v>10</v>
      </c>
      <c r="K842" s="9" t="inlineStr">
        <is>
          <t>Chưa rõ giống (Cần quét Bio)</t>
        </is>
      </c>
      <c r="L842" s="62" t="n">
        <v>0</v>
      </c>
      <c r="M842" s="62" t="n">
        <v>0</v>
      </c>
      <c r="N842" s="9" t="inlineStr">
        <is>
          <t>Amazon link not found</t>
        </is>
      </c>
      <c r="O842" s="62">
        <f>IF(N842="Selling pet toys + Artificial grass/Pet toilets (TARGET)",15,IF(N842="Selling artificial grass/pet toilets (TARGET)",10,IF(N842="Selling pet toys",7,IF(N842="There's an Amazon link, but no target sales.",3,0))))</f>
        <v/>
      </c>
      <c r="P842" s="67">
        <f>H842+J842+L842+M842+O842</f>
        <v/>
      </c>
      <c r="Q842" s="69">
        <f>IF(OR(H842=0,P842&lt;30),"Tier D (Đóng băng)",IF(P842&gt;=85,"Tier S (Kim Cương: 85-100đ)",IF(P842&gt;=70,"Tier A (Vàng: 70-84đ)",IF(P842&gt;=61,"Tier B+ / Cấp A (Hot Lead: 61-69đ)",IF(P842&gt;=50,"Tier B (Bạc: 50-60đ)","Tier C (Đồng: 30-49đ)")))))</f>
        <v/>
      </c>
      <c r="R842" s="9" t="inlineStr">
        <is>
          <t>Khay vệ sinh chung cư (Indoor Potty) + Thảm cỏ ban công (Grass Patch) + Đồ chơi</t>
        </is>
      </c>
      <c r="S842" s="9" t="inlineStr">
        <is>
          <t>Cấp C Chi phí thấp: Nhắn tin trực tiếp qua Fanpage Facebook/Instagram + Nuôi dưỡng nội dung</t>
        </is>
      </c>
    </row>
    <row r="843">
      <c r="A843" s="53" t="n">
        <v>3247</v>
      </c>
      <c r="B843" s="12" t="inlineStr">
        <is>
          <t>Trumpets of Truth</t>
        </is>
      </c>
      <c r="C843" s="54" t="inlineStr">
        <is>
          <t>https://www.facebook.com/thetrumpetsoftruth</t>
        </is>
      </c>
      <c r="D843" s="6" t="inlineStr">
        <is>
          <t>Cần quét Bio Fanpage</t>
        </is>
      </c>
      <c r="E843" s="53" t="inlineStr">
        <is>
          <t>13/10/2026 05:56:35</t>
        </is>
      </c>
      <c r="F843" s="53" t="inlineStr">
        <is>
          <t>49 phút trước</t>
        </is>
      </c>
      <c r="G843" s="55" t="n">
        <v>0.03</v>
      </c>
      <c r="H843" s="56" t="n">
        <v>35</v>
      </c>
      <c r="I843" s="6" t="inlineStr">
        <is>
          <t>Pet Owner / Cộng đồng nuôi cún (10đ)</t>
        </is>
      </c>
      <c r="J843" s="56" t="n">
        <v>10</v>
      </c>
      <c r="K843" s="6" t="inlineStr">
        <is>
          <t>Chưa rõ giống (Cần quét Bio)</t>
        </is>
      </c>
      <c r="L843" s="56" t="n">
        <v>0</v>
      </c>
      <c r="M843" s="56" t="n">
        <v>0</v>
      </c>
      <c r="N843" s="6" t="inlineStr">
        <is>
          <t>Amazon link not found</t>
        </is>
      </c>
      <c r="O843" s="56">
        <f>IF(N843="Selling pet toys + Artificial grass/Pet toilets (TARGET)",15,IF(N843="Selling artificial grass/pet toilets (TARGET)",10,IF(N843="Selling pet toys",7,IF(N843="There's an Amazon link, but no target sales.",3,0))))</f>
        <v/>
      </c>
      <c r="P843" s="65">
        <f>H843+J843+L843+M843+O843</f>
        <v/>
      </c>
      <c r="Q843" s="69">
        <f>IF(OR(H843=0,P843&lt;30),"Tier D (Đóng băng)",IF(P843&gt;=85,"Tier S (Kim Cương: 85-100đ)",IF(P843&gt;=70,"Tier A (Vàng: 70-84đ)",IF(P843&gt;=61,"Tier B+ / Cấp A (Hot Lead: 61-69đ)",IF(P843&gt;=50,"Tier B (Bạc: 50-60đ)","Tier C (Đồng: 30-49đ)")))))</f>
        <v/>
      </c>
      <c r="R843" s="6" t="inlineStr">
        <is>
          <t>Khay vệ sinh chung cư (Indoor Potty) + Thảm cỏ ban công (Grass Patch) + Đồ chơi</t>
        </is>
      </c>
      <c r="S843" s="6" t="inlineStr">
        <is>
          <t>Cấp C Chi phí thấp: Nhắn tin trực tiếp qua Fanpage Facebook/Instagram + Nuôi dưỡng nội dung</t>
        </is>
      </c>
    </row>
    <row r="844">
      <c r="A844" s="59" t="n">
        <v>4966</v>
      </c>
      <c r="B844" s="15" t="inlineStr">
        <is>
          <t>Peter Johnson</t>
        </is>
      </c>
      <c r="C844" s="60" t="inlineStr">
        <is>
          <t>https://www.facebook.com/peter.johnson.840389</t>
        </is>
      </c>
      <c r="D844" s="9" t="inlineStr">
        <is>
          <t>Cần quét Bio Fanpage</t>
        </is>
      </c>
      <c r="E844" s="59" t="inlineStr">
        <is>
          <t>13/10/2026 05:53:35</t>
        </is>
      </c>
      <c r="F844" s="59" t="inlineStr">
        <is>
          <t>3 giờ trước</t>
        </is>
      </c>
      <c r="G844" s="61" t="n">
        <v>0.12</v>
      </c>
      <c r="H844" s="62" t="n">
        <v>35</v>
      </c>
      <c r="I844" s="9" t="inlineStr">
        <is>
          <t>Pet Owner / Cộng đồng nuôi cún (10đ)</t>
        </is>
      </c>
      <c r="J844" s="62" t="n">
        <v>10</v>
      </c>
      <c r="K844" s="9" t="inlineStr">
        <is>
          <t>Chưa rõ giống (Cần quét Bio)</t>
        </is>
      </c>
      <c r="L844" s="62" t="n">
        <v>0</v>
      </c>
      <c r="M844" s="62" t="n">
        <v>0</v>
      </c>
      <c r="N844" s="9" t="inlineStr">
        <is>
          <t>Amazon link not found</t>
        </is>
      </c>
      <c r="O844" s="62">
        <f>IF(N844="Selling pet toys + Artificial grass/Pet toilets (TARGET)",15,IF(N844="Selling artificial grass/pet toilets (TARGET)",10,IF(N844="Selling pet toys",7,IF(N844="There's an Amazon link, but no target sales.",3,0))))</f>
        <v/>
      </c>
      <c r="P844" s="67">
        <f>H844+J844+L844+M844+O844</f>
        <v/>
      </c>
      <c r="Q844" s="69">
        <f>IF(OR(H844=0,P844&lt;30),"Tier D (Đóng băng)",IF(P844&gt;=85,"Tier S (Kim Cương: 85-100đ)",IF(P844&gt;=70,"Tier A (Vàng: 70-84đ)",IF(P844&gt;=61,"Tier B+ / Cấp A (Hot Lead: 61-69đ)",IF(P844&gt;=50,"Tier B (Bạc: 50-60đ)","Tier C (Đồng: 30-49đ)")))))</f>
        <v/>
      </c>
      <c r="R844" s="9" t="inlineStr">
        <is>
          <t>Khay vệ sinh chung cư (Indoor Potty) + Thảm cỏ ban công (Grass Patch) + Đồ chơi</t>
        </is>
      </c>
      <c r="S844" s="9" t="inlineStr">
        <is>
          <t>Cấp C Chi phí thấp: Nhắn tin trực tiếp qua Fanpage Facebook/Instagram + Nuôi dưỡng nội dung</t>
        </is>
      </c>
    </row>
    <row r="845">
      <c r="A845" s="53" t="n">
        <v>3099</v>
      </c>
      <c r="B845" s="12" t="inlineStr">
        <is>
          <t>The Dog</t>
        </is>
      </c>
      <c r="C845" s="54" t="inlineStr">
        <is>
          <t>https://www.facebook.com/profile.php?id=61584093722822</t>
        </is>
      </c>
      <c r="D845" s="6" t="inlineStr">
        <is>
          <t>Cần quét Bio Fanpage</t>
        </is>
      </c>
      <c r="E845" s="53" t="inlineStr">
        <is>
          <t>13/10/2026 05:49:48</t>
        </is>
      </c>
      <c r="F845" s="53" t="inlineStr">
        <is>
          <t>39 phút trước</t>
        </is>
      </c>
      <c r="G845" s="55" t="n">
        <v>0.03</v>
      </c>
      <c r="H845" s="56" t="n">
        <v>35</v>
      </c>
      <c r="I845" s="6" t="inlineStr">
        <is>
          <t>Pet Owner / Kênh cá nhân thú cưng (10đ)</t>
        </is>
      </c>
      <c r="J845" s="56" t="n">
        <v>10</v>
      </c>
      <c r="K845" s="6" t="inlineStr">
        <is>
          <t>Chưa rõ giống (Cần quét Bio)</t>
        </is>
      </c>
      <c r="L845" s="56" t="n">
        <v>0</v>
      </c>
      <c r="M845" s="56" t="n">
        <v>0</v>
      </c>
      <c r="N845" s="6" t="inlineStr">
        <is>
          <t>Amazon link not found</t>
        </is>
      </c>
      <c r="O845" s="56">
        <f>IF(N845="Selling pet toys + Artificial grass/Pet toilets (TARGET)",15,IF(N845="Selling artificial grass/pet toilets (TARGET)",10,IF(N845="Selling pet toys",7,IF(N845="There's an Amazon link, but no target sales.",3,0))))</f>
        <v/>
      </c>
      <c r="P845" s="65">
        <f>H845+J845+L845+M845+O845</f>
        <v/>
      </c>
      <c r="Q845" s="69">
        <f>IF(OR(H845=0,P845&lt;30),"Tier D (Đóng băng)",IF(P845&gt;=85,"Tier S (Kim Cương: 85-100đ)",IF(P845&gt;=70,"Tier A (Vàng: 70-84đ)",IF(P845&gt;=61,"Tier B+ / Cấp A (Hot Lead: 61-69đ)",IF(P845&gt;=50,"Tier B (Bạc: 50-60đ)","Tier C (Đồng: 30-49đ)")))))</f>
        <v/>
      </c>
      <c r="R845" s="6" t="inlineStr">
        <is>
          <t>Khay vệ sinh trong nhà (Indoor Dog Potty) + Đồ chơi thú cưng lẻ</t>
        </is>
      </c>
      <c r="S845" s="6" t="inlineStr">
        <is>
          <t>Cấp C Chi phí thấp: Nhắn tin trực tiếp qua Fanpage Facebook/Instagram + Nuôi dưỡng nội dung</t>
        </is>
      </c>
    </row>
    <row r="846">
      <c r="A846" s="59" t="n">
        <v>3697</v>
      </c>
      <c r="B846" s="15" t="inlineStr">
        <is>
          <t>Dr.PeteSulack</t>
        </is>
      </c>
      <c r="C846" s="60" t="inlineStr">
        <is>
          <t>https://www.facebook.com/Dr.PeteSulack</t>
        </is>
      </c>
      <c r="D846" s="9" t="inlineStr">
        <is>
          <t>Cần quét Bio Fanpage</t>
        </is>
      </c>
      <c r="E846" s="59" t="inlineStr">
        <is>
          <t>13/10/2026 05:21:09</t>
        </is>
      </c>
      <c r="F846" s="59" t="inlineStr">
        <is>
          <t>2 giờ trước</t>
        </is>
      </c>
      <c r="G846" s="61" t="n">
        <v>0.08</v>
      </c>
      <c r="H846" s="62" t="n">
        <v>35</v>
      </c>
      <c r="I846" s="9" t="inlineStr">
        <is>
          <t>Pet Owner / Cộng đồng nuôi cún (10đ)</t>
        </is>
      </c>
      <c r="J846" s="62" t="n">
        <v>10</v>
      </c>
      <c r="K846" s="9" t="inlineStr">
        <is>
          <t>Chưa rõ giống (Cần quét Bio)</t>
        </is>
      </c>
      <c r="L846" s="62" t="n">
        <v>0</v>
      </c>
      <c r="M846" s="62" t="n">
        <v>0</v>
      </c>
      <c r="N846" s="9" t="inlineStr">
        <is>
          <t>Amazon link not found</t>
        </is>
      </c>
      <c r="O846" s="62">
        <f>IF(N846="Selling pet toys + Artificial grass/Pet toilets (TARGET)",15,IF(N846="Selling artificial grass/pet toilets (TARGET)",10,IF(N846="Selling pet toys",7,IF(N846="There's an Amazon link, but no target sales.",3,0))))</f>
        <v/>
      </c>
      <c r="P846" s="67">
        <f>H846+J846+L846+M846+O846</f>
        <v/>
      </c>
      <c r="Q846" s="69">
        <f>IF(OR(H846=0,P846&lt;30),"Tier D (Đóng băng)",IF(P846&gt;=85,"Tier S (Kim Cương: 85-100đ)",IF(P846&gt;=70,"Tier A (Vàng: 70-84đ)",IF(P846&gt;=61,"Tier B+ / Cấp A (Hot Lead: 61-69đ)",IF(P846&gt;=50,"Tier B (Bạc: 50-60đ)","Tier C (Đồng: 30-49đ)")))))</f>
        <v/>
      </c>
      <c r="R846" s="9" t="inlineStr">
        <is>
          <t>Khay vệ sinh chung cư (Indoor Potty) + Thảm cỏ ban công (Grass Patch) + Đồ chơi</t>
        </is>
      </c>
      <c r="S846" s="9" t="inlineStr">
        <is>
          <t>Cấp C Chi phí thấp: Nhắn tin trực tiếp qua Fanpage Facebook/Instagram + Nuôi dưỡng nội dung</t>
        </is>
      </c>
    </row>
    <row r="847">
      <c r="A847" s="53" t="n">
        <v>3595</v>
      </c>
      <c r="B847" s="12" t="inlineStr">
        <is>
          <t>Doggieteaches</t>
        </is>
      </c>
      <c r="C847" s="54" t="inlineStr">
        <is>
          <t>https://www.facebook.com/profile.php?id=61579753079909</t>
        </is>
      </c>
      <c r="D847" s="6" t="inlineStr">
        <is>
          <t>Cần quét Bio Fanpage</t>
        </is>
      </c>
      <c r="E847" s="53" t="inlineStr">
        <is>
          <t>13/10/2026 05:11:55</t>
        </is>
      </c>
      <c r="F847" s="53" t="inlineStr">
        <is>
          <t>2 giờ trước</t>
        </is>
      </c>
      <c r="G847" s="55" t="n">
        <v>0.08</v>
      </c>
      <c r="H847" s="56" t="n">
        <v>35</v>
      </c>
      <c r="I847" s="6" t="inlineStr">
        <is>
          <t>Pet Owner / Cộng đồng nuôi cún (10đ)</t>
        </is>
      </c>
      <c r="J847" s="56" t="n">
        <v>10</v>
      </c>
      <c r="K847" s="6" t="inlineStr">
        <is>
          <t>Chưa rõ giống (Cần quét Bio)</t>
        </is>
      </c>
      <c r="L847" s="56" t="n">
        <v>0</v>
      </c>
      <c r="M847" s="56" t="n">
        <v>0</v>
      </c>
      <c r="N847" s="6" t="inlineStr">
        <is>
          <t>Amazon link not found</t>
        </is>
      </c>
      <c r="O847" s="56">
        <f>IF(N847="Selling pet toys + Artificial grass/Pet toilets (TARGET)",15,IF(N847="Selling artificial grass/pet toilets (TARGET)",10,IF(N847="Selling pet toys",7,IF(N847="There's an Amazon link, but no target sales.",3,0))))</f>
        <v/>
      </c>
      <c r="P847" s="65">
        <f>H847+J847+L847+M847+O847</f>
        <v/>
      </c>
      <c r="Q847" s="69">
        <f>IF(OR(H847=0,P847&lt;30),"Tier D (Đóng băng)",IF(P847&gt;=85,"Tier S (Kim Cương: 85-100đ)",IF(P847&gt;=70,"Tier A (Vàng: 70-84đ)",IF(P847&gt;=61,"Tier B+ / Cấp A (Hot Lead: 61-69đ)",IF(P847&gt;=50,"Tier B (Bạc: 50-60đ)","Tier C (Đồng: 30-49đ)")))))</f>
        <v/>
      </c>
      <c r="R847" s="6" t="inlineStr">
        <is>
          <t>Khay vệ sinh chung cư (Indoor Potty) + Thảm cỏ ban công (Grass Patch) + Đồ chơi</t>
        </is>
      </c>
      <c r="S847" s="6" t="inlineStr">
        <is>
          <t>Cấp C Chi phí thấp: Nhắn tin trực tiếp qua Fanpage Facebook/Instagram + Nuôi dưỡng nội dung</t>
        </is>
      </c>
    </row>
    <row r="848">
      <c r="A848" s="59" t="n">
        <v>3355</v>
      </c>
      <c r="B848" s="15" t="inlineStr">
        <is>
          <t>Vzw LOSTDogzzz BE/NL</t>
        </is>
      </c>
      <c r="C848" s="60" t="inlineStr">
        <is>
          <t>https://www.facebook.com/Lostdogzzz</t>
        </is>
      </c>
      <c r="D848" s="9" t="inlineStr">
        <is>
          <t>Cần quét Bio Fanpage</t>
        </is>
      </c>
      <c r="E848" s="59" t="inlineStr">
        <is>
          <t>13/10/2026 05:10:40</t>
        </is>
      </c>
      <c r="F848" s="59" t="inlineStr">
        <is>
          <t>1 giờ trước</t>
        </is>
      </c>
      <c r="G848" s="61" t="n">
        <v>0.04</v>
      </c>
      <c r="H848" s="62" t="n">
        <v>35</v>
      </c>
      <c r="I848" s="9" t="inlineStr">
        <is>
          <t>Pet Owner / Cộng đồng nuôi cún (10đ)</t>
        </is>
      </c>
      <c r="J848" s="62" t="n">
        <v>10</v>
      </c>
      <c r="K848" s="9" t="inlineStr">
        <is>
          <t>Chưa rõ giống (Cần quét Bio)</t>
        </is>
      </c>
      <c r="L848" s="62" t="n">
        <v>0</v>
      </c>
      <c r="M848" s="62" t="n">
        <v>0</v>
      </c>
      <c r="N848" s="9" t="inlineStr">
        <is>
          <t>Amazon link not found</t>
        </is>
      </c>
      <c r="O848" s="62">
        <f>IF(N848="Selling pet toys + Artificial grass/Pet toilets (TARGET)",15,IF(N848="Selling artificial grass/pet toilets (TARGET)",10,IF(N848="Selling pet toys",7,IF(N848="There's an Amazon link, but no target sales.",3,0))))</f>
        <v/>
      </c>
      <c r="P848" s="67">
        <f>H848+J848+L848+M848+O848</f>
        <v/>
      </c>
      <c r="Q848" s="69">
        <f>IF(OR(H848=0,P848&lt;30),"Tier D (Đóng băng)",IF(P848&gt;=85,"Tier S (Kim Cương: 85-100đ)",IF(P848&gt;=70,"Tier A (Vàng: 70-84đ)",IF(P848&gt;=61,"Tier B+ / Cấp A (Hot Lead: 61-69đ)",IF(P848&gt;=50,"Tier B (Bạc: 50-60đ)","Tier C (Đồng: 30-49đ)")))))</f>
        <v/>
      </c>
      <c r="R848" s="9" t="inlineStr">
        <is>
          <t>Khay vệ sinh chung cư (Indoor Potty) + Thảm cỏ ban công (Grass Patch) + Đồ chơi</t>
        </is>
      </c>
      <c r="S848" s="9" t="inlineStr">
        <is>
          <t>Cấp C Chi phí thấp: Nhắn tin trực tiếp qua Fanpage Facebook/Instagram + Nuôi dưỡng nội dung</t>
        </is>
      </c>
    </row>
    <row r="849">
      <c r="A849" s="53" t="n">
        <v>2542</v>
      </c>
      <c r="B849" s="12" t="inlineStr">
        <is>
          <t>PetsClub World</t>
        </is>
      </c>
      <c r="C849" s="54" t="inlineStr">
        <is>
          <t>https://www.facebook.com/profile.php?id=100070592586635</t>
        </is>
      </c>
      <c r="D849" s="6" t="inlineStr">
        <is>
          <t>Cần quét Bio Fanpage</t>
        </is>
      </c>
      <c r="E849" s="53" t="inlineStr">
        <is>
          <t>13/10/2026 05:04:49</t>
        </is>
      </c>
      <c r="F849" s="53" t="inlineStr">
        <is>
          <t>24 phút trước</t>
        </is>
      </c>
      <c r="G849" s="55" t="n">
        <v>0.02</v>
      </c>
      <c r="H849" s="56" t="n">
        <v>35</v>
      </c>
      <c r="I849" s="6" t="inlineStr">
        <is>
          <t>Pet Owner / Cộng đồng nuôi cún (10đ)</t>
        </is>
      </c>
      <c r="J849" s="56" t="n">
        <v>10</v>
      </c>
      <c r="K849" s="6" t="inlineStr">
        <is>
          <t>Chưa rõ giống (Cần quét Bio)</t>
        </is>
      </c>
      <c r="L849" s="56" t="n">
        <v>0</v>
      </c>
      <c r="M849" s="56" t="n">
        <v>0</v>
      </c>
      <c r="N849" s="6" t="inlineStr">
        <is>
          <t>Amazon link not found</t>
        </is>
      </c>
      <c r="O849" s="56">
        <f>IF(N849="Selling pet toys + Artificial grass/Pet toilets (TARGET)",15,IF(N849="Selling artificial grass/pet toilets (TARGET)",10,IF(N849="Selling pet toys",7,IF(N849="There's an Amazon link, but no target sales.",3,0))))</f>
        <v/>
      </c>
      <c r="P849" s="65">
        <f>H849+J849+L849+M849+O849</f>
        <v/>
      </c>
      <c r="Q849" s="69">
        <f>IF(OR(H849=0,P849&lt;30),"Tier D (Đóng băng)",IF(P849&gt;=85,"Tier S (Kim Cương: 85-100đ)",IF(P849&gt;=70,"Tier A (Vàng: 70-84đ)",IF(P849&gt;=61,"Tier B+ / Cấp A (Hot Lead: 61-69đ)",IF(P849&gt;=50,"Tier B (Bạc: 50-60đ)","Tier C (Đồng: 30-49đ)")))))</f>
        <v/>
      </c>
      <c r="R849" s="6" t="inlineStr">
        <is>
          <t>Khay vệ sinh chung cư (Indoor Potty) + Thảm cỏ ban công (Grass Patch) + Đồ chơi</t>
        </is>
      </c>
      <c r="S849" s="6" t="inlineStr">
        <is>
          <t>Cấp C Chi phí thấp: Nhắn tin trực tiếp qua Fanpage Facebook/Instagram + Nuôi dưỡng nội dung</t>
        </is>
      </c>
    </row>
    <row r="850">
      <c r="A850" s="59" t="n">
        <v>2541</v>
      </c>
      <c r="B850" s="15" t="inlineStr">
        <is>
          <t>PetSafe Brand</t>
        </is>
      </c>
      <c r="C850" s="60" t="inlineStr">
        <is>
          <t>https://www.facebook.com/PetSafeBrand</t>
        </is>
      </c>
      <c r="D850" s="9" t="inlineStr">
        <is>
          <t>Cần quét Bio Fanpage</t>
        </is>
      </c>
      <c r="E850" s="59" t="inlineStr">
        <is>
          <t>13/10/2026 05:02:51</t>
        </is>
      </c>
      <c r="F850" s="59" t="inlineStr">
        <is>
          <t>26 phút trước</t>
        </is>
      </c>
      <c r="G850" s="61" t="n">
        <v>0.02</v>
      </c>
      <c r="H850" s="62" t="n">
        <v>35</v>
      </c>
      <c r="I850" s="9" t="inlineStr">
        <is>
          <t>Pet Owner / Cộng đồng nuôi cún (10đ)</t>
        </is>
      </c>
      <c r="J850" s="62" t="n">
        <v>10</v>
      </c>
      <c r="K850" s="9" t="inlineStr">
        <is>
          <t>Chưa rõ giống (Cần quét Bio)</t>
        </is>
      </c>
      <c r="L850" s="62" t="n">
        <v>0</v>
      </c>
      <c r="M850" s="62" t="n">
        <v>0</v>
      </c>
      <c r="N850" s="9" t="inlineStr">
        <is>
          <t>Amazon link not found</t>
        </is>
      </c>
      <c r="O850" s="62">
        <f>IF(N850="Selling pet toys + Artificial grass/Pet toilets (TARGET)",15,IF(N850="Selling artificial grass/pet toilets (TARGET)",10,IF(N850="Selling pet toys",7,IF(N850="There's an Amazon link, but no target sales.",3,0))))</f>
        <v/>
      </c>
      <c r="P850" s="67">
        <f>H850+J850+L850+M850+O850</f>
        <v/>
      </c>
      <c r="Q850" s="69">
        <f>IF(OR(H850=0,P850&lt;30),"Tier D (Đóng băng)",IF(P850&gt;=85,"Tier S (Kim Cương: 85-100đ)",IF(P850&gt;=70,"Tier A (Vàng: 70-84đ)",IF(P850&gt;=61,"Tier B+ / Cấp A (Hot Lead: 61-69đ)",IF(P850&gt;=50,"Tier B (Bạc: 50-60đ)","Tier C (Đồng: 30-49đ)")))))</f>
        <v/>
      </c>
      <c r="R850" s="9" t="inlineStr">
        <is>
          <t>Khay vệ sinh chung cư (Indoor Potty) + Thảm cỏ ban công (Grass Patch) + Đồ chơi</t>
        </is>
      </c>
      <c r="S850" s="9" t="inlineStr">
        <is>
          <t>Cấp C Chi phí thấp: Nhắn tin trực tiếp qua Fanpage Facebook/Instagram + Nuôi dưỡng nội dung</t>
        </is>
      </c>
    </row>
    <row r="851">
      <c r="A851" s="53" t="n">
        <v>3142</v>
      </c>
      <c r="B851" s="12" t="inlineStr">
        <is>
          <t>The Natural Dog</t>
        </is>
      </c>
      <c r="C851" s="54" t="inlineStr">
        <is>
          <t>https://www.facebook.com/TheNaturalDog</t>
        </is>
      </c>
      <c r="D851" s="6" t="inlineStr">
        <is>
          <t>Cần quét Bio Fanpage</t>
        </is>
      </c>
      <c r="E851" s="53" t="inlineStr">
        <is>
          <t>13/10/2026 04:56:20</t>
        </is>
      </c>
      <c r="F851" s="53" t="inlineStr">
        <is>
          <t>1 giờ trước</t>
        </is>
      </c>
      <c r="G851" s="55" t="n">
        <v>0.04</v>
      </c>
      <c r="H851" s="56" t="n">
        <v>35</v>
      </c>
      <c r="I851" s="6" t="inlineStr">
        <is>
          <t>Pet Owner / Cộng đồng nuôi cún (10đ)</t>
        </is>
      </c>
      <c r="J851" s="56" t="n">
        <v>10</v>
      </c>
      <c r="K851" s="6" t="inlineStr">
        <is>
          <t>Chưa rõ giống (Cần quét Bio)</t>
        </is>
      </c>
      <c r="L851" s="56" t="n">
        <v>0</v>
      </c>
      <c r="M851" s="56" t="n">
        <v>0</v>
      </c>
      <c r="N851" s="6" t="inlineStr">
        <is>
          <t>Amazon link not found</t>
        </is>
      </c>
      <c r="O851" s="56">
        <f>IF(N851="Selling pet toys + Artificial grass/Pet toilets (TARGET)",15,IF(N851="Selling artificial grass/pet toilets (TARGET)",10,IF(N851="Selling pet toys",7,IF(N851="There's an Amazon link, but no target sales.",3,0))))</f>
        <v/>
      </c>
      <c r="P851" s="65">
        <f>H851+J851+L851+M851+O851</f>
        <v/>
      </c>
      <c r="Q851" s="69">
        <f>IF(OR(H851=0,P851&lt;30),"Tier D (Đóng băng)",IF(P851&gt;=85,"Tier S (Kim Cương: 85-100đ)",IF(P851&gt;=70,"Tier A (Vàng: 70-84đ)",IF(P851&gt;=61,"Tier B+ / Cấp A (Hot Lead: 61-69đ)",IF(P851&gt;=50,"Tier B (Bạc: 50-60đ)","Tier C (Đồng: 30-49đ)")))))</f>
        <v/>
      </c>
      <c r="R851" s="6" t="inlineStr">
        <is>
          <t>Khay vệ sinh chung cư (Indoor Potty) + Thảm cỏ ban công (Grass Patch) + Đồ chơi</t>
        </is>
      </c>
      <c r="S851" s="6" t="inlineStr">
        <is>
          <t>Cấp C Chi phí thấp: Nhắn tin trực tiếp qua Fanpage Facebook/Instagram + Nuôi dưỡng nội dung</t>
        </is>
      </c>
    </row>
    <row r="852">
      <c r="A852" s="59" t="n">
        <v>2099</v>
      </c>
      <c r="B852" s="15" t="inlineStr">
        <is>
          <t>PugHeadTilt</t>
        </is>
      </c>
      <c r="C852" s="60" t="inlineStr">
        <is>
          <t>https://www.facebook.com/PugHeadTilt</t>
        </is>
      </c>
      <c r="D852" s="9" t="inlineStr">
        <is>
          <t>Cần quét Bio Fanpage</t>
        </is>
      </c>
      <c r="E852" s="59" t="inlineStr">
        <is>
          <t>13/10/2026 04:39:11</t>
        </is>
      </c>
      <c r="F852" s="59" t="inlineStr">
        <is>
          <t>2 phút trước</t>
        </is>
      </c>
      <c r="G852" s="61" t="n">
        <v>0</v>
      </c>
      <c r="H852" s="62" t="n">
        <v>35</v>
      </c>
      <c r="I852" s="9" t="inlineStr">
        <is>
          <t>Pet Owner / Cộng đồng nuôi cún (10đ)</t>
        </is>
      </c>
      <c r="J852" s="62" t="n">
        <v>10</v>
      </c>
      <c r="K852" s="9" t="inlineStr">
        <is>
          <t>Chưa rõ giống (Cần quét Bio)</t>
        </is>
      </c>
      <c r="L852" s="62" t="n">
        <v>0</v>
      </c>
      <c r="M852" s="62" t="n">
        <v>0</v>
      </c>
      <c r="N852" s="9" t="inlineStr">
        <is>
          <t>Amazon link not found</t>
        </is>
      </c>
      <c r="O852" s="62">
        <f>IF(N852="Selling pet toys + Artificial grass/Pet toilets (TARGET)",15,IF(N852="Selling artificial grass/pet toilets (TARGET)",10,IF(N852="Selling pet toys",7,IF(N852="There's an Amazon link, but no target sales.",3,0))))</f>
        <v/>
      </c>
      <c r="P852" s="67">
        <f>H852+J852+L852+M852+O852</f>
        <v/>
      </c>
      <c r="Q852" s="69">
        <f>IF(OR(H852=0,P852&lt;30),"Tier D (Đóng băng)",IF(P852&gt;=85,"Tier S (Kim Cương: 85-100đ)",IF(P852&gt;=70,"Tier A (Vàng: 70-84đ)",IF(P852&gt;=61,"Tier B+ / Cấp A (Hot Lead: 61-69đ)",IF(P852&gt;=50,"Tier B (Bạc: 50-60đ)","Tier C (Đồng: 30-49đ)")))))</f>
        <v/>
      </c>
      <c r="R852" s="9" t="inlineStr">
        <is>
          <t>Khay vệ sinh chung cư (Indoor Potty) + Thảm cỏ ban công (Grass Patch) + Đồ chơi</t>
        </is>
      </c>
      <c r="S852" s="9" t="inlineStr">
        <is>
          <t>Cấp C Chi phí thấp: Nhắn tin trực tiếp qua Fanpage Facebook/Instagram + Nuôi dưỡng nội dung</t>
        </is>
      </c>
    </row>
    <row r="853">
      <c r="A853" s="53" t="n">
        <v>3793</v>
      </c>
      <c r="B853" s="12" t="inlineStr">
        <is>
          <t>Family Dogs</t>
        </is>
      </c>
      <c r="C853" s="54" t="inlineStr">
        <is>
          <t>https://www.facebook.com/profile.php?id=61576564600067</t>
        </is>
      </c>
      <c r="D853" s="6" t="inlineStr">
        <is>
          <t>Cần quét Bio Fanpage</t>
        </is>
      </c>
      <c r="E853" s="53" t="inlineStr">
        <is>
          <t>13/10/2026 04:37:58</t>
        </is>
      </c>
      <c r="F853" s="53" t="inlineStr">
        <is>
          <t>3 giờ trước</t>
        </is>
      </c>
      <c r="G853" s="55" t="n">
        <v>0.12</v>
      </c>
      <c r="H853" s="56" t="n">
        <v>35</v>
      </c>
      <c r="I853" s="6" t="inlineStr">
        <is>
          <t>Pet Owner / Cộng đồng nuôi cún (10đ)</t>
        </is>
      </c>
      <c r="J853" s="56" t="n">
        <v>10</v>
      </c>
      <c r="K853" s="6" t="inlineStr">
        <is>
          <t>Chưa rõ giống (Cần quét Bio)</t>
        </is>
      </c>
      <c r="L853" s="56" t="n">
        <v>0</v>
      </c>
      <c r="M853" s="56" t="n">
        <v>0</v>
      </c>
      <c r="N853" s="6" t="inlineStr">
        <is>
          <t>Amazon link not found</t>
        </is>
      </c>
      <c r="O853" s="56">
        <f>IF(N853="Selling pet toys + Artificial grass/Pet toilets (TARGET)",15,IF(N853="Selling artificial grass/pet toilets (TARGET)",10,IF(N853="Selling pet toys",7,IF(N853="There's an Amazon link, but no target sales.",3,0))))</f>
        <v/>
      </c>
      <c r="P853" s="65">
        <f>H853+J853+L853+M853+O853</f>
        <v/>
      </c>
      <c r="Q853" s="69">
        <f>IF(OR(H853=0,P853&lt;30),"Tier D (Đóng băng)",IF(P853&gt;=85,"Tier S (Kim Cương: 85-100đ)",IF(P853&gt;=70,"Tier A (Vàng: 70-84đ)",IF(P853&gt;=61,"Tier B+ / Cấp A (Hot Lead: 61-69đ)",IF(P853&gt;=50,"Tier B (Bạc: 50-60đ)","Tier C (Đồng: 30-49đ)")))))</f>
        <v/>
      </c>
      <c r="R853" s="6" t="inlineStr">
        <is>
          <t>Khay vệ sinh chung cư (Indoor Potty) + Thảm cỏ ban công (Grass Patch) + Đồ chơi</t>
        </is>
      </c>
      <c r="S853" s="6" t="inlineStr">
        <is>
          <t>Cấp C Chi phí thấp: Nhắn tin trực tiếp qua Fanpage Facebook/Instagram + Nuôi dưỡng nội dung</t>
        </is>
      </c>
    </row>
    <row r="854">
      <c r="A854" s="59" t="n">
        <v>2705</v>
      </c>
      <c r="B854" s="15" t="inlineStr">
        <is>
          <t>Rebel Dogs Detroit</t>
        </is>
      </c>
      <c r="C854" s="60" t="inlineStr">
        <is>
          <t>https://www.facebook.com/rebeldogsdetroit</t>
        </is>
      </c>
      <c r="D854" s="9" t="inlineStr">
        <is>
          <t>Cần quét Bio Fanpage</t>
        </is>
      </c>
      <c r="E854" s="59" t="inlineStr">
        <is>
          <t>13/10/2026 04:34:02</t>
        </is>
      </c>
      <c r="F854" s="59" t="inlineStr">
        <is>
          <t>1 giờ trước</t>
        </is>
      </c>
      <c r="G854" s="61" t="n">
        <v>0.04</v>
      </c>
      <c r="H854" s="62" t="n">
        <v>35</v>
      </c>
      <c r="I854" s="9" t="inlineStr">
        <is>
          <t>Pet Owner / Cộng đồng nuôi cún (10đ)</t>
        </is>
      </c>
      <c r="J854" s="62" t="n">
        <v>10</v>
      </c>
      <c r="K854" s="9" t="inlineStr">
        <is>
          <t>Chưa rõ giống (Cần quét Bio)</t>
        </is>
      </c>
      <c r="L854" s="62" t="n">
        <v>0</v>
      </c>
      <c r="M854" s="62" t="n">
        <v>0</v>
      </c>
      <c r="N854" s="9" t="inlineStr">
        <is>
          <t>Amazon link not found</t>
        </is>
      </c>
      <c r="O854" s="62">
        <f>IF(N854="Selling pet toys + Artificial grass/Pet toilets (TARGET)",15,IF(N854="Selling artificial grass/pet toilets (TARGET)",10,IF(N854="Selling pet toys",7,IF(N854="There's an Amazon link, but no target sales.",3,0))))</f>
        <v/>
      </c>
      <c r="P854" s="67">
        <f>H854+J854+L854+M854+O854</f>
        <v/>
      </c>
      <c r="Q854" s="69">
        <f>IF(OR(H854=0,P854&lt;30),"Tier D (Đóng băng)",IF(P854&gt;=85,"Tier S (Kim Cương: 85-100đ)",IF(P854&gt;=70,"Tier A (Vàng: 70-84đ)",IF(P854&gt;=61,"Tier B+ / Cấp A (Hot Lead: 61-69đ)",IF(P854&gt;=50,"Tier B (Bạc: 50-60đ)","Tier C (Đồng: 30-49đ)")))))</f>
        <v/>
      </c>
      <c r="R854" s="9" t="inlineStr">
        <is>
          <t>Khay vệ sinh chung cư (Indoor Potty) + Thảm cỏ ban công (Grass Patch) + Đồ chơi</t>
        </is>
      </c>
      <c r="S854" s="9" t="inlineStr">
        <is>
          <t>Cấp C Chi phí thấp: Nhắn tin trực tiếp qua Fanpage Facebook/Instagram + Nuôi dưỡng nội dung</t>
        </is>
      </c>
    </row>
    <row r="855">
      <c r="A855" s="53" t="n">
        <v>2474</v>
      </c>
      <c r="B855" s="12" t="inlineStr">
        <is>
          <t>Petals Bakehouse</t>
        </is>
      </c>
      <c r="C855" s="54" t="inlineStr">
        <is>
          <t>https://www.facebook.com/Petalsbakehouse</t>
        </is>
      </c>
      <c r="D855" s="6" t="inlineStr">
        <is>
          <t>Cần quét Bio Fanpage</t>
        </is>
      </c>
      <c r="E855" s="53" t="inlineStr">
        <is>
          <t>13/10/2026 04:27:32</t>
        </is>
      </c>
      <c r="F855" s="53" t="inlineStr">
        <is>
          <t>54 phút trước</t>
        </is>
      </c>
      <c r="G855" s="55" t="n">
        <v>0.04</v>
      </c>
      <c r="H855" s="56" t="n">
        <v>35</v>
      </c>
      <c r="I855" s="6" t="inlineStr">
        <is>
          <t>Pet Owner / Cộng đồng nuôi cún (10đ)</t>
        </is>
      </c>
      <c r="J855" s="56" t="n">
        <v>10</v>
      </c>
      <c r="K855" s="6" t="inlineStr">
        <is>
          <t>Chưa rõ giống (Cần quét Bio)</t>
        </is>
      </c>
      <c r="L855" s="56" t="n">
        <v>0</v>
      </c>
      <c r="M855" s="56" t="n">
        <v>0</v>
      </c>
      <c r="N855" s="6" t="inlineStr">
        <is>
          <t>Amazon link not found</t>
        </is>
      </c>
      <c r="O855" s="56">
        <f>IF(N855="Selling pet toys + Artificial grass/Pet toilets (TARGET)",15,IF(N855="Selling artificial grass/pet toilets (TARGET)",10,IF(N855="Selling pet toys",7,IF(N855="There's an Amazon link, but no target sales.",3,0))))</f>
        <v/>
      </c>
      <c r="P855" s="65">
        <f>H855+J855+L855+M855+O855</f>
        <v/>
      </c>
      <c r="Q855" s="69">
        <f>IF(OR(H855=0,P855&lt;30),"Tier D (Đóng băng)",IF(P855&gt;=85,"Tier S (Kim Cương: 85-100đ)",IF(P855&gt;=70,"Tier A (Vàng: 70-84đ)",IF(P855&gt;=61,"Tier B+ / Cấp A (Hot Lead: 61-69đ)",IF(P855&gt;=50,"Tier B (Bạc: 50-60đ)","Tier C (Đồng: 30-49đ)")))))</f>
        <v/>
      </c>
      <c r="R855" s="6" t="inlineStr">
        <is>
          <t>Khay vệ sinh chung cư (Indoor Potty) + Thảm cỏ ban công (Grass Patch) + Đồ chơi</t>
        </is>
      </c>
      <c r="S855" s="6" t="inlineStr">
        <is>
          <t>Cấp C Chi phí thấp: Nhắn tin trực tiếp qua Fanpage Facebook/Instagram + Nuôi dưỡng nội dung</t>
        </is>
      </c>
    </row>
    <row r="856">
      <c r="A856" s="59" t="n">
        <v>3477</v>
      </c>
      <c r="B856" s="15" t="inlineStr">
        <is>
          <t>Zack Peter</t>
        </is>
      </c>
      <c r="C856" s="60" t="inlineStr">
        <is>
          <t>https://www.facebook.com/zachary.peter.92</t>
        </is>
      </c>
      <c r="D856" s="9" t="inlineStr">
        <is>
          <t>Cần quét Bio Fanpage</t>
        </is>
      </c>
      <c r="E856" s="59" t="inlineStr">
        <is>
          <t>13/10/2026 04:25:16</t>
        </is>
      </c>
      <c r="F856" s="59" t="inlineStr">
        <is>
          <t>2 giờ trước</t>
        </is>
      </c>
      <c r="G856" s="61" t="n">
        <v>0.08</v>
      </c>
      <c r="H856" s="62" t="n">
        <v>35</v>
      </c>
      <c r="I856" s="9" t="inlineStr">
        <is>
          <t>Pet Owner / Cộng đồng nuôi cún (10đ)</t>
        </is>
      </c>
      <c r="J856" s="62" t="n">
        <v>10</v>
      </c>
      <c r="K856" s="9" t="inlineStr">
        <is>
          <t>Chưa rõ giống (Cần quét Bio)</t>
        </is>
      </c>
      <c r="L856" s="62" t="n">
        <v>0</v>
      </c>
      <c r="M856" s="62" t="n">
        <v>0</v>
      </c>
      <c r="N856" s="9" t="inlineStr">
        <is>
          <t>Amazon link not found</t>
        </is>
      </c>
      <c r="O856" s="62">
        <f>IF(N856="Selling pet toys + Artificial grass/Pet toilets (TARGET)",15,IF(N856="Selling artificial grass/pet toilets (TARGET)",10,IF(N856="Selling pet toys",7,IF(N856="There's an Amazon link, but no target sales.",3,0))))</f>
        <v/>
      </c>
      <c r="P856" s="67">
        <f>H856+J856+L856+M856+O856</f>
        <v/>
      </c>
      <c r="Q856" s="69">
        <f>IF(OR(H856=0,P856&lt;30),"Tier D (Đóng băng)",IF(P856&gt;=85,"Tier S (Kim Cương: 85-100đ)",IF(P856&gt;=70,"Tier A (Vàng: 70-84đ)",IF(P856&gt;=61,"Tier B+ / Cấp A (Hot Lead: 61-69đ)",IF(P856&gt;=50,"Tier B (Bạc: 50-60đ)","Tier C (Đồng: 30-49đ)")))))</f>
        <v/>
      </c>
      <c r="R856" s="9" t="inlineStr">
        <is>
          <t>Khay vệ sinh chung cư (Indoor Potty) + Thảm cỏ ban công (Grass Patch) + Đồ chơi</t>
        </is>
      </c>
      <c r="S856" s="9" t="inlineStr">
        <is>
          <t>Cấp C Chi phí thấp: Nhắn tin trực tiếp qua Fanpage Facebook/Instagram + Nuôi dưỡng nội dung</t>
        </is>
      </c>
    </row>
    <row r="857">
      <c r="A857" s="53" t="n">
        <v>3076</v>
      </c>
      <c r="B857" s="12" t="inlineStr">
        <is>
          <t>Teton Bird Dogs</t>
        </is>
      </c>
      <c r="C857" s="54" t="inlineStr">
        <is>
          <t>https://www.facebook.com/tetonbirddogs</t>
        </is>
      </c>
      <c r="D857" s="6" t="inlineStr">
        <is>
          <t>Cần quét Bio Fanpage</t>
        </is>
      </c>
      <c r="E857" s="53" t="inlineStr">
        <is>
          <t>13/10/2026 04:17:16</t>
        </is>
      </c>
      <c r="F857" s="53" t="inlineStr">
        <is>
          <t>2 giờ trước</t>
        </is>
      </c>
      <c r="G857" s="55" t="n">
        <v>0.08</v>
      </c>
      <c r="H857" s="56" t="n">
        <v>35</v>
      </c>
      <c r="I857" s="6" t="inlineStr">
        <is>
          <t>Pet Owner / Cộng đồng nuôi cún (10đ)</t>
        </is>
      </c>
      <c r="J857" s="56" t="n">
        <v>10</v>
      </c>
      <c r="K857" s="6" t="inlineStr">
        <is>
          <t>Chưa rõ giống (Cần quét Bio)</t>
        </is>
      </c>
      <c r="L857" s="56" t="n">
        <v>0</v>
      </c>
      <c r="M857" s="56" t="n">
        <v>0</v>
      </c>
      <c r="N857" s="6" t="inlineStr">
        <is>
          <t>Amazon link not found</t>
        </is>
      </c>
      <c r="O857" s="56">
        <f>IF(N857="Selling pet toys + Artificial grass/Pet toilets (TARGET)",15,IF(N857="Selling artificial grass/pet toilets (TARGET)",10,IF(N857="Selling pet toys",7,IF(N857="There's an Amazon link, but no target sales.",3,0))))</f>
        <v/>
      </c>
      <c r="P857" s="65">
        <f>H857+J857+L857+M857+O857</f>
        <v/>
      </c>
      <c r="Q857" s="69">
        <f>IF(OR(H857=0,P857&lt;30),"Tier D (Đóng băng)",IF(P857&gt;=85,"Tier S (Kim Cương: 85-100đ)",IF(P857&gt;=70,"Tier A (Vàng: 70-84đ)",IF(P857&gt;=61,"Tier B+ / Cấp A (Hot Lead: 61-69đ)",IF(P857&gt;=50,"Tier B (Bạc: 50-60đ)","Tier C (Đồng: 30-49đ)")))))</f>
        <v/>
      </c>
      <c r="R857" s="6" t="inlineStr">
        <is>
          <t>Khay vệ sinh chung cư (Indoor Potty) + Thảm cỏ ban công (Grass Patch) + Đồ chơi</t>
        </is>
      </c>
      <c r="S857" s="6" t="inlineStr">
        <is>
          <t>Cấp C Chi phí thấp: Nhắn tin trực tiếp qua Fanpage Facebook/Instagram + Nuôi dưỡng nội dung</t>
        </is>
      </c>
    </row>
    <row r="858">
      <c r="A858" s="59" t="n">
        <v>3681</v>
      </c>
      <c r="B858" s="15" t="inlineStr">
        <is>
          <t>Dogzibit</t>
        </is>
      </c>
      <c r="C858" s="60" t="inlineStr">
        <is>
          <t>https://www.facebook.com/dogzibit</t>
        </is>
      </c>
      <c r="D858" s="9" t="inlineStr">
        <is>
          <t>Cần quét Bio Fanpage</t>
        </is>
      </c>
      <c r="E858" s="59" t="inlineStr">
        <is>
          <t>13/10/2026 04:06:36</t>
        </is>
      </c>
      <c r="F858" s="59" t="inlineStr">
        <is>
          <t>3 giờ trước</t>
        </is>
      </c>
      <c r="G858" s="61" t="n">
        <v>0.12</v>
      </c>
      <c r="H858" s="62" t="n">
        <v>35</v>
      </c>
      <c r="I858" s="9" t="inlineStr">
        <is>
          <t>Pet Owner / Cộng đồng nuôi cún (10đ)</t>
        </is>
      </c>
      <c r="J858" s="62" t="n">
        <v>10</v>
      </c>
      <c r="K858" s="9" t="inlineStr">
        <is>
          <t>Chưa rõ giống (Cần quét Bio)</t>
        </is>
      </c>
      <c r="L858" s="62" t="n">
        <v>0</v>
      </c>
      <c r="M858" s="62" t="n">
        <v>0</v>
      </c>
      <c r="N858" s="9" t="inlineStr">
        <is>
          <t>Amazon link not found</t>
        </is>
      </c>
      <c r="O858" s="62">
        <f>IF(N858="Selling pet toys + Artificial grass/Pet toilets (TARGET)",15,IF(N858="Selling artificial grass/pet toilets (TARGET)",10,IF(N858="Selling pet toys",7,IF(N858="There's an Amazon link, but no target sales.",3,0))))</f>
        <v/>
      </c>
      <c r="P858" s="67">
        <f>H858+J858+L858+M858+O858</f>
        <v/>
      </c>
      <c r="Q858" s="69">
        <f>IF(OR(H858=0,P858&lt;30),"Tier D (Đóng băng)",IF(P858&gt;=85,"Tier S (Kim Cương: 85-100đ)",IF(P858&gt;=70,"Tier A (Vàng: 70-84đ)",IF(P858&gt;=61,"Tier B+ / Cấp A (Hot Lead: 61-69đ)",IF(P858&gt;=50,"Tier B (Bạc: 50-60đ)","Tier C (Đồng: 30-49đ)")))))</f>
        <v/>
      </c>
      <c r="R858" s="9" t="inlineStr">
        <is>
          <t>Khay vệ sinh chung cư (Indoor Potty) + Thảm cỏ ban công (Grass Patch) + Đồ chơi</t>
        </is>
      </c>
      <c r="S858" s="9" t="inlineStr">
        <is>
          <t>Cấp C Chi phí thấp: Nhắn tin trực tiếp qua Fanpage Facebook/Instagram + Nuôi dưỡng nội dung</t>
        </is>
      </c>
    </row>
    <row r="859">
      <c r="A859" s="53" t="n">
        <v>2122</v>
      </c>
      <c r="B859" s="12" t="inlineStr">
        <is>
          <t>Marathon Petroleum Corporation</t>
        </is>
      </c>
      <c r="C859" s="54" t="inlineStr">
        <is>
          <t>https://www.facebook.com/MarathonPetroleumCorporation</t>
        </is>
      </c>
      <c r="D859" s="6" t="inlineStr">
        <is>
          <t>Cần quét Bio Fanpage</t>
        </is>
      </c>
      <c r="E859" s="53" t="inlineStr">
        <is>
          <t>13/10/2026 04:03:18</t>
        </is>
      </c>
      <c r="F859" s="53" t="inlineStr">
        <is>
          <t>40 phút trước</t>
        </is>
      </c>
      <c r="G859" s="55" t="n">
        <v>0.03</v>
      </c>
      <c r="H859" s="56" t="n">
        <v>35</v>
      </c>
      <c r="I859" s="6" t="inlineStr">
        <is>
          <t>Pet Owner / Cộng đồng nuôi cún (10đ)</t>
        </is>
      </c>
      <c r="J859" s="56" t="n">
        <v>10</v>
      </c>
      <c r="K859" s="6" t="inlineStr">
        <is>
          <t>Chưa rõ giống (Cần quét Bio)</t>
        </is>
      </c>
      <c r="L859" s="56" t="n">
        <v>0</v>
      </c>
      <c r="M859" s="56" t="n">
        <v>0</v>
      </c>
      <c r="N859" s="6" t="inlineStr">
        <is>
          <t>Amazon link not found</t>
        </is>
      </c>
      <c r="O859" s="56">
        <f>IF(N859="Selling pet toys + Artificial grass/Pet toilets (TARGET)",15,IF(N859="Selling artificial grass/pet toilets (TARGET)",10,IF(N859="Selling pet toys",7,IF(N859="There's an Amazon link, but no target sales.",3,0))))</f>
        <v/>
      </c>
      <c r="P859" s="65">
        <f>H859+J859+L859+M859+O859</f>
        <v/>
      </c>
      <c r="Q859" s="69">
        <f>IF(OR(H859=0,P859&lt;30),"Tier D (Đóng băng)",IF(P859&gt;=85,"Tier S (Kim Cương: 85-100đ)",IF(P859&gt;=70,"Tier A (Vàng: 70-84đ)",IF(P859&gt;=61,"Tier B+ / Cấp A (Hot Lead: 61-69đ)",IF(P859&gt;=50,"Tier B (Bạc: 50-60đ)","Tier C (Đồng: 30-49đ)")))))</f>
        <v/>
      </c>
      <c r="R859" s="6" t="inlineStr">
        <is>
          <t>Khay vệ sinh chung cư (Indoor Potty) + Thảm cỏ ban công (Grass Patch) + Đồ chơi</t>
        </is>
      </c>
      <c r="S859" s="6" t="inlineStr">
        <is>
          <t>Cấp C Chi phí thấp: Nhắn tin trực tiếp qua Fanpage Facebook/Instagram + Nuôi dưỡng nội dung</t>
        </is>
      </c>
    </row>
    <row r="860">
      <c r="A860" s="59" t="n">
        <v>2724</v>
      </c>
      <c r="B860" s="15" t="inlineStr">
        <is>
          <t>REN'S PETS</t>
        </is>
      </c>
      <c r="C860" s="60" t="inlineStr">
        <is>
          <t>https://www.facebook.com/renspets</t>
        </is>
      </c>
      <c r="D860" s="9" t="inlineStr">
        <is>
          <t>Cần quét Bio Fanpage</t>
        </is>
      </c>
      <c r="E860" s="59" t="inlineStr">
        <is>
          <t>13/10/2026 04:01:29</t>
        </is>
      </c>
      <c r="F860" s="59" t="inlineStr">
        <is>
          <t>1 giờ trước</t>
        </is>
      </c>
      <c r="G860" s="61" t="n">
        <v>0.04</v>
      </c>
      <c r="H860" s="62" t="n">
        <v>35</v>
      </c>
      <c r="I860" s="9" t="inlineStr">
        <is>
          <t>Pet Owner / Cộng đồng nuôi cún (10đ)</t>
        </is>
      </c>
      <c r="J860" s="62" t="n">
        <v>10</v>
      </c>
      <c r="K860" s="9" t="inlineStr">
        <is>
          <t>Chưa rõ giống (Cần quét Bio)</t>
        </is>
      </c>
      <c r="L860" s="62" t="n">
        <v>0</v>
      </c>
      <c r="M860" s="62" t="n">
        <v>0</v>
      </c>
      <c r="N860" s="9" t="inlineStr">
        <is>
          <t>Amazon link not found</t>
        </is>
      </c>
      <c r="O860" s="62">
        <f>IF(N860="Selling pet toys + Artificial grass/Pet toilets (TARGET)",15,IF(N860="Selling artificial grass/pet toilets (TARGET)",10,IF(N860="Selling pet toys",7,IF(N860="There's an Amazon link, but no target sales.",3,0))))</f>
        <v/>
      </c>
      <c r="P860" s="67">
        <f>H860+J860+L860+M860+O860</f>
        <v/>
      </c>
      <c r="Q860" s="69">
        <f>IF(OR(H860=0,P860&lt;30),"Tier D (Đóng băng)",IF(P860&gt;=85,"Tier S (Kim Cương: 85-100đ)",IF(P860&gt;=70,"Tier A (Vàng: 70-84đ)",IF(P860&gt;=61,"Tier B+ / Cấp A (Hot Lead: 61-69đ)",IF(P860&gt;=50,"Tier B (Bạc: 50-60đ)","Tier C (Đồng: 30-49đ)")))))</f>
        <v/>
      </c>
      <c r="R860" s="9" t="inlineStr">
        <is>
          <t>Khay vệ sinh chung cư (Indoor Potty) + Thảm cỏ ban công (Grass Patch) + Đồ chơi</t>
        </is>
      </c>
      <c r="S860" s="9" t="inlineStr">
        <is>
          <t>Cấp C Chi phí thấp: Nhắn tin trực tiếp qua Fanpage Facebook/Instagram + Nuôi dưỡng nội dung</t>
        </is>
      </c>
    </row>
    <row r="861">
      <c r="A861" s="53" t="n">
        <v>2521</v>
      </c>
      <c r="B861" s="12" t="inlineStr">
        <is>
          <t>PetMD</t>
        </is>
      </c>
      <c r="C861" s="54" t="inlineStr">
        <is>
          <t>https://www.facebook.com/petMD</t>
        </is>
      </c>
      <c r="D861" s="6" t="inlineStr">
        <is>
          <t>Cần quét Bio Fanpage</t>
        </is>
      </c>
      <c r="E861" s="53" t="inlineStr">
        <is>
          <t>13/10/2026 04:00:02</t>
        </is>
      </c>
      <c r="F861" s="53" t="inlineStr">
        <is>
          <t>1 giờ trước</t>
        </is>
      </c>
      <c r="G861" s="55" t="n">
        <v>0.04</v>
      </c>
      <c r="H861" s="56" t="n">
        <v>35</v>
      </c>
      <c r="I861" s="6" t="inlineStr">
        <is>
          <t>Pet Owner / Cộng đồng nuôi cún (10đ)</t>
        </is>
      </c>
      <c r="J861" s="56" t="n">
        <v>10</v>
      </c>
      <c r="K861" s="6" t="inlineStr">
        <is>
          <t>Chưa rõ giống (Cần quét Bio)</t>
        </is>
      </c>
      <c r="L861" s="56" t="n">
        <v>0</v>
      </c>
      <c r="M861" s="56" t="n">
        <v>0</v>
      </c>
      <c r="N861" s="6" t="inlineStr">
        <is>
          <t>Amazon link not found</t>
        </is>
      </c>
      <c r="O861" s="56">
        <f>IF(N861="Selling pet toys + Artificial grass/Pet toilets (TARGET)",15,IF(N861="Selling artificial grass/pet toilets (TARGET)",10,IF(N861="Selling pet toys",7,IF(N861="There's an Amazon link, but no target sales.",3,0))))</f>
        <v/>
      </c>
      <c r="P861" s="65">
        <f>H861+J861+L861+M861+O861</f>
        <v/>
      </c>
      <c r="Q861" s="69">
        <f>IF(OR(H861=0,P861&lt;30),"Tier D (Đóng băng)",IF(P861&gt;=85,"Tier S (Kim Cương: 85-100đ)",IF(P861&gt;=70,"Tier A (Vàng: 70-84đ)",IF(P861&gt;=61,"Tier B+ / Cấp A (Hot Lead: 61-69đ)",IF(P861&gt;=50,"Tier B (Bạc: 50-60đ)","Tier C (Đồng: 30-49đ)")))))</f>
        <v/>
      </c>
      <c r="R861" s="6" t="inlineStr">
        <is>
          <t>Khay vệ sinh chung cư (Indoor Potty) + Thảm cỏ ban công (Grass Patch) + Đồ chơi</t>
        </is>
      </c>
      <c r="S861" s="6" t="inlineStr">
        <is>
          <t>Cấp C Chi phí thấp: Nhắn tin trực tiếp qua Fanpage Facebook/Instagram + Nuôi dưỡng nội dung</t>
        </is>
      </c>
    </row>
    <row r="862">
      <c r="A862" s="59" t="n">
        <v>3474</v>
      </c>
      <c r="B862" s="15" t="inlineStr">
        <is>
          <t>Yummypets</t>
        </is>
      </c>
      <c r="C862" s="60" t="inlineStr">
        <is>
          <t>https://www.facebook.com/yummypets</t>
        </is>
      </c>
      <c r="D862" s="9" t="inlineStr">
        <is>
          <t>Cần quét Bio Fanpage</t>
        </is>
      </c>
      <c r="E862" s="59" t="inlineStr">
        <is>
          <t>13/10/2026 03:54:02</t>
        </is>
      </c>
      <c r="F862" s="59" t="inlineStr">
        <is>
          <t>3 giờ trước</t>
        </is>
      </c>
      <c r="G862" s="61" t="n">
        <v>0.12</v>
      </c>
      <c r="H862" s="62" t="n">
        <v>35</v>
      </c>
      <c r="I862" s="9" t="inlineStr">
        <is>
          <t>Pet Owner / Cộng đồng nuôi cún (10đ)</t>
        </is>
      </c>
      <c r="J862" s="62" t="n">
        <v>10</v>
      </c>
      <c r="K862" s="9" t="inlineStr">
        <is>
          <t>Chưa rõ giống (Cần quét Bio)</t>
        </is>
      </c>
      <c r="L862" s="62" t="n">
        <v>0</v>
      </c>
      <c r="M862" s="62" t="n">
        <v>0</v>
      </c>
      <c r="N862" s="9" t="inlineStr">
        <is>
          <t>Amazon link not found</t>
        </is>
      </c>
      <c r="O862" s="62">
        <f>IF(N862="Selling pet toys + Artificial grass/Pet toilets (TARGET)",15,IF(N862="Selling artificial grass/pet toilets (TARGET)",10,IF(N862="Selling pet toys",7,IF(N862="There's an Amazon link, but no target sales.",3,0))))</f>
        <v/>
      </c>
      <c r="P862" s="67">
        <f>H862+J862+L862+M862+O862</f>
        <v/>
      </c>
      <c r="Q862" s="69">
        <f>IF(OR(H862=0,P862&lt;30),"Tier D (Đóng băng)",IF(P862&gt;=85,"Tier S (Kim Cương: 85-100đ)",IF(P862&gt;=70,"Tier A (Vàng: 70-84đ)",IF(P862&gt;=61,"Tier B+ / Cấp A (Hot Lead: 61-69đ)",IF(P862&gt;=50,"Tier B (Bạc: 50-60đ)","Tier C (Đồng: 30-49đ)")))))</f>
        <v/>
      </c>
      <c r="R862" s="9" t="inlineStr">
        <is>
          <t>Khay vệ sinh chung cư (Indoor Potty) + Thảm cỏ ban công (Grass Patch) + Đồ chơi</t>
        </is>
      </c>
      <c r="S862" s="9" t="inlineStr">
        <is>
          <t>Cấp C Chi phí thấp: Nhắn tin trực tiếp qua Fanpage Facebook/Instagram + Nuôi dưỡng nội dung</t>
        </is>
      </c>
    </row>
    <row r="863">
      <c r="A863" s="53" t="n">
        <v>2598</v>
      </c>
      <c r="B863" s="12" t="inlineStr">
        <is>
          <t>poochiepoosdoggrooming</t>
        </is>
      </c>
      <c r="C863" s="54" t="inlineStr">
        <is>
          <t>https://www.facebook.com/profile.php?id=61575526607567</t>
        </is>
      </c>
      <c r="D863" s="6" t="inlineStr">
        <is>
          <t>Cần quét Bio Fanpage</t>
        </is>
      </c>
      <c r="E863" s="53" t="inlineStr">
        <is>
          <t>13/10/2026 03:53:08</t>
        </is>
      </c>
      <c r="F863" s="53" t="inlineStr">
        <is>
          <t>1 giờ trước</t>
        </is>
      </c>
      <c r="G863" s="55" t="n">
        <v>0.04</v>
      </c>
      <c r="H863" s="56" t="n">
        <v>35</v>
      </c>
      <c r="I863" s="6" t="inlineStr">
        <is>
          <t>Pet Owner / Cộng đồng nuôi cún (10đ)</t>
        </is>
      </c>
      <c r="J863" s="56" t="n">
        <v>10</v>
      </c>
      <c r="K863" s="6" t="inlineStr">
        <is>
          <t>Chưa rõ giống (Cần quét Bio)</t>
        </is>
      </c>
      <c r="L863" s="56" t="n">
        <v>0</v>
      </c>
      <c r="M863" s="56" t="n">
        <v>0</v>
      </c>
      <c r="N863" s="6" t="inlineStr">
        <is>
          <t>Amazon link not found</t>
        </is>
      </c>
      <c r="O863" s="56">
        <f>IF(N863="Selling pet toys + Artificial grass/Pet toilets (TARGET)",15,IF(N863="Selling artificial grass/pet toilets (TARGET)",10,IF(N863="Selling pet toys",7,IF(N863="There's an Amazon link, but no target sales.",3,0))))</f>
        <v/>
      </c>
      <c r="P863" s="65">
        <f>H863+J863+L863+M863+O863</f>
        <v/>
      </c>
      <c r="Q863" s="69">
        <f>IF(OR(H863=0,P863&lt;30),"Tier D (Đóng băng)",IF(P863&gt;=85,"Tier S (Kim Cương: 85-100đ)",IF(P863&gt;=70,"Tier A (Vàng: 70-84đ)",IF(P863&gt;=61,"Tier B+ / Cấp A (Hot Lead: 61-69đ)",IF(P863&gt;=50,"Tier B (Bạc: 50-60đ)","Tier C (Đồng: 30-49đ)")))))</f>
        <v/>
      </c>
      <c r="R863" s="6" t="inlineStr">
        <is>
          <t>Khay vệ sinh chung cư (Indoor Potty) + Thảm cỏ ban công (Grass Patch) + Đồ chơi</t>
        </is>
      </c>
      <c r="S863" s="6" t="inlineStr">
        <is>
          <t>Cấp C Chi phí thấp: Nhắn tin trực tiếp qua Fanpage Facebook/Instagram + Nuôi dưỡng nội dung</t>
        </is>
      </c>
    </row>
    <row r="864">
      <c r="A864" s="59" t="n">
        <v>1748</v>
      </c>
      <c r="B864" s="15" t="inlineStr">
        <is>
          <t>Jack Bradshaw Dog Shows</t>
        </is>
      </c>
      <c r="C864" s="60" t="inlineStr">
        <is>
          <t>https://www.facebook.com/JackBradshawDogShows</t>
        </is>
      </c>
      <c r="D864" s="9" t="inlineStr">
        <is>
          <t>Cần quét Bio Fanpage</t>
        </is>
      </c>
      <c r="E864" s="59" t="inlineStr">
        <is>
          <t>13/10/2026 03:51:10</t>
        </is>
      </c>
      <c r="F864" s="59" t="inlineStr">
        <is>
          <t>12 phút trước</t>
        </is>
      </c>
      <c r="G864" s="61" t="n">
        <v>0.01</v>
      </c>
      <c r="H864" s="62" t="n">
        <v>35</v>
      </c>
      <c r="I864" s="9" t="inlineStr">
        <is>
          <t>Pet Owner / Cộng đồng nuôi cún (10đ)</t>
        </is>
      </c>
      <c r="J864" s="62" t="n">
        <v>10</v>
      </c>
      <c r="K864" s="9" t="inlineStr">
        <is>
          <t>Chưa rõ giống (Cần quét Bio)</t>
        </is>
      </c>
      <c r="L864" s="62" t="n">
        <v>0</v>
      </c>
      <c r="M864" s="62" t="n">
        <v>0</v>
      </c>
      <c r="N864" s="9" t="inlineStr">
        <is>
          <t>Amazon link not found</t>
        </is>
      </c>
      <c r="O864" s="62">
        <f>IF(N864="Selling pet toys + Artificial grass/Pet toilets (TARGET)",15,IF(N864="Selling artificial grass/pet toilets (TARGET)",10,IF(N864="Selling pet toys",7,IF(N864="There's an Amazon link, but no target sales.",3,0))))</f>
        <v/>
      </c>
      <c r="P864" s="67">
        <f>H864+J864+L864+M864+O864</f>
        <v/>
      </c>
      <c r="Q864" s="69">
        <f>IF(OR(H864=0,P864&lt;30),"Tier D (Đóng băng)",IF(P864&gt;=85,"Tier S (Kim Cương: 85-100đ)",IF(P864&gt;=70,"Tier A (Vàng: 70-84đ)",IF(P864&gt;=61,"Tier B+ / Cấp A (Hot Lead: 61-69đ)",IF(P864&gt;=50,"Tier B (Bạc: 50-60đ)","Tier C (Đồng: 30-49đ)")))))</f>
        <v/>
      </c>
      <c r="R864" s="9" t="inlineStr">
        <is>
          <t>Khay vệ sinh chung cư (Indoor Potty) + Thảm cỏ ban công (Grass Patch) + Đồ chơi</t>
        </is>
      </c>
      <c r="S864" s="9" t="inlineStr">
        <is>
          <t>Cấp C Chi phí thấp: Nhắn tin trực tiếp qua Fanpage Facebook/Instagram + Nuôi dưỡng nội dung</t>
        </is>
      </c>
    </row>
    <row r="865">
      <c r="A865" s="53" t="n">
        <v>3101</v>
      </c>
      <c r="B865" s="12" t="inlineStr">
        <is>
          <t>The Dog Aging Project</t>
        </is>
      </c>
      <c r="C865" s="54" t="inlineStr">
        <is>
          <t>https://www.facebook.com/dogagingproject</t>
        </is>
      </c>
      <c r="D865" s="6" t="inlineStr">
        <is>
          <t>Cần quét Bio Fanpage</t>
        </is>
      </c>
      <c r="E865" s="53" t="inlineStr">
        <is>
          <t>13/10/2026 03:38:30</t>
        </is>
      </c>
      <c r="F865" s="53" t="inlineStr">
        <is>
          <t>2 giờ trước</t>
        </is>
      </c>
      <c r="G865" s="55" t="n">
        <v>0.08</v>
      </c>
      <c r="H865" s="56" t="n">
        <v>35</v>
      </c>
      <c r="I865" s="6" t="inlineStr">
        <is>
          <t>Pet Owner / Kênh cá nhân thú cưng (10đ)</t>
        </is>
      </c>
      <c r="J865" s="56" t="n">
        <v>10</v>
      </c>
      <c r="K865" s="6" t="inlineStr">
        <is>
          <t>Chưa rõ giống (Cần quét Bio)</t>
        </is>
      </c>
      <c r="L865" s="56" t="n">
        <v>0</v>
      </c>
      <c r="M865" s="56" t="n">
        <v>0</v>
      </c>
      <c r="N865" s="6" t="inlineStr">
        <is>
          <t>Amazon link not found</t>
        </is>
      </c>
      <c r="O865" s="56">
        <f>IF(N865="Selling pet toys + Artificial grass/Pet toilets (TARGET)",15,IF(N865="Selling artificial grass/pet toilets (TARGET)",10,IF(N865="Selling pet toys",7,IF(N865="There's an Amazon link, but no target sales.",3,0))))</f>
        <v/>
      </c>
      <c r="P865" s="65">
        <f>H865+J865+L865+M865+O865</f>
        <v/>
      </c>
      <c r="Q865" s="69">
        <f>IF(OR(H865=0,P865&lt;30),"Tier D (Đóng băng)",IF(P865&gt;=85,"Tier S (Kim Cương: 85-100đ)",IF(P865&gt;=70,"Tier A (Vàng: 70-84đ)",IF(P865&gt;=61,"Tier B+ / Cấp A (Hot Lead: 61-69đ)",IF(P865&gt;=50,"Tier B (Bạc: 50-60đ)","Tier C (Đồng: 30-49đ)")))))</f>
        <v/>
      </c>
      <c r="R865" s="6" t="inlineStr">
        <is>
          <t>Khay vệ sinh trong nhà (Indoor Dog Potty) + Đồ chơi thú cưng lẻ</t>
        </is>
      </c>
      <c r="S865" s="6" t="inlineStr">
        <is>
          <t>Cấp C Chi phí thấp: Nhắn tin trực tiếp qua Fanpage Facebook/Instagram + Nuôi dưỡng nội dung</t>
        </is>
      </c>
    </row>
    <row r="866">
      <c r="A866" s="59" t="n">
        <v>2595</v>
      </c>
      <c r="B866" s="15" t="inlineStr">
        <is>
          <t>Polkadog</t>
        </is>
      </c>
      <c r="C866" s="60" t="inlineStr">
        <is>
          <t>https://www.facebook.com/polkadogtreats</t>
        </is>
      </c>
      <c r="D866" s="9" t="inlineStr">
        <is>
          <t>Cần quét Bio Fanpage</t>
        </is>
      </c>
      <c r="E866" s="59" t="inlineStr">
        <is>
          <t>13/10/2026 03:18:28</t>
        </is>
      </c>
      <c r="F866" s="59" t="inlineStr">
        <is>
          <t>2 giờ trước</t>
        </is>
      </c>
      <c r="G866" s="61" t="n">
        <v>0.08</v>
      </c>
      <c r="H866" s="62" t="n">
        <v>35</v>
      </c>
      <c r="I866" s="9" t="inlineStr">
        <is>
          <t>Pet Owner / Cộng đồng nuôi cún (10đ)</t>
        </is>
      </c>
      <c r="J866" s="62" t="n">
        <v>10</v>
      </c>
      <c r="K866" s="9" t="inlineStr">
        <is>
          <t>Chưa rõ giống (Cần quét Bio)</t>
        </is>
      </c>
      <c r="L866" s="62" t="n">
        <v>0</v>
      </c>
      <c r="M866" s="62" t="n">
        <v>0</v>
      </c>
      <c r="N866" s="9" t="inlineStr">
        <is>
          <t>Amazon link not found</t>
        </is>
      </c>
      <c r="O866" s="62">
        <f>IF(N866="Selling pet toys + Artificial grass/Pet toilets (TARGET)",15,IF(N866="Selling artificial grass/pet toilets (TARGET)",10,IF(N866="Selling pet toys",7,IF(N866="There's an Amazon link, but no target sales.",3,0))))</f>
        <v/>
      </c>
      <c r="P866" s="67">
        <f>H866+J866+L866+M866+O866</f>
        <v/>
      </c>
      <c r="Q866" s="69">
        <f>IF(OR(H866=0,P866&lt;30),"Tier D (Đóng băng)",IF(P866&gt;=85,"Tier S (Kim Cương: 85-100đ)",IF(P866&gt;=70,"Tier A (Vàng: 70-84đ)",IF(P866&gt;=61,"Tier B+ / Cấp A (Hot Lead: 61-69đ)",IF(P866&gt;=50,"Tier B (Bạc: 50-60đ)","Tier C (Đồng: 30-49đ)")))))</f>
        <v/>
      </c>
      <c r="R866" s="9" t="inlineStr">
        <is>
          <t>Khay vệ sinh chung cư (Indoor Potty) + Thảm cỏ ban công (Grass Patch) + Đồ chơi</t>
        </is>
      </c>
      <c r="S866" s="9" t="inlineStr">
        <is>
          <t>Cấp C Chi phí thấp: Nhắn tin trực tiếp qua Fanpage Facebook/Instagram + Nuôi dưỡng nội dung</t>
        </is>
      </c>
    </row>
    <row r="867">
      <c r="A867" s="53" t="n">
        <v>3106</v>
      </c>
      <c r="B867" s="12" t="inlineStr">
        <is>
          <t>thedogrescueproject</t>
        </is>
      </c>
      <c r="C867" s="54" t="inlineStr">
        <is>
          <t>https://www.facebook.com/thedogrescueproject</t>
        </is>
      </c>
      <c r="D867" s="6" t="inlineStr">
        <is>
          <t>Cần quét Bio Fanpage</t>
        </is>
      </c>
      <c r="E867" s="53" t="inlineStr">
        <is>
          <t>13/10/2026 03:01:43</t>
        </is>
      </c>
      <c r="F867" s="53" t="inlineStr">
        <is>
          <t>3 giờ trước</t>
        </is>
      </c>
      <c r="G867" s="55" t="n">
        <v>0.12</v>
      </c>
      <c r="H867" s="56" t="n">
        <v>35</v>
      </c>
      <c r="I867" s="6" t="inlineStr">
        <is>
          <t>Pet Owner / Cộng đồng nuôi cún (10đ)</t>
        </is>
      </c>
      <c r="J867" s="56" t="n">
        <v>10</v>
      </c>
      <c r="K867" s="6" t="inlineStr">
        <is>
          <t>Chưa rõ giống (Cần quét Bio)</t>
        </is>
      </c>
      <c r="L867" s="56" t="n">
        <v>0</v>
      </c>
      <c r="M867" s="56" t="n">
        <v>0</v>
      </c>
      <c r="N867" s="6" t="inlineStr">
        <is>
          <t>Amazon link not found</t>
        </is>
      </c>
      <c r="O867" s="56">
        <f>IF(N867="Selling pet toys + Artificial grass/Pet toilets (TARGET)",15,IF(N867="Selling artificial grass/pet toilets (TARGET)",10,IF(N867="Selling pet toys",7,IF(N867="There's an Amazon link, but no target sales.",3,0))))</f>
        <v/>
      </c>
      <c r="P867" s="65">
        <f>H867+J867+L867+M867+O867</f>
        <v/>
      </c>
      <c r="Q867" s="69">
        <f>IF(OR(H867=0,P867&lt;30),"Tier D (Đóng băng)",IF(P867&gt;=85,"Tier S (Kim Cương: 85-100đ)",IF(P867&gt;=70,"Tier A (Vàng: 70-84đ)",IF(P867&gt;=61,"Tier B+ / Cấp A (Hot Lead: 61-69đ)",IF(P867&gt;=50,"Tier B (Bạc: 50-60đ)","Tier C (Đồng: 30-49đ)")))))</f>
        <v/>
      </c>
      <c r="R867" s="6" t="inlineStr">
        <is>
          <t>Khay vệ sinh chung cư (Indoor Potty) + Thảm cỏ ban công (Grass Patch) + Đồ chơi</t>
        </is>
      </c>
      <c r="S867" s="6" t="inlineStr">
        <is>
          <t>Cấp C Chi phí thấp: Nhắn tin trực tiếp qua Fanpage Facebook/Instagram + Nuôi dưỡng nội dung</t>
        </is>
      </c>
    </row>
    <row r="868">
      <c r="A868" s="59" t="n">
        <v>1535</v>
      </c>
      <c r="B868" s="15" t="inlineStr">
        <is>
          <t>gordosbulldogz</t>
        </is>
      </c>
      <c r="C868" s="60" t="inlineStr">
        <is>
          <t>https://www.facebook.com/profile.php?id=100064655654090</t>
        </is>
      </c>
      <c r="D868" s="9" t="inlineStr">
        <is>
          <t>Cần quét Bio Fanpage</t>
        </is>
      </c>
      <c r="E868" s="59" t="inlineStr">
        <is>
          <t>13/10/2026 02:59:20</t>
        </is>
      </c>
      <c r="F868" s="59" t="inlineStr">
        <is>
          <t>41 phút trước</t>
        </is>
      </c>
      <c r="G868" s="61" t="n">
        <v>0.03</v>
      </c>
      <c r="H868" s="62" t="n">
        <v>35</v>
      </c>
      <c r="I868" s="9" t="inlineStr">
        <is>
          <t>Pet Owner / Cộng đồng nuôi cún (10đ)</t>
        </is>
      </c>
      <c r="J868" s="62" t="n">
        <v>10</v>
      </c>
      <c r="K868" s="9" t="inlineStr">
        <is>
          <t>Chưa rõ giống (Cần quét Bio)</t>
        </is>
      </c>
      <c r="L868" s="62" t="n">
        <v>0</v>
      </c>
      <c r="M868" s="62" t="n">
        <v>0</v>
      </c>
      <c r="N868" s="9" t="inlineStr">
        <is>
          <t>Amazon link not found</t>
        </is>
      </c>
      <c r="O868" s="62">
        <f>IF(N868="Selling pet toys + Artificial grass/Pet toilets (TARGET)",15,IF(N868="Selling artificial grass/pet toilets (TARGET)",10,IF(N868="Selling pet toys",7,IF(N868="There's an Amazon link, but no target sales.",3,0))))</f>
        <v/>
      </c>
      <c r="P868" s="67">
        <f>H868+J868+L868+M868+O868</f>
        <v/>
      </c>
      <c r="Q868" s="69">
        <f>IF(OR(H868=0,P868&lt;30),"Tier D (Đóng băng)",IF(P868&gt;=85,"Tier S (Kim Cương: 85-100đ)",IF(P868&gt;=70,"Tier A (Vàng: 70-84đ)",IF(P868&gt;=61,"Tier B+ / Cấp A (Hot Lead: 61-69đ)",IF(P868&gt;=50,"Tier B (Bạc: 50-60đ)","Tier C (Đồng: 30-49đ)")))))</f>
        <v/>
      </c>
      <c r="R868" s="9" t="inlineStr">
        <is>
          <t>Khay vệ sinh chung cư (Indoor Potty) + Thảm cỏ ban công (Grass Patch) + Đồ chơi</t>
        </is>
      </c>
      <c r="S868" s="9" t="inlineStr">
        <is>
          <t>Cấp C Chi phí thấp: Nhắn tin trực tiếp qua Fanpage Facebook/Instagram + Nuôi dưỡng nội dung</t>
        </is>
      </c>
    </row>
    <row r="869">
      <c r="A869" s="53" t="n">
        <v>1846</v>
      </c>
      <c r="B869" s="12" t="inlineStr">
        <is>
          <t>Karnik Pet Lodge of Ann Arbor</t>
        </is>
      </c>
      <c r="C869" s="54" t="inlineStr">
        <is>
          <t>https://www.facebook.com/karnikannarbor</t>
        </is>
      </c>
      <c r="D869" s="6" t="inlineStr">
        <is>
          <t>Cần quét Bio Fanpage</t>
        </is>
      </c>
      <c r="E869" s="53" t="inlineStr">
        <is>
          <t>13/10/2026 02:57:03</t>
        </is>
      </c>
      <c r="F869" s="53" t="inlineStr">
        <is>
          <t>1 giờ trước</t>
        </is>
      </c>
      <c r="G869" s="55" t="n">
        <v>0.04</v>
      </c>
      <c r="H869" s="56" t="n">
        <v>35</v>
      </c>
      <c r="I869" s="6" t="inlineStr">
        <is>
          <t>Pet Owner / Cộng đồng nuôi cún (10đ)</t>
        </is>
      </c>
      <c r="J869" s="56" t="n">
        <v>10</v>
      </c>
      <c r="K869" s="6" t="inlineStr">
        <is>
          <t>Chưa rõ giống (Cần quét Bio)</t>
        </is>
      </c>
      <c r="L869" s="56" t="n">
        <v>0</v>
      </c>
      <c r="M869" s="56" t="n">
        <v>0</v>
      </c>
      <c r="N869" s="6" t="inlineStr">
        <is>
          <t>Amazon link not found</t>
        </is>
      </c>
      <c r="O869" s="56">
        <f>IF(N869="Selling pet toys + Artificial grass/Pet toilets (TARGET)",15,IF(N869="Selling artificial grass/pet toilets (TARGET)",10,IF(N869="Selling pet toys",7,IF(N869="There's an Amazon link, but no target sales.",3,0))))</f>
        <v/>
      </c>
      <c r="P869" s="65">
        <f>H869+J869+L869+M869+O869</f>
        <v/>
      </c>
      <c r="Q869" s="69">
        <f>IF(OR(H869=0,P869&lt;30),"Tier D (Đóng băng)",IF(P869&gt;=85,"Tier S (Kim Cương: 85-100đ)",IF(P869&gt;=70,"Tier A (Vàng: 70-84đ)",IF(P869&gt;=61,"Tier B+ / Cấp A (Hot Lead: 61-69đ)",IF(P869&gt;=50,"Tier B (Bạc: 50-60đ)","Tier C (Đồng: 30-49đ)")))))</f>
        <v/>
      </c>
      <c r="R869" s="6" t="inlineStr">
        <is>
          <t>Khay vệ sinh chung cư (Indoor Potty) + Thảm cỏ ban công (Grass Patch) + Đồ chơi</t>
        </is>
      </c>
      <c r="S869" s="6" t="inlineStr">
        <is>
          <t>Cấp C Chi phí thấp: Nhắn tin trực tiếp qua Fanpage Facebook/Instagram + Nuôi dưỡng nội dung</t>
        </is>
      </c>
    </row>
    <row r="870">
      <c r="A870" s="59" t="n">
        <v>3221</v>
      </c>
      <c r="B870" s="15" t="inlineStr">
        <is>
          <t>tpp_kennel</t>
        </is>
      </c>
      <c r="C870" s="60" t="inlineStr">
        <is>
          <t>https://www.facebook.com/profile.php?id=100092289976284</t>
        </is>
      </c>
      <c r="D870" s="9" t="inlineStr">
        <is>
          <t>Cần quét Bio Fanpage</t>
        </is>
      </c>
      <c r="E870" s="59" t="inlineStr">
        <is>
          <t>13/10/2026 02:52:16</t>
        </is>
      </c>
      <c r="F870" s="59" t="inlineStr">
        <is>
          <t>3 giờ trước</t>
        </is>
      </c>
      <c r="G870" s="61" t="n">
        <v>0.12</v>
      </c>
      <c r="H870" s="62" t="n">
        <v>35</v>
      </c>
      <c r="I870" s="9" t="inlineStr">
        <is>
          <t>Pet Owner / Cộng đồng nuôi cún (10đ)</t>
        </is>
      </c>
      <c r="J870" s="62" t="n">
        <v>10</v>
      </c>
      <c r="K870" s="9" t="inlineStr">
        <is>
          <t>Chưa rõ giống (Cần quét Bio)</t>
        </is>
      </c>
      <c r="L870" s="62" t="n">
        <v>0</v>
      </c>
      <c r="M870" s="62" t="n">
        <v>0</v>
      </c>
      <c r="N870" s="9" t="inlineStr">
        <is>
          <t>Amazon link not found</t>
        </is>
      </c>
      <c r="O870" s="62">
        <f>IF(N870="Selling pet toys + Artificial grass/Pet toilets (TARGET)",15,IF(N870="Selling artificial grass/pet toilets (TARGET)",10,IF(N870="Selling pet toys",7,IF(N870="There's an Amazon link, but no target sales.",3,0))))</f>
        <v/>
      </c>
      <c r="P870" s="67">
        <f>H870+J870+L870+M870+O870</f>
        <v/>
      </c>
      <c r="Q870" s="69">
        <f>IF(OR(H870=0,P870&lt;30),"Tier D (Đóng băng)",IF(P870&gt;=85,"Tier S (Kim Cương: 85-100đ)",IF(P870&gt;=70,"Tier A (Vàng: 70-84đ)",IF(P870&gt;=61,"Tier B+ / Cấp A (Hot Lead: 61-69đ)",IF(P870&gt;=50,"Tier B (Bạc: 50-60đ)","Tier C (Đồng: 30-49đ)")))))</f>
        <v/>
      </c>
      <c r="R870" s="9" t="inlineStr">
        <is>
          <t>Khay vệ sinh chung cư (Indoor Potty) + Thảm cỏ ban công (Grass Patch) + Đồ chơi</t>
        </is>
      </c>
      <c r="S870" s="9" t="inlineStr">
        <is>
          <t>Cấp C Chi phí thấp: Nhắn tin trực tiếp qua Fanpage Facebook/Instagram + Nuôi dưỡng nội dung</t>
        </is>
      </c>
    </row>
    <row r="871">
      <c r="A871" s="53" t="n">
        <v>1097</v>
      </c>
      <c r="B871" s="12" t="inlineStr">
        <is>
          <t>DOG PPL</t>
        </is>
      </c>
      <c r="C871" s="54" t="inlineStr">
        <is>
          <t>https://www.facebook.com/dogppl</t>
        </is>
      </c>
      <c r="D871" s="6" t="inlineStr">
        <is>
          <t>Cần quét Bio Fanpage</t>
        </is>
      </c>
      <c r="E871" s="53" t="inlineStr">
        <is>
          <t>13/10/2026 02:50:28</t>
        </is>
      </c>
      <c r="F871" s="53" t="inlineStr">
        <is>
          <t>3 phút trước</t>
        </is>
      </c>
      <c r="G871" s="55" t="n">
        <v>0</v>
      </c>
      <c r="H871" s="56" t="n">
        <v>35</v>
      </c>
      <c r="I871" s="6" t="inlineStr">
        <is>
          <t>Pet Owner / Cộng đồng nuôi cún (10đ)</t>
        </is>
      </c>
      <c r="J871" s="56" t="n">
        <v>10</v>
      </c>
      <c r="K871" s="6" t="inlineStr">
        <is>
          <t>Chưa rõ giống (Cần quét Bio)</t>
        </is>
      </c>
      <c r="L871" s="56" t="n">
        <v>0</v>
      </c>
      <c r="M871" s="56" t="n">
        <v>0</v>
      </c>
      <c r="N871" s="6" t="inlineStr">
        <is>
          <t>Amazon link not found</t>
        </is>
      </c>
      <c r="O871" s="56">
        <f>IF(N871="Selling pet toys + Artificial grass/Pet toilets (TARGET)",15,IF(N871="Selling artificial grass/pet toilets (TARGET)",10,IF(N871="Selling pet toys",7,IF(N871="There's an Amazon link, but no target sales.",3,0))))</f>
        <v/>
      </c>
      <c r="P871" s="65">
        <f>H871+J871+L871+M871+O871</f>
        <v/>
      </c>
      <c r="Q871" s="69">
        <f>IF(OR(H871=0,P871&lt;30),"Tier D (Đóng băng)",IF(P871&gt;=85,"Tier S (Kim Cương: 85-100đ)",IF(P871&gt;=70,"Tier A (Vàng: 70-84đ)",IF(P871&gt;=61,"Tier B+ / Cấp A (Hot Lead: 61-69đ)",IF(P871&gt;=50,"Tier B (Bạc: 50-60đ)","Tier C (Đồng: 30-49đ)")))))</f>
        <v/>
      </c>
      <c r="R871" s="6" t="inlineStr">
        <is>
          <t>Khay vệ sinh chung cư (Indoor Potty) + Thảm cỏ ban công (Grass Patch) + Đồ chơi</t>
        </is>
      </c>
      <c r="S871" s="6" t="inlineStr">
        <is>
          <t>Cấp C Chi phí thấp: Nhắn tin trực tiếp qua Fanpage Facebook/Instagram + Nuôi dưỡng nội dung</t>
        </is>
      </c>
    </row>
    <row r="872">
      <c r="A872" s="59" t="n">
        <v>1226</v>
      </c>
      <c r="B872" s="15" t="inlineStr">
        <is>
          <t>Dr. Peter Dobias</t>
        </is>
      </c>
      <c r="C872" s="60" t="inlineStr">
        <is>
          <t>https://www.facebook.com/drpeterdobias</t>
        </is>
      </c>
      <c r="D872" s="9" t="inlineStr">
        <is>
          <t>Cần quét Bio Fanpage</t>
        </is>
      </c>
      <c r="E872" s="59" t="inlineStr">
        <is>
          <t>13/10/2026 02:44:09</t>
        </is>
      </c>
      <c r="F872" s="59" t="inlineStr">
        <is>
          <t>23 phút trước</t>
        </is>
      </c>
      <c r="G872" s="61" t="n">
        <v>0.02</v>
      </c>
      <c r="H872" s="62" t="n">
        <v>35</v>
      </c>
      <c r="I872" s="9" t="inlineStr">
        <is>
          <t>Pet Owner / Cộng đồng nuôi cún (10đ)</t>
        </is>
      </c>
      <c r="J872" s="62" t="n">
        <v>10</v>
      </c>
      <c r="K872" s="9" t="inlineStr">
        <is>
          <t>Chưa rõ giống (Cần quét Bio)</t>
        </is>
      </c>
      <c r="L872" s="62" t="n">
        <v>0</v>
      </c>
      <c r="M872" s="62" t="n">
        <v>0</v>
      </c>
      <c r="N872" s="9" t="inlineStr">
        <is>
          <t>Amazon link not found</t>
        </is>
      </c>
      <c r="O872" s="62">
        <f>IF(N872="Selling pet toys + Artificial grass/Pet toilets (TARGET)",15,IF(N872="Selling artificial grass/pet toilets (TARGET)",10,IF(N872="Selling pet toys",7,IF(N872="There's an Amazon link, but no target sales.",3,0))))</f>
        <v/>
      </c>
      <c r="P872" s="67">
        <f>H872+J872+L872+M872+O872</f>
        <v/>
      </c>
      <c r="Q872" s="69">
        <f>IF(OR(H872=0,P872&lt;30),"Tier D (Đóng băng)",IF(P872&gt;=85,"Tier S (Kim Cương: 85-100đ)",IF(P872&gt;=70,"Tier A (Vàng: 70-84đ)",IF(P872&gt;=61,"Tier B+ / Cấp A (Hot Lead: 61-69đ)",IF(P872&gt;=50,"Tier B (Bạc: 50-60đ)","Tier C (Đồng: 30-49đ)")))))</f>
        <v/>
      </c>
      <c r="R872" s="9" t="inlineStr">
        <is>
          <t>Khay vệ sinh chung cư (Indoor Potty) + Thảm cỏ ban công (Grass Patch) + Đồ chơi</t>
        </is>
      </c>
      <c r="S872" s="9" t="inlineStr">
        <is>
          <t>Cấp C Chi phí thấp: Nhắn tin trực tiếp qua Fanpage Facebook/Instagram + Nuôi dưỡng nội dung</t>
        </is>
      </c>
    </row>
    <row r="873">
      <c r="A873" s="53" t="n">
        <v>1000</v>
      </c>
      <c r="B873" s="12" t="inlineStr">
        <is>
          <t>DarkDynastyK9s</t>
        </is>
      </c>
      <c r="C873" s="54" t="inlineStr">
        <is>
          <t>https://www.facebook.com/DarkDynastyK9s</t>
        </is>
      </c>
      <c r="D873" s="6" t="inlineStr">
        <is>
          <t>Cần quét Bio Fanpage</t>
        </is>
      </c>
      <c r="E873" s="53" t="inlineStr">
        <is>
          <t>13/10/2026 02:42:18</t>
        </is>
      </c>
      <c r="F873" s="53" t="inlineStr">
        <is>
          <t>1 phút trước</t>
        </is>
      </c>
      <c r="G873" s="55" t="n">
        <v>0</v>
      </c>
      <c r="H873" s="56" t="n">
        <v>35</v>
      </c>
      <c r="I873" s="6" t="inlineStr">
        <is>
          <t>Pet Owner / Cộng đồng nuôi cún (10đ)</t>
        </is>
      </c>
      <c r="J873" s="56" t="n">
        <v>10</v>
      </c>
      <c r="K873" s="6" t="inlineStr">
        <is>
          <t>Chưa rõ giống (Cần quét Bio)</t>
        </is>
      </c>
      <c r="L873" s="56" t="n">
        <v>0</v>
      </c>
      <c r="M873" s="56" t="n">
        <v>0</v>
      </c>
      <c r="N873" s="6" t="inlineStr">
        <is>
          <t>Amazon link not found</t>
        </is>
      </c>
      <c r="O873" s="56">
        <f>IF(N873="Selling pet toys + Artificial grass/Pet toilets (TARGET)",15,IF(N873="Selling artificial grass/pet toilets (TARGET)",10,IF(N873="Selling pet toys",7,IF(N873="There's an Amazon link, but no target sales.",3,0))))</f>
        <v/>
      </c>
      <c r="P873" s="65">
        <f>H873+J873+L873+M873+O873</f>
        <v/>
      </c>
      <c r="Q873" s="69">
        <f>IF(OR(H873=0,P873&lt;30),"Tier D (Đóng băng)",IF(P873&gt;=85,"Tier S (Kim Cương: 85-100đ)",IF(P873&gt;=70,"Tier A (Vàng: 70-84đ)",IF(P873&gt;=61,"Tier B+ / Cấp A (Hot Lead: 61-69đ)",IF(P873&gt;=50,"Tier B (Bạc: 50-60đ)","Tier C (Đồng: 30-49đ)")))))</f>
        <v/>
      </c>
      <c r="R873" s="6" t="inlineStr">
        <is>
          <t>Khay vệ sinh chung cư (Indoor Potty) + Thảm cỏ ban công (Grass Patch) + Đồ chơi</t>
        </is>
      </c>
      <c r="S873" s="6" t="inlineStr">
        <is>
          <t>Cấp C Chi phí thấp: Nhắn tin trực tiếp qua Fanpage Facebook/Instagram + Nuôi dưỡng nội dung</t>
        </is>
      </c>
    </row>
    <row r="874">
      <c r="A874" s="59" t="n">
        <v>2897</v>
      </c>
      <c r="B874" s="15" t="inlineStr">
        <is>
          <t>Sierra Petersen, CCIM - Coldwell Banker Commercial - Elko NV</t>
        </is>
      </c>
      <c r="C874" s="60" t="inlineStr">
        <is>
          <t>https://www.facebook.com/SierraPetersenCCIM</t>
        </is>
      </c>
      <c r="D874" s="9" t="inlineStr">
        <is>
          <t>Cần quét Bio Fanpage</t>
        </is>
      </c>
      <c r="E874" s="59" t="inlineStr">
        <is>
          <t>13/10/2026 02:29:20</t>
        </is>
      </c>
      <c r="F874" s="59" t="inlineStr">
        <is>
          <t>3 giờ trước</t>
        </is>
      </c>
      <c r="G874" s="61" t="n">
        <v>0.12</v>
      </c>
      <c r="H874" s="62" t="n">
        <v>35</v>
      </c>
      <c r="I874" s="9" t="inlineStr">
        <is>
          <t>Pet Owner / Cộng đồng nuôi cún (10đ)</t>
        </is>
      </c>
      <c r="J874" s="62" t="n">
        <v>10</v>
      </c>
      <c r="K874" s="9" t="inlineStr">
        <is>
          <t>Chưa rõ giống (Cần quét Bio)</t>
        </is>
      </c>
      <c r="L874" s="62" t="n">
        <v>0</v>
      </c>
      <c r="M874" s="62" t="n">
        <v>0</v>
      </c>
      <c r="N874" s="9" t="inlineStr">
        <is>
          <t>Amazon link not found</t>
        </is>
      </c>
      <c r="O874" s="62">
        <f>IF(N874="Selling pet toys + Artificial grass/Pet toilets (TARGET)",15,IF(N874="Selling artificial grass/pet toilets (TARGET)",10,IF(N874="Selling pet toys",7,IF(N874="There's an Amazon link, but no target sales.",3,0))))</f>
        <v/>
      </c>
      <c r="P874" s="67">
        <f>H874+J874+L874+M874+O874</f>
        <v/>
      </c>
      <c r="Q874" s="69">
        <f>IF(OR(H874=0,P874&lt;30),"Tier D (Đóng băng)",IF(P874&gt;=85,"Tier S (Kim Cương: 85-100đ)",IF(P874&gt;=70,"Tier A (Vàng: 70-84đ)",IF(P874&gt;=61,"Tier B+ / Cấp A (Hot Lead: 61-69đ)",IF(P874&gt;=50,"Tier B (Bạc: 50-60đ)","Tier C (Đồng: 30-49đ)")))))</f>
        <v/>
      </c>
      <c r="R874" s="9" t="inlineStr">
        <is>
          <t>Khay vệ sinh chung cư (Indoor Potty) + Thảm cỏ ban công (Grass Patch) + Đồ chơi</t>
        </is>
      </c>
      <c r="S874" s="9" t="inlineStr">
        <is>
          <t>Cấp C Chi phí thấp: Nhắn tin trực tiếp qua Fanpage Facebook/Instagram + Nuôi dưỡng nội dung</t>
        </is>
      </c>
    </row>
    <row r="875">
      <c r="A875" s="53" t="n">
        <v>2534</v>
      </c>
      <c r="B875" s="12" t="inlineStr">
        <is>
          <t>Pets Lifeline of Sonoma Valley</t>
        </is>
      </c>
      <c r="C875" s="54" t="inlineStr">
        <is>
          <t>https://www.facebook.com/PetsLifelineSonoma</t>
        </is>
      </c>
      <c r="D875" s="6" t="inlineStr">
        <is>
          <t>Cần quét Bio Fanpage</t>
        </is>
      </c>
      <c r="E875" s="53" t="inlineStr">
        <is>
          <t>13/10/2026 02:20:19</t>
        </is>
      </c>
      <c r="F875" s="53" t="inlineStr">
        <is>
          <t>3 giờ trước</t>
        </is>
      </c>
      <c r="G875" s="55" t="n">
        <v>0.12</v>
      </c>
      <c r="H875" s="56" t="n">
        <v>35</v>
      </c>
      <c r="I875" s="6" t="inlineStr">
        <is>
          <t>Pet Owner / Cộng đồng nuôi cún (10đ)</t>
        </is>
      </c>
      <c r="J875" s="56" t="n">
        <v>10</v>
      </c>
      <c r="K875" s="6" t="inlineStr">
        <is>
          <t>Chưa rõ giống (Cần quét Bio)</t>
        </is>
      </c>
      <c r="L875" s="56" t="n">
        <v>0</v>
      </c>
      <c r="M875" s="56" t="n">
        <v>0</v>
      </c>
      <c r="N875" s="6" t="inlineStr">
        <is>
          <t>Amazon link not found</t>
        </is>
      </c>
      <c r="O875" s="56">
        <f>IF(N875="Selling pet toys + Artificial grass/Pet toilets (TARGET)",15,IF(N875="Selling artificial grass/pet toilets (TARGET)",10,IF(N875="Selling pet toys",7,IF(N875="There's an Amazon link, but no target sales.",3,0))))</f>
        <v/>
      </c>
      <c r="P875" s="65">
        <f>H875+J875+L875+M875+O875</f>
        <v/>
      </c>
      <c r="Q875" s="69">
        <f>IF(OR(H875=0,P875&lt;30),"Tier D (Đóng băng)",IF(P875&gt;=85,"Tier S (Kim Cương: 85-100đ)",IF(P875&gt;=70,"Tier A (Vàng: 70-84đ)",IF(P875&gt;=61,"Tier B+ / Cấp A (Hot Lead: 61-69đ)",IF(P875&gt;=50,"Tier B (Bạc: 50-60đ)","Tier C (Đồng: 30-49đ)")))))</f>
        <v/>
      </c>
      <c r="R875" s="6" t="inlineStr">
        <is>
          <t>Khay vệ sinh chung cư (Indoor Potty) + Thảm cỏ ban công (Grass Patch) + Đồ chơi</t>
        </is>
      </c>
      <c r="S875" s="6" t="inlineStr">
        <is>
          <t>Cấp C Chi phí thấp: Nhắn tin trực tiếp qua Fanpage Facebook/Instagram + Nuôi dưỡng nội dung</t>
        </is>
      </c>
    </row>
    <row r="876">
      <c r="A876" s="59" t="n">
        <v>1117</v>
      </c>
      <c r="B876" s="15" t="inlineStr">
        <is>
          <t>Doges bhai</t>
        </is>
      </c>
      <c r="C876" s="60" t="inlineStr">
        <is>
          <t>https://www.facebook.com/profile.php?id=61594736826482</t>
        </is>
      </c>
      <c r="D876" s="9" t="inlineStr">
        <is>
          <t>Cần quét Bio Fanpage</t>
        </is>
      </c>
      <c r="E876" s="59" t="inlineStr">
        <is>
          <t>13/10/2026 02:11:37</t>
        </is>
      </c>
      <c r="F876" s="59" t="inlineStr">
        <is>
          <t>44 phút trước</t>
        </is>
      </c>
      <c r="G876" s="61" t="n">
        <v>0.03</v>
      </c>
      <c r="H876" s="62" t="n">
        <v>35</v>
      </c>
      <c r="I876" s="9" t="inlineStr">
        <is>
          <t>Pet Owner / Cộng đồng nuôi cún (10đ)</t>
        </is>
      </c>
      <c r="J876" s="62" t="n">
        <v>10</v>
      </c>
      <c r="K876" s="9" t="inlineStr">
        <is>
          <t>Chưa rõ giống (Cần quét Bio)</t>
        </is>
      </c>
      <c r="L876" s="62" t="n">
        <v>0</v>
      </c>
      <c r="M876" s="62" t="n">
        <v>0</v>
      </c>
      <c r="N876" s="9" t="inlineStr">
        <is>
          <t>Amazon link not found</t>
        </is>
      </c>
      <c r="O876" s="62">
        <f>IF(N876="Selling pet toys + Artificial grass/Pet toilets (TARGET)",15,IF(N876="Selling artificial grass/pet toilets (TARGET)",10,IF(N876="Selling pet toys",7,IF(N876="There's an Amazon link, but no target sales.",3,0))))</f>
        <v/>
      </c>
      <c r="P876" s="67">
        <f>H876+J876+L876+M876+O876</f>
        <v/>
      </c>
      <c r="Q876" s="69">
        <f>IF(OR(H876=0,P876&lt;30),"Tier D (Đóng băng)",IF(P876&gt;=85,"Tier S (Kim Cương: 85-100đ)",IF(P876&gt;=70,"Tier A (Vàng: 70-84đ)",IF(P876&gt;=61,"Tier B+ / Cấp A (Hot Lead: 61-69đ)",IF(P876&gt;=50,"Tier B (Bạc: 50-60đ)","Tier C (Đồng: 30-49đ)")))))</f>
        <v/>
      </c>
      <c r="R876" s="9" t="inlineStr">
        <is>
          <t>Khay vệ sinh chung cư (Indoor Potty) + Thảm cỏ ban công (Grass Patch) + Đồ chơi</t>
        </is>
      </c>
      <c r="S876" s="9" t="inlineStr">
        <is>
          <t>Cấp C Chi phí thấp: Nhắn tin trực tiếp qua Fanpage Facebook/Instagram + Nuôi dưỡng nội dung</t>
        </is>
      </c>
    </row>
    <row r="877">
      <c r="A877" s="53" t="n">
        <v>1571</v>
      </c>
      <c r="B877" s="12" t="inlineStr">
        <is>
          <t>Groom dogs with me</t>
        </is>
      </c>
      <c r="C877" s="54" t="inlineStr">
        <is>
          <t>https://www.facebook.com/profile.php?id=61572115613486</t>
        </is>
      </c>
      <c r="D877" s="6" t="inlineStr">
        <is>
          <t>Cần quét Bio Fanpage</t>
        </is>
      </c>
      <c r="E877" s="53" t="inlineStr">
        <is>
          <t>13/10/2026 02:09:29</t>
        </is>
      </c>
      <c r="F877" s="53" t="inlineStr">
        <is>
          <t>1 giờ trước</t>
        </is>
      </c>
      <c r="G877" s="55" t="n">
        <v>0.04</v>
      </c>
      <c r="H877" s="56" t="n">
        <v>35</v>
      </c>
      <c r="I877" s="6" t="inlineStr">
        <is>
          <t>Pet Owner / Cộng đồng nuôi cún (10đ)</t>
        </is>
      </c>
      <c r="J877" s="56" t="n">
        <v>10</v>
      </c>
      <c r="K877" s="6" t="inlineStr">
        <is>
          <t>Chưa rõ giống (Cần quét Bio)</t>
        </is>
      </c>
      <c r="L877" s="56" t="n">
        <v>0</v>
      </c>
      <c r="M877" s="56" t="n">
        <v>0</v>
      </c>
      <c r="N877" s="6" t="inlineStr">
        <is>
          <t>Amazon link not found</t>
        </is>
      </c>
      <c r="O877" s="56">
        <f>IF(N877="Selling pet toys + Artificial grass/Pet toilets (TARGET)",15,IF(N877="Selling artificial grass/pet toilets (TARGET)",10,IF(N877="Selling pet toys",7,IF(N877="There's an Amazon link, but no target sales.",3,0))))</f>
        <v/>
      </c>
      <c r="P877" s="65">
        <f>H877+J877+L877+M877+O877</f>
        <v/>
      </c>
      <c r="Q877" s="69">
        <f>IF(OR(H877=0,P877&lt;30),"Tier D (Đóng băng)",IF(P877&gt;=85,"Tier S (Kim Cương: 85-100đ)",IF(P877&gt;=70,"Tier A (Vàng: 70-84đ)",IF(P877&gt;=61,"Tier B+ / Cấp A (Hot Lead: 61-69đ)",IF(P877&gt;=50,"Tier B (Bạc: 50-60đ)","Tier C (Đồng: 30-49đ)")))))</f>
        <v/>
      </c>
      <c r="R877" s="6" t="inlineStr">
        <is>
          <t>Khay vệ sinh chung cư (Indoor Potty) + Thảm cỏ ban công (Grass Patch) + Đồ chơi</t>
        </is>
      </c>
      <c r="S877" s="6" t="inlineStr">
        <is>
          <t>Cấp C Chi phí thấp: Nhắn tin trực tiếp qua Fanpage Facebook/Instagram + Nuôi dưỡng nội dung</t>
        </is>
      </c>
    </row>
    <row r="878">
      <c r="A878" s="59" t="n">
        <v>805</v>
      </c>
      <c r="B878" s="15" t="inlineStr">
        <is>
          <t>C4 Pet Photography</t>
        </is>
      </c>
      <c r="C878" s="60" t="inlineStr">
        <is>
          <t>https://www.facebook.com/C4PETPHOTOS</t>
        </is>
      </c>
      <c r="D878" s="9" t="inlineStr">
        <is>
          <t>Cần quét Bio Fanpage</t>
        </is>
      </c>
      <c r="E878" s="59" t="inlineStr">
        <is>
          <t>13/10/2026 02:01:25</t>
        </is>
      </c>
      <c r="F878" s="59" t="inlineStr">
        <is>
          <t>20 phút trước</t>
        </is>
      </c>
      <c r="G878" s="61" t="n">
        <v>0.01</v>
      </c>
      <c r="H878" s="62" t="n">
        <v>35</v>
      </c>
      <c r="I878" s="9" t="inlineStr">
        <is>
          <t>Pet Owner / Cộng đồng nuôi cún (10đ)</t>
        </is>
      </c>
      <c r="J878" s="62" t="n">
        <v>10</v>
      </c>
      <c r="K878" s="9" t="inlineStr">
        <is>
          <t>Chưa rõ giống (Cần quét Bio)</t>
        </is>
      </c>
      <c r="L878" s="62" t="n">
        <v>0</v>
      </c>
      <c r="M878" s="62" t="n">
        <v>0</v>
      </c>
      <c r="N878" s="9" t="inlineStr">
        <is>
          <t>Amazon link not found</t>
        </is>
      </c>
      <c r="O878" s="62">
        <f>IF(N878="Selling pet toys + Artificial grass/Pet toilets (TARGET)",15,IF(N878="Selling artificial grass/pet toilets (TARGET)",10,IF(N878="Selling pet toys",7,IF(N878="There's an Amazon link, but no target sales.",3,0))))</f>
        <v/>
      </c>
      <c r="P878" s="67">
        <f>H878+J878+L878+M878+O878</f>
        <v/>
      </c>
      <c r="Q878" s="69">
        <f>IF(OR(H878=0,P878&lt;30),"Tier D (Đóng băng)",IF(P878&gt;=85,"Tier S (Kim Cương: 85-100đ)",IF(P878&gt;=70,"Tier A (Vàng: 70-84đ)",IF(P878&gt;=61,"Tier B+ / Cấp A (Hot Lead: 61-69đ)",IF(P878&gt;=50,"Tier B (Bạc: 50-60đ)","Tier C (Đồng: 30-49đ)")))))</f>
        <v/>
      </c>
      <c r="R878" s="9" t="inlineStr">
        <is>
          <t>Khay vệ sinh chung cư (Indoor Potty) + Thảm cỏ ban công (Grass Patch) + Đồ chơi</t>
        </is>
      </c>
      <c r="S878" s="9" t="inlineStr">
        <is>
          <t>Cấp C Chi phí thấp: Nhắn tin trực tiếp qua Fanpage Facebook/Instagram + Nuôi dưỡng nội dung</t>
        </is>
      </c>
    </row>
    <row r="879">
      <c r="A879" s="53" t="n">
        <v>2222</v>
      </c>
      <c r="B879" s="12" t="inlineStr">
        <is>
          <t>Moura Stock Dogs</t>
        </is>
      </c>
      <c r="C879" s="54" t="inlineStr">
        <is>
          <t>https://www.facebook.com/mourastockdogs</t>
        </is>
      </c>
      <c r="D879" s="6" t="inlineStr">
        <is>
          <t>Cần quét Bio Fanpage</t>
        </is>
      </c>
      <c r="E879" s="53" t="inlineStr">
        <is>
          <t>13/10/2026 01:58:31</t>
        </is>
      </c>
      <c r="F879" s="53" t="inlineStr">
        <is>
          <t>2 giờ trước</t>
        </is>
      </c>
      <c r="G879" s="55" t="n">
        <v>0.08</v>
      </c>
      <c r="H879" s="56" t="n">
        <v>35</v>
      </c>
      <c r="I879" s="6" t="inlineStr">
        <is>
          <t>Pet Owner / Cộng đồng nuôi cún (10đ)</t>
        </is>
      </c>
      <c r="J879" s="56" t="n">
        <v>10</v>
      </c>
      <c r="K879" s="6" t="inlineStr">
        <is>
          <t>Chưa rõ giống (Cần quét Bio)</t>
        </is>
      </c>
      <c r="L879" s="56" t="n">
        <v>0</v>
      </c>
      <c r="M879" s="56" t="n">
        <v>0</v>
      </c>
      <c r="N879" s="6" t="inlineStr">
        <is>
          <t>Amazon link not found</t>
        </is>
      </c>
      <c r="O879" s="56">
        <f>IF(N879="Selling pet toys + Artificial grass/Pet toilets (TARGET)",15,IF(N879="Selling artificial grass/pet toilets (TARGET)",10,IF(N879="Selling pet toys",7,IF(N879="There's an Amazon link, but no target sales.",3,0))))</f>
        <v/>
      </c>
      <c r="P879" s="65">
        <f>H879+J879+L879+M879+O879</f>
        <v/>
      </c>
      <c r="Q879" s="69">
        <f>IF(OR(H879=0,P879&lt;30),"Tier D (Đóng băng)",IF(P879&gt;=85,"Tier S (Kim Cương: 85-100đ)",IF(P879&gt;=70,"Tier A (Vàng: 70-84đ)",IF(P879&gt;=61,"Tier B+ / Cấp A (Hot Lead: 61-69đ)",IF(P879&gt;=50,"Tier B (Bạc: 50-60đ)","Tier C (Đồng: 30-49đ)")))))</f>
        <v/>
      </c>
      <c r="R879" s="6" t="inlineStr">
        <is>
          <t>Khay vệ sinh chung cư (Indoor Potty) + Thảm cỏ ban công (Grass Patch) + Đồ chơi</t>
        </is>
      </c>
      <c r="S879" s="6" t="inlineStr">
        <is>
          <t>Cấp C Chi phí thấp: Nhắn tin trực tiếp qua Fanpage Facebook/Instagram + Nuôi dưỡng nội dung</t>
        </is>
      </c>
    </row>
    <row r="880">
      <c r="A880" s="59" t="n">
        <v>1518</v>
      </c>
      <c r="B880" s="15" t="inlineStr">
        <is>
          <t>Gold Rush Competition</t>
        </is>
      </c>
      <c r="C880" s="60" t="inlineStr">
        <is>
          <t>https://www.facebook.com/profile.php?id=100063748232797</t>
        </is>
      </c>
      <c r="D880" s="9" t="inlineStr">
        <is>
          <t>Cần quét Bio Fanpage</t>
        </is>
      </c>
      <c r="E880" s="59" t="inlineStr">
        <is>
          <t>13/10/2026 01:48:29</t>
        </is>
      </c>
      <c r="F880" s="59" t="inlineStr">
        <is>
          <t>1 giờ trước</t>
        </is>
      </c>
      <c r="G880" s="61" t="n">
        <v>0.04</v>
      </c>
      <c r="H880" s="62" t="n">
        <v>35</v>
      </c>
      <c r="I880" s="9" t="inlineStr">
        <is>
          <t>Pet Owner / Cộng đồng nuôi cún (10đ)</t>
        </is>
      </c>
      <c r="J880" s="62" t="n">
        <v>10</v>
      </c>
      <c r="K880" s="9" t="inlineStr">
        <is>
          <t>Chưa rõ giống (Cần quét Bio)</t>
        </is>
      </c>
      <c r="L880" s="62" t="n">
        <v>0</v>
      </c>
      <c r="M880" s="62" t="n">
        <v>0</v>
      </c>
      <c r="N880" s="9" t="inlineStr">
        <is>
          <t>Amazon link not found</t>
        </is>
      </c>
      <c r="O880" s="62">
        <f>IF(N880="Selling pet toys + Artificial grass/Pet toilets (TARGET)",15,IF(N880="Selling artificial grass/pet toilets (TARGET)",10,IF(N880="Selling pet toys",7,IF(N880="There's an Amazon link, but no target sales.",3,0))))</f>
        <v/>
      </c>
      <c r="P880" s="67">
        <f>H880+J880+L880+M880+O880</f>
        <v/>
      </c>
      <c r="Q880" s="69">
        <f>IF(OR(H880=0,P880&lt;30),"Tier D (Đóng băng)",IF(P880&gt;=85,"Tier S (Kim Cương: 85-100đ)",IF(P880&gt;=70,"Tier A (Vàng: 70-84đ)",IF(P880&gt;=61,"Tier B+ / Cấp A (Hot Lead: 61-69đ)",IF(P880&gt;=50,"Tier B (Bạc: 50-60đ)","Tier C (Đồng: 30-49đ)")))))</f>
        <v/>
      </c>
      <c r="R880" s="9" t="inlineStr">
        <is>
          <t>Khay vệ sinh chung cư (Indoor Potty) + Thảm cỏ ban công (Grass Patch) + Đồ chơi</t>
        </is>
      </c>
      <c r="S880" s="9" t="inlineStr">
        <is>
          <t>Cấp C Chi phí thấp: Nhắn tin trực tiếp qua Fanpage Facebook/Instagram + Nuôi dưỡng nội dung</t>
        </is>
      </c>
    </row>
    <row r="881">
      <c r="A881" s="53" t="n">
        <v>2372</v>
      </c>
      <c r="B881" s="12" t="inlineStr">
        <is>
          <t>ORIJEN Dog and Cat Food</t>
        </is>
      </c>
      <c r="C881" s="54" t="inlineStr">
        <is>
          <t>https://www.facebook.com/ORIJENPetFoods</t>
        </is>
      </c>
      <c r="D881" s="6" t="inlineStr">
        <is>
          <t>Cần quét Bio Fanpage</t>
        </is>
      </c>
      <c r="E881" s="53" t="inlineStr">
        <is>
          <t>13/10/2026 01:47:05</t>
        </is>
      </c>
      <c r="F881" s="53" t="inlineStr">
        <is>
          <t>3 giờ trước</t>
        </is>
      </c>
      <c r="G881" s="55" t="n">
        <v>0.12</v>
      </c>
      <c r="H881" s="56" t="n">
        <v>35</v>
      </c>
      <c r="I881" s="6" t="inlineStr">
        <is>
          <t>Pet Owner / Cộng đồng nuôi cún (10đ)</t>
        </is>
      </c>
      <c r="J881" s="56" t="n">
        <v>10</v>
      </c>
      <c r="K881" s="6" t="inlineStr">
        <is>
          <t>Chưa rõ giống (Cần quét Bio)</t>
        </is>
      </c>
      <c r="L881" s="56" t="n">
        <v>0</v>
      </c>
      <c r="M881" s="56" t="n">
        <v>0</v>
      </c>
      <c r="N881" s="6" t="inlineStr">
        <is>
          <t>Amazon link not found</t>
        </is>
      </c>
      <c r="O881" s="56">
        <f>IF(N881="Selling pet toys + Artificial grass/Pet toilets (TARGET)",15,IF(N881="Selling artificial grass/pet toilets (TARGET)",10,IF(N881="Selling pet toys",7,IF(N881="There's an Amazon link, but no target sales.",3,0))))</f>
        <v/>
      </c>
      <c r="P881" s="65">
        <f>H881+J881+L881+M881+O881</f>
        <v/>
      </c>
      <c r="Q881" s="69">
        <f>IF(OR(H881=0,P881&lt;30),"Tier D (Đóng băng)",IF(P881&gt;=85,"Tier S (Kim Cương: 85-100đ)",IF(P881&gt;=70,"Tier A (Vàng: 70-84đ)",IF(P881&gt;=61,"Tier B+ / Cấp A (Hot Lead: 61-69đ)",IF(P881&gt;=50,"Tier B (Bạc: 50-60đ)","Tier C (Đồng: 30-49đ)")))))</f>
        <v/>
      </c>
      <c r="R881" s="6" t="inlineStr">
        <is>
          <t>Khay vệ sinh chung cư (Indoor Potty) + Thảm cỏ ban công (Grass Patch) + Đồ chơi</t>
        </is>
      </c>
      <c r="S881" s="6" t="inlineStr">
        <is>
          <t>Cấp C Chi phí thấp: Nhắn tin trực tiếp qua Fanpage Facebook/Instagram + Nuôi dưỡng nội dung</t>
        </is>
      </c>
    </row>
    <row r="882">
      <c r="A882" s="59" t="n">
        <v>1177</v>
      </c>
      <c r="B882" s="15" t="inlineStr">
        <is>
          <t>Dogs Playing for Life</t>
        </is>
      </c>
      <c r="C882" s="60" t="inlineStr">
        <is>
          <t>https://www.facebook.com/DogsPlayingForLife</t>
        </is>
      </c>
      <c r="D882" s="9" t="inlineStr">
        <is>
          <t>Cần quét Bio Fanpage</t>
        </is>
      </c>
      <c r="E882" s="59" t="inlineStr">
        <is>
          <t>13/10/2026 01:43:00</t>
        </is>
      </c>
      <c r="F882" s="59" t="inlineStr">
        <is>
          <t>1 giờ trước</t>
        </is>
      </c>
      <c r="G882" s="61" t="n">
        <v>0.04</v>
      </c>
      <c r="H882" s="62" t="n">
        <v>35</v>
      </c>
      <c r="I882" s="9" t="inlineStr">
        <is>
          <t>Pet Owner / Kênh cá nhân thú cưng (10đ)</t>
        </is>
      </c>
      <c r="J882" s="62" t="n">
        <v>10</v>
      </c>
      <c r="K882" s="9" t="inlineStr">
        <is>
          <t>Chưa rõ giống (Cần quét Bio)</t>
        </is>
      </c>
      <c r="L882" s="62" t="n">
        <v>0</v>
      </c>
      <c r="M882" s="62" t="n">
        <v>0</v>
      </c>
      <c r="N882" s="9" t="inlineStr">
        <is>
          <t>Amazon link not found</t>
        </is>
      </c>
      <c r="O882" s="62">
        <f>IF(N882="Selling pet toys + Artificial grass/Pet toilets (TARGET)",15,IF(N882="Selling artificial grass/pet toilets (TARGET)",10,IF(N882="Selling pet toys",7,IF(N882="There's an Amazon link, but no target sales.",3,0))))</f>
        <v/>
      </c>
      <c r="P882" s="67">
        <f>H882+J882+L882+M882+O882</f>
        <v/>
      </c>
      <c r="Q882" s="69">
        <f>IF(OR(H882=0,P882&lt;30),"Tier D (Đóng băng)",IF(P882&gt;=85,"Tier S (Kim Cương: 85-100đ)",IF(P882&gt;=70,"Tier A (Vàng: 70-84đ)",IF(P882&gt;=61,"Tier B+ / Cấp A (Hot Lead: 61-69đ)",IF(P882&gt;=50,"Tier B (Bạc: 50-60đ)","Tier C (Đồng: 30-49đ)")))))</f>
        <v/>
      </c>
      <c r="R882" s="9" t="inlineStr">
        <is>
          <t>Khay vệ sinh trong nhà (Indoor Dog Potty) + Đồ chơi thú cưng lẻ</t>
        </is>
      </c>
      <c r="S882" s="9" t="inlineStr">
        <is>
          <t>Cấp C Chi phí thấp: Nhắn tin trực tiếp qua Fanpage Facebook/Instagram + Nuôi dưỡng nội dung</t>
        </is>
      </c>
    </row>
    <row r="883">
      <c r="A883" s="53" t="n">
        <v>2259</v>
      </c>
      <c r="B883" s="12" t="inlineStr">
        <is>
          <t>Natanael Scarpeta</t>
        </is>
      </c>
      <c r="C883" s="54" t="inlineStr">
        <is>
          <t>https://www.facebook.com/profile.php?id=61584169142887</t>
        </is>
      </c>
      <c r="D883" s="6" t="inlineStr">
        <is>
          <t>Cần quét Bio Fanpage</t>
        </is>
      </c>
      <c r="E883" s="53" t="inlineStr">
        <is>
          <t>13/10/2026 01:42:47</t>
        </is>
      </c>
      <c r="F883" s="53" t="inlineStr">
        <is>
          <t>3 giờ trước</t>
        </is>
      </c>
      <c r="G883" s="55" t="n">
        <v>0.12</v>
      </c>
      <c r="H883" s="56" t="n">
        <v>35</v>
      </c>
      <c r="I883" s="6" t="inlineStr">
        <is>
          <t>Pet Owner / Cộng đồng nuôi cún (10đ)</t>
        </is>
      </c>
      <c r="J883" s="56" t="n">
        <v>10</v>
      </c>
      <c r="K883" s="6" t="inlineStr">
        <is>
          <t>Chưa rõ giống (Cần quét Bio)</t>
        </is>
      </c>
      <c r="L883" s="56" t="n">
        <v>0</v>
      </c>
      <c r="M883" s="56" t="n">
        <v>0</v>
      </c>
      <c r="N883" s="6" t="inlineStr">
        <is>
          <t>Amazon link not found</t>
        </is>
      </c>
      <c r="O883" s="56">
        <f>IF(N883="Selling pet toys + Artificial grass/Pet toilets (TARGET)",15,IF(N883="Selling artificial grass/pet toilets (TARGET)",10,IF(N883="Selling pet toys",7,IF(N883="There's an Amazon link, but no target sales.",3,0))))</f>
        <v/>
      </c>
      <c r="P883" s="65">
        <f>H883+J883+L883+M883+O883</f>
        <v/>
      </c>
      <c r="Q883" s="69">
        <f>IF(OR(H883=0,P883&lt;30),"Tier D (Đóng băng)",IF(P883&gt;=85,"Tier S (Kim Cương: 85-100đ)",IF(P883&gt;=70,"Tier A (Vàng: 70-84đ)",IF(P883&gt;=61,"Tier B+ / Cấp A (Hot Lead: 61-69đ)",IF(P883&gt;=50,"Tier B (Bạc: 50-60đ)","Tier C (Đồng: 30-49đ)")))))</f>
        <v/>
      </c>
      <c r="R883" s="6" t="inlineStr">
        <is>
          <t>Khay vệ sinh chung cư (Indoor Potty) + Thảm cỏ ban công (Grass Patch) + Đồ chơi</t>
        </is>
      </c>
      <c r="S883" s="6" t="inlineStr">
        <is>
          <t>Cấp C Chi phí thấp: Nhắn tin trực tiếp qua Fanpage Facebook/Instagram + Nuôi dưỡng nội dung</t>
        </is>
      </c>
    </row>
    <row r="884">
      <c r="A884" s="59" t="n">
        <v>1441</v>
      </c>
      <c r="B884" s="15" t="inlineStr">
        <is>
          <t>Frenchbulldog.l.ove</t>
        </is>
      </c>
      <c r="C884" s="60" t="inlineStr">
        <is>
          <t>https://www.facebook.com/profile.php?id=61582489124797</t>
        </is>
      </c>
      <c r="D884" s="9" t="inlineStr">
        <is>
          <t>Cần quét Bio Fanpage</t>
        </is>
      </c>
      <c r="E884" s="59" t="inlineStr">
        <is>
          <t>13/10/2026 01:32:24</t>
        </is>
      </c>
      <c r="F884" s="59" t="inlineStr">
        <is>
          <t>1 giờ trước</t>
        </is>
      </c>
      <c r="G884" s="61" t="n">
        <v>0.04</v>
      </c>
      <c r="H884" s="62" t="n">
        <v>35</v>
      </c>
      <c r="I884" s="9" t="inlineStr">
        <is>
          <t>Pet Owner / Cộng đồng nuôi cún (10đ)</t>
        </is>
      </c>
      <c r="J884" s="62" t="n">
        <v>10</v>
      </c>
      <c r="K884" s="9" t="inlineStr">
        <is>
          <t>Chưa rõ giống (Cần quét Bio)</t>
        </is>
      </c>
      <c r="L884" s="62" t="n">
        <v>0</v>
      </c>
      <c r="M884" s="62" t="n">
        <v>0</v>
      </c>
      <c r="N884" s="9" t="inlineStr">
        <is>
          <t>Amazon link not found</t>
        </is>
      </c>
      <c r="O884" s="62">
        <f>IF(N884="Selling pet toys + Artificial grass/Pet toilets (TARGET)",15,IF(N884="Selling artificial grass/pet toilets (TARGET)",10,IF(N884="Selling pet toys",7,IF(N884="There's an Amazon link, but no target sales.",3,0))))</f>
        <v/>
      </c>
      <c r="P884" s="67">
        <f>H884+J884+L884+M884+O884</f>
        <v/>
      </c>
      <c r="Q884" s="69">
        <f>IF(OR(H884=0,P884&lt;30),"Tier D (Đóng băng)",IF(P884&gt;=85,"Tier S (Kim Cương: 85-100đ)",IF(P884&gt;=70,"Tier A (Vàng: 70-84đ)",IF(P884&gt;=61,"Tier B+ / Cấp A (Hot Lead: 61-69đ)",IF(P884&gt;=50,"Tier B (Bạc: 50-60đ)","Tier C (Đồng: 30-49đ)")))))</f>
        <v/>
      </c>
      <c r="R884" s="9" t="inlineStr">
        <is>
          <t>Khay vệ sinh chung cư (Indoor Potty) + Thảm cỏ ban công (Grass Patch) + Đồ chơi</t>
        </is>
      </c>
      <c r="S884" s="9" t="inlineStr">
        <is>
          <t>Cấp C Chi phí thấp: Nhắn tin trực tiếp qua Fanpage Facebook/Instagram + Nuôi dưỡng nội dung</t>
        </is>
      </c>
    </row>
    <row r="885">
      <c r="A885" s="53" t="n">
        <v>760</v>
      </c>
      <c r="B885" s="12" t="inlineStr">
        <is>
          <t>Bright Leaf Hot Dogs</t>
        </is>
      </c>
      <c r="C885" s="54" t="inlineStr">
        <is>
          <t>https://www.facebook.com/brightleafhotdogs</t>
        </is>
      </c>
      <c r="D885" s="6" t="inlineStr">
        <is>
          <t>Cần quét Bio Fanpage</t>
        </is>
      </c>
      <c r="E885" s="53" t="inlineStr">
        <is>
          <t>13/10/2026 01:27:37</t>
        </is>
      </c>
      <c r="F885" s="53" t="inlineStr">
        <is>
          <t>49 phút trước</t>
        </is>
      </c>
      <c r="G885" s="55" t="n">
        <v>0.03</v>
      </c>
      <c r="H885" s="56" t="n">
        <v>35</v>
      </c>
      <c r="I885" s="6" t="inlineStr">
        <is>
          <t>Pet Owner / Cộng đồng nuôi cún (10đ)</t>
        </is>
      </c>
      <c r="J885" s="56" t="n">
        <v>10</v>
      </c>
      <c r="K885" s="6" t="inlineStr">
        <is>
          <t>Chưa rõ giống (Cần quét Bio)</t>
        </is>
      </c>
      <c r="L885" s="56" t="n">
        <v>0</v>
      </c>
      <c r="M885" s="56" t="n">
        <v>0</v>
      </c>
      <c r="N885" s="6" t="inlineStr">
        <is>
          <t>Amazon link not found</t>
        </is>
      </c>
      <c r="O885" s="56">
        <f>IF(N885="Selling pet toys + Artificial grass/Pet toilets (TARGET)",15,IF(N885="Selling artificial grass/pet toilets (TARGET)",10,IF(N885="Selling pet toys",7,IF(N885="There's an Amazon link, but no target sales.",3,0))))</f>
        <v/>
      </c>
      <c r="P885" s="65">
        <f>H885+J885+L885+M885+O885</f>
        <v/>
      </c>
      <c r="Q885" s="69">
        <f>IF(OR(H885=0,P885&lt;30),"Tier D (Đóng băng)",IF(P885&gt;=85,"Tier S (Kim Cương: 85-100đ)",IF(P885&gt;=70,"Tier A (Vàng: 70-84đ)",IF(P885&gt;=61,"Tier B+ / Cấp A (Hot Lead: 61-69đ)",IF(P885&gt;=50,"Tier B (Bạc: 50-60đ)","Tier C (Đồng: 30-49đ)")))))</f>
        <v/>
      </c>
      <c r="R885" s="6" t="inlineStr">
        <is>
          <t>Khay vệ sinh chung cư (Indoor Potty) + Thảm cỏ ban công (Grass Patch) + Đồ chơi</t>
        </is>
      </c>
      <c r="S885" s="6" t="inlineStr">
        <is>
          <t>Cấp C Chi phí thấp: Nhắn tin trực tiếp qua Fanpage Facebook/Instagram + Nuôi dưỡng nội dung</t>
        </is>
      </c>
    </row>
    <row r="886">
      <c r="A886" s="59" t="n">
        <v>273</v>
      </c>
      <c r="B886" s="15" t="inlineStr">
        <is>
          <t>STSK9 Laura</t>
        </is>
      </c>
      <c r="C886" s="60" t="inlineStr">
        <is>
          <t>https://www.facebook.com/dogtrainingwithlaura</t>
        </is>
      </c>
      <c r="D886" s="9" t="inlineStr">
        <is>
          <t>Cần quét Bio Fanpage</t>
        </is>
      </c>
      <c r="E886" s="59" t="inlineStr">
        <is>
          <t>13/10/2026 01:15:53</t>
        </is>
      </c>
      <c r="F886" s="59" t="inlineStr">
        <is>
          <t>8 phút trước</t>
        </is>
      </c>
      <c r="G886" s="61" t="n">
        <v>0.01</v>
      </c>
      <c r="H886" s="62" t="n">
        <v>35</v>
      </c>
      <c r="I886" s="9" t="inlineStr">
        <is>
          <t>Pet Owner / Cộng đồng nuôi cún (10đ)</t>
        </is>
      </c>
      <c r="J886" s="62" t="n">
        <v>10</v>
      </c>
      <c r="K886" s="9" t="inlineStr">
        <is>
          <t>Chưa rõ giống (Cần quét Bio)</t>
        </is>
      </c>
      <c r="L886" s="62" t="n">
        <v>0</v>
      </c>
      <c r="M886" s="62" t="n">
        <v>0</v>
      </c>
      <c r="N886" s="9" t="inlineStr">
        <is>
          <t>Amazon link not found</t>
        </is>
      </c>
      <c r="O886" s="62">
        <f>IF(N886="Selling pet toys + Artificial grass/Pet toilets (TARGET)",15,IF(N886="Selling artificial grass/pet toilets (TARGET)",10,IF(N886="Selling pet toys",7,IF(N886="There's an Amazon link, but no target sales.",3,0))))</f>
        <v/>
      </c>
      <c r="P886" s="67">
        <f>H886+J886+L886+M886+O886</f>
        <v/>
      </c>
      <c r="Q886" s="69">
        <f>IF(OR(H886=0,P886&lt;30),"Tier D (Đóng băng)",IF(P886&gt;=85,"Tier S (Kim Cương: 85-100đ)",IF(P886&gt;=70,"Tier A (Vàng: 70-84đ)",IF(P886&gt;=61,"Tier B+ / Cấp A (Hot Lead: 61-69đ)",IF(P886&gt;=50,"Tier B (Bạc: 50-60đ)","Tier C (Đồng: 30-49đ)")))))</f>
        <v/>
      </c>
      <c r="R886" s="9" t="inlineStr">
        <is>
          <t>Khay vệ sinh chung cư (Indoor Potty) + Thảm cỏ ban công (Grass Patch) + Đồ chơi</t>
        </is>
      </c>
      <c r="S886" s="9" t="inlineStr">
        <is>
          <t>Cấp C Chi phí thấp: Nhắn tin trực tiếp qua Fanpage Facebook/Instagram + Nuôi dưỡng nội dung</t>
        </is>
      </c>
    </row>
    <row r="887">
      <c r="A887" s="53" t="n">
        <v>192</v>
      </c>
      <c r="B887" s="12" t="inlineStr">
        <is>
          <t>I Love Dogs</t>
        </is>
      </c>
      <c r="C887" s="54" t="inlineStr">
        <is>
          <t>https://www.facebook.com/mydogmakesmehappy</t>
        </is>
      </c>
      <c r="D887" s="6" t="inlineStr">
        <is>
          <t>Cần quét Bio Fanpage</t>
        </is>
      </c>
      <c r="E887" s="53" t="inlineStr">
        <is>
          <t>13/10/2026 01:15:14</t>
        </is>
      </c>
      <c r="F887" s="53" t="inlineStr">
        <is>
          <t>vừa xong</t>
        </is>
      </c>
      <c r="G887" s="55" t="n">
        <v>0</v>
      </c>
      <c r="H887" s="56" t="n">
        <v>35</v>
      </c>
      <c r="I887" s="6" t="inlineStr">
        <is>
          <t>Pet Owner / Cộng đồng nuôi cún (10đ)</t>
        </is>
      </c>
      <c r="J887" s="56" t="n">
        <v>10</v>
      </c>
      <c r="K887" s="6" t="inlineStr">
        <is>
          <t>Chưa rõ giống (Cần quét Bio)</t>
        </is>
      </c>
      <c r="L887" s="56" t="n">
        <v>0</v>
      </c>
      <c r="M887" s="56" t="n">
        <v>0</v>
      </c>
      <c r="N887" s="6" t="inlineStr">
        <is>
          <t>Amazon link not found</t>
        </is>
      </c>
      <c r="O887" s="56">
        <f>IF(N887="Selling pet toys + Artificial grass/Pet toilets (TARGET)",15,IF(N887="Selling artificial grass/pet toilets (TARGET)",10,IF(N887="Selling pet toys",7,IF(N887="There's an Amazon link, but no target sales.",3,0))))</f>
        <v/>
      </c>
      <c r="P887" s="65">
        <f>H887+J887+L887+M887+O887</f>
        <v/>
      </c>
      <c r="Q887" s="69">
        <f>IF(OR(H887=0,P887&lt;30),"Tier D (Đóng băng)",IF(P887&gt;=85,"Tier S (Kim Cương: 85-100đ)",IF(P887&gt;=70,"Tier A (Vàng: 70-84đ)",IF(P887&gt;=61,"Tier B+ / Cấp A (Hot Lead: 61-69đ)",IF(P887&gt;=50,"Tier B (Bạc: 50-60đ)","Tier C (Đồng: 30-49đ)")))))</f>
        <v/>
      </c>
      <c r="R887" s="6" t="inlineStr">
        <is>
          <t>Khay vệ sinh chung cư (Indoor Potty) + Thảm cỏ ban công (Grass Patch) + Đồ chơi</t>
        </is>
      </c>
      <c r="S887" s="6" t="inlineStr">
        <is>
          <t>Cấp C Chi phí thấp: Nhắn tin trực tiếp qua Fanpage Facebook/Instagram + Nuôi dưỡng nội dung</t>
        </is>
      </c>
    </row>
    <row r="888">
      <c r="A888" s="59" t="n">
        <v>2066</v>
      </c>
      <c r="B888" s="15" t="inlineStr">
        <is>
          <t>Loyal dogs eat</t>
        </is>
      </c>
      <c r="C888" s="60" t="inlineStr">
        <is>
          <t>https://www.facebook.com/profile.php?id=61584790846418</t>
        </is>
      </c>
      <c r="D888" s="9" t="inlineStr">
        <is>
          <t>Cần quét Bio Fanpage</t>
        </is>
      </c>
      <c r="E888" s="59" t="inlineStr">
        <is>
          <t>13/10/2026 01:06:58</t>
        </is>
      </c>
      <c r="F888" s="59" t="inlineStr">
        <is>
          <t>3 giờ trước</t>
        </is>
      </c>
      <c r="G888" s="61" t="n">
        <v>0.12</v>
      </c>
      <c r="H888" s="62" t="n">
        <v>35</v>
      </c>
      <c r="I888" s="9" t="inlineStr">
        <is>
          <t>Pet Owner / Cộng đồng nuôi cún (10đ)</t>
        </is>
      </c>
      <c r="J888" s="62" t="n">
        <v>10</v>
      </c>
      <c r="K888" s="9" t="inlineStr">
        <is>
          <t>Chưa rõ giống (Cần quét Bio)</t>
        </is>
      </c>
      <c r="L888" s="62" t="n">
        <v>0</v>
      </c>
      <c r="M888" s="62" t="n">
        <v>0</v>
      </c>
      <c r="N888" s="9" t="inlineStr">
        <is>
          <t>Amazon link not found</t>
        </is>
      </c>
      <c r="O888" s="62">
        <f>IF(N888="Selling pet toys + Artificial grass/Pet toilets (TARGET)",15,IF(N888="Selling artificial grass/pet toilets (TARGET)",10,IF(N888="Selling pet toys",7,IF(N888="There's an Amazon link, but no target sales.",3,0))))</f>
        <v/>
      </c>
      <c r="P888" s="67">
        <f>H888+J888+L888+M888+O888</f>
        <v/>
      </c>
      <c r="Q888" s="69">
        <f>IF(OR(H888=0,P888&lt;30),"Tier D (Đóng băng)",IF(P888&gt;=85,"Tier S (Kim Cương: 85-100đ)",IF(P888&gt;=70,"Tier A (Vàng: 70-84đ)",IF(P888&gt;=61,"Tier B+ / Cấp A (Hot Lead: 61-69đ)",IF(P888&gt;=50,"Tier B (Bạc: 50-60đ)","Tier C (Đồng: 30-49đ)")))))</f>
        <v/>
      </c>
      <c r="R888" s="9" t="inlineStr">
        <is>
          <t>Khay vệ sinh chung cư (Indoor Potty) + Thảm cỏ ban công (Grass Patch) + Đồ chơi</t>
        </is>
      </c>
      <c r="S888" s="9" t="inlineStr">
        <is>
          <t>Cấp C Chi phí thấp: Nhắn tin trực tiếp qua Fanpage Facebook/Instagram + Nuôi dưỡng nội dung</t>
        </is>
      </c>
    </row>
    <row r="889">
      <c r="A889" s="53" t="n">
        <v>1195</v>
      </c>
      <c r="B889" s="12" t="inlineStr">
        <is>
          <t>DogsStuff Handmade</t>
        </is>
      </c>
      <c r="C889" s="54" t="inlineStr">
        <is>
          <t>https://www.facebook.com/dogsStuffhandmade</t>
        </is>
      </c>
      <c r="D889" s="6" t="inlineStr">
        <is>
          <t>Cần quét Bio Fanpage</t>
        </is>
      </c>
      <c r="E889" s="53" t="inlineStr">
        <is>
          <t>13/10/2026 01:06:24</t>
        </is>
      </c>
      <c r="F889" s="53" t="inlineStr">
        <is>
          <t>1 giờ trước</t>
        </is>
      </c>
      <c r="G889" s="55" t="n">
        <v>0.04</v>
      </c>
      <c r="H889" s="56" t="n">
        <v>35</v>
      </c>
      <c r="I889" s="6" t="inlineStr">
        <is>
          <t>Pet Owner / Cộng đồng nuôi cún (10đ)</t>
        </is>
      </c>
      <c r="J889" s="56" t="n">
        <v>10</v>
      </c>
      <c r="K889" s="6" t="inlineStr">
        <is>
          <t>Chưa rõ giống (Cần quét Bio)</t>
        </is>
      </c>
      <c r="L889" s="56" t="n">
        <v>0</v>
      </c>
      <c r="M889" s="56" t="n">
        <v>0</v>
      </c>
      <c r="N889" s="6" t="inlineStr">
        <is>
          <t>Amazon link not found</t>
        </is>
      </c>
      <c r="O889" s="56">
        <f>IF(N889="Selling pet toys + Artificial grass/Pet toilets (TARGET)",15,IF(N889="Selling artificial grass/pet toilets (TARGET)",10,IF(N889="Selling pet toys",7,IF(N889="There's an Amazon link, but no target sales.",3,0))))</f>
        <v/>
      </c>
      <c r="P889" s="65">
        <f>H889+J889+L889+M889+O889</f>
        <v/>
      </c>
      <c r="Q889" s="69">
        <f>IF(OR(H889=0,P889&lt;30),"Tier D (Đóng băng)",IF(P889&gt;=85,"Tier S (Kim Cương: 85-100đ)",IF(P889&gt;=70,"Tier A (Vàng: 70-84đ)",IF(P889&gt;=61,"Tier B+ / Cấp A (Hot Lead: 61-69đ)",IF(P889&gt;=50,"Tier B (Bạc: 50-60đ)","Tier C (Đồng: 30-49đ)")))))</f>
        <v/>
      </c>
      <c r="R889" s="6" t="inlineStr">
        <is>
          <t>Khay vệ sinh chung cư (Indoor Potty) + Thảm cỏ ban công (Grass Patch) + Đồ chơi</t>
        </is>
      </c>
      <c r="S889" s="6" t="inlineStr">
        <is>
          <t>Cấp C Chi phí thấp: Nhắn tin trực tiếp qua Fanpage Facebook/Instagram + Nuôi dưỡng nội dung</t>
        </is>
      </c>
    </row>
    <row r="890">
      <c r="A890" s="59" t="n">
        <v>283</v>
      </c>
      <c r="B890" s="15" t="inlineStr">
        <is>
          <t>Toupet et Barbichette</t>
        </is>
      </c>
      <c r="C890" s="60" t="inlineStr">
        <is>
          <t>https://www.facebook.com/toupetetbarbichette</t>
        </is>
      </c>
      <c r="D890" s="9" t="inlineStr">
        <is>
          <t>Cần quét Bio Fanpage</t>
        </is>
      </c>
      <c r="E890" s="59" t="inlineStr">
        <is>
          <t>13/10/2026 01:04:43</t>
        </is>
      </c>
      <c r="F890" s="59" t="inlineStr">
        <is>
          <t>20 phút trước</t>
        </is>
      </c>
      <c r="G890" s="61" t="n">
        <v>0.01</v>
      </c>
      <c r="H890" s="62" t="n">
        <v>35</v>
      </c>
      <c r="I890" s="9" t="inlineStr">
        <is>
          <t>Pet Owner / Cộng đồng nuôi cún (10đ)</t>
        </is>
      </c>
      <c r="J890" s="62" t="n">
        <v>10</v>
      </c>
      <c r="K890" s="9" t="inlineStr">
        <is>
          <t>Chưa rõ giống (Cần quét Bio)</t>
        </is>
      </c>
      <c r="L890" s="62" t="n">
        <v>0</v>
      </c>
      <c r="M890" s="62" t="n">
        <v>0</v>
      </c>
      <c r="N890" s="9" t="inlineStr">
        <is>
          <t>Amazon link not found</t>
        </is>
      </c>
      <c r="O890" s="62">
        <f>IF(N890="Selling pet toys + Artificial grass/Pet toilets (TARGET)",15,IF(N890="Selling artificial grass/pet toilets (TARGET)",10,IF(N890="Selling pet toys",7,IF(N890="There's an Amazon link, but no target sales.",3,0))))</f>
        <v/>
      </c>
      <c r="P890" s="67">
        <f>H890+J890+L890+M890+O890</f>
        <v/>
      </c>
      <c r="Q890" s="69">
        <f>IF(OR(H890=0,P890&lt;30),"Tier D (Đóng băng)",IF(P890&gt;=85,"Tier S (Kim Cương: 85-100đ)",IF(P890&gt;=70,"Tier A (Vàng: 70-84đ)",IF(P890&gt;=61,"Tier B+ / Cấp A (Hot Lead: 61-69đ)",IF(P890&gt;=50,"Tier B (Bạc: 50-60đ)","Tier C (Đồng: 30-49đ)")))))</f>
        <v/>
      </c>
      <c r="R890" s="9" t="inlineStr">
        <is>
          <t>Khay vệ sinh chung cư (Indoor Potty) + Thảm cỏ ban công (Grass Patch) + Đồ chơi</t>
        </is>
      </c>
      <c r="S890" s="9" t="inlineStr">
        <is>
          <t>Cấp C Chi phí thấp: Nhắn tin trực tiếp qua Fanpage Facebook/Instagram + Nuôi dưỡng nội dung</t>
        </is>
      </c>
    </row>
    <row r="891">
      <c r="A891" s="53" t="n">
        <v>215</v>
      </c>
      <c r="B891" s="12" t="inlineStr">
        <is>
          <t>Lost Pets of Omaha Area</t>
        </is>
      </c>
      <c r="C891" s="54" t="inlineStr">
        <is>
          <t>https://www.facebook.com/LostPetsofOmahaArea</t>
        </is>
      </c>
      <c r="D891" s="6" t="inlineStr">
        <is>
          <t>Cần quét Bio Fanpage</t>
        </is>
      </c>
      <c r="E891" s="53" t="inlineStr">
        <is>
          <t>13/10/2026 01:02:43</t>
        </is>
      </c>
      <c r="F891" s="53" t="inlineStr">
        <is>
          <t>15 phút trước</t>
        </is>
      </c>
      <c r="G891" s="55" t="n">
        <v>0.01</v>
      </c>
      <c r="H891" s="56" t="n">
        <v>35</v>
      </c>
      <c r="I891" s="6" t="inlineStr">
        <is>
          <t>Pet Owner / Cộng đồng nuôi cún (10đ)</t>
        </is>
      </c>
      <c r="J891" s="56" t="n">
        <v>10</v>
      </c>
      <c r="K891" s="6" t="inlineStr">
        <is>
          <t>Chưa rõ giống (Cần quét Bio)</t>
        </is>
      </c>
      <c r="L891" s="56" t="n">
        <v>0</v>
      </c>
      <c r="M891" s="56" t="n">
        <v>0</v>
      </c>
      <c r="N891" s="6" t="inlineStr">
        <is>
          <t>Amazon link not found</t>
        </is>
      </c>
      <c r="O891" s="56">
        <f>IF(N891="Selling pet toys + Artificial grass/Pet toilets (TARGET)",15,IF(N891="Selling artificial grass/pet toilets (TARGET)",10,IF(N891="Selling pet toys",7,IF(N891="There's an Amazon link, but no target sales.",3,0))))</f>
        <v/>
      </c>
      <c r="P891" s="65">
        <f>H891+J891+L891+M891+O891</f>
        <v/>
      </c>
      <c r="Q891" s="69">
        <f>IF(OR(H891=0,P891&lt;30),"Tier D (Đóng băng)",IF(P891&gt;=85,"Tier S (Kim Cương: 85-100đ)",IF(P891&gt;=70,"Tier A (Vàng: 70-84đ)",IF(P891&gt;=61,"Tier B+ / Cấp A (Hot Lead: 61-69đ)",IF(P891&gt;=50,"Tier B (Bạc: 50-60đ)","Tier C (Đồng: 30-49đ)")))))</f>
        <v/>
      </c>
      <c r="R891" s="6" t="inlineStr">
        <is>
          <t>Khay vệ sinh chung cư (Indoor Potty) + Thảm cỏ ban công (Grass Patch) + Đồ chơi</t>
        </is>
      </c>
      <c r="S891" s="6" t="inlineStr">
        <is>
          <t>Cấp C Chi phí thấp: Nhắn tin trực tiếp qua Fanpage Facebook/Instagram + Nuôi dưỡng nội dung</t>
        </is>
      </c>
    </row>
    <row r="892">
      <c r="A892" s="59" t="n">
        <v>191</v>
      </c>
      <c r="B892" s="15" t="inlineStr">
        <is>
          <t>ILoveDogs5</t>
        </is>
      </c>
      <c r="C892" s="60" t="inlineStr">
        <is>
          <t>https://www.facebook.com/ILoveDogs5</t>
        </is>
      </c>
      <c r="D892" s="9" t="inlineStr">
        <is>
          <t>Cần quét Bio Fanpage</t>
        </is>
      </c>
      <c r="E892" s="59" t="inlineStr">
        <is>
          <t>13/10/2026 01:00:42</t>
        </is>
      </c>
      <c r="F892" s="59" t="inlineStr">
        <is>
          <t>15 phút trước</t>
        </is>
      </c>
      <c r="G892" s="61" t="n">
        <v>0.01</v>
      </c>
      <c r="H892" s="62" t="n">
        <v>35</v>
      </c>
      <c r="I892" s="9" t="inlineStr">
        <is>
          <t>Pet Owner / Cộng đồng nuôi cún (10đ)</t>
        </is>
      </c>
      <c r="J892" s="62" t="n">
        <v>10</v>
      </c>
      <c r="K892" s="9" t="inlineStr">
        <is>
          <t>Chưa rõ giống (Cần quét Bio)</t>
        </is>
      </c>
      <c r="L892" s="62" t="n">
        <v>0</v>
      </c>
      <c r="M892" s="62" t="n">
        <v>0</v>
      </c>
      <c r="N892" s="9" t="inlineStr">
        <is>
          <t>Amazon link not found</t>
        </is>
      </c>
      <c r="O892" s="62">
        <f>IF(N892="Selling pet toys + Artificial grass/Pet toilets (TARGET)",15,IF(N892="Selling artificial grass/pet toilets (TARGET)",10,IF(N892="Selling pet toys",7,IF(N892="There's an Amazon link, but no target sales.",3,0))))</f>
        <v/>
      </c>
      <c r="P892" s="67">
        <f>H892+J892+L892+M892+O892</f>
        <v/>
      </c>
      <c r="Q892" s="69">
        <f>IF(OR(H892=0,P892&lt;30),"Tier D (Đóng băng)",IF(P892&gt;=85,"Tier S (Kim Cương: 85-100đ)",IF(P892&gt;=70,"Tier A (Vàng: 70-84đ)",IF(P892&gt;=61,"Tier B+ / Cấp A (Hot Lead: 61-69đ)",IF(P892&gt;=50,"Tier B (Bạc: 50-60đ)","Tier C (Đồng: 30-49đ)")))))</f>
        <v/>
      </c>
      <c r="R892" s="9" t="inlineStr">
        <is>
          <t>Khay vệ sinh chung cư (Indoor Potty) + Thảm cỏ ban công (Grass Patch) + Đồ chơi</t>
        </is>
      </c>
      <c r="S892" s="9" t="inlineStr">
        <is>
          <t>Cấp C Chi phí thấp: Nhắn tin trực tiếp qua Fanpage Facebook/Instagram + Nuôi dưỡng nội dung</t>
        </is>
      </c>
    </row>
    <row r="893">
      <c r="A893" s="53" t="n">
        <v>828</v>
      </c>
      <c r="B893" s="12" t="inlineStr">
        <is>
          <t>Canine Care Central</t>
        </is>
      </c>
      <c r="C893" s="54" t="inlineStr">
        <is>
          <t>https://www.facebook.com/caninecarecentral</t>
        </is>
      </c>
      <c r="D893" s="6" t="inlineStr">
        <is>
          <t>Cần quét Bio Fanpage</t>
        </is>
      </c>
      <c r="E893" s="53" t="inlineStr">
        <is>
          <t>13/10/2026 01:00:26</t>
        </is>
      </c>
      <c r="F893" s="53" t="inlineStr">
        <is>
          <t>1 giờ trước</t>
        </is>
      </c>
      <c r="G893" s="55" t="n">
        <v>0.04</v>
      </c>
      <c r="H893" s="56" t="n">
        <v>35</v>
      </c>
      <c r="I893" s="6" t="inlineStr">
        <is>
          <t>Pet Owner / Cộng đồng nuôi cún (10đ)</t>
        </is>
      </c>
      <c r="J893" s="56" t="n">
        <v>10</v>
      </c>
      <c r="K893" s="6" t="inlineStr">
        <is>
          <t>Chưa rõ giống (Cần quét Bio)</t>
        </is>
      </c>
      <c r="L893" s="56" t="n">
        <v>0</v>
      </c>
      <c r="M893" s="56" t="n">
        <v>0</v>
      </c>
      <c r="N893" s="6" t="inlineStr">
        <is>
          <t>Amazon link not found</t>
        </is>
      </c>
      <c r="O893" s="56">
        <f>IF(N893="Selling pet toys + Artificial grass/Pet toilets (TARGET)",15,IF(N893="Selling artificial grass/pet toilets (TARGET)",10,IF(N893="Selling pet toys",7,IF(N893="There's an Amazon link, but no target sales.",3,0))))</f>
        <v/>
      </c>
      <c r="P893" s="65">
        <f>H893+J893+L893+M893+O893</f>
        <v/>
      </c>
      <c r="Q893" s="69">
        <f>IF(OR(H893=0,P893&lt;30),"Tier D (Đóng băng)",IF(P893&gt;=85,"Tier S (Kim Cương: 85-100đ)",IF(P893&gt;=70,"Tier A (Vàng: 70-84đ)",IF(P893&gt;=61,"Tier B+ / Cấp A (Hot Lead: 61-69đ)",IF(P893&gt;=50,"Tier B (Bạc: 50-60đ)","Tier C (Đồng: 30-49đ)")))))</f>
        <v/>
      </c>
      <c r="R893" s="6" t="inlineStr">
        <is>
          <t>Khay vệ sinh chung cư (Indoor Potty) + Thảm cỏ ban công (Grass Patch) + Đồ chơi</t>
        </is>
      </c>
      <c r="S893" s="6" t="inlineStr">
        <is>
          <t>Cấp C Chi phí thấp: Nhắn tin trực tiếp qua Fanpage Facebook/Instagram + Nuôi dưỡng nội dung</t>
        </is>
      </c>
    </row>
    <row r="894">
      <c r="A894" s="59" t="n">
        <v>324</v>
      </c>
      <c r="B894" s="15" t="inlineStr">
        <is>
          <t>ABC Dogs NZ</t>
        </is>
      </c>
      <c r="C894" s="60" t="inlineStr">
        <is>
          <t>https://www.facebook.com/abcdogsnz</t>
        </is>
      </c>
      <c r="D894" s="9" t="inlineStr">
        <is>
          <t>Cần quét Bio Fanpage</t>
        </is>
      </c>
      <c r="E894" s="59" t="inlineStr">
        <is>
          <t>13/10/2026 01:00:17</t>
        </is>
      </c>
      <c r="F894" s="59" t="inlineStr">
        <is>
          <t>29 phút trước</t>
        </is>
      </c>
      <c r="G894" s="61" t="n">
        <v>0.02</v>
      </c>
      <c r="H894" s="62" t="n">
        <v>35</v>
      </c>
      <c r="I894" s="9" t="inlineStr">
        <is>
          <t>Pet Owner / Cộng đồng nuôi cún (10đ)</t>
        </is>
      </c>
      <c r="J894" s="62" t="n">
        <v>10</v>
      </c>
      <c r="K894" s="9" t="inlineStr">
        <is>
          <t>Chưa rõ giống (Cần quét Bio)</t>
        </is>
      </c>
      <c r="L894" s="62" t="n">
        <v>0</v>
      </c>
      <c r="M894" s="62" t="n">
        <v>0</v>
      </c>
      <c r="N894" s="9" t="inlineStr">
        <is>
          <t>Amazon link not found</t>
        </is>
      </c>
      <c r="O894" s="62">
        <f>IF(N894="Selling pet toys + Artificial grass/Pet toilets (TARGET)",15,IF(N894="Selling artificial grass/pet toilets (TARGET)",10,IF(N894="Selling pet toys",7,IF(N894="There's an Amazon link, but no target sales.",3,0))))</f>
        <v/>
      </c>
      <c r="P894" s="67">
        <f>H894+J894+L894+M894+O894</f>
        <v/>
      </c>
      <c r="Q894" s="69">
        <f>IF(OR(H894=0,P894&lt;30),"Tier D (Đóng băng)",IF(P894&gt;=85,"Tier S (Kim Cương: 85-100đ)",IF(P894&gt;=70,"Tier A (Vàng: 70-84đ)",IF(P894&gt;=61,"Tier B+ / Cấp A (Hot Lead: 61-69đ)",IF(P894&gt;=50,"Tier B (Bạc: 50-60đ)","Tier C (Đồng: 30-49đ)")))))</f>
        <v/>
      </c>
      <c r="R894" s="9" t="inlineStr">
        <is>
          <t>Khay vệ sinh chung cư (Indoor Potty) + Thảm cỏ ban công (Grass Patch) + Đồ chơi</t>
        </is>
      </c>
      <c r="S894" s="9" t="inlineStr">
        <is>
          <t>Cấp C Chi phí thấp: Nhắn tin trực tiếp qua Fanpage Facebook/Instagram + Nuôi dưỡng nội dung</t>
        </is>
      </c>
    </row>
    <row r="895">
      <c r="A895" s="53" t="n">
        <v>1949</v>
      </c>
      <c r="B895" s="12" t="inlineStr">
        <is>
          <t>Kuranda Dog Beds</t>
        </is>
      </c>
      <c r="C895" s="54" t="inlineStr">
        <is>
          <t>https://www.facebook.com/KurandaDogBeds</t>
        </is>
      </c>
      <c r="D895" s="6" t="inlineStr">
        <is>
          <t>Cần quét Bio Fanpage</t>
        </is>
      </c>
      <c r="E895" s="53" t="inlineStr">
        <is>
          <t>13/10/2026 00:50:08</t>
        </is>
      </c>
      <c r="F895" s="53" t="inlineStr">
        <is>
          <t>3 giờ trước</t>
        </is>
      </c>
      <c r="G895" s="55" t="n">
        <v>0.12</v>
      </c>
      <c r="H895" s="56" t="n">
        <v>35</v>
      </c>
      <c r="I895" s="6" t="inlineStr">
        <is>
          <t>Pet Owner / Cộng đồng nuôi cún (10đ)</t>
        </is>
      </c>
      <c r="J895" s="56" t="n">
        <v>10</v>
      </c>
      <c r="K895" s="6" t="inlineStr">
        <is>
          <t>Chưa rõ giống (Cần quét Bio)</t>
        </is>
      </c>
      <c r="L895" s="56" t="n">
        <v>0</v>
      </c>
      <c r="M895" s="56" t="n">
        <v>0</v>
      </c>
      <c r="N895" s="6" t="inlineStr">
        <is>
          <t>Amazon link not found</t>
        </is>
      </c>
      <c r="O895" s="56">
        <f>IF(N895="Selling pet toys + Artificial grass/Pet toilets (TARGET)",15,IF(N895="Selling artificial grass/pet toilets (TARGET)",10,IF(N895="Selling pet toys",7,IF(N895="There's an Amazon link, but no target sales.",3,0))))</f>
        <v/>
      </c>
      <c r="P895" s="65">
        <f>H895+J895+L895+M895+O895</f>
        <v/>
      </c>
      <c r="Q895" s="69">
        <f>IF(OR(H895=0,P895&lt;30),"Tier D (Đóng băng)",IF(P895&gt;=85,"Tier S (Kim Cương: 85-100đ)",IF(P895&gt;=70,"Tier A (Vàng: 70-84đ)",IF(P895&gt;=61,"Tier B+ / Cấp A (Hot Lead: 61-69đ)",IF(P895&gt;=50,"Tier B (Bạc: 50-60đ)","Tier C (Đồng: 30-49đ)")))))</f>
        <v/>
      </c>
      <c r="R895" s="6" t="inlineStr">
        <is>
          <t>Khay vệ sinh chung cư (Indoor Potty) + Thảm cỏ ban công (Grass Patch) + Đồ chơi</t>
        </is>
      </c>
      <c r="S895" s="6" t="inlineStr">
        <is>
          <t>Cấp C Chi phí thấp: Nhắn tin trực tiếp qua Fanpage Facebook/Instagram + Nuôi dưỡng nội dung</t>
        </is>
      </c>
    </row>
    <row r="896">
      <c r="A896" s="59" t="n">
        <v>1114</v>
      </c>
      <c r="B896" s="15" t="inlineStr">
        <is>
          <t>DogBone</t>
        </is>
      </c>
      <c r="C896" s="60" t="inlineStr">
        <is>
          <t>https://www.facebook.com/DogBoneHunter</t>
        </is>
      </c>
      <c r="D896" s="9" t="inlineStr">
        <is>
          <t>Cần quét Bio Fanpage</t>
        </is>
      </c>
      <c r="E896" s="59" t="inlineStr">
        <is>
          <t>13/10/2026 00:48:42</t>
        </is>
      </c>
      <c r="F896" s="59" t="inlineStr">
        <is>
          <t>2 giờ trước</t>
        </is>
      </c>
      <c r="G896" s="61" t="n">
        <v>0.08</v>
      </c>
      <c r="H896" s="62" t="n">
        <v>35</v>
      </c>
      <c r="I896" s="9" t="inlineStr">
        <is>
          <t>Pet Owner / Cộng đồng nuôi cún (10đ)</t>
        </is>
      </c>
      <c r="J896" s="62" t="n">
        <v>10</v>
      </c>
      <c r="K896" s="9" t="inlineStr">
        <is>
          <t>Chưa rõ giống (Cần quét Bio)</t>
        </is>
      </c>
      <c r="L896" s="62" t="n">
        <v>0</v>
      </c>
      <c r="M896" s="62" t="n">
        <v>0</v>
      </c>
      <c r="N896" s="9" t="inlineStr">
        <is>
          <t>Amazon link not found</t>
        </is>
      </c>
      <c r="O896" s="62">
        <f>IF(N896="Selling pet toys + Artificial grass/Pet toilets (TARGET)",15,IF(N896="Selling artificial grass/pet toilets (TARGET)",10,IF(N896="Selling pet toys",7,IF(N896="There's an Amazon link, but no target sales.",3,0))))</f>
        <v/>
      </c>
      <c r="P896" s="67">
        <f>H896+J896+L896+M896+O896</f>
        <v/>
      </c>
      <c r="Q896" s="69">
        <f>IF(OR(H896=0,P896&lt;30),"Tier D (Đóng băng)",IF(P896&gt;=85,"Tier S (Kim Cương: 85-100đ)",IF(P896&gt;=70,"Tier A (Vàng: 70-84đ)",IF(P896&gt;=61,"Tier B+ / Cấp A (Hot Lead: 61-69đ)",IF(P896&gt;=50,"Tier B (Bạc: 50-60đ)","Tier C (Đồng: 30-49đ)")))))</f>
        <v/>
      </c>
      <c r="R896" s="9" t="inlineStr">
        <is>
          <t>Khay vệ sinh chung cư (Indoor Potty) + Thảm cỏ ban công (Grass Patch) + Đồ chơi</t>
        </is>
      </c>
      <c r="S896" s="9" t="inlineStr">
        <is>
          <t>Cấp C Chi phí thấp: Nhắn tin trực tiếp qua Fanpage Facebook/Instagram + Nuôi dưỡng nội dung</t>
        </is>
      </c>
    </row>
    <row r="897">
      <c r="A897" s="53" t="n">
        <v>529</v>
      </c>
      <c r="B897" s="12" t="inlineStr">
        <is>
          <t>Artwoolcarpet  (Abdulla Carpet)</t>
        </is>
      </c>
      <c r="C897" s="54" t="inlineStr">
        <is>
          <t>https://www.facebook.com/Artwoolcarpet</t>
        </is>
      </c>
      <c r="D897" s="6" t="inlineStr">
        <is>
          <t>Cần quét Bio Fanpage</t>
        </is>
      </c>
      <c r="E897" s="53" t="inlineStr">
        <is>
          <t>13/10/2026 00:37:40</t>
        </is>
      </c>
      <c r="F897" s="53" t="inlineStr">
        <is>
          <t>1 giờ trước</t>
        </is>
      </c>
      <c r="G897" s="55" t="n">
        <v>0.04</v>
      </c>
      <c r="H897" s="56" t="n">
        <v>35</v>
      </c>
      <c r="I897" s="6" t="inlineStr">
        <is>
          <t>Pet Owner / Cộng đồng nuôi cún (10đ)</t>
        </is>
      </c>
      <c r="J897" s="56" t="n">
        <v>10</v>
      </c>
      <c r="K897" s="6" t="inlineStr">
        <is>
          <t>Chưa rõ giống (Cần quét Bio)</t>
        </is>
      </c>
      <c r="L897" s="56" t="n">
        <v>0</v>
      </c>
      <c r="M897" s="56" t="n">
        <v>0</v>
      </c>
      <c r="N897" s="6" t="inlineStr">
        <is>
          <t>Amazon link not found</t>
        </is>
      </c>
      <c r="O897" s="56">
        <f>IF(N897="Selling pet toys + Artificial grass/Pet toilets (TARGET)",15,IF(N897="Selling artificial grass/pet toilets (TARGET)",10,IF(N897="Selling pet toys",7,IF(N897="There's an Amazon link, but no target sales.",3,0))))</f>
        <v/>
      </c>
      <c r="P897" s="65">
        <f>H897+J897+L897+M897+O897</f>
        <v/>
      </c>
      <c r="Q897" s="69">
        <f>IF(OR(H897=0,P897&lt;30),"Tier D (Đóng băng)",IF(P897&gt;=85,"Tier S (Kim Cương: 85-100đ)",IF(P897&gt;=70,"Tier A (Vàng: 70-84đ)",IF(P897&gt;=61,"Tier B+ / Cấp A (Hot Lead: 61-69đ)",IF(P897&gt;=50,"Tier B (Bạc: 50-60đ)","Tier C (Đồng: 30-49đ)")))))</f>
        <v/>
      </c>
      <c r="R897" s="6" t="inlineStr">
        <is>
          <t>Khay vệ sinh chung cư (Indoor Potty) + Thảm cỏ ban công (Grass Patch) + Đồ chơi</t>
        </is>
      </c>
      <c r="S897" s="6" t="inlineStr">
        <is>
          <t>Cấp C Chi phí thấp: Nhắn tin trực tiếp qua Fanpage Facebook/Instagram + Nuôi dưỡng nội dung</t>
        </is>
      </c>
    </row>
    <row r="898">
      <c r="A898" s="59" t="n">
        <v>65</v>
      </c>
      <c r="B898" s="15" t="inlineStr">
        <is>
          <t>iHeartDogscom</t>
        </is>
      </c>
      <c r="C898" s="60" t="inlineStr">
        <is>
          <t>https://www.facebook.com/iHeartDogscom</t>
        </is>
      </c>
      <c r="D898" s="9" t="inlineStr">
        <is>
          <t>Cần quét Bio Fanpage</t>
        </is>
      </c>
      <c r="E898" s="59" t="inlineStr">
        <is>
          <t>13/10/2026 00:32:04</t>
        </is>
      </c>
      <c r="F898" s="59" t="inlineStr">
        <is>
          <t>29 phút trước</t>
        </is>
      </c>
      <c r="G898" s="61" t="n">
        <v>0.02</v>
      </c>
      <c r="H898" s="62" t="n">
        <v>35</v>
      </c>
      <c r="I898" s="9" t="inlineStr">
        <is>
          <t>Pet Owner / Kênh cá nhân thú cưng (10đ)</t>
        </is>
      </c>
      <c r="J898" s="62" t="n">
        <v>10</v>
      </c>
      <c r="K898" s="9" t="inlineStr">
        <is>
          <t>Chưa rõ giống (Cần quét Bio)</t>
        </is>
      </c>
      <c r="L898" s="62" t="n">
        <v>0</v>
      </c>
      <c r="M898" s="62" t="n">
        <v>0</v>
      </c>
      <c r="N898" s="9" t="inlineStr">
        <is>
          <t>Amazon link not found</t>
        </is>
      </c>
      <c r="O898" s="62">
        <f>IF(N898="Selling pet toys + Artificial grass/Pet toilets (TARGET)",15,IF(N898="Selling artificial grass/pet toilets (TARGET)",10,IF(N898="Selling pet toys",7,IF(N898="There's an Amazon link, but no target sales.",3,0))))</f>
        <v/>
      </c>
      <c r="P898" s="67">
        <f>H898+J898+L898+M898+O898</f>
        <v/>
      </c>
      <c r="Q898" s="69">
        <f>IF(OR(H898=0,P898&lt;30),"Tier D (Đóng băng)",IF(P898&gt;=85,"Tier S (Kim Cương: 85-100đ)",IF(P898&gt;=70,"Tier A (Vàng: 70-84đ)",IF(P898&gt;=61,"Tier B+ / Cấp A (Hot Lead: 61-69đ)",IF(P898&gt;=50,"Tier B (Bạc: 50-60đ)","Tier C (Đồng: 30-49đ)")))))</f>
        <v/>
      </c>
      <c r="R898" s="9" t="inlineStr">
        <is>
          <t>Khay vệ sinh trong nhà (Indoor Dog Potty) + Đồ chơi thú cưng lẻ</t>
        </is>
      </c>
      <c r="S898" s="9" t="inlineStr">
        <is>
          <t>Cấp C Chi phí thấp: Nhắn tin trực tiếp qua Fanpage Facebook/Instagram + Nuôi dưỡng nội dung</t>
        </is>
      </c>
    </row>
    <row r="899">
      <c r="A899" s="53" t="n">
        <v>1229</v>
      </c>
      <c r="B899" s="12" t="inlineStr">
        <is>
          <t>DragonsPitKennel</t>
        </is>
      </c>
      <c r="C899" s="54" t="inlineStr">
        <is>
          <t>https://www.facebook.com/DragonsPitKennel</t>
        </is>
      </c>
      <c r="D899" s="6" t="inlineStr">
        <is>
          <t>Cần quét Bio Fanpage</t>
        </is>
      </c>
      <c r="E899" s="53" t="inlineStr">
        <is>
          <t>13/10/2026 00:29:59</t>
        </is>
      </c>
      <c r="F899" s="53" t="inlineStr">
        <is>
          <t>2 giờ trước</t>
        </is>
      </c>
      <c r="G899" s="55" t="n">
        <v>0.08</v>
      </c>
      <c r="H899" s="56" t="n">
        <v>35</v>
      </c>
      <c r="I899" s="6" t="inlineStr">
        <is>
          <t>Pet Owner / Cộng đồng nuôi cún (10đ)</t>
        </is>
      </c>
      <c r="J899" s="56" t="n">
        <v>10</v>
      </c>
      <c r="K899" s="6" t="inlineStr">
        <is>
          <t>Chưa rõ giống (Cần quét Bio)</t>
        </is>
      </c>
      <c r="L899" s="56" t="n">
        <v>0</v>
      </c>
      <c r="M899" s="56" t="n">
        <v>0</v>
      </c>
      <c r="N899" s="6" t="inlineStr">
        <is>
          <t>Amazon link not found</t>
        </is>
      </c>
      <c r="O899" s="56">
        <f>IF(N899="Selling pet toys + Artificial grass/Pet toilets (TARGET)",15,IF(N899="Selling artificial grass/pet toilets (TARGET)",10,IF(N899="Selling pet toys",7,IF(N899="There's an Amazon link, but no target sales.",3,0))))</f>
        <v/>
      </c>
      <c r="P899" s="65">
        <f>H899+J899+L899+M899+O899</f>
        <v/>
      </c>
      <c r="Q899" s="69">
        <f>IF(OR(H899=0,P899&lt;30),"Tier D (Đóng băng)",IF(P899&gt;=85,"Tier S (Kim Cương: 85-100đ)",IF(P899&gt;=70,"Tier A (Vàng: 70-84đ)",IF(P899&gt;=61,"Tier B+ / Cấp A (Hot Lead: 61-69đ)",IF(P899&gt;=50,"Tier B (Bạc: 50-60đ)","Tier C (Đồng: 30-49đ)")))))</f>
        <v/>
      </c>
      <c r="R899" s="6" t="inlineStr">
        <is>
          <t>Khay vệ sinh chung cư (Indoor Potty) + Thảm cỏ ban công (Grass Patch) + Đồ chơi</t>
        </is>
      </c>
      <c r="S899" s="6" t="inlineStr">
        <is>
          <t>Cấp C Chi phí thấp: Nhắn tin trực tiếp qua Fanpage Facebook/Instagram + Nuôi dưỡng nội dung</t>
        </is>
      </c>
    </row>
    <row r="900">
      <c r="A900" s="59" t="n">
        <v>1054</v>
      </c>
      <c r="B900" s="15" t="inlineStr">
        <is>
          <t>DOG Copenhagen</t>
        </is>
      </c>
      <c r="C900" s="60" t="inlineStr">
        <is>
          <t>https://www.facebook.com/dogcopenhagen</t>
        </is>
      </c>
      <c r="D900" s="9" t="inlineStr">
        <is>
          <t>Cần quét Bio Fanpage</t>
        </is>
      </c>
      <c r="E900" s="59" t="inlineStr">
        <is>
          <t>13/10/2026 00:22:03</t>
        </is>
      </c>
      <c r="F900" s="59" t="inlineStr">
        <is>
          <t>2 giờ trước</t>
        </is>
      </c>
      <c r="G900" s="61" t="n">
        <v>0.08</v>
      </c>
      <c r="H900" s="62" t="n">
        <v>35</v>
      </c>
      <c r="I900" s="9" t="inlineStr">
        <is>
          <t>Pet Owner / Cộng đồng nuôi cún (10đ)</t>
        </is>
      </c>
      <c r="J900" s="62" t="n">
        <v>10</v>
      </c>
      <c r="K900" s="9" t="inlineStr">
        <is>
          <t>Chưa rõ giống (Cần quét Bio)</t>
        </is>
      </c>
      <c r="L900" s="62" t="n">
        <v>0</v>
      </c>
      <c r="M900" s="62" t="n">
        <v>0</v>
      </c>
      <c r="N900" s="9" t="inlineStr">
        <is>
          <t>Amazon link not found</t>
        </is>
      </c>
      <c r="O900" s="62">
        <f>IF(N900="Selling pet toys + Artificial grass/Pet toilets (TARGET)",15,IF(N900="Selling artificial grass/pet toilets (TARGET)",10,IF(N900="Selling pet toys",7,IF(N900="There's an Amazon link, but no target sales.",3,0))))</f>
        <v/>
      </c>
      <c r="P900" s="67">
        <f>H900+J900+L900+M900+O900</f>
        <v/>
      </c>
      <c r="Q900" s="69">
        <f>IF(OR(H900=0,P900&lt;30),"Tier D (Đóng băng)",IF(P900&gt;=85,"Tier S (Kim Cương: 85-100đ)",IF(P900&gt;=70,"Tier A (Vàng: 70-84đ)",IF(P900&gt;=61,"Tier B+ / Cấp A (Hot Lead: 61-69đ)",IF(P900&gt;=50,"Tier B (Bạc: 50-60đ)","Tier C (Đồng: 30-49đ)")))))</f>
        <v/>
      </c>
      <c r="R900" s="9" t="inlineStr">
        <is>
          <t>Khay vệ sinh chung cư (Indoor Potty) + Thảm cỏ ban công (Grass Patch) + Đồ chơi</t>
        </is>
      </c>
      <c r="S900" s="9" t="inlineStr">
        <is>
          <t>Cấp C Chi phí thấp: Nhắn tin trực tiếp qua Fanpage Facebook/Instagram + Nuôi dưỡng nội dung</t>
        </is>
      </c>
    </row>
    <row r="901">
      <c r="A901" s="53" t="n">
        <v>156</v>
      </c>
      <c r="B901" s="12" t="inlineStr">
        <is>
          <t>Dogs &amp; Good Vibes</t>
        </is>
      </c>
      <c r="C901" s="54" t="inlineStr">
        <is>
          <t>https://www.facebook.com/dogsandgoodvibes</t>
        </is>
      </c>
      <c r="D901" s="6" t="inlineStr">
        <is>
          <t>Cần quét Bio Fanpage</t>
        </is>
      </c>
      <c r="E901" s="53" t="inlineStr">
        <is>
          <t>13/10/2026 00:07:03</t>
        </is>
      </c>
      <c r="F901" s="53" t="inlineStr">
        <is>
          <t>1 giờ trước</t>
        </is>
      </c>
      <c r="G901" s="55" t="n">
        <v>0.04</v>
      </c>
      <c r="H901" s="56" t="n">
        <v>35</v>
      </c>
      <c r="I901" s="6" t="inlineStr">
        <is>
          <t>Pet Owner / Cộng đồng nuôi cún (10đ)</t>
        </is>
      </c>
      <c r="J901" s="56" t="n">
        <v>10</v>
      </c>
      <c r="K901" s="6" t="inlineStr">
        <is>
          <t>Chưa rõ giống (Cần quét Bio)</t>
        </is>
      </c>
      <c r="L901" s="56" t="n">
        <v>0</v>
      </c>
      <c r="M901" s="56" t="n">
        <v>0</v>
      </c>
      <c r="N901" s="6" t="inlineStr">
        <is>
          <t>Amazon link not found</t>
        </is>
      </c>
      <c r="O901" s="56">
        <f>IF(N901="Selling pet toys + Artificial grass/Pet toilets (TARGET)",15,IF(N901="Selling artificial grass/pet toilets (TARGET)",10,IF(N901="Selling pet toys",7,IF(N901="There's an Amazon link, but no target sales.",3,0))))</f>
        <v/>
      </c>
      <c r="P901" s="65">
        <f>H901+J901+L901+M901+O901</f>
        <v/>
      </c>
      <c r="Q901" s="69">
        <f>IF(OR(H901=0,P901&lt;30),"Tier D (Đóng băng)",IF(P901&gt;=85,"Tier S (Kim Cương: 85-100đ)",IF(P901&gt;=70,"Tier A (Vàng: 70-84đ)",IF(P901&gt;=61,"Tier B+ / Cấp A (Hot Lead: 61-69đ)",IF(P901&gt;=50,"Tier B (Bạc: 50-60đ)","Tier C (Đồng: 30-49đ)")))))</f>
        <v/>
      </c>
      <c r="R901" s="6" t="inlineStr">
        <is>
          <t>Khay vệ sinh chung cư (Indoor Potty) + Thảm cỏ ban công (Grass Patch) + Đồ chơi</t>
        </is>
      </c>
      <c r="S901" s="6" t="inlineStr">
        <is>
          <t>Cấp C Chi phí thấp: Nhắn tin trực tiếp qua Fanpage Facebook/Instagram + Nuôi dưỡng nội dung</t>
        </is>
      </c>
    </row>
    <row r="902">
      <c r="A902" s="59" t="n">
        <v>1011</v>
      </c>
      <c r="B902" s="15" t="inlineStr">
        <is>
          <t>Deaf Dogs Rock</t>
        </is>
      </c>
      <c r="C902" s="60" t="inlineStr">
        <is>
          <t>https://www.facebook.com/deafdogsrock</t>
        </is>
      </c>
      <c r="D902" s="9" t="inlineStr">
        <is>
          <t>Cần quét Bio Fanpage</t>
        </is>
      </c>
      <c r="E902" s="59" t="inlineStr">
        <is>
          <t>13/10/2026 00:06:47</t>
        </is>
      </c>
      <c r="F902" s="59" t="inlineStr">
        <is>
          <t>2 giờ trước</t>
        </is>
      </c>
      <c r="G902" s="61" t="n">
        <v>0.08</v>
      </c>
      <c r="H902" s="62" t="n">
        <v>35</v>
      </c>
      <c r="I902" s="9" t="inlineStr">
        <is>
          <t>Pet Owner / Cộng đồng nuôi cún (10đ)</t>
        </is>
      </c>
      <c r="J902" s="62" t="n">
        <v>10</v>
      </c>
      <c r="K902" s="9" t="inlineStr">
        <is>
          <t>Chưa rõ giống (Cần quét Bio)</t>
        </is>
      </c>
      <c r="L902" s="62" t="n">
        <v>0</v>
      </c>
      <c r="M902" s="62" t="n">
        <v>0</v>
      </c>
      <c r="N902" s="9" t="inlineStr">
        <is>
          <t>Amazon link not found</t>
        </is>
      </c>
      <c r="O902" s="62">
        <f>IF(N902="Selling pet toys + Artificial grass/Pet toilets (TARGET)",15,IF(N902="Selling artificial grass/pet toilets (TARGET)",10,IF(N902="Selling pet toys",7,IF(N902="There's an Amazon link, but no target sales.",3,0))))</f>
        <v/>
      </c>
      <c r="P902" s="67">
        <f>H902+J902+L902+M902+O902</f>
        <v/>
      </c>
      <c r="Q902" s="69">
        <f>IF(OR(H902=0,P902&lt;30),"Tier D (Đóng băng)",IF(P902&gt;=85,"Tier S (Kim Cương: 85-100đ)",IF(P902&gt;=70,"Tier A (Vàng: 70-84đ)",IF(P902&gt;=61,"Tier B+ / Cấp A (Hot Lead: 61-69đ)",IF(P902&gt;=50,"Tier B (Bạc: 50-60đ)","Tier C (Đồng: 30-49đ)")))))</f>
        <v/>
      </c>
      <c r="R902" s="9" t="inlineStr">
        <is>
          <t>Khay vệ sinh chung cư (Indoor Potty) + Thảm cỏ ban công (Grass Patch) + Đồ chơi</t>
        </is>
      </c>
      <c r="S902" s="9" t="inlineStr">
        <is>
          <t>Cấp C Chi phí thấp: Nhắn tin trực tiếp qua Fanpage Facebook/Instagram + Nuôi dưỡng nội dung</t>
        </is>
      </c>
    </row>
    <row r="903">
      <c r="A903" s="53" t="n">
        <v>505</v>
      </c>
      <c r="B903" s="12" t="inlineStr">
        <is>
          <t>appetizingtv</t>
        </is>
      </c>
      <c r="C903" s="54" t="inlineStr">
        <is>
          <t>https://www.facebook.com/appetizingtv</t>
        </is>
      </c>
      <c r="D903" s="6" t="inlineStr">
        <is>
          <t>Cần quét Bio Fanpage</t>
        </is>
      </c>
      <c r="E903" s="53" t="inlineStr">
        <is>
          <t>13/10/2026 00:05:20</t>
        </is>
      </c>
      <c r="F903" s="53" t="inlineStr">
        <is>
          <t>1 giờ trước</t>
        </is>
      </c>
      <c r="G903" s="55" t="n">
        <v>0.04</v>
      </c>
      <c r="H903" s="56" t="n">
        <v>35</v>
      </c>
      <c r="I903" s="6" t="inlineStr">
        <is>
          <t>Pet Owner / Cộng đồng nuôi cún (10đ)</t>
        </is>
      </c>
      <c r="J903" s="56" t="n">
        <v>10</v>
      </c>
      <c r="K903" s="6" t="inlineStr">
        <is>
          <t>Chưa rõ giống (Cần quét Bio)</t>
        </is>
      </c>
      <c r="L903" s="56" t="n">
        <v>0</v>
      </c>
      <c r="M903" s="56" t="n">
        <v>0</v>
      </c>
      <c r="N903" s="6" t="inlineStr">
        <is>
          <t>Amazon link not found</t>
        </is>
      </c>
      <c r="O903" s="56">
        <f>IF(N903="Selling pet toys + Artificial grass/Pet toilets (TARGET)",15,IF(N903="Selling artificial grass/pet toilets (TARGET)",10,IF(N903="Selling pet toys",7,IF(N903="There's an Amazon link, but no target sales.",3,0))))</f>
        <v/>
      </c>
      <c r="P903" s="65">
        <f>H903+J903+L903+M903+O903</f>
        <v/>
      </c>
      <c r="Q903" s="69">
        <f>IF(OR(H903=0,P903&lt;30),"Tier D (Đóng băng)",IF(P903&gt;=85,"Tier S (Kim Cương: 85-100đ)",IF(P903&gt;=70,"Tier A (Vàng: 70-84đ)",IF(P903&gt;=61,"Tier B+ / Cấp A (Hot Lead: 61-69đ)",IF(P903&gt;=50,"Tier B (Bạc: 50-60đ)","Tier C (Đồng: 30-49đ)")))))</f>
        <v/>
      </c>
      <c r="R903" s="6" t="inlineStr">
        <is>
          <t>Khay vệ sinh chung cư (Indoor Potty) + Thảm cỏ ban công (Grass Patch) + Đồ chơi</t>
        </is>
      </c>
      <c r="S903" s="6" t="inlineStr">
        <is>
          <t>Cấp C Chi phí thấp: Nhắn tin trực tiếp qua Fanpage Facebook/Instagram + Nuôi dưỡng nội dung</t>
        </is>
      </c>
    </row>
    <row r="904">
      <c r="A904" s="59" t="n">
        <v>341</v>
      </c>
      <c r="B904" s="15" t="inlineStr">
        <is>
          <t>Adopt a Pet</t>
        </is>
      </c>
      <c r="C904" s="60" t="inlineStr">
        <is>
          <t>https://www.facebook.com/Adoptapetcom</t>
        </is>
      </c>
      <c r="D904" s="9" t="inlineStr">
        <is>
          <t>Cần quét Bio Fanpage</t>
        </is>
      </c>
      <c r="E904" s="59" t="inlineStr">
        <is>
          <t>13/10/2026 00:02:06</t>
        </is>
      </c>
      <c r="F904" s="59" t="inlineStr">
        <is>
          <t>1 giờ trước</t>
        </is>
      </c>
      <c r="G904" s="61" t="n">
        <v>0.04</v>
      </c>
      <c r="H904" s="62" t="n">
        <v>35</v>
      </c>
      <c r="I904" s="9" t="inlineStr">
        <is>
          <t>Pet Owner / Cộng đồng nuôi cún (10đ)</t>
        </is>
      </c>
      <c r="J904" s="62" t="n">
        <v>10</v>
      </c>
      <c r="K904" s="9" t="inlineStr">
        <is>
          <t>Chưa rõ giống (Cần quét Bio)</t>
        </is>
      </c>
      <c r="L904" s="62" t="n">
        <v>0</v>
      </c>
      <c r="M904" s="62" t="n">
        <v>0</v>
      </c>
      <c r="N904" s="9" t="inlineStr">
        <is>
          <t>Amazon link not found</t>
        </is>
      </c>
      <c r="O904" s="62">
        <f>IF(N904="Selling pet toys + Artificial grass/Pet toilets (TARGET)",15,IF(N904="Selling artificial grass/pet toilets (TARGET)",10,IF(N904="Selling pet toys",7,IF(N904="There's an Amazon link, but no target sales.",3,0))))</f>
        <v/>
      </c>
      <c r="P904" s="67">
        <f>H904+J904+L904+M904+O904</f>
        <v/>
      </c>
      <c r="Q904" s="69">
        <f>IF(OR(H904=0,P904&lt;30),"Tier D (Đóng băng)",IF(P904&gt;=85,"Tier S (Kim Cương: 85-100đ)",IF(P904&gt;=70,"Tier A (Vàng: 70-84đ)",IF(P904&gt;=61,"Tier B+ / Cấp A (Hot Lead: 61-69đ)",IF(P904&gt;=50,"Tier B (Bạc: 50-60đ)","Tier C (Đồng: 30-49đ)")))))</f>
        <v/>
      </c>
      <c r="R904" s="9" t="inlineStr">
        <is>
          <t>Khay vệ sinh chung cư (Indoor Potty) + Thảm cỏ ban công (Grass Patch) + Đồ chơi</t>
        </is>
      </c>
      <c r="S904" s="9" t="inlineStr">
        <is>
          <t>Cấp C Chi phí thấp: Nhắn tin trực tiếp qua Fanpage Facebook/Instagram + Nuôi dưỡng nội dung</t>
        </is>
      </c>
    </row>
    <row r="905">
      <c r="A905" s="53" t="n">
        <v>42</v>
      </c>
      <c r="B905" s="12" t="inlineStr">
        <is>
          <t>gonetothesnowdogs</t>
        </is>
      </c>
      <c r="C905" s="54" t="inlineStr">
        <is>
          <t>https://www.facebook.com/gonetothesnowdogs</t>
        </is>
      </c>
      <c r="D905" s="6" t="inlineStr">
        <is>
          <t>Cần quét Bio Fanpage</t>
        </is>
      </c>
      <c r="E905" s="53" t="inlineStr">
        <is>
          <t>13/10/2026 00:00:08</t>
        </is>
      </c>
      <c r="F905" s="53" t="inlineStr">
        <is>
          <t>59 phút trước</t>
        </is>
      </c>
      <c r="G905" s="55" t="n">
        <v>0.04</v>
      </c>
      <c r="H905" s="56" t="n">
        <v>35</v>
      </c>
      <c r="I905" s="6" t="inlineStr">
        <is>
          <t>Pet Owner / Cộng đồng nuôi cún (10đ)</t>
        </is>
      </c>
      <c r="J905" s="56" t="n">
        <v>10</v>
      </c>
      <c r="K905" s="6" t="inlineStr">
        <is>
          <t>Chưa rõ giống (Cần quét Bio)</t>
        </is>
      </c>
      <c r="L905" s="56" t="n">
        <v>0</v>
      </c>
      <c r="M905" s="56" t="n">
        <v>0</v>
      </c>
      <c r="N905" s="6" t="inlineStr">
        <is>
          <t>Amazon link not found</t>
        </is>
      </c>
      <c r="O905" s="56">
        <f>IF(N905="Selling pet toys + Artificial grass/Pet toilets (TARGET)",15,IF(N905="Selling artificial grass/pet toilets (TARGET)",10,IF(N905="Selling pet toys",7,IF(N905="There's an Amazon link, but no target sales.",3,0))))</f>
        <v/>
      </c>
      <c r="P905" s="65">
        <f>H905+J905+L905+M905+O905</f>
        <v/>
      </c>
      <c r="Q905" s="69">
        <f>IF(OR(H905=0,P905&lt;30),"Tier D (Đóng băng)",IF(P905&gt;=85,"Tier S (Kim Cương: 85-100đ)",IF(P905&gt;=70,"Tier A (Vàng: 70-84đ)",IF(P905&gt;=61,"Tier B+ / Cấp A (Hot Lead: 61-69đ)",IF(P905&gt;=50,"Tier B (Bạc: 50-60đ)","Tier C (Đồng: 30-49đ)")))))</f>
        <v/>
      </c>
      <c r="R905" s="6" t="inlineStr">
        <is>
          <t>Khay vệ sinh chung cư (Indoor Potty) + Thảm cỏ ban công (Grass Patch) + Đồ chơi</t>
        </is>
      </c>
      <c r="S905" s="6" t="inlineStr">
        <is>
          <t>Cấp C Chi phí thấp: Nhắn tin trực tiếp qua Fanpage Facebook/Instagram + Nuôi dưỡng nội dung</t>
        </is>
      </c>
    </row>
    <row r="906">
      <c r="A906" s="59" t="n">
        <v>628</v>
      </c>
      <c r="B906" s="15" t="inlineStr">
        <is>
          <t>Benidorm Dog Homing</t>
        </is>
      </c>
      <c r="C906" s="60" t="inlineStr">
        <is>
          <t>https://www.facebook.com/Benidormdoghoming</t>
        </is>
      </c>
      <c r="D906" s="9" t="inlineStr">
        <is>
          <t>Cần quét Bio Fanpage</t>
        </is>
      </c>
      <c r="E906" s="59" t="inlineStr">
        <is>
          <t>12/10/2026 23:52:44</t>
        </is>
      </c>
      <c r="F906" s="59" t="inlineStr">
        <is>
          <t>2 giờ trước</t>
        </is>
      </c>
      <c r="G906" s="61" t="n">
        <v>0.08</v>
      </c>
      <c r="H906" s="62" t="n">
        <v>35</v>
      </c>
      <c r="I906" s="9" t="inlineStr">
        <is>
          <t>Pet Owner / Cộng đồng nuôi cún (10đ)</t>
        </is>
      </c>
      <c r="J906" s="62" t="n">
        <v>10</v>
      </c>
      <c r="K906" s="9" t="inlineStr">
        <is>
          <t>Chưa rõ giống (Cần quét Bio)</t>
        </is>
      </c>
      <c r="L906" s="62" t="n">
        <v>0</v>
      </c>
      <c r="M906" s="62" t="n">
        <v>0</v>
      </c>
      <c r="N906" s="9" t="inlineStr">
        <is>
          <t>Amazon link not found</t>
        </is>
      </c>
      <c r="O906" s="62">
        <f>IF(N906="Selling pet toys + Artificial grass/Pet toilets (TARGET)",15,IF(N906="Selling artificial grass/pet toilets (TARGET)",10,IF(N906="Selling pet toys",7,IF(N906="There's an Amazon link, but no target sales.",3,0))))</f>
        <v/>
      </c>
      <c r="P906" s="67">
        <f>H906+J906+L906+M906+O906</f>
        <v/>
      </c>
      <c r="Q906" s="69">
        <f>IF(OR(H906=0,P906&lt;30),"Tier D (Đóng băng)",IF(P906&gt;=85,"Tier S (Kim Cương: 85-100đ)",IF(P906&gt;=70,"Tier A (Vàng: 70-84đ)",IF(P906&gt;=61,"Tier B+ / Cấp A (Hot Lead: 61-69đ)",IF(P906&gt;=50,"Tier B (Bạc: 50-60đ)","Tier C (Đồng: 30-49đ)")))))</f>
        <v/>
      </c>
      <c r="R906" s="9" t="inlineStr">
        <is>
          <t>Khay vệ sinh chung cư (Indoor Potty) + Thảm cỏ ban công (Grass Patch) + Đồ chơi</t>
        </is>
      </c>
      <c r="S906" s="9" t="inlineStr">
        <is>
          <t>Cấp C Chi phí thấp: Nhắn tin trực tiếp qua Fanpage Facebook/Instagram + Nuôi dưỡng nội dung</t>
        </is>
      </c>
    </row>
    <row r="907">
      <c r="A907" s="53" t="n">
        <v>665</v>
      </c>
      <c r="B907" s="12" t="inlineStr">
        <is>
          <t>Big Dog Chains</t>
        </is>
      </c>
      <c r="C907" s="54" t="inlineStr">
        <is>
          <t>https://www.facebook.com/bigdogchains</t>
        </is>
      </c>
      <c r="D907" s="6" t="inlineStr">
        <is>
          <t>Cần quét Bio Fanpage</t>
        </is>
      </c>
      <c r="E907" s="53" t="inlineStr">
        <is>
          <t>12/10/2026 23:49:41</t>
        </is>
      </c>
      <c r="F907" s="53" t="inlineStr">
        <is>
          <t>2 giờ trước</t>
        </is>
      </c>
      <c r="G907" s="55" t="n">
        <v>0.08</v>
      </c>
      <c r="H907" s="56" t="n">
        <v>35</v>
      </c>
      <c r="I907" s="6" t="inlineStr">
        <is>
          <t>Pet Owner / Cộng đồng nuôi cún (10đ)</t>
        </is>
      </c>
      <c r="J907" s="56" t="n">
        <v>10</v>
      </c>
      <c r="K907" s="6" t="inlineStr">
        <is>
          <t>Chưa rõ giống (Cần quét Bio)</t>
        </is>
      </c>
      <c r="L907" s="56" t="n">
        <v>0</v>
      </c>
      <c r="M907" s="56" t="n">
        <v>0</v>
      </c>
      <c r="N907" s="6" t="inlineStr">
        <is>
          <t>Amazon link not found</t>
        </is>
      </c>
      <c r="O907" s="56">
        <f>IF(N907="Selling pet toys + Artificial grass/Pet toilets (TARGET)",15,IF(N907="Selling artificial grass/pet toilets (TARGET)",10,IF(N907="Selling pet toys",7,IF(N907="There's an Amazon link, but no target sales.",3,0))))</f>
        <v/>
      </c>
      <c r="P907" s="65">
        <f>H907+J907+L907+M907+O907</f>
        <v/>
      </c>
      <c r="Q907" s="69">
        <f>IF(OR(H907=0,P907&lt;30),"Tier D (Đóng băng)",IF(P907&gt;=85,"Tier S (Kim Cương: 85-100đ)",IF(P907&gt;=70,"Tier A (Vàng: 70-84đ)",IF(P907&gt;=61,"Tier B+ / Cấp A (Hot Lead: 61-69đ)",IF(P907&gt;=50,"Tier B (Bạc: 50-60đ)","Tier C (Đồng: 30-49đ)")))))</f>
        <v/>
      </c>
      <c r="R907" s="6" t="inlineStr">
        <is>
          <t>Khay vệ sinh chung cư (Indoor Potty) + Thảm cỏ ban công (Grass Patch) + Đồ chơi</t>
        </is>
      </c>
      <c r="S907" s="6" t="inlineStr">
        <is>
          <t>Cấp C Chi phí thấp: Nhắn tin trực tiếp qua Fanpage Facebook/Instagram + Nuôi dưỡng nội dung</t>
        </is>
      </c>
    </row>
    <row r="908">
      <c r="A908" s="59" t="n">
        <v>1015</v>
      </c>
      <c r="B908" s="15" t="inlineStr">
        <is>
          <t>decor.snippets</t>
        </is>
      </c>
      <c r="C908" s="60" t="inlineStr">
        <is>
          <t>https://www.facebook.com/decor.snippets</t>
        </is>
      </c>
      <c r="D908" s="9" t="inlineStr">
        <is>
          <t>Cần quét Bio Fanpage</t>
        </is>
      </c>
      <c r="E908" s="59" t="inlineStr">
        <is>
          <t>12/10/2026 23:36:53</t>
        </is>
      </c>
      <c r="F908" s="59" t="inlineStr">
        <is>
          <t>3 giờ trước</t>
        </is>
      </c>
      <c r="G908" s="61" t="n">
        <v>0.12</v>
      </c>
      <c r="H908" s="62" t="n">
        <v>35</v>
      </c>
      <c r="I908" s="9" t="inlineStr">
        <is>
          <t>Pet Owner / Cộng đồng nuôi cún (10đ)</t>
        </is>
      </c>
      <c r="J908" s="62" t="n">
        <v>10</v>
      </c>
      <c r="K908" s="9" t="inlineStr">
        <is>
          <t>Chưa rõ giống (Cần quét Bio)</t>
        </is>
      </c>
      <c r="L908" s="62" t="n">
        <v>0</v>
      </c>
      <c r="M908" s="62" t="n">
        <v>0</v>
      </c>
      <c r="N908" s="9" t="inlineStr">
        <is>
          <t>Amazon link not found</t>
        </is>
      </c>
      <c r="O908" s="62">
        <f>IF(N908="Selling pet toys + Artificial grass/Pet toilets (TARGET)",15,IF(N908="Selling artificial grass/pet toilets (TARGET)",10,IF(N908="Selling pet toys",7,IF(N908="There's an Amazon link, but no target sales.",3,0))))</f>
        <v/>
      </c>
      <c r="P908" s="67">
        <f>H908+J908+L908+M908+O908</f>
        <v/>
      </c>
      <c r="Q908" s="69">
        <f>IF(OR(H908=0,P908&lt;30),"Tier D (Đóng băng)",IF(P908&gt;=85,"Tier S (Kim Cương: 85-100đ)",IF(P908&gt;=70,"Tier A (Vàng: 70-84đ)",IF(P908&gt;=61,"Tier B+ / Cấp A (Hot Lead: 61-69đ)",IF(P908&gt;=50,"Tier B (Bạc: 50-60đ)","Tier C (Đồng: 30-49đ)")))))</f>
        <v/>
      </c>
      <c r="R908" s="9" t="inlineStr">
        <is>
          <t>Khay vệ sinh chung cư (Indoor Potty) + Thảm cỏ ban công (Grass Patch) + Đồ chơi</t>
        </is>
      </c>
      <c r="S908" s="9" t="inlineStr">
        <is>
          <t>Cấp C Chi phí thấp: Nhắn tin trực tiếp qua Fanpage Facebook/Instagram + Nuôi dưỡng nội dung</t>
        </is>
      </c>
    </row>
    <row r="909">
      <c r="A909" s="53" t="n">
        <v>1133</v>
      </c>
      <c r="B909" s="12" t="inlineStr">
        <is>
          <t>Doggy Style Dog Care</t>
        </is>
      </c>
      <c r="C909" s="54" t="inlineStr">
        <is>
          <t>https://www.facebook.com/profile.php?id=61562087498493</t>
        </is>
      </c>
      <c r="D909" s="6" t="inlineStr">
        <is>
          <t>Cần quét Bio Fanpage</t>
        </is>
      </c>
      <c r="E909" s="53" t="inlineStr">
        <is>
          <t>12/10/2026 23:26:47</t>
        </is>
      </c>
      <c r="F909" s="53" t="inlineStr">
        <is>
          <t>3 giờ trước</t>
        </is>
      </c>
      <c r="G909" s="55" t="n">
        <v>0.12</v>
      </c>
      <c r="H909" s="56" t="n">
        <v>35</v>
      </c>
      <c r="I909" s="6" t="inlineStr">
        <is>
          <t>Pet Owner / Cộng đồng nuôi cún (10đ)</t>
        </is>
      </c>
      <c r="J909" s="56" t="n">
        <v>10</v>
      </c>
      <c r="K909" s="6" t="inlineStr">
        <is>
          <t>Chưa rõ giống (Cần quét Bio)</t>
        </is>
      </c>
      <c r="L909" s="56" t="n">
        <v>0</v>
      </c>
      <c r="M909" s="56" t="n">
        <v>0</v>
      </c>
      <c r="N909" s="6" t="inlineStr">
        <is>
          <t>Amazon link not found</t>
        </is>
      </c>
      <c r="O909" s="56">
        <f>IF(N909="Selling pet toys + Artificial grass/Pet toilets (TARGET)",15,IF(N909="Selling artificial grass/pet toilets (TARGET)",10,IF(N909="Selling pet toys",7,IF(N909="There's an Amazon link, but no target sales.",3,0))))</f>
        <v/>
      </c>
      <c r="P909" s="65">
        <f>H909+J909+L909+M909+O909</f>
        <v/>
      </c>
      <c r="Q909" s="69">
        <f>IF(OR(H909=0,P909&lt;30),"Tier D (Đóng băng)",IF(P909&gt;=85,"Tier S (Kim Cương: 85-100đ)",IF(P909&gt;=70,"Tier A (Vàng: 70-84đ)",IF(P909&gt;=61,"Tier B+ / Cấp A (Hot Lead: 61-69đ)",IF(P909&gt;=50,"Tier B (Bạc: 50-60đ)","Tier C (Đồng: 30-49đ)")))))</f>
        <v/>
      </c>
      <c r="R909" s="6" t="inlineStr">
        <is>
          <t>Khay vệ sinh chung cư (Indoor Potty) + Thảm cỏ ban công (Grass Patch) + Đồ chơi</t>
        </is>
      </c>
      <c r="S909" s="6" t="inlineStr">
        <is>
          <t>Cấp C Chi phí thấp: Nhắn tin trực tiếp qua Fanpage Facebook/Instagram + Nuôi dưỡng nội dung</t>
        </is>
      </c>
    </row>
    <row r="910">
      <c r="A910" s="59" t="n">
        <v>158</v>
      </c>
      <c r="B910" s="15" t="inlineStr">
        <is>
          <t>DOGTV</t>
        </is>
      </c>
      <c r="C910" s="60" t="inlineStr">
        <is>
          <t>https://www.facebook.com/dogtv</t>
        </is>
      </c>
      <c r="D910" s="9" t="inlineStr">
        <is>
          <t>Cần quét Bio Fanpage</t>
        </is>
      </c>
      <c r="E910" s="59" t="inlineStr">
        <is>
          <t>12/10/2026 23:26:01</t>
        </is>
      </c>
      <c r="F910" s="59" t="inlineStr">
        <is>
          <t>1 giờ trước</t>
        </is>
      </c>
      <c r="G910" s="61" t="n">
        <v>0.04</v>
      </c>
      <c r="H910" s="62" t="n">
        <v>35</v>
      </c>
      <c r="I910" s="9" t="inlineStr">
        <is>
          <t>Pet Owner / Cộng đồng nuôi cún (10đ)</t>
        </is>
      </c>
      <c r="J910" s="62" t="n">
        <v>10</v>
      </c>
      <c r="K910" s="9" t="inlineStr">
        <is>
          <t>Chưa rõ giống (Cần quét Bio)</t>
        </is>
      </c>
      <c r="L910" s="62" t="n">
        <v>0</v>
      </c>
      <c r="M910" s="62" t="n">
        <v>0</v>
      </c>
      <c r="N910" s="9" t="inlineStr">
        <is>
          <t>Amazon link not found</t>
        </is>
      </c>
      <c r="O910" s="62">
        <f>IF(N910="Selling pet toys + Artificial grass/Pet toilets (TARGET)",15,IF(N910="Selling artificial grass/pet toilets (TARGET)",10,IF(N910="Selling pet toys",7,IF(N910="There's an Amazon link, but no target sales.",3,0))))</f>
        <v/>
      </c>
      <c r="P910" s="67">
        <f>H910+J910+L910+M910+O910</f>
        <v/>
      </c>
      <c r="Q910" s="69">
        <f>IF(OR(H910=0,P910&lt;30),"Tier D (Đóng băng)",IF(P910&gt;=85,"Tier S (Kim Cương: 85-100đ)",IF(P910&gt;=70,"Tier A (Vàng: 70-84đ)",IF(P910&gt;=61,"Tier B+ / Cấp A (Hot Lead: 61-69đ)",IF(P910&gt;=50,"Tier B (Bạc: 50-60đ)","Tier C (Đồng: 30-49đ)")))))</f>
        <v/>
      </c>
      <c r="R910" s="9" t="inlineStr">
        <is>
          <t>Khay vệ sinh chung cư (Indoor Potty) + Thảm cỏ ban công (Grass Patch) + Đồ chơi</t>
        </is>
      </c>
      <c r="S910" s="9" t="inlineStr">
        <is>
          <t>Cấp C Chi phí thấp: Nhắn tin trực tiếp qua Fanpage Facebook/Instagram + Nuôi dưỡng nội dung</t>
        </is>
      </c>
    </row>
    <row r="911">
      <c r="A911" s="53" t="n">
        <v>278</v>
      </c>
      <c r="B911" s="12" t="inlineStr">
        <is>
          <t>The Farmer's Dog</t>
        </is>
      </c>
      <c r="C911" s="54" t="inlineStr">
        <is>
          <t>https://www.facebook.com/thefarmersdog</t>
        </is>
      </c>
      <c r="D911" s="6" t="inlineStr">
        <is>
          <t>Cần quét Bio Fanpage</t>
        </is>
      </c>
      <c r="E911" s="53" t="inlineStr">
        <is>
          <t>12/10/2026 23:24:08</t>
        </is>
      </c>
      <c r="F911" s="53" t="inlineStr">
        <is>
          <t>2 giờ trước</t>
        </is>
      </c>
      <c r="G911" s="55" t="n">
        <v>0.08</v>
      </c>
      <c r="H911" s="56" t="n">
        <v>35</v>
      </c>
      <c r="I911" s="6" t="inlineStr">
        <is>
          <t>Pet Owner / Cộng đồng nuôi cún (10đ)</t>
        </is>
      </c>
      <c r="J911" s="56" t="n">
        <v>10</v>
      </c>
      <c r="K911" s="6" t="inlineStr">
        <is>
          <t>Chưa rõ giống (Cần quét Bio)</t>
        </is>
      </c>
      <c r="L911" s="56" t="n">
        <v>0</v>
      </c>
      <c r="M911" s="56" t="n">
        <v>0</v>
      </c>
      <c r="N911" s="6" t="inlineStr">
        <is>
          <t>Amazon link not found</t>
        </is>
      </c>
      <c r="O911" s="56">
        <f>IF(N911="Selling pet toys + Artificial grass/Pet toilets (TARGET)",15,IF(N911="Selling artificial grass/pet toilets (TARGET)",10,IF(N911="Selling pet toys",7,IF(N911="There's an Amazon link, but no target sales.",3,0))))</f>
        <v/>
      </c>
      <c r="P911" s="65">
        <f>H911+J911+L911+M911+O911</f>
        <v/>
      </c>
      <c r="Q911" s="69">
        <f>IF(OR(H911=0,P911&lt;30),"Tier D (Đóng băng)",IF(P911&gt;=85,"Tier S (Kim Cương: 85-100đ)",IF(P911&gt;=70,"Tier A (Vàng: 70-84đ)",IF(P911&gt;=61,"Tier B+ / Cấp A (Hot Lead: 61-69đ)",IF(P911&gt;=50,"Tier B (Bạc: 50-60đ)","Tier C (Đồng: 30-49đ)")))))</f>
        <v/>
      </c>
      <c r="R911" s="6" t="inlineStr">
        <is>
          <t>Khay vệ sinh chung cư (Indoor Potty) + Thảm cỏ ban công (Grass Patch) + Đồ chơi</t>
        </is>
      </c>
      <c r="S911" s="6" t="inlineStr">
        <is>
          <t>Cấp C Chi phí thấp: Nhắn tin trực tiếp qua Fanpage Facebook/Instagram + Nuôi dưỡng nội dung</t>
        </is>
      </c>
    </row>
    <row r="912">
      <c r="A912" s="59" t="n">
        <v>39</v>
      </c>
      <c r="B912" s="15" t="inlineStr">
        <is>
          <t>eggnogthebulldog</t>
        </is>
      </c>
      <c r="C912" s="60" t="inlineStr">
        <is>
          <t>https://www.facebook.com/eggnogthebulldog</t>
        </is>
      </c>
      <c r="D912" s="9" t="inlineStr">
        <is>
          <t>Cần quét Bio Fanpage</t>
        </is>
      </c>
      <c r="E912" s="59" t="inlineStr">
        <is>
          <t>12/10/2026 23:18:49</t>
        </is>
      </c>
      <c r="F912" s="59" t="inlineStr">
        <is>
          <t>1 giờ trước</t>
        </is>
      </c>
      <c r="G912" s="61" t="n">
        <v>0.04</v>
      </c>
      <c r="H912" s="62" t="n">
        <v>35</v>
      </c>
      <c r="I912" s="9" t="inlineStr">
        <is>
          <t>Pet Owner / Cộng đồng nuôi cún (10đ)</t>
        </is>
      </c>
      <c r="J912" s="62" t="n">
        <v>10</v>
      </c>
      <c r="K912" s="9" t="inlineStr">
        <is>
          <t>Chưa rõ giống (Cần quét Bio)</t>
        </is>
      </c>
      <c r="L912" s="62" t="n">
        <v>0</v>
      </c>
      <c r="M912" s="62" t="n">
        <v>0</v>
      </c>
      <c r="N912" s="9" t="inlineStr">
        <is>
          <t>Amazon link not found</t>
        </is>
      </c>
      <c r="O912" s="62">
        <f>IF(N912="Selling pet toys + Artificial grass/Pet toilets (TARGET)",15,IF(N912="Selling artificial grass/pet toilets (TARGET)",10,IF(N912="Selling pet toys",7,IF(N912="There's an Amazon link, but no target sales.",3,0))))</f>
        <v/>
      </c>
      <c r="P912" s="67">
        <f>H912+J912+L912+M912+O912</f>
        <v/>
      </c>
      <c r="Q912" s="69">
        <f>IF(OR(H912=0,P912&lt;30),"Tier D (Đóng băng)",IF(P912&gt;=85,"Tier S (Kim Cương: 85-100đ)",IF(P912&gt;=70,"Tier A (Vàng: 70-84đ)",IF(P912&gt;=61,"Tier B+ / Cấp A (Hot Lead: 61-69đ)",IF(P912&gt;=50,"Tier B (Bạc: 50-60đ)","Tier C (Đồng: 30-49đ)")))))</f>
        <v/>
      </c>
      <c r="R912" s="9" t="inlineStr">
        <is>
          <t>Khay vệ sinh chung cư (Indoor Potty) + Thảm cỏ ban công (Grass Patch) + Đồ chơi</t>
        </is>
      </c>
      <c r="S912" s="9" t="inlineStr">
        <is>
          <t>Cấp C Chi phí thấp: Nhắn tin trực tiếp qua Fanpage Facebook/Instagram + Nuôi dưỡng nội dung</t>
        </is>
      </c>
    </row>
    <row r="913">
      <c r="A913" s="53" t="n">
        <v>547</v>
      </c>
      <c r="B913" s="12" t="inlineStr">
        <is>
          <t>Athenadogs and cat</t>
        </is>
      </c>
      <c r="C913" s="54" t="inlineStr">
        <is>
          <t>https://www.facebook.com/profile.php?id=100069769682353</t>
        </is>
      </c>
      <c r="D913" s="6" t="inlineStr">
        <is>
          <t>Cần quét Bio Fanpage</t>
        </is>
      </c>
      <c r="E913" s="53" t="inlineStr">
        <is>
          <t>12/10/2026 23:15:34</t>
        </is>
      </c>
      <c r="F913" s="53" t="inlineStr">
        <is>
          <t>2 giờ trước</t>
        </is>
      </c>
      <c r="G913" s="55" t="n">
        <v>0.08</v>
      </c>
      <c r="H913" s="56" t="n">
        <v>35</v>
      </c>
      <c r="I913" s="6" t="inlineStr">
        <is>
          <t>Pet Owner / Cộng đồng nuôi cún (10đ)</t>
        </is>
      </c>
      <c r="J913" s="56" t="n">
        <v>10</v>
      </c>
      <c r="K913" s="6" t="inlineStr">
        <is>
          <t>Chưa rõ giống (Cần quét Bio)</t>
        </is>
      </c>
      <c r="L913" s="56" t="n">
        <v>0</v>
      </c>
      <c r="M913" s="56" t="n">
        <v>0</v>
      </c>
      <c r="N913" s="6" t="inlineStr">
        <is>
          <t>Amazon link not found</t>
        </is>
      </c>
      <c r="O913" s="56">
        <f>IF(N913="Selling pet toys + Artificial grass/Pet toilets (TARGET)",15,IF(N913="Selling artificial grass/pet toilets (TARGET)",10,IF(N913="Selling pet toys",7,IF(N913="There's an Amazon link, but no target sales.",3,0))))</f>
        <v/>
      </c>
      <c r="P913" s="65">
        <f>H913+J913+L913+M913+O913</f>
        <v/>
      </c>
      <c r="Q913" s="69">
        <f>IF(OR(H913=0,P913&lt;30),"Tier D (Đóng băng)",IF(P913&gt;=85,"Tier S (Kim Cương: 85-100đ)",IF(P913&gt;=70,"Tier A (Vàng: 70-84đ)",IF(P913&gt;=61,"Tier B+ / Cấp A (Hot Lead: 61-69đ)",IF(P913&gt;=50,"Tier B (Bạc: 50-60đ)","Tier C (Đồng: 30-49đ)")))))</f>
        <v/>
      </c>
      <c r="R913" s="6" t="inlineStr">
        <is>
          <t>Khay vệ sinh chung cư (Indoor Potty) + Thảm cỏ ban công (Grass Patch) + Đồ chơi</t>
        </is>
      </c>
      <c r="S913" s="6" t="inlineStr">
        <is>
          <t>Cấp C Chi phí thấp: Nhắn tin trực tiếp qua Fanpage Facebook/Instagram + Nuôi dưỡng nội dung</t>
        </is>
      </c>
    </row>
    <row r="914">
      <c r="A914" s="59" t="n">
        <v>9</v>
      </c>
      <c r="B914" s="15" t="inlineStr">
        <is>
          <t>Goldenchilidog</t>
        </is>
      </c>
      <c r="C914" s="60" t="inlineStr">
        <is>
          <t>https://www.facebook.com/goldenchilidog</t>
        </is>
      </c>
      <c r="D914" s="9" t="inlineStr">
        <is>
          <t>Cần quét Bio Fanpage</t>
        </is>
      </c>
      <c r="E914" s="59" t="inlineStr">
        <is>
          <t>12/10/2026 23:05:59</t>
        </is>
      </c>
      <c r="F914" s="59" t="inlineStr">
        <is>
          <t>1 giờ trước</t>
        </is>
      </c>
      <c r="G914" s="61" t="n">
        <v>0.04</v>
      </c>
      <c r="H914" s="62" t="n">
        <v>35</v>
      </c>
      <c r="I914" s="9" t="inlineStr">
        <is>
          <t>Pet Owner / Cộng đồng nuôi cún (10đ)</t>
        </is>
      </c>
      <c r="J914" s="62" t="n">
        <v>10</v>
      </c>
      <c r="K914" s="9" t="inlineStr">
        <is>
          <t>Chưa rõ giống (Cần quét Bio)</t>
        </is>
      </c>
      <c r="L914" s="62" t="n">
        <v>0</v>
      </c>
      <c r="M914" s="62" t="n">
        <v>0</v>
      </c>
      <c r="N914" s="9" t="inlineStr">
        <is>
          <t>Amazon link not found</t>
        </is>
      </c>
      <c r="O914" s="62">
        <f>IF(N914="Selling pet toys + Artificial grass/Pet toilets (TARGET)",15,IF(N914="Selling artificial grass/pet toilets (TARGET)",10,IF(N914="Selling pet toys",7,IF(N914="There's an Amazon link, but no target sales.",3,0))))</f>
        <v/>
      </c>
      <c r="P914" s="67">
        <f>H914+J914+L914+M914+O914</f>
        <v/>
      </c>
      <c r="Q914" s="69">
        <f>IF(OR(H914=0,P914&lt;30),"Tier D (Đóng băng)",IF(P914&gt;=85,"Tier S (Kim Cương: 85-100đ)",IF(P914&gt;=70,"Tier A (Vàng: 70-84đ)",IF(P914&gt;=61,"Tier B+ / Cấp A (Hot Lead: 61-69đ)",IF(P914&gt;=50,"Tier B (Bạc: 50-60đ)","Tier C (Đồng: 30-49đ)")))))</f>
        <v/>
      </c>
      <c r="R914" s="9" t="inlineStr">
        <is>
          <t>Khay vệ sinh chung cư (Indoor Potty) + Thảm cỏ ban công (Grass Patch) + Đồ chơi</t>
        </is>
      </c>
      <c r="S914" s="9" t="inlineStr">
        <is>
          <t>Cấp C Chi phí thấp: Nhắn tin trực tiếp qua Fanpage Facebook/Instagram + Nuôi dưỡng nội dung</t>
        </is>
      </c>
    </row>
    <row r="915">
      <c r="A915" s="53" t="n">
        <v>281</v>
      </c>
      <c r="B915" s="12" t="inlineStr">
        <is>
          <t>The Whole Dog Journal</t>
        </is>
      </c>
      <c r="C915" s="54" t="inlineStr">
        <is>
          <t>https://www.facebook.com/wholedogjournal</t>
        </is>
      </c>
      <c r="D915" s="6" t="inlineStr">
        <is>
          <t>Cần quét Bio Fanpage</t>
        </is>
      </c>
      <c r="E915" s="53" t="inlineStr">
        <is>
          <t>12/10/2026 23:05:46</t>
        </is>
      </c>
      <c r="F915" s="53" t="inlineStr">
        <is>
          <t>2 giờ trước</t>
        </is>
      </c>
      <c r="G915" s="55" t="n">
        <v>0.08</v>
      </c>
      <c r="H915" s="56" t="n">
        <v>35</v>
      </c>
      <c r="I915" s="6" t="inlineStr">
        <is>
          <t>Pet Owner / Cộng đồng nuôi cún (10đ)</t>
        </is>
      </c>
      <c r="J915" s="56" t="n">
        <v>10</v>
      </c>
      <c r="K915" s="6" t="inlineStr">
        <is>
          <t>Chưa rõ giống (Cần quét Bio)</t>
        </is>
      </c>
      <c r="L915" s="56" t="n">
        <v>0</v>
      </c>
      <c r="M915" s="56" t="n">
        <v>0</v>
      </c>
      <c r="N915" s="6" t="inlineStr">
        <is>
          <t>Amazon link not found</t>
        </is>
      </c>
      <c r="O915" s="56">
        <f>IF(N915="Selling pet toys + Artificial grass/Pet toilets (TARGET)",15,IF(N915="Selling artificial grass/pet toilets (TARGET)",10,IF(N915="Selling pet toys",7,IF(N915="There's an Amazon link, but no target sales.",3,0))))</f>
        <v/>
      </c>
      <c r="P915" s="65">
        <f>H915+J915+L915+M915+O915</f>
        <v/>
      </c>
      <c r="Q915" s="69">
        <f>IF(OR(H915=0,P915&lt;30),"Tier D (Đóng băng)",IF(P915&gt;=85,"Tier S (Kim Cương: 85-100đ)",IF(P915&gt;=70,"Tier A (Vàng: 70-84đ)",IF(P915&gt;=61,"Tier B+ / Cấp A (Hot Lead: 61-69đ)",IF(P915&gt;=50,"Tier B (Bạc: 50-60đ)","Tier C (Đồng: 30-49đ)")))))</f>
        <v/>
      </c>
      <c r="R915" s="6" t="inlineStr">
        <is>
          <t>Khay vệ sinh chung cư (Indoor Potty) + Thảm cỏ ban công (Grass Patch) + Đồ chơi</t>
        </is>
      </c>
      <c r="S915" s="6" t="inlineStr">
        <is>
          <t>Cấp C Chi phí thấp: Nhắn tin trực tiếp qua Fanpage Facebook/Instagram + Nuôi dưỡng nội dung</t>
        </is>
      </c>
    </row>
    <row r="916">
      <c r="A916" s="59" t="n">
        <v>367</v>
      </c>
      <c r="B916" s="15" t="inlineStr">
        <is>
          <t>Alessiaproiettipetretti</t>
        </is>
      </c>
      <c r="C916" s="60" t="inlineStr">
        <is>
          <t>https://www.facebook.com/profile.php?id=61576623871566</t>
        </is>
      </c>
      <c r="D916" s="9" t="inlineStr">
        <is>
          <t>Cần quét Bio Fanpage</t>
        </is>
      </c>
      <c r="E916" s="59" t="inlineStr">
        <is>
          <t>12/10/2026 23:03:14</t>
        </is>
      </c>
      <c r="F916" s="59" t="inlineStr">
        <is>
          <t>2 giờ trước</t>
        </is>
      </c>
      <c r="G916" s="61" t="n">
        <v>0.08</v>
      </c>
      <c r="H916" s="62" t="n">
        <v>35</v>
      </c>
      <c r="I916" s="9" t="inlineStr">
        <is>
          <t>Pet Owner / Cộng đồng nuôi cún (10đ)</t>
        </is>
      </c>
      <c r="J916" s="62" t="n">
        <v>10</v>
      </c>
      <c r="K916" s="9" t="inlineStr">
        <is>
          <t>Chưa rõ giống (Cần quét Bio)</t>
        </is>
      </c>
      <c r="L916" s="62" t="n">
        <v>0</v>
      </c>
      <c r="M916" s="62" t="n">
        <v>0</v>
      </c>
      <c r="N916" s="9" t="inlineStr">
        <is>
          <t>Amazon link not found</t>
        </is>
      </c>
      <c r="O916" s="62">
        <f>IF(N916="Selling pet toys + Artificial grass/Pet toilets (TARGET)",15,IF(N916="Selling artificial grass/pet toilets (TARGET)",10,IF(N916="Selling pet toys",7,IF(N916="There's an Amazon link, but no target sales.",3,0))))</f>
        <v/>
      </c>
      <c r="P916" s="67">
        <f>H916+J916+L916+M916+O916</f>
        <v/>
      </c>
      <c r="Q916" s="69">
        <f>IF(OR(H916=0,P916&lt;30),"Tier D (Đóng băng)",IF(P916&gt;=85,"Tier S (Kim Cương: 85-100đ)",IF(P916&gt;=70,"Tier A (Vàng: 70-84đ)",IF(P916&gt;=61,"Tier B+ / Cấp A (Hot Lead: 61-69đ)",IF(P916&gt;=50,"Tier B (Bạc: 50-60đ)","Tier C (Đồng: 30-49đ)")))))</f>
        <v/>
      </c>
      <c r="R916" s="9" t="inlineStr">
        <is>
          <t>Khay vệ sinh chung cư (Indoor Potty) + Thảm cỏ ban công (Grass Patch) + Đồ chơi</t>
        </is>
      </c>
      <c r="S916" s="9" t="inlineStr">
        <is>
          <t>Cấp C Chi phí thấp: Nhắn tin trực tiếp qua Fanpage Facebook/Instagram + Nuôi dưỡng nội dung</t>
        </is>
      </c>
    </row>
    <row r="917">
      <c r="A917" s="53" t="n">
        <v>24</v>
      </c>
      <c r="B917" s="12" t="inlineStr">
        <is>
          <t>Impact Dog Crates</t>
        </is>
      </c>
      <c r="C917" s="54" t="inlineStr">
        <is>
          <t>https://www.facebook.com/impactdogcrates</t>
        </is>
      </c>
      <c r="D917" s="6" t="inlineStr">
        <is>
          <t>Cần quét Bio Fanpage</t>
        </is>
      </c>
      <c r="E917" s="53" t="inlineStr">
        <is>
          <t>12/10/2026 23:02:23</t>
        </is>
      </c>
      <c r="F917" s="53" t="inlineStr">
        <is>
          <t>1 giờ trước</t>
        </is>
      </c>
      <c r="G917" s="55" t="n">
        <v>0.04</v>
      </c>
      <c r="H917" s="56" t="n">
        <v>35</v>
      </c>
      <c r="I917" s="6" t="inlineStr">
        <is>
          <t>Pet Owner / Cộng đồng nuôi cún (10đ)</t>
        </is>
      </c>
      <c r="J917" s="56" t="n">
        <v>10</v>
      </c>
      <c r="K917" s="6" t="inlineStr">
        <is>
          <t>Chưa rõ giống (Cần quét Bio)</t>
        </is>
      </c>
      <c r="L917" s="56" t="n">
        <v>0</v>
      </c>
      <c r="M917" s="56" t="n">
        <v>0</v>
      </c>
      <c r="N917" s="6" t="inlineStr">
        <is>
          <t>Amazon link not found</t>
        </is>
      </c>
      <c r="O917" s="56">
        <f>IF(N917="Selling pet toys + Artificial grass/Pet toilets (TARGET)",15,IF(N917="Selling artificial grass/pet toilets (TARGET)",10,IF(N917="Selling pet toys",7,IF(N917="There's an Amazon link, but no target sales.",3,0))))</f>
        <v/>
      </c>
      <c r="P917" s="65">
        <f>H917+J917+L917+M917+O917</f>
        <v/>
      </c>
      <c r="Q917" s="69">
        <f>IF(OR(H917=0,P917&lt;30),"Tier D (Đóng băng)",IF(P917&gt;=85,"Tier S (Kim Cương: 85-100đ)",IF(P917&gt;=70,"Tier A (Vàng: 70-84đ)",IF(P917&gt;=61,"Tier B+ / Cấp A (Hot Lead: 61-69đ)",IF(P917&gt;=50,"Tier B (Bạc: 50-60đ)","Tier C (Đồng: 30-49đ)")))))</f>
        <v/>
      </c>
      <c r="R917" s="6" t="inlineStr">
        <is>
          <t>Khay vệ sinh chung cư (Indoor Potty) + Thảm cỏ ban công (Grass Patch) + Đồ chơi</t>
        </is>
      </c>
      <c r="S917" s="6" t="inlineStr">
        <is>
          <t>Cấp C Chi phí thấp: Nhắn tin trực tiếp qua Fanpage Facebook/Instagram + Nuôi dưỡng nội dung</t>
        </is>
      </c>
    </row>
    <row r="918">
      <c r="A918" s="59" t="n">
        <v>161</v>
      </c>
      <c r="B918" s="15" t="inlineStr">
        <is>
          <t>Dr. Judy Morgan's Naturally Healthy Pets</t>
        </is>
      </c>
      <c r="C918" s="60" t="inlineStr">
        <is>
          <t>https://www.facebook.com/JudyMorganDVM</t>
        </is>
      </c>
      <c r="D918" s="9" t="inlineStr">
        <is>
          <t>Cần quét Bio Fanpage</t>
        </is>
      </c>
      <c r="E918" s="59" t="inlineStr">
        <is>
          <t>12/10/2026 23:01:17</t>
        </is>
      </c>
      <c r="F918" s="59" t="inlineStr">
        <is>
          <t>2 giờ trước</t>
        </is>
      </c>
      <c r="G918" s="61" t="n">
        <v>0.08</v>
      </c>
      <c r="H918" s="62" t="n">
        <v>35</v>
      </c>
      <c r="I918" s="9" t="inlineStr">
        <is>
          <t>Pet Owner / Cộng đồng nuôi cún (10đ)</t>
        </is>
      </c>
      <c r="J918" s="62" t="n">
        <v>10</v>
      </c>
      <c r="K918" s="9" t="inlineStr">
        <is>
          <t>Chưa rõ giống (Cần quét Bio)</t>
        </is>
      </c>
      <c r="L918" s="62" t="n">
        <v>0</v>
      </c>
      <c r="M918" s="62" t="n">
        <v>0</v>
      </c>
      <c r="N918" s="9" t="inlineStr">
        <is>
          <t>Amazon link not found</t>
        </is>
      </c>
      <c r="O918" s="62">
        <f>IF(N918="Selling pet toys + Artificial grass/Pet toilets (TARGET)",15,IF(N918="Selling artificial grass/pet toilets (TARGET)",10,IF(N918="Selling pet toys",7,IF(N918="There's an Amazon link, but no target sales.",3,0))))</f>
        <v/>
      </c>
      <c r="P918" s="67">
        <f>H918+J918+L918+M918+O918</f>
        <v/>
      </c>
      <c r="Q918" s="69">
        <f>IF(OR(H918=0,P918&lt;30),"Tier D (Đóng băng)",IF(P918&gt;=85,"Tier S (Kim Cương: 85-100đ)",IF(P918&gt;=70,"Tier A (Vàng: 70-84đ)",IF(P918&gt;=61,"Tier B+ / Cấp A (Hot Lead: 61-69đ)",IF(P918&gt;=50,"Tier B (Bạc: 50-60đ)","Tier C (Đồng: 30-49đ)")))))</f>
        <v/>
      </c>
      <c r="R918" s="9" t="inlineStr">
        <is>
          <t>Khay vệ sinh chung cư (Indoor Potty) + Thảm cỏ ban công (Grass Patch) + Đồ chơi</t>
        </is>
      </c>
      <c r="S918" s="9" t="inlineStr">
        <is>
          <t>Cấp C Chi phí thấp: Nhắn tin trực tiếp qua Fanpage Facebook/Instagram + Nuôi dưỡng nội dung</t>
        </is>
      </c>
    </row>
    <row r="919">
      <c r="A919" s="53" t="n">
        <v>1087</v>
      </c>
      <c r="B919" s="12" t="inlineStr">
        <is>
          <t>Dog Kindness</t>
        </is>
      </c>
      <c r="C919" s="54" t="inlineStr">
        <is>
          <t>https://www.facebook.com/DogKindnessbyRockyKanaka</t>
        </is>
      </c>
      <c r="D919" s="6" t="inlineStr">
        <is>
          <t>Cần quét Bio Fanpage</t>
        </is>
      </c>
      <c r="E919" s="53" t="inlineStr">
        <is>
          <t>12/10/2026 22:56:17</t>
        </is>
      </c>
      <c r="F919" s="53" t="inlineStr">
        <is>
          <t>3 giờ trước</t>
        </is>
      </c>
      <c r="G919" s="55" t="n">
        <v>0.12</v>
      </c>
      <c r="H919" s="56" t="n">
        <v>35</v>
      </c>
      <c r="I919" s="6" t="inlineStr">
        <is>
          <t>Pet Owner / Cộng đồng nuôi cún (10đ)</t>
        </is>
      </c>
      <c r="J919" s="56" t="n">
        <v>10</v>
      </c>
      <c r="K919" s="6" t="inlineStr">
        <is>
          <t>Chưa rõ giống (Cần quét Bio)</t>
        </is>
      </c>
      <c r="L919" s="56" t="n">
        <v>0</v>
      </c>
      <c r="M919" s="56" t="n">
        <v>0</v>
      </c>
      <c r="N919" s="6" t="inlineStr">
        <is>
          <t>Amazon link not found</t>
        </is>
      </c>
      <c r="O919" s="56">
        <f>IF(N919="Selling pet toys + Artificial grass/Pet toilets (TARGET)",15,IF(N919="Selling artificial grass/pet toilets (TARGET)",10,IF(N919="Selling pet toys",7,IF(N919="There's an Amazon link, but no target sales.",3,0))))</f>
        <v/>
      </c>
      <c r="P919" s="65">
        <f>H919+J919+L919+M919+O919</f>
        <v/>
      </c>
      <c r="Q919" s="69">
        <f>IF(OR(H919=0,P919&lt;30),"Tier D (Đóng băng)",IF(P919&gt;=85,"Tier S (Kim Cương: 85-100đ)",IF(P919&gt;=70,"Tier A (Vàng: 70-84đ)",IF(P919&gt;=61,"Tier B+ / Cấp A (Hot Lead: 61-69đ)",IF(P919&gt;=50,"Tier B (Bạc: 50-60đ)","Tier C (Đồng: 30-49đ)")))))</f>
        <v/>
      </c>
      <c r="R919" s="6" t="inlineStr">
        <is>
          <t>Khay vệ sinh chung cư (Indoor Potty) + Thảm cỏ ban công (Grass Patch) + Đồ chơi</t>
        </is>
      </c>
      <c r="S919" s="6" t="inlineStr">
        <is>
          <t>Cấp C Chi phí thấp: Nhắn tin trực tiếp qua Fanpage Facebook/Instagram + Nuôi dưỡng nội dung</t>
        </is>
      </c>
    </row>
    <row r="920">
      <c r="A920" s="59" t="n">
        <v>117</v>
      </c>
      <c r="B920" s="15" t="inlineStr">
        <is>
          <t>BJ's Raw Pet Food</t>
        </is>
      </c>
      <c r="C920" s="60" t="inlineStr">
        <is>
          <t>https://www.facebook.com/bjsrawpetfood</t>
        </is>
      </c>
      <c r="D920" s="9" t="inlineStr">
        <is>
          <t>Cần quét Bio Fanpage</t>
        </is>
      </c>
      <c r="E920" s="59" t="inlineStr">
        <is>
          <t>12/10/2026 22:39:38</t>
        </is>
      </c>
      <c r="F920" s="59" t="inlineStr">
        <is>
          <t>2 giờ trước</t>
        </is>
      </c>
      <c r="G920" s="61" t="n">
        <v>0.08</v>
      </c>
      <c r="H920" s="62" t="n">
        <v>35</v>
      </c>
      <c r="I920" s="9" t="inlineStr">
        <is>
          <t>Pet Owner / Cộng đồng nuôi cún (10đ)</t>
        </is>
      </c>
      <c r="J920" s="62" t="n">
        <v>10</v>
      </c>
      <c r="K920" s="9" t="inlineStr">
        <is>
          <t>Chưa rõ giống (Cần quét Bio)</t>
        </is>
      </c>
      <c r="L920" s="62" t="n">
        <v>0</v>
      </c>
      <c r="M920" s="62" t="n">
        <v>0</v>
      </c>
      <c r="N920" s="9" t="inlineStr">
        <is>
          <t>Amazon link not found</t>
        </is>
      </c>
      <c r="O920" s="62">
        <f>IF(N920="Selling pet toys + Artificial grass/Pet toilets (TARGET)",15,IF(N920="Selling artificial grass/pet toilets (TARGET)",10,IF(N920="Selling pet toys",7,IF(N920="There's an Amazon link, but no target sales.",3,0))))</f>
        <v/>
      </c>
      <c r="P920" s="67">
        <f>H920+J920+L920+M920+O920</f>
        <v/>
      </c>
      <c r="Q920" s="69">
        <f>IF(OR(H920=0,P920&lt;30),"Tier D (Đóng băng)",IF(P920&gt;=85,"Tier S (Kim Cương: 85-100đ)",IF(P920&gt;=70,"Tier A (Vàng: 70-84đ)",IF(P920&gt;=61,"Tier B+ / Cấp A (Hot Lead: 61-69đ)",IF(P920&gt;=50,"Tier B (Bạc: 50-60đ)","Tier C (Đồng: 30-49đ)")))))</f>
        <v/>
      </c>
      <c r="R920" s="9" t="inlineStr">
        <is>
          <t>Khay vệ sinh chung cư (Indoor Potty) + Thảm cỏ ban công (Grass Patch) + Đồ chơi</t>
        </is>
      </c>
      <c r="S920" s="9" t="inlineStr">
        <is>
          <t>Cấp C Chi phí thấp: Nhắn tin trực tiếp qua Fanpage Facebook/Instagram + Nuôi dưỡng nội dung</t>
        </is>
      </c>
    </row>
    <row r="921">
      <c r="A921" s="53" t="n">
        <v>79</v>
      </c>
      <c r="B921" s="12" t="inlineStr">
        <is>
          <t>Susan Garrett's DogsThat</t>
        </is>
      </c>
      <c r="C921" s="54" t="inlineStr">
        <is>
          <t>https://www.facebook.com/susangarrettdogagility</t>
        </is>
      </c>
      <c r="D921" s="6" t="inlineStr">
        <is>
          <t>Cần quét Bio Fanpage</t>
        </is>
      </c>
      <c r="E921" s="53" t="inlineStr">
        <is>
          <t>12/10/2026 22:38:12</t>
        </is>
      </c>
      <c r="F921" s="53" t="inlineStr">
        <is>
          <t>2 giờ trước</t>
        </is>
      </c>
      <c r="G921" s="55" t="n">
        <v>0.08</v>
      </c>
      <c r="H921" s="56" t="n">
        <v>35</v>
      </c>
      <c r="I921" s="6" t="inlineStr">
        <is>
          <t>Pet Owner / Cộng đồng nuôi cún (10đ)</t>
        </is>
      </c>
      <c r="J921" s="56" t="n">
        <v>10</v>
      </c>
      <c r="K921" s="6" t="inlineStr">
        <is>
          <t>Chưa rõ giống (Cần quét Bio)</t>
        </is>
      </c>
      <c r="L921" s="56" t="n">
        <v>0</v>
      </c>
      <c r="M921" s="56" t="n">
        <v>0</v>
      </c>
      <c r="N921" s="6" t="inlineStr">
        <is>
          <t>Amazon link not found</t>
        </is>
      </c>
      <c r="O921" s="56">
        <f>IF(N921="Selling pet toys + Artificial grass/Pet toilets (TARGET)",15,IF(N921="Selling artificial grass/pet toilets (TARGET)",10,IF(N921="Selling pet toys",7,IF(N921="There's an Amazon link, but no target sales.",3,0))))</f>
        <v/>
      </c>
      <c r="P921" s="65">
        <f>H921+J921+L921+M921+O921</f>
        <v/>
      </c>
      <c r="Q921" s="69">
        <f>IF(OR(H921=0,P921&lt;30),"Tier D (Đóng băng)",IF(P921&gt;=85,"Tier S (Kim Cương: 85-100đ)",IF(P921&gt;=70,"Tier A (Vàng: 70-84đ)",IF(P921&gt;=61,"Tier B+ / Cấp A (Hot Lead: 61-69đ)",IF(P921&gt;=50,"Tier B (Bạc: 50-60đ)","Tier C (Đồng: 30-49đ)")))))</f>
        <v/>
      </c>
      <c r="R921" s="6" t="inlineStr">
        <is>
          <t>Khay vệ sinh chung cư (Indoor Potty) + Thảm cỏ ban công (Grass Patch) + Đồ chơi</t>
        </is>
      </c>
      <c r="S921" s="6" t="inlineStr">
        <is>
          <t>Cấp C Chi phí thấp: Nhắn tin trực tiếp qua Fanpage Facebook/Instagram + Nuôi dưỡng nội dung</t>
        </is>
      </c>
    </row>
    <row r="922">
      <c r="A922" s="59" t="n">
        <v>275</v>
      </c>
      <c r="B922" s="15" t="inlineStr">
        <is>
          <t>SweetPetsOasis</t>
        </is>
      </c>
      <c r="C922" s="60" t="inlineStr">
        <is>
          <t>https://www.facebook.com/SweetPetsOasis</t>
        </is>
      </c>
      <c r="D922" s="9" t="inlineStr">
        <is>
          <t>Cần quét Bio Fanpage</t>
        </is>
      </c>
      <c r="E922" s="59" t="inlineStr">
        <is>
          <t>12/10/2026 22:35:24</t>
        </is>
      </c>
      <c r="F922" s="59" t="inlineStr">
        <is>
          <t>2 giờ trước</t>
        </is>
      </c>
      <c r="G922" s="61" t="n">
        <v>0.08</v>
      </c>
      <c r="H922" s="62" t="n">
        <v>35</v>
      </c>
      <c r="I922" s="9" t="inlineStr">
        <is>
          <t>Pet Owner / Cộng đồng nuôi cún (10đ)</t>
        </is>
      </c>
      <c r="J922" s="62" t="n">
        <v>10</v>
      </c>
      <c r="K922" s="9" t="inlineStr">
        <is>
          <t>Chưa rõ giống (Cần quét Bio)</t>
        </is>
      </c>
      <c r="L922" s="62" t="n">
        <v>0</v>
      </c>
      <c r="M922" s="62" t="n">
        <v>0</v>
      </c>
      <c r="N922" s="9" t="inlineStr">
        <is>
          <t>Amazon link not found</t>
        </is>
      </c>
      <c r="O922" s="62">
        <f>IF(N922="Selling pet toys + Artificial grass/Pet toilets (TARGET)",15,IF(N922="Selling artificial grass/pet toilets (TARGET)",10,IF(N922="Selling pet toys",7,IF(N922="There's an Amazon link, but no target sales.",3,0))))</f>
        <v/>
      </c>
      <c r="P922" s="67">
        <f>H922+J922+L922+M922+O922</f>
        <v/>
      </c>
      <c r="Q922" s="69">
        <f>IF(OR(H922=0,P922&lt;30),"Tier D (Đóng băng)",IF(P922&gt;=85,"Tier S (Kim Cương: 85-100đ)",IF(P922&gt;=70,"Tier A (Vàng: 70-84đ)",IF(P922&gt;=61,"Tier B+ / Cấp A (Hot Lead: 61-69đ)",IF(P922&gt;=50,"Tier B (Bạc: 50-60đ)","Tier C (Đồng: 30-49đ)")))))</f>
        <v/>
      </c>
      <c r="R922" s="9" t="inlineStr">
        <is>
          <t>Khay vệ sinh chung cư (Indoor Potty) + Thảm cỏ ban công (Grass Patch) + Đồ chơi</t>
        </is>
      </c>
      <c r="S922" s="9" t="inlineStr">
        <is>
          <t>Cấp C Chi phí thấp: Nhắn tin trực tiếp qua Fanpage Facebook/Instagram + Nuôi dưỡng nội dung</t>
        </is>
      </c>
    </row>
    <row r="923">
      <c r="A923" s="53" t="n">
        <v>47</v>
      </c>
      <c r="B923" s="12" t="inlineStr">
        <is>
          <t>SayItOnceDogTraining</t>
        </is>
      </c>
      <c r="C923" s="54" t="inlineStr">
        <is>
          <t>https://www.facebook.com/SayItOnceDogTraining</t>
        </is>
      </c>
      <c r="D923" s="6" t="inlineStr">
        <is>
          <t>Cần quét Bio Fanpage</t>
        </is>
      </c>
      <c r="E923" s="53" t="inlineStr">
        <is>
          <t>12/10/2026 22:21:00</t>
        </is>
      </c>
      <c r="F923" s="53" t="inlineStr">
        <is>
          <t>2 giờ trước</t>
        </is>
      </c>
      <c r="G923" s="55" t="n">
        <v>0.08</v>
      </c>
      <c r="H923" s="56" t="n">
        <v>35</v>
      </c>
      <c r="I923" s="6" t="inlineStr">
        <is>
          <t>Pet Owner / Cộng đồng nuôi cún (10đ)</t>
        </is>
      </c>
      <c r="J923" s="56" t="n">
        <v>10</v>
      </c>
      <c r="K923" s="6" t="inlineStr">
        <is>
          <t>Chưa rõ giống (Cần quét Bio)</t>
        </is>
      </c>
      <c r="L923" s="56" t="n">
        <v>0</v>
      </c>
      <c r="M923" s="56" t="n">
        <v>0</v>
      </c>
      <c r="N923" s="6" t="inlineStr">
        <is>
          <t>Amazon link not found</t>
        </is>
      </c>
      <c r="O923" s="56">
        <f>IF(N923="Selling pet toys + Artificial grass/Pet toilets (TARGET)",15,IF(N923="Selling artificial grass/pet toilets (TARGET)",10,IF(N923="Selling pet toys",7,IF(N923="There's an Amazon link, but no target sales.",3,0))))</f>
        <v/>
      </c>
      <c r="P923" s="65">
        <f>H923+J923+L923+M923+O923</f>
        <v/>
      </c>
      <c r="Q923" s="69">
        <f>IF(OR(H923=0,P923&lt;30),"Tier D (Đóng băng)",IF(P923&gt;=85,"Tier S (Kim Cương: 85-100đ)",IF(P923&gt;=70,"Tier A (Vàng: 70-84đ)",IF(P923&gt;=61,"Tier B+ / Cấp A (Hot Lead: 61-69đ)",IF(P923&gt;=50,"Tier B (Bạc: 50-60đ)","Tier C (Đồng: 30-49đ)")))))</f>
        <v/>
      </c>
      <c r="R923" s="6" t="inlineStr">
        <is>
          <t>Khay vệ sinh chung cư (Indoor Potty) + Thảm cỏ ban công (Grass Patch) + Đồ chơi</t>
        </is>
      </c>
      <c r="S923" s="6" t="inlineStr">
        <is>
          <t>Cấp C Chi phí thấp: Nhắn tin trực tiếp qua Fanpage Facebook/Instagram + Nuôi dưỡng nội dung</t>
        </is>
      </c>
    </row>
    <row r="924">
      <c r="A924" s="59" t="n">
        <v>66</v>
      </c>
      <c r="B924" s="15" t="inlineStr">
        <is>
          <t>interquestschoolcounselingdogs</t>
        </is>
      </c>
      <c r="C924" s="60" t="inlineStr">
        <is>
          <t>https://www.facebook.com/interquestschoolcounselingdogs</t>
        </is>
      </c>
      <c r="D924" s="9" t="inlineStr">
        <is>
          <t>Cần quét Bio Fanpage</t>
        </is>
      </c>
      <c r="E924" s="59" t="inlineStr">
        <is>
          <t>12/10/2026 22:19:59</t>
        </is>
      </c>
      <c r="F924" s="59" t="inlineStr">
        <is>
          <t>2 giờ trước</t>
        </is>
      </c>
      <c r="G924" s="61" t="n">
        <v>0.08</v>
      </c>
      <c r="H924" s="62" t="n">
        <v>35</v>
      </c>
      <c r="I924" s="9" t="inlineStr">
        <is>
          <t>Pet Owner / Cộng đồng nuôi cún (10đ)</t>
        </is>
      </c>
      <c r="J924" s="62" t="n">
        <v>10</v>
      </c>
      <c r="K924" s="9" t="inlineStr">
        <is>
          <t>Chưa rõ giống (Cần quét Bio)</t>
        </is>
      </c>
      <c r="L924" s="62" t="n">
        <v>0</v>
      </c>
      <c r="M924" s="62" t="n">
        <v>0</v>
      </c>
      <c r="N924" s="9" t="inlineStr">
        <is>
          <t>Amazon link not found</t>
        </is>
      </c>
      <c r="O924" s="62">
        <f>IF(N924="Selling pet toys + Artificial grass/Pet toilets (TARGET)",15,IF(N924="Selling artificial grass/pet toilets (TARGET)",10,IF(N924="Selling pet toys",7,IF(N924="There's an Amazon link, but no target sales.",3,0))))</f>
        <v/>
      </c>
      <c r="P924" s="67">
        <f>H924+J924+L924+M924+O924</f>
        <v/>
      </c>
      <c r="Q924" s="69">
        <f>IF(OR(H924=0,P924&lt;30),"Tier D (Đóng băng)",IF(P924&gt;=85,"Tier S (Kim Cương: 85-100đ)",IF(P924&gt;=70,"Tier A (Vàng: 70-84đ)",IF(P924&gt;=61,"Tier B+ / Cấp A (Hot Lead: 61-69đ)",IF(P924&gt;=50,"Tier B (Bạc: 50-60đ)","Tier C (Đồng: 30-49đ)")))))</f>
        <v/>
      </c>
      <c r="R924" s="9" t="inlineStr">
        <is>
          <t>Khay vệ sinh chung cư (Indoor Potty) + Thảm cỏ ban công (Grass Patch) + Đồ chơi</t>
        </is>
      </c>
      <c r="S924" s="9" t="inlineStr">
        <is>
          <t>Cấp C Chi phí thấp: Nhắn tin trực tiếp qua Fanpage Facebook/Instagram + Nuôi dưỡng nội dung</t>
        </is>
      </c>
    </row>
    <row r="925">
      <c r="A925" s="53" t="n">
        <v>552</v>
      </c>
      <c r="B925" s="12" t="inlineStr">
        <is>
          <t>Auburn, CA - Lost Dogs, Cats &amp; Pets - PawBoost</t>
        </is>
      </c>
      <c r="C925" s="54" t="inlineStr">
        <is>
          <t>https://www.facebook.com/LostPetsAuburnCA</t>
        </is>
      </c>
      <c r="D925" s="6" t="inlineStr">
        <is>
          <t>Cần quét Bio Fanpage</t>
        </is>
      </c>
      <c r="E925" s="53" t="inlineStr">
        <is>
          <t>12/10/2026 22:10:14</t>
        </is>
      </c>
      <c r="F925" s="53" t="inlineStr">
        <is>
          <t>3 giờ trước</t>
        </is>
      </c>
      <c r="G925" s="55" t="n">
        <v>0.12</v>
      </c>
      <c r="H925" s="56" t="n">
        <v>35</v>
      </c>
      <c r="I925" s="6" t="inlineStr">
        <is>
          <t>Pet Owner / Cộng đồng nuôi cún (10đ)</t>
        </is>
      </c>
      <c r="J925" s="56" t="n">
        <v>10</v>
      </c>
      <c r="K925" s="6" t="inlineStr">
        <is>
          <t>Chưa rõ giống (Cần quét Bio)</t>
        </is>
      </c>
      <c r="L925" s="56" t="n">
        <v>0</v>
      </c>
      <c r="M925" s="56" t="n">
        <v>0</v>
      </c>
      <c r="N925" s="6" t="inlineStr">
        <is>
          <t>Amazon link not found</t>
        </is>
      </c>
      <c r="O925" s="56">
        <f>IF(N925="Selling pet toys + Artificial grass/Pet toilets (TARGET)",15,IF(N925="Selling artificial grass/pet toilets (TARGET)",10,IF(N925="Selling pet toys",7,IF(N925="There's an Amazon link, but no target sales.",3,0))))</f>
        <v/>
      </c>
      <c r="P925" s="65">
        <f>H925+J925+L925+M925+O925</f>
        <v/>
      </c>
      <c r="Q925" s="69">
        <f>IF(OR(H925=0,P925&lt;30),"Tier D (Đóng băng)",IF(P925&gt;=85,"Tier S (Kim Cương: 85-100đ)",IF(P925&gt;=70,"Tier A (Vàng: 70-84đ)",IF(P925&gt;=61,"Tier B+ / Cấp A (Hot Lead: 61-69đ)",IF(P925&gt;=50,"Tier B (Bạc: 50-60đ)","Tier C (Đồng: 30-49đ)")))))</f>
        <v/>
      </c>
      <c r="R925" s="6" t="inlineStr">
        <is>
          <t>Khay vệ sinh chung cư (Indoor Potty) + Thảm cỏ ban công (Grass Patch) + Đồ chơi</t>
        </is>
      </c>
      <c r="S925" s="6" t="inlineStr">
        <is>
          <t>Cấp C Chi phí thấp: Nhắn tin trực tiếp qua Fanpage Facebook/Instagram + Nuôi dưỡng nội dung</t>
        </is>
      </c>
    </row>
    <row r="926">
      <c r="A926" s="59" t="n">
        <v>58</v>
      </c>
      <c r="B926" s="15" t="inlineStr">
        <is>
          <t>dognamedstella</t>
        </is>
      </c>
      <c r="C926" s="60" t="inlineStr">
        <is>
          <t>https://www.facebook.com/dognamedstella</t>
        </is>
      </c>
      <c r="D926" s="9" t="inlineStr">
        <is>
          <t>Cần quét Bio Fanpage</t>
        </is>
      </c>
      <c r="E926" s="59" t="inlineStr">
        <is>
          <t>12/10/2026 22:09:16</t>
        </is>
      </c>
      <c r="F926" s="59" t="inlineStr">
        <is>
          <t>2 giờ trước</t>
        </is>
      </c>
      <c r="G926" s="61" t="n">
        <v>0.08</v>
      </c>
      <c r="H926" s="62" t="n">
        <v>35</v>
      </c>
      <c r="I926" s="9" t="inlineStr">
        <is>
          <t>Pet Owner / Kênh cá nhân thú cưng (10đ)</t>
        </is>
      </c>
      <c r="J926" s="62" t="n">
        <v>10</v>
      </c>
      <c r="K926" s="9" t="inlineStr">
        <is>
          <t>Chưa rõ giống (Cần quét Bio)</t>
        </is>
      </c>
      <c r="L926" s="62" t="n">
        <v>0</v>
      </c>
      <c r="M926" s="62" t="n">
        <v>0</v>
      </c>
      <c r="N926" s="9" t="inlineStr">
        <is>
          <t>Amazon link not found</t>
        </is>
      </c>
      <c r="O926" s="62">
        <f>IF(N926="Selling pet toys + Artificial grass/Pet toilets (TARGET)",15,IF(N926="Selling artificial grass/pet toilets (TARGET)",10,IF(N926="Selling pet toys",7,IF(N926="There's an Amazon link, but no target sales.",3,0))))</f>
        <v/>
      </c>
      <c r="P926" s="67">
        <f>H926+J926+L926+M926+O926</f>
        <v/>
      </c>
      <c r="Q926" s="69">
        <f>IF(OR(H926=0,P926&lt;30),"Tier D (Đóng băng)",IF(P926&gt;=85,"Tier S (Kim Cương: 85-100đ)",IF(P926&gt;=70,"Tier A (Vàng: 70-84đ)",IF(P926&gt;=61,"Tier B+ / Cấp A (Hot Lead: 61-69đ)",IF(P926&gt;=50,"Tier B (Bạc: 50-60đ)","Tier C (Đồng: 30-49đ)")))))</f>
        <v/>
      </c>
      <c r="R926" s="9" t="inlineStr">
        <is>
          <t>Khay vệ sinh trong nhà (Indoor Dog Potty) + Đồ chơi thú cưng lẻ</t>
        </is>
      </c>
      <c r="S926" s="9" t="inlineStr">
        <is>
          <t>Cấp C Chi phí thấp: Nhắn tin trực tiếp qua Fanpage Facebook/Instagram + Nuôi dưỡng nội dung</t>
        </is>
      </c>
    </row>
    <row r="927">
      <c r="A927" s="53" t="n">
        <v>97</v>
      </c>
      <c r="B927" s="12" t="inlineStr">
        <is>
          <t>AmericanStandardK9</t>
        </is>
      </c>
      <c r="C927" s="54" t="inlineStr">
        <is>
          <t>https://www.facebook.com/AmericanStandardK9</t>
        </is>
      </c>
      <c r="D927" s="6" t="inlineStr">
        <is>
          <t>Cần quét Bio Fanpage</t>
        </is>
      </c>
      <c r="E927" s="53" t="inlineStr">
        <is>
          <t>12/10/2026 22:01:29</t>
        </is>
      </c>
      <c r="F927" s="53" t="inlineStr">
        <is>
          <t>3 giờ trước</t>
        </is>
      </c>
      <c r="G927" s="55" t="n">
        <v>0.12</v>
      </c>
      <c r="H927" s="56" t="n">
        <v>35</v>
      </c>
      <c r="I927" s="6" t="inlineStr">
        <is>
          <t>Pet Owner / Cộng đồng nuôi cún (10đ)</t>
        </is>
      </c>
      <c r="J927" s="56" t="n">
        <v>10</v>
      </c>
      <c r="K927" s="6" t="inlineStr">
        <is>
          <t>Chưa rõ giống (Cần quét Bio)</t>
        </is>
      </c>
      <c r="L927" s="56" t="n">
        <v>0</v>
      </c>
      <c r="M927" s="56" t="n">
        <v>0</v>
      </c>
      <c r="N927" s="6" t="inlineStr">
        <is>
          <t>Amazon link not found</t>
        </is>
      </c>
      <c r="O927" s="56">
        <f>IF(N927="Selling pet toys + Artificial grass/Pet toilets (TARGET)",15,IF(N927="Selling artificial grass/pet toilets (TARGET)",10,IF(N927="Selling pet toys",7,IF(N927="There's an Amazon link, but no target sales.",3,0))))</f>
        <v/>
      </c>
      <c r="P927" s="65">
        <f>H927+J927+L927+M927+O927</f>
        <v/>
      </c>
      <c r="Q927" s="69">
        <f>IF(OR(H927=0,P927&lt;30),"Tier D (Đóng băng)",IF(P927&gt;=85,"Tier S (Kim Cương: 85-100đ)",IF(P927&gt;=70,"Tier A (Vàng: 70-84đ)",IF(P927&gt;=61,"Tier B+ / Cấp A (Hot Lead: 61-69đ)",IF(P927&gt;=50,"Tier B (Bạc: 50-60đ)","Tier C (Đồng: 30-49đ)")))))</f>
        <v/>
      </c>
      <c r="R927" s="6" t="inlineStr">
        <is>
          <t>Khay vệ sinh chung cư (Indoor Potty) + Thảm cỏ ban công (Grass Patch) + Đồ chơi</t>
        </is>
      </c>
      <c r="S927" s="6" t="inlineStr">
        <is>
          <t>Cấp C Chi phí thấp: Nhắn tin trực tiếp qua Fanpage Facebook/Instagram + Nuôi dưỡng nội dung</t>
        </is>
      </c>
    </row>
    <row r="928">
      <c r="A928" s="59" t="n">
        <v>185</v>
      </c>
      <c r="B928" s="15" t="inlineStr">
        <is>
          <t>HillsPet</t>
        </is>
      </c>
      <c r="C928" s="60" t="inlineStr">
        <is>
          <t>https://www.facebook.com/HillsPet</t>
        </is>
      </c>
      <c r="D928" s="9" t="inlineStr">
        <is>
          <t>Cần quét Bio Fanpage</t>
        </is>
      </c>
      <c r="E928" s="59" t="inlineStr">
        <is>
          <t>12/10/2026 22:00:27</t>
        </is>
      </c>
      <c r="F928" s="59" t="inlineStr">
        <is>
          <t>3 giờ trước</t>
        </is>
      </c>
      <c r="G928" s="61" t="n">
        <v>0.12</v>
      </c>
      <c r="H928" s="62" t="n">
        <v>35</v>
      </c>
      <c r="I928" s="9" t="inlineStr">
        <is>
          <t>Pet Owner / Cộng đồng nuôi cún (10đ)</t>
        </is>
      </c>
      <c r="J928" s="62" t="n">
        <v>10</v>
      </c>
      <c r="K928" s="9" t="inlineStr">
        <is>
          <t>Chưa rõ giống (Cần quét Bio)</t>
        </is>
      </c>
      <c r="L928" s="62" t="n">
        <v>0</v>
      </c>
      <c r="M928" s="62" t="n">
        <v>0</v>
      </c>
      <c r="N928" s="9" t="inlineStr">
        <is>
          <t>Amazon link not found</t>
        </is>
      </c>
      <c r="O928" s="62">
        <f>IF(N928="Selling pet toys + Artificial grass/Pet toilets (TARGET)",15,IF(N928="Selling artificial grass/pet toilets (TARGET)",10,IF(N928="Selling pet toys",7,IF(N928="There's an Amazon link, but no target sales.",3,0))))</f>
        <v/>
      </c>
      <c r="P928" s="67">
        <f>H928+J928+L928+M928+O928</f>
        <v/>
      </c>
      <c r="Q928" s="69">
        <f>IF(OR(H928=0,P928&lt;30),"Tier D (Đóng băng)",IF(P928&gt;=85,"Tier S (Kim Cương: 85-100đ)",IF(P928&gt;=70,"Tier A (Vàng: 70-84đ)",IF(P928&gt;=61,"Tier B+ / Cấp A (Hot Lead: 61-69đ)",IF(P928&gt;=50,"Tier B (Bạc: 50-60đ)","Tier C (Đồng: 30-49đ)")))))</f>
        <v/>
      </c>
      <c r="R928" s="9" t="inlineStr">
        <is>
          <t>Khay vệ sinh chung cư (Indoor Potty) + Thảm cỏ ban công (Grass Patch) + Đồ chơi</t>
        </is>
      </c>
      <c r="S928" s="9" t="inlineStr">
        <is>
          <t>Cấp C Chi phí thấp: Nhắn tin trực tiếp qua Fanpage Facebook/Instagram + Nuôi dưỡng nội dung</t>
        </is>
      </c>
    </row>
    <row r="929">
      <c r="A929" s="53" t="n">
        <v>32</v>
      </c>
      <c r="B929" s="12" t="inlineStr">
        <is>
          <t>Wally Dog</t>
        </is>
      </c>
      <c r="C929" s="54" t="inlineStr">
        <is>
          <t>https://www.facebook.com/profile.php?id=61553109467385</t>
        </is>
      </c>
      <c r="D929" s="6" t="inlineStr">
        <is>
          <t>Cần quét Bio Fanpage</t>
        </is>
      </c>
      <c r="E929" s="53" t="inlineStr">
        <is>
          <t>12/10/2026 21:32:39</t>
        </is>
      </c>
      <c r="F929" s="53" t="inlineStr">
        <is>
          <t>3 giờ trước</t>
        </is>
      </c>
      <c r="G929" s="55" t="n">
        <v>0.12</v>
      </c>
      <c r="H929" s="56" t="n">
        <v>35</v>
      </c>
      <c r="I929" s="6" t="inlineStr">
        <is>
          <t>Pet Owner / Cộng đồng nuôi cún (10đ)</t>
        </is>
      </c>
      <c r="J929" s="56" t="n">
        <v>10</v>
      </c>
      <c r="K929" s="6" t="inlineStr">
        <is>
          <t>Chưa rõ giống (Cần quét Bio)</t>
        </is>
      </c>
      <c r="L929" s="56" t="n">
        <v>0</v>
      </c>
      <c r="M929" s="56" t="n">
        <v>0</v>
      </c>
      <c r="N929" s="6" t="inlineStr">
        <is>
          <t>Amazon link not found</t>
        </is>
      </c>
      <c r="O929" s="56">
        <f>IF(N929="Selling pet toys + Artificial grass/Pet toilets (TARGET)",15,IF(N929="Selling artificial grass/pet toilets (TARGET)",10,IF(N929="Selling pet toys",7,IF(N929="There's an Amazon link, but no target sales.",3,0))))</f>
        <v/>
      </c>
      <c r="P929" s="65">
        <f>H929+J929+L929+M929+O929</f>
        <v/>
      </c>
      <c r="Q929" s="69">
        <f>IF(OR(H929=0,P929&lt;30),"Tier D (Đóng băng)",IF(P929&gt;=85,"Tier S (Kim Cương: 85-100đ)",IF(P929&gt;=70,"Tier A (Vàng: 70-84đ)",IF(P929&gt;=61,"Tier B+ / Cấp A (Hot Lead: 61-69đ)",IF(P929&gt;=50,"Tier B (Bạc: 50-60đ)","Tier C (Đồng: 30-49đ)")))))</f>
        <v/>
      </c>
      <c r="R929" s="6" t="inlineStr">
        <is>
          <t>Khay vệ sinh chung cư (Indoor Potty) + Thảm cỏ ban công (Grass Patch) + Đồ chơi</t>
        </is>
      </c>
      <c r="S929" s="6" t="inlineStr">
        <is>
          <t>Cấp C Chi phí thấp: Nhắn tin trực tiếp qua Fanpage Facebook/Instagram + Nuôi dưỡng nội dung</t>
        </is>
      </c>
    </row>
    <row r="930">
      <c r="A930" s="59" t="n">
        <v>1416</v>
      </c>
      <c r="B930" s="15" t="inlineStr">
        <is>
          <t>Force-Free Gundog</t>
        </is>
      </c>
      <c r="C930" s="60" t="inlineStr">
        <is>
          <t>https://www.facebook.com/forcefreegundog</t>
        </is>
      </c>
      <c r="D930" s="9" t="inlineStr">
        <is>
          <t>Cần quét Bio Fanpage</t>
        </is>
      </c>
      <c r="E930" s="59" t="inlineStr">
        <is>
          <t>08/10/2026 17:12:00</t>
        </is>
      </c>
      <c r="F930" s="59" t="inlineStr">
        <is>
          <t>4 ngày trước</t>
        </is>
      </c>
      <c r="G930" s="61" t="n">
        <v>4</v>
      </c>
      <c r="H930" s="62" t="n">
        <v>20</v>
      </c>
      <c r="I930" s="9" t="inlineStr">
        <is>
          <t>Pet Boarding / Huấn luyện K9 &amp; Dịch vụ (20-22đ)</t>
        </is>
      </c>
      <c r="J930" s="62" t="n">
        <v>20</v>
      </c>
      <c r="K930" s="9" t="inlineStr">
        <is>
          <t>Spaniel / Gun Dog / Retriever</t>
        </is>
      </c>
      <c r="L930" s="62" t="n">
        <v>5</v>
      </c>
      <c r="M930" s="62" t="n">
        <v>0</v>
      </c>
      <c r="N930" s="9" t="inlineStr">
        <is>
          <t>Amazon link not found</t>
        </is>
      </c>
      <c r="O930" s="62">
        <f>IF(N930="Selling pet toys + Artificial grass/Pet toilets (TARGET)",15,IF(N930="Selling artificial grass/pet toilets (TARGET)",10,IF(N930="Selling pet toys",7,IF(N930="There's an Amazon link, but no target sales.",3,0))))</f>
        <v/>
      </c>
      <c r="P930" s="67">
        <f>H930+J930+L930+M930+O930</f>
        <v/>
      </c>
      <c r="Q930" s="69">
        <f>IF(OR(H930=0,P930&lt;30),"Tier D (Đóng băng)",IF(P930&gt;=85,"Tier S (Kim Cương: 85-100đ)",IF(P930&gt;=70,"Tier A (Vàng: 70-84đ)",IF(P930&gt;=61,"Tier B+ / Cấp A (Hot Lead: 61-69đ)",IF(P930&gt;=50,"Tier B (Bạc: 50-60đ)","Tier C (Đồng: 30-49đ)")))))</f>
        <v/>
      </c>
      <c r="R930" s="9" t="inlineStr">
        <is>
          <t>Cỏ nhân tạo sân chơi/huấn luyện (Dog Turf) + Đồ chơi nhai chịu lực (KONG/Chew Toys)</t>
        </is>
      </c>
      <c r="S930" s="9" t="inlineStr">
        <is>
          <t>Cấp C Chi phí thấp: Nhắn tin trực tiếp qua Fanpage Facebook/Instagram + Nuôi dưỡng nội dung</t>
        </is>
      </c>
    </row>
    <row r="931">
      <c r="A931" s="53" t="n">
        <v>2126</v>
      </c>
      <c r="B931" s="12" t="inlineStr">
        <is>
          <t>Marlen Gundogs</t>
        </is>
      </c>
      <c r="C931" s="54" t="inlineStr">
        <is>
          <t>https://www.facebook.com/profile.php?id=61559904878872</t>
        </is>
      </c>
      <c r="D931" s="6" t="inlineStr">
        <is>
          <t>Cần quét Bio Fanpage</t>
        </is>
      </c>
      <c r="E931" s="53" t="inlineStr">
        <is>
          <t>08/10/2026 04:21:23</t>
        </is>
      </c>
      <c r="F931" s="53" t="inlineStr">
        <is>
          <t>5 ngày trước</t>
        </is>
      </c>
      <c r="G931" s="55" t="n">
        <v>5</v>
      </c>
      <c r="H931" s="56" t="n">
        <v>20</v>
      </c>
      <c r="I931" s="6" t="inlineStr">
        <is>
          <t>Pet Boarding / Huấn luyện K9 &amp; Dịch vụ (20-22đ)</t>
        </is>
      </c>
      <c r="J931" s="56" t="n">
        <v>20</v>
      </c>
      <c r="K931" s="6" t="inlineStr">
        <is>
          <t>Spaniel / Gun Dog / Retriever</t>
        </is>
      </c>
      <c r="L931" s="56" t="n">
        <v>5</v>
      </c>
      <c r="M931" s="56" t="n">
        <v>0</v>
      </c>
      <c r="N931" s="6" t="inlineStr">
        <is>
          <t>Amazon link not found</t>
        </is>
      </c>
      <c r="O931" s="56">
        <f>IF(N931="Selling pet toys + Artificial grass/Pet toilets (TARGET)",15,IF(N931="Selling artificial grass/pet toilets (TARGET)",10,IF(N931="Selling pet toys",7,IF(N931="There's an Amazon link, but no target sales.",3,0))))</f>
        <v/>
      </c>
      <c r="P931" s="65">
        <f>H931+J931+L931+M931+O931</f>
        <v/>
      </c>
      <c r="Q931" s="69">
        <f>IF(OR(H931=0,P931&lt;30),"Tier D (Đóng băng)",IF(P931&gt;=85,"Tier S (Kim Cương: 85-100đ)",IF(P931&gt;=70,"Tier A (Vàng: 70-84đ)",IF(P931&gt;=61,"Tier B+ / Cấp A (Hot Lead: 61-69đ)",IF(P931&gt;=50,"Tier B (Bạc: 50-60đ)","Tier C (Đồng: 30-49đ)")))))</f>
        <v/>
      </c>
      <c r="R931" s="6" t="inlineStr">
        <is>
          <t>Cỏ nhân tạo sân chơi/huấn luyện (Dog Turf) + Đồ chơi nhai chịu lực (KONG/Chew Toys)</t>
        </is>
      </c>
      <c r="S931" s="6" t="inlineStr">
        <is>
          <t>Cấp C Chi phí thấp: Nhắn tin trực tiếp qua Fanpage Facebook/Instagram + Nuôi dưỡng nội dung</t>
        </is>
      </c>
    </row>
    <row r="932">
      <c r="A932" s="59" t="n">
        <v>1122</v>
      </c>
      <c r="B932" s="15" t="inlineStr">
        <is>
          <t>DoggieLawn</t>
        </is>
      </c>
      <c r="C932" s="60" t="inlineStr">
        <is>
          <t>https://www.facebook.com/DoggieLawn</t>
        </is>
      </c>
      <c r="D932" s="9" t="inlineStr">
        <is>
          <t>Cần quét Bio Fanpage</t>
        </is>
      </c>
      <c r="E932" s="59" t="inlineStr">
        <is>
          <t>08/10/2026 02:15:53</t>
        </is>
      </c>
      <c r="F932" s="59" t="inlineStr">
        <is>
          <t>5 ngày trước</t>
        </is>
      </c>
      <c r="G932" s="61" t="n">
        <v>5</v>
      </c>
      <c r="H932" s="62" t="n">
        <v>20</v>
      </c>
      <c r="I932" s="9" t="inlineStr">
        <is>
          <t>Pet Owner / Cộng đồng nuôi cún (10đ)</t>
        </is>
      </c>
      <c r="J932" s="62" t="n">
        <v>10</v>
      </c>
      <c r="K932" s="9" t="inlineStr">
        <is>
          <t>Chưa rõ giống (Cần quét Bio)</t>
        </is>
      </c>
      <c r="L932" s="62" t="n">
        <v>0</v>
      </c>
      <c r="M932" s="62" t="n">
        <v>5</v>
      </c>
      <c r="N932" s="9" t="inlineStr">
        <is>
          <t>Selling artificial grass/pet toilets (TARGET)</t>
        </is>
      </c>
      <c r="O932" s="62">
        <f>IF(N932="Selling pet toys + Artificial grass/Pet toilets (TARGET)",15,IF(N932="Selling artificial grass/pet toilets (TARGET)",10,IF(N932="Selling pet toys",7,IF(N932="There's an Amazon link, but no target sales.",3,0))))</f>
        <v/>
      </c>
      <c r="P932" s="67">
        <f>H932+J932+L932+M932+O932</f>
        <v/>
      </c>
      <c r="Q932" s="69">
        <f>IF(OR(H932=0,P932&lt;30),"Tier D (Đóng băng)",IF(P932&gt;=85,"Tier S (Kim Cương: 85-100đ)",IF(P932&gt;=70,"Tier A (Vàng: 70-84đ)",IF(P932&gt;=61,"Tier B+ / Cấp A (Hot Lead: 61-69đ)",IF(P932&gt;=50,"Tier B (Bạc: 50-60đ)","Tier C (Đồng: 30-49đ)")))))</f>
        <v/>
      </c>
      <c r="R932" s="9" t="inlineStr">
        <is>
          <t>Khay vệ sinh chung cư (Indoor Potty) + Thảm cỏ ban công (Grass Patch) + Đồ chơi</t>
        </is>
      </c>
      <c r="S932" s="9" t="inlineStr">
        <is>
          <t>Cấp C Chi phí thấp: Nhắn tin trực tiếp qua Fanpage Facebook/Instagram + Nuôi dưỡng nội dung</t>
        </is>
      </c>
    </row>
    <row r="933">
      <c r="A933" s="53" t="n">
        <v>2172</v>
      </c>
      <c r="B933" s="12" t="inlineStr">
        <is>
          <t>Mid Ulster Gundog Association</t>
        </is>
      </c>
      <c r="C933" s="54" t="inlineStr">
        <is>
          <t>https://www.facebook.com/profile.php?id=100070814741208</t>
        </is>
      </c>
      <c r="D933" s="6" t="inlineStr">
        <is>
          <t>Cần quét Bio Fanpage</t>
        </is>
      </c>
      <c r="E933" s="53" t="inlineStr">
        <is>
          <t>06/10/2026 01:41:32</t>
        </is>
      </c>
      <c r="F933" s="53" t="inlineStr">
        <is>
          <t>1 tuần trước</t>
        </is>
      </c>
      <c r="G933" s="55" t="n">
        <v>7</v>
      </c>
      <c r="H933" s="56" t="n">
        <v>20</v>
      </c>
      <c r="I933" s="6" t="inlineStr">
        <is>
          <t>Pet Boarding / Huấn luyện K9 &amp; Dịch vụ (20-22đ)</t>
        </is>
      </c>
      <c r="J933" s="56" t="n">
        <v>20</v>
      </c>
      <c r="K933" s="6" t="inlineStr">
        <is>
          <t>Spaniel / Gun Dog / Retriever</t>
        </is>
      </c>
      <c r="L933" s="56" t="n">
        <v>5</v>
      </c>
      <c r="M933" s="56" t="n">
        <v>0</v>
      </c>
      <c r="N933" s="6" t="inlineStr">
        <is>
          <t>Amazon link not found</t>
        </is>
      </c>
      <c r="O933" s="56">
        <f>IF(N933="Selling pet toys + Artificial grass/Pet toilets (TARGET)",15,IF(N933="Selling artificial grass/pet toilets (TARGET)",10,IF(N933="Selling pet toys",7,IF(N933="There's an Amazon link, but no target sales.",3,0))))</f>
        <v/>
      </c>
      <c r="P933" s="65">
        <f>H933+J933+L933+M933+O933</f>
        <v/>
      </c>
      <c r="Q933" s="69">
        <f>IF(OR(H933=0,P933&lt;30),"Tier D (Đóng băng)",IF(P933&gt;=85,"Tier S (Kim Cương: 85-100đ)",IF(P933&gt;=70,"Tier A (Vàng: 70-84đ)",IF(P933&gt;=61,"Tier B+ / Cấp A (Hot Lead: 61-69đ)",IF(P933&gt;=50,"Tier B (Bạc: 50-60đ)","Tier C (Đồng: 30-49đ)")))))</f>
        <v/>
      </c>
      <c r="R933" s="6" t="inlineStr">
        <is>
          <t>Cỏ nhân tạo sân chơi/huấn luyện (Dog Turf) + Đồ chơi nhai chịu lực (KONG/Chew Toys)</t>
        </is>
      </c>
      <c r="S933" s="6" t="inlineStr">
        <is>
          <t>Cấp C Chi phí thấp: Nhắn tin trực tiếp qua Fanpage Facebook/Instagram + Nuôi dưỡng nội dung</t>
        </is>
      </c>
    </row>
    <row r="934">
      <c r="A934" s="59" t="n">
        <v>1291</v>
      </c>
      <c r="B934" s="15" t="inlineStr">
        <is>
          <t>English Lab Puppies Winter Valley Labs</t>
        </is>
      </c>
      <c r="C934" s="60" t="inlineStr">
        <is>
          <t>https://www.facebook.com/WinterValleyLabs</t>
        </is>
      </c>
      <c r="D934" s="9" t="inlineStr">
        <is>
          <t>Cần quét Bio Fanpage</t>
        </is>
      </c>
      <c r="E934" s="59" t="inlineStr">
        <is>
          <t>05/09/2026 23:14:19</t>
        </is>
      </c>
      <c r="F934" s="59" t="inlineStr">
        <is>
          <t>1 tháng trước</t>
        </is>
      </c>
      <c r="G934" s="61" t="n">
        <v>30</v>
      </c>
      <c r="H934" s="62" t="n">
        <v>0</v>
      </c>
      <c r="I934" s="9" t="inlineStr">
        <is>
          <t>Dog Breeder / Trại chó chuyên nghiệp (28-30đ)</t>
        </is>
      </c>
      <c r="J934" s="62" t="n">
        <v>30</v>
      </c>
      <c r="K934" s="9" t="inlineStr">
        <is>
          <t>Labrador</t>
        </is>
      </c>
      <c r="L934" s="62" t="n">
        <v>10</v>
      </c>
      <c r="M934" s="62" t="n">
        <v>5</v>
      </c>
      <c r="N934" s="9" t="inlineStr">
        <is>
          <t>Amazon link not found</t>
        </is>
      </c>
      <c r="O934" s="62">
        <f>IF(N934="Selling pet toys + Artificial grass/Pet toilets (TARGET)",15,IF(N934="Selling artificial grass/pet toilets (TARGET)",10,IF(N934="Selling pet toys",7,IF(N934="There's an Amazon link, but no target sales.",3,0))))</f>
        <v/>
      </c>
      <c r="P934" s="67">
        <f>H934+J934+L934+M934+O934</f>
        <v/>
      </c>
      <c r="Q934" s="68">
        <f>IF(OR(H934=0,P934&lt;30),"Tier D (Đóng băng)",IF(P934&gt;=85,"Tier S (Kim Cương: 85-100đ)",IF(P934&gt;=70,"Tier A (Vàng: 70-84đ)",IF(P934&gt;=61,"Tier B+ / Cấp A (Hot Lead: 61-69đ)",IF(P934&gt;=50,"Tier B (Bạc: 50-60đ)","Tier C (Đồng: 30-49đ)")))))</f>
        <v/>
      </c>
      <c r="R934" s="9" t="inlineStr">
        <is>
          <t>Trọn gói Take-Home Starter Kit V2/V3 (Cỏ nhân tạo + Khay Potty + Đồ chơi Teething/Snuggle)</t>
        </is>
      </c>
      <c r="S934" s="9" t="inlineStr">
        <is>
          <t>Đóng băng tương tác (&gt;30 ngày): Lưu trữ chờ kích hoạt lại, không tốn tài nguyên Sales</t>
        </is>
      </c>
    </row>
    <row r="935">
      <c r="A935" s="53" t="n">
        <v>2942</v>
      </c>
      <c r="B935" s="12" t="inlineStr">
        <is>
          <t>Soundview Labradors and Boarding Kennel</t>
        </is>
      </c>
      <c r="C935" s="54" t="inlineStr">
        <is>
          <t>https://www.facebook.com/SoundviewFarm</t>
        </is>
      </c>
      <c r="D935" s="6" t="inlineStr">
        <is>
          <t>Cần quét Bio Fanpage</t>
        </is>
      </c>
      <c r="E935" s="53" t="inlineStr">
        <is>
          <t>25/08/2026 00:39:55</t>
        </is>
      </c>
      <c r="F935" s="53" t="inlineStr">
        <is>
          <t>1 tháng trước</t>
        </is>
      </c>
      <c r="G935" s="55" t="n">
        <v>30</v>
      </c>
      <c r="H935" s="56" t="n">
        <v>0</v>
      </c>
      <c r="I935" s="6" t="inlineStr">
        <is>
          <t>Dog Breeder / Trại chó chuyên nghiệp (28-30đ)</t>
        </is>
      </c>
      <c r="J935" s="56" t="n">
        <v>30</v>
      </c>
      <c r="K935" s="6" t="inlineStr">
        <is>
          <t>Labrador</t>
        </is>
      </c>
      <c r="L935" s="56" t="n">
        <v>10</v>
      </c>
      <c r="M935" s="56" t="n">
        <v>5</v>
      </c>
      <c r="N935" s="6" t="inlineStr">
        <is>
          <t>Amazon link not found</t>
        </is>
      </c>
      <c r="O935" s="56">
        <f>IF(N935="Selling pet toys + Artificial grass/Pet toilets (TARGET)",15,IF(N935="Selling artificial grass/pet toilets (TARGET)",10,IF(N935="Selling pet toys",7,IF(N935="There's an Amazon link, but no target sales.",3,0))))</f>
        <v/>
      </c>
      <c r="P935" s="65">
        <f>H935+J935+L935+M935+O935</f>
        <v/>
      </c>
      <c r="Q935" s="68">
        <f>IF(OR(H935=0,P935&lt;30),"Tier D (Đóng băng)",IF(P935&gt;=85,"Tier S (Kim Cương: 85-100đ)",IF(P935&gt;=70,"Tier A (Vàng: 70-84đ)",IF(P935&gt;=61,"Tier B+ / Cấp A (Hot Lead: 61-69đ)",IF(P935&gt;=50,"Tier B (Bạc: 50-60đ)","Tier C (Đồng: 30-49đ)")))))</f>
        <v/>
      </c>
      <c r="R935" s="6" t="inlineStr">
        <is>
          <t>Trọn gói Take-Home Starter Kit V2/V3 (Cỏ nhân tạo + Khay Potty + Đồ chơi Teething/Snuggle)</t>
        </is>
      </c>
      <c r="S935" s="6" t="inlineStr">
        <is>
          <t>Đóng băng tương tác (&gt;30 ngày): Lưu trữ chờ kích hoạt lại, không tốn tài nguyên Sales</t>
        </is>
      </c>
    </row>
    <row r="936">
      <c r="A936" s="59" t="n">
        <v>418</v>
      </c>
      <c r="B936" s="15" t="inlineStr">
        <is>
          <t>AMMC Kennel</t>
        </is>
      </c>
      <c r="C936" s="60" t="inlineStr">
        <is>
          <t>https://www.facebook.com/ammcmalinois</t>
        </is>
      </c>
      <c r="D936" s="9" t="inlineStr">
        <is>
          <t>Cần quét Bio Fanpage</t>
        </is>
      </c>
      <c r="E936" s="59" t="inlineStr">
        <is>
          <t>22/08/2026 13:16:05</t>
        </is>
      </c>
      <c r="F936" s="59" t="inlineStr">
        <is>
          <t>1 tháng trước</t>
        </is>
      </c>
      <c r="G936" s="61" t="n">
        <v>30</v>
      </c>
      <c r="H936" s="62" t="n">
        <v>0</v>
      </c>
      <c r="I936" s="9" t="inlineStr">
        <is>
          <t>Dog Breeder / Trại chó chuyên nghiệp (28-30đ)</t>
        </is>
      </c>
      <c r="J936" s="62" t="n">
        <v>30</v>
      </c>
      <c r="K936" s="9" t="inlineStr">
        <is>
          <t>Malinois</t>
        </is>
      </c>
      <c r="L936" s="62" t="n">
        <v>10</v>
      </c>
      <c r="M936" s="62" t="n">
        <v>5</v>
      </c>
      <c r="N936" s="9" t="inlineStr">
        <is>
          <t>Amazon link not found</t>
        </is>
      </c>
      <c r="O936" s="62">
        <f>IF(N936="Selling pet toys + Artificial grass/Pet toilets (TARGET)",15,IF(N936="Selling artificial grass/pet toilets (TARGET)",10,IF(N936="Selling pet toys",7,IF(N936="There's an Amazon link, but no target sales.",3,0))))</f>
        <v/>
      </c>
      <c r="P936" s="67">
        <f>H936+J936+L936+M936+O936</f>
        <v/>
      </c>
      <c r="Q936" s="68">
        <f>IF(OR(H936=0,P936&lt;30),"Tier D (Đóng băng)",IF(P936&gt;=85,"Tier S (Kim Cương: 85-100đ)",IF(P936&gt;=70,"Tier A (Vàng: 70-84đ)",IF(P936&gt;=61,"Tier B+ / Cấp A (Hot Lead: 61-69đ)",IF(P936&gt;=50,"Tier B (Bạc: 50-60đ)","Tier C (Đồng: 30-49đ)")))))</f>
        <v/>
      </c>
      <c r="R936" s="9" t="inlineStr">
        <is>
          <t>Trọn gói Take-Home Starter Kit V2/V3 (Cỏ nhân tạo + Khay Potty + Đồ chơi Teething/Snuggle)</t>
        </is>
      </c>
      <c r="S936" s="9" t="inlineStr">
        <is>
          <t>Đóng băng tương tác (&gt;30 ngày): Lưu trữ chờ kích hoạt lại, không tốn tài nguyên Sales</t>
        </is>
      </c>
    </row>
    <row r="937">
      <c r="A937" s="53" t="n">
        <v>1027</v>
      </c>
      <c r="B937" s="12" t="inlineStr">
        <is>
          <t>Desert Soul Frenchies, LLC</t>
        </is>
      </c>
      <c r="C937" s="54" t="inlineStr">
        <is>
          <t>https://www.facebook.com/desertsoulfrenchies</t>
        </is>
      </c>
      <c r="D937" s="6" t="inlineStr">
        <is>
          <t>Cần quét Bio Fanpage</t>
        </is>
      </c>
      <c r="E937" s="53" t="inlineStr">
        <is>
          <t>18/08/2026 02:50:35</t>
        </is>
      </c>
      <c r="F937" s="53" t="inlineStr">
        <is>
          <t>1 tháng trước</t>
        </is>
      </c>
      <c r="G937" s="55" t="n">
        <v>30</v>
      </c>
      <c r="H937" s="56" t="n">
        <v>0</v>
      </c>
      <c r="I937" s="6" t="inlineStr">
        <is>
          <t>Dog Breeder / Trại chó chuyên nghiệp (28-30đ)</t>
        </is>
      </c>
      <c r="J937" s="56" t="n">
        <v>30</v>
      </c>
      <c r="K937" s="6" t="inlineStr">
        <is>
          <t>French Bulldog</t>
        </is>
      </c>
      <c r="L937" s="56" t="n">
        <v>10</v>
      </c>
      <c r="M937" s="56" t="n">
        <v>5</v>
      </c>
      <c r="N937" s="6" t="inlineStr">
        <is>
          <t>Amazon link not found</t>
        </is>
      </c>
      <c r="O937" s="56">
        <f>IF(N937="Selling pet toys + Artificial grass/Pet toilets (TARGET)",15,IF(N937="Selling artificial grass/pet toilets (TARGET)",10,IF(N937="Selling pet toys",7,IF(N937="There's an Amazon link, but no target sales.",3,0))))</f>
        <v/>
      </c>
      <c r="P937" s="65">
        <f>H937+J937+L937+M937+O937</f>
        <v/>
      </c>
      <c r="Q937" s="68">
        <f>IF(OR(H937=0,P937&lt;30),"Tier D (Đóng băng)",IF(P937&gt;=85,"Tier S (Kim Cương: 85-100đ)",IF(P937&gt;=70,"Tier A (Vàng: 70-84đ)",IF(P937&gt;=61,"Tier B+ / Cấp A (Hot Lead: 61-69đ)",IF(P937&gt;=50,"Tier B (Bạc: 50-60đ)","Tier C (Đồng: 30-49đ)")))))</f>
        <v/>
      </c>
      <c r="R937" s="6" t="inlineStr">
        <is>
          <t>Trọn gói Take-Home Starter Kit V2/V3 (Cỏ nhân tạo + Khay Potty + Đồ chơi Teething/Snuggle)</t>
        </is>
      </c>
      <c r="S937" s="6" t="inlineStr">
        <is>
          <t>Đóng băng tương tác (&gt;30 ngày): Lưu trữ chờ kích hoạt lại, không tốn tài nguyên Sales</t>
        </is>
      </c>
    </row>
    <row r="938">
      <c r="A938" s="59" t="n">
        <v>1522</v>
      </c>
      <c r="B938" s="15" t="inlineStr">
        <is>
          <t>Golden Goose Farm Golden Retrievers</t>
        </is>
      </c>
      <c r="C938" s="60" t="inlineStr">
        <is>
          <t>https://www.facebook.com/goldengoosegoldens</t>
        </is>
      </c>
      <c r="D938" s="9" t="inlineStr">
        <is>
          <t>Cần quét Bio Fanpage</t>
        </is>
      </c>
      <c r="E938" s="59" t="inlineStr">
        <is>
          <t>11/08/2026 06:45:51</t>
        </is>
      </c>
      <c r="F938" s="59" t="inlineStr">
        <is>
          <t>2 tháng trước</t>
        </is>
      </c>
      <c r="G938" s="61" t="n">
        <v>60</v>
      </c>
      <c r="H938" s="62" t="n">
        <v>0</v>
      </c>
      <c r="I938" s="9" t="inlineStr">
        <is>
          <t>Dog Breeder / Trại chó chuyên nghiệp (28-30đ)</t>
        </is>
      </c>
      <c r="J938" s="62" t="n">
        <v>30</v>
      </c>
      <c r="K938" s="9" t="inlineStr">
        <is>
          <t>Golden Retriever</t>
        </is>
      </c>
      <c r="L938" s="62" t="n">
        <v>10</v>
      </c>
      <c r="M938" s="62" t="n">
        <v>5</v>
      </c>
      <c r="N938" s="9" t="inlineStr">
        <is>
          <t>Amazon link not found</t>
        </is>
      </c>
      <c r="O938" s="62">
        <f>IF(N938="Selling pet toys + Artificial grass/Pet toilets (TARGET)",15,IF(N938="Selling artificial grass/pet toilets (TARGET)",10,IF(N938="Selling pet toys",7,IF(N938="There's an Amazon link, but no target sales.",3,0))))</f>
        <v/>
      </c>
      <c r="P938" s="67">
        <f>H938+J938+L938+M938+O938</f>
        <v/>
      </c>
      <c r="Q938" s="68">
        <f>IF(OR(H938=0,P938&lt;30),"Tier D (Đóng băng)",IF(P938&gt;=85,"Tier S (Kim Cương: 85-100đ)",IF(P938&gt;=70,"Tier A (Vàng: 70-84đ)",IF(P938&gt;=61,"Tier B+ / Cấp A (Hot Lead: 61-69đ)",IF(P938&gt;=50,"Tier B (Bạc: 50-60đ)","Tier C (Đồng: 30-49đ)")))))</f>
        <v/>
      </c>
      <c r="R938" s="9" t="inlineStr">
        <is>
          <t>Trọn gói Take-Home Starter Kit V2/V3 (Cỏ nhân tạo + Khay Potty + Đồ chơi Teething/Snuggle)</t>
        </is>
      </c>
      <c r="S938" s="9" t="inlineStr">
        <is>
          <t>Đóng băng tương tác (&gt;30 ngày): Lưu trữ chờ kích hoạt lại, không tốn tài nguyên Sales</t>
        </is>
      </c>
    </row>
    <row r="939">
      <c r="A939" s="53" t="n">
        <v>2923</v>
      </c>
      <c r="B939" s="12" t="inlineStr">
        <is>
          <t>Smokey Hut Frenchies LLC</t>
        </is>
      </c>
      <c r="C939" s="54" t="inlineStr">
        <is>
          <t>https://www.facebook.com/profile.php?id=100068236126997</t>
        </is>
      </c>
      <c r="D939" s="6" t="inlineStr">
        <is>
          <t>Cần quét Bio Fanpage</t>
        </is>
      </c>
      <c r="E939" s="53" t="inlineStr">
        <is>
          <t>07/08/2026 20:03:17</t>
        </is>
      </c>
      <c r="F939" s="53" t="inlineStr">
        <is>
          <t>2 tháng trước</t>
        </is>
      </c>
      <c r="G939" s="55" t="n">
        <v>60</v>
      </c>
      <c r="H939" s="56" t="n">
        <v>0</v>
      </c>
      <c r="I939" s="6" t="inlineStr">
        <is>
          <t>Dog Breeder / Trại chó chuyên nghiệp (28-30đ)</t>
        </is>
      </c>
      <c r="J939" s="56" t="n">
        <v>30</v>
      </c>
      <c r="K939" s="6" t="inlineStr">
        <is>
          <t>French Bulldog</t>
        </is>
      </c>
      <c r="L939" s="56" t="n">
        <v>10</v>
      </c>
      <c r="M939" s="56" t="n">
        <v>5</v>
      </c>
      <c r="N939" s="6" t="inlineStr">
        <is>
          <t>Amazon link not found</t>
        </is>
      </c>
      <c r="O939" s="56">
        <f>IF(N939="Selling pet toys + Artificial grass/Pet toilets (TARGET)",15,IF(N939="Selling artificial grass/pet toilets (TARGET)",10,IF(N939="Selling pet toys",7,IF(N939="There's an Amazon link, but no target sales.",3,0))))</f>
        <v/>
      </c>
      <c r="P939" s="65">
        <f>H939+J939+L939+M939+O939</f>
        <v/>
      </c>
      <c r="Q939" s="68">
        <f>IF(OR(H939=0,P939&lt;30),"Tier D (Đóng băng)",IF(P939&gt;=85,"Tier S (Kim Cương: 85-100đ)",IF(P939&gt;=70,"Tier A (Vàng: 70-84đ)",IF(P939&gt;=61,"Tier B+ / Cấp A (Hot Lead: 61-69đ)",IF(P939&gt;=50,"Tier B (Bạc: 50-60đ)","Tier C (Đồng: 30-49đ)")))))</f>
        <v/>
      </c>
      <c r="R939" s="6" t="inlineStr">
        <is>
          <t>Trọn gói Take-Home Starter Kit V2/V3 (Cỏ nhân tạo + Khay Potty + Đồ chơi Teething/Snuggle)</t>
        </is>
      </c>
      <c r="S939" s="6" t="inlineStr">
        <is>
          <t>Đóng băng tương tác (&gt;30 ngày): Lưu trữ chờ kích hoạt lại, không tốn tài nguyên Sales</t>
        </is>
      </c>
    </row>
    <row r="940">
      <c r="A940" s="59" t="n">
        <v>223</v>
      </c>
      <c r="B940" s="15" t="inlineStr">
        <is>
          <t>Monster Bully Kennels</t>
        </is>
      </c>
      <c r="C940" s="60" t="inlineStr">
        <is>
          <t>https://www.facebook.com/MonsterBullyKennels</t>
        </is>
      </c>
      <c r="D940" s="9" t="inlineStr">
        <is>
          <t>Cần quét Bio Fanpage</t>
        </is>
      </c>
      <c r="E940" s="59" t="inlineStr">
        <is>
          <t>25/07/2026 11:01:12</t>
        </is>
      </c>
      <c r="F940" s="59" t="inlineStr">
        <is>
          <t>2 tháng trước</t>
        </is>
      </c>
      <c r="G940" s="61" t="n">
        <v>60</v>
      </c>
      <c r="H940" s="62" t="n">
        <v>0</v>
      </c>
      <c r="I940" s="9" t="inlineStr">
        <is>
          <t>Dog Breeder / Trại chó chuyên nghiệp (28-30đ)</t>
        </is>
      </c>
      <c r="J940" s="62" t="n">
        <v>30</v>
      </c>
      <c r="K940" s="9" t="inlineStr">
        <is>
          <t>American Bully / Bully</t>
        </is>
      </c>
      <c r="L940" s="62" t="n">
        <v>10</v>
      </c>
      <c r="M940" s="62" t="n">
        <v>5</v>
      </c>
      <c r="N940" s="9" t="inlineStr">
        <is>
          <t>Amazon link not found</t>
        </is>
      </c>
      <c r="O940" s="62">
        <f>IF(N940="Selling pet toys + Artificial grass/Pet toilets (TARGET)",15,IF(N940="Selling artificial grass/pet toilets (TARGET)",10,IF(N940="Selling pet toys",7,IF(N940="There's an Amazon link, but no target sales.",3,0))))</f>
        <v/>
      </c>
      <c r="P940" s="67">
        <f>H940+J940+L940+M940+O940</f>
        <v/>
      </c>
      <c r="Q940" s="68">
        <f>IF(OR(H940=0,P940&lt;30),"Tier D (Đóng băng)",IF(P940&gt;=85,"Tier S (Kim Cương: 85-100đ)",IF(P940&gt;=70,"Tier A (Vàng: 70-84đ)",IF(P940&gt;=61,"Tier B+ / Cấp A (Hot Lead: 61-69đ)",IF(P940&gt;=50,"Tier B (Bạc: 50-60đ)","Tier C (Đồng: 30-49đ)")))))</f>
        <v/>
      </c>
      <c r="R940" s="9" t="inlineStr">
        <is>
          <t>Trọn gói Take-Home Starter Kit V2/V3 (Cỏ nhân tạo + Khay Potty + Đồ chơi Teething/Snuggle)</t>
        </is>
      </c>
      <c r="S940" s="9" t="inlineStr">
        <is>
          <t>Đóng băng tương tác (&gt;30 ngày): Lưu trữ chờ kích hoạt lại, không tốn tài nguyên Sales</t>
        </is>
      </c>
    </row>
    <row r="941">
      <c r="A941" s="53" t="n">
        <v>1656</v>
      </c>
      <c r="B941" s="12" t="inlineStr">
        <is>
          <t>Highland Bully Kennels - HBK</t>
        </is>
      </c>
      <c r="C941" s="54" t="inlineStr">
        <is>
          <t>https://www.facebook.com/highlanbullykennels</t>
        </is>
      </c>
      <c r="D941" s="6" t="inlineStr">
        <is>
          <t>Cần quét Bio Fanpage</t>
        </is>
      </c>
      <c r="E941" s="53" t="inlineStr">
        <is>
          <t>26/06/2026 19:50:41</t>
        </is>
      </c>
      <c r="F941" s="53" t="inlineStr">
        <is>
          <t>3 tháng trước</t>
        </is>
      </c>
      <c r="G941" s="55" t="n">
        <v>90</v>
      </c>
      <c r="H941" s="56" t="n">
        <v>0</v>
      </c>
      <c r="I941" s="6" t="inlineStr">
        <is>
          <t>Dog Breeder / Trại chó chuyên nghiệp (28-30đ)</t>
        </is>
      </c>
      <c r="J941" s="56" t="n">
        <v>30</v>
      </c>
      <c r="K941" s="6" t="inlineStr">
        <is>
          <t>American Bully / Bully</t>
        </is>
      </c>
      <c r="L941" s="56" t="n">
        <v>10</v>
      </c>
      <c r="M941" s="56" t="n">
        <v>5</v>
      </c>
      <c r="N941" s="6" t="inlineStr">
        <is>
          <t>Amazon link not found</t>
        </is>
      </c>
      <c r="O941" s="56">
        <f>IF(N941="Selling pet toys + Artificial grass/Pet toilets (TARGET)",15,IF(N941="Selling artificial grass/pet toilets (TARGET)",10,IF(N941="Selling pet toys",7,IF(N941="There's an Amazon link, but no target sales.",3,0))))</f>
        <v/>
      </c>
      <c r="P941" s="65">
        <f>H941+J941+L941+M941+O941</f>
        <v/>
      </c>
      <c r="Q941" s="68">
        <f>IF(OR(H941=0,P941&lt;30),"Tier D (Đóng băng)",IF(P941&gt;=85,"Tier S (Kim Cương: 85-100đ)",IF(P941&gt;=70,"Tier A (Vàng: 70-84đ)",IF(P941&gt;=61,"Tier B+ / Cấp A (Hot Lead: 61-69đ)",IF(P941&gt;=50,"Tier B (Bạc: 50-60đ)","Tier C (Đồng: 30-49đ)")))))</f>
        <v/>
      </c>
      <c r="R941" s="6" t="inlineStr">
        <is>
          <t>Trọn gói Take-Home Starter Kit V2/V3 (Cỏ nhân tạo + Khay Potty + Đồ chơi Teething/Snuggle)</t>
        </is>
      </c>
      <c r="S941" s="6" t="inlineStr">
        <is>
          <t>Đóng băng tương tác (&gt;30 ngày): Lưu trữ chờ kích hoạt lại, không tốn tài nguyên Sales</t>
        </is>
      </c>
    </row>
    <row r="942">
      <c r="A942" s="59" t="n">
        <v>1455</v>
      </c>
      <c r="B942" s="15" t="inlineStr">
        <is>
          <t>Fresh Fab Frenchies LLC</t>
        </is>
      </c>
      <c r="C942" s="60" t="inlineStr">
        <is>
          <t>https://www.facebook.com/Fresh.Fab.Frenchies</t>
        </is>
      </c>
      <c r="D942" s="9" t="inlineStr">
        <is>
          <t>Cần quét Bio Fanpage</t>
        </is>
      </c>
      <c r="E942" s="59" t="inlineStr">
        <is>
          <t>02/05/2026 05:53:06</t>
        </is>
      </c>
      <c r="F942" s="59" t="inlineStr">
        <is>
          <t>5 tháng trước</t>
        </is>
      </c>
      <c r="G942" s="61" t="n">
        <v>150</v>
      </c>
      <c r="H942" s="62" t="n">
        <v>0</v>
      </c>
      <c r="I942" s="9" t="inlineStr">
        <is>
          <t>Dog Breeder / Trại chó chuyên nghiệp (28-30đ)</t>
        </is>
      </c>
      <c r="J942" s="62" t="n">
        <v>30</v>
      </c>
      <c r="K942" s="9" t="inlineStr">
        <is>
          <t>French Bulldog</t>
        </is>
      </c>
      <c r="L942" s="62" t="n">
        <v>10</v>
      </c>
      <c r="M942" s="62" t="n">
        <v>5</v>
      </c>
      <c r="N942" s="9" t="inlineStr">
        <is>
          <t>Amazon link not found</t>
        </is>
      </c>
      <c r="O942" s="62">
        <f>IF(N942="Selling pet toys + Artificial grass/Pet toilets (TARGET)",15,IF(N942="Selling artificial grass/pet toilets (TARGET)",10,IF(N942="Selling pet toys",7,IF(N942="There's an Amazon link, but no target sales.",3,0))))</f>
        <v/>
      </c>
      <c r="P942" s="67">
        <f>H942+J942+L942+M942+O942</f>
        <v/>
      </c>
      <c r="Q942" s="68">
        <f>IF(OR(H942=0,P942&lt;30),"Tier D (Đóng băng)",IF(P942&gt;=85,"Tier S (Kim Cương: 85-100đ)",IF(P942&gt;=70,"Tier A (Vàng: 70-84đ)",IF(P942&gt;=61,"Tier B+ / Cấp A (Hot Lead: 61-69đ)",IF(P942&gt;=50,"Tier B (Bạc: 50-60đ)","Tier C (Đồng: 30-49đ)")))))</f>
        <v/>
      </c>
      <c r="R942" s="9" t="inlineStr">
        <is>
          <t>Trọn gói Take-Home Starter Kit V2/V3 (Cỏ nhân tạo + Khay Potty + Đồ chơi Teething/Snuggle)</t>
        </is>
      </c>
      <c r="S942" s="9" t="inlineStr">
        <is>
          <t>Đóng băng tương tác (&gt;30 ngày): Lưu trữ chờ kích hoạt lại, không tốn tài nguyên Sales</t>
        </is>
      </c>
    </row>
    <row r="943">
      <c r="A943" s="53" t="n">
        <v>3012</v>
      </c>
      <c r="B943" s="12" t="inlineStr">
        <is>
          <t>STURM - Rottweiler kennel</t>
        </is>
      </c>
      <c r="C943" s="54" t="inlineStr">
        <is>
          <t>https://www.facebook.com/profile.php?id=100064260875946</t>
        </is>
      </c>
      <c r="D943" s="6" t="inlineStr">
        <is>
          <t>Cần quét Bio Fanpage</t>
        </is>
      </c>
      <c r="E943" s="53" t="inlineStr">
        <is>
          <t>01/05/2026 22:51:36</t>
        </is>
      </c>
      <c r="F943" s="53" t="inlineStr">
        <is>
          <t>5 tháng trước</t>
        </is>
      </c>
      <c r="G943" s="55" t="n">
        <v>150</v>
      </c>
      <c r="H943" s="56" t="n">
        <v>0</v>
      </c>
      <c r="I943" s="6" t="inlineStr">
        <is>
          <t>Dog Breeder / Trại chó chuyên nghiệp (28-30đ)</t>
        </is>
      </c>
      <c r="J943" s="56" t="n">
        <v>30</v>
      </c>
      <c r="K943" s="6" t="inlineStr">
        <is>
          <t>Rottweiler</t>
        </is>
      </c>
      <c r="L943" s="56" t="n">
        <v>10</v>
      </c>
      <c r="M943" s="56" t="n">
        <v>5</v>
      </c>
      <c r="N943" s="6" t="inlineStr">
        <is>
          <t>Amazon link not found</t>
        </is>
      </c>
      <c r="O943" s="56">
        <f>IF(N943="Selling pet toys + Artificial grass/Pet toilets (TARGET)",15,IF(N943="Selling artificial grass/pet toilets (TARGET)",10,IF(N943="Selling pet toys",7,IF(N943="There's an Amazon link, but no target sales.",3,0))))</f>
        <v/>
      </c>
      <c r="P943" s="65">
        <f>H943+J943+L943+M943+O943</f>
        <v/>
      </c>
      <c r="Q943" s="68">
        <f>IF(OR(H943=0,P943&lt;30),"Tier D (Đóng băng)",IF(P943&gt;=85,"Tier S (Kim Cương: 85-100đ)",IF(P943&gt;=70,"Tier A (Vàng: 70-84đ)",IF(P943&gt;=61,"Tier B+ / Cấp A (Hot Lead: 61-69đ)",IF(P943&gt;=50,"Tier B (Bạc: 50-60đ)","Tier C (Đồng: 30-49đ)")))))</f>
        <v/>
      </c>
      <c r="R943" s="6" t="inlineStr">
        <is>
          <t>Trọn gói Take-Home Starter Kit V2/V3 (Cỏ nhân tạo + Khay Potty + Đồ chơi Teething/Snuggle)</t>
        </is>
      </c>
      <c r="S943" s="6" t="inlineStr">
        <is>
          <t>Đóng băng tương tác (&gt;30 ngày): Lưu trữ chờ kích hoạt lại, không tốn tài nguyên Sales</t>
        </is>
      </c>
    </row>
    <row r="944">
      <c r="A944" s="59" t="n">
        <v>1365</v>
      </c>
      <c r="B944" s="15" t="inlineStr">
        <is>
          <t>Fellow Bulldogs Kennel</t>
        </is>
      </c>
      <c r="C944" s="60" t="inlineStr">
        <is>
          <t>https://www.facebook.com/profile.php?id=100064160342225</t>
        </is>
      </c>
      <c r="D944" s="9" t="inlineStr">
        <is>
          <t>Cần quét Bio Fanpage</t>
        </is>
      </c>
      <c r="E944" s="59" t="inlineStr">
        <is>
          <t>25/04/2026 09:57:28</t>
        </is>
      </c>
      <c r="F944" s="59" t="inlineStr">
        <is>
          <t>5 tháng trước</t>
        </is>
      </c>
      <c r="G944" s="61" t="n">
        <v>150</v>
      </c>
      <c r="H944" s="62" t="n">
        <v>0</v>
      </c>
      <c r="I944" s="9" t="inlineStr">
        <is>
          <t>Dog Breeder / Trại chó chuyên nghiệp (28-30đ)</t>
        </is>
      </c>
      <c r="J944" s="62" t="n">
        <v>30</v>
      </c>
      <c r="K944" s="9" t="inlineStr">
        <is>
          <t>English Bulldog</t>
        </is>
      </c>
      <c r="L944" s="62" t="n">
        <v>10</v>
      </c>
      <c r="M944" s="62" t="n">
        <v>5</v>
      </c>
      <c r="N944" s="9" t="inlineStr">
        <is>
          <t>Amazon link not found</t>
        </is>
      </c>
      <c r="O944" s="62">
        <f>IF(N944="Selling pet toys + Artificial grass/Pet toilets (TARGET)",15,IF(N944="Selling artificial grass/pet toilets (TARGET)",10,IF(N944="Selling pet toys",7,IF(N944="There's an Amazon link, but no target sales.",3,0))))</f>
        <v/>
      </c>
      <c r="P944" s="67">
        <f>H944+J944+L944+M944+O944</f>
        <v/>
      </c>
      <c r="Q944" s="68">
        <f>IF(OR(H944=0,P944&lt;30),"Tier D (Đóng băng)",IF(P944&gt;=85,"Tier S (Kim Cương: 85-100đ)",IF(P944&gt;=70,"Tier A (Vàng: 70-84đ)",IF(P944&gt;=61,"Tier B+ / Cấp A (Hot Lead: 61-69đ)",IF(P944&gt;=50,"Tier B (Bạc: 50-60đ)","Tier C (Đồng: 30-49đ)")))))</f>
        <v/>
      </c>
      <c r="R944" s="9" t="inlineStr">
        <is>
          <t>Trọn gói Take-Home Starter Kit V2/V3 (Cỏ nhân tạo + Khay Potty + Đồ chơi Teething/Snuggle)</t>
        </is>
      </c>
      <c r="S944" s="9" t="inlineStr">
        <is>
          <t>Đóng băng tương tác (&gt;30 ngày): Lưu trữ chờ kích hoạt lại, không tốn tài nguyên Sales</t>
        </is>
      </c>
    </row>
    <row r="945">
      <c r="A945" s="53" t="n">
        <v>3077</v>
      </c>
      <c r="B945" s="12" t="inlineStr">
        <is>
          <t>Texas Bully Kennel</t>
        </is>
      </c>
      <c r="C945" s="54" t="inlineStr">
        <is>
          <t>https://www.facebook.com/TexasBullyKennel</t>
        </is>
      </c>
      <c r="D945" s="6" t="inlineStr">
        <is>
          <t>Cần quét Bio Fanpage</t>
        </is>
      </c>
      <c r="E945" s="53" t="inlineStr">
        <is>
          <t>22/04/2026 07:54:23</t>
        </is>
      </c>
      <c r="F945" s="53" t="inlineStr">
        <is>
          <t>5 tháng trước</t>
        </is>
      </c>
      <c r="G945" s="55" t="n">
        <v>150</v>
      </c>
      <c r="H945" s="56" t="n">
        <v>0</v>
      </c>
      <c r="I945" s="6" t="inlineStr">
        <is>
          <t>Dog Breeder / Trại chó chuyên nghiệp (28-30đ)</t>
        </is>
      </c>
      <c r="J945" s="56" t="n">
        <v>30</v>
      </c>
      <c r="K945" s="6" t="inlineStr">
        <is>
          <t>American Bully / Bully</t>
        </is>
      </c>
      <c r="L945" s="56" t="n">
        <v>10</v>
      </c>
      <c r="M945" s="56" t="n">
        <v>5</v>
      </c>
      <c r="N945" s="6" t="inlineStr">
        <is>
          <t>Amazon link not found</t>
        </is>
      </c>
      <c r="O945" s="56">
        <f>IF(N945="Selling pet toys + Artificial grass/Pet toilets (TARGET)",15,IF(N945="Selling artificial grass/pet toilets (TARGET)",10,IF(N945="Selling pet toys",7,IF(N945="There's an Amazon link, but no target sales.",3,0))))</f>
        <v/>
      </c>
      <c r="P945" s="65">
        <f>H945+J945+L945+M945+O945</f>
        <v/>
      </c>
      <c r="Q945" s="68">
        <f>IF(OR(H945=0,P945&lt;30),"Tier D (Đóng băng)",IF(P945&gt;=85,"Tier S (Kim Cương: 85-100đ)",IF(P945&gt;=70,"Tier A (Vàng: 70-84đ)",IF(P945&gt;=61,"Tier B+ / Cấp A (Hot Lead: 61-69đ)",IF(P945&gt;=50,"Tier B (Bạc: 50-60đ)","Tier C (Đồng: 30-49đ)")))))</f>
        <v/>
      </c>
      <c r="R945" s="6" t="inlineStr">
        <is>
          <t>Trọn gói Take-Home Starter Kit V2/V3 (Cỏ nhân tạo + Khay Potty + Đồ chơi Teething/Snuggle)</t>
        </is>
      </c>
      <c r="S945" s="6" t="inlineStr">
        <is>
          <t>Đóng băng tương tác (&gt;30 ngày): Lưu trữ chờ kích hoạt lại, không tốn tài nguyên Sales</t>
        </is>
      </c>
    </row>
    <row r="946">
      <c r="A946" s="59" t="n">
        <v>1328</v>
      </c>
      <c r="B946" s="15" t="inlineStr">
        <is>
          <t>Fantasy Rottweiler kennel</t>
        </is>
      </c>
      <c r="C946" s="60" t="inlineStr">
        <is>
          <t>https://www.facebook.com/profile.php?id=100071801079937</t>
        </is>
      </c>
      <c r="D946" s="9" t="inlineStr">
        <is>
          <t>Cần quét Bio Fanpage</t>
        </is>
      </c>
      <c r="E946" s="59" t="inlineStr">
        <is>
          <t>10/03/2026 21:50:48</t>
        </is>
      </c>
      <c r="F946" s="59" t="inlineStr">
        <is>
          <t>7 tháng trước</t>
        </is>
      </c>
      <c r="G946" s="61" t="n">
        <v>210</v>
      </c>
      <c r="H946" s="62" t="n">
        <v>0</v>
      </c>
      <c r="I946" s="9" t="inlineStr">
        <is>
          <t>Dog Breeder / Trại chó chuyên nghiệp (28-30đ)</t>
        </is>
      </c>
      <c r="J946" s="62" t="n">
        <v>30</v>
      </c>
      <c r="K946" s="9" t="inlineStr">
        <is>
          <t>Rottweiler</t>
        </is>
      </c>
      <c r="L946" s="62" t="n">
        <v>10</v>
      </c>
      <c r="M946" s="62" t="n">
        <v>5</v>
      </c>
      <c r="N946" s="9" t="inlineStr">
        <is>
          <t>Amazon link not found</t>
        </is>
      </c>
      <c r="O946" s="62">
        <f>IF(N946="Selling pet toys + Artificial grass/Pet toilets (TARGET)",15,IF(N946="Selling artificial grass/pet toilets (TARGET)",10,IF(N946="Selling pet toys",7,IF(N946="There's an Amazon link, but no target sales.",3,0))))</f>
        <v/>
      </c>
      <c r="P946" s="67">
        <f>H946+J946+L946+M946+O946</f>
        <v/>
      </c>
      <c r="Q946" s="68">
        <f>IF(OR(H946=0,P946&lt;30),"Tier D (Đóng băng)",IF(P946&gt;=85,"Tier S (Kim Cương: 85-100đ)",IF(P946&gt;=70,"Tier A (Vàng: 70-84đ)",IF(P946&gt;=61,"Tier B+ / Cấp A (Hot Lead: 61-69đ)",IF(P946&gt;=50,"Tier B (Bạc: 50-60đ)","Tier C (Đồng: 30-49đ)")))))</f>
        <v/>
      </c>
      <c r="R946" s="9" t="inlineStr">
        <is>
          <t>Trọn gói Take-Home Starter Kit V2/V3 (Cỏ nhân tạo + Khay Potty + Đồ chơi Teething/Snuggle)</t>
        </is>
      </c>
      <c r="S946" s="9" t="inlineStr">
        <is>
          <t>Đóng băng tương tác (&gt;30 ngày): Lưu trữ chờ kích hoạt lại, không tốn tài nguyên Sales</t>
        </is>
      </c>
    </row>
    <row r="947">
      <c r="A947" s="53" t="n">
        <v>3372</v>
      </c>
      <c r="B947" s="12" t="inlineStr">
        <is>
          <t>Washington’s Rottweiler Kennel</t>
        </is>
      </c>
      <c r="C947" s="54" t="inlineStr">
        <is>
          <t>https://www.facebook.com/Washingtonrottie</t>
        </is>
      </c>
      <c r="D947" s="6" t="inlineStr">
        <is>
          <t>Cần quét Bio Fanpage</t>
        </is>
      </c>
      <c r="E947" s="53" t="inlineStr">
        <is>
          <t>23/08/2025 09:28:29</t>
        </is>
      </c>
      <c r="F947" s="53" t="inlineStr">
        <is>
          <t>1 năm trước</t>
        </is>
      </c>
      <c r="G947" s="55" t="n">
        <v>365</v>
      </c>
      <c r="H947" s="56" t="n">
        <v>0</v>
      </c>
      <c r="I947" s="6" t="inlineStr">
        <is>
          <t>Dog Breeder / Trại chó chuyên nghiệp (28-30đ)</t>
        </is>
      </c>
      <c r="J947" s="56" t="n">
        <v>30</v>
      </c>
      <c r="K947" s="6" t="inlineStr">
        <is>
          <t>Rottweiler</t>
        </is>
      </c>
      <c r="L947" s="56" t="n">
        <v>10</v>
      </c>
      <c r="M947" s="56" t="n">
        <v>5</v>
      </c>
      <c r="N947" s="6" t="inlineStr">
        <is>
          <t>Amazon link not found</t>
        </is>
      </c>
      <c r="O947" s="56">
        <f>IF(N947="Selling pet toys + Artificial grass/Pet toilets (TARGET)",15,IF(N947="Selling artificial grass/pet toilets (TARGET)",10,IF(N947="Selling pet toys",7,IF(N947="There's an Amazon link, but no target sales.",3,0))))</f>
        <v/>
      </c>
      <c r="P947" s="65">
        <f>H947+J947+L947+M947+O947</f>
        <v/>
      </c>
      <c r="Q947" s="68">
        <f>IF(OR(H947=0,P947&lt;30),"Tier D (Đóng băng)",IF(P947&gt;=85,"Tier S (Kim Cương: 85-100đ)",IF(P947&gt;=70,"Tier A (Vàng: 70-84đ)",IF(P947&gt;=61,"Tier B+ / Cấp A (Hot Lead: 61-69đ)",IF(P947&gt;=50,"Tier B (Bạc: 50-60đ)","Tier C (Đồng: 30-49đ)")))))</f>
        <v/>
      </c>
      <c r="R947" s="6" t="inlineStr">
        <is>
          <t>Trọn gói Take-Home Starter Kit V2/V3 (Cỏ nhân tạo + Khay Potty + Đồ chơi Teething/Snuggle)</t>
        </is>
      </c>
      <c r="S947" s="6" t="inlineStr">
        <is>
          <t>Đóng băng tương tác (&gt;30 ngày): Lưu trữ chờ kích hoạt lại, không tốn tài nguyên Sales</t>
        </is>
      </c>
    </row>
    <row r="948">
      <c r="A948" s="59" t="n">
        <v>3240</v>
      </c>
      <c r="B948" s="15" t="inlineStr">
        <is>
          <t>Trotty Rotties Kennel</t>
        </is>
      </c>
      <c r="C948" s="60" t="inlineStr">
        <is>
          <t>https://www.facebook.com/TrottyRottiesKennel</t>
        </is>
      </c>
      <c r="D948" s="9" t="inlineStr">
        <is>
          <t>Cần quét Bio Fanpage</t>
        </is>
      </c>
      <c r="E948" s="59" t="inlineStr">
        <is>
          <t>07/10/2024 02:12:15</t>
        </is>
      </c>
      <c r="F948" s="59" t="inlineStr">
        <is>
          <t>2 năm trước</t>
        </is>
      </c>
      <c r="G948" s="61" t="n">
        <v>730</v>
      </c>
      <c r="H948" s="62" t="n">
        <v>0</v>
      </c>
      <c r="I948" s="9" t="inlineStr">
        <is>
          <t>Dog Breeder / Trại chó chuyên nghiệp (28-30đ)</t>
        </is>
      </c>
      <c r="J948" s="62" t="n">
        <v>30</v>
      </c>
      <c r="K948" s="9" t="inlineStr">
        <is>
          <t>Rottweiler</t>
        </is>
      </c>
      <c r="L948" s="62" t="n">
        <v>10</v>
      </c>
      <c r="M948" s="62" t="n">
        <v>5</v>
      </c>
      <c r="N948" s="9" t="inlineStr">
        <is>
          <t>Amazon link not found</t>
        </is>
      </c>
      <c r="O948" s="62">
        <f>IF(N948="Selling pet toys + Artificial grass/Pet toilets (TARGET)",15,IF(N948="Selling artificial grass/pet toilets (TARGET)",10,IF(N948="Selling pet toys",7,IF(N948="There's an Amazon link, but no target sales.",3,0))))</f>
        <v/>
      </c>
      <c r="P948" s="67">
        <f>H948+J948+L948+M948+O948</f>
        <v/>
      </c>
      <c r="Q948" s="68">
        <f>IF(OR(H948=0,P948&lt;30),"Tier D (Đóng băng)",IF(P948&gt;=85,"Tier S (Kim Cương: 85-100đ)",IF(P948&gt;=70,"Tier A (Vàng: 70-84đ)",IF(P948&gt;=61,"Tier B+ / Cấp A (Hot Lead: 61-69đ)",IF(P948&gt;=50,"Tier B (Bạc: 50-60đ)","Tier C (Đồng: 30-49đ)")))))</f>
        <v/>
      </c>
      <c r="R948" s="9" t="inlineStr">
        <is>
          <t>Trọn gói Take-Home Starter Kit V2/V3 (Cỏ nhân tạo + Khay Potty + Đồ chơi Teething/Snuggle)</t>
        </is>
      </c>
      <c r="S948" s="9" t="inlineStr">
        <is>
          <t>Đóng băng tương tác (&gt;30 ngày): Lưu trữ chờ kích hoạt lại, không tốn tài nguyên Sales</t>
        </is>
      </c>
    </row>
    <row r="949">
      <c r="A949" s="53" t="n">
        <v>770</v>
      </c>
      <c r="B949" s="12" t="inlineStr">
        <is>
          <t>Brown Suga Bulldogs LLC</t>
        </is>
      </c>
      <c r="C949" s="54" t="inlineStr">
        <is>
          <t>https://www.facebook.com/profile.php?id=100063223150996</t>
        </is>
      </c>
      <c r="D949" s="6" t="inlineStr">
        <is>
          <t>Cần quét Bio Fanpage</t>
        </is>
      </c>
      <c r="E949" s="53" t="inlineStr">
        <is>
          <t>05/08/2024 14:07:19</t>
        </is>
      </c>
      <c r="F949" s="53" t="inlineStr">
        <is>
          <t>2 năm trước</t>
        </is>
      </c>
      <c r="G949" s="55" t="n">
        <v>730</v>
      </c>
      <c r="H949" s="56" t="n">
        <v>0</v>
      </c>
      <c r="I949" s="6" t="inlineStr">
        <is>
          <t>Dog Breeder / Trại chó chuyên nghiệp (28-30đ)</t>
        </is>
      </c>
      <c r="J949" s="56" t="n">
        <v>30</v>
      </c>
      <c r="K949" s="6" t="inlineStr">
        <is>
          <t>English Bulldog</t>
        </is>
      </c>
      <c r="L949" s="56" t="n">
        <v>10</v>
      </c>
      <c r="M949" s="56" t="n">
        <v>5</v>
      </c>
      <c r="N949" s="6" t="inlineStr">
        <is>
          <t>Amazon link not found</t>
        </is>
      </c>
      <c r="O949" s="56">
        <f>IF(N949="Selling pet toys + Artificial grass/Pet toilets (TARGET)",15,IF(N949="Selling artificial grass/pet toilets (TARGET)",10,IF(N949="Selling pet toys",7,IF(N949="There's an Amazon link, but no target sales.",3,0))))</f>
        <v/>
      </c>
      <c r="P949" s="65">
        <f>H949+J949+L949+M949+O949</f>
        <v/>
      </c>
      <c r="Q949" s="68">
        <f>IF(OR(H949=0,P949&lt;30),"Tier D (Đóng băng)",IF(P949&gt;=85,"Tier S (Kim Cương: 85-100đ)",IF(P949&gt;=70,"Tier A (Vàng: 70-84đ)",IF(P949&gt;=61,"Tier B+ / Cấp A (Hot Lead: 61-69đ)",IF(P949&gt;=50,"Tier B (Bạc: 50-60đ)","Tier C (Đồng: 30-49đ)")))))</f>
        <v/>
      </c>
      <c r="R949" s="6" t="inlineStr">
        <is>
          <t>Trọn gói Take-Home Starter Kit V2/V3 (Cỏ nhân tạo + Khay Potty + Đồ chơi Teething/Snuggle)</t>
        </is>
      </c>
      <c r="S949" s="6" t="inlineStr">
        <is>
          <t>Đóng băng tương tác (&gt;30 ngày): Lưu trữ chờ kích hoạt lại, không tốn tài nguyên Sales</t>
        </is>
      </c>
    </row>
    <row r="950">
      <c r="A950" s="59" t="n">
        <v>1833</v>
      </c>
      <c r="B950" s="15" t="inlineStr">
        <is>
          <t>Kaba's Big Breed Kennel</t>
        </is>
      </c>
      <c r="C950" s="60" t="inlineStr">
        <is>
          <t>https://www.facebook.com/KBBKRottweilers</t>
        </is>
      </c>
      <c r="D950" s="9" t="inlineStr">
        <is>
          <t>Cần quét Bio Fanpage</t>
        </is>
      </c>
      <c r="E950" s="59" t="inlineStr">
        <is>
          <t>04/08/2024 18:53:27</t>
        </is>
      </c>
      <c r="F950" s="59" t="inlineStr">
        <is>
          <t>2 năm trước</t>
        </is>
      </c>
      <c r="G950" s="61" t="n">
        <v>730</v>
      </c>
      <c r="H950" s="62" t="n">
        <v>0</v>
      </c>
      <c r="I950" s="9" t="inlineStr">
        <is>
          <t>Dog Breeder / Trại chó chuyên nghiệp (28-30đ)</t>
        </is>
      </c>
      <c r="J950" s="62" t="n">
        <v>30</v>
      </c>
      <c r="K950" s="9" t="inlineStr">
        <is>
          <t>Rottweiler</t>
        </is>
      </c>
      <c r="L950" s="62" t="n">
        <v>10</v>
      </c>
      <c r="M950" s="62" t="n">
        <v>5</v>
      </c>
      <c r="N950" s="9" t="inlineStr">
        <is>
          <t>Amazon link not found</t>
        </is>
      </c>
      <c r="O950" s="62">
        <f>IF(N950="Selling pet toys + Artificial grass/Pet toilets (TARGET)",15,IF(N950="Selling artificial grass/pet toilets (TARGET)",10,IF(N950="Selling pet toys",7,IF(N950="There's an Amazon link, but no target sales.",3,0))))</f>
        <v/>
      </c>
      <c r="P950" s="67">
        <f>H950+J950+L950+M950+O950</f>
        <v/>
      </c>
      <c r="Q950" s="68">
        <f>IF(OR(H950=0,P950&lt;30),"Tier D (Đóng băng)",IF(P950&gt;=85,"Tier S (Kim Cương: 85-100đ)",IF(P950&gt;=70,"Tier A (Vàng: 70-84đ)",IF(P950&gt;=61,"Tier B+ / Cấp A (Hot Lead: 61-69đ)",IF(P950&gt;=50,"Tier B (Bạc: 50-60đ)","Tier C (Đồng: 30-49đ)")))))</f>
        <v/>
      </c>
      <c r="R950" s="9" t="inlineStr">
        <is>
          <t>Trọn gói Take-Home Starter Kit V2/V3 (Cỏ nhân tạo + Khay Potty + Đồ chơi Teething/Snuggle)</t>
        </is>
      </c>
      <c r="S950" s="9" t="inlineStr">
        <is>
          <t>Đóng băng tương tác (&gt;30 ngày): Lưu trữ chờ kích hoạt lại, không tốn tài nguyên Sales</t>
        </is>
      </c>
    </row>
    <row r="951">
      <c r="A951" s="53" t="n">
        <v>1962</v>
      </c>
      <c r="B951" s="12" t="inlineStr">
        <is>
          <t>Labrador Puppies</t>
        </is>
      </c>
      <c r="C951" s="54" t="inlineStr">
        <is>
          <t>https://www.facebook.com/labrador.puppylove</t>
        </is>
      </c>
      <c r="D951" s="6" t="inlineStr">
        <is>
          <t>Cần quét Bio Fanpage</t>
        </is>
      </c>
      <c r="E951" s="53" t="inlineStr">
        <is>
          <t>20/03/2024 22:43:39</t>
        </is>
      </c>
      <c r="F951" s="53" t="inlineStr">
        <is>
          <t>2 năm trước</t>
        </is>
      </c>
      <c r="G951" s="55" t="n">
        <v>730</v>
      </c>
      <c r="H951" s="56" t="n">
        <v>0</v>
      </c>
      <c r="I951" s="6" t="inlineStr">
        <is>
          <t>Dog Breeder / Trại chó chuyên nghiệp (28-30đ)</t>
        </is>
      </c>
      <c r="J951" s="56" t="n">
        <v>30</v>
      </c>
      <c r="K951" s="6" t="inlineStr">
        <is>
          <t>Labrador</t>
        </is>
      </c>
      <c r="L951" s="56" t="n">
        <v>10</v>
      </c>
      <c r="M951" s="56" t="n">
        <v>5</v>
      </c>
      <c r="N951" s="6" t="inlineStr">
        <is>
          <t>Amazon link not found</t>
        </is>
      </c>
      <c r="O951" s="56">
        <f>IF(N951="Selling pet toys + Artificial grass/Pet toilets (TARGET)",15,IF(N951="Selling artificial grass/pet toilets (TARGET)",10,IF(N951="Selling pet toys",7,IF(N951="There's an Amazon link, but no target sales.",3,0))))</f>
        <v/>
      </c>
      <c r="P951" s="65">
        <f>H951+J951+L951+M951+O951</f>
        <v/>
      </c>
      <c r="Q951" s="68">
        <f>IF(OR(H951=0,P951&lt;30),"Tier D (Đóng băng)",IF(P951&gt;=85,"Tier S (Kim Cương: 85-100đ)",IF(P951&gt;=70,"Tier A (Vàng: 70-84đ)",IF(P951&gt;=61,"Tier B+ / Cấp A (Hot Lead: 61-69đ)",IF(P951&gt;=50,"Tier B (Bạc: 50-60đ)","Tier C (Đồng: 30-49đ)")))))</f>
        <v/>
      </c>
      <c r="R951" s="6" t="inlineStr">
        <is>
          <t>Trọn gói Take-Home Starter Kit V2/V3 (Cỏ nhân tạo + Khay Potty + Đồ chơi Teething/Snuggle)</t>
        </is>
      </c>
      <c r="S951" s="6" t="inlineStr">
        <is>
          <t>Đóng băng tương tác (&gt;30 ngày): Lưu trữ chờ kích hoạt lại, không tốn tài nguyên Sales</t>
        </is>
      </c>
    </row>
    <row r="952">
      <c r="A952" s="59" t="n">
        <v>818</v>
      </c>
      <c r="B952" s="15" t="inlineStr">
        <is>
          <t>Canaan Farm Corgis</t>
        </is>
      </c>
      <c r="C952" s="60" t="inlineStr">
        <is>
          <t>https://www.facebook.com/canaanfarmcorgis</t>
        </is>
      </c>
      <c r="D952" s="9" t="inlineStr">
        <is>
          <t>Cần quét Bio Fanpage</t>
        </is>
      </c>
      <c r="E952" s="59" t="inlineStr">
        <is>
          <t>11/02/2024 00:23:57</t>
        </is>
      </c>
      <c r="F952" s="59" t="inlineStr">
        <is>
          <t>2 năm trước</t>
        </is>
      </c>
      <c r="G952" s="61" t="n">
        <v>730</v>
      </c>
      <c r="H952" s="62" t="n">
        <v>0</v>
      </c>
      <c r="I952" s="9" t="inlineStr">
        <is>
          <t>Dog Breeder / Trại chó chuyên nghiệp (28-30đ)</t>
        </is>
      </c>
      <c r="J952" s="62" t="n">
        <v>30</v>
      </c>
      <c r="K952" s="9" t="inlineStr">
        <is>
          <t>Corgi</t>
        </is>
      </c>
      <c r="L952" s="62" t="n">
        <v>10</v>
      </c>
      <c r="M952" s="62" t="n">
        <v>5</v>
      </c>
      <c r="N952" s="9" t="inlineStr">
        <is>
          <t>Amazon link not found</t>
        </is>
      </c>
      <c r="O952" s="62">
        <f>IF(N952="Selling pet toys + Artificial grass/Pet toilets (TARGET)",15,IF(N952="Selling artificial grass/pet toilets (TARGET)",10,IF(N952="Selling pet toys",7,IF(N952="There's an Amazon link, but no target sales.",3,0))))</f>
        <v/>
      </c>
      <c r="P952" s="67">
        <f>H952+J952+L952+M952+O952</f>
        <v/>
      </c>
      <c r="Q952" s="68">
        <f>IF(OR(H952=0,P952&lt;30),"Tier D (Đóng băng)",IF(P952&gt;=85,"Tier S (Kim Cương: 85-100đ)",IF(P952&gt;=70,"Tier A (Vàng: 70-84đ)",IF(P952&gt;=61,"Tier B+ / Cấp A (Hot Lead: 61-69đ)",IF(P952&gt;=50,"Tier B (Bạc: 50-60đ)","Tier C (Đồng: 30-49đ)")))))</f>
        <v/>
      </c>
      <c r="R952" s="9" t="inlineStr">
        <is>
          <t>Trọn gói Take-Home Starter Kit V2/V3 (Cỏ nhân tạo + Khay Potty + Đồ chơi Teething/Snuggle)</t>
        </is>
      </c>
      <c r="S952" s="9" t="inlineStr">
        <is>
          <t>Đóng băng tương tác (&gt;30 ngày): Lưu trữ chờ kích hoạt lại, không tốn tài nguyên Sales</t>
        </is>
      </c>
    </row>
    <row r="953">
      <c r="A953" s="53" t="n">
        <v>1526</v>
      </c>
      <c r="B953" s="12" t="inlineStr">
        <is>
          <t>Golden Retriever Puppies of Colorado</t>
        </is>
      </c>
      <c r="C953" s="54" t="inlineStr">
        <is>
          <t>https://www.facebook.com/profile.php?id=100063604515163</t>
        </is>
      </c>
      <c r="D953" s="6" t="inlineStr">
        <is>
          <t>Cần quét Bio Fanpage</t>
        </is>
      </c>
      <c r="E953" s="53" t="inlineStr">
        <is>
          <t>07/02/2024 20:56:02</t>
        </is>
      </c>
      <c r="F953" s="53" t="inlineStr">
        <is>
          <t>2 năm trước</t>
        </is>
      </c>
      <c r="G953" s="55" t="n">
        <v>730</v>
      </c>
      <c r="H953" s="56" t="n">
        <v>0</v>
      </c>
      <c r="I953" s="6" t="inlineStr">
        <is>
          <t>Dog Breeder / Trại chó chuyên nghiệp (28-30đ)</t>
        </is>
      </c>
      <c r="J953" s="56" t="n">
        <v>30</v>
      </c>
      <c r="K953" s="6" t="inlineStr">
        <is>
          <t>Golden Retriever</t>
        </is>
      </c>
      <c r="L953" s="56" t="n">
        <v>10</v>
      </c>
      <c r="M953" s="56" t="n">
        <v>5</v>
      </c>
      <c r="N953" s="6" t="inlineStr">
        <is>
          <t>Amazon link not found</t>
        </is>
      </c>
      <c r="O953" s="56">
        <f>IF(N953="Selling pet toys + Artificial grass/Pet toilets (TARGET)",15,IF(N953="Selling artificial grass/pet toilets (TARGET)",10,IF(N953="Selling pet toys",7,IF(N953="There's an Amazon link, but no target sales.",3,0))))</f>
        <v/>
      </c>
      <c r="P953" s="65">
        <f>H953+J953+L953+M953+O953</f>
        <v/>
      </c>
      <c r="Q953" s="68">
        <f>IF(OR(H953=0,P953&lt;30),"Tier D (Đóng băng)",IF(P953&gt;=85,"Tier S (Kim Cương: 85-100đ)",IF(P953&gt;=70,"Tier A (Vàng: 70-84đ)",IF(P953&gt;=61,"Tier B+ / Cấp A (Hot Lead: 61-69đ)",IF(P953&gt;=50,"Tier B (Bạc: 50-60đ)","Tier C (Đồng: 30-49đ)")))))</f>
        <v/>
      </c>
      <c r="R953" s="6" t="inlineStr">
        <is>
          <t>Trọn gói Take-Home Starter Kit V2/V3 (Cỏ nhân tạo + Khay Potty + Đồ chơi Teething/Snuggle)</t>
        </is>
      </c>
      <c r="S953" s="6" t="inlineStr">
        <is>
          <t>Đóng băng tương tác (&gt;30 ngày): Lưu trữ chờ kích hoạt lại, không tốn tài nguyên Sales</t>
        </is>
      </c>
    </row>
    <row r="954">
      <c r="A954" s="59" t="n">
        <v>2908</v>
      </c>
      <c r="B954" s="15" t="inlineStr">
        <is>
          <t>Simran Rottweiler Kennel Parbhani</t>
        </is>
      </c>
      <c r="C954" s="60" t="inlineStr">
        <is>
          <t>https://www.facebook.com/profile.php?id=100063749330440</t>
        </is>
      </c>
      <c r="D954" s="9" t="inlineStr">
        <is>
          <t>Cần quét Bio Fanpage</t>
        </is>
      </c>
      <c r="E954" s="59" t="inlineStr">
        <is>
          <t>14/10/2023 15:07:13</t>
        </is>
      </c>
      <c r="F954" s="59" t="inlineStr">
        <is>
          <t>2 năm trước</t>
        </is>
      </c>
      <c r="G954" s="61" t="n">
        <v>730</v>
      </c>
      <c r="H954" s="62" t="n">
        <v>0</v>
      </c>
      <c r="I954" s="9" t="inlineStr">
        <is>
          <t>Dog Breeder / Trại chó chuyên nghiệp (28-30đ)</t>
        </is>
      </c>
      <c r="J954" s="62" t="n">
        <v>30</v>
      </c>
      <c r="K954" s="9" t="inlineStr">
        <is>
          <t>Rottweiler</t>
        </is>
      </c>
      <c r="L954" s="62" t="n">
        <v>10</v>
      </c>
      <c r="M954" s="62" t="n">
        <v>5</v>
      </c>
      <c r="N954" s="9" t="inlineStr">
        <is>
          <t>Amazon link not found</t>
        </is>
      </c>
      <c r="O954" s="62">
        <f>IF(N954="Selling pet toys + Artificial grass/Pet toilets (TARGET)",15,IF(N954="Selling artificial grass/pet toilets (TARGET)",10,IF(N954="Selling pet toys",7,IF(N954="There's an Amazon link, but no target sales.",3,0))))</f>
        <v/>
      </c>
      <c r="P954" s="67">
        <f>H954+J954+L954+M954+O954</f>
        <v/>
      </c>
      <c r="Q954" s="68">
        <f>IF(OR(H954=0,P954&lt;30),"Tier D (Đóng băng)",IF(P954&gt;=85,"Tier S (Kim Cương: 85-100đ)",IF(P954&gt;=70,"Tier A (Vàng: 70-84đ)",IF(P954&gt;=61,"Tier B+ / Cấp A (Hot Lead: 61-69đ)",IF(P954&gt;=50,"Tier B (Bạc: 50-60đ)","Tier C (Đồng: 30-49đ)")))))</f>
        <v/>
      </c>
      <c r="R954" s="9" t="inlineStr">
        <is>
          <t>Trọn gói Take-Home Starter Kit V2/V3 (Cỏ nhân tạo + Khay Potty + Đồ chơi Teething/Snuggle)</t>
        </is>
      </c>
      <c r="S954" s="9" t="inlineStr">
        <is>
          <t>Đóng băng tương tác (&gt;30 ngày): Lưu trữ chờ kích hoạt lại, không tốn tài nguyên Sales</t>
        </is>
      </c>
    </row>
    <row r="955">
      <c r="A955" s="53" t="n">
        <v>1289</v>
      </c>
      <c r="B955" s="12" t="inlineStr">
        <is>
          <t>English Bulldog Kennel "VadLen Bulls"</t>
        </is>
      </c>
      <c r="C955" s="54" t="inlineStr">
        <is>
          <t>https://www.facebook.com/profile.php?id=100078783352336</t>
        </is>
      </c>
      <c r="D955" s="6" t="inlineStr">
        <is>
          <t>Cần quét Bio Fanpage</t>
        </is>
      </c>
      <c r="E955" s="53" t="inlineStr">
        <is>
          <t>13/07/2023 15:33:36</t>
        </is>
      </c>
      <c r="F955" s="53" t="inlineStr">
        <is>
          <t>3 năm trước</t>
        </is>
      </c>
      <c r="G955" s="55" t="n">
        <v>1095</v>
      </c>
      <c r="H955" s="56" t="n">
        <v>0</v>
      </c>
      <c r="I955" s="6" t="inlineStr">
        <is>
          <t>Dog Breeder / Trại chó chuyên nghiệp (28-30đ)</t>
        </is>
      </c>
      <c r="J955" s="56" t="n">
        <v>30</v>
      </c>
      <c r="K955" s="6" t="inlineStr">
        <is>
          <t>English Bulldog</t>
        </is>
      </c>
      <c r="L955" s="56" t="n">
        <v>10</v>
      </c>
      <c r="M955" s="56" t="n">
        <v>5</v>
      </c>
      <c r="N955" s="6" t="inlineStr">
        <is>
          <t>Amazon link not found</t>
        </is>
      </c>
      <c r="O955" s="56">
        <f>IF(N955="Selling pet toys + Artificial grass/Pet toilets (TARGET)",15,IF(N955="Selling artificial grass/pet toilets (TARGET)",10,IF(N955="Selling pet toys",7,IF(N955="There's an Amazon link, but no target sales.",3,0))))</f>
        <v/>
      </c>
      <c r="P955" s="65">
        <f>H955+J955+L955+M955+O955</f>
        <v/>
      </c>
      <c r="Q955" s="68">
        <f>IF(OR(H955=0,P955&lt;30),"Tier D (Đóng băng)",IF(P955&gt;=85,"Tier S (Kim Cương: 85-100đ)",IF(P955&gt;=70,"Tier A (Vàng: 70-84đ)",IF(P955&gt;=61,"Tier B+ / Cấp A (Hot Lead: 61-69đ)",IF(P955&gt;=50,"Tier B (Bạc: 50-60đ)","Tier C (Đồng: 30-49đ)")))))</f>
        <v/>
      </c>
      <c r="R955" s="6" t="inlineStr">
        <is>
          <t>Trọn gói Take-Home Starter Kit V2/V3 (Cỏ nhân tạo + Khay Potty + Đồ chơi Teething/Snuggle)</t>
        </is>
      </c>
      <c r="S955" s="6" t="inlineStr">
        <is>
          <t>Đóng băng tương tác (&gt;30 ngày): Lưu trữ chờ kích hoạt lại, không tốn tài nguyên Sales</t>
        </is>
      </c>
    </row>
    <row r="956">
      <c r="A956" s="59" t="n">
        <v>671</v>
      </c>
      <c r="B956" s="15" t="inlineStr">
        <is>
          <t>Big Thunder Kennels</t>
        </is>
      </c>
      <c r="C956" s="60" t="inlineStr">
        <is>
          <t>https://www.facebook.com/bigthunderlabradors</t>
        </is>
      </c>
      <c r="D956" s="9" t="inlineStr">
        <is>
          <t>Cần quét Bio Fanpage</t>
        </is>
      </c>
      <c r="E956" s="59" t="inlineStr">
        <is>
          <t>30/06/2023 23:21:56</t>
        </is>
      </c>
      <c r="F956" s="59" t="inlineStr">
        <is>
          <t>3 năm trước</t>
        </is>
      </c>
      <c r="G956" s="61" t="n">
        <v>1095</v>
      </c>
      <c r="H956" s="62" t="n">
        <v>0</v>
      </c>
      <c r="I956" s="9" t="inlineStr">
        <is>
          <t>Dog Breeder / Trại chó chuyên nghiệp (28-30đ)</t>
        </is>
      </c>
      <c r="J956" s="62" t="n">
        <v>30</v>
      </c>
      <c r="K956" s="9" t="inlineStr">
        <is>
          <t>Labrador</t>
        </is>
      </c>
      <c r="L956" s="62" t="n">
        <v>10</v>
      </c>
      <c r="M956" s="62" t="n">
        <v>5</v>
      </c>
      <c r="N956" s="9" t="inlineStr">
        <is>
          <t>Amazon link not found</t>
        </is>
      </c>
      <c r="O956" s="62">
        <f>IF(N956="Selling pet toys + Artificial grass/Pet toilets (TARGET)",15,IF(N956="Selling artificial grass/pet toilets (TARGET)",10,IF(N956="Selling pet toys",7,IF(N956="There's an Amazon link, but no target sales.",3,0))))</f>
        <v/>
      </c>
      <c r="P956" s="67">
        <f>H956+J956+L956+M956+O956</f>
        <v/>
      </c>
      <c r="Q956" s="68">
        <f>IF(OR(H956=0,P956&lt;30),"Tier D (Đóng băng)",IF(P956&gt;=85,"Tier S (Kim Cương: 85-100đ)",IF(P956&gt;=70,"Tier A (Vàng: 70-84đ)",IF(P956&gt;=61,"Tier B+ / Cấp A (Hot Lead: 61-69đ)",IF(P956&gt;=50,"Tier B (Bạc: 50-60đ)","Tier C (Đồng: 30-49đ)")))))</f>
        <v/>
      </c>
      <c r="R956" s="9" t="inlineStr">
        <is>
          <t>Trọn gói Take-Home Starter Kit V2/V3 (Cỏ nhân tạo + Khay Potty + Đồ chơi Teething/Snuggle)</t>
        </is>
      </c>
      <c r="S956" s="9" t="inlineStr">
        <is>
          <t>Đóng băng tương tác (&gt;30 ngày): Lưu trữ chờ kích hoạt lại, không tốn tài nguyên Sales</t>
        </is>
      </c>
    </row>
    <row r="957">
      <c r="A957" s="53" t="n">
        <v>1528</v>
      </c>
      <c r="B957" s="12" t="inlineStr">
        <is>
          <t>Golden Shield - Rottweiler kennel</t>
        </is>
      </c>
      <c r="C957" s="54" t="inlineStr">
        <is>
          <t>https://www.facebook.com/profile.php?id=100048369957251</t>
        </is>
      </c>
      <c r="D957" s="6" t="inlineStr">
        <is>
          <t>Cần quét Bio Fanpage</t>
        </is>
      </c>
      <c r="E957" s="53" t="inlineStr">
        <is>
          <t>05/06/2023 02:59:07</t>
        </is>
      </c>
      <c r="F957" s="53" t="inlineStr">
        <is>
          <t>3 năm trước</t>
        </is>
      </c>
      <c r="G957" s="55" t="n">
        <v>1095</v>
      </c>
      <c r="H957" s="56" t="n">
        <v>0</v>
      </c>
      <c r="I957" s="6" t="inlineStr">
        <is>
          <t>Dog Breeder / Trại chó chuyên nghiệp (28-30đ)</t>
        </is>
      </c>
      <c r="J957" s="56" t="n">
        <v>30</v>
      </c>
      <c r="K957" s="6" t="inlineStr">
        <is>
          <t>Rottweiler</t>
        </is>
      </c>
      <c r="L957" s="56" t="n">
        <v>10</v>
      </c>
      <c r="M957" s="56" t="n">
        <v>5</v>
      </c>
      <c r="N957" s="6" t="inlineStr">
        <is>
          <t>Amazon link not found</t>
        </is>
      </c>
      <c r="O957" s="56">
        <f>IF(N957="Selling pet toys + Artificial grass/Pet toilets (TARGET)",15,IF(N957="Selling artificial grass/pet toilets (TARGET)",10,IF(N957="Selling pet toys",7,IF(N957="There's an Amazon link, but no target sales.",3,0))))</f>
        <v/>
      </c>
      <c r="P957" s="65">
        <f>H957+J957+L957+M957+O957</f>
        <v/>
      </c>
      <c r="Q957" s="68">
        <f>IF(OR(H957=0,P957&lt;30),"Tier D (Đóng băng)",IF(P957&gt;=85,"Tier S (Kim Cương: 85-100đ)",IF(P957&gt;=70,"Tier A (Vàng: 70-84đ)",IF(P957&gt;=61,"Tier B+ / Cấp A (Hot Lead: 61-69đ)",IF(P957&gt;=50,"Tier B (Bạc: 50-60đ)","Tier C (Đồng: 30-49đ)")))))</f>
        <v/>
      </c>
      <c r="R957" s="6" t="inlineStr">
        <is>
          <t>Trọn gói Take-Home Starter Kit V2/V3 (Cỏ nhân tạo + Khay Potty + Đồ chơi Teething/Snuggle)</t>
        </is>
      </c>
      <c r="S957" s="6" t="inlineStr">
        <is>
          <t>Đóng băng tương tác (&gt;30 ngày): Lưu trữ chờ kích hoạt lại, không tốn tài nguyên Sales</t>
        </is>
      </c>
    </row>
    <row r="958">
      <c r="A958" s="59" t="n">
        <v>1966</v>
      </c>
      <c r="B958" s="15" t="inlineStr">
        <is>
          <t>Labrador Retrievers Puppies in Michigan</t>
        </is>
      </c>
      <c r="C958" s="60" t="inlineStr">
        <is>
          <t>https://www.facebook.com/ckccwsgpuppies</t>
        </is>
      </c>
      <c r="D958" s="9" t="inlineStr">
        <is>
          <t>Cần quét Bio Fanpage</t>
        </is>
      </c>
      <c r="E958" s="59" t="inlineStr">
        <is>
          <t>14/10/2022 17:57:05</t>
        </is>
      </c>
      <c r="F958" s="59" t="inlineStr">
        <is>
          <t>3 năm trước</t>
        </is>
      </c>
      <c r="G958" s="61" t="n">
        <v>1095</v>
      </c>
      <c r="H958" s="62" t="n">
        <v>0</v>
      </c>
      <c r="I958" s="9" t="inlineStr">
        <is>
          <t>Dog Breeder / Trại chó chuyên nghiệp (28-30đ)</t>
        </is>
      </c>
      <c r="J958" s="62" t="n">
        <v>30</v>
      </c>
      <c r="K958" s="9" t="inlineStr">
        <is>
          <t>Labrador</t>
        </is>
      </c>
      <c r="L958" s="62" t="n">
        <v>10</v>
      </c>
      <c r="M958" s="62" t="n">
        <v>5</v>
      </c>
      <c r="N958" s="9" t="inlineStr">
        <is>
          <t>Amazon link not found</t>
        </is>
      </c>
      <c r="O958" s="62">
        <f>IF(N958="Selling pet toys + Artificial grass/Pet toilets (TARGET)",15,IF(N958="Selling artificial grass/pet toilets (TARGET)",10,IF(N958="Selling pet toys",7,IF(N958="There's an Amazon link, but no target sales.",3,0))))</f>
        <v/>
      </c>
      <c r="P958" s="67">
        <f>H958+J958+L958+M958+O958</f>
        <v/>
      </c>
      <c r="Q958" s="68">
        <f>IF(OR(H958=0,P958&lt;30),"Tier D (Đóng băng)",IF(P958&gt;=85,"Tier S (Kim Cương: 85-100đ)",IF(P958&gt;=70,"Tier A (Vàng: 70-84đ)",IF(P958&gt;=61,"Tier B+ / Cấp A (Hot Lead: 61-69đ)",IF(P958&gt;=50,"Tier B (Bạc: 50-60đ)","Tier C (Đồng: 30-49đ)")))))</f>
        <v/>
      </c>
      <c r="R958" s="9" t="inlineStr">
        <is>
          <t>Trọn gói Take-Home Starter Kit V2/V3 (Cỏ nhân tạo + Khay Potty + Đồ chơi Teething/Snuggle)</t>
        </is>
      </c>
      <c r="S958" s="9" t="inlineStr">
        <is>
          <t>Đóng băng tương tác (&gt;30 ngày): Lưu trữ chờ kích hoạt lại, không tốn tài nguyên Sales</t>
        </is>
      </c>
    </row>
    <row r="959">
      <c r="A959" s="53" t="n">
        <v>1839</v>
      </c>
      <c r="B959" s="12" t="inlineStr">
        <is>
          <t>Kali kennels</t>
        </is>
      </c>
      <c r="C959" s="54" t="inlineStr">
        <is>
          <t>https://www.facebook.com/kalikennelsrottweiler</t>
        </is>
      </c>
      <c r="D959" s="6" t="inlineStr">
        <is>
          <t>Cần quét Bio Fanpage</t>
        </is>
      </c>
      <c r="E959" s="53" t="inlineStr">
        <is>
          <t>14/10/2022 13:39:41</t>
        </is>
      </c>
      <c r="F959" s="53" t="inlineStr">
        <is>
          <t>3 năm trước</t>
        </is>
      </c>
      <c r="G959" s="55" t="n">
        <v>1095</v>
      </c>
      <c r="H959" s="56" t="n">
        <v>0</v>
      </c>
      <c r="I959" s="6" t="inlineStr">
        <is>
          <t>Dog Breeder / Trại chó chuyên nghiệp (28-30đ)</t>
        </is>
      </c>
      <c r="J959" s="56" t="n">
        <v>30</v>
      </c>
      <c r="K959" s="6" t="inlineStr">
        <is>
          <t>Rottweiler</t>
        </is>
      </c>
      <c r="L959" s="56" t="n">
        <v>10</v>
      </c>
      <c r="M959" s="56" t="n">
        <v>5</v>
      </c>
      <c r="N959" s="6" t="inlineStr">
        <is>
          <t>Amazon link not found</t>
        </is>
      </c>
      <c r="O959" s="56">
        <f>IF(N959="Selling pet toys + Artificial grass/Pet toilets (TARGET)",15,IF(N959="Selling artificial grass/pet toilets (TARGET)",10,IF(N959="Selling pet toys",7,IF(N959="There's an Amazon link, but no target sales.",3,0))))</f>
        <v/>
      </c>
      <c r="P959" s="65">
        <f>H959+J959+L959+M959+O959</f>
        <v/>
      </c>
      <c r="Q959" s="68">
        <f>IF(OR(H959=0,P959&lt;30),"Tier D (Đóng băng)",IF(P959&gt;=85,"Tier S (Kim Cương: 85-100đ)",IF(P959&gt;=70,"Tier A (Vàng: 70-84đ)",IF(P959&gt;=61,"Tier B+ / Cấp A (Hot Lead: 61-69đ)",IF(P959&gt;=50,"Tier B (Bạc: 50-60đ)","Tier C (Đồng: 30-49đ)")))))</f>
        <v/>
      </c>
      <c r="R959" s="6" t="inlineStr">
        <is>
          <t>Trọn gói Take-Home Starter Kit V2/V3 (Cỏ nhân tạo + Khay Potty + Đồ chơi Teething/Snuggle)</t>
        </is>
      </c>
      <c r="S959" s="6" t="inlineStr">
        <is>
          <t>Đóng băng tương tác (&gt;30 ngày): Lưu trữ chờ kích hoạt lại, không tốn tài nguyên Sales</t>
        </is>
      </c>
    </row>
    <row r="960">
      <c r="A960" s="59" t="n">
        <v>1967</v>
      </c>
      <c r="B960" s="15" t="inlineStr">
        <is>
          <t>Labradors - Sarracenia Kennel</t>
        </is>
      </c>
      <c r="C960" s="60" t="inlineStr">
        <is>
          <t>https://www.facebook.com/labradorssarracenia</t>
        </is>
      </c>
      <c r="D960" s="9" t="inlineStr">
        <is>
          <t>Cần quét Bio Fanpage</t>
        </is>
      </c>
      <c r="E960" s="59" t="inlineStr">
        <is>
          <t>31/07/2022 20:18:20</t>
        </is>
      </c>
      <c r="F960" s="59" t="inlineStr">
        <is>
          <t>4 năm trước</t>
        </is>
      </c>
      <c r="G960" s="61" t="n">
        <v>1460</v>
      </c>
      <c r="H960" s="62" t="n">
        <v>0</v>
      </c>
      <c r="I960" s="9" t="inlineStr">
        <is>
          <t>Dog Breeder / Trại chó chuyên nghiệp (28-30đ)</t>
        </is>
      </c>
      <c r="J960" s="62" t="n">
        <v>30</v>
      </c>
      <c r="K960" s="9" t="inlineStr">
        <is>
          <t>Labrador</t>
        </is>
      </c>
      <c r="L960" s="62" t="n">
        <v>10</v>
      </c>
      <c r="M960" s="62" t="n">
        <v>5</v>
      </c>
      <c r="N960" s="9" t="inlineStr">
        <is>
          <t>Amazon link not found</t>
        </is>
      </c>
      <c r="O960" s="62">
        <f>IF(N960="Selling pet toys + Artificial grass/Pet toilets (TARGET)",15,IF(N960="Selling artificial grass/pet toilets (TARGET)",10,IF(N960="Selling pet toys",7,IF(N960="There's an Amazon link, but no target sales.",3,0))))</f>
        <v/>
      </c>
      <c r="P960" s="67">
        <f>H960+J960+L960+M960+O960</f>
        <v/>
      </c>
      <c r="Q960" s="68">
        <f>IF(OR(H960=0,P960&lt;30),"Tier D (Đóng băng)",IF(P960&gt;=85,"Tier S (Kim Cương: 85-100đ)",IF(P960&gt;=70,"Tier A (Vàng: 70-84đ)",IF(P960&gt;=61,"Tier B+ / Cấp A (Hot Lead: 61-69đ)",IF(P960&gt;=50,"Tier B (Bạc: 50-60đ)","Tier C (Đồng: 30-49đ)")))))</f>
        <v/>
      </c>
      <c r="R960" s="9" t="inlineStr">
        <is>
          <t>Trọn gói Take-Home Starter Kit V2/V3 (Cỏ nhân tạo + Khay Potty + Đồ chơi Teething/Snuggle)</t>
        </is>
      </c>
      <c r="S960" s="9" t="inlineStr">
        <is>
          <t>Đóng băng tương tác (&gt;30 ngày): Lưu trữ chờ kích hoạt lại, không tốn tài nguyên Sales</t>
        </is>
      </c>
    </row>
    <row r="961">
      <c r="A961" s="53" t="n">
        <v>1577</v>
      </c>
      <c r="B961" s="12" t="inlineStr">
        <is>
          <t>Guernsey Rivers Rottweiler Kennel</t>
        </is>
      </c>
      <c r="C961" s="54" t="inlineStr">
        <is>
          <t>https://www.facebook.com/grrkennel</t>
        </is>
      </c>
      <c r="D961" s="6" t="inlineStr">
        <is>
          <t>Cần quét Bio Fanpage</t>
        </is>
      </c>
      <c r="E961" s="53" t="inlineStr">
        <is>
          <t>02/07/2022 20:36:41</t>
        </is>
      </c>
      <c r="F961" s="53" t="inlineStr">
        <is>
          <t>4 năm trước</t>
        </is>
      </c>
      <c r="G961" s="55" t="n">
        <v>1460</v>
      </c>
      <c r="H961" s="56" t="n">
        <v>0</v>
      </c>
      <c r="I961" s="6" t="inlineStr">
        <is>
          <t>Dog Breeder / Trại chó chuyên nghiệp (28-30đ)</t>
        </is>
      </c>
      <c r="J961" s="56" t="n">
        <v>30</v>
      </c>
      <c r="K961" s="6" t="inlineStr">
        <is>
          <t>Rottweiler</t>
        </is>
      </c>
      <c r="L961" s="56" t="n">
        <v>10</v>
      </c>
      <c r="M961" s="56" t="n">
        <v>5</v>
      </c>
      <c r="N961" s="6" t="inlineStr">
        <is>
          <t>Amazon link not found</t>
        </is>
      </c>
      <c r="O961" s="56">
        <f>IF(N961="Selling pet toys + Artificial grass/Pet toilets (TARGET)",15,IF(N961="Selling artificial grass/pet toilets (TARGET)",10,IF(N961="Selling pet toys",7,IF(N961="There's an Amazon link, but no target sales.",3,0))))</f>
        <v/>
      </c>
      <c r="P961" s="65">
        <f>H961+J961+L961+M961+O961</f>
        <v/>
      </c>
      <c r="Q961" s="68">
        <f>IF(OR(H961=0,P961&lt;30),"Tier D (Đóng băng)",IF(P961&gt;=85,"Tier S (Kim Cương: 85-100đ)",IF(P961&gt;=70,"Tier A (Vàng: 70-84đ)",IF(P961&gt;=61,"Tier B+ / Cấp A (Hot Lead: 61-69đ)",IF(P961&gt;=50,"Tier B (Bạc: 50-60đ)","Tier C (Đồng: 30-49đ)")))))</f>
        <v/>
      </c>
      <c r="R961" s="6" t="inlineStr">
        <is>
          <t>Trọn gói Take-Home Starter Kit V2/V3 (Cỏ nhân tạo + Khay Potty + Đồ chơi Teething/Snuggle)</t>
        </is>
      </c>
      <c r="S961" s="6" t="inlineStr">
        <is>
          <t>Đóng băng tương tác (&gt;30 ngày): Lưu trữ chờ kích hoạt lại, không tốn tài nguyên Sales</t>
        </is>
      </c>
    </row>
    <row r="962">
      <c r="A962" s="59" t="n">
        <v>2333</v>
      </c>
      <c r="B962" s="15" t="inlineStr">
        <is>
          <t>NVous Frenchies, LLC</t>
        </is>
      </c>
      <c r="C962" s="60" t="inlineStr">
        <is>
          <t>https://www.facebook.com/nvousfrenchies</t>
        </is>
      </c>
      <c r="D962" s="9" t="inlineStr">
        <is>
          <t>Cần quét Bio Fanpage</t>
        </is>
      </c>
      <c r="E962" s="59" t="inlineStr">
        <is>
          <t>10/06/2022 17:47:31</t>
        </is>
      </c>
      <c r="F962" s="59" t="inlineStr">
        <is>
          <t>4 năm trước</t>
        </is>
      </c>
      <c r="G962" s="61" t="n">
        <v>1460</v>
      </c>
      <c r="H962" s="62" t="n">
        <v>0</v>
      </c>
      <c r="I962" s="9" t="inlineStr">
        <is>
          <t>Dog Breeder / Trại chó chuyên nghiệp (28-30đ)</t>
        </is>
      </c>
      <c r="J962" s="62" t="n">
        <v>30</v>
      </c>
      <c r="K962" s="9" t="inlineStr">
        <is>
          <t>French Bulldog</t>
        </is>
      </c>
      <c r="L962" s="62" t="n">
        <v>10</v>
      </c>
      <c r="M962" s="62" t="n">
        <v>5</v>
      </c>
      <c r="N962" s="9" t="inlineStr">
        <is>
          <t>Amazon link not found</t>
        </is>
      </c>
      <c r="O962" s="62">
        <f>IF(N962="Selling pet toys + Artificial grass/Pet toilets (TARGET)",15,IF(N962="Selling artificial grass/pet toilets (TARGET)",10,IF(N962="Selling pet toys",7,IF(N962="There's an Amazon link, but no target sales.",3,0))))</f>
        <v/>
      </c>
      <c r="P962" s="67">
        <f>H962+J962+L962+M962+O962</f>
        <v/>
      </c>
      <c r="Q962" s="68">
        <f>IF(OR(H962=0,P962&lt;30),"Tier D (Đóng băng)",IF(P962&gt;=85,"Tier S (Kim Cương: 85-100đ)",IF(P962&gt;=70,"Tier A (Vàng: 70-84đ)",IF(P962&gt;=61,"Tier B+ / Cấp A (Hot Lead: 61-69đ)",IF(P962&gt;=50,"Tier B (Bạc: 50-60đ)","Tier C (Đồng: 30-49đ)")))))</f>
        <v/>
      </c>
      <c r="R962" s="9" t="inlineStr">
        <is>
          <t>Trọn gói Take-Home Starter Kit V2/V3 (Cỏ nhân tạo + Khay Potty + Đồ chơi Teething/Snuggle)</t>
        </is>
      </c>
      <c r="S962" s="9" t="inlineStr">
        <is>
          <t>Đóng băng tương tác (&gt;30 ngày): Lưu trữ chờ kích hoạt lại, không tốn tài nguyên Sales</t>
        </is>
      </c>
    </row>
    <row r="963">
      <c r="A963" s="53" t="n">
        <v>772</v>
      </c>
      <c r="B963" s="12" t="inlineStr">
        <is>
          <t>Brutal Bully Kennel</t>
        </is>
      </c>
      <c r="C963" s="54" t="inlineStr">
        <is>
          <t>https://www.facebook.com/brutalbullykennel</t>
        </is>
      </c>
      <c r="D963" s="6" t="inlineStr">
        <is>
          <t>Cần quét Bio Fanpage</t>
        </is>
      </c>
      <c r="E963" s="53" t="inlineStr">
        <is>
          <t>22/02/2021 02:26:00</t>
        </is>
      </c>
      <c r="F963" s="53" t="inlineStr">
        <is>
          <t>5 năm trước</t>
        </is>
      </c>
      <c r="G963" s="55" t="n">
        <v>1825</v>
      </c>
      <c r="H963" s="56" t="n">
        <v>0</v>
      </c>
      <c r="I963" s="6" t="inlineStr">
        <is>
          <t>Dog Breeder / Trại chó chuyên nghiệp (28-30đ)</t>
        </is>
      </c>
      <c r="J963" s="56" t="n">
        <v>30</v>
      </c>
      <c r="K963" s="6" t="inlineStr">
        <is>
          <t>American Bully / Bully</t>
        </is>
      </c>
      <c r="L963" s="56" t="n">
        <v>10</v>
      </c>
      <c r="M963" s="56" t="n">
        <v>5</v>
      </c>
      <c r="N963" s="6" t="inlineStr">
        <is>
          <t>Amazon link not found</t>
        </is>
      </c>
      <c r="O963" s="56">
        <f>IF(N963="Selling pet toys + Artificial grass/Pet toilets (TARGET)",15,IF(N963="Selling artificial grass/pet toilets (TARGET)",10,IF(N963="Selling pet toys",7,IF(N963="There's an Amazon link, but no target sales.",3,0))))</f>
        <v/>
      </c>
      <c r="P963" s="65">
        <f>H963+J963+L963+M963+O963</f>
        <v/>
      </c>
      <c r="Q963" s="68">
        <f>IF(OR(H963=0,P963&lt;30),"Tier D (Đóng băng)",IF(P963&gt;=85,"Tier S (Kim Cương: 85-100đ)",IF(P963&gt;=70,"Tier A (Vàng: 70-84đ)",IF(P963&gt;=61,"Tier B+ / Cấp A (Hot Lead: 61-69đ)",IF(P963&gt;=50,"Tier B (Bạc: 50-60đ)","Tier C (Đồng: 30-49đ)")))))</f>
        <v/>
      </c>
      <c r="R963" s="6" t="inlineStr">
        <is>
          <t>Trọn gói Take-Home Starter Kit V2/V3 (Cỏ nhân tạo + Khay Potty + Đồ chơi Teething/Snuggle)</t>
        </is>
      </c>
      <c r="S963" s="6" t="inlineStr">
        <is>
          <t>Đóng băng tương tác (&gt;30 ngày): Lưu trữ chờ kích hoạt lại, không tốn tài nguyên Sales</t>
        </is>
      </c>
    </row>
    <row r="964">
      <c r="A964" s="59" t="n">
        <v>1524</v>
      </c>
      <c r="B964" s="15" t="inlineStr">
        <is>
          <t>Golden Retriever Puppies Colorado - Ohana Goldens</t>
        </is>
      </c>
      <c r="C964" s="60" t="inlineStr">
        <is>
          <t>https://www.facebook.com/PuppyPower93</t>
        </is>
      </c>
      <c r="D964" s="9" t="inlineStr">
        <is>
          <t>Cần quét Bio Fanpage</t>
        </is>
      </c>
      <c r="E964" s="59" t="inlineStr">
        <is>
          <t>09/05/2020 21:54:32</t>
        </is>
      </c>
      <c r="F964" s="59" t="inlineStr">
        <is>
          <t>6 năm trước</t>
        </is>
      </c>
      <c r="G964" s="61" t="n">
        <v>2190</v>
      </c>
      <c r="H964" s="62" t="n">
        <v>0</v>
      </c>
      <c r="I964" s="9" t="inlineStr">
        <is>
          <t>Dog Breeder / Trại chó chuyên nghiệp (28-30đ)</t>
        </is>
      </c>
      <c r="J964" s="62" t="n">
        <v>30</v>
      </c>
      <c r="K964" s="9" t="inlineStr">
        <is>
          <t>Golden Retriever</t>
        </is>
      </c>
      <c r="L964" s="62" t="n">
        <v>10</v>
      </c>
      <c r="M964" s="62" t="n">
        <v>5</v>
      </c>
      <c r="N964" s="9" t="inlineStr">
        <is>
          <t>Amazon link not found</t>
        </is>
      </c>
      <c r="O964" s="62">
        <f>IF(N964="Selling pet toys + Artificial grass/Pet toilets (TARGET)",15,IF(N964="Selling artificial grass/pet toilets (TARGET)",10,IF(N964="Selling pet toys",7,IF(N964="There's an Amazon link, but no target sales.",3,0))))</f>
        <v/>
      </c>
      <c r="P964" s="67">
        <f>H964+J964+L964+M964+O964</f>
        <v/>
      </c>
      <c r="Q964" s="68">
        <f>IF(OR(H964=0,P964&lt;30),"Tier D (Đóng băng)",IF(P964&gt;=85,"Tier S (Kim Cương: 85-100đ)",IF(P964&gt;=70,"Tier A (Vàng: 70-84đ)",IF(P964&gt;=61,"Tier B+ / Cấp A (Hot Lead: 61-69đ)",IF(P964&gt;=50,"Tier B (Bạc: 50-60đ)","Tier C (Đồng: 30-49đ)")))))</f>
        <v/>
      </c>
      <c r="R964" s="9" t="inlineStr">
        <is>
          <t>Trọn gói Take-Home Starter Kit V2/V3 (Cỏ nhân tạo + Khay Potty + Đồ chơi Teething/Snuggle)</t>
        </is>
      </c>
      <c r="S964" s="9" t="inlineStr">
        <is>
          <t>Đóng băng tương tác (&gt;30 ngày): Lưu trữ chờ kích hoạt lại, không tốn tài nguyên Sales</t>
        </is>
      </c>
    </row>
    <row r="965">
      <c r="A965" s="53" t="n">
        <v>894</v>
      </c>
      <c r="B965" s="12" t="inlineStr">
        <is>
          <t>Choco-Blue French Bulldog Kennel</t>
        </is>
      </c>
      <c r="C965" s="54" t="inlineStr">
        <is>
          <t>https://www.facebook.com/chocobluefrenchbulldogkennel</t>
        </is>
      </c>
      <c r="D965" s="6" t="inlineStr">
        <is>
          <t>Cần quét Bio Fanpage</t>
        </is>
      </c>
      <c r="E965" s="53" t="inlineStr">
        <is>
          <t>08/10/2019 08:07:00</t>
        </is>
      </c>
      <c r="F965" s="53" t="inlineStr">
        <is>
          <t>8 Tháng 10, 2019 lúc 08:07</t>
        </is>
      </c>
      <c r="G965" s="55" t="n">
        <v>365</v>
      </c>
      <c r="H965" s="56" t="n">
        <v>0</v>
      </c>
      <c r="I965" s="6" t="inlineStr">
        <is>
          <t>Dog Breeder / Trại chó chuyên nghiệp (28-30đ)</t>
        </is>
      </c>
      <c r="J965" s="56" t="n">
        <v>30</v>
      </c>
      <c r="K965" s="6" t="inlineStr">
        <is>
          <t>French Bulldog</t>
        </is>
      </c>
      <c r="L965" s="56" t="n">
        <v>10</v>
      </c>
      <c r="M965" s="56" t="n">
        <v>5</v>
      </c>
      <c r="N965" s="6" t="inlineStr">
        <is>
          <t>Amazon link not found</t>
        </is>
      </c>
      <c r="O965" s="56">
        <f>IF(N965="Selling pet toys + Artificial grass/Pet toilets (TARGET)",15,IF(N965="Selling artificial grass/pet toilets (TARGET)",10,IF(N965="Selling pet toys",7,IF(N965="There's an Amazon link, but no target sales.",3,0))))</f>
        <v/>
      </c>
      <c r="P965" s="65">
        <f>H965+J965+L965+M965+O965</f>
        <v/>
      </c>
      <c r="Q965" s="68">
        <f>IF(OR(H965=0,P965&lt;30),"Tier D (Đóng băng)",IF(P965&gt;=85,"Tier S (Kim Cương: 85-100đ)",IF(P965&gt;=70,"Tier A (Vàng: 70-84đ)",IF(P965&gt;=61,"Tier B+ / Cấp A (Hot Lead: 61-69đ)",IF(P965&gt;=50,"Tier B (Bạc: 50-60đ)","Tier C (Đồng: 30-49đ)")))))</f>
        <v/>
      </c>
      <c r="R965" s="6" t="inlineStr">
        <is>
          <t>Trọn gói Take-Home Starter Kit V2/V3 (Cỏ nhân tạo + Khay Potty + Đồ chơi Teething/Snuggle)</t>
        </is>
      </c>
      <c r="S965" s="6" t="inlineStr">
        <is>
          <t>Đóng băng tương tác (&gt;30 ngày): Lưu trữ chờ kích hoạt lại, không tốn tài nguyên Sales</t>
        </is>
      </c>
    </row>
    <row r="966">
      <c r="A966" s="59" t="n">
        <v>639</v>
      </c>
      <c r="B966" s="15" t="inlineStr">
        <is>
          <t>Bernese Mountain Dog Available Puppies and Breeders</t>
        </is>
      </c>
      <c r="C966" s="60" t="inlineStr">
        <is>
          <t>https://www.facebook.com/bernesedogs</t>
        </is>
      </c>
      <c r="D966" s="9" t="inlineStr">
        <is>
          <t>Cần quét Bio Fanpage</t>
        </is>
      </c>
      <c r="E966" s="59" t="inlineStr">
        <is>
          <t>18/10/2018 04:45:00</t>
        </is>
      </c>
      <c r="F966" s="59" t="inlineStr">
        <is>
          <t>18 Tháng 10, 2018 lúc 04:45</t>
        </is>
      </c>
      <c r="G966" s="61" t="n">
        <v>365</v>
      </c>
      <c r="H966" s="62" t="n">
        <v>0</v>
      </c>
      <c r="I966" s="9" t="inlineStr">
        <is>
          <t>Dog Breeder / Trại chó chuyên nghiệp (28-30đ)</t>
        </is>
      </c>
      <c r="J966" s="62" t="n">
        <v>30</v>
      </c>
      <c r="K966" s="9" t="inlineStr">
        <is>
          <t>Bernese Mountain Dog</t>
        </is>
      </c>
      <c r="L966" s="62" t="n">
        <v>5</v>
      </c>
      <c r="M966" s="62" t="n">
        <v>10</v>
      </c>
      <c r="N966" s="9" t="inlineStr">
        <is>
          <t>Amazon link not found</t>
        </is>
      </c>
      <c r="O966" s="62">
        <f>IF(N966="Selling pet toys + Artificial grass/Pet toilets (TARGET)",15,IF(N966="Selling artificial grass/pet toilets (TARGET)",10,IF(N966="Selling pet toys",7,IF(N966="There's an Amazon link, but no target sales.",3,0))))</f>
        <v/>
      </c>
      <c r="P966" s="67">
        <f>H966+J966+L966+M966+O966</f>
        <v/>
      </c>
      <c r="Q966" s="68">
        <f>IF(OR(H966=0,P966&lt;30),"Tier D (Đóng băng)",IF(P966&gt;=85,"Tier S (Kim Cương: 85-100đ)",IF(P966&gt;=70,"Tier A (Vàng: 70-84đ)",IF(P966&gt;=61,"Tier B+ / Cấp A (Hot Lead: 61-69đ)",IF(P966&gt;=50,"Tier B (Bạc: 50-60đ)","Tier C (Đồng: 30-49đ)")))))</f>
        <v/>
      </c>
      <c r="R966" s="9" t="inlineStr">
        <is>
          <t>Trọn gói Take-Home Starter Kit V2/V3 (Cỏ nhân tạo + Khay Potty + Đồ chơi Teething/Snuggle)</t>
        </is>
      </c>
      <c r="S966" s="9" t="inlineStr">
        <is>
          <t>Đóng băng tương tác (&gt;30 ngày): Lưu trữ chờ kích hoạt lại, không tốn tài nguyên Sales</t>
        </is>
      </c>
    </row>
    <row r="967">
      <c r="A967" s="53" t="n">
        <v>2367</v>
      </c>
      <c r="B967" s="12" t="inlineStr">
        <is>
          <t>Online Dogtraining</t>
        </is>
      </c>
      <c r="C967" s="54" t="inlineStr">
        <is>
          <t>https://www.facebook.com/odtnorway</t>
        </is>
      </c>
      <c r="D967" s="6" t="inlineStr">
        <is>
          <t>Cần quét Bio Fanpage</t>
        </is>
      </c>
      <c r="E967" s="53" t="inlineStr">
        <is>
          <t>12/10/2026 02:18:18</t>
        </is>
      </c>
      <c r="F967" s="53" t="inlineStr">
        <is>
          <t>1 ngày trước</t>
        </is>
      </c>
      <c r="G967" s="55" t="n">
        <v>1</v>
      </c>
      <c r="H967" s="56" t="n">
        <v>28</v>
      </c>
      <c r="I967" s="6" t="inlineStr">
        <is>
          <t>Pet Owner / Cộng đồng nuôi cún (10đ)</t>
        </is>
      </c>
      <c r="J967" s="56" t="n">
        <v>10</v>
      </c>
      <c r="K967" s="6" t="inlineStr">
        <is>
          <t>Chưa rõ giống (Cần quét Bio)</t>
        </is>
      </c>
      <c r="L967" s="56" t="n">
        <v>0</v>
      </c>
      <c r="M967" s="56" t="n">
        <v>5</v>
      </c>
      <c r="N967" s="6" t="inlineStr">
        <is>
          <t>Amazon link not found</t>
        </is>
      </c>
      <c r="O967" s="56">
        <f>IF(N967="Selling pet toys + Artificial grass/Pet toilets (TARGET)",15,IF(N967="Selling artificial grass/pet toilets (TARGET)",10,IF(N967="Selling pet toys",7,IF(N967="There's an Amazon link, but no target sales.",3,0))))</f>
        <v/>
      </c>
      <c r="P967" s="65">
        <f>H967+J967+L967+M967+O967</f>
        <v/>
      </c>
      <c r="Q967" s="69">
        <f>IF(OR(H967=0,P967&lt;30),"Tier D (Đóng băng)",IF(P967&gt;=85,"Tier S (Kim Cương: 85-100đ)",IF(P967&gt;=70,"Tier A (Vàng: 70-84đ)",IF(P967&gt;=61,"Tier B+ / Cấp A (Hot Lead: 61-69đ)",IF(P967&gt;=50,"Tier B (Bạc: 50-60đ)","Tier C (Đồng: 30-49đ)")))))</f>
        <v/>
      </c>
      <c r="R967" s="6" t="inlineStr">
        <is>
          <t>Khay vệ sinh chung cư (Indoor Potty) + Thảm cỏ ban công (Grass Patch) + Đồ chơi</t>
        </is>
      </c>
      <c r="S967" s="6" t="inlineStr">
        <is>
          <t>Cấp C Chi phí thấp: Nhắn tin trực tiếp qua Fanpage Facebook/Instagram + Nuôi dưỡng nội dung</t>
        </is>
      </c>
    </row>
    <row r="968">
      <c r="A968" s="59" t="n">
        <v>599</v>
      </c>
      <c r="B968" s="15" t="inlineStr">
        <is>
          <t>Basset hounds lovers</t>
        </is>
      </c>
      <c r="C968" s="60" t="inlineStr">
        <is>
          <t>https://www.facebook.com/profile.php?id=61568196196514</t>
        </is>
      </c>
      <c r="D968" s="9" t="inlineStr">
        <is>
          <t>Cần quét Bio Fanpage</t>
        </is>
      </c>
      <c r="E968" s="59" t="inlineStr">
        <is>
          <t>11/10/2026 21:09:30</t>
        </is>
      </c>
      <c r="F968" s="59" t="inlineStr">
        <is>
          <t>1 ngày trước</t>
        </is>
      </c>
      <c r="G968" s="61" t="n">
        <v>1</v>
      </c>
      <c r="H968" s="62" t="n">
        <v>28</v>
      </c>
      <c r="I968" s="9" t="inlineStr">
        <is>
          <t>Pet Owner / Kênh cá nhân thú cưng (10đ)</t>
        </is>
      </c>
      <c r="J968" s="62" t="n">
        <v>10</v>
      </c>
      <c r="K968" s="9" t="inlineStr">
        <is>
          <t>Hound / Beagle / Basset</t>
        </is>
      </c>
      <c r="L968" s="62" t="n">
        <v>5</v>
      </c>
      <c r="M968" s="62" t="n">
        <v>0</v>
      </c>
      <c r="N968" s="9" t="inlineStr">
        <is>
          <t>Amazon link not found</t>
        </is>
      </c>
      <c r="O968" s="62">
        <f>IF(N968="Selling pet toys + Artificial grass/Pet toilets (TARGET)",15,IF(N968="Selling artificial grass/pet toilets (TARGET)",10,IF(N968="Selling pet toys",7,IF(N968="There's an Amazon link, but no target sales.",3,0))))</f>
        <v/>
      </c>
      <c r="P968" s="67">
        <f>H968+J968+L968+M968+O968</f>
        <v/>
      </c>
      <c r="Q968" s="69">
        <f>IF(OR(H968=0,P968&lt;30),"Tier D (Đóng băng)",IF(P968&gt;=85,"Tier S (Kim Cương: 85-100đ)",IF(P968&gt;=70,"Tier A (Vàng: 70-84đ)",IF(P968&gt;=61,"Tier B+ / Cấp A (Hot Lead: 61-69đ)",IF(P968&gt;=50,"Tier B (Bạc: 50-60đ)","Tier C (Đồng: 30-49đ)")))))</f>
        <v/>
      </c>
      <c r="R968" s="9" t="inlineStr">
        <is>
          <t>Khay vệ sinh trong nhà (Indoor Dog Potty) + Đồ chơi thú cưng lẻ</t>
        </is>
      </c>
      <c r="S968" s="9" t="inlineStr">
        <is>
          <t>Cấp C Chi phí thấp: Nhắn tin trực tiếp qua Fanpage Facebook/Instagram + Nuôi dưỡng nội dung</t>
        </is>
      </c>
    </row>
    <row r="969">
      <c r="A969" s="53" t="n">
        <v>2447</v>
      </c>
      <c r="B969" s="12" t="inlineStr">
        <is>
          <t>Pet Door Products</t>
        </is>
      </c>
      <c r="C969" s="54" t="inlineStr">
        <is>
          <t>https://www.facebook.com/PetDoorProducts</t>
        </is>
      </c>
      <c r="D969" s="6" t="inlineStr">
        <is>
          <t>Cần quét Bio Fanpage</t>
        </is>
      </c>
      <c r="E969" s="53" t="inlineStr">
        <is>
          <t>11/10/2026 10:01:05</t>
        </is>
      </c>
      <c r="F969" s="53" t="inlineStr">
        <is>
          <t>1 ngày trước</t>
        </is>
      </c>
      <c r="G969" s="55" t="n">
        <v>1</v>
      </c>
      <c r="H969" s="56" t="n">
        <v>28</v>
      </c>
      <c r="I969" s="6" t="inlineStr">
        <is>
          <t>Pet Owner / Cộng đồng nuôi cún (10đ)</t>
        </is>
      </c>
      <c r="J969" s="56" t="n">
        <v>10</v>
      </c>
      <c r="K969" s="6" t="inlineStr">
        <is>
          <t>Chưa rõ giống (Cần quét Bio)</t>
        </is>
      </c>
      <c r="L969" s="56" t="n">
        <v>0</v>
      </c>
      <c r="M969" s="56" t="n">
        <v>5</v>
      </c>
      <c r="N969" s="6" t="inlineStr">
        <is>
          <t>Amazon link not found</t>
        </is>
      </c>
      <c r="O969" s="56">
        <f>IF(N969="Selling pet toys + Artificial grass/Pet toilets (TARGET)",15,IF(N969="Selling artificial grass/pet toilets (TARGET)",10,IF(N969="Selling pet toys",7,IF(N969="There's an Amazon link, but no target sales.",3,0))))</f>
        <v/>
      </c>
      <c r="P969" s="65">
        <f>H969+J969+L969+M969+O969</f>
        <v/>
      </c>
      <c r="Q969" s="69">
        <f>IF(OR(H969=0,P969&lt;30),"Tier D (Đóng băng)",IF(P969&gt;=85,"Tier S (Kim Cương: 85-100đ)",IF(P969&gt;=70,"Tier A (Vàng: 70-84đ)",IF(P969&gt;=61,"Tier B+ / Cấp A (Hot Lead: 61-69đ)",IF(P969&gt;=50,"Tier B (Bạc: 50-60đ)","Tier C (Đồng: 30-49đ)")))))</f>
        <v/>
      </c>
      <c r="R969" s="6" t="inlineStr">
        <is>
          <t>Khay vệ sinh chung cư (Indoor Potty) + Thảm cỏ ban công (Grass Patch) + Đồ chơi</t>
        </is>
      </c>
      <c r="S969" s="6" t="inlineStr">
        <is>
          <t>Cấp C Chi phí thấp: Nhắn tin trực tiếp qua Fanpage Facebook/Instagram + Nuôi dưỡng nội dung</t>
        </is>
      </c>
    </row>
    <row r="970">
      <c r="A970" s="59" t="n">
        <v>250</v>
      </c>
      <c r="B970" s="15" t="inlineStr">
        <is>
          <t>RamboThePuppy</t>
        </is>
      </c>
      <c r="C970" s="60" t="inlineStr">
        <is>
          <t>https://www.facebook.com/RamboThePuppy</t>
        </is>
      </c>
      <c r="D970" s="9" t="inlineStr">
        <is>
          <t>Cần quét Bio Fanpage</t>
        </is>
      </c>
      <c r="E970" s="59" t="inlineStr">
        <is>
          <t>11/10/2026 08:44:09</t>
        </is>
      </c>
      <c r="F970" s="59" t="inlineStr">
        <is>
          <t>1 ngày trước</t>
        </is>
      </c>
      <c r="G970" s="61" t="n">
        <v>1</v>
      </c>
      <c r="H970" s="62" t="n">
        <v>28</v>
      </c>
      <c r="I970" s="9" t="inlineStr">
        <is>
          <t>Pet Owner / Cộng đồng nuôi cún (10đ)</t>
        </is>
      </c>
      <c r="J970" s="62" t="n">
        <v>10</v>
      </c>
      <c r="K970" s="9" t="inlineStr">
        <is>
          <t>Chưa rõ giống (Cần quét Bio)</t>
        </is>
      </c>
      <c r="L970" s="62" t="n">
        <v>0</v>
      </c>
      <c r="M970" s="62" t="n">
        <v>5</v>
      </c>
      <c r="N970" s="9" t="inlineStr">
        <is>
          <t>Amazon link not found</t>
        </is>
      </c>
      <c r="O970" s="62">
        <f>IF(N970="Selling pet toys + Artificial grass/Pet toilets (TARGET)",15,IF(N970="Selling artificial grass/pet toilets (TARGET)",10,IF(N970="Selling pet toys",7,IF(N970="There's an Amazon link, but no target sales.",3,0))))</f>
        <v/>
      </c>
      <c r="P970" s="67">
        <f>H970+J970+L970+M970+O970</f>
        <v/>
      </c>
      <c r="Q970" s="69">
        <f>IF(OR(H970=0,P970&lt;30),"Tier D (Đóng băng)",IF(P970&gt;=85,"Tier S (Kim Cương: 85-100đ)",IF(P970&gt;=70,"Tier A (Vàng: 70-84đ)",IF(P970&gt;=61,"Tier B+ / Cấp A (Hot Lead: 61-69đ)",IF(P970&gt;=50,"Tier B (Bạc: 50-60đ)","Tier C (Đồng: 30-49đ)")))))</f>
        <v/>
      </c>
      <c r="R970" s="9" t="inlineStr">
        <is>
          <t>Khay vệ sinh chung cư (Indoor Potty) + Thảm cỏ ban công (Grass Patch) + Đồ chơi</t>
        </is>
      </c>
      <c r="S970" s="9" t="inlineStr">
        <is>
          <t>Cấp C Chi phí thấp: Nhắn tin trực tiếp qua Fanpage Facebook/Instagram + Nuôi dưỡng nội dung</t>
        </is>
      </c>
    </row>
    <row r="971">
      <c r="A971" s="53" t="n">
        <v>3143</v>
      </c>
      <c r="B971" s="12" t="inlineStr">
        <is>
          <t>The Official SuperDogs</t>
        </is>
      </c>
      <c r="C971" s="54" t="inlineStr">
        <is>
          <t>https://www.facebook.com/officialsuperdogs</t>
        </is>
      </c>
      <c r="D971" s="6" t="inlineStr">
        <is>
          <t>Cần quét Bio Fanpage</t>
        </is>
      </c>
      <c r="E971" s="53" t="inlineStr">
        <is>
          <t>11/10/2026 04:43:44</t>
        </is>
      </c>
      <c r="F971" s="53" t="inlineStr">
        <is>
          <t>2 ngày trước</t>
        </is>
      </c>
      <c r="G971" s="55" t="n">
        <v>2</v>
      </c>
      <c r="H971" s="56" t="n">
        <v>28</v>
      </c>
      <c r="I971" s="6" t="inlineStr">
        <is>
          <t>Pet Owner / Cộng đồng nuôi cún (10đ)</t>
        </is>
      </c>
      <c r="J971" s="56" t="n">
        <v>10</v>
      </c>
      <c r="K971" s="6" t="inlineStr">
        <is>
          <t>Chưa rõ giống (Cần quét Bio)</t>
        </is>
      </c>
      <c r="L971" s="56" t="n">
        <v>0</v>
      </c>
      <c r="M971" s="56" t="n">
        <v>5</v>
      </c>
      <c r="N971" s="6" t="inlineStr">
        <is>
          <t>Amazon link not found</t>
        </is>
      </c>
      <c r="O971" s="56">
        <f>IF(N971="Selling pet toys + Artificial grass/Pet toilets (TARGET)",15,IF(N971="Selling artificial grass/pet toilets (TARGET)",10,IF(N971="Selling pet toys",7,IF(N971="There's an Amazon link, but no target sales.",3,0))))</f>
        <v/>
      </c>
      <c r="P971" s="65">
        <f>H971+J971+L971+M971+O971</f>
        <v/>
      </c>
      <c r="Q971" s="69">
        <f>IF(OR(H971=0,P971&lt;30),"Tier D (Đóng băng)",IF(P971&gt;=85,"Tier S (Kim Cương: 85-100đ)",IF(P971&gt;=70,"Tier A (Vàng: 70-84đ)",IF(P971&gt;=61,"Tier B+ / Cấp A (Hot Lead: 61-69đ)",IF(P971&gt;=50,"Tier B (Bạc: 50-60đ)","Tier C (Đồng: 30-49đ)")))))</f>
        <v/>
      </c>
      <c r="R971" s="6" t="inlineStr">
        <is>
          <t>Khay vệ sinh chung cư (Indoor Potty) + Thảm cỏ ban công (Grass Patch) + Đồ chơi</t>
        </is>
      </c>
      <c r="S971" s="6" t="inlineStr">
        <is>
          <t>Cấp C Chi phí thấp: Nhắn tin trực tiếp qua Fanpage Facebook/Instagram + Nuôi dưỡng nội dung</t>
        </is>
      </c>
    </row>
    <row r="972">
      <c r="A972" s="59" t="n">
        <v>3426</v>
      </c>
      <c r="B972" s="15" t="inlineStr">
        <is>
          <t>Windy City Pet Store</t>
        </is>
      </c>
      <c r="C972" s="60" t="inlineStr">
        <is>
          <t>https://www.facebook.com/WindyCityPetStoreWY</t>
        </is>
      </c>
      <c r="D972" s="9" t="inlineStr">
        <is>
          <t>Cần quét Bio Fanpage</t>
        </is>
      </c>
      <c r="E972" s="59" t="inlineStr">
        <is>
          <t>10/10/2026 23:32:00</t>
        </is>
      </c>
      <c r="F972" s="59" t="inlineStr">
        <is>
          <t>2 ngày trước</t>
        </is>
      </c>
      <c r="G972" s="61" t="n">
        <v>2</v>
      </c>
      <c r="H972" s="62" t="n">
        <v>28</v>
      </c>
      <c r="I972" s="9" t="inlineStr">
        <is>
          <t>Pet Owner / Cộng đồng nuôi cún (10đ)</t>
        </is>
      </c>
      <c r="J972" s="62" t="n">
        <v>10</v>
      </c>
      <c r="K972" s="9" t="inlineStr">
        <is>
          <t>Chưa rõ giống (Cần quét Bio)</t>
        </is>
      </c>
      <c r="L972" s="62" t="n">
        <v>0</v>
      </c>
      <c r="M972" s="62" t="n">
        <v>5</v>
      </c>
      <c r="N972" s="9" t="inlineStr">
        <is>
          <t>Amazon link not found</t>
        </is>
      </c>
      <c r="O972" s="62">
        <f>IF(N972="Selling pet toys + Artificial grass/Pet toilets (TARGET)",15,IF(N972="Selling artificial grass/pet toilets (TARGET)",10,IF(N972="Selling pet toys",7,IF(N972="There's an Amazon link, but no target sales.",3,0))))</f>
        <v/>
      </c>
      <c r="P972" s="67">
        <f>H972+J972+L972+M972+O972</f>
        <v/>
      </c>
      <c r="Q972" s="69">
        <f>IF(OR(H972=0,P972&lt;30),"Tier D (Đóng băng)",IF(P972&gt;=85,"Tier S (Kim Cương: 85-100đ)",IF(P972&gt;=70,"Tier A (Vàng: 70-84đ)",IF(P972&gt;=61,"Tier B+ / Cấp A (Hot Lead: 61-69đ)",IF(P972&gt;=50,"Tier B (Bạc: 50-60đ)","Tier C (Đồng: 30-49đ)")))))</f>
        <v/>
      </c>
      <c r="R972" s="9" t="inlineStr">
        <is>
          <t>Khay vệ sinh chung cư (Indoor Potty) + Thảm cỏ ban công (Grass Patch) + Đồ chơi</t>
        </is>
      </c>
      <c r="S972" s="9" t="inlineStr">
        <is>
          <t>Cấp C Chi phí thấp: Nhắn tin trực tiếp qua Fanpage Facebook/Instagram + Nuôi dưỡng nội dung</t>
        </is>
      </c>
    </row>
    <row r="973">
      <c r="A973" s="53" t="n">
        <v>45</v>
      </c>
      <c r="B973" s="12" t="inlineStr">
        <is>
          <t>Pineviewpuppies</t>
        </is>
      </c>
      <c r="C973" s="54" t="inlineStr">
        <is>
          <t>https://www.facebook.com/profile.php?id=61584148455242</t>
        </is>
      </c>
      <c r="D973" s="6" t="inlineStr">
        <is>
          <t>Cần quét Bio Fanpage</t>
        </is>
      </c>
      <c r="E973" s="53" t="inlineStr">
        <is>
          <t>10/10/2026 22:31:24</t>
        </is>
      </c>
      <c r="F973" s="53" t="inlineStr">
        <is>
          <t>2 ngày trước</t>
        </is>
      </c>
      <c r="G973" s="55" t="n">
        <v>2</v>
      </c>
      <c r="H973" s="56" t="n">
        <v>28</v>
      </c>
      <c r="I973" s="6" t="inlineStr">
        <is>
          <t>Pet Owner / Cộng đồng nuôi cún (10đ)</t>
        </is>
      </c>
      <c r="J973" s="56" t="n">
        <v>10</v>
      </c>
      <c r="K973" s="6" t="inlineStr">
        <is>
          <t>Chưa rõ giống (Cần quét Bio)</t>
        </is>
      </c>
      <c r="L973" s="56" t="n">
        <v>0</v>
      </c>
      <c r="M973" s="56" t="n">
        <v>5</v>
      </c>
      <c r="N973" s="6" t="inlineStr">
        <is>
          <t>Amazon link not found</t>
        </is>
      </c>
      <c r="O973" s="56">
        <f>IF(N973="Selling pet toys + Artificial grass/Pet toilets (TARGET)",15,IF(N973="Selling artificial grass/pet toilets (TARGET)",10,IF(N973="Selling pet toys",7,IF(N973="There's an Amazon link, but no target sales.",3,0))))</f>
        <v/>
      </c>
      <c r="P973" s="65">
        <f>H973+J973+L973+M973+O973</f>
        <v/>
      </c>
      <c r="Q973" s="69">
        <f>IF(OR(H973=0,P973&lt;30),"Tier D (Đóng băng)",IF(P973&gt;=85,"Tier S (Kim Cương: 85-100đ)",IF(P973&gt;=70,"Tier A (Vàng: 70-84đ)",IF(P973&gt;=61,"Tier B+ / Cấp A (Hot Lead: 61-69đ)",IF(P973&gt;=50,"Tier B (Bạc: 50-60đ)","Tier C (Đồng: 30-49đ)")))))</f>
        <v/>
      </c>
      <c r="R973" s="6" t="inlineStr">
        <is>
          <t>Khay vệ sinh chung cư (Indoor Potty) + Thảm cỏ ban công (Grass Patch) + Đồ chơi</t>
        </is>
      </c>
      <c r="S973" s="6" t="inlineStr">
        <is>
          <t>Cấp C Chi phí thấp: Nhắn tin trực tiếp qua Fanpage Facebook/Instagram + Nuôi dưỡng nội dung</t>
        </is>
      </c>
    </row>
    <row r="974">
      <c r="A974" s="59" t="n">
        <v>3137</v>
      </c>
      <c r="B974" s="15" t="inlineStr">
        <is>
          <t>The life of Kirby, the Spotted Ear Basset Hound</t>
        </is>
      </c>
      <c r="C974" s="60" t="inlineStr">
        <is>
          <t>https://www.facebook.com/profile.php?id=100066960834968</t>
        </is>
      </c>
      <c r="D974" s="9" t="inlineStr">
        <is>
          <t>Cần quét Bio Fanpage</t>
        </is>
      </c>
      <c r="E974" s="59" t="inlineStr">
        <is>
          <t>10/10/2026 22:06:45</t>
        </is>
      </c>
      <c r="F974" s="59" t="inlineStr">
        <is>
          <t>2 ngày trước</t>
        </is>
      </c>
      <c r="G974" s="61" t="n">
        <v>2</v>
      </c>
      <c r="H974" s="62" t="n">
        <v>28</v>
      </c>
      <c r="I974" s="9" t="inlineStr">
        <is>
          <t>Pet Owner / Kênh cá nhân thú cưng (10đ)</t>
        </is>
      </c>
      <c r="J974" s="62" t="n">
        <v>10</v>
      </c>
      <c r="K974" s="9" t="inlineStr">
        <is>
          <t>Hound / Beagle / Basset</t>
        </is>
      </c>
      <c r="L974" s="62" t="n">
        <v>5</v>
      </c>
      <c r="M974" s="62" t="n">
        <v>0</v>
      </c>
      <c r="N974" s="9" t="inlineStr">
        <is>
          <t>Amazon link not found</t>
        </is>
      </c>
      <c r="O974" s="62">
        <f>IF(N974="Selling pet toys + Artificial grass/Pet toilets (TARGET)",15,IF(N974="Selling artificial grass/pet toilets (TARGET)",10,IF(N974="Selling pet toys",7,IF(N974="There's an Amazon link, but no target sales.",3,0))))</f>
        <v/>
      </c>
      <c r="P974" s="67">
        <f>H974+J974+L974+M974+O974</f>
        <v/>
      </c>
      <c r="Q974" s="69">
        <f>IF(OR(H974=0,P974&lt;30),"Tier D (Đóng băng)",IF(P974&gt;=85,"Tier S (Kim Cương: 85-100đ)",IF(P974&gt;=70,"Tier A (Vàng: 70-84đ)",IF(P974&gt;=61,"Tier B+ / Cấp A (Hot Lead: 61-69đ)",IF(P974&gt;=50,"Tier B (Bạc: 50-60đ)","Tier C (Đồng: 30-49đ)")))))</f>
        <v/>
      </c>
      <c r="R974" s="9" t="inlineStr">
        <is>
          <t>Khay vệ sinh trong nhà (Indoor Dog Potty) + Đồ chơi thú cưng lẻ</t>
        </is>
      </c>
      <c r="S974" s="9" t="inlineStr">
        <is>
          <t>Cấp C Chi phí thấp: Nhắn tin trực tiếp qua Fanpage Facebook/Instagram + Nuôi dưỡng nội dung</t>
        </is>
      </c>
    </row>
    <row r="975">
      <c r="A975" s="53" t="n">
        <v>2546</v>
      </c>
      <c r="B975" s="12" t="inlineStr">
        <is>
          <t>PetShop.lv</t>
        </is>
      </c>
      <c r="C975" s="54" t="inlineStr">
        <is>
          <t>https://www.facebook.com/www.petshop.lv</t>
        </is>
      </c>
      <c r="D975" s="6" t="inlineStr">
        <is>
          <t>Cần quét Bio Fanpage</t>
        </is>
      </c>
      <c r="E975" s="53" t="inlineStr">
        <is>
          <t>10/10/2026 20:00:56</t>
        </is>
      </c>
      <c r="F975" s="53" t="inlineStr">
        <is>
          <t>2 ngày trước</t>
        </is>
      </c>
      <c r="G975" s="55" t="n">
        <v>2</v>
      </c>
      <c r="H975" s="56" t="n">
        <v>28</v>
      </c>
      <c r="I975" s="6" t="inlineStr">
        <is>
          <t>Pet Owner / Cộng đồng nuôi cún (10đ)</t>
        </is>
      </c>
      <c r="J975" s="56" t="n">
        <v>10</v>
      </c>
      <c r="K975" s="6" t="inlineStr">
        <is>
          <t>Chưa rõ giống (Cần quét Bio)</t>
        </is>
      </c>
      <c r="L975" s="56" t="n">
        <v>0</v>
      </c>
      <c r="M975" s="56" t="n">
        <v>5</v>
      </c>
      <c r="N975" s="6" t="inlineStr">
        <is>
          <t>Amazon link not found</t>
        </is>
      </c>
      <c r="O975" s="56">
        <f>IF(N975="Selling pet toys + Artificial grass/Pet toilets (TARGET)",15,IF(N975="Selling artificial grass/pet toilets (TARGET)",10,IF(N975="Selling pet toys",7,IF(N975="There's an Amazon link, but no target sales.",3,0))))</f>
        <v/>
      </c>
      <c r="P975" s="65">
        <f>H975+J975+L975+M975+O975</f>
        <v/>
      </c>
      <c r="Q975" s="69">
        <f>IF(OR(H975=0,P975&lt;30),"Tier D (Đóng băng)",IF(P975&gt;=85,"Tier S (Kim Cương: 85-100đ)",IF(P975&gt;=70,"Tier A (Vàng: 70-84đ)",IF(P975&gt;=61,"Tier B+ / Cấp A (Hot Lead: 61-69đ)",IF(P975&gt;=50,"Tier B (Bạc: 50-60đ)","Tier C (Đồng: 30-49đ)")))))</f>
        <v/>
      </c>
      <c r="R975" s="6" t="inlineStr">
        <is>
          <t>Khay vệ sinh chung cư (Indoor Potty) + Thảm cỏ ban công (Grass Patch) + Đồ chơi</t>
        </is>
      </c>
      <c r="S975" s="6" t="inlineStr">
        <is>
          <t>Cấp C Chi phí thấp: Nhắn tin trực tiếp qua Fanpage Facebook/Instagram + Nuôi dưỡng nội dung</t>
        </is>
      </c>
    </row>
    <row r="976">
      <c r="A976" s="59" t="n">
        <v>567</v>
      </c>
      <c r="B976" s="15" t="inlineStr">
        <is>
          <t>AZPET SHOP</t>
        </is>
      </c>
      <c r="C976" s="60" t="inlineStr">
        <is>
          <t>https://www.facebook.com/azpet.com.vn</t>
        </is>
      </c>
      <c r="D976" s="9" t="inlineStr">
        <is>
          <t>Cần quét Bio Fanpage</t>
        </is>
      </c>
      <c r="E976" s="59" t="inlineStr">
        <is>
          <t>10/10/2026 17:48:43</t>
        </is>
      </c>
      <c r="F976" s="59" t="inlineStr">
        <is>
          <t>2 ngày trước</t>
        </is>
      </c>
      <c r="G976" s="61" t="n">
        <v>2</v>
      </c>
      <c r="H976" s="62" t="n">
        <v>28</v>
      </c>
      <c r="I976" s="9" t="inlineStr">
        <is>
          <t>Pet Owner / Cộng đồng nuôi cún (10đ)</t>
        </is>
      </c>
      <c r="J976" s="62" t="n">
        <v>10</v>
      </c>
      <c r="K976" s="9" t="inlineStr">
        <is>
          <t>Chưa rõ giống (Cần quét Bio)</t>
        </is>
      </c>
      <c r="L976" s="62" t="n">
        <v>0</v>
      </c>
      <c r="M976" s="62" t="n">
        <v>5</v>
      </c>
      <c r="N976" s="9" t="inlineStr">
        <is>
          <t>Amazon link not found</t>
        </is>
      </c>
      <c r="O976" s="62">
        <f>IF(N976="Selling pet toys + Artificial grass/Pet toilets (TARGET)",15,IF(N976="Selling artificial grass/pet toilets (TARGET)",10,IF(N976="Selling pet toys",7,IF(N976="There's an Amazon link, but no target sales.",3,0))))</f>
        <v/>
      </c>
      <c r="P976" s="67">
        <f>H976+J976+L976+M976+O976</f>
        <v/>
      </c>
      <c r="Q976" s="69">
        <f>IF(OR(H976=0,P976&lt;30),"Tier D (Đóng băng)",IF(P976&gt;=85,"Tier S (Kim Cương: 85-100đ)",IF(P976&gt;=70,"Tier A (Vàng: 70-84đ)",IF(P976&gt;=61,"Tier B+ / Cấp A (Hot Lead: 61-69đ)",IF(P976&gt;=50,"Tier B (Bạc: 50-60đ)","Tier C (Đồng: 30-49đ)")))))</f>
        <v/>
      </c>
      <c r="R976" s="9" t="inlineStr">
        <is>
          <t>Khay vệ sinh chung cư (Indoor Potty) + Thảm cỏ ban công (Grass Patch) + Đồ chơi</t>
        </is>
      </c>
      <c r="S976" s="9" t="inlineStr">
        <is>
          <t>Cấp C Chi phí thấp: Nhắn tin trực tiếp qua Fanpage Facebook/Instagram + Nuôi dưỡng nội dung</t>
        </is>
      </c>
    </row>
    <row r="977">
      <c r="A977" s="53" t="n">
        <v>1612</v>
      </c>
      <c r="B977" s="12" t="inlineStr">
        <is>
          <t>Harbour City Dog Gear</t>
        </is>
      </c>
      <c r="C977" s="54" t="inlineStr">
        <is>
          <t>https://www.facebook.com/harbourcitydoggear</t>
        </is>
      </c>
      <c r="D977" s="6" t="inlineStr">
        <is>
          <t>Cần quét Bio Fanpage</t>
        </is>
      </c>
      <c r="E977" s="53" t="inlineStr">
        <is>
          <t>10/10/2026 08:09:51</t>
        </is>
      </c>
      <c r="F977" s="53" t="inlineStr">
        <is>
          <t>2 ngày trước</t>
        </is>
      </c>
      <c r="G977" s="55" t="n">
        <v>2</v>
      </c>
      <c r="H977" s="56" t="n">
        <v>28</v>
      </c>
      <c r="I977" s="6" t="inlineStr">
        <is>
          <t>Pet Owner / Cộng đồng nuôi cún (10đ)</t>
        </is>
      </c>
      <c r="J977" s="56" t="n">
        <v>10</v>
      </c>
      <c r="K977" s="6" t="inlineStr">
        <is>
          <t>Chưa rõ giống (Cần quét Bio)</t>
        </is>
      </c>
      <c r="L977" s="56" t="n">
        <v>0</v>
      </c>
      <c r="M977" s="56" t="n">
        <v>5</v>
      </c>
      <c r="N977" s="6" t="inlineStr">
        <is>
          <t>Amazon link not found</t>
        </is>
      </c>
      <c r="O977" s="56">
        <f>IF(N977="Selling pet toys + Artificial grass/Pet toilets (TARGET)",15,IF(N977="Selling artificial grass/pet toilets (TARGET)",10,IF(N977="Selling pet toys",7,IF(N977="There's an Amazon link, but no target sales.",3,0))))</f>
        <v/>
      </c>
      <c r="P977" s="65">
        <f>H977+J977+L977+M977+O977</f>
        <v/>
      </c>
      <c r="Q977" s="69">
        <f>IF(OR(H977=0,P977&lt;30),"Tier D (Đóng băng)",IF(P977&gt;=85,"Tier S (Kim Cương: 85-100đ)",IF(P977&gt;=70,"Tier A (Vàng: 70-84đ)",IF(P977&gt;=61,"Tier B+ / Cấp A (Hot Lead: 61-69đ)",IF(P977&gt;=50,"Tier B (Bạc: 50-60đ)","Tier C (Đồng: 30-49đ)")))))</f>
        <v/>
      </c>
      <c r="R977" s="6" t="inlineStr">
        <is>
          <t>Khay vệ sinh chung cư (Indoor Potty) + Thảm cỏ ban công (Grass Patch) + Đồ chơi</t>
        </is>
      </c>
      <c r="S977" s="6" t="inlineStr">
        <is>
          <t>Cấp C Chi phí thấp: Nhắn tin trực tiếp qua Fanpage Facebook/Instagram + Nuôi dưỡng nội dung</t>
        </is>
      </c>
    </row>
    <row r="978">
      <c r="A978" s="59" t="n">
        <v>23</v>
      </c>
      <c r="B978" s="15" t="inlineStr">
        <is>
          <t>Good Dog</t>
        </is>
      </c>
      <c r="C978" s="60" t="inlineStr">
        <is>
          <t>https://www.facebook.com/officialgooddog</t>
        </is>
      </c>
      <c r="D978" s="9" t="inlineStr">
        <is>
          <t>Cần quét Bio Fanpage</t>
        </is>
      </c>
      <c r="E978" s="59" t="inlineStr">
        <is>
          <t>10/10/2026 06:30:04</t>
        </is>
      </c>
      <c r="F978" s="59" t="inlineStr">
        <is>
          <t>2 ngày trước</t>
        </is>
      </c>
      <c r="G978" s="61" t="n">
        <v>2</v>
      </c>
      <c r="H978" s="62" t="n">
        <v>28</v>
      </c>
      <c r="I978" s="9" t="inlineStr">
        <is>
          <t>Pet Owner / Cộng đồng nuôi cún (10đ)</t>
        </is>
      </c>
      <c r="J978" s="62" t="n">
        <v>10</v>
      </c>
      <c r="K978" s="9" t="inlineStr">
        <is>
          <t>Chưa rõ giống (Cần quét Bio)</t>
        </is>
      </c>
      <c r="L978" s="62" t="n">
        <v>0</v>
      </c>
      <c r="M978" s="62" t="n">
        <v>5</v>
      </c>
      <c r="N978" s="9" t="inlineStr">
        <is>
          <t>Amazon link not found</t>
        </is>
      </c>
      <c r="O978" s="62">
        <f>IF(N978="Selling pet toys + Artificial grass/Pet toilets (TARGET)",15,IF(N978="Selling artificial grass/pet toilets (TARGET)",10,IF(N978="Selling pet toys",7,IF(N978="There's an Amazon link, but no target sales.",3,0))))</f>
        <v/>
      </c>
      <c r="P978" s="67">
        <f>H978+J978+L978+M978+O978</f>
        <v/>
      </c>
      <c r="Q978" s="69">
        <f>IF(OR(H978=0,P978&lt;30),"Tier D (Đóng băng)",IF(P978&gt;=85,"Tier S (Kim Cương: 85-100đ)",IF(P978&gt;=70,"Tier A (Vàng: 70-84đ)",IF(P978&gt;=61,"Tier B+ / Cấp A (Hot Lead: 61-69đ)",IF(P978&gt;=50,"Tier B (Bạc: 50-60đ)","Tier C (Đồng: 30-49đ)")))))</f>
        <v/>
      </c>
      <c r="R978" s="9" t="inlineStr">
        <is>
          <t>Khay vệ sinh chung cư (Indoor Potty) + Thảm cỏ ban công (Grass Patch) + Đồ chơi</t>
        </is>
      </c>
      <c r="S978" s="9" t="inlineStr">
        <is>
          <t>Cấp C Chi phí thấp: Nhắn tin trực tiếp qua Fanpage Facebook/Instagram + Nuôi dưỡng nội dung</t>
        </is>
      </c>
    </row>
    <row r="979">
      <c r="A979" s="53" t="n">
        <v>143</v>
      </c>
      <c r="B979" s="12" t="inlineStr">
        <is>
          <t>Dazy Dog</t>
        </is>
      </c>
      <c r="C979" s="54" t="inlineStr">
        <is>
          <t>https://www.facebook.com/dazydogofficial</t>
        </is>
      </c>
      <c r="D979" s="6" t="inlineStr">
        <is>
          <t>Cần quét Bio Fanpage</t>
        </is>
      </c>
      <c r="E979" s="53" t="inlineStr">
        <is>
          <t>10/10/2026 04:53:41</t>
        </is>
      </c>
      <c r="F979" s="53" t="inlineStr">
        <is>
          <t>2 ngày trước</t>
        </is>
      </c>
      <c r="G979" s="55" t="n">
        <v>2</v>
      </c>
      <c r="H979" s="56" t="n">
        <v>28</v>
      </c>
      <c r="I979" s="6" t="inlineStr">
        <is>
          <t>Pet Owner / Cộng đồng nuôi cún (10đ)</t>
        </is>
      </c>
      <c r="J979" s="56" t="n">
        <v>10</v>
      </c>
      <c r="K979" s="6" t="inlineStr">
        <is>
          <t>Chưa rõ giống (Cần quét Bio)</t>
        </is>
      </c>
      <c r="L979" s="56" t="n">
        <v>0</v>
      </c>
      <c r="M979" s="56" t="n">
        <v>5</v>
      </c>
      <c r="N979" s="6" t="inlineStr">
        <is>
          <t>Amazon link not found</t>
        </is>
      </c>
      <c r="O979" s="56">
        <f>IF(N979="Selling pet toys + Artificial grass/Pet toilets (TARGET)",15,IF(N979="Selling artificial grass/pet toilets (TARGET)",10,IF(N979="Selling pet toys",7,IF(N979="There's an Amazon link, but no target sales.",3,0))))</f>
        <v/>
      </c>
      <c r="P979" s="65">
        <f>H979+J979+L979+M979+O979</f>
        <v/>
      </c>
      <c r="Q979" s="69">
        <f>IF(OR(H979=0,P979&lt;30),"Tier D (Đóng băng)",IF(P979&gt;=85,"Tier S (Kim Cương: 85-100đ)",IF(P979&gt;=70,"Tier A (Vàng: 70-84đ)",IF(P979&gt;=61,"Tier B+ / Cấp A (Hot Lead: 61-69đ)",IF(P979&gt;=50,"Tier B (Bạc: 50-60đ)","Tier C (Đồng: 30-49đ)")))))</f>
        <v/>
      </c>
      <c r="R979" s="6" t="inlineStr">
        <is>
          <t>Khay vệ sinh chung cư (Indoor Potty) + Thảm cỏ ban công (Grass Patch) + Đồ chơi</t>
        </is>
      </c>
      <c r="S979" s="6" t="inlineStr">
        <is>
          <t>Cấp C Chi phí thấp: Nhắn tin trực tiếp qua Fanpage Facebook/Instagram + Nuôi dưỡng nội dung</t>
        </is>
      </c>
    </row>
    <row r="980">
      <c r="A980" s="59" t="n">
        <v>2505</v>
      </c>
      <c r="B980" s="15" t="inlineStr">
        <is>
          <t>Petfinder.com</t>
        </is>
      </c>
      <c r="C980" s="60" t="inlineStr">
        <is>
          <t>https://www.facebook.com/Petfinder</t>
        </is>
      </c>
      <c r="D980" s="9" t="inlineStr">
        <is>
          <t>https://petfinder.com</t>
        </is>
      </c>
      <c r="E980" s="59" t="inlineStr">
        <is>
          <t>10/10/2026 04:30:01</t>
        </is>
      </c>
      <c r="F980" s="59" t="inlineStr">
        <is>
          <t>3 ngày trước</t>
        </is>
      </c>
      <c r="G980" s="61" t="n">
        <v>3</v>
      </c>
      <c r="H980" s="62" t="n">
        <v>28</v>
      </c>
      <c r="I980" s="9" t="inlineStr">
        <is>
          <t>Pet Owner / Cộng đồng nuôi cún (10đ)</t>
        </is>
      </c>
      <c r="J980" s="62" t="n">
        <v>10</v>
      </c>
      <c r="K980" s="9" t="inlineStr">
        <is>
          <t>Chưa rõ giống (Cần quét Bio)</t>
        </is>
      </c>
      <c r="L980" s="62" t="n">
        <v>0</v>
      </c>
      <c r="M980" s="62" t="n">
        <v>5</v>
      </c>
      <c r="N980" s="9" t="inlineStr">
        <is>
          <t>Amazon link not found</t>
        </is>
      </c>
      <c r="O980" s="62">
        <f>IF(N980="Selling pet toys + Artificial grass/Pet toilets (TARGET)",15,IF(N980="Selling artificial grass/pet toilets (TARGET)",10,IF(N980="Selling pet toys",7,IF(N980="There's an Amazon link, but no target sales.",3,0))))</f>
        <v/>
      </c>
      <c r="P980" s="67">
        <f>H980+J980+L980+M980+O980</f>
        <v/>
      </c>
      <c r="Q980" s="69">
        <f>IF(OR(H980=0,P980&lt;30),"Tier D (Đóng băng)",IF(P980&gt;=85,"Tier S (Kim Cương: 85-100đ)",IF(P980&gt;=70,"Tier A (Vàng: 70-84đ)",IF(P980&gt;=61,"Tier B+ / Cấp A (Hot Lead: 61-69đ)",IF(P980&gt;=50,"Tier B (Bạc: 50-60đ)","Tier C (Đồng: 30-49đ)")))))</f>
        <v/>
      </c>
      <c r="R980" s="9" t="inlineStr">
        <is>
          <t>Khay vệ sinh chung cư (Indoor Potty) + Thảm cỏ ban công (Grass Patch) + Đồ chơi</t>
        </is>
      </c>
      <c r="S980" s="9" t="inlineStr">
        <is>
          <t>Cấp C Chi phí thấp: Nhắn tin trực tiếp qua Fanpage Facebook/Instagram + Nuôi dưỡng nội dung</t>
        </is>
      </c>
    </row>
    <row r="981">
      <c r="A981" s="53" t="n">
        <v>3030</v>
      </c>
      <c r="B981" s="12" t="inlineStr">
        <is>
          <t>Suwannee Dog Supply</t>
        </is>
      </c>
      <c r="C981" s="54" t="inlineStr">
        <is>
          <t>https://www.facebook.com/profile.php?id=61563074888181</t>
        </is>
      </c>
      <c r="D981" s="6" t="inlineStr">
        <is>
          <t>Cần quét Bio Fanpage</t>
        </is>
      </c>
      <c r="E981" s="53" t="inlineStr">
        <is>
          <t>10/10/2026 00:30:39</t>
        </is>
      </c>
      <c r="F981" s="53" t="inlineStr">
        <is>
          <t>3 ngày trước</t>
        </is>
      </c>
      <c r="G981" s="55" t="n">
        <v>3</v>
      </c>
      <c r="H981" s="56" t="n">
        <v>28</v>
      </c>
      <c r="I981" s="6" t="inlineStr">
        <is>
          <t>Pet Owner / Cộng đồng nuôi cún (10đ)</t>
        </is>
      </c>
      <c r="J981" s="56" t="n">
        <v>10</v>
      </c>
      <c r="K981" s="6" t="inlineStr">
        <is>
          <t>Chưa rõ giống (Cần quét Bio)</t>
        </is>
      </c>
      <c r="L981" s="56" t="n">
        <v>0</v>
      </c>
      <c r="M981" s="56" t="n">
        <v>5</v>
      </c>
      <c r="N981" s="6" t="inlineStr">
        <is>
          <t>Amazon link not found</t>
        </is>
      </c>
      <c r="O981" s="56">
        <f>IF(N981="Selling pet toys + Artificial grass/Pet toilets (TARGET)",15,IF(N981="Selling artificial grass/pet toilets (TARGET)",10,IF(N981="Selling pet toys",7,IF(N981="There's an Amazon link, but no target sales.",3,0))))</f>
        <v/>
      </c>
      <c r="P981" s="65">
        <f>H981+J981+L981+M981+O981</f>
        <v/>
      </c>
      <c r="Q981" s="69">
        <f>IF(OR(H981=0,P981&lt;30),"Tier D (Đóng băng)",IF(P981&gt;=85,"Tier S (Kim Cương: 85-100đ)",IF(P981&gt;=70,"Tier A (Vàng: 70-84đ)",IF(P981&gt;=61,"Tier B+ / Cấp A (Hot Lead: 61-69đ)",IF(P981&gt;=50,"Tier B (Bạc: 50-60đ)","Tier C (Đồng: 30-49đ)")))))</f>
        <v/>
      </c>
      <c r="R981" s="6" t="inlineStr">
        <is>
          <t>Khay vệ sinh chung cư (Indoor Potty) + Thảm cỏ ban công (Grass Patch) + Đồ chơi</t>
        </is>
      </c>
      <c r="S981" s="6" t="inlineStr">
        <is>
          <t>Cấp C Chi phí thấp: Nhắn tin trực tiếp qua Fanpage Facebook/Instagram + Nuôi dưỡng nội dung</t>
        </is>
      </c>
    </row>
    <row r="982">
      <c r="A982" s="59" t="n">
        <v>2656</v>
      </c>
      <c r="B982" s="15" t="inlineStr">
        <is>
          <t>Punsook by Shoppet shop</t>
        </is>
      </c>
      <c r="C982" s="60" t="inlineStr">
        <is>
          <t>https://www.facebook.com/punsookpetshop</t>
        </is>
      </c>
      <c r="D982" s="9" t="inlineStr">
        <is>
          <t>Cần quét Bio Fanpage</t>
        </is>
      </c>
      <c r="E982" s="59" t="inlineStr">
        <is>
          <t>09/10/2026 18:04:16</t>
        </is>
      </c>
      <c r="F982" s="59" t="inlineStr">
        <is>
          <t>3 ngày trước</t>
        </is>
      </c>
      <c r="G982" s="61" t="n">
        <v>3</v>
      </c>
      <c r="H982" s="62" t="n">
        <v>28</v>
      </c>
      <c r="I982" s="9" t="inlineStr">
        <is>
          <t>Pet Owner / Cộng đồng nuôi cún (10đ)</t>
        </is>
      </c>
      <c r="J982" s="62" t="n">
        <v>10</v>
      </c>
      <c r="K982" s="9" t="inlineStr">
        <is>
          <t>Chưa rõ giống (Cần quét Bio)</t>
        </is>
      </c>
      <c r="L982" s="62" t="n">
        <v>0</v>
      </c>
      <c r="M982" s="62" t="n">
        <v>5</v>
      </c>
      <c r="N982" s="9" t="inlineStr">
        <is>
          <t>Amazon link not found</t>
        </is>
      </c>
      <c r="O982" s="62">
        <f>IF(N982="Selling pet toys + Artificial grass/Pet toilets (TARGET)",15,IF(N982="Selling artificial grass/pet toilets (TARGET)",10,IF(N982="Selling pet toys",7,IF(N982="There's an Amazon link, but no target sales.",3,0))))</f>
        <v/>
      </c>
      <c r="P982" s="67">
        <f>H982+J982+L982+M982+O982</f>
        <v/>
      </c>
      <c r="Q982" s="69">
        <f>IF(OR(H982=0,P982&lt;30),"Tier D (Đóng băng)",IF(P982&gt;=85,"Tier S (Kim Cương: 85-100đ)",IF(P982&gt;=70,"Tier A (Vàng: 70-84đ)",IF(P982&gt;=61,"Tier B+ / Cấp A (Hot Lead: 61-69đ)",IF(P982&gt;=50,"Tier B (Bạc: 50-60đ)","Tier C (Đồng: 30-49đ)")))))</f>
        <v/>
      </c>
      <c r="R982" s="9" t="inlineStr">
        <is>
          <t>Khay vệ sinh chung cư (Indoor Potty) + Thảm cỏ ban công (Grass Patch) + Đồ chơi</t>
        </is>
      </c>
      <c r="S982" s="9" t="inlineStr">
        <is>
          <t>Cấp C Chi phí thấp: Nhắn tin trực tiếp qua Fanpage Facebook/Instagram + Nuôi dưỡng nội dung</t>
        </is>
      </c>
    </row>
    <row r="983">
      <c r="A983" s="53" t="n">
        <v>2698</v>
      </c>
      <c r="B983" s="12" t="inlineStr">
        <is>
          <t>Raw Dog Supplies</t>
        </is>
      </c>
      <c r="C983" s="54" t="inlineStr">
        <is>
          <t>https://www.facebook.com/RawDogSupplies</t>
        </is>
      </c>
      <c r="D983" s="6" t="inlineStr">
        <is>
          <t>Cần quét Bio Fanpage</t>
        </is>
      </c>
      <c r="E983" s="53" t="inlineStr">
        <is>
          <t>09/10/2026 18:03:41</t>
        </is>
      </c>
      <c r="F983" s="53" t="inlineStr">
        <is>
          <t>3 ngày trước</t>
        </is>
      </c>
      <c r="G983" s="55" t="n">
        <v>3</v>
      </c>
      <c r="H983" s="56" t="n">
        <v>28</v>
      </c>
      <c r="I983" s="6" t="inlineStr">
        <is>
          <t>Pet Owner / Cộng đồng nuôi cún (10đ)</t>
        </is>
      </c>
      <c r="J983" s="56" t="n">
        <v>10</v>
      </c>
      <c r="K983" s="6" t="inlineStr">
        <is>
          <t>Chưa rõ giống (Cần quét Bio)</t>
        </is>
      </c>
      <c r="L983" s="56" t="n">
        <v>0</v>
      </c>
      <c r="M983" s="56" t="n">
        <v>5</v>
      </c>
      <c r="N983" s="6" t="inlineStr">
        <is>
          <t>Amazon link not found</t>
        </is>
      </c>
      <c r="O983" s="56">
        <f>IF(N983="Selling pet toys + Artificial grass/Pet toilets (TARGET)",15,IF(N983="Selling artificial grass/pet toilets (TARGET)",10,IF(N983="Selling pet toys",7,IF(N983="There's an Amazon link, but no target sales.",3,0))))</f>
        <v/>
      </c>
      <c r="P983" s="65">
        <f>H983+J983+L983+M983+O983</f>
        <v/>
      </c>
      <c r="Q983" s="69">
        <f>IF(OR(H983=0,P983&lt;30),"Tier D (Đóng băng)",IF(P983&gt;=85,"Tier S (Kim Cương: 85-100đ)",IF(P983&gt;=70,"Tier A (Vàng: 70-84đ)",IF(P983&gt;=61,"Tier B+ / Cấp A (Hot Lead: 61-69đ)",IF(P983&gt;=50,"Tier B (Bạc: 50-60đ)","Tier C (Đồng: 30-49đ)")))))</f>
        <v/>
      </c>
      <c r="R983" s="6" t="inlineStr">
        <is>
          <t>Khay vệ sinh chung cư (Indoor Potty) + Thảm cỏ ban công (Grass Patch) + Đồ chơi</t>
        </is>
      </c>
      <c r="S983" s="6" t="inlineStr">
        <is>
          <t>Cấp C Chi phí thấp: Nhắn tin trực tiếp qua Fanpage Facebook/Instagram + Nuôi dưỡng nội dung</t>
        </is>
      </c>
    </row>
    <row r="984">
      <c r="A984" s="59" t="n">
        <v>118</v>
      </c>
      <c r="B984" s="15" t="inlineStr">
        <is>
          <t>Blue-9 Pet Products</t>
        </is>
      </c>
      <c r="C984" s="60" t="inlineStr">
        <is>
          <t>https://www.facebook.com/Blue9PetProducts</t>
        </is>
      </c>
      <c r="D984" s="9" t="inlineStr">
        <is>
          <t>Cần quét Bio Fanpage</t>
        </is>
      </c>
      <c r="E984" s="59" t="inlineStr">
        <is>
          <t>09/10/2026 03:09:29</t>
        </is>
      </c>
      <c r="F984" s="59" t="inlineStr">
        <is>
          <t>3 ngày trước</t>
        </is>
      </c>
      <c r="G984" s="61" t="n">
        <v>3</v>
      </c>
      <c r="H984" s="62" t="n">
        <v>28</v>
      </c>
      <c r="I984" s="9" t="inlineStr">
        <is>
          <t>Pet Owner / Cộng đồng nuôi cún (10đ)</t>
        </is>
      </c>
      <c r="J984" s="62" t="n">
        <v>10</v>
      </c>
      <c r="K984" s="9" t="inlineStr">
        <is>
          <t>Chưa rõ giống (Cần quét Bio)</t>
        </is>
      </c>
      <c r="L984" s="62" t="n">
        <v>0</v>
      </c>
      <c r="M984" s="62" t="n">
        <v>5</v>
      </c>
      <c r="N984" s="9" t="inlineStr">
        <is>
          <t>Amazon link not found</t>
        </is>
      </c>
      <c r="O984" s="62">
        <f>IF(N984="Selling pet toys + Artificial grass/Pet toilets (TARGET)",15,IF(N984="Selling artificial grass/pet toilets (TARGET)",10,IF(N984="Selling pet toys",7,IF(N984="There's an Amazon link, but no target sales.",3,0))))</f>
        <v/>
      </c>
      <c r="P984" s="67">
        <f>H984+J984+L984+M984+O984</f>
        <v/>
      </c>
      <c r="Q984" s="69">
        <f>IF(OR(H984=0,P984&lt;30),"Tier D (Đóng băng)",IF(P984&gt;=85,"Tier S (Kim Cương: 85-100đ)",IF(P984&gt;=70,"Tier A (Vàng: 70-84đ)",IF(P984&gt;=61,"Tier B+ / Cấp A (Hot Lead: 61-69đ)",IF(P984&gt;=50,"Tier B (Bạc: 50-60đ)","Tier C (Đồng: 30-49đ)")))))</f>
        <v/>
      </c>
      <c r="R984" s="9" t="inlineStr">
        <is>
          <t>Khay vệ sinh chung cư (Indoor Potty) + Thảm cỏ ban công (Grass Patch) + Đồ chơi</t>
        </is>
      </c>
      <c r="S984" s="9" t="inlineStr">
        <is>
          <t>Cấp C Chi phí thấp: Nhắn tin trực tiếp qua Fanpage Facebook/Instagram + Nuôi dưỡng nội dung</t>
        </is>
      </c>
    </row>
    <row r="985">
      <c r="A985" s="53" t="n">
        <v>653</v>
      </c>
      <c r="B985" s="12" t="inlineStr">
        <is>
          <t>Bernsego kennel</t>
        </is>
      </c>
      <c r="C985" s="54" t="inlineStr">
        <is>
          <t>https://www.facebook.com/profile.php?id=100057065005714</t>
        </is>
      </c>
      <c r="D985" s="6" t="inlineStr">
        <is>
          <t>Cần quét Bio Fanpage</t>
        </is>
      </c>
      <c r="E985" s="53" t="inlineStr">
        <is>
          <t>21/09/2026 18:32:09</t>
        </is>
      </c>
      <c r="F985" s="53" t="inlineStr">
        <is>
          <t>3 tuần trước</t>
        </is>
      </c>
      <c r="G985" s="55" t="n">
        <v>21</v>
      </c>
      <c r="H985" s="56" t="n">
        <v>8</v>
      </c>
      <c r="I985" s="6" t="inlineStr">
        <is>
          <t>Dog Breeder / Trại chó chuyên nghiệp (28-30đ)</t>
        </is>
      </c>
      <c r="J985" s="56" t="n">
        <v>30</v>
      </c>
      <c r="K985" s="6" t="inlineStr">
        <is>
          <t>Chưa rõ giống (Cần quét Bio)</t>
        </is>
      </c>
      <c r="L985" s="56" t="n">
        <v>0</v>
      </c>
      <c r="M985" s="56" t="n">
        <v>5</v>
      </c>
      <c r="N985" s="6" t="inlineStr">
        <is>
          <t>Amazon link not found</t>
        </is>
      </c>
      <c r="O985" s="56">
        <f>IF(N985="Selling pet toys + Artificial grass/Pet toilets (TARGET)",15,IF(N985="Selling artificial grass/pet toilets (TARGET)",10,IF(N985="Selling pet toys",7,IF(N985="There's an Amazon link, but no target sales.",3,0))))</f>
        <v/>
      </c>
      <c r="P985" s="65">
        <f>H985+J985+L985+M985+O985</f>
        <v/>
      </c>
      <c r="Q985" s="69">
        <f>IF(OR(H985=0,P985&lt;30),"Tier D (Đóng băng)",IF(P985&gt;=85,"Tier S (Kim Cương: 85-100đ)",IF(P985&gt;=70,"Tier A (Vàng: 70-84đ)",IF(P985&gt;=61,"Tier B+ / Cấp A (Hot Lead: 61-69đ)",IF(P985&gt;=50,"Tier B (Bạc: 50-60đ)","Tier C (Đồng: 30-49đ)")))))</f>
        <v/>
      </c>
      <c r="R985" s="6" t="inlineStr">
        <is>
          <t>Trọn gói Take-Home Starter Kit V2/V3 (Cỏ nhân tạo + Khay Potty + Đồ chơi Teething/Snuggle)</t>
        </is>
      </c>
      <c r="S985" s="6" t="inlineStr">
        <is>
          <t>Cấp C Chi phí thấp: Nhắn tin trực tiếp qua Fanpage Facebook/Instagram + Nuôi dưỡng nội dung</t>
        </is>
      </c>
    </row>
    <row r="986">
      <c r="A986" s="59" t="n">
        <v>1696</v>
      </c>
      <c r="B986" s="15" t="inlineStr">
        <is>
          <t>Hug Me Strongly Kennel</t>
        </is>
      </c>
      <c r="C986" s="60" t="inlineStr">
        <is>
          <t>https://www.facebook.com/hugmestrongly</t>
        </is>
      </c>
      <c r="D986" s="9" t="inlineStr">
        <is>
          <t>Cần quét Bio Fanpage</t>
        </is>
      </c>
      <c r="E986" s="59" t="inlineStr">
        <is>
          <t>21/09/2026 13:26:50</t>
        </is>
      </c>
      <c r="F986" s="59" t="inlineStr">
        <is>
          <t>3 tuần trước</t>
        </is>
      </c>
      <c r="G986" s="61" t="n">
        <v>21</v>
      </c>
      <c r="H986" s="62" t="n">
        <v>8</v>
      </c>
      <c r="I986" s="9" t="inlineStr">
        <is>
          <t>Dog Breeder / Trại chó chuyên nghiệp (28-30đ)</t>
        </is>
      </c>
      <c r="J986" s="62" t="n">
        <v>30</v>
      </c>
      <c r="K986" s="9" t="inlineStr">
        <is>
          <t>Chưa rõ giống (Cần quét Bio)</t>
        </is>
      </c>
      <c r="L986" s="62" t="n">
        <v>0</v>
      </c>
      <c r="M986" s="62" t="n">
        <v>5</v>
      </c>
      <c r="N986" s="9" t="inlineStr">
        <is>
          <t>Amazon link not found</t>
        </is>
      </c>
      <c r="O986" s="62">
        <f>IF(N986="Selling pet toys + Artificial grass/Pet toilets (TARGET)",15,IF(N986="Selling artificial grass/pet toilets (TARGET)",10,IF(N986="Selling pet toys",7,IF(N986="There's an Amazon link, but no target sales.",3,0))))</f>
        <v/>
      </c>
      <c r="P986" s="67">
        <f>H986+J986+L986+M986+O986</f>
        <v/>
      </c>
      <c r="Q986" s="69">
        <f>IF(OR(H986=0,P986&lt;30),"Tier D (Đóng băng)",IF(P986&gt;=85,"Tier S (Kim Cương: 85-100đ)",IF(P986&gt;=70,"Tier A (Vàng: 70-84đ)",IF(P986&gt;=61,"Tier B+ / Cấp A (Hot Lead: 61-69đ)",IF(P986&gt;=50,"Tier B (Bạc: 50-60đ)","Tier C (Đồng: 30-49đ)")))))</f>
        <v/>
      </c>
      <c r="R986" s="9" t="inlineStr">
        <is>
          <t>Trọn gói Take-Home Starter Kit V2/V3 (Cỏ nhân tạo + Khay Potty + Đồ chơi Teething/Snuggle)</t>
        </is>
      </c>
      <c r="S986" s="9" t="inlineStr">
        <is>
          <t>Cấp C Chi phí thấp: Nhắn tin trực tiếp qua Fanpage Facebook/Instagram + Nuôi dưỡng nội dung</t>
        </is>
      </c>
    </row>
    <row r="987">
      <c r="A987" s="53" t="n">
        <v>2388</v>
      </c>
      <c r="B987" s="12" t="inlineStr">
        <is>
          <t>P3 Kennel</t>
        </is>
      </c>
      <c r="C987" s="54" t="inlineStr">
        <is>
          <t>https://www.facebook.com/P3KENNEL</t>
        </is>
      </c>
      <c r="D987" s="6" t="inlineStr">
        <is>
          <t>Cần quét Bio Fanpage</t>
        </is>
      </c>
      <c r="E987" s="53" t="inlineStr">
        <is>
          <t>21/09/2026 07:24:41</t>
        </is>
      </c>
      <c r="F987" s="53" t="inlineStr">
        <is>
          <t>3 tuần trước</t>
        </is>
      </c>
      <c r="G987" s="55" t="n">
        <v>21</v>
      </c>
      <c r="H987" s="56" t="n">
        <v>8</v>
      </c>
      <c r="I987" s="6" t="inlineStr">
        <is>
          <t>Dog Breeder / Trại chó chuyên nghiệp (28-30đ)</t>
        </is>
      </c>
      <c r="J987" s="56" t="n">
        <v>30</v>
      </c>
      <c r="K987" s="6" t="inlineStr">
        <is>
          <t>Chưa rõ giống (Cần quét Bio)</t>
        </is>
      </c>
      <c r="L987" s="56" t="n">
        <v>0</v>
      </c>
      <c r="M987" s="56" t="n">
        <v>5</v>
      </c>
      <c r="N987" s="6" t="inlineStr">
        <is>
          <t>Amazon link not found</t>
        </is>
      </c>
      <c r="O987" s="56">
        <f>IF(N987="Selling pet toys + Artificial grass/Pet toilets (TARGET)",15,IF(N987="Selling artificial grass/pet toilets (TARGET)",10,IF(N987="Selling pet toys",7,IF(N987="There's an Amazon link, but no target sales.",3,0))))</f>
        <v/>
      </c>
      <c r="P987" s="65">
        <f>H987+J987+L987+M987+O987</f>
        <v/>
      </c>
      <c r="Q987" s="69">
        <f>IF(OR(H987=0,P987&lt;30),"Tier D (Đóng băng)",IF(P987&gt;=85,"Tier S (Kim Cương: 85-100đ)",IF(P987&gt;=70,"Tier A (Vàng: 70-84đ)",IF(P987&gt;=61,"Tier B+ / Cấp A (Hot Lead: 61-69đ)",IF(P987&gt;=50,"Tier B (Bạc: 50-60đ)","Tier C (Đồng: 30-49đ)")))))</f>
        <v/>
      </c>
      <c r="R987" s="6" t="inlineStr">
        <is>
          <t>Trọn gói Take-Home Starter Kit V2/V3 (Cỏ nhân tạo + Khay Potty + Đồ chơi Teething/Snuggle)</t>
        </is>
      </c>
      <c r="S987" s="6" t="inlineStr">
        <is>
          <t>Cấp C Chi phí thấp: Nhắn tin trực tiếp qua Fanpage Facebook/Instagram + Nuôi dưỡng nội dung</t>
        </is>
      </c>
    </row>
    <row r="988">
      <c r="A988" s="59" t="n">
        <v>330</v>
      </c>
      <c r="B988" s="15" t="inlineStr">
        <is>
          <t>Absolutely Kennels</t>
        </is>
      </c>
      <c r="C988" s="60" t="inlineStr">
        <is>
          <t>https://www.facebook.com/profile.php?id=61585666710452</t>
        </is>
      </c>
      <c r="D988" s="9" t="inlineStr">
        <is>
          <t>Cần quét Bio Fanpage</t>
        </is>
      </c>
      <c r="E988" s="59" t="inlineStr">
        <is>
          <t>20/09/2026 20:01:38</t>
        </is>
      </c>
      <c r="F988" s="59" t="inlineStr">
        <is>
          <t>3 tuần trước</t>
        </is>
      </c>
      <c r="G988" s="61" t="n">
        <v>21</v>
      </c>
      <c r="H988" s="62" t="n">
        <v>8</v>
      </c>
      <c r="I988" s="9" t="inlineStr">
        <is>
          <t>Dog Breeder / Trại chó chuyên nghiệp (28-30đ)</t>
        </is>
      </c>
      <c r="J988" s="62" t="n">
        <v>30</v>
      </c>
      <c r="K988" s="9" t="inlineStr">
        <is>
          <t>Chưa rõ giống (Cần quét Bio)</t>
        </is>
      </c>
      <c r="L988" s="62" t="n">
        <v>0</v>
      </c>
      <c r="M988" s="62" t="n">
        <v>5</v>
      </c>
      <c r="N988" s="9" t="inlineStr">
        <is>
          <t>Amazon link not found</t>
        </is>
      </c>
      <c r="O988" s="62">
        <f>IF(N988="Selling pet toys + Artificial grass/Pet toilets (TARGET)",15,IF(N988="Selling artificial grass/pet toilets (TARGET)",10,IF(N988="Selling pet toys",7,IF(N988="There's an Amazon link, but no target sales.",3,0))))</f>
        <v/>
      </c>
      <c r="P988" s="67">
        <f>H988+J988+L988+M988+O988</f>
        <v/>
      </c>
      <c r="Q988" s="69">
        <f>IF(OR(H988=0,P988&lt;30),"Tier D (Đóng băng)",IF(P988&gt;=85,"Tier S (Kim Cương: 85-100đ)",IF(P988&gt;=70,"Tier A (Vàng: 70-84đ)",IF(P988&gt;=61,"Tier B+ / Cấp A (Hot Lead: 61-69đ)",IF(P988&gt;=50,"Tier B (Bạc: 50-60đ)","Tier C (Đồng: 30-49đ)")))))</f>
        <v/>
      </c>
      <c r="R988" s="9" t="inlineStr">
        <is>
          <t>Trọn gói Take-Home Starter Kit V2/V3 (Cỏ nhân tạo + Khay Potty + Đồ chơi Teething/Snuggle)</t>
        </is>
      </c>
      <c r="S988" s="9" t="inlineStr">
        <is>
          <t>Cấp C Chi phí thấp: Nhắn tin trực tiếp qua Fanpage Facebook/Instagram + Nuôi dưỡng nội dung</t>
        </is>
      </c>
    </row>
    <row r="989">
      <c r="A989" s="53" t="n">
        <v>2844</v>
      </c>
      <c r="B989" s="12" t="inlineStr">
        <is>
          <t>Schone Rasse Kennels</t>
        </is>
      </c>
      <c r="C989" s="54" t="inlineStr">
        <is>
          <t>https://www.facebook.com/profile.php?id=100082986444510</t>
        </is>
      </c>
      <c r="D989" s="6" t="inlineStr">
        <is>
          <t>Cần quét Bio Fanpage</t>
        </is>
      </c>
      <c r="E989" s="53" t="inlineStr">
        <is>
          <t>20/09/2026 09:19:17</t>
        </is>
      </c>
      <c r="F989" s="53" t="inlineStr">
        <is>
          <t>3 tuần trước</t>
        </is>
      </c>
      <c r="G989" s="55" t="n">
        <v>21</v>
      </c>
      <c r="H989" s="56" t="n">
        <v>8</v>
      </c>
      <c r="I989" s="6" t="inlineStr">
        <is>
          <t>Dog Breeder / Trại chó chuyên nghiệp (28-30đ)</t>
        </is>
      </c>
      <c r="J989" s="56" t="n">
        <v>30</v>
      </c>
      <c r="K989" s="6" t="inlineStr">
        <is>
          <t>Chưa rõ giống (Cần quét Bio)</t>
        </is>
      </c>
      <c r="L989" s="56" t="n">
        <v>0</v>
      </c>
      <c r="M989" s="56" t="n">
        <v>5</v>
      </c>
      <c r="N989" s="6" t="inlineStr">
        <is>
          <t>Amazon link not found</t>
        </is>
      </c>
      <c r="O989" s="56">
        <f>IF(N989="Selling pet toys + Artificial grass/Pet toilets (TARGET)",15,IF(N989="Selling artificial grass/pet toilets (TARGET)",10,IF(N989="Selling pet toys",7,IF(N989="There's an Amazon link, but no target sales.",3,0))))</f>
        <v/>
      </c>
      <c r="P989" s="65">
        <f>H989+J989+L989+M989+O989</f>
        <v/>
      </c>
      <c r="Q989" s="69">
        <f>IF(OR(H989=0,P989&lt;30),"Tier D (Đóng băng)",IF(P989&gt;=85,"Tier S (Kim Cương: 85-100đ)",IF(P989&gt;=70,"Tier A (Vàng: 70-84đ)",IF(P989&gt;=61,"Tier B+ / Cấp A (Hot Lead: 61-69đ)",IF(P989&gt;=50,"Tier B (Bạc: 50-60đ)","Tier C (Đồng: 30-49đ)")))))</f>
        <v/>
      </c>
      <c r="R989" s="6" t="inlineStr">
        <is>
          <t>Trọn gói Take-Home Starter Kit V2/V3 (Cỏ nhân tạo + Khay Potty + Đồ chơi Teething/Snuggle)</t>
        </is>
      </c>
      <c r="S989" s="6" t="inlineStr">
        <is>
          <t>Cấp C Chi phí thấp: Nhắn tin trực tiếp qua Fanpage Facebook/Instagram + Nuôi dưỡng nội dung</t>
        </is>
      </c>
    </row>
    <row r="990">
      <c r="A990" s="59" t="n">
        <v>850</v>
      </c>
      <c r="B990" s="15" t="inlineStr">
        <is>
          <t>Carter Brittany Kennels</t>
        </is>
      </c>
      <c r="C990" s="60" t="inlineStr">
        <is>
          <t>https://www.facebook.com/carterbrittanykennels</t>
        </is>
      </c>
      <c r="D990" s="9" t="inlineStr">
        <is>
          <t>Cần quét Bio Fanpage</t>
        </is>
      </c>
      <c r="E990" s="59" t="inlineStr">
        <is>
          <t>20/09/2026 05:05:47</t>
        </is>
      </c>
      <c r="F990" s="59" t="inlineStr">
        <is>
          <t>3 tuần trước</t>
        </is>
      </c>
      <c r="G990" s="61" t="n">
        <v>21</v>
      </c>
      <c r="H990" s="62" t="n">
        <v>8</v>
      </c>
      <c r="I990" s="9" t="inlineStr">
        <is>
          <t>Dog Breeder / Trại chó chuyên nghiệp (28-30đ)</t>
        </is>
      </c>
      <c r="J990" s="62" t="n">
        <v>30</v>
      </c>
      <c r="K990" s="9" t="inlineStr">
        <is>
          <t>Chưa rõ giống (Cần quét Bio)</t>
        </is>
      </c>
      <c r="L990" s="62" t="n">
        <v>0</v>
      </c>
      <c r="M990" s="62" t="n">
        <v>5</v>
      </c>
      <c r="N990" s="9" t="inlineStr">
        <is>
          <t>Amazon link not found</t>
        </is>
      </c>
      <c r="O990" s="62">
        <f>IF(N990="Selling pet toys + Artificial grass/Pet toilets (TARGET)",15,IF(N990="Selling artificial grass/pet toilets (TARGET)",10,IF(N990="Selling pet toys",7,IF(N990="There's an Amazon link, but no target sales.",3,0))))</f>
        <v/>
      </c>
      <c r="P990" s="67">
        <f>H990+J990+L990+M990+O990</f>
        <v/>
      </c>
      <c r="Q990" s="69">
        <f>IF(OR(H990=0,P990&lt;30),"Tier D (Đóng băng)",IF(P990&gt;=85,"Tier S (Kim Cương: 85-100đ)",IF(P990&gt;=70,"Tier A (Vàng: 70-84đ)",IF(P990&gt;=61,"Tier B+ / Cấp A (Hot Lead: 61-69đ)",IF(P990&gt;=50,"Tier B (Bạc: 50-60đ)","Tier C (Đồng: 30-49đ)")))))</f>
        <v/>
      </c>
      <c r="R990" s="9" t="inlineStr">
        <is>
          <t>Trọn gói Take-Home Starter Kit V2/V3 (Cỏ nhân tạo + Khay Potty + Đồ chơi Teething/Snuggle)</t>
        </is>
      </c>
      <c r="S990" s="9" t="inlineStr">
        <is>
          <t>Cấp C Chi phí thấp: Nhắn tin trực tiếp qua Fanpage Facebook/Instagram + Nuôi dưỡng nội dung</t>
        </is>
      </c>
    </row>
    <row r="991">
      <c r="A991" s="53" t="n">
        <v>705</v>
      </c>
      <c r="B991" s="12" t="inlineStr">
        <is>
          <t>Blue Horizon Bordeaux Kennel</t>
        </is>
      </c>
      <c r="C991" s="54" t="inlineStr">
        <is>
          <t>https://www.facebook.com/profile.php?id=100070045295791</t>
        </is>
      </c>
      <c r="D991" s="6" t="inlineStr">
        <is>
          <t>Cần quét Bio Fanpage</t>
        </is>
      </c>
      <c r="E991" s="53" t="inlineStr">
        <is>
          <t>19/09/2026 09:39:38</t>
        </is>
      </c>
      <c r="F991" s="53" t="inlineStr">
        <is>
          <t>3 tuần trước</t>
        </is>
      </c>
      <c r="G991" s="55" t="n">
        <v>21</v>
      </c>
      <c r="H991" s="56" t="n">
        <v>8</v>
      </c>
      <c r="I991" s="6" t="inlineStr">
        <is>
          <t>Dog Breeder / Trại chó chuyên nghiệp (28-30đ)</t>
        </is>
      </c>
      <c r="J991" s="56" t="n">
        <v>30</v>
      </c>
      <c r="K991" s="6" t="inlineStr">
        <is>
          <t>Chưa rõ giống (Cần quét Bio)</t>
        </is>
      </c>
      <c r="L991" s="56" t="n">
        <v>0</v>
      </c>
      <c r="M991" s="56" t="n">
        <v>5</v>
      </c>
      <c r="N991" s="6" t="inlineStr">
        <is>
          <t>Amazon link not found</t>
        </is>
      </c>
      <c r="O991" s="56">
        <f>IF(N991="Selling pet toys + Artificial grass/Pet toilets (TARGET)",15,IF(N991="Selling artificial grass/pet toilets (TARGET)",10,IF(N991="Selling pet toys",7,IF(N991="There's an Amazon link, but no target sales.",3,0))))</f>
        <v/>
      </c>
      <c r="P991" s="65">
        <f>H991+J991+L991+M991+O991</f>
        <v/>
      </c>
      <c r="Q991" s="69">
        <f>IF(OR(H991=0,P991&lt;30),"Tier D (Đóng băng)",IF(P991&gt;=85,"Tier S (Kim Cương: 85-100đ)",IF(P991&gt;=70,"Tier A (Vàng: 70-84đ)",IF(P991&gt;=61,"Tier B+ / Cấp A (Hot Lead: 61-69đ)",IF(P991&gt;=50,"Tier B (Bạc: 50-60đ)","Tier C (Đồng: 30-49đ)")))))</f>
        <v/>
      </c>
      <c r="R991" s="6" t="inlineStr">
        <is>
          <t>Trọn gói Take-Home Starter Kit V2/V3 (Cỏ nhân tạo + Khay Potty + Đồ chơi Teething/Snuggle)</t>
        </is>
      </c>
      <c r="S991" s="6" t="inlineStr">
        <is>
          <t>Cấp C Chi phí thấp: Nhắn tin trực tiếp qua Fanpage Facebook/Instagram + Nuôi dưỡng nội dung</t>
        </is>
      </c>
    </row>
    <row r="992">
      <c r="A992" s="59" t="n">
        <v>251</v>
      </c>
      <c r="B992" s="15" t="inlineStr">
        <is>
          <t>Renault Kennels</t>
        </is>
      </c>
      <c r="C992" s="60" t="inlineStr">
        <is>
          <t>https://www.facebook.com/RenaultKennels</t>
        </is>
      </c>
      <c r="D992" s="9" t="inlineStr">
        <is>
          <t>Cần quét Bio Fanpage</t>
        </is>
      </c>
      <c r="E992" s="59" t="inlineStr">
        <is>
          <t>19/09/2026 00:01:16</t>
        </is>
      </c>
      <c r="F992" s="59" t="inlineStr">
        <is>
          <t>3 tuần trước</t>
        </is>
      </c>
      <c r="G992" s="61" t="n">
        <v>21</v>
      </c>
      <c r="H992" s="62" t="n">
        <v>8</v>
      </c>
      <c r="I992" s="9" t="inlineStr">
        <is>
          <t>Dog Breeder / Trại chó chuyên nghiệp (28-30đ)</t>
        </is>
      </c>
      <c r="J992" s="62" t="n">
        <v>30</v>
      </c>
      <c r="K992" s="9" t="inlineStr">
        <is>
          <t>Chưa rõ giống (Cần quét Bio)</t>
        </is>
      </c>
      <c r="L992" s="62" t="n">
        <v>0</v>
      </c>
      <c r="M992" s="62" t="n">
        <v>5</v>
      </c>
      <c r="N992" s="9" t="inlineStr">
        <is>
          <t>Amazon link not found</t>
        </is>
      </c>
      <c r="O992" s="62">
        <f>IF(N992="Selling pet toys + Artificial grass/Pet toilets (TARGET)",15,IF(N992="Selling artificial grass/pet toilets (TARGET)",10,IF(N992="Selling pet toys",7,IF(N992="There's an Amazon link, but no target sales.",3,0))))</f>
        <v/>
      </c>
      <c r="P992" s="67">
        <f>H992+J992+L992+M992+O992</f>
        <v/>
      </c>
      <c r="Q992" s="69">
        <f>IF(OR(H992=0,P992&lt;30),"Tier D (Đóng băng)",IF(P992&gt;=85,"Tier S (Kim Cương: 85-100đ)",IF(P992&gt;=70,"Tier A (Vàng: 70-84đ)",IF(P992&gt;=61,"Tier B+ / Cấp A (Hot Lead: 61-69đ)",IF(P992&gt;=50,"Tier B (Bạc: 50-60đ)","Tier C (Đồng: 30-49đ)")))))</f>
        <v/>
      </c>
      <c r="R992" s="9" t="inlineStr">
        <is>
          <t>Trọn gói Take-Home Starter Kit V2/V3 (Cỏ nhân tạo + Khay Potty + Đồ chơi Teething/Snuggle)</t>
        </is>
      </c>
      <c r="S992" s="9" t="inlineStr">
        <is>
          <t>Cấp C Chi phí thấp: Nhắn tin trực tiếp qua Fanpage Facebook/Instagram + Nuôi dưỡng nội dung</t>
        </is>
      </c>
    </row>
    <row r="993">
      <c r="A993" s="53" t="n">
        <v>3156</v>
      </c>
      <c r="B993" s="12" t="inlineStr">
        <is>
          <t>The REAL Happas kennels</t>
        </is>
      </c>
      <c r="C993" s="54" t="inlineStr">
        <is>
          <t>https://www.facebook.com/profile.php?id=61554432277187</t>
        </is>
      </c>
      <c r="D993" s="6" t="inlineStr">
        <is>
          <t>Cần quét Bio Fanpage</t>
        </is>
      </c>
      <c r="E993" s="53" t="inlineStr">
        <is>
          <t>17/09/2026 21:30:08</t>
        </is>
      </c>
      <c r="F993" s="53" t="inlineStr">
        <is>
          <t>3 tuần trước</t>
        </is>
      </c>
      <c r="G993" s="55" t="n">
        <v>21</v>
      </c>
      <c r="H993" s="56" t="n">
        <v>8</v>
      </c>
      <c r="I993" s="6" t="inlineStr">
        <is>
          <t>Dog Breeder / Trại chó chuyên nghiệp (28-30đ)</t>
        </is>
      </c>
      <c r="J993" s="56" t="n">
        <v>30</v>
      </c>
      <c r="K993" s="6" t="inlineStr">
        <is>
          <t>Chưa rõ giống (Cần quét Bio)</t>
        </is>
      </c>
      <c r="L993" s="56" t="n">
        <v>0</v>
      </c>
      <c r="M993" s="56" t="n">
        <v>5</v>
      </c>
      <c r="N993" s="6" t="inlineStr">
        <is>
          <t>Amazon link not found</t>
        </is>
      </c>
      <c r="O993" s="56">
        <f>IF(N993="Selling pet toys + Artificial grass/Pet toilets (TARGET)",15,IF(N993="Selling artificial grass/pet toilets (TARGET)",10,IF(N993="Selling pet toys",7,IF(N993="There's an Amazon link, but no target sales.",3,0))))</f>
        <v/>
      </c>
      <c r="P993" s="65">
        <f>H993+J993+L993+M993+O993</f>
        <v/>
      </c>
      <c r="Q993" s="69">
        <f>IF(OR(H993=0,P993&lt;30),"Tier D (Đóng băng)",IF(P993&gt;=85,"Tier S (Kim Cương: 85-100đ)",IF(P993&gt;=70,"Tier A (Vàng: 70-84đ)",IF(P993&gt;=61,"Tier B+ / Cấp A (Hot Lead: 61-69đ)",IF(P993&gt;=50,"Tier B (Bạc: 50-60đ)","Tier C (Đồng: 30-49đ)")))))</f>
        <v/>
      </c>
      <c r="R993" s="6" t="inlineStr">
        <is>
          <t>Trọn gói Take-Home Starter Kit V2/V3 (Cỏ nhân tạo + Khay Potty + Đồ chơi Teething/Snuggle)</t>
        </is>
      </c>
      <c r="S993" s="6" t="inlineStr">
        <is>
          <t>Cấp C Chi phí thấp: Nhắn tin trực tiếp qua Fanpage Facebook/Instagram + Nuôi dưỡng nội dung</t>
        </is>
      </c>
    </row>
    <row r="994">
      <c r="A994" s="59" t="n">
        <v>294</v>
      </c>
      <c r="B994" s="15" t="inlineStr">
        <is>
          <t>Zaporozhiye Department of Ukrainian Kennel Union</t>
        </is>
      </c>
      <c r="C994" s="60" t="inlineStr">
        <is>
          <t>https://www.facebook.com/ZaporozhiyeDepartmentOfUkrainianKennelUnion</t>
        </is>
      </c>
      <c r="D994" s="9" t="inlineStr">
        <is>
          <t>Cần quét Bio Fanpage</t>
        </is>
      </c>
      <c r="E994" s="59" t="inlineStr">
        <is>
          <t>17/09/2026 16:02:42</t>
        </is>
      </c>
      <c r="F994" s="59" t="inlineStr">
        <is>
          <t>3 tuần trước</t>
        </is>
      </c>
      <c r="G994" s="61" t="n">
        <v>21</v>
      </c>
      <c r="H994" s="62" t="n">
        <v>8</v>
      </c>
      <c r="I994" s="9" t="inlineStr">
        <is>
          <t>Dog Breeder / Trại chó chuyên nghiệp (28-30đ)</t>
        </is>
      </c>
      <c r="J994" s="62" t="n">
        <v>30</v>
      </c>
      <c r="K994" s="9" t="inlineStr">
        <is>
          <t>Chưa rõ giống (Cần quét Bio)</t>
        </is>
      </c>
      <c r="L994" s="62" t="n">
        <v>0</v>
      </c>
      <c r="M994" s="62" t="n">
        <v>5</v>
      </c>
      <c r="N994" s="9" t="inlineStr">
        <is>
          <t>Amazon link not found</t>
        </is>
      </c>
      <c r="O994" s="62">
        <f>IF(N994="Selling pet toys + Artificial grass/Pet toilets (TARGET)",15,IF(N994="Selling artificial grass/pet toilets (TARGET)",10,IF(N994="Selling pet toys",7,IF(N994="There's an Amazon link, but no target sales.",3,0))))</f>
        <v/>
      </c>
      <c r="P994" s="67">
        <f>H994+J994+L994+M994+O994</f>
        <v/>
      </c>
      <c r="Q994" s="69">
        <f>IF(OR(H994=0,P994&lt;30),"Tier D (Đóng băng)",IF(P994&gt;=85,"Tier S (Kim Cương: 85-100đ)",IF(P994&gt;=70,"Tier A (Vàng: 70-84đ)",IF(P994&gt;=61,"Tier B+ / Cấp A (Hot Lead: 61-69đ)",IF(P994&gt;=50,"Tier B (Bạc: 50-60đ)","Tier C (Đồng: 30-49đ)")))))</f>
        <v/>
      </c>
      <c r="R994" s="9" t="inlineStr">
        <is>
          <t>Trọn gói Take-Home Starter Kit V2/V3 (Cỏ nhân tạo + Khay Potty + Đồ chơi Teething/Snuggle)</t>
        </is>
      </c>
      <c r="S994" s="9" t="inlineStr">
        <is>
          <t>Cấp C Chi phí thấp: Nhắn tin trực tiếp qua Fanpage Facebook/Instagram + Nuôi dưỡng nội dung</t>
        </is>
      </c>
    </row>
    <row r="995">
      <c r="A995" s="53" t="n">
        <v>3429</v>
      </c>
      <c r="B995" s="12" t="inlineStr">
        <is>
          <t>Winner Civi Kennel</t>
        </is>
      </c>
      <c r="C995" s="54" t="inlineStr">
        <is>
          <t>https://www.facebook.com/winnercivikennel</t>
        </is>
      </c>
      <c r="D995" s="6" t="inlineStr">
        <is>
          <t>Cần quét Bio Fanpage</t>
        </is>
      </c>
      <c r="E995" s="53" t="inlineStr">
        <is>
          <t>17/09/2026 14:51:28</t>
        </is>
      </c>
      <c r="F995" s="53" t="inlineStr">
        <is>
          <t>3 tuần trước</t>
        </is>
      </c>
      <c r="G995" s="55" t="n">
        <v>21</v>
      </c>
      <c r="H995" s="56" t="n">
        <v>8</v>
      </c>
      <c r="I995" s="6" t="inlineStr">
        <is>
          <t>Dog Breeder / Trại chó chuyên nghiệp (28-30đ)</t>
        </is>
      </c>
      <c r="J995" s="56" t="n">
        <v>30</v>
      </c>
      <c r="K995" s="6" t="inlineStr">
        <is>
          <t>Chưa rõ giống (Cần quét Bio)</t>
        </is>
      </c>
      <c r="L995" s="56" t="n">
        <v>0</v>
      </c>
      <c r="M995" s="56" t="n">
        <v>5</v>
      </c>
      <c r="N995" s="6" t="inlineStr">
        <is>
          <t>Amazon link not found</t>
        </is>
      </c>
      <c r="O995" s="56">
        <f>IF(N995="Selling pet toys + Artificial grass/Pet toilets (TARGET)",15,IF(N995="Selling artificial grass/pet toilets (TARGET)",10,IF(N995="Selling pet toys",7,IF(N995="There's an Amazon link, but no target sales.",3,0))))</f>
        <v/>
      </c>
      <c r="P995" s="65">
        <f>H995+J995+L995+M995+O995</f>
        <v/>
      </c>
      <c r="Q995" s="69">
        <f>IF(OR(H995=0,P995&lt;30),"Tier D (Đóng băng)",IF(P995&gt;=85,"Tier S (Kim Cương: 85-100đ)",IF(P995&gt;=70,"Tier A (Vàng: 70-84đ)",IF(P995&gt;=61,"Tier B+ / Cấp A (Hot Lead: 61-69đ)",IF(P995&gt;=50,"Tier B (Bạc: 50-60đ)","Tier C (Đồng: 30-49đ)")))))</f>
        <v/>
      </c>
      <c r="R995" s="6" t="inlineStr">
        <is>
          <t>Trọn gói Take-Home Starter Kit V2/V3 (Cỏ nhân tạo + Khay Potty + Đồ chơi Teething/Snuggle)</t>
        </is>
      </c>
      <c r="S995" s="6" t="inlineStr">
        <is>
          <t>Cấp C Chi phí thấp: Nhắn tin trực tiếp qua Fanpage Facebook/Instagram + Nuôi dưỡng nội dung</t>
        </is>
      </c>
    </row>
    <row r="996">
      <c r="A996" s="59" t="n">
        <v>2190</v>
      </c>
      <c r="B996" s="15" t="inlineStr">
        <is>
          <t>Mini Dapple Dachahund Puppies Home</t>
        </is>
      </c>
      <c r="C996" s="60" t="inlineStr">
        <is>
          <t>https://www.facebook.com/profile.php?id=100078405896616</t>
        </is>
      </c>
      <c r="D996" s="9" t="inlineStr">
        <is>
          <t>Cần quét Bio Fanpage</t>
        </is>
      </c>
      <c r="E996" s="59" t="inlineStr">
        <is>
          <t>17/09/2026 01:51:49</t>
        </is>
      </c>
      <c r="F996" s="59" t="inlineStr">
        <is>
          <t>3 tuần trước</t>
        </is>
      </c>
      <c r="G996" s="61" t="n">
        <v>21</v>
      </c>
      <c r="H996" s="62" t="n">
        <v>8</v>
      </c>
      <c r="I996" s="9" t="inlineStr">
        <is>
          <t>Dog Breeder / Trại chó chuyên nghiệp (28-30đ)</t>
        </is>
      </c>
      <c r="J996" s="62" t="n">
        <v>30</v>
      </c>
      <c r="K996" s="9" t="inlineStr">
        <is>
          <t>Chưa rõ giống (Cần quét Bio)</t>
        </is>
      </c>
      <c r="L996" s="62" t="n">
        <v>0</v>
      </c>
      <c r="M996" s="62" t="n">
        <v>5</v>
      </c>
      <c r="N996" s="9" t="inlineStr">
        <is>
          <t>Amazon link not found</t>
        </is>
      </c>
      <c r="O996" s="62">
        <f>IF(N996="Selling pet toys + Artificial grass/Pet toilets (TARGET)",15,IF(N996="Selling artificial grass/pet toilets (TARGET)",10,IF(N996="Selling pet toys",7,IF(N996="There's an Amazon link, but no target sales.",3,0))))</f>
        <v/>
      </c>
      <c r="P996" s="67">
        <f>H996+J996+L996+M996+O996</f>
        <v/>
      </c>
      <c r="Q996" s="69">
        <f>IF(OR(H996=0,P996&lt;30),"Tier D (Đóng băng)",IF(P996&gt;=85,"Tier S (Kim Cương: 85-100đ)",IF(P996&gt;=70,"Tier A (Vàng: 70-84đ)",IF(P996&gt;=61,"Tier B+ / Cấp A (Hot Lead: 61-69đ)",IF(P996&gt;=50,"Tier B (Bạc: 50-60đ)","Tier C (Đồng: 30-49đ)")))))</f>
        <v/>
      </c>
      <c r="R996" s="9" t="inlineStr">
        <is>
          <t>Trọn gói Take-Home Starter Kit V2/V3 (Cỏ nhân tạo + Khay Potty + Đồ chơi Teething/Snuggle)</t>
        </is>
      </c>
      <c r="S996" s="9" t="inlineStr">
        <is>
          <t>Cấp C Chi phí thấp: Nhắn tin trực tiếp qua Fanpage Facebook/Instagram + Nuôi dưỡng nội dung</t>
        </is>
      </c>
    </row>
    <row r="997">
      <c r="A997" s="53" t="n">
        <v>1506</v>
      </c>
      <c r="B997" s="12" t="inlineStr">
        <is>
          <t>Gisborne Boarding Kennels &amp; Cattery</t>
        </is>
      </c>
      <c r="C997" s="54" t="inlineStr">
        <is>
          <t>https://www.facebook.com/GisborneBoardingKennelsCattery</t>
        </is>
      </c>
      <c r="D997" s="6" t="inlineStr">
        <is>
          <t>Cần quét Bio Fanpage</t>
        </is>
      </c>
      <c r="E997" s="53" t="inlineStr">
        <is>
          <t>15/09/2026 08:58:16</t>
        </is>
      </c>
      <c r="F997" s="53" t="inlineStr">
        <is>
          <t>3 tuần trước</t>
        </is>
      </c>
      <c r="G997" s="55" t="n">
        <v>21</v>
      </c>
      <c r="H997" s="56" t="n">
        <v>8</v>
      </c>
      <c r="I997" s="6" t="inlineStr">
        <is>
          <t>Dog Breeder / Trại chó chuyên nghiệp (28-30đ)</t>
        </is>
      </c>
      <c r="J997" s="56" t="n">
        <v>30</v>
      </c>
      <c r="K997" s="6" t="inlineStr">
        <is>
          <t>Chưa rõ giống (Cần quét Bio)</t>
        </is>
      </c>
      <c r="L997" s="56" t="n">
        <v>0</v>
      </c>
      <c r="M997" s="56" t="n">
        <v>5</v>
      </c>
      <c r="N997" s="6" t="inlineStr">
        <is>
          <t>Amazon link not found</t>
        </is>
      </c>
      <c r="O997" s="56">
        <f>IF(N997="Selling pet toys + Artificial grass/Pet toilets (TARGET)",15,IF(N997="Selling artificial grass/pet toilets (TARGET)",10,IF(N997="Selling pet toys",7,IF(N997="There's an Amazon link, but no target sales.",3,0))))</f>
        <v/>
      </c>
      <c r="P997" s="65">
        <f>H997+J997+L997+M997+O997</f>
        <v/>
      </c>
      <c r="Q997" s="69">
        <f>IF(OR(H997=0,P997&lt;30),"Tier D (Đóng băng)",IF(P997&gt;=85,"Tier S (Kim Cương: 85-100đ)",IF(P997&gt;=70,"Tier A (Vàng: 70-84đ)",IF(P997&gt;=61,"Tier B+ / Cấp A (Hot Lead: 61-69đ)",IF(P997&gt;=50,"Tier B (Bạc: 50-60đ)","Tier C (Đồng: 30-49đ)")))))</f>
        <v/>
      </c>
      <c r="R997" s="6" t="inlineStr">
        <is>
          <t>Trọn gói Take-Home Starter Kit V2/V3 (Cỏ nhân tạo + Khay Potty + Đồ chơi Teething/Snuggle)</t>
        </is>
      </c>
      <c r="S997" s="6" t="inlineStr">
        <is>
          <t>Cấp C Chi phí thấp: Nhắn tin trực tiếp qua Fanpage Facebook/Instagram + Nuôi dưỡng nội dung</t>
        </is>
      </c>
    </row>
    <row r="998">
      <c r="A998" s="59" t="n">
        <v>1530</v>
      </c>
      <c r="B998" s="15" t="inlineStr">
        <is>
          <t>GOLF Kennel</t>
        </is>
      </c>
      <c r="C998" s="60" t="inlineStr">
        <is>
          <t>https://www.facebook.com/vomgolf</t>
        </is>
      </c>
      <c r="D998" s="9" t="inlineStr">
        <is>
          <t>Cần quét Bio Fanpage</t>
        </is>
      </c>
      <c r="E998" s="59" t="inlineStr">
        <is>
          <t>14/09/2026 12:41:12</t>
        </is>
      </c>
      <c r="F998" s="59" t="inlineStr">
        <is>
          <t>4 tuần trước</t>
        </is>
      </c>
      <c r="G998" s="61" t="n">
        <v>28</v>
      </c>
      <c r="H998" s="62" t="n">
        <v>8</v>
      </c>
      <c r="I998" s="9" t="inlineStr">
        <is>
          <t>Dog Breeder / Trại chó chuyên nghiệp (28-30đ)</t>
        </is>
      </c>
      <c r="J998" s="62" t="n">
        <v>30</v>
      </c>
      <c r="K998" s="9" t="inlineStr">
        <is>
          <t>Chưa rõ giống (Cần quét Bio)</t>
        </is>
      </c>
      <c r="L998" s="62" t="n">
        <v>0</v>
      </c>
      <c r="M998" s="62" t="n">
        <v>5</v>
      </c>
      <c r="N998" s="9" t="inlineStr">
        <is>
          <t>Amazon link not found</t>
        </is>
      </c>
      <c r="O998" s="62">
        <f>IF(N998="Selling pet toys + Artificial grass/Pet toilets (TARGET)",15,IF(N998="Selling artificial grass/pet toilets (TARGET)",10,IF(N998="Selling pet toys",7,IF(N998="There's an Amazon link, but no target sales.",3,0))))</f>
        <v/>
      </c>
      <c r="P998" s="67">
        <f>H998+J998+L998+M998+O998</f>
        <v/>
      </c>
      <c r="Q998" s="69">
        <f>IF(OR(H998=0,P998&lt;30),"Tier D (Đóng băng)",IF(P998&gt;=85,"Tier S (Kim Cương: 85-100đ)",IF(P998&gt;=70,"Tier A (Vàng: 70-84đ)",IF(P998&gt;=61,"Tier B+ / Cấp A (Hot Lead: 61-69đ)",IF(P998&gt;=50,"Tier B (Bạc: 50-60đ)","Tier C (Đồng: 30-49đ)")))))</f>
        <v/>
      </c>
      <c r="R998" s="9" t="inlineStr">
        <is>
          <t>Trọn gói Take-Home Starter Kit V2/V3 (Cỏ nhân tạo + Khay Potty + Đồ chơi Teething/Snuggle)</t>
        </is>
      </c>
      <c r="S998" s="9" t="inlineStr">
        <is>
          <t>Cấp C Chi phí thấp: Nhắn tin trực tiếp qua Fanpage Facebook/Instagram + Nuôi dưỡng nội dung</t>
        </is>
      </c>
    </row>
    <row r="999">
      <c r="A999" s="53" t="n">
        <v>1931</v>
      </c>
      <c r="B999" s="12" t="inlineStr">
        <is>
          <t>Kintail Cocker Spaniels &amp; Imrico British Bulldogs</t>
        </is>
      </c>
      <c r="C999" s="54" t="inlineStr">
        <is>
          <t>https://www.facebook.com/profile.php?id=100068666796102</t>
        </is>
      </c>
      <c r="D999" s="6" t="inlineStr">
        <is>
          <t>Cần quét Bio Fanpage</t>
        </is>
      </c>
      <c r="E999" s="53" t="inlineStr">
        <is>
          <t>09/09/2026 05:19:53</t>
        </is>
      </c>
      <c r="F999" s="53" t="inlineStr">
        <is>
          <t>1 tháng trước</t>
        </is>
      </c>
      <c r="G999" s="55" t="n">
        <v>30</v>
      </c>
      <c r="H999" s="56" t="n">
        <v>0</v>
      </c>
      <c r="I999" s="6" t="inlineStr">
        <is>
          <t>Dog Breeder / Trại chó chuyên nghiệp (28-30đ)</t>
        </is>
      </c>
      <c r="J999" s="56" t="n">
        <v>28</v>
      </c>
      <c r="K999" s="6" t="inlineStr">
        <is>
          <t>English Bulldog, Spaniel / Gun Dog / Retriever</t>
        </is>
      </c>
      <c r="L999" s="56" t="n">
        <v>15</v>
      </c>
      <c r="M999" s="56" t="n">
        <v>0</v>
      </c>
      <c r="N999" s="6" t="inlineStr">
        <is>
          <t>Amazon link not found</t>
        </is>
      </c>
      <c r="O999" s="56">
        <f>IF(N999="Selling pet toys + Artificial grass/Pet toilets (TARGET)",15,IF(N999="Selling artificial grass/pet toilets (TARGET)",10,IF(N999="Selling pet toys",7,IF(N999="There's an Amazon link, but no target sales.",3,0))))</f>
        <v/>
      </c>
      <c r="P999" s="65">
        <f>H999+J999+L999+M999+O999</f>
        <v/>
      </c>
      <c r="Q999" s="68">
        <f>IF(OR(H999=0,P999&lt;30),"Tier D (Đóng băng)",IF(P999&gt;=85,"Tier S (Kim Cương: 85-100đ)",IF(P999&gt;=70,"Tier A (Vàng: 70-84đ)",IF(P999&gt;=61,"Tier B+ / Cấp A (Hot Lead: 61-69đ)",IF(P999&gt;=50,"Tier B (Bạc: 50-60đ)","Tier C (Đồng: 30-49đ)")))))</f>
        <v/>
      </c>
      <c r="R999" s="6" t="inlineStr">
        <is>
          <t>Trọn gói Take-Home Starter Kit V2/V3 (Cỏ nhân tạo + Khay Potty + Đồ chơi Teething/Snuggle)</t>
        </is>
      </c>
      <c r="S999" s="6" t="inlineStr">
        <is>
          <t>Đóng băng tương tác (&gt;30 ngày): Lưu trữ chờ kích hoạt lại, không tốn tài nguyên Sales</t>
        </is>
      </c>
    </row>
    <row r="1000">
      <c r="A1000" s="59" t="n">
        <v>2741</v>
      </c>
      <c r="B1000" s="15" t="inlineStr">
        <is>
          <t>Rhavaka French Bulldogs &amp; Mini Dachshunds</t>
        </is>
      </c>
      <c r="C1000" s="60" t="inlineStr">
        <is>
          <t>https://www.facebook.com/rhavakafrenchbulldogs</t>
        </is>
      </c>
      <c r="D1000" s="9" t="inlineStr">
        <is>
          <t>Cần quét Bio Fanpage</t>
        </is>
      </c>
      <c r="E1000" s="59" t="inlineStr">
        <is>
          <t>04/06/2026 15:59:00</t>
        </is>
      </c>
      <c r="F1000" s="59" t="inlineStr">
        <is>
          <t>4 tháng trước</t>
        </is>
      </c>
      <c r="G1000" s="61" t="n">
        <v>120</v>
      </c>
      <c r="H1000" s="62" t="n">
        <v>0</v>
      </c>
      <c r="I1000" s="9" t="inlineStr">
        <is>
          <t>Dog Breeder / Trại chó chuyên nghiệp (28-30đ)</t>
        </is>
      </c>
      <c r="J1000" s="62" t="n">
        <v>28</v>
      </c>
      <c r="K1000" s="9" t="inlineStr">
        <is>
          <t>French Bulldog, Dachshund</t>
        </is>
      </c>
      <c r="L1000" s="62" t="n">
        <v>15</v>
      </c>
      <c r="M1000" s="62" t="n">
        <v>0</v>
      </c>
      <c r="N1000" s="9" t="inlineStr">
        <is>
          <t>Amazon link not found</t>
        </is>
      </c>
      <c r="O1000" s="62">
        <f>IF(N1000="Selling pet toys + Artificial grass/Pet toilets (TARGET)",15,IF(N1000="Selling artificial grass/pet toilets (TARGET)",10,IF(N1000="Selling pet toys",7,IF(N1000="There's an Amazon link, but no target sales.",3,0))))</f>
        <v/>
      </c>
      <c r="P1000" s="67">
        <f>H1000+J1000+L1000+M1000+O1000</f>
        <v/>
      </c>
      <c r="Q1000" s="68">
        <f>IF(OR(H1000=0,P1000&lt;30),"Tier D (Đóng băng)",IF(P1000&gt;=85,"Tier S (Kim Cương: 85-100đ)",IF(P1000&gt;=70,"Tier A (Vàng: 70-84đ)",IF(P1000&gt;=61,"Tier B+ / Cấp A (Hot Lead: 61-69đ)",IF(P1000&gt;=50,"Tier B (Bạc: 50-60đ)","Tier C (Đồng: 30-49đ)")))))</f>
        <v/>
      </c>
      <c r="R1000" s="9" t="inlineStr">
        <is>
          <t>Trọn gói Take-Home Starter Kit V2/V3 (Cỏ nhân tạo + Khay Potty + Đồ chơi Teething/Snuggle)</t>
        </is>
      </c>
      <c r="S1000" s="9" t="inlineStr">
        <is>
          <t>Đóng băng tương tác (&gt;30 ngày): Lưu trữ chờ kích hoạt lại, không tốn tài nguyên Sales</t>
        </is>
      </c>
    </row>
    <row r="1001">
      <c r="A1001" s="53" t="n">
        <v>3085</v>
      </c>
      <c r="B1001" s="12" t="inlineStr">
        <is>
          <t>The Big Slobbery Bulldog Store</t>
        </is>
      </c>
      <c r="C1001" s="54" t="inlineStr">
        <is>
          <t>https://www.facebook.com/slobberybulldog</t>
        </is>
      </c>
      <c r="D1001" s="6" t="inlineStr">
        <is>
          <t>Cần quét Bio Fanpage</t>
        </is>
      </c>
      <c r="E1001" s="53" t="inlineStr">
        <is>
          <t>09/02/2025 06:01:41</t>
        </is>
      </c>
      <c r="F1001" s="53" t="inlineStr">
        <is>
          <t>1 năm trước</t>
        </is>
      </c>
      <c r="G1001" s="55" t="n">
        <v>365</v>
      </c>
      <c r="H1001" s="56" t="n">
        <v>0</v>
      </c>
      <c r="I1001" s="6" t="inlineStr">
        <is>
          <t>Dog Breeder / Trại nhân giống (28-30đ)</t>
        </is>
      </c>
      <c r="J1001" s="56" t="n">
        <v>28</v>
      </c>
      <c r="K1001" s="6" t="inlineStr">
        <is>
          <t>English Bulldog</t>
        </is>
      </c>
      <c r="L1001" s="56" t="n">
        <v>10</v>
      </c>
      <c r="M1001" s="56" t="n">
        <v>5</v>
      </c>
      <c r="N1001" s="6" t="inlineStr">
        <is>
          <t>Amazon link not found</t>
        </is>
      </c>
      <c r="O1001" s="56">
        <f>IF(N1001="Selling pet toys + Artificial grass/Pet toilets (TARGET)",15,IF(N1001="Selling artificial grass/pet toilets (TARGET)",10,IF(N1001="Selling pet toys",7,IF(N1001="There's an Amazon link, but no target sales.",3,0))))</f>
        <v/>
      </c>
      <c r="P1001" s="65">
        <f>H1001+J1001+L1001+M1001+O1001</f>
        <v/>
      </c>
      <c r="Q1001" s="68">
        <f>IF(OR(H1001=0,P1001&lt;30),"Tier D (Đóng băng)",IF(P1001&gt;=85,"Tier S (Kim Cương: 85-100đ)",IF(P1001&gt;=70,"Tier A (Vàng: 70-84đ)",IF(P1001&gt;=61,"Tier B+ / Cấp A (Hot Lead: 61-69đ)",IF(P1001&gt;=50,"Tier B (Bạc: 50-60đ)","Tier C (Đồng: 30-49đ)")))))</f>
        <v/>
      </c>
      <c r="R1001" s="6" t="inlineStr">
        <is>
          <t>Trọn gói Take-Home Starter Kit V2/V3 (Cỏ nhân tạo + Khay Potty + Đồ chơi cún con)</t>
        </is>
      </c>
      <c r="S1001" s="6" t="inlineStr">
        <is>
          <t>Đóng băng tương tác (&gt;30 ngày): Lưu trữ chờ kích hoạt lại, không tốn tài nguyên Sales</t>
        </is>
      </c>
    </row>
    <row r="1002">
      <c r="A1002" s="59" t="n">
        <v>1445</v>
      </c>
      <c r="B1002" s="15" t="inlineStr">
        <is>
          <t>Frenchie House - Bulldog Francez</t>
        </is>
      </c>
      <c r="C1002" s="60" t="inlineStr">
        <is>
          <t>https://www.facebook.com/bulldog.francez.1</t>
        </is>
      </c>
      <c r="D1002" s="9" t="inlineStr">
        <is>
          <t>Cần quét Bio Fanpage</t>
        </is>
      </c>
      <c r="E1002" s="59" t="inlineStr">
        <is>
          <t>14/02/2024 23:44:20</t>
        </is>
      </c>
      <c r="F1002" s="59" t="inlineStr">
        <is>
          <t>2 năm trước</t>
        </is>
      </c>
      <c r="G1002" s="61" t="n">
        <v>730</v>
      </c>
      <c r="H1002" s="62" t="n">
        <v>0</v>
      </c>
      <c r="I1002" s="9" t="inlineStr">
        <is>
          <t>Dog Breeder / Trại nhân giống (28-30đ)</t>
        </is>
      </c>
      <c r="J1002" s="62" t="n">
        <v>28</v>
      </c>
      <c r="K1002" s="9" t="inlineStr">
        <is>
          <t>French Bulldog, English Bulldog</t>
        </is>
      </c>
      <c r="L1002" s="62" t="n">
        <v>15</v>
      </c>
      <c r="M1002" s="62" t="n">
        <v>0</v>
      </c>
      <c r="N1002" s="9" t="inlineStr">
        <is>
          <t>Amazon link not found</t>
        </is>
      </c>
      <c r="O1002" s="62">
        <f>IF(N1002="Selling pet toys + Artificial grass/Pet toilets (TARGET)",15,IF(N1002="Selling artificial grass/pet toilets (TARGET)",10,IF(N1002="Selling pet toys",7,IF(N1002="There's an Amazon link, but no target sales.",3,0))))</f>
        <v/>
      </c>
      <c r="P1002" s="67">
        <f>H1002+J1002+L1002+M1002+O1002</f>
        <v/>
      </c>
      <c r="Q1002" s="68">
        <f>IF(OR(H1002=0,P1002&lt;30),"Tier D (Đóng băng)",IF(P1002&gt;=85,"Tier S (Kim Cương: 85-100đ)",IF(P1002&gt;=70,"Tier A (Vàng: 70-84đ)",IF(P1002&gt;=61,"Tier B+ / Cấp A (Hot Lead: 61-69đ)",IF(P1002&gt;=50,"Tier B (Bạc: 50-60đ)","Tier C (Đồng: 30-49đ)")))))</f>
        <v/>
      </c>
      <c r="R1002" s="9" t="inlineStr">
        <is>
          <t>Trọn gói Take-Home Starter Kit V2/V3 (Cỏ nhân tạo + Khay Potty + Đồ chơi cún con)</t>
        </is>
      </c>
      <c r="S1002" s="9" t="inlineStr">
        <is>
          <t>Đóng băng tương tác (&gt;30 ngày): Lưu trữ chờ kích hoạt lại, không tốn tài nguyên Sales</t>
        </is>
      </c>
    </row>
    <row r="1003">
      <c r="A1003" s="53" t="n">
        <v>2208</v>
      </c>
      <c r="B1003" s="12" t="inlineStr">
        <is>
          <t>Moon Bulldogs</t>
        </is>
      </c>
      <c r="C1003" s="54" t="inlineStr">
        <is>
          <t>https://www.facebook.com/MoonBulldogs.official</t>
        </is>
      </c>
      <c r="D1003" s="6" t="inlineStr">
        <is>
          <t>Cần quét Bio Fanpage</t>
        </is>
      </c>
      <c r="E1003" s="53" t="inlineStr">
        <is>
          <t>28/10/2021 05:22:47</t>
        </is>
      </c>
      <c r="F1003" s="53" t="inlineStr">
        <is>
          <t>4 năm trước</t>
        </is>
      </c>
      <c r="G1003" s="55" t="n">
        <v>1460</v>
      </c>
      <c r="H1003" s="56" t="n">
        <v>0</v>
      </c>
      <c r="I1003" s="6" t="inlineStr">
        <is>
          <t>Dog Breeder / Trại chó chuyên nghiệp (28-30đ)</t>
        </is>
      </c>
      <c r="J1003" s="56" t="n">
        <v>28</v>
      </c>
      <c r="K1003" s="6" t="inlineStr">
        <is>
          <t>English Bulldog</t>
        </is>
      </c>
      <c r="L1003" s="56" t="n">
        <v>10</v>
      </c>
      <c r="M1003" s="56" t="n">
        <v>5</v>
      </c>
      <c r="N1003" s="6" t="inlineStr">
        <is>
          <t>Amazon link not found</t>
        </is>
      </c>
      <c r="O1003" s="56">
        <f>IF(N1003="Selling pet toys + Artificial grass/Pet toilets (TARGET)",15,IF(N1003="Selling artificial grass/pet toilets (TARGET)",10,IF(N1003="Selling pet toys",7,IF(N1003="There's an Amazon link, but no target sales.",3,0))))</f>
        <v/>
      </c>
      <c r="P1003" s="65">
        <f>H1003+J1003+L1003+M1003+O1003</f>
        <v/>
      </c>
      <c r="Q1003" s="68">
        <f>IF(OR(H1003=0,P1003&lt;30),"Tier D (Đóng băng)",IF(P1003&gt;=85,"Tier S (Kim Cương: 85-100đ)",IF(P1003&gt;=70,"Tier A (Vàng: 70-84đ)",IF(P1003&gt;=61,"Tier B+ / Cấp A (Hot Lead: 61-69đ)",IF(P1003&gt;=50,"Tier B (Bạc: 50-60đ)","Tier C (Đồng: 30-49đ)")))))</f>
        <v/>
      </c>
      <c r="R1003" s="6" t="inlineStr">
        <is>
          <t>Trọn gói Take-Home Starter Kit V2/V3 (Cỏ nhân tạo + Khay Potty + Đồ chơi Teething/Snuggle)</t>
        </is>
      </c>
      <c r="S1003" s="6" t="inlineStr">
        <is>
          <t>Đóng băng tương tác (&gt;30 ngày): Lưu trữ chờ kích hoạt lại, không tốn tài nguyên Sales</t>
        </is>
      </c>
    </row>
    <row r="1004">
      <c r="A1004" s="59" t="n">
        <v>5856</v>
      </c>
      <c r="B1004" s="15" t="inlineStr">
        <is>
          <t>Weerasak Khajonpet</t>
        </is>
      </c>
      <c r="C1004" s="60" t="inlineStr">
        <is>
          <t>https://www.facebook.com/weerasak.khajonpet</t>
        </is>
      </c>
      <c r="D1004" s="9" t="inlineStr">
        <is>
          <t>Cần quét Bio Fanpage</t>
        </is>
      </c>
      <c r="E1004" s="59" t="inlineStr">
        <is>
          <t>13/10/2026 07:26:46</t>
        </is>
      </c>
      <c r="F1004" s="59" t="inlineStr">
        <is>
          <t>4 giờ trước</t>
        </is>
      </c>
      <c r="G1004" s="61" t="n">
        <v>0.17</v>
      </c>
      <c r="H1004" s="62" t="n">
        <v>32</v>
      </c>
      <c r="I1004" s="9" t="inlineStr">
        <is>
          <t>Pet Owner / Cộng đồng nuôi cún (10đ)</t>
        </is>
      </c>
      <c r="J1004" s="62" t="n">
        <v>10</v>
      </c>
      <c r="K1004" s="9" t="inlineStr">
        <is>
          <t>Chưa rõ giống (Cần quét Bio)</t>
        </is>
      </c>
      <c r="L1004" s="62" t="n">
        <v>0</v>
      </c>
      <c r="M1004" s="62" t="n">
        <v>0</v>
      </c>
      <c r="N1004" s="9" t="inlineStr">
        <is>
          <t>Amazon link not found</t>
        </is>
      </c>
      <c r="O1004" s="62">
        <f>IF(N1004="Selling pet toys + Artificial grass/Pet toilets (TARGET)",15,IF(N1004="Selling artificial grass/pet toilets (TARGET)",10,IF(N1004="Selling pet toys",7,IF(N1004="There's an Amazon link, but no target sales.",3,0))))</f>
        <v/>
      </c>
      <c r="P1004" s="67">
        <f>H1004+J1004+L1004+M1004+O1004</f>
        <v/>
      </c>
      <c r="Q1004" s="69">
        <f>IF(OR(H1004=0,P1004&lt;30),"Tier D (Đóng băng)",IF(P1004&gt;=85,"Tier S (Kim Cương: 85-100đ)",IF(P1004&gt;=70,"Tier A (Vàng: 70-84đ)",IF(P1004&gt;=61,"Tier B+ / Cấp A (Hot Lead: 61-69đ)",IF(P1004&gt;=50,"Tier B (Bạc: 50-60đ)","Tier C (Đồng: 30-49đ)")))))</f>
        <v/>
      </c>
      <c r="R1004" s="9" t="inlineStr">
        <is>
          <t>Khay vệ sinh chung cư (Indoor Potty) + Thảm cỏ ban công (Grass Patch) + Đồ chơi</t>
        </is>
      </c>
      <c r="S1004" s="9" t="inlineStr">
        <is>
          <t>Cấp C Chi phí thấp: Nhắn tin trực tiếp qua Fanpage Facebook/Instagram + Nuôi dưỡng nội dung</t>
        </is>
      </c>
    </row>
    <row r="1005">
      <c r="A1005" s="53" t="n">
        <v>5613</v>
      </c>
      <c r="B1005" s="12" t="inlineStr">
        <is>
          <t>The N8tive Dogfather</t>
        </is>
      </c>
      <c r="C1005" s="54" t="inlineStr">
        <is>
          <t>https://www.facebook.com/profile.php?id=61552223755161</t>
        </is>
      </c>
      <c r="D1005" s="6" t="inlineStr">
        <is>
          <t>Cần quét Bio Fanpage</t>
        </is>
      </c>
      <c r="E1005" s="53" t="inlineStr">
        <is>
          <t>13/10/2026 06:39:38</t>
        </is>
      </c>
      <c r="F1005" s="53" t="inlineStr">
        <is>
          <t>4 giờ trước</t>
        </is>
      </c>
      <c r="G1005" s="55" t="n">
        <v>0.17</v>
      </c>
      <c r="H1005" s="56" t="n">
        <v>32</v>
      </c>
      <c r="I1005" s="6" t="inlineStr">
        <is>
          <t>Pet Owner / Cộng đồng nuôi cún (10đ)</t>
        </is>
      </c>
      <c r="J1005" s="56" t="n">
        <v>10</v>
      </c>
      <c r="K1005" s="6" t="inlineStr">
        <is>
          <t>Chưa rõ giống (Cần quét Bio)</t>
        </is>
      </c>
      <c r="L1005" s="56" t="n">
        <v>0</v>
      </c>
      <c r="M1005" s="56" t="n">
        <v>0</v>
      </c>
      <c r="N1005" s="6" t="inlineStr">
        <is>
          <t>Amazon link not found</t>
        </is>
      </c>
      <c r="O1005" s="56">
        <f>IF(N1005="Selling pet toys + Artificial grass/Pet toilets (TARGET)",15,IF(N1005="Selling artificial grass/pet toilets (TARGET)",10,IF(N1005="Selling pet toys",7,IF(N1005="There's an Amazon link, but no target sales.",3,0))))</f>
        <v/>
      </c>
      <c r="P1005" s="65">
        <f>H1005+J1005+L1005+M1005+O1005</f>
        <v/>
      </c>
      <c r="Q1005" s="69">
        <f>IF(OR(H1005=0,P1005&lt;30),"Tier D (Đóng băng)",IF(P1005&gt;=85,"Tier S (Kim Cương: 85-100đ)",IF(P1005&gt;=70,"Tier A (Vàng: 70-84đ)",IF(P1005&gt;=61,"Tier B+ / Cấp A (Hot Lead: 61-69đ)",IF(P1005&gt;=50,"Tier B (Bạc: 50-60đ)","Tier C (Đồng: 30-49đ)")))))</f>
        <v/>
      </c>
      <c r="R1005" s="6" t="inlineStr">
        <is>
          <t>Khay vệ sinh chung cư (Indoor Potty) + Thảm cỏ ban công (Grass Patch) + Đồ chơi</t>
        </is>
      </c>
      <c r="S1005" s="6" t="inlineStr">
        <is>
          <t>Cấp C Chi phí thấp: Nhắn tin trực tiếp qua Fanpage Facebook/Instagram + Nuôi dưỡng nội dung</t>
        </is>
      </c>
    </row>
    <row r="1006">
      <c r="A1006" s="59" t="n">
        <v>4659</v>
      </c>
      <c r="B1006" s="15" t="inlineStr">
        <is>
          <t>Mimi's Carpet Care</t>
        </is>
      </c>
      <c r="C1006" s="60" t="inlineStr">
        <is>
          <t>https://www.facebook.com/mimiscarpetcare</t>
        </is>
      </c>
      <c r="D1006" s="9" t="inlineStr">
        <is>
          <t>Cần quét Bio Fanpage</t>
        </is>
      </c>
      <c r="E1006" s="59" t="inlineStr">
        <is>
          <t>13/10/2026 05:09:43</t>
        </is>
      </c>
      <c r="F1006" s="59" t="inlineStr">
        <is>
          <t>4 giờ trước</t>
        </is>
      </c>
      <c r="G1006" s="61" t="n">
        <v>0.17</v>
      </c>
      <c r="H1006" s="62" t="n">
        <v>32</v>
      </c>
      <c r="I1006" s="9" t="inlineStr">
        <is>
          <t>Pet Owner / Cộng đồng nuôi cún (10đ)</t>
        </is>
      </c>
      <c r="J1006" s="62" t="n">
        <v>10</v>
      </c>
      <c r="K1006" s="9" t="inlineStr">
        <is>
          <t>Chưa rõ giống (Cần quét Bio)</t>
        </is>
      </c>
      <c r="L1006" s="62" t="n">
        <v>0</v>
      </c>
      <c r="M1006" s="62" t="n">
        <v>0</v>
      </c>
      <c r="N1006" s="9" t="inlineStr">
        <is>
          <t>Amazon link not found</t>
        </is>
      </c>
      <c r="O1006" s="62">
        <f>IF(N1006="Selling pet toys + Artificial grass/Pet toilets (TARGET)",15,IF(N1006="Selling artificial grass/pet toilets (TARGET)",10,IF(N1006="Selling pet toys",7,IF(N1006="There's an Amazon link, but no target sales.",3,0))))</f>
        <v/>
      </c>
      <c r="P1006" s="67">
        <f>H1006+J1006+L1006+M1006+O1006</f>
        <v/>
      </c>
      <c r="Q1006" s="69">
        <f>IF(OR(H1006=0,P1006&lt;30),"Tier D (Đóng băng)",IF(P1006&gt;=85,"Tier S (Kim Cương: 85-100đ)",IF(P1006&gt;=70,"Tier A (Vàng: 70-84đ)",IF(P1006&gt;=61,"Tier B+ / Cấp A (Hot Lead: 61-69đ)",IF(P1006&gt;=50,"Tier B (Bạc: 50-60đ)","Tier C (Đồng: 30-49đ)")))))</f>
        <v/>
      </c>
      <c r="R1006" s="9" t="inlineStr">
        <is>
          <t>Khay vệ sinh chung cư (Indoor Potty) + Thảm cỏ ban công (Grass Patch) + Đồ chơi</t>
        </is>
      </c>
      <c r="S1006" s="9" t="inlineStr">
        <is>
          <t>Cấp C Chi phí thấp: Nhắn tin trực tiếp qua Fanpage Facebook/Instagram + Nuôi dưỡng nội dung</t>
        </is>
      </c>
    </row>
    <row r="1007">
      <c r="A1007" s="53" t="n">
        <v>4623</v>
      </c>
      <c r="B1007" s="12" t="inlineStr">
        <is>
          <t>Meadow Ridge Pet Lodge</t>
        </is>
      </c>
      <c r="C1007" s="54" t="inlineStr">
        <is>
          <t>https://www.facebook.com/MeadowRidgePetLodge</t>
        </is>
      </c>
      <c r="D1007" s="6" t="inlineStr">
        <is>
          <t>Cần quét Bio Fanpage</t>
        </is>
      </c>
      <c r="E1007" s="53" t="inlineStr">
        <is>
          <t>13/10/2026 04:54:26</t>
        </is>
      </c>
      <c r="F1007" s="53" t="inlineStr">
        <is>
          <t>4 giờ trước</t>
        </is>
      </c>
      <c r="G1007" s="55" t="n">
        <v>0.17</v>
      </c>
      <c r="H1007" s="56" t="n">
        <v>32</v>
      </c>
      <c r="I1007" s="6" t="inlineStr">
        <is>
          <t>Pet Owner / Cộng đồng nuôi cún (10đ)</t>
        </is>
      </c>
      <c r="J1007" s="56" t="n">
        <v>10</v>
      </c>
      <c r="K1007" s="6" t="inlineStr">
        <is>
          <t>Chưa rõ giống (Cần quét Bio)</t>
        </is>
      </c>
      <c r="L1007" s="56" t="n">
        <v>0</v>
      </c>
      <c r="M1007" s="56" t="n">
        <v>0</v>
      </c>
      <c r="N1007" s="6" t="inlineStr">
        <is>
          <t>Amazon link not found</t>
        </is>
      </c>
      <c r="O1007" s="56">
        <f>IF(N1007="Selling pet toys + Artificial grass/Pet toilets (TARGET)",15,IF(N1007="Selling artificial grass/pet toilets (TARGET)",10,IF(N1007="Selling pet toys",7,IF(N1007="There's an Amazon link, but no target sales.",3,0))))</f>
        <v/>
      </c>
      <c r="P1007" s="65">
        <f>H1007+J1007+L1007+M1007+O1007</f>
        <v/>
      </c>
      <c r="Q1007" s="69">
        <f>IF(OR(H1007=0,P1007&lt;30),"Tier D (Đóng băng)",IF(P1007&gt;=85,"Tier S (Kim Cương: 85-100đ)",IF(P1007&gt;=70,"Tier A (Vàng: 70-84đ)",IF(P1007&gt;=61,"Tier B+ / Cấp A (Hot Lead: 61-69đ)",IF(P1007&gt;=50,"Tier B (Bạc: 50-60đ)","Tier C (Đồng: 30-49đ)")))))</f>
        <v/>
      </c>
      <c r="R1007" s="6" t="inlineStr">
        <is>
          <t>Khay vệ sinh chung cư (Indoor Potty) + Thảm cỏ ban công (Grass Patch) + Đồ chơi</t>
        </is>
      </c>
      <c r="S1007" s="6" t="inlineStr">
        <is>
          <t>Cấp C Chi phí thấp: Nhắn tin trực tiếp qua Fanpage Facebook/Instagram + Nuôi dưỡng nội dung</t>
        </is>
      </c>
    </row>
    <row r="1008">
      <c r="A1008" s="59" t="n">
        <v>4140</v>
      </c>
      <c r="B1008" s="15" t="inlineStr">
        <is>
          <t>Holzerland Protection Dogs</t>
        </is>
      </c>
      <c r="C1008" s="60" t="inlineStr">
        <is>
          <t>https://www.facebook.com/Holzerlandprotectiondogs</t>
        </is>
      </c>
      <c r="D1008" s="9" t="inlineStr">
        <is>
          <t>Cần quét Bio Fanpage</t>
        </is>
      </c>
      <c r="E1008" s="59" t="inlineStr">
        <is>
          <t>13/10/2026 03:59:18</t>
        </is>
      </c>
      <c r="F1008" s="59" t="inlineStr">
        <is>
          <t>4 giờ trước</t>
        </is>
      </c>
      <c r="G1008" s="61" t="n">
        <v>0.17</v>
      </c>
      <c r="H1008" s="62" t="n">
        <v>32</v>
      </c>
      <c r="I1008" s="9" t="inlineStr">
        <is>
          <t>Pet Owner / Cộng đồng nuôi cún (10đ)</t>
        </is>
      </c>
      <c r="J1008" s="62" t="n">
        <v>10</v>
      </c>
      <c r="K1008" s="9" t="inlineStr">
        <is>
          <t>Chưa rõ giống (Cần quét Bio)</t>
        </is>
      </c>
      <c r="L1008" s="62" t="n">
        <v>0</v>
      </c>
      <c r="M1008" s="62" t="n">
        <v>0</v>
      </c>
      <c r="N1008" s="9" t="inlineStr">
        <is>
          <t>Amazon link not found</t>
        </is>
      </c>
      <c r="O1008" s="62">
        <f>IF(N1008="Selling pet toys + Artificial grass/Pet toilets (TARGET)",15,IF(N1008="Selling artificial grass/pet toilets (TARGET)",10,IF(N1008="Selling pet toys",7,IF(N1008="There's an Amazon link, but no target sales.",3,0))))</f>
        <v/>
      </c>
      <c r="P1008" s="67">
        <f>H1008+J1008+L1008+M1008+O1008</f>
        <v/>
      </c>
      <c r="Q1008" s="69">
        <f>IF(OR(H1008=0,P1008&lt;30),"Tier D (Đóng băng)",IF(P1008&gt;=85,"Tier S (Kim Cương: 85-100đ)",IF(P1008&gt;=70,"Tier A (Vàng: 70-84đ)",IF(P1008&gt;=61,"Tier B+ / Cấp A (Hot Lead: 61-69đ)",IF(P1008&gt;=50,"Tier B (Bạc: 50-60đ)","Tier C (Đồng: 30-49đ)")))))</f>
        <v/>
      </c>
      <c r="R1008" s="9" t="inlineStr">
        <is>
          <t>Khay vệ sinh chung cư (Indoor Potty) + Thảm cỏ ban công (Grass Patch) + Đồ chơi</t>
        </is>
      </c>
      <c r="S1008" s="9" t="inlineStr">
        <is>
          <t>Cấp C Chi phí thấp: Nhắn tin trực tiếp qua Fanpage Facebook/Instagram + Nuôi dưỡng nội dung</t>
        </is>
      </c>
    </row>
    <row r="1009">
      <c r="A1009" s="53" t="n">
        <v>4079</v>
      </c>
      <c r="B1009" s="12" t="inlineStr">
        <is>
          <t>Happy Dog Lodge</t>
        </is>
      </c>
      <c r="C1009" s="54" t="inlineStr">
        <is>
          <t>https://www.facebook.com/profile.php?id=61551380265426</t>
        </is>
      </c>
      <c r="D1009" s="6" t="inlineStr">
        <is>
          <t>Cần quét Bio Fanpage</t>
        </is>
      </c>
      <c r="E1009" s="53" t="inlineStr">
        <is>
          <t>13/10/2026 03:56:31</t>
        </is>
      </c>
      <c r="F1009" s="53" t="inlineStr">
        <is>
          <t>4 giờ trước</t>
        </is>
      </c>
      <c r="G1009" s="55" t="n">
        <v>0.17</v>
      </c>
      <c r="H1009" s="56" t="n">
        <v>32</v>
      </c>
      <c r="I1009" s="6" t="inlineStr">
        <is>
          <t>Pet Owner / Cộng đồng nuôi cún (10đ)</t>
        </is>
      </c>
      <c r="J1009" s="56" t="n">
        <v>10</v>
      </c>
      <c r="K1009" s="6" t="inlineStr">
        <is>
          <t>Chưa rõ giống (Cần quét Bio)</t>
        </is>
      </c>
      <c r="L1009" s="56" t="n">
        <v>0</v>
      </c>
      <c r="M1009" s="56" t="n">
        <v>0</v>
      </c>
      <c r="N1009" s="6" t="inlineStr">
        <is>
          <t>Amazon link not found</t>
        </is>
      </c>
      <c r="O1009" s="56">
        <f>IF(N1009="Selling pet toys + Artificial grass/Pet toilets (TARGET)",15,IF(N1009="Selling artificial grass/pet toilets (TARGET)",10,IF(N1009="Selling pet toys",7,IF(N1009="There's an Amazon link, but no target sales.",3,0))))</f>
        <v/>
      </c>
      <c r="P1009" s="65">
        <f>H1009+J1009+L1009+M1009+O1009</f>
        <v/>
      </c>
      <c r="Q1009" s="69">
        <f>IF(OR(H1009=0,P1009&lt;30),"Tier D (Đóng băng)",IF(P1009&gt;=85,"Tier S (Kim Cương: 85-100đ)",IF(P1009&gt;=70,"Tier A (Vàng: 70-84đ)",IF(P1009&gt;=61,"Tier B+ / Cấp A (Hot Lead: 61-69đ)",IF(P1009&gt;=50,"Tier B (Bạc: 50-60đ)","Tier C (Đồng: 30-49đ)")))))</f>
        <v/>
      </c>
      <c r="R1009" s="6" t="inlineStr">
        <is>
          <t>Khay vệ sinh chung cư (Indoor Potty) + Thảm cỏ ban công (Grass Patch) + Đồ chơi</t>
        </is>
      </c>
      <c r="S1009" s="6" t="inlineStr">
        <is>
          <t>Cấp C Chi phí thấp: Nhắn tin trực tiếp qua Fanpage Facebook/Instagram + Nuôi dưỡng nội dung</t>
        </is>
      </c>
    </row>
    <row r="1010">
      <c r="A1010" s="59" t="n">
        <v>3712</v>
      </c>
      <c r="B1010" s="15" t="inlineStr">
        <is>
          <t>dtx__bullies</t>
        </is>
      </c>
      <c r="C1010" s="60" t="inlineStr">
        <is>
          <t>https://www.facebook.com/profile.php?id=100023398376290</t>
        </is>
      </c>
      <c r="D1010" s="9" t="inlineStr">
        <is>
          <t>Cần quét Bio Fanpage</t>
        </is>
      </c>
      <c r="E1010" s="59" t="inlineStr">
        <is>
          <t>13/10/2026 03:21:22</t>
        </is>
      </c>
      <c r="F1010" s="59" t="inlineStr">
        <is>
          <t>4 giờ trước</t>
        </is>
      </c>
      <c r="G1010" s="61" t="n">
        <v>0.17</v>
      </c>
      <c r="H1010" s="62" t="n">
        <v>32</v>
      </c>
      <c r="I1010" s="9" t="inlineStr">
        <is>
          <t>Pet Owner / Cộng đồng nuôi cún (10đ)</t>
        </is>
      </c>
      <c r="J1010" s="62" t="n">
        <v>10</v>
      </c>
      <c r="K1010" s="9" t="inlineStr">
        <is>
          <t>Chưa rõ giống (Cần quét Bio)</t>
        </is>
      </c>
      <c r="L1010" s="62" t="n">
        <v>0</v>
      </c>
      <c r="M1010" s="62" t="n">
        <v>0</v>
      </c>
      <c r="N1010" s="9" t="inlineStr">
        <is>
          <t>Amazon link not found</t>
        </is>
      </c>
      <c r="O1010" s="62">
        <f>IF(N1010="Selling pet toys + Artificial grass/Pet toilets (TARGET)",15,IF(N1010="Selling artificial grass/pet toilets (TARGET)",10,IF(N1010="Selling pet toys",7,IF(N1010="There's an Amazon link, but no target sales.",3,0))))</f>
        <v/>
      </c>
      <c r="P1010" s="67">
        <f>H1010+J1010+L1010+M1010+O1010</f>
        <v/>
      </c>
      <c r="Q1010" s="69">
        <f>IF(OR(H1010=0,P1010&lt;30),"Tier D (Đóng băng)",IF(P1010&gt;=85,"Tier S (Kim Cương: 85-100đ)",IF(P1010&gt;=70,"Tier A (Vàng: 70-84đ)",IF(P1010&gt;=61,"Tier B+ / Cấp A (Hot Lead: 61-69đ)",IF(P1010&gt;=50,"Tier B (Bạc: 50-60đ)","Tier C (Đồng: 30-49đ)")))))</f>
        <v/>
      </c>
      <c r="R1010" s="9" t="inlineStr">
        <is>
          <t>Khay vệ sinh chung cư (Indoor Potty) + Thảm cỏ ban công (Grass Patch) + Đồ chơi</t>
        </is>
      </c>
      <c r="S1010" s="9" t="inlineStr">
        <is>
          <t>Cấp C Chi phí thấp: Nhắn tin trực tiếp qua Fanpage Facebook/Instagram + Nuôi dưỡng nội dung</t>
        </is>
      </c>
    </row>
    <row r="1011">
      <c r="A1011" s="53" t="n">
        <v>3360</v>
      </c>
      <c r="B1011" s="12" t="inlineStr">
        <is>
          <t>Waggywaggypets</t>
        </is>
      </c>
      <c r="C1011" s="54" t="inlineStr">
        <is>
          <t>https://www.facebook.com/profile.php?id=61576241803197</t>
        </is>
      </c>
      <c r="D1011" s="6" t="inlineStr">
        <is>
          <t>Cần quét Bio Fanpage</t>
        </is>
      </c>
      <c r="E1011" s="53" t="inlineStr">
        <is>
          <t>13/10/2026 02:54:52</t>
        </is>
      </c>
      <c r="F1011" s="53" t="inlineStr">
        <is>
          <t>4 giờ trước</t>
        </is>
      </c>
      <c r="G1011" s="55" t="n">
        <v>0.17</v>
      </c>
      <c r="H1011" s="56" t="n">
        <v>32</v>
      </c>
      <c r="I1011" s="6" t="inlineStr">
        <is>
          <t>Pet Owner / Cộng đồng nuôi cún (10đ)</t>
        </is>
      </c>
      <c r="J1011" s="56" t="n">
        <v>10</v>
      </c>
      <c r="K1011" s="6" t="inlineStr">
        <is>
          <t>Chưa rõ giống (Cần quét Bio)</t>
        </is>
      </c>
      <c r="L1011" s="56" t="n">
        <v>0</v>
      </c>
      <c r="M1011" s="56" t="n">
        <v>0</v>
      </c>
      <c r="N1011" s="6" t="inlineStr">
        <is>
          <t>Amazon link not found</t>
        </is>
      </c>
      <c r="O1011" s="56">
        <f>IF(N1011="Selling pet toys + Artificial grass/Pet toilets (TARGET)",15,IF(N1011="Selling artificial grass/pet toilets (TARGET)",10,IF(N1011="Selling pet toys",7,IF(N1011="There's an Amazon link, but no target sales.",3,0))))</f>
        <v/>
      </c>
      <c r="P1011" s="65">
        <f>H1011+J1011+L1011+M1011+O1011</f>
        <v/>
      </c>
      <c r="Q1011" s="69">
        <f>IF(OR(H1011=0,P1011&lt;30),"Tier D (Đóng băng)",IF(P1011&gt;=85,"Tier S (Kim Cương: 85-100đ)",IF(P1011&gt;=70,"Tier A (Vàng: 70-84đ)",IF(P1011&gt;=61,"Tier B+ / Cấp A (Hot Lead: 61-69đ)",IF(P1011&gt;=50,"Tier B (Bạc: 50-60đ)","Tier C (Đồng: 30-49đ)")))))</f>
        <v/>
      </c>
      <c r="R1011" s="6" t="inlineStr">
        <is>
          <t>Khay vệ sinh chung cư (Indoor Potty) + Thảm cỏ ban công (Grass Patch) + Đồ chơi</t>
        </is>
      </c>
      <c r="S1011" s="6" t="inlineStr">
        <is>
          <t>Cấp C Chi phí thấp: Nhắn tin trực tiếp qua Fanpage Facebook/Instagram + Nuôi dưỡng nội dung</t>
        </is>
      </c>
    </row>
    <row r="1012">
      <c r="A1012" s="59" t="n">
        <v>2604</v>
      </c>
      <c r="B1012" s="15" t="inlineStr">
        <is>
          <t>Potato.theprairiedog</t>
        </is>
      </c>
      <c r="C1012" s="60" t="inlineStr">
        <is>
          <t>https://www.facebook.com/profile.php?id=61584031725551</t>
        </is>
      </c>
      <c r="D1012" s="9" t="inlineStr">
        <is>
          <t>Cần quét Bio Fanpage</t>
        </is>
      </c>
      <c r="E1012" s="59" t="inlineStr">
        <is>
          <t>13/10/2026 01:20:22</t>
        </is>
      </c>
      <c r="F1012" s="59" t="inlineStr">
        <is>
          <t>4 giờ trước</t>
        </is>
      </c>
      <c r="G1012" s="61" t="n">
        <v>0.17</v>
      </c>
      <c r="H1012" s="62" t="n">
        <v>32</v>
      </c>
      <c r="I1012" s="9" t="inlineStr">
        <is>
          <t>Pet Owner / Cộng đồng nuôi cún (10đ)</t>
        </is>
      </c>
      <c r="J1012" s="62" t="n">
        <v>10</v>
      </c>
      <c r="K1012" s="9" t="inlineStr">
        <is>
          <t>Chưa rõ giống (Cần quét Bio)</t>
        </is>
      </c>
      <c r="L1012" s="62" t="n">
        <v>0</v>
      </c>
      <c r="M1012" s="62" t="n">
        <v>0</v>
      </c>
      <c r="N1012" s="9" t="inlineStr">
        <is>
          <t>Amazon link not found</t>
        </is>
      </c>
      <c r="O1012" s="62">
        <f>IF(N1012="Selling pet toys + Artificial grass/Pet toilets (TARGET)",15,IF(N1012="Selling artificial grass/pet toilets (TARGET)",10,IF(N1012="Selling pet toys",7,IF(N1012="There's an Amazon link, but no target sales.",3,0))))</f>
        <v/>
      </c>
      <c r="P1012" s="67">
        <f>H1012+J1012+L1012+M1012+O1012</f>
        <v/>
      </c>
      <c r="Q1012" s="69">
        <f>IF(OR(H1012=0,P1012&lt;30),"Tier D (Đóng băng)",IF(P1012&gt;=85,"Tier S (Kim Cương: 85-100đ)",IF(P1012&gt;=70,"Tier A (Vàng: 70-84đ)",IF(P1012&gt;=61,"Tier B+ / Cấp A (Hot Lead: 61-69đ)",IF(P1012&gt;=50,"Tier B (Bạc: 50-60đ)","Tier C (Đồng: 30-49đ)")))))</f>
        <v/>
      </c>
      <c r="R1012" s="9" t="inlineStr">
        <is>
          <t>Khay vệ sinh chung cư (Indoor Potty) + Thảm cỏ ban công (Grass Patch) + Đồ chơi</t>
        </is>
      </c>
      <c r="S1012" s="9" t="inlineStr">
        <is>
          <t>Cấp C Chi phí thấp: Nhắn tin trực tiếp qua Fanpage Facebook/Instagram + Nuôi dưỡng nội dung</t>
        </is>
      </c>
    </row>
    <row r="1013">
      <c r="A1013" s="53" t="n">
        <v>3161</v>
      </c>
      <c r="B1013" s="12" t="inlineStr">
        <is>
          <t>The Street Dog Coalition</t>
        </is>
      </c>
      <c r="C1013" s="54" t="inlineStr">
        <is>
          <t>https://www.facebook.com/thestreetdogcoalition</t>
        </is>
      </c>
      <c r="D1013" s="6" t="inlineStr">
        <is>
          <t>Cần quét Bio Fanpage</t>
        </is>
      </c>
      <c r="E1013" s="53" t="inlineStr">
        <is>
          <t>13/10/2026 01:15:18</t>
        </is>
      </c>
      <c r="F1013" s="53" t="inlineStr">
        <is>
          <t>5 giờ trước</t>
        </is>
      </c>
      <c r="G1013" s="55" t="n">
        <v>0.21</v>
      </c>
      <c r="H1013" s="56" t="n">
        <v>32</v>
      </c>
      <c r="I1013" s="6" t="inlineStr">
        <is>
          <t>Pet Owner / Cộng đồng nuôi cún (10đ)</t>
        </is>
      </c>
      <c r="J1013" s="56" t="n">
        <v>10</v>
      </c>
      <c r="K1013" s="6" t="inlineStr">
        <is>
          <t>Chưa rõ giống (Cần quét Bio)</t>
        </is>
      </c>
      <c r="L1013" s="56" t="n">
        <v>0</v>
      </c>
      <c r="M1013" s="56" t="n">
        <v>0</v>
      </c>
      <c r="N1013" s="6" t="inlineStr">
        <is>
          <t>Amazon link not found</t>
        </is>
      </c>
      <c r="O1013" s="56">
        <f>IF(N1013="Selling pet toys + Artificial grass/Pet toilets (TARGET)",15,IF(N1013="Selling artificial grass/pet toilets (TARGET)",10,IF(N1013="Selling pet toys",7,IF(N1013="There's an Amazon link, but no target sales.",3,0))))</f>
        <v/>
      </c>
      <c r="P1013" s="65">
        <f>H1013+J1013+L1013+M1013+O1013</f>
        <v/>
      </c>
      <c r="Q1013" s="69">
        <f>IF(OR(H1013=0,P1013&lt;30),"Tier D (Đóng băng)",IF(P1013&gt;=85,"Tier S (Kim Cương: 85-100đ)",IF(P1013&gt;=70,"Tier A (Vàng: 70-84đ)",IF(P1013&gt;=61,"Tier B+ / Cấp A (Hot Lead: 61-69đ)",IF(P1013&gt;=50,"Tier B (Bạc: 50-60đ)","Tier C (Đồng: 30-49đ)")))))</f>
        <v/>
      </c>
      <c r="R1013" s="6" t="inlineStr">
        <is>
          <t>Khay vệ sinh chung cư (Indoor Potty) + Thảm cỏ ban công (Grass Patch) + Đồ chơi</t>
        </is>
      </c>
      <c r="S1013" s="6" t="inlineStr">
        <is>
          <t>Cấp C Chi phí thấp: Nhắn tin trực tiếp qua Fanpage Facebook/Instagram + Nuôi dưỡng nội dung</t>
        </is>
      </c>
    </row>
    <row r="1014">
      <c r="A1014" s="59" t="n">
        <v>2233</v>
      </c>
      <c r="B1014" s="15" t="inlineStr">
        <is>
          <t>Muenster Pet</t>
        </is>
      </c>
      <c r="C1014" s="60" t="inlineStr">
        <is>
          <t>https://www.facebook.com/MuensterPetFoods</t>
        </is>
      </c>
      <c r="D1014" s="9" t="inlineStr">
        <is>
          <t>Cần quét Bio Fanpage</t>
        </is>
      </c>
      <c r="E1014" s="59" t="inlineStr">
        <is>
          <t>13/10/2026 00:47:02</t>
        </is>
      </c>
      <c r="F1014" s="59" t="inlineStr">
        <is>
          <t>4 giờ trước</t>
        </is>
      </c>
      <c r="G1014" s="61" t="n">
        <v>0.17</v>
      </c>
      <c r="H1014" s="62" t="n">
        <v>32</v>
      </c>
      <c r="I1014" s="9" t="inlineStr">
        <is>
          <t>Pet Owner / Cộng đồng nuôi cún (10đ)</t>
        </is>
      </c>
      <c r="J1014" s="62" t="n">
        <v>10</v>
      </c>
      <c r="K1014" s="9" t="inlineStr">
        <is>
          <t>Chưa rõ giống (Cần quét Bio)</t>
        </is>
      </c>
      <c r="L1014" s="62" t="n">
        <v>0</v>
      </c>
      <c r="M1014" s="62" t="n">
        <v>0</v>
      </c>
      <c r="N1014" s="9" t="inlineStr">
        <is>
          <t>Amazon link not found</t>
        </is>
      </c>
      <c r="O1014" s="62">
        <f>IF(N1014="Selling pet toys + Artificial grass/Pet toilets (TARGET)",15,IF(N1014="Selling artificial grass/pet toilets (TARGET)",10,IF(N1014="Selling pet toys",7,IF(N1014="There's an Amazon link, but no target sales.",3,0))))</f>
        <v/>
      </c>
      <c r="P1014" s="67">
        <f>H1014+J1014+L1014+M1014+O1014</f>
        <v/>
      </c>
      <c r="Q1014" s="69">
        <f>IF(OR(H1014=0,P1014&lt;30),"Tier D (Đóng băng)",IF(P1014&gt;=85,"Tier S (Kim Cương: 85-100đ)",IF(P1014&gt;=70,"Tier A (Vàng: 70-84đ)",IF(P1014&gt;=61,"Tier B+ / Cấp A (Hot Lead: 61-69đ)",IF(P1014&gt;=50,"Tier B (Bạc: 50-60đ)","Tier C (Đồng: 30-49đ)")))))</f>
        <v/>
      </c>
      <c r="R1014" s="9" t="inlineStr">
        <is>
          <t>Khay vệ sinh chung cư (Indoor Potty) + Thảm cỏ ban công (Grass Patch) + Đồ chơi</t>
        </is>
      </c>
      <c r="S1014" s="9" t="inlineStr">
        <is>
          <t>Cấp C Chi phí thấp: Nhắn tin trực tiếp qua Fanpage Facebook/Instagram + Nuôi dưỡng nội dung</t>
        </is>
      </c>
    </row>
    <row r="1015">
      <c r="A1015" s="53" t="n">
        <v>2513</v>
      </c>
      <c r="B1015" s="12" t="inlineStr">
        <is>
          <t>Petite Keep</t>
        </is>
      </c>
      <c r="C1015" s="54" t="inlineStr">
        <is>
          <t>https://www.facebook.com/petitekeep</t>
        </is>
      </c>
      <c r="D1015" s="6" t="inlineStr">
        <is>
          <t>Cần quét Bio Fanpage</t>
        </is>
      </c>
      <c r="E1015" s="53" t="inlineStr">
        <is>
          <t>13/10/2026 00:35:05</t>
        </is>
      </c>
      <c r="F1015" s="53" t="inlineStr">
        <is>
          <t>4 giờ trước</t>
        </is>
      </c>
      <c r="G1015" s="55" t="n">
        <v>0.17</v>
      </c>
      <c r="H1015" s="56" t="n">
        <v>32</v>
      </c>
      <c r="I1015" s="6" t="inlineStr">
        <is>
          <t>Pet Owner / Cộng đồng nuôi cún (10đ)</t>
        </is>
      </c>
      <c r="J1015" s="56" t="n">
        <v>10</v>
      </c>
      <c r="K1015" s="6" t="inlineStr">
        <is>
          <t>Chưa rõ giống (Cần quét Bio)</t>
        </is>
      </c>
      <c r="L1015" s="56" t="n">
        <v>0</v>
      </c>
      <c r="M1015" s="56" t="n">
        <v>0</v>
      </c>
      <c r="N1015" s="6" t="inlineStr">
        <is>
          <t>Amazon link not found</t>
        </is>
      </c>
      <c r="O1015" s="56">
        <f>IF(N1015="Selling pet toys + Artificial grass/Pet toilets (TARGET)",15,IF(N1015="Selling artificial grass/pet toilets (TARGET)",10,IF(N1015="Selling pet toys",7,IF(N1015="There's an Amazon link, but no target sales.",3,0))))</f>
        <v/>
      </c>
      <c r="P1015" s="65">
        <f>H1015+J1015+L1015+M1015+O1015</f>
        <v/>
      </c>
      <c r="Q1015" s="69">
        <f>IF(OR(H1015=0,P1015&lt;30),"Tier D (Đóng băng)",IF(P1015&gt;=85,"Tier S (Kim Cương: 85-100đ)",IF(P1015&gt;=70,"Tier A (Vàng: 70-84đ)",IF(P1015&gt;=61,"Tier B+ / Cấp A (Hot Lead: 61-69đ)",IF(P1015&gt;=50,"Tier B (Bạc: 50-60đ)","Tier C (Đồng: 30-49đ)")))))</f>
        <v/>
      </c>
      <c r="R1015" s="6" t="inlineStr">
        <is>
          <t>Khay vệ sinh chung cư (Indoor Potty) + Thảm cỏ ban công (Grass Patch) + Đồ chơi</t>
        </is>
      </c>
      <c r="S1015" s="6" t="inlineStr">
        <is>
          <t>Cấp C Chi phí thấp: Nhắn tin trực tiếp qua Fanpage Facebook/Instagram + Nuôi dưỡng nội dung</t>
        </is>
      </c>
    </row>
    <row r="1016">
      <c r="A1016" s="59" t="n">
        <v>2528</v>
      </c>
      <c r="B1016" s="15" t="inlineStr">
        <is>
          <t>petra.genco</t>
        </is>
      </c>
      <c r="C1016" s="60" t="inlineStr">
        <is>
          <t>https://www.facebook.com/petra.genco</t>
        </is>
      </c>
      <c r="D1016" s="9" t="inlineStr">
        <is>
          <t>Cần quét Bio Fanpage</t>
        </is>
      </c>
      <c r="E1016" s="59" t="inlineStr">
        <is>
          <t>13/10/2026 00:26:16</t>
        </is>
      </c>
      <c r="F1016" s="59" t="inlineStr">
        <is>
          <t>5 giờ trước</t>
        </is>
      </c>
      <c r="G1016" s="61" t="n">
        <v>0.21</v>
      </c>
      <c r="H1016" s="62" t="n">
        <v>32</v>
      </c>
      <c r="I1016" s="9" t="inlineStr">
        <is>
          <t>Pet Owner / Cộng đồng nuôi cún (10đ)</t>
        </is>
      </c>
      <c r="J1016" s="62" t="n">
        <v>10</v>
      </c>
      <c r="K1016" s="9" t="inlineStr">
        <is>
          <t>Chưa rõ giống (Cần quét Bio)</t>
        </is>
      </c>
      <c r="L1016" s="62" t="n">
        <v>0</v>
      </c>
      <c r="M1016" s="62" t="n">
        <v>0</v>
      </c>
      <c r="N1016" s="9" t="inlineStr">
        <is>
          <t>Amazon link not found</t>
        </is>
      </c>
      <c r="O1016" s="62">
        <f>IF(N1016="Selling pet toys + Artificial grass/Pet toilets (TARGET)",15,IF(N1016="Selling artificial grass/pet toilets (TARGET)",10,IF(N1016="Selling pet toys",7,IF(N1016="There's an Amazon link, but no target sales.",3,0))))</f>
        <v/>
      </c>
      <c r="P1016" s="67">
        <f>H1016+J1016+L1016+M1016+O1016</f>
        <v/>
      </c>
      <c r="Q1016" s="69">
        <f>IF(OR(H1016=0,P1016&lt;30),"Tier D (Đóng băng)",IF(P1016&gt;=85,"Tier S (Kim Cương: 85-100đ)",IF(P1016&gt;=70,"Tier A (Vàng: 70-84đ)",IF(P1016&gt;=61,"Tier B+ / Cấp A (Hot Lead: 61-69đ)",IF(P1016&gt;=50,"Tier B (Bạc: 50-60đ)","Tier C (Đồng: 30-49đ)")))))</f>
        <v/>
      </c>
      <c r="R1016" s="9" t="inlineStr">
        <is>
          <t>Khay vệ sinh chung cư (Indoor Potty) + Thảm cỏ ban công (Grass Patch) + Đồ chơi</t>
        </is>
      </c>
      <c r="S1016" s="9" t="inlineStr">
        <is>
          <t>Cấp C Chi phí thấp: Nhắn tin trực tiếp qua Fanpage Facebook/Instagram + Nuôi dưỡng nội dung</t>
        </is>
      </c>
    </row>
    <row r="1017">
      <c r="A1017" s="53" t="n">
        <v>2812</v>
      </c>
      <c r="B1017" s="12" t="inlineStr">
        <is>
          <t>Saint Francis Service Dogs</t>
        </is>
      </c>
      <c r="C1017" s="54" t="inlineStr">
        <is>
          <t>https://www.facebook.com/SaintFrancisservicedogs</t>
        </is>
      </c>
      <c r="D1017" s="6" t="inlineStr">
        <is>
          <t>Cần quét Bio Fanpage</t>
        </is>
      </c>
      <c r="E1017" s="53" t="inlineStr">
        <is>
          <t>13/10/2026 00:23:59</t>
        </is>
      </c>
      <c r="F1017" s="53" t="inlineStr">
        <is>
          <t>5 giờ trước</t>
        </is>
      </c>
      <c r="G1017" s="55" t="n">
        <v>0.21</v>
      </c>
      <c r="H1017" s="56" t="n">
        <v>32</v>
      </c>
      <c r="I1017" s="6" t="inlineStr">
        <is>
          <t>Pet Owner / Cộng đồng nuôi cún (10đ)</t>
        </is>
      </c>
      <c r="J1017" s="56" t="n">
        <v>10</v>
      </c>
      <c r="K1017" s="6" t="inlineStr">
        <is>
          <t>Chưa rõ giống (Cần quét Bio)</t>
        </is>
      </c>
      <c r="L1017" s="56" t="n">
        <v>0</v>
      </c>
      <c r="M1017" s="56" t="n">
        <v>0</v>
      </c>
      <c r="N1017" s="6" t="inlineStr">
        <is>
          <t>Amazon link not found</t>
        </is>
      </c>
      <c r="O1017" s="56">
        <f>IF(N1017="Selling pet toys + Artificial grass/Pet toilets (TARGET)",15,IF(N1017="Selling artificial grass/pet toilets (TARGET)",10,IF(N1017="Selling pet toys",7,IF(N1017="There's an Amazon link, but no target sales.",3,0))))</f>
        <v/>
      </c>
      <c r="P1017" s="65">
        <f>H1017+J1017+L1017+M1017+O1017</f>
        <v/>
      </c>
      <c r="Q1017" s="69">
        <f>IF(OR(H1017=0,P1017&lt;30),"Tier D (Đóng băng)",IF(P1017&gt;=85,"Tier S (Kim Cương: 85-100đ)",IF(P1017&gt;=70,"Tier A (Vàng: 70-84đ)",IF(P1017&gt;=61,"Tier B+ / Cấp A (Hot Lead: 61-69đ)",IF(P1017&gt;=50,"Tier B (Bạc: 50-60đ)","Tier C (Đồng: 30-49đ)")))))</f>
        <v/>
      </c>
      <c r="R1017" s="6" t="inlineStr">
        <is>
          <t>Khay vệ sinh chung cư (Indoor Potty) + Thảm cỏ ban công (Grass Patch) + Đồ chơi</t>
        </is>
      </c>
      <c r="S1017" s="6" t="inlineStr">
        <is>
          <t>Cấp C Chi phí thấp: Nhắn tin trực tiếp qua Fanpage Facebook/Instagram + Nuôi dưỡng nội dung</t>
        </is>
      </c>
    </row>
    <row r="1018">
      <c r="A1018" s="59" t="n">
        <v>2167</v>
      </c>
      <c r="B1018" s="15" t="inlineStr">
        <is>
          <t>Miami Dog Daddy</t>
        </is>
      </c>
      <c r="C1018" s="60" t="inlineStr">
        <is>
          <t>https://www.facebook.com/profile.php?id=61579134000257</t>
        </is>
      </c>
      <c r="D1018" s="9" t="inlineStr">
        <is>
          <t>Cần quét Bio Fanpage</t>
        </is>
      </c>
      <c r="E1018" s="59" t="inlineStr">
        <is>
          <t>13/10/2026 00:13:12</t>
        </is>
      </c>
      <c r="F1018" s="59" t="inlineStr">
        <is>
          <t>4 giờ trước</t>
        </is>
      </c>
      <c r="G1018" s="61" t="n">
        <v>0.17</v>
      </c>
      <c r="H1018" s="62" t="n">
        <v>32</v>
      </c>
      <c r="I1018" s="9" t="inlineStr">
        <is>
          <t>Pet Owner / Cộng đồng nuôi cún (10đ)</t>
        </is>
      </c>
      <c r="J1018" s="62" t="n">
        <v>10</v>
      </c>
      <c r="K1018" s="9" t="inlineStr">
        <is>
          <t>Chưa rõ giống (Cần quét Bio)</t>
        </is>
      </c>
      <c r="L1018" s="62" t="n">
        <v>0</v>
      </c>
      <c r="M1018" s="62" t="n">
        <v>0</v>
      </c>
      <c r="N1018" s="9" t="inlineStr">
        <is>
          <t>Amazon link not found</t>
        </is>
      </c>
      <c r="O1018" s="62">
        <f>IF(N1018="Selling pet toys + Artificial grass/Pet toilets (TARGET)",15,IF(N1018="Selling artificial grass/pet toilets (TARGET)",10,IF(N1018="Selling pet toys",7,IF(N1018="There's an Amazon link, but no target sales.",3,0))))</f>
        <v/>
      </c>
      <c r="P1018" s="67">
        <f>H1018+J1018+L1018+M1018+O1018</f>
        <v/>
      </c>
      <c r="Q1018" s="69">
        <f>IF(OR(H1018=0,P1018&lt;30),"Tier D (Đóng băng)",IF(P1018&gt;=85,"Tier S (Kim Cương: 85-100đ)",IF(P1018&gt;=70,"Tier A (Vàng: 70-84đ)",IF(P1018&gt;=61,"Tier B+ / Cấp A (Hot Lead: 61-69đ)",IF(P1018&gt;=50,"Tier B (Bạc: 50-60đ)","Tier C (Đồng: 30-49đ)")))))</f>
        <v/>
      </c>
      <c r="R1018" s="9" t="inlineStr">
        <is>
          <t>Khay vệ sinh chung cư (Indoor Potty) + Thảm cỏ ban công (Grass Patch) + Đồ chơi</t>
        </is>
      </c>
      <c r="S1018" s="9" t="inlineStr">
        <is>
          <t>Cấp C Chi phí thấp: Nhắn tin trực tiếp qua Fanpage Facebook/Instagram + Nuôi dưỡng nội dung</t>
        </is>
      </c>
    </row>
    <row r="1019">
      <c r="A1019" s="53" t="n">
        <v>3112</v>
      </c>
      <c r="B1019" s="12" t="inlineStr">
        <is>
          <t>The Dog’s Dish</t>
        </is>
      </c>
      <c r="C1019" s="54" t="inlineStr">
        <is>
          <t>https://www.facebook.com/thedogsdish</t>
        </is>
      </c>
      <c r="D1019" s="6" t="inlineStr">
        <is>
          <t>Cần quét Bio Fanpage</t>
        </is>
      </c>
      <c r="E1019" s="53" t="inlineStr">
        <is>
          <t>13/10/2026 00:12:14</t>
        </is>
      </c>
      <c r="F1019" s="53" t="inlineStr">
        <is>
          <t>6 giờ trước</t>
        </is>
      </c>
      <c r="G1019" s="55" t="n">
        <v>0.25</v>
      </c>
      <c r="H1019" s="56" t="n">
        <v>32</v>
      </c>
      <c r="I1019" s="6" t="inlineStr">
        <is>
          <t>Pet Owner / Kênh cá nhân thú cưng (10đ)</t>
        </is>
      </c>
      <c r="J1019" s="56" t="n">
        <v>10</v>
      </c>
      <c r="K1019" s="6" t="inlineStr">
        <is>
          <t>Chưa rõ giống (Cần quét Bio)</t>
        </is>
      </c>
      <c r="L1019" s="56" t="n">
        <v>0</v>
      </c>
      <c r="M1019" s="56" t="n">
        <v>0</v>
      </c>
      <c r="N1019" s="6" t="inlineStr">
        <is>
          <t>Amazon link not found</t>
        </is>
      </c>
      <c r="O1019" s="56">
        <f>IF(N1019="Selling pet toys + Artificial grass/Pet toilets (TARGET)",15,IF(N1019="Selling artificial grass/pet toilets (TARGET)",10,IF(N1019="Selling pet toys",7,IF(N1019="There's an Amazon link, but no target sales.",3,0))))</f>
        <v/>
      </c>
      <c r="P1019" s="65">
        <f>H1019+J1019+L1019+M1019+O1019</f>
        <v/>
      </c>
      <c r="Q1019" s="69">
        <f>IF(OR(H1019=0,P1019&lt;30),"Tier D (Đóng băng)",IF(P1019&gt;=85,"Tier S (Kim Cương: 85-100đ)",IF(P1019&gt;=70,"Tier A (Vàng: 70-84đ)",IF(P1019&gt;=61,"Tier B+ / Cấp A (Hot Lead: 61-69đ)",IF(P1019&gt;=50,"Tier B (Bạc: 50-60đ)","Tier C (Đồng: 30-49đ)")))))</f>
        <v/>
      </c>
      <c r="R1019" s="6" t="inlineStr">
        <is>
          <t>Khay vệ sinh trong nhà (Indoor Dog Potty) + Đồ chơi thú cưng lẻ</t>
        </is>
      </c>
      <c r="S1019" s="6" t="inlineStr">
        <is>
          <t>Cấp C Chi phí thấp: Nhắn tin trực tiếp qua Fanpage Facebook/Instagram + Nuôi dưỡng nội dung</t>
        </is>
      </c>
    </row>
    <row r="1020">
      <c r="A1020" s="59" t="n">
        <v>2911</v>
      </c>
      <c r="B1020" s="15" t="inlineStr">
        <is>
          <t>Skadi the flying Dog</t>
        </is>
      </c>
      <c r="C1020" s="60" t="inlineStr">
        <is>
          <t>https://www.facebook.com/skadiunleashed</t>
        </is>
      </c>
      <c r="D1020" s="9" t="inlineStr">
        <is>
          <t>Cần quét Bio Fanpage</t>
        </is>
      </c>
      <c r="E1020" s="59" t="inlineStr">
        <is>
          <t>13/10/2026 00:12:02</t>
        </is>
      </c>
      <c r="F1020" s="59" t="inlineStr">
        <is>
          <t>5 giờ trước</t>
        </is>
      </c>
      <c r="G1020" s="61" t="n">
        <v>0.21</v>
      </c>
      <c r="H1020" s="62" t="n">
        <v>32</v>
      </c>
      <c r="I1020" s="9" t="inlineStr">
        <is>
          <t>Pet Owner / Cộng đồng nuôi cún (10đ)</t>
        </is>
      </c>
      <c r="J1020" s="62" t="n">
        <v>10</v>
      </c>
      <c r="K1020" s="9" t="inlineStr">
        <is>
          <t>Chưa rõ giống (Cần quét Bio)</t>
        </is>
      </c>
      <c r="L1020" s="62" t="n">
        <v>0</v>
      </c>
      <c r="M1020" s="62" t="n">
        <v>0</v>
      </c>
      <c r="N1020" s="9" t="inlineStr">
        <is>
          <t>Amazon link not found</t>
        </is>
      </c>
      <c r="O1020" s="62">
        <f>IF(N1020="Selling pet toys + Artificial grass/Pet toilets (TARGET)",15,IF(N1020="Selling artificial grass/pet toilets (TARGET)",10,IF(N1020="Selling pet toys",7,IF(N1020="There's an Amazon link, but no target sales.",3,0))))</f>
        <v/>
      </c>
      <c r="P1020" s="67">
        <f>H1020+J1020+L1020+M1020+O1020</f>
        <v/>
      </c>
      <c r="Q1020" s="69">
        <f>IF(OR(H1020=0,P1020&lt;30),"Tier D (Đóng băng)",IF(P1020&gt;=85,"Tier S (Kim Cương: 85-100đ)",IF(P1020&gt;=70,"Tier A (Vàng: 70-84đ)",IF(P1020&gt;=61,"Tier B+ / Cấp A (Hot Lead: 61-69đ)",IF(P1020&gt;=50,"Tier B (Bạc: 50-60đ)","Tier C (Đồng: 30-49đ)")))))</f>
        <v/>
      </c>
      <c r="R1020" s="9" t="inlineStr">
        <is>
          <t>Khay vệ sinh chung cư (Indoor Potty) + Thảm cỏ ban công (Grass Patch) + Đồ chơi</t>
        </is>
      </c>
      <c r="S1020" s="9" t="inlineStr">
        <is>
          <t>Cấp C Chi phí thấp: Nhắn tin trực tiếp qua Fanpage Facebook/Instagram + Nuôi dưỡng nội dung</t>
        </is>
      </c>
    </row>
    <row r="1021">
      <c r="A1021" s="53" t="n">
        <v>2849</v>
      </c>
      <c r="B1021" s="12" t="inlineStr">
        <is>
          <t>Seacoast DockDogs</t>
        </is>
      </c>
      <c r="C1021" s="54" t="inlineStr">
        <is>
          <t>https://www.facebook.com/profile.php?id=100050458129149</t>
        </is>
      </c>
      <c r="D1021" s="6" t="inlineStr">
        <is>
          <t>Cần quét Bio Fanpage</t>
        </is>
      </c>
      <c r="E1021" s="53" t="inlineStr">
        <is>
          <t>13/10/2026 00:09:03</t>
        </is>
      </c>
      <c r="F1021" s="53" t="inlineStr">
        <is>
          <t>5 giờ trước</t>
        </is>
      </c>
      <c r="G1021" s="55" t="n">
        <v>0.21</v>
      </c>
      <c r="H1021" s="56" t="n">
        <v>32</v>
      </c>
      <c r="I1021" s="6" t="inlineStr">
        <is>
          <t>Pet Owner / Cộng đồng nuôi cún (10đ)</t>
        </is>
      </c>
      <c r="J1021" s="56" t="n">
        <v>10</v>
      </c>
      <c r="K1021" s="6" t="inlineStr">
        <is>
          <t>Chưa rõ giống (Cần quét Bio)</t>
        </is>
      </c>
      <c r="L1021" s="56" t="n">
        <v>0</v>
      </c>
      <c r="M1021" s="56" t="n">
        <v>0</v>
      </c>
      <c r="N1021" s="6" t="inlineStr">
        <is>
          <t>Amazon link not found</t>
        </is>
      </c>
      <c r="O1021" s="56">
        <f>IF(N1021="Selling pet toys + Artificial grass/Pet toilets (TARGET)",15,IF(N1021="Selling artificial grass/pet toilets (TARGET)",10,IF(N1021="Selling pet toys",7,IF(N1021="There's an Amazon link, but no target sales.",3,0))))</f>
        <v/>
      </c>
      <c r="P1021" s="65">
        <f>H1021+J1021+L1021+M1021+O1021</f>
        <v/>
      </c>
      <c r="Q1021" s="69">
        <f>IF(OR(H1021=0,P1021&lt;30),"Tier D (Đóng băng)",IF(P1021&gt;=85,"Tier S (Kim Cương: 85-100đ)",IF(P1021&gt;=70,"Tier A (Vàng: 70-84đ)",IF(P1021&gt;=61,"Tier B+ / Cấp A (Hot Lead: 61-69đ)",IF(P1021&gt;=50,"Tier B (Bạc: 50-60đ)","Tier C (Đồng: 30-49đ)")))))</f>
        <v/>
      </c>
      <c r="R1021" s="6" t="inlineStr">
        <is>
          <t>Khay vệ sinh chung cư (Indoor Potty) + Thảm cỏ ban công (Grass Patch) + Đồ chơi</t>
        </is>
      </c>
      <c r="S1021" s="6" t="inlineStr">
        <is>
          <t>Cấp C Chi phí thấp: Nhắn tin trực tiếp qua Fanpage Facebook/Instagram + Nuôi dưỡng nội dung</t>
        </is>
      </c>
    </row>
    <row r="1022">
      <c r="A1022" s="59" t="n">
        <v>2950</v>
      </c>
      <c r="B1022" s="15" t="inlineStr">
        <is>
          <t>southenddogtrainingandwalking</t>
        </is>
      </c>
      <c r="C1022" s="60" t="inlineStr">
        <is>
          <t>https://www.facebook.com/southenddogtrainingandwalking</t>
        </is>
      </c>
      <c r="D1022" s="9" t="inlineStr">
        <is>
          <t>Cần quét Bio Fanpage</t>
        </is>
      </c>
      <c r="E1022" s="59" t="inlineStr">
        <is>
          <t>12/10/2026 23:31:04</t>
        </is>
      </c>
      <c r="F1022" s="59" t="inlineStr">
        <is>
          <t>6 giờ trước</t>
        </is>
      </c>
      <c r="G1022" s="61" t="n">
        <v>0.25</v>
      </c>
      <c r="H1022" s="62" t="n">
        <v>32</v>
      </c>
      <c r="I1022" s="9" t="inlineStr">
        <is>
          <t>Pet Owner / Cộng đồng nuôi cún (10đ)</t>
        </is>
      </c>
      <c r="J1022" s="62" t="n">
        <v>10</v>
      </c>
      <c r="K1022" s="9" t="inlineStr">
        <is>
          <t>Chưa rõ giống (Cần quét Bio)</t>
        </is>
      </c>
      <c r="L1022" s="62" t="n">
        <v>0</v>
      </c>
      <c r="M1022" s="62" t="n">
        <v>0</v>
      </c>
      <c r="N1022" s="9" t="inlineStr">
        <is>
          <t>Amazon link not found</t>
        </is>
      </c>
      <c r="O1022" s="62">
        <f>IF(N1022="Selling pet toys + Artificial grass/Pet toilets (TARGET)",15,IF(N1022="Selling artificial grass/pet toilets (TARGET)",10,IF(N1022="Selling pet toys",7,IF(N1022="There's an Amazon link, but no target sales.",3,0))))</f>
        <v/>
      </c>
      <c r="P1022" s="67">
        <f>H1022+J1022+L1022+M1022+O1022</f>
        <v/>
      </c>
      <c r="Q1022" s="69">
        <f>IF(OR(H1022=0,P1022&lt;30),"Tier D (Đóng băng)",IF(P1022&gt;=85,"Tier S (Kim Cương: 85-100đ)",IF(P1022&gt;=70,"Tier A (Vàng: 70-84đ)",IF(P1022&gt;=61,"Tier B+ / Cấp A (Hot Lead: 61-69đ)",IF(P1022&gt;=50,"Tier B (Bạc: 50-60đ)","Tier C (Đồng: 30-49đ)")))))</f>
        <v/>
      </c>
      <c r="R1022" s="9" t="inlineStr">
        <is>
          <t>Khay vệ sinh chung cư (Indoor Potty) + Thảm cỏ ban công (Grass Patch) + Đồ chơi</t>
        </is>
      </c>
      <c r="S1022" s="9" t="inlineStr">
        <is>
          <t>Cấp C Chi phí thấp: Nhắn tin trực tiếp qua Fanpage Facebook/Instagram + Nuôi dưỡng nội dung</t>
        </is>
      </c>
    </row>
    <row r="1023">
      <c r="A1023" s="53" t="n">
        <v>2979</v>
      </c>
      <c r="B1023" s="12" t="inlineStr">
        <is>
          <t>Springland Pets</t>
        </is>
      </c>
      <c r="C1023" s="54" t="inlineStr">
        <is>
          <t>https://www.facebook.com/Springlandpets</t>
        </is>
      </c>
      <c r="D1023" s="6" t="inlineStr">
        <is>
          <t>Cần quét Bio Fanpage</t>
        </is>
      </c>
      <c r="E1023" s="53" t="inlineStr">
        <is>
          <t>12/10/2026 23:31:00</t>
        </is>
      </c>
      <c r="F1023" s="53" t="inlineStr">
        <is>
          <t>6 giờ trước</t>
        </is>
      </c>
      <c r="G1023" s="55" t="n">
        <v>0.25</v>
      </c>
      <c r="H1023" s="56" t="n">
        <v>32</v>
      </c>
      <c r="I1023" s="6" t="inlineStr">
        <is>
          <t>Pet Owner / Cộng đồng nuôi cún (10đ)</t>
        </is>
      </c>
      <c r="J1023" s="56" t="n">
        <v>10</v>
      </c>
      <c r="K1023" s="6" t="inlineStr">
        <is>
          <t>Chưa rõ giống (Cần quét Bio)</t>
        </is>
      </c>
      <c r="L1023" s="56" t="n">
        <v>0</v>
      </c>
      <c r="M1023" s="56" t="n">
        <v>0</v>
      </c>
      <c r="N1023" s="6" t="inlineStr">
        <is>
          <t>Amazon link not found</t>
        </is>
      </c>
      <c r="O1023" s="56">
        <f>IF(N1023="Selling pet toys + Artificial grass/Pet toilets (TARGET)",15,IF(N1023="Selling artificial grass/pet toilets (TARGET)",10,IF(N1023="Selling pet toys",7,IF(N1023="There's an Amazon link, but no target sales.",3,0))))</f>
        <v/>
      </c>
      <c r="P1023" s="65">
        <f>H1023+J1023+L1023+M1023+O1023</f>
        <v/>
      </c>
      <c r="Q1023" s="69">
        <f>IF(OR(H1023=0,P1023&lt;30),"Tier D (Đóng băng)",IF(P1023&gt;=85,"Tier S (Kim Cương: 85-100đ)",IF(P1023&gt;=70,"Tier A (Vàng: 70-84đ)",IF(P1023&gt;=61,"Tier B+ / Cấp A (Hot Lead: 61-69đ)",IF(P1023&gt;=50,"Tier B (Bạc: 50-60đ)","Tier C (Đồng: 30-49đ)")))))</f>
        <v/>
      </c>
      <c r="R1023" s="6" t="inlineStr">
        <is>
          <t>Khay vệ sinh chung cư (Indoor Potty) + Thảm cỏ ban công (Grass Patch) + Đồ chơi</t>
        </is>
      </c>
      <c r="S1023" s="6" t="inlineStr">
        <is>
          <t>Cấp C Chi phí thấp: Nhắn tin trực tiếp qua Fanpage Facebook/Instagram + Nuôi dưỡng nội dung</t>
        </is>
      </c>
    </row>
    <row r="1024">
      <c r="A1024" s="59" t="n">
        <v>2057</v>
      </c>
      <c r="B1024" s="15" t="inlineStr">
        <is>
          <t>Lost Found Pets Jacksonville and North Florida</t>
        </is>
      </c>
      <c r="C1024" s="60" t="inlineStr">
        <is>
          <t>https://www.facebook.com/jaxanimals</t>
        </is>
      </c>
      <c r="D1024" s="9" t="inlineStr">
        <is>
          <t>Cần quét Bio Fanpage</t>
        </is>
      </c>
      <c r="E1024" s="59" t="inlineStr">
        <is>
          <t>12/10/2026 23:23:03</t>
        </is>
      </c>
      <c r="F1024" s="59" t="inlineStr">
        <is>
          <t>5 giờ trước</t>
        </is>
      </c>
      <c r="G1024" s="61" t="n">
        <v>0.21</v>
      </c>
      <c r="H1024" s="62" t="n">
        <v>32</v>
      </c>
      <c r="I1024" s="9" t="inlineStr">
        <is>
          <t>Pet Owner / Cộng đồng nuôi cún (10đ)</t>
        </is>
      </c>
      <c r="J1024" s="62" t="n">
        <v>10</v>
      </c>
      <c r="K1024" s="9" t="inlineStr">
        <is>
          <t>Chưa rõ giống (Cần quét Bio)</t>
        </is>
      </c>
      <c r="L1024" s="62" t="n">
        <v>0</v>
      </c>
      <c r="M1024" s="62" t="n">
        <v>0</v>
      </c>
      <c r="N1024" s="9" t="inlineStr">
        <is>
          <t>Amazon link not found</t>
        </is>
      </c>
      <c r="O1024" s="62">
        <f>IF(N1024="Selling pet toys + Artificial grass/Pet toilets (TARGET)",15,IF(N1024="Selling artificial grass/pet toilets (TARGET)",10,IF(N1024="Selling pet toys",7,IF(N1024="There's an Amazon link, but no target sales.",3,0))))</f>
        <v/>
      </c>
      <c r="P1024" s="67">
        <f>H1024+J1024+L1024+M1024+O1024</f>
        <v/>
      </c>
      <c r="Q1024" s="69">
        <f>IF(OR(H1024=0,P1024&lt;30),"Tier D (Đóng băng)",IF(P1024&gt;=85,"Tier S (Kim Cương: 85-100đ)",IF(P1024&gt;=70,"Tier A (Vàng: 70-84đ)",IF(P1024&gt;=61,"Tier B+ / Cấp A (Hot Lead: 61-69đ)",IF(P1024&gt;=50,"Tier B (Bạc: 50-60đ)","Tier C (Đồng: 30-49đ)")))))</f>
        <v/>
      </c>
      <c r="R1024" s="9" t="inlineStr">
        <is>
          <t>Khay vệ sinh chung cư (Indoor Potty) + Thảm cỏ ban công (Grass Patch) + Đồ chơi</t>
        </is>
      </c>
      <c r="S1024" s="9" t="inlineStr">
        <is>
          <t>Cấp C Chi phí thấp: Nhắn tin trực tiếp qua Fanpage Facebook/Instagram + Nuôi dưỡng nội dung</t>
        </is>
      </c>
    </row>
    <row r="1025">
      <c r="A1025" s="53" t="n">
        <v>1646</v>
      </c>
      <c r="B1025" s="12" t="inlineStr">
        <is>
          <t>Herboozytails, Dogs and Travel</t>
        </is>
      </c>
      <c r="C1025" s="54" t="inlineStr">
        <is>
          <t>https://www.facebook.com/herboozytails</t>
        </is>
      </c>
      <c r="D1025" s="6" t="inlineStr">
        <is>
          <t>Cần quét Bio Fanpage</t>
        </is>
      </c>
      <c r="E1025" s="53" t="inlineStr">
        <is>
          <t>12/10/2026 23:21:14</t>
        </is>
      </c>
      <c r="F1025" s="53" t="inlineStr">
        <is>
          <t>4 giờ trước</t>
        </is>
      </c>
      <c r="G1025" s="55" t="n">
        <v>0.17</v>
      </c>
      <c r="H1025" s="56" t="n">
        <v>32</v>
      </c>
      <c r="I1025" s="6" t="inlineStr">
        <is>
          <t>Pet Owner / Cộng đồng nuôi cún (10đ)</t>
        </is>
      </c>
      <c r="J1025" s="56" t="n">
        <v>10</v>
      </c>
      <c r="K1025" s="6" t="inlineStr">
        <is>
          <t>Chưa rõ giống (Cần quét Bio)</t>
        </is>
      </c>
      <c r="L1025" s="56" t="n">
        <v>0</v>
      </c>
      <c r="M1025" s="56" t="n">
        <v>0</v>
      </c>
      <c r="N1025" s="6" t="inlineStr">
        <is>
          <t>Amazon link not found</t>
        </is>
      </c>
      <c r="O1025" s="56">
        <f>IF(N1025="Selling pet toys + Artificial grass/Pet toilets (TARGET)",15,IF(N1025="Selling artificial grass/pet toilets (TARGET)",10,IF(N1025="Selling pet toys",7,IF(N1025="There's an Amazon link, but no target sales.",3,0))))</f>
        <v/>
      </c>
      <c r="P1025" s="65">
        <f>H1025+J1025+L1025+M1025+O1025</f>
        <v/>
      </c>
      <c r="Q1025" s="69">
        <f>IF(OR(H1025=0,P1025&lt;30),"Tier D (Đóng băng)",IF(P1025&gt;=85,"Tier S (Kim Cương: 85-100đ)",IF(P1025&gt;=70,"Tier A (Vàng: 70-84đ)",IF(P1025&gt;=61,"Tier B+ / Cấp A (Hot Lead: 61-69đ)",IF(P1025&gt;=50,"Tier B (Bạc: 50-60đ)","Tier C (Đồng: 30-49đ)")))))</f>
        <v/>
      </c>
      <c r="R1025" s="6" t="inlineStr">
        <is>
          <t>Khay vệ sinh chung cư (Indoor Potty) + Thảm cỏ ban công (Grass Patch) + Đồ chơi</t>
        </is>
      </c>
      <c r="S1025" s="6" t="inlineStr">
        <is>
          <t>Cấp C Chi phí thấp: Nhắn tin trực tiếp qua Fanpage Facebook/Instagram + Nuôi dưỡng nội dung</t>
        </is>
      </c>
    </row>
    <row r="1026">
      <c r="A1026" s="59" t="n">
        <v>2851</v>
      </c>
      <c r="B1026" s="15" t="inlineStr">
        <is>
          <t>Second Chance Bird Dogs</t>
        </is>
      </c>
      <c r="C1026" s="60" t="inlineStr">
        <is>
          <t>https://www.facebook.com/profile.php?id=61582025930093</t>
        </is>
      </c>
      <c r="D1026" s="9" t="inlineStr">
        <is>
          <t>Cần quét Bio Fanpage</t>
        </is>
      </c>
      <c r="E1026" s="59" t="inlineStr">
        <is>
          <t>12/10/2026 23:19:28</t>
        </is>
      </c>
      <c r="F1026" s="59" t="inlineStr">
        <is>
          <t>6 giờ trước</t>
        </is>
      </c>
      <c r="G1026" s="61" t="n">
        <v>0.25</v>
      </c>
      <c r="H1026" s="62" t="n">
        <v>32</v>
      </c>
      <c r="I1026" s="9" t="inlineStr">
        <is>
          <t>Pet Owner / Cộng đồng nuôi cún (10đ)</t>
        </is>
      </c>
      <c r="J1026" s="62" t="n">
        <v>10</v>
      </c>
      <c r="K1026" s="9" t="inlineStr">
        <is>
          <t>Chưa rõ giống (Cần quét Bio)</t>
        </is>
      </c>
      <c r="L1026" s="62" t="n">
        <v>0</v>
      </c>
      <c r="M1026" s="62" t="n">
        <v>0</v>
      </c>
      <c r="N1026" s="9" t="inlineStr">
        <is>
          <t>Amazon link not found</t>
        </is>
      </c>
      <c r="O1026" s="62">
        <f>IF(N1026="Selling pet toys + Artificial grass/Pet toilets (TARGET)",15,IF(N1026="Selling artificial grass/pet toilets (TARGET)",10,IF(N1026="Selling pet toys",7,IF(N1026="There's an Amazon link, but no target sales.",3,0))))</f>
        <v/>
      </c>
      <c r="P1026" s="67">
        <f>H1026+J1026+L1026+M1026+O1026</f>
        <v/>
      </c>
      <c r="Q1026" s="69">
        <f>IF(OR(H1026=0,P1026&lt;30),"Tier D (Đóng băng)",IF(P1026&gt;=85,"Tier S (Kim Cương: 85-100đ)",IF(P1026&gt;=70,"Tier A (Vàng: 70-84đ)",IF(P1026&gt;=61,"Tier B+ / Cấp A (Hot Lead: 61-69đ)",IF(P1026&gt;=50,"Tier B (Bạc: 50-60đ)","Tier C (Đồng: 30-49đ)")))))</f>
        <v/>
      </c>
      <c r="R1026" s="9" t="inlineStr">
        <is>
          <t>Khay vệ sinh chung cư (Indoor Potty) + Thảm cỏ ban công (Grass Patch) + Đồ chơi</t>
        </is>
      </c>
      <c r="S1026" s="9" t="inlineStr">
        <is>
          <t>Cấp C Chi phí thấp: Nhắn tin trực tiếp qua Fanpage Facebook/Instagram + Nuôi dưỡng nội dung</t>
        </is>
      </c>
    </row>
    <row r="1027">
      <c r="A1027" s="53" t="n">
        <v>1841</v>
      </c>
      <c r="B1027" s="12" t="inlineStr">
        <is>
          <t>Kamalfernandezdogtraining</t>
        </is>
      </c>
      <c r="C1027" s="54" t="inlineStr">
        <is>
          <t>https://www.facebook.com/kamalfernandezdogtraining</t>
        </is>
      </c>
      <c r="D1027" s="6" t="inlineStr">
        <is>
          <t>Cần quét Bio Fanpage</t>
        </is>
      </c>
      <c r="E1027" s="53" t="inlineStr">
        <is>
          <t>12/10/2026 22:59:08</t>
        </is>
      </c>
      <c r="F1027" s="53" t="inlineStr">
        <is>
          <t>5 giờ trước</t>
        </is>
      </c>
      <c r="G1027" s="55" t="n">
        <v>0.21</v>
      </c>
      <c r="H1027" s="56" t="n">
        <v>32</v>
      </c>
      <c r="I1027" s="6" t="inlineStr">
        <is>
          <t>Pet Owner / Cộng đồng nuôi cún (10đ)</t>
        </is>
      </c>
      <c r="J1027" s="56" t="n">
        <v>10</v>
      </c>
      <c r="K1027" s="6" t="inlineStr">
        <is>
          <t>Chưa rõ giống (Cần quét Bio)</t>
        </is>
      </c>
      <c r="L1027" s="56" t="n">
        <v>0</v>
      </c>
      <c r="M1027" s="56" t="n">
        <v>0</v>
      </c>
      <c r="N1027" s="6" t="inlineStr">
        <is>
          <t>Amazon link not found</t>
        </is>
      </c>
      <c r="O1027" s="56">
        <f>IF(N1027="Selling pet toys + Artificial grass/Pet toilets (TARGET)",15,IF(N1027="Selling artificial grass/pet toilets (TARGET)",10,IF(N1027="Selling pet toys",7,IF(N1027="There's an Amazon link, but no target sales.",3,0))))</f>
        <v/>
      </c>
      <c r="P1027" s="65">
        <f>H1027+J1027+L1027+M1027+O1027</f>
        <v/>
      </c>
      <c r="Q1027" s="69">
        <f>IF(OR(H1027=0,P1027&lt;30),"Tier D (Đóng băng)",IF(P1027&gt;=85,"Tier S (Kim Cương: 85-100đ)",IF(P1027&gt;=70,"Tier A (Vàng: 70-84đ)",IF(P1027&gt;=61,"Tier B+ / Cấp A (Hot Lead: 61-69đ)",IF(P1027&gt;=50,"Tier B (Bạc: 50-60đ)","Tier C (Đồng: 30-49đ)")))))</f>
        <v/>
      </c>
      <c r="R1027" s="6" t="inlineStr">
        <is>
          <t>Khay vệ sinh chung cư (Indoor Potty) + Thảm cỏ ban công (Grass Patch) + Đồ chơi</t>
        </is>
      </c>
      <c r="S1027" s="6" t="inlineStr">
        <is>
          <t>Cấp C Chi phí thấp: Nhắn tin trực tiếp qua Fanpage Facebook/Instagram + Nuôi dưỡng nội dung</t>
        </is>
      </c>
    </row>
    <row r="1028">
      <c r="A1028" s="59" t="n">
        <v>1375</v>
      </c>
      <c r="B1028" s="15" t="inlineStr">
        <is>
          <t>Field Dog Life</t>
        </is>
      </c>
      <c r="C1028" s="60" t="inlineStr">
        <is>
          <t>https://www.facebook.com/fielddoglife1</t>
        </is>
      </c>
      <c r="D1028" s="9" t="inlineStr">
        <is>
          <t>Cần quét Bio Fanpage</t>
        </is>
      </c>
      <c r="E1028" s="59" t="inlineStr">
        <is>
          <t>12/10/2026 22:59:00</t>
        </is>
      </c>
      <c r="F1028" s="59" t="inlineStr">
        <is>
          <t>4 giờ trước</t>
        </is>
      </c>
      <c r="G1028" s="61" t="n">
        <v>0.17</v>
      </c>
      <c r="H1028" s="62" t="n">
        <v>32</v>
      </c>
      <c r="I1028" s="9" t="inlineStr">
        <is>
          <t>Pet Owner / Kênh cá nhân thú cưng (10đ)</t>
        </is>
      </c>
      <c r="J1028" s="62" t="n">
        <v>10</v>
      </c>
      <c r="K1028" s="9" t="inlineStr">
        <is>
          <t>Chưa rõ giống (Cần quét Bio)</t>
        </is>
      </c>
      <c r="L1028" s="62" t="n">
        <v>0</v>
      </c>
      <c r="M1028" s="62" t="n">
        <v>0</v>
      </c>
      <c r="N1028" s="9" t="inlineStr">
        <is>
          <t>Amazon link not found</t>
        </is>
      </c>
      <c r="O1028" s="62">
        <f>IF(N1028="Selling pet toys + Artificial grass/Pet toilets (TARGET)",15,IF(N1028="Selling artificial grass/pet toilets (TARGET)",10,IF(N1028="Selling pet toys",7,IF(N1028="There's an Amazon link, but no target sales.",3,0))))</f>
        <v/>
      </c>
      <c r="P1028" s="67">
        <f>H1028+J1028+L1028+M1028+O1028</f>
        <v/>
      </c>
      <c r="Q1028" s="69">
        <f>IF(OR(H1028=0,P1028&lt;30),"Tier D (Đóng băng)",IF(P1028&gt;=85,"Tier S (Kim Cương: 85-100đ)",IF(P1028&gt;=70,"Tier A (Vàng: 70-84đ)",IF(P1028&gt;=61,"Tier B+ / Cấp A (Hot Lead: 61-69đ)",IF(P1028&gt;=50,"Tier B (Bạc: 50-60đ)","Tier C (Đồng: 30-49đ)")))))</f>
        <v/>
      </c>
      <c r="R1028" s="9" t="inlineStr">
        <is>
          <t>Khay vệ sinh trong nhà (Indoor Dog Potty) + Đồ chơi thú cưng lẻ</t>
        </is>
      </c>
      <c r="S1028" s="9" t="inlineStr">
        <is>
          <t>Cấp C Chi phí thấp: Nhắn tin trực tiếp qua Fanpage Facebook/Instagram + Nuôi dưỡng nội dung</t>
        </is>
      </c>
    </row>
    <row r="1029">
      <c r="A1029" s="53" t="n">
        <v>2385</v>
      </c>
      <c r="B1029" s="12" t="inlineStr">
        <is>
          <t>Oxydogcin</t>
        </is>
      </c>
      <c r="C1029" s="54" t="inlineStr">
        <is>
          <t>https://www.facebook.com/Oxydogcin.de</t>
        </is>
      </c>
      <c r="D1029" s="6" t="inlineStr">
        <is>
          <t>Cần quét Bio Fanpage</t>
        </is>
      </c>
      <c r="E1029" s="53" t="inlineStr">
        <is>
          <t>12/10/2026 22:55:00</t>
        </is>
      </c>
      <c r="F1029" s="53" t="inlineStr">
        <is>
          <t>6 giờ trước</t>
        </is>
      </c>
      <c r="G1029" s="55" t="n">
        <v>0.25</v>
      </c>
      <c r="H1029" s="56" t="n">
        <v>32</v>
      </c>
      <c r="I1029" s="6" t="inlineStr">
        <is>
          <t>Pet Owner / Cộng đồng nuôi cún (10đ)</t>
        </is>
      </c>
      <c r="J1029" s="56" t="n">
        <v>10</v>
      </c>
      <c r="K1029" s="6" t="inlineStr">
        <is>
          <t>Chưa rõ giống (Cần quét Bio)</t>
        </is>
      </c>
      <c r="L1029" s="56" t="n">
        <v>0</v>
      </c>
      <c r="M1029" s="56" t="n">
        <v>0</v>
      </c>
      <c r="N1029" s="6" t="inlineStr">
        <is>
          <t>Amazon link not found</t>
        </is>
      </c>
      <c r="O1029" s="56">
        <f>IF(N1029="Selling pet toys + Artificial grass/Pet toilets (TARGET)",15,IF(N1029="Selling artificial grass/pet toilets (TARGET)",10,IF(N1029="Selling pet toys",7,IF(N1029="There's an Amazon link, but no target sales.",3,0))))</f>
        <v/>
      </c>
      <c r="P1029" s="65">
        <f>H1029+J1029+L1029+M1029+O1029</f>
        <v/>
      </c>
      <c r="Q1029" s="69">
        <f>IF(OR(H1029=0,P1029&lt;30),"Tier D (Đóng băng)",IF(P1029&gt;=85,"Tier S (Kim Cương: 85-100đ)",IF(P1029&gt;=70,"Tier A (Vàng: 70-84đ)",IF(P1029&gt;=61,"Tier B+ / Cấp A (Hot Lead: 61-69đ)",IF(P1029&gt;=50,"Tier B (Bạc: 50-60đ)","Tier C (Đồng: 30-49đ)")))))</f>
        <v/>
      </c>
      <c r="R1029" s="6" t="inlineStr">
        <is>
          <t>Khay vệ sinh chung cư (Indoor Potty) + Thảm cỏ ban công (Grass Patch) + Đồ chơi</t>
        </is>
      </c>
      <c r="S1029" s="6" t="inlineStr">
        <is>
          <t>Cấp C Chi phí thấp: Nhắn tin trực tiếp qua Fanpage Facebook/Instagram + Nuôi dưỡng nội dung</t>
        </is>
      </c>
    </row>
    <row r="1030">
      <c r="A1030" s="59" t="n">
        <v>1923</v>
      </c>
      <c r="B1030" s="15" t="inlineStr">
        <is>
          <t>Kermit the Dog</t>
        </is>
      </c>
      <c r="C1030" s="60" t="inlineStr">
        <is>
          <t>https://www.facebook.com/Kermit.the.Dogge</t>
        </is>
      </c>
      <c r="D1030" s="9" t="inlineStr">
        <is>
          <t>Cần quét Bio Fanpage</t>
        </is>
      </c>
      <c r="E1030" s="59" t="inlineStr">
        <is>
          <t>12/10/2026 22:43:59</t>
        </is>
      </c>
      <c r="F1030" s="59" t="inlineStr">
        <is>
          <t>5 giờ trước</t>
        </is>
      </c>
      <c r="G1030" s="61" t="n">
        <v>0.21</v>
      </c>
      <c r="H1030" s="62" t="n">
        <v>32</v>
      </c>
      <c r="I1030" s="9" t="inlineStr">
        <is>
          <t>Pet Owner / Kênh cá nhân thú cưng (10đ)</t>
        </is>
      </c>
      <c r="J1030" s="62" t="n">
        <v>10</v>
      </c>
      <c r="K1030" s="9" t="inlineStr">
        <is>
          <t>Chưa rõ giống (Cần quét Bio)</t>
        </is>
      </c>
      <c r="L1030" s="62" t="n">
        <v>0</v>
      </c>
      <c r="M1030" s="62" t="n">
        <v>0</v>
      </c>
      <c r="N1030" s="9" t="inlineStr">
        <is>
          <t>Amazon link not found</t>
        </is>
      </c>
      <c r="O1030" s="62">
        <f>IF(N1030="Selling pet toys + Artificial grass/Pet toilets (TARGET)",15,IF(N1030="Selling artificial grass/pet toilets (TARGET)",10,IF(N1030="Selling pet toys",7,IF(N1030="There's an Amazon link, but no target sales.",3,0))))</f>
        <v/>
      </c>
      <c r="P1030" s="67">
        <f>H1030+J1030+L1030+M1030+O1030</f>
        <v/>
      </c>
      <c r="Q1030" s="69">
        <f>IF(OR(H1030=0,P1030&lt;30),"Tier D (Đóng băng)",IF(P1030&gt;=85,"Tier S (Kim Cương: 85-100đ)",IF(P1030&gt;=70,"Tier A (Vàng: 70-84đ)",IF(P1030&gt;=61,"Tier B+ / Cấp A (Hot Lead: 61-69đ)",IF(P1030&gt;=50,"Tier B (Bạc: 50-60đ)","Tier C (Đồng: 30-49đ)")))))</f>
        <v/>
      </c>
      <c r="R1030" s="9" t="inlineStr">
        <is>
          <t>Khay vệ sinh trong nhà (Indoor Dog Potty) + Đồ chơi thú cưng lẻ</t>
        </is>
      </c>
      <c r="S1030" s="9" t="inlineStr">
        <is>
          <t>Cấp C Chi phí thấp: Nhắn tin trực tiếp qua Fanpage Facebook/Instagram + Nuôi dưỡng nội dung</t>
        </is>
      </c>
    </row>
    <row r="1031">
      <c r="A1031" s="53" t="n">
        <v>1200</v>
      </c>
      <c r="B1031" s="12" t="inlineStr">
        <is>
          <t>dogtopiaofprairieville</t>
        </is>
      </c>
      <c r="C1031" s="54" t="inlineStr">
        <is>
          <t>https://www.facebook.com/dogtopiaofprairieville</t>
        </is>
      </c>
      <c r="D1031" s="6" t="inlineStr">
        <is>
          <t>Cần quét Bio Fanpage</t>
        </is>
      </c>
      <c r="E1031" s="53" t="inlineStr">
        <is>
          <t>12/10/2026 22:37:43</t>
        </is>
      </c>
      <c r="F1031" s="53" t="inlineStr">
        <is>
          <t>4 giờ trước</t>
        </is>
      </c>
      <c r="G1031" s="55" t="n">
        <v>0.17</v>
      </c>
      <c r="H1031" s="56" t="n">
        <v>32</v>
      </c>
      <c r="I1031" s="6" t="inlineStr">
        <is>
          <t>Pet Owner / Cộng đồng nuôi cún (10đ)</t>
        </is>
      </c>
      <c r="J1031" s="56" t="n">
        <v>10</v>
      </c>
      <c r="K1031" s="6" t="inlineStr">
        <is>
          <t>Chưa rõ giống (Cần quét Bio)</t>
        </is>
      </c>
      <c r="L1031" s="56" t="n">
        <v>0</v>
      </c>
      <c r="M1031" s="56" t="n">
        <v>0</v>
      </c>
      <c r="N1031" s="6" t="inlineStr">
        <is>
          <t>Amazon link not found</t>
        </is>
      </c>
      <c r="O1031" s="56">
        <f>IF(N1031="Selling pet toys + Artificial grass/Pet toilets (TARGET)",15,IF(N1031="Selling artificial grass/pet toilets (TARGET)",10,IF(N1031="Selling pet toys",7,IF(N1031="There's an Amazon link, but no target sales.",3,0))))</f>
        <v/>
      </c>
      <c r="P1031" s="65">
        <f>H1031+J1031+L1031+M1031+O1031</f>
        <v/>
      </c>
      <c r="Q1031" s="69">
        <f>IF(OR(H1031=0,P1031&lt;30),"Tier D (Đóng băng)",IF(P1031&gt;=85,"Tier S (Kim Cương: 85-100đ)",IF(P1031&gt;=70,"Tier A (Vàng: 70-84đ)",IF(P1031&gt;=61,"Tier B+ / Cấp A (Hot Lead: 61-69đ)",IF(P1031&gt;=50,"Tier B (Bạc: 50-60đ)","Tier C (Đồng: 30-49đ)")))))</f>
        <v/>
      </c>
      <c r="R1031" s="6" t="inlineStr">
        <is>
          <t>Khay vệ sinh chung cư (Indoor Potty) + Thảm cỏ ban công (Grass Patch) + Đồ chơi</t>
        </is>
      </c>
      <c r="S1031" s="6" t="inlineStr">
        <is>
          <t>Cấp C Chi phí thấp: Nhắn tin trực tiếp qua Fanpage Facebook/Instagram + Nuôi dưỡng nội dung</t>
        </is>
      </c>
    </row>
    <row r="1032">
      <c r="A1032" s="59" t="n">
        <v>1144</v>
      </c>
      <c r="B1032" s="15" t="inlineStr">
        <is>
          <t>dogmayornyc</t>
        </is>
      </c>
      <c r="C1032" s="60" t="inlineStr">
        <is>
          <t>https://www.facebook.com/profile.php?id=100084038048400</t>
        </is>
      </c>
      <c r="D1032" s="9" t="inlineStr">
        <is>
          <t>Cần quét Bio Fanpage</t>
        </is>
      </c>
      <c r="E1032" s="59" t="inlineStr">
        <is>
          <t>12/10/2026 22:35:16</t>
        </is>
      </c>
      <c r="F1032" s="59" t="inlineStr">
        <is>
          <t>4 giờ trước</t>
        </is>
      </c>
      <c r="G1032" s="61" t="n">
        <v>0.17</v>
      </c>
      <c r="H1032" s="62" t="n">
        <v>32</v>
      </c>
      <c r="I1032" s="9" t="inlineStr">
        <is>
          <t>Pet Owner / Cộng đồng nuôi cún (10đ)</t>
        </is>
      </c>
      <c r="J1032" s="62" t="n">
        <v>10</v>
      </c>
      <c r="K1032" s="9" t="inlineStr">
        <is>
          <t>Chưa rõ giống (Cần quét Bio)</t>
        </is>
      </c>
      <c r="L1032" s="62" t="n">
        <v>0</v>
      </c>
      <c r="M1032" s="62" t="n">
        <v>0</v>
      </c>
      <c r="N1032" s="9" t="inlineStr">
        <is>
          <t>Amazon link not found</t>
        </is>
      </c>
      <c r="O1032" s="62">
        <f>IF(N1032="Selling pet toys + Artificial grass/Pet toilets (TARGET)",15,IF(N1032="Selling artificial grass/pet toilets (TARGET)",10,IF(N1032="Selling pet toys",7,IF(N1032="There's an Amazon link, but no target sales.",3,0))))</f>
        <v/>
      </c>
      <c r="P1032" s="67">
        <f>H1032+J1032+L1032+M1032+O1032</f>
        <v/>
      </c>
      <c r="Q1032" s="69">
        <f>IF(OR(H1032=0,P1032&lt;30),"Tier D (Đóng băng)",IF(P1032&gt;=85,"Tier S (Kim Cương: 85-100đ)",IF(P1032&gt;=70,"Tier A (Vàng: 70-84đ)",IF(P1032&gt;=61,"Tier B+ / Cấp A (Hot Lead: 61-69đ)",IF(P1032&gt;=50,"Tier B (Bạc: 50-60đ)","Tier C (Đồng: 30-49đ)")))))</f>
        <v/>
      </c>
      <c r="R1032" s="9" t="inlineStr">
        <is>
          <t>Khay vệ sinh chung cư (Indoor Potty) + Thảm cỏ ban công (Grass Patch) + Đồ chơi</t>
        </is>
      </c>
      <c r="S1032" s="9" t="inlineStr">
        <is>
          <t>Cấp C Chi phí thấp: Nhắn tin trực tiếp qua Fanpage Facebook/Instagram + Nuôi dưỡng nội dung</t>
        </is>
      </c>
    </row>
    <row r="1033">
      <c r="A1033" s="53" t="n">
        <v>3317</v>
      </c>
      <c r="B1033" s="12" t="inlineStr">
        <is>
          <t>vibadog</t>
        </is>
      </c>
      <c r="C1033" s="54" t="inlineStr">
        <is>
          <t>https://www.facebook.com/profile.php?id=100083583427622</t>
        </is>
      </c>
      <c r="D1033" s="6" t="inlineStr">
        <is>
          <t>Cần quét Bio Fanpage</t>
        </is>
      </c>
      <c r="E1033" s="53" t="inlineStr">
        <is>
          <t>12/10/2026 22:26:14</t>
        </is>
      </c>
      <c r="F1033" s="53" t="inlineStr">
        <is>
          <t>8 giờ trước</t>
        </is>
      </c>
      <c r="G1033" s="55" t="n">
        <v>0.33</v>
      </c>
      <c r="H1033" s="56" t="n">
        <v>32</v>
      </c>
      <c r="I1033" s="6" t="inlineStr">
        <is>
          <t>Pet Owner / Cộng đồng nuôi cún (10đ)</t>
        </is>
      </c>
      <c r="J1033" s="56" t="n">
        <v>10</v>
      </c>
      <c r="K1033" s="6" t="inlineStr">
        <is>
          <t>Chưa rõ giống (Cần quét Bio)</t>
        </is>
      </c>
      <c r="L1033" s="56" t="n">
        <v>0</v>
      </c>
      <c r="M1033" s="56" t="n">
        <v>0</v>
      </c>
      <c r="N1033" s="6" t="inlineStr">
        <is>
          <t>Amazon link not found</t>
        </is>
      </c>
      <c r="O1033" s="56">
        <f>IF(N1033="Selling pet toys + Artificial grass/Pet toilets (TARGET)",15,IF(N1033="Selling artificial grass/pet toilets (TARGET)",10,IF(N1033="Selling pet toys",7,IF(N1033="There's an Amazon link, but no target sales.",3,0))))</f>
        <v/>
      </c>
      <c r="P1033" s="65">
        <f>H1033+J1033+L1033+M1033+O1033</f>
        <v/>
      </c>
      <c r="Q1033" s="69">
        <f>IF(OR(H1033=0,P1033&lt;30),"Tier D (Đóng băng)",IF(P1033&gt;=85,"Tier S (Kim Cương: 85-100đ)",IF(P1033&gt;=70,"Tier A (Vàng: 70-84đ)",IF(P1033&gt;=61,"Tier B+ / Cấp A (Hot Lead: 61-69đ)",IF(P1033&gt;=50,"Tier B (Bạc: 50-60đ)","Tier C (Đồng: 30-49đ)")))))</f>
        <v/>
      </c>
      <c r="R1033" s="6" t="inlineStr">
        <is>
          <t>Khay vệ sinh chung cư (Indoor Potty) + Thảm cỏ ban công (Grass Patch) + Đồ chơi</t>
        </is>
      </c>
      <c r="S1033" s="6" t="inlineStr">
        <is>
          <t>Cấp C Chi phí thấp: Nhắn tin trực tiếp qua Fanpage Facebook/Instagram + Nuôi dưỡng nội dung</t>
        </is>
      </c>
    </row>
    <row r="1034">
      <c r="A1034" s="59" t="n">
        <v>1698</v>
      </c>
      <c r="B1034" s="15" t="inlineStr">
        <is>
          <t>HumaneWorldforAnimals</t>
        </is>
      </c>
      <c r="C1034" s="60" t="inlineStr">
        <is>
          <t>https://www.facebook.com/HumaneWorldforAnimals</t>
        </is>
      </c>
      <c r="D1034" s="9" t="inlineStr">
        <is>
          <t>Cần quét Bio Fanpage</t>
        </is>
      </c>
      <c r="E1034" s="59" t="inlineStr">
        <is>
          <t>12/10/2026 22:22:42</t>
        </is>
      </c>
      <c r="F1034" s="59" t="inlineStr">
        <is>
          <t>5 giờ trước</t>
        </is>
      </c>
      <c r="G1034" s="61" t="n">
        <v>0.21</v>
      </c>
      <c r="H1034" s="62" t="n">
        <v>32</v>
      </c>
      <c r="I1034" s="9" t="inlineStr">
        <is>
          <t>Pet Owner / Cộng đồng nuôi cún (10đ)</t>
        </is>
      </c>
      <c r="J1034" s="62" t="n">
        <v>10</v>
      </c>
      <c r="K1034" s="9" t="inlineStr">
        <is>
          <t>Chưa rõ giống (Cần quét Bio)</t>
        </is>
      </c>
      <c r="L1034" s="62" t="n">
        <v>0</v>
      </c>
      <c r="M1034" s="62" t="n">
        <v>0</v>
      </c>
      <c r="N1034" s="9" t="inlineStr">
        <is>
          <t>Amazon link not found</t>
        </is>
      </c>
      <c r="O1034" s="62">
        <f>IF(N1034="Selling pet toys + Artificial grass/Pet toilets (TARGET)",15,IF(N1034="Selling artificial grass/pet toilets (TARGET)",10,IF(N1034="Selling pet toys",7,IF(N1034="There's an Amazon link, but no target sales.",3,0))))</f>
        <v/>
      </c>
      <c r="P1034" s="67">
        <f>H1034+J1034+L1034+M1034+O1034</f>
        <v/>
      </c>
      <c r="Q1034" s="69">
        <f>IF(OR(H1034=0,P1034&lt;30),"Tier D (Đóng băng)",IF(P1034&gt;=85,"Tier S (Kim Cương: 85-100đ)",IF(P1034&gt;=70,"Tier A (Vàng: 70-84đ)",IF(P1034&gt;=61,"Tier B+ / Cấp A (Hot Lead: 61-69đ)",IF(P1034&gt;=50,"Tier B (Bạc: 50-60đ)","Tier C (Đồng: 30-49đ)")))))</f>
        <v/>
      </c>
      <c r="R1034" s="9" t="inlineStr">
        <is>
          <t>Khay vệ sinh chung cư (Indoor Potty) + Thảm cỏ ban công (Grass Patch) + Đồ chơi</t>
        </is>
      </c>
      <c r="S1034" s="9" t="inlineStr">
        <is>
          <t>Cấp C Chi phí thấp: Nhắn tin trực tiếp qua Fanpage Facebook/Instagram + Nuôi dưỡng nội dung</t>
        </is>
      </c>
    </row>
    <row r="1035">
      <c r="A1035" s="53" t="n">
        <v>2560</v>
      </c>
      <c r="B1035" s="12" t="inlineStr">
        <is>
          <t>Petwrktheapp</t>
        </is>
      </c>
      <c r="C1035" s="54" t="inlineStr">
        <is>
          <t>https://www.facebook.com/profile.php?id=61579264826760</t>
        </is>
      </c>
      <c r="D1035" s="6" t="inlineStr">
        <is>
          <t>Cần quét Bio Fanpage</t>
        </is>
      </c>
      <c r="E1035" s="53" t="inlineStr">
        <is>
          <t>12/10/2026 22:14:56</t>
        </is>
      </c>
      <c r="F1035" s="53" t="inlineStr">
        <is>
          <t>7 giờ trước</t>
        </is>
      </c>
      <c r="G1035" s="55" t="n">
        <v>0.29</v>
      </c>
      <c r="H1035" s="56" t="n">
        <v>32</v>
      </c>
      <c r="I1035" s="6" t="inlineStr">
        <is>
          <t>Pet Owner / Cộng đồng nuôi cún (10đ)</t>
        </is>
      </c>
      <c r="J1035" s="56" t="n">
        <v>10</v>
      </c>
      <c r="K1035" s="6" t="inlineStr">
        <is>
          <t>Chưa rõ giống (Cần quét Bio)</t>
        </is>
      </c>
      <c r="L1035" s="56" t="n">
        <v>0</v>
      </c>
      <c r="M1035" s="56" t="n">
        <v>0</v>
      </c>
      <c r="N1035" s="6" t="inlineStr">
        <is>
          <t>Amazon link not found</t>
        </is>
      </c>
      <c r="O1035" s="56">
        <f>IF(N1035="Selling pet toys + Artificial grass/Pet toilets (TARGET)",15,IF(N1035="Selling artificial grass/pet toilets (TARGET)",10,IF(N1035="Selling pet toys",7,IF(N1035="There's an Amazon link, but no target sales.",3,0))))</f>
        <v/>
      </c>
      <c r="P1035" s="65">
        <f>H1035+J1035+L1035+M1035+O1035</f>
        <v/>
      </c>
      <c r="Q1035" s="69">
        <f>IF(OR(H1035=0,P1035&lt;30),"Tier D (Đóng băng)",IF(P1035&gt;=85,"Tier S (Kim Cương: 85-100đ)",IF(P1035&gt;=70,"Tier A (Vàng: 70-84đ)",IF(P1035&gt;=61,"Tier B+ / Cấp A (Hot Lead: 61-69đ)",IF(P1035&gt;=50,"Tier B (Bạc: 50-60đ)","Tier C (Đồng: 30-49đ)")))))</f>
        <v/>
      </c>
      <c r="R1035" s="6" t="inlineStr">
        <is>
          <t>Khay vệ sinh chung cư (Indoor Potty) + Thảm cỏ ban công (Grass Patch) + Đồ chơi</t>
        </is>
      </c>
      <c r="S1035" s="6" t="inlineStr">
        <is>
          <t>Cấp C Chi phí thấp: Nhắn tin trực tiếp qua Fanpage Facebook/Instagram + Nuôi dưỡng nội dung</t>
        </is>
      </c>
    </row>
    <row r="1036">
      <c r="A1036" s="59" t="n">
        <v>2670</v>
      </c>
      <c r="B1036" s="15" t="inlineStr">
        <is>
          <t>Pure Pet Food</t>
        </is>
      </c>
      <c r="C1036" s="60" t="inlineStr">
        <is>
          <t>https://www.facebook.com/Purepetfood</t>
        </is>
      </c>
      <c r="D1036" s="9" t="inlineStr">
        <is>
          <t>Cần quét Bio Fanpage</t>
        </is>
      </c>
      <c r="E1036" s="59" t="inlineStr">
        <is>
          <t>12/10/2026 22:12:27</t>
        </is>
      </c>
      <c r="F1036" s="59" t="inlineStr">
        <is>
          <t>7 giờ trước</t>
        </is>
      </c>
      <c r="G1036" s="61" t="n">
        <v>0.29</v>
      </c>
      <c r="H1036" s="62" t="n">
        <v>32</v>
      </c>
      <c r="I1036" s="9" t="inlineStr">
        <is>
          <t>Pet Owner / Cộng đồng nuôi cún (10đ)</t>
        </is>
      </c>
      <c r="J1036" s="62" t="n">
        <v>10</v>
      </c>
      <c r="K1036" s="9" t="inlineStr">
        <is>
          <t>Chưa rõ giống (Cần quét Bio)</t>
        </is>
      </c>
      <c r="L1036" s="62" t="n">
        <v>0</v>
      </c>
      <c r="M1036" s="62" t="n">
        <v>0</v>
      </c>
      <c r="N1036" s="9" t="inlineStr">
        <is>
          <t>Amazon link not found</t>
        </is>
      </c>
      <c r="O1036" s="62">
        <f>IF(N1036="Selling pet toys + Artificial grass/Pet toilets (TARGET)",15,IF(N1036="Selling artificial grass/pet toilets (TARGET)",10,IF(N1036="Selling pet toys",7,IF(N1036="There's an Amazon link, but no target sales.",3,0))))</f>
        <v/>
      </c>
      <c r="P1036" s="67">
        <f>H1036+J1036+L1036+M1036+O1036</f>
        <v/>
      </c>
      <c r="Q1036" s="69">
        <f>IF(OR(H1036=0,P1036&lt;30),"Tier D (Đóng băng)",IF(P1036&gt;=85,"Tier S (Kim Cương: 85-100đ)",IF(P1036&gt;=70,"Tier A (Vàng: 70-84đ)",IF(P1036&gt;=61,"Tier B+ / Cấp A (Hot Lead: 61-69đ)",IF(P1036&gt;=50,"Tier B (Bạc: 50-60đ)","Tier C (Đồng: 30-49đ)")))))</f>
        <v/>
      </c>
      <c r="R1036" s="9" t="inlineStr">
        <is>
          <t>Khay vệ sinh chung cư (Indoor Potty) + Thảm cỏ ban công (Grass Patch) + Đồ chơi</t>
        </is>
      </c>
      <c r="S1036" s="9" t="inlineStr">
        <is>
          <t>Cấp C Chi phí thấp: Nhắn tin trực tiếp qua Fanpage Facebook/Instagram + Nuôi dưỡng nội dung</t>
        </is>
      </c>
    </row>
    <row r="1037">
      <c r="A1037" s="53" t="n">
        <v>1784</v>
      </c>
      <c r="B1037" s="12" t="inlineStr">
        <is>
          <t>jozodogs</t>
        </is>
      </c>
      <c r="C1037" s="54" t="inlineStr">
        <is>
          <t>https://www.facebook.com/jozodogs</t>
        </is>
      </c>
      <c r="D1037" s="6" t="inlineStr">
        <is>
          <t>Cần quét Bio Fanpage</t>
        </is>
      </c>
      <c r="E1037" s="53" t="inlineStr">
        <is>
          <t>12/10/2026 22:04:57</t>
        </is>
      </c>
      <c r="F1037" s="53" t="inlineStr">
        <is>
          <t>6 giờ trước</t>
        </is>
      </c>
      <c r="G1037" s="55" t="n">
        <v>0.25</v>
      </c>
      <c r="H1037" s="56" t="n">
        <v>32</v>
      </c>
      <c r="I1037" s="6" t="inlineStr">
        <is>
          <t>Pet Owner / Cộng đồng nuôi cún (10đ)</t>
        </is>
      </c>
      <c r="J1037" s="56" t="n">
        <v>10</v>
      </c>
      <c r="K1037" s="6" t="inlineStr">
        <is>
          <t>Chưa rõ giống (Cần quét Bio)</t>
        </is>
      </c>
      <c r="L1037" s="56" t="n">
        <v>0</v>
      </c>
      <c r="M1037" s="56" t="n">
        <v>0</v>
      </c>
      <c r="N1037" s="6" t="inlineStr">
        <is>
          <t>Amazon link not found</t>
        </is>
      </c>
      <c r="O1037" s="56">
        <f>IF(N1037="Selling pet toys + Artificial grass/Pet toilets (TARGET)",15,IF(N1037="Selling artificial grass/pet toilets (TARGET)",10,IF(N1037="Selling pet toys",7,IF(N1037="There's an Amazon link, but no target sales.",3,0))))</f>
        <v/>
      </c>
      <c r="P1037" s="65">
        <f>H1037+J1037+L1037+M1037+O1037</f>
        <v/>
      </c>
      <c r="Q1037" s="69">
        <f>IF(OR(H1037=0,P1037&lt;30),"Tier D (Đóng băng)",IF(P1037&gt;=85,"Tier S (Kim Cương: 85-100đ)",IF(P1037&gt;=70,"Tier A (Vàng: 70-84đ)",IF(P1037&gt;=61,"Tier B+ / Cấp A (Hot Lead: 61-69đ)",IF(P1037&gt;=50,"Tier B (Bạc: 50-60đ)","Tier C (Đồng: 30-49đ)")))))</f>
        <v/>
      </c>
      <c r="R1037" s="6" t="inlineStr">
        <is>
          <t>Khay vệ sinh chung cư (Indoor Potty) + Thảm cỏ ban công (Grass Patch) + Đồ chơi</t>
        </is>
      </c>
      <c r="S1037" s="6" t="inlineStr">
        <is>
          <t>Cấp C Chi phí thấp: Nhắn tin trực tiếp qua Fanpage Facebook/Instagram + Nuôi dưỡng nội dung</t>
        </is>
      </c>
    </row>
    <row r="1038">
      <c r="A1038" s="59" t="n">
        <v>1004</v>
      </c>
      <c r="B1038" s="15" t="inlineStr">
        <is>
          <t>Darren Peters  (The Bank)</t>
        </is>
      </c>
      <c r="C1038" s="60" t="inlineStr">
        <is>
          <t>https://www.facebook.com/profile.php?id=100073988264665</t>
        </is>
      </c>
      <c r="D1038" s="9" t="inlineStr">
        <is>
          <t>Cần quét Bio Fanpage</t>
        </is>
      </c>
      <c r="E1038" s="59" t="inlineStr">
        <is>
          <t>12/10/2026 22:01:36</t>
        </is>
      </c>
      <c r="F1038" s="59" t="inlineStr">
        <is>
          <t>4 giờ trước</t>
        </is>
      </c>
      <c r="G1038" s="61" t="n">
        <v>0.17</v>
      </c>
      <c r="H1038" s="62" t="n">
        <v>32</v>
      </c>
      <c r="I1038" s="9" t="inlineStr">
        <is>
          <t>Pet Owner / Cộng đồng nuôi cún (10đ)</t>
        </is>
      </c>
      <c r="J1038" s="62" t="n">
        <v>10</v>
      </c>
      <c r="K1038" s="9" t="inlineStr">
        <is>
          <t>Chưa rõ giống (Cần quét Bio)</t>
        </is>
      </c>
      <c r="L1038" s="62" t="n">
        <v>0</v>
      </c>
      <c r="M1038" s="62" t="n">
        <v>0</v>
      </c>
      <c r="N1038" s="9" t="inlineStr">
        <is>
          <t>Amazon link not found</t>
        </is>
      </c>
      <c r="O1038" s="62">
        <f>IF(N1038="Selling pet toys + Artificial grass/Pet toilets (TARGET)",15,IF(N1038="Selling artificial grass/pet toilets (TARGET)",10,IF(N1038="Selling pet toys",7,IF(N1038="There's an Amazon link, but no target sales.",3,0))))</f>
        <v/>
      </c>
      <c r="P1038" s="67">
        <f>H1038+J1038+L1038+M1038+O1038</f>
        <v/>
      </c>
      <c r="Q1038" s="69">
        <f>IF(OR(H1038=0,P1038&lt;30),"Tier D (Đóng băng)",IF(P1038&gt;=85,"Tier S (Kim Cương: 85-100đ)",IF(P1038&gt;=70,"Tier A (Vàng: 70-84đ)",IF(P1038&gt;=61,"Tier B+ / Cấp A (Hot Lead: 61-69đ)",IF(P1038&gt;=50,"Tier B (Bạc: 50-60đ)","Tier C (Đồng: 30-49đ)")))))</f>
        <v/>
      </c>
      <c r="R1038" s="9" t="inlineStr">
        <is>
          <t>Khay vệ sinh chung cư (Indoor Potty) + Thảm cỏ ban công (Grass Patch) + Đồ chơi</t>
        </is>
      </c>
      <c r="S1038" s="9" t="inlineStr">
        <is>
          <t>Cấp C Chi phí thấp: Nhắn tin trực tiếp qua Fanpage Facebook/Instagram + Nuôi dưỡng nội dung</t>
        </is>
      </c>
    </row>
    <row r="1039">
      <c r="A1039" s="53" t="n">
        <v>1660</v>
      </c>
      <c r="B1039" s="12" t="inlineStr">
        <is>
          <t>HillsPet</t>
        </is>
      </c>
      <c r="C1039" s="54" t="inlineStr">
        <is>
          <t>https://www.facebook.com/HillsPetUkraine</t>
        </is>
      </c>
      <c r="D1039" s="6" t="inlineStr">
        <is>
          <t>Cần quét Bio Fanpage</t>
        </is>
      </c>
      <c r="E1039" s="53" t="inlineStr">
        <is>
          <t>12/10/2026 22:00:27</t>
        </is>
      </c>
      <c r="F1039" s="53" t="inlineStr">
        <is>
          <t>5 giờ trước</t>
        </is>
      </c>
      <c r="G1039" s="55" t="n">
        <v>0.21</v>
      </c>
      <c r="H1039" s="56" t="n">
        <v>32</v>
      </c>
      <c r="I1039" s="6" t="inlineStr">
        <is>
          <t>Pet Owner / Cộng đồng nuôi cún (10đ)</t>
        </is>
      </c>
      <c r="J1039" s="56" t="n">
        <v>10</v>
      </c>
      <c r="K1039" s="6" t="inlineStr">
        <is>
          <t>Chưa rõ giống (Cần quét Bio)</t>
        </is>
      </c>
      <c r="L1039" s="56" t="n">
        <v>0</v>
      </c>
      <c r="M1039" s="56" t="n">
        <v>0</v>
      </c>
      <c r="N1039" s="6" t="inlineStr">
        <is>
          <t>Amazon link not found</t>
        </is>
      </c>
      <c r="O1039" s="56">
        <f>IF(N1039="Selling pet toys + Artificial grass/Pet toilets (TARGET)",15,IF(N1039="Selling artificial grass/pet toilets (TARGET)",10,IF(N1039="Selling pet toys",7,IF(N1039="There's an Amazon link, but no target sales.",3,0))))</f>
        <v/>
      </c>
      <c r="P1039" s="65">
        <f>H1039+J1039+L1039+M1039+O1039</f>
        <v/>
      </c>
      <c r="Q1039" s="69">
        <f>IF(OR(H1039=0,P1039&lt;30),"Tier D (Đóng băng)",IF(P1039&gt;=85,"Tier S (Kim Cương: 85-100đ)",IF(P1039&gt;=70,"Tier A (Vàng: 70-84đ)",IF(P1039&gt;=61,"Tier B+ / Cấp A (Hot Lead: 61-69đ)",IF(P1039&gt;=50,"Tier B (Bạc: 50-60đ)","Tier C (Đồng: 30-49đ)")))))</f>
        <v/>
      </c>
      <c r="R1039" s="6" t="inlineStr">
        <is>
          <t>Khay vệ sinh chung cư (Indoor Potty) + Thảm cỏ ban công (Grass Patch) + Đồ chơi</t>
        </is>
      </c>
      <c r="S1039" s="6" t="inlineStr">
        <is>
          <t>Cấp C Chi phí thấp: Nhắn tin trực tiếp qua Fanpage Facebook/Instagram + Nuôi dưỡng nội dung</t>
        </is>
      </c>
    </row>
    <row r="1040">
      <c r="A1040" s="59" t="n">
        <v>1367</v>
      </c>
      <c r="B1040" s="15" t="inlineStr">
        <is>
          <t>Fera Pets</t>
        </is>
      </c>
      <c r="C1040" s="60" t="inlineStr">
        <is>
          <t>https://www.facebook.com/ferapets</t>
        </is>
      </c>
      <c r="D1040" s="9" t="inlineStr">
        <is>
          <t>Cần quét Bio Fanpage</t>
        </is>
      </c>
      <c r="E1040" s="59" t="inlineStr">
        <is>
          <t>12/10/2026 22:00:15</t>
        </is>
      </c>
      <c r="F1040" s="59" t="inlineStr">
        <is>
          <t>5 giờ trước</t>
        </is>
      </c>
      <c r="G1040" s="61" t="n">
        <v>0.21</v>
      </c>
      <c r="H1040" s="62" t="n">
        <v>32</v>
      </c>
      <c r="I1040" s="9" t="inlineStr">
        <is>
          <t>Pet Owner / Cộng đồng nuôi cún (10đ)</t>
        </is>
      </c>
      <c r="J1040" s="62" t="n">
        <v>10</v>
      </c>
      <c r="K1040" s="9" t="inlineStr">
        <is>
          <t>Chưa rõ giống (Cần quét Bio)</t>
        </is>
      </c>
      <c r="L1040" s="62" t="n">
        <v>0</v>
      </c>
      <c r="M1040" s="62" t="n">
        <v>0</v>
      </c>
      <c r="N1040" s="9" t="inlineStr">
        <is>
          <t>Amazon link not found</t>
        </is>
      </c>
      <c r="O1040" s="62">
        <f>IF(N1040="Selling pet toys + Artificial grass/Pet toilets (TARGET)",15,IF(N1040="Selling artificial grass/pet toilets (TARGET)",10,IF(N1040="Selling pet toys",7,IF(N1040="There's an Amazon link, but no target sales.",3,0))))</f>
        <v/>
      </c>
      <c r="P1040" s="67">
        <f>H1040+J1040+L1040+M1040+O1040</f>
        <v/>
      </c>
      <c r="Q1040" s="69">
        <f>IF(OR(H1040=0,P1040&lt;30),"Tier D (Đóng băng)",IF(P1040&gt;=85,"Tier S (Kim Cương: 85-100đ)",IF(P1040&gt;=70,"Tier A (Vàng: 70-84đ)",IF(P1040&gt;=61,"Tier B+ / Cấp A (Hot Lead: 61-69đ)",IF(P1040&gt;=50,"Tier B (Bạc: 50-60đ)","Tier C (Đồng: 30-49đ)")))))</f>
        <v/>
      </c>
      <c r="R1040" s="9" t="inlineStr">
        <is>
          <t>Khay vệ sinh chung cư (Indoor Potty) + Thảm cỏ ban công (Grass Patch) + Đồ chơi</t>
        </is>
      </c>
      <c r="S1040" s="9" t="inlineStr">
        <is>
          <t>Cấp C Chi phí thấp: Nhắn tin trực tiếp qua Fanpage Facebook/Instagram + Nuôi dưỡng nội dung</t>
        </is>
      </c>
    </row>
    <row r="1041">
      <c r="A1041" s="53" t="n">
        <v>851</v>
      </c>
      <c r="B1041" s="12" t="inlineStr">
        <is>
          <t>Carter Pet Hospital</t>
        </is>
      </c>
      <c r="C1041" s="54" t="inlineStr">
        <is>
          <t>https://www.facebook.com/CarterPetHospital</t>
        </is>
      </c>
      <c r="D1041" s="6" t="inlineStr">
        <is>
          <t>Cần quét Bio Fanpage</t>
        </is>
      </c>
      <c r="E1041" s="53" t="inlineStr">
        <is>
          <t>12/10/2026 22:00:05</t>
        </is>
      </c>
      <c r="F1041" s="53" t="inlineStr">
        <is>
          <t>4 giờ trước</t>
        </is>
      </c>
      <c r="G1041" s="55" t="n">
        <v>0.17</v>
      </c>
      <c r="H1041" s="56" t="n">
        <v>32</v>
      </c>
      <c r="I1041" s="6" t="inlineStr">
        <is>
          <t>Pet Owner / Cộng đồng nuôi cún (10đ)</t>
        </is>
      </c>
      <c r="J1041" s="56" t="n">
        <v>10</v>
      </c>
      <c r="K1041" s="6" t="inlineStr">
        <is>
          <t>Chưa rõ giống (Cần quét Bio)</t>
        </is>
      </c>
      <c r="L1041" s="56" t="n">
        <v>0</v>
      </c>
      <c r="M1041" s="56" t="n">
        <v>0</v>
      </c>
      <c r="N1041" s="6" t="inlineStr">
        <is>
          <t>Amazon link not found</t>
        </is>
      </c>
      <c r="O1041" s="56">
        <f>IF(N1041="Selling pet toys + Artificial grass/Pet toilets (TARGET)",15,IF(N1041="Selling artificial grass/pet toilets (TARGET)",10,IF(N1041="Selling pet toys",7,IF(N1041="There's an Amazon link, but no target sales.",3,0))))</f>
        <v/>
      </c>
      <c r="P1041" s="65">
        <f>H1041+J1041+L1041+M1041+O1041</f>
        <v/>
      </c>
      <c r="Q1041" s="69">
        <f>IF(OR(H1041=0,P1041&lt;30),"Tier D (Đóng băng)",IF(P1041&gt;=85,"Tier S (Kim Cương: 85-100đ)",IF(P1041&gt;=70,"Tier A (Vàng: 70-84đ)",IF(P1041&gt;=61,"Tier B+ / Cấp A (Hot Lead: 61-69đ)",IF(P1041&gt;=50,"Tier B (Bạc: 50-60đ)","Tier C (Đồng: 30-49đ)")))))</f>
        <v/>
      </c>
      <c r="R1041" s="6" t="inlineStr">
        <is>
          <t>Khay vệ sinh chung cư (Indoor Potty) + Thảm cỏ ban công (Grass Patch) + Đồ chơi</t>
        </is>
      </c>
      <c r="S1041" s="6" t="inlineStr">
        <is>
          <t>Cấp C Chi phí thấp: Nhắn tin trực tiếp qua Fanpage Facebook/Instagram + Nuôi dưỡng nội dung</t>
        </is>
      </c>
    </row>
    <row r="1042">
      <c r="A1042" s="59" t="n">
        <v>3158</v>
      </c>
      <c r="B1042" s="15" t="inlineStr">
        <is>
          <t>The Rooted Petal</t>
        </is>
      </c>
      <c r="C1042" s="60" t="inlineStr">
        <is>
          <t>https://www.facebook.com/profile.php?id=61558508670346</t>
        </is>
      </c>
      <c r="D1042" s="9" t="inlineStr">
        <is>
          <t>Cần quét Bio Fanpage</t>
        </is>
      </c>
      <c r="E1042" s="59" t="inlineStr">
        <is>
          <t>12/10/2026 21:55:36</t>
        </is>
      </c>
      <c r="F1042" s="59" t="inlineStr">
        <is>
          <t>8 giờ trước</t>
        </is>
      </c>
      <c r="G1042" s="61" t="n">
        <v>0.33</v>
      </c>
      <c r="H1042" s="62" t="n">
        <v>32</v>
      </c>
      <c r="I1042" s="9" t="inlineStr">
        <is>
          <t>Pet Owner / Cộng đồng nuôi cún (10đ)</t>
        </is>
      </c>
      <c r="J1042" s="62" t="n">
        <v>10</v>
      </c>
      <c r="K1042" s="9" t="inlineStr">
        <is>
          <t>Chưa rõ giống (Cần quét Bio)</t>
        </is>
      </c>
      <c r="L1042" s="62" t="n">
        <v>0</v>
      </c>
      <c r="M1042" s="62" t="n">
        <v>0</v>
      </c>
      <c r="N1042" s="9" t="inlineStr">
        <is>
          <t>Amazon link not found</t>
        </is>
      </c>
      <c r="O1042" s="62">
        <f>IF(N1042="Selling pet toys + Artificial grass/Pet toilets (TARGET)",15,IF(N1042="Selling artificial grass/pet toilets (TARGET)",10,IF(N1042="Selling pet toys",7,IF(N1042="There's an Amazon link, but no target sales.",3,0))))</f>
        <v/>
      </c>
      <c r="P1042" s="67">
        <f>H1042+J1042+L1042+M1042+O1042</f>
        <v/>
      </c>
      <c r="Q1042" s="69">
        <f>IF(OR(H1042=0,P1042&lt;30),"Tier D (Đóng băng)",IF(P1042&gt;=85,"Tier S (Kim Cương: 85-100đ)",IF(P1042&gt;=70,"Tier A (Vàng: 70-84đ)",IF(P1042&gt;=61,"Tier B+ / Cấp A (Hot Lead: 61-69đ)",IF(P1042&gt;=50,"Tier B (Bạc: 50-60đ)","Tier C (Đồng: 30-49đ)")))))</f>
        <v/>
      </c>
      <c r="R1042" s="9" t="inlineStr">
        <is>
          <t>Khay vệ sinh chung cư (Indoor Potty) + Thảm cỏ ban công (Grass Patch) + Đồ chơi</t>
        </is>
      </c>
      <c r="S1042" s="9" t="inlineStr">
        <is>
          <t>Cấp C Chi phí thấp: Nhắn tin trực tiếp qua Fanpage Facebook/Instagram + Nuôi dưỡng nội dung</t>
        </is>
      </c>
    </row>
    <row r="1043">
      <c r="A1043" s="53" t="n">
        <v>1203</v>
      </c>
      <c r="B1043" s="12" t="inlineStr">
        <is>
          <t>dogtrainerhub</t>
        </is>
      </c>
      <c r="C1043" s="54" t="inlineStr">
        <is>
          <t>https://www.facebook.com/profile.php?id=61583797254230</t>
        </is>
      </c>
      <c r="D1043" s="6" t="inlineStr">
        <is>
          <t>Cần quét Bio Fanpage</t>
        </is>
      </c>
      <c r="E1043" s="53" t="inlineStr">
        <is>
          <t>12/10/2026 21:45:35</t>
        </is>
      </c>
      <c r="F1043" s="53" t="inlineStr">
        <is>
          <t>5 giờ trước</t>
        </is>
      </c>
      <c r="G1043" s="55" t="n">
        <v>0.21</v>
      </c>
      <c r="H1043" s="56" t="n">
        <v>32</v>
      </c>
      <c r="I1043" s="6" t="inlineStr">
        <is>
          <t>Pet Owner / Cộng đồng nuôi cún (10đ)</t>
        </is>
      </c>
      <c r="J1043" s="56" t="n">
        <v>10</v>
      </c>
      <c r="K1043" s="6" t="inlineStr">
        <is>
          <t>Chưa rõ giống (Cần quét Bio)</t>
        </is>
      </c>
      <c r="L1043" s="56" t="n">
        <v>0</v>
      </c>
      <c r="M1043" s="56" t="n">
        <v>0</v>
      </c>
      <c r="N1043" s="6" t="inlineStr">
        <is>
          <t>Amazon link not found</t>
        </is>
      </c>
      <c r="O1043" s="56">
        <f>IF(N1043="Selling pet toys + Artificial grass/Pet toilets (TARGET)",15,IF(N1043="Selling artificial grass/pet toilets (TARGET)",10,IF(N1043="Selling pet toys",7,IF(N1043="There's an Amazon link, but no target sales.",3,0))))</f>
        <v/>
      </c>
      <c r="P1043" s="65">
        <f>H1043+J1043+L1043+M1043+O1043</f>
        <v/>
      </c>
      <c r="Q1043" s="69">
        <f>IF(OR(H1043=0,P1043&lt;30),"Tier D (Đóng băng)",IF(P1043&gt;=85,"Tier S (Kim Cương: 85-100đ)",IF(P1043&gt;=70,"Tier A (Vàng: 70-84đ)",IF(P1043&gt;=61,"Tier B+ / Cấp A (Hot Lead: 61-69đ)",IF(P1043&gt;=50,"Tier B (Bạc: 50-60đ)","Tier C (Đồng: 30-49đ)")))))</f>
        <v/>
      </c>
      <c r="R1043" s="6" t="inlineStr">
        <is>
          <t>Khay vệ sinh chung cư (Indoor Potty) + Thảm cỏ ban công (Grass Patch) + Đồ chơi</t>
        </is>
      </c>
      <c r="S1043" s="6" t="inlineStr">
        <is>
          <t>Cấp C Chi phí thấp: Nhắn tin trực tiếp qua Fanpage Facebook/Instagram + Nuôi dưỡng nội dung</t>
        </is>
      </c>
    </row>
    <row r="1044">
      <c r="A1044" s="59" t="n">
        <v>1083</v>
      </c>
      <c r="B1044" s="15" t="inlineStr">
        <is>
          <t>Dog Help Kharkiv UA</t>
        </is>
      </c>
      <c r="C1044" s="60" t="inlineStr">
        <is>
          <t>https://www.facebook.com/DogHelpKharkivUA</t>
        </is>
      </c>
      <c r="D1044" s="9" t="inlineStr">
        <is>
          <t>Cần quét Bio Fanpage</t>
        </is>
      </c>
      <c r="E1044" s="59" t="inlineStr">
        <is>
          <t>12/10/2026 21:40:25</t>
        </is>
      </c>
      <c r="F1044" s="59" t="inlineStr">
        <is>
          <t>5 giờ trước</t>
        </is>
      </c>
      <c r="G1044" s="61" t="n">
        <v>0.21</v>
      </c>
      <c r="H1044" s="62" t="n">
        <v>32</v>
      </c>
      <c r="I1044" s="9" t="inlineStr">
        <is>
          <t>Pet Owner / Cộng đồng nuôi cún (10đ)</t>
        </is>
      </c>
      <c r="J1044" s="62" t="n">
        <v>10</v>
      </c>
      <c r="K1044" s="9" t="inlineStr">
        <is>
          <t>Chưa rõ giống (Cần quét Bio)</t>
        </is>
      </c>
      <c r="L1044" s="62" t="n">
        <v>0</v>
      </c>
      <c r="M1044" s="62" t="n">
        <v>0</v>
      </c>
      <c r="N1044" s="9" t="inlineStr">
        <is>
          <t>Amazon link not found</t>
        </is>
      </c>
      <c r="O1044" s="62">
        <f>IF(N1044="Selling pet toys + Artificial grass/Pet toilets (TARGET)",15,IF(N1044="Selling artificial grass/pet toilets (TARGET)",10,IF(N1044="Selling pet toys",7,IF(N1044="There's an Amazon link, but no target sales.",3,0))))</f>
        <v/>
      </c>
      <c r="P1044" s="67">
        <f>H1044+J1044+L1044+M1044+O1044</f>
        <v/>
      </c>
      <c r="Q1044" s="69">
        <f>IF(OR(H1044=0,P1044&lt;30),"Tier D (Đóng băng)",IF(P1044&gt;=85,"Tier S (Kim Cương: 85-100đ)",IF(P1044&gt;=70,"Tier A (Vàng: 70-84đ)",IF(P1044&gt;=61,"Tier B+ / Cấp A (Hot Lead: 61-69đ)",IF(P1044&gt;=50,"Tier B (Bạc: 50-60đ)","Tier C (Đồng: 30-49đ)")))))</f>
        <v/>
      </c>
      <c r="R1044" s="9" t="inlineStr">
        <is>
          <t>Khay vệ sinh chung cư (Indoor Potty) + Thảm cỏ ban công (Grass Patch) + Đồ chơi</t>
        </is>
      </c>
      <c r="S1044" s="9" t="inlineStr">
        <is>
          <t>Cấp C Chi phí thấp: Nhắn tin trực tiếp qua Fanpage Facebook/Instagram + Nuôi dưỡng nội dung</t>
        </is>
      </c>
    </row>
    <row r="1045">
      <c r="A1045" s="53" t="n">
        <v>2999</v>
      </c>
      <c r="B1045" s="12" t="inlineStr">
        <is>
          <t>Steve's Carpet Care and Restoration</t>
        </is>
      </c>
      <c r="C1045" s="54" t="inlineStr">
        <is>
          <t>https://www.facebook.com/Stevescarpetcare</t>
        </is>
      </c>
      <c r="D1045" s="6" t="inlineStr">
        <is>
          <t>Cần quét Bio Fanpage</t>
        </is>
      </c>
      <c r="E1045" s="53" t="inlineStr">
        <is>
          <t>12/10/2026 21:39:27</t>
        </is>
      </c>
      <c r="F1045" s="53" t="inlineStr">
        <is>
          <t>8 giờ trước</t>
        </is>
      </c>
      <c r="G1045" s="55" t="n">
        <v>0.33</v>
      </c>
      <c r="H1045" s="56" t="n">
        <v>32</v>
      </c>
      <c r="I1045" s="6" t="inlineStr">
        <is>
          <t>Pet Owner / Cộng đồng nuôi cún (10đ)</t>
        </is>
      </c>
      <c r="J1045" s="56" t="n">
        <v>10</v>
      </c>
      <c r="K1045" s="6" t="inlineStr">
        <is>
          <t>Chưa rõ giống (Cần quét Bio)</t>
        </is>
      </c>
      <c r="L1045" s="56" t="n">
        <v>0</v>
      </c>
      <c r="M1045" s="56" t="n">
        <v>0</v>
      </c>
      <c r="N1045" s="6" t="inlineStr">
        <is>
          <t>Amazon link not found</t>
        </is>
      </c>
      <c r="O1045" s="56">
        <f>IF(N1045="Selling pet toys + Artificial grass/Pet toilets (TARGET)",15,IF(N1045="Selling artificial grass/pet toilets (TARGET)",10,IF(N1045="Selling pet toys",7,IF(N1045="There's an Amazon link, but no target sales.",3,0))))</f>
        <v/>
      </c>
      <c r="P1045" s="65">
        <f>H1045+J1045+L1045+M1045+O1045</f>
        <v/>
      </c>
      <c r="Q1045" s="69">
        <f>IF(OR(H1045=0,P1045&lt;30),"Tier D (Đóng băng)",IF(P1045&gt;=85,"Tier S (Kim Cương: 85-100đ)",IF(P1045&gt;=70,"Tier A (Vàng: 70-84đ)",IF(P1045&gt;=61,"Tier B+ / Cấp A (Hot Lead: 61-69đ)",IF(P1045&gt;=50,"Tier B (Bạc: 50-60đ)","Tier C (Đồng: 30-49đ)")))))</f>
        <v/>
      </c>
      <c r="R1045" s="6" t="inlineStr">
        <is>
          <t>Khay vệ sinh chung cư (Indoor Potty) + Thảm cỏ ban công (Grass Patch) + Đồ chơi</t>
        </is>
      </c>
      <c r="S1045" s="6" t="inlineStr">
        <is>
          <t>Cấp C Chi phí thấp: Nhắn tin trực tiếp qua Fanpage Facebook/Instagram + Nuôi dưỡng nội dung</t>
        </is>
      </c>
    </row>
    <row r="1046">
      <c r="A1046" s="59" t="n">
        <v>1422</v>
      </c>
      <c r="B1046" s="15" t="inlineStr">
        <is>
          <t>Fort Wayne, Indiana - Lost Dogs, Cats &amp; Pets - PawBoost</t>
        </is>
      </c>
      <c r="C1046" s="60" t="inlineStr">
        <is>
          <t>https://www.facebook.com/LostPetsFortWayneIN</t>
        </is>
      </c>
      <c r="D1046" s="9" t="inlineStr">
        <is>
          <t>Cần quét Bio Fanpage</t>
        </is>
      </c>
      <c r="E1046" s="59" t="inlineStr">
        <is>
          <t>12/10/2026 21:28:23</t>
        </is>
      </c>
      <c r="F1046" s="59" t="inlineStr">
        <is>
          <t>6 giờ trước</t>
        </is>
      </c>
      <c r="G1046" s="61" t="n">
        <v>0.25</v>
      </c>
      <c r="H1046" s="62" t="n">
        <v>32</v>
      </c>
      <c r="I1046" s="9" t="inlineStr">
        <is>
          <t>Pet Owner / Cộng đồng nuôi cún (10đ)</t>
        </is>
      </c>
      <c r="J1046" s="62" t="n">
        <v>10</v>
      </c>
      <c r="K1046" s="9" t="inlineStr">
        <is>
          <t>Chưa rõ giống (Cần quét Bio)</t>
        </is>
      </c>
      <c r="L1046" s="62" t="n">
        <v>0</v>
      </c>
      <c r="M1046" s="62" t="n">
        <v>0</v>
      </c>
      <c r="N1046" s="9" t="inlineStr">
        <is>
          <t>Amazon link not found</t>
        </is>
      </c>
      <c r="O1046" s="62">
        <f>IF(N1046="Selling pet toys + Artificial grass/Pet toilets (TARGET)",15,IF(N1046="Selling artificial grass/pet toilets (TARGET)",10,IF(N1046="Selling pet toys",7,IF(N1046="There's an Amazon link, but no target sales.",3,0))))</f>
        <v/>
      </c>
      <c r="P1046" s="67">
        <f>H1046+J1046+L1046+M1046+O1046</f>
        <v/>
      </c>
      <c r="Q1046" s="69">
        <f>IF(OR(H1046=0,P1046&lt;30),"Tier D (Đóng băng)",IF(P1046&gt;=85,"Tier S (Kim Cương: 85-100đ)",IF(P1046&gt;=70,"Tier A (Vàng: 70-84đ)",IF(P1046&gt;=61,"Tier B+ / Cấp A (Hot Lead: 61-69đ)",IF(P1046&gt;=50,"Tier B (Bạc: 50-60đ)","Tier C (Đồng: 30-49đ)")))))</f>
        <v/>
      </c>
      <c r="R1046" s="9" t="inlineStr">
        <is>
          <t>Khay vệ sinh chung cư (Indoor Potty) + Thảm cỏ ban công (Grass Patch) + Đồ chơi</t>
        </is>
      </c>
      <c r="S1046" s="9" t="inlineStr">
        <is>
          <t>Cấp C Chi phí thấp: Nhắn tin trực tiếp qua Fanpage Facebook/Instagram + Nuôi dưỡng nội dung</t>
        </is>
      </c>
    </row>
    <row r="1047">
      <c r="A1047" s="53" t="n">
        <v>2648</v>
      </c>
      <c r="B1047" s="12" t="inlineStr">
        <is>
          <t>PSR Stockdogs</t>
        </is>
      </c>
      <c r="C1047" s="54" t="inlineStr">
        <is>
          <t>https://www.facebook.com/profile.php?id=100064779186960</t>
        </is>
      </c>
      <c r="D1047" s="6" t="inlineStr">
        <is>
          <t>Cần quét Bio Fanpage</t>
        </is>
      </c>
      <c r="E1047" s="53" t="inlineStr">
        <is>
          <t>12/10/2026 21:25:30</t>
        </is>
      </c>
      <c r="F1047" s="53" t="inlineStr">
        <is>
          <t>8 giờ trước</t>
        </is>
      </c>
      <c r="G1047" s="55" t="n">
        <v>0.33</v>
      </c>
      <c r="H1047" s="56" t="n">
        <v>32</v>
      </c>
      <c r="I1047" s="6" t="inlineStr">
        <is>
          <t>Pet Owner / Cộng đồng nuôi cún (10đ)</t>
        </is>
      </c>
      <c r="J1047" s="56" t="n">
        <v>10</v>
      </c>
      <c r="K1047" s="6" t="inlineStr">
        <is>
          <t>Chưa rõ giống (Cần quét Bio)</t>
        </is>
      </c>
      <c r="L1047" s="56" t="n">
        <v>0</v>
      </c>
      <c r="M1047" s="56" t="n">
        <v>0</v>
      </c>
      <c r="N1047" s="6" t="inlineStr">
        <is>
          <t>Amazon link not found</t>
        </is>
      </c>
      <c r="O1047" s="56">
        <f>IF(N1047="Selling pet toys + Artificial grass/Pet toilets (TARGET)",15,IF(N1047="Selling artificial grass/pet toilets (TARGET)",10,IF(N1047="Selling pet toys",7,IF(N1047="There's an Amazon link, but no target sales.",3,0))))</f>
        <v/>
      </c>
      <c r="P1047" s="65">
        <f>H1047+J1047+L1047+M1047+O1047</f>
        <v/>
      </c>
      <c r="Q1047" s="69">
        <f>IF(OR(H1047=0,P1047&lt;30),"Tier D (Đóng băng)",IF(P1047&gt;=85,"Tier S (Kim Cương: 85-100đ)",IF(P1047&gt;=70,"Tier A (Vàng: 70-84đ)",IF(P1047&gt;=61,"Tier B+ / Cấp A (Hot Lead: 61-69đ)",IF(P1047&gt;=50,"Tier B (Bạc: 50-60đ)","Tier C (Đồng: 30-49đ)")))))</f>
        <v/>
      </c>
      <c r="R1047" s="6" t="inlineStr">
        <is>
          <t>Khay vệ sinh chung cư (Indoor Potty) + Thảm cỏ ban công (Grass Patch) + Đồ chơi</t>
        </is>
      </c>
      <c r="S1047" s="6" t="inlineStr">
        <is>
          <t>Cấp C Chi phí thấp: Nhắn tin trực tiếp qua Fanpage Facebook/Instagram + Nuôi dưỡng nội dung</t>
        </is>
      </c>
    </row>
    <row r="1048">
      <c r="A1048" s="59" t="n">
        <v>993</v>
      </c>
      <c r="B1048" s="15" t="inlineStr">
        <is>
          <t>Dade County Pet Project</t>
        </is>
      </c>
      <c r="C1048" s="60" t="inlineStr">
        <is>
          <t>https://www.facebook.com/profile.php?id=100085934199512</t>
        </is>
      </c>
      <c r="D1048" s="9" t="inlineStr">
        <is>
          <t>Cần quét Bio Fanpage</t>
        </is>
      </c>
      <c r="E1048" s="59" t="inlineStr">
        <is>
          <t>12/10/2026 21:21:40</t>
        </is>
      </c>
      <c r="F1048" s="59" t="inlineStr">
        <is>
          <t>5 giờ trước</t>
        </is>
      </c>
      <c r="G1048" s="61" t="n">
        <v>0.21</v>
      </c>
      <c r="H1048" s="62" t="n">
        <v>32</v>
      </c>
      <c r="I1048" s="9" t="inlineStr">
        <is>
          <t>Pet Owner / Cộng đồng nuôi cún (10đ)</t>
        </is>
      </c>
      <c r="J1048" s="62" t="n">
        <v>10</v>
      </c>
      <c r="K1048" s="9" t="inlineStr">
        <is>
          <t>Chưa rõ giống (Cần quét Bio)</t>
        </is>
      </c>
      <c r="L1048" s="62" t="n">
        <v>0</v>
      </c>
      <c r="M1048" s="62" t="n">
        <v>0</v>
      </c>
      <c r="N1048" s="9" t="inlineStr">
        <is>
          <t>Amazon link not found</t>
        </is>
      </c>
      <c r="O1048" s="62">
        <f>IF(N1048="Selling pet toys + Artificial grass/Pet toilets (TARGET)",15,IF(N1048="Selling artificial grass/pet toilets (TARGET)",10,IF(N1048="Selling pet toys",7,IF(N1048="There's an Amazon link, but no target sales.",3,0))))</f>
        <v/>
      </c>
      <c r="P1048" s="67">
        <f>H1048+J1048+L1048+M1048+O1048</f>
        <v/>
      </c>
      <c r="Q1048" s="69">
        <f>IF(OR(H1048=0,P1048&lt;30),"Tier D (Đóng băng)",IF(P1048&gt;=85,"Tier S (Kim Cương: 85-100đ)",IF(P1048&gt;=70,"Tier A (Vàng: 70-84đ)",IF(P1048&gt;=61,"Tier B+ / Cấp A (Hot Lead: 61-69đ)",IF(P1048&gt;=50,"Tier B (Bạc: 50-60đ)","Tier C (Đồng: 30-49đ)")))))</f>
        <v/>
      </c>
      <c r="R1048" s="9" t="inlineStr">
        <is>
          <t>Khay vệ sinh chung cư (Indoor Potty) + Thảm cỏ ban công (Grass Patch) + Đồ chơi</t>
        </is>
      </c>
      <c r="S1048" s="9" t="inlineStr">
        <is>
          <t>Cấp C Chi phí thấp: Nhắn tin trực tiếp qua Fanpage Facebook/Instagram + Nuôi dưỡng nội dung</t>
        </is>
      </c>
    </row>
    <row r="1049">
      <c r="A1049" s="53" t="n">
        <v>2351</v>
      </c>
      <c r="B1049" s="12" t="inlineStr">
        <is>
          <t>OldFriendsSeniorDogSanctuary</t>
        </is>
      </c>
      <c r="C1049" s="54" t="inlineStr">
        <is>
          <t>https://www.facebook.com/OldFriendsSeniorDogSanctuary</t>
        </is>
      </c>
      <c r="D1049" s="6" t="inlineStr">
        <is>
          <t>Cần quét Bio Fanpage</t>
        </is>
      </c>
      <c r="E1049" s="53" t="inlineStr">
        <is>
          <t>12/10/2026 21:21:29</t>
        </is>
      </c>
      <c r="F1049" s="53" t="inlineStr">
        <is>
          <t>7 giờ trước</t>
        </is>
      </c>
      <c r="G1049" s="55" t="n">
        <v>0.29</v>
      </c>
      <c r="H1049" s="56" t="n">
        <v>32</v>
      </c>
      <c r="I1049" s="6" t="inlineStr">
        <is>
          <t>Pet Owner / Cộng đồng nuôi cún (10đ)</t>
        </is>
      </c>
      <c r="J1049" s="56" t="n">
        <v>10</v>
      </c>
      <c r="K1049" s="6" t="inlineStr">
        <is>
          <t>Chưa rõ giống (Cần quét Bio)</t>
        </is>
      </c>
      <c r="L1049" s="56" t="n">
        <v>0</v>
      </c>
      <c r="M1049" s="56" t="n">
        <v>0</v>
      </c>
      <c r="N1049" s="6" t="inlineStr">
        <is>
          <t>Amazon link not found</t>
        </is>
      </c>
      <c r="O1049" s="56">
        <f>IF(N1049="Selling pet toys + Artificial grass/Pet toilets (TARGET)",15,IF(N1049="Selling artificial grass/pet toilets (TARGET)",10,IF(N1049="Selling pet toys",7,IF(N1049="There's an Amazon link, but no target sales.",3,0))))</f>
        <v/>
      </c>
      <c r="P1049" s="65">
        <f>H1049+J1049+L1049+M1049+O1049</f>
        <v/>
      </c>
      <c r="Q1049" s="69">
        <f>IF(OR(H1049=0,P1049&lt;30),"Tier D (Đóng băng)",IF(P1049&gt;=85,"Tier S (Kim Cương: 85-100đ)",IF(P1049&gt;=70,"Tier A (Vàng: 70-84đ)",IF(P1049&gt;=61,"Tier B+ / Cấp A (Hot Lead: 61-69đ)",IF(P1049&gt;=50,"Tier B (Bạc: 50-60đ)","Tier C (Đồng: 30-49đ)")))))</f>
        <v/>
      </c>
      <c r="R1049" s="6" t="inlineStr">
        <is>
          <t>Khay vệ sinh chung cư (Indoor Potty) + Thảm cỏ ban công (Grass Patch) + Đồ chơi</t>
        </is>
      </c>
      <c r="S1049" s="6" t="inlineStr">
        <is>
          <t>Cấp C Chi phí thấp: Nhắn tin trực tiếp qua Fanpage Facebook/Instagram + Nuôi dưỡng nội dung</t>
        </is>
      </c>
    </row>
    <row r="1050">
      <c r="A1050" s="59" t="n">
        <v>3435</v>
      </c>
      <c r="B1050" s="15" t="inlineStr">
        <is>
          <t>Wolfdog Kaskae</t>
        </is>
      </c>
      <c r="C1050" s="60" t="inlineStr">
        <is>
          <t>https://www.facebook.com/profile.php?id=61590268533998</t>
        </is>
      </c>
      <c r="D1050" s="9" t="inlineStr">
        <is>
          <t>Cần quét Bio Fanpage</t>
        </is>
      </c>
      <c r="E1050" s="59" t="inlineStr">
        <is>
          <t>12/10/2026 21:19:54</t>
        </is>
      </c>
      <c r="F1050" s="59" t="inlineStr">
        <is>
          <t>9 giờ trước</t>
        </is>
      </c>
      <c r="G1050" s="61" t="n">
        <v>0.38</v>
      </c>
      <c r="H1050" s="62" t="n">
        <v>32</v>
      </c>
      <c r="I1050" s="9" t="inlineStr">
        <is>
          <t>Pet Owner / Cộng đồng nuôi cún (10đ)</t>
        </is>
      </c>
      <c r="J1050" s="62" t="n">
        <v>10</v>
      </c>
      <c r="K1050" s="9" t="inlineStr">
        <is>
          <t>Chưa rõ giống (Cần quét Bio)</t>
        </is>
      </c>
      <c r="L1050" s="62" t="n">
        <v>0</v>
      </c>
      <c r="M1050" s="62" t="n">
        <v>0</v>
      </c>
      <c r="N1050" s="9" t="inlineStr">
        <is>
          <t>Amazon link not found</t>
        </is>
      </c>
      <c r="O1050" s="62">
        <f>IF(N1050="Selling pet toys + Artificial grass/Pet toilets (TARGET)",15,IF(N1050="Selling artificial grass/pet toilets (TARGET)",10,IF(N1050="Selling pet toys",7,IF(N1050="There's an Amazon link, but no target sales.",3,0))))</f>
        <v/>
      </c>
      <c r="P1050" s="67">
        <f>H1050+J1050+L1050+M1050+O1050</f>
        <v/>
      </c>
      <c r="Q1050" s="69">
        <f>IF(OR(H1050=0,P1050&lt;30),"Tier D (Đóng băng)",IF(P1050&gt;=85,"Tier S (Kim Cương: 85-100đ)",IF(P1050&gt;=70,"Tier A (Vàng: 70-84đ)",IF(P1050&gt;=61,"Tier B+ / Cấp A (Hot Lead: 61-69đ)",IF(P1050&gt;=50,"Tier B (Bạc: 50-60đ)","Tier C (Đồng: 30-49đ)")))))</f>
        <v/>
      </c>
      <c r="R1050" s="9" t="inlineStr">
        <is>
          <t>Khay vệ sinh chung cư (Indoor Potty) + Thảm cỏ ban công (Grass Patch) + Đồ chơi</t>
        </is>
      </c>
      <c r="S1050" s="9" t="inlineStr">
        <is>
          <t>Cấp C Chi phí thấp: Nhắn tin trực tiếp qua Fanpage Facebook/Instagram + Nuôi dưỡng nội dung</t>
        </is>
      </c>
    </row>
    <row r="1051">
      <c r="A1051" s="53" t="n">
        <v>2909</v>
      </c>
      <c r="B1051" s="12" t="inlineStr">
        <is>
          <t>sincitybullies09.2</t>
        </is>
      </c>
      <c r="C1051" s="54" t="inlineStr">
        <is>
          <t>https://www.facebook.com/profile.php?id=100063011630357</t>
        </is>
      </c>
      <c r="D1051" s="6" t="inlineStr">
        <is>
          <t>Cần quét Bio Fanpage</t>
        </is>
      </c>
      <c r="E1051" s="53" t="inlineStr">
        <is>
          <t>12/10/2026 21:19:20</t>
        </is>
      </c>
      <c r="F1051" s="53" t="inlineStr">
        <is>
          <t>8 giờ trước</t>
        </is>
      </c>
      <c r="G1051" s="55" t="n">
        <v>0.33</v>
      </c>
      <c r="H1051" s="56" t="n">
        <v>32</v>
      </c>
      <c r="I1051" s="6" t="inlineStr">
        <is>
          <t>Pet Owner / Cộng đồng nuôi cún (10đ)</t>
        </is>
      </c>
      <c r="J1051" s="56" t="n">
        <v>10</v>
      </c>
      <c r="K1051" s="6" t="inlineStr">
        <is>
          <t>Chưa rõ giống (Cần quét Bio)</t>
        </is>
      </c>
      <c r="L1051" s="56" t="n">
        <v>0</v>
      </c>
      <c r="M1051" s="56" t="n">
        <v>0</v>
      </c>
      <c r="N1051" s="6" t="inlineStr">
        <is>
          <t>Amazon link not found</t>
        </is>
      </c>
      <c r="O1051" s="56">
        <f>IF(N1051="Selling pet toys + Artificial grass/Pet toilets (TARGET)",15,IF(N1051="Selling artificial grass/pet toilets (TARGET)",10,IF(N1051="Selling pet toys",7,IF(N1051="There's an Amazon link, but no target sales.",3,0))))</f>
        <v/>
      </c>
      <c r="P1051" s="65">
        <f>H1051+J1051+L1051+M1051+O1051</f>
        <v/>
      </c>
      <c r="Q1051" s="69">
        <f>IF(OR(H1051=0,P1051&lt;30),"Tier D (Đóng băng)",IF(P1051&gt;=85,"Tier S (Kim Cương: 85-100đ)",IF(P1051&gt;=70,"Tier A (Vàng: 70-84đ)",IF(P1051&gt;=61,"Tier B+ / Cấp A (Hot Lead: 61-69đ)",IF(P1051&gt;=50,"Tier B (Bạc: 50-60đ)","Tier C (Đồng: 30-49đ)")))))</f>
        <v/>
      </c>
      <c r="R1051" s="6" t="inlineStr">
        <is>
          <t>Khay vệ sinh chung cư (Indoor Potty) + Thảm cỏ ban công (Grass Patch) + Đồ chơi</t>
        </is>
      </c>
      <c r="S1051" s="6" t="inlineStr">
        <is>
          <t>Cấp C Chi phí thấp: Nhắn tin trực tiếp qua Fanpage Facebook/Instagram + Nuôi dưỡng nội dung</t>
        </is>
      </c>
    </row>
    <row r="1052">
      <c r="A1052" s="59" t="n">
        <v>2485</v>
      </c>
      <c r="B1052" s="15" t="inlineStr">
        <is>
          <t>Pete Uglow: Restoring.Love.Marriage</t>
        </is>
      </c>
      <c r="C1052" s="60" t="inlineStr">
        <is>
          <t>https://www.facebook.com/RestoringLoveMarriage</t>
        </is>
      </c>
      <c r="D1052" s="9" t="inlineStr">
        <is>
          <t>Cần quét Bio Fanpage</t>
        </is>
      </c>
      <c r="E1052" s="59" t="inlineStr">
        <is>
          <t>12/10/2026 21:17:25</t>
        </is>
      </c>
      <c r="F1052" s="59" t="inlineStr">
        <is>
          <t>8 giờ trước</t>
        </is>
      </c>
      <c r="G1052" s="61" t="n">
        <v>0.33</v>
      </c>
      <c r="H1052" s="62" t="n">
        <v>32</v>
      </c>
      <c r="I1052" s="9" t="inlineStr">
        <is>
          <t>Pet Owner / Cộng đồng nuôi cún (10đ)</t>
        </is>
      </c>
      <c r="J1052" s="62" t="n">
        <v>10</v>
      </c>
      <c r="K1052" s="9" t="inlineStr">
        <is>
          <t>Chưa rõ giống (Cần quét Bio)</t>
        </is>
      </c>
      <c r="L1052" s="62" t="n">
        <v>0</v>
      </c>
      <c r="M1052" s="62" t="n">
        <v>0</v>
      </c>
      <c r="N1052" s="9" t="inlineStr">
        <is>
          <t>Amazon link not found</t>
        </is>
      </c>
      <c r="O1052" s="62">
        <f>IF(N1052="Selling pet toys + Artificial grass/Pet toilets (TARGET)",15,IF(N1052="Selling artificial grass/pet toilets (TARGET)",10,IF(N1052="Selling pet toys",7,IF(N1052="There's an Amazon link, but no target sales.",3,0))))</f>
        <v/>
      </c>
      <c r="P1052" s="67">
        <f>H1052+J1052+L1052+M1052+O1052</f>
        <v/>
      </c>
      <c r="Q1052" s="69">
        <f>IF(OR(H1052=0,P1052&lt;30),"Tier D (Đóng băng)",IF(P1052&gt;=85,"Tier S (Kim Cương: 85-100đ)",IF(P1052&gt;=70,"Tier A (Vàng: 70-84đ)",IF(P1052&gt;=61,"Tier B+ / Cấp A (Hot Lead: 61-69đ)",IF(P1052&gt;=50,"Tier B (Bạc: 50-60đ)","Tier C (Đồng: 30-49đ)")))))</f>
        <v/>
      </c>
      <c r="R1052" s="9" t="inlineStr">
        <is>
          <t>Khay vệ sinh chung cư (Indoor Potty) + Thảm cỏ ban công (Grass Patch) + Đồ chơi</t>
        </is>
      </c>
      <c r="S1052" s="9" t="inlineStr">
        <is>
          <t>Cấp C Chi phí thấp: Nhắn tin trực tiếp qua Fanpage Facebook/Instagram + Nuôi dưỡng nội dung</t>
        </is>
      </c>
    </row>
    <row r="1053">
      <c r="A1053" s="53" t="n">
        <v>2672</v>
      </c>
      <c r="B1053" s="12" t="inlineStr">
        <is>
          <t>PurplePup Pet Transportation</t>
        </is>
      </c>
      <c r="C1053" s="54" t="inlineStr">
        <is>
          <t>https://www.facebook.com/PurplePupGo</t>
        </is>
      </c>
      <c r="D1053" s="6" t="inlineStr">
        <is>
          <t>Cần quét Bio Fanpage</t>
        </is>
      </c>
      <c r="E1053" s="53" t="inlineStr">
        <is>
          <t>12/10/2026 21:17:07</t>
        </is>
      </c>
      <c r="F1053" s="53" t="inlineStr">
        <is>
          <t>8 giờ trước</t>
        </is>
      </c>
      <c r="G1053" s="55" t="n">
        <v>0.33</v>
      </c>
      <c r="H1053" s="56" t="n">
        <v>32</v>
      </c>
      <c r="I1053" s="6" t="inlineStr">
        <is>
          <t>Pet Owner / Cộng đồng nuôi cún (10đ)</t>
        </is>
      </c>
      <c r="J1053" s="56" t="n">
        <v>10</v>
      </c>
      <c r="K1053" s="6" t="inlineStr">
        <is>
          <t>Chưa rõ giống (Cần quét Bio)</t>
        </is>
      </c>
      <c r="L1053" s="56" t="n">
        <v>0</v>
      </c>
      <c r="M1053" s="56" t="n">
        <v>0</v>
      </c>
      <c r="N1053" s="6" t="inlineStr">
        <is>
          <t>Amazon link not found</t>
        </is>
      </c>
      <c r="O1053" s="56">
        <f>IF(N1053="Selling pet toys + Artificial grass/Pet toilets (TARGET)",15,IF(N1053="Selling artificial grass/pet toilets (TARGET)",10,IF(N1053="Selling pet toys",7,IF(N1053="There's an Amazon link, but no target sales.",3,0))))</f>
        <v/>
      </c>
      <c r="P1053" s="65">
        <f>H1053+J1053+L1053+M1053+O1053</f>
        <v/>
      </c>
      <c r="Q1053" s="69">
        <f>IF(OR(H1053=0,P1053&lt;30),"Tier D (Đóng băng)",IF(P1053&gt;=85,"Tier S (Kim Cương: 85-100đ)",IF(P1053&gt;=70,"Tier A (Vàng: 70-84đ)",IF(P1053&gt;=61,"Tier B+ / Cấp A (Hot Lead: 61-69đ)",IF(P1053&gt;=50,"Tier B (Bạc: 50-60đ)","Tier C (Đồng: 30-49đ)")))))</f>
        <v/>
      </c>
      <c r="R1053" s="6" t="inlineStr">
        <is>
          <t>Khay vệ sinh chung cư (Indoor Potty) + Thảm cỏ ban công (Grass Patch) + Đồ chơi</t>
        </is>
      </c>
      <c r="S1053" s="6" t="inlineStr">
        <is>
          <t>Cấp C Chi phí thấp: Nhắn tin trực tiếp qua Fanpage Facebook/Instagram + Nuôi dưỡng nội dung</t>
        </is>
      </c>
    </row>
    <row r="1054">
      <c r="A1054" s="59" t="n">
        <v>3155</v>
      </c>
      <c r="B1054" s="15" t="inlineStr">
        <is>
          <t>The Raggie Dog Retreat</t>
        </is>
      </c>
      <c r="C1054" s="60" t="inlineStr">
        <is>
          <t>https://www.facebook.com/raggiedogretreat</t>
        </is>
      </c>
      <c r="D1054" s="9" t="inlineStr">
        <is>
          <t>Cần quét Bio Fanpage</t>
        </is>
      </c>
      <c r="E1054" s="59" t="inlineStr">
        <is>
          <t>12/10/2026 21:15:45</t>
        </is>
      </c>
      <c r="F1054" s="59" t="inlineStr">
        <is>
          <t>9 giờ trước</t>
        </is>
      </c>
      <c r="G1054" s="61" t="n">
        <v>0.38</v>
      </c>
      <c r="H1054" s="62" t="n">
        <v>32</v>
      </c>
      <c r="I1054" s="9" t="inlineStr">
        <is>
          <t>Pet Owner / Cộng đồng nuôi cún (10đ)</t>
        </is>
      </c>
      <c r="J1054" s="62" t="n">
        <v>10</v>
      </c>
      <c r="K1054" s="9" t="inlineStr">
        <is>
          <t>Chưa rõ giống (Cần quét Bio)</t>
        </is>
      </c>
      <c r="L1054" s="62" t="n">
        <v>0</v>
      </c>
      <c r="M1054" s="62" t="n">
        <v>0</v>
      </c>
      <c r="N1054" s="9" t="inlineStr">
        <is>
          <t>Amazon link not found</t>
        </is>
      </c>
      <c r="O1054" s="62">
        <f>IF(N1054="Selling pet toys + Artificial grass/Pet toilets (TARGET)",15,IF(N1054="Selling artificial grass/pet toilets (TARGET)",10,IF(N1054="Selling pet toys",7,IF(N1054="There's an Amazon link, but no target sales.",3,0))))</f>
        <v/>
      </c>
      <c r="P1054" s="67">
        <f>H1054+J1054+L1054+M1054+O1054</f>
        <v/>
      </c>
      <c r="Q1054" s="69">
        <f>IF(OR(H1054=0,P1054&lt;30),"Tier D (Đóng băng)",IF(P1054&gt;=85,"Tier S (Kim Cương: 85-100đ)",IF(P1054&gt;=70,"Tier A (Vàng: 70-84đ)",IF(P1054&gt;=61,"Tier B+ / Cấp A (Hot Lead: 61-69đ)",IF(P1054&gt;=50,"Tier B (Bạc: 50-60đ)","Tier C (Đồng: 30-49đ)")))))</f>
        <v/>
      </c>
      <c r="R1054" s="9" t="inlineStr">
        <is>
          <t>Khay vệ sinh chung cư (Indoor Potty) + Thảm cỏ ban công (Grass Patch) + Đồ chơi</t>
        </is>
      </c>
      <c r="S1054" s="9" t="inlineStr">
        <is>
          <t>Cấp C Chi phí thấp: Nhắn tin trực tiếp qua Fanpage Facebook/Instagram + Nuôi dưỡng nội dung</t>
        </is>
      </c>
    </row>
    <row r="1055">
      <c r="A1055" s="53" t="n">
        <v>1126</v>
      </c>
      <c r="B1055" s="12" t="inlineStr">
        <is>
          <t>DoggoRamps</t>
        </is>
      </c>
      <c r="C1055" s="54" t="inlineStr">
        <is>
          <t>https://www.facebook.com/doggoramps</t>
        </is>
      </c>
      <c r="D1055" s="6" t="inlineStr">
        <is>
          <t>Cần quét Bio Fanpage</t>
        </is>
      </c>
      <c r="E1055" s="53" t="inlineStr">
        <is>
          <t>12/10/2026 21:15:02</t>
        </is>
      </c>
      <c r="F1055" s="53" t="inlineStr">
        <is>
          <t>5 giờ trước</t>
        </is>
      </c>
      <c r="G1055" s="55" t="n">
        <v>0.21</v>
      </c>
      <c r="H1055" s="56" t="n">
        <v>32</v>
      </c>
      <c r="I1055" s="6" t="inlineStr">
        <is>
          <t>Pet Owner / Cộng đồng nuôi cún (10đ)</t>
        </is>
      </c>
      <c r="J1055" s="56" t="n">
        <v>10</v>
      </c>
      <c r="K1055" s="6" t="inlineStr">
        <is>
          <t>Chưa rõ giống (Cần quét Bio)</t>
        </is>
      </c>
      <c r="L1055" s="56" t="n">
        <v>0</v>
      </c>
      <c r="M1055" s="56" t="n">
        <v>0</v>
      </c>
      <c r="N1055" s="6" t="inlineStr">
        <is>
          <t>Amazon link not found</t>
        </is>
      </c>
      <c r="O1055" s="56">
        <f>IF(N1055="Selling pet toys + Artificial grass/Pet toilets (TARGET)",15,IF(N1055="Selling artificial grass/pet toilets (TARGET)",10,IF(N1055="Selling pet toys",7,IF(N1055="There's an Amazon link, but no target sales.",3,0))))</f>
        <v/>
      </c>
      <c r="P1055" s="65">
        <f>H1055+J1055+L1055+M1055+O1055</f>
        <v/>
      </c>
      <c r="Q1055" s="69">
        <f>IF(OR(H1055=0,P1055&lt;30),"Tier D (Đóng băng)",IF(P1055&gt;=85,"Tier S (Kim Cương: 85-100đ)",IF(P1055&gt;=70,"Tier A (Vàng: 70-84đ)",IF(P1055&gt;=61,"Tier B+ / Cấp A (Hot Lead: 61-69đ)",IF(P1055&gt;=50,"Tier B (Bạc: 50-60đ)","Tier C (Đồng: 30-49đ)")))))</f>
        <v/>
      </c>
      <c r="R1055" s="6" t="inlineStr">
        <is>
          <t>Khay vệ sinh chung cư (Indoor Potty) + Thảm cỏ ban công (Grass Patch) + Đồ chơi</t>
        </is>
      </c>
      <c r="S1055" s="6" t="inlineStr">
        <is>
          <t>Cấp C Chi phí thấp: Nhắn tin trực tiếp qua Fanpage Facebook/Instagram + Nuôi dưỡng nội dung</t>
        </is>
      </c>
    </row>
    <row r="1056">
      <c r="A1056" s="59" t="n">
        <v>1948</v>
      </c>
      <c r="B1056" s="15" t="inlineStr">
        <is>
          <t>Kuoser Dog Apparel</t>
        </is>
      </c>
      <c r="C1056" s="60" t="inlineStr">
        <is>
          <t>https://www.facebook.com/kuoserdogapparel</t>
        </is>
      </c>
      <c r="D1056" s="9" t="inlineStr">
        <is>
          <t>Cần quét Bio Fanpage</t>
        </is>
      </c>
      <c r="E1056" s="59" t="inlineStr">
        <is>
          <t>12/10/2026 21:15:01</t>
        </is>
      </c>
      <c r="F1056" s="59" t="inlineStr">
        <is>
          <t>7 giờ trước</t>
        </is>
      </c>
      <c r="G1056" s="61" t="n">
        <v>0.29</v>
      </c>
      <c r="H1056" s="62" t="n">
        <v>32</v>
      </c>
      <c r="I1056" s="9" t="inlineStr">
        <is>
          <t>Pet Owner / Cộng đồng nuôi cún (10đ)</t>
        </is>
      </c>
      <c r="J1056" s="62" t="n">
        <v>10</v>
      </c>
      <c r="K1056" s="9" t="inlineStr">
        <is>
          <t>Chưa rõ giống (Cần quét Bio)</t>
        </is>
      </c>
      <c r="L1056" s="62" t="n">
        <v>0</v>
      </c>
      <c r="M1056" s="62" t="n">
        <v>0</v>
      </c>
      <c r="N1056" s="9" t="inlineStr">
        <is>
          <t>Amazon link not found</t>
        </is>
      </c>
      <c r="O1056" s="62">
        <f>IF(N1056="Selling pet toys + Artificial grass/Pet toilets (TARGET)",15,IF(N1056="Selling artificial grass/pet toilets (TARGET)",10,IF(N1056="Selling pet toys",7,IF(N1056="There's an Amazon link, but no target sales.",3,0))))</f>
        <v/>
      </c>
      <c r="P1056" s="67">
        <f>H1056+J1056+L1056+M1056+O1056</f>
        <v/>
      </c>
      <c r="Q1056" s="69">
        <f>IF(OR(H1056=0,P1056&lt;30),"Tier D (Đóng băng)",IF(P1056&gt;=85,"Tier S (Kim Cương: 85-100đ)",IF(P1056&gt;=70,"Tier A (Vàng: 70-84đ)",IF(P1056&gt;=61,"Tier B+ / Cấp A (Hot Lead: 61-69đ)",IF(P1056&gt;=50,"Tier B (Bạc: 50-60đ)","Tier C (Đồng: 30-49đ)")))))</f>
        <v/>
      </c>
      <c r="R1056" s="9" t="inlineStr">
        <is>
          <t>Khay vệ sinh chung cư (Indoor Potty) + Thảm cỏ ban công (Grass Patch) + Đồ chơi</t>
        </is>
      </c>
      <c r="S1056" s="9" t="inlineStr">
        <is>
          <t>Cấp C Chi phí thấp: Nhắn tin trực tiếp qua Fanpage Facebook/Instagram + Nuôi dưỡng nội dung</t>
        </is>
      </c>
    </row>
    <row r="1057">
      <c r="A1057" s="53" t="n">
        <v>2684</v>
      </c>
      <c r="B1057" s="12" t="inlineStr">
        <is>
          <t>Rabbitgoo pets</t>
        </is>
      </c>
      <c r="C1057" s="54" t="inlineStr">
        <is>
          <t>https://www.facebook.com/Rabbitgoopets</t>
        </is>
      </c>
      <c r="D1057" s="6" t="inlineStr">
        <is>
          <t>Cần quét Bio Fanpage</t>
        </is>
      </c>
      <c r="E1057" s="53" t="inlineStr">
        <is>
          <t>12/10/2026 21:10:02</t>
        </is>
      </c>
      <c r="F1057" s="53" t="inlineStr">
        <is>
          <t>8 giờ trước</t>
        </is>
      </c>
      <c r="G1057" s="55" t="n">
        <v>0.33</v>
      </c>
      <c r="H1057" s="56" t="n">
        <v>32</v>
      </c>
      <c r="I1057" s="6" t="inlineStr">
        <is>
          <t>Pet Owner / Cộng đồng nuôi cún (10đ)</t>
        </is>
      </c>
      <c r="J1057" s="56" t="n">
        <v>10</v>
      </c>
      <c r="K1057" s="6" t="inlineStr">
        <is>
          <t>Chưa rõ giống (Cần quét Bio)</t>
        </is>
      </c>
      <c r="L1057" s="56" t="n">
        <v>0</v>
      </c>
      <c r="M1057" s="56" t="n">
        <v>0</v>
      </c>
      <c r="N1057" s="6" t="inlineStr">
        <is>
          <t>Amazon link not found</t>
        </is>
      </c>
      <c r="O1057" s="56">
        <f>IF(N1057="Selling pet toys + Artificial grass/Pet toilets (TARGET)",15,IF(N1057="Selling artificial grass/pet toilets (TARGET)",10,IF(N1057="Selling pet toys",7,IF(N1057="There's an Amazon link, but no target sales.",3,0))))</f>
        <v/>
      </c>
      <c r="P1057" s="65">
        <f>H1057+J1057+L1057+M1057+O1057</f>
        <v/>
      </c>
      <c r="Q1057" s="69">
        <f>IF(OR(H1057=0,P1057&lt;30),"Tier D (Đóng băng)",IF(P1057&gt;=85,"Tier S (Kim Cương: 85-100đ)",IF(P1057&gt;=70,"Tier A (Vàng: 70-84đ)",IF(P1057&gt;=61,"Tier B+ / Cấp A (Hot Lead: 61-69đ)",IF(P1057&gt;=50,"Tier B (Bạc: 50-60đ)","Tier C (Đồng: 30-49đ)")))))</f>
        <v/>
      </c>
      <c r="R1057" s="6" t="inlineStr">
        <is>
          <t>Khay vệ sinh chung cư (Indoor Potty) + Thảm cỏ ban công (Grass Patch) + Đồ chơi</t>
        </is>
      </c>
      <c r="S1057" s="6" t="inlineStr">
        <is>
          <t>Cấp C Chi phí thấp: Nhắn tin trực tiếp qua Fanpage Facebook/Instagram + Nuôi dưỡng nội dung</t>
        </is>
      </c>
    </row>
    <row r="1058">
      <c r="A1058" s="59" t="n">
        <v>134</v>
      </c>
      <c r="B1058" s="15" t="inlineStr">
        <is>
          <t>Chopper the Biker Dog</t>
        </is>
      </c>
      <c r="C1058" s="60" t="inlineStr">
        <is>
          <t>https://www.facebook.com/chopperthebikerdog</t>
        </is>
      </c>
      <c r="D1058" s="9" t="inlineStr">
        <is>
          <t>Cần quét Bio Fanpage</t>
        </is>
      </c>
      <c r="E1058" s="59" t="inlineStr">
        <is>
          <t>12/10/2026 21:08:55</t>
        </is>
      </c>
      <c r="F1058" s="59" t="inlineStr">
        <is>
          <t>4 giờ trước</t>
        </is>
      </c>
      <c r="G1058" s="61" t="n">
        <v>0.17</v>
      </c>
      <c r="H1058" s="62" t="n">
        <v>32</v>
      </c>
      <c r="I1058" s="9" t="inlineStr">
        <is>
          <t>Pet Owner / Cộng đồng nuôi cún (10đ)</t>
        </is>
      </c>
      <c r="J1058" s="62" t="n">
        <v>10</v>
      </c>
      <c r="K1058" s="9" t="inlineStr">
        <is>
          <t>Chưa rõ giống (Cần quét Bio)</t>
        </is>
      </c>
      <c r="L1058" s="62" t="n">
        <v>0</v>
      </c>
      <c r="M1058" s="62" t="n">
        <v>0</v>
      </c>
      <c r="N1058" s="9" t="inlineStr">
        <is>
          <t>Amazon link not found</t>
        </is>
      </c>
      <c r="O1058" s="62">
        <f>IF(N1058="Selling pet toys + Artificial grass/Pet toilets (TARGET)",15,IF(N1058="Selling artificial grass/pet toilets (TARGET)",10,IF(N1058="Selling pet toys",7,IF(N1058="There's an Amazon link, but no target sales.",3,0))))</f>
        <v/>
      </c>
      <c r="P1058" s="67">
        <f>H1058+J1058+L1058+M1058+O1058</f>
        <v/>
      </c>
      <c r="Q1058" s="69">
        <f>IF(OR(H1058=0,P1058&lt;30),"Tier D (Đóng băng)",IF(P1058&gt;=85,"Tier S (Kim Cương: 85-100đ)",IF(P1058&gt;=70,"Tier A (Vàng: 70-84đ)",IF(P1058&gt;=61,"Tier B+ / Cấp A (Hot Lead: 61-69đ)",IF(P1058&gt;=50,"Tier B (Bạc: 50-60đ)","Tier C (Đồng: 30-49đ)")))))</f>
        <v/>
      </c>
      <c r="R1058" s="9" t="inlineStr">
        <is>
          <t>Khay vệ sinh chung cư (Indoor Potty) + Thảm cỏ ban công (Grass Patch) + Đồ chơi</t>
        </is>
      </c>
      <c r="S1058" s="9" t="inlineStr">
        <is>
          <t>Cấp C Chi phí thấp: Nhắn tin trực tiếp qua Fanpage Facebook/Instagram + Nuôi dưỡng nội dung</t>
        </is>
      </c>
    </row>
    <row r="1059">
      <c r="A1059" s="53" t="n">
        <v>744</v>
      </c>
      <c r="B1059" s="12" t="inlineStr">
        <is>
          <t>Bougie Dogwear</t>
        </is>
      </c>
      <c r="C1059" s="54" t="inlineStr">
        <is>
          <t>https://www.facebook.com/BougieDogwear</t>
        </is>
      </c>
      <c r="D1059" s="6" t="inlineStr">
        <is>
          <t>Cần quét Bio Fanpage</t>
        </is>
      </c>
      <c r="E1059" s="53" t="inlineStr">
        <is>
          <t>12/10/2026 21:03:18</t>
        </is>
      </c>
      <c r="F1059" s="53" t="inlineStr">
        <is>
          <t>5 giờ trước</t>
        </is>
      </c>
      <c r="G1059" s="55" t="n">
        <v>0.21</v>
      </c>
      <c r="H1059" s="56" t="n">
        <v>32</v>
      </c>
      <c r="I1059" s="6" t="inlineStr">
        <is>
          <t>Pet Owner / Cộng đồng nuôi cún (10đ)</t>
        </is>
      </c>
      <c r="J1059" s="56" t="n">
        <v>10</v>
      </c>
      <c r="K1059" s="6" t="inlineStr">
        <is>
          <t>Chưa rõ giống (Cần quét Bio)</t>
        </is>
      </c>
      <c r="L1059" s="56" t="n">
        <v>0</v>
      </c>
      <c r="M1059" s="56" t="n">
        <v>0</v>
      </c>
      <c r="N1059" s="6" t="inlineStr">
        <is>
          <t>Amazon link not found</t>
        </is>
      </c>
      <c r="O1059" s="56">
        <f>IF(N1059="Selling pet toys + Artificial grass/Pet toilets (TARGET)",15,IF(N1059="Selling artificial grass/pet toilets (TARGET)",10,IF(N1059="Selling pet toys",7,IF(N1059="There's an Amazon link, but no target sales.",3,0))))</f>
        <v/>
      </c>
      <c r="P1059" s="65">
        <f>H1059+J1059+L1059+M1059+O1059</f>
        <v/>
      </c>
      <c r="Q1059" s="69">
        <f>IF(OR(H1059=0,P1059&lt;30),"Tier D (Đóng băng)",IF(P1059&gt;=85,"Tier S (Kim Cương: 85-100đ)",IF(P1059&gt;=70,"Tier A (Vàng: 70-84đ)",IF(P1059&gt;=61,"Tier B+ / Cấp A (Hot Lead: 61-69đ)",IF(P1059&gt;=50,"Tier B (Bạc: 50-60đ)","Tier C (Đồng: 30-49đ)")))))</f>
        <v/>
      </c>
      <c r="R1059" s="6" t="inlineStr">
        <is>
          <t>Khay vệ sinh chung cư (Indoor Potty) + Thảm cỏ ban công (Grass Patch) + Đồ chơi</t>
        </is>
      </c>
      <c r="S1059" s="6" t="inlineStr">
        <is>
          <t>Cấp C Chi phí thấp: Nhắn tin trực tiếp qua Fanpage Facebook/Instagram + Nuôi dưỡng nội dung</t>
        </is>
      </c>
    </row>
    <row r="1060">
      <c r="A1060" s="59" t="n">
        <v>800</v>
      </c>
      <c r="B1060" s="15" t="inlineStr">
        <is>
          <t>Buzz Pets Food</t>
        </is>
      </c>
      <c r="C1060" s="60" t="inlineStr">
        <is>
          <t>https://www.facebook.com/buzzpetsfood</t>
        </is>
      </c>
      <c r="D1060" s="9" t="inlineStr">
        <is>
          <t>Cần quét Bio Fanpage</t>
        </is>
      </c>
      <c r="E1060" s="59" t="inlineStr">
        <is>
          <t>12/10/2026 21:00:53</t>
        </is>
      </c>
      <c r="F1060" s="59" t="inlineStr">
        <is>
          <t>5 giờ trước</t>
        </is>
      </c>
      <c r="G1060" s="61" t="n">
        <v>0.21</v>
      </c>
      <c r="H1060" s="62" t="n">
        <v>32</v>
      </c>
      <c r="I1060" s="9" t="inlineStr">
        <is>
          <t>Pet Owner / Cộng đồng nuôi cún (10đ)</t>
        </is>
      </c>
      <c r="J1060" s="62" t="n">
        <v>10</v>
      </c>
      <c r="K1060" s="9" t="inlineStr">
        <is>
          <t>Chưa rõ giống (Cần quét Bio)</t>
        </is>
      </c>
      <c r="L1060" s="62" t="n">
        <v>0</v>
      </c>
      <c r="M1060" s="62" t="n">
        <v>0</v>
      </c>
      <c r="N1060" s="9" t="inlineStr">
        <is>
          <t>Amazon link not found</t>
        </is>
      </c>
      <c r="O1060" s="62">
        <f>IF(N1060="Selling pet toys + Artificial grass/Pet toilets (TARGET)",15,IF(N1060="Selling artificial grass/pet toilets (TARGET)",10,IF(N1060="Selling pet toys",7,IF(N1060="There's an Amazon link, but no target sales.",3,0))))</f>
        <v/>
      </c>
      <c r="P1060" s="67">
        <f>H1060+J1060+L1060+M1060+O1060</f>
        <v/>
      </c>
      <c r="Q1060" s="69">
        <f>IF(OR(H1060=0,P1060&lt;30),"Tier D (Đóng băng)",IF(P1060&gt;=85,"Tier S (Kim Cương: 85-100đ)",IF(P1060&gt;=70,"Tier A (Vàng: 70-84đ)",IF(P1060&gt;=61,"Tier B+ / Cấp A (Hot Lead: 61-69đ)",IF(P1060&gt;=50,"Tier B (Bạc: 50-60đ)","Tier C (Đồng: 30-49đ)")))))</f>
        <v/>
      </c>
      <c r="R1060" s="9" t="inlineStr">
        <is>
          <t>Khay vệ sinh chung cư (Indoor Potty) + Thảm cỏ ban công (Grass Patch) + Đồ chơi</t>
        </is>
      </c>
      <c r="S1060" s="9" t="inlineStr">
        <is>
          <t>Cấp C Chi phí thấp: Nhắn tin trực tiếp qua Fanpage Facebook/Instagram + Nuôi dưỡng nội dung</t>
        </is>
      </c>
    </row>
    <row r="1061">
      <c r="A1061" s="53" t="n">
        <v>378</v>
      </c>
      <c r="B1061" s="12" t="inlineStr">
        <is>
          <t>All Is Well Pets</t>
        </is>
      </c>
      <c r="C1061" s="54" t="inlineStr">
        <is>
          <t>https://www.facebook.com/profile.php?id=61561873925540</t>
        </is>
      </c>
      <c r="D1061" s="6" t="inlineStr">
        <is>
          <t>Cần quét Bio Fanpage</t>
        </is>
      </c>
      <c r="E1061" s="53" t="inlineStr">
        <is>
          <t>12/10/2026 21:00:18</t>
        </is>
      </c>
      <c r="F1061" s="53" t="inlineStr">
        <is>
          <t>4 giờ trước</t>
        </is>
      </c>
      <c r="G1061" s="55" t="n">
        <v>0.17</v>
      </c>
      <c r="H1061" s="56" t="n">
        <v>32</v>
      </c>
      <c r="I1061" s="6" t="inlineStr">
        <is>
          <t>Pet Owner / Cộng đồng nuôi cún (10đ)</t>
        </is>
      </c>
      <c r="J1061" s="56" t="n">
        <v>10</v>
      </c>
      <c r="K1061" s="6" t="inlineStr">
        <is>
          <t>Chưa rõ giống (Cần quét Bio)</t>
        </is>
      </c>
      <c r="L1061" s="56" t="n">
        <v>0</v>
      </c>
      <c r="M1061" s="56" t="n">
        <v>0</v>
      </c>
      <c r="N1061" s="6" t="inlineStr">
        <is>
          <t>Amazon link not found</t>
        </is>
      </c>
      <c r="O1061" s="56">
        <f>IF(N1061="Selling pet toys + Artificial grass/Pet toilets (TARGET)",15,IF(N1061="Selling artificial grass/pet toilets (TARGET)",10,IF(N1061="Selling pet toys",7,IF(N1061="There's an Amazon link, but no target sales.",3,0))))</f>
        <v/>
      </c>
      <c r="P1061" s="65">
        <f>H1061+J1061+L1061+M1061+O1061</f>
        <v/>
      </c>
      <c r="Q1061" s="69">
        <f>IF(OR(H1061=0,P1061&lt;30),"Tier D (Đóng băng)",IF(P1061&gt;=85,"Tier S (Kim Cương: 85-100đ)",IF(P1061&gt;=70,"Tier A (Vàng: 70-84đ)",IF(P1061&gt;=61,"Tier B+ / Cấp A (Hot Lead: 61-69đ)",IF(P1061&gt;=50,"Tier B (Bạc: 50-60đ)","Tier C (Đồng: 30-49đ)")))))</f>
        <v/>
      </c>
      <c r="R1061" s="6" t="inlineStr">
        <is>
          <t>Khay vệ sinh chung cư (Indoor Potty) + Thảm cỏ ban công (Grass Patch) + Đồ chơi</t>
        </is>
      </c>
      <c r="S1061" s="6" t="inlineStr">
        <is>
          <t>Cấp C Chi phí thấp: Nhắn tin trực tiếp qua Fanpage Facebook/Instagram + Nuôi dưỡng nội dung</t>
        </is>
      </c>
    </row>
    <row r="1062">
      <c r="A1062" s="59" t="n">
        <v>2329</v>
      </c>
      <c r="B1062" s="15" t="inlineStr">
        <is>
          <t>Novi Pet Expo</t>
        </is>
      </c>
      <c r="C1062" s="60" t="inlineStr">
        <is>
          <t>https://www.facebook.com/NoviPetExpo</t>
        </is>
      </c>
      <c r="D1062" s="9" t="inlineStr">
        <is>
          <t>Cần quét Bio Fanpage</t>
        </is>
      </c>
      <c r="E1062" s="59" t="inlineStr">
        <is>
          <t>12/10/2026 20:58:49</t>
        </is>
      </c>
      <c r="F1062" s="59" t="inlineStr">
        <is>
          <t>8 giờ trước</t>
        </is>
      </c>
      <c r="G1062" s="61" t="n">
        <v>0.33</v>
      </c>
      <c r="H1062" s="62" t="n">
        <v>32</v>
      </c>
      <c r="I1062" s="9" t="inlineStr">
        <is>
          <t>Pet Owner / Cộng đồng nuôi cún (10đ)</t>
        </is>
      </c>
      <c r="J1062" s="62" t="n">
        <v>10</v>
      </c>
      <c r="K1062" s="9" t="inlineStr">
        <is>
          <t>Chưa rõ giống (Cần quét Bio)</t>
        </is>
      </c>
      <c r="L1062" s="62" t="n">
        <v>0</v>
      </c>
      <c r="M1062" s="62" t="n">
        <v>0</v>
      </c>
      <c r="N1062" s="9" t="inlineStr">
        <is>
          <t>Amazon link not found</t>
        </is>
      </c>
      <c r="O1062" s="62">
        <f>IF(N1062="Selling pet toys + Artificial grass/Pet toilets (TARGET)",15,IF(N1062="Selling artificial grass/pet toilets (TARGET)",10,IF(N1062="Selling pet toys",7,IF(N1062="There's an Amazon link, but no target sales.",3,0))))</f>
        <v/>
      </c>
      <c r="P1062" s="67">
        <f>H1062+J1062+L1062+M1062+O1062</f>
        <v/>
      </c>
      <c r="Q1062" s="69">
        <f>IF(OR(H1062=0,P1062&lt;30),"Tier D (Đóng băng)",IF(P1062&gt;=85,"Tier S (Kim Cương: 85-100đ)",IF(P1062&gt;=70,"Tier A (Vàng: 70-84đ)",IF(P1062&gt;=61,"Tier B+ / Cấp A (Hot Lead: 61-69đ)",IF(P1062&gt;=50,"Tier B (Bạc: 50-60đ)","Tier C (Đồng: 30-49đ)")))))</f>
        <v/>
      </c>
      <c r="R1062" s="9" t="inlineStr">
        <is>
          <t>Khay vệ sinh chung cư (Indoor Potty) + Thảm cỏ ban công (Grass Patch) + Đồ chơi</t>
        </is>
      </c>
      <c r="S1062" s="9" t="inlineStr">
        <is>
          <t>Cấp C Chi phí thấp: Nhắn tin trực tiếp qua Fanpage Facebook/Instagram + Nuôi dưỡng nội dung</t>
        </is>
      </c>
    </row>
    <row r="1063">
      <c r="A1063" s="53" t="n">
        <v>2498</v>
      </c>
      <c r="B1063" s="12" t="inlineStr">
        <is>
          <t>Peter Stoiber</t>
        </is>
      </c>
      <c r="C1063" s="54" t="inlineStr">
        <is>
          <t>https://www.facebook.com/peter.stoiber.944</t>
        </is>
      </c>
      <c r="D1063" s="6" t="inlineStr">
        <is>
          <t>Cần quét Bio Fanpage</t>
        </is>
      </c>
      <c r="E1063" s="53" t="inlineStr">
        <is>
          <t>12/10/2026 20:53:13</t>
        </is>
      </c>
      <c r="F1063" s="53" t="inlineStr">
        <is>
          <t>8 giờ trước</t>
        </is>
      </c>
      <c r="G1063" s="55" t="n">
        <v>0.33</v>
      </c>
      <c r="H1063" s="56" t="n">
        <v>32</v>
      </c>
      <c r="I1063" s="6" t="inlineStr">
        <is>
          <t>Pet Owner / Cộng đồng nuôi cún (10đ)</t>
        </is>
      </c>
      <c r="J1063" s="56" t="n">
        <v>10</v>
      </c>
      <c r="K1063" s="6" t="inlineStr">
        <is>
          <t>Chưa rõ giống (Cần quét Bio)</t>
        </is>
      </c>
      <c r="L1063" s="56" t="n">
        <v>0</v>
      </c>
      <c r="M1063" s="56" t="n">
        <v>0</v>
      </c>
      <c r="N1063" s="6" t="inlineStr">
        <is>
          <t>Amazon link not found</t>
        </is>
      </c>
      <c r="O1063" s="56">
        <f>IF(N1063="Selling pet toys + Artificial grass/Pet toilets (TARGET)",15,IF(N1063="Selling artificial grass/pet toilets (TARGET)",10,IF(N1063="Selling pet toys",7,IF(N1063="There's an Amazon link, but no target sales.",3,0))))</f>
        <v/>
      </c>
      <c r="P1063" s="65">
        <f>H1063+J1063+L1063+M1063+O1063</f>
        <v/>
      </c>
      <c r="Q1063" s="69">
        <f>IF(OR(H1063=0,P1063&lt;30),"Tier D (Đóng băng)",IF(P1063&gt;=85,"Tier S (Kim Cương: 85-100đ)",IF(P1063&gt;=70,"Tier A (Vàng: 70-84đ)",IF(P1063&gt;=61,"Tier B+ / Cấp A (Hot Lead: 61-69đ)",IF(P1063&gt;=50,"Tier B (Bạc: 50-60đ)","Tier C (Đồng: 30-49đ)")))))</f>
        <v/>
      </c>
      <c r="R1063" s="6" t="inlineStr">
        <is>
          <t>Khay vệ sinh chung cư (Indoor Potty) + Thảm cỏ ban công (Grass Patch) + Đồ chơi</t>
        </is>
      </c>
      <c r="S1063" s="6" t="inlineStr">
        <is>
          <t>Cấp C Chi phí thấp: Nhắn tin trực tiếp qua Fanpage Facebook/Instagram + Nuôi dưỡng nội dung</t>
        </is>
      </c>
    </row>
    <row r="1064">
      <c r="A1064" s="59" t="n">
        <v>2654</v>
      </c>
      <c r="B1064" s="15" t="inlineStr">
        <is>
          <t>Puggy Smalls</t>
        </is>
      </c>
      <c r="C1064" s="60" t="inlineStr">
        <is>
          <t>https://www.facebook.com/thepuggysmalls</t>
        </is>
      </c>
      <c r="D1064" s="9" t="inlineStr">
        <is>
          <t>Cần quét Bio Fanpage</t>
        </is>
      </c>
      <c r="E1064" s="59" t="inlineStr">
        <is>
          <t>12/10/2026 20:48:02</t>
        </is>
      </c>
      <c r="F1064" s="59" t="inlineStr">
        <is>
          <t>8 giờ trước</t>
        </is>
      </c>
      <c r="G1064" s="61" t="n">
        <v>0.33</v>
      </c>
      <c r="H1064" s="62" t="n">
        <v>32</v>
      </c>
      <c r="I1064" s="9" t="inlineStr">
        <is>
          <t>Pet Owner / Cộng đồng nuôi cún (10đ)</t>
        </is>
      </c>
      <c r="J1064" s="62" t="n">
        <v>10</v>
      </c>
      <c r="K1064" s="9" t="inlineStr">
        <is>
          <t>Chưa rõ giống (Cần quét Bio)</t>
        </is>
      </c>
      <c r="L1064" s="62" t="n">
        <v>0</v>
      </c>
      <c r="M1064" s="62" t="n">
        <v>0</v>
      </c>
      <c r="N1064" s="9" t="inlineStr">
        <is>
          <t>Amazon link not found</t>
        </is>
      </c>
      <c r="O1064" s="62">
        <f>IF(N1064="Selling pet toys + Artificial grass/Pet toilets (TARGET)",15,IF(N1064="Selling artificial grass/pet toilets (TARGET)",10,IF(N1064="Selling pet toys",7,IF(N1064="There's an Amazon link, but no target sales.",3,0))))</f>
        <v/>
      </c>
      <c r="P1064" s="67">
        <f>H1064+J1064+L1064+M1064+O1064</f>
        <v/>
      </c>
      <c r="Q1064" s="69">
        <f>IF(OR(H1064=0,P1064&lt;30),"Tier D (Đóng băng)",IF(P1064&gt;=85,"Tier S (Kim Cương: 85-100đ)",IF(P1064&gt;=70,"Tier A (Vàng: 70-84đ)",IF(P1064&gt;=61,"Tier B+ / Cấp A (Hot Lead: 61-69đ)",IF(P1064&gt;=50,"Tier B (Bạc: 50-60đ)","Tier C (Đồng: 30-49đ)")))))</f>
        <v/>
      </c>
      <c r="R1064" s="9" t="inlineStr">
        <is>
          <t>Khay vệ sinh chung cư (Indoor Potty) + Thảm cỏ ban công (Grass Patch) + Đồ chơi</t>
        </is>
      </c>
      <c r="S1064" s="9" t="inlineStr">
        <is>
          <t>Cấp C Chi phí thấp: Nhắn tin trực tiếp qua Fanpage Facebook/Instagram + Nuôi dưỡng nội dung</t>
        </is>
      </c>
    </row>
    <row r="1065">
      <c r="A1065" s="53" t="n">
        <v>2297</v>
      </c>
      <c r="B1065" s="12" t="inlineStr">
        <is>
          <t>Nitradog Carnival Cup</t>
        </is>
      </c>
      <c r="C1065" s="54" t="inlineStr">
        <is>
          <t>https://www.facebook.com/NitradogCarnivalCup</t>
        </is>
      </c>
      <c r="D1065" s="6" t="inlineStr">
        <is>
          <t>Cần quét Bio Fanpage</t>
        </is>
      </c>
      <c r="E1065" s="53" t="inlineStr">
        <is>
          <t>12/10/2026 20:45:17</t>
        </is>
      </c>
      <c r="F1065" s="53" t="inlineStr">
        <is>
          <t>8 giờ trước</t>
        </is>
      </c>
      <c r="G1065" s="55" t="n">
        <v>0.33</v>
      </c>
      <c r="H1065" s="56" t="n">
        <v>32</v>
      </c>
      <c r="I1065" s="6" t="inlineStr">
        <is>
          <t>Pet Owner / Cộng đồng nuôi cún (10đ)</t>
        </is>
      </c>
      <c r="J1065" s="56" t="n">
        <v>10</v>
      </c>
      <c r="K1065" s="6" t="inlineStr">
        <is>
          <t>Chưa rõ giống (Cần quét Bio)</t>
        </is>
      </c>
      <c r="L1065" s="56" t="n">
        <v>0</v>
      </c>
      <c r="M1065" s="56" t="n">
        <v>0</v>
      </c>
      <c r="N1065" s="6" t="inlineStr">
        <is>
          <t>Amazon link not found</t>
        </is>
      </c>
      <c r="O1065" s="56">
        <f>IF(N1065="Selling pet toys + Artificial grass/Pet toilets (TARGET)",15,IF(N1065="Selling artificial grass/pet toilets (TARGET)",10,IF(N1065="Selling pet toys",7,IF(N1065="There's an Amazon link, but no target sales.",3,0))))</f>
        <v/>
      </c>
      <c r="P1065" s="65">
        <f>H1065+J1065+L1065+M1065+O1065</f>
        <v/>
      </c>
      <c r="Q1065" s="69">
        <f>IF(OR(H1065=0,P1065&lt;30),"Tier D (Đóng băng)",IF(P1065&gt;=85,"Tier S (Kim Cương: 85-100đ)",IF(P1065&gt;=70,"Tier A (Vàng: 70-84đ)",IF(P1065&gt;=61,"Tier B+ / Cấp A (Hot Lead: 61-69đ)",IF(P1065&gt;=50,"Tier B (Bạc: 50-60đ)","Tier C (Đồng: 30-49đ)")))))</f>
        <v/>
      </c>
      <c r="R1065" s="6" t="inlineStr">
        <is>
          <t>Khay vệ sinh chung cư (Indoor Potty) + Thảm cỏ ban công (Grass Patch) + Đồ chơi</t>
        </is>
      </c>
      <c r="S1065" s="6" t="inlineStr">
        <is>
          <t>Cấp C Chi phí thấp: Nhắn tin trực tiếp qua Fanpage Facebook/Instagram + Nuôi dưỡng nội dung</t>
        </is>
      </c>
    </row>
    <row r="1066">
      <c r="A1066" s="59" t="n">
        <v>1118</v>
      </c>
      <c r="B1066" s="15" t="inlineStr">
        <is>
          <t>Dogfestival</t>
        </is>
      </c>
      <c r="C1066" s="60" t="inlineStr">
        <is>
          <t>https://www.facebook.com/dogsfestival</t>
        </is>
      </c>
      <c r="D1066" s="9" t="inlineStr">
        <is>
          <t>Cần quét Bio Fanpage</t>
        </is>
      </c>
      <c r="E1066" s="59" t="inlineStr">
        <is>
          <t>12/10/2026 20:45:05</t>
        </is>
      </c>
      <c r="F1066" s="59" t="inlineStr">
        <is>
          <t>6 giờ trước</t>
        </is>
      </c>
      <c r="G1066" s="61" t="n">
        <v>0.25</v>
      </c>
      <c r="H1066" s="62" t="n">
        <v>32</v>
      </c>
      <c r="I1066" s="9" t="inlineStr">
        <is>
          <t>Pet Owner / Cộng đồng nuôi cún (10đ)</t>
        </is>
      </c>
      <c r="J1066" s="62" t="n">
        <v>10</v>
      </c>
      <c r="K1066" s="9" t="inlineStr">
        <is>
          <t>Chưa rõ giống (Cần quét Bio)</t>
        </is>
      </c>
      <c r="L1066" s="62" t="n">
        <v>0</v>
      </c>
      <c r="M1066" s="62" t="n">
        <v>0</v>
      </c>
      <c r="N1066" s="9" t="inlineStr">
        <is>
          <t>Amazon link not found</t>
        </is>
      </c>
      <c r="O1066" s="62">
        <f>IF(N1066="Selling pet toys + Artificial grass/Pet toilets (TARGET)",15,IF(N1066="Selling artificial grass/pet toilets (TARGET)",10,IF(N1066="Selling pet toys",7,IF(N1066="There's an Amazon link, but no target sales.",3,0))))</f>
        <v/>
      </c>
      <c r="P1066" s="67">
        <f>H1066+J1066+L1066+M1066+O1066</f>
        <v/>
      </c>
      <c r="Q1066" s="69">
        <f>IF(OR(H1066=0,P1066&lt;30),"Tier D (Đóng băng)",IF(P1066&gt;=85,"Tier S (Kim Cương: 85-100đ)",IF(P1066&gt;=70,"Tier A (Vàng: 70-84đ)",IF(P1066&gt;=61,"Tier B+ / Cấp A (Hot Lead: 61-69đ)",IF(P1066&gt;=50,"Tier B (Bạc: 50-60đ)","Tier C (Đồng: 30-49đ)")))))</f>
        <v/>
      </c>
      <c r="R1066" s="9" t="inlineStr">
        <is>
          <t>Khay vệ sinh chung cư (Indoor Potty) + Thảm cỏ ban công (Grass Patch) + Đồ chơi</t>
        </is>
      </c>
      <c r="S1066" s="9" t="inlineStr">
        <is>
          <t>Cấp C Chi phí thấp: Nhắn tin trực tiếp qua Fanpage Facebook/Instagram + Nuôi dưỡng nội dung</t>
        </is>
      </c>
    </row>
    <row r="1067">
      <c r="A1067" s="53" t="n">
        <v>3107</v>
      </c>
      <c r="B1067" s="12" t="inlineStr">
        <is>
          <t>The Dog Show Drive - With Will and Y</t>
        </is>
      </c>
      <c r="C1067" s="54" t="inlineStr">
        <is>
          <t>https://www.facebook.com/profile.php?id=61569880622789</t>
        </is>
      </c>
      <c r="D1067" s="6" t="inlineStr">
        <is>
          <t>Cần quét Bio Fanpage</t>
        </is>
      </c>
      <c r="E1067" s="53" t="inlineStr">
        <is>
          <t>12/10/2026 20:43:45</t>
        </is>
      </c>
      <c r="F1067" s="53" t="inlineStr">
        <is>
          <t>9 giờ trước</t>
        </is>
      </c>
      <c r="G1067" s="55" t="n">
        <v>0.38</v>
      </c>
      <c r="H1067" s="56" t="n">
        <v>32</v>
      </c>
      <c r="I1067" s="6" t="inlineStr">
        <is>
          <t>Pet Owner / Kênh cá nhân thú cưng (10đ)</t>
        </is>
      </c>
      <c r="J1067" s="56" t="n">
        <v>10</v>
      </c>
      <c r="K1067" s="6" t="inlineStr">
        <is>
          <t>Chưa rõ giống (Cần quét Bio)</t>
        </is>
      </c>
      <c r="L1067" s="56" t="n">
        <v>0</v>
      </c>
      <c r="M1067" s="56" t="n">
        <v>0</v>
      </c>
      <c r="N1067" s="6" t="inlineStr">
        <is>
          <t>Amazon link not found</t>
        </is>
      </c>
      <c r="O1067" s="56">
        <f>IF(N1067="Selling pet toys + Artificial grass/Pet toilets (TARGET)",15,IF(N1067="Selling artificial grass/pet toilets (TARGET)",10,IF(N1067="Selling pet toys",7,IF(N1067="There's an Amazon link, but no target sales.",3,0))))</f>
        <v/>
      </c>
      <c r="P1067" s="65">
        <f>H1067+J1067+L1067+M1067+O1067</f>
        <v/>
      </c>
      <c r="Q1067" s="69">
        <f>IF(OR(H1067=0,P1067&lt;30),"Tier D (Đóng băng)",IF(P1067&gt;=85,"Tier S (Kim Cương: 85-100đ)",IF(P1067&gt;=70,"Tier A (Vàng: 70-84đ)",IF(P1067&gt;=61,"Tier B+ / Cấp A (Hot Lead: 61-69đ)",IF(P1067&gt;=50,"Tier B (Bạc: 50-60đ)","Tier C (Đồng: 30-49đ)")))))</f>
        <v/>
      </c>
      <c r="R1067" s="6" t="inlineStr">
        <is>
          <t>Khay vệ sinh trong nhà (Indoor Dog Potty) + Đồ chơi thú cưng lẻ</t>
        </is>
      </c>
      <c r="S1067" s="6" t="inlineStr">
        <is>
          <t>Cấp C Chi phí thấp: Nhắn tin trực tiếp qua Fanpage Facebook/Instagram + Nuôi dưỡng nội dung</t>
        </is>
      </c>
    </row>
    <row r="1068">
      <c r="A1068" s="59" t="n">
        <v>3228</v>
      </c>
      <c r="B1068" s="15" t="inlineStr">
        <is>
          <t>Travis T-Dogg Gammage</t>
        </is>
      </c>
      <c r="C1068" s="60" t="inlineStr">
        <is>
          <t>https://www.facebook.com/travis.gammage</t>
        </is>
      </c>
      <c r="D1068" s="9" t="inlineStr">
        <is>
          <t>Cần quét Bio Fanpage</t>
        </is>
      </c>
      <c r="E1068" s="59" t="inlineStr">
        <is>
          <t>12/10/2026 20:42:47</t>
        </is>
      </c>
      <c r="F1068" s="59" t="inlineStr">
        <is>
          <t>10 giờ trước</t>
        </is>
      </c>
      <c r="G1068" s="61" t="n">
        <v>0.42</v>
      </c>
      <c r="H1068" s="62" t="n">
        <v>32</v>
      </c>
      <c r="I1068" s="9" t="inlineStr">
        <is>
          <t>Pet Owner / Cộng đồng nuôi cún (10đ)</t>
        </is>
      </c>
      <c r="J1068" s="62" t="n">
        <v>10</v>
      </c>
      <c r="K1068" s="9" t="inlineStr">
        <is>
          <t>Chưa rõ giống (Cần quét Bio)</t>
        </is>
      </c>
      <c r="L1068" s="62" t="n">
        <v>0</v>
      </c>
      <c r="M1068" s="62" t="n">
        <v>0</v>
      </c>
      <c r="N1068" s="9" t="inlineStr">
        <is>
          <t>Amazon link not found</t>
        </is>
      </c>
      <c r="O1068" s="62">
        <f>IF(N1068="Selling pet toys + Artificial grass/Pet toilets (TARGET)",15,IF(N1068="Selling artificial grass/pet toilets (TARGET)",10,IF(N1068="Selling pet toys",7,IF(N1068="There's an Amazon link, but no target sales.",3,0))))</f>
        <v/>
      </c>
      <c r="P1068" s="67">
        <f>H1068+J1068+L1068+M1068+O1068</f>
        <v/>
      </c>
      <c r="Q1068" s="69">
        <f>IF(OR(H1068=0,P1068&lt;30),"Tier D (Đóng băng)",IF(P1068&gt;=85,"Tier S (Kim Cương: 85-100đ)",IF(P1068&gt;=70,"Tier A (Vàng: 70-84đ)",IF(P1068&gt;=61,"Tier B+ / Cấp A (Hot Lead: 61-69đ)",IF(P1068&gt;=50,"Tier B (Bạc: 50-60đ)","Tier C (Đồng: 30-49đ)")))))</f>
        <v/>
      </c>
      <c r="R1068" s="9" t="inlineStr">
        <is>
          <t>Khay vệ sinh chung cư (Indoor Potty) + Thảm cỏ ban công (Grass Patch) + Đồ chơi</t>
        </is>
      </c>
      <c r="S1068" s="9" t="inlineStr">
        <is>
          <t>Cấp C Chi phí thấp: Nhắn tin trực tiếp qua Fanpage Facebook/Instagram + Nuôi dưỡng nội dung</t>
        </is>
      </c>
    </row>
    <row r="1069">
      <c r="A1069" s="53" t="n">
        <v>2949</v>
      </c>
      <c r="B1069" s="12" t="inlineStr">
        <is>
          <t>SEVAGoldenRescue</t>
        </is>
      </c>
      <c r="C1069" s="54" t="inlineStr">
        <is>
          <t>https://www.facebook.com/SEVAGoldenRescue</t>
        </is>
      </c>
      <c r="D1069" s="6" t="inlineStr">
        <is>
          <t>Cần quét Bio Fanpage</t>
        </is>
      </c>
      <c r="E1069" s="53" t="inlineStr">
        <is>
          <t>12/10/2026 20:32:38</t>
        </is>
      </c>
      <c r="F1069" s="53" t="inlineStr">
        <is>
          <t>9 giờ trước</t>
        </is>
      </c>
      <c r="G1069" s="55" t="n">
        <v>0.38</v>
      </c>
      <c r="H1069" s="56" t="n">
        <v>32</v>
      </c>
      <c r="I1069" s="6" t="inlineStr">
        <is>
          <t>Pet Owner / Cộng đồng nuôi cún (10đ)</t>
        </is>
      </c>
      <c r="J1069" s="56" t="n">
        <v>10</v>
      </c>
      <c r="K1069" s="6" t="inlineStr">
        <is>
          <t>Chưa rõ giống (Cần quét Bio)</t>
        </is>
      </c>
      <c r="L1069" s="56" t="n">
        <v>0</v>
      </c>
      <c r="M1069" s="56" t="n">
        <v>0</v>
      </c>
      <c r="N1069" s="6" t="inlineStr">
        <is>
          <t>Amazon link not found</t>
        </is>
      </c>
      <c r="O1069" s="56">
        <f>IF(N1069="Selling pet toys + Artificial grass/Pet toilets (TARGET)",15,IF(N1069="Selling artificial grass/pet toilets (TARGET)",10,IF(N1069="Selling pet toys",7,IF(N1069="There's an Amazon link, but no target sales.",3,0))))</f>
        <v/>
      </c>
      <c r="P1069" s="65">
        <f>H1069+J1069+L1069+M1069+O1069</f>
        <v/>
      </c>
      <c r="Q1069" s="69">
        <f>IF(OR(H1069=0,P1069&lt;30),"Tier D (Đóng băng)",IF(P1069&gt;=85,"Tier S (Kim Cương: 85-100đ)",IF(P1069&gt;=70,"Tier A (Vàng: 70-84đ)",IF(P1069&gt;=61,"Tier B+ / Cấp A (Hot Lead: 61-69đ)",IF(P1069&gt;=50,"Tier B (Bạc: 50-60đ)","Tier C (Đồng: 30-49đ)")))))</f>
        <v/>
      </c>
      <c r="R1069" s="6" t="inlineStr">
        <is>
          <t>Khay vệ sinh chung cư (Indoor Potty) + Thảm cỏ ban công (Grass Patch) + Đồ chơi</t>
        </is>
      </c>
      <c r="S1069" s="6" t="inlineStr">
        <is>
          <t>Cấp C Chi phí thấp: Nhắn tin trực tiếp qua Fanpage Facebook/Instagram + Nuôi dưỡng nội dung</t>
        </is>
      </c>
    </row>
    <row r="1070">
      <c r="A1070" s="59" t="n">
        <v>2209</v>
      </c>
      <c r="B1070" s="15" t="inlineStr">
        <is>
          <t>Moppet Brandname</t>
        </is>
      </c>
      <c r="C1070" s="60" t="inlineStr">
        <is>
          <t>https://www.facebook.com/moppetbrandnameth</t>
        </is>
      </c>
      <c r="D1070" s="9" t="inlineStr">
        <is>
          <t>Cần quét Bio Fanpage</t>
        </is>
      </c>
      <c r="E1070" s="59" t="inlineStr">
        <is>
          <t>12/10/2026 20:20:06</t>
        </is>
      </c>
      <c r="F1070" s="59" t="inlineStr">
        <is>
          <t>8 giờ trước</t>
        </is>
      </c>
      <c r="G1070" s="61" t="n">
        <v>0.33</v>
      </c>
      <c r="H1070" s="62" t="n">
        <v>32</v>
      </c>
      <c r="I1070" s="9" t="inlineStr">
        <is>
          <t>Pet Owner / Cộng đồng nuôi cún (10đ)</t>
        </is>
      </c>
      <c r="J1070" s="62" t="n">
        <v>10</v>
      </c>
      <c r="K1070" s="9" t="inlineStr">
        <is>
          <t>Chưa rõ giống (Cần quét Bio)</t>
        </is>
      </c>
      <c r="L1070" s="62" t="n">
        <v>0</v>
      </c>
      <c r="M1070" s="62" t="n">
        <v>0</v>
      </c>
      <c r="N1070" s="9" t="inlineStr">
        <is>
          <t>Amazon link not found</t>
        </is>
      </c>
      <c r="O1070" s="62">
        <f>IF(N1070="Selling pet toys + Artificial grass/Pet toilets (TARGET)",15,IF(N1070="Selling artificial grass/pet toilets (TARGET)",10,IF(N1070="Selling pet toys",7,IF(N1070="There's an Amazon link, but no target sales.",3,0))))</f>
        <v/>
      </c>
      <c r="P1070" s="67">
        <f>H1070+J1070+L1070+M1070+O1070</f>
        <v/>
      </c>
      <c r="Q1070" s="69">
        <f>IF(OR(H1070=0,P1070&lt;30),"Tier D (Đóng băng)",IF(P1070&gt;=85,"Tier S (Kim Cương: 85-100đ)",IF(P1070&gt;=70,"Tier A (Vàng: 70-84đ)",IF(P1070&gt;=61,"Tier B+ / Cấp A (Hot Lead: 61-69đ)",IF(P1070&gt;=50,"Tier B (Bạc: 50-60đ)","Tier C (Đồng: 30-49đ)")))))</f>
        <v/>
      </c>
      <c r="R1070" s="9" t="inlineStr">
        <is>
          <t>Khay vệ sinh chung cư (Indoor Potty) + Thảm cỏ ban công (Grass Patch) + Đồ chơi</t>
        </is>
      </c>
      <c r="S1070" s="9" t="inlineStr">
        <is>
          <t>Cấp C Chi phí thấp: Nhắn tin trực tiếp qua Fanpage Facebook/Instagram + Nuôi dưỡng nội dung</t>
        </is>
      </c>
    </row>
    <row r="1071">
      <c r="A1071" s="53" t="n">
        <v>496</v>
      </c>
      <c r="B1071" s="12" t="inlineStr">
        <is>
          <t>Anjos Pets de Rua - Catanduva SP</t>
        </is>
      </c>
      <c r="C1071" s="54" t="inlineStr">
        <is>
          <t>https://www.facebook.com/anjospetsderua</t>
        </is>
      </c>
      <c r="D1071" s="6" t="inlineStr">
        <is>
          <t>Cần quét Bio Fanpage</t>
        </is>
      </c>
      <c r="E1071" s="53" t="inlineStr">
        <is>
          <t>12/10/2026 20:11:27</t>
        </is>
      </c>
      <c r="F1071" s="53" t="inlineStr">
        <is>
          <t>5 giờ trước</t>
        </is>
      </c>
      <c r="G1071" s="55" t="n">
        <v>0.21</v>
      </c>
      <c r="H1071" s="56" t="n">
        <v>32</v>
      </c>
      <c r="I1071" s="6" t="inlineStr">
        <is>
          <t>Pet Owner / Cộng đồng nuôi cún (10đ)</t>
        </is>
      </c>
      <c r="J1071" s="56" t="n">
        <v>10</v>
      </c>
      <c r="K1071" s="6" t="inlineStr">
        <is>
          <t>Chưa rõ giống (Cần quét Bio)</t>
        </is>
      </c>
      <c r="L1071" s="56" t="n">
        <v>0</v>
      </c>
      <c r="M1071" s="56" t="n">
        <v>0</v>
      </c>
      <c r="N1071" s="6" t="inlineStr">
        <is>
          <t>Amazon link not found</t>
        </is>
      </c>
      <c r="O1071" s="56">
        <f>IF(N1071="Selling pet toys + Artificial grass/Pet toilets (TARGET)",15,IF(N1071="Selling artificial grass/pet toilets (TARGET)",10,IF(N1071="Selling pet toys",7,IF(N1071="There's an Amazon link, but no target sales.",3,0))))</f>
        <v/>
      </c>
      <c r="P1071" s="65">
        <f>H1071+J1071+L1071+M1071+O1071</f>
        <v/>
      </c>
      <c r="Q1071" s="69">
        <f>IF(OR(H1071=0,P1071&lt;30),"Tier D (Đóng băng)",IF(P1071&gt;=85,"Tier S (Kim Cương: 85-100đ)",IF(P1071&gt;=70,"Tier A (Vàng: 70-84đ)",IF(P1071&gt;=61,"Tier B+ / Cấp A (Hot Lead: 61-69đ)",IF(P1071&gt;=50,"Tier B (Bạc: 50-60đ)","Tier C (Đồng: 30-49đ)")))))</f>
        <v/>
      </c>
      <c r="R1071" s="6" t="inlineStr">
        <is>
          <t>Khay vệ sinh chung cư (Indoor Potty) + Thảm cỏ ban công (Grass Patch) + Đồ chơi</t>
        </is>
      </c>
      <c r="S1071" s="6" t="inlineStr">
        <is>
          <t>Cấp C Chi phí thấp: Nhắn tin trực tiếp qua Fanpage Facebook/Instagram + Nuôi dưỡng nội dung</t>
        </is>
      </c>
    </row>
    <row r="1072">
      <c r="A1072" s="59" t="n">
        <v>116</v>
      </c>
      <c r="B1072" s="15" t="inlineStr">
        <is>
          <t>Better Dog</t>
        </is>
      </c>
      <c r="C1072" s="60" t="inlineStr">
        <is>
          <t>https://www.facebook.com/betterdogproduct</t>
        </is>
      </c>
      <c r="D1072" s="9" t="inlineStr">
        <is>
          <t>Cần quét Bio Fanpage</t>
        </is>
      </c>
      <c r="E1072" s="59" t="inlineStr">
        <is>
          <t>12/10/2026 20:09:32</t>
        </is>
      </c>
      <c r="F1072" s="59" t="inlineStr">
        <is>
          <t>4 giờ trước</t>
        </is>
      </c>
      <c r="G1072" s="61" t="n">
        <v>0.17</v>
      </c>
      <c r="H1072" s="62" t="n">
        <v>32</v>
      </c>
      <c r="I1072" s="9" t="inlineStr">
        <is>
          <t>Pet Owner / Cộng đồng nuôi cún (10đ)</t>
        </is>
      </c>
      <c r="J1072" s="62" t="n">
        <v>10</v>
      </c>
      <c r="K1072" s="9" t="inlineStr">
        <is>
          <t>Chưa rõ giống (Cần quét Bio)</t>
        </is>
      </c>
      <c r="L1072" s="62" t="n">
        <v>0</v>
      </c>
      <c r="M1072" s="62" t="n">
        <v>0</v>
      </c>
      <c r="N1072" s="9" t="inlineStr">
        <is>
          <t>Amazon link not found</t>
        </is>
      </c>
      <c r="O1072" s="62">
        <f>IF(N1072="Selling pet toys + Artificial grass/Pet toilets (TARGET)",15,IF(N1072="Selling artificial grass/pet toilets (TARGET)",10,IF(N1072="Selling pet toys",7,IF(N1072="There's an Amazon link, but no target sales.",3,0))))</f>
        <v/>
      </c>
      <c r="P1072" s="67">
        <f>H1072+J1072+L1072+M1072+O1072</f>
        <v/>
      </c>
      <c r="Q1072" s="69">
        <f>IF(OR(H1072=0,P1072&lt;30),"Tier D (Đóng băng)",IF(P1072&gt;=85,"Tier S (Kim Cương: 85-100đ)",IF(P1072&gt;=70,"Tier A (Vàng: 70-84đ)",IF(P1072&gt;=61,"Tier B+ / Cấp A (Hot Lead: 61-69đ)",IF(P1072&gt;=50,"Tier B (Bạc: 50-60đ)","Tier C (Đồng: 30-49đ)")))))</f>
        <v/>
      </c>
      <c r="R1072" s="9" t="inlineStr">
        <is>
          <t>Khay vệ sinh chung cư (Indoor Potty) + Thảm cỏ ban công (Grass Patch) + Đồ chơi</t>
        </is>
      </c>
      <c r="S1072" s="9" t="inlineStr">
        <is>
          <t>Cấp C Chi phí thấp: Nhắn tin trực tiếp qua Fanpage Facebook/Instagram + Nuôi dưỡng nội dung</t>
        </is>
      </c>
    </row>
    <row r="1073">
      <c r="A1073" s="53" t="n">
        <v>2715</v>
      </c>
      <c r="B1073" s="12" t="inlineStr">
        <is>
          <t>Reedley Homeless Pets</t>
        </is>
      </c>
      <c r="C1073" s="54" t="inlineStr">
        <is>
          <t>https://www.facebook.com/ReedleyHomelessPets</t>
        </is>
      </c>
      <c r="D1073" s="6" t="inlineStr">
        <is>
          <t>Cần quét Bio Fanpage</t>
        </is>
      </c>
      <c r="E1073" s="53" t="inlineStr">
        <is>
          <t>12/10/2026 20:08:57</t>
        </is>
      </c>
      <c r="F1073" s="53" t="inlineStr">
        <is>
          <t>9 giờ trước</t>
        </is>
      </c>
      <c r="G1073" s="55" t="n">
        <v>0.38</v>
      </c>
      <c r="H1073" s="56" t="n">
        <v>32</v>
      </c>
      <c r="I1073" s="6" t="inlineStr">
        <is>
          <t>Pet Owner / Cộng đồng nuôi cún (10đ)</t>
        </is>
      </c>
      <c r="J1073" s="56" t="n">
        <v>10</v>
      </c>
      <c r="K1073" s="6" t="inlineStr">
        <is>
          <t>Chưa rõ giống (Cần quét Bio)</t>
        </is>
      </c>
      <c r="L1073" s="56" t="n">
        <v>0</v>
      </c>
      <c r="M1073" s="56" t="n">
        <v>0</v>
      </c>
      <c r="N1073" s="6" t="inlineStr">
        <is>
          <t>Amazon link not found</t>
        </is>
      </c>
      <c r="O1073" s="56">
        <f>IF(N1073="Selling pet toys + Artificial grass/Pet toilets (TARGET)",15,IF(N1073="Selling artificial grass/pet toilets (TARGET)",10,IF(N1073="Selling pet toys",7,IF(N1073="There's an Amazon link, but no target sales.",3,0))))</f>
        <v/>
      </c>
      <c r="P1073" s="65">
        <f>H1073+J1073+L1073+M1073+O1073</f>
        <v/>
      </c>
      <c r="Q1073" s="69">
        <f>IF(OR(H1073=0,P1073&lt;30),"Tier D (Đóng băng)",IF(P1073&gt;=85,"Tier S (Kim Cương: 85-100đ)",IF(P1073&gt;=70,"Tier A (Vàng: 70-84đ)",IF(P1073&gt;=61,"Tier B+ / Cấp A (Hot Lead: 61-69đ)",IF(P1073&gt;=50,"Tier B (Bạc: 50-60đ)","Tier C (Đồng: 30-49đ)")))))</f>
        <v/>
      </c>
      <c r="R1073" s="6" t="inlineStr">
        <is>
          <t>Khay vệ sinh chung cư (Indoor Potty) + Thảm cỏ ban công (Grass Patch) + Đồ chơi</t>
        </is>
      </c>
      <c r="S1073" s="6" t="inlineStr">
        <is>
          <t>Cấp C Chi phí thấp: Nhắn tin trực tiếp qua Fanpage Facebook/Instagram + Nuôi dưỡng nội dung</t>
        </is>
      </c>
    </row>
    <row r="1074">
      <c r="A1074" s="59" t="n">
        <v>232</v>
      </c>
      <c r="B1074" s="15" t="inlineStr">
        <is>
          <t>No Bad Dogs</t>
        </is>
      </c>
      <c r="C1074" s="60" t="inlineStr">
        <is>
          <t>https://www.facebook.com/profile.php?id=61571887103835</t>
        </is>
      </c>
      <c r="D1074" s="9" t="inlineStr">
        <is>
          <t>Cần quét Bio Fanpage</t>
        </is>
      </c>
      <c r="E1074" s="59" t="inlineStr">
        <is>
          <t>12/10/2026 20:04:09</t>
        </is>
      </c>
      <c r="F1074" s="59" t="inlineStr">
        <is>
          <t>5 giờ trước</t>
        </is>
      </c>
      <c r="G1074" s="61" t="n">
        <v>0.21</v>
      </c>
      <c r="H1074" s="62" t="n">
        <v>32</v>
      </c>
      <c r="I1074" s="9" t="inlineStr">
        <is>
          <t>Pet Owner / Cộng đồng nuôi cún (10đ)</t>
        </is>
      </c>
      <c r="J1074" s="62" t="n">
        <v>10</v>
      </c>
      <c r="K1074" s="9" t="inlineStr">
        <is>
          <t>Chưa rõ giống (Cần quét Bio)</t>
        </is>
      </c>
      <c r="L1074" s="62" t="n">
        <v>0</v>
      </c>
      <c r="M1074" s="62" t="n">
        <v>0</v>
      </c>
      <c r="N1074" s="9" t="inlineStr">
        <is>
          <t>Amazon link not found</t>
        </is>
      </c>
      <c r="O1074" s="62">
        <f>IF(N1074="Selling pet toys + Artificial grass/Pet toilets (TARGET)",15,IF(N1074="Selling artificial grass/pet toilets (TARGET)",10,IF(N1074="Selling pet toys",7,IF(N1074="There's an Amazon link, but no target sales.",3,0))))</f>
        <v/>
      </c>
      <c r="P1074" s="67">
        <f>H1074+J1074+L1074+M1074+O1074</f>
        <v/>
      </c>
      <c r="Q1074" s="69">
        <f>IF(OR(H1074=0,P1074&lt;30),"Tier D (Đóng băng)",IF(P1074&gt;=85,"Tier S (Kim Cương: 85-100đ)",IF(P1074&gt;=70,"Tier A (Vàng: 70-84đ)",IF(P1074&gt;=61,"Tier B+ / Cấp A (Hot Lead: 61-69đ)",IF(P1074&gt;=50,"Tier B (Bạc: 50-60đ)","Tier C (Đồng: 30-49đ)")))))</f>
        <v/>
      </c>
      <c r="R1074" s="9" t="inlineStr">
        <is>
          <t>Khay vệ sinh chung cư (Indoor Potty) + Thảm cỏ ban công (Grass Patch) + Đồ chơi</t>
        </is>
      </c>
      <c r="S1074" s="9" t="inlineStr">
        <is>
          <t>Cấp C Chi phí thấp: Nhắn tin trực tiếp qua Fanpage Facebook/Instagram + Nuôi dưỡng nội dung</t>
        </is>
      </c>
    </row>
    <row r="1075">
      <c r="A1075" s="53" t="n">
        <v>13</v>
      </c>
      <c r="B1075" s="12" t="inlineStr">
        <is>
          <t>magnusthetherapydog</t>
        </is>
      </c>
      <c r="C1075" s="54" t="inlineStr">
        <is>
          <t>https://www.facebook.com/magnusthetherapydog</t>
        </is>
      </c>
      <c r="D1075" s="6" t="inlineStr">
        <is>
          <t>Cần quét Bio Fanpage</t>
        </is>
      </c>
      <c r="E1075" s="53" t="inlineStr">
        <is>
          <t>12/10/2026 20:03:02</t>
        </is>
      </c>
      <c r="F1075" s="53" t="inlineStr">
        <is>
          <t>4 giờ trước</t>
        </is>
      </c>
      <c r="G1075" s="55" t="n">
        <v>0.17</v>
      </c>
      <c r="H1075" s="56" t="n">
        <v>32</v>
      </c>
      <c r="I1075" s="6" t="inlineStr">
        <is>
          <t>Pet Owner / Cộng đồng nuôi cún (10đ)</t>
        </is>
      </c>
      <c r="J1075" s="56" t="n">
        <v>10</v>
      </c>
      <c r="K1075" s="6" t="inlineStr">
        <is>
          <t>Chưa rõ giống (Cần quét Bio)</t>
        </is>
      </c>
      <c r="L1075" s="56" t="n">
        <v>0</v>
      </c>
      <c r="M1075" s="56" t="n">
        <v>0</v>
      </c>
      <c r="N1075" s="6" t="inlineStr">
        <is>
          <t>Amazon link not found</t>
        </is>
      </c>
      <c r="O1075" s="56">
        <f>IF(N1075="Selling pet toys + Artificial grass/Pet toilets (TARGET)",15,IF(N1075="Selling artificial grass/pet toilets (TARGET)",10,IF(N1075="Selling pet toys",7,IF(N1075="There's an Amazon link, but no target sales.",3,0))))</f>
        <v/>
      </c>
      <c r="P1075" s="65">
        <f>H1075+J1075+L1075+M1075+O1075</f>
        <v/>
      </c>
      <c r="Q1075" s="69">
        <f>IF(OR(H1075=0,P1075&lt;30),"Tier D (Đóng băng)",IF(P1075&gt;=85,"Tier S (Kim Cương: 85-100đ)",IF(P1075&gt;=70,"Tier A (Vàng: 70-84đ)",IF(P1075&gt;=61,"Tier B+ / Cấp A (Hot Lead: 61-69đ)",IF(P1075&gt;=50,"Tier B (Bạc: 50-60đ)","Tier C (Đồng: 30-49đ)")))))</f>
        <v/>
      </c>
      <c r="R1075" s="6" t="inlineStr">
        <is>
          <t>Khay vệ sinh chung cư (Indoor Potty) + Thảm cỏ ban công (Grass Patch) + Đồ chơi</t>
        </is>
      </c>
      <c r="S1075" s="6" t="inlineStr">
        <is>
          <t>Cấp C Chi phí thấp: Nhắn tin trực tiếp qua Fanpage Facebook/Instagram + Nuôi dưỡng nội dung</t>
        </is>
      </c>
    </row>
    <row r="1076">
      <c r="A1076" s="59" t="n">
        <v>3031</v>
      </c>
      <c r="B1076" s="15" t="inlineStr">
        <is>
          <t>Svenska Kennelklubben</t>
        </is>
      </c>
      <c r="C1076" s="60" t="inlineStr">
        <is>
          <t>https://www.facebook.com/SvenskaKennelklubben</t>
        </is>
      </c>
      <c r="D1076" s="9" t="inlineStr">
        <is>
          <t>Cần quét Bio Fanpage</t>
        </is>
      </c>
      <c r="E1076" s="59" t="inlineStr">
        <is>
          <t>12/10/2026 20:02:51</t>
        </is>
      </c>
      <c r="F1076" s="59" t="inlineStr">
        <is>
          <t>10 giờ trước</t>
        </is>
      </c>
      <c r="G1076" s="61" t="n">
        <v>0.42</v>
      </c>
      <c r="H1076" s="62" t="n">
        <v>32</v>
      </c>
      <c r="I1076" s="9" t="inlineStr">
        <is>
          <t>Pet Owner / Cộng đồng nuôi cún (10đ)</t>
        </is>
      </c>
      <c r="J1076" s="62" t="n">
        <v>10</v>
      </c>
      <c r="K1076" s="9" t="inlineStr">
        <is>
          <t>Chưa rõ giống (Cần quét Bio)</t>
        </is>
      </c>
      <c r="L1076" s="62" t="n">
        <v>0</v>
      </c>
      <c r="M1076" s="62" t="n">
        <v>0</v>
      </c>
      <c r="N1076" s="9" t="inlineStr">
        <is>
          <t>Amazon link not found</t>
        </is>
      </c>
      <c r="O1076" s="62">
        <f>IF(N1076="Selling pet toys + Artificial grass/Pet toilets (TARGET)",15,IF(N1076="Selling artificial grass/pet toilets (TARGET)",10,IF(N1076="Selling pet toys",7,IF(N1076="There's an Amazon link, but no target sales.",3,0))))</f>
        <v/>
      </c>
      <c r="P1076" s="67">
        <f>H1076+J1076+L1076+M1076+O1076</f>
        <v/>
      </c>
      <c r="Q1076" s="69">
        <f>IF(OR(H1076=0,P1076&lt;30),"Tier D (Đóng băng)",IF(P1076&gt;=85,"Tier S (Kim Cương: 85-100đ)",IF(P1076&gt;=70,"Tier A (Vàng: 70-84đ)",IF(P1076&gt;=61,"Tier B+ / Cấp A (Hot Lead: 61-69đ)",IF(P1076&gt;=50,"Tier B (Bạc: 50-60đ)","Tier C (Đồng: 30-49đ)")))))</f>
        <v/>
      </c>
      <c r="R1076" s="9" t="inlineStr">
        <is>
          <t>Khay vệ sinh chung cư (Indoor Potty) + Thảm cỏ ban công (Grass Patch) + Đồ chơi</t>
        </is>
      </c>
      <c r="S1076" s="9" t="inlineStr">
        <is>
          <t>Cấp C Chi phí thấp: Nhắn tin trực tiếp qua Fanpage Facebook/Instagram + Nuôi dưỡng nội dung</t>
        </is>
      </c>
    </row>
    <row r="1077">
      <c r="A1077" s="53" t="n">
        <v>68</v>
      </c>
      <c r="B1077" s="12" t="inlineStr">
        <is>
          <t>prehistoricpets</t>
        </is>
      </c>
      <c r="C1077" s="54" t="inlineStr">
        <is>
          <t>https://www.facebook.com/prehistoricpets</t>
        </is>
      </c>
      <c r="D1077" s="6" t="inlineStr">
        <is>
          <t>Cần quét Bio Fanpage</t>
        </is>
      </c>
      <c r="E1077" s="53" t="inlineStr">
        <is>
          <t>12/10/2026 20:01:11</t>
        </is>
      </c>
      <c r="F1077" s="53" t="inlineStr">
        <is>
          <t>5 giờ trước</t>
        </is>
      </c>
      <c r="G1077" s="55" t="n">
        <v>0.21</v>
      </c>
      <c r="H1077" s="56" t="n">
        <v>32</v>
      </c>
      <c r="I1077" s="6" t="inlineStr">
        <is>
          <t>Pet Owner / Cộng đồng nuôi cún (10đ)</t>
        </is>
      </c>
      <c r="J1077" s="56" t="n">
        <v>10</v>
      </c>
      <c r="K1077" s="6" t="inlineStr">
        <is>
          <t>Chưa rõ giống (Cần quét Bio)</t>
        </is>
      </c>
      <c r="L1077" s="56" t="n">
        <v>0</v>
      </c>
      <c r="M1077" s="56" t="n">
        <v>0</v>
      </c>
      <c r="N1077" s="6" t="inlineStr">
        <is>
          <t>Amazon link not found</t>
        </is>
      </c>
      <c r="O1077" s="56">
        <f>IF(N1077="Selling pet toys + Artificial grass/Pet toilets (TARGET)",15,IF(N1077="Selling artificial grass/pet toilets (TARGET)",10,IF(N1077="Selling pet toys",7,IF(N1077="There's an Amazon link, but no target sales.",3,0))))</f>
        <v/>
      </c>
      <c r="P1077" s="65">
        <f>H1077+J1077+L1077+M1077+O1077</f>
        <v/>
      </c>
      <c r="Q1077" s="69">
        <f>IF(OR(H1077=0,P1077&lt;30),"Tier D (Đóng băng)",IF(P1077&gt;=85,"Tier S (Kim Cương: 85-100đ)",IF(P1077&gt;=70,"Tier A (Vàng: 70-84đ)",IF(P1077&gt;=61,"Tier B+ / Cấp A (Hot Lead: 61-69đ)",IF(P1077&gt;=50,"Tier B (Bạc: 50-60đ)","Tier C (Đồng: 30-49đ)")))))</f>
        <v/>
      </c>
      <c r="R1077" s="6" t="inlineStr">
        <is>
          <t>Khay vệ sinh chung cư (Indoor Potty) + Thảm cỏ ban công (Grass Patch) + Đồ chơi</t>
        </is>
      </c>
      <c r="S1077" s="6" t="inlineStr">
        <is>
          <t>Cấp C Chi phí thấp: Nhắn tin trực tiếp qua Fanpage Facebook/Instagram + Nuôi dưỡng nội dung</t>
        </is>
      </c>
    </row>
    <row r="1078">
      <c r="A1078" s="59" t="n">
        <v>1323</v>
      </c>
      <c r="B1078" s="15" t="inlineStr">
        <is>
          <t>Family Pet Hospital</t>
        </is>
      </c>
      <c r="C1078" s="60" t="inlineStr">
        <is>
          <t>https://www.facebook.com/myfamilypethospital</t>
        </is>
      </c>
      <c r="D1078" s="9" t="inlineStr">
        <is>
          <t>Cần quét Bio Fanpage</t>
        </is>
      </c>
      <c r="E1078" s="59" t="inlineStr">
        <is>
          <t>12/10/2026 20:00:00</t>
        </is>
      </c>
      <c r="F1078" s="59" t="inlineStr">
        <is>
          <t>7 giờ trước</t>
        </is>
      </c>
      <c r="G1078" s="61" t="n">
        <v>0.29</v>
      </c>
      <c r="H1078" s="62" t="n">
        <v>32</v>
      </c>
      <c r="I1078" s="9" t="inlineStr">
        <is>
          <t>Pet Owner / Cộng đồng nuôi cún (10đ)</t>
        </is>
      </c>
      <c r="J1078" s="62" t="n">
        <v>10</v>
      </c>
      <c r="K1078" s="9" t="inlineStr">
        <is>
          <t>Chưa rõ giống (Cần quét Bio)</t>
        </is>
      </c>
      <c r="L1078" s="62" t="n">
        <v>0</v>
      </c>
      <c r="M1078" s="62" t="n">
        <v>0</v>
      </c>
      <c r="N1078" s="9" t="inlineStr">
        <is>
          <t>Amazon link not found</t>
        </is>
      </c>
      <c r="O1078" s="62">
        <f>IF(N1078="Selling pet toys + Artificial grass/Pet toilets (TARGET)",15,IF(N1078="Selling artificial grass/pet toilets (TARGET)",10,IF(N1078="Selling pet toys",7,IF(N1078="There's an Amazon link, but no target sales.",3,0))))</f>
        <v/>
      </c>
      <c r="P1078" s="67">
        <f>H1078+J1078+L1078+M1078+O1078</f>
        <v/>
      </c>
      <c r="Q1078" s="69">
        <f>IF(OR(H1078=0,P1078&lt;30),"Tier D (Đóng băng)",IF(P1078&gt;=85,"Tier S (Kim Cương: 85-100đ)",IF(P1078&gt;=70,"Tier A (Vàng: 70-84đ)",IF(P1078&gt;=61,"Tier B+ / Cấp A (Hot Lead: 61-69đ)",IF(P1078&gt;=50,"Tier B (Bạc: 50-60đ)","Tier C (Đồng: 30-49đ)")))))</f>
        <v/>
      </c>
      <c r="R1078" s="9" t="inlineStr">
        <is>
          <t>Khay vệ sinh chung cư (Indoor Potty) + Thảm cỏ ban công (Grass Patch) + Đồ chơi</t>
        </is>
      </c>
      <c r="S1078" s="9" t="inlineStr">
        <is>
          <t>Cấp C Chi phí thấp: Nhắn tin trực tiếp qua Fanpage Facebook/Instagram + Nuôi dưỡng nội dung</t>
        </is>
      </c>
    </row>
    <row r="1079">
      <c r="A1079" s="53" t="n">
        <v>2557</v>
      </c>
      <c r="B1079" s="12" t="inlineStr">
        <is>
          <t>Pettorina.pet</t>
        </is>
      </c>
      <c r="C1079" s="54" t="inlineStr">
        <is>
          <t>https://www.facebook.com/pettorina.pet</t>
        </is>
      </c>
      <c r="D1079" s="6" t="inlineStr">
        <is>
          <t>Cần quét Bio Fanpage</t>
        </is>
      </c>
      <c r="E1079" s="53" t="inlineStr">
        <is>
          <t>12/10/2026 19:52:04</t>
        </is>
      </c>
      <c r="F1079" s="53" t="inlineStr">
        <is>
          <t>9 giờ trước</t>
        </is>
      </c>
      <c r="G1079" s="55" t="n">
        <v>0.38</v>
      </c>
      <c r="H1079" s="56" t="n">
        <v>32</v>
      </c>
      <c r="I1079" s="6" t="inlineStr">
        <is>
          <t>Pet Owner / Cộng đồng nuôi cún (10đ)</t>
        </is>
      </c>
      <c r="J1079" s="56" t="n">
        <v>10</v>
      </c>
      <c r="K1079" s="6" t="inlineStr">
        <is>
          <t>Chưa rõ giống (Cần quét Bio)</t>
        </is>
      </c>
      <c r="L1079" s="56" t="n">
        <v>0</v>
      </c>
      <c r="M1079" s="56" t="n">
        <v>0</v>
      </c>
      <c r="N1079" s="6" t="inlineStr">
        <is>
          <t>Amazon link not found</t>
        </is>
      </c>
      <c r="O1079" s="56">
        <f>IF(N1079="Selling pet toys + Artificial grass/Pet toilets (TARGET)",15,IF(N1079="Selling artificial grass/pet toilets (TARGET)",10,IF(N1079="Selling pet toys",7,IF(N1079="There's an Amazon link, but no target sales.",3,0))))</f>
        <v/>
      </c>
      <c r="P1079" s="65">
        <f>H1079+J1079+L1079+M1079+O1079</f>
        <v/>
      </c>
      <c r="Q1079" s="69">
        <f>IF(OR(H1079=0,P1079&lt;30),"Tier D (Đóng băng)",IF(P1079&gt;=85,"Tier S (Kim Cương: 85-100đ)",IF(P1079&gt;=70,"Tier A (Vàng: 70-84đ)",IF(P1079&gt;=61,"Tier B+ / Cấp A (Hot Lead: 61-69đ)",IF(P1079&gt;=50,"Tier B (Bạc: 50-60đ)","Tier C (Đồng: 30-49đ)")))))</f>
        <v/>
      </c>
      <c r="R1079" s="6" t="inlineStr">
        <is>
          <t>Khay vệ sinh chung cư (Indoor Potty) + Thảm cỏ ban công (Grass Patch) + Đồ chơi</t>
        </is>
      </c>
      <c r="S1079" s="6" t="inlineStr">
        <is>
          <t>Cấp C Chi phí thấp: Nhắn tin trực tiếp qua Fanpage Facebook/Instagram + Nuôi dưỡng nội dung</t>
        </is>
      </c>
    </row>
    <row r="1080">
      <c r="A1080" s="59" t="n">
        <v>700</v>
      </c>
      <c r="B1080" s="15" t="inlineStr">
        <is>
          <t>Bloopy the Wonder Dog</t>
        </is>
      </c>
      <c r="C1080" s="60" t="inlineStr">
        <is>
          <t>https://www.facebook.com/Bloopina</t>
        </is>
      </c>
      <c r="D1080" s="9" t="inlineStr">
        <is>
          <t>Cần quét Bio Fanpage</t>
        </is>
      </c>
      <c r="E1080" s="59" t="inlineStr">
        <is>
          <t>12/10/2026 19:39:24</t>
        </is>
      </c>
      <c r="F1080" s="59" t="inlineStr">
        <is>
          <t>6 giờ trước</t>
        </is>
      </c>
      <c r="G1080" s="61" t="n">
        <v>0.25</v>
      </c>
      <c r="H1080" s="62" t="n">
        <v>32</v>
      </c>
      <c r="I1080" s="9" t="inlineStr">
        <is>
          <t>Pet Owner / Cộng đồng nuôi cún (10đ)</t>
        </is>
      </c>
      <c r="J1080" s="62" t="n">
        <v>10</v>
      </c>
      <c r="K1080" s="9" t="inlineStr">
        <is>
          <t>Chưa rõ giống (Cần quét Bio)</t>
        </is>
      </c>
      <c r="L1080" s="62" t="n">
        <v>0</v>
      </c>
      <c r="M1080" s="62" t="n">
        <v>0</v>
      </c>
      <c r="N1080" s="9" t="inlineStr">
        <is>
          <t>Amazon link not found</t>
        </is>
      </c>
      <c r="O1080" s="62">
        <f>IF(N1080="Selling pet toys + Artificial grass/Pet toilets (TARGET)",15,IF(N1080="Selling artificial grass/pet toilets (TARGET)",10,IF(N1080="Selling pet toys",7,IF(N1080="There's an Amazon link, but no target sales.",3,0))))</f>
        <v/>
      </c>
      <c r="P1080" s="67">
        <f>H1080+J1080+L1080+M1080+O1080</f>
        <v/>
      </c>
      <c r="Q1080" s="69">
        <f>IF(OR(H1080=0,P1080&lt;30),"Tier D (Đóng băng)",IF(P1080&gt;=85,"Tier S (Kim Cương: 85-100đ)",IF(P1080&gt;=70,"Tier A (Vàng: 70-84đ)",IF(P1080&gt;=61,"Tier B+ / Cấp A (Hot Lead: 61-69đ)",IF(P1080&gt;=50,"Tier B (Bạc: 50-60đ)","Tier C (Đồng: 30-49đ)")))))</f>
        <v/>
      </c>
      <c r="R1080" s="9" t="inlineStr">
        <is>
          <t>Khay vệ sinh chung cư (Indoor Potty) + Thảm cỏ ban công (Grass Patch) + Đồ chơi</t>
        </is>
      </c>
      <c r="S1080" s="9" t="inlineStr">
        <is>
          <t>Cấp C Chi phí thấp: Nhắn tin trực tiếp qua Fanpage Facebook/Instagram + Nuôi dưỡng nội dung</t>
        </is>
      </c>
    </row>
    <row r="1081">
      <c r="A1081" s="53" t="n">
        <v>3178</v>
      </c>
      <c r="B1081" s="12" t="inlineStr">
        <is>
          <t>Therapy Dogs Nationwide</t>
        </is>
      </c>
      <c r="C1081" s="54" t="inlineStr">
        <is>
          <t>https://www.facebook.com/therapydogsnationwide</t>
        </is>
      </c>
      <c r="D1081" s="6" t="inlineStr">
        <is>
          <t>Cần quét Bio Fanpage</t>
        </is>
      </c>
      <c r="E1081" s="53" t="inlineStr">
        <is>
          <t>12/10/2026 19:38:09</t>
        </is>
      </c>
      <c r="F1081" s="53" t="inlineStr">
        <is>
          <t>11 giờ trước</t>
        </is>
      </c>
      <c r="G1081" s="55" t="n">
        <v>0.46</v>
      </c>
      <c r="H1081" s="56" t="n">
        <v>32</v>
      </c>
      <c r="I1081" s="6" t="inlineStr">
        <is>
          <t>Pet Owner / Cộng đồng nuôi cún (10đ)</t>
        </is>
      </c>
      <c r="J1081" s="56" t="n">
        <v>10</v>
      </c>
      <c r="K1081" s="6" t="inlineStr">
        <is>
          <t>Chưa rõ giống (Cần quét Bio)</t>
        </is>
      </c>
      <c r="L1081" s="56" t="n">
        <v>0</v>
      </c>
      <c r="M1081" s="56" t="n">
        <v>0</v>
      </c>
      <c r="N1081" s="6" t="inlineStr">
        <is>
          <t>Amazon link not found</t>
        </is>
      </c>
      <c r="O1081" s="56">
        <f>IF(N1081="Selling pet toys + Artificial grass/Pet toilets (TARGET)",15,IF(N1081="Selling artificial grass/pet toilets (TARGET)",10,IF(N1081="Selling pet toys",7,IF(N1081="There's an Amazon link, but no target sales.",3,0))))</f>
        <v/>
      </c>
      <c r="P1081" s="65">
        <f>H1081+J1081+L1081+M1081+O1081</f>
        <v/>
      </c>
      <c r="Q1081" s="69">
        <f>IF(OR(H1081=0,P1081&lt;30),"Tier D (Đóng băng)",IF(P1081&gt;=85,"Tier S (Kim Cương: 85-100đ)",IF(P1081&gt;=70,"Tier A (Vàng: 70-84đ)",IF(P1081&gt;=61,"Tier B+ / Cấp A (Hot Lead: 61-69đ)",IF(P1081&gt;=50,"Tier B (Bạc: 50-60đ)","Tier C (Đồng: 30-49đ)")))))</f>
        <v/>
      </c>
      <c r="R1081" s="6" t="inlineStr">
        <is>
          <t>Khay vệ sinh chung cư (Indoor Potty) + Thảm cỏ ban công (Grass Patch) + Đồ chơi</t>
        </is>
      </c>
      <c r="S1081" s="6" t="inlineStr">
        <is>
          <t>Cấp C Chi phí thấp: Nhắn tin trực tiếp qua Fanpage Facebook/Instagram + Nuôi dưỡng nội dung</t>
        </is>
      </c>
    </row>
    <row r="1082">
      <c r="A1082" s="59" t="n">
        <v>1201</v>
      </c>
      <c r="B1082" s="15" t="inlineStr">
        <is>
          <t>DogtopiaSouthAnnArbor</t>
        </is>
      </c>
      <c r="C1082" s="60" t="inlineStr">
        <is>
          <t>https://www.facebook.com/DogtopiaSouthAnnArbor</t>
        </is>
      </c>
      <c r="D1082" s="9" t="inlineStr">
        <is>
          <t>Cần quét Bio Fanpage</t>
        </is>
      </c>
      <c r="E1082" s="59" t="inlineStr">
        <is>
          <t>12/10/2026 19:30:41</t>
        </is>
      </c>
      <c r="F1082" s="59" t="inlineStr">
        <is>
          <t>7 giờ trước</t>
        </is>
      </c>
      <c r="G1082" s="61" t="n">
        <v>0.29</v>
      </c>
      <c r="H1082" s="62" t="n">
        <v>32</v>
      </c>
      <c r="I1082" s="9" t="inlineStr">
        <is>
          <t>Pet Owner / Cộng đồng nuôi cún (10đ)</t>
        </is>
      </c>
      <c r="J1082" s="62" t="n">
        <v>10</v>
      </c>
      <c r="K1082" s="9" t="inlineStr">
        <is>
          <t>Chưa rõ giống (Cần quét Bio)</t>
        </is>
      </c>
      <c r="L1082" s="62" t="n">
        <v>0</v>
      </c>
      <c r="M1082" s="62" t="n">
        <v>0</v>
      </c>
      <c r="N1082" s="9" t="inlineStr">
        <is>
          <t>Amazon link not found</t>
        </is>
      </c>
      <c r="O1082" s="62">
        <f>IF(N1082="Selling pet toys + Artificial grass/Pet toilets (TARGET)",15,IF(N1082="Selling artificial grass/pet toilets (TARGET)",10,IF(N1082="Selling pet toys",7,IF(N1082="There's an Amazon link, but no target sales.",3,0))))</f>
        <v/>
      </c>
      <c r="P1082" s="67">
        <f>H1082+J1082+L1082+M1082+O1082</f>
        <v/>
      </c>
      <c r="Q1082" s="69">
        <f>IF(OR(H1082=0,P1082&lt;30),"Tier D (Đóng băng)",IF(P1082&gt;=85,"Tier S (Kim Cương: 85-100đ)",IF(P1082&gt;=70,"Tier A (Vàng: 70-84đ)",IF(P1082&gt;=61,"Tier B+ / Cấp A (Hot Lead: 61-69đ)",IF(P1082&gt;=50,"Tier B (Bạc: 50-60đ)","Tier C (Đồng: 30-49đ)")))))</f>
        <v/>
      </c>
      <c r="R1082" s="9" t="inlineStr">
        <is>
          <t>Khay vệ sinh chung cư (Indoor Potty) + Thảm cỏ ban công (Grass Patch) + Đồ chơi</t>
        </is>
      </c>
      <c r="S1082" s="9" t="inlineStr">
        <is>
          <t>Cấp C Chi phí thấp: Nhắn tin trực tiếp qua Fanpage Facebook/Instagram + Nuôi dưỡng nội dung</t>
        </is>
      </c>
    </row>
    <row r="1083">
      <c r="A1083" s="53" t="n">
        <v>426</v>
      </c>
      <c r="B1083" s="12" t="inlineStr">
        <is>
          <t>Anastasiia Beaumont &amp; Salsa • Dog Dance Mania</t>
        </is>
      </c>
      <c r="C1083" s="54" t="inlineStr">
        <is>
          <t>https://www.facebook.com/beaumont.anastasiia</t>
        </is>
      </c>
      <c r="D1083" s="6" t="inlineStr">
        <is>
          <t>Cần quét Bio Fanpage</t>
        </is>
      </c>
      <c r="E1083" s="53" t="inlineStr">
        <is>
          <t>12/10/2026 19:30:16</t>
        </is>
      </c>
      <c r="F1083" s="53" t="inlineStr">
        <is>
          <t>6 giờ trước</t>
        </is>
      </c>
      <c r="G1083" s="55" t="n">
        <v>0.25</v>
      </c>
      <c r="H1083" s="56" t="n">
        <v>32</v>
      </c>
      <c r="I1083" s="6" t="inlineStr">
        <is>
          <t>Pet Owner / Cộng đồng nuôi cún (10đ)</t>
        </is>
      </c>
      <c r="J1083" s="56" t="n">
        <v>10</v>
      </c>
      <c r="K1083" s="6" t="inlineStr">
        <is>
          <t>Chưa rõ giống (Cần quét Bio)</t>
        </is>
      </c>
      <c r="L1083" s="56" t="n">
        <v>0</v>
      </c>
      <c r="M1083" s="56" t="n">
        <v>0</v>
      </c>
      <c r="N1083" s="6" t="inlineStr">
        <is>
          <t>Amazon link not found</t>
        </is>
      </c>
      <c r="O1083" s="56">
        <f>IF(N1083="Selling pet toys + Artificial grass/Pet toilets (TARGET)",15,IF(N1083="Selling artificial grass/pet toilets (TARGET)",10,IF(N1083="Selling pet toys",7,IF(N1083="There's an Amazon link, but no target sales.",3,0))))</f>
        <v/>
      </c>
      <c r="P1083" s="65">
        <f>H1083+J1083+L1083+M1083+O1083</f>
        <v/>
      </c>
      <c r="Q1083" s="69">
        <f>IF(OR(H1083=0,P1083&lt;30),"Tier D (Đóng băng)",IF(P1083&gt;=85,"Tier S (Kim Cương: 85-100đ)",IF(P1083&gt;=70,"Tier A (Vàng: 70-84đ)",IF(P1083&gt;=61,"Tier B+ / Cấp A (Hot Lead: 61-69đ)",IF(P1083&gt;=50,"Tier B (Bạc: 50-60đ)","Tier C (Đồng: 30-49đ)")))))</f>
        <v/>
      </c>
      <c r="R1083" s="6" t="inlineStr">
        <is>
          <t>Khay vệ sinh chung cư (Indoor Potty) + Thảm cỏ ban công (Grass Patch) + Đồ chơi</t>
        </is>
      </c>
      <c r="S1083" s="6" t="inlineStr">
        <is>
          <t>Cấp C Chi phí thấp: Nhắn tin trực tiếp qua Fanpage Facebook/Instagram + Nuôi dưỡng nội dung</t>
        </is>
      </c>
    </row>
    <row r="1084">
      <c r="A1084" s="59" t="n">
        <v>1145</v>
      </c>
      <c r="B1084" s="15" t="inlineStr">
        <is>
          <t>DogMom</t>
        </is>
      </c>
      <c r="C1084" s="60" t="inlineStr">
        <is>
          <t>https://www.facebook.com/DogMomDK</t>
        </is>
      </c>
      <c r="D1084" s="9" t="inlineStr">
        <is>
          <t>Cần quét Bio Fanpage</t>
        </is>
      </c>
      <c r="E1084" s="59" t="inlineStr">
        <is>
          <t>12/10/2026 19:26:27</t>
        </is>
      </c>
      <c r="F1084" s="59" t="inlineStr">
        <is>
          <t>7 giờ trước</t>
        </is>
      </c>
      <c r="G1084" s="61" t="n">
        <v>0.29</v>
      </c>
      <c r="H1084" s="62" t="n">
        <v>32</v>
      </c>
      <c r="I1084" s="9" t="inlineStr">
        <is>
          <t>Pet Owner / Cộng đồng nuôi cún (10đ)</t>
        </is>
      </c>
      <c r="J1084" s="62" t="n">
        <v>10</v>
      </c>
      <c r="K1084" s="9" t="inlineStr">
        <is>
          <t>Chưa rõ giống (Cần quét Bio)</t>
        </is>
      </c>
      <c r="L1084" s="62" t="n">
        <v>0</v>
      </c>
      <c r="M1084" s="62" t="n">
        <v>0</v>
      </c>
      <c r="N1084" s="9" t="inlineStr">
        <is>
          <t>Amazon link not found</t>
        </is>
      </c>
      <c r="O1084" s="62">
        <f>IF(N1084="Selling pet toys + Artificial grass/Pet toilets (TARGET)",15,IF(N1084="Selling artificial grass/pet toilets (TARGET)",10,IF(N1084="Selling pet toys",7,IF(N1084="There's an Amazon link, but no target sales.",3,0))))</f>
        <v/>
      </c>
      <c r="P1084" s="67">
        <f>H1084+J1084+L1084+M1084+O1084</f>
        <v/>
      </c>
      <c r="Q1084" s="69">
        <f>IF(OR(H1084=0,P1084&lt;30),"Tier D (Đóng băng)",IF(P1084&gt;=85,"Tier S (Kim Cương: 85-100đ)",IF(P1084&gt;=70,"Tier A (Vàng: 70-84đ)",IF(P1084&gt;=61,"Tier B+ / Cấp A (Hot Lead: 61-69đ)",IF(P1084&gt;=50,"Tier B (Bạc: 50-60đ)","Tier C (Đồng: 30-49đ)")))))</f>
        <v/>
      </c>
      <c r="R1084" s="9" t="inlineStr">
        <is>
          <t>Khay vệ sinh chung cư (Indoor Potty) + Thảm cỏ ban công (Grass Patch) + Đồ chơi</t>
        </is>
      </c>
      <c r="S1084" s="9" t="inlineStr">
        <is>
          <t>Cấp C Chi phí thấp: Nhắn tin trực tiếp qua Fanpage Facebook/Instagram + Nuôi dưỡng nội dung</t>
        </is>
      </c>
    </row>
    <row r="1085">
      <c r="A1085" s="53" t="n">
        <v>1162</v>
      </c>
      <c r="B1085" s="12" t="inlineStr">
        <is>
          <t>Dogs Best Coach</t>
        </is>
      </c>
      <c r="C1085" s="54" t="inlineStr">
        <is>
          <t>https://www.facebook.com/dogsbestcoach</t>
        </is>
      </c>
      <c r="D1085" s="6" t="inlineStr">
        <is>
          <t>Cần quét Bio Fanpage</t>
        </is>
      </c>
      <c r="E1085" s="53" t="inlineStr">
        <is>
          <t>12/10/2026 19:18:37</t>
        </is>
      </c>
      <c r="F1085" s="53" t="inlineStr">
        <is>
          <t>7 giờ trước</t>
        </is>
      </c>
      <c r="G1085" s="55" t="n">
        <v>0.29</v>
      </c>
      <c r="H1085" s="56" t="n">
        <v>32</v>
      </c>
      <c r="I1085" s="6" t="inlineStr">
        <is>
          <t>Pet Owner / Cộng đồng nuôi cún (10đ)</t>
        </is>
      </c>
      <c r="J1085" s="56" t="n">
        <v>10</v>
      </c>
      <c r="K1085" s="6" t="inlineStr">
        <is>
          <t>Chưa rõ giống (Cần quét Bio)</t>
        </is>
      </c>
      <c r="L1085" s="56" t="n">
        <v>0</v>
      </c>
      <c r="M1085" s="56" t="n">
        <v>0</v>
      </c>
      <c r="N1085" s="6" t="inlineStr">
        <is>
          <t>Amazon link not found</t>
        </is>
      </c>
      <c r="O1085" s="56">
        <f>IF(N1085="Selling pet toys + Artificial grass/Pet toilets (TARGET)",15,IF(N1085="Selling artificial grass/pet toilets (TARGET)",10,IF(N1085="Selling pet toys",7,IF(N1085="There's an Amazon link, but no target sales.",3,0))))</f>
        <v/>
      </c>
      <c r="P1085" s="65">
        <f>H1085+J1085+L1085+M1085+O1085</f>
        <v/>
      </c>
      <c r="Q1085" s="69">
        <f>IF(OR(H1085=0,P1085&lt;30),"Tier D (Đóng băng)",IF(P1085&gt;=85,"Tier S (Kim Cương: 85-100đ)",IF(P1085&gt;=70,"Tier A (Vàng: 70-84đ)",IF(P1085&gt;=61,"Tier B+ / Cấp A (Hot Lead: 61-69đ)",IF(P1085&gt;=50,"Tier B (Bạc: 50-60đ)","Tier C (Đồng: 30-49đ)")))))</f>
        <v/>
      </c>
      <c r="R1085" s="6" t="inlineStr">
        <is>
          <t>Khay vệ sinh chung cư (Indoor Potty) + Thảm cỏ ban công (Grass Patch) + Đồ chơi</t>
        </is>
      </c>
      <c r="S1085" s="6" t="inlineStr">
        <is>
          <t>Cấp C Chi phí thấp: Nhắn tin trực tiếp qua Fanpage Facebook/Instagram + Nuôi dưỡng nội dung</t>
        </is>
      </c>
    </row>
    <row r="1086">
      <c r="A1086" s="59" t="n">
        <v>392</v>
      </c>
      <c r="B1086" s="15" t="inlineStr">
        <is>
          <t>Alokathepeacedog</t>
        </is>
      </c>
      <c r="C1086" s="60" t="inlineStr">
        <is>
          <t>https://www.facebook.com/Alokathepeacedog</t>
        </is>
      </c>
      <c r="D1086" s="9" t="inlineStr">
        <is>
          <t>Cần quét Bio Fanpage</t>
        </is>
      </c>
      <c r="E1086" s="59" t="inlineStr">
        <is>
          <t>12/10/2026 19:12:54</t>
        </is>
      </c>
      <c r="F1086" s="59" t="inlineStr">
        <is>
          <t>6 giờ trước</t>
        </is>
      </c>
      <c r="G1086" s="61" t="n">
        <v>0.25</v>
      </c>
      <c r="H1086" s="62" t="n">
        <v>32</v>
      </c>
      <c r="I1086" s="9" t="inlineStr">
        <is>
          <t>Pet Owner / Cộng đồng nuôi cún (10đ)</t>
        </is>
      </c>
      <c r="J1086" s="62" t="n">
        <v>10</v>
      </c>
      <c r="K1086" s="9" t="inlineStr">
        <is>
          <t>Chưa rõ giống (Cần quét Bio)</t>
        </is>
      </c>
      <c r="L1086" s="62" t="n">
        <v>0</v>
      </c>
      <c r="M1086" s="62" t="n">
        <v>0</v>
      </c>
      <c r="N1086" s="9" t="inlineStr">
        <is>
          <t>Amazon link not found</t>
        </is>
      </c>
      <c r="O1086" s="62">
        <f>IF(N1086="Selling pet toys + Artificial grass/Pet toilets (TARGET)",15,IF(N1086="Selling artificial grass/pet toilets (TARGET)",10,IF(N1086="Selling pet toys",7,IF(N1086="There's an Amazon link, but no target sales.",3,0))))</f>
        <v/>
      </c>
      <c r="P1086" s="67">
        <f>H1086+J1086+L1086+M1086+O1086</f>
        <v/>
      </c>
      <c r="Q1086" s="69">
        <f>IF(OR(H1086=0,P1086&lt;30),"Tier D (Đóng băng)",IF(P1086&gt;=85,"Tier S (Kim Cương: 85-100đ)",IF(P1086&gt;=70,"Tier A (Vàng: 70-84đ)",IF(P1086&gt;=61,"Tier B+ / Cấp A (Hot Lead: 61-69đ)",IF(P1086&gt;=50,"Tier B (Bạc: 50-60đ)","Tier C (Đồng: 30-49đ)")))))</f>
        <v/>
      </c>
      <c r="R1086" s="9" t="inlineStr">
        <is>
          <t>Khay vệ sinh chung cư (Indoor Potty) + Thảm cỏ ban công (Grass Patch) + Đồ chơi</t>
        </is>
      </c>
      <c r="S1086" s="9" t="inlineStr">
        <is>
          <t>Cấp C Chi phí thấp: Nhắn tin trực tiếp qua Fanpage Facebook/Instagram + Nuôi dưỡng nội dung</t>
        </is>
      </c>
    </row>
    <row r="1087">
      <c r="A1087" s="53" t="n">
        <v>2453</v>
      </c>
      <c r="B1087" s="12" t="inlineStr">
        <is>
          <t>Pet Head</t>
        </is>
      </c>
      <c r="C1087" s="54" t="inlineStr">
        <is>
          <t>https://www.facebook.com/PetHead</t>
        </is>
      </c>
      <c r="D1087" s="6" t="inlineStr">
        <is>
          <t>Cần quét Bio Fanpage</t>
        </is>
      </c>
      <c r="E1087" s="53" t="inlineStr">
        <is>
          <t>12/10/2026 19:01:10</t>
        </is>
      </c>
      <c r="F1087" s="53" t="inlineStr">
        <is>
          <t>10 giờ trước</t>
        </is>
      </c>
      <c r="G1087" s="55" t="n">
        <v>0.42</v>
      </c>
      <c r="H1087" s="56" t="n">
        <v>32</v>
      </c>
      <c r="I1087" s="6" t="inlineStr">
        <is>
          <t>Pet Owner / Cộng đồng nuôi cún (10đ)</t>
        </is>
      </c>
      <c r="J1087" s="56" t="n">
        <v>10</v>
      </c>
      <c r="K1087" s="6" t="inlineStr">
        <is>
          <t>Chưa rõ giống (Cần quét Bio)</t>
        </is>
      </c>
      <c r="L1087" s="56" t="n">
        <v>0</v>
      </c>
      <c r="M1087" s="56" t="n">
        <v>0</v>
      </c>
      <c r="N1087" s="6" t="inlineStr">
        <is>
          <t>Amazon link not found</t>
        </is>
      </c>
      <c r="O1087" s="56">
        <f>IF(N1087="Selling pet toys + Artificial grass/Pet toilets (TARGET)",15,IF(N1087="Selling artificial grass/pet toilets (TARGET)",10,IF(N1087="Selling pet toys",7,IF(N1087="There's an Amazon link, but no target sales.",3,0))))</f>
        <v/>
      </c>
      <c r="P1087" s="65">
        <f>H1087+J1087+L1087+M1087+O1087</f>
        <v/>
      </c>
      <c r="Q1087" s="69">
        <f>IF(OR(H1087=0,P1087&lt;30),"Tier D (Đóng băng)",IF(P1087&gt;=85,"Tier S (Kim Cương: 85-100đ)",IF(P1087&gt;=70,"Tier A (Vàng: 70-84đ)",IF(P1087&gt;=61,"Tier B+ / Cấp A (Hot Lead: 61-69đ)",IF(P1087&gt;=50,"Tier B (Bạc: 50-60đ)","Tier C (Đồng: 30-49đ)")))))</f>
        <v/>
      </c>
      <c r="R1087" s="6" t="inlineStr">
        <is>
          <t>Khay vệ sinh chung cư (Indoor Potty) + Thảm cỏ ban công (Grass Patch) + Đồ chơi</t>
        </is>
      </c>
      <c r="S1087" s="6" t="inlineStr">
        <is>
          <t>Cấp C Chi phí thấp: Nhắn tin trực tiếp qua Fanpage Facebook/Instagram + Nuôi dưỡng nội dung</t>
        </is>
      </c>
    </row>
    <row r="1088">
      <c r="A1088" s="59" t="n">
        <v>440</v>
      </c>
      <c r="B1088" s="15" t="inlineStr">
        <is>
          <t>Angle -B Stockdogs</t>
        </is>
      </c>
      <c r="C1088" s="60" t="inlineStr">
        <is>
          <t>https://www.facebook.com/anglebarbstockdogs</t>
        </is>
      </c>
      <c r="D1088" s="9" t="inlineStr">
        <is>
          <t>Cần quét Bio Fanpage</t>
        </is>
      </c>
      <c r="E1088" s="59" t="inlineStr">
        <is>
          <t>12/10/2026 18:44:10</t>
        </is>
      </c>
      <c r="F1088" s="59" t="inlineStr">
        <is>
          <t>6 giờ trước</t>
        </is>
      </c>
      <c r="G1088" s="61" t="n">
        <v>0.25</v>
      </c>
      <c r="H1088" s="62" t="n">
        <v>32</v>
      </c>
      <c r="I1088" s="9" t="inlineStr">
        <is>
          <t>Pet Owner / Cộng đồng nuôi cún (10đ)</t>
        </is>
      </c>
      <c r="J1088" s="62" t="n">
        <v>10</v>
      </c>
      <c r="K1088" s="9" t="inlineStr">
        <is>
          <t>Chưa rõ giống (Cần quét Bio)</t>
        </is>
      </c>
      <c r="L1088" s="62" t="n">
        <v>0</v>
      </c>
      <c r="M1088" s="62" t="n">
        <v>0</v>
      </c>
      <c r="N1088" s="9" t="inlineStr">
        <is>
          <t>Amazon link not found</t>
        </is>
      </c>
      <c r="O1088" s="62">
        <f>IF(N1088="Selling pet toys + Artificial grass/Pet toilets (TARGET)",15,IF(N1088="Selling artificial grass/pet toilets (TARGET)",10,IF(N1088="Selling pet toys",7,IF(N1088="There's an Amazon link, but no target sales.",3,0))))</f>
        <v/>
      </c>
      <c r="P1088" s="67">
        <f>H1088+J1088+L1088+M1088+O1088</f>
        <v/>
      </c>
      <c r="Q1088" s="69">
        <f>IF(OR(H1088=0,P1088&lt;30),"Tier D (Đóng băng)",IF(P1088&gt;=85,"Tier S (Kim Cương: 85-100đ)",IF(P1088&gt;=70,"Tier A (Vàng: 70-84đ)",IF(P1088&gt;=61,"Tier B+ / Cấp A (Hot Lead: 61-69đ)",IF(P1088&gt;=50,"Tier B (Bạc: 50-60đ)","Tier C (Đồng: 30-49đ)")))))</f>
        <v/>
      </c>
      <c r="R1088" s="9" t="inlineStr">
        <is>
          <t>Khay vệ sinh chung cư (Indoor Potty) + Thảm cỏ ban công (Grass Patch) + Đồ chơi</t>
        </is>
      </c>
      <c r="S1088" s="9" t="inlineStr">
        <is>
          <t>Cấp C Chi phí thấp: Nhắn tin trực tiếp qua Fanpage Facebook/Instagram + Nuôi dưỡng nội dung</t>
        </is>
      </c>
    </row>
    <row r="1089">
      <c r="A1089" s="53" t="n">
        <v>3397</v>
      </c>
      <c r="B1089" s="12" t="inlineStr">
        <is>
          <t>Whatsup Dog?</t>
        </is>
      </c>
      <c r="C1089" s="54" t="inlineStr">
        <is>
          <t>https://www.facebook.com/whatsupdogdevon</t>
        </is>
      </c>
      <c r="D1089" s="6" t="inlineStr">
        <is>
          <t>Cần quét Bio Fanpage</t>
        </is>
      </c>
      <c r="E1089" s="53" t="inlineStr">
        <is>
          <t>12/10/2026 18:31:02</t>
        </is>
      </c>
      <c r="F1089" s="53" t="inlineStr">
        <is>
          <t>12 giờ trước</t>
        </is>
      </c>
      <c r="G1089" s="55" t="n">
        <v>0.5</v>
      </c>
      <c r="H1089" s="56" t="n">
        <v>32</v>
      </c>
      <c r="I1089" s="6" t="inlineStr">
        <is>
          <t>Pet Owner / Cộng đồng nuôi cún (10đ)</t>
        </is>
      </c>
      <c r="J1089" s="56" t="n">
        <v>10</v>
      </c>
      <c r="K1089" s="6" t="inlineStr">
        <is>
          <t>Chưa rõ giống (Cần quét Bio)</t>
        </is>
      </c>
      <c r="L1089" s="56" t="n">
        <v>0</v>
      </c>
      <c r="M1089" s="56" t="n">
        <v>0</v>
      </c>
      <c r="N1089" s="6" t="inlineStr">
        <is>
          <t>Amazon link not found</t>
        </is>
      </c>
      <c r="O1089" s="56">
        <f>IF(N1089="Selling pet toys + Artificial grass/Pet toilets (TARGET)",15,IF(N1089="Selling artificial grass/pet toilets (TARGET)",10,IF(N1089="Selling pet toys",7,IF(N1089="There's an Amazon link, but no target sales.",3,0))))</f>
        <v/>
      </c>
      <c r="P1089" s="65">
        <f>H1089+J1089+L1089+M1089+O1089</f>
        <v/>
      </c>
      <c r="Q1089" s="69">
        <f>IF(OR(H1089=0,P1089&lt;30),"Tier D (Đóng băng)",IF(P1089&gt;=85,"Tier S (Kim Cương: 85-100đ)",IF(P1089&gt;=70,"Tier A (Vàng: 70-84đ)",IF(P1089&gt;=61,"Tier B+ / Cấp A (Hot Lead: 61-69đ)",IF(P1089&gt;=50,"Tier B (Bạc: 50-60đ)","Tier C (Đồng: 30-49đ)")))))</f>
        <v/>
      </c>
      <c r="R1089" s="6" t="inlineStr">
        <is>
          <t>Khay vệ sinh chung cư (Indoor Potty) + Thảm cỏ ban công (Grass Patch) + Đồ chơi</t>
        </is>
      </c>
      <c r="S1089" s="6" t="inlineStr">
        <is>
          <t>Cấp C Chi phí thấp: Nhắn tin trực tiếp qua Fanpage Facebook/Instagram + Nuôi dưỡng nội dung</t>
        </is>
      </c>
    </row>
    <row r="1090">
      <c r="A1090" s="59" t="n">
        <v>148</v>
      </c>
      <c r="B1090" s="15" t="inlineStr">
        <is>
          <t>Dog Show Mentor</t>
        </is>
      </c>
      <c r="C1090" s="60" t="inlineStr">
        <is>
          <t>https://www.facebook.com/dogshowmentor</t>
        </is>
      </c>
      <c r="D1090" s="9" t="inlineStr">
        <is>
          <t>Cần quét Bio Fanpage</t>
        </is>
      </c>
      <c r="E1090" s="59" t="inlineStr">
        <is>
          <t>12/10/2026 18:30:02</t>
        </is>
      </c>
      <c r="F1090" s="59" t="inlineStr">
        <is>
          <t>6 giờ trước</t>
        </is>
      </c>
      <c r="G1090" s="61" t="n">
        <v>0.25</v>
      </c>
      <c r="H1090" s="62" t="n">
        <v>32</v>
      </c>
      <c r="I1090" s="9" t="inlineStr">
        <is>
          <t>Pet Owner / Cộng đồng nuôi cún (10đ)</t>
        </is>
      </c>
      <c r="J1090" s="62" t="n">
        <v>10</v>
      </c>
      <c r="K1090" s="9" t="inlineStr">
        <is>
          <t>Chưa rõ giống (Cần quét Bio)</t>
        </is>
      </c>
      <c r="L1090" s="62" t="n">
        <v>0</v>
      </c>
      <c r="M1090" s="62" t="n">
        <v>0</v>
      </c>
      <c r="N1090" s="9" t="inlineStr">
        <is>
          <t>Amazon link not found</t>
        </is>
      </c>
      <c r="O1090" s="62">
        <f>IF(N1090="Selling pet toys + Artificial grass/Pet toilets (TARGET)",15,IF(N1090="Selling artificial grass/pet toilets (TARGET)",10,IF(N1090="Selling pet toys",7,IF(N1090="There's an Amazon link, but no target sales.",3,0))))</f>
        <v/>
      </c>
      <c r="P1090" s="67">
        <f>H1090+J1090+L1090+M1090+O1090</f>
        <v/>
      </c>
      <c r="Q1090" s="69">
        <f>IF(OR(H1090=0,P1090&lt;30),"Tier D (Đóng băng)",IF(P1090&gt;=85,"Tier S (Kim Cương: 85-100đ)",IF(P1090&gt;=70,"Tier A (Vàng: 70-84đ)",IF(P1090&gt;=61,"Tier B+ / Cấp A (Hot Lead: 61-69đ)",IF(P1090&gt;=50,"Tier B (Bạc: 50-60đ)","Tier C (Đồng: 30-49đ)")))))</f>
        <v/>
      </c>
      <c r="R1090" s="9" t="inlineStr">
        <is>
          <t>Khay vệ sinh chung cư (Indoor Potty) + Thảm cỏ ban công (Grass Patch) + Đồ chơi</t>
        </is>
      </c>
      <c r="S1090" s="9" t="inlineStr">
        <is>
          <t>Cấp C Chi phí thấp: Nhắn tin trực tiếp qua Fanpage Facebook/Instagram + Nuôi dưỡng nội dung</t>
        </is>
      </c>
    </row>
    <row r="1091">
      <c r="A1091" s="53" t="n">
        <v>2638</v>
      </c>
      <c r="B1091" s="12" t="inlineStr">
        <is>
          <t>Protection Dogs Worldwide</t>
        </is>
      </c>
      <c r="C1091" s="54" t="inlineStr">
        <is>
          <t>https://www.facebook.com/protectiondogworldwide</t>
        </is>
      </c>
      <c r="D1091" s="6" t="inlineStr">
        <is>
          <t>Cần quét Bio Fanpage</t>
        </is>
      </c>
      <c r="E1091" s="53" t="inlineStr">
        <is>
          <t>12/10/2026 18:27:53</t>
        </is>
      </c>
      <c r="F1091" s="53" t="inlineStr">
        <is>
          <t>11 giờ trước</t>
        </is>
      </c>
      <c r="G1091" s="55" t="n">
        <v>0.46</v>
      </c>
      <c r="H1091" s="56" t="n">
        <v>32</v>
      </c>
      <c r="I1091" s="6" t="inlineStr">
        <is>
          <t>Pet Owner / Cộng đồng nuôi cún (10đ)</t>
        </is>
      </c>
      <c r="J1091" s="56" t="n">
        <v>10</v>
      </c>
      <c r="K1091" s="6" t="inlineStr">
        <is>
          <t>Chưa rõ giống (Cần quét Bio)</t>
        </is>
      </c>
      <c r="L1091" s="56" t="n">
        <v>0</v>
      </c>
      <c r="M1091" s="56" t="n">
        <v>0</v>
      </c>
      <c r="N1091" s="6" t="inlineStr">
        <is>
          <t>Amazon link not found</t>
        </is>
      </c>
      <c r="O1091" s="56">
        <f>IF(N1091="Selling pet toys + Artificial grass/Pet toilets (TARGET)",15,IF(N1091="Selling artificial grass/pet toilets (TARGET)",10,IF(N1091="Selling pet toys",7,IF(N1091="There's an Amazon link, but no target sales.",3,0))))</f>
        <v/>
      </c>
      <c r="P1091" s="65">
        <f>H1091+J1091+L1091+M1091+O1091</f>
        <v/>
      </c>
      <c r="Q1091" s="69">
        <f>IF(OR(H1091=0,P1091&lt;30),"Tier D (Đóng băng)",IF(P1091&gt;=85,"Tier S (Kim Cương: 85-100đ)",IF(P1091&gt;=70,"Tier A (Vàng: 70-84đ)",IF(P1091&gt;=61,"Tier B+ / Cấp A (Hot Lead: 61-69đ)",IF(P1091&gt;=50,"Tier B (Bạc: 50-60đ)","Tier C (Đồng: 30-49đ)")))))</f>
        <v/>
      </c>
      <c r="R1091" s="6" t="inlineStr">
        <is>
          <t>Khay vệ sinh chung cư (Indoor Potty) + Thảm cỏ ban công (Grass Patch) + Đồ chơi</t>
        </is>
      </c>
      <c r="S1091" s="6" t="inlineStr">
        <is>
          <t>Cấp C Chi phí thấp: Nhắn tin trực tiếp qua Fanpage Facebook/Instagram + Nuôi dưỡng nội dung</t>
        </is>
      </c>
    </row>
    <row r="1092">
      <c r="A1092" s="59" t="n">
        <v>248</v>
      </c>
      <c r="B1092" s="15" t="inlineStr">
        <is>
          <t>Pro Plan Show Dogs</t>
        </is>
      </c>
      <c r="C1092" s="60" t="inlineStr">
        <is>
          <t>https://www.facebook.com/profile.php?id=61574139339900</t>
        </is>
      </c>
      <c r="D1092" s="9" t="inlineStr">
        <is>
          <t>Cần quét Bio Fanpage</t>
        </is>
      </c>
      <c r="E1092" s="59" t="inlineStr">
        <is>
          <t>12/10/2026 18:25:11</t>
        </is>
      </c>
      <c r="F1092" s="59" t="inlineStr">
        <is>
          <t>6 giờ trước</t>
        </is>
      </c>
      <c r="G1092" s="61" t="n">
        <v>0.25</v>
      </c>
      <c r="H1092" s="62" t="n">
        <v>32</v>
      </c>
      <c r="I1092" s="9" t="inlineStr">
        <is>
          <t>Pet Owner / Cộng đồng nuôi cún (10đ)</t>
        </is>
      </c>
      <c r="J1092" s="62" t="n">
        <v>10</v>
      </c>
      <c r="K1092" s="9" t="inlineStr">
        <is>
          <t>Chưa rõ giống (Cần quét Bio)</t>
        </is>
      </c>
      <c r="L1092" s="62" t="n">
        <v>0</v>
      </c>
      <c r="M1092" s="62" t="n">
        <v>0</v>
      </c>
      <c r="N1092" s="9" t="inlineStr">
        <is>
          <t>Amazon link not found</t>
        </is>
      </c>
      <c r="O1092" s="62">
        <f>IF(N1092="Selling pet toys + Artificial grass/Pet toilets (TARGET)",15,IF(N1092="Selling artificial grass/pet toilets (TARGET)",10,IF(N1092="Selling pet toys",7,IF(N1092="There's an Amazon link, but no target sales.",3,0))))</f>
        <v/>
      </c>
      <c r="P1092" s="67">
        <f>H1092+J1092+L1092+M1092+O1092</f>
        <v/>
      </c>
      <c r="Q1092" s="69">
        <f>IF(OR(H1092=0,P1092&lt;30),"Tier D (Đóng băng)",IF(P1092&gt;=85,"Tier S (Kim Cương: 85-100đ)",IF(P1092&gt;=70,"Tier A (Vàng: 70-84đ)",IF(P1092&gt;=61,"Tier B+ / Cấp A (Hot Lead: 61-69đ)",IF(P1092&gt;=50,"Tier B (Bạc: 50-60đ)","Tier C (Đồng: 30-49đ)")))))</f>
        <v/>
      </c>
      <c r="R1092" s="9" t="inlineStr">
        <is>
          <t>Khay vệ sinh chung cư (Indoor Potty) + Thảm cỏ ban công (Grass Patch) + Đồ chơi</t>
        </is>
      </c>
      <c r="S1092" s="9" t="inlineStr">
        <is>
          <t>Cấp C Chi phí thấp: Nhắn tin trực tiếp qua Fanpage Facebook/Instagram + Nuôi dưỡng nội dung</t>
        </is>
      </c>
    </row>
    <row r="1093">
      <c r="A1093" s="53" t="n">
        <v>712</v>
      </c>
      <c r="B1093" s="12" t="inlineStr">
        <is>
          <t>BluePath Service Dogs</t>
        </is>
      </c>
      <c r="C1093" s="54" t="inlineStr">
        <is>
          <t>https://www.facebook.com/BluePathServiceDogs</t>
        </is>
      </c>
      <c r="D1093" s="6" t="inlineStr">
        <is>
          <t>Cần quét Bio Fanpage</t>
        </is>
      </c>
      <c r="E1093" s="53" t="inlineStr">
        <is>
          <t>12/10/2026 18:18:01</t>
        </is>
      </c>
      <c r="F1093" s="53" t="inlineStr">
        <is>
          <t>7 giờ trước</t>
        </is>
      </c>
      <c r="G1093" s="55" t="n">
        <v>0.29</v>
      </c>
      <c r="H1093" s="56" t="n">
        <v>32</v>
      </c>
      <c r="I1093" s="6" t="inlineStr">
        <is>
          <t>Pet Owner / Cộng đồng nuôi cún (10đ)</t>
        </is>
      </c>
      <c r="J1093" s="56" t="n">
        <v>10</v>
      </c>
      <c r="K1093" s="6" t="inlineStr">
        <is>
          <t>Chưa rõ giống (Cần quét Bio)</t>
        </is>
      </c>
      <c r="L1093" s="56" t="n">
        <v>0</v>
      </c>
      <c r="M1093" s="56" t="n">
        <v>0</v>
      </c>
      <c r="N1093" s="6" t="inlineStr">
        <is>
          <t>Amazon link not found</t>
        </is>
      </c>
      <c r="O1093" s="56">
        <f>IF(N1093="Selling pet toys + Artificial grass/Pet toilets (TARGET)",15,IF(N1093="Selling artificial grass/pet toilets (TARGET)",10,IF(N1093="Selling pet toys",7,IF(N1093="There's an Amazon link, but no target sales.",3,0))))</f>
        <v/>
      </c>
      <c r="P1093" s="65">
        <f>H1093+J1093+L1093+M1093+O1093</f>
        <v/>
      </c>
      <c r="Q1093" s="69">
        <f>IF(OR(H1093=0,P1093&lt;30),"Tier D (Đóng băng)",IF(P1093&gt;=85,"Tier S (Kim Cương: 85-100đ)",IF(P1093&gt;=70,"Tier A (Vàng: 70-84đ)",IF(P1093&gt;=61,"Tier B+ / Cấp A (Hot Lead: 61-69đ)",IF(P1093&gt;=50,"Tier B (Bạc: 50-60đ)","Tier C (Đồng: 30-49đ)")))))</f>
        <v/>
      </c>
      <c r="R1093" s="6" t="inlineStr">
        <is>
          <t>Khay vệ sinh chung cư (Indoor Potty) + Thảm cỏ ban công (Grass Patch) + Đồ chơi</t>
        </is>
      </c>
      <c r="S1093" s="6" t="inlineStr">
        <is>
          <t>Cấp C Chi phí thấp: Nhắn tin trực tiếp qua Fanpage Facebook/Instagram + Nuôi dưỡng nội dung</t>
        </is>
      </c>
    </row>
    <row r="1094">
      <c r="A1094" s="59" t="n">
        <v>67</v>
      </c>
      <c r="B1094" s="15" t="inlineStr">
        <is>
          <t>Jamie The Dog Trainer</t>
        </is>
      </c>
      <c r="C1094" s="60" t="inlineStr">
        <is>
          <t>https://www.facebook.com/jamiedogtrainer</t>
        </is>
      </c>
      <c r="D1094" s="9" t="inlineStr">
        <is>
          <t>Cần quét Bio Fanpage</t>
        </is>
      </c>
      <c r="E1094" s="59" t="inlineStr">
        <is>
          <t>12/10/2026 18:01:30</t>
        </is>
      </c>
      <c r="F1094" s="59" t="inlineStr">
        <is>
          <t>7 giờ trước</t>
        </is>
      </c>
      <c r="G1094" s="61" t="n">
        <v>0.29</v>
      </c>
      <c r="H1094" s="62" t="n">
        <v>32</v>
      </c>
      <c r="I1094" s="9" t="inlineStr">
        <is>
          <t>Pet Owner / Kênh cá nhân thú cưng (10đ)</t>
        </is>
      </c>
      <c r="J1094" s="62" t="n">
        <v>10</v>
      </c>
      <c r="K1094" s="9" t="inlineStr">
        <is>
          <t>Chưa rõ giống (Cần quét Bio)</t>
        </is>
      </c>
      <c r="L1094" s="62" t="n">
        <v>0</v>
      </c>
      <c r="M1094" s="62" t="n">
        <v>0</v>
      </c>
      <c r="N1094" s="9" t="inlineStr">
        <is>
          <t>Amazon link not found</t>
        </is>
      </c>
      <c r="O1094" s="62">
        <f>IF(N1094="Selling pet toys + Artificial grass/Pet toilets (TARGET)",15,IF(N1094="Selling artificial grass/pet toilets (TARGET)",10,IF(N1094="Selling pet toys",7,IF(N1094="There's an Amazon link, but no target sales.",3,0))))</f>
        <v/>
      </c>
      <c r="P1094" s="67">
        <f>H1094+J1094+L1094+M1094+O1094</f>
        <v/>
      </c>
      <c r="Q1094" s="69">
        <f>IF(OR(H1094=0,P1094&lt;30),"Tier D (Đóng băng)",IF(P1094&gt;=85,"Tier S (Kim Cương: 85-100đ)",IF(P1094&gt;=70,"Tier A (Vàng: 70-84đ)",IF(P1094&gt;=61,"Tier B+ / Cấp A (Hot Lead: 61-69đ)",IF(P1094&gt;=50,"Tier B (Bạc: 50-60đ)","Tier C (Đồng: 30-49đ)")))))</f>
        <v/>
      </c>
      <c r="R1094" s="9" t="inlineStr">
        <is>
          <t>Khay vệ sinh trong nhà (Indoor Dog Potty) + Đồ chơi thú cưng lẻ</t>
        </is>
      </c>
      <c r="S1094" s="9" t="inlineStr">
        <is>
          <t>Cấp C Chi phí thấp: Nhắn tin trực tiếp qua Fanpage Facebook/Instagram + Nuôi dưỡng nội dung</t>
        </is>
      </c>
    </row>
    <row r="1095">
      <c r="A1095" s="53" t="n">
        <v>90</v>
      </c>
      <c r="B1095" s="12" t="inlineStr">
        <is>
          <t>absoluteDOGS</t>
        </is>
      </c>
      <c r="C1095" s="54" t="inlineStr">
        <is>
          <t>https://www.facebook.com/absolutedogs</t>
        </is>
      </c>
      <c r="D1095" s="6" t="inlineStr">
        <is>
          <t>Cần quét Bio Fanpage</t>
        </is>
      </c>
      <c r="E1095" s="53" t="inlineStr">
        <is>
          <t>12/10/2026 18:01:09</t>
        </is>
      </c>
      <c r="F1095" s="53" t="inlineStr">
        <is>
          <t>7 giờ trước</t>
        </is>
      </c>
      <c r="G1095" s="55" t="n">
        <v>0.29</v>
      </c>
      <c r="H1095" s="56" t="n">
        <v>32</v>
      </c>
      <c r="I1095" s="6" t="inlineStr">
        <is>
          <t>Pet Owner / Cộng đồng nuôi cún (10đ)</t>
        </is>
      </c>
      <c r="J1095" s="56" t="n">
        <v>10</v>
      </c>
      <c r="K1095" s="6" t="inlineStr">
        <is>
          <t>Chưa rõ giống (Cần quét Bio)</t>
        </is>
      </c>
      <c r="L1095" s="56" t="n">
        <v>0</v>
      </c>
      <c r="M1095" s="56" t="n">
        <v>0</v>
      </c>
      <c r="N1095" s="6" t="inlineStr">
        <is>
          <t>Amazon link not found</t>
        </is>
      </c>
      <c r="O1095" s="56">
        <f>IF(N1095="Selling pet toys + Artificial grass/Pet toilets (TARGET)",15,IF(N1095="Selling artificial grass/pet toilets (TARGET)",10,IF(N1095="Selling pet toys",7,IF(N1095="There's an Amazon link, but no target sales.",3,0))))</f>
        <v/>
      </c>
      <c r="P1095" s="65">
        <f>H1095+J1095+L1095+M1095+O1095</f>
        <v/>
      </c>
      <c r="Q1095" s="69">
        <f>IF(OR(H1095=0,P1095&lt;30),"Tier D (Đóng băng)",IF(P1095&gt;=85,"Tier S (Kim Cương: 85-100đ)",IF(P1095&gt;=70,"Tier A (Vàng: 70-84đ)",IF(P1095&gt;=61,"Tier B+ / Cấp A (Hot Lead: 61-69đ)",IF(P1095&gt;=50,"Tier B (Bạc: 50-60đ)","Tier C (Đồng: 30-49đ)")))))</f>
        <v/>
      </c>
      <c r="R1095" s="6" t="inlineStr">
        <is>
          <t>Khay vệ sinh chung cư (Indoor Potty) + Thảm cỏ ban công (Grass Patch) + Đồ chơi</t>
        </is>
      </c>
      <c r="S1095" s="6" t="inlineStr">
        <is>
          <t>Cấp C Chi phí thấp: Nhắn tin trực tiếp qua Fanpage Facebook/Instagram + Nuôi dưỡng nội dung</t>
        </is>
      </c>
    </row>
    <row r="1096">
      <c r="A1096" s="59" t="n">
        <v>196</v>
      </c>
      <c r="B1096" s="15" t="inlineStr">
        <is>
          <t>Inukshuk Professional Dog Food</t>
        </is>
      </c>
      <c r="C1096" s="60" t="inlineStr">
        <is>
          <t>https://www.facebook.com/InukshukPro</t>
        </is>
      </c>
      <c r="D1096" s="9" t="inlineStr">
        <is>
          <t>Cần quét Bio Fanpage</t>
        </is>
      </c>
      <c r="E1096" s="59" t="inlineStr">
        <is>
          <t>12/10/2026 18:00:38</t>
        </is>
      </c>
      <c r="F1096" s="59" t="inlineStr">
        <is>
          <t>7 giờ trước</t>
        </is>
      </c>
      <c r="G1096" s="61" t="n">
        <v>0.29</v>
      </c>
      <c r="H1096" s="62" t="n">
        <v>32</v>
      </c>
      <c r="I1096" s="9" t="inlineStr">
        <is>
          <t>Pet Owner / Cộng đồng nuôi cún (10đ)</t>
        </is>
      </c>
      <c r="J1096" s="62" t="n">
        <v>10</v>
      </c>
      <c r="K1096" s="9" t="inlineStr">
        <is>
          <t>Chưa rõ giống (Cần quét Bio)</t>
        </is>
      </c>
      <c r="L1096" s="62" t="n">
        <v>0</v>
      </c>
      <c r="M1096" s="62" t="n">
        <v>0</v>
      </c>
      <c r="N1096" s="9" t="inlineStr">
        <is>
          <t>Amazon link not found</t>
        </is>
      </c>
      <c r="O1096" s="62">
        <f>IF(N1096="Selling pet toys + Artificial grass/Pet toilets (TARGET)",15,IF(N1096="Selling artificial grass/pet toilets (TARGET)",10,IF(N1096="Selling pet toys",7,IF(N1096="There's an Amazon link, but no target sales.",3,0))))</f>
        <v/>
      </c>
      <c r="P1096" s="67">
        <f>H1096+J1096+L1096+M1096+O1096</f>
        <v/>
      </c>
      <c r="Q1096" s="69">
        <f>IF(OR(H1096=0,P1096&lt;30),"Tier D (Đóng băng)",IF(P1096&gt;=85,"Tier S (Kim Cương: 85-100đ)",IF(P1096&gt;=70,"Tier A (Vàng: 70-84đ)",IF(P1096&gt;=61,"Tier B+ / Cấp A (Hot Lead: 61-69đ)",IF(P1096&gt;=50,"Tier B (Bạc: 50-60đ)","Tier C (Đồng: 30-49đ)")))))</f>
        <v/>
      </c>
      <c r="R1096" s="9" t="inlineStr">
        <is>
          <t>Khay vệ sinh chung cư (Indoor Potty) + Thảm cỏ ban công (Grass Patch) + Đồ chơi</t>
        </is>
      </c>
      <c r="S1096" s="9" t="inlineStr">
        <is>
          <t>Cấp C Chi phí thấp: Nhắn tin trực tiếp qua Fanpage Facebook/Instagram + Nuôi dưỡng nội dung</t>
        </is>
      </c>
    </row>
    <row r="1097">
      <c r="A1097" s="53" t="n">
        <v>827</v>
      </c>
      <c r="B1097" s="12" t="inlineStr">
        <is>
          <t>Canine Adventures Dog Walking</t>
        </is>
      </c>
      <c r="C1097" s="54" t="inlineStr">
        <is>
          <t>https://www.facebook.com/canineadventuresmk</t>
        </is>
      </c>
      <c r="D1097" s="6" t="inlineStr">
        <is>
          <t>Cần quét Bio Fanpage</t>
        </is>
      </c>
      <c r="E1097" s="53" t="inlineStr">
        <is>
          <t>12/10/2026 17:56:50</t>
        </is>
      </c>
      <c r="F1097" s="53" t="inlineStr">
        <is>
          <t>8 giờ trước</t>
        </is>
      </c>
      <c r="G1097" s="55" t="n">
        <v>0.33</v>
      </c>
      <c r="H1097" s="56" t="n">
        <v>32</v>
      </c>
      <c r="I1097" s="6" t="inlineStr">
        <is>
          <t>Pet Owner / Kênh cá nhân thú cưng (10đ)</t>
        </is>
      </c>
      <c r="J1097" s="56" t="n">
        <v>10</v>
      </c>
      <c r="K1097" s="6" t="inlineStr">
        <is>
          <t>Chưa rõ giống (Cần quét Bio)</t>
        </is>
      </c>
      <c r="L1097" s="56" t="n">
        <v>0</v>
      </c>
      <c r="M1097" s="56" t="n">
        <v>0</v>
      </c>
      <c r="N1097" s="6" t="inlineStr">
        <is>
          <t>Amazon link not found</t>
        </is>
      </c>
      <c r="O1097" s="56">
        <f>IF(N1097="Selling pet toys + Artificial grass/Pet toilets (TARGET)",15,IF(N1097="Selling artificial grass/pet toilets (TARGET)",10,IF(N1097="Selling pet toys",7,IF(N1097="There's an Amazon link, but no target sales.",3,0))))</f>
        <v/>
      </c>
      <c r="P1097" s="65">
        <f>H1097+J1097+L1097+M1097+O1097</f>
        <v/>
      </c>
      <c r="Q1097" s="69">
        <f>IF(OR(H1097=0,P1097&lt;30),"Tier D (Đóng băng)",IF(P1097&gt;=85,"Tier S (Kim Cương: 85-100đ)",IF(P1097&gt;=70,"Tier A (Vàng: 70-84đ)",IF(P1097&gt;=61,"Tier B+ / Cấp A (Hot Lead: 61-69đ)",IF(P1097&gt;=50,"Tier B (Bạc: 50-60đ)","Tier C (Đồng: 30-49đ)")))))</f>
        <v/>
      </c>
      <c r="R1097" s="6" t="inlineStr">
        <is>
          <t>Khay vệ sinh trong nhà (Indoor Dog Potty) + Đồ chơi thú cưng lẻ</t>
        </is>
      </c>
      <c r="S1097" s="6" t="inlineStr">
        <is>
          <t>Cấp C Chi phí thấp: Nhắn tin trực tiếp qua Fanpage Facebook/Instagram + Nuôi dưỡng nội dung</t>
        </is>
      </c>
    </row>
    <row r="1098">
      <c r="A1098" s="59" t="n">
        <v>674</v>
      </c>
      <c r="B1098" s="15" t="inlineStr">
        <is>
          <t>Bijou Pet</t>
        </is>
      </c>
      <c r="C1098" s="60" t="inlineStr">
        <is>
          <t>https://www.facebook.com/bijoupetspa</t>
        </is>
      </c>
      <c r="D1098" s="9" t="inlineStr">
        <is>
          <t>Cần quét Bio Fanpage</t>
        </is>
      </c>
      <c r="E1098" s="59" t="inlineStr">
        <is>
          <t>12/10/2026 17:50:51</t>
        </is>
      </c>
      <c r="F1098" s="59" t="inlineStr">
        <is>
          <t>8 giờ trước</t>
        </is>
      </c>
      <c r="G1098" s="61" t="n">
        <v>0.33</v>
      </c>
      <c r="H1098" s="62" t="n">
        <v>32</v>
      </c>
      <c r="I1098" s="9" t="inlineStr">
        <is>
          <t>Pet Owner / Cộng đồng nuôi cún (10đ)</t>
        </is>
      </c>
      <c r="J1098" s="62" t="n">
        <v>10</v>
      </c>
      <c r="K1098" s="9" t="inlineStr">
        <is>
          <t>Chưa rõ giống (Cần quét Bio)</t>
        </is>
      </c>
      <c r="L1098" s="62" t="n">
        <v>0</v>
      </c>
      <c r="M1098" s="62" t="n">
        <v>0</v>
      </c>
      <c r="N1098" s="9" t="inlineStr">
        <is>
          <t>Amazon link not found</t>
        </is>
      </c>
      <c r="O1098" s="62">
        <f>IF(N1098="Selling pet toys + Artificial grass/Pet toilets (TARGET)",15,IF(N1098="Selling artificial grass/pet toilets (TARGET)",10,IF(N1098="Selling pet toys",7,IF(N1098="There's an Amazon link, but no target sales.",3,0))))</f>
        <v/>
      </c>
      <c r="P1098" s="67">
        <f>H1098+J1098+L1098+M1098+O1098</f>
        <v/>
      </c>
      <c r="Q1098" s="69">
        <f>IF(OR(H1098=0,P1098&lt;30),"Tier D (Đóng băng)",IF(P1098&gt;=85,"Tier S (Kim Cương: 85-100đ)",IF(P1098&gt;=70,"Tier A (Vàng: 70-84đ)",IF(P1098&gt;=61,"Tier B+ / Cấp A (Hot Lead: 61-69đ)",IF(P1098&gt;=50,"Tier B (Bạc: 50-60đ)","Tier C (Đồng: 30-49đ)")))))</f>
        <v/>
      </c>
      <c r="R1098" s="9" t="inlineStr">
        <is>
          <t>Khay vệ sinh chung cư (Indoor Potty) + Thảm cỏ ban công (Grass Patch) + Đồ chơi</t>
        </is>
      </c>
      <c r="S1098" s="9" t="inlineStr">
        <is>
          <t>Cấp C Chi phí thấp: Nhắn tin trực tiếp qua Fanpage Facebook/Instagram + Nuôi dưỡng nội dung</t>
        </is>
      </c>
    </row>
    <row r="1099">
      <c r="A1099" s="53" t="n">
        <v>3007</v>
      </c>
      <c r="B1099" s="12" t="inlineStr">
        <is>
          <t>Stowarzyszenie Dogi Adopcje</t>
        </is>
      </c>
      <c r="C1099" s="54" t="inlineStr">
        <is>
          <t>https://www.facebook.com/profile.php?id=100064403421149</t>
        </is>
      </c>
      <c r="D1099" s="6" t="inlineStr">
        <is>
          <t>Cần quét Bio Fanpage</t>
        </is>
      </c>
      <c r="E1099" s="53" t="inlineStr">
        <is>
          <t>12/10/2026 17:43:40</t>
        </is>
      </c>
      <c r="F1099" s="53" t="inlineStr">
        <is>
          <t>12 giờ trước</t>
        </is>
      </c>
      <c r="G1099" s="55" t="n">
        <v>0.5</v>
      </c>
      <c r="H1099" s="56" t="n">
        <v>32</v>
      </c>
      <c r="I1099" s="6" t="inlineStr">
        <is>
          <t>Pet Owner / Cộng đồng nuôi cún (10đ)</t>
        </is>
      </c>
      <c r="J1099" s="56" t="n">
        <v>10</v>
      </c>
      <c r="K1099" s="6" t="inlineStr">
        <is>
          <t>Chưa rõ giống (Cần quét Bio)</t>
        </is>
      </c>
      <c r="L1099" s="56" t="n">
        <v>0</v>
      </c>
      <c r="M1099" s="56" t="n">
        <v>0</v>
      </c>
      <c r="N1099" s="6" t="inlineStr">
        <is>
          <t>Amazon link not found</t>
        </is>
      </c>
      <c r="O1099" s="56">
        <f>IF(N1099="Selling pet toys + Artificial grass/Pet toilets (TARGET)",15,IF(N1099="Selling artificial grass/pet toilets (TARGET)",10,IF(N1099="Selling pet toys",7,IF(N1099="There's an Amazon link, but no target sales.",3,0))))</f>
        <v/>
      </c>
      <c r="P1099" s="65">
        <f>H1099+J1099+L1099+M1099+O1099</f>
        <v/>
      </c>
      <c r="Q1099" s="69">
        <f>IF(OR(H1099=0,P1099&lt;30),"Tier D (Đóng băng)",IF(P1099&gt;=85,"Tier S (Kim Cương: 85-100đ)",IF(P1099&gt;=70,"Tier A (Vàng: 70-84đ)",IF(P1099&gt;=61,"Tier B+ / Cấp A (Hot Lead: 61-69đ)",IF(P1099&gt;=50,"Tier B (Bạc: 50-60đ)","Tier C (Đồng: 30-49đ)")))))</f>
        <v/>
      </c>
      <c r="R1099" s="6" t="inlineStr">
        <is>
          <t>Khay vệ sinh chung cư (Indoor Potty) + Thảm cỏ ban công (Grass Patch) + Đồ chơi</t>
        </is>
      </c>
      <c r="S1099" s="6" t="inlineStr">
        <is>
          <t>Cấp C Chi phí thấp: Nhắn tin trực tiếp qua Fanpage Facebook/Instagram + Nuôi dưỡng nội dung</t>
        </is>
      </c>
    </row>
    <row r="1100">
      <c r="A1100" s="59" t="n">
        <v>1374</v>
      </c>
      <c r="B1100" s="15" t="inlineStr">
        <is>
          <t>Fetcher Dog- giving hope to abandoned dogs</t>
        </is>
      </c>
      <c r="C1100" s="60" t="inlineStr">
        <is>
          <t>https://www.facebook.com/hopeforabandoneddogs</t>
        </is>
      </c>
      <c r="D1100" s="9" t="inlineStr">
        <is>
          <t>Cần quét Bio Fanpage</t>
        </is>
      </c>
      <c r="E1100" s="59" t="inlineStr">
        <is>
          <t>12/10/2026 17:36:30</t>
        </is>
      </c>
      <c r="F1100" s="59" t="inlineStr">
        <is>
          <t>9 giờ trước</t>
        </is>
      </c>
      <c r="G1100" s="61" t="n">
        <v>0.38</v>
      </c>
      <c r="H1100" s="62" t="n">
        <v>32</v>
      </c>
      <c r="I1100" s="9" t="inlineStr">
        <is>
          <t>Pet Owner / Cộng đồng nuôi cún (10đ)</t>
        </is>
      </c>
      <c r="J1100" s="62" t="n">
        <v>10</v>
      </c>
      <c r="K1100" s="9" t="inlineStr">
        <is>
          <t>Chưa rõ giống (Cần quét Bio)</t>
        </is>
      </c>
      <c r="L1100" s="62" t="n">
        <v>0</v>
      </c>
      <c r="M1100" s="62" t="n">
        <v>0</v>
      </c>
      <c r="N1100" s="9" t="inlineStr">
        <is>
          <t>Amazon link not found</t>
        </is>
      </c>
      <c r="O1100" s="62">
        <f>IF(N1100="Selling pet toys + Artificial grass/Pet toilets (TARGET)",15,IF(N1100="Selling artificial grass/pet toilets (TARGET)",10,IF(N1100="Selling pet toys",7,IF(N1100="There's an Amazon link, but no target sales.",3,0))))</f>
        <v/>
      </c>
      <c r="P1100" s="67">
        <f>H1100+J1100+L1100+M1100+O1100</f>
        <v/>
      </c>
      <c r="Q1100" s="69">
        <f>IF(OR(H1100=0,P1100&lt;30),"Tier D (Đóng băng)",IF(P1100&gt;=85,"Tier S (Kim Cương: 85-100đ)",IF(P1100&gt;=70,"Tier A (Vàng: 70-84đ)",IF(P1100&gt;=61,"Tier B+ / Cấp A (Hot Lead: 61-69đ)",IF(P1100&gt;=50,"Tier B (Bạc: 50-60đ)","Tier C (Đồng: 30-49đ)")))))</f>
        <v/>
      </c>
      <c r="R1100" s="9" t="inlineStr">
        <is>
          <t>Khay vệ sinh chung cư (Indoor Potty) + Thảm cỏ ban công (Grass Patch) + Đồ chơi</t>
        </is>
      </c>
      <c r="S1100" s="9" t="inlineStr">
        <is>
          <t>Cấp C Chi phí thấp: Nhắn tin trực tiếp qua Fanpage Facebook/Instagram + Nuôi dưỡng nội dung</t>
        </is>
      </c>
    </row>
    <row r="1101">
      <c r="A1101" s="53" t="n">
        <v>2440</v>
      </c>
      <c r="B1101" s="12" t="inlineStr">
        <is>
          <t>Pet Alert Wallonie</t>
        </is>
      </c>
      <c r="C1101" s="54" t="inlineStr">
        <is>
          <t>https://www.facebook.com/Pet.Alert.Wallonie</t>
        </is>
      </c>
      <c r="D1101" s="6" t="inlineStr">
        <is>
          <t>Cần quét Bio Fanpage</t>
        </is>
      </c>
      <c r="E1101" s="53" t="inlineStr">
        <is>
          <t>12/10/2026 17:09:47</t>
        </is>
      </c>
      <c r="F1101" s="53" t="inlineStr">
        <is>
          <t>12 giờ trước</t>
        </is>
      </c>
      <c r="G1101" s="55" t="n">
        <v>0.5</v>
      </c>
      <c r="H1101" s="56" t="n">
        <v>32</v>
      </c>
      <c r="I1101" s="6" t="inlineStr">
        <is>
          <t>Pet Owner / Cộng đồng nuôi cún (10đ)</t>
        </is>
      </c>
      <c r="J1101" s="56" t="n">
        <v>10</v>
      </c>
      <c r="K1101" s="6" t="inlineStr">
        <is>
          <t>Chưa rõ giống (Cần quét Bio)</t>
        </is>
      </c>
      <c r="L1101" s="56" t="n">
        <v>0</v>
      </c>
      <c r="M1101" s="56" t="n">
        <v>0</v>
      </c>
      <c r="N1101" s="6" t="inlineStr">
        <is>
          <t>Amazon link not found</t>
        </is>
      </c>
      <c r="O1101" s="56">
        <f>IF(N1101="Selling pet toys + Artificial grass/Pet toilets (TARGET)",15,IF(N1101="Selling artificial grass/pet toilets (TARGET)",10,IF(N1101="Selling pet toys",7,IF(N1101="There's an Amazon link, but no target sales.",3,0))))</f>
        <v/>
      </c>
      <c r="P1101" s="65">
        <f>H1101+J1101+L1101+M1101+O1101</f>
        <v/>
      </c>
      <c r="Q1101" s="69">
        <f>IF(OR(H1101=0,P1101&lt;30),"Tier D (Đóng băng)",IF(P1101&gt;=85,"Tier S (Kim Cương: 85-100đ)",IF(P1101&gt;=70,"Tier A (Vàng: 70-84đ)",IF(P1101&gt;=61,"Tier B+ / Cấp A (Hot Lead: 61-69đ)",IF(P1101&gt;=50,"Tier B (Bạc: 50-60đ)","Tier C (Đồng: 30-49đ)")))))</f>
        <v/>
      </c>
      <c r="R1101" s="6" t="inlineStr">
        <is>
          <t>Khay vệ sinh chung cư (Indoor Potty) + Thảm cỏ ban công (Grass Patch) + Đồ chơi</t>
        </is>
      </c>
      <c r="S1101" s="6" t="inlineStr">
        <is>
          <t>Cấp C Chi phí thấp: Nhắn tin trực tiếp qua Fanpage Facebook/Instagram + Nuôi dưỡng nội dung</t>
        </is>
      </c>
    </row>
    <row r="1102">
      <c r="A1102" s="59" t="n">
        <v>1179</v>
      </c>
      <c r="B1102" s="15" t="inlineStr">
        <is>
          <t>Dogs Revelation</t>
        </is>
      </c>
      <c r="C1102" s="60" t="inlineStr">
        <is>
          <t>https://www.facebook.com/DogsRevelation</t>
        </is>
      </c>
      <c r="D1102" s="9" t="inlineStr">
        <is>
          <t>Cần quét Bio Fanpage</t>
        </is>
      </c>
      <c r="E1102" s="59" t="inlineStr">
        <is>
          <t>12/10/2026 17:08:45</t>
        </is>
      </c>
      <c r="F1102" s="59" t="inlineStr">
        <is>
          <t>9 giờ trước</t>
        </is>
      </c>
      <c r="G1102" s="61" t="n">
        <v>0.38</v>
      </c>
      <c r="H1102" s="62" t="n">
        <v>32</v>
      </c>
      <c r="I1102" s="9" t="inlineStr">
        <is>
          <t>Pet Owner / Cộng đồng nuôi cún (10đ)</t>
        </is>
      </c>
      <c r="J1102" s="62" t="n">
        <v>10</v>
      </c>
      <c r="K1102" s="9" t="inlineStr">
        <is>
          <t>Chưa rõ giống (Cần quét Bio)</t>
        </is>
      </c>
      <c r="L1102" s="62" t="n">
        <v>0</v>
      </c>
      <c r="M1102" s="62" t="n">
        <v>0</v>
      </c>
      <c r="N1102" s="9" t="inlineStr">
        <is>
          <t>Amazon link not found</t>
        </is>
      </c>
      <c r="O1102" s="62">
        <f>IF(N1102="Selling pet toys + Artificial grass/Pet toilets (TARGET)",15,IF(N1102="Selling artificial grass/pet toilets (TARGET)",10,IF(N1102="Selling pet toys",7,IF(N1102="There's an Amazon link, but no target sales.",3,0))))</f>
        <v/>
      </c>
      <c r="P1102" s="67">
        <f>H1102+J1102+L1102+M1102+O1102</f>
        <v/>
      </c>
      <c r="Q1102" s="69">
        <f>IF(OR(H1102=0,P1102&lt;30),"Tier D (Đóng băng)",IF(P1102&gt;=85,"Tier S (Kim Cương: 85-100đ)",IF(P1102&gt;=70,"Tier A (Vàng: 70-84đ)",IF(P1102&gt;=61,"Tier B+ / Cấp A (Hot Lead: 61-69đ)",IF(P1102&gt;=50,"Tier B (Bạc: 50-60đ)","Tier C (Đồng: 30-49đ)")))))</f>
        <v/>
      </c>
      <c r="R1102" s="9" t="inlineStr">
        <is>
          <t>Khay vệ sinh chung cư (Indoor Potty) + Thảm cỏ ban công (Grass Patch) + Đồ chơi</t>
        </is>
      </c>
      <c r="S1102" s="9" t="inlineStr">
        <is>
          <t>Cấp C Chi phí thấp: Nhắn tin trực tiếp qua Fanpage Facebook/Instagram + Nuôi dưỡng nội dung</t>
        </is>
      </c>
    </row>
    <row r="1103">
      <c r="A1103" s="53" t="n">
        <v>3475</v>
      </c>
      <c r="B1103" s="12" t="inlineStr">
        <is>
          <t>YUP Pet Toys</t>
        </is>
      </c>
      <c r="C1103" s="54" t="inlineStr">
        <is>
          <t>https://www.facebook.com/profile.php?id=61593747899127</t>
        </is>
      </c>
      <c r="D1103" s="6" t="inlineStr">
        <is>
          <t>Cần quét Bio Fanpage</t>
        </is>
      </c>
      <c r="E1103" s="53" t="inlineStr">
        <is>
          <t>12/10/2026 17:00:56</t>
        </is>
      </c>
      <c r="F1103" s="53" t="inlineStr">
        <is>
          <t>14 giờ trước</t>
        </is>
      </c>
      <c r="G1103" s="55" t="n">
        <v>0.58</v>
      </c>
      <c r="H1103" s="56" t="n">
        <v>32</v>
      </c>
      <c r="I1103" s="6" t="inlineStr">
        <is>
          <t>Pet Owner / Cộng đồng nuôi cún (10đ)</t>
        </is>
      </c>
      <c r="J1103" s="56" t="n">
        <v>10</v>
      </c>
      <c r="K1103" s="6" t="inlineStr">
        <is>
          <t>Chưa rõ giống (Cần quét Bio)</t>
        </is>
      </c>
      <c r="L1103" s="56" t="n">
        <v>0</v>
      </c>
      <c r="M1103" s="56" t="n">
        <v>0</v>
      </c>
      <c r="N1103" s="6" t="inlineStr">
        <is>
          <t>Amazon link not found</t>
        </is>
      </c>
      <c r="O1103" s="56">
        <f>IF(N1103="Selling pet toys + Artificial grass/Pet toilets (TARGET)",15,IF(N1103="Selling artificial grass/pet toilets (TARGET)",10,IF(N1103="Selling pet toys",7,IF(N1103="There's an Amazon link, but no target sales.",3,0))))</f>
        <v/>
      </c>
      <c r="P1103" s="65">
        <f>H1103+J1103+L1103+M1103+O1103</f>
        <v/>
      </c>
      <c r="Q1103" s="69">
        <f>IF(OR(H1103=0,P1103&lt;30),"Tier D (Đóng băng)",IF(P1103&gt;=85,"Tier S (Kim Cương: 85-100đ)",IF(P1103&gt;=70,"Tier A (Vàng: 70-84đ)",IF(P1103&gt;=61,"Tier B+ / Cấp A (Hot Lead: 61-69đ)",IF(P1103&gt;=50,"Tier B (Bạc: 50-60đ)","Tier C (Đồng: 30-49đ)")))))</f>
        <v/>
      </c>
      <c r="R1103" s="6" t="inlineStr">
        <is>
          <t>Khay vệ sinh chung cư (Indoor Potty) + Thảm cỏ ban công (Grass Patch) + Đồ chơi</t>
        </is>
      </c>
      <c r="S1103" s="6" t="inlineStr">
        <is>
          <t>Cấp C Chi phí thấp: Nhắn tin trực tiếp qua Fanpage Facebook/Instagram + Nuôi dưỡng nội dung</t>
        </is>
      </c>
    </row>
    <row r="1104">
      <c r="A1104" s="59" t="n">
        <v>2077</v>
      </c>
      <c r="B1104" s="15" t="inlineStr">
        <is>
          <t>LUX CANIS Pet Transport</t>
        </is>
      </c>
      <c r="C1104" s="60" t="inlineStr">
        <is>
          <t>https://www.facebook.com/LuxCanisPetTransport</t>
        </is>
      </c>
      <c r="D1104" s="9" t="inlineStr">
        <is>
          <t>Cần quét Bio Fanpage</t>
        </is>
      </c>
      <c r="E1104" s="59" t="inlineStr">
        <is>
          <t>12/10/2026 16:46:08</t>
        </is>
      </c>
      <c r="F1104" s="59" t="inlineStr">
        <is>
          <t>11 giờ trước</t>
        </is>
      </c>
      <c r="G1104" s="61" t="n">
        <v>0.46</v>
      </c>
      <c r="H1104" s="62" t="n">
        <v>32</v>
      </c>
      <c r="I1104" s="9" t="inlineStr">
        <is>
          <t>Pet Owner / Cộng đồng nuôi cún (10đ)</t>
        </is>
      </c>
      <c r="J1104" s="62" t="n">
        <v>10</v>
      </c>
      <c r="K1104" s="9" t="inlineStr">
        <is>
          <t>Chưa rõ giống (Cần quét Bio)</t>
        </is>
      </c>
      <c r="L1104" s="62" t="n">
        <v>0</v>
      </c>
      <c r="M1104" s="62" t="n">
        <v>0</v>
      </c>
      <c r="N1104" s="9" t="inlineStr">
        <is>
          <t>Amazon link not found</t>
        </is>
      </c>
      <c r="O1104" s="62">
        <f>IF(N1104="Selling pet toys + Artificial grass/Pet toilets (TARGET)",15,IF(N1104="Selling artificial grass/pet toilets (TARGET)",10,IF(N1104="Selling pet toys",7,IF(N1104="There's an Amazon link, but no target sales.",3,0))))</f>
        <v/>
      </c>
      <c r="P1104" s="67">
        <f>H1104+J1104+L1104+M1104+O1104</f>
        <v/>
      </c>
      <c r="Q1104" s="69">
        <f>IF(OR(H1104=0,P1104&lt;30),"Tier D (Đóng băng)",IF(P1104&gt;=85,"Tier S (Kim Cương: 85-100đ)",IF(P1104&gt;=70,"Tier A (Vàng: 70-84đ)",IF(P1104&gt;=61,"Tier B+ / Cấp A (Hot Lead: 61-69đ)",IF(P1104&gt;=50,"Tier B (Bạc: 50-60đ)","Tier C (Đồng: 30-49đ)")))))</f>
        <v/>
      </c>
      <c r="R1104" s="9" t="inlineStr">
        <is>
          <t>Khay vệ sinh chung cư (Indoor Potty) + Thảm cỏ ban công (Grass Patch) + Đồ chơi</t>
        </is>
      </c>
      <c r="S1104" s="9" t="inlineStr">
        <is>
          <t>Cấp C Chi phí thấp: Nhắn tin trực tiếp qua Fanpage Facebook/Instagram + Nuôi dưỡng nội dung</t>
        </is>
      </c>
    </row>
    <row r="1105">
      <c r="A1105" s="53" t="n">
        <v>313</v>
      </c>
      <c r="B1105" s="12" t="inlineStr">
        <is>
          <t>7Dogs</t>
        </is>
      </c>
      <c r="C1105" s="54" t="inlineStr">
        <is>
          <t>https://www.facebook.com/Ranjodhsingh1234</t>
        </is>
      </c>
      <c r="D1105" s="6" t="inlineStr">
        <is>
          <t>Cần quét Bio Fanpage</t>
        </is>
      </c>
      <c r="E1105" s="53" t="inlineStr">
        <is>
          <t>12/10/2026 16:41:57</t>
        </is>
      </c>
      <c r="F1105" s="53" t="inlineStr">
        <is>
          <t>8 giờ trước</t>
        </is>
      </c>
      <c r="G1105" s="55" t="n">
        <v>0.33</v>
      </c>
      <c r="H1105" s="56" t="n">
        <v>32</v>
      </c>
      <c r="I1105" s="6" t="inlineStr">
        <is>
          <t>Pet Owner / Cộng đồng nuôi cún (10đ)</t>
        </is>
      </c>
      <c r="J1105" s="56" t="n">
        <v>10</v>
      </c>
      <c r="K1105" s="6" t="inlineStr">
        <is>
          <t>Chưa rõ giống (Cần quét Bio)</t>
        </is>
      </c>
      <c r="L1105" s="56" t="n">
        <v>0</v>
      </c>
      <c r="M1105" s="56" t="n">
        <v>0</v>
      </c>
      <c r="N1105" s="6" t="inlineStr">
        <is>
          <t>Amazon link not found</t>
        </is>
      </c>
      <c r="O1105" s="56">
        <f>IF(N1105="Selling pet toys + Artificial grass/Pet toilets (TARGET)",15,IF(N1105="Selling artificial grass/pet toilets (TARGET)",10,IF(N1105="Selling pet toys",7,IF(N1105="There's an Amazon link, but no target sales.",3,0))))</f>
        <v/>
      </c>
      <c r="P1105" s="65">
        <f>H1105+J1105+L1105+M1105+O1105</f>
        <v/>
      </c>
      <c r="Q1105" s="69">
        <f>IF(OR(H1105=0,P1105&lt;30),"Tier D (Đóng băng)",IF(P1105&gt;=85,"Tier S (Kim Cương: 85-100đ)",IF(P1105&gt;=70,"Tier A (Vàng: 70-84đ)",IF(P1105&gt;=61,"Tier B+ / Cấp A (Hot Lead: 61-69đ)",IF(P1105&gt;=50,"Tier B (Bạc: 50-60đ)","Tier C (Đồng: 30-49đ)")))))</f>
        <v/>
      </c>
      <c r="R1105" s="6" t="inlineStr">
        <is>
          <t>Khay vệ sinh chung cư (Indoor Potty) + Thảm cỏ ban công (Grass Patch) + Đồ chơi</t>
        </is>
      </c>
      <c r="S1105" s="6" t="inlineStr">
        <is>
          <t>Cấp C Chi phí thấp: Nhắn tin trực tiếp qua Fanpage Facebook/Instagram + Nuôi dưỡng nội dung</t>
        </is>
      </c>
    </row>
    <row r="1106">
      <c r="A1106" s="59" t="n">
        <v>2371</v>
      </c>
      <c r="B1106" s="15" t="inlineStr">
        <is>
          <t>Oreo the Dog Biscuit</t>
        </is>
      </c>
      <c r="C1106" s="60" t="inlineStr">
        <is>
          <t>https://www.facebook.com/profile.php?id=61561725712325</t>
        </is>
      </c>
      <c r="D1106" s="9" t="inlineStr">
        <is>
          <t>Cần quét Bio Fanpage</t>
        </is>
      </c>
      <c r="E1106" s="59" t="inlineStr">
        <is>
          <t>12/10/2026 15:56:44</t>
        </is>
      </c>
      <c r="F1106" s="59" t="inlineStr">
        <is>
          <t>13 giờ trước</t>
        </is>
      </c>
      <c r="G1106" s="61" t="n">
        <v>0.54</v>
      </c>
      <c r="H1106" s="62" t="n">
        <v>32</v>
      </c>
      <c r="I1106" s="9" t="inlineStr">
        <is>
          <t>Pet Owner / Kênh cá nhân thú cưng (10đ)</t>
        </is>
      </c>
      <c r="J1106" s="62" t="n">
        <v>10</v>
      </c>
      <c r="K1106" s="9" t="inlineStr">
        <is>
          <t>Chưa rõ giống (Cần quét Bio)</t>
        </is>
      </c>
      <c r="L1106" s="62" t="n">
        <v>0</v>
      </c>
      <c r="M1106" s="62" t="n">
        <v>0</v>
      </c>
      <c r="N1106" s="9" t="inlineStr">
        <is>
          <t>Amazon link not found</t>
        </is>
      </c>
      <c r="O1106" s="62">
        <f>IF(N1106="Selling pet toys + Artificial grass/Pet toilets (TARGET)",15,IF(N1106="Selling artificial grass/pet toilets (TARGET)",10,IF(N1106="Selling pet toys",7,IF(N1106="There's an Amazon link, but no target sales.",3,0))))</f>
        <v/>
      </c>
      <c r="P1106" s="67">
        <f>H1106+J1106+L1106+M1106+O1106</f>
        <v/>
      </c>
      <c r="Q1106" s="69">
        <f>IF(OR(H1106=0,P1106&lt;30),"Tier D (Đóng băng)",IF(P1106&gt;=85,"Tier S (Kim Cương: 85-100đ)",IF(P1106&gt;=70,"Tier A (Vàng: 70-84đ)",IF(P1106&gt;=61,"Tier B+ / Cấp A (Hot Lead: 61-69đ)",IF(P1106&gt;=50,"Tier B (Bạc: 50-60đ)","Tier C (Đồng: 30-49đ)")))))</f>
        <v/>
      </c>
      <c r="R1106" s="9" t="inlineStr">
        <is>
          <t>Khay vệ sinh trong nhà (Indoor Dog Potty) + Đồ chơi thú cưng lẻ</t>
        </is>
      </c>
      <c r="S1106" s="9" t="inlineStr">
        <is>
          <t>Cấp C Chi phí thấp: Nhắn tin trực tiếp qua Fanpage Facebook/Instagram + Nuôi dưỡng nội dung</t>
        </is>
      </c>
    </row>
    <row r="1107">
      <c r="A1107" s="53" t="n">
        <v>3371</v>
      </c>
      <c r="B1107" s="12" t="inlineStr">
        <is>
          <t>Wash Dog Paris 75015</t>
        </is>
      </c>
      <c r="C1107" s="54" t="inlineStr">
        <is>
          <t>https://www.facebook.com/washdogparis</t>
        </is>
      </c>
      <c r="D1107" s="6" t="inlineStr">
        <is>
          <t>Cần quét Bio Fanpage</t>
        </is>
      </c>
      <c r="E1107" s="53" t="inlineStr">
        <is>
          <t>12/10/2026 15:00:33</t>
        </is>
      </c>
      <c r="F1107" s="53" t="inlineStr">
        <is>
          <t>15 giờ trước</t>
        </is>
      </c>
      <c r="G1107" s="55" t="n">
        <v>0.62</v>
      </c>
      <c r="H1107" s="56" t="n">
        <v>32</v>
      </c>
      <c r="I1107" s="6" t="inlineStr">
        <is>
          <t>Pet Owner / Cộng đồng nuôi cún (10đ)</t>
        </is>
      </c>
      <c r="J1107" s="56" t="n">
        <v>10</v>
      </c>
      <c r="K1107" s="6" t="inlineStr">
        <is>
          <t>Chưa rõ giống (Cần quét Bio)</t>
        </is>
      </c>
      <c r="L1107" s="56" t="n">
        <v>0</v>
      </c>
      <c r="M1107" s="56" t="n">
        <v>0</v>
      </c>
      <c r="N1107" s="6" t="inlineStr">
        <is>
          <t>Amazon link not found</t>
        </is>
      </c>
      <c r="O1107" s="56">
        <f>IF(N1107="Selling pet toys + Artificial grass/Pet toilets (TARGET)",15,IF(N1107="Selling artificial grass/pet toilets (TARGET)",10,IF(N1107="Selling pet toys",7,IF(N1107="There's an Amazon link, but no target sales.",3,0))))</f>
        <v/>
      </c>
      <c r="P1107" s="65">
        <f>H1107+J1107+L1107+M1107+O1107</f>
        <v/>
      </c>
      <c r="Q1107" s="69">
        <f>IF(OR(H1107=0,P1107&lt;30),"Tier D (Đóng băng)",IF(P1107&gt;=85,"Tier S (Kim Cương: 85-100đ)",IF(P1107&gt;=70,"Tier A (Vàng: 70-84đ)",IF(P1107&gt;=61,"Tier B+ / Cấp A (Hot Lead: 61-69đ)",IF(P1107&gt;=50,"Tier B (Bạc: 50-60đ)","Tier C (Đồng: 30-49đ)")))))</f>
        <v/>
      </c>
      <c r="R1107" s="6" t="inlineStr">
        <is>
          <t>Khay vệ sinh chung cư (Indoor Potty) + Thảm cỏ ban công (Grass Patch) + Đồ chơi</t>
        </is>
      </c>
      <c r="S1107" s="6" t="inlineStr">
        <is>
          <t>Cấp C Chi phí thấp: Nhắn tin trực tiếp qua Fanpage Facebook/Instagram + Nuôi dưỡng nội dung</t>
        </is>
      </c>
    </row>
    <row r="1108">
      <c r="A1108" s="59" t="n">
        <v>1199</v>
      </c>
      <c r="B1108" s="15" t="inlineStr">
        <is>
          <t>Dogtainers Pet Transport</t>
        </is>
      </c>
      <c r="C1108" s="60" t="inlineStr">
        <is>
          <t>https://www.facebook.com/DogtainersPetTransport</t>
        </is>
      </c>
      <c r="D1108" s="9" t="inlineStr">
        <is>
          <t>Cần quét Bio Fanpage</t>
        </is>
      </c>
      <c r="E1108" s="59" t="inlineStr">
        <is>
          <t>12/10/2026 15:00:13</t>
        </is>
      </c>
      <c r="F1108" s="59" t="inlineStr">
        <is>
          <t>12 giờ trước</t>
        </is>
      </c>
      <c r="G1108" s="61" t="n">
        <v>0.5</v>
      </c>
      <c r="H1108" s="62" t="n">
        <v>32</v>
      </c>
      <c r="I1108" s="9" t="inlineStr">
        <is>
          <t>Pet Owner / Cộng đồng nuôi cún (10đ)</t>
        </is>
      </c>
      <c r="J1108" s="62" t="n">
        <v>10</v>
      </c>
      <c r="K1108" s="9" t="inlineStr">
        <is>
          <t>Chưa rõ giống (Cần quét Bio)</t>
        </is>
      </c>
      <c r="L1108" s="62" t="n">
        <v>0</v>
      </c>
      <c r="M1108" s="62" t="n">
        <v>0</v>
      </c>
      <c r="N1108" s="9" t="inlineStr">
        <is>
          <t>Amazon link not found</t>
        </is>
      </c>
      <c r="O1108" s="62">
        <f>IF(N1108="Selling pet toys + Artificial grass/Pet toilets (TARGET)",15,IF(N1108="Selling artificial grass/pet toilets (TARGET)",10,IF(N1108="Selling pet toys",7,IF(N1108="There's an Amazon link, but no target sales.",3,0))))</f>
        <v/>
      </c>
      <c r="P1108" s="67">
        <f>H1108+J1108+L1108+M1108+O1108</f>
        <v/>
      </c>
      <c r="Q1108" s="69">
        <f>IF(OR(H1108=0,P1108&lt;30),"Tier D (Đóng băng)",IF(P1108&gt;=85,"Tier S (Kim Cương: 85-100đ)",IF(P1108&gt;=70,"Tier A (Vàng: 70-84đ)",IF(P1108&gt;=61,"Tier B+ / Cấp A (Hot Lead: 61-69đ)",IF(P1108&gt;=50,"Tier B (Bạc: 50-60đ)","Tier C (Đồng: 30-49đ)")))))</f>
        <v/>
      </c>
      <c r="R1108" s="9" t="inlineStr">
        <is>
          <t>Khay vệ sinh chung cư (Indoor Potty) + Thảm cỏ ban công (Grass Patch) + Đồ chơi</t>
        </is>
      </c>
      <c r="S1108" s="9" t="inlineStr">
        <is>
          <t>Cấp C Chi phí thấp: Nhắn tin trực tiếp qua Fanpage Facebook/Instagram + Nuôi dưỡng nội dung</t>
        </is>
      </c>
    </row>
    <row r="1109">
      <c r="A1109" s="53" t="n">
        <v>2081</v>
      </c>
      <c r="B1109" s="12" t="inlineStr">
        <is>
          <t>Lyka Pet Food</t>
        </is>
      </c>
      <c r="C1109" s="54" t="inlineStr">
        <is>
          <t>https://www.facebook.com/lykapetfood</t>
        </is>
      </c>
      <c r="D1109" s="6" t="inlineStr">
        <is>
          <t>Cần quét Bio Fanpage</t>
        </is>
      </c>
      <c r="E1109" s="53" t="inlineStr">
        <is>
          <t>12/10/2026 14:51:20</t>
        </is>
      </c>
      <c r="F1109" s="53" t="inlineStr">
        <is>
          <t>13 giờ trước</t>
        </is>
      </c>
      <c r="G1109" s="55" t="n">
        <v>0.54</v>
      </c>
      <c r="H1109" s="56" t="n">
        <v>32</v>
      </c>
      <c r="I1109" s="6" t="inlineStr">
        <is>
          <t>Pet Owner / Cộng đồng nuôi cún (10đ)</t>
        </is>
      </c>
      <c r="J1109" s="56" t="n">
        <v>10</v>
      </c>
      <c r="K1109" s="6" t="inlineStr">
        <is>
          <t>Chưa rõ giống (Cần quét Bio)</t>
        </is>
      </c>
      <c r="L1109" s="56" t="n">
        <v>0</v>
      </c>
      <c r="M1109" s="56" t="n">
        <v>0</v>
      </c>
      <c r="N1109" s="6" t="inlineStr">
        <is>
          <t>Amazon link not found</t>
        </is>
      </c>
      <c r="O1109" s="56">
        <f>IF(N1109="Selling pet toys + Artificial grass/Pet toilets (TARGET)",15,IF(N1109="Selling artificial grass/pet toilets (TARGET)",10,IF(N1109="Selling pet toys",7,IF(N1109="There's an Amazon link, but no target sales.",3,0))))</f>
        <v/>
      </c>
      <c r="P1109" s="65">
        <f>H1109+J1109+L1109+M1109+O1109</f>
        <v/>
      </c>
      <c r="Q1109" s="69">
        <f>IF(OR(H1109=0,P1109&lt;30),"Tier D (Đóng băng)",IF(P1109&gt;=85,"Tier S (Kim Cương: 85-100đ)",IF(P1109&gt;=70,"Tier A (Vàng: 70-84đ)",IF(P1109&gt;=61,"Tier B+ / Cấp A (Hot Lead: 61-69đ)",IF(P1109&gt;=50,"Tier B (Bạc: 50-60đ)","Tier C (Đồng: 30-49đ)")))))</f>
        <v/>
      </c>
      <c r="R1109" s="6" t="inlineStr">
        <is>
          <t>Khay vệ sinh chung cư (Indoor Potty) + Thảm cỏ ban công (Grass Patch) + Đồ chơi</t>
        </is>
      </c>
      <c r="S1109" s="6" t="inlineStr">
        <is>
          <t>Cấp C Chi phí thấp: Nhắn tin trực tiếp qua Fanpage Facebook/Instagram + Nuôi dưỡng nội dung</t>
        </is>
      </c>
    </row>
    <row r="1110">
      <c r="A1110" s="59" t="n">
        <v>1096</v>
      </c>
      <c r="B1110" s="15" t="inlineStr">
        <is>
          <t>Dog play</t>
        </is>
      </c>
      <c r="C1110" s="60" t="inlineStr">
        <is>
          <t>https://www.facebook.com/profile.php?id=61583951337941</t>
        </is>
      </c>
      <c r="D1110" s="9" t="inlineStr">
        <is>
          <t>Cần quét Bio Fanpage</t>
        </is>
      </c>
      <c r="E1110" s="59" t="inlineStr">
        <is>
          <t>12/10/2026 14:38:10</t>
        </is>
      </c>
      <c r="F1110" s="59" t="inlineStr">
        <is>
          <t>12 giờ trước</t>
        </is>
      </c>
      <c r="G1110" s="61" t="n">
        <v>0.5</v>
      </c>
      <c r="H1110" s="62" t="n">
        <v>32</v>
      </c>
      <c r="I1110" s="9" t="inlineStr">
        <is>
          <t>Pet Owner / Cộng đồng nuôi cún (10đ)</t>
        </is>
      </c>
      <c r="J1110" s="62" t="n">
        <v>10</v>
      </c>
      <c r="K1110" s="9" t="inlineStr">
        <is>
          <t>Chưa rõ giống (Cần quét Bio)</t>
        </is>
      </c>
      <c r="L1110" s="62" t="n">
        <v>0</v>
      </c>
      <c r="M1110" s="62" t="n">
        <v>0</v>
      </c>
      <c r="N1110" s="9" t="inlineStr">
        <is>
          <t>Amazon link not found</t>
        </is>
      </c>
      <c r="O1110" s="62">
        <f>IF(N1110="Selling pet toys + Artificial grass/Pet toilets (TARGET)",15,IF(N1110="Selling artificial grass/pet toilets (TARGET)",10,IF(N1110="Selling pet toys",7,IF(N1110="There's an Amazon link, but no target sales.",3,0))))</f>
        <v/>
      </c>
      <c r="P1110" s="67">
        <f>H1110+J1110+L1110+M1110+O1110</f>
        <v/>
      </c>
      <c r="Q1110" s="69">
        <f>IF(OR(H1110=0,P1110&lt;30),"Tier D (Đóng băng)",IF(P1110&gt;=85,"Tier S (Kim Cương: 85-100đ)",IF(P1110&gt;=70,"Tier A (Vàng: 70-84đ)",IF(P1110&gt;=61,"Tier B+ / Cấp A (Hot Lead: 61-69đ)",IF(P1110&gt;=50,"Tier B (Bạc: 50-60đ)","Tier C (Đồng: 30-49đ)")))))</f>
        <v/>
      </c>
      <c r="R1110" s="9" t="inlineStr">
        <is>
          <t>Khay vệ sinh chung cư (Indoor Potty) + Thảm cỏ ban công (Grass Patch) + Đồ chơi</t>
        </is>
      </c>
      <c r="S1110" s="9" t="inlineStr">
        <is>
          <t>Cấp C Chi phí thấp: Nhắn tin trực tiếp qua Fanpage Facebook/Instagram + Nuôi dưỡng nội dung</t>
        </is>
      </c>
    </row>
    <row r="1111">
      <c r="A1111" s="53" t="n">
        <v>1343</v>
      </c>
      <c r="B1111" s="12" t="inlineStr">
        <is>
          <t>Farmer Pete's</t>
        </is>
      </c>
      <c r="C1111" s="54" t="inlineStr">
        <is>
          <t>https://www.facebook.com/farmerpetes</t>
        </is>
      </c>
      <c r="D1111" s="6" t="inlineStr">
        <is>
          <t>Cần quét Bio Fanpage</t>
        </is>
      </c>
      <c r="E1111" s="53" t="inlineStr">
        <is>
          <t>12/10/2026 14:35:42</t>
        </is>
      </c>
      <c r="F1111" s="53" t="inlineStr">
        <is>
          <t>12 giờ trước</t>
        </is>
      </c>
      <c r="G1111" s="55" t="n">
        <v>0.5</v>
      </c>
      <c r="H1111" s="56" t="n">
        <v>32</v>
      </c>
      <c r="I1111" s="6" t="inlineStr">
        <is>
          <t>Pet Owner / Cộng đồng nuôi cún (10đ)</t>
        </is>
      </c>
      <c r="J1111" s="56" t="n">
        <v>10</v>
      </c>
      <c r="K1111" s="6" t="inlineStr">
        <is>
          <t>Chưa rõ giống (Cần quét Bio)</t>
        </is>
      </c>
      <c r="L1111" s="56" t="n">
        <v>0</v>
      </c>
      <c r="M1111" s="56" t="n">
        <v>0</v>
      </c>
      <c r="N1111" s="6" t="inlineStr">
        <is>
          <t>Amazon link not found</t>
        </is>
      </c>
      <c r="O1111" s="56">
        <f>IF(N1111="Selling pet toys + Artificial grass/Pet toilets (TARGET)",15,IF(N1111="Selling artificial grass/pet toilets (TARGET)",10,IF(N1111="Selling pet toys",7,IF(N1111="There's an Amazon link, but no target sales.",3,0))))</f>
        <v/>
      </c>
      <c r="P1111" s="65">
        <f>H1111+J1111+L1111+M1111+O1111</f>
        <v/>
      </c>
      <c r="Q1111" s="69">
        <f>IF(OR(H1111=0,P1111&lt;30),"Tier D (Đóng băng)",IF(P1111&gt;=85,"Tier S (Kim Cương: 85-100đ)",IF(P1111&gt;=70,"Tier A (Vàng: 70-84đ)",IF(P1111&gt;=61,"Tier B+ / Cấp A (Hot Lead: 61-69đ)",IF(P1111&gt;=50,"Tier B (Bạc: 50-60đ)","Tier C (Đồng: 30-49đ)")))))</f>
        <v/>
      </c>
      <c r="R1111" s="6" t="inlineStr">
        <is>
          <t>Khay vệ sinh chung cư (Indoor Potty) + Thảm cỏ ban công (Grass Patch) + Đồ chơi</t>
        </is>
      </c>
      <c r="S1111" s="6" t="inlineStr">
        <is>
          <t>Cấp C Chi phí thấp: Nhắn tin trực tiếp qua Fanpage Facebook/Instagram + Nuôi dưỡng nội dung</t>
        </is>
      </c>
    </row>
    <row r="1112">
      <c r="A1112" s="59" t="n">
        <v>2241</v>
      </c>
      <c r="B1112" s="15" t="inlineStr">
        <is>
          <t>My Dog is a Tw.t</t>
        </is>
      </c>
      <c r="C1112" s="60" t="inlineStr">
        <is>
          <t>https://www.facebook.com/mydogisa</t>
        </is>
      </c>
      <c r="D1112" s="9" t="inlineStr">
        <is>
          <t>Cần quét Bio Fanpage</t>
        </is>
      </c>
      <c r="E1112" s="59" t="inlineStr">
        <is>
          <t>12/10/2026 14:23:01</t>
        </is>
      </c>
      <c r="F1112" s="59" t="inlineStr">
        <is>
          <t>14 giờ trước</t>
        </is>
      </c>
      <c r="G1112" s="61" t="n">
        <v>0.58</v>
      </c>
      <c r="H1112" s="62" t="n">
        <v>32</v>
      </c>
      <c r="I1112" s="9" t="inlineStr">
        <is>
          <t>Pet Owner / Cộng đồng nuôi cún (10đ)</t>
        </is>
      </c>
      <c r="J1112" s="62" t="n">
        <v>10</v>
      </c>
      <c r="K1112" s="9" t="inlineStr">
        <is>
          <t>Chưa rõ giống (Cần quét Bio)</t>
        </is>
      </c>
      <c r="L1112" s="62" t="n">
        <v>0</v>
      </c>
      <c r="M1112" s="62" t="n">
        <v>0</v>
      </c>
      <c r="N1112" s="9" t="inlineStr">
        <is>
          <t>Amazon link not found</t>
        </is>
      </c>
      <c r="O1112" s="62">
        <f>IF(N1112="Selling pet toys + Artificial grass/Pet toilets (TARGET)",15,IF(N1112="Selling artificial grass/pet toilets (TARGET)",10,IF(N1112="Selling pet toys",7,IF(N1112="There's an Amazon link, but no target sales.",3,0))))</f>
        <v/>
      </c>
      <c r="P1112" s="67">
        <f>H1112+J1112+L1112+M1112+O1112</f>
        <v/>
      </c>
      <c r="Q1112" s="69">
        <f>IF(OR(H1112=0,P1112&lt;30),"Tier D (Đóng băng)",IF(P1112&gt;=85,"Tier S (Kim Cương: 85-100đ)",IF(P1112&gt;=70,"Tier A (Vàng: 70-84đ)",IF(P1112&gt;=61,"Tier B+ / Cấp A (Hot Lead: 61-69đ)",IF(P1112&gt;=50,"Tier B (Bạc: 50-60đ)","Tier C (Đồng: 30-49đ)")))))</f>
        <v/>
      </c>
      <c r="R1112" s="9" t="inlineStr">
        <is>
          <t>Khay vệ sinh chung cư (Indoor Potty) + Thảm cỏ ban công (Grass Patch) + Đồ chơi</t>
        </is>
      </c>
      <c r="S1112" s="9" t="inlineStr">
        <is>
          <t>Cấp C Chi phí thấp: Nhắn tin trực tiếp qua Fanpage Facebook/Instagram + Nuôi dưỡng nội dung</t>
        </is>
      </c>
    </row>
    <row r="1113">
      <c r="A1113" s="53" t="n">
        <v>1782</v>
      </c>
      <c r="B1113" s="12" t="inlineStr">
        <is>
          <t>Journey Dog Training</t>
        </is>
      </c>
      <c r="C1113" s="54" t="inlineStr">
        <is>
          <t>https://www.facebook.com/journeydogtrainingnz</t>
        </is>
      </c>
      <c r="D1113" s="6" t="inlineStr">
        <is>
          <t>Cần quét Bio Fanpage</t>
        </is>
      </c>
      <c r="E1113" s="53" t="inlineStr">
        <is>
          <t>12/10/2026 14:21:20</t>
        </is>
      </c>
      <c r="F1113" s="53" t="inlineStr">
        <is>
          <t>13 giờ trước</t>
        </is>
      </c>
      <c r="G1113" s="55" t="n">
        <v>0.54</v>
      </c>
      <c r="H1113" s="56" t="n">
        <v>32</v>
      </c>
      <c r="I1113" s="6" t="inlineStr">
        <is>
          <t>Pet Owner / Kênh cá nhân thú cưng (10đ)</t>
        </is>
      </c>
      <c r="J1113" s="56" t="n">
        <v>10</v>
      </c>
      <c r="K1113" s="6" t="inlineStr">
        <is>
          <t>Chưa rõ giống (Cần quét Bio)</t>
        </is>
      </c>
      <c r="L1113" s="56" t="n">
        <v>0</v>
      </c>
      <c r="M1113" s="56" t="n">
        <v>0</v>
      </c>
      <c r="N1113" s="6" t="inlineStr">
        <is>
          <t>Amazon link not found</t>
        </is>
      </c>
      <c r="O1113" s="56">
        <f>IF(N1113="Selling pet toys + Artificial grass/Pet toilets (TARGET)",15,IF(N1113="Selling artificial grass/pet toilets (TARGET)",10,IF(N1113="Selling pet toys",7,IF(N1113="There's an Amazon link, but no target sales.",3,0))))</f>
        <v/>
      </c>
      <c r="P1113" s="65">
        <f>H1113+J1113+L1113+M1113+O1113</f>
        <v/>
      </c>
      <c r="Q1113" s="69">
        <f>IF(OR(H1113=0,P1113&lt;30),"Tier D (Đóng băng)",IF(P1113&gt;=85,"Tier S (Kim Cương: 85-100đ)",IF(P1113&gt;=70,"Tier A (Vàng: 70-84đ)",IF(P1113&gt;=61,"Tier B+ / Cấp A (Hot Lead: 61-69đ)",IF(P1113&gt;=50,"Tier B (Bạc: 50-60đ)","Tier C (Đồng: 30-49đ)")))))</f>
        <v/>
      </c>
      <c r="R1113" s="6" t="inlineStr">
        <is>
          <t>Khay vệ sinh trong nhà (Indoor Dog Potty) + Đồ chơi thú cưng lẻ</t>
        </is>
      </c>
      <c r="S1113" s="6" t="inlineStr">
        <is>
          <t>Cấp C Chi phí thấp: Nhắn tin trực tiếp qua Fanpage Facebook/Instagram + Nuôi dưỡng nội dung</t>
        </is>
      </c>
    </row>
    <row r="1114">
      <c r="A1114" s="59" t="n">
        <v>3139</v>
      </c>
      <c r="B1114" s="15" t="inlineStr">
        <is>
          <t>The Long Dog Squad</t>
        </is>
      </c>
      <c r="C1114" s="60" t="inlineStr">
        <is>
          <t>https://www.facebook.com/longdogsquad</t>
        </is>
      </c>
      <c r="D1114" s="9" t="inlineStr">
        <is>
          <t>Cần quét Bio Fanpage</t>
        </is>
      </c>
      <c r="E1114" s="59" t="inlineStr">
        <is>
          <t>12/10/2026 14:05:14</t>
        </is>
      </c>
      <c r="F1114" s="59" t="inlineStr">
        <is>
          <t>16 giờ trước</t>
        </is>
      </c>
      <c r="G1114" s="61" t="n">
        <v>0.67</v>
      </c>
      <c r="H1114" s="62" t="n">
        <v>32</v>
      </c>
      <c r="I1114" s="9" t="inlineStr">
        <is>
          <t>Pet Owner / Cộng đồng nuôi cún (10đ)</t>
        </is>
      </c>
      <c r="J1114" s="62" t="n">
        <v>10</v>
      </c>
      <c r="K1114" s="9" t="inlineStr">
        <is>
          <t>Chưa rõ giống (Cần quét Bio)</t>
        </is>
      </c>
      <c r="L1114" s="62" t="n">
        <v>0</v>
      </c>
      <c r="M1114" s="62" t="n">
        <v>0</v>
      </c>
      <c r="N1114" s="9" t="inlineStr">
        <is>
          <t>Amazon link not found</t>
        </is>
      </c>
      <c r="O1114" s="62">
        <f>IF(N1114="Selling pet toys + Artificial grass/Pet toilets (TARGET)",15,IF(N1114="Selling artificial grass/pet toilets (TARGET)",10,IF(N1114="Selling pet toys",7,IF(N1114="There's an Amazon link, but no target sales.",3,0))))</f>
        <v/>
      </c>
      <c r="P1114" s="67">
        <f>H1114+J1114+L1114+M1114+O1114</f>
        <v/>
      </c>
      <c r="Q1114" s="69">
        <f>IF(OR(H1114=0,P1114&lt;30),"Tier D (Đóng băng)",IF(P1114&gt;=85,"Tier S (Kim Cương: 85-100đ)",IF(P1114&gt;=70,"Tier A (Vàng: 70-84đ)",IF(P1114&gt;=61,"Tier B+ / Cấp A (Hot Lead: 61-69đ)",IF(P1114&gt;=50,"Tier B (Bạc: 50-60đ)","Tier C (Đồng: 30-49đ)")))))</f>
        <v/>
      </c>
      <c r="R1114" s="9" t="inlineStr">
        <is>
          <t>Khay vệ sinh chung cư (Indoor Potty) + Thảm cỏ ban công (Grass Patch) + Đồ chơi</t>
        </is>
      </c>
      <c r="S1114" s="9" t="inlineStr">
        <is>
          <t>Cấp C Chi phí thấp: Nhắn tin trực tiếp qua Fanpage Facebook/Instagram + Nuôi dưỡng nội dung</t>
        </is>
      </c>
    </row>
    <row r="1115">
      <c r="A1115" s="53" t="n">
        <v>3359</v>
      </c>
      <c r="B1115" s="12" t="inlineStr">
        <is>
          <t>Wagging Dog Treats</t>
        </is>
      </c>
      <c r="C1115" s="54" t="inlineStr">
        <is>
          <t>https://www.facebook.com/waggingdogtreats</t>
        </is>
      </c>
      <c r="D1115" s="6" t="inlineStr">
        <is>
          <t>Cần quét Bio Fanpage</t>
        </is>
      </c>
      <c r="E1115" s="53" t="inlineStr">
        <is>
          <t>12/10/2026 14:05:14</t>
        </is>
      </c>
      <c r="F1115" s="53" t="inlineStr">
        <is>
          <t>16 giờ trước</t>
        </is>
      </c>
      <c r="G1115" s="55" t="n">
        <v>0.67</v>
      </c>
      <c r="H1115" s="56" t="n">
        <v>32</v>
      </c>
      <c r="I1115" s="6" t="inlineStr">
        <is>
          <t>Pet Owner / Cộng đồng nuôi cún (10đ)</t>
        </is>
      </c>
      <c r="J1115" s="56" t="n">
        <v>10</v>
      </c>
      <c r="K1115" s="6" t="inlineStr">
        <is>
          <t>Chưa rõ giống (Cần quét Bio)</t>
        </is>
      </c>
      <c r="L1115" s="56" t="n">
        <v>0</v>
      </c>
      <c r="M1115" s="56" t="n">
        <v>0</v>
      </c>
      <c r="N1115" s="6" t="inlineStr">
        <is>
          <t>Amazon link not found</t>
        </is>
      </c>
      <c r="O1115" s="56">
        <f>IF(N1115="Selling pet toys + Artificial grass/Pet toilets (TARGET)",15,IF(N1115="Selling artificial grass/pet toilets (TARGET)",10,IF(N1115="Selling pet toys",7,IF(N1115="There's an Amazon link, but no target sales.",3,0))))</f>
        <v/>
      </c>
      <c r="P1115" s="65">
        <f>H1115+J1115+L1115+M1115+O1115</f>
        <v/>
      </c>
      <c r="Q1115" s="69">
        <f>IF(OR(H1115=0,P1115&lt;30),"Tier D (Đóng băng)",IF(P1115&gt;=85,"Tier S (Kim Cương: 85-100đ)",IF(P1115&gt;=70,"Tier A (Vàng: 70-84đ)",IF(P1115&gt;=61,"Tier B+ / Cấp A (Hot Lead: 61-69đ)",IF(P1115&gt;=50,"Tier B (Bạc: 50-60đ)","Tier C (Đồng: 30-49đ)")))))</f>
        <v/>
      </c>
      <c r="R1115" s="6" t="inlineStr">
        <is>
          <t>Khay vệ sinh chung cư (Indoor Potty) + Thảm cỏ ban công (Grass Patch) + Đồ chơi</t>
        </is>
      </c>
      <c r="S1115" s="6" t="inlineStr">
        <is>
          <t>Cấp C Chi phí thấp: Nhắn tin trực tiếp qua Fanpage Facebook/Instagram + Nuôi dưỡng nội dung</t>
        </is>
      </c>
    </row>
    <row r="1116">
      <c r="A1116" s="59" t="n">
        <v>1136</v>
      </c>
      <c r="B1116" s="15" t="inlineStr">
        <is>
          <t>DoggyTopia</t>
        </is>
      </c>
      <c r="C1116" s="60" t="inlineStr">
        <is>
          <t>https://www.facebook.com/doggytopiaaus</t>
        </is>
      </c>
      <c r="D1116" s="9" t="inlineStr">
        <is>
          <t>Cần quét Bio Fanpage</t>
        </is>
      </c>
      <c r="E1116" s="59" t="inlineStr">
        <is>
          <t>12/10/2026 14:00:29</t>
        </is>
      </c>
      <c r="F1116" s="59" t="inlineStr">
        <is>
          <t>12 giờ trước</t>
        </is>
      </c>
      <c r="G1116" s="61" t="n">
        <v>0.5</v>
      </c>
      <c r="H1116" s="62" t="n">
        <v>32</v>
      </c>
      <c r="I1116" s="9" t="inlineStr">
        <is>
          <t>Pet Owner / Cộng đồng nuôi cún (10đ)</t>
        </is>
      </c>
      <c r="J1116" s="62" t="n">
        <v>10</v>
      </c>
      <c r="K1116" s="9" t="inlineStr">
        <is>
          <t>Chưa rõ giống (Cần quét Bio)</t>
        </is>
      </c>
      <c r="L1116" s="62" t="n">
        <v>0</v>
      </c>
      <c r="M1116" s="62" t="n">
        <v>0</v>
      </c>
      <c r="N1116" s="9" t="inlineStr">
        <is>
          <t>Amazon link not found</t>
        </is>
      </c>
      <c r="O1116" s="62">
        <f>IF(N1116="Selling pet toys + Artificial grass/Pet toilets (TARGET)",15,IF(N1116="Selling artificial grass/pet toilets (TARGET)",10,IF(N1116="Selling pet toys",7,IF(N1116="There's an Amazon link, but no target sales.",3,0))))</f>
        <v/>
      </c>
      <c r="P1116" s="67">
        <f>H1116+J1116+L1116+M1116+O1116</f>
        <v/>
      </c>
      <c r="Q1116" s="69">
        <f>IF(OR(H1116=0,P1116&lt;30),"Tier D (Đóng băng)",IF(P1116&gt;=85,"Tier S (Kim Cương: 85-100đ)",IF(P1116&gt;=70,"Tier A (Vàng: 70-84đ)",IF(P1116&gt;=61,"Tier B+ / Cấp A (Hot Lead: 61-69đ)",IF(P1116&gt;=50,"Tier B (Bạc: 50-60đ)","Tier C (Đồng: 30-49đ)")))))</f>
        <v/>
      </c>
      <c r="R1116" s="9" t="inlineStr">
        <is>
          <t>Khay vệ sinh chung cư (Indoor Potty) + Thảm cỏ ban công (Grass Patch) + Đồ chơi</t>
        </is>
      </c>
      <c r="S1116" s="9" t="inlineStr">
        <is>
          <t>Cấp C Chi phí thấp: Nhắn tin trực tiếp qua Fanpage Facebook/Instagram + Nuôi dưỡng nội dung</t>
        </is>
      </c>
    </row>
    <row r="1117">
      <c r="A1117" s="53" t="n">
        <v>1294</v>
      </c>
      <c r="B1117" s="12" t="inlineStr">
        <is>
          <t>EpicDog</t>
        </is>
      </c>
      <c r="C1117" s="54" t="inlineStr">
        <is>
          <t>https://www.facebook.com/epicdogtrainingadventures</t>
        </is>
      </c>
      <c r="D1117" s="6" t="inlineStr">
        <is>
          <t>Cần quét Bio Fanpage</t>
        </is>
      </c>
      <c r="E1117" s="53" t="inlineStr">
        <is>
          <t>12/10/2026 14:00:17</t>
        </is>
      </c>
      <c r="F1117" s="53" t="inlineStr">
        <is>
          <t>13 giờ trước</t>
        </is>
      </c>
      <c r="G1117" s="55" t="n">
        <v>0.54</v>
      </c>
      <c r="H1117" s="56" t="n">
        <v>32</v>
      </c>
      <c r="I1117" s="6" t="inlineStr">
        <is>
          <t>Pet Owner / Kênh cá nhân thú cưng (10đ)</t>
        </is>
      </c>
      <c r="J1117" s="56" t="n">
        <v>10</v>
      </c>
      <c r="K1117" s="6" t="inlineStr">
        <is>
          <t>Chưa rõ giống (Cần quét Bio)</t>
        </is>
      </c>
      <c r="L1117" s="56" t="n">
        <v>0</v>
      </c>
      <c r="M1117" s="56" t="n">
        <v>0</v>
      </c>
      <c r="N1117" s="6" t="inlineStr">
        <is>
          <t>Amazon link not found</t>
        </is>
      </c>
      <c r="O1117" s="56">
        <f>IF(N1117="Selling pet toys + Artificial grass/Pet toilets (TARGET)",15,IF(N1117="Selling artificial grass/pet toilets (TARGET)",10,IF(N1117="Selling pet toys",7,IF(N1117="There's an Amazon link, but no target sales.",3,0))))</f>
        <v/>
      </c>
      <c r="P1117" s="65">
        <f>H1117+J1117+L1117+M1117+O1117</f>
        <v/>
      </c>
      <c r="Q1117" s="69">
        <f>IF(OR(H1117=0,P1117&lt;30),"Tier D (Đóng băng)",IF(P1117&gt;=85,"Tier S (Kim Cương: 85-100đ)",IF(P1117&gt;=70,"Tier A (Vàng: 70-84đ)",IF(P1117&gt;=61,"Tier B+ / Cấp A (Hot Lead: 61-69đ)",IF(P1117&gt;=50,"Tier B (Bạc: 50-60đ)","Tier C (Đồng: 30-49đ)")))))</f>
        <v/>
      </c>
      <c r="R1117" s="6" t="inlineStr">
        <is>
          <t>Khay vệ sinh trong nhà (Indoor Dog Potty) + Đồ chơi thú cưng lẻ</t>
        </is>
      </c>
      <c r="S1117" s="6" t="inlineStr">
        <is>
          <t>Cấp C Chi phí thấp: Nhắn tin trực tiếp qua Fanpage Facebook/Instagram + Nuôi dưỡng nội dung</t>
        </is>
      </c>
    </row>
    <row r="1118">
      <c r="A1118" s="59" t="n">
        <v>666</v>
      </c>
      <c r="B1118" s="15" t="inlineStr">
        <is>
          <t>Big Dog Fellas</t>
        </is>
      </c>
      <c r="C1118" s="60" t="inlineStr">
        <is>
          <t>https://www.facebook.com/BigDogFellas</t>
        </is>
      </c>
      <c r="D1118" s="9" t="inlineStr">
        <is>
          <t>Cần quét Bio Fanpage</t>
        </is>
      </c>
      <c r="E1118" s="59" t="inlineStr">
        <is>
          <t>12/10/2026 13:41:23</t>
        </is>
      </c>
      <c r="F1118" s="59" t="inlineStr">
        <is>
          <t>12 giờ trước</t>
        </is>
      </c>
      <c r="G1118" s="61" t="n">
        <v>0.5</v>
      </c>
      <c r="H1118" s="62" t="n">
        <v>32</v>
      </c>
      <c r="I1118" s="9" t="inlineStr">
        <is>
          <t>Pet Owner / Cộng đồng nuôi cún (10đ)</t>
        </is>
      </c>
      <c r="J1118" s="62" t="n">
        <v>10</v>
      </c>
      <c r="K1118" s="9" t="inlineStr">
        <is>
          <t>Chưa rõ giống (Cần quét Bio)</t>
        </is>
      </c>
      <c r="L1118" s="62" t="n">
        <v>0</v>
      </c>
      <c r="M1118" s="62" t="n">
        <v>0</v>
      </c>
      <c r="N1118" s="9" t="inlineStr">
        <is>
          <t>Amazon link not found</t>
        </is>
      </c>
      <c r="O1118" s="62">
        <f>IF(N1118="Selling pet toys + Artificial grass/Pet toilets (TARGET)",15,IF(N1118="Selling artificial grass/pet toilets (TARGET)",10,IF(N1118="Selling pet toys",7,IF(N1118="There's an Amazon link, but no target sales.",3,0))))</f>
        <v/>
      </c>
      <c r="P1118" s="67">
        <f>H1118+J1118+L1118+M1118+O1118</f>
        <v/>
      </c>
      <c r="Q1118" s="69">
        <f>IF(OR(H1118=0,P1118&lt;30),"Tier D (Đóng băng)",IF(P1118&gt;=85,"Tier S (Kim Cương: 85-100đ)",IF(P1118&gt;=70,"Tier A (Vàng: 70-84đ)",IF(P1118&gt;=61,"Tier B+ / Cấp A (Hot Lead: 61-69đ)",IF(P1118&gt;=50,"Tier B (Bạc: 50-60đ)","Tier C (Đồng: 30-49đ)")))))</f>
        <v/>
      </c>
      <c r="R1118" s="9" t="inlineStr">
        <is>
          <t>Khay vệ sinh chung cư (Indoor Potty) + Thảm cỏ ban công (Grass Patch) + Đồ chơi</t>
        </is>
      </c>
      <c r="S1118" s="9" t="inlineStr">
        <is>
          <t>Cấp C Chi phí thấp: Nhắn tin trực tiếp qua Fanpage Facebook/Instagram + Nuôi dưỡng nội dung</t>
        </is>
      </c>
    </row>
    <row r="1119">
      <c r="A1119" s="53" t="n">
        <v>183</v>
      </c>
      <c r="B1119" s="12" t="inlineStr">
        <is>
          <t>Happy Hotdogs</t>
        </is>
      </c>
      <c r="C1119" s="54" t="inlineStr">
        <is>
          <t>https://www.facebook.com/profile.php?id=100095416836090</t>
        </is>
      </c>
      <c r="D1119" s="6" t="inlineStr">
        <is>
          <t>Cần quét Bio Fanpage</t>
        </is>
      </c>
      <c r="E1119" s="53" t="inlineStr">
        <is>
          <t>12/10/2026 13:34:33</t>
        </is>
      </c>
      <c r="F1119" s="53" t="inlineStr">
        <is>
          <t>11 giờ trước</t>
        </is>
      </c>
      <c r="G1119" s="55" t="n">
        <v>0.46</v>
      </c>
      <c r="H1119" s="56" t="n">
        <v>32</v>
      </c>
      <c r="I1119" s="6" t="inlineStr">
        <is>
          <t>Pet Owner / Cộng đồng nuôi cún (10đ)</t>
        </is>
      </c>
      <c r="J1119" s="56" t="n">
        <v>10</v>
      </c>
      <c r="K1119" s="6" t="inlineStr">
        <is>
          <t>Chưa rõ giống (Cần quét Bio)</t>
        </is>
      </c>
      <c r="L1119" s="56" t="n">
        <v>0</v>
      </c>
      <c r="M1119" s="56" t="n">
        <v>0</v>
      </c>
      <c r="N1119" s="6" t="inlineStr">
        <is>
          <t>Amazon link not found</t>
        </is>
      </c>
      <c r="O1119" s="56">
        <f>IF(N1119="Selling pet toys + Artificial grass/Pet toilets (TARGET)",15,IF(N1119="Selling artificial grass/pet toilets (TARGET)",10,IF(N1119="Selling pet toys",7,IF(N1119="There's an Amazon link, but no target sales.",3,0))))</f>
        <v/>
      </c>
      <c r="P1119" s="65">
        <f>H1119+J1119+L1119+M1119+O1119</f>
        <v/>
      </c>
      <c r="Q1119" s="69">
        <f>IF(OR(H1119=0,P1119&lt;30),"Tier D (Đóng băng)",IF(P1119&gt;=85,"Tier S (Kim Cương: 85-100đ)",IF(P1119&gt;=70,"Tier A (Vàng: 70-84đ)",IF(P1119&gt;=61,"Tier B+ / Cấp A (Hot Lead: 61-69đ)",IF(P1119&gt;=50,"Tier B (Bạc: 50-60đ)","Tier C (Đồng: 30-49đ)")))))</f>
        <v/>
      </c>
      <c r="R1119" s="6" t="inlineStr">
        <is>
          <t>Khay vệ sinh chung cư (Indoor Potty) + Thảm cỏ ban công (Grass Patch) + Đồ chơi</t>
        </is>
      </c>
      <c r="S1119" s="6" t="inlineStr">
        <is>
          <t>Cấp C Chi phí thấp: Nhắn tin trực tiếp qua Fanpage Facebook/Instagram + Nuôi dưỡng nội dung</t>
        </is>
      </c>
    </row>
    <row r="1120">
      <c r="A1120" s="59" t="n">
        <v>2155</v>
      </c>
      <c r="B1120" s="15" t="inlineStr">
        <is>
          <t>Medical Detection Dogs</t>
        </is>
      </c>
      <c r="C1120" s="60" t="inlineStr">
        <is>
          <t>https://www.facebook.com/MedicalDetectionDogs</t>
        </is>
      </c>
      <c r="D1120" s="9" t="inlineStr">
        <is>
          <t>Cần quét Bio Fanpage</t>
        </is>
      </c>
      <c r="E1120" s="59" t="inlineStr">
        <is>
          <t>12/10/2026 13:01:00</t>
        </is>
      </c>
      <c r="F1120" s="59" t="inlineStr">
        <is>
          <t>15 giờ trước</t>
        </is>
      </c>
      <c r="G1120" s="61" t="n">
        <v>0.62</v>
      </c>
      <c r="H1120" s="62" t="n">
        <v>32</v>
      </c>
      <c r="I1120" s="9" t="inlineStr">
        <is>
          <t>Pet Owner / Cộng đồng nuôi cún (10đ)</t>
        </is>
      </c>
      <c r="J1120" s="62" t="n">
        <v>10</v>
      </c>
      <c r="K1120" s="9" t="inlineStr">
        <is>
          <t>Chưa rõ giống (Cần quét Bio)</t>
        </is>
      </c>
      <c r="L1120" s="62" t="n">
        <v>0</v>
      </c>
      <c r="M1120" s="62" t="n">
        <v>0</v>
      </c>
      <c r="N1120" s="9" t="inlineStr">
        <is>
          <t>Amazon link not found</t>
        </is>
      </c>
      <c r="O1120" s="62">
        <f>IF(N1120="Selling pet toys + Artificial grass/Pet toilets (TARGET)",15,IF(N1120="Selling artificial grass/pet toilets (TARGET)",10,IF(N1120="Selling pet toys",7,IF(N1120="There's an Amazon link, but no target sales.",3,0))))</f>
        <v/>
      </c>
      <c r="P1120" s="67">
        <f>H1120+J1120+L1120+M1120+O1120</f>
        <v/>
      </c>
      <c r="Q1120" s="69">
        <f>IF(OR(H1120=0,P1120&lt;30),"Tier D (Đóng băng)",IF(P1120&gt;=85,"Tier S (Kim Cương: 85-100đ)",IF(P1120&gt;=70,"Tier A (Vàng: 70-84đ)",IF(P1120&gt;=61,"Tier B+ / Cấp A (Hot Lead: 61-69đ)",IF(P1120&gt;=50,"Tier B (Bạc: 50-60đ)","Tier C (Đồng: 30-49đ)")))))</f>
        <v/>
      </c>
      <c r="R1120" s="9" t="inlineStr">
        <is>
          <t>Khay vệ sinh chung cư (Indoor Potty) + Thảm cỏ ban công (Grass Patch) + Đồ chơi</t>
        </is>
      </c>
      <c r="S1120" s="9" t="inlineStr">
        <is>
          <t>Cấp C Chi phí thấp: Nhắn tin trực tiếp qua Fanpage Facebook/Instagram + Nuôi dưỡng nội dung</t>
        </is>
      </c>
    </row>
    <row r="1121">
      <c r="A1121" s="53" t="n">
        <v>3193</v>
      </c>
      <c r="B1121" s="12" t="inlineStr">
        <is>
          <t>TKDPetfarm</t>
        </is>
      </c>
      <c r="C1121" s="54" t="inlineStr">
        <is>
          <t>https://www.facebook.com/profile.php?id=61576330030667</t>
        </is>
      </c>
      <c r="D1121" s="6" t="inlineStr">
        <is>
          <t>Cần quét Bio Fanpage</t>
        </is>
      </c>
      <c r="E1121" s="53" t="inlineStr">
        <is>
          <t>12/10/2026 13:00:55</t>
        </is>
      </c>
      <c r="F1121" s="53" t="inlineStr">
        <is>
          <t>17 giờ trước</t>
        </is>
      </c>
      <c r="G1121" s="55" t="n">
        <v>0.71</v>
      </c>
      <c r="H1121" s="56" t="n">
        <v>32</v>
      </c>
      <c r="I1121" s="6" t="inlineStr">
        <is>
          <t>Pet Owner / Cộng đồng nuôi cún (10đ)</t>
        </is>
      </c>
      <c r="J1121" s="56" t="n">
        <v>10</v>
      </c>
      <c r="K1121" s="6" t="inlineStr">
        <is>
          <t>Chưa rõ giống (Cần quét Bio)</t>
        </is>
      </c>
      <c r="L1121" s="56" t="n">
        <v>0</v>
      </c>
      <c r="M1121" s="56" t="n">
        <v>0</v>
      </c>
      <c r="N1121" s="6" t="inlineStr">
        <is>
          <t>Amazon link not found</t>
        </is>
      </c>
      <c r="O1121" s="56">
        <f>IF(N1121="Selling pet toys + Artificial grass/Pet toilets (TARGET)",15,IF(N1121="Selling artificial grass/pet toilets (TARGET)",10,IF(N1121="Selling pet toys",7,IF(N1121="There's an Amazon link, but no target sales.",3,0))))</f>
        <v/>
      </c>
      <c r="P1121" s="65">
        <f>H1121+J1121+L1121+M1121+O1121</f>
        <v/>
      </c>
      <c r="Q1121" s="69">
        <f>IF(OR(H1121=0,P1121&lt;30),"Tier D (Đóng băng)",IF(P1121&gt;=85,"Tier S (Kim Cương: 85-100đ)",IF(P1121&gt;=70,"Tier A (Vàng: 70-84đ)",IF(P1121&gt;=61,"Tier B+ / Cấp A (Hot Lead: 61-69đ)",IF(P1121&gt;=50,"Tier B (Bạc: 50-60đ)","Tier C (Đồng: 30-49đ)")))))</f>
        <v/>
      </c>
      <c r="R1121" s="6" t="inlineStr">
        <is>
          <t>Khay vệ sinh chung cư (Indoor Potty) + Thảm cỏ ban công (Grass Patch) + Đồ chơi</t>
        </is>
      </c>
      <c r="S1121" s="6" t="inlineStr">
        <is>
          <t>Cấp C Chi phí thấp: Nhắn tin trực tiếp qua Fanpage Facebook/Instagram + Nuôi dưỡng nội dung</t>
        </is>
      </c>
    </row>
    <row r="1122">
      <c r="A1122" s="59" t="n">
        <v>2495</v>
      </c>
      <c r="B1122" s="15" t="inlineStr">
        <is>
          <t>Peter Lee Maspoms</t>
        </is>
      </c>
      <c r="C1122" s="60" t="inlineStr">
        <is>
          <t>https://www.facebook.com/plkm22</t>
        </is>
      </c>
      <c r="D1122" s="9" t="inlineStr">
        <is>
          <t>Cần quét Bio Fanpage</t>
        </is>
      </c>
      <c r="E1122" s="59" t="inlineStr">
        <is>
          <t>12/10/2026 12:34:54</t>
        </is>
      </c>
      <c r="F1122" s="59" t="inlineStr">
        <is>
          <t>16 giờ trước</t>
        </is>
      </c>
      <c r="G1122" s="61" t="n">
        <v>0.67</v>
      </c>
      <c r="H1122" s="62" t="n">
        <v>32</v>
      </c>
      <c r="I1122" s="9" t="inlineStr">
        <is>
          <t>Pet Owner / Cộng đồng nuôi cún (10đ)</t>
        </is>
      </c>
      <c r="J1122" s="62" t="n">
        <v>10</v>
      </c>
      <c r="K1122" s="9" t="inlineStr">
        <is>
          <t>Chưa rõ giống (Cần quét Bio)</t>
        </is>
      </c>
      <c r="L1122" s="62" t="n">
        <v>0</v>
      </c>
      <c r="M1122" s="62" t="n">
        <v>0</v>
      </c>
      <c r="N1122" s="9" t="inlineStr">
        <is>
          <t>Amazon link not found</t>
        </is>
      </c>
      <c r="O1122" s="62">
        <f>IF(N1122="Selling pet toys + Artificial grass/Pet toilets (TARGET)",15,IF(N1122="Selling artificial grass/pet toilets (TARGET)",10,IF(N1122="Selling pet toys",7,IF(N1122="There's an Amazon link, but no target sales.",3,0))))</f>
        <v/>
      </c>
      <c r="P1122" s="67">
        <f>H1122+J1122+L1122+M1122+O1122</f>
        <v/>
      </c>
      <c r="Q1122" s="69">
        <f>IF(OR(H1122=0,P1122&lt;30),"Tier D (Đóng băng)",IF(P1122&gt;=85,"Tier S (Kim Cương: 85-100đ)",IF(P1122&gt;=70,"Tier A (Vàng: 70-84đ)",IF(P1122&gt;=61,"Tier B+ / Cấp A (Hot Lead: 61-69đ)",IF(P1122&gt;=50,"Tier B (Bạc: 50-60đ)","Tier C (Đồng: 30-49đ)")))))</f>
        <v/>
      </c>
      <c r="R1122" s="9" t="inlineStr">
        <is>
          <t>Khay vệ sinh chung cư (Indoor Potty) + Thảm cỏ ban công (Grass Patch) + Đồ chơi</t>
        </is>
      </c>
      <c r="S1122" s="9" t="inlineStr">
        <is>
          <t>Cấp C Chi phí thấp: Nhắn tin trực tiếp qua Fanpage Facebook/Instagram + Nuôi dưỡng nội dung</t>
        </is>
      </c>
    </row>
    <row r="1123">
      <c r="A1123" s="53" t="n">
        <v>2690</v>
      </c>
      <c r="B1123" s="12" t="inlineStr">
        <is>
          <t>Ralun - It's all about your Pet</t>
        </is>
      </c>
      <c r="C1123" s="54" t="inlineStr">
        <is>
          <t>https://www.facebook.com/RalunKennels</t>
        </is>
      </c>
      <c r="D1123" s="6" t="inlineStr">
        <is>
          <t>Cần quét Bio Fanpage</t>
        </is>
      </c>
      <c r="E1123" s="53" t="inlineStr">
        <is>
          <t>12/10/2026 12:17:38</t>
        </is>
      </c>
      <c r="F1123" s="53" t="inlineStr">
        <is>
          <t>17 giờ trước</t>
        </is>
      </c>
      <c r="G1123" s="55" t="n">
        <v>0.71</v>
      </c>
      <c r="H1123" s="56" t="n">
        <v>32</v>
      </c>
      <c r="I1123" s="6" t="inlineStr">
        <is>
          <t>Pet Owner / Cộng đồng nuôi cún (10đ)</t>
        </is>
      </c>
      <c r="J1123" s="56" t="n">
        <v>10</v>
      </c>
      <c r="K1123" s="6" t="inlineStr">
        <is>
          <t>Chưa rõ giống (Cần quét Bio)</t>
        </is>
      </c>
      <c r="L1123" s="56" t="n">
        <v>0</v>
      </c>
      <c r="M1123" s="56" t="n">
        <v>0</v>
      </c>
      <c r="N1123" s="6" t="inlineStr">
        <is>
          <t>Amazon link not found</t>
        </is>
      </c>
      <c r="O1123" s="56">
        <f>IF(N1123="Selling pet toys + Artificial grass/Pet toilets (TARGET)",15,IF(N1123="Selling artificial grass/pet toilets (TARGET)",10,IF(N1123="Selling pet toys",7,IF(N1123="There's an Amazon link, but no target sales.",3,0))))</f>
        <v/>
      </c>
      <c r="P1123" s="65">
        <f>H1123+J1123+L1123+M1123+O1123</f>
        <v/>
      </c>
      <c r="Q1123" s="69">
        <f>IF(OR(H1123=0,P1123&lt;30),"Tier D (Đóng băng)",IF(P1123&gt;=85,"Tier S (Kim Cương: 85-100đ)",IF(P1123&gt;=70,"Tier A (Vàng: 70-84đ)",IF(P1123&gt;=61,"Tier B+ / Cấp A (Hot Lead: 61-69đ)",IF(P1123&gt;=50,"Tier B (Bạc: 50-60đ)","Tier C (Đồng: 30-49đ)")))))</f>
        <v/>
      </c>
      <c r="R1123" s="6" t="inlineStr">
        <is>
          <t>Khay vệ sinh chung cư (Indoor Potty) + Thảm cỏ ban công (Grass Patch) + Đồ chơi</t>
        </is>
      </c>
      <c r="S1123" s="6" t="inlineStr">
        <is>
          <t>Cấp C Chi phí thấp: Nhắn tin trực tiếp qua Fanpage Facebook/Instagram + Nuôi dưỡng nội dung</t>
        </is>
      </c>
    </row>
    <row r="1124">
      <c r="A1124" s="59" t="n">
        <v>1115</v>
      </c>
      <c r="B1124" s="15" t="inlineStr">
        <is>
          <t>DogDeliver</t>
        </is>
      </c>
      <c r="C1124" s="60" t="inlineStr">
        <is>
          <t>https://www.facebook.com/dogdeliver</t>
        </is>
      </c>
      <c r="D1124" s="9" t="inlineStr">
        <is>
          <t>Cần quét Bio Fanpage</t>
        </is>
      </c>
      <c r="E1124" s="59" t="inlineStr">
        <is>
          <t>12/10/2026 11:45:04</t>
        </is>
      </c>
      <c r="F1124" s="59" t="inlineStr">
        <is>
          <t>15 giờ trước</t>
        </is>
      </c>
      <c r="G1124" s="61" t="n">
        <v>0.62</v>
      </c>
      <c r="H1124" s="62" t="n">
        <v>32</v>
      </c>
      <c r="I1124" s="9" t="inlineStr">
        <is>
          <t>Pet Owner / Cộng đồng nuôi cún (10đ)</t>
        </is>
      </c>
      <c r="J1124" s="62" t="n">
        <v>10</v>
      </c>
      <c r="K1124" s="9" t="inlineStr">
        <is>
          <t>Chưa rõ giống (Cần quét Bio)</t>
        </is>
      </c>
      <c r="L1124" s="62" t="n">
        <v>0</v>
      </c>
      <c r="M1124" s="62" t="n">
        <v>0</v>
      </c>
      <c r="N1124" s="9" t="inlineStr">
        <is>
          <t>Amazon link not found</t>
        </is>
      </c>
      <c r="O1124" s="62">
        <f>IF(N1124="Selling pet toys + Artificial grass/Pet toilets (TARGET)",15,IF(N1124="Selling artificial grass/pet toilets (TARGET)",10,IF(N1124="Selling pet toys",7,IF(N1124="There's an Amazon link, but no target sales.",3,0))))</f>
        <v/>
      </c>
      <c r="P1124" s="67">
        <f>H1124+J1124+L1124+M1124+O1124</f>
        <v/>
      </c>
      <c r="Q1124" s="69">
        <f>IF(OR(H1124=0,P1124&lt;30),"Tier D (Đóng băng)",IF(P1124&gt;=85,"Tier S (Kim Cương: 85-100đ)",IF(P1124&gt;=70,"Tier A (Vàng: 70-84đ)",IF(P1124&gt;=61,"Tier B+ / Cấp A (Hot Lead: 61-69đ)",IF(P1124&gt;=50,"Tier B (Bạc: 50-60đ)","Tier C (Đồng: 30-49đ)")))))</f>
        <v/>
      </c>
      <c r="R1124" s="9" t="inlineStr">
        <is>
          <t>Khay vệ sinh chung cư (Indoor Potty) + Thảm cỏ ban công (Grass Patch) + Đồ chơi</t>
        </is>
      </c>
      <c r="S1124" s="9" t="inlineStr">
        <is>
          <t>Cấp C Chi phí thấp: Nhắn tin trực tiếp qua Fanpage Facebook/Instagram + Nuôi dưỡng nội dung</t>
        </is>
      </c>
    </row>
    <row r="1125">
      <c r="A1125" s="53" t="n">
        <v>560</v>
      </c>
      <c r="B1125" s="12" t="inlineStr">
        <is>
          <t>Austin and Central Texas Dog Trainers</t>
        </is>
      </c>
      <c r="C1125" s="54" t="inlineStr">
        <is>
          <t>https://www.facebook.com/olk9atx</t>
        </is>
      </c>
      <c r="D1125" s="6" t="inlineStr">
        <is>
          <t>Cần quét Bio Fanpage</t>
        </is>
      </c>
      <c r="E1125" s="53" t="inlineStr">
        <is>
          <t>12/10/2026 10:20:58</t>
        </is>
      </c>
      <c r="F1125" s="53" t="inlineStr">
        <is>
          <t>15 giờ trước</t>
        </is>
      </c>
      <c r="G1125" s="55" t="n">
        <v>0.62</v>
      </c>
      <c r="H1125" s="56" t="n">
        <v>32</v>
      </c>
      <c r="I1125" s="6" t="inlineStr">
        <is>
          <t>Pet Owner / Cộng đồng nuôi cún (10đ)</t>
        </is>
      </c>
      <c r="J1125" s="56" t="n">
        <v>10</v>
      </c>
      <c r="K1125" s="6" t="inlineStr">
        <is>
          <t>Chưa rõ giống (Cần quét Bio)</t>
        </is>
      </c>
      <c r="L1125" s="56" t="n">
        <v>0</v>
      </c>
      <c r="M1125" s="56" t="n">
        <v>0</v>
      </c>
      <c r="N1125" s="6" t="inlineStr">
        <is>
          <t>Amazon link not found</t>
        </is>
      </c>
      <c r="O1125" s="56">
        <f>IF(N1125="Selling pet toys + Artificial grass/Pet toilets (TARGET)",15,IF(N1125="Selling artificial grass/pet toilets (TARGET)",10,IF(N1125="Selling pet toys",7,IF(N1125="There's an Amazon link, but no target sales.",3,0))))</f>
        <v/>
      </c>
      <c r="P1125" s="65">
        <f>H1125+J1125+L1125+M1125+O1125</f>
        <v/>
      </c>
      <c r="Q1125" s="69">
        <f>IF(OR(H1125=0,P1125&lt;30),"Tier D (Đóng băng)",IF(P1125&gt;=85,"Tier S (Kim Cương: 85-100đ)",IF(P1125&gt;=70,"Tier A (Vàng: 70-84đ)",IF(P1125&gt;=61,"Tier B+ / Cấp A (Hot Lead: 61-69đ)",IF(P1125&gt;=50,"Tier B (Bạc: 50-60đ)","Tier C (Đồng: 30-49đ)")))))</f>
        <v/>
      </c>
      <c r="R1125" s="6" t="inlineStr">
        <is>
          <t>Khay vệ sinh chung cư (Indoor Potty) + Thảm cỏ ban công (Grass Patch) + Đồ chơi</t>
        </is>
      </c>
      <c r="S1125" s="6" t="inlineStr">
        <is>
          <t>Cấp C Chi phí thấp: Nhắn tin trực tiếp qua Fanpage Facebook/Instagram + Nuôi dưỡng nội dung</t>
        </is>
      </c>
    </row>
    <row r="1126">
      <c r="A1126" s="59" t="n">
        <v>138</v>
      </c>
      <c r="B1126" s="15" t="inlineStr">
        <is>
          <t>Cooper the Service Dog</t>
        </is>
      </c>
      <c r="C1126" s="60" t="inlineStr">
        <is>
          <t>https://www.facebook.com/profile.php?id=61584340632929</t>
        </is>
      </c>
      <c r="D1126" s="9" t="inlineStr">
        <is>
          <t>Cần quét Bio Fanpage</t>
        </is>
      </c>
      <c r="E1126" s="59" t="inlineStr">
        <is>
          <t>12/10/2026 10:08:49</t>
        </is>
      </c>
      <c r="F1126" s="59" t="inlineStr">
        <is>
          <t>15 giờ trước</t>
        </is>
      </c>
      <c r="G1126" s="61" t="n">
        <v>0.62</v>
      </c>
      <c r="H1126" s="62" t="n">
        <v>32</v>
      </c>
      <c r="I1126" s="9" t="inlineStr">
        <is>
          <t>Pet Owner / Cộng đồng nuôi cún (10đ)</t>
        </is>
      </c>
      <c r="J1126" s="62" t="n">
        <v>10</v>
      </c>
      <c r="K1126" s="9" t="inlineStr">
        <is>
          <t>Chưa rõ giống (Cần quét Bio)</t>
        </is>
      </c>
      <c r="L1126" s="62" t="n">
        <v>0</v>
      </c>
      <c r="M1126" s="62" t="n">
        <v>0</v>
      </c>
      <c r="N1126" s="9" t="inlineStr">
        <is>
          <t>Amazon link not found</t>
        </is>
      </c>
      <c r="O1126" s="62">
        <f>IF(N1126="Selling pet toys + Artificial grass/Pet toilets (TARGET)",15,IF(N1126="Selling artificial grass/pet toilets (TARGET)",10,IF(N1126="Selling pet toys",7,IF(N1126="There's an Amazon link, but no target sales.",3,0))))</f>
        <v/>
      </c>
      <c r="P1126" s="67">
        <f>H1126+J1126+L1126+M1126+O1126</f>
        <v/>
      </c>
      <c r="Q1126" s="69">
        <f>IF(OR(H1126=0,P1126&lt;30),"Tier D (Đóng băng)",IF(P1126&gt;=85,"Tier S (Kim Cương: 85-100đ)",IF(P1126&gt;=70,"Tier A (Vàng: 70-84đ)",IF(P1126&gt;=61,"Tier B+ / Cấp A (Hot Lead: 61-69đ)",IF(P1126&gt;=50,"Tier B (Bạc: 50-60đ)","Tier C (Đồng: 30-49đ)")))))</f>
        <v/>
      </c>
      <c r="R1126" s="9" t="inlineStr">
        <is>
          <t>Khay vệ sinh chung cư (Indoor Potty) + Thảm cỏ ban công (Grass Patch) + Đồ chơi</t>
        </is>
      </c>
      <c r="S1126" s="9" t="inlineStr">
        <is>
          <t>Cấp C Chi phí thấp: Nhắn tin trực tiếp qua Fanpage Facebook/Instagram + Nuôi dưỡng nội dung</t>
        </is>
      </c>
    </row>
    <row r="1127">
      <c r="A1127" s="53" t="n">
        <v>1770</v>
      </c>
      <c r="B1127" s="12" t="inlineStr">
        <is>
          <t>John The Dog Farmer</t>
        </is>
      </c>
      <c r="C1127" s="54" t="inlineStr">
        <is>
          <t>https://www.facebook.com/profile.php?id=61588028086032</t>
        </is>
      </c>
      <c r="D1127" s="6" t="inlineStr">
        <is>
          <t>Cần quét Bio Fanpage</t>
        </is>
      </c>
      <c r="E1127" s="53" t="inlineStr">
        <is>
          <t>12/10/2026 09:21:13</t>
        </is>
      </c>
      <c r="F1127" s="53" t="inlineStr">
        <is>
          <t>18 giờ trước</t>
        </is>
      </c>
      <c r="G1127" s="55" t="n">
        <v>0.75</v>
      </c>
      <c r="H1127" s="56" t="n">
        <v>32</v>
      </c>
      <c r="I1127" s="6" t="inlineStr">
        <is>
          <t>Pet Owner / Kênh cá nhân thú cưng (10đ)</t>
        </is>
      </c>
      <c r="J1127" s="56" t="n">
        <v>10</v>
      </c>
      <c r="K1127" s="6" t="inlineStr">
        <is>
          <t>Chưa rõ giống (Cần quét Bio)</t>
        </is>
      </c>
      <c r="L1127" s="56" t="n">
        <v>0</v>
      </c>
      <c r="M1127" s="56" t="n">
        <v>0</v>
      </c>
      <c r="N1127" s="6" t="inlineStr">
        <is>
          <t>Amazon link not found</t>
        </is>
      </c>
      <c r="O1127" s="56">
        <f>IF(N1127="Selling pet toys + Artificial grass/Pet toilets (TARGET)",15,IF(N1127="Selling artificial grass/pet toilets (TARGET)",10,IF(N1127="Selling pet toys",7,IF(N1127="There's an Amazon link, but no target sales.",3,0))))</f>
        <v/>
      </c>
      <c r="P1127" s="65">
        <f>H1127+J1127+L1127+M1127+O1127</f>
        <v/>
      </c>
      <c r="Q1127" s="69">
        <f>IF(OR(H1127=0,P1127&lt;30),"Tier D (Đóng băng)",IF(P1127&gt;=85,"Tier S (Kim Cương: 85-100đ)",IF(P1127&gt;=70,"Tier A (Vàng: 70-84đ)",IF(P1127&gt;=61,"Tier B+ / Cấp A (Hot Lead: 61-69đ)",IF(P1127&gt;=50,"Tier B (Bạc: 50-60đ)","Tier C (Đồng: 30-49đ)")))))</f>
        <v/>
      </c>
      <c r="R1127" s="6" t="inlineStr">
        <is>
          <t>Khay vệ sinh trong nhà (Indoor Dog Potty) + Đồ chơi thú cưng lẻ</t>
        </is>
      </c>
      <c r="S1127" s="6" t="inlineStr">
        <is>
          <t>Cấp C Chi phí thấp: Nhắn tin trực tiếp qua Fanpage Facebook/Instagram + Nuôi dưỡng nội dung</t>
        </is>
      </c>
    </row>
    <row r="1128">
      <c r="A1128" s="59" t="n">
        <v>1093</v>
      </c>
      <c r="B1128" s="15" t="inlineStr">
        <is>
          <t>Dog on a String Show Leads &amp; Collars</t>
        </is>
      </c>
      <c r="C1128" s="60" t="inlineStr">
        <is>
          <t>https://www.facebook.com/dogonastringshowleads</t>
        </is>
      </c>
      <c r="D1128" s="9" t="inlineStr">
        <is>
          <t>Cần quét Bio Fanpage</t>
        </is>
      </c>
      <c r="E1128" s="59" t="inlineStr">
        <is>
          <t>12/10/2026 09:05:43</t>
        </is>
      </c>
      <c r="F1128" s="59" t="inlineStr">
        <is>
          <t>17 giờ trước</t>
        </is>
      </c>
      <c r="G1128" s="61" t="n">
        <v>0.71</v>
      </c>
      <c r="H1128" s="62" t="n">
        <v>32</v>
      </c>
      <c r="I1128" s="9" t="inlineStr">
        <is>
          <t>Pet Owner / Cộng đồng nuôi cún (10đ)</t>
        </is>
      </c>
      <c r="J1128" s="62" t="n">
        <v>10</v>
      </c>
      <c r="K1128" s="9" t="inlineStr">
        <is>
          <t>Chưa rõ giống (Cần quét Bio)</t>
        </is>
      </c>
      <c r="L1128" s="62" t="n">
        <v>0</v>
      </c>
      <c r="M1128" s="62" t="n">
        <v>0</v>
      </c>
      <c r="N1128" s="9" t="inlineStr">
        <is>
          <t>Amazon link not found</t>
        </is>
      </c>
      <c r="O1128" s="62">
        <f>IF(N1128="Selling pet toys + Artificial grass/Pet toilets (TARGET)",15,IF(N1128="Selling artificial grass/pet toilets (TARGET)",10,IF(N1128="Selling pet toys",7,IF(N1128="There's an Amazon link, but no target sales.",3,0))))</f>
        <v/>
      </c>
      <c r="P1128" s="67">
        <f>H1128+J1128+L1128+M1128+O1128</f>
        <v/>
      </c>
      <c r="Q1128" s="69">
        <f>IF(OR(H1128=0,P1128&lt;30),"Tier D (Đóng băng)",IF(P1128&gt;=85,"Tier S (Kim Cương: 85-100đ)",IF(P1128&gt;=70,"Tier A (Vàng: 70-84đ)",IF(P1128&gt;=61,"Tier B+ / Cấp A (Hot Lead: 61-69đ)",IF(P1128&gt;=50,"Tier B (Bạc: 50-60đ)","Tier C (Đồng: 30-49đ)")))))</f>
        <v/>
      </c>
      <c r="R1128" s="9" t="inlineStr">
        <is>
          <t>Khay vệ sinh chung cư (Indoor Potty) + Thảm cỏ ban công (Grass Patch) + Đồ chơi</t>
        </is>
      </c>
      <c r="S1128" s="9" t="inlineStr">
        <is>
          <t>Cấp C Chi phí thấp: Nhắn tin trực tiếp qua Fanpage Facebook/Instagram + Nuôi dưỡng nội dung</t>
        </is>
      </c>
    </row>
    <row r="1129">
      <c r="A1129" s="53" t="n">
        <v>1322</v>
      </c>
      <c r="B1129" s="12" t="inlineStr">
        <is>
          <t>Family Dogs New Life Fosters</t>
        </is>
      </c>
      <c r="C1129" s="54" t="inlineStr">
        <is>
          <t>https://www.facebook.com/profile.php?id=100068832098020</t>
        </is>
      </c>
      <c r="D1129" s="6" t="inlineStr">
        <is>
          <t>Cần quét Bio Fanpage</t>
        </is>
      </c>
      <c r="E1129" s="53" t="inlineStr">
        <is>
          <t>12/10/2026 08:54:15</t>
        </is>
      </c>
      <c r="F1129" s="53" t="inlineStr">
        <is>
          <t>18 giờ trước</t>
        </is>
      </c>
      <c r="G1129" s="55" t="n">
        <v>0.75</v>
      </c>
      <c r="H1129" s="56" t="n">
        <v>32</v>
      </c>
      <c r="I1129" s="6" t="inlineStr">
        <is>
          <t>Pet Owner / Kênh cá nhân thú cưng (10đ)</t>
        </is>
      </c>
      <c r="J1129" s="56" t="n">
        <v>10</v>
      </c>
      <c r="K1129" s="6" t="inlineStr">
        <is>
          <t>Chưa rõ giống (Cần quét Bio)</t>
        </is>
      </c>
      <c r="L1129" s="56" t="n">
        <v>0</v>
      </c>
      <c r="M1129" s="56" t="n">
        <v>0</v>
      </c>
      <c r="N1129" s="6" t="inlineStr">
        <is>
          <t>Amazon link not found</t>
        </is>
      </c>
      <c r="O1129" s="56">
        <f>IF(N1129="Selling pet toys + Artificial grass/Pet toilets (TARGET)",15,IF(N1129="Selling artificial grass/pet toilets (TARGET)",10,IF(N1129="Selling pet toys",7,IF(N1129="There's an Amazon link, but no target sales.",3,0))))</f>
        <v/>
      </c>
      <c r="P1129" s="65">
        <f>H1129+J1129+L1129+M1129+O1129</f>
        <v/>
      </c>
      <c r="Q1129" s="69">
        <f>IF(OR(H1129=0,P1129&lt;30),"Tier D (Đóng băng)",IF(P1129&gt;=85,"Tier S (Kim Cương: 85-100đ)",IF(P1129&gt;=70,"Tier A (Vàng: 70-84đ)",IF(P1129&gt;=61,"Tier B+ / Cấp A (Hot Lead: 61-69đ)",IF(P1129&gt;=50,"Tier B (Bạc: 50-60đ)","Tier C (Đồng: 30-49đ)")))))</f>
        <v/>
      </c>
      <c r="R1129" s="6" t="inlineStr">
        <is>
          <t>Khay vệ sinh trong nhà (Indoor Dog Potty) + Đồ chơi thú cưng lẻ</t>
        </is>
      </c>
      <c r="S1129" s="6" t="inlineStr">
        <is>
          <t>Cấp C Chi phí thấp: Nhắn tin trực tiếp qua Fanpage Facebook/Instagram + Nuôi dưỡng nội dung</t>
        </is>
      </c>
    </row>
    <row r="1130">
      <c r="A1130" s="59" t="n">
        <v>2274</v>
      </c>
      <c r="B1130" s="15" t="inlineStr">
        <is>
          <t>Nautical Dog- Pet Market &amp; Dog Wash</t>
        </is>
      </c>
      <c r="C1130" s="60" t="inlineStr">
        <is>
          <t>https://www.facebook.com/nauticaldogwilliamsburg</t>
        </is>
      </c>
      <c r="D1130" s="9" t="inlineStr">
        <is>
          <t>Cần quét Bio Fanpage</t>
        </is>
      </c>
      <c r="E1130" s="59" t="inlineStr">
        <is>
          <t>12/10/2026 08:07:54</t>
        </is>
      </c>
      <c r="F1130" s="59" t="inlineStr">
        <is>
          <t>20 giờ trước</t>
        </is>
      </c>
      <c r="G1130" s="61" t="n">
        <v>0.83</v>
      </c>
      <c r="H1130" s="62" t="n">
        <v>32</v>
      </c>
      <c r="I1130" s="9" t="inlineStr">
        <is>
          <t>Pet Owner / Cộng đồng nuôi cún (10đ)</t>
        </is>
      </c>
      <c r="J1130" s="62" t="n">
        <v>10</v>
      </c>
      <c r="K1130" s="9" t="inlineStr">
        <is>
          <t>Chưa rõ giống (Cần quét Bio)</t>
        </is>
      </c>
      <c r="L1130" s="62" t="n">
        <v>0</v>
      </c>
      <c r="M1130" s="62" t="n">
        <v>0</v>
      </c>
      <c r="N1130" s="9" t="inlineStr">
        <is>
          <t>Amazon link not found</t>
        </is>
      </c>
      <c r="O1130" s="62">
        <f>IF(N1130="Selling pet toys + Artificial grass/Pet toilets (TARGET)",15,IF(N1130="Selling artificial grass/pet toilets (TARGET)",10,IF(N1130="Selling pet toys",7,IF(N1130="There's an Amazon link, but no target sales.",3,0))))</f>
        <v/>
      </c>
      <c r="P1130" s="67">
        <f>H1130+J1130+L1130+M1130+O1130</f>
        <v/>
      </c>
      <c r="Q1130" s="69">
        <f>IF(OR(H1130=0,P1130&lt;30),"Tier D (Đóng băng)",IF(P1130&gt;=85,"Tier S (Kim Cương: 85-100đ)",IF(P1130&gt;=70,"Tier A (Vàng: 70-84đ)",IF(P1130&gt;=61,"Tier B+ / Cấp A (Hot Lead: 61-69đ)",IF(P1130&gt;=50,"Tier B (Bạc: 50-60đ)","Tier C (Đồng: 30-49đ)")))))</f>
        <v/>
      </c>
      <c r="R1130" s="9" t="inlineStr">
        <is>
          <t>Khay vệ sinh chung cư (Indoor Potty) + Thảm cỏ ban công (Grass Patch) + Đồ chơi</t>
        </is>
      </c>
      <c r="S1130" s="9" t="inlineStr">
        <is>
          <t>Cấp C Chi phí thấp: Nhắn tin trực tiếp qua Fanpage Facebook/Instagram + Nuôi dưỡng nội dung</t>
        </is>
      </c>
    </row>
    <row r="1131">
      <c r="A1131" s="53" t="n">
        <v>1711</v>
      </c>
      <c r="B1131" s="12" t="inlineStr">
        <is>
          <t>ilovemydogfans</t>
        </is>
      </c>
      <c r="C1131" s="54" t="inlineStr">
        <is>
          <t>https://www.facebook.com/ilovemydogfans</t>
        </is>
      </c>
      <c r="D1131" s="6" t="inlineStr">
        <is>
          <t>Cần quét Bio Fanpage</t>
        </is>
      </c>
      <c r="E1131" s="53" t="inlineStr">
        <is>
          <t>12/10/2026 08:00:58</t>
        </is>
      </c>
      <c r="F1131" s="53" t="inlineStr">
        <is>
          <t>19 giờ trước</t>
        </is>
      </c>
      <c r="G1131" s="55" t="n">
        <v>0.79</v>
      </c>
      <c r="H1131" s="56" t="n">
        <v>32</v>
      </c>
      <c r="I1131" s="6" t="inlineStr">
        <is>
          <t>Pet Owner / Cộng đồng nuôi cún (10đ)</t>
        </is>
      </c>
      <c r="J1131" s="56" t="n">
        <v>10</v>
      </c>
      <c r="K1131" s="6" t="inlineStr">
        <is>
          <t>Chưa rõ giống (Cần quét Bio)</t>
        </is>
      </c>
      <c r="L1131" s="56" t="n">
        <v>0</v>
      </c>
      <c r="M1131" s="56" t="n">
        <v>0</v>
      </c>
      <c r="N1131" s="6" t="inlineStr">
        <is>
          <t>Amazon link not found</t>
        </is>
      </c>
      <c r="O1131" s="56">
        <f>IF(N1131="Selling pet toys + Artificial grass/Pet toilets (TARGET)",15,IF(N1131="Selling artificial grass/pet toilets (TARGET)",10,IF(N1131="Selling pet toys",7,IF(N1131="There's an Amazon link, but no target sales.",3,0))))</f>
        <v/>
      </c>
      <c r="P1131" s="65">
        <f>H1131+J1131+L1131+M1131+O1131</f>
        <v/>
      </c>
      <c r="Q1131" s="69">
        <f>IF(OR(H1131=0,P1131&lt;30),"Tier D (Đóng băng)",IF(P1131&gt;=85,"Tier S (Kim Cương: 85-100đ)",IF(P1131&gt;=70,"Tier A (Vàng: 70-84đ)",IF(P1131&gt;=61,"Tier B+ / Cấp A (Hot Lead: 61-69đ)",IF(P1131&gt;=50,"Tier B (Bạc: 50-60đ)","Tier C (Đồng: 30-49đ)")))))</f>
        <v/>
      </c>
      <c r="R1131" s="6" t="inlineStr">
        <is>
          <t>Khay vệ sinh chung cư (Indoor Potty) + Thảm cỏ ban công (Grass Patch) + Đồ chơi</t>
        </is>
      </c>
      <c r="S1131" s="6" t="inlineStr">
        <is>
          <t>Cấp C Chi phí thấp: Nhắn tin trực tiếp qua Fanpage Facebook/Instagram + Nuôi dưỡng nội dung</t>
        </is>
      </c>
    </row>
    <row r="1132">
      <c r="A1132" s="59" t="n">
        <v>860</v>
      </c>
      <c r="B1132" s="15" t="inlineStr">
        <is>
          <t>CATZ and DOGZ of The North State</t>
        </is>
      </c>
      <c r="C1132" s="60" t="inlineStr">
        <is>
          <t>https://www.facebook.com/CATZandDOGZofTheNorthState</t>
        </is>
      </c>
      <c r="D1132" s="9" t="inlineStr">
        <is>
          <t>Cần quét Bio Fanpage</t>
        </is>
      </c>
      <c r="E1132" s="59" t="inlineStr">
        <is>
          <t>12/10/2026 08:00:48</t>
        </is>
      </c>
      <c r="F1132" s="59" t="inlineStr">
        <is>
          <t>18 giờ trước</t>
        </is>
      </c>
      <c r="G1132" s="61" t="n">
        <v>0.75</v>
      </c>
      <c r="H1132" s="62" t="n">
        <v>32</v>
      </c>
      <c r="I1132" s="9" t="inlineStr">
        <is>
          <t>Pet Owner / Cộng đồng nuôi cún (10đ)</t>
        </is>
      </c>
      <c r="J1132" s="62" t="n">
        <v>10</v>
      </c>
      <c r="K1132" s="9" t="inlineStr">
        <is>
          <t>Chưa rõ giống (Cần quét Bio)</t>
        </is>
      </c>
      <c r="L1132" s="62" t="n">
        <v>0</v>
      </c>
      <c r="M1132" s="62" t="n">
        <v>0</v>
      </c>
      <c r="N1132" s="9" t="inlineStr">
        <is>
          <t>Amazon link not found</t>
        </is>
      </c>
      <c r="O1132" s="62">
        <f>IF(N1132="Selling pet toys + Artificial grass/Pet toilets (TARGET)",15,IF(N1132="Selling artificial grass/pet toilets (TARGET)",10,IF(N1132="Selling pet toys",7,IF(N1132="There's an Amazon link, but no target sales.",3,0))))</f>
        <v/>
      </c>
      <c r="P1132" s="67">
        <f>H1132+J1132+L1132+M1132+O1132</f>
        <v/>
      </c>
      <c r="Q1132" s="69">
        <f>IF(OR(H1132=0,P1132&lt;30),"Tier D (Đóng băng)",IF(P1132&gt;=85,"Tier S (Kim Cương: 85-100đ)",IF(P1132&gt;=70,"Tier A (Vàng: 70-84đ)",IF(P1132&gt;=61,"Tier B+ / Cấp A (Hot Lead: 61-69đ)",IF(P1132&gt;=50,"Tier B (Bạc: 50-60đ)","Tier C (Đồng: 30-49đ)")))))</f>
        <v/>
      </c>
      <c r="R1132" s="9" t="inlineStr">
        <is>
          <t>Khay vệ sinh chung cư (Indoor Potty) + Thảm cỏ ban công (Grass Patch) + Đồ chơi</t>
        </is>
      </c>
      <c r="S1132" s="9" t="inlineStr">
        <is>
          <t>Cấp C Chi phí thấp: Nhắn tin trực tiếp qua Fanpage Facebook/Instagram + Nuôi dưỡng nội dung</t>
        </is>
      </c>
    </row>
    <row r="1133">
      <c r="A1133" s="53" t="n">
        <v>2243</v>
      </c>
      <c r="B1133" s="12" t="inlineStr">
        <is>
          <t>My Pet Carnivore</t>
        </is>
      </c>
      <c r="C1133" s="54" t="inlineStr">
        <is>
          <t>https://www.facebook.com/MyPetCarnivoreUS</t>
        </is>
      </c>
      <c r="D1133" s="6" t="inlineStr">
        <is>
          <t>Cần quét Bio Fanpage</t>
        </is>
      </c>
      <c r="E1133" s="53" t="inlineStr">
        <is>
          <t>12/10/2026 08:00:14</t>
        </is>
      </c>
      <c r="F1133" s="53" t="inlineStr">
        <is>
          <t>20 giờ trước</t>
        </is>
      </c>
      <c r="G1133" s="55" t="n">
        <v>0.83</v>
      </c>
      <c r="H1133" s="56" t="n">
        <v>32</v>
      </c>
      <c r="I1133" s="6" t="inlineStr">
        <is>
          <t>Pet Owner / Cộng đồng nuôi cún (10đ)</t>
        </is>
      </c>
      <c r="J1133" s="56" t="n">
        <v>10</v>
      </c>
      <c r="K1133" s="6" t="inlineStr">
        <is>
          <t>Chưa rõ giống (Cần quét Bio)</t>
        </is>
      </c>
      <c r="L1133" s="56" t="n">
        <v>0</v>
      </c>
      <c r="M1133" s="56" t="n">
        <v>0</v>
      </c>
      <c r="N1133" s="6" t="inlineStr">
        <is>
          <t>Amazon link not found</t>
        </is>
      </c>
      <c r="O1133" s="56">
        <f>IF(N1133="Selling pet toys + Artificial grass/Pet toilets (TARGET)",15,IF(N1133="Selling artificial grass/pet toilets (TARGET)",10,IF(N1133="Selling pet toys",7,IF(N1133="There's an Amazon link, but no target sales.",3,0))))</f>
        <v/>
      </c>
      <c r="P1133" s="65">
        <f>H1133+J1133+L1133+M1133+O1133</f>
        <v/>
      </c>
      <c r="Q1133" s="69">
        <f>IF(OR(H1133=0,P1133&lt;30),"Tier D (Đóng băng)",IF(P1133&gt;=85,"Tier S (Kim Cương: 85-100đ)",IF(P1133&gt;=70,"Tier A (Vàng: 70-84đ)",IF(P1133&gt;=61,"Tier B+ / Cấp A (Hot Lead: 61-69đ)",IF(P1133&gt;=50,"Tier B (Bạc: 50-60đ)","Tier C (Đồng: 30-49đ)")))))</f>
        <v/>
      </c>
      <c r="R1133" s="6" t="inlineStr">
        <is>
          <t>Khay vệ sinh chung cư (Indoor Potty) + Thảm cỏ ban công (Grass Patch) + Đồ chơi</t>
        </is>
      </c>
      <c r="S1133" s="6" t="inlineStr">
        <is>
          <t>Cấp C Chi phí thấp: Nhắn tin trực tiếp qua Fanpage Facebook/Instagram + Nuôi dưỡng nội dung</t>
        </is>
      </c>
    </row>
    <row r="1134">
      <c r="A1134" s="59" t="n">
        <v>2179</v>
      </c>
      <c r="B1134" s="15" t="inlineStr">
        <is>
          <t>lilaccitybullies2.0</t>
        </is>
      </c>
      <c r="C1134" s="60" t="inlineStr">
        <is>
          <t>https://www.facebook.com/lilaccitybullies2.0</t>
        </is>
      </c>
      <c r="D1134" s="9" t="inlineStr">
        <is>
          <t>Cần quét Bio Fanpage</t>
        </is>
      </c>
      <c r="E1134" s="59" t="inlineStr">
        <is>
          <t>12/10/2026 07:32:35</t>
        </is>
      </c>
      <c r="F1134" s="59" t="inlineStr">
        <is>
          <t>21 giờ trước</t>
        </is>
      </c>
      <c r="G1134" s="61" t="n">
        <v>0.88</v>
      </c>
      <c r="H1134" s="62" t="n">
        <v>32</v>
      </c>
      <c r="I1134" s="9" t="inlineStr">
        <is>
          <t>Pet Owner / Cộng đồng nuôi cún (10đ)</t>
        </is>
      </c>
      <c r="J1134" s="62" t="n">
        <v>10</v>
      </c>
      <c r="K1134" s="9" t="inlineStr">
        <is>
          <t>Chưa rõ giống (Cần quét Bio)</t>
        </is>
      </c>
      <c r="L1134" s="62" t="n">
        <v>0</v>
      </c>
      <c r="M1134" s="62" t="n">
        <v>0</v>
      </c>
      <c r="N1134" s="9" t="inlineStr">
        <is>
          <t>Amazon link not found</t>
        </is>
      </c>
      <c r="O1134" s="62">
        <f>IF(N1134="Selling pet toys + Artificial grass/Pet toilets (TARGET)",15,IF(N1134="Selling artificial grass/pet toilets (TARGET)",10,IF(N1134="Selling pet toys",7,IF(N1134="There's an Amazon link, but no target sales.",3,0))))</f>
        <v/>
      </c>
      <c r="P1134" s="67">
        <f>H1134+J1134+L1134+M1134+O1134</f>
        <v/>
      </c>
      <c r="Q1134" s="69">
        <f>IF(OR(H1134=0,P1134&lt;30),"Tier D (Đóng băng)",IF(P1134&gt;=85,"Tier S (Kim Cương: 85-100đ)",IF(P1134&gt;=70,"Tier A (Vàng: 70-84đ)",IF(P1134&gt;=61,"Tier B+ / Cấp A (Hot Lead: 61-69đ)",IF(P1134&gt;=50,"Tier B (Bạc: 50-60đ)","Tier C (Đồng: 30-49đ)")))))</f>
        <v/>
      </c>
      <c r="R1134" s="9" t="inlineStr">
        <is>
          <t>Khay vệ sinh chung cư (Indoor Potty) + Thảm cỏ ban công (Grass Patch) + Đồ chơi</t>
        </is>
      </c>
      <c r="S1134" s="9" t="inlineStr">
        <is>
          <t>Cấp C Chi phí thấp: Nhắn tin trực tiếp qua Fanpage Facebook/Instagram + Nuôi dưỡng nội dung</t>
        </is>
      </c>
    </row>
    <row r="1135">
      <c r="A1135" s="53" t="n">
        <v>375</v>
      </c>
      <c r="B1135" s="12" t="inlineStr">
        <is>
          <t>All Breeds Dogs</t>
        </is>
      </c>
      <c r="C1135" s="54" t="inlineStr">
        <is>
          <t>https://www.facebook.com/profile.php?id=61584786695822</t>
        </is>
      </c>
      <c r="D1135" s="6" t="inlineStr">
        <is>
          <t>Cần quét Bio Fanpage</t>
        </is>
      </c>
      <c r="E1135" s="53" t="inlineStr">
        <is>
          <t>12/10/2026 07:04:12</t>
        </is>
      </c>
      <c r="F1135" s="53" t="inlineStr">
        <is>
          <t>18 giờ trước</t>
        </is>
      </c>
      <c r="G1135" s="55" t="n">
        <v>0.75</v>
      </c>
      <c r="H1135" s="56" t="n">
        <v>32</v>
      </c>
      <c r="I1135" s="6" t="inlineStr">
        <is>
          <t>Pet Owner / Cộng đồng nuôi cún (10đ)</t>
        </is>
      </c>
      <c r="J1135" s="56" t="n">
        <v>10</v>
      </c>
      <c r="K1135" s="6" t="inlineStr">
        <is>
          <t>Chưa rõ giống (Cần quét Bio)</t>
        </is>
      </c>
      <c r="L1135" s="56" t="n">
        <v>0</v>
      </c>
      <c r="M1135" s="56" t="n">
        <v>0</v>
      </c>
      <c r="N1135" s="6" t="inlineStr">
        <is>
          <t>Amazon link not found</t>
        </is>
      </c>
      <c r="O1135" s="56">
        <f>IF(N1135="Selling pet toys + Artificial grass/Pet toilets (TARGET)",15,IF(N1135="Selling artificial grass/pet toilets (TARGET)",10,IF(N1135="Selling pet toys",7,IF(N1135="There's an Amazon link, but no target sales.",3,0))))</f>
        <v/>
      </c>
      <c r="P1135" s="65">
        <f>H1135+J1135+L1135+M1135+O1135</f>
        <v/>
      </c>
      <c r="Q1135" s="69">
        <f>IF(OR(H1135=0,P1135&lt;30),"Tier D (Đóng băng)",IF(P1135&gt;=85,"Tier S (Kim Cương: 85-100đ)",IF(P1135&gt;=70,"Tier A (Vàng: 70-84đ)",IF(P1135&gt;=61,"Tier B+ / Cấp A (Hot Lead: 61-69đ)",IF(P1135&gt;=50,"Tier B (Bạc: 50-60đ)","Tier C (Đồng: 30-49đ)")))))</f>
        <v/>
      </c>
      <c r="R1135" s="6" t="inlineStr">
        <is>
          <t>Khay vệ sinh chung cư (Indoor Potty) + Thảm cỏ ban công (Grass Patch) + Đồ chơi</t>
        </is>
      </c>
      <c r="S1135" s="6" t="inlineStr">
        <is>
          <t>Cấp C Chi phí thấp: Nhắn tin trực tiếp qua Fanpage Facebook/Instagram + Nuôi dưỡng nội dung</t>
        </is>
      </c>
    </row>
    <row r="1136">
      <c r="A1136" s="59" t="n">
        <v>2366</v>
      </c>
      <c r="B1136" s="15" t="inlineStr">
        <is>
          <t>OneMind Dogs</t>
        </is>
      </c>
      <c r="C1136" s="60" t="inlineStr">
        <is>
          <t>https://www.facebook.com/OneMindDogs</t>
        </is>
      </c>
      <c r="D1136" s="9" t="inlineStr">
        <is>
          <t>Cần quét Bio Fanpage</t>
        </is>
      </c>
      <c r="E1136" s="59" t="inlineStr">
        <is>
          <t>12/10/2026 07:00:11</t>
        </is>
      </c>
      <c r="F1136" s="59" t="inlineStr">
        <is>
          <t>22 giờ trước</t>
        </is>
      </c>
      <c r="G1136" s="61" t="n">
        <v>0.92</v>
      </c>
      <c r="H1136" s="62" t="n">
        <v>32</v>
      </c>
      <c r="I1136" s="9" t="inlineStr">
        <is>
          <t>Pet Owner / Cộng đồng nuôi cún (10đ)</t>
        </is>
      </c>
      <c r="J1136" s="62" t="n">
        <v>10</v>
      </c>
      <c r="K1136" s="9" t="inlineStr">
        <is>
          <t>Chưa rõ giống (Cần quét Bio)</t>
        </is>
      </c>
      <c r="L1136" s="62" t="n">
        <v>0</v>
      </c>
      <c r="M1136" s="62" t="n">
        <v>0</v>
      </c>
      <c r="N1136" s="9" t="inlineStr">
        <is>
          <t>Amazon link not found</t>
        </is>
      </c>
      <c r="O1136" s="62">
        <f>IF(N1136="Selling pet toys + Artificial grass/Pet toilets (TARGET)",15,IF(N1136="Selling artificial grass/pet toilets (TARGET)",10,IF(N1136="Selling pet toys",7,IF(N1136="There's an Amazon link, but no target sales.",3,0))))</f>
        <v/>
      </c>
      <c r="P1136" s="67">
        <f>H1136+J1136+L1136+M1136+O1136</f>
        <v/>
      </c>
      <c r="Q1136" s="69">
        <f>IF(OR(H1136=0,P1136&lt;30),"Tier D (Đóng băng)",IF(P1136&gt;=85,"Tier S (Kim Cương: 85-100đ)",IF(P1136&gt;=70,"Tier A (Vàng: 70-84đ)",IF(P1136&gt;=61,"Tier B+ / Cấp A (Hot Lead: 61-69đ)",IF(P1136&gt;=50,"Tier B (Bạc: 50-60đ)","Tier C (Đồng: 30-49đ)")))))</f>
        <v/>
      </c>
      <c r="R1136" s="9" t="inlineStr">
        <is>
          <t>Khay vệ sinh chung cư (Indoor Potty) + Thảm cỏ ban công (Grass Patch) + Đồ chơi</t>
        </is>
      </c>
      <c r="S1136" s="9" t="inlineStr">
        <is>
          <t>Cấp C Chi phí thấp: Nhắn tin trực tiếp qua Fanpage Facebook/Instagram + Nuôi dưỡng nội dung</t>
        </is>
      </c>
    </row>
    <row r="1137">
      <c r="A1137" s="53" t="n">
        <v>149</v>
      </c>
      <c r="B1137" s="12" t="inlineStr">
        <is>
          <t>Dog Show Suits</t>
        </is>
      </c>
      <c r="C1137" s="54" t="inlineStr">
        <is>
          <t>https://www.facebook.com/DogShowSuits</t>
        </is>
      </c>
      <c r="D1137" s="6" t="inlineStr">
        <is>
          <t>Cần quét Bio Fanpage</t>
        </is>
      </c>
      <c r="E1137" s="53" t="inlineStr">
        <is>
          <t>12/10/2026 06:14:47</t>
        </is>
      </c>
      <c r="F1137" s="53" t="inlineStr">
        <is>
          <t>18 giờ trước</t>
        </is>
      </c>
      <c r="G1137" s="55" t="n">
        <v>0.75</v>
      </c>
      <c r="H1137" s="56" t="n">
        <v>32</v>
      </c>
      <c r="I1137" s="6" t="inlineStr">
        <is>
          <t>Pet Owner / Cộng đồng nuôi cún (10đ)</t>
        </is>
      </c>
      <c r="J1137" s="56" t="n">
        <v>10</v>
      </c>
      <c r="K1137" s="6" t="inlineStr">
        <is>
          <t>Chưa rõ giống (Cần quét Bio)</t>
        </is>
      </c>
      <c r="L1137" s="56" t="n">
        <v>0</v>
      </c>
      <c r="M1137" s="56" t="n">
        <v>0</v>
      </c>
      <c r="N1137" s="6" t="inlineStr">
        <is>
          <t>Amazon link not found</t>
        </is>
      </c>
      <c r="O1137" s="56">
        <f>IF(N1137="Selling pet toys + Artificial grass/Pet toilets (TARGET)",15,IF(N1137="Selling artificial grass/pet toilets (TARGET)",10,IF(N1137="Selling pet toys",7,IF(N1137="There's an Amazon link, but no target sales.",3,0))))</f>
        <v/>
      </c>
      <c r="P1137" s="65">
        <f>H1137+J1137+L1137+M1137+O1137</f>
        <v/>
      </c>
      <c r="Q1137" s="69">
        <f>IF(OR(H1137=0,P1137&lt;30),"Tier D (Đóng băng)",IF(P1137&gt;=85,"Tier S (Kim Cương: 85-100đ)",IF(P1137&gt;=70,"Tier A (Vàng: 70-84đ)",IF(P1137&gt;=61,"Tier B+ / Cấp A (Hot Lead: 61-69đ)",IF(P1137&gt;=50,"Tier B (Bạc: 50-60đ)","Tier C (Đồng: 30-49đ)")))))</f>
        <v/>
      </c>
      <c r="R1137" s="6" t="inlineStr">
        <is>
          <t>Khay vệ sinh chung cư (Indoor Potty) + Thảm cỏ ban công (Grass Patch) + Đồ chơi</t>
        </is>
      </c>
      <c r="S1137" s="6" t="inlineStr">
        <is>
          <t>Cấp C Chi phí thấp: Nhắn tin trực tiếp qua Fanpage Facebook/Instagram + Nuôi dưỡng nội dung</t>
        </is>
      </c>
    </row>
    <row r="1138">
      <c r="A1138" s="59" t="n">
        <v>1176</v>
      </c>
      <c r="B1138" s="15" t="inlineStr">
        <is>
          <t>Dogs Outside The Ring</t>
        </is>
      </c>
      <c r="C1138" s="60" t="inlineStr">
        <is>
          <t>https://www.facebook.com/dogsoutsidethering</t>
        </is>
      </c>
      <c r="D1138" s="9" t="inlineStr">
        <is>
          <t>Cần quét Bio Fanpage</t>
        </is>
      </c>
      <c r="E1138" s="59" t="inlineStr">
        <is>
          <t>12/10/2026 05:21:40</t>
        </is>
      </c>
      <c r="F1138" s="59" t="inlineStr">
        <is>
          <t>21 giờ trước</t>
        </is>
      </c>
      <c r="G1138" s="61" t="n">
        <v>0.88</v>
      </c>
      <c r="H1138" s="62" t="n">
        <v>32</v>
      </c>
      <c r="I1138" s="9" t="inlineStr">
        <is>
          <t>Pet Owner / Cộng đồng nuôi cún (10đ)</t>
        </is>
      </c>
      <c r="J1138" s="62" t="n">
        <v>10</v>
      </c>
      <c r="K1138" s="9" t="inlineStr">
        <is>
          <t>Chưa rõ giống (Cần quét Bio)</t>
        </is>
      </c>
      <c r="L1138" s="62" t="n">
        <v>0</v>
      </c>
      <c r="M1138" s="62" t="n">
        <v>0</v>
      </c>
      <c r="N1138" s="9" t="inlineStr">
        <is>
          <t>Amazon link not found</t>
        </is>
      </c>
      <c r="O1138" s="62">
        <f>IF(N1138="Selling pet toys + Artificial grass/Pet toilets (TARGET)",15,IF(N1138="Selling artificial grass/pet toilets (TARGET)",10,IF(N1138="Selling pet toys",7,IF(N1138="There's an Amazon link, but no target sales.",3,0))))</f>
        <v/>
      </c>
      <c r="P1138" s="67">
        <f>H1138+J1138+L1138+M1138+O1138</f>
        <v/>
      </c>
      <c r="Q1138" s="69">
        <f>IF(OR(H1138=0,P1138&lt;30),"Tier D (Đóng băng)",IF(P1138&gt;=85,"Tier S (Kim Cương: 85-100đ)",IF(P1138&gt;=70,"Tier A (Vàng: 70-84đ)",IF(P1138&gt;=61,"Tier B+ / Cấp A (Hot Lead: 61-69đ)",IF(P1138&gt;=50,"Tier B (Bạc: 50-60đ)","Tier C (Đồng: 30-49đ)")))))</f>
        <v/>
      </c>
      <c r="R1138" s="9" t="inlineStr">
        <is>
          <t>Khay vệ sinh chung cư (Indoor Potty) + Thảm cỏ ban công (Grass Patch) + Đồ chơi</t>
        </is>
      </c>
      <c r="S1138" s="9" t="inlineStr">
        <is>
          <t>Cấp C Chi phí thấp: Nhắn tin trực tiếp qua Fanpage Facebook/Instagram + Nuôi dưỡng nội dung</t>
        </is>
      </c>
    </row>
    <row r="1139">
      <c r="A1139" s="53" t="n">
        <v>662</v>
      </c>
      <c r="B1139" s="12" t="inlineStr">
        <is>
          <t>Big Alpha Dogs</t>
        </is>
      </c>
      <c r="C1139" s="54" t="inlineStr">
        <is>
          <t>https://www.facebook.com/bigalphadogsph</t>
        </is>
      </c>
      <c r="D1139" s="6" t="inlineStr">
        <is>
          <t>Cần quét Bio Fanpage</t>
        </is>
      </c>
      <c r="E1139" s="53" t="inlineStr">
        <is>
          <t>12/10/2026 05:01:10</t>
        </is>
      </c>
      <c r="F1139" s="53" t="inlineStr">
        <is>
          <t>21 giờ trước</t>
        </is>
      </c>
      <c r="G1139" s="55" t="n">
        <v>0.88</v>
      </c>
      <c r="H1139" s="56" t="n">
        <v>32</v>
      </c>
      <c r="I1139" s="6" t="inlineStr">
        <is>
          <t>Pet Owner / Cộng đồng nuôi cún (10đ)</t>
        </is>
      </c>
      <c r="J1139" s="56" t="n">
        <v>10</v>
      </c>
      <c r="K1139" s="6" t="inlineStr">
        <is>
          <t>Chưa rõ giống (Cần quét Bio)</t>
        </is>
      </c>
      <c r="L1139" s="56" t="n">
        <v>0</v>
      </c>
      <c r="M1139" s="56" t="n">
        <v>0</v>
      </c>
      <c r="N1139" s="6" t="inlineStr">
        <is>
          <t>Amazon link not found</t>
        </is>
      </c>
      <c r="O1139" s="56">
        <f>IF(N1139="Selling pet toys + Artificial grass/Pet toilets (TARGET)",15,IF(N1139="Selling artificial grass/pet toilets (TARGET)",10,IF(N1139="Selling pet toys",7,IF(N1139="There's an Amazon link, but no target sales.",3,0))))</f>
        <v/>
      </c>
      <c r="P1139" s="65">
        <f>H1139+J1139+L1139+M1139+O1139</f>
        <v/>
      </c>
      <c r="Q1139" s="69">
        <f>IF(OR(H1139=0,P1139&lt;30),"Tier D (Đóng băng)",IF(P1139&gt;=85,"Tier S (Kim Cương: 85-100đ)",IF(P1139&gt;=70,"Tier A (Vàng: 70-84đ)",IF(P1139&gt;=61,"Tier B+ / Cấp A (Hot Lead: 61-69đ)",IF(P1139&gt;=50,"Tier B (Bạc: 50-60đ)","Tier C (Đồng: 30-49đ)")))))</f>
        <v/>
      </c>
      <c r="R1139" s="6" t="inlineStr">
        <is>
          <t>Khay vệ sinh chung cư (Indoor Potty) + Thảm cỏ ban công (Grass Patch) + Đồ chơi</t>
        </is>
      </c>
      <c r="S1139" s="6" t="inlineStr">
        <is>
          <t>Cấp C Chi phí thấp: Nhắn tin trực tiếp qua Fanpage Facebook/Instagram + Nuôi dưỡng nội dung</t>
        </is>
      </c>
    </row>
    <row r="1140">
      <c r="A1140" s="59" t="n">
        <v>424</v>
      </c>
      <c r="B1140" s="15" t="inlineStr">
        <is>
          <t>Anankennel Greatdane</t>
        </is>
      </c>
      <c r="C1140" s="60" t="inlineStr">
        <is>
          <t>https://www.facebook.com/ANANKENNEL</t>
        </is>
      </c>
      <c r="D1140" s="9" t="inlineStr">
        <is>
          <t>Cần quét Bio Fanpage</t>
        </is>
      </c>
      <c r="E1140" s="59" t="inlineStr">
        <is>
          <t>12/10/2026 04:39:21</t>
        </is>
      </c>
      <c r="F1140" s="59" t="inlineStr">
        <is>
          <t>21 giờ trước</t>
        </is>
      </c>
      <c r="G1140" s="61" t="n">
        <v>0.88</v>
      </c>
      <c r="H1140" s="62" t="n">
        <v>32</v>
      </c>
      <c r="I1140" s="9" t="inlineStr">
        <is>
          <t>Pet Owner / Cộng đồng nuôi cún (10đ)</t>
        </is>
      </c>
      <c r="J1140" s="62" t="n">
        <v>10</v>
      </c>
      <c r="K1140" s="9" t="inlineStr">
        <is>
          <t>Chưa rõ giống (Cần quét Bio)</t>
        </is>
      </c>
      <c r="L1140" s="62" t="n">
        <v>0</v>
      </c>
      <c r="M1140" s="62" t="n">
        <v>0</v>
      </c>
      <c r="N1140" s="9" t="inlineStr">
        <is>
          <t>Amazon link not found</t>
        </is>
      </c>
      <c r="O1140" s="62">
        <f>IF(N1140="Selling pet toys + Artificial grass/Pet toilets (TARGET)",15,IF(N1140="Selling artificial grass/pet toilets (TARGET)",10,IF(N1140="Selling pet toys",7,IF(N1140="There's an Amazon link, but no target sales.",3,0))))</f>
        <v/>
      </c>
      <c r="P1140" s="67">
        <f>H1140+J1140+L1140+M1140+O1140</f>
        <v/>
      </c>
      <c r="Q1140" s="69">
        <f>IF(OR(H1140=0,P1140&lt;30),"Tier D (Đóng băng)",IF(P1140&gt;=85,"Tier S (Kim Cương: 85-100đ)",IF(P1140&gt;=70,"Tier A (Vàng: 70-84đ)",IF(P1140&gt;=61,"Tier B+ / Cấp A (Hot Lead: 61-69đ)",IF(P1140&gt;=50,"Tier B (Bạc: 50-60đ)","Tier C (Đồng: 30-49đ)")))))</f>
        <v/>
      </c>
      <c r="R1140" s="9" t="inlineStr">
        <is>
          <t>Khay vệ sinh chung cư (Indoor Potty) + Thảm cỏ ban công (Grass Patch) + Đồ chơi</t>
        </is>
      </c>
      <c r="S1140" s="9" t="inlineStr">
        <is>
          <t>Cấp C Chi phí thấp: Nhắn tin trực tiếp qua Fanpage Facebook/Instagram + Nuôi dưỡng nội dung</t>
        </is>
      </c>
    </row>
    <row r="1141">
      <c r="A1141" s="53" t="n">
        <v>2737</v>
      </c>
      <c r="B1141" s="12" t="inlineStr">
        <is>
          <t>Resilient Dog Rescue</t>
        </is>
      </c>
      <c r="C1141" s="54" t="inlineStr">
        <is>
          <t>https://www.facebook.com/resilientdogrescue</t>
        </is>
      </c>
      <c r="D1141" s="6" t="inlineStr">
        <is>
          <t>Cần quét Bio Fanpage</t>
        </is>
      </c>
      <c r="E1141" s="53" t="inlineStr">
        <is>
          <t>12/10/2026 04:12:01</t>
        </is>
      </c>
      <c r="F1141" s="53" t="inlineStr">
        <is>
          <t>1 ngày trước</t>
        </is>
      </c>
      <c r="G1141" s="55" t="n">
        <v>1</v>
      </c>
      <c r="H1141" s="56" t="n">
        <v>28</v>
      </c>
      <c r="I1141" s="6" t="inlineStr">
        <is>
          <t>Pet Rescue / Trạm cứu trợ (14-16đ)</t>
        </is>
      </c>
      <c r="J1141" s="56" t="n">
        <v>14</v>
      </c>
      <c r="K1141" s="6" t="inlineStr">
        <is>
          <t>Chưa rõ giống (Cần quét Bio)</t>
        </is>
      </c>
      <c r="L1141" s="56" t="n">
        <v>0</v>
      </c>
      <c r="M1141" s="56" t="n">
        <v>0</v>
      </c>
      <c r="N1141" s="6" t="inlineStr">
        <is>
          <t>Amazon link not found</t>
        </is>
      </c>
      <c r="O1141" s="56">
        <f>IF(N1141="Selling pet toys + Artificial grass/Pet toilets (TARGET)",15,IF(N1141="Selling artificial grass/pet toilets (TARGET)",10,IF(N1141="Selling pet toys",7,IF(N1141="There's an Amazon link, but no target sales.",3,0))))</f>
        <v/>
      </c>
      <c r="P1141" s="65">
        <f>H1141+J1141+L1141+M1141+O1141</f>
        <v/>
      </c>
      <c r="Q1141" s="69">
        <f>IF(OR(H1141=0,P1141&lt;30),"Tier D (Đóng băng)",IF(P1141&gt;=85,"Tier S (Kim Cương: 85-100đ)",IF(P1141&gt;=70,"Tier A (Vàng: 70-84đ)",IF(P1141&gt;=61,"Tier B+ / Cấp A (Hot Lead: 61-69đ)",IF(P1141&gt;=50,"Tier B (Bạc: 50-60đ)","Tier C (Đồng: 30-49đ)")))))</f>
        <v/>
      </c>
      <c r="R1141" s="6" t="inlineStr">
        <is>
          <t>Nhà vệ sinh &amp; Tã lót (Potty Tray / Pee Pads) + Cỏ nhân tạo lót chuồng</t>
        </is>
      </c>
      <c r="S1141" s="6" t="inlineStr">
        <is>
          <t>Cấp C Chi phí thấp: Nhắn tin trực tiếp qua Fanpage Facebook/Instagram + Nuôi dưỡng nội dung</t>
        </is>
      </c>
    </row>
    <row r="1142">
      <c r="A1142" s="59" t="n">
        <v>1599</v>
      </c>
      <c r="B1142" s="15" t="inlineStr">
        <is>
          <t>Hank the Deaf Dog</t>
        </is>
      </c>
      <c r="C1142" s="60" t="inlineStr">
        <is>
          <t>https://www.facebook.com/profile.php?id=61578033296217</t>
        </is>
      </c>
      <c r="D1142" s="9" t="inlineStr">
        <is>
          <t>Cần quét Bio Fanpage</t>
        </is>
      </c>
      <c r="E1142" s="59" t="inlineStr">
        <is>
          <t>12/10/2026 04:02:04</t>
        </is>
      </c>
      <c r="F1142" s="59" t="inlineStr">
        <is>
          <t>23 giờ trước</t>
        </is>
      </c>
      <c r="G1142" s="61" t="n">
        <v>0.96</v>
      </c>
      <c r="H1142" s="62" t="n">
        <v>32</v>
      </c>
      <c r="I1142" s="9" t="inlineStr">
        <is>
          <t>Pet Owner / Cộng đồng nuôi cún (10đ)</t>
        </is>
      </c>
      <c r="J1142" s="62" t="n">
        <v>10</v>
      </c>
      <c r="K1142" s="9" t="inlineStr">
        <is>
          <t>Chưa rõ giống (Cần quét Bio)</t>
        </is>
      </c>
      <c r="L1142" s="62" t="n">
        <v>0</v>
      </c>
      <c r="M1142" s="62" t="n">
        <v>0</v>
      </c>
      <c r="N1142" s="9" t="inlineStr">
        <is>
          <t>Amazon link not found</t>
        </is>
      </c>
      <c r="O1142" s="62">
        <f>IF(N1142="Selling pet toys + Artificial grass/Pet toilets (TARGET)",15,IF(N1142="Selling artificial grass/pet toilets (TARGET)",10,IF(N1142="Selling pet toys",7,IF(N1142="There's an Amazon link, but no target sales.",3,0))))</f>
        <v/>
      </c>
      <c r="P1142" s="67">
        <f>H1142+J1142+L1142+M1142+O1142</f>
        <v/>
      </c>
      <c r="Q1142" s="69">
        <f>IF(OR(H1142=0,P1142&lt;30),"Tier D (Đóng băng)",IF(P1142&gt;=85,"Tier S (Kim Cương: 85-100đ)",IF(P1142&gt;=70,"Tier A (Vàng: 70-84đ)",IF(P1142&gt;=61,"Tier B+ / Cấp A (Hot Lead: 61-69đ)",IF(P1142&gt;=50,"Tier B (Bạc: 50-60đ)","Tier C (Đồng: 30-49đ)")))))</f>
        <v/>
      </c>
      <c r="R1142" s="9" t="inlineStr">
        <is>
          <t>Khay vệ sinh chung cư (Indoor Potty) + Thảm cỏ ban công (Grass Patch) + Đồ chơi</t>
        </is>
      </c>
      <c r="S1142" s="9" t="inlineStr">
        <is>
          <t>Cấp C Chi phí thấp: Nhắn tin trực tiếp qua Fanpage Facebook/Instagram + Nuôi dưỡng nội dung</t>
        </is>
      </c>
    </row>
    <row r="1143">
      <c r="A1143" s="53" t="n">
        <v>387</v>
      </c>
      <c r="B1143" s="12" t="inlineStr">
        <is>
          <t>Alliance of Therapy Dogs</t>
        </is>
      </c>
      <c r="C1143" s="54" t="inlineStr">
        <is>
          <t>https://www.facebook.com/allianceoftherapydogs</t>
        </is>
      </c>
      <c r="D1143" s="6" t="inlineStr">
        <is>
          <t>Cần quét Bio Fanpage</t>
        </is>
      </c>
      <c r="E1143" s="53" t="inlineStr">
        <is>
          <t>12/10/2026 04:00:41</t>
        </is>
      </c>
      <c r="F1143" s="53" t="inlineStr">
        <is>
          <t>21 giờ trước</t>
        </is>
      </c>
      <c r="G1143" s="55" t="n">
        <v>0.88</v>
      </c>
      <c r="H1143" s="56" t="n">
        <v>32</v>
      </c>
      <c r="I1143" s="6" t="inlineStr">
        <is>
          <t>Pet Owner / Cộng đồng nuôi cún (10đ)</t>
        </is>
      </c>
      <c r="J1143" s="56" t="n">
        <v>10</v>
      </c>
      <c r="K1143" s="6" t="inlineStr">
        <is>
          <t>Chưa rõ giống (Cần quét Bio)</t>
        </is>
      </c>
      <c r="L1143" s="56" t="n">
        <v>0</v>
      </c>
      <c r="M1143" s="56" t="n">
        <v>0</v>
      </c>
      <c r="N1143" s="6" t="inlineStr">
        <is>
          <t>Amazon link not found</t>
        </is>
      </c>
      <c r="O1143" s="56">
        <f>IF(N1143="Selling pet toys + Artificial grass/Pet toilets (TARGET)",15,IF(N1143="Selling artificial grass/pet toilets (TARGET)",10,IF(N1143="Selling pet toys",7,IF(N1143="There's an Amazon link, but no target sales.",3,0))))</f>
        <v/>
      </c>
      <c r="P1143" s="65">
        <f>H1143+J1143+L1143+M1143+O1143</f>
        <v/>
      </c>
      <c r="Q1143" s="69">
        <f>IF(OR(H1143=0,P1143&lt;30),"Tier D (Đóng băng)",IF(P1143&gt;=85,"Tier S (Kim Cương: 85-100đ)",IF(P1143&gt;=70,"Tier A (Vàng: 70-84đ)",IF(P1143&gt;=61,"Tier B+ / Cấp A (Hot Lead: 61-69đ)",IF(P1143&gt;=50,"Tier B (Bạc: 50-60đ)","Tier C (Đồng: 30-49đ)")))))</f>
        <v/>
      </c>
      <c r="R1143" s="6" t="inlineStr">
        <is>
          <t>Khay vệ sinh chung cư (Indoor Potty) + Thảm cỏ ban công (Grass Patch) + Đồ chơi</t>
        </is>
      </c>
      <c r="S1143" s="6" t="inlineStr">
        <is>
          <t>Cấp C Chi phí thấp: Nhắn tin trực tiếp qua Fanpage Facebook/Instagram + Nuôi dưỡng nội dung</t>
        </is>
      </c>
    </row>
    <row r="1144">
      <c r="A1144" s="59" t="n">
        <v>382</v>
      </c>
      <c r="B1144" s="15" t="inlineStr">
        <is>
          <t>Alla Borisovna Pugacheva</t>
        </is>
      </c>
      <c r="C1144" s="60" t="inlineStr">
        <is>
          <t>https://www.facebook.com/AllaBorisovnaPugacheva</t>
        </is>
      </c>
      <c r="D1144" s="9" t="inlineStr">
        <is>
          <t>Cần quét Bio Fanpage</t>
        </is>
      </c>
      <c r="E1144" s="59" t="inlineStr">
        <is>
          <t>12/10/2026 03:27:48</t>
        </is>
      </c>
      <c r="F1144" s="59" t="inlineStr">
        <is>
          <t>22 giờ trước</t>
        </is>
      </c>
      <c r="G1144" s="61" t="n">
        <v>0.92</v>
      </c>
      <c r="H1144" s="62" t="n">
        <v>32</v>
      </c>
      <c r="I1144" s="9" t="inlineStr">
        <is>
          <t>Pet Owner / Cộng đồng nuôi cún (10đ)</t>
        </is>
      </c>
      <c r="J1144" s="62" t="n">
        <v>10</v>
      </c>
      <c r="K1144" s="9" t="inlineStr">
        <is>
          <t>Chưa rõ giống (Cần quét Bio)</t>
        </is>
      </c>
      <c r="L1144" s="62" t="n">
        <v>0</v>
      </c>
      <c r="M1144" s="62" t="n">
        <v>0</v>
      </c>
      <c r="N1144" s="9" t="inlineStr">
        <is>
          <t>Amazon link not found</t>
        </is>
      </c>
      <c r="O1144" s="62">
        <f>IF(N1144="Selling pet toys + Artificial grass/Pet toilets (TARGET)",15,IF(N1144="Selling artificial grass/pet toilets (TARGET)",10,IF(N1144="Selling pet toys",7,IF(N1144="There's an Amazon link, but no target sales.",3,0))))</f>
        <v/>
      </c>
      <c r="P1144" s="67">
        <f>H1144+J1144+L1144+M1144+O1144</f>
        <v/>
      </c>
      <c r="Q1144" s="69">
        <f>IF(OR(H1144=0,P1144&lt;30),"Tier D (Đóng băng)",IF(P1144&gt;=85,"Tier S (Kim Cương: 85-100đ)",IF(P1144&gt;=70,"Tier A (Vàng: 70-84đ)",IF(P1144&gt;=61,"Tier B+ / Cấp A (Hot Lead: 61-69đ)",IF(P1144&gt;=50,"Tier B (Bạc: 50-60đ)","Tier C (Đồng: 30-49đ)")))))</f>
        <v/>
      </c>
      <c r="R1144" s="9" t="inlineStr">
        <is>
          <t>Khay vệ sinh chung cư (Indoor Potty) + Thảm cỏ ban công (Grass Patch) + Đồ chơi</t>
        </is>
      </c>
      <c r="S1144" s="9" t="inlineStr">
        <is>
          <t>Cấp C Chi phí thấp: Nhắn tin trực tiếp qua Fanpage Facebook/Instagram + Nuôi dưỡng nội dung</t>
        </is>
      </c>
    </row>
    <row r="1145">
      <c r="A1145" s="53" t="n">
        <v>243</v>
      </c>
      <c r="B1145" s="12" t="inlineStr">
        <is>
          <t>petercronethemindarchitect</t>
        </is>
      </c>
      <c r="C1145" s="54" t="inlineStr">
        <is>
          <t>https://www.facebook.com/petercronethemindarchitect</t>
        </is>
      </c>
      <c r="D1145" s="6" t="inlineStr">
        <is>
          <t>Cần quét Bio Fanpage</t>
        </is>
      </c>
      <c r="E1145" s="53" t="inlineStr">
        <is>
          <t>12/10/2026 03:22:46</t>
        </is>
      </c>
      <c r="F1145" s="53" t="inlineStr">
        <is>
          <t>21 giờ trước</t>
        </is>
      </c>
      <c r="G1145" s="55" t="n">
        <v>0.88</v>
      </c>
      <c r="H1145" s="56" t="n">
        <v>32</v>
      </c>
      <c r="I1145" s="6" t="inlineStr">
        <is>
          <t>Pet Owner / Cộng đồng nuôi cún (10đ)</t>
        </is>
      </c>
      <c r="J1145" s="56" t="n">
        <v>10</v>
      </c>
      <c r="K1145" s="6" t="inlineStr">
        <is>
          <t>Chưa rõ giống (Cần quét Bio)</t>
        </is>
      </c>
      <c r="L1145" s="56" t="n">
        <v>0</v>
      </c>
      <c r="M1145" s="56" t="n">
        <v>0</v>
      </c>
      <c r="N1145" s="6" t="inlineStr">
        <is>
          <t>Amazon link not found</t>
        </is>
      </c>
      <c r="O1145" s="56">
        <f>IF(N1145="Selling pet toys + Artificial grass/Pet toilets (TARGET)",15,IF(N1145="Selling artificial grass/pet toilets (TARGET)",10,IF(N1145="Selling pet toys",7,IF(N1145="There's an Amazon link, but no target sales.",3,0))))</f>
        <v/>
      </c>
      <c r="P1145" s="65">
        <f>H1145+J1145+L1145+M1145+O1145</f>
        <v/>
      </c>
      <c r="Q1145" s="69">
        <f>IF(OR(H1145=0,P1145&lt;30),"Tier D (Đóng băng)",IF(P1145&gt;=85,"Tier S (Kim Cương: 85-100đ)",IF(P1145&gt;=70,"Tier A (Vàng: 70-84đ)",IF(P1145&gt;=61,"Tier B+ / Cấp A (Hot Lead: 61-69đ)",IF(P1145&gt;=50,"Tier B (Bạc: 50-60đ)","Tier C (Đồng: 30-49đ)")))))</f>
        <v/>
      </c>
      <c r="R1145" s="6" t="inlineStr">
        <is>
          <t>Khay vệ sinh chung cư (Indoor Potty) + Thảm cỏ ban công (Grass Patch) + Đồ chơi</t>
        </is>
      </c>
      <c r="S1145" s="6" t="inlineStr">
        <is>
          <t>Cấp C Chi phí thấp: Nhắn tin trực tiếp qua Fanpage Facebook/Instagram + Nuôi dưỡng nội dung</t>
        </is>
      </c>
    </row>
    <row r="1146">
      <c r="A1146" s="59" t="n">
        <v>1620</v>
      </c>
      <c r="B1146" s="15" t="inlineStr">
        <is>
          <t>Harvey The Rescue</t>
        </is>
      </c>
      <c r="C1146" s="60" t="inlineStr">
        <is>
          <t>https://www.facebook.com/profile.php?id=100083445006029</t>
        </is>
      </c>
      <c r="D1146" s="9" t="inlineStr">
        <is>
          <t>Cần quét Bio Fanpage</t>
        </is>
      </c>
      <c r="E1146" s="59" t="inlineStr">
        <is>
          <t>12/10/2026 03:18:16</t>
        </is>
      </c>
      <c r="F1146" s="59" t="inlineStr">
        <is>
          <t>1 ngày trước</t>
        </is>
      </c>
      <c r="G1146" s="61" t="n">
        <v>1</v>
      </c>
      <c r="H1146" s="62" t="n">
        <v>28</v>
      </c>
      <c r="I1146" s="9" t="inlineStr">
        <is>
          <t>Pet Rescue / Trạm cứu trợ (14-16đ)</t>
        </is>
      </c>
      <c r="J1146" s="62" t="n">
        <v>14</v>
      </c>
      <c r="K1146" s="9" t="inlineStr">
        <is>
          <t>Chưa rõ giống (Cần quét Bio)</t>
        </is>
      </c>
      <c r="L1146" s="62" t="n">
        <v>0</v>
      </c>
      <c r="M1146" s="62" t="n">
        <v>0</v>
      </c>
      <c r="N1146" s="9" t="inlineStr">
        <is>
          <t>Amazon link not found</t>
        </is>
      </c>
      <c r="O1146" s="62">
        <f>IF(N1146="Selling pet toys + Artificial grass/Pet toilets (TARGET)",15,IF(N1146="Selling artificial grass/pet toilets (TARGET)",10,IF(N1146="Selling pet toys",7,IF(N1146="There's an Amazon link, but no target sales.",3,0))))</f>
        <v/>
      </c>
      <c r="P1146" s="67">
        <f>H1146+J1146+L1146+M1146+O1146</f>
        <v/>
      </c>
      <c r="Q1146" s="69">
        <f>IF(OR(H1146=0,P1146&lt;30),"Tier D (Đóng băng)",IF(P1146&gt;=85,"Tier S (Kim Cương: 85-100đ)",IF(P1146&gt;=70,"Tier A (Vàng: 70-84đ)",IF(P1146&gt;=61,"Tier B+ / Cấp A (Hot Lead: 61-69đ)",IF(P1146&gt;=50,"Tier B (Bạc: 50-60đ)","Tier C (Đồng: 30-49đ)")))))</f>
        <v/>
      </c>
      <c r="R1146" s="9" t="inlineStr">
        <is>
          <t>Nhà vệ sinh &amp; Tã lót (Potty Tray / Pee Pads) + Cỏ nhân tạo lót chuồng</t>
        </is>
      </c>
      <c r="S1146" s="9" t="inlineStr">
        <is>
          <t>Cấp C Chi phí thấp: Nhắn tin trực tiếp qua Fanpage Facebook/Instagram + Nuôi dưỡng nội dung</t>
        </is>
      </c>
    </row>
    <row r="1147">
      <c r="A1147" s="53" t="n">
        <v>231</v>
      </c>
      <c r="B1147" s="12" t="inlineStr">
        <is>
          <t>Nitradog</t>
        </is>
      </c>
      <c r="C1147" s="54" t="inlineStr">
        <is>
          <t>https://www.facebook.com/nitradog.sk</t>
        </is>
      </c>
      <c r="D1147" s="6" t="inlineStr">
        <is>
          <t>Cần quét Bio Fanpage</t>
        </is>
      </c>
      <c r="E1147" s="53" t="inlineStr">
        <is>
          <t>12/10/2026 03:02:23</t>
        </is>
      </c>
      <c r="F1147" s="53" t="inlineStr">
        <is>
          <t>22 giờ trước</t>
        </is>
      </c>
      <c r="G1147" s="55" t="n">
        <v>0.92</v>
      </c>
      <c r="H1147" s="56" t="n">
        <v>32</v>
      </c>
      <c r="I1147" s="6" t="inlineStr">
        <is>
          <t>Pet Owner / Cộng đồng nuôi cún (10đ)</t>
        </is>
      </c>
      <c r="J1147" s="56" t="n">
        <v>10</v>
      </c>
      <c r="K1147" s="6" t="inlineStr">
        <is>
          <t>Chưa rõ giống (Cần quét Bio)</t>
        </is>
      </c>
      <c r="L1147" s="56" t="n">
        <v>0</v>
      </c>
      <c r="M1147" s="56" t="n">
        <v>0</v>
      </c>
      <c r="N1147" s="6" t="inlineStr">
        <is>
          <t>Amazon link not found</t>
        </is>
      </c>
      <c r="O1147" s="56">
        <f>IF(N1147="Selling pet toys + Artificial grass/Pet toilets (TARGET)",15,IF(N1147="Selling artificial grass/pet toilets (TARGET)",10,IF(N1147="Selling pet toys",7,IF(N1147="There's an Amazon link, but no target sales.",3,0))))</f>
        <v/>
      </c>
      <c r="P1147" s="65">
        <f>H1147+J1147+L1147+M1147+O1147</f>
        <v/>
      </c>
      <c r="Q1147" s="69">
        <f>IF(OR(H1147=0,P1147&lt;30),"Tier D (Đóng băng)",IF(P1147&gt;=85,"Tier S (Kim Cương: 85-100đ)",IF(P1147&gt;=70,"Tier A (Vàng: 70-84đ)",IF(P1147&gt;=61,"Tier B+ / Cấp A (Hot Lead: 61-69đ)",IF(P1147&gt;=50,"Tier B (Bạc: 50-60đ)","Tier C (Đồng: 30-49đ)")))))</f>
        <v/>
      </c>
      <c r="R1147" s="6" t="inlineStr">
        <is>
          <t>Khay vệ sinh chung cư (Indoor Potty) + Thảm cỏ ban công (Grass Patch) + Đồ chơi</t>
        </is>
      </c>
      <c r="S1147" s="6" t="inlineStr">
        <is>
          <t>Cấp C Chi phí thấp: Nhắn tin trực tiếp qua Fanpage Facebook/Instagram + Nuôi dưỡng nội dung</t>
        </is>
      </c>
    </row>
    <row r="1148">
      <c r="A1148" s="59" t="n">
        <v>721</v>
      </c>
      <c r="B1148" s="15" t="inlineStr">
        <is>
          <t>BondiRescueTV</t>
        </is>
      </c>
      <c r="C1148" s="60" t="inlineStr">
        <is>
          <t>https://www.facebook.com/BondiRescueTV</t>
        </is>
      </c>
      <c r="D1148" s="9" t="inlineStr">
        <is>
          <t>Cần quét Bio Fanpage</t>
        </is>
      </c>
      <c r="E1148" s="59" t="inlineStr">
        <is>
          <t>12/10/2026 03:00:19</t>
        </is>
      </c>
      <c r="F1148" s="59" t="inlineStr">
        <is>
          <t>23 giờ trước</t>
        </is>
      </c>
      <c r="G1148" s="61" t="n">
        <v>0.96</v>
      </c>
      <c r="H1148" s="62" t="n">
        <v>32</v>
      </c>
      <c r="I1148" s="9" t="inlineStr">
        <is>
          <t>Pet Owner / Cộng đồng nuôi cún (10đ)</t>
        </is>
      </c>
      <c r="J1148" s="62" t="n">
        <v>10</v>
      </c>
      <c r="K1148" s="9" t="inlineStr">
        <is>
          <t>Chưa rõ giống (Cần quét Bio)</t>
        </is>
      </c>
      <c r="L1148" s="62" t="n">
        <v>0</v>
      </c>
      <c r="M1148" s="62" t="n">
        <v>0</v>
      </c>
      <c r="N1148" s="9" t="inlineStr">
        <is>
          <t>Amazon link not found</t>
        </is>
      </c>
      <c r="O1148" s="62">
        <f>IF(N1148="Selling pet toys + Artificial grass/Pet toilets (TARGET)",15,IF(N1148="Selling artificial grass/pet toilets (TARGET)",10,IF(N1148="Selling pet toys",7,IF(N1148="There's an Amazon link, but no target sales.",3,0))))</f>
        <v/>
      </c>
      <c r="P1148" s="67">
        <f>H1148+J1148+L1148+M1148+O1148</f>
        <v/>
      </c>
      <c r="Q1148" s="69">
        <f>IF(OR(H1148=0,P1148&lt;30),"Tier D (Đóng băng)",IF(P1148&gt;=85,"Tier S (Kim Cương: 85-100đ)",IF(P1148&gt;=70,"Tier A (Vàng: 70-84đ)",IF(P1148&gt;=61,"Tier B+ / Cấp A (Hot Lead: 61-69đ)",IF(P1148&gt;=50,"Tier B (Bạc: 50-60đ)","Tier C (Đồng: 30-49đ)")))))</f>
        <v/>
      </c>
      <c r="R1148" s="9" t="inlineStr">
        <is>
          <t>Khay vệ sinh chung cư (Indoor Potty) + Thảm cỏ ban công (Grass Patch) + Đồ chơi</t>
        </is>
      </c>
      <c r="S1148" s="9" t="inlineStr">
        <is>
          <t>Cấp C Chi phí thấp: Nhắn tin trực tiếp qua Fanpage Facebook/Instagram + Nuôi dưỡng nội dung</t>
        </is>
      </c>
    </row>
    <row r="1149">
      <c r="A1149" s="53" t="n">
        <v>3157</v>
      </c>
      <c r="B1149" s="12" t="inlineStr">
        <is>
          <t>The Riley Rescue</t>
        </is>
      </c>
      <c r="C1149" s="54" t="inlineStr">
        <is>
          <t>https://www.facebook.com/rileysrescue</t>
        </is>
      </c>
      <c r="D1149" s="6" t="inlineStr">
        <is>
          <t>Cần quét Bio Fanpage</t>
        </is>
      </c>
      <c r="E1149" s="53" t="inlineStr">
        <is>
          <t>12/10/2026 02:16:11</t>
        </is>
      </c>
      <c r="F1149" s="53" t="inlineStr">
        <is>
          <t>1 ngày trước</t>
        </is>
      </c>
      <c r="G1149" s="55" t="n">
        <v>1</v>
      </c>
      <c r="H1149" s="56" t="n">
        <v>28</v>
      </c>
      <c r="I1149" s="6" t="inlineStr">
        <is>
          <t>Pet Rescue / Trạm cứu trợ (14-16đ)</t>
        </is>
      </c>
      <c r="J1149" s="56" t="n">
        <v>14</v>
      </c>
      <c r="K1149" s="6" t="inlineStr">
        <is>
          <t>Chưa rõ giống (Cần quét Bio)</t>
        </is>
      </c>
      <c r="L1149" s="56" t="n">
        <v>0</v>
      </c>
      <c r="M1149" s="56" t="n">
        <v>0</v>
      </c>
      <c r="N1149" s="6" t="inlineStr">
        <is>
          <t>Amazon link not found</t>
        </is>
      </c>
      <c r="O1149" s="56">
        <f>IF(N1149="Selling pet toys + Artificial grass/Pet toilets (TARGET)",15,IF(N1149="Selling artificial grass/pet toilets (TARGET)",10,IF(N1149="Selling pet toys",7,IF(N1149="There's an Amazon link, but no target sales.",3,0))))</f>
        <v/>
      </c>
      <c r="P1149" s="65">
        <f>H1149+J1149+L1149+M1149+O1149</f>
        <v/>
      </c>
      <c r="Q1149" s="69">
        <f>IF(OR(H1149=0,P1149&lt;30),"Tier D (Đóng băng)",IF(P1149&gt;=85,"Tier S (Kim Cương: 85-100đ)",IF(P1149&gt;=70,"Tier A (Vàng: 70-84đ)",IF(P1149&gt;=61,"Tier B+ / Cấp A (Hot Lead: 61-69đ)",IF(P1149&gt;=50,"Tier B (Bạc: 50-60đ)","Tier C (Đồng: 30-49đ)")))))</f>
        <v/>
      </c>
      <c r="R1149" s="6" t="inlineStr">
        <is>
          <t>Nhà vệ sinh &amp; Tã lót (Potty Tray / Pee Pads) + Cỏ nhân tạo lót chuồng</t>
        </is>
      </c>
      <c r="S1149" s="6" t="inlineStr">
        <is>
          <t>Cấp C Chi phí thấp: Nhắn tin trực tiếp qua Fanpage Facebook/Instagram + Nuôi dưỡng nội dung</t>
        </is>
      </c>
    </row>
    <row r="1150">
      <c r="A1150" s="59" t="n">
        <v>255</v>
      </c>
      <c r="B1150" s="15" t="inlineStr">
        <is>
          <t>Rockymountaindog</t>
        </is>
      </c>
      <c r="C1150" s="60" t="inlineStr">
        <is>
          <t>https://www.facebook.com/rockymountaindog</t>
        </is>
      </c>
      <c r="D1150" s="9" t="inlineStr">
        <is>
          <t>Cần quét Bio Fanpage</t>
        </is>
      </c>
      <c r="E1150" s="59" t="inlineStr">
        <is>
          <t>12/10/2026 01:49:37</t>
        </is>
      </c>
      <c r="F1150" s="59" t="inlineStr">
        <is>
          <t>23 giờ trước</t>
        </is>
      </c>
      <c r="G1150" s="61" t="n">
        <v>0.96</v>
      </c>
      <c r="H1150" s="62" t="n">
        <v>32</v>
      </c>
      <c r="I1150" s="9" t="inlineStr">
        <is>
          <t>Pet Owner / Cộng đồng nuôi cún (10đ)</t>
        </is>
      </c>
      <c r="J1150" s="62" t="n">
        <v>10</v>
      </c>
      <c r="K1150" s="9" t="inlineStr">
        <is>
          <t>Chưa rõ giống (Cần quét Bio)</t>
        </is>
      </c>
      <c r="L1150" s="62" t="n">
        <v>0</v>
      </c>
      <c r="M1150" s="62" t="n">
        <v>0</v>
      </c>
      <c r="N1150" s="9" t="inlineStr">
        <is>
          <t>Amazon link not found</t>
        </is>
      </c>
      <c r="O1150" s="62">
        <f>IF(N1150="Selling pet toys + Artificial grass/Pet toilets (TARGET)",15,IF(N1150="Selling artificial grass/pet toilets (TARGET)",10,IF(N1150="Selling pet toys",7,IF(N1150="There's an Amazon link, but no target sales.",3,0))))</f>
        <v/>
      </c>
      <c r="P1150" s="67">
        <f>H1150+J1150+L1150+M1150+O1150</f>
        <v/>
      </c>
      <c r="Q1150" s="69">
        <f>IF(OR(H1150=0,P1150&lt;30),"Tier D (Đóng băng)",IF(P1150&gt;=85,"Tier S (Kim Cương: 85-100đ)",IF(P1150&gt;=70,"Tier A (Vàng: 70-84đ)",IF(P1150&gt;=61,"Tier B+ / Cấp A (Hot Lead: 61-69đ)",IF(P1150&gt;=50,"Tier B (Bạc: 50-60đ)","Tier C (Đồng: 30-49đ)")))))</f>
        <v/>
      </c>
      <c r="R1150" s="9" t="inlineStr">
        <is>
          <t>Khay vệ sinh chung cư (Indoor Potty) + Thảm cỏ ban công (Grass Patch) + Đồ chơi</t>
        </is>
      </c>
      <c r="S1150" s="9" t="inlineStr">
        <is>
          <t>Cấp C Chi phí thấp: Nhắn tin trực tiếp qua Fanpage Facebook/Instagram + Nuôi dưỡng nội dung</t>
        </is>
      </c>
    </row>
    <row r="1151">
      <c r="A1151" s="53" t="n">
        <v>160</v>
      </c>
      <c r="B1151" s="12" t="inlineStr">
        <is>
          <t>drjordanpeterson</t>
        </is>
      </c>
      <c r="C1151" s="54" t="inlineStr">
        <is>
          <t>https://www.facebook.com/drjordanpeterson</t>
        </is>
      </c>
      <c r="D1151" s="6" t="inlineStr">
        <is>
          <t>Cần quét Bio Fanpage</t>
        </is>
      </c>
      <c r="E1151" s="53" t="inlineStr">
        <is>
          <t>12/10/2026 01:35:25</t>
        </is>
      </c>
      <c r="F1151" s="53" t="inlineStr">
        <is>
          <t>23 giờ trước</t>
        </is>
      </c>
      <c r="G1151" s="55" t="n">
        <v>0.96</v>
      </c>
      <c r="H1151" s="56" t="n">
        <v>32</v>
      </c>
      <c r="I1151" s="6" t="inlineStr">
        <is>
          <t>Pet Owner / Cộng đồng nuôi cún (10đ)</t>
        </is>
      </c>
      <c r="J1151" s="56" t="n">
        <v>10</v>
      </c>
      <c r="K1151" s="6" t="inlineStr">
        <is>
          <t>Chưa rõ giống (Cần quét Bio)</t>
        </is>
      </c>
      <c r="L1151" s="56" t="n">
        <v>0</v>
      </c>
      <c r="M1151" s="56" t="n">
        <v>0</v>
      </c>
      <c r="N1151" s="6" t="inlineStr">
        <is>
          <t>Amazon link not found</t>
        </is>
      </c>
      <c r="O1151" s="56">
        <f>IF(N1151="Selling pet toys + Artificial grass/Pet toilets (TARGET)",15,IF(N1151="Selling artificial grass/pet toilets (TARGET)",10,IF(N1151="Selling pet toys",7,IF(N1151="There's an Amazon link, but no target sales.",3,0))))</f>
        <v/>
      </c>
      <c r="P1151" s="65">
        <f>H1151+J1151+L1151+M1151+O1151</f>
        <v/>
      </c>
      <c r="Q1151" s="69">
        <f>IF(OR(H1151=0,P1151&lt;30),"Tier D (Đóng băng)",IF(P1151&gt;=85,"Tier S (Kim Cương: 85-100đ)",IF(P1151&gt;=70,"Tier A (Vàng: 70-84đ)",IF(P1151&gt;=61,"Tier B+ / Cấp A (Hot Lead: 61-69đ)",IF(P1151&gt;=50,"Tier B (Bạc: 50-60đ)","Tier C (Đồng: 30-49đ)")))))</f>
        <v/>
      </c>
      <c r="R1151" s="6" t="inlineStr">
        <is>
          <t>Khay vệ sinh chung cư (Indoor Potty) + Thảm cỏ ban công (Grass Patch) + Đồ chơi</t>
        </is>
      </c>
      <c r="S1151" s="6" t="inlineStr">
        <is>
          <t>Cấp C Chi phí thấp: Nhắn tin trực tiếp qua Fanpage Facebook/Instagram + Nuôi dưỡng nội dung</t>
        </is>
      </c>
    </row>
    <row r="1152">
      <c r="A1152" s="59" t="n">
        <v>3361</v>
      </c>
      <c r="B1152" s="15" t="inlineStr">
        <is>
          <t>Wags N Wishes - NorCal Animal Rescue</t>
        </is>
      </c>
      <c r="C1152" s="60" t="inlineStr">
        <is>
          <t>https://www.facebook.com/WagsNWishes</t>
        </is>
      </c>
      <c r="D1152" s="9" t="inlineStr">
        <is>
          <t>Cần quét Bio Fanpage</t>
        </is>
      </c>
      <c r="E1152" s="59" t="inlineStr">
        <is>
          <t>12/10/2026 01:31:02</t>
        </is>
      </c>
      <c r="F1152" s="59" t="inlineStr">
        <is>
          <t>1 ngày trước</t>
        </is>
      </c>
      <c r="G1152" s="61" t="n">
        <v>1</v>
      </c>
      <c r="H1152" s="62" t="n">
        <v>28</v>
      </c>
      <c r="I1152" s="9" t="inlineStr">
        <is>
          <t>Pet Rescue / Trạm cứu trợ (14-16đ)</t>
        </is>
      </c>
      <c r="J1152" s="62" t="n">
        <v>14</v>
      </c>
      <c r="K1152" s="9" t="inlineStr">
        <is>
          <t>Chưa rõ giống (Cần quét Bio)</t>
        </is>
      </c>
      <c r="L1152" s="62" t="n">
        <v>0</v>
      </c>
      <c r="M1152" s="62" t="n">
        <v>0</v>
      </c>
      <c r="N1152" s="9" t="inlineStr">
        <is>
          <t>Amazon link not found</t>
        </is>
      </c>
      <c r="O1152" s="62">
        <f>IF(N1152="Selling pet toys + Artificial grass/Pet toilets (TARGET)",15,IF(N1152="Selling artificial grass/pet toilets (TARGET)",10,IF(N1152="Selling pet toys",7,IF(N1152="There's an Amazon link, but no target sales.",3,0))))</f>
        <v/>
      </c>
      <c r="P1152" s="67">
        <f>H1152+J1152+L1152+M1152+O1152</f>
        <v/>
      </c>
      <c r="Q1152" s="69">
        <f>IF(OR(H1152=0,P1152&lt;30),"Tier D (Đóng băng)",IF(P1152&gt;=85,"Tier S (Kim Cương: 85-100đ)",IF(P1152&gt;=70,"Tier A (Vàng: 70-84đ)",IF(P1152&gt;=61,"Tier B+ / Cấp A (Hot Lead: 61-69đ)",IF(P1152&gt;=50,"Tier B (Bạc: 50-60đ)","Tier C (Đồng: 30-49đ)")))))</f>
        <v/>
      </c>
      <c r="R1152" s="9" t="inlineStr">
        <is>
          <t>Nhà vệ sinh &amp; Tã lót (Potty Tray / Pee Pads) + Cỏ nhân tạo lót chuồng</t>
        </is>
      </c>
      <c r="S1152" s="9" t="inlineStr">
        <is>
          <t>Cấp C Chi phí thấp: Nhắn tin trực tiếp qua Fanpage Facebook/Instagram + Nuôi dưỡng nội dung</t>
        </is>
      </c>
    </row>
    <row r="1153">
      <c r="A1153" s="53" t="n">
        <v>3390</v>
      </c>
      <c r="B1153" s="12" t="inlineStr">
        <is>
          <t>West Memphis Animal Shelter</t>
        </is>
      </c>
      <c r="C1153" s="54" t="inlineStr">
        <is>
          <t>https://www.facebook.com/westmemphisanimalshelter</t>
        </is>
      </c>
      <c r="D1153" s="6" t="inlineStr">
        <is>
          <t>Cần quét Bio Fanpage</t>
        </is>
      </c>
      <c r="E1153" s="53" t="inlineStr">
        <is>
          <t>12/10/2026 01:24:49</t>
        </is>
      </c>
      <c r="F1153" s="53" t="inlineStr">
        <is>
          <t>1 ngày trước</t>
        </is>
      </c>
      <c r="G1153" s="55" t="n">
        <v>1</v>
      </c>
      <c r="H1153" s="56" t="n">
        <v>28</v>
      </c>
      <c r="I1153" s="6" t="inlineStr">
        <is>
          <t>Pet Rescue / Trạm cứu trợ (14-16đ)</t>
        </is>
      </c>
      <c r="J1153" s="56" t="n">
        <v>14</v>
      </c>
      <c r="K1153" s="6" t="inlineStr">
        <is>
          <t>Chưa rõ giống (Cần quét Bio)</t>
        </is>
      </c>
      <c r="L1153" s="56" t="n">
        <v>0</v>
      </c>
      <c r="M1153" s="56" t="n">
        <v>0</v>
      </c>
      <c r="N1153" s="6" t="inlineStr">
        <is>
          <t>Amazon link not found</t>
        </is>
      </c>
      <c r="O1153" s="56">
        <f>IF(N1153="Selling pet toys + Artificial grass/Pet toilets (TARGET)",15,IF(N1153="Selling artificial grass/pet toilets (TARGET)",10,IF(N1153="Selling pet toys",7,IF(N1153="There's an Amazon link, but no target sales.",3,0))))</f>
        <v/>
      </c>
      <c r="P1153" s="65">
        <f>H1153+J1153+L1153+M1153+O1153</f>
        <v/>
      </c>
      <c r="Q1153" s="69">
        <f>IF(OR(H1153=0,P1153&lt;30),"Tier D (Đóng băng)",IF(P1153&gt;=85,"Tier S (Kim Cương: 85-100đ)",IF(P1153&gt;=70,"Tier A (Vàng: 70-84đ)",IF(P1153&gt;=61,"Tier B+ / Cấp A (Hot Lead: 61-69đ)",IF(P1153&gt;=50,"Tier B (Bạc: 50-60đ)","Tier C (Đồng: 30-49đ)")))))</f>
        <v/>
      </c>
      <c r="R1153" s="6" t="inlineStr">
        <is>
          <t>Nhà vệ sinh &amp; Tã lót (Potty Tray / Pee Pads) + Cỏ nhân tạo lót chuồng</t>
        </is>
      </c>
      <c r="S1153" s="6" t="inlineStr">
        <is>
          <t>Cấp C Chi phí thấp: Nhắn tin trực tiếp qua Fanpage Facebook/Instagram + Nuôi dưỡng nội dung</t>
        </is>
      </c>
    </row>
    <row r="1154">
      <c r="A1154" s="59" t="n">
        <v>1647</v>
      </c>
      <c r="B1154" s="15" t="inlineStr">
        <is>
          <t>Herding Dog Rescue of Central Oregon</t>
        </is>
      </c>
      <c r="C1154" s="60" t="inlineStr">
        <is>
          <t>https://www.facebook.com/HerdingDogRescueofCentralOregon</t>
        </is>
      </c>
      <c r="D1154" s="9" t="inlineStr">
        <is>
          <t>Cần quét Bio Fanpage</t>
        </is>
      </c>
      <c r="E1154" s="59" t="inlineStr">
        <is>
          <t>12/10/2026 00:15:03</t>
        </is>
      </c>
      <c r="F1154" s="59" t="inlineStr">
        <is>
          <t>1 ngày trước</t>
        </is>
      </c>
      <c r="G1154" s="61" t="n">
        <v>1</v>
      </c>
      <c r="H1154" s="62" t="n">
        <v>28</v>
      </c>
      <c r="I1154" s="9" t="inlineStr">
        <is>
          <t>Pet Rescue / Trạm cứu trợ (14-16đ)</t>
        </is>
      </c>
      <c r="J1154" s="62" t="n">
        <v>14</v>
      </c>
      <c r="K1154" s="9" t="inlineStr">
        <is>
          <t>Chưa rõ giống (Cần quét Bio)</t>
        </is>
      </c>
      <c r="L1154" s="62" t="n">
        <v>0</v>
      </c>
      <c r="M1154" s="62" t="n">
        <v>0</v>
      </c>
      <c r="N1154" s="9" t="inlineStr">
        <is>
          <t>Amazon link not found</t>
        </is>
      </c>
      <c r="O1154" s="62">
        <f>IF(N1154="Selling pet toys + Artificial grass/Pet toilets (TARGET)",15,IF(N1154="Selling artificial grass/pet toilets (TARGET)",10,IF(N1154="Selling pet toys",7,IF(N1154="There's an Amazon link, but no target sales.",3,0))))</f>
        <v/>
      </c>
      <c r="P1154" s="67">
        <f>H1154+J1154+L1154+M1154+O1154</f>
        <v/>
      </c>
      <c r="Q1154" s="69">
        <f>IF(OR(H1154=0,P1154&lt;30),"Tier D (Đóng băng)",IF(P1154&gt;=85,"Tier S (Kim Cương: 85-100đ)",IF(P1154&gt;=70,"Tier A (Vàng: 70-84đ)",IF(P1154&gt;=61,"Tier B+ / Cấp A (Hot Lead: 61-69đ)",IF(P1154&gt;=50,"Tier B (Bạc: 50-60đ)","Tier C (Đồng: 30-49đ)")))))</f>
        <v/>
      </c>
      <c r="R1154" s="9" t="inlineStr">
        <is>
          <t>Nhà vệ sinh &amp; Tã lót (Potty Tray / Pee Pads) + Cỏ nhân tạo lót chuồng</t>
        </is>
      </c>
      <c r="S1154" s="9" t="inlineStr">
        <is>
          <t>Cấp C Chi phí thấp: Nhắn tin trực tiếp qua Fanpage Facebook/Instagram + Nuôi dưỡng nội dung</t>
        </is>
      </c>
    </row>
    <row r="1155">
      <c r="A1155" s="53" t="n">
        <v>3482</v>
      </c>
      <c r="B1155" s="12" t="inlineStr">
        <is>
          <t>Ziva Dog Rescue</t>
        </is>
      </c>
      <c r="C1155" s="54" t="inlineStr">
        <is>
          <t>https://www.facebook.com/zivadogrescue</t>
        </is>
      </c>
      <c r="D1155" s="6" t="inlineStr">
        <is>
          <t>Cần quét Bio Fanpage</t>
        </is>
      </c>
      <c r="E1155" s="53" t="inlineStr">
        <is>
          <t>11/10/2026 22:50:42</t>
        </is>
      </c>
      <c r="F1155" s="53" t="inlineStr">
        <is>
          <t>1 ngày trước</t>
        </is>
      </c>
      <c r="G1155" s="55" t="n">
        <v>1</v>
      </c>
      <c r="H1155" s="56" t="n">
        <v>28</v>
      </c>
      <c r="I1155" s="6" t="inlineStr">
        <is>
          <t>Pet Rescue / Trạm cứu trợ (14-16đ)</t>
        </is>
      </c>
      <c r="J1155" s="56" t="n">
        <v>14</v>
      </c>
      <c r="K1155" s="6" t="inlineStr">
        <is>
          <t>Chưa rõ giống (Cần quét Bio)</t>
        </is>
      </c>
      <c r="L1155" s="56" t="n">
        <v>0</v>
      </c>
      <c r="M1155" s="56" t="n">
        <v>0</v>
      </c>
      <c r="N1155" s="6" t="inlineStr">
        <is>
          <t>Amazon link not found</t>
        </is>
      </c>
      <c r="O1155" s="56">
        <f>IF(N1155="Selling pet toys + Artificial grass/Pet toilets (TARGET)",15,IF(N1155="Selling artificial grass/pet toilets (TARGET)",10,IF(N1155="Selling pet toys",7,IF(N1155="There's an Amazon link, but no target sales.",3,0))))</f>
        <v/>
      </c>
      <c r="P1155" s="65">
        <f>H1155+J1155+L1155+M1155+O1155</f>
        <v/>
      </c>
      <c r="Q1155" s="69">
        <f>IF(OR(H1155=0,P1155&lt;30),"Tier D (Đóng băng)",IF(P1155&gt;=85,"Tier S (Kim Cương: 85-100đ)",IF(P1155&gt;=70,"Tier A (Vàng: 70-84đ)",IF(P1155&gt;=61,"Tier B+ / Cấp A (Hot Lead: 61-69đ)",IF(P1155&gt;=50,"Tier B (Bạc: 50-60đ)","Tier C (Đồng: 30-49đ)")))))</f>
        <v/>
      </c>
      <c r="R1155" s="6" t="inlineStr">
        <is>
          <t>Nhà vệ sinh &amp; Tã lót (Potty Tray / Pee Pads) + Cỏ nhân tạo lót chuồng</t>
        </is>
      </c>
      <c r="S1155" s="6" t="inlineStr">
        <is>
          <t>Cấp C Chi phí thấp: Nhắn tin trực tiếp qua Fanpage Facebook/Instagram + Nuôi dưỡng nội dung</t>
        </is>
      </c>
    </row>
    <row r="1156">
      <c r="A1156" s="59" t="n">
        <v>2228</v>
      </c>
      <c r="B1156" s="15" t="inlineStr">
        <is>
          <t>Mr. Mrs. Bee Rescue</t>
        </is>
      </c>
      <c r="C1156" s="60" t="inlineStr">
        <is>
          <t>https://www.facebook.com/mr.and.mrs.beerescue</t>
        </is>
      </c>
      <c r="D1156" s="9" t="inlineStr">
        <is>
          <t>Cần quét Bio Fanpage</t>
        </is>
      </c>
      <c r="E1156" s="59" t="inlineStr">
        <is>
          <t>11/10/2026 22:26:58</t>
        </is>
      </c>
      <c r="F1156" s="59" t="inlineStr">
        <is>
          <t>1 ngày trước</t>
        </is>
      </c>
      <c r="G1156" s="61" t="n">
        <v>1</v>
      </c>
      <c r="H1156" s="62" t="n">
        <v>28</v>
      </c>
      <c r="I1156" s="9" t="inlineStr">
        <is>
          <t>Pet Rescue / Trạm cứu trợ (14-16đ)</t>
        </is>
      </c>
      <c r="J1156" s="62" t="n">
        <v>14</v>
      </c>
      <c r="K1156" s="9" t="inlineStr">
        <is>
          <t>Chưa rõ giống (Cần quét Bio)</t>
        </is>
      </c>
      <c r="L1156" s="62" t="n">
        <v>0</v>
      </c>
      <c r="M1156" s="62" t="n">
        <v>0</v>
      </c>
      <c r="N1156" s="9" t="inlineStr">
        <is>
          <t>Amazon link not found</t>
        </is>
      </c>
      <c r="O1156" s="62">
        <f>IF(N1156="Selling pet toys + Artificial grass/Pet toilets (TARGET)",15,IF(N1156="Selling artificial grass/pet toilets (TARGET)",10,IF(N1156="Selling pet toys",7,IF(N1156="There's an Amazon link, but no target sales.",3,0))))</f>
        <v/>
      </c>
      <c r="P1156" s="67">
        <f>H1156+J1156+L1156+M1156+O1156</f>
        <v/>
      </c>
      <c r="Q1156" s="69">
        <f>IF(OR(H1156=0,P1156&lt;30),"Tier D (Đóng băng)",IF(P1156&gt;=85,"Tier S (Kim Cương: 85-100đ)",IF(P1156&gt;=70,"Tier A (Vàng: 70-84đ)",IF(P1156&gt;=61,"Tier B+ / Cấp A (Hot Lead: 61-69đ)",IF(P1156&gt;=50,"Tier B (Bạc: 50-60đ)","Tier C (Đồng: 30-49đ)")))))</f>
        <v/>
      </c>
      <c r="R1156" s="9" t="inlineStr">
        <is>
          <t>Nhà vệ sinh &amp; Tã lót (Potty Tray / Pee Pads) + Cỏ nhân tạo lót chuồng</t>
        </is>
      </c>
      <c r="S1156" s="9" t="inlineStr">
        <is>
          <t>Cấp C Chi phí thấp: Nhắn tin trực tiếp qua Fanpage Facebook/Instagram + Nuôi dưỡng nội dung</t>
        </is>
      </c>
    </row>
    <row r="1157">
      <c r="A1157" s="53" t="n">
        <v>3051</v>
      </c>
      <c r="B1157" s="12" t="inlineStr">
        <is>
          <t>Take My Paw Rescue</t>
        </is>
      </c>
      <c r="C1157" s="54" t="inlineStr">
        <is>
          <t>https://www.facebook.com/takemypaw.rescue</t>
        </is>
      </c>
      <c r="D1157" s="6" t="inlineStr">
        <is>
          <t>Cần quét Bio Fanpage</t>
        </is>
      </c>
      <c r="E1157" s="53" t="inlineStr">
        <is>
          <t>11/10/2026 20:10:35</t>
        </is>
      </c>
      <c r="F1157" s="53" t="inlineStr">
        <is>
          <t>1 ngày trước</t>
        </is>
      </c>
      <c r="G1157" s="55" t="n">
        <v>1</v>
      </c>
      <c r="H1157" s="56" t="n">
        <v>28</v>
      </c>
      <c r="I1157" s="6" t="inlineStr">
        <is>
          <t>Pet Rescue / Trạm cứu trợ (14-16đ)</t>
        </is>
      </c>
      <c r="J1157" s="56" t="n">
        <v>14</v>
      </c>
      <c r="K1157" s="6" t="inlineStr">
        <is>
          <t>Chưa rõ giống (Cần quét Bio)</t>
        </is>
      </c>
      <c r="L1157" s="56" t="n">
        <v>0</v>
      </c>
      <c r="M1157" s="56" t="n">
        <v>0</v>
      </c>
      <c r="N1157" s="6" t="inlineStr">
        <is>
          <t>Amazon link not found</t>
        </is>
      </c>
      <c r="O1157" s="56">
        <f>IF(N1157="Selling pet toys + Artificial grass/Pet toilets (TARGET)",15,IF(N1157="Selling artificial grass/pet toilets (TARGET)",10,IF(N1157="Selling pet toys",7,IF(N1157="There's an Amazon link, but no target sales.",3,0))))</f>
        <v/>
      </c>
      <c r="P1157" s="65">
        <f>H1157+J1157+L1157+M1157+O1157</f>
        <v/>
      </c>
      <c r="Q1157" s="69">
        <f>IF(OR(H1157=0,P1157&lt;30),"Tier D (Đóng băng)",IF(P1157&gt;=85,"Tier S (Kim Cương: 85-100đ)",IF(P1157&gt;=70,"Tier A (Vàng: 70-84đ)",IF(P1157&gt;=61,"Tier B+ / Cấp A (Hot Lead: 61-69đ)",IF(P1157&gt;=50,"Tier B (Bạc: 50-60đ)","Tier C (Đồng: 30-49đ)")))))</f>
        <v/>
      </c>
      <c r="R1157" s="6" t="inlineStr">
        <is>
          <t>Nhà vệ sinh &amp; Tã lót (Potty Tray / Pee Pads) + Cỏ nhân tạo lót chuồng</t>
        </is>
      </c>
      <c r="S1157" s="6" t="inlineStr">
        <is>
          <t>Cấp C Chi phí thấp: Nhắn tin trực tiếp qua Fanpage Facebook/Instagram + Nuôi dưỡng nội dung</t>
        </is>
      </c>
    </row>
    <row r="1158">
      <c r="A1158" s="59" t="n">
        <v>1822</v>
      </c>
      <c r="B1158" s="15" t="inlineStr">
        <is>
          <t>K9 Rouge Rescue</t>
        </is>
      </c>
      <c r="C1158" s="60" t="inlineStr">
        <is>
          <t>https://www.facebook.com/K9rougerescue</t>
        </is>
      </c>
      <c r="D1158" s="9" t="inlineStr">
        <is>
          <t>Cần quét Bio Fanpage</t>
        </is>
      </c>
      <c r="E1158" s="59" t="inlineStr">
        <is>
          <t>11/10/2026 19:18:57</t>
        </is>
      </c>
      <c r="F1158" s="59" t="inlineStr">
        <is>
          <t>1 ngày trước</t>
        </is>
      </c>
      <c r="G1158" s="61" t="n">
        <v>1</v>
      </c>
      <c r="H1158" s="62" t="n">
        <v>28</v>
      </c>
      <c r="I1158" s="9" t="inlineStr">
        <is>
          <t>Pet Rescue / Trạm cứu trợ (14-16đ)</t>
        </is>
      </c>
      <c r="J1158" s="62" t="n">
        <v>14</v>
      </c>
      <c r="K1158" s="9" t="inlineStr">
        <is>
          <t>Chưa rõ giống (Cần quét Bio)</t>
        </is>
      </c>
      <c r="L1158" s="62" t="n">
        <v>0</v>
      </c>
      <c r="M1158" s="62" t="n">
        <v>0</v>
      </c>
      <c r="N1158" s="9" t="inlineStr">
        <is>
          <t>Amazon link not found</t>
        </is>
      </c>
      <c r="O1158" s="62">
        <f>IF(N1158="Selling pet toys + Artificial grass/Pet toilets (TARGET)",15,IF(N1158="Selling artificial grass/pet toilets (TARGET)",10,IF(N1158="Selling pet toys",7,IF(N1158="There's an Amazon link, but no target sales.",3,0))))</f>
        <v/>
      </c>
      <c r="P1158" s="67">
        <f>H1158+J1158+L1158+M1158+O1158</f>
        <v/>
      </c>
      <c r="Q1158" s="69">
        <f>IF(OR(H1158=0,P1158&lt;30),"Tier D (Đóng băng)",IF(P1158&gt;=85,"Tier S (Kim Cương: 85-100đ)",IF(P1158&gt;=70,"Tier A (Vàng: 70-84đ)",IF(P1158&gt;=61,"Tier B+ / Cấp A (Hot Lead: 61-69đ)",IF(P1158&gt;=50,"Tier B (Bạc: 50-60đ)","Tier C (Đồng: 30-49đ)")))))</f>
        <v/>
      </c>
      <c r="R1158" s="9" t="inlineStr">
        <is>
          <t>Nhà vệ sinh &amp; Tã lót (Potty Tray / Pee Pads) + Cỏ nhân tạo lót chuồng</t>
        </is>
      </c>
      <c r="S1158" s="9" t="inlineStr">
        <is>
          <t>Cấp C Chi phí thấp: Nhắn tin trực tiếp qua Fanpage Facebook/Instagram + Nuôi dưỡng nội dung</t>
        </is>
      </c>
    </row>
    <row r="1159">
      <c r="A1159" s="53" t="n">
        <v>2772</v>
      </c>
      <c r="B1159" s="12" t="inlineStr">
        <is>
          <t>Rodney Animal Rescue</t>
        </is>
      </c>
      <c r="C1159" s="54" t="inlineStr">
        <is>
          <t>https://www.facebook.com/RodneyAnimalRescue</t>
        </is>
      </c>
      <c r="D1159" s="6" t="inlineStr">
        <is>
          <t>Cần quét Bio Fanpage</t>
        </is>
      </c>
      <c r="E1159" s="53" t="inlineStr">
        <is>
          <t>11/10/2026 11:01:30</t>
        </is>
      </c>
      <c r="F1159" s="53" t="inlineStr">
        <is>
          <t>1 ngày trước</t>
        </is>
      </c>
      <c r="G1159" s="55" t="n">
        <v>1</v>
      </c>
      <c r="H1159" s="56" t="n">
        <v>28</v>
      </c>
      <c r="I1159" s="6" t="inlineStr">
        <is>
          <t>Pet Rescue / Trạm cứu trợ (14-16đ)</t>
        </is>
      </c>
      <c r="J1159" s="56" t="n">
        <v>14</v>
      </c>
      <c r="K1159" s="6" t="inlineStr">
        <is>
          <t>Chưa rõ giống (Cần quét Bio)</t>
        </is>
      </c>
      <c r="L1159" s="56" t="n">
        <v>0</v>
      </c>
      <c r="M1159" s="56" t="n">
        <v>0</v>
      </c>
      <c r="N1159" s="6" t="inlineStr">
        <is>
          <t>Amazon link not found</t>
        </is>
      </c>
      <c r="O1159" s="56">
        <f>IF(N1159="Selling pet toys + Artificial grass/Pet toilets (TARGET)",15,IF(N1159="Selling artificial grass/pet toilets (TARGET)",10,IF(N1159="Selling pet toys",7,IF(N1159="There's an Amazon link, but no target sales.",3,0))))</f>
        <v/>
      </c>
      <c r="P1159" s="65">
        <f>H1159+J1159+L1159+M1159+O1159</f>
        <v/>
      </c>
      <c r="Q1159" s="69">
        <f>IF(OR(H1159=0,P1159&lt;30),"Tier D (Đóng băng)",IF(P1159&gt;=85,"Tier S (Kim Cương: 85-100đ)",IF(P1159&gt;=70,"Tier A (Vàng: 70-84đ)",IF(P1159&gt;=61,"Tier B+ / Cấp A (Hot Lead: 61-69đ)",IF(P1159&gt;=50,"Tier B (Bạc: 50-60đ)","Tier C (Đồng: 30-49đ)")))))</f>
        <v/>
      </c>
      <c r="R1159" s="6" t="inlineStr">
        <is>
          <t>Nhà vệ sinh &amp; Tã lót (Potty Tray / Pee Pads) + Cỏ nhân tạo lót chuồng</t>
        </is>
      </c>
      <c r="S1159" s="6" t="inlineStr">
        <is>
          <t>Cấp C Chi phí thấp: Nhắn tin trực tiếp qua Fanpage Facebook/Instagram + Nuôi dưỡng nội dung</t>
        </is>
      </c>
    </row>
    <row r="1160">
      <c r="A1160" s="59" t="n">
        <v>437</v>
      </c>
      <c r="B1160" s="15" t="inlineStr">
        <is>
          <t>Angel's Animal Rescue - Merritt, BC</t>
        </is>
      </c>
      <c r="C1160" s="60" t="inlineStr">
        <is>
          <t>https://www.facebook.com/profile.php?id=100079752657061</t>
        </is>
      </c>
      <c r="D1160" s="9" t="inlineStr">
        <is>
          <t>Cần quét Bio Fanpage</t>
        </is>
      </c>
      <c r="E1160" s="59" t="inlineStr">
        <is>
          <t>11/10/2026 08:33:41</t>
        </is>
      </c>
      <c r="F1160" s="59" t="inlineStr">
        <is>
          <t>1 ngày trước</t>
        </is>
      </c>
      <c r="G1160" s="61" t="n">
        <v>1</v>
      </c>
      <c r="H1160" s="62" t="n">
        <v>28</v>
      </c>
      <c r="I1160" s="9" t="inlineStr">
        <is>
          <t>Pet Rescue / Trạm cứu trợ (14-16đ)</t>
        </is>
      </c>
      <c r="J1160" s="62" t="n">
        <v>14</v>
      </c>
      <c r="K1160" s="9" t="inlineStr">
        <is>
          <t>Chưa rõ giống (Cần quét Bio)</t>
        </is>
      </c>
      <c r="L1160" s="62" t="n">
        <v>0</v>
      </c>
      <c r="M1160" s="62" t="n">
        <v>0</v>
      </c>
      <c r="N1160" s="9" t="inlineStr">
        <is>
          <t>Amazon link not found</t>
        </is>
      </c>
      <c r="O1160" s="62">
        <f>IF(N1160="Selling pet toys + Artificial grass/Pet toilets (TARGET)",15,IF(N1160="Selling artificial grass/pet toilets (TARGET)",10,IF(N1160="Selling pet toys",7,IF(N1160="There's an Amazon link, but no target sales.",3,0))))</f>
        <v/>
      </c>
      <c r="P1160" s="67">
        <f>H1160+J1160+L1160+M1160+O1160</f>
        <v/>
      </c>
      <c r="Q1160" s="69">
        <f>IF(OR(H1160=0,P1160&lt;30),"Tier D (Đóng băng)",IF(P1160&gt;=85,"Tier S (Kim Cương: 85-100đ)",IF(P1160&gt;=70,"Tier A (Vàng: 70-84đ)",IF(P1160&gt;=61,"Tier B+ / Cấp A (Hot Lead: 61-69đ)",IF(P1160&gt;=50,"Tier B (Bạc: 50-60đ)","Tier C (Đồng: 30-49đ)")))))</f>
        <v/>
      </c>
      <c r="R1160" s="9" t="inlineStr">
        <is>
          <t>Nhà vệ sinh &amp; Tã lót (Potty Tray / Pee Pads) + Cỏ nhân tạo lót chuồng</t>
        </is>
      </c>
      <c r="S1160" s="9" t="inlineStr">
        <is>
          <t>Cấp C Chi phí thấp: Nhắn tin trực tiếp qua Fanpage Facebook/Instagram + Nuôi dưỡng nội dung</t>
        </is>
      </c>
    </row>
    <row r="1161">
      <c r="A1161" s="53" t="n">
        <v>1541</v>
      </c>
      <c r="B1161" s="12" t="inlineStr">
        <is>
          <t>Grand River All Breed Animal Rescue</t>
        </is>
      </c>
      <c r="C1161" s="54" t="inlineStr">
        <is>
          <t>https://www.facebook.com/profile.php?id=100064871280897</t>
        </is>
      </c>
      <c r="D1161" s="6" t="inlineStr">
        <is>
          <t>Cần quét Bio Fanpage</t>
        </is>
      </c>
      <c r="E1161" s="53" t="inlineStr">
        <is>
          <t>11/10/2026 07:34:34</t>
        </is>
      </c>
      <c r="F1161" s="53" t="inlineStr">
        <is>
          <t>1 ngày trước</t>
        </is>
      </c>
      <c r="G1161" s="55" t="n">
        <v>1</v>
      </c>
      <c r="H1161" s="56" t="n">
        <v>28</v>
      </c>
      <c r="I1161" s="6" t="inlineStr">
        <is>
          <t>Pet Rescue / Trạm cứu trợ (14-16đ)</t>
        </is>
      </c>
      <c r="J1161" s="56" t="n">
        <v>14</v>
      </c>
      <c r="K1161" s="6" t="inlineStr">
        <is>
          <t>Chưa rõ giống (Cần quét Bio)</t>
        </is>
      </c>
      <c r="L1161" s="56" t="n">
        <v>0</v>
      </c>
      <c r="M1161" s="56" t="n">
        <v>0</v>
      </c>
      <c r="N1161" s="6" t="inlineStr">
        <is>
          <t>Amazon link not found</t>
        </is>
      </c>
      <c r="O1161" s="56">
        <f>IF(N1161="Selling pet toys + Artificial grass/Pet toilets (TARGET)",15,IF(N1161="Selling artificial grass/pet toilets (TARGET)",10,IF(N1161="Selling pet toys",7,IF(N1161="There's an Amazon link, but no target sales.",3,0))))</f>
        <v/>
      </c>
      <c r="P1161" s="65">
        <f>H1161+J1161+L1161+M1161+O1161</f>
        <v/>
      </c>
      <c r="Q1161" s="69">
        <f>IF(OR(H1161=0,P1161&lt;30),"Tier D (Đóng băng)",IF(P1161&gt;=85,"Tier S (Kim Cương: 85-100đ)",IF(P1161&gt;=70,"Tier A (Vàng: 70-84đ)",IF(P1161&gt;=61,"Tier B+ / Cấp A (Hot Lead: 61-69đ)",IF(P1161&gt;=50,"Tier B (Bạc: 50-60đ)","Tier C (Đồng: 30-49đ)")))))</f>
        <v/>
      </c>
      <c r="R1161" s="6" t="inlineStr">
        <is>
          <t>Nhà vệ sinh &amp; Tã lót (Potty Tray / Pee Pads) + Cỏ nhân tạo lót chuồng</t>
        </is>
      </c>
      <c r="S1161" s="6" t="inlineStr">
        <is>
          <t>Cấp C Chi phí thấp: Nhắn tin trực tiếp qua Fanpage Facebook/Instagram + Nuôi dưỡng nội dung</t>
        </is>
      </c>
    </row>
    <row r="1162">
      <c r="A1162" s="59" t="n">
        <v>1249</v>
      </c>
      <c r="B1162" s="15" t="inlineStr">
        <is>
          <t>Dusty Paws Dog Rescue</t>
        </is>
      </c>
      <c r="C1162" s="60" t="inlineStr">
        <is>
          <t>https://www.facebook.com/DustyPawsDogRescue</t>
        </is>
      </c>
      <c r="D1162" s="9" t="inlineStr">
        <is>
          <t>Cần quét Bio Fanpage</t>
        </is>
      </c>
      <c r="E1162" s="59" t="inlineStr">
        <is>
          <t>11/10/2026 06:03:07</t>
        </is>
      </c>
      <c r="F1162" s="59" t="inlineStr">
        <is>
          <t>1 ngày trước</t>
        </is>
      </c>
      <c r="G1162" s="61" t="n">
        <v>1</v>
      </c>
      <c r="H1162" s="62" t="n">
        <v>28</v>
      </c>
      <c r="I1162" s="9" t="inlineStr">
        <is>
          <t>Pet Rescue / Trạm cứu trợ (14-16đ)</t>
        </is>
      </c>
      <c r="J1162" s="62" t="n">
        <v>14</v>
      </c>
      <c r="K1162" s="9" t="inlineStr">
        <is>
          <t>Chưa rõ giống (Cần quét Bio)</t>
        </is>
      </c>
      <c r="L1162" s="62" t="n">
        <v>0</v>
      </c>
      <c r="M1162" s="62" t="n">
        <v>0</v>
      </c>
      <c r="N1162" s="9" t="inlineStr">
        <is>
          <t>Amazon link not found</t>
        </is>
      </c>
      <c r="O1162" s="62">
        <f>IF(N1162="Selling pet toys + Artificial grass/Pet toilets (TARGET)",15,IF(N1162="Selling artificial grass/pet toilets (TARGET)",10,IF(N1162="Selling pet toys",7,IF(N1162="There's an Amazon link, but no target sales.",3,0))))</f>
        <v/>
      </c>
      <c r="P1162" s="67">
        <f>H1162+J1162+L1162+M1162+O1162</f>
        <v/>
      </c>
      <c r="Q1162" s="69">
        <f>IF(OR(H1162=0,P1162&lt;30),"Tier D (Đóng băng)",IF(P1162&gt;=85,"Tier S (Kim Cương: 85-100đ)",IF(P1162&gt;=70,"Tier A (Vàng: 70-84đ)",IF(P1162&gt;=61,"Tier B+ / Cấp A (Hot Lead: 61-69đ)",IF(P1162&gt;=50,"Tier B (Bạc: 50-60đ)","Tier C (Đồng: 30-49đ)")))))</f>
        <v/>
      </c>
      <c r="R1162" s="9" t="inlineStr">
        <is>
          <t>Nhà vệ sinh &amp; Tã lót (Potty Tray / Pee Pads) + Cỏ nhân tạo lót chuồng</t>
        </is>
      </c>
      <c r="S1162" s="9" t="inlineStr">
        <is>
          <t>Cấp C Chi phí thấp: Nhắn tin trực tiếp qua Fanpage Facebook/Instagram + Nuôi dưỡng nội dung</t>
        </is>
      </c>
    </row>
    <row r="1163">
      <c r="A1163" s="53" t="n">
        <v>565</v>
      </c>
      <c r="B1163" s="12" t="inlineStr">
        <is>
          <t>Awhi Mai Cat Rescue</t>
        </is>
      </c>
      <c r="C1163" s="54" t="inlineStr">
        <is>
          <t>https://www.facebook.com/profile.php?id=100087468042328</t>
        </is>
      </c>
      <c r="D1163" s="6" t="inlineStr">
        <is>
          <t>Cần quét Bio Fanpage</t>
        </is>
      </c>
      <c r="E1163" s="53" t="inlineStr">
        <is>
          <t>11/10/2026 05:19:37</t>
        </is>
      </c>
      <c r="F1163" s="53" t="inlineStr">
        <is>
          <t>1 ngày trước</t>
        </is>
      </c>
      <c r="G1163" s="55" t="n">
        <v>1</v>
      </c>
      <c r="H1163" s="56" t="n">
        <v>28</v>
      </c>
      <c r="I1163" s="6" t="inlineStr">
        <is>
          <t>Pet Rescue / Trạm cứu trợ (14-16đ)</t>
        </is>
      </c>
      <c r="J1163" s="56" t="n">
        <v>14</v>
      </c>
      <c r="K1163" s="6" t="inlineStr">
        <is>
          <t>Chưa rõ giống (Cần quét Bio)</t>
        </is>
      </c>
      <c r="L1163" s="56" t="n">
        <v>0</v>
      </c>
      <c r="M1163" s="56" t="n">
        <v>0</v>
      </c>
      <c r="N1163" s="6" t="inlineStr">
        <is>
          <t>Amazon link not found</t>
        </is>
      </c>
      <c r="O1163" s="56">
        <f>IF(N1163="Selling pet toys + Artificial grass/Pet toilets (TARGET)",15,IF(N1163="Selling artificial grass/pet toilets (TARGET)",10,IF(N1163="Selling pet toys",7,IF(N1163="There's an Amazon link, but no target sales.",3,0))))</f>
        <v/>
      </c>
      <c r="P1163" s="65">
        <f>H1163+J1163+L1163+M1163+O1163</f>
        <v/>
      </c>
      <c r="Q1163" s="69">
        <f>IF(OR(H1163=0,P1163&lt;30),"Tier D (Đóng băng)",IF(P1163&gt;=85,"Tier S (Kim Cương: 85-100đ)",IF(P1163&gt;=70,"Tier A (Vàng: 70-84đ)",IF(P1163&gt;=61,"Tier B+ / Cấp A (Hot Lead: 61-69đ)",IF(P1163&gt;=50,"Tier B (Bạc: 50-60đ)","Tier C (Đồng: 30-49đ)")))))</f>
        <v/>
      </c>
      <c r="R1163" s="6" t="inlineStr">
        <is>
          <t>Nhà vệ sinh &amp; Tã lót (Potty Tray / Pee Pads) + Cỏ nhân tạo lót chuồng</t>
        </is>
      </c>
      <c r="S1163" s="6" t="inlineStr">
        <is>
          <t>Cấp C Chi phí thấp: Nhắn tin trực tiếp qua Fanpage Facebook/Instagram + Nuôi dưỡng nội dung</t>
        </is>
      </c>
    </row>
    <row r="1164">
      <c r="A1164" s="59" t="n">
        <v>2154</v>
      </c>
      <c r="B1164" s="15" t="inlineStr">
        <is>
          <t>Medfield Animal Shelter</t>
        </is>
      </c>
      <c r="C1164" s="60" t="inlineStr">
        <is>
          <t>https://www.facebook.com/MedfieldAnimalShelter</t>
        </is>
      </c>
      <c r="D1164" s="9" t="inlineStr">
        <is>
          <t>Cần quét Bio Fanpage</t>
        </is>
      </c>
      <c r="E1164" s="59" t="inlineStr">
        <is>
          <t>11/10/2026 03:34:55</t>
        </is>
      </c>
      <c r="F1164" s="59" t="inlineStr">
        <is>
          <t>2 ngày trước</t>
        </is>
      </c>
      <c r="G1164" s="61" t="n">
        <v>2</v>
      </c>
      <c r="H1164" s="62" t="n">
        <v>28</v>
      </c>
      <c r="I1164" s="9" t="inlineStr">
        <is>
          <t>Pet Rescue / Trạm cứu trợ (14-16đ)</t>
        </is>
      </c>
      <c r="J1164" s="62" t="n">
        <v>14</v>
      </c>
      <c r="K1164" s="9" t="inlineStr">
        <is>
          <t>Chưa rõ giống (Cần quét Bio)</t>
        </is>
      </c>
      <c r="L1164" s="62" t="n">
        <v>0</v>
      </c>
      <c r="M1164" s="62" t="n">
        <v>0</v>
      </c>
      <c r="N1164" s="9" t="inlineStr">
        <is>
          <t>Amazon link not found</t>
        </is>
      </c>
      <c r="O1164" s="62">
        <f>IF(N1164="Selling pet toys + Artificial grass/Pet toilets (TARGET)",15,IF(N1164="Selling artificial grass/pet toilets (TARGET)",10,IF(N1164="Selling pet toys",7,IF(N1164="There's an Amazon link, but no target sales.",3,0))))</f>
        <v/>
      </c>
      <c r="P1164" s="67">
        <f>H1164+J1164+L1164+M1164+O1164</f>
        <v/>
      </c>
      <c r="Q1164" s="69">
        <f>IF(OR(H1164=0,P1164&lt;30),"Tier D (Đóng băng)",IF(P1164&gt;=85,"Tier S (Kim Cương: 85-100đ)",IF(P1164&gt;=70,"Tier A (Vàng: 70-84đ)",IF(P1164&gt;=61,"Tier B+ / Cấp A (Hot Lead: 61-69đ)",IF(P1164&gt;=50,"Tier B (Bạc: 50-60đ)","Tier C (Đồng: 30-49đ)")))))</f>
        <v/>
      </c>
      <c r="R1164" s="9" t="inlineStr">
        <is>
          <t>Nhà vệ sinh &amp; Tã lót (Potty Tray / Pee Pads) + Cỏ nhân tạo lót chuồng</t>
        </is>
      </c>
      <c r="S1164" s="9" t="inlineStr">
        <is>
          <t>Cấp C Chi phí thấp: Nhắn tin trực tiếp qua Fanpage Facebook/Instagram + Nuôi dưỡng nội dung</t>
        </is>
      </c>
    </row>
    <row r="1165">
      <c r="A1165" s="53" t="n">
        <v>516</v>
      </c>
      <c r="B1165" s="12" t="inlineStr">
        <is>
          <t>ARK Pet Rescue</t>
        </is>
      </c>
      <c r="C1165" s="54" t="inlineStr">
        <is>
          <t>https://www.facebook.com/TheArkOregon</t>
        </is>
      </c>
      <c r="D1165" s="6" t="inlineStr">
        <is>
          <t>Cần quét Bio Fanpage</t>
        </is>
      </c>
      <c r="E1165" s="53" t="inlineStr">
        <is>
          <t>11/10/2026 02:34:31</t>
        </is>
      </c>
      <c r="F1165" s="53" t="inlineStr">
        <is>
          <t>1 ngày trước</t>
        </is>
      </c>
      <c r="G1165" s="55" t="n">
        <v>1</v>
      </c>
      <c r="H1165" s="56" t="n">
        <v>28</v>
      </c>
      <c r="I1165" s="6" t="inlineStr">
        <is>
          <t>Pet Rescue / Trạm cứu trợ (14-16đ)</t>
        </is>
      </c>
      <c r="J1165" s="56" t="n">
        <v>14</v>
      </c>
      <c r="K1165" s="6" t="inlineStr">
        <is>
          <t>Chưa rõ giống (Cần quét Bio)</t>
        </is>
      </c>
      <c r="L1165" s="56" t="n">
        <v>0</v>
      </c>
      <c r="M1165" s="56" t="n">
        <v>0</v>
      </c>
      <c r="N1165" s="6" t="inlineStr">
        <is>
          <t>Amazon link not found</t>
        </is>
      </c>
      <c r="O1165" s="56">
        <f>IF(N1165="Selling pet toys + Artificial grass/Pet toilets (TARGET)",15,IF(N1165="Selling artificial grass/pet toilets (TARGET)",10,IF(N1165="Selling pet toys",7,IF(N1165="There's an Amazon link, but no target sales.",3,0))))</f>
        <v/>
      </c>
      <c r="P1165" s="65">
        <f>H1165+J1165+L1165+M1165+O1165</f>
        <v/>
      </c>
      <c r="Q1165" s="69">
        <f>IF(OR(H1165=0,P1165&lt;30),"Tier D (Đóng băng)",IF(P1165&gt;=85,"Tier S (Kim Cương: 85-100đ)",IF(P1165&gt;=70,"Tier A (Vàng: 70-84đ)",IF(P1165&gt;=61,"Tier B+ / Cấp A (Hot Lead: 61-69đ)",IF(P1165&gt;=50,"Tier B (Bạc: 50-60đ)","Tier C (Đồng: 30-49đ)")))))</f>
        <v/>
      </c>
      <c r="R1165" s="6" t="inlineStr">
        <is>
          <t>Nhà vệ sinh &amp; Tã lót (Potty Tray / Pee Pads) + Cỏ nhân tạo lót chuồng</t>
        </is>
      </c>
      <c r="S1165" s="6" t="inlineStr">
        <is>
          <t>Cấp C Chi phí thấp: Nhắn tin trực tiếp qua Fanpage Facebook/Instagram + Nuôi dưỡng nội dung</t>
        </is>
      </c>
    </row>
    <row r="1166">
      <c r="A1166" s="59" t="n">
        <v>2855</v>
      </c>
      <c r="B1166" s="15" t="inlineStr">
        <is>
          <t>Selma-Dallas County Animal Shelter</t>
        </is>
      </c>
      <c r="C1166" s="60" t="inlineStr">
        <is>
          <t>https://www.facebook.com/profile.php?id=61591909553862</t>
        </is>
      </c>
      <c r="D1166" s="9" t="inlineStr">
        <is>
          <t>Cần quét Bio Fanpage</t>
        </is>
      </c>
      <c r="E1166" s="59" t="inlineStr">
        <is>
          <t>11/10/2026 02:23:09</t>
        </is>
      </c>
      <c r="F1166" s="59" t="inlineStr">
        <is>
          <t>2 ngày trước</t>
        </is>
      </c>
      <c r="G1166" s="61" t="n">
        <v>2</v>
      </c>
      <c r="H1166" s="62" t="n">
        <v>28</v>
      </c>
      <c r="I1166" s="9" t="inlineStr">
        <is>
          <t>Pet Rescue / Trạm cứu trợ (14-16đ)</t>
        </is>
      </c>
      <c r="J1166" s="62" t="n">
        <v>14</v>
      </c>
      <c r="K1166" s="9" t="inlineStr">
        <is>
          <t>Chưa rõ giống (Cần quét Bio)</t>
        </is>
      </c>
      <c r="L1166" s="62" t="n">
        <v>0</v>
      </c>
      <c r="M1166" s="62" t="n">
        <v>0</v>
      </c>
      <c r="N1166" s="9" t="inlineStr">
        <is>
          <t>Amazon link not found</t>
        </is>
      </c>
      <c r="O1166" s="62">
        <f>IF(N1166="Selling pet toys + Artificial grass/Pet toilets (TARGET)",15,IF(N1166="Selling artificial grass/pet toilets (TARGET)",10,IF(N1166="Selling pet toys",7,IF(N1166="There's an Amazon link, but no target sales.",3,0))))</f>
        <v/>
      </c>
      <c r="P1166" s="67">
        <f>H1166+J1166+L1166+M1166+O1166</f>
        <v/>
      </c>
      <c r="Q1166" s="69">
        <f>IF(OR(H1166=0,P1166&lt;30),"Tier D (Đóng băng)",IF(P1166&gt;=85,"Tier S (Kim Cương: 85-100đ)",IF(P1166&gt;=70,"Tier A (Vàng: 70-84đ)",IF(P1166&gt;=61,"Tier B+ / Cấp A (Hot Lead: 61-69đ)",IF(P1166&gt;=50,"Tier B (Bạc: 50-60đ)","Tier C (Đồng: 30-49đ)")))))</f>
        <v/>
      </c>
      <c r="R1166" s="9" t="inlineStr">
        <is>
          <t>Nhà vệ sinh &amp; Tã lót (Potty Tray / Pee Pads) + Cỏ nhân tạo lót chuồng</t>
        </is>
      </c>
      <c r="S1166" s="9" t="inlineStr">
        <is>
          <t>Cấp C Chi phí thấp: Nhắn tin trực tiếp qua Fanpage Facebook/Instagram + Nuôi dưỡng nội dung</t>
        </is>
      </c>
    </row>
    <row r="1167">
      <c r="A1167" s="53" t="n">
        <v>262</v>
      </c>
      <c r="B1167" s="12" t="inlineStr">
        <is>
          <t>Second Chances For Blind Dogs Foundation</t>
        </is>
      </c>
      <c r="C1167" s="54" t="inlineStr">
        <is>
          <t>https://www.facebook.com/secondchancesforblinddogs</t>
        </is>
      </c>
      <c r="D1167" s="6" t="inlineStr">
        <is>
          <t>Cần quét Bio Fanpage</t>
        </is>
      </c>
      <c r="E1167" s="53" t="inlineStr">
        <is>
          <t>11/10/2026 00:27:32</t>
        </is>
      </c>
      <c r="F1167" s="53" t="inlineStr">
        <is>
          <t>2 ngày trước</t>
        </is>
      </c>
      <c r="G1167" s="55" t="n">
        <v>2</v>
      </c>
      <c r="H1167" s="56" t="n">
        <v>28</v>
      </c>
      <c r="I1167" s="6" t="inlineStr">
        <is>
          <t>Pet Rescue / Trạm cứu trợ (14-16đ)</t>
        </is>
      </c>
      <c r="J1167" s="56" t="n">
        <v>14</v>
      </c>
      <c r="K1167" s="6" t="inlineStr">
        <is>
          <t>Chưa rõ giống (Cần quét Bio)</t>
        </is>
      </c>
      <c r="L1167" s="56" t="n">
        <v>0</v>
      </c>
      <c r="M1167" s="56" t="n">
        <v>0</v>
      </c>
      <c r="N1167" s="6" t="inlineStr">
        <is>
          <t>Amazon link not found</t>
        </is>
      </c>
      <c r="O1167" s="56">
        <f>IF(N1167="Selling pet toys + Artificial grass/Pet toilets (TARGET)",15,IF(N1167="Selling artificial grass/pet toilets (TARGET)",10,IF(N1167="Selling pet toys",7,IF(N1167="There's an Amazon link, but no target sales.",3,0))))</f>
        <v/>
      </c>
      <c r="P1167" s="65">
        <f>H1167+J1167+L1167+M1167+O1167</f>
        <v/>
      </c>
      <c r="Q1167" s="69">
        <f>IF(OR(H1167=0,P1167&lt;30),"Tier D (Đóng băng)",IF(P1167&gt;=85,"Tier S (Kim Cương: 85-100đ)",IF(P1167&gt;=70,"Tier A (Vàng: 70-84đ)",IF(P1167&gt;=61,"Tier B+ / Cấp A (Hot Lead: 61-69đ)",IF(P1167&gt;=50,"Tier B (Bạc: 50-60đ)","Tier C (Đồng: 30-49đ)")))))</f>
        <v/>
      </c>
      <c r="R1167" s="6" t="inlineStr">
        <is>
          <t>Nhà vệ sinh &amp; Tã lót (Potty Tray / Pee Pads) + Cỏ nhân tạo lót chuồng</t>
        </is>
      </c>
      <c r="S1167" s="6" t="inlineStr">
        <is>
          <t>Cấp C Chi phí thấp: Nhắn tin trực tiếp qua Fanpage Facebook/Instagram + Nuôi dưỡng nội dung</t>
        </is>
      </c>
    </row>
    <row r="1168">
      <c r="A1168" s="59" t="n">
        <v>898</v>
      </c>
      <c r="B1168" s="15" t="inlineStr">
        <is>
          <t>Christian County Animal Shelter</t>
        </is>
      </c>
      <c r="C1168" s="60" t="inlineStr">
        <is>
          <t>https://www.facebook.com/ChristianCoAnimalShelter</t>
        </is>
      </c>
      <c r="D1168" s="9" t="inlineStr">
        <is>
          <t>Cần quét Bio Fanpage</t>
        </is>
      </c>
      <c r="E1168" s="59" t="inlineStr">
        <is>
          <t>11/10/2026 00:03:41</t>
        </is>
      </c>
      <c r="F1168" s="59" t="inlineStr">
        <is>
          <t>2 ngày trước</t>
        </is>
      </c>
      <c r="G1168" s="61" t="n">
        <v>2</v>
      </c>
      <c r="H1168" s="62" t="n">
        <v>28</v>
      </c>
      <c r="I1168" s="9" t="inlineStr">
        <is>
          <t>Pet Rescue / Trạm cứu trợ (14-16đ)</t>
        </is>
      </c>
      <c r="J1168" s="62" t="n">
        <v>14</v>
      </c>
      <c r="K1168" s="9" t="inlineStr">
        <is>
          <t>Chưa rõ giống (Cần quét Bio)</t>
        </is>
      </c>
      <c r="L1168" s="62" t="n">
        <v>0</v>
      </c>
      <c r="M1168" s="62" t="n">
        <v>0</v>
      </c>
      <c r="N1168" s="9" t="inlineStr">
        <is>
          <t>Amazon link not found</t>
        </is>
      </c>
      <c r="O1168" s="62">
        <f>IF(N1168="Selling pet toys + Artificial grass/Pet toilets (TARGET)",15,IF(N1168="Selling artificial grass/pet toilets (TARGET)",10,IF(N1168="Selling pet toys",7,IF(N1168="There's an Amazon link, but no target sales.",3,0))))</f>
        <v/>
      </c>
      <c r="P1168" s="67">
        <f>H1168+J1168+L1168+M1168+O1168</f>
        <v/>
      </c>
      <c r="Q1168" s="69">
        <f>IF(OR(H1168=0,P1168&lt;30),"Tier D (Đóng băng)",IF(P1168&gt;=85,"Tier S (Kim Cương: 85-100đ)",IF(P1168&gt;=70,"Tier A (Vàng: 70-84đ)",IF(P1168&gt;=61,"Tier B+ / Cấp A (Hot Lead: 61-69đ)",IF(P1168&gt;=50,"Tier B (Bạc: 50-60đ)","Tier C (Đồng: 30-49đ)")))))</f>
        <v/>
      </c>
      <c r="R1168" s="9" t="inlineStr">
        <is>
          <t>Nhà vệ sinh &amp; Tã lót (Potty Tray / Pee Pads) + Cỏ nhân tạo lót chuồng</t>
        </is>
      </c>
      <c r="S1168" s="9" t="inlineStr">
        <is>
          <t>Cấp C Chi phí thấp: Nhắn tin trực tiếp qua Fanpage Facebook/Instagram + Nuôi dưỡng nội dung</t>
        </is>
      </c>
    </row>
    <row r="1169">
      <c r="A1169" s="53" t="n">
        <v>3008</v>
      </c>
      <c r="B1169" s="12" t="inlineStr">
        <is>
          <t>Stray &amp; Orphaned Animal Rescue</t>
        </is>
      </c>
      <c r="C1169" s="54" t="inlineStr">
        <is>
          <t>https://www.facebook.com/StrayandOrphanedAnimalRescue</t>
        </is>
      </c>
      <c r="D1169" s="6" t="inlineStr">
        <is>
          <t>Cần quét Bio Fanpage</t>
        </is>
      </c>
      <c r="E1169" s="53" t="inlineStr">
        <is>
          <t>10/10/2026 22:44:56</t>
        </is>
      </c>
      <c r="F1169" s="53" t="inlineStr">
        <is>
          <t>2 ngày trước</t>
        </is>
      </c>
      <c r="G1169" s="55" t="n">
        <v>2</v>
      </c>
      <c r="H1169" s="56" t="n">
        <v>28</v>
      </c>
      <c r="I1169" s="6" t="inlineStr">
        <is>
          <t>Pet Rescue / Trạm cứu trợ (14-16đ)</t>
        </is>
      </c>
      <c r="J1169" s="56" t="n">
        <v>14</v>
      </c>
      <c r="K1169" s="6" t="inlineStr">
        <is>
          <t>Chưa rõ giống (Cần quét Bio)</t>
        </is>
      </c>
      <c r="L1169" s="56" t="n">
        <v>0</v>
      </c>
      <c r="M1169" s="56" t="n">
        <v>0</v>
      </c>
      <c r="N1169" s="6" t="inlineStr">
        <is>
          <t>Amazon link not found</t>
        </is>
      </c>
      <c r="O1169" s="56">
        <f>IF(N1169="Selling pet toys + Artificial grass/Pet toilets (TARGET)",15,IF(N1169="Selling artificial grass/pet toilets (TARGET)",10,IF(N1169="Selling pet toys",7,IF(N1169="There's an Amazon link, but no target sales.",3,0))))</f>
        <v/>
      </c>
      <c r="P1169" s="65">
        <f>H1169+J1169+L1169+M1169+O1169</f>
        <v/>
      </c>
      <c r="Q1169" s="69">
        <f>IF(OR(H1169=0,P1169&lt;30),"Tier D (Đóng băng)",IF(P1169&gt;=85,"Tier S (Kim Cương: 85-100đ)",IF(P1169&gt;=70,"Tier A (Vàng: 70-84đ)",IF(P1169&gt;=61,"Tier B+ / Cấp A (Hot Lead: 61-69đ)",IF(P1169&gt;=50,"Tier B (Bạc: 50-60đ)","Tier C (Đồng: 30-49đ)")))))</f>
        <v/>
      </c>
      <c r="R1169" s="6" t="inlineStr">
        <is>
          <t>Nhà vệ sinh &amp; Tã lót (Potty Tray / Pee Pads) + Cỏ nhân tạo lót chuồng</t>
        </is>
      </c>
      <c r="S1169" s="6" t="inlineStr">
        <is>
          <t>Cấp C Chi phí thấp: Nhắn tin trực tiếp qua Fanpage Facebook/Instagram + Nuôi dưỡng nội dung</t>
        </is>
      </c>
    </row>
    <row r="1170">
      <c r="A1170" s="59" t="n">
        <v>3409</v>
      </c>
      <c r="B1170" s="15" t="inlineStr">
        <is>
          <t>Whitley County Humane Society Animal Shelter</t>
        </is>
      </c>
      <c r="C1170" s="60" t="inlineStr">
        <is>
          <t>https://www.facebook.com/WhitleyCountyHumaneSociety</t>
        </is>
      </c>
      <c r="D1170" s="9" t="inlineStr">
        <is>
          <t>Cần quét Bio Fanpage</t>
        </is>
      </c>
      <c r="E1170" s="59" t="inlineStr">
        <is>
          <t>10/10/2026 20:30:02</t>
        </is>
      </c>
      <c r="F1170" s="59" t="inlineStr">
        <is>
          <t>2 ngày trước</t>
        </is>
      </c>
      <c r="G1170" s="61" t="n">
        <v>2</v>
      </c>
      <c r="H1170" s="62" t="n">
        <v>28</v>
      </c>
      <c r="I1170" s="9" t="inlineStr">
        <is>
          <t>Pet Rescue / Trạm cứu trợ (14-16đ)</t>
        </is>
      </c>
      <c r="J1170" s="62" t="n">
        <v>14</v>
      </c>
      <c r="K1170" s="9" t="inlineStr">
        <is>
          <t>Chưa rõ giống (Cần quét Bio)</t>
        </is>
      </c>
      <c r="L1170" s="62" t="n">
        <v>0</v>
      </c>
      <c r="M1170" s="62" t="n">
        <v>0</v>
      </c>
      <c r="N1170" s="9" t="inlineStr">
        <is>
          <t>Amazon link not found</t>
        </is>
      </c>
      <c r="O1170" s="62">
        <f>IF(N1170="Selling pet toys + Artificial grass/Pet toilets (TARGET)",15,IF(N1170="Selling artificial grass/pet toilets (TARGET)",10,IF(N1170="Selling pet toys",7,IF(N1170="There's an Amazon link, but no target sales.",3,0))))</f>
        <v/>
      </c>
      <c r="P1170" s="67">
        <f>H1170+J1170+L1170+M1170+O1170</f>
        <v/>
      </c>
      <c r="Q1170" s="69">
        <f>IF(OR(H1170=0,P1170&lt;30),"Tier D (Đóng băng)",IF(P1170&gt;=85,"Tier S (Kim Cương: 85-100đ)",IF(P1170&gt;=70,"Tier A (Vàng: 70-84đ)",IF(P1170&gt;=61,"Tier B+ / Cấp A (Hot Lead: 61-69đ)",IF(P1170&gt;=50,"Tier B (Bạc: 50-60đ)","Tier C (Đồng: 30-49đ)")))))</f>
        <v/>
      </c>
      <c r="R1170" s="9" t="inlineStr">
        <is>
          <t>Nhà vệ sinh &amp; Tã lót (Potty Tray / Pee Pads) + Cỏ nhân tạo lót chuồng</t>
        </is>
      </c>
      <c r="S1170" s="9" t="inlineStr">
        <is>
          <t>Cấp C Chi phí thấp: Nhắn tin trực tiếp qua Fanpage Facebook/Instagram + Nuôi dưỡng nội dung</t>
        </is>
      </c>
    </row>
    <row r="1171">
      <c r="A1171" s="53" t="n">
        <v>543</v>
      </c>
      <c r="B1171" s="12" t="inlineStr">
        <is>
          <t>Association Dogue de Bordeaux Adoption</t>
        </is>
      </c>
      <c r="C1171" s="54" t="inlineStr">
        <is>
          <t>https://www.facebook.com/dbxadoption</t>
        </is>
      </c>
      <c r="D1171" s="6" t="inlineStr">
        <is>
          <t>Cần quét Bio Fanpage</t>
        </is>
      </c>
      <c r="E1171" s="53" t="inlineStr">
        <is>
          <t>10/10/2026 17:35:25</t>
        </is>
      </c>
      <c r="F1171" s="53" t="inlineStr">
        <is>
          <t>2 ngày trước</t>
        </is>
      </c>
      <c r="G1171" s="55" t="n">
        <v>2</v>
      </c>
      <c r="H1171" s="56" t="n">
        <v>28</v>
      </c>
      <c r="I1171" s="6" t="inlineStr">
        <is>
          <t>Pet Rescue / Trạm cứu trợ (14-16đ)</t>
        </is>
      </c>
      <c r="J1171" s="56" t="n">
        <v>14</v>
      </c>
      <c r="K1171" s="6" t="inlineStr">
        <is>
          <t>Chưa rõ giống (Cần quét Bio)</t>
        </is>
      </c>
      <c r="L1171" s="56" t="n">
        <v>0</v>
      </c>
      <c r="M1171" s="56" t="n">
        <v>0</v>
      </c>
      <c r="N1171" s="6" t="inlineStr">
        <is>
          <t>Amazon link not found</t>
        </is>
      </c>
      <c r="O1171" s="56">
        <f>IF(N1171="Selling pet toys + Artificial grass/Pet toilets (TARGET)",15,IF(N1171="Selling artificial grass/pet toilets (TARGET)",10,IF(N1171="Selling pet toys",7,IF(N1171="There's an Amazon link, but no target sales.",3,0))))</f>
        <v/>
      </c>
      <c r="P1171" s="65">
        <f>H1171+J1171+L1171+M1171+O1171</f>
        <v/>
      </c>
      <c r="Q1171" s="69">
        <f>IF(OR(H1171=0,P1171&lt;30),"Tier D (Đóng băng)",IF(P1171&gt;=85,"Tier S (Kim Cương: 85-100đ)",IF(P1171&gt;=70,"Tier A (Vàng: 70-84đ)",IF(P1171&gt;=61,"Tier B+ / Cấp A (Hot Lead: 61-69đ)",IF(P1171&gt;=50,"Tier B (Bạc: 50-60đ)","Tier C (Đồng: 30-49đ)")))))</f>
        <v/>
      </c>
      <c r="R1171" s="6" t="inlineStr">
        <is>
          <t>Nhà vệ sinh &amp; Tã lót (Potty Tray / Pee Pads) + Cỏ nhân tạo lót chuồng</t>
        </is>
      </c>
      <c r="S1171" s="6" t="inlineStr">
        <is>
          <t>Cấp C Chi phí thấp: Nhắn tin trực tiếp qua Fanpage Facebook/Instagram + Nuôi dưỡng nội dung</t>
        </is>
      </c>
    </row>
    <row r="1172">
      <c r="A1172" s="59" t="n">
        <v>2568</v>
      </c>
      <c r="B1172" s="15" t="inlineStr">
        <is>
          <t>Pibbles n Kibbles Animal Rescue</t>
        </is>
      </c>
      <c r="C1172" s="60" t="inlineStr">
        <is>
          <t>https://www.facebook.com/PNKAR17</t>
        </is>
      </c>
      <c r="D1172" s="9" t="inlineStr">
        <is>
          <t>Cần quét Bio Fanpage</t>
        </is>
      </c>
      <c r="E1172" s="59" t="inlineStr">
        <is>
          <t>10/10/2026 14:27:20</t>
        </is>
      </c>
      <c r="F1172" s="59" t="inlineStr">
        <is>
          <t>2 ngày trước</t>
        </is>
      </c>
      <c r="G1172" s="61" t="n">
        <v>2</v>
      </c>
      <c r="H1172" s="62" t="n">
        <v>28</v>
      </c>
      <c r="I1172" s="9" t="inlineStr">
        <is>
          <t>Pet Rescue / Trạm cứu trợ (14-16đ)</t>
        </is>
      </c>
      <c r="J1172" s="62" t="n">
        <v>14</v>
      </c>
      <c r="K1172" s="9" t="inlineStr">
        <is>
          <t>Chưa rõ giống (Cần quét Bio)</t>
        </is>
      </c>
      <c r="L1172" s="62" t="n">
        <v>0</v>
      </c>
      <c r="M1172" s="62" t="n">
        <v>0</v>
      </c>
      <c r="N1172" s="9" t="inlineStr">
        <is>
          <t>Amazon link not found</t>
        </is>
      </c>
      <c r="O1172" s="62">
        <f>IF(N1172="Selling pet toys + Artificial grass/Pet toilets (TARGET)",15,IF(N1172="Selling artificial grass/pet toilets (TARGET)",10,IF(N1172="Selling pet toys",7,IF(N1172="There's an Amazon link, but no target sales.",3,0))))</f>
        <v/>
      </c>
      <c r="P1172" s="67">
        <f>H1172+J1172+L1172+M1172+O1172</f>
        <v/>
      </c>
      <c r="Q1172" s="69">
        <f>IF(OR(H1172=0,P1172&lt;30),"Tier D (Đóng băng)",IF(P1172&gt;=85,"Tier S (Kim Cương: 85-100đ)",IF(P1172&gt;=70,"Tier A (Vàng: 70-84đ)",IF(P1172&gt;=61,"Tier B+ / Cấp A (Hot Lead: 61-69đ)",IF(P1172&gt;=50,"Tier B (Bạc: 50-60đ)","Tier C (Đồng: 30-49đ)")))))</f>
        <v/>
      </c>
      <c r="R1172" s="9" t="inlineStr">
        <is>
          <t>Nhà vệ sinh &amp; Tã lót (Potty Tray / Pee Pads) + Cỏ nhân tạo lót chuồng</t>
        </is>
      </c>
      <c r="S1172" s="9" t="inlineStr">
        <is>
          <t>Cấp C Chi phí thấp: Nhắn tin trực tiếp qua Fanpage Facebook/Instagram + Nuôi dưỡng nội dung</t>
        </is>
      </c>
    </row>
    <row r="1173">
      <c r="A1173" s="53" t="n">
        <v>958</v>
      </c>
      <c r="B1173" s="12" t="inlineStr">
        <is>
          <t>Crazy Ole Ladies Dog Rescue</t>
        </is>
      </c>
      <c r="C1173" s="54" t="inlineStr">
        <is>
          <t>https://www.facebook.com/profile.php?id=61573970760969</t>
        </is>
      </c>
      <c r="D1173" s="6" t="inlineStr">
        <is>
          <t>Cần quét Bio Fanpage</t>
        </is>
      </c>
      <c r="E1173" s="53" t="inlineStr">
        <is>
          <t>10/10/2026 10:54:58</t>
        </is>
      </c>
      <c r="F1173" s="53" t="inlineStr">
        <is>
          <t>2 ngày trước</t>
        </is>
      </c>
      <c r="G1173" s="55" t="n">
        <v>2</v>
      </c>
      <c r="H1173" s="56" t="n">
        <v>28</v>
      </c>
      <c r="I1173" s="6" t="inlineStr">
        <is>
          <t>Pet Rescue / Trạm cứu trợ (14-16đ)</t>
        </is>
      </c>
      <c r="J1173" s="56" t="n">
        <v>14</v>
      </c>
      <c r="K1173" s="6" t="inlineStr">
        <is>
          <t>Chưa rõ giống (Cần quét Bio)</t>
        </is>
      </c>
      <c r="L1173" s="56" t="n">
        <v>0</v>
      </c>
      <c r="M1173" s="56" t="n">
        <v>0</v>
      </c>
      <c r="N1173" s="6" t="inlineStr">
        <is>
          <t>Amazon link not found</t>
        </is>
      </c>
      <c r="O1173" s="56">
        <f>IF(N1173="Selling pet toys + Artificial grass/Pet toilets (TARGET)",15,IF(N1173="Selling artificial grass/pet toilets (TARGET)",10,IF(N1173="Selling pet toys",7,IF(N1173="There's an Amazon link, but no target sales.",3,0))))</f>
        <v/>
      </c>
      <c r="P1173" s="65">
        <f>H1173+J1173+L1173+M1173+O1173</f>
        <v/>
      </c>
      <c r="Q1173" s="69">
        <f>IF(OR(H1173=0,P1173&lt;30),"Tier D (Đóng băng)",IF(P1173&gt;=85,"Tier S (Kim Cương: 85-100đ)",IF(P1173&gt;=70,"Tier A (Vàng: 70-84đ)",IF(P1173&gt;=61,"Tier B+ / Cấp A (Hot Lead: 61-69đ)",IF(P1173&gt;=50,"Tier B (Bạc: 50-60đ)","Tier C (Đồng: 30-49đ)")))))</f>
        <v/>
      </c>
      <c r="R1173" s="6" t="inlineStr">
        <is>
          <t>Nhà vệ sinh &amp; Tã lót (Potty Tray / Pee Pads) + Cỏ nhân tạo lót chuồng</t>
        </is>
      </c>
      <c r="S1173" s="6" t="inlineStr">
        <is>
          <t>Cấp C Chi phí thấp: Nhắn tin trực tiếp qua Fanpage Facebook/Instagram + Nuôi dưỡng nội dung</t>
        </is>
      </c>
    </row>
    <row r="1174">
      <c r="A1174" s="59" t="n">
        <v>932</v>
      </c>
      <c r="B1174" s="15" t="inlineStr">
        <is>
          <t>Community Effort Animal Rescue</t>
        </is>
      </c>
      <c r="C1174" s="60" t="inlineStr">
        <is>
          <t>https://www.facebook.com/communityeffortanimalrescue</t>
        </is>
      </c>
      <c r="D1174" s="9" t="inlineStr">
        <is>
          <t>Cần quét Bio Fanpage</t>
        </is>
      </c>
      <c r="E1174" s="59" t="inlineStr">
        <is>
          <t>10/10/2026 09:52:00</t>
        </is>
      </c>
      <c r="F1174" s="59" t="inlineStr">
        <is>
          <t>2 ngày trước</t>
        </is>
      </c>
      <c r="G1174" s="61" t="n">
        <v>2</v>
      </c>
      <c r="H1174" s="62" t="n">
        <v>28</v>
      </c>
      <c r="I1174" s="9" t="inlineStr">
        <is>
          <t>Pet Rescue / Trạm cứu trợ (14-16đ)</t>
        </is>
      </c>
      <c r="J1174" s="62" t="n">
        <v>14</v>
      </c>
      <c r="K1174" s="9" t="inlineStr">
        <is>
          <t>Chưa rõ giống (Cần quét Bio)</t>
        </is>
      </c>
      <c r="L1174" s="62" t="n">
        <v>0</v>
      </c>
      <c r="M1174" s="62" t="n">
        <v>0</v>
      </c>
      <c r="N1174" s="9" t="inlineStr">
        <is>
          <t>Amazon link not found</t>
        </is>
      </c>
      <c r="O1174" s="62">
        <f>IF(N1174="Selling pet toys + Artificial grass/Pet toilets (TARGET)",15,IF(N1174="Selling artificial grass/pet toilets (TARGET)",10,IF(N1174="Selling pet toys",7,IF(N1174="There's an Amazon link, but no target sales.",3,0))))</f>
        <v/>
      </c>
      <c r="P1174" s="67">
        <f>H1174+J1174+L1174+M1174+O1174</f>
        <v/>
      </c>
      <c r="Q1174" s="69">
        <f>IF(OR(H1174=0,P1174&lt;30),"Tier D (Đóng băng)",IF(P1174&gt;=85,"Tier S (Kim Cương: 85-100đ)",IF(P1174&gt;=70,"Tier A (Vàng: 70-84đ)",IF(P1174&gt;=61,"Tier B+ / Cấp A (Hot Lead: 61-69đ)",IF(P1174&gt;=50,"Tier B (Bạc: 50-60đ)","Tier C (Đồng: 30-49đ)")))))</f>
        <v/>
      </c>
      <c r="R1174" s="9" t="inlineStr">
        <is>
          <t>Nhà vệ sinh &amp; Tã lót (Potty Tray / Pee Pads) + Cỏ nhân tạo lót chuồng</t>
        </is>
      </c>
      <c r="S1174" s="9" t="inlineStr">
        <is>
          <t>Cấp C Chi phí thấp: Nhắn tin trực tiếp qua Fanpage Facebook/Instagram + Nuôi dưỡng nội dung</t>
        </is>
      </c>
    </row>
    <row r="1175">
      <c r="A1175" s="53" t="n">
        <v>2421</v>
      </c>
      <c r="B1175" s="12" t="inlineStr">
        <is>
          <t>Pawsitively Saved Rescue</t>
        </is>
      </c>
      <c r="C1175" s="54" t="inlineStr">
        <is>
          <t>https://www.facebook.com/Pawsitivelysaved</t>
        </is>
      </c>
      <c r="D1175" s="6" t="inlineStr">
        <is>
          <t>Cần quét Bio Fanpage</t>
        </is>
      </c>
      <c r="E1175" s="53" t="inlineStr">
        <is>
          <t>10/10/2026 06:31:54</t>
        </is>
      </c>
      <c r="F1175" s="53" t="inlineStr">
        <is>
          <t>2 ngày trước</t>
        </is>
      </c>
      <c r="G1175" s="55" t="n">
        <v>2</v>
      </c>
      <c r="H1175" s="56" t="n">
        <v>28</v>
      </c>
      <c r="I1175" s="6" t="inlineStr">
        <is>
          <t>Pet Rescue / Trạm cứu trợ (14-16đ)</t>
        </is>
      </c>
      <c r="J1175" s="56" t="n">
        <v>14</v>
      </c>
      <c r="K1175" s="6" t="inlineStr">
        <is>
          <t>Chưa rõ giống (Cần quét Bio)</t>
        </is>
      </c>
      <c r="L1175" s="56" t="n">
        <v>0</v>
      </c>
      <c r="M1175" s="56" t="n">
        <v>0</v>
      </c>
      <c r="N1175" s="6" t="inlineStr">
        <is>
          <t>Amazon link not found</t>
        </is>
      </c>
      <c r="O1175" s="56">
        <f>IF(N1175="Selling pet toys + Artificial grass/Pet toilets (TARGET)",15,IF(N1175="Selling artificial grass/pet toilets (TARGET)",10,IF(N1175="Selling pet toys",7,IF(N1175="There's an Amazon link, but no target sales.",3,0))))</f>
        <v/>
      </c>
      <c r="P1175" s="65">
        <f>H1175+J1175+L1175+M1175+O1175</f>
        <v/>
      </c>
      <c r="Q1175" s="69">
        <f>IF(OR(H1175=0,P1175&lt;30),"Tier D (Đóng băng)",IF(P1175&gt;=85,"Tier S (Kim Cương: 85-100đ)",IF(P1175&gt;=70,"Tier A (Vàng: 70-84đ)",IF(P1175&gt;=61,"Tier B+ / Cấp A (Hot Lead: 61-69đ)",IF(P1175&gt;=50,"Tier B (Bạc: 50-60đ)","Tier C (Đồng: 30-49đ)")))))</f>
        <v/>
      </c>
      <c r="R1175" s="6" t="inlineStr">
        <is>
          <t>Nhà vệ sinh &amp; Tã lót (Potty Tray / Pee Pads) + Cỏ nhân tạo lót chuồng</t>
        </is>
      </c>
      <c r="S1175" s="6" t="inlineStr">
        <is>
          <t>Cấp C Chi phí thấp: Nhắn tin trực tiếp qua Fanpage Facebook/Instagram + Nuôi dưỡng nội dung</t>
        </is>
      </c>
    </row>
    <row r="1176">
      <c r="A1176" s="59" t="n">
        <v>2399</v>
      </c>
      <c r="B1176" s="15" t="inlineStr">
        <is>
          <t>Paradise Parrot Rescue</t>
        </is>
      </c>
      <c r="C1176" s="60" t="inlineStr">
        <is>
          <t>https://www.facebook.com/paradiseparrotrescue</t>
        </is>
      </c>
      <c r="D1176" s="9" t="inlineStr">
        <is>
          <t>Cần quét Bio Fanpage</t>
        </is>
      </c>
      <c r="E1176" s="59" t="inlineStr">
        <is>
          <t>10/10/2026 04:20:09</t>
        </is>
      </c>
      <c r="F1176" s="59" t="inlineStr">
        <is>
          <t>3 ngày trước</t>
        </is>
      </c>
      <c r="G1176" s="61" t="n">
        <v>3</v>
      </c>
      <c r="H1176" s="62" t="n">
        <v>28</v>
      </c>
      <c r="I1176" s="9" t="inlineStr">
        <is>
          <t>Pet Rescue / Trạm cứu trợ (14-16đ)</t>
        </is>
      </c>
      <c r="J1176" s="62" t="n">
        <v>14</v>
      </c>
      <c r="K1176" s="9" t="inlineStr">
        <is>
          <t>Chưa rõ giống (Cần quét Bio)</t>
        </is>
      </c>
      <c r="L1176" s="62" t="n">
        <v>0</v>
      </c>
      <c r="M1176" s="62" t="n">
        <v>0</v>
      </c>
      <c r="N1176" s="9" t="inlineStr">
        <is>
          <t>Amazon link not found</t>
        </is>
      </c>
      <c r="O1176" s="62">
        <f>IF(N1176="Selling pet toys + Artificial grass/Pet toilets (TARGET)",15,IF(N1176="Selling artificial grass/pet toilets (TARGET)",10,IF(N1176="Selling pet toys",7,IF(N1176="There's an Amazon link, but no target sales.",3,0))))</f>
        <v/>
      </c>
      <c r="P1176" s="67">
        <f>H1176+J1176+L1176+M1176+O1176</f>
        <v/>
      </c>
      <c r="Q1176" s="69">
        <f>IF(OR(H1176=0,P1176&lt;30),"Tier D (Đóng băng)",IF(P1176&gt;=85,"Tier S (Kim Cương: 85-100đ)",IF(P1176&gt;=70,"Tier A (Vàng: 70-84đ)",IF(P1176&gt;=61,"Tier B+ / Cấp A (Hot Lead: 61-69đ)",IF(P1176&gt;=50,"Tier B (Bạc: 50-60đ)","Tier C (Đồng: 30-49đ)")))))</f>
        <v/>
      </c>
      <c r="R1176" s="9" t="inlineStr">
        <is>
          <t>Nhà vệ sinh &amp; Tã lót (Potty Tray / Pee Pads) + Cỏ nhân tạo lót chuồng</t>
        </is>
      </c>
      <c r="S1176" s="9" t="inlineStr">
        <is>
          <t>Cấp C Chi phí thấp: Nhắn tin trực tiếp qua Fanpage Facebook/Instagram + Nuôi dưỡng nội dung</t>
        </is>
      </c>
    </row>
    <row r="1177">
      <c r="A1177" s="53" t="n">
        <v>761</v>
      </c>
      <c r="B1177" s="12" t="inlineStr">
        <is>
          <t>Brighter Days Dog Rescue</t>
        </is>
      </c>
      <c r="C1177" s="54" t="inlineStr">
        <is>
          <t>https://www.facebook.com/brighterdaysdogrescue</t>
        </is>
      </c>
      <c r="D1177" s="6" t="inlineStr">
        <is>
          <t>Cần quét Bio Fanpage</t>
        </is>
      </c>
      <c r="E1177" s="53" t="inlineStr">
        <is>
          <t>10/10/2026 04:08:05</t>
        </is>
      </c>
      <c r="F1177" s="53" t="inlineStr">
        <is>
          <t>2 ngày trước</t>
        </is>
      </c>
      <c r="G1177" s="55" t="n">
        <v>2</v>
      </c>
      <c r="H1177" s="56" t="n">
        <v>28</v>
      </c>
      <c r="I1177" s="6" t="inlineStr">
        <is>
          <t>Pet Rescue / Trạm cứu trợ (14-16đ)</t>
        </is>
      </c>
      <c r="J1177" s="56" t="n">
        <v>14</v>
      </c>
      <c r="K1177" s="6" t="inlineStr">
        <is>
          <t>Chưa rõ giống (Cần quét Bio)</t>
        </is>
      </c>
      <c r="L1177" s="56" t="n">
        <v>0</v>
      </c>
      <c r="M1177" s="56" t="n">
        <v>0</v>
      </c>
      <c r="N1177" s="6" t="inlineStr">
        <is>
          <t>Amazon link not found</t>
        </is>
      </c>
      <c r="O1177" s="56">
        <f>IF(N1177="Selling pet toys + Artificial grass/Pet toilets (TARGET)",15,IF(N1177="Selling artificial grass/pet toilets (TARGET)",10,IF(N1177="Selling pet toys",7,IF(N1177="There's an Amazon link, but no target sales.",3,0))))</f>
        <v/>
      </c>
      <c r="P1177" s="65">
        <f>H1177+J1177+L1177+M1177+O1177</f>
        <v/>
      </c>
      <c r="Q1177" s="69">
        <f>IF(OR(H1177=0,P1177&lt;30),"Tier D (Đóng băng)",IF(P1177&gt;=85,"Tier S (Kim Cương: 85-100đ)",IF(P1177&gt;=70,"Tier A (Vàng: 70-84đ)",IF(P1177&gt;=61,"Tier B+ / Cấp A (Hot Lead: 61-69đ)",IF(P1177&gt;=50,"Tier B (Bạc: 50-60đ)","Tier C (Đồng: 30-49đ)")))))</f>
        <v/>
      </c>
      <c r="R1177" s="6" t="inlineStr">
        <is>
          <t>Nhà vệ sinh &amp; Tã lót (Potty Tray / Pee Pads) + Cỏ nhân tạo lót chuồng</t>
        </is>
      </c>
      <c r="S1177" s="6" t="inlineStr">
        <is>
          <t>Cấp C Chi phí thấp: Nhắn tin trực tiếp qua Fanpage Facebook/Instagram + Nuôi dưỡng nội dung</t>
        </is>
      </c>
    </row>
    <row r="1178">
      <c r="A1178" s="59" t="n">
        <v>2856</v>
      </c>
      <c r="B1178" s="15" t="inlineStr">
        <is>
          <t>Seminole County Parrot Rescue and Sanctuary</t>
        </is>
      </c>
      <c r="C1178" s="60" t="inlineStr">
        <is>
          <t>https://www.facebook.com/SeminoleCountyParrotRescue</t>
        </is>
      </c>
      <c r="D1178" s="9" t="inlineStr">
        <is>
          <t>Cần quét Bio Fanpage</t>
        </is>
      </c>
      <c r="E1178" s="59" t="inlineStr">
        <is>
          <t>10/10/2026 03:04:28</t>
        </is>
      </c>
      <c r="F1178" s="59" t="inlineStr">
        <is>
          <t>3 ngày trước</t>
        </is>
      </c>
      <c r="G1178" s="61" t="n">
        <v>3</v>
      </c>
      <c r="H1178" s="62" t="n">
        <v>28</v>
      </c>
      <c r="I1178" s="9" t="inlineStr">
        <is>
          <t>Pet Rescue / Trạm cứu trợ (14-16đ)</t>
        </is>
      </c>
      <c r="J1178" s="62" t="n">
        <v>14</v>
      </c>
      <c r="K1178" s="9" t="inlineStr">
        <is>
          <t>Chưa rõ giống (Cần quét Bio)</t>
        </is>
      </c>
      <c r="L1178" s="62" t="n">
        <v>0</v>
      </c>
      <c r="M1178" s="62" t="n">
        <v>0</v>
      </c>
      <c r="N1178" s="9" t="inlineStr">
        <is>
          <t>Amazon link not found</t>
        </is>
      </c>
      <c r="O1178" s="62">
        <f>IF(N1178="Selling pet toys + Artificial grass/Pet toilets (TARGET)",15,IF(N1178="Selling artificial grass/pet toilets (TARGET)",10,IF(N1178="Selling pet toys",7,IF(N1178="There's an Amazon link, but no target sales.",3,0))))</f>
        <v/>
      </c>
      <c r="P1178" s="67">
        <f>H1178+J1178+L1178+M1178+O1178</f>
        <v/>
      </c>
      <c r="Q1178" s="69">
        <f>IF(OR(H1178=0,P1178&lt;30),"Tier D (Đóng băng)",IF(P1178&gt;=85,"Tier S (Kim Cương: 85-100đ)",IF(P1178&gt;=70,"Tier A (Vàng: 70-84đ)",IF(P1178&gt;=61,"Tier B+ / Cấp A (Hot Lead: 61-69đ)",IF(P1178&gt;=50,"Tier B (Bạc: 50-60đ)","Tier C (Đồng: 30-49đ)")))))</f>
        <v/>
      </c>
      <c r="R1178" s="9" t="inlineStr">
        <is>
          <t>Nhà vệ sinh &amp; Tã lót (Potty Tray / Pee Pads) + Cỏ nhân tạo lót chuồng</t>
        </is>
      </c>
      <c r="S1178" s="9" t="inlineStr">
        <is>
          <t>Cấp C Chi phí thấp: Nhắn tin trực tiếp qua Fanpage Facebook/Instagram + Nuôi dưỡng nội dung</t>
        </is>
      </c>
    </row>
    <row r="1179">
      <c r="A1179" s="53" t="n">
        <v>619</v>
      </c>
      <c r="B1179" s="12" t="inlineStr">
        <is>
          <t>Because We Care Rescue</t>
        </is>
      </c>
      <c r="C1179" s="54" t="inlineStr">
        <is>
          <t>https://www.facebook.com/BecauseWeCareRescue</t>
        </is>
      </c>
      <c r="D1179" s="6" t="inlineStr">
        <is>
          <t>Cần quét Bio Fanpage</t>
        </is>
      </c>
      <c r="E1179" s="53" t="inlineStr">
        <is>
          <t>10/10/2026 00:21:31</t>
        </is>
      </c>
      <c r="F1179" s="53" t="inlineStr">
        <is>
          <t>3 ngày trước</t>
        </is>
      </c>
      <c r="G1179" s="55" t="n">
        <v>3</v>
      </c>
      <c r="H1179" s="56" t="n">
        <v>28</v>
      </c>
      <c r="I1179" s="6" t="inlineStr">
        <is>
          <t>Pet Rescue / Trạm cứu trợ (14-16đ)</t>
        </is>
      </c>
      <c r="J1179" s="56" t="n">
        <v>14</v>
      </c>
      <c r="K1179" s="6" t="inlineStr">
        <is>
          <t>Chưa rõ giống (Cần quét Bio)</t>
        </is>
      </c>
      <c r="L1179" s="56" t="n">
        <v>0</v>
      </c>
      <c r="M1179" s="56" t="n">
        <v>0</v>
      </c>
      <c r="N1179" s="6" t="inlineStr">
        <is>
          <t>Amazon link not found</t>
        </is>
      </c>
      <c r="O1179" s="56">
        <f>IF(N1179="Selling pet toys + Artificial grass/Pet toilets (TARGET)",15,IF(N1179="Selling artificial grass/pet toilets (TARGET)",10,IF(N1179="Selling pet toys",7,IF(N1179="There's an Amazon link, but no target sales.",3,0))))</f>
        <v/>
      </c>
      <c r="P1179" s="65">
        <f>H1179+J1179+L1179+M1179+O1179</f>
        <v/>
      </c>
      <c r="Q1179" s="69">
        <f>IF(OR(H1179=0,P1179&lt;30),"Tier D (Đóng băng)",IF(P1179&gt;=85,"Tier S (Kim Cương: 85-100đ)",IF(P1179&gt;=70,"Tier A (Vàng: 70-84đ)",IF(P1179&gt;=61,"Tier B+ / Cấp A (Hot Lead: 61-69đ)",IF(P1179&gt;=50,"Tier B (Bạc: 50-60đ)","Tier C (Đồng: 30-49đ)")))))</f>
        <v/>
      </c>
      <c r="R1179" s="6" t="inlineStr">
        <is>
          <t>Nhà vệ sinh &amp; Tã lót (Potty Tray / Pee Pads) + Cỏ nhân tạo lót chuồng</t>
        </is>
      </c>
      <c r="S1179" s="6" t="inlineStr">
        <is>
          <t>Cấp C Chi phí thấp: Nhắn tin trực tiếp qua Fanpage Facebook/Instagram + Nuôi dưỡng nội dung</t>
        </is>
      </c>
    </row>
    <row r="1180">
      <c r="A1180" s="59" t="n">
        <v>663</v>
      </c>
      <c r="B1180" s="15" t="inlineStr">
        <is>
          <t>Big and Small Rescue Society</t>
        </is>
      </c>
      <c r="C1180" s="60" t="inlineStr">
        <is>
          <t>https://www.facebook.com/profile.php?id=100064469751377</t>
        </is>
      </c>
      <c r="D1180" s="9" t="inlineStr">
        <is>
          <t>Cần quét Bio Fanpage</t>
        </is>
      </c>
      <c r="E1180" s="59" t="inlineStr">
        <is>
          <t>09/10/2026 23:58:40</t>
        </is>
      </c>
      <c r="F1180" s="59" t="inlineStr">
        <is>
          <t>3 ngày trước</t>
        </is>
      </c>
      <c r="G1180" s="61" t="n">
        <v>3</v>
      </c>
      <c r="H1180" s="62" t="n">
        <v>28</v>
      </c>
      <c r="I1180" s="9" t="inlineStr">
        <is>
          <t>Pet Rescue / Trạm cứu trợ (14-16đ)</t>
        </is>
      </c>
      <c r="J1180" s="62" t="n">
        <v>14</v>
      </c>
      <c r="K1180" s="9" t="inlineStr">
        <is>
          <t>Chưa rõ giống (Cần quét Bio)</t>
        </is>
      </c>
      <c r="L1180" s="62" t="n">
        <v>0</v>
      </c>
      <c r="M1180" s="62" t="n">
        <v>0</v>
      </c>
      <c r="N1180" s="9" t="inlineStr">
        <is>
          <t>Amazon link not found</t>
        </is>
      </c>
      <c r="O1180" s="62">
        <f>IF(N1180="Selling pet toys + Artificial grass/Pet toilets (TARGET)",15,IF(N1180="Selling artificial grass/pet toilets (TARGET)",10,IF(N1180="Selling pet toys",7,IF(N1180="There's an Amazon link, but no target sales.",3,0))))</f>
        <v/>
      </c>
      <c r="P1180" s="67">
        <f>H1180+J1180+L1180+M1180+O1180</f>
        <v/>
      </c>
      <c r="Q1180" s="69">
        <f>IF(OR(H1180=0,P1180&lt;30),"Tier D (Đóng băng)",IF(P1180&gt;=85,"Tier S (Kim Cương: 85-100đ)",IF(P1180&gt;=70,"Tier A (Vàng: 70-84đ)",IF(P1180&gt;=61,"Tier B+ / Cấp A (Hot Lead: 61-69đ)",IF(P1180&gt;=50,"Tier B (Bạc: 50-60đ)","Tier C (Đồng: 30-49đ)")))))</f>
        <v/>
      </c>
      <c r="R1180" s="9" t="inlineStr">
        <is>
          <t>Nhà vệ sinh &amp; Tã lót (Potty Tray / Pee Pads) + Cỏ nhân tạo lót chuồng</t>
        </is>
      </c>
      <c r="S1180" s="9" t="inlineStr">
        <is>
          <t>Cấp C Chi phí thấp: Nhắn tin trực tiếp qua Fanpage Facebook/Instagram + Nuôi dưỡng nội dung</t>
        </is>
      </c>
    </row>
    <row r="1181">
      <c r="A1181" s="53" t="n">
        <v>2398</v>
      </c>
      <c r="B1181" s="12" t="inlineStr">
        <is>
          <t>Panda Paws Rescue</t>
        </is>
      </c>
      <c r="C1181" s="54" t="inlineStr">
        <is>
          <t>https://www.facebook.com/PandaPawsRescue501c3</t>
        </is>
      </c>
      <c r="D1181" s="6" t="inlineStr">
        <is>
          <t>Cần quét Bio Fanpage</t>
        </is>
      </c>
      <c r="E1181" s="53" t="inlineStr">
        <is>
          <t>09/10/2026 22:39:54</t>
        </is>
      </c>
      <c r="F1181" s="53" t="inlineStr">
        <is>
          <t>3 ngày trước</t>
        </is>
      </c>
      <c r="G1181" s="55" t="n">
        <v>3</v>
      </c>
      <c r="H1181" s="56" t="n">
        <v>28</v>
      </c>
      <c r="I1181" s="6" t="inlineStr">
        <is>
          <t>Pet Rescue / Trạm cứu trợ (14-16đ)</t>
        </is>
      </c>
      <c r="J1181" s="56" t="n">
        <v>14</v>
      </c>
      <c r="K1181" s="6" t="inlineStr">
        <is>
          <t>Chưa rõ giống (Cần quét Bio)</t>
        </is>
      </c>
      <c r="L1181" s="56" t="n">
        <v>0</v>
      </c>
      <c r="M1181" s="56" t="n">
        <v>0</v>
      </c>
      <c r="N1181" s="6" t="inlineStr">
        <is>
          <t>Amazon link not found</t>
        </is>
      </c>
      <c r="O1181" s="56">
        <f>IF(N1181="Selling pet toys + Artificial grass/Pet toilets (TARGET)",15,IF(N1181="Selling artificial grass/pet toilets (TARGET)",10,IF(N1181="Selling pet toys",7,IF(N1181="There's an Amazon link, but no target sales.",3,0))))</f>
        <v/>
      </c>
      <c r="P1181" s="65">
        <f>H1181+J1181+L1181+M1181+O1181</f>
        <v/>
      </c>
      <c r="Q1181" s="69">
        <f>IF(OR(H1181=0,P1181&lt;30),"Tier D (Đóng băng)",IF(P1181&gt;=85,"Tier S (Kim Cương: 85-100đ)",IF(P1181&gt;=70,"Tier A (Vàng: 70-84đ)",IF(P1181&gt;=61,"Tier B+ / Cấp A (Hot Lead: 61-69đ)",IF(P1181&gt;=50,"Tier B (Bạc: 50-60đ)","Tier C (Đồng: 30-49đ)")))))</f>
        <v/>
      </c>
      <c r="R1181" s="6" t="inlineStr">
        <is>
          <t>Nhà vệ sinh &amp; Tã lót (Potty Tray / Pee Pads) + Cỏ nhân tạo lót chuồng</t>
        </is>
      </c>
      <c r="S1181" s="6" t="inlineStr">
        <is>
          <t>Cấp C Chi phí thấp: Nhắn tin trực tiếp qua Fanpage Facebook/Instagram + Nuôi dưỡng nội dung</t>
        </is>
      </c>
    </row>
    <row r="1182">
      <c r="A1182" s="59" t="n">
        <v>2311</v>
      </c>
      <c r="B1182" s="15" t="inlineStr">
        <is>
          <t>North Florida Animal Rescue</t>
        </is>
      </c>
      <c r="C1182" s="60" t="inlineStr">
        <is>
          <t>https://www.facebook.com/northfloridaanimalrescue</t>
        </is>
      </c>
      <c r="D1182" s="9" t="inlineStr">
        <is>
          <t>Cần quét Bio Fanpage</t>
        </is>
      </c>
      <c r="E1182" s="59" t="inlineStr">
        <is>
          <t>09/10/2026 20:59:14</t>
        </is>
      </c>
      <c r="F1182" s="59" t="inlineStr">
        <is>
          <t>3 ngày trước</t>
        </is>
      </c>
      <c r="G1182" s="61" t="n">
        <v>3</v>
      </c>
      <c r="H1182" s="62" t="n">
        <v>28</v>
      </c>
      <c r="I1182" s="9" t="inlineStr">
        <is>
          <t>Pet Rescue / Trạm cứu trợ (14-16đ)</t>
        </is>
      </c>
      <c r="J1182" s="62" t="n">
        <v>14</v>
      </c>
      <c r="K1182" s="9" t="inlineStr">
        <is>
          <t>Chưa rõ giống (Cần quét Bio)</t>
        </is>
      </c>
      <c r="L1182" s="62" t="n">
        <v>0</v>
      </c>
      <c r="M1182" s="62" t="n">
        <v>0</v>
      </c>
      <c r="N1182" s="9" t="inlineStr">
        <is>
          <t>Amazon link not found</t>
        </is>
      </c>
      <c r="O1182" s="62">
        <f>IF(N1182="Selling pet toys + Artificial grass/Pet toilets (TARGET)",15,IF(N1182="Selling artificial grass/pet toilets (TARGET)",10,IF(N1182="Selling pet toys",7,IF(N1182="There's an Amazon link, but no target sales.",3,0))))</f>
        <v/>
      </c>
      <c r="P1182" s="67">
        <f>H1182+J1182+L1182+M1182+O1182</f>
        <v/>
      </c>
      <c r="Q1182" s="69">
        <f>IF(OR(H1182=0,P1182&lt;30),"Tier D (Đóng băng)",IF(P1182&gt;=85,"Tier S (Kim Cương: 85-100đ)",IF(P1182&gt;=70,"Tier A (Vàng: 70-84đ)",IF(P1182&gt;=61,"Tier B+ / Cấp A (Hot Lead: 61-69đ)",IF(P1182&gt;=50,"Tier B (Bạc: 50-60đ)","Tier C (Đồng: 30-49đ)")))))</f>
        <v/>
      </c>
      <c r="R1182" s="9" t="inlineStr">
        <is>
          <t>Nhà vệ sinh &amp; Tã lót (Potty Tray / Pee Pads) + Cỏ nhân tạo lót chuồng</t>
        </is>
      </c>
      <c r="S1182" s="9" t="inlineStr">
        <is>
          <t>Cấp C Chi phí thấp: Nhắn tin trực tiếp qua Fanpage Facebook/Instagram + Nuôi dưỡng nội dung</t>
        </is>
      </c>
    </row>
    <row r="1183">
      <c r="A1183" s="53" t="n">
        <v>380</v>
      </c>
      <c r="B1183" s="12" t="inlineStr">
        <is>
          <t>All Mixed Up Dog Rescue</t>
        </is>
      </c>
      <c r="C1183" s="54" t="inlineStr">
        <is>
          <t>https://www.facebook.com/amudoggies</t>
        </is>
      </c>
      <c r="D1183" s="6" t="inlineStr">
        <is>
          <t>Cần quét Bio Fanpage</t>
        </is>
      </c>
      <c r="E1183" s="53" t="inlineStr">
        <is>
          <t>09/10/2026 20:47:29</t>
        </is>
      </c>
      <c r="F1183" s="53" t="inlineStr">
        <is>
          <t>3 ngày trước</t>
        </is>
      </c>
      <c r="G1183" s="55" t="n">
        <v>3</v>
      </c>
      <c r="H1183" s="56" t="n">
        <v>28</v>
      </c>
      <c r="I1183" s="6" t="inlineStr">
        <is>
          <t>Pet Rescue / Trạm cứu trợ (14-16đ)</t>
        </is>
      </c>
      <c r="J1183" s="56" t="n">
        <v>14</v>
      </c>
      <c r="K1183" s="6" t="inlineStr">
        <is>
          <t>Chưa rõ giống (Cần quét Bio)</t>
        </is>
      </c>
      <c r="L1183" s="56" t="n">
        <v>0</v>
      </c>
      <c r="M1183" s="56" t="n">
        <v>0</v>
      </c>
      <c r="N1183" s="6" t="inlineStr">
        <is>
          <t>Amazon link not found</t>
        </is>
      </c>
      <c r="O1183" s="56">
        <f>IF(N1183="Selling pet toys + Artificial grass/Pet toilets (TARGET)",15,IF(N1183="Selling artificial grass/pet toilets (TARGET)",10,IF(N1183="Selling pet toys",7,IF(N1183="There's an Amazon link, but no target sales.",3,0))))</f>
        <v/>
      </c>
      <c r="P1183" s="65">
        <f>H1183+J1183+L1183+M1183+O1183</f>
        <v/>
      </c>
      <c r="Q1183" s="69">
        <f>IF(OR(H1183=0,P1183&lt;30),"Tier D (Đóng băng)",IF(P1183&gt;=85,"Tier S (Kim Cương: 85-100đ)",IF(P1183&gt;=70,"Tier A (Vàng: 70-84đ)",IF(P1183&gt;=61,"Tier B+ / Cấp A (Hot Lead: 61-69đ)",IF(P1183&gt;=50,"Tier B (Bạc: 50-60đ)","Tier C (Đồng: 30-49đ)")))))</f>
        <v/>
      </c>
      <c r="R1183" s="6" t="inlineStr">
        <is>
          <t>Nhà vệ sinh &amp; Tã lót (Potty Tray / Pee Pads) + Cỏ nhân tạo lót chuồng</t>
        </is>
      </c>
      <c r="S1183" s="6" t="inlineStr">
        <is>
          <t>Cấp C Chi phí thấp: Nhắn tin trực tiếp qua Fanpage Facebook/Instagram + Nuôi dưỡng nội dung</t>
        </is>
      </c>
    </row>
    <row r="1184">
      <c r="A1184" s="59" t="n">
        <v>1608</v>
      </c>
      <c r="B1184" s="15" t="inlineStr">
        <is>
          <t>Happy Hearts Animal Rescue</t>
        </is>
      </c>
      <c r="C1184" s="60" t="inlineStr">
        <is>
          <t>https://www.facebook.com/HappyHeartsAnimalRescue</t>
        </is>
      </c>
      <c r="D1184" s="9" t="inlineStr">
        <is>
          <t>Cần quét Bio Fanpage</t>
        </is>
      </c>
      <c r="E1184" s="59" t="inlineStr">
        <is>
          <t>09/10/2026 11:36:02</t>
        </is>
      </c>
      <c r="F1184" s="59" t="inlineStr">
        <is>
          <t>3 ngày trước</t>
        </is>
      </c>
      <c r="G1184" s="61" t="n">
        <v>3</v>
      </c>
      <c r="H1184" s="62" t="n">
        <v>28</v>
      </c>
      <c r="I1184" s="9" t="inlineStr">
        <is>
          <t>Pet Rescue / Trạm cứu trợ (14-16đ)</t>
        </is>
      </c>
      <c r="J1184" s="62" t="n">
        <v>14</v>
      </c>
      <c r="K1184" s="9" t="inlineStr">
        <is>
          <t>Chưa rõ giống (Cần quét Bio)</t>
        </is>
      </c>
      <c r="L1184" s="62" t="n">
        <v>0</v>
      </c>
      <c r="M1184" s="62" t="n">
        <v>0</v>
      </c>
      <c r="N1184" s="9" t="inlineStr">
        <is>
          <t>Amazon link not found</t>
        </is>
      </c>
      <c r="O1184" s="62">
        <f>IF(N1184="Selling pet toys + Artificial grass/Pet toilets (TARGET)",15,IF(N1184="Selling artificial grass/pet toilets (TARGET)",10,IF(N1184="Selling pet toys",7,IF(N1184="There's an Amazon link, but no target sales.",3,0))))</f>
        <v/>
      </c>
      <c r="P1184" s="67">
        <f>H1184+J1184+L1184+M1184+O1184</f>
        <v/>
      </c>
      <c r="Q1184" s="69">
        <f>IF(OR(H1184=0,P1184&lt;30),"Tier D (Đóng băng)",IF(P1184&gt;=85,"Tier S (Kim Cương: 85-100đ)",IF(P1184&gt;=70,"Tier A (Vàng: 70-84đ)",IF(P1184&gt;=61,"Tier B+ / Cấp A (Hot Lead: 61-69đ)",IF(P1184&gt;=50,"Tier B (Bạc: 50-60đ)","Tier C (Đồng: 30-49đ)")))))</f>
        <v/>
      </c>
      <c r="R1184" s="9" t="inlineStr">
        <is>
          <t>Nhà vệ sinh &amp; Tã lót (Potty Tray / Pee Pads) + Cỏ nhân tạo lót chuồng</t>
        </is>
      </c>
      <c r="S1184" s="9" t="inlineStr">
        <is>
          <t>Cấp C Chi phí thấp: Nhắn tin trực tiếp qua Fanpage Facebook/Instagram + Nuôi dưỡng nội dung</t>
        </is>
      </c>
    </row>
    <row r="1185">
      <c r="A1185" s="53" t="n">
        <v>808</v>
      </c>
      <c r="B1185" s="12" t="inlineStr">
        <is>
          <t>Cali_FID Parrot &amp; Exotics Rescue Sanctuary</t>
        </is>
      </c>
      <c r="C1185" s="54" t="inlineStr">
        <is>
          <t>https://www.facebook.com/Califidpets</t>
        </is>
      </c>
      <c r="D1185" s="6" t="inlineStr">
        <is>
          <t>Cần quét Bio Fanpage</t>
        </is>
      </c>
      <c r="E1185" s="53" t="inlineStr">
        <is>
          <t>09/10/2026 08:14:32</t>
        </is>
      </c>
      <c r="F1185" s="53" t="inlineStr">
        <is>
          <t>3 ngày trước</t>
        </is>
      </c>
      <c r="G1185" s="55" t="n">
        <v>3</v>
      </c>
      <c r="H1185" s="56" t="n">
        <v>28</v>
      </c>
      <c r="I1185" s="6" t="inlineStr">
        <is>
          <t>Pet Rescue / Trạm cứu trợ (14-16đ)</t>
        </is>
      </c>
      <c r="J1185" s="56" t="n">
        <v>14</v>
      </c>
      <c r="K1185" s="6" t="inlineStr">
        <is>
          <t>Chưa rõ giống (Cần quét Bio)</t>
        </is>
      </c>
      <c r="L1185" s="56" t="n">
        <v>0</v>
      </c>
      <c r="M1185" s="56" t="n">
        <v>0</v>
      </c>
      <c r="N1185" s="6" t="inlineStr">
        <is>
          <t>Amazon link not found</t>
        </is>
      </c>
      <c r="O1185" s="56">
        <f>IF(N1185="Selling pet toys + Artificial grass/Pet toilets (TARGET)",15,IF(N1185="Selling artificial grass/pet toilets (TARGET)",10,IF(N1185="Selling pet toys",7,IF(N1185="There's an Amazon link, but no target sales.",3,0))))</f>
        <v/>
      </c>
      <c r="P1185" s="65">
        <f>H1185+J1185+L1185+M1185+O1185</f>
        <v/>
      </c>
      <c r="Q1185" s="69">
        <f>IF(OR(H1185=0,P1185&lt;30),"Tier D (Đóng băng)",IF(P1185&gt;=85,"Tier S (Kim Cương: 85-100đ)",IF(P1185&gt;=70,"Tier A (Vàng: 70-84đ)",IF(P1185&gt;=61,"Tier B+ / Cấp A (Hot Lead: 61-69đ)",IF(P1185&gt;=50,"Tier B (Bạc: 50-60đ)","Tier C (Đồng: 30-49đ)")))))</f>
        <v/>
      </c>
      <c r="R1185" s="6" t="inlineStr">
        <is>
          <t>Nhà vệ sinh &amp; Tã lót (Potty Tray / Pee Pads) + Cỏ nhân tạo lót chuồng</t>
        </is>
      </c>
      <c r="S1185" s="6" t="inlineStr">
        <is>
          <t>Cấp C Chi phí thấp: Nhắn tin trực tiếp qua Fanpage Facebook/Instagram + Nuôi dưỡng nội dung</t>
        </is>
      </c>
    </row>
    <row r="1186">
      <c r="A1186" s="59" t="n">
        <v>3254</v>
      </c>
      <c r="B1186" s="15" t="inlineStr">
        <is>
          <t>TurkeyCreek-K9</t>
        </is>
      </c>
      <c r="C1186" s="60" t="inlineStr">
        <is>
          <t>https://www.facebook.com/turkeycreekk9</t>
        </is>
      </c>
      <c r="D1186" s="9" t="inlineStr">
        <is>
          <t>Cần quét Bio Fanpage</t>
        </is>
      </c>
      <c r="E1186" s="59" t="inlineStr">
        <is>
          <t>09/10/2026 01:47:49</t>
        </is>
      </c>
      <c r="F1186" s="59" t="inlineStr">
        <is>
          <t>4 ngày trước</t>
        </is>
      </c>
      <c r="G1186" s="61" t="n">
        <v>4</v>
      </c>
      <c r="H1186" s="62" t="n">
        <v>20</v>
      </c>
      <c r="I1186" s="9" t="inlineStr">
        <is>
          <t>Pet Boarding / Huấn luyện K9 &amp; Dịch vụ (20-22đ)</t>
        </is>
      </c>
      <c r="J1186" s="62" t="n">
        <v>22</v>
      </c>
      <c r="K1186" s="9" t="inlineStr">
        <is>
          <t>Chưa rõ giống (Cần quét Bio)</t>
        </is>
      </c>
      <c r="L1186" s="62" t="n">
        <v>0</v>
      </c>
      <c r="M1186" s="62" t="n">
        <v>0</v>
      </c>
      <c r="N1186" s="9" t="inlineStr">
        <is>
          <t>Amazon link not found</t>
        </is>
      </c>
      <c r="O1186" s="62">
        <f>IF(N1186="Selling pet toys + Artificial grass/Pet toilets (TARGET)",15,IF(N1186="Selling artificial grass/pet toilets (TARGET)",10,IF(N1186="Selling pet toys",7,IF(N1186="There's an Amazon link, but no target sales.",3,0))))</f>
        <v/>
      </c>
      <c r="P1186" s="67">
        <f>H1186+J1186+L1186+M1186+O1186</f>
        <v/>
      </c>
      <c r="Q1186" s="69">
        <f>IF(OR(H1186=0,P1186&lt;30),"Tier D (Đóng băng)",IF(P1186&gt;=85,"Tier S (Kim Cương: 85-100đ)",IF(P1186&gt;=70,"Tier A (Vàng: 70-84đ)",IF(P1186&gt;=61,"Tier B+ / Cấp A (Hot Lead: 61-69đ)",IF(P1186&gt;=50,"Tier B (Bạc: 50-60đ)","Tier C (Đồng: 30-49đ)")))))</f>
        <v/>
      </c>
      <c r="R1186" s="9" t="inlineStr">
        <is>
          <t>Cỏ nhân tạo sân chơi/huấn luyện (Dog Turf) + Đồ chơi nhai chịu lực (KONG/Chew Toys)</t>
        </is>
      </c>
      <c r="S1186" s="9" t="inlineStr">
        <is>
          <t>Cấp C Chi phí thấp: Nhắn tin trực tiếp qua Fanpage Facebook/Instagram + Nuôi dưỡng nội dung</t>
        </is>
      </c>
    </row>
    <row r="1187">
      <c r="A1187" s="53" t="n">
        <v>2827</v>
      </c>
      <c r="B1187" s="12" t="inlineStr">
        <is>
          <t>Sara's Dog Training Creations</t>
        </is>
      </c>
      <c r="C1187" s="54" t="inlineStr">
        <is>
          <t>https://www.facebook.com/SLKcreation</t>
        </is>
      </c>
      <c r="D1187" s="6" t="inlineStr">
        <is>
          <t>Cần quét Bio Fanpage</t>
        </is>
      </c>
      <c r="E1187" s="53" t="inlineStr">
        <is>
          <t>09/10/2026 00:38:36</t>
        </is>
      </c>
      <c r="F1187" s="53" t="inlineStr">
        <is>
          <t>4 ngày trước</t>
        </is>
      </c>
      <c r="G1187" s="55" t="n">
        <v>4</v>
      </c>
      <c r="H1187" s="56" t="n">
        <v>20</v>
      </c>
      <c r="I1187" s="6" t="inlineStr">
        <is>
          <t>Pet Boarding / Huấn luyện K9 &amp; Dịch vụ (20-22đ)</t>
        </is>
      </c>
      <c r="J1187" s="56" t="n">
        <v>22</v>
      </c>
      <c r="K1187" s="6" t="inlineStr">
        <is>
          <t>Chưa rõ giống (Cần quét Bio)</t>
        </is>
      </c>
      <c r="L1187" s="56" t="n">
        <v>0</v>
      </c>
      <c r="M1187" s="56" t="n">
        <v>0</v>
      </c>
      <c r="N1187" s="6" t="inlineStr">
        <is>
          <t>Amazon link not found</t>
        </is>
      </c>
      <c r="O1187" s="56">
        <f>IF(N1187="Selling pet toys + Artificial grass/Pet toilets (TARGET)",15,IF(N1187="Selling artificial grass/pet toilets (TARGET)",10,IF(N1187="Selling pet toys",7,IF(N1187="There's an Amazon link, but no target sales.",3,0))))</f>
        <v/>
      </c>
      <c r="P1187" s="65">
        <f>H1187+J1187+L1187+M1187+O1187</f>
        <v/>
      </c>
      <c r="Q1187" s="69">
        <f>IF(OR(H1187=0,P1187&lt;30),"Tier D (Đóng băng)",IF(P1187&gt;=85,"Tier S (Kim Cương: 85-100đ)",IF(P1187&gt;=70,"Tier A (Vàng: 70-84đ)",IF(P1187&gt;=61,"Tier B+ / Cấp A (Hot Lead: 61-69đ)",IF(P1187&gt;=50,"Tier B (Bạc: 50-60đ)","Tier C (Đồng: 30-49đ)")))))</f>
        <v/>
      </c>
      <c r="R1187" s="6" t="inlineStr">
        <is>
          <t>Cỏ nhân tạo sân chơi/huấn luyện (Dog Turf) + Đồ chơi nhai chịu lực (KONG/Chew Toys)</t>
        </is>
      </c>
      <c r="S1187" s="6" t="inlineStr">
        <is>
          <t>Cấp C Chi phí thấp: Nhắn tin trực tiếp qua Fanpage Facebook/Instagram + Nuôi dưỡng nội dung</t>
        </is>
      </c>
    </row>
    <row r="1188">
      <c r="A1188" s="59" t="n">
        <v>2753</v>
      </c>
      <c r="B1188" s="15" t="inlineStr">
        <is>
          <t>River Bottom Dog Training</t>
        </is>
      </c>
      <c r="C1188" s="60" t="inlineStr">
        <is>
          <t>https://www.facebook.com/riverbottomdogtraining</t>
        </is>
      </c>
      <c r="D1188" s="9" t="inlineStr">
        <is>
          <t>Cần quét Bio Fanpage</t>
        </is>
      </c>
      <c r="E1188" s="59" t="inlineStr">
        <is>
          <t>08/10/2026 23:28:35</t>
        </is>
      </c>
      <c r="F1188" s="59" t="inlineStr">
        <is>
          <t>4 ngày trước</t>
        </is>
      </c>
      <c r="G1188" s="61" t="n">
        <v>4</v>
      </c>
      <c r="H1188" s="62" t="n">
        <v>20</v>
      </c>
      <c r="I1188" s="9" t="inlineStr">
        <is>
          <t>Pet Boarding / Huấn luyện K9 &amp; Dịch vụ (20-22đ)</t>
        </is>
      </c>
      <c r="J1188" s="62" t="n">
        <v>22</v>
      </c>
      <c r="K1188" s="9" t="inlineStr">
        <is>
          <t>Chưa rõ giống (Cần quét Bio)</t>
        </is>
      </c>
      <c r="L1188" s="62" t="n">
        <v>0</v>
      </c>
      <c r="M1188" s="62" t="n">
        <v>0</v>
      </c>
      <c r="N1188" s="9" t="inlineStr">
        <is>
          <t>Amazon link not found</t>
        </is>
      </c>
      <c r="O1188" s="62">
        <f>IF(N1188="Selling pet toys + Artificial grass/Pet toilets (TARGET)",15,IF(N1188="Selling artificial grass/pet toilets (TARGET)",10,IF(N1188="Selling pet toys",7,IF(N1188="There's an Amazon link, but no target sales.",3,0))))</f>
        <v/>
      </c>
      <c r="P1188" s="67">
        <f>H1188+J1188+L1188+M1188+O1188</f>
        <v/>
      </c>
      <c r="Q1188" s="69">
        <f>IF(OR(H1188=0,P1188&lt;30),"Tier D (Đóng băng)",IF(P1188&gt;=85,"Tier S (Kim Cương: 85-100đ)",IF(P1188&gt;=70,"Tier A (Vàng: 70-84đ)",IF(P1188&gt;=61,"Tier B+ / Cấp A (Hot Lead: 61-69đ)",IF(P1188&gt;=50,"Tier B (Bạc: 50-60đ)","Tier C (Đồng: 30-49đ)")))))</f>
        <v/>
      </c>
      <c r="R1188" s="9" t="inlineStr">
        <is>
          <t>Cỏ nhân tạo sân chơi/huấn luyện (Dog Turf) + Đồ chơi nhai chịu lực (KONG/Chew Toys)</t>
        </is>
      </c>
      <c r="S1188" s="9" t="inlineStr">
        <is>
          <t>Cấp C Chi phí thấp: Nhắn tin trực tiếp qua Fanpage Facebook/Instagram + Nuôi dưỡng nội dung</t>
        </is>
      </c>
    </row>
    <row r="1189">
      <c r="A1189" s="53" t="n">
        <v>2934</v>
      </c>
      <c r="B1189" s="12" t="inlineStr">
        <is>
          <t>Solway Dog Training Club</t>
        </is>
      </c>
      <c r="C1189" s="54" t="inlineStr">
        <is>
          <t>https://www.facebook.com/SolwayDogTraingClub</t>
        </is>
      </c>
      <c r="D1189" s="6" t="inlineStr">
        <is>
          <t>Cần quét Bio Fanpage</t>
        </is>
      </c>
      <c r="E1189" s="53" t="inlineStr">
        <is>
          <t>08/10/2026 15:29:37</t>
        </is>
      </c>
      <c r="F1189" s="53" t="inlineStr">
        <is>
          <t>4 ngày trước</t>
        </is>
      </c>
      <c r="G1189" s="55" t="n">
        <v>4</v>
      </c>
      <c r="H1189" s="56" t="n">
        <v>20</v>
      </c>
      <c r="I1189" s="6" t="inlineStr">
        <is>
          <t>Pet Boarding / Huấn luyện K9 &amp; Dịch vụ (20-22đ)</t>
        </is>
      </c>
      <c r="J1189" s="56" t="n">
        <v>22</v>
      </c>
      <c r="K1189" s="6" t="inlineStr">
        <is>
          <t>Chưa rõ giống (Cần quét Bio)</t>
        </is>
      </c>
      <c r="L1189" s="56" t="n">
        <v>0</v>
      </c>
      <c r="M1189" s="56" t="n">
        <v>0</v>
      </c>
      <c r="N1189" s="6" t="inlineStr">
        <is>
          <t>Amazon link not found</t>
        </is>
      </c>
      <c r="O1189" s="56">
        <f>IF(N1189="Selling pet toys + Artificial grass/Pet toilets (TARGET)",15,IF(N1189="Selling artificial grass/pet toilets (TARGET)",10,IF(N1189="Selling pet toys",7,IF(N1189="There's an Amazon link, but no target sales.",3,0))))</f>
        <v/>
      </c>
      <c r="P1189" s="65">
        <f>H1189+J1189+L1189+M1189+O1189</f>
        <v/>
      </c>
      <c r="Q1189" s="69">
        <f>IF(OR(H1189=0,P1189&lt;30),"Tier D (Đóng băng)",IF(P1189&gt;=85,"Tier S (Kim Cương: 85-100đ)",IF(P1189&gt;=70,"Tier A (Vàng: 70-84đ)",IF(P1189&gt;=61,"Tier B+ / Cấp A (Hot Lead: 61-69đ)",IF(P1189&gt;=50,"Tier B (Bạc: 50-60đ)","Tier C (Đồng: 30-49đ)")))))</f>
        <v/>
      </c>
      <c r="R1189" s="6" t="inlineStr">
        <is>
          <t>Cỏ nhân tạo sân chơi/huấn luyện (Dog Turf) + Đồ chơi nhai chịu lực (KONG/Chew Toys)</t>
        </is>
      </c>
      <c r="S1189" s="6" t="inlineStr">
        <is>
          <t>Cấp C Chi phí thấp: Nhắn tin trực tiếp qua Fanpage Facebook/Instagram + Nuôi dưỡng nội dung</t>
        </is>
      </c>
    </row>
    <row r="1190">
      <c r="A1190" s="59" t="n">
        <v>2916</v>
      </c>
      <c r="B1190" s="15" t="inlineStr">
        <is>
          <t>Skybound Dog Training</t>
        </is>
      </c>
      <c r="C1190" s="60" t="inlineStr">
        <is>
          <t>https://www.facebook.com/profile.php?id=61586972462287</t>
        </is>
      </c>
      <c r="D1190" s="9" t="inlineStr">
        <is>
          <t>Cần quét Bio Fanpage</t>
        </is>
      </c>
      <c r="E1190" s="59" t="inlineStr">
        <is>
          <t>08/10/2026 05:45:48</t>
        </is>
      </c>
      <c r="F1190" s="59" t="inlineStr">
        <is>
          <t>5 ngày trước</t>
        </is>
      </c>
      <c r="G1190" s="61" t="n">
        <v>5</v>
      </c>
      <c r="H1190" s="62" t="n">
        <v>20</v>
      </c>
      <c r="I1190" s="9" t="inlineStr">
        <is>
          <t>Pet Boarding / Huấn luyện K9 &amp; Dịch vụ (20-22đ)</t>
        </is>
      </c>
      <c r="J1190" s="62" t="n">
        <v>22</v>
      </c>
      <c r="K1190" s="9" t="inlineStr">
        <is>
          <t>Chưa rõ giống (Cần quét Bio)</t>
        </is>
      </c>
      <c r="L1190" s="62" t="n">
        <v>0</v>
      </c>
      <c r="M1190" s="62" t="n">
        <v>0</v>
      </c>
      <c r="N1190" s="9" t="inlineStr">
        <is>
          <t>Amazon link not found</t>
        </is>
      </c>
      <c r="O1190" s="62">
        <f>IF(N1190="Selling pet toys + Artificial grass/Pet toilets (TARGET)",15,IF(N1190="Selling artificial grass/pet toilets (TARGET)",10,IF(N1190="Selling pet toys",7,IF(N1190="There's an Amazon link, but no target sales.",3,0))))</f>
        <v/>
      </c>
      <c r="P1190" s="67">
        <f>H1190+J1190+L1190+M1190+O1190</f>
        <v/>
      </c>
      <c r="Q1190" s="69">
        <f>IF(OR(H1190=0,P1190&lt;30),"Tier D (Đóng băng)",IF(P1190&gt;=85,"Tier S (Kim Cương: 85-100đ)",IF(P1190&gt;=70,"Tier A (Vàng: 70-84đ)",IF(P1190&gt;=61,"Tier B+ / Cấp A (Hot Lead: 61-69đ)",IF(P1190&gt;=50,"Tier B (Bạc: 50-60đ)","Tier C (Đồng: 30-49đ)")))))</f>
        <v/>
      </c>
      <c r="R1190" s="9" t="inlineStr">
        <is>
          <t>Cỏ nhân tạo sân chơi/huấn luyện (Dog Turf) + Đồ chơi nhai chịu lực (KONG/Chew Toys)</t>
        </is>
      </c>
      <c r="S1190" s="9" t="inlineStr">
        <is>
          <t>Cấp C Chi phí thấp: Nhắn tin trực tiếp qua Fanpage Facebook/Instagram + Nuôi dưỡng nội dung</t>
        </is>
      </c>
    </row>
    <row r="1191">
      <c r="A1191" s="53" t="n">
        <v>1056</v>
      </c>
      <c r="B1191" s="12" t="inlineStr">
        <is>
          <t>Dog Days Agility Training</t>
        </is>
      </c>
      <c r="C1191" s="54" t="inlineStr">
        <is>
          <t>https://www.facebook.com/dogdaysagility</t>
        </is>
      </c>
      <c r="D1191" s="6" t="inlineStr">
        <is>
          <t>Cần quét Bio Fanpage</t>
        </is>
      </c>
      <c r="E1191" s="53" t="inlineStr">
        <is>
          <t>08/10/2026 05:42:19</t>
        </is>
      </c>
      <c r="F1191" s="53" t="inlineStr">
        <is>
          <t>4 ngày trước</t>
        </is>
      </c>
      <c r="G1191" s="55" t="n">
        <v>4</v>
      </c>
      <c r="H1191" s="56" t="n">
        <v>20</v>
      </c>
      <c r="I1191" s="6" t="inlineStr">
        <is>
          <t>Pet Boarding / Huấn luyện K9 &amp; Dịch vụ (20-22đ)</t>
        </is>
      </c>
      <c r="J1191" s="56" t="n">
        <v>22</v>
      </c>
      <c r="K1191" s="6" t="inlineStr">
        <is>
          <t>Chưa rõ giống (Cần quét Bio)</t>
        </is>
      </c>
      <c r="L1191" s="56" t="n">
        <v>0</v>
      </c>
      <c r="M1191" s="56" t="n">
        <v>0</v>
      </c>
      <c r="N1191" s="6" t="inlineStr">
        <is>
          <t>Amazon link not found</t>
        </is>
      </c>
      <c r="O1191" s="56">
        <f>IF(N1191="Selling pet toys + Artificial grass/Pet toilets (TARGET)",15,IF(N1191="Selling artificial grass/pet toilets (TARGET)",10,IF(N1191="Selling pet toys",7,IF(N1191="There's an Amazon link, but no target sales.",3,0))))</f>
        <v/>
      </c>
      <c r="P1191" s="65">
        <f>H1191+J1191+L1191+M1191+O1191</f>
        <v/>
      </c>
      <c r="Q1191" s="69">
        <f>IF(OR(H1191=0,P1191&lt;30),"Tier D (Đóng băng)",IF(P1191&gt;=85,"Tier S (Kim Cương: 85-100đ)",IF(P1191&gt;=70,"Tier A (Vàng: 70-84đ)",IF(P1191&gt;=61,"Tier B+ / Cấp A (Hot Lead: 61-69đ)",IF(P1191&gt;=50,"Tier B (Bạc: 50-60đ)","Tier C (Đồng: 30-49đ)")))))</f>
        <v/>
      </c>
      <c r="R1191" s="6" t="inlineStr">
        <is>
          <t>Cỏ nhân tạo sân chơi/huấn luyện (Dog Turf) + Đồ chơi nhai chịu lực (KONG/Chew Toys)</t>
        </is>
      </c>
      <c r="S1191" s="6" t="inlineStr">
        <is>
          <t>Cấp C Chi phí thấp: Nhắn tin trực tiếp qua Fanpage Facebook/Instagram + Nuôi dưỡng nội dung</t>
        </is>
      </c>
    </row>
    <row r="1192">
      <c r="A1192" s="59" t="n">
        <v>1747</v>
      </c>
      <c r="B1192" s="15" t="inlineStr">
        <is>
          <t>Jack and Jill Dog Training</t>
        </is>
      </c>
      <c r="C1192" s="60" t="inlineStr">
        <is>
          <t>https://www.facebook.com/jackandjilldogtraining</t>
        </is>
      </c>
      <c r="D1192" s="9" t="inlineStr">
        <is>
          <t>Cần quét Bio Fanpage</t>
        </is>
      </c>
      <c r="E1192" s="59" t="inlineStr">
        <is>
          <t>07/10/2026 23:04:29</t>
        </is>
      </c>
      <c r="F1192" s="59" t="inlineStr">
        <is>
          <t>5 ngày trước</t>
        </is>
      </c>
      <c r="G1192" s="61" t="n">
        <v>5</v>
      </c>
      <c r="H1192" s="62" t="n">
        <v>20</v>
      </c>
      <c r="I1192" s="9" t="inlineStr">
        <is>
          <t>Pet Boarding / Huấn luyện K9 &amp; Dịch vụ (20-22đ)</t>
        </is>
      </c>
      <c r="J1192" s="62" t="n">
        <v>22</v>
      </c>
      <c r="K1192" s="9" t="inlineStr">
        <is>
          <t>Chưa rõ giống (Cần quét Bio)</t>
        </is>
      </c>
      <c r="L1192" s="62" t="n">
        <v>0</v>
      </c>
      <c r="M1192" s="62" t="n">
        <v>0</v>
      </c>
      <c r="N1192" s="9" t="inlineStr">
        <is>
          <t>Amazon link not found</t>
        </is>
      </c>
      <c r="O1192" s="62">
        <f>IF(N1192="Selling pet toys + Artificial grass/Pet toilets (TARGET)",15,IF(N1192="Selling artificial grass/pet toilets (TARGET)",10,IF(N1192="Selling pet toys",7,IF(N1192="There's an Amazon link, but no target sales.",3,0))))</f>
        <v/>
      </c>
      <c r="P1192" s="67">
        <f>H1192+J1192+L1192+M1192+O1192</f>
        <v/>
      </c>
      <c r="Q1192" s="69">
        <f>IF(OR(H1192=0,P1192&lt;30),"Tier D (Đóng băng)",IF(P1192&gt;=85,"Tier S (Kim Cương: 85-100đ)",IF(P1192&gt;=70,"Tier A (Vàng: 70-84đ)",IF(P1192&gt;=61,"Tier B+ / Cấp A (Hot Lead: 61-69đ)",IF(P1192&gt;=50,"Tier B (Bạc: 50-60đ)","Tier C (Đồng: 30-49đ)")))))</f>
        <v/>
      </c>
      <c r="R1192" s="9" t="inlineStr">
        <is>
          <t>Cỏ nhân tạo sân chơi/huấn luyện (Dog Turf) + Đồ chơi nhai chịu lực (KONG/Chew Toys)</t>
        </is>
      </c>
      <c r="S1192" s="9" t="inlineStr">
        <is>
          <t>Cấp C Chi phí thấp: Nhắn tin trực tiếp qua Fanpage Facebook/Instagram + Nuôi dưỡng nội dung</t>
        </is>
      </c>
    </row>
    <row r="1193">
      <c r="A1193" s="53" t="n">
        <v>154</v>
      </c>
      <c r="B1193" s="12" t="inlineStr">
        <is>
          <t>Dogmantics Dog Training</t>
        </is>
      </c>
      <c r="C1193" s="54" t="inlineStr">
        <is>
          <t>https://www.facebook.com/dogmantics</t>
        </is>
      </c>
      <c r="D1193" s="6" t="inlineStr">
        <is>
          <t>Cần quét Bio Fanpage</t>
        </is>
      </c>
      <c r="E1193" s="53" t="inlineStr">
        <is>
          <t>07/10/2026 07:49:06</t>
        </is>
      </c>
      <c r="F1193" s="53" t="inlineStr">
        <is>
          <t>5 ngày trước</t>
        </is>
      </c>
      <c r="G1193" s="55" t="n">
        <v>5</v>
      </c>
      <c r="H1193" s="56" t="n">
        <v>20</v>
      </c>
      <c r="I1193" s="6" t="inlineStr">
        <is>
          <t>Pet Boarding / Huấn luyện K9 &amp; Dịch vụ (20-22đ)</t>
        </is>
      </c>
      <c r="J1193" s="56" t="n">
        <v>22</v>
      </c>
      <c r="K1193" s="6" t="inlineStr">
        <is>
          <t>Chưa rõ giống (Cần quét Bio)</t>
        </is>
      </c>
      <c r="L1193" s="56" t="n">
        <v>0</v>
      </c>
      <c r="M1193" s="56" t="n">
        <v>0</v>
      </c>
      <c r="N1193" s="6" t="inlineStr">
        <is>
          <t>Amazon link not found</t>
        </is>
      </c>
      <c r="O1193" s="56">
        <f>IF(N1193="Selling pet toys + Artificial grass/Pet toilets (TARGET)",15,IF(N1193="Selling artificial grass/pet toilets (TARGET)",10,IF(N1193="Selling pet toys",7,IF(N1193="There's an Amazon link, but no target sales.",3,0))))</f>
        <v/>
      </c>
      <c r="P1193" s="65">
        <f>H1193+J1193+L1193+M1193+O1193</f>
        <v/>
      </c>
      <c r="Q1193" s="69">
        <f>IF(OR(H1193=0,P1193&lt;30),"Tier D (Đóng băng)",IF(P1193&gt;=85,"Tier S (Kim Cương: 85-100đ)",IF(P1193&gt;=70,"Tier A (Vàng: 70-84đ)",IF(P1193&gt;=61,"Tier B+ / Cấp A (Hot Lead: 61-69đ)",IF(P1193&gt;=50,"Tier B (Bạc: 50-60đ)","Tier C (Đồng: 30-49đ)")))))</f>
        <v/>
      </c>
      <c r="R1193" s="6" t="inlineStr">
        <is>
          <t>Cỏ nhân tạo sân chơi/huấn luyện (Dog Turf) + Đồ chơi nhai chịu lực (KONG/Chew Toys)</t>
        </is>
      </c>
      <c r="S1193" s="6" t="inlineStr">
        <is>
          <t>Cấp C Chi phí thấp: Nhắn tin trực tiếp qua Fanpage Facebook/Instagram + Nuôi dưỡng nội dung</t>
        </is>
      </c>
    </row>
    <row r="1194">
      <c r="A1194" s="59" t="n">
        <v>1850</v>
      </c>
      <c r="B1194" s="15" t="inlineStr">
        <is>
          <t>Katies Kanines Dog Training Ni</t>
        </is>
      </c>
      <c r="C1194" s="60" t="inlineStr">
        <is>
          <t>https://www.facebook.com/katiesKaninesni</t>
        </is>
      </c>
      <c r="D1194" s="9" t="inlineStr">
        <is>
          <t>Cần quét Bio Fanpage</t>
        </is>
      </c>
      <c r="E1194" s="59" t="inlineStr">
        <is>
          <t>07/10/2026 00:54:20</t>
        </is>
      </c>
      <c r="F1194" s="59" t="inlineStr">
        <is>
          <t>6 ngày trước</t>
        </is>
      </c>
      <c r="G1194" s="61" t="n">
        <v>6</v>
      </c>
      <c r="H1194" s="62" t="n">
        <v>20</v>
      </c>
      <c r="I1194" s="9" t="inlineStr">
        <is>
          <t>Pet Boarding / Huấn luyện K9 &amp; Dịch vụ (20-22đ)</t>
        </is>
      </c>
      <c r="J1194" s="62" t="n">
        <v>22</v>
      </c>
      <c r="K1194" s="9" t="inlineStr">
        <is>
          <t>Chưa rõ giống (Cần quét Bio)</t>
        </is>
      </c>
      <c r="L1194" s="62" t="n">
        <v>0</v>
      </c>
      <c r="M1194" s="62" t="n">
        <v>0</v>
      </c>
      <c r="N1194" s="9" t="inlineStr">
        <is>
          <t>Amazon link not found</t>
        </is>
      </c>
      <c r="O1194" s="62">
        <f>IF(N1194="Selling pet toys + Artificial grass/Pet toilets (TARGET)",15,IF(N1194="Selling artificial grass/pet toilets (TARGET)",10,IF(N1194="Selling pet toys",7,IF(N1194="There's an Amazon link, but no target sales.",3,0))))</f>
        <v/>
      </c>
      <c r="P1194" s="67">
        <f>H1194+J1194+L1194+M1194+O1194</f>
        <v/>
      </c>
      <c r="Q1194" s="69">
        <f>IF(OR(H1194=0,P1194&lt;30),"Tier D (Đóng băng)",IF(P1194&gt;=85,"Tier S (Kim Cương: 85-100đ)",IF(P1194&gt;=70,"Tier A (Vàng: 70-84đ)",IF(P1194&gt;=61,"Tier B+ / Cấp A (Hot Lead: 61-69đ)",IF(P1194&gt;=50,"Tier B (Bạc: 50-60đ)","Tier C (Đồng: 30-49đ)")))))</f>
        <v/>
      </c>
      <c r="R1194" s="9" t="inlineStr">
        <is>
          <t>Cỏ nhân tạo sân chơi/huấn luyện (Dog Turf) + Đồ chơi nhai chịu lực (KONG/Chew Toys)</t>
        </is>
      </c>
      <c r="S1194" s="9" t="inlineStr">
        <is>
          <t>Cấp C Chi phí thấp: Nhắn tin trực tiếp qua Fanpage Facebook/Instagram + Nuôi dưỡng nội dung</t>
        </is>
      </c>
    </row>
    <row r="1195">
      <c r="A1195" s="53" t="n">
        <v>2217</v>
      </c>
      <c r="B1195" s="12" t="inlineStr">
        <is>
          <t>Motif Grooming, Daycare, Boarding &amp; Training</t>
        </is>
      </c>
      <c r="C1195" s="54" t="inlineStr">
        <is>
          <t>https://www.facebook.com/MotifGrooming</t>
        </is>
      </c>
      <c r="D1195" s="6" t="inlineStr">
        <is>
          <t>Cần quét Bio Fanpage</t>
        </is>
      </c>
      <c r="E1195" s="53" t="inlineStr">
        <is>
          <t>06/10/2026 20:31:58</t>
        </is>
      </c>
      <c r="F1195" s="53" t="inlineStr">
        <is>
          <t>6 ngày trước</t>
        </is>
      </c>
      <c r="G1195" s="55" t="n">
        <v>6</v>
      </c>
      <c r="H1195" s="56" t="n">
        <v>20</v>
      </c>
      <c r="I1195" s="6" t="inlineStr">
        <is>
          <t>Pet Boarding / Huấn luyện K9 &amp; Dịch vụ (20-22đ)</t>
        </is>
      </c>
      <c r="J1195" s="56" t="n">
        <v>22</v>
      </c>
      <c r="K1195" s="6" t="inlineStr">
        <is>
          <t>Chưa rõ giống (Cần quét Bio)</t>
        </is>
      </c>
      <c r="L1195" s="56" t="n">
        <v>0</v>
      </c>
      <c r="M1195" s="56" t="n">
        <v>0</v>
      </c>
      <c r="N1195" s="6" t="inlineStr">
        <is>
          <t>Amazon link not found</t>
        </is>
      </c>
      <c r="O1195" s="56">
        <f>IF(N1195="Selling pet toys + Artificial grass/Pet toilets (TARGET)",15,IF(N1195="Selling artificial grass/pet toilets (TARGET)",10,IF(N1195="Selling pet toys",7,IF(N1195="There's an Amazon link, but no target sales.",3,0))))</f>
        <v/>
      </c>
      <c r="P1195" s="65">
        <f>H1195+J1195+L1195+M1195+O1195</f>
        <v/>
      </c>
      <c r="Q1195" s="69">
        <f>IF(OR(H1195=0,P1195&lt;30),"Tier D (Đóng băng)",IF(P1195&gt;=85,"Tier S (Kim Cương: 85-100đ)",IF(P1195&gt;=70,"Tier A (Vàng: 70-84đ)",IF(P1195&gt;=61,"Tier B+ / Cấp A (Hot Lead: 61-69đ)",IF(P1195&gt;=50,"Tier B (Bạc: 50-60đ)","Tier C (Đồng: 30-49đ)")))))</f>
        <v/>
      </c>
      <c r="R1195" s="6" t="inlineStr">
        <is>
          <t>Cỏ nhân tạo sân chơi/huấn luyện (Dog Turf) + Đồ chơi nhai chịu lực (KONG/Chew Toys)</t>
        </is>
      </c>
      <c r="S1195" s="6" t="inlineStr">
        <is>
          <t>Cấp C Chi phí thấp: Nhắn tin trực tiếp qua Fanpage Facebook/Instagram + Nuôi dưỡng nội dung</t>
        </is>
      </c>
    </row>
    <row r="1196">
      <c r="A1196" s="59" t="n">
        <v>1823</v>
      </c>
      <c r="B1196" s="15" t="inlineStr">
        <is>
          <t>K9 SWS - Jacek Falkenberg</t>
        </is>
      </c>
      <c r="C1196" s="60" t="inlineStr">
        <is>
          <t>https://www.facebook.com/K9FALKENBERG</t>
        </is>
      </c>
      <c r="D1196" s="9" t="inlineStr">
        <is>
          <t>Cần quét Bio Fanpage</t>
        </is>
      </c>
      <c r="E1196" s="59" t="inlineStr">
        <is>
          <t>06/10/2026 16:03:42</t>
        </is>
      </c>
      <c r="F1196" s="59" t="inlineStr">
        <is>
          <t>6 ngày trước</t>
        </is>
      </c>
      <c r="G1196" s="61" t="n">
        <v>6</v>
      </c>
      <c r="H1196" s="62" t="n">
        <v>20</v>
      </c>
      <c r="I1196" s="9" t="inlineStr">
        <is>
          <t>Pet Boarding / Huấn luyện K9 &amp; Dịch vụ (20-22đ)</t>
        </is>
      </c>
      <c r="J1196" s="62" t="n">
        <v>22</v>
      </c>
      <c r="K1196" s="9" t="inlineStr">
        <is>
          <t>Chưa rõ giống (Cần quét Bio)</t>
        </is>
      </c>
      <c r="L1196" s="62" t="n">
        <v>0</v>
      </c>
      <c r="M1196" s="62" t="n">
        <v>0</v>
      </c>
      <c r="N1196" s="9" t="inlineStr">
        <is>
          <t>Amazon link not found</t>
        </is>
      </c>
      <c r="O1196" s="62">
        <f>IF(N1196="Selling pet toys + Artificial grass/Pet toilets (TARGET)",15,IF(N1196="Selling artificial grass/pet toilets (TARGET)",10,IF(N1196="Selling pet toys",7,IF(N1196="There's an Amazon link, but no target sales.",3,0))))</f>
        <v/>
      </c>
      <c r="P1196" s="67">
        <f>H1196+J1196+L1196+M1196+O1196</f>
        <v/>
      </c>
      <c r="Q1196" s="69">
        <f>IF(OR(H1196=0,P1196&lt;30),"Tier D (Đóng băng)",IF(P1196&gt;=85,"Tier S (Kim Cương: 85-100đ)",IF(P1196&gt;=70,"Tier A (Vàng: 70-84đ)",IF(P1196&gt;=61,"Tier B+ / Cấp A (Hot Lead: 61-69đ)",IF(P1196&gt;=50,"Tier B (Bạc: 50-60đ)","Tier C (Đồng: 30-49đ)")))))</f>
        <v/>
      </c>
      <c r="R1196" s="9" t="inlineStr">
        <is>
          <t>Cỏ nhân tạo sân chơi/huấn luyện (Dog Turf) + Đồ chơi nhai chịu lực (KONG/Chew Toys)</t>
        </is>
      </c>
      <c r="S1196" s="9" t="inlineStr">
        <is>
          <t>Cấp C Chi phí thấp: Nhắn tin trực tiếp qua Fanpage Facebook/Instagram + Nuôi dưỡng nội dung</t>
        </is>
      </c>
    </row>
    <row r="1197">
      <c r="A1197" s="53" t="n">
        <v>629</v>
      </c>
      <c r="B1197" s="12" t="inlineStr">
        <is>
          <t>Benjie 101 Dog Boarding &amp; Training School</t>
        </is>
      </c>
      <c r="C1197" s="54" t="inlineStr">
        <is>
          <t>https://www.facebook.com/profile.php?id=100088191168494</t>
        </is>
      </c>
      <c r="D1197" s="6" t="inlineStr">
        <is>
          <t>Cần quét Bio Fanpage</t>
        </is>
      </c>
      <c r="E1197" s="53" t="inlineStr">
        <is>
          <t>06/10/2026 12:11:00</t>
        </is>
      </c>
      <c r="F1197" s="53" t="inlineStr">
        <is>
          <t>6 ngày trước</t>
        </is>
      </c>
      <c r="G1197" s="55" t="n">
        <v>6</v>
      </c>
      <c r="H1197" s="56" t="n">
        <v>20</v>
      </c>
      <c r="I1197" s="6" t="inlineStr">
        <is>
          <t>Pet Boarding / Huấn luyện K9 &amp; Dịch vụ (20-22đ)</t>
        </is>
      </c>
      <c r="J1197" s="56" t="n">
        <v>22</v>
      </c>
      <c r="K1197" s="6" t="inlineStr">
        <is>
          <t>Chưa rõ giống (Cần quét Bio)</t>
        </is>
      </c>
      <c r="L1197" s="56" t="n">
        <v>0</v>
      </c>
      <c r="M1197" s="56" t="n">
        <v>0</v>
      </c>
      <c r="N1197" s="6" t="inlineStr">
        <is>
          <t>Amazon link not found</t>
        </is>
      </c>
      <c r="O1197" s="56">
        <f>IF(N1197="Selling pet toys + Artificial grass/Pet toilets (TARGET)",15,IF(N1197="Selling artificial grass/pet toilets (TARGET)",10,IF(N1197="Selling pet toys",7,IF(N1197="There's an Amazon link, but no target sales.",3,0))))</f>
        <v/>
      </c>
      <c r="P1197" s="65">
        <f>H1197+J1197+L1197+M1197+O1197</f>
        <v/>
      </c>
      <c r="Q1197" s="69">
        <f>IF(OR(H1197=0,P1197&lt;30),"Tier D (Đóng băng)",IF(P1197&gt;=85,"Tier S (Kim Cương: 85-100đ)",IF(P1197&gt;=70,"Tier A (Vàng: 70-84đ)",IF(P1197&gt;=61,"Tier B+ / Cấp A (Hot Lead: 61-69đ)",IF(P1197&gt;=50,"Tier B (Bạc: 50-60đ)","Tier C (Đồng: 30-49đ)")))))</f>
        <v/>
      </c>
      <c r="R1197" s="6" t="inlineStr">
        <is>
          <t>Cỏ nhân tạo sân chơi/huấn luyện (Dog Turf) + Đồ chơi nhai chịu lực (KONG/Chew Toys)</t>
        </is>
      </c>
      <c r="S1197" s="6" t="inlineStr">
        <is>
          <t>Cấp C Chi phí thấp: Nhắn tin trực tiếp qua Fanpage Facebook/Instagram + Nuôi dưỡng nội dung</t>
        </is>
      </c>
    </row>
    <row r="1198">
      <c r="A1198" s="59" t="n">
        <v>410</v>
      </c>
      <c r="B1198" s="15" t="inlineStr">
        <is>
          <t>American K9 Country</t>
        </is>
      </c>
      <c r="C1198" s="60" t="inlineStr">
        <is>
          <t>https://www.facebook.com/americank9country</t>
        </is>
      </c>
      <c r="D1198" s="9" t="inlineStr">
        <is>
          <t>Cần quét Bio Fanpage</t>
        </is>
      </c>
      <c r="E1198" s="59" t="inlineStr">
        <is>
          <t>06/10/2026 01:37:47</t>
        </is>
      </c>
      <c r="F1198" s="59" t="inlineStr">
        <is>
          <t>1 tuần trước</t>
        </is>
      </c>
      <c r="G1198" s="61" t="n">
        <v>7</v>
      </c>
      <c r="H1198" s="62" t="n">
        <v>20</v>
      </c>
      <c r="I1198" s="9" t="inlineStr">
        <is>
          <t>Pet Boarding / Huấn luyện K9 &amp; Dịch vụ (20-22đ)</t>
        </is>
      </c>
      <c r="J1198" s="62" t="n">
        <v>22</v>
      </c>
      <c r="K1198" s="9" t="inlineStr">
        <is>
          <t>Chưa rõ giống (Cần quét Bio)</t>
        </is>
      </c>
      <c r="L1198" s="62" t="n">
        <v>0</v>
      </c>
      <c r="M1198" s="62" t="n">
        <v>0</v>
      </c>
      <c r="N1198" s="9" t="inlineStr">
        <is>
          <t>Amazon link not found</t>
        </is>
      </c>
      <c r="O1198" s="62">
        <f>IF(N1198="Selling pet toys + Artificial grass/Pet toilets (TARGET)",15,IF(N1198="Selling artificial grass/pet toilets (TARGET)",10,IF(N1198="Selling pet toys",7,IF(N1198="There's an Amazon link, but no target sales.",3,0))))</f>
        <v/>
      </c>
      <c r="P1198" s="67">
        <f>H1198+J1198+L1198+M1198+O1198</f>
        <v/>
      </c>
      <c r="Q1198" s="69">
        <f>IF(OR(H1198=0,P1198&lt;30),"Tier D (Đóng băng)",IF(P1198&gt;=85,"Tier S (Kim Cương: 85-100đ)",IF(P1198&gt;=70,"Tier A (Vàng: 70-84đ)",IF(P1198&gt;=61,"Tier B+ / Cấp A (Hot Lead: 61-69đ)",IF(P1198&gt;=50,"Tier B (Bạc: 50-60đ)","Tier C (Đồng: 30-49đ)")))))</f>
        <v/>
      </c>
      <c r="R1198" s="9" t="inlineStr">
        <is>
          <t>Cỏ nhân tạo sân chơi/huấn luyện (Dog Turf) + Đồ chơi nhai chịu lực (KONG/Chew Toys)</t>
        </is>
      </c>
      <c r="S1198" s="9" t="inlineStr">
        <is>
          <t>Cấp C Chi phí thấp: Nhắn tin trực tiếp qua Fanpage Facebook/Instagram + Nuôi dưỡng nội dung</t>
        </is>
      </c>
    </row>
    <row r="1199">
      <c r="A1199" s="53" t="n">
        <v>399</v>
      </c>
      <c r="B1199" s="12" t="inlineStr">
        <is>
          <t>Amanda's Pawsome K9's</t>
        </is>
      </c>
      <c r="C1199" s="54" t="inlineStr">
        <is>
          <t>https://www.facebook.com/profile.php?id=61557603206008</t>
        </is>
      </c>
      <c r="D1199" s="6" t="inlineStr">
        <is>
          <t>Cần quét Bio Fanpage</t>
        </is>
      </c>
      <c r="E1199" s="53" t="inlineStr">
        <is>
          <t>05/10/2026 06:26:04</t>
        </is>
      </c>
      <c r="F1199" s="53" t="inlineStr">
        <is>
          <t>1 tuần trước</t>
        </is>
      </c>
      <c r="G1199" s="55" t="n">
        <v>7</v>
      </c>
      <c r="H1199" s="56" t="n">
        <v>20</v>
      </c>
      <c r="I1199" s="6" t="inlineStr">
        <is>
          <t>Pet Boarding / Huấn luyện K9 &amp; Dịch vụ (20-22đ)</t>
        </is>
      </c>
      <c r="J1199" s="56" t="n">
        <v>22</v>
      </c>
      <c r="K1199" s="6" t="inlineStr">
        <is>
          <t>Chưa rõ giống (Cần quét Bio)</t>
        </is>
      </c>
      <c r="L1199" s="56" t="n">
        <v>0</v>
      </c>
      <c r="M1199" s="56" t="n">
        <v>0</v>
      </c>
      <c r="N1199" s="6" t="inlineStr">
        <is>
          <t>Amazon link not found</t>
        </is>
      </c>
      <c r="O1199" s="56">
        <f>IF(N1199="Selling pet toys + Artificial grass/Pet toilets (TARGET)",15,IF(N1199="Selling artificial grass/pet toilets (TARGET)",10,IF(N1199="Selling pet toys",7,IF(N1199="There's an Amazon link, but no target sales.",3,0))))</f>
        <v/>
      </c>
      <c r="P1199" s="65">
        <f>H1199+J1199+L1199+M1199+O1199</f>
        <v/>
      </c>
      <c r="Q1199" s="69">
        <f>IF(OR(H1199=0,P1199&lt;30),"Tier D (Đóng băng)",IF(P1199&gt;=85,"Tier S (Kim Cương: 85-100đ)",IF(P1199&gt;=70,"Tier A (Vàng: 70-84đ)",IF(P1199&gt;=61,"Tier B+ / Cấp A (Hot Lead: 61-69đ)",IF(P1199&gt;=50,"Tier B (Bạc: 50-60đ)","Tier C (Đồng: 30-49đ)")))))</f>
        <v/>
      </c>
      <c r="R1199" s="6" t="inlineStr">
        <is>
          <t>Cỏ nhân tạo sân chơi/huấn luyện (Dog Turf) + Đồ chơi nhai chịu lực (KONG/Chew Toys)</t>
        </is>
      </c>
      <c r="S1199" s="6" t="inlineStr">
        <is>
          <t>Cấp C Chi phí thấp: Nhắn tin trực tiếp qua Fanpage Facebook/Instagram + Nuôi dưỡng nội dung</t>
        </is>
      </c>
    </row>
    <row r="1200">
      <c r="A1200" s="59" t="n">
        <v>1105</v>
      </c>
      <c r="B1200" s="15" t="inlineStr">
        <is>
          <t>Dog Training Club of Tampa</t>
        </is>
      </c>
      <c r="C1200" s="60" t="inlineStr">
        <is>
          <t>https://www.facebook.com/dtctampa</t>
        </is>
      </c>
      <c r="D1200" s="9" t="inlineStr">
        <is>
          <t>Cần quét Bio Fanpage</t>
        </is>
      </c>
      <c r="E1200" s="59" t="inlineStr">
        <is>
          <t>04/10/2026 05:17:37</t>
        </is>
      </c>
      <c r="F1200" s="59" t="inlineStr">
        <is>
          <t>1 tuần trước</t>
        </is>
      </c>
      <c r="G1200" s="61" t="n">
        <v>7</v>
      </c>
      <c r="H1200" s="62" t="n">
        <v>20</v>
      </c>
      <c r="I1200" s="9" t="inlineStr">
        <is>
          <t>Pet Boarding / Huấn luyện K9 &amp; Dịch vụ (20-22đ)</t>
        </is>
      </c>
      <c r="J1200" s="62" t="n">
        <v>22</v>
      </c>
      <c r="K1200" s="9" t="inlineStr">
        <is>
          <t>Chưa rõ giống (Cần quét Bio)</t>
        </is>
      </c>
      <c r="L1200" s="62" t="n">
        <v>0</v>
      </c>
      <c r="M1200" s="62" t="n">
        <v>0</v>
      </c>
      <c r="N1200" s="9" t="inlineStr">
        <is>
          <t>Amazon link not found</t>
        </is>
      </c>
      <c r="O1200" s="62">
        <f>IF(N1200="Selling pet toys + Artificial grass/Pet toilets (TARGET)",15,IF(N1200="Selling artificial grass/pet toilets (TARGET)",10,IF(N1200="Selling pet toys",7,IF(N1200="There's an Amazon link, but no target sales.",3,0))))</f>
        <v/>
      </c>
      <c r="P1200" s="67">
        <f>H1200+J1200+L1200+M1200+O1200</f>
        <v/>
      </c>
      <c r="Q1200" s="69">
        <f>IF(OR(H1200=0,P1200&lt;30),"Tier D (Đóng băng)",IF(P1200&gt;=85,"Tier S (Kim Cương: 85-100đ)",IF(P1200&gt;=70,"Tier A (Vàng: 70-84đ)",IF(P1200&gt;=61,"Tier B+ / Cấp A (Hot Lead: 61-69đ)",IF(P1200&gt;=50,"Tier B (Bạc: 50-60đ)","Tier C (Đồng: 30-49đ)")))))</f>
        <v/>
      </c>
      <c r="R1200" s="9" t="inlineStr">
        <is>
          <t>Cỏ nhân tạo sân chơi/huấn luyện (Dog Turf) + Đồ chơi nhai chịu lực (KONG/Chew Toys)</t>
        </is>
      </c>
      <c r="S1200" s="9" t="inlineStr">
        <is>
          <t>Cấp C Chi phí thấp: Nhắn tin trực tiếp qua Fanpage Facebook/Instagram + Nuôi dưỡng nội dung</t>
        </is>
      </c>
    </row>
    <row r="1201">
      <c r="A1201" s="53" t="n">
        <v>210</v>
      </c>
      <c r="B1201" s="12" t="inlineStr">
        <is>
          <t>Leader Of The Pack K9 Training</t>
        </is>
      </c>
      <c r="C1201" s="54" t="inlineStr">
        <is>
          <t>https://www.facebook.com/leaderofthepacklv</t>
        </is>
      </c>
      <c r="D1201" s="6" t="inlineStr">
        <is>
          <t>Cần quét Bio Fanpage</t>
        </is>
      </c>
      <c r="E1201" s="53" t="inlineStr">
        <is>
          <t>03/10/2026 21:44:50</t>
        </is>
      </c>
      <c r="F1201" s="53" t="inlineStr">
        <is>
          <t>1 tuần trước</t>
        </is>
      </c>
      <c r="G1201" s="55" t="n">
        <v>7</v>
      </c>
      <c r="H1201" s="56" t="n">
        <v>20</v>
      </c>
      <c r="I1201" s="6" t="inlineStr">
        <is>
          <t>Pet Boarding / Huấn luyện K9 &amp; Dịch vụ (20-22đ)</t>
        </is>
      </c>
      <c r="J1201" s="56" t="n">
        <v>22</v>
      </c>
      <c r="K1201" s="6" t="inlineStr">
        <is>
          <t>Chưa rõ giống (Cần quét Bio)</t>
        </is>
      </c>
      <c r="L1201" s="56" t="n">
        <v>0</v>
      </c>
      <c r="M1201" s="56" t="n">
        <v>0</v>
      </c>
      <c r="N1201" s="6" t="inlineStr">
        <is>
          <t>Amazon link not found</t>
        </is>
      </c>
      <c r="O1201" s="56">
        <f>IF(N1201="Selling pet toys + Artificial grass/Pet toilets (TARGET)",15,IF(N1201="Selling artificial grass/pet toilets (TARGET)",10,IF(N1201="Selling pet toys",7,IF(N1201="There's an Amazon link, but no target sales.",3,0))))</f>
        <v/>
      </c>
      <c r="P1201" s="65">
        <f>H1201+J1201+L1201+M1201+O1201</f>
        <v/>
      </c>
      <c r="Q1201" s="69">
        <f>IF(OR(H1201=0,P1201&lt;30),"Tier D (Đóng băng)",IF(P1201&gt;=85,"Tier S (Kim Cương: 85-100đ)",IF(P1201&gt;=70,"Tier A (Vàng: 70-84đ)",IF(P1201&gt;=61,"Tier B+ / Cấp A (Hot Lead: 61-69đ)",IF(P1201&gt;=50,"Tier B (Bạc: 50-60đ)","Tier C (Đồng: 30-49đ)")))))</f>
        <v/>
      </c>
      <c r="R1201" s="6" t="inlineStr">
        <is>
          <t>Cỏ nhân tạo sân chơi/huấn luyện (Dog Turf) + Đồ chơi nhai chịu lực (KONG/Chew Toys)</t>
        </is>
      </c>
      <c r="S1201" s="6" t="inlineStr">
        <is>
          <t>Cấp C Chi phí thấp: Nhắn tin trực tiếp qua Fanpage Facebook/Instagram + Nuôi dưỡng nội dung</t>
        </is>
      </c>
    </row>
    <row r="1202">
      <c r="A1202" s="59" t="n">
        <v>500</v>
      </c>
      <c r="B1202" s="15" t="inlineStr">
        <is>
          <t>Anna Herzog Dog Training</t>
        </is>
      </c>
      <c r="C1202" s="60" t="inlineStr">
        <is>
          <t>https://www.facebook.com/annaherzogdogsports</t>
        </is>
      </c>
      <c r="D1202" s="9" t="inlineStr">
        <is>
          <t>Cần quét Bio Fanpage</t>
        </is>
      </c>
      <c r="E1202" s="59" t="inlineStr">
        <is>
          <t>02/10/2026 00:36:13</t>
        </is>
      </c>
      <c r="F1202" s="59" t="inlineStr">
        <is>
          <t>1 tuần trước</t>
        </is>
      </c>
      <c r="G1202" s="61" t="n">
        <v>7</v>
      </c>
      <c r="H1202" s="62" t="n">
        <v>20</v>
      </c>
      <c r="I1202" s="9" t="inlineStr">
        <is>
          <t>Pet Boarding / Huấn luyện K9 &amp; Dịch vụ (20-22đ)</t>
        </is>
      </c>
      <c r="J1202" s="62" t="n">
        <v>22</v>
      </c>
      <c r="K1202" s="9" t="inlineStr">
        <is>
          <t>Chưa rõ giống (Cần quét Bio)</t>
        </is>
      </c>
      <c r="L1202" s="62" t="n">
        <v>0</v>
      </c>
      <c r="M1202" s="62" t="n">
        <v>0</v>
      </c>
      <c r="N1202" s="9" t="inlineStr">
        <is>
          <t>Amazon link not found</t>
        </is>
      </c>
      <c r="O1202" s="62">
        <f>IF(N1202="Selling pet toys + Artificial grass/Pet toilets (TARGET)",15,IF(N1202="Selling artificial grass/pet toilets (TARGET)",10,IF(N1202="Selling pet toys",7,IF(N1202="There's an Amazon link, but no target sales.",3,0))))</f>
        <v/>
      </c>
      <c r="P1202" s="67">
        <f>H1202+J1202+L1202+M1202+O1202</f>
        <v/>
      </c>
      <c r="Q1202" s="69">
        <f>IF(OR(H1202=0,P1202&lt;30),"Tier D (Đóng băng)",IF(P1202&gt;=85,"Tier S (Kim Cương: 85-100đ)",IF(P1202&gt;=70,"Tier A (Vàng: 70-84đ)",IF(P1202&gt;=61,"Tier B+ / Cấp A (Hot Lead: 61-69đ)",IF(P1202&gt;=50,"Tier B (Bạc: 50-60đ)","Tier C (Đồng: 30-49đ)")))))</f>
        <v/>
      </c>
      <c r="R1202" s="9" t="inlineStr">
        <is>
          <t>Cỏ nhân tạo sân chơi/huấn luyện (Dog Turf) + Đồ chơi nhai chịu lực (KONG/Chew Toys)</t>
        </is>
      </c>
      <c r="S1202" s="9" t="inlineStr">
        <is>
          <t>Cấp C Chi phí thấp: Nhắn tin trực tiếp qua Fanpage Facebook/Instagram + Nuôi dưỡng nội dung</t>
        </is>
      </c>
    </row>
    <row r="1203">
      <c r="A1203" s="53" t="n">
        <v>2020</v>
      </c>
      <c r="B1203" s="12" t="inlineStr">
        <is>
          <t>Lilcracka Pet Supplies</t>
        </is>
      </c>
      <c r="C1203" s="54" t="inlineStr">
        <is>
          <t>https://www.facebook.com/LilcrackaPetSupplies</t>
        </is>
      </c>
      <c r="D1203" s="6" t="inlineStr">
        <is>
          <t>Cần quét Bio Fanpage</t>
        </is>
      </c>
      <c r="E1203" s="53" t="inlineStr">
        <is>
          <t>01/10/2026 14:55:05</t>
        </is>
      </c>
      <c r="F1203" s="53" t="inlineStr">
        <is>
          <t>1 tuần trước</t>
        </is>
      </c>
      <c r="G1203" s="55" t="n">
        <v>7</v>
      </c>
      <c r="H1203" s="56" t="n">
        <v>20</v>
      </c>
      <c r="I1203" s="6" t="inlineStr">
        <is>
          <t>Pet Owner / Cộng đồng nuôi cún (10đ)</t>
        </is>
      </c>
      <c r="J1203" s="56" t="n">
        <v>10</v>
      </c>
      <c r="K1203" s="6" t="inlineStr">
        <is>
          <t>Chưa rõ giống (Cần quét Bio)</t>
        </is>
      </c>
      <c r="L1203" s="56" t="n">
        <v>0</v>
      </c>
      <c r="M1203" s="56" t="n">
        <v>5</v>
      </c>
      <c r="N1203" s="6" t="inlineStr">
        <is>
          <t>Selling pet toys</t>
        </is>
      </c>
      <c r="O1203" s="56">
        <f>IF(N1203="Selling pet toys + Artificial grass/Pet toilets (TARGET)",15,IF(N1203="Selling artificial grass/pet toilets (TARGET)",10,IF(N1203="Selling pet toys",7,IF(N1203="There's an Amazon link, but no target sales.",3,0))))</f>
        <v/>
      </c>
      <c r="P1203" s="65">
        <f>H1203+J1203+L1203+M1203+O1203</f>
        <v/>
      </c>
      <c r="Q1203" s="69">
        <f>IF(OR(H1203=0,P1203&lt;30),"Tier D (Đóng băng)",IF(P1203&gt;=85,"Tier S (Kim Cương: 85-100đ)",IF(P1203&gt;=70,"Tier A (Vàng: 70-84đ)",IF(P1203&gt;=61,"Tier B+ / Cấp A (Hot Lead: 61-69đ)",IF(P1203&gt;=50,"Tier B (Bạc: 50-60đ)","Tier C (Đồng: 30-49đ)")))))</f>
        <v/>
      </c>
      <c r="R1203" s="6" t="inlineStr">
        <is>
          <t>Khay vệ sinh chung cư (Indoor Potty) + Thảm cỏ ban công (Grass Patch) + Đồ chơi</t>
        </is>
      </c>
      <c r="S1203" s="6" t="inlineStr">
        <is>
          <t>Cấp C Chi phí thấp: Nhắn tin trực tiếp qua Fanpage Facebook/Instagram + Nuôi dưỡng nội dung</t>
        </is>
      </c>
    </row>
    <row r="1204">
      <c r="A1204" s="59" t="n">
        <v>2769</v>
      </c>
      <c r="B1204" s="15" t="inlineStr">
        <is>
          <t>Rockwood Dog Training</t>
        </is>
      </c>
      <c r="C1204" s="60" t="inlineStr">
        <is>
          <t>https://www.facebook.com/rockwoodanimals</t>
        </is>
      </c>
      <c r="D1204" s="9" t="inlineStr">
        <is>
          <t>Cần quét Bio Fanpage</t>
        </is>
      </c>
      <c r="E1204" s="59" t="inlineStr">
        <is>
          <t>30/09/2026 14:25:38</t>
        </is>
      </c>
      <c r="F1204" s="59" t="inlineStr">
        <is>
          <t>1 tuần trước</t>
        </is>
      </c>
      <c r="G1204" s="61" t="n">
        <v>7</v>
      </c>
      <c r="H1204" s="62" t="n">
        <v>20</v>
      </c>
      <c r="I1204" s="9" t="inlineStr">
        <is>
          <t>Pet Boarding / Huấn luyện K9 &amp; Dịch vụ (20-22đ)</t>
        </is>
      </c>
      <c r="J1204" s="62" t="n">
        <v>22</v>
      </c>
      <c r="K1204" s="9" t="inlineStr">
        <is>
          <t>Chưa rõ giống (Cần quét Bio)</t>
        </is>
      </c>
      <c r="L1204" s="62" t="n">
        <v>0</v>
      </c>
      <c r="M1204" s="62" t="n">
        <v>0</v>
      </c>
      <c r="N1204" s="9" t="inlineStr">
        <is>
          <t>Amazon link not found</t>
        </is>
      </c>
      <c r="O1204" s="62">
        <f>IF(N1204="Selling pet toys + Artificial grass/Pet toilets (TARGET)",15,IF(N1204="Selling artificial grass/pet toilets (TARGET)",10,IF(N1204="Selling pet toys",7,IF(N1204="There's an Amazon link, but no target sales.",3,0))))</f>
        <v/>
      </c>
      <c r="P1204" s="67">
        <f>H1204+J1204+L1204+M1204+O1204</f>
        <v/>
      </c>
      <c r="Q1204" s="69">
        <f>IF(OR(H1204=0,P1204&lt;30),"Tier D (Đóng băng)",IF(P1204&gt;=85,"Tier S (Kim Cương: 85-100đ)",IF(P1204&gt;=70,"Tier A (Vàng: 70-84đ)",IF(P1204&gt;=61,"Tier B+ / Cấp A (Hot Lead: 61-69đ)",IF(P1204&gt;=50,"Tier B (Bạc: 50-60đ)","Tier C (Đồng: 30-49đ)")))))</f>
        <v/>
      </c>
      <c r="R1204" s="9" t="inlineStr">
        <is>
          <t>Cỏ nhân tạo sân chơi/huấn luyện (Dog Turf) + Đồ chơi nhai chịu lực (KONG/Chew Toys)</t>
        </is>
      </c>
      <c r="S1204" s="9" t="inlineStr">
        <is>
          <t>Cấp C Chi phí thấp: Nhắn tin trực tiếp qua Fanpage Facebook/Instagram + Nuôi dưỡng nội dung</t>
        </is>
      </c>
    </row>
    <row r="1205">
      <c r="A1205" s="53" t="n">
        <v>1546</v>
      </c>
      <c r="B1205" s="12" t="inlineStr">
        <is>
          <t>Gray's K9 Academy</t>
        </is>
      </c>
      <c r="C1205" s="54" t="inlineStr">
        <is>
          <t>https://www.facebook.com/graysk9academy</t>
        </is>
      </c>
      <c r="D1205" s="6" t="inlineStr">
        <is>
          <t>Cần quét Bio Fanpage</t>
        </is>
      </c>
      <c r="E1205" s="53" t="inlineStr">
        <is>
          <t>25/09/2026 23:28:39</t>
        </is>
      </c>
      <c r="F1205" s="53" t="inlineStr">
        <is>
          <t>2 tuần trước</t>
        </is>
      </c>
      <c r="G1205" s="55" t="n">
        <v>14</v>
      </c>
      <c r="H1205" s="56" t="n">
        <v>15</v>
      </c>
      <c r="I1205" s="6" t="inlineStr">
        <is>
          <t>Pet Boarding / Huấn luyện K9 &amp; Dịch vụ (20-22đ)</t>
        </is>
      </c>
      <c r="J1205" s="56" t="n">
        <v>22</v>
      </c>
      <c r="K1205" s="6" t="inlineStr">
        <is>
          <t>Chưa rõ giống (Cần quét Bio)</t>
        </is>
      </c>
      <c r="L1205" s="56" t="n">
        <v>0</v>
      </c>
      <c r="M1205" s="56" t="n">
        <v>5</v>
      </c>
      <c r="N1205" s="6" t="inlineStr">
        <is>
          <t>Amazon link not found</t>
        </is>
      </c>
      <c r="O1205" s="56">
        <f>IF(N1205="Selling pet toys + Artificial grass/Pet toilets (TARGET)",15,IF(N1205="Selling artificial grass/pet toilets (TARGET)",10,IF(N1205="Selling pet toys",7,IF(N1205="There's an Amazon link, but no target sales.",3,0))))</f>
        <v/>
      </c>
      <c r="P1205" s="65">
        <f>H1205+J1205+L1205+M1205+O1205</f>
        <v/>
      </c>
      <c r="Q1205" s="69">
        <f>IF(OR(H1205=0,P1205&lt;30),"Tier D (Đóng băng)",IF(P1205&gt;=85,"Tier S (Kim Cương: 85-100đ)",IF(P1205&gt;=70,"Tier A (Vàng: 70-84đ)",IF(P1205&gt;=61,"Tier B+ / Cấp A (Hot Lead: 61-69đ)",IF(P1205&gt;=50,"Tier B (Bạc: 50-60đ)","Tier C (Đồng: 30-49đ)")))))</f>
        <v/>
      </c>
      <c r="R1205" s="6" t="inlineStr">
        <is>
          <t>Cỏ nhân tạo sân chơi/huấn luyện (Dog Turf) + Đồ chơi nhai chịu lực (KONG/Chew Toys)</t>
        </is>
      </c>
      <c r="S1205" s="6" t="inlineStr">
        <is>
          <t>Cấp C Chi phí thấp: Nhắn tin trực tiếp qua Fanpage Facebook/Instagram + Nuôi dưỡng nội dung</t>
        </is>
      </c>
    </row>
    <row r="1206">
      <c r="A1206" s="59" t="n">
        <v>1388</v>
      </c>
      <c r="B1206" s="15" t="inlineStr">
        <is>
          <t>First Due Lawn Care Services</t>
        </is>
      </c>
      <c r="C1206" s="60" t="inlineStr">
        <is>
          <t>https://www.facebook.com/profile.php?id=61573591543276</t>
        </is>
      </c>
      <c r="D1206" s="9" t="inlineStr">
        <is>
          <t>Cần quét Bio Fanpage</t>
        </is>
      </c>
      <c r="E1206" s="59" t="inlineStr">
        <is>
          <t>22/09/2026 10:39:37</t>
        </is>
      </c>
      <c r="F1206" s="59" t="inlineStr">
        <is>
          <t>2 tuần trước</t>
        </is>
      </c>
      <c r="G1206" s="61" t="n">
        <v>14</v>
      </c>
      <c r="H1206" s="62" t="n">
        <v>15</v>
      </c>
      <c r="I1206" s="9" t="inlineStr">
        <is>
          <t>Pet Boarding / Huấn luyện K9 &amp; Dịch vụ (20-22đ)</t>
        </is>
      </c>
      <c r="J1206" s="62" t="n">
        <v>22</v>
      </c>
      <c r="K1206" s="9" t="inlineStr">
        <is>
          <t>Chưa rõ giống (Cần quét Bio)</t>
        </is>
      </c>
      <c r="L1206" s="62" t="n">
        <v>0</v>
      </c>
      <c r="M1206" s="62" t="n">
        <v>5</v>
      </c>
      <c r="N1206" s="9" t="inlineStr">
        <is>
          <t>Amazon link not found</t>
        </is>
      </c>
      <c r="O1206" s="62">
        <f>IF(N1206="Selling pet toys + Artificial grass/Pet toilets (TARGET)",15,IF(N1206="Selling artificial grass/pet toilets (TARGET)",10,IF(N1206="Selling pet toys",7,IF(N1206="There's an Amazon link, but no target sales.",3,0))))</f>
        <v/>
      </c>
      <c r="P1206" s="67">
        <f>H1206+J1206+L1206+M1206+O1206</f>
        <v/>
      </c>
      <c r="Q1206" s="69">
        <f>IF(OR(H1206=0,P1206&lt;30),"Tier D (Đóng băng)",IF(P1206&gt;=85,"Tier S (Kim Cương: 85-100đ)",IF(P1206&gt;=70,"Tier A (Vàng: 70-84đ)",IF(P1206&gt;=61,"Tier B+ / Cấp A (Hot Lead: 61-69đ)",IF(P1206&gt;=50,"Tier B (Bạc: 50-60đ)","Tier C (Đồng: 30-49đ)")))))</f>
        <v/>
      </c>
      <c r="R1206" s="9" t="inlineStr">
        <is>
          <t>Cỏ nhân tạo sân chơi/huấn luyện (Dog Turf) + Đồ chơi nhai chịu lực (KONG/Chew Toys)</t>
        </is>
      </c>
      <c r="S1206" s="9" t="inlineStr">
        <is>
          <t>Cấp C Chi phí thấp: Nhắn tin trực tiếp qua Fanpage Facebook/Instagram + Nuôi dưỡng nội dung</t>
        </is>
      </c>
    </row>
    <row r="1207">
      <c r="A1207" s="53" t="n">
        <v>1558</v>
      </c>
      <c r="B1207" s="12" t="inlineStr">
        <is>
          <t>Green Belt Turf Farm</t>
        </is>
      </c>
      <c r="C1207" s="54" t="inlineStr">
        <is>
          <t>https://www.facebook.com/greenbeltturffarm</t>
        </is>
      </c>
      <c r="D1207" s="6" t="inlineStr">
        <is>
          <t>Cần quét Bio Fanpage</t>
        </is>
      </c>
      <c r="E1207" s="53" t="inlineStr">
        <is>
          <t>14/08/2026 02:29:09</t>
        </is>
      </c>
      <c r="F1207" s="53" t="inlineStr">
        <is>
          <t>2 tháng trước</t>
        </is>
      </c>
      <c r="G1207" s="55" t="n">
        <v>60</v>
      </c>
      <c r="H1207" s="56" t="n">
        <v>0</v>
      </c>
      <c r="I1207" s="6" t="inlineStr">
        <is>
          <t>Pet Boarding / Huấn luyện K9 &amp; Dịch vụ (20-22đ)</t>
        </is>
      </c>
      <c r="J1207" s="56" t="n">
        <v>22</v>
      </c>
      <c r="K1207" s="6" t="inlineStr">
        <is>
          <t>Chưa rõ giống (Cần quét Bio)</t>
        </is>
      </c>
      <c r="L1207" s="56" t="n">
        <v>0</v>
      </c>
      <c r="M1207" s="56" t="n">
        <v>10</v>
      </c>
      <c r="N1207" s="6" t="inlineStr">
        <is>
          <t>Selling artificial grass/pet toilets (TARGET)</t>
        </is>
      </c>
      <c r="O1207" s="56">
        <f>IF(N1207="Selling pet toys + Artificial grass/Pet toilets (TARGET)",15,IF(N1207="Selling artificial grass/pet toilets (TARGET)",10,IF(N1207="Selling pet toys",7,IF(N1207="There's an Amazon link, but no target sales.",3,0))))</f>
        <v/>
      </c>
      <c r="P1207" s="65">
        <f>H1207+J1207+L1207+M1207+O1207</f>
        <v/>
      </c>
      <c r="Q1207" s="68">
        <f>IF(OR(H1207=0,P1207&lt;30),"Tier D (Đóng băng)",IF(P1207&gt;=85,"Tier S (Kim Cương: 85-100đ)",IF(P1207&gt;=70,"Tier A (Vàng: 70-84đ)",IF(P1207&gt;=61,"Tier B+ / Cấp A (Hot Lead: 61-69đ)",IF(P1207&gt;=50,"Tier B (Bạc: 50-60đ)","Tier C (Đồng: 30-49đ)")))))</f>
        <v/>
      </c>
      <c r="R1207" s="6" t="inlineStr">
        <is>
          <t>Cỏ nhân tạo sân chơi/huấn luyện (Dog Turf) + Đồ chơi nhai chịu lực (KONG/Chew Toys)</t>
        </is>
      </c>
      <c r="S1207" s="6" t="inlineStr">
        <is>
          <t>Đóng băng tương tác (&gt;30 ngày): Lưu trữ chờ kích hoạt lại, không tốn tài nguyên Sales</t>
        </is>
      </c>
    </row>
    <row r="1208">
      <c r="A1208" s="59" t="n">
        <v>234</v>
      </c>
      <c r="B1208" s="15" t="inlineStr">
        <is>
          <t>Northeast Boston Terrier Rescue</t>
        </is>
      </c>
      <c r="C1208" s="60" t="inlineStr">
        <is>
          <t>https://www.facebook.com/nebtr</t>
        </is>
      </c>
      <c r="D1208" s="9" t="inlineStr">
        <is>
          <t>Cần quét Bio Fanpage</t>
        </is>
      </c>
      <c r="E1208" s="59" t="inlineStr">
        <is>
          <t>08/10/2026 22:46:46</t>
        </is>
      </c>
      <c r="F1208" s="59" t="inlineStr">
        <is>
          <t>4 ngày trước</t>
        </is>
      </c>
      <c r="G1208" s="61" t="n">
        <v>4</v>
      </c>
      <c r="H1208" s="62" t="n">
        <v>20</v>
      </c>
      <c r="I1208" s="9" t="inlineStr">
        <is>
          <t>Pet Rescue / Trạm cứu trợ (14-16đ)</t>
        </is>
      </c>
      <c r="J1208" s="62" t="n">
        <v>16</v>
      </c>
      <c r="K1208" s="9" t="inlineStr">
        <is>
          <t>Terrier (Jack Russell/Yorkie/Boston/Staffy)</t>
        </is>
      </c>
      <c r="L1208" s="62" t="n">
        <v>5</v>
      </c>
      <c r="M1208" s="62" t="n">
        <v>0</v>
      </c>
      <c r="N1208" s="9" t="inlineStr">
        <is>
          <t>Amazon link not found</t>
        </is>
      </c>
      <c r="O1208" s="62">
        <f>IF(N1208="Selling pet toys + Artificial grass/Pet toilets (TARGET)",15,IF(N1208="Selling artificial grass/pet toilets (TARGET)",10,IF(N1208="Selling pet toys",7,IF(N1208="There's an Amazon link, but no target sales.",3,0))))</f>
        <v/>
      </c>
      <c r="P1208" s="67">
        <f>H1208+J1208+L1208+M1208+O1208</f>
        <v/>
      </c>
      <c r="Q1208" s="69">
        <f>IF(OR(H1208=0,P1208&lt;30),"Tier D (Đóng băng)",IF(P1208&gt;=85,"Tier S (Kim Cương: 85-100đ)",IF(P1208&gt;=70,"Tier A (Vàng: 70-84đ)",IF(P1208&gt;=61,"Tier B+ / Cấp A (Hot Lead: 61-69đ)",IF(P1208&gt;=50,"Tier B (Bạc: 50-60đ)","Tier C (Đồng: 30-49đ)")))))</f>
        <v/>
      </c>
      <c r="R1208" s="9" t="inlineStr">
        <is>
          <t>Nhà vệ sinh &amp; Tã lót (Potty Tray / Pee Pads) + Cỏ nhân tạo lót chuồng</t>
        </is>
      </c>
      <c r="S1208" s="9" t="inlineStr">
        <is>
          <t>Cấp C Chi phí thấp: Nhắn tin trực tiếp qua Fanpage Facebook/Instagram + Nuôi dưỡng nội dung</t>
        </is>
      </c>
    </row>
    <row r="1209">
      <c r="A1209" s="53" t="n">
        <v>3417</v>
      </c>
      <c r="B1209" s="12" t="inlineStr">
        <is>
          <t>Wild Horizon Farm &amp; Rescue</t>
        </is>
      </c>
      <c r="C1209" s="54" t="inlineStr">
        <is>
          <t>https://www.facebook.com/profile.php?id=61560855697264</t>
        </is>
      </c>
      <c r="D1209" s="6" t="inlineStr">
        <is>
          <t>Cần quét Bio Fanpage</t>
        </is>
      </c>
      <c r="E1209" s="53" t="inlineStr">
        <is>
          <t>08/10/2026 21:03:17</t>
        </is>
      </c>
      <c r="F1209" s="53" t="inlineStr">
        <is>
          <t>4 ngày trước</t>
        </is>
      </c>
      <c r="G1209" s="55" t="n">
        <v>4</v>
      </c>
      <c r="H1209" s="56" t="n">
        <v>20</v>
      </c>
      <c r="I1209" s="6" t="inlineStr">
        <is>
          <t>Pet Rescue / Trạm cứu trợ (14-16đ)</t>
        </is>
      </c>
      <c r="J1209" s="56" t="n">
        <v>16</v>
      </c>
      <c r="K1209" s="6" t="inlineStr">
        <is>
          <t>Chưa rõ giống (Cần quét Bio)</t>
        </is>
      </c>
      <c r="L1209" s="56" t="n">
        <v>0</v>
      </c>
      <c r="M1209" s="56" t="n">
        <v>5</v>
      </c>
      <c r="N1209" s="6" t="inlineStr">
        <is>
          <t>Amazon link not found</t>
        </is>
      </c>
      <c r="O1209" s="56">
        <f>IF(N1209="Selling pet toys + Artificial grass/Pet toilets (TARGET)",15,IF(N1209="Selling artificial grass/pet toilets (TARGET)",10,IF(N1209="Selling pet toys",7,IF(N1209="There's an Amazon link, but no target sales.",3,0))))</f>
        <v/>
      </c>
      <c r="P1209" s="65">
        <f>H1209+J1209+L1209+M1209+O1209</f>
        <v/>
      </c>
      <c r="Q1209" s="69">
        <f>IF(OR(H1209=0,P1209&lt;30),"Tier D (Đóng băng)",IF(P1209&gt;=85,"Tier S (Kim Cương: 85-100đ)",IF(P1209&gt;=70,"Tier A (Vàng: 70-84đ)",IF(P1209&gt;=61,"Tier B+ / Cấp A (Hot Lead: 61-69đ)",IF(P1209&gt;=50,"Tier B (Bạc: 50-60đ)","Tier C (Đồng: 30-49đ)")))))</f>
        <v/>
      </c>
      <c r="R1209" s="6" t="inlineStr">
        <is>
          <t>Nhà vệ sinh &amp; Tã lót (Potty Tray / Pee Pads) + Cỏ nhân tạo lót chuồng</t>
        </is>
      </c>
      <c r="S1209" s="6" t="inlineStr">
        <is>
          <t>Cấp C Chi phí thấp: Nhắn tin trực tiếp qua Fanpage Facebook/Instagram + Nuôi dưỡng nội dung</t>
        </is>
      </c>
    </row>
    <row r="1210">
      <c r="A1210" s="59" t="n">
        <v>1026</v>
      </c>
      <c r="B1210" s="15" t="inlineStr">
        <is>
          <t>Desert Harbor Doberman Rescue of Arizona</t>
        </is>
      </c>
      <c r="C1210" s="60" t="inlineStr">
        <is>
          <t>https://www.facebook.com/DHDRofAZ</t>
        </is>
      </c>
      <c r="D1210" s="9" t="inlineStr">
        <is>
          <t>Cần quét Bio Fanpage</t>
        </is>
      </c>
      <c r="E1210" s="59" t="inlineStr">
        <is>
          <t>08/10/2026 06:03:38</t>
        </is>
      </c>
      <c r="F1210" s="59" t="inlineStr">
        <is>
          <t>4 ngày trước</t>
        </is>
      </c>
      <c r="G1210" s="61" t="n">
        <v>4</v>
      </c>
      <c r="H1210" s="62" t="n">
        <v>20</v>
      </c>
      <c r="I1210" s="9" t="inlineStr">
        <is>
          <t>Pet Rescue / Trạm cứu trợ (14-16đ)</t>
        </is>
      </c>
      <c r="J1210" s="62" t="n">
        <v>16</v>
      </c>
      <c r="K1210" s="9" t="inlineStr">
        <is>
          <t>Great Dane / Working Giant</t>
        </is>
      </c>
      <c r="L1210" s="62" t="n">
        <v>5</v>
      </c>
      <c r="M1210" s="62" t="n">
        <v>0</v>
      </c>
      <c r="N1210" s="9" t="inlineStr">
        <is>
          <t>Amazon link not found</t>
        </is>
      </c>
      <c r="O1210" s="62">
        <f>IF(N1210="Selling pet toys + Artificial grass/Pet toilets (TARGET)",15,IF(N1210="Selling artificial grass/pet toilets (TARGET)",10,IF(N1210="Selling pet toys",7,IF(N1210="There's an Amazon link, but no target sales.",3,0))))</f>
        <v/>
      </c>
      <c r="P1210" s="67">
        <f>H1210+J1210+L1210+M1210+O1210</f>
        <v/>
      </c>
      <c r="Q1210" s="69">
        <f>IF(OR(H1210=0,P1210&lt;30),"Tier D (Đóng băng)",IF(P1210&gt;=85,"Tier S (Kim Cương: 85-100đ)",IF(P1210&gt;=70,"Tier A (Vàng: 70-84đ)",IF(P1210&gt;=61,"Tier B+ / Cấp A (Hot Lead: 61-69đ)",IF(P1210&gt;=50,"Tier B (Bạc: 50-60đ)","Tier C (Đồng: 30-49đ)")))))</f>
        <v/>
      </c>
      <c r="R1210" s="9" t="inlineStr">
        <is>
          <t>Nhà vệ sinh &amp; Tã lót (Potty Tray / Pee Pads) + Cỏ nhân tạo lót chuồng</t>
        </is>
      </c>
      <c r="S1210" s="9" t="inlineStr">
        <is>
          <t>Cấp C Chi phí thấp: Nhắn tin trực tiếp qua Fanpage Facebook/Instagram + Nuôi dưỡng nội dung</t>
        </is>
      </c>
    </row>
    <row r="1211">
      <c r="A1211" s="53" t="n">
        <v>510</v>
      </c>
      <c r="B1211" s="12" t="inlineStr">
        <is>
          <t>Arctic Fox Daily Wildlife Rescue, Inc.</t>
        </is>
      </c>
      <c r="C1211" s="54" t="inlineStr">
        <is>
          <t>https://www.facebook.com/arcticfoxdaily</t>
        </is>
      </c>
      <c r="D1211" s="6" t="inlineStr">
        <is>
          <t>Cần quét Bio Fanpage</t>
        </is>
      </c>
      <c r="E1211" s="53" t="inlineStr">
        <is>
          <t>06/10/2026 05:22:12</t>
        </is>
      </c>
      <c r="F1211" s="53" t="inlineStr">
        <is>
          <t>6 ngày trước</t>
        </is>
      </c>
      <c r="G1211" s="55" t="n">
        <v>6</v>
      </c>
      <c r="H1211" s="56" t="n">
        <v>20</v>
      </c>
      <c r="I1211" s="6" t="inlineStr">
        <is>
          <t>Pet Rescue / Trạm cứu trợ (14-16đ)</t>
        </is>
      </c>
      <c r="J1211" s="56" t="n">
        <v>16</v>
      </c>
      <c r="K1211" s="6" t="inlineStr">
        <is>
          <t>Chưa rõ giống (Cần quét Bio)</t>
        </is>
      </c>
      <c r="L1211" s="56" t="n">
        <v>0</v>
      </c>
      <c r="M1211" s="56" t="n">
        <v>5</v>
      </c>
      <c r="N1211" s="6" t="inlineStr">
        <is>
          <t>Amazon link not found</t>
        </is>
      </c>
      <c r="O1211" s="56">
        <f>IF(N1211="Selling pet toys + Artificial grass/Pet toilets (TARGET)",15,IF(N1211="Selling artificial grass/pet toilets (TARGET)",10,IF(N1211="Selling pet toys",7,IF(N1211="There's an Amazon link, but no target sales.",3,0))))</f>
        <v/>
      </c>
      <c r="P1211" s="65">
        <f>H1211+J1211+L1211+M1211+O1211</f>
        <v/>
      </c>
      <c r="Q1211" s="69">
        <f>IF(OR(H1211=0,P1211&lt;30),"Tier D (Đóng băng)",IF(P1211&gt;=85,"Tier S (Kim Cương: 85-100đ)",IF(P1211&gt;=70,"Tier A (Vàng: 70-84đ)",IF(P1211&gt;=61,"Tier B+ / Cấp A (Hot Lead: 61-69đ)",IF(P1211&gt;=50,"Tier B (Bạc: 50-60đ)","Tier C (Đồng: 30-49đ)")))))</f>
        <v/>
      </c>
      <c r="R1211" s="6" t="inlineStr">
        <is>
          <t>Nhà vệ sinh &amp; Tã lót (Potty Tray / Pee Pads) + Cỏ nhân tạo lót chuồng</t>
        </is>
      </c>
      <c r="S1211" s="6" t="inlineStr">
        <is>
          <t>Cấp C Chi phí thấp: Nhắn tin trực tiếp qua Fanpage Facebook/Instagram + Nuôi dưỡng nội dung</t>
        </is>
      </c>
    </row>
    <row r="1212">
      <c r="A1212" s="59" t="n">
        <v>2834</v>
      </c>
      <c r="B1212" s="15" t="inlineStr">
        <is>
          <t>Save-A-Spot Dalmatian Rescue</t>
        </is>
      </c>
      <c r="C1212" s="60" t="inlineStr">
        <is>
          <t>https://www.facebook.com/profile.php?id=100064283365216</t>
        </is>
      </c>
      <c r="D1212" s="9" t="inlineStr">
        <is>
          <t>Cần quét Bio Fanpage</t>
        </is>
      </c>
      <c r="E1212" s="59" t="inlineStr">
        <is>
          <t>03/10/2026 23:22:43</t>
        </is>
      </c>
      <c r="F1212" s="59" t="inlineStr">
        <is>
          <t>1 tuần trước</t>
        </is>
      </c>
      <c r="G1212" s="61" t="n">
        <v>7</v>
      </c>
      <c r="H1212" s="62" t="n">
        <v>20</v>
      </c>
      <c r="I1212" s="9" t="inlineStr">
        <is>
          <t>Pet Rescue / Trạm cứu trợ (14-16đ)</t>
        </is>
      </c>
      <c r="J1212" s="62" t="n">
        <v>16</v>
      </c>
      <c r="K1212" s="9" t="inlineStr">
        <is>
          <t>Great Dane / Working Giant</t>
        </is>
      </c>
      <c r="L1212" s="62" t="n">
        <v>5</v>
      </c>
      <c r="M1212" s="62" t="n">
        <v>0</v>
      </c>
      <c r="N1212" s="9" t="inlineStr">
        <is>
          <t>Amazon link not found</t>
        </is>
      </c>
      <c r="O1212" s="62">
        <f>IF(N1212="Selling pet toys + Artificial grass/Pet toilets (TARGET)",15,IF(N1212="Selling artificial grass/pet toilets (TARGET)",10,IF(N1212="Selling pet toys",7,IF(N1212="There's an Amazon link, but no target sales.",3,0))))</f>
        <v/>
      </c>
      <c r="P1212" s="67">
        <f>H1212+J1212+L1212+M1212+O1212</f>
        <v/>
      </c>
      <c r="Q1212" s="69">
        <f>IF(OR(H1212=0,P1212&lt;30),"Tier D (Đóng băng)",IF(P1212&gt;=85,"Tier S (Kim Cương: 85-100đ)",IF(P1212&gt;=70,"Tier A (Vàng: 70-84đ)",IF(P1212&gt;=61,"Tier B+ / Cấp A (Hot Lead: 61-69đ)",IF(P1212&gt;=50,"Tier B (Bạc: 50-60đ)","Tier C (Đồng: 30-49đ)")))))</f>
        <v/>
      </c>
      <c r="R1212" s="9" t="inlineStr">
        <is>
          <t>Nhà vệ sinh &amp; Tã lót (Potty Tray / Pee Pads) + Cỏ nhân tạo lót chuồng</t>
        </is>
      </c>
      <c r="S1212" s="9" t="inlineStr">
        <is>
          <t>Cấp C Chi phí thấp: Nhắn tin trực tiếp qua Fanpage Facebook/Instagram + Nuôi dưỡng nội dung</t>
        </is>
      </c>
    </row>
    <row r="1213">
      <c r="A1213" s="53" t="n">
        <v>1719</v>
      </c>
      <c r="B1213" s="12" t="inlineStr">
        <is>
          <t>Illinois Saint Bernard Rescue</t>
        </is>
      </c>
      <c r="C1213" s="54" t="inlineStr">
        <is>
          <t>https://www.facebook.com/IllinoisSaintBernardRescue</t>
        </is>
      </c>
      <c r="D1213" s="6" t="inlineStr">
        <is>
          <t>Cần quét Bio Fanpage</t>
        </is>
      </c>
      <c r="E1213" s="53" t="inlineStr">
        <is>
          <t>03/10/2026 20:22:35</t>
        </is>
      </c>
      <c r="F1213" s="53" t="inlineStr">
        <is>
          <t>1 tuần trước</t>
        </is>
      </c>
      <c r="G1213" s="55" t="n">
        <v>7</v>
      </c>
      <c r="H1213" s="56" t="n">
        <v>20</v>
      </c>
      <c r="I1213" s="6" t="inlineStr">
        <is>
          <t>Pet Rescue / Trạm cứu trợ (14-16đ)</t>
        </is>
      </c>
      <c r="J1213" s="56" t="n">
        <v>16</v>
      </c>
      <c r="K1213" s="6" t="inlineStr">
        <is>
          <t>Great Dane / Working Giant</t>
        </is>
      </c>
      <c r="L1213" s="56" t="n">
        <v>5</v>
      </c>
      <c r="M1213" s="56" t="n">
        <v>0</v>
      </c>
      <c r="N1213" s="6" t="inlineStr">
        <is>
          <t>Amazon link not found</t>
        </is>
      </c>
      <c r="O1213" s="56">
        <f>IF(N1213="Selling pet toys + Artificial grass/Pet toilets (TARGET)",15,IF(N1213="Selling artificial grass/pet toilets (TARGET)",10,IF(N1213="Selling pet toys",7,IF(N1213="There's an Amazon link, but no target sales.",3,0))))</f>
        <v/>
      </c>
      <c r="P1213" s="65">
        <f>H1213+J1213+L1213+M1213+O1213</f>
        <v/>
      </c>
      <c r="Q1213" s="69">
        <f>IF(OR(H1213=0,P1213&lt;30),"Tier D (Đóng băng)",IF(P1213&gt;=85,"Tier S (Kim Cương: 85-100đ)",IF(P1213&gt;=70,"Tier A (Vàng: 70-84đ)",IF(P1213&gt;=61,"Tier B+ / Cấp A (Hot Lead: 61-69đ)",IF(P1213&gt;=50,"Tier B (Bạc: 50-60đ)","Tier C (Đồng: 30-49đ)")))))</f>
        <v/>
      </c>
      <c r="R1213" s="6" t="inlineStr">
        <is>
          <t>Nhà vệ sinh &amp; Tã lót (Potty Tray / Pee Pads) + Cỏ nhân tạo lót chuồng</t>
        </is>
      </c>
      <c r="S1213" s="6" t="inlineStr">
        <is>
          <t>Cấp C Chi phí thấp: Nhắn tin trực tiếp qua Fanpage Facebook/Instagram + Nuôi dưỡng nội dung</t>
        </is>
      </c>
    </row>
    <row r="1214">
      <c r="A1214" s="59" t="n">
        <v>557</v>
      </c>
      <c r="B1214" s="15" t="inlineStr">
        <is>
          <t>Aussie Rescue So Cal</t>
        </is>
      </c>
      <c r="C1214" s="60" t="inlineStr">
        <is>
          <t>https://www.facebook.com/AussieRescueSoCal</t>
        </is>
      </c>
      <c r="D1214" s="9" t="inlineStr">
        <is>
          <t>Cần quét Bio Fanpage</t>
        </is>
      </c>
      <c r="E1214" s="59" t="inlineStr">
        <is>
          <t>01/10/2026 05:58:57</t>
        </is>
      </c>
      <c r="F1214" s="59" t="inlineStr">
        <is>
          <t>1 tuần trước</t>
        </is>
      </c>
      <c r="G1214" s="61" t="n">
        <v>7</v>
      </c>
      <c r="H1214" s="62" t="n">
        <v>20</v>
      </c>
      <c r="I1214" s="9" t="inlineStr">
        <is>
          <t>Pet Rescue / Trạm cứu trợ (14-16đ)</t>
        </is>
      </c>
      <c r="J1214" s="62" t="n">
        <v>16</v>
      </c>
      <c r="K1214" s="9" t="inlineStr">
        <is>
          <t>Australian Shepherd / Herding</t>
        </is>
      </c>
      <c r="L1214" s="62" t="n">
        <v>5</v>
      </c>
      <c r="M1214" s="62" t="n">
        <v>0</v>
      </c>
      <c r="N1214" s="9" t="inlineStr">
        <is>
          <t>Amazon link not found</t>
        </is>
      </c>
      <c r="O1214" s="62">
        <f>IF(N1214="Selling pet toys + Artificial grass/Pet toilets (TARGET)",15,IF(N1214="Selling artificial grass/pet toilets (TARGET)",10,IF(N1214="Selling pet toys",7,IF(N1214="There's an Amazon link, but no target sales.",3,0))))</f>
        <v/>
      </c>
      <c r="P1214" s="67">
        <f>H1214+J1214+L1214+M1214+O1214</f>
        <v/>
      </c>
      <c r="Q1214" s="69">
        <f>IF(OR(H1214=0,P1214&lt;30),"Tier D (Đóng băng)",IF(P1214&gt;=85,"Tier S (Kim Cương: 85-100đ)",IF(P1214&gt;=70,"Tier A (Vàng: 70-84đ)",IF(P1214&gt;=61,"Tier B+ / Cấp A (Hot Lead: 61-69đ)",IF(P1214&gt;=50,"Tier B (Bạc: 50-60đ)","Tier C (Đồng: 30-49đ)")))))</f>
        <v/>
      </c>
      <c r="R1214" s="9" t="inlineStr">
        <is>
          <t>Nhà vệ sinh &amp; Tã lót (Potty Tray / Pee Pads) + Cỏ nhân tạo lót chuồng</t>
        </is>
      </c>
      <c r="S1214" s="9" t="inlineStr">
        <is>
          <t>Cấp C Chi phí thấp: Nhắn tin trực tiếp qua Fanpage Facebook/Instagram + Nuôi dưỡng nội dung</t>
        </is>
      </c>
    </row>
    <row r="1215">
      <c r="A1215" s="53" t="n">
        <v>2951</v>
      </c>
      <c r="B1215" s="12" t="inlineStr">
        <is>
          <t>Southern Arizona Golden Retriever Rescue</t>
        </is>
      </c>
      <c r="C1215" s="54" t="inlineStr">
        <is>
          <t>https://www.facebook.com/SAZGRR</t>
        </is>
      </c>
      <c r="D1215" s="6" t="inlineStr">
        <is>
          <t>Cần quét Bio Fanpage</t>
        </is>
      </c>
      <c r="E1215" s="53" t="inlineStr">
        <is>
          <t>23/09/2026 23:17:46</t>
        </is>
      </c>
      <c r="F1215" s="53" t="inlineStr">
        <is>
          <t>2 tuần trước</t>
        </is>
      </c>
      <c r="G1215" s="55" t="n">
        <v>14</v>
      </c>
      <c r="H1215" s="56" t="n">
        <v>15</v>
      </c>
      <c r="I1215" s="6" t="inlineStr">
        <is>
          <t>Pet Rescue / Trạm cứu trợ (14-16đ)</t>
        </is>
      </c>
      <c r="J1215" s="56" t="n">
        <v>16</v>
      </c>
      <c r="K1215" s="6" t="inlineStr">
        <is>
          <t>Golden Retriever</t>
        </is>
      </c>
      <c r="L1215" s="56" t="n">
        <v>10</v>
      </c>
      <c r="M1215" s="56" t="n">
        <v>0</v>
      </c>
      <c r="N1215" s="6" t="inlineStr">
        <is>
          <t>Amazon link not found</t>
        </is>
      </c>
      <c r="O1215" s="56">
        <f>IF(N1215="Selling pet toys + Artificial grass/Pet toilets (TARGET)",15,IF(N1215="Selling artificial grass/pet toilets (TARGET)",10,IF(N1215="Selling pet toys",7,IF(N1215="There's an Amazon link, but no target sales.",3,0))))</f>
        <v/>
      </c>
      <c r="P1215" s="65">
        <f>H1215+J1215+L1215+M1215+O1215</f>
        <v/>
      </c>
      <c r="Q1215" s="69">
        <f>IF(OR(H1215=0,P1215&lt;30),"Tier D (Đóng băng)",IF(P1215&gt;=85,"Tier S (Kim Cương: 85-100đ)",IF(P1215&gt;=70,"Tier A (Vàng: 70-84đ)",IF(P1215&gt;=61,"Tier B+ / Cấp A (Hot Lead: 61-69đ)",IF(P1215&gt;=50,"Tier B (Bạc: 50-60đ)","Tier C (Đồng: 30-49đ)")))))</f>
        <v/>
      </c>
      <c r="R1215" s="6" t="inlineStr">
        <is>
          <t>Nhà vệ sinh &amp; Tã lót (Potty Tray / Pee Pads) + Cỏ nhân tạo lót chuồng</t>
        </is>
      </c>
      <c r="S1215" s="6" t="inlineStr">
        <is>
          <t>Cấp C Chi phí thấp: Nhắn tin trực tiếp qua Fanpage Facebook/Instagram + Nuôi dưỡng nội dung</t>
        </is>
      </c>
    </row>
    <row r="1216">
      <c r="A1216" s="59" t="n">
        <v>1216</v>
      </c>
      <c r="B1216" s="15" t="inlineStr">
        <is>
          <t>Downtown Hound</t>
        </is>
      </c>
      <c r="C1216" s="60" t="inlineStr">
        <is>
          <t>https://www.facebook.com/downtownhoundowosso</t>
        </is>
      </c>
      <c r="D1216" s="9" t="inlineStr">
        <is>
          <t>Cần quét Bio Fanpage</t>
        </is>
      </c>
      <c r="E1216" s="59" t="inlineStr">
        <is>
          <t>18/09/2026 23:40:26</t>
        </is>
      </c>
      <c r="F1216" s="59" t="inlineStr">
        <is>
          <t>3 tuần trước</t>
        </is>
      </c>
      <c r="G1216" s="61" t="n">
        <v>21</v>
      </c>
      <c r="H1216" s="62" t="n">
        <v>8</v>
      </c>
      <c r="I1216" s="9" t="inlineStr">
        <is>
          <t>Dog Breeder / Trại nhân giống (28-30đ)</t>
        </is>
      </c>
      <c r="J1216" s="62" t="n">
        <v>28</v>
      </c>
      <c r="K1216" s="9" t="inlineStr">
        <is>
          <t>Hound / Beagle / Basset</t>
        </is>
      </c>
      <c r="L1216" s="62" t="n">
        <v>5</v>
      </c>
      <c r="M1216" s="62" t="n">
        <v>0</v>
      </c>
      <c r="N1216" s="9" t="inlineStr">
        <is>
          <t>Amazon link not found</t>
        </is>
      </c>
      <c r="O1216" s="62">
        <f>IF(N1216="Selling pet toys + Artificial grass/Pet toilets (TARGET)",15,IF(N1216="Selling artificial grass/pet toilets (TARGET)",10,IF(N1216="Selling pet toys",7,IF(N1216="There's an Amazon link, but no target sales.",3,0))))</f>
        <v/>
      </c>
      <c r="P1216" s="67">
        <f>H1216+J1216+L1216+M1216+O1216</f>
        <v/>
      </c>
      <c r="Q1216" s="69">
        <f>IF(OR(H1216=0,P1216&lt;30),"Tier D (Đóng băng)",IF(P1216&gt;=85,"Tier S (Kim Cương: 85-100đ)",IF(P1216&gt;=70,"Tier A (Vàng: 70-84đ)",IF(P1216&gt;=61,"Tier B+ / Cấp A (Hot Lead: 61-69đ)",IF(P1216&gt;=50,"Tier B (Bạc: 50-60đ)","Tier C (Đồng: 30-49đ)")))))</f>
        <v/>
      </c>
      <c r="R1216" s="9" t="inlineStr">
        <is>
          <t>Trọn gói Take-Home Starter Kit V2/V3 (Cỏ nhân tạo + Khay Potty + Đồ chơi cún con)</t>
        </is>
      </c>
      <c r="S1216" s="9" t="inlineStr">
        <is>
          <t>Cấp C Chi phí thấp: Nhắn tin trực tiếp qua Fanpage Facebook/Instagram + Nuôi dưỡng nội dung</t>
        </is>
      </c>
    </row>
    <row r="1217">
      <c r="A1217" s="53" t="n">
        <v>2868</v>
      </c>
      <c r="B1217" s="12" t="inlineStr">
        <is>
          <t>Sevens Bernese Mountain Dogs</t>
        </is>
      </c>
      <c r="C1217" s="54" t="inlineStr">
        <is>
          <t>https://www.facebook.com/sitstaywithstacyslade</t>
        </is>
      </c>
      <c r="D1217" s="6" t="inlineStr">
        <is>
          <t>Cần quét Bio Fanpage</t>
        </is>
      </c>
      <c r="E1217" s="53" t="inlineStr">
        <is>
          <t>18/09/2026 20:08:26</t>
        </is>
      </c>
      <c r="F1217" s="53" t="inlineStr">
        <is>
          <t>3 tuần trước</t>
        </is>
      </c>
      <c r="G1217" s="55" t="n">
        <v>21</v>
      </c>
      <c r="H1217" s="56" t="n">
        <v>8</v>
      </c>
      <c r="I1217" s="6" t="inlineStr">
        <is>
          <t>Dog Breeder / Trại chó chuyên nghiệp (28-30đ)</t>
        </is>
      </c>
      <c r="J1217" s="56" t="n">
        <v>28</v>
      </c>
      <c r="K1217" s="6" t="inlineStr">
        <is>
          <t>Bernese Mountain Dog</t>
        </is>
      </c>
      <c r="L1217" s="56" t="n">
        <v>5</v>
      </c>
      <c r="M1217" s="56" t="n">
        <v>0</v>
      </c>
      <c r="N1217" s="6" t="inlineStr">
        <is>
          <t>Amazon link not found</t>
        </is>
      </c>
      <c r="O1217" s="56">
        <f>IF(N1217="Selling pet toys + Artificial grass/Pet toilets (TARGET)",15,IF(N1217="Selling artificial grass/pet toilets (TARGET)",10,IF(N1217="Selling pet toys",7,IF(N1217="There's an Amazon link, but no target sales.",3,0))))</f>
        <v/>
      </c>
      <c r="P1217" s="65">
        <f>H1217+J1217+L1217+M1217+O1217</f>
        <v/>
      </c>
      <c r="Q1217" s="69">
        <f>IF(OR(H1217=0,P1217&lt;30),"Tier D (Đóng băng)",IF(P1217&gt;=85,"Tier S (Kim Cương: 85-100đ)",IF(P1217&gt;=70,"Tier A (Vàng: 70-84đ)",IF(P1217&gt;=61,"Tier B+ / Cấp A (Hot Lead: 61-69đ)",IF(P1217&gt;=50,"Tier B (Bạc: 50-60đ)","Tier C (Đồng: 30-49đ)")))))</f>
        <v/>
      </c>
      <c r="R1217" s="6" t="inlineStr">
        <is>
          <t>Trọn gói Take-Home Starter Kit V2/V3 (Cỏ nhân tạo + Khay Potty + Đồ chơi Teething/Snuggle)</t>
        </is>
      </c>
      <c r="S1217" s="6" t="inlineStr">
        <is>
          <t>Cấp C Chi phí thấp: Nhắn tin trực tiếp qua Fanpage Facebook/Instagram + Nuôi dưỡng nội dung</t>
        </is>
      </c>
    </row>
    <row r="1218">
      <c r="A1218" s="59" t="n">
        <v>2969</v>
      </c>
      <c r="B1218" s="15" t="inlineStr">
        <is>
          <t>Spitfire the Whippet</t>
        </is>
      </c>
      <c r="C1218" s="60" t="inlineStr">
        <is>
          <t>https://www.facebook.com/spitfirethewhippet</t>
        </is>
      </c>
      <c r="D1218" s="9" t="inlineStr">
        <is>
          <t>Cần quét Bio Fanpage</t>
        </is>
      </c>
      <c r="E1218" s="59" t="inlineStr">
        <is>
          <t>13/09/2026 21:53:36</t>
        </is>
      </c>
      <c r="F1218" s="59" t="inlineStr">
        <is>
          <t>4 tuần trước</t>
        </is>
      </c>
      <c r="G1218" s="61" t="n">
        <v>28</v>
      </c>
      <c r="H1218" s="62" t="n">
        <v>8</v>
      </c>
      <c r="I1218" s="9" t="inlineStr">
        <is>
          <t>Dog Breeder / Trại nhân giống (28-30đ)</t>
        </is>
      </c>
      <c r="J1218" s="62" t="n">
        <v>28</v>
      </c>
      <c r="K1218" s="9" t="inlineStr">
        <is>
          <t>Hound / Beagle / Basset</t>
        </is>
      </c>
      <c r="L1218" s="62" t="n">
        <v>5</v>
      </c>
      <c r="M1218" s="62" t="n">
        <v>0</v>
      </c>
      <c r="N1218" s="9" t="inlineStr">
        <is>
          <t>Amazon link not found</t>
        </is>
      </c>
      <c r="O1218" s="62">
        <f>IF(N1218="Selling pet toys + Artificial grass/Pet toilets (TARGET)",15,IF(N1218="Selling artificial grass/pet toilets (TARGET)",10,IF(N1218="Selling pet toys",7,IF(N1218="There's an Amazon link, but no target sales.",3,0))))</f>
        <v/>
      </c>
      <c r="P1218" s="67">
        <f>H1218+J1218+L1218+M1218+O1218</f>
        <v/>
      </c>
      <c r="Q1218" s="69">
        <f>IF(OR(H1218=0,P1218&lt;30),"Tier D (Đóng băng)",IF(P1218&gt;=85,"Tier S (Kim Cương: 85-100đ)",IF(P1218&gt;=70,"Tier A (Vàng: 70-84đ)",IF(P1218&gt;=61,"Tier B+ / Cấp A (Hot Lead: 61-69đ)",IF(P1218&gt;=50,"Tier B (Bạc: 50-60đ)","Tier C (Đồng: 30-49đ)")))))</f>
        <v/>
      </c>
      <c r="R1218" s="9" t="inlineStr">
        <is>
          <t>Trọn gói Take-Home Starter Kit V2/V3 (Cỏ nhân tạo + Khay Potty + Đồ chơi cún con)</t>
        </is>
      </c>
      <c r="S1218" s="9" t="inlineStr">
        <is>
          <t>Cấp C Chi phí thấp: Nhắn tin trực tiếp qua Fanpage Facebook/Instagram + Nuôi dưỡng nội dung</t>
        </is>
      </c>
    </row>
    <row r="1219">
      <c r="A1219" s="53" t="n">
        <v>3172</v>
      </c>
      <c r="B1219" s="12" t="inlineStr">
        <is>
          <t>The Wag Wash Dog Grooming</t>
        </is>
      </c>
      <c r="C1219" s="54" t="inlineStr">
        <is>
          <t>https://www.facebook.com/wagwash</t>
        </is>
      </c>
      <c r="D1219" s="6" t="inlineStr">
        <is>
          <t>Cần quét Bio Fanpage</t>
        </is>
      </c>
      <c r="E1219" s="53" t="inlineStr">
        <is>
          <t>08/10/2026 23:52:06</t>
        </is>
      </c>
      <c r="F1219" s="53" t="inlineStr">
        <is>
          <t>4 ngày trước</t>
        </is>
      </c>
      <c r="G1219" s="55" t="n">
        <v>4</v>
      </c>
      <c r="H1219" s="56" t="n">
        <v>20</v>
      </c>
      <c r="I1219" s="6" t="inlineStr">
        <is>
          <t>Pet Boarding / Huấn luyện K9 &amp; Dịch vụ (20-22đ)</t>
        </is>
      </c>
      <c r="J1219" s="56" t="n">
        <v>20</v>
      </c>
      <c r="K1219" s="6" t="inlineStr">
        <is>
          <t>Chưa rõ giống (Cần quét Bio)</t>
        </is>
      </c>
      <c r="L1219" s="56" t="n">
        <v>0</v>
      </c>
      <c r="M1219" s="56" t="n">
        <v>0</v>
      </c>
      <c r="N1219" s="6" t="inlineStr">
        <is>
          <t>Amazon link not found</t>
        </is>
      </c>
      <c r="O1219" s="56">
        <f>IF(N1219="Selling pet toys + Artificial grass/Pet toilets (TARGET)",15,IF(N1219="Selling artificial grass/pet toilets (TARGET)",10,IF(N1219="Selling pet toys",7,IF(N1219="There's an Amazon link, but no target sales.",3,0))))</f>
        <v/>
      </c>
      <c r="P1219" s="65">
        <f>H1219+J1219+L1219+M1219+O1219</f>
        <v/>
      </c>
      <c r="Q1219" s="69">
        <f>IF(OR(H1219=0,P1219&lt;30),"Tier D (Đóng băng)",IF(P1219&gt;=85,"Tier S (Kim Cương: 85-100đ)",IF(P1219&gt;=70,"Tier A (Vàng: 70-84đ)",IF(P1219&gt;=61,"Tier B+ / Cấp A (Hot Lead: 61-69đ)",IF(P1219&gt;=50,"Tier B (Bạc: 50-60đ)","Tier C (Đồng: 30-49đ)")))))</f>
        <v/>
      </c>
      <c r="R1219" s="6" t="inlineStr">
        <is>
          <t>Cỏ nhân tạo sân chơi/huấn luyện (Dog Turf) + Đồ chơi nhai chịu lực (KONG/Chew Toys)</t>
        </is>
      </c>
      <c r="S1219" s="6" t="inlineStr">
        <is>
          <t>Cấp C Chi phí thấp: Nhắn tin trực tiếp qua Fanpage Facebook/Instagram + Nuôi dưỡng nội dung</t>
        </is>
      </c>
    </row>
    <row r="1220">
      <c r="A1220" s="59" t="n">
        <v>3267</v>
      </c>
      <c r="B1220" s="15" t="inlineStr">
        <is>
          <t>United States Federation of Sleddog Sports - USFSS</t>
        </is>
      </c>
      <c r="C1220" s="60" t="inlineStr">
        <is>
          <t>https://www.facebook.com/USFSS</t>
        </is>
      </c>
      <c r="D1220" s="9" t="inlineStr">
        <is>
          <t>Cần quét Bio Fanpage</t>
        </is>
      </c>
      <c r="E1220" s="59" t="inlineStr">
        <is>
          <t>08/10/2026 21:57:03</t>
        </is>
      </c>
      <c r="F1220" s="59" t="inlineStr">
        <is>
          <t>4 ngày trước</t>
        </is>
      </c>
      <c r="G1220" s="61" t="n">
        <v>4</v>
      </c>
      <c r="H1220" s="62" t="n">
        <v>20</v>
      </c>
      <c r="I1220" s="9" t="inlineStr">
        <is>
          <t>Pet Boarding / Huấn luyện K9 &amp; Dịch vụ (20-22đ)</t>
        </is>
      </c>
      <c r="J1220" s="62" t="n">
        <v>20</v>
      </c>
      <c r="K1220" s="9" t="inlineStr">
        <is>
          <t>Chưa rõ giống (Cần quét Bio)</t>
        </is>
      </c>
      <c r="L1220" s="62" t="n">
        <v>0</v>
      </c>
      <c r="M1220" s="62" t="n">
        <v>0</v>
      </c>
      <c r="N1220" s="9" t="inlineStr">
        <is>
          <t>Amazon link not found</t>
        </is>
      </c>
      <c r="O1220" s="62">
        <f>IF(N1220="Selling pet toys + Artificial grass/Pet toilets (TARGET)",15,IF(N1220="Selling artificial grass/pet toilets (TARGET)",10,IF(N1220="Selling pet toys",7,IF(N1220="There's an Amazon link, but no target sales.",3,0))))</f>
        <v/>
      </c>
      <c r="P1220" s="67">
        <f>H1220+J1220+L1220+M1220+O1220</f>
        <v/>
      </c>
      <c r="Q1220" s="69">
        <f>IF(OR(H1220=0,P1220&lt;30),"Tier D (Đóng băng)",IF(P1220&gt;=85,"Tier S (Kim Cương: 85-100đ)",IF(P1220&gt;=70,"Tier A (Vàng: 70-84đ)",IF(P1220&gt;=61,"Tier B+ / Cấp A (Hot Lead: 61-69đ)",IF(P1220&gt;=50,"Tier B (Bạc: 50-60đ)","Tier C (Đồng: 30-49đ)")))))</f>
        <v/>
      </c>
      <c r="R1220" s="9" t="inlineStr">
        <is>
          <t>Cỏ nhân tạo sân chơi/huấn luyện (Dog Turf) + Đồ chơi nhai chịu lực (KONG/Chew Toys)</t>
        </is>
      </c>
      <c r="S1220" s="9" t="inlineStr">
        <is>
          <t>Cấp C Chi phí thấp: Nhắn tin trực tiếp qua Fanpage Facebook/Instagram + Nuôi dưỡng nội dung</t>
        </is>
      </c>
    </row>
    <row r="1221">
      <c r="A1221" s="53" t="n">
        <v>2064</v>
      </c>
      <c r="B1221" s="12" t="inlineStr">
        <is>
          <t>Low Country Dog Agility</t>
        </is>
      </c>
      <c r="C1221" s="54" t="inlineStr">
        <is>
          <t>https://www.facebook.com/lowcountrydogagility</t>
        </is>
      </c>
      <c r="D1221" s="6" t="inlineStr">
        <is>
          <t>Cần quét Bio Fanpage</t>
        </is>
      </c>
      <c r="E1221" s="53" t="inlineStr">
        <is>
          <t>08/10/2026 20:35:47</t>
        </is>
      </c>
      <c r="F1221" s="53" t="inlineStr">
        <is>
          <t>4 ngày trước</t>
        </is>
      </c>
      <c r="G1221" s="55" t="n">
        <v>4</v>
      </c>
      <c r="H1221" s="56" t="n">
        <v>20</v>
      </c>
      <c r="I1221" s="6" t="inlineStr">
        <is>
          <t>Pet Boarding / Huấn luyện K9 &amp; Dịch vụ (20-22đ)</t>
        </is>
      </c>
      <c r="J1221" s="56" t="n">
        <v>20</v>
      </c>
      <c r="K1221" s="6" t="inlineStr">
        <is>
          <t>Chưa rõ giống (Cần quét Bio)</t>
        </is>
      </c>
      <c r="L1221" s="56" t="n">
        <v>0</v>
      </c>
      <c r="M1221" s="56" t="n">
        <v>0</v>
      </c>
      <c r="N1221" s="6" t="inlineStr">
        <is>
          <t>Amazon link not found</t>
        </is>
      </c>
      <c r="O1221" s="56">
        <f>IF(N1221="Selling pet toys + Artificial grass/Pet toilets (TARGET)",15,IF(N1221="Selling artificial grass/pet toilets (TARGET)",10,IF(N1221="Selling pet toys",7,IF(N1221="There's an Amazon link, but no target sales.",3,0))))</f>
        <v/>
      </c>
      <c r="P1221" s="65">
        <f>H1221+J1221+L1221+M1221+O1221</f>
        <v/>
      </c>
      <c r="Q1221" s="69">
        <f>IF(OR(H1221=0,P1221&lt;30),"Tier D (Đóng băng)",IF(P1221&gt;=85,"Tier S (Kim Cương: 85-100đ)",IF(P1221&gt;=70,"Tier A (Vàng: 70-84đ)",IF(P1221&gt;=61,"Tier B+ / Cấp A (Hot Lead: 61-69đ)",IF(P1221&gt;=50,"Tier B (Bạc: 50-60đ)","Tier C (Đồng: 30-49đ)")))))</f>
        <v/>
      </c>
      <c r="R1221" s="6" t="inlineStr">
        <is>
          <t>Cỏ nhân tạo sân chơi/huấn luyện (Dog Turf) + Đồ chơi nhai chịu lực (KONG/Chew Toys)</t>
        </is>
      </c>
      <c r="S1221" s="6" t="inlineStr">
        <is>
          <t>Cấp C Chi phí thấp: Nhắn tin trực tiếp qua Fanpage Facebook/Instagram + Nuôi dưỡng nội dung</t>
        </is>
      </c>
    </row>
    <row r="1222">
      <c r="A1222" s="59" t="n">
        <v>1297</v>
      </c>
      <c r="B1222" s="15" t="inlineStr">
        <is>
          <t>Ethan Steinberg Dog Trainer</t>
        </is>
      </c>
      <c r="C1222" s="60" t="inlineStr">
        <is>
          <t>https://www.facebook.com/profile.php?id=100090077674454</t>
        </is>
      </c>
      <c r="D1222" s="9" t="inlineStr">
        <is>
          <t>Cần quét Bio Fanpage</t>
        </is>
      </c>
      <c r="E1222" s="59" t="inlineStr">
        <is>
          <t>08/10/2026 20:06:00</t>
        </is>
      </c>
      <c r="F1222" s="59" t="inlineStr">
        <is>
          <t>4 ngày trước</t>
        </is>
      </c>
      <c r="G1222" s="61" t="n">
        <v>4</v>
      </c>
      <c r="H1222" s="62" t="n">
        <v>20</v>
      </c>
      <c r="I1222" s="9" t="inlineStr">
        <is>
          <t>Pet Boarding / Huấn luyện K9 &amp; Dịch vụ (20-22đ)</t>
        </is>
      </c>
      <c r="J1222" s="62" t="n">
        <v>20</v>
      </c>
      <c r="K1222" s="9" t="inlineStr">
        <is>
          <t>Chưa rõ giống (Cần quét Bio)</t>
        </is>
      </c>
      <c r="L1222" s="62" t="n">
        <v>0</v>
      </c>
      <c r="M1222" s="62" t="n">
        <v>0</v>
      </c>
      <c r="N1222" s="9" t="inlineStr">
        <is>
          <t>Amazon link not found</t>
        </is>
      </c>
      <c r="O1222" s="62">
        <f>IF(N1222="Selling pet toys + Artificial grass/Pet toilets (TARGET)",15,IF(N1222="Selling artificial grass/pet toilets (TARGET)",10,IF(N1222="Selling pet toys",7,IF(N1222="There's an Amazon link, but no target sales.",3,0))))</f>
        <v/>
      </c>
      <c r="P1222" s="67">
        <f>H1222+J1222+L1222+M1222+O1222</f>
        <v/>
      </c>
      <c r="Q1222" s="69">
        <f>IF(OR(H1222=0,P1222&lt;30),"Tier D (Đóng băng)",IF(P1222&gt;=85,"Tier S (Kim Cương: 85-100đ)",IF(P1222&gt;=70,"Tier A (Vàng: 70-84đ)",IF(P1222&gt;=61,"Tier B+ / Cấp A (Hot Lead: 61-69đ)",IF(P1222&gt;=50,"Tier B (Bạc: 50-60đ)","Tier C (Đồng: 30-49đ)")))))</f>
        <v/>
      </c>
      <c r="R1222" s="9" t="inlineStr">
        <is>
          <t>Cỏ nhân tạo sân chơi/huấn luyện (Dog Turf) + Đồ chơi nhai chịu lực (KONG/Chew Toys)</t>
        </is>
      </c>
      <c r="S1222" s="9" t="inlineStr">
        <is>
          <t>Cấp C Chi phí thấp: Nhắn tin trực tiếp qua Fanpage Facebook/Instagram + Nuôi dưỡng nội dung</t>
        </is>
      </c>
    </row>
    <row r="1223">
      <c r="A1223" s="53" t="n">
        <v>1379</v>
      </c>
      <c r="B1223" s="12" t="inlineStr">
        <is>
          <t>Finavon Dog Agility</t>
        </is>
      </c>
      <c r="C1223" s="54" t="inlineStr">
        <is>
          <t>https://www.facebook.com/FinavonDogAgility</t>
        </is>
      </c>
      <c r="D1223" s="6" t="inlineStr">
        <is>
          <t>Cần quét Bio Fanpage</t>
        </is>
      </c>
      <c r="E1223" s="53" t="inlineStr">
        <is>
          <t>08/10/2026 03:44:35</t>
        </is>
      </c>
      <c r="F1223" s="53" t="inlineStr">
        <is>
          <t>4 ngày trước</t>
        </is>
      </c>
      <c r="G1223" s="55" t="n">
        <v>4</v>
      </c>
      <c r="H1223" s="56" t="n">
        <v>20</v>
      </c>
      <c r="I1223" s="6" t="inlineStr">
        <is>
          <t>Pet Boarding / Huấn luyện K9 &amp; Dịch vụ (20-22đ)</t>
        </is>
      </c>
      <c r="J1223" s="56" t="n">
        <v>20</v>
      </c>
      <c r="K1223" s="6" t="inlineStr">
        <is>
          <t>Chưa rõ giống (Cần quét Bio)</t>
        </is>
      </c>
      <c r="L1223" s="56" t="n">
        <v>0</v>
      </c>
      <c r="M1223" s="56" t="n">
        <v>0</v>
      </c>
      <c r="N1223" s="6" t="inlineStr">
        <is>
          <t>Amazon link not found</t>
        </is>
      </c>
      <c r="O1223" s="56">
        <f>IF(N1223="Selling pet toys + Artificial grass/Pet toilets (TARGET)",15,IF(N1223="Selling artificial grass/pet toilets (TARGET)",10,IF(N1223="Selling pet toys",7,IF(N1223="There's an Amazon link, but no target sales.",3,0))))</f>
        <v/>
      </c>
      <c r="P1223" s="65">
        <f>H1223+J1223+L1223+M1223+O1223</f>
        <v/>
      </c>
      <c r="Q1223" s="69">
        <f>IF(OR(H1223=0,P1223&lt;30),"Tier D (Đóng băng)",IF(P1223&gt;=85,"Tier S (Kim Cương: 85-100đ)",IF(P1223&gt;=70,"Tier A (Vàng: 70-84đ)",IF(P1223&gt;=61,"Tier B+ / Cấp A (Hot Lead: 61-69đ)",IF(P1223&gt;=50,"Tier B (Bạc: 50-60đ)","Tier C (Đồng: 30-49đ)")))))</f>
        <v/>
      </c>
      <c r="R1223" s="6" t="inlineStr">
        <is>
          <t>Cỏ nhân tạo sân chơi/huấn luyện (Dog Turf) + Đồ chơi nhai chịu lực (KONG/Chew Toys)</t>
        </is>
      </c>
      <c r="S1223" s="6" t="inlineStr">
        <is>
          <t>Cấp C Chi phí thấp: Nhắn tin trực tiếp qua Fanpage Facebook/Instagram + Nuôi dưỡng nội dung</t>
        </is>
      </c>
    </row>
    <row r="1224">
      <c r="A1224" s="59" t="n">
        <v>614</v>
      </c>
      <c r="B1224" s="15" t="inlineStr">
        <is>
          <t>Beauty and Beast Dog Grooming</t>
        </is>
      </c>
      <c r="C1224" s="60" t="inlineStr">
        <is>
          <t>https://www.facebook.com/beautyandbeastdoggrooming</t>
        </is>
      </c>
      <c r="D1224" s="9" t="inlineStr">
        <is>
          <t>Cần quét Bio Fanpage</t>
        </is>
      </c>
      <c r="E1224" s="59" t="inlineStr">
        <is>
          <t>07/10/2026 15:00:31</t>
        </is>
      </c>
      <c r="F1224" s="59" t="inlineStr">
        <is>
          <t>5 ngày trước</t>
        </is>
      </c>
      <c r="G1224" s="61" t="n">
        <v>5</v>
      </c>
      <c r="H1224" s="62" t="n">
        <v>20</v>
      </c>
      <c r="I1224" s="9" t="inlineStr">
        <is>
          <t>Pet Boarding / Huấn luyện K9 &amp; Dịch vụ (20-22đ)</t>
        </is>
      </c>
      <c r="J1224" s="62" t="n">
        <v>20</v>
      </c>
      <c r="K1224" s="9" t="inlineStr">
        <is>
          <t>Chưa rõ giống (Cần quét Bio)</t>
        </is>
      </c>
      <c r="L1224" s="62" t="n">
        <v>0</v>
      </c>
      <c r="M1224" s="62" t="n">
        <v>0</v>
      </c>
      <c r="N1224" s="9" t="inlineStr">
        <is>
          <t>Amazon link not found</t>
        </is>
      </c>
      <c r="O1224" s="62">
        <f>IF(N1224="Selling pet toys + Artificial grass/Pet toilets (TARGET)",15,IF(N1224="Selling artificial grass/pet toilets (TARGET)",10,IF(N1224="Selling pet toys",7,IF(N1224="There's an Amazon link, but no target sales.",3,0))))</f>
        <v/>
      </c>
      <c r="P1224" s="67">
        <f>H1224+J1224+L1224+M1224+O1224</f>
        <v/>
      </c>
      <c r="Q1224" s="69">
        <f>IF(OR(H1224=0,P1224&lt;30),"Tier D (Đóng băng)",IF(P1224&gt;=85,"Tier S (Kim Cương: 85-100đ)",IF(P1224&gt;=70,"Tier A (Vàng: 70-84đ)",IF(P1224&gt;=61,"Tier B+ / Cấp A (Hot Lead: 61-69đ)",IF(P1224&gt;=50,"Tier B (Bạc: 50-60đ)","Tier C (Đồng: 30-49đ)")))))</f>
        <v/>
      </c>
      <c r="R1224" s="9" t="inlineStr">
        <is>
          <t>Cỏ nhân tạo sân chơi/huấn luyện (Dog Turf) + Đồ chơi nhai chịu lực (KONG/Chew Toys)</t>
        </is>
      </c>
      <c r="S1224" s="9" t="inlineStr">
        <is>
          <t>Cấp C Chi phí thấp: Nhắn tin trực tiếp qua Fanpage Facebook/Instagram + Nuôi dưỡng nội dung</t>
        </is>
      </c>
    </row>
    <row r="1225">
      <c r="A1225" s="53" t="n">
        <v>377</v>
      </c>
      <c r="B1225" s="12" t="inlineStr">
        <is>
          <t>All Ears Dog Grooming</t>
        </is>
      </c>
      <c r="C1225" s="54" t="inlineStr">
        <is>
          <t>https://www.facebook.com/profile.php?id=100088182214629</t>
        </is>
      </c>
      <c r="D1225" s="6" t="inlineStr">
        <is>
          <t>Cần quét Bio Fanpage</t>
        </is>
      </c>
      <c r="E1225" s="53" t="inlineStr">
        <is>
          <t>07/10/2026 08:55:19</t>
        </is>
      </c>
      <c r="F1225" s="53" t="inlineStr">
        <is>
          <t>5 ngày trước</t>
        </is>
      </c>
      <c r="G1225" s="55" t="n">
        <v>5</v>
      </c>
      <c r="H1225" s="56" t="n">
        <v>20</v>
      </c>
      <c r="I1225" s="6" t="inlineStr">
        <is>
          <t>Pet Boarding / Huấn luyện K9 &amp; Dịch vụ (20-22đ)</t>
        </is>
      </c>
      <c r="J1225" s="56" t="n">
        <v>20</v>
      </c>
      <c r="K1225" s="6" t="inlineStr">
        <is>
          <t>Chưa rõ giống (Cần quét Bio)</t>
        </is>
      </c>
      <c r="L1225" s="56" t="n">
        <v>0</v>
      </c>
      <c r="M1225" s="56" t="n">
        <v>0</v>
      </c>
      <c r="N1225" s="6" t="inlineStr">
        <is>
          <t>Amazon link not found</t>
        </is>
      </c>
      <c r="O1225" s="56">
        <f>IF(N1225="Selling pet toys + Artificial grass/Pet toilets (TARGET)",15,IF(N1225="Selling artificial grass/pet toilets (TARGET)",10,IF(N1225="Selling pet toys",7,IF(N1225="There's an Amazon link, but no target sales.",3,0))))</f>
        <v/>
      </c>
      <c r="P1225" s="65">
        <f>H1225+J1225+L1225+M1225+O1225</f>
        <v/>
      </c>
      <c r="Q1225" s="69">
        <f>IF(OR(H1225=0,P1225&lt;30),"Tier D (Đóng băng)",IF(P1225&gt;=85,"Tier S (Kim Cương: 85-100đ)",IF(P1225&gt;=70,"Tier A (Vàng: 70-84đ)",IF(P1225&gt;=61,"Tier B+ / Cấp A (Hot Lead: 61-69đ)",IF(P1225&gt;=50,"Tier B (Bạc: 50-60đ)","Tier C (Đồng: 30-49đ)")))))</f>
        <v/>
      </c>
      <c r="R1225" s="6" t="inlineStr">
        <is>
          <t>Cỏ nhân tạo sân chơi/huấn luyện (Dog Turf) + Đồ chơi nhai chịu lực (KONG/Chew Toys)</t>
        </is>
      </c>
      <c r="S1225" s="6" t="inlineStr">
        <is>
          <t>Cấp C Chi phí thấp: Nhắn tin trực tiếp qua Fanpage Facebook/Instagram + Nuôi dưỡng nội dung</t>
        </is>
      </c>
    </row>
    <row r="1226">
      <c r="A1226" s="59" t="n">
        <v>1717</v>
      </c>
      <c r="B1226" s="15" t="inlineStr">
        <is>
          <t>IFSS International Federation of Sleddog Sports</t>
        </is>
      </c>
      <c r="C1226" s="60" t="inlineStr">
        <is>
          <t>https://www.facebook.com/sleddog.sports</t>
        </is>
      </c>
      <c r="D1226" s="9" t="inlineStr">
        <is>
          <t>Cần quét Bio Fanpage</t>
        </is>
      </c>
      <c r="E1226" s="59" t="inlineStr">
        <is>
          <t>06/10/2026 20:33:53</t>
        </is>
      </c>
      <c r="F1226" s="59" t="inlineStr">
        <is>
          <t>6 ngày trước</t>
        </is>
      </c>
      <c r="G1226" s="61" t="n">
        <v>6</v>
      </c>
      <c r="H1226" s="62" t="n">
        <v>20</v>
      </c>
      <c r="I1226" s="9" t="inlineStr">
        <is>
          <t>Pet Boarding / Huấn luyện K9 &amp; Dịch vụ (20-22đ)</t>
        </is>
      </c>
      <c r="J1226" s="62" t="n">
        <v>20</v>
      </c>
      <c r="K1226" s="9" t="inlineStr">
        <is>
          <t>Chưa rõ giống (Cần quét Bio)</t>
        </is>
      </c>
      <c r="L1226" s="62" t="n">
        <v>0</v>
      </c>
      <c r="M1226" s="62" t="n">
        <v>0</v>
      </c>
      <c r="N1226" s="9" t="inlineStr">
        <is>
          <t>Amazon link not found</t>
        </is>
      </c>
      <c r="O1226" s="62">
        <f>IF(N1226="Selling pet toys + Artificial grass/Pet toilets (TARGET)",15,IF(N1226="Selling artificial grass/pet toilets (TARGET)",10,IF(N1226="Selling pet toys",7,IF(N1226="There's an Amazon link, but no target sales.",3,0))))</f>
        <v/>
      </c>
      <c r="P1226" s="67">
        <f>H1226+J1226+L1226+M1226+O1226</f>
        <v/>
      </c>
      <c r="Q1226" s="69">
        <f>IF(OR(H1226=0,P1226&lt;30),"Tier D (Đóng băng)",IF(P1226&gt;=85,"Tier S (Kim Cương: 85-100đ)",IF(P1226&gt;=70,"Tier A (Vàng: 70-84đ)",IF(P1226&gt;=61,"Tier B+ / Cấp A (Hot Lead: 61-69đ)",IF(P1226&gt;=50,"Tier B (Bạc: 50-60đ)","Tier C (Đồng: 30-49đ)")))))</f>
        <v/>
      </c>
      <c r="R1226" s="9" t="inlineStr">
        <is>
          <t>Cỏ nhân tạo sân chơi/huấn luyện (Dog Turf) + Đồ chơi nhai chịu lực (KONG/Chew Toys)</t>
        </is>
      </c>
      <c r="S1226" s="9" t="inlineStr">
        <is>
          <t>Cấp C Chi phí thấp: Nhắn tin trực tiếp qua Fanpage Facebook/Instagram + Nuôi dưỡng nội dung</t>
        </is>
      </c>
    </row>
    <row r="1227">
      <c r="A1227" s="53" t="n">
        <v>1728</v>
      </c>
      <c r="B1227" s="12" t="inlineStr">
        <is>
          <t>International Dog Sports</t>
        </is>
      </c>
      <c r="C1227" s="54" t="inlineStr">
        <is>
          <t>https://www.facebook.com/idsdogsports</t>
        </is>
      </c>
      <c r="D1227" s="6" t="inlineStr">
        <is>
          <t>Cần quét Bio Fanpage</t>
        </is>
      </c>
      <c r="E1227" s="53" t="inlineStr">
        <is>
          <t>05/10/2026 21:28:07</t>
        </is>
      </c>
      <c r="F1227" s="53" t="inlineStr">
        <is>
          <t>1 tuần trước</t>
        </is>
      </c>
      <c r="G1227" s="55" t="n">
        <v>7</v>
      </c>
      <c r="H1227" s="56" t="n">
        <v>20</v>
      </c>
      <c r="I1227" s="6" t="inlineStr">
        <is>
          <t>Pet Boarding / Huấn luyện K9 &amp; Dịch vụ (20-22đ)</t>
        </is>
      </c>
      <c r="J1227" s="56" t="n">
        <v>20</v>
      </c>
      <c r="K1227" s="6" t="inlineStr">
        <is>
          <t>Chưa rõ giống (Cần quét Bio)</t>
        </is>
      </c>
      <c r="L1227" s="56" t="n">
        <v>0</v>
      </c>
      <c r="M1227" s="56" t="n">
        <v>0</v>
      </c>
      <c r="N1227" s="6" t="inlineStr">
        <is>
          <t>Amazon link not found</t>
        </is>
      </c>
      <c r="O1227" s="56">
        <f>IF(N1227="Selling pet toys + Artificial grass/Pet toilets (TARGET)",15,IF(N1227="Selling artificial grass/pet toilets (TARGET)",10,IF(N1227="Selling pet toys",7,IF(N1227="There's an Amazon link, but no target sales.",3,0))))</f>
        <v/>
      </c>
      <c r="P1227" s="65">
        <f>H1227+J1227+L1227+M1227+O1227</f>
        <v/>
      </c>
      <c r="Q1227" s="69">
        <f>IF(OR(H1227=0,P1227&lt;30),"Tier D (Đóng băng)",IF(P1227&gt;=85,"Tier S (Kim Cương: 85-100đ)",IF(P1227&gt;=70,"Tier A (Vàng: 70-84đ)",IF(P1227&gt;=61,"Tier B+ / Cấp A (Hot Lead: 61-69đ)",IF(P1227&gt;=50,"Tier B (Bạc: 50-60đ)","Tier C (Đồng: 30-49đ)")))))</f>
        <v/>
      </c>
      <c r="R1227" s="6" t="inlineStr">
        <is>
          <t>Cỏ nhân tạo sân chơi/huấn luyện (Dog Turf) + Đồ chơi nhai chịu lực (KONG/Chew Toys)</t>
        </is>
      </c>
      <c r="S1227" s="6" t="inlineStr">
        <is>
          <t>Cấp C Chi phí thấp: Nhắn tin trực tiếp qua Fanpage Facebook/Instagram + Nuôi dưỡng nội dung</t>
        </is>
      </c>
    </row>
    <row r="1228">
      <c r="A1228" s="59" t="n">
        <v>1576</v>
      </c>
      <c r="B1228" s="15" t="inlineStr">
        <is>
          <t>Gucci The Frenchie Girl</t>
        </is>
      </c>
      <c r="C1228" s="60" t="inlineStr">
        <is>
          <t>https://www.facebook.com/profile.php?id=61580232925779</t>
        </is>
      </c>
      <c r="D1228" s="9" t="inlineStr">
        <is>
          <t>Cần quét Bio Fanpage</t>
        </is>
      </c>
      <c r="E1228" s="59" t="inlineStr">
        <is>
          <t>05/10/2026 17:05:57</t>
        </is>
      </c>
      <c r="F1228" s="59" t="inlineStr">
        <is>
          <t>1 tuần trước</t>
        </is>
      </c>
      <c r="G1228" s="61" t="n">
        <v>7</v>
      </c>
      <c r="H1228" s="62" t="n">
        <v>20</v>
      </c>
      <c r="I1228" s="9" t="inlineStr">
        <is>
          <t>Pet Owner / Kênh cá nhân thú cưng (10đ)</t>
        </is>
      </c>
      <c r="J1228" s="62" t="n">
        <v>10</v>
      </c>
      <c r="K1228" s="9" t="inlineStr">
        <is>
          <t>French Bulldog</t>
        </is>
      </c>
      <c r="L1228" s="62" t="n">
        <v>10</v>
      </c>
      <c r="M1228" s="62" t="n">
        <v>0</v>
      </c>
      <c r="N1228" s="9" t="inlineStr">
        <is>
          <t>Amazon link not found</t>
        </is>
      </c>
      <c r="O1228" s="62">
        <f>IF(N1228="Selling pet toys + Artificial grass/Pet toilets (TARGET)",15,IF(N1228="Selling artificial grass/pet toilets (TARGET)",10,IF(N1228="Selling pet toys",7,IF(N1228="There's an Amazon link, but no target sales.",3,0))))</f>
        <v/>
      </c>
      <c r="P1228" s="67">
        <f>H1228+J1228+L1228+M1228+O1228</f>
        <v/>
      </c>
      <c r="Q1228" s="69">
        <f>IF(OR(H1228=0,P1228&lt;30),"Tier D (Đóng băng)",IF(P1228&gt;=85,"Tier S (Kim Cương: 85-100đ)",IF(P1228&gt;=70,"Tier A (Vàng: 70-84đ)",IF(P1228&gt;=61,"Tier B+ / Cấp A (Hot Lead: 61-69đ)",IF(P1228&gt;=50,"Tier B (Bạc: 50-60đ)","Tier C (Đồng: 30-49đ)")))))</f>
        <v/>
      </c>
      <c r="R1228" s="9" t="inlineStr">
        <is>
          <t>Khay vệ sinh trong nhà (Indoor Dog Potty) + Đồ chơi thú cưng lẻ</t>
        </is>
      </c>
      <c r="S1228" s="9" t="inlineStr">
        <is>
          <t>Cấp C Chi phí thấp: Nhắn tin trực tiếp qua Fanpage Facebook/Instagram + Nuôi dưỡng nội dung</t>
        </is>
      </c>
    </row>
    <row r="1229">
      <c r="A1229" s="53" t="n">
        <v>1143</v>
      </c>
      <c r="B1229" s="12" t="inlineStr">
        <is>
          <t>Dogmaster - Dog Hotel</t>
        </is>
      </c>
      <c r="C1229" s="54" t="inlineStr">
        <is>
          <t>https://www.facebook.com/DogmasterDogHotel</t>
        </is>
      </c>
      <c r="D1229" s="6" t="inlineStr">
        <is>
          <t>Cần quét Bio Fanpage</t>
        </is>
      </c>
      <c r="E1229" s="53" t="inlineStr">
        <is>
          <t>03/10/2026 03:07:59</t>
        </is>
      </c>
      <c r="F1229" s="53" t="inlineStr">
        <is>
          <t>1 tuần trước</t>
        </is>
      </c>
      <c r="G1229" s="55" t="n">
        <v>7</v>
      </c>
      <c r="H1229" s="56" t="n">
        <v>20</v>
      </c>
      <c r="I1229" s="6" t="inlineStr">
        <is>
          <t>Pet Boarding / Huấn luyện K9 &amp; Dịch vụ (20-22đ)</t>
        </is>
      </c>
      <c r="J1229" s="56" t="n">
        <v>20</v>
      </c>
      <c r="K1229" s="6" t="inlineStr">
        <is>
          <t>Chưa rõ giống (Cần quét Bio)</t>
        </is>
      </c>
      <c r="L1229" s="56" t="n">
        <v>0</v>
      </c>
      <c r="M1229" s="56" t="n">
        <v>0</v>
      </c>
      <c r="N1229" s="6" t="inlineStr">
        <is>
          <t>Amazon link not found</t>
        </is>
      </c>
      <c r="O1229" s="56">
        <f>IF(N1229="Selling pet toys + Artificial grass/Pet toilets (TARGET)",15,IF(N1229="Selling artificial grass/pet toilets (TARGET)",10,IF(N1229="Selling pet toys",7,IF(N1229="There's an Amazon link, but no target sales.",3,0))))</f>
        <v/>
      </c>
      <c r="P1229" s="65">
        <f>H1229+J1229+L1229+M1229+O1229</f>
        <v/>
      </c>
      <c r="Q1229" s="69">
        <f>IF(OR(H1229=0,P1229&lt;30),"Tier D (Đóng băng)",IF(P1229&gt;=85,"Tier S (Kim Cương: 85-100đ)",IF(P1229&gt;=70,"Tier A (Vàng: 70-84đ)",IF(P1229&gt;=61,"Tier B+ / Cấp A (Hot Lead: 61-69đ)",IF(P1229&gt;=50,"Tier B (Bạc: 50-60đ)","Tier C (Đồng: 30-49đ)")))))</f>
        <v/>
      </c>
      <c r="R1229" s="6" t="inlineStr">
        <is>
          <t>Cỏ nhân tạo sân chơi/huấn luyện (Dog Turf) + Đồ chơi nhai chịu lực (KONG/Chew Toys)</t>
        </is>
      </c>
      <c r="S1229" s="6" t="inlineStr">
        <is>
          <t>Cấp C Chi phí thấp: Nhắn tin trực tiếp qua Fanpage Facebook/Instagram + Nuôi dưỡng nội dung</t>
        </is>
      </c>
    </row>
    <row r="1230">
      <c r="A1230" s="59" t="n">
        <v>884</v>
      </c>
      <c r="B1230" s="15" t="inlineStr">
        <is>
          <t>Chattanooga Dog Agility Club</t>
        </is>
      </c>
      <c r="C1230" s="60" t="inlineStr">
        <is>
          <t>https://www.facebook.com/chattanoogadogagilityclub</t>
        </is>
      </c>
      <c r="D1230" s="9" t="inlineStr">
        <is>
          <t>Cần quét Bio Fanpage</t>
        </is>
      </c>
      <c r="E1230" s="59" t="inlineStr">
        <is>
          <t>03/10/2026 01:19:19</t>
        </is>
      </c>
      <c r="F1230" s="59" t="inlineStr">
        <is>
          <t>1 tuần trước</t>
        </is>
      </c>
      <c r="G1230" s="61" t="n">
        <v>7</v>
      </c>
      <c r="H1230" s="62" t="n">
        <v>20</v>
      </c>
      <c r="I1230" s="9" t="inlineStr">
        <is>
          <t>Pet Boarding / Huấn luyện K9 &amp; Dịch vụ (20-22đ)</t>
        </is>
      </c>
      <c r="J1230" s="62" t="n">
        <v>20</v>
      </c>
      <c r="K1230" s="9" t="inlineStr">
        <is>
          <t>Chưa rõ giống (Cần quét Bio)</t>
        </is>
      </c>
      <c r="L1230" s="62" t="n">
        <v>0</v>
      </c>
      <c r="M1230" s="62" t="n">
        <v>0</v>
      </c>
      <c r="N1230" s="9" t="inlineStr">
        <is>
          <t>Amazon link not found</t>
        </is>
      </c>
      <c r="O1230" s="62">
        <f>IF(N1230="Selling pet toys + Artificial grass/Pet toilets (TARGET)",15,IF(N1230="Selling artificial grass/pet toilets (TARGET)",10,IF(N1230="Selling pet toys",7,IF(N1230="There's an Amazon link, but no target sales.",3,0))))</f>
        <v/>
      </c>
      <c r="P1230" s="67">
        <f>H1230+J1230+L1230+M1230+O1230</f>
        <v/>
      </c>
      <c r="Q1230" s="69">
        <f>IF(OR(H1230=0,P1230&lt;30),"Tier D (Đóng băng)",IF(P1230&gt;=85,"Tier S (Kim Cương: 85-100đ)",IF(P1230&gt;=70,"Tier A (Vàng: 70-84đ)",IF(P1230&gt;=61,"Tier B+ / Cấp A (Hot Lead: 61-69đ)",IF(P1230&gt;=50,"Tier B (Bạc: 50-60đ)","Tier C (Đồng: 30-49đ)")))))</f>
        <v/>
      </c>
      <c r="R1230" s="9" t="inlineStr">
        <is>
          <t>Cỏ nhân tạo sân chơi/huấn luyện (Dog Turf) + Đồ chơi nhai chịu lực (KONG/Chew Toys)</t>
        </is>
      </c>
      <c r="S1230" s="9" t="inlineStr">
        <is>
          <t>Cấp C Chi phí thấp: Nhắn tin trực tiếp qua Fanpage Facebook/Instagram + Nuôi dưỡng nội dung</t>
        </is>
      </c>
    </row>
    <row r="1231">
      <c r="A1231" s="53" t="n">
        <v>2163</v>
      </c>
      <c r="B1231" s="12" t="inlineStr">
        <is>
          <t>Merrick Pet Care</t>
        </is>
      </c>
      <c r="C1231" s="54" t="inlineStr">
        <is>
          <t>https://www.facebook.com/merrickpetcare</t>
        </is>
      </c>
      <c r="D1231" s="6" t="inlineStr">
        <is>
          <t>Cần quét Bio Fanpage</t>
        </is>
      </c>
      <c r="E1231" s="53" t="inlineStr">
        <is>
          <t>02/10/2026 22:15:00</t>
        </is>
      </c>
      <c r="F1231" s="53" t="inlineStr">
        <is>
          <t>1 tuần trước</t>
        </is>
      </c>
      <c r="G1231" s="55" t="n">
        <v>7</v>
      </c>
      <c r="H1231" s="56" t="n">
        <v>20</v>
      </c>
      <c r="I1231" s="6" t="inlineStr">
        <is>
          <t>Pet Boarding / Huấn luyện K9 &amp; Dịch vụ (20-22đ)</t>
        </is>
      </c>
      <c r="J1231" s="56" t="n">
        <v>20</v>
      </c>
      <c r="K1231" s="6" t="inlineStr">
        <is>
          <t>Chưa rõ giống (Cần quét Bio)</t>
        </is>
      </c>
      <c r="L1231" s="56" t="n">
        <v>0</v>
      </c>
      <c r="M1231" s="56" t="n">
        <v>0</v>
      </c>
      <c r="N1231" s="6" t="inlineStr">
        <is>
          <t>Amazon link not found</t>
        </is>
      </c>
      <c r="O1231" s="56">
        <f>IF(N1231="Selling pet toys + Artificial grass/Pet toilets (TARGET)",15,IF(N1231="Selling artificial grass/pet toilets (TARGET)",10,IF(N1231="Selling pet toys",7,IF(N1231="There's an Amazon link, but no target sales.",3,0))))</f>
        <v/>
      </c>
      <c r="P1231" s="65">
        <f>H1231+J1231+L1231+M1231+O1231</f>
        <v/>
      </c>
      <c r="Q1231" s="69">
        <f>IF(OR(H1231=0,P1231&lt;30),"Tier D (Đóng băng)",IF(P1231&gt;=85,"Tier S (Kim Cương: 85-100đ)",IF(P1231&gt;=70,"Tier A (Vàng: 70-84đ)",IF(P1231&gt;=61,"Tier B+ / Cấp A (Hot Lead: 61-69đ)",IF(P1231&gt;=50,"Tier B (Bạc: 50-60đ)","Tier C (Đồng: 30-49đ)")))))</f>
        <v/>
      </c>
      <c r="R1231" s="6" t="inlineStr">
        <is>
          <t>Cỏ nhân tạo sân chơi/huấn luyện (Dog Turf) + Đồ chơi nhai chịu lực (KONG/Chew Toys)</t>
        </is>
      </c>
      <c r="S1231" s="6" t="inlineStr">
        <is>
          <t>Cấp C Chi phí thấp: Nhắn tin trực tiếp qua Fanpage Facebook/Instagram + Nuôi dưỡng nội dung</t>
        </is>
      </c>
    </row>
    <row r="1232">
      <c r="A1232" s="59" t="n">
        <v>1280</v>
      </c>
      <c r="B1232" s="15" t="inlineStr">
        <is>
          <t>Emily’s Dog Grooming</t>
        </is>
      </c>
      <c r="C1232" s="60" t="inlineStr">
        <is>
          <t>https://www.facebook.com/profile.php?id=61550533214350</t>
        </is>
      </c>
      <c r="D1232" s="9" t="inlineStr">
        <is>
          <t>Cần quét Bio Fanpage</t>
        </is>
      </c>
      <c r="E1232" s="59" t="inlineStr">
        <is>
          <t>02/10/2026 03:37:22</t>
        </is>
      </c>
      <c r="F1232" s="59" t="inlineStr">
        <is>
          <t>1 tuần trước</t>
        </is>
      </c>
      <c r="G1232" s="61" t="n">
        <v>7</v>
      </c>
      <c r="H1232" s="62" t="n">
        <v>20</v>
      </c>
      <c r="I1232" s="9" t="inlineStr">
        <is>
          <t>Pet Boarding / Huấn luyện K9 &amp; Dịch vụ (20-22đ)</t>
        </is>
      </c>
      <c r="J1232" s="62" t="n">
        <v>20</v>
      </c>
      <c r="K1232" s="9" t="inlineStr">
        <is>
          <t>Chưa rõ giống (Cần quét Bio)</t>
        </is>
      </c>
      <c r="L1232" s="62" t="n">
        <v>0</v>
      </c>
      <c r="M1232" s="62" t="n">
        <v>0</v>
      </c>
      <c r="N1232" s="9" t="inlineStr">
        <is>
          <t>Amazon link not found</t>
        </is>
      </c>
      <c r="O1232" s="62">
        <f>IF(N1232="Selling pet toys + Artificial grass/Pet toilets (TARGET)",15,IF(N1232="Selling artificial grass/pet toilets (TARGET)",10,IF(N1232="Selling pet toys",7,IF(N1232="There's an Amazon link, but no target sales.",3,0))))</f>
        <v/>
      </c>
      <c r="P1232" s="67">
        <f>H1232+J1232+L1232+M1232+O1232</f>
        <v/>
      </c>
      <c r="Q1232" s="69">
        <f>IF(OR(H1232=0,P1232&lt;30),"Tier D (Đóng băng)",IF(P1232&gt;=85,"Tier S (Kim Cương: 85-100đ)",IF(P1232&gt;=70,"Tier A (Vàng: 70-84đ)",IF(P1232&gt;=61,"Tier B+ / Cấp A (Hot Lead: 61-69đ)",IF(P1232&gt;=50,"Tier B (Bạc: 50-60đ)","Tier C (Đồng: 30-49đ)")))))</f>
        <v/>
      </c>
      <c r="R1232" s="9" t="inlineStr">
        <is>
          <t>Cỏ nhân tạo sân chơi/huấn luyện (Dog Turf) + Đồ chơi nhai chịu lực (KONG/Chew Toys)</t>
        </is>
      </c>
      <c r="S1232" s="9" t="inlineStr">
        <is>
          <t>Cấp C Chi phí thấp: Nhắn tin trực tiếp qua Fanpage Facebook/Instagram + Nuôi dưỡng nội dung</t>
        </is>
      </c>
    </row>
    <row r="1233">
      <c r="A1233" s="53" t="n">
        <v>3067</v>
      </c>
      <c r="B1233" s="12" t="inlineStr">
        <is>
          <t>Tay Valley Gundog Association</t>
        </is>
      </c>
      <c r="C1233" s="54" t="inlineStr">
        <is>
          <t>https://www.facebook.com/tayvalleygundogassoc</t>
        </is>
      </c>
      <c r="D1233" s="6" t="inlineStr">
        <is>
          <t>Cần quét Bio Fanpage</t>
        </is>
      </c>
      <c r="E1233" s="53" t="inlineStr">
        <is>
          <t>27/09/2026 21:58:15</t>
        </is>
      </c>
      <c r="F1233" s="53" t="inlineStr">
        <is>
          <t>2 tuần trước</t>
        </is>
      </c>
      <c r="G1233" s="55" t="n">
        <v>14</v>
      </c>
      <c r="H1233" s="56" t="n">
        <v>15</v>
      </c>
      <c r="I1233" s="6" t="inlineStr">
        <is>
          <t>Pet Boarding / Huấn luyện K9 &amp; Dịch vụ (20-22đ)</t>
        </is>
      </c>
      <c r="J1233" s="56" t="n">
        <v>20</v>
      </c>
      <c r="K1233" s="6" t="inlineStr">
        <is>
          <t>Spaniel / Gun Dog / Retriever</t>
        </is>
      </c>
      <c r="L1233" s="56" t="n">
        <v>5</v>
      </c>
      <c r="M1233" s="56" t="n">
        <v>0</v>
      </c>
      <c r="N1233" s="6" t="inlineStr">
        <is>
          <t>Amazon link not found</t>
        </is>
      </c>
      <c r="O1233" s="56">
        <f>IF(N1233="Selling pet toys + Artificial grass/Pet toilets (TARGET)",15,IF(N1233="Selling artificial grass/pet toilets (TARGET)",10,IF(N1233="Selling pet toys",7,IF(N1233="There's an Amazon link, but no target sales.",3,0))))</f>
        <v/>
      </c>
      <c r="P1233" s="65">
        <f>H1233+J1233+L1233+M1233+O1233</f>
        <v/>
      </c>
      <c r="Q1233" s="69">
        <f>IF(OR(H1233=0,P1233&lt;30),"Tier D (Đóng băng)",IF(P1233&gt;=85,"Tier S (Kim Cương: 85-100đ)",IF(P1233&gt;=70,"Tier A (Vàng: 70-84đ)",IF(P1233&gt;=61,"Tier B+ / Cấp A (Hot Lead: 61-69đ)",IF(P1233&gt;=50,"Tier B (Bạc: 50-60đ)","Tier C (Đồng: 30-49đ)")))))</f>
        <v/>
      </c>
      <c r="R1233" s="6" t="inlineStr">
        <is>
          <t>Cỏ nhân tạo sân chơi/huấn luyện (Dog Turf) + Đồ chơi nhai chịu lực (KONG/Chew Toys)</t>
        </is>
      </c>
      <c r="S1233" s="6" t="inlineStr">
        <is>
          <t>Cấp C Chi phí thấp: Nhắn tin trực tiếp qua Fanpage Facebook/Instagram + Nuôi dưỡng nội dung</t>
        </is>
      </c>
    </row>
    <row r="1234">
      <c r="A1234" s="59" t="n">
        <v>1583</v>
      </c>
      <c r="B1234" s="15" t="inlineStr">
        <is>
          <t>Gundog Outfitters</t>
        </is>
      </c>
      <c r="C1234" s="60" t="inlineStr">
        <is>
          <t>https://www.facebook.com/profile.php?id=61570493391638</t>
        </is>
      </c>
      <c r="D1234" s="9" t="inlineStr">
        <is>
          <t>Cần quét Bio Fanpage</t>
        </is>
      </c>
      <c r="E1234" s="59" t="inlineStr">
        <is>
          <t>26/09/2026 01:01:48</t>
        </is>
      </c>
      <c r="F1234" s="59" t="inlineStr">
        <is>
          <t>2 tuần trước</t>
        </is>
      </c>
      <c r="G1234" s="61" t="n">
        <v>14</v>
      </c>
      <c r="H1234" s="62" t="n">
        <v>15</v>
      </c>
      <c r="I1234" s="9" t="inlineStr">
        <is>
          <t>Pet Boarding / Huấn luyện K9 &amp; Dịch vụ (20-22đ)</t>
        </is>
      </c>
      <c r="J1234" s="62" t="n">
        <v>20</v>
      </c>
      <c r="K1234" s="9" t="inlineStr">
        <is>
          <t>Spaniel / Gun Dog / Retriever</t>
        </is>
      </c>
      <c r="L1234" s="62" t="n">
        <v>5</v>
      </c>
      <c r="M1234" s="62" t="n">
        <v>0</v>
      </c>
      <c r="N1234" s="9" t="inlineStr">
        <is>
          <t>Amazon link not found</t>
        </is>
      </c>
      <c r="O1234" s="62">
        <f>IF(N1234="Selling pet toys + Artificial grass/Pet toilets (TARGET)",15,IF(N1234="Selling artificial grass/pet toilets (TARGET)",10,IF(N1234="Selling pet toys",7,IF(N1234="There's an Amazon link, but no target sales.",3,0))))</f>
        <v/>
      </c>
      <c r="P1234" s="67">
        <f>H1234+J1234+L1234+M1234+O1234</f>
        <v/>
      </c>
      <c r="Q1234" s="69">
        <f>IF(OR(H1234=0,P1234&lt;30),"Tier D (Đóng băng)",IF(P1234&gt;=85,"Tier S (Kim Cương: 85-100đ)",IF(P1234&gt;=70,"Tier A (Vàng: 70-84đ)",IF(P1234&gt;=61,"Tier B+ / Cấp A (Hot Lead: 61-69đ)",IF(P1234&gt;=50,"Tier B (Bạc: 50-60đ)","Tier C (Đồng: 30-49đ)")))))</f>
        <v/>
      </c>
      <c r="R1234" s="9" t="inlineStr">
        <is>
          <t>Cỏ nhân tạo sân chơi/huấn luyện (Dog Turf) + Đồ chơi nhai chịu lực (KONG/Chew Toys)</t>
        </is>
      </c>
      <c r="S1234" s="9" t="inlineStr">
        <is>
          <t>Cấp C Chi phí thấp: Nhắn tin trực tiếp qua Fanpage Facebook/Instagram + Nuôi dưỡng nội dung</t>
        </is>
      </c>
    </row>
    <row r="1235">
      <c r="A1235" s="53" t="n">
        <v>846</v>
      </c>
      <c r="B1235" s="12" t="inlineStr">
        <is>
          <t>Carnochway Gundogs</t>
        </is>
      </c>
      <c r="C1235" s="54" t="inlineStr">
        <is>
          <t>https://www.facebook.com/carnochwaygundogs</t>
        </is>
      </c>
      <c r="D1235" s="6" t="inlineStr">
        <is>
          <t>Cần quét Bio Fanpage</t>
        </is>
      </c>
      <c r="E1235" s="53" t="inlineStr">
        <is>
          <t>23/09/2026 01:45:26</t>
        </is>
      </c>
      <c r="F1235" s="53" t="inlineStr">
        <is>
          <t>2 tuần trước</t>
        </is>
      </c>
      <c r="G1235" s="55" t="n">
        <v>14</v>
      </c>
      <c r="H1235" s="56" t="n">
        <v>15</v>
      </c>
      <c r="I1235" s="6" t="inlineStr">
        <is>
          <t>Pet Boarding / Huấn luyện K9 &amp; Dịch vụ (20-22đ)</t>
        </is>
      </c>
      <c r="J1235" s="56" t="n">
        <v>20</v>
      </c>
      <c r="K1235" s="6" t="inlineStr">
        <is>
          <t>Spaniel / Gun Dog / Retriever</t>
        </is>
      </c>
      <c r="L1235" s="56" t="n">
        <v>5</v>
      </c>
      <c r="M1235" s="56" t="n">
        <v>0</v>
      </c>
      <c r="N1235" s="6" t="inlineStr">
        <is>
          <t>Amazon link not found</t>
        </is>
      </c>
      <c r="O1235" s="56">
        <f>IF(N1235="Selling pet toys + Artificial grass/Pet toilets (TARGET)",15,IF(N1235="Selling artificial grass/pet toilets (TARGET)",10,IF(N1235="Selling pet toys",7,IF(N1235="There's an Amazon link, but no target sales.",3,0))))</f>
        <v/>
      </c>
      <c r="P1235" s="65">
        <f>H1235+J1235+L1235+M1235+O1235</f>
        <v/>
      </c>
      <c r="Q1235" s="69">
        <f>IF(OR(H1235=0,P1235&lt;30),"Tier D (Đóng băng)",IF(P1235&gt;=85,"Tier S (Kim Cương: 85-100đ)",IF(P1235&gt;=70,"Tier A (Vàng: 70-84đ)",IF(P1235&gt;=61,"Tier B+ / Cấp A (Hot Lead: 61-69đ)",IF(P1235&gt;=50,"Tier B (Bạc: 50-60đ)","Tier C (Đồng: 30-49đ)")))))</f>
        <v/>
      </c>
      <c r="R1235" s="6" t="inlineStr">
        <is>
          <t>Cỏ nhân tạo sân chơi/huấn luyện (Dog Turf) + Đồ chơi nhai chịu lực (KONG/Chew Toys)</t>
        </is>
      </c>
      <c r="S1235" s="6" t="inlineStr">
        <is>
          <t>Cấp C Chi phí thấp: Nhắn tin trực tiếp qua Fanpage Facebook/Instagram + Nuôi dưỡng nội dung</t>
        </is>
      </c>
    </row>
    <row r="1236">
      <c r="A1236" s="59" t="n">
        <v>3257</v>
      </c>
      <c r="B1236" s="15" t="inlineStr">
        <is>
          <t>Twin Oaks Ranch Puppies, LLC</t>
        </is>
      </c>
      <c r="C1236" s="60" t="inlineStr">
        <is>
          <t>https://www.facebook.com/twinoaksranchpuppies</t>
        </is>
      </c>
      <c r="D1236" s="9" t="inlineStr">
        <is>
          <t>Cần quét Bio Fanpage</t>
        </is>
      </c>
      <c r="E1236" s="59" t="inlineStr">
        <is>
          <t>13/09/2026 04:03:28</t>
        </is>
      </c>
      <c r="F1236" s="59" t="inlineStr">
        <is>
          <t>1 tháng trước</t>
        </is>
      </c>
      <c r="G1236" s="61" t="n">
        <v>30</v>
      </c>
      <c r="H1236" s="62" t="n">
        <v>0</v>
      </c>
      <c r="I1236" s="9" t="inlineStr">
        <is>
          <t>Dog Breeder / Trại chó chuyên nghiệp (28-30đ)</t>
        </is>
      </c>
      <c r="J1236" s="62" t="n">
        <v>30</v>
      </c>
      <c r="K1236" s="9" t="inlineStr">
        <is>
          <t>Chưa rõ giống (Cần quét Bio)</t>
        </is>
      </c>
      <c r="L1236" s="62" t="n">
        <v>0</v>
      </c>
      <c r="M1236" s="62" t="n">
        <v>10</v>
      </c>
      <c r="N1236" s="9" t="inlineStr">
        <is>
          <t>Amazon link not found</t>
        </is>
      </c>
      <c r="O1236" s="62">
        <f>IF(N1236="Selling pet toys + Artificial grass/Pet toilets (TARGET)",15,IF(N1236="Selling artificial grass/pet toilets (TARGET)",10,IF(N1236="Selling pet toys",7,IF(N1236="There's an Amazon link, but no target sales.",3,0))))</f>
        <v/>
      </c>
      <c r="P1236" s="67">
        <f>H1236+J1236+L1236+M1236+O1236</f>
        <v/>
      </c>
      <c r="Q1236" s="68">
        <f>IF(OR(H1236=0,P1236&lt;30),"Tier D (Đóng băng)",IF(P1236&gt;=85,"Tier S (Kim Cương: 85-100đ)",IF(P1236&gt;=70,"Tier A (Vàng: 70-84đ)",IF(P1236&gt;=61,"Tier B+ / Cấp A (Hot Lead: 61-69đ)",IF(P1236&gt;=50,"Tier B (Bạc: 50-60đ)","Tier C (Đồng: 30-49đ)")))))</f>
        <v/>
      </c>
      <c r="R1236" s="9" t="inlineStr">
        <is>
          <t>Trọn gói Take-Home Starter Kit V2/V3 (Cỏ nhân tạo + Khay Potty + Đồ chơi Teething/Snuggle)</t>
        </is>
      </c>
      <c r="S1236" s="9" t="inlineStr">
        <is>
          <t>Đóng băng tương tác (&gt;30 ngày): Lưu trữ chờ kích hoạt lại, không tốn tài nguyên Sales</t>
        </is>
      </c>
    </row>
    <row r="1237">
      <c r="A1237" s="53" t="n">
        <v>2017</v>
      </c>
      <c r="B1237" s="12" t="inlineStr">
        <is>
          <t>Light of Life kennel - Border Collie</t>
        </is>
      </c>
      <c r="C1237" s="54" t="inlineStr">
        <is>
          <t>https://www.facebook.com/profile.php?id=100064618304721</t>
        </is>
      </c>
      <c r="D1237" s="6" t="inlineStr">
        <is>
          <t>Cần quét Bio Fanpage</t>
        </is>
      </c>
      <c r="E1237" s="53" t="inlineStr">
        <is>
          <t>10/09/2026 05:19:00</t>
        </is>
      </c>
      <c r="F1237" s="53" t="inlineStr">
        <is>
          <t>1 tháng trước</t>
        </is>
      </c>
      <c r="G1237" s="55" t="n">
        <v>30</v>
      </c>
      <c r="H1237" s="56" t="n">
        <v>0</v>
      </c>
      <c r="I1237" s="6" t="inlineStr">
        <is>
          <t>Dog Breeder / Trại chó chuyên nghiệp (28-30đ)</t>
        </is>
      </c>
      <c r="J1237" s="56" t="n">
        <v>30</v>
      </c>
      <c r="K1237" s="6" t="inlineStr">
        <is>
          <t>Australian Shepherd / Herding</t>
        </is>
      </c>
      <c r="L1237" s="56" t="n">
        <v>5</v>
      </c>
      <c r="M1237" s="56" t="n">
        <v>5</v>
      </c>
      <c r="N1237" s="6" t="inlineStr">
        <is>
          <t>Amazon link not found</t>
        </is>
      </c>
      <c r="O1237" s="56">
        <f>IF(N1237="Selling pet toys + Artificial grass/Pet toilets (TARGET)",15,IF(N1237="Selling artificial grass/pet toilets (TARGET)",10,IF(N1237="Selling pet toys",7,IF(N1237="There's an Amazon link, but no target sales.",3,0))))</f>
        <v/>
      </c>
      <c r="P1237" s="65">
        <f>H1237+J1237+L1237+M1237+O1237</f>
        <v/>
      </c>
      <c r="Q1237" s="68">
        <f>IF(OR(H1237=0,P1237&lt;30),"Tier D (Đóng băng)",IF(P1237&gt;=85,"Tier S (Kim Cương: 85-100đ)",IF(P1237&gt;=70,"Tier A (Vàng: 70-84đ)",IF(P1237&gt;=61,"Tier B+ / Cấp A (Hot Lead: 61-69đ)",IF(P1237&gt;=50,"Tier B (Bạc: 50-60đ)","Tier C (Đồng: 30-49đ)")))))</f>
        <v/>
      </c>
      <c r="R1237" s="6" t="inlineStr">
        <is>
          <t>Trọn gói Take-Home Starter Kit V2/V3 (Cỏ nhân tạo + Khay Potty + Đồ chơi Teething/Snuggle)</t>
        </is>
      </c>
      <c r="S1237" s="6" t="inlineStr">
        <is>
          <t>Đóng băng tương tác (&gt;30 ngày): Lưu trữ chờ kích hoạt lại, không tốn tài nguyên Sales</t>
        </is>
      </c>
    </row>
    <row r="1238">
      <c r="A1238" s="59" t="n">
        <v>603</v>
      </c>
      <c r="B1238" s="15" t="inlineStr">
        <is>
          <t>Bavarian Mountain Scent Hound Kennel</t>
        </is>
      </c>
      <c r="C1238" s="60" t="inlineStr">
        <is>
          <t>https://www.facebook.com/profile.php?id=100054511642693</t>
        </is>
      </c>
      <c r="D1238" s="9" t="inlineStr">
        <is>
          <t>Cần quét Bio Fanpage</t>
        </is>
      </c>
      <c r="E1238" s="59" t="inlineStr">
        <is>
          <t>27/08/2026 05:40:58</t>
        </is>
      </c>
      <c r="F1238" s="59" t="inlineStr">
        <is>
          <t>1 tháng trước</t>
        </is>
      </c>
      <c r="G1238" s="61" t="n">
        <v>30</v>
      </c>
      <c r="H1238" s="62" t="n">
        <v>0</v>
      </c>
      <c r="I1238" s="9" t="inlineStr">
        <is>
          <t>Dog Breeder / Trại chó chuyên nghiệp (28-30đ)</t>
        </is>
      </c>
      <c r="J1238" s="62" t="n">
        <v>30</v>
      </c>
      <c r="K1238" s="9" t="inlineStr">
        <is>
          <t>Hound / Beagle / Basset</t>
        </is>
      </c>
      <c r="L1238" s="62" t="n">
        <v>5</v>
      </c>
      <c r="M1238" s="62" t="n">
        <v>5</v>
      </c>
      <c r="N1238" s="9" t="inlineStr">
        <is>
          <t>Amazon link not found</t>
        </is>
      </c>
      <c r="O1238" s="62">
        <f>IF(N1238="Selling pet toys + Artificial grass/Pet toilets (TARGET)",15,IF(N1238="Selling artificial grass/pet toilets (TARGET)",10,IF(N1238="Selling pet toys",7,IF(N1238="There's an Amazon link, but no target sales.",3,0))))</f>
        <v/>
      </c>
      <c r="P1238" s="67">
        <f>H1238+J1238+L1238+M1238+O1238</f>
        <v/>
      </c>
      <c r="Q1238" s="68">
        <f>IF(OR(H1238=0,P1238&lt;30),"Tier D (Đóng băng)",IF(P1238&gt;=85,"Tier S (Kim Cương: 85-100đ)",IF(P1238&gt;=70,"Tier A (Vàng: 70-84đ)",IF(P1238&gt;=61,"Tier B+ / Cấp A (Hot Lead: 61-69đ)",IF(P1238&gt;=50,"Tier B (Bạc: 50-60đ)","Tier C (Đồng: 30-49đ)")))))</f>
        <v/>
      </c>
      <c r="R1238" s="9" t="inlineStr">
        <is>
          <t>Trọn gói Take-Home Starter Kit V2/V3 (Cỏ nhân tạo + Khay Potty + Đồ chơi Teething/Snuggle)</t>
        </is>
      </c>
      <c r="S1238" s="9" t="inlineStr">
        <is>
          <t>Đóng băng tương tác (&gt;30 ngày): Lưu trữ chờ kích hoạt lại, không tốn tài nguyên Sales</t>
        </is>
      </c>
    </row>
    <row r="1239">
      <c r="A1239" s="53" t="n">
        <v>647</v>
      </c>
      <c r="B1239" s="12" t="inlineStr">
        <is>
          <t>Bernese mountain dog kennel “Leon’s Castle”</t>
        </is>
      </c>
      <c r="C1239" s="54" t="inlineStr">
        <is>
          <t>https://www.facebook.com/bernersennenhundlviv</t>
        </is>
      </c>
      <c r="D1239" s="6" t="inlineStr">
        <is>
          <t>Cần quét Bio Fanpage</t>
        </is>
      </c>
      <c r="E1239" s="53" t="inlineStr">
        <is>
          <t>26/08/2026 14:02:01</t>
        </is>
      </c>
      <c r="F1239" s="53" t="inlineStr">
        <is>
          <t>1 tháng trước</t>
        </is>
      </c>
      <c r="G1239" s="55" t="n">
        <v>30</v>
      </c>
      <c r="H1239" s="56" t="n">
        <v>0</v>
      </c>
      <c r="I1239" s="6" t="inlineStr">
        <is>
          <t>Dog Breeder / Trại chó chuyên nghiệp (28-30đ)</t>
        </is>
      </c>
      <c r="J1239" s="56" t="n">
        <v>30</v>
      </c>
      <c r="K1239" s="6" t="inlineStr">
        <is>
          <t>Bernese Mountain Dog</t>
        </is>
      </c>
      <c r="L1239" s="56" t="n">
        <v>5</v>
      </c>
      <c r="M1239" s="56" t="n">
        <v>5</v>
      </c>
      <c r="N1239" s="6" t="inlineStr">
        <is>
          <t>Amazon link not found</t>
        </is>
      </c>
      <c r="O1239" s="56">
        <f>IF(N1239="Selling pet toys + Artificial grass/Pet toilets (TARGET)",15,IF(N1239="Selling artificial grass/pet toilets (TARGET)",10,IF(N1239="Selling pet toys",7,IF(N1239="There's an Amazon link, but no target sales.",3,0))))</f>
        <v/>
      </c>
      <c r="P1239" s="65">
        <f>H1239+J1239+L1239+M1239+O1239</f>
        <v/>
      </c>
      <c r="Q1239" s="68">
        <f>IF(OR(H1239=0,P1239&lt;30),"Tier D (Đóng băng)",IF(P1239&gt;=85,"Tier S (Kim Cương: 85-100đ)",IF(P1239&gt;=70,"Tier A (Vàng: 70-84đ)",IF(P1239&gt;=61,"Tier B+ / Cấp A (Hot Lead: 61-69đ)",IF(P1239&gt;=50,"Tier B (Bạc: 50-60đ)","Tier C (Đồng: 30-49đ)")))))</f>
        <v/>
      </c>
      <c r="R1239" s="6" t="inlineStr">
        <is>
          <t>Trọn gói Take-Home Starter Kit V2/V3 (Cỏ nhân tạo + Khay Potty + Đồ chơi Teething/Snuggle)</t>
        </is>
      </c>
      <c r="S1239" s="6" t="inlineStr">
        <is>
          <t>Đóng băng tương tác (&gt;30 ngày): Lưu trữ chờ kích hoạt lại, không tốn tài nguyên Sales</t>
        </is>
      </c>
    </row>
    <row r="1240">
      <c r="A1240" s="59" t="n">
        <v>218</v>
      </c>
      <c r="B1240" s="15" t="inlineStr">
        <is>
          <t>Master Dog Breeders and Associates</t>
        </is>
      </c>
      <c r="C1240" s="60" t="inlineStr">
        <is>
          <t>https://www.facebook.com/mdbaofficial</t>
        </is>
      </c>
      <c r="D1240" s="9" t="inlineStr">
        <is>
          <t>Cần quét Bio Fanpage</t>
        </is>
      </c>
      <c r="E1240" s="59" t="inlineStr">
        <is>
          <t>17/08/2026 06:43:03</t>
        </is>
      </c>
      <c r="F1240" s="59" t="inlineStr">
        <is>
          <t>1 tháng trước</t>
        </is>
      </c>
      <c r="G1240" s="61" t="n">
        <v>30</v>
      </c>
      <c r="H1240" s="62" t="n">
        <v>0</v>
      </c>
      <c r="I1240" s="9" t="inlineStr">
        <is>
          <t>Dog Breeder / Trại chó chuyên nghiệp (28-30đ)</t>
        </is>
      </c>
      <c r="J1240" s="62" t="n">
        <v>30</v>
      </c>
      <c r="K1240" s="9" t="inlineStr">
        <is>
          <t>Chưa rõ giống (Cần quét Bio)</t>
        </is>
      </c>
      <c r="L1240" s="62" t="n">
        <v>0</v>
      </c>
      <c r="M1240" s="62" t="n">
        <v>10</v>
      </c>
      <c r="N1240" s="9" t="inlineStr">
        <is>
          <t>Amazon link not found</t>
        </is>
      </c>
      <c r="O1240" s="62">
        <f>IF(N1240="Selling pet toys + Artificial grass/Pet toilets (TARGET)",15,IF(N1240="Selling artificial grass/pet toilets (TARGET)",10,IF(N1240="Selling pet toys",7,IF(N1240="There's an Amazon link, but no target sales.",3,0))))</f>
        <v/>
      </c>
      <c r="P1240" s="67">
        <f>H1240+J1240+L1240+M1240+O1240</f>
        <v/>
      </c>
      <c r="Q1240" s="68">
        <f>IF(OR(H1240=0,P1240&lt;30),"Tier D (Đóng băng)",IF(P1240&gt;=85,"Tier S (Kim Cương: 85-100đ)",IF(P1240&gt;=70,"Tier A (Vàng: 70-84đ)",IF(P1240&gt;=61,"Tier B+ / Cấp A (Hot Lead: 61-69đ)",IF(P1240&gt;=50,"Tier B (Bạc: 50-60đ)","Tier C (Đồng: 30-49đ)")))))</f>
        <v/>
      </c>
      <c r="R1240" s="9" t="inlineStr">
        <is>
          <t>Trọn gói Take-Home Starter Kit V2/V3 (Cỏ nhân tạo + Khay Potty + Đồ chơi Teething/Snuggle)</t>
        </is>
      </c>
      <c r="S1240" s="9" t="inlineStr">
        <is>
          <t>Đóng băng tương tác (&gt;30 ngày): Lưu trữ chờ kích hoạt lại, không tốn tài nguyên Sales</t>
        </is>
      </c>
    </row>
    <row r="1241">
      <c r="A1241" s="53" t="n">
        <v>2649</v>
      </c>
      <c r="B1241" s="12" t="inlineStr">
        <is>
          <t>Psyborders BorderCollie Kennel</t>
        </is>
      </c>
      <c r="C1241" s="54" t="inlineStr">
        <is>
          <t>https://www.facebook.com/psyborderskennel</t>
        </is>
      </c>
      <c r="D1241" s="6" t="inlineStr">
        <is>
          <t>Cần quét Bio Fanpage</t>
        </is>
      </c>
      <c r="E1241" s="53" t="inlineStr">
        <is>
          <t>16/08/2026 00:59:47</t>
        </is>
      </c>
      <c r="F1241" s="53" t="inlineStr">
        <is>
          <t>1 tháng trước</t>
        </is>
      </c>
      <c r="G1241" s="55" t="n">
        <v>30</v>
      </c>
      <c r="H1241" s="56" t="n">
        <v>0</v>
      </c>
      <c r="I1241" s="6" t="inlineStr">
        <is>
          <t>Dog Breeder / Trại chó chuyên nghiệp (28-30đ)</t>
        </is>
      </c>
      <c r="J1241" s="56" t="n">
        <v>30</v>
      </c>
      <c r="K1241" s="6" t="inlineStr">
        <is>
          <t>Australian Shepherd / Herding</t>
        </is>
      </c>
      <c r="L1241" s="56" t="n">
        <v>5</v>
      </c>
      <c r="M1241" s="56" t="n">
        <v>5</v>
      </c>
      <c r="N1241" s="6" t="inlineStr">
        <is>
          <t>Amazon link not found</t>
        </is>
      </c>
      <c r="O1241" s="56">
        <f>IF(N1241="Selling pet toys + Artificial grass/Pet toilets (TARGET)",15,IF(N1241="Selling artificial grass/pet toilets (TARGET)",10,IF(N1241="Selling pet toys",7,IF(N1241="There's an Amazon link, but no target sales.",3,0))))</f>
        <v/>
      </c>
      <c r="P1241" s="65">
        <f>H1241+J1241+L1241+M1241+O1241</f>
        <v/>
      </c>
      <c r="Q1241" s="68">
        <f>IF(OR(H1241=0,P1241&lt;30),"Tier D (Đóng băng)",IF(P1241&gt;=85,"Tier S (Kim Cương: 85-100đ)",IF(P1241&gt;=70,"Tier A (Vàng: 70-84đ)",IF(P1241&gt;=61,"Tier B+ / Cấp A (Hot Lead: 61-69đ)",IF(P1241&gt;=50,"Tier B (Bạc: 50-60đ)","Tier C (Đồng: 30-49đ)")))))</f>
        <v/>
      </c>
      <c r="R1241" s="6" t="inlineStr">
        <is>
          <t>Trọn gói Take-Home Starter Kit V2/V3 (Cỏ nhân tạo + Khay Potty + Đồ chơi Teething/Snuggle)</t>
        </is>
      </c>
      <c r="S1241" s="6" t="inlineStr">
        <is>
          <t>Đóng băng tương tác (&gt;30 ngày): Lưu trữ chờ kích hoạt lại, không tốn tài nguyên Sales</t>
        </is>
      </c>
    </row>
    <row r="1242">
      <c r="A1242" s="59" t="n">
        <v>1334</v>
      </c>
      <c r="B1242" s="15" t="inlineStr">
        <is>
          <t>Farm Hounds Treats</t>
        </is>
      </c>
      <c r="C1242" s="60" t="inlineStr">
        <is>
          <t>https://www.facebook.com/farmhoundstreats</t>
        </is>
      </c>
      <c r="D1242" s="9" t="inlineStr">
        <is>
          <t>Cần quét Bio Fanpage</t>
        </is>
      </c>
      <c r="E1242" s="59" t="inlineStr">
        <is>
          <t>07/08/2026 04:05:15</t>
        </is>
      </c>
      <c r="F1242" s="59" t="inlineStr">
        <is>
          <t>2 tháng trước</t>
        </is>
      </c>
      <c r="G1242" s="61" t="n">
        <v>60</v>
      </c>
      <c r="H1242" s="62" t="n">
        <v>0</v>
      </c>
      <c r="I1242" s="9" t="inlineStr">
        <is>
          <t>Dog Breeder / Trại chó chuyên nghiệp (28-30đ)</t>
        </is>
      </c>
      <c r="J1242" s="62" t="n">
        <v>30</v>
      </c>
      <c r="K1242" s="9" t="inlineStr">
        <is>
          <t>Hound / Beagle / Basset</t>
        </is>
      </c>
      <c r="L1242" s="62" t="n">
        <v>5</v>
      </c>
      <c r="M1242" s="62" t="n">
        <v>5</v>
      </c>
      <c r="N1242" s="9" t="inlineStr">
        <is>
          <t>Amazon link not found</t>
        </is>
      </c>
      <c r="O1242" s="62">
        <f>IF(N1242="Selling pet toys + Artificial grass/Pet toilets (TARGET)",15,IF(N1242="Selling artificial grass/pet toilets (TARGET)",10,IF(N1242="Selling pet toys",7,IF(N1242="There's an Amazon link, but no target sales.",3,0))))</f>
        <v/>
      </c>
      <c r="P1242" s="67">
        <f>H1242+J1242+L1242+M1242+O1242</f>
        <v/>
      </c>
      <c r="Q1242" s="68">
        <f>IF(OR(H1242=0,P1242&lt;30),"Tier D (Đóng băng)",IF(P1242&gt;=85,"Tier S (Kim Cương: 85-100đ)",IF(P1242&gt;=70,"Tier A (Vàng: 70-84đ)",IF(P1242&gt;=61,"Tier B+ / Cấp A (Hot Lead: 61-69đ)",IF(P1242&gt;=50,"Tier B (Bạc: 50-60đ)","Tier C (Đồng: 30-49đ)")))))</f>
        <v/>
      </c>
      <c r="R1242" s="9" t="inlineStr">
        <is>
          <t>Trọn gói Take-Home Starter Kit V2/V3 (Cỏ nhân tạo + Khay Potty + Đồ chơi Teething/Snuggle)</t>
        </is>
      </c>
      <c r="S1242" s="9" t="inlineStr">
        <is>
          <t>Đóng băng tương tác (&gt;30 ngày): Lưu trữ chờ kích hoạt lại, không tốn tài nguyên Sales</t>
        </is>
      </c>
    </row>
    <row r="1243">
      <c r="A1243" s="53" t="n">
        <v>709</v>
      </c>
      <c r="B1243" s="12" t="inlineStr">
        <is>
          <t>Blue Wolf Kennel</t>
        </is>
      </c>
      <c r="C1243" s="54" t="inlineStr">
        <is>
          <t>https://www.facebook.com/bluewolfcollies</t>
        </is>
      </c>
      <c r="D1243" s="6" t="inlineStr">
        <is>
          <t>Cần quét Bio Fanpage</t>
        </is>
      </c>
      <c r="E1243" s="53" t="inlineStr">
        <is>
          <t>29/07/2026 04:58:37</t>
        </is>
      </c>
      <c r="F1243" s="53" t="inlineStr">
        <is>
          <t>2 tháng trước</t>
        </is>
      </c>
      <c r="G1243" s="55" t="n">
        <v>60</v>
      </c>
      <c r="H1243" s="56" t="n">
        <v>0</v>
      </c>
      <c r="I1243" s="6" t="inlineStr">
        <is>
          <t>Dog Breeder / Trại chó chuyên nghiệp (28-30đ)</t>
        </is>
      </c>
      <c r="J1243" s="56" t="n">
        <v>30</v>
      </c>
      <c r="K1243" s="6" t="inlineStr">
        <is>
          <t>Australian Shepherd / Herding</t>
        </is>
      </c>
      <c r="L1243" s="56" t="n">
        <v>5</v>
      </c>
      <c r="M1243" s="56" t="n">
        <v>5</v>
      </c>
      <c r="N1243" s="6" t="inlineStr">
        <is>
          <t>Amazon link not found</t>
        </is>
      </c>
      <c r="O1243" s="56">
        <f>IF(N1243="Selling pet toys + Artificial grass/Pet toilets (TARGET)",15,IF(N1243="Selling artificial grass/pet toilets (TARGET)",10,IF(N1243="Selling pet toys",7,IF(N1243="There's an Amazon link, but no target sales.",3,0))))</f>
        <v/>
      </c>
      <c r="P1243" s="65">
        <f>H1243+J1243+L1243+M1243+O1243</f>
        <v/>
      </c>
      <c r="Q1243" s="68">
        <f>IF(OR(H1243=0,P1243&lt;30),"Tier D (Đóng băng)",IF(P1243&gt;=85,"Tier S (Kim Cương: 85-100đ)",IF(P1243&gt;=70,"Tier A (Vàng: 70-84đ)",IF(P1243&gt;=61,"Tier B+ / Cấp A (Hot Lead: 61-69đ)",IF(P1243&gt;=50,"Tier B (Bạc: 50-60đ)","Tier C (Đồng: 30-49đ)")))))</f>
        <v/>
      </c>
      <c r="R1243" s="6" t="inlineStr">
        <is>
          <t>Trọn gói Take-Home Starter Kit V2/V3 (Cỏ nhân tạo + Khay Potty + Đồ chơi Teething/Snuggle)</t>
        </is>
      </c>
      <c r="S1243" s="6" t="inlineStr">
        <is>
          <t>Đóng băng tương tác (&gt;30 ngày): Lưu trữ chờ kích hoạt lại, không tốn tài nguyên Sales</t>
        </is>
      </c>
    </row>
    <row r="1244">
      <c r="A1244" s="59" t="n">
        <v>1876</v>
      </c>
      <c r="B1244" s="15" t="inlineStr">
        <is>
          <t>Kennel Cockergold</t>
        </is>
      </c>
      <c r="C1244" s="60" t="inlineStr">
        <is>
          <t>https://www.facebook.com/kennelcockergold</t>
        </is>
      </c>
      <c r="D1244" s="9" t="inlineStr">
        <is>
          <t>Cần quét Bio Fanpage</t>
        </is>
      </c>
      <c r="E1244" s="59" t="inlineStr">
        <is>
          <t>17/07/2026 03:05:28</t>
        </is>
      </c>
      <c r="F1244" s="59" t="inlineStr">
        <is>
          <t>2 tháng trước</t>
        </is>
      </c>
      <c r="G1244" s="61" t="n">
        <v>60</v>
      </c>
      <c r="H1244" s="62" t="n">
        <v>0</v>
      </c>
      <c r="I1244" s="9" t="inlineStr">
        <is>
          <t>Dog Breeder / Trại chó chuyên nghiệp (28-30đ)</t>
        </is>
      </c>
      <c r="J1244" s="62" t="n">
        <v>30</v>
      </c>
      <c r="K1244" s="9" t="inlineStr">
        <is>
          <t>Spaniel / Gun Dog / Retriever</t>
        </is>
      </c>
      <c r="L1244" s="62" t="n">
        <v>5</v>
      </c>
      <c r="M1244" s="62" t="n">
        <v>5</v>
      </c>
      <c r="N1244" s="9" t="inlineStr">
        <is>
          <t>Amazon link not found</t>
        </is>
      </c>
      <c r="O1244" s="62">
        <f>IF(N1244="Selling pet toys + Artificial grass/Pet toilets (TARGET)",15,IF(N1244="Selling artificial grass/pet toilets (TARGET)",10,IF(N1244="Selling pet toys",7,IF(N1244="There's an Amazon link, but no target sales.",3,0))))</f>
        <v/>
      </c>
      <c r="P1244" s="67">
        <f>H1244+J1244+L1244+M1244+O1244</f>
        <v/>
      </c>
      <c r="Q1244" s="68">
        <f>IF(OR(H1244=0,P1244&lt;30),"Tier D (Đóng băng)",IF(P1244&gt;=85,"Tier S (Kim Cương: 85-100đ)",IF(P1244&gt;=70,"Tier A (Vàng: 70-84đ)",IF(P1244&gt;=61,"Tier B+ / Cấp A (Hot Lead: 61-69đ)",IF(P1244&gt;=50,"Tier B (Bạc: 50-60đ)","Tier C (Đồng: 30-49đ)")))))</f>
        <v/>
      </c>
      <c r="R1244" s="9" t="inlineStr">
        <is>
          <t>Trọn gói Take-Home Starter Kit V2/V3 (Cỏ nhân tạo + Khay Potty + Đồ chơi Teething/Snuggle)</t>
        </is>
      </c>
      <c r="S1244" s="9" t="inlineStr">
        <is>
          <t>Đóng băng tương tác (&gt;30 ngày): Lưu trữ chờ kích hoạt lại, không tốn tài nguyên Sales</t>
        </is>
      </c>
    </row>
    <row r="1245">
      <c r="A1245" s="53" t="n">
        <v>3044</v>
      </c>
      <c r="B1245" s="12" t="inlineStr">
        <is>
          <t>Swiss Berner Bears Bernese Mountain Dog Puppies</t>
        </is>
      </c>
      <c r="C1245" s="54" t="inlineStr">
        <is>
          <t>https://www.facebook.com/TxBerneseMountainDogs</t>
        </is>
      </c>
      <c r="D1245" s="6" t="inlineStr">
        <is>
          <t>Cần quét Bio Fanpage</t>
        </is>
      </c>
      <c r="E1245" s="53" t="inlineStr">
        <is>
          <t>17/07/2026 02:08:44</t>
        </is>
      </c>
      <c r="F1245" s="53" t="inlineStr">
        <is>
          <t>2 tháng trước</t>
        </is>
      </c>
      <c r="G1245" s="55" t="n">
        <v>60</v>
      </c>
      <c r="H1245" s="56" t="n">
        <v>0</v>
      </c>
      <c r="I1245" s="6" t="inlineStr">
        <is>
          <t>Dog Breeder / Trại chó chuyên nghiệp (28-30đ)</t>
        </is>
      </c>
      <c r="J1245" s="56" t="n">
        <v>30</v>
      </c>
      <c r="K1245" s="6" t="inlineStr">
        <is>
          <t>Bernese Mountain Dog</t>
        </is>
      </c>
      <c r="L1245" s="56" t="n">
        <v>5</v>
      </c>
      <c r="M1245" s="56" t="n">
        <v>5</v>
      </c>
      <c r="N1245" s="6" t="inlineStr">
        <is>
          <t>Amazon link not found</t>
        </is>
      </c>
      <c r="O1245" s="56">
        <f>IF(N1245="Selling pet toys + Artificial grass/Pet toilets (TARGET)",15,IF(N1245="Selling artificial grass/pet toilets (TARGET)",10,IF(N1245="Selling pet toys",7,IF(N1245="There's an Amazon link, but no target sales.",3,0))))</f>
        <v/>
      </c>
      <c r="P1245" s="65">
        <f>H1245+J1245+L1245+M1245+O1245</f>
        <v/>
      </c>
      <c r="Q1245" s="68">
        <f>IF(OR(H1245=0,P1245&lt;30),"Tier D (Đóng băng)",IF(P1245&gt;=85,"Tier S (Kim Cương: 85-100đ)",IF(P1245&gt;=70,"Tier A (Vàng: 70-84đ)",IF(P1245&gt;=61,"Tier B+ / Cấp A (Hot Lead: 61-69đ)",IF(P1245&gt;=50,"Tier B (Bạc: 50-60đ)","Tier C (Đồng: 30-49đ)")))))</f>
        <v/>
      </c>
      <c r="R1245" s="6" t="inlineStr">
        <is>
          <t>Trọn gói Take-Home Starter Kit V2/V3 (Cỏ nhân tạo + Khay Potty + Đồ chơi Teething/Snuggle)</t>
        </is>
      </c>
      <c r="S1245" s="6" t="inlineStr">
        <is>
          <t>Đóng băng tương tác (&gt;30 ngày): Lưu trữ chờ kích hoạt lại, không tốn tài nguyên Sales</t>
        </is>
      </c>
    </row>
    <row r="1246">
      <c r="A1246" s="59" t="n">
        <v>2140</v>
      </c>
      <c r="B1246" s="15" t="inlineStr">
        <is>
          <t>Mayrose kennel</t>
        </is>
      </c>
      <c r="C1246" s="60" t="inlineStr">
        <is>
          <t>https://www.facebook.com/mayrosebordercollies</t>
        </is>
      </c>
      <c r="D1246" s="9" t="inlineStr">
        <is>
          <t>Cần quét Bio Fanpage</t>
        </is>
      </c>
      <c r="E1246" s="59" t="inlineStr">
        <is>
          <t>21/04/2026 06:31:54</t>
        </is>
      </c>
      <c r="F1246" s="59" t="inlineStr">
        <is>
          <t>5 tháng trước</t>
        </is>
      </c>
      <c r="G1246" s="61" t="n">
        <v>150</v>
      </c>
      <c r="H1246" s="62" t="n">
        <v>0</v>
      </c>
      <c r="I1246" s="9" t="inlineStr">
        <is>
          <t>Dog Breeder / Trại chó chuyên nghiệp (28-30đ)</t>
        </is>
      </c>
      <c r="J1246" s="62" t="n">
        <v>30</v>
      </c>
      <c r="K1246" s="9" t="inlineStr">
        <is>
          <t>Australian Shepherd / Herding</t>
        </is>
      </c>
      <c r="L1246" s="62" t="n">
        <v>5</v>
      </c>
      <c r="M1246" s="62" t="n">
        <v>5</v>
      </c>
      <c r="N1246" s="9" t="inlineStr">
        <is>
          <t>Amazon link not found</t>
        </is>
      </c>
      <c r="O1246" s="62">
        <f>IF(N1246="Selling pet toys + Artificial grass/Pet toilets (TARGET)",15,IF(N1246="Selling artificial grass/pet toilets (TARGET)",10,IF(N1246="Selling pet toys",7,IF(N1246="There's an Amazon link, but no target sales.",3,0))))</f>
        <v/>
      </c>
      <c r="P1246" s="67">
        <f>H1246+J1246+L1246+M1246+O1246</f>
        <v/>
      </c>
      <c r="Q1246" s="68">
        <f>IF(OR(H1246=0,P1246&lt;30),"Tier D (Đóng băng)",IF(P1246&gt;=85,"Tier S (Kim Cương: 85-100đ)",IF(P1246&gt;=70,"Tier A (Vàng: 70-84đ)",IF(P1246&gt;=61,"Tier B+ / Cấp A (Hot Lead: 61-69đ)",IF(P1246&gt;=50,"Tier B (Bạc: 50-60đ)","Tier C (Đồng: 30-49đ)")))))</f>
        <v/>
      </c>
      <c r="R1246" s="9" t="inlineStr">
        <is>
          <t>Trọn gói Take-Home Starter Kit V2/V3 (Cỏ nhân tạo + Khay Potty + Đồ chơi Teething/Snuggle)</t>
        </is>
      </c>
      <c r="S1246" s="9" t="inlineStr">
        <is>
          <t>Đóng băng tương tác (&gt;30 ngày): Lưu trữ chờ kích hoạt lại, không tốn tài nguyên Sales</t>
        </is>
      </c>
    </row>
    <row r="1247">
      <c r="A1247" s="53" t="n">
        <v>388</v>
      </c>
      <c r="B1247" s="12" t="inlineStr">
        <is>
          <t>Allis-Chalberg Basset Hounds and Farm</t>
        </is>
      </c>
      <c r="C1247" s="54" t="inlineStr">
        <is>
          <t>https://www.facebook.com/allischalberg2017</t>
        </is>
      </c>
      <c r="D1247" s="6" t="inlineStr">
        <is>
          <t>Cần quét Bio Fanpage</t>
        </is>
      </c>
      <c r="E1247" s="53" t="inlineStr">
        <is>
          <t>02/03/2026 19:28:11</t>
        </is>
      </c>
      <c r="F1247" s="53" t="inlineStr">
        <is>
          <t>7 tháng trước</t>
        </is>
      </c>
      <c r="G1247" s="55" t="n">
        <v>210</v>
      </c>
      <c r="H1247" s="56" t="n">
        <v>0</v>
      </c>
      <c r="I1247" s="6" t="inlineStr">
        <is>
          <t>Dog Breeder / Trại chó chuyên nghiệp (28-30đ)</t>
        </is>
      </c>
      <c r="J1247" s="56" t="n">
        <v>30</v>
      </c>
      <c r="K1247" s="6" t="inlineStr">
        <is>
          <t>Hound / Beagle / Basset</t>
        </is>
      </c>
      <c r="L1247" s="56" t="n">
        <v>5</v>
      </c>
      <c r="M1247" s="56" t="n">
        <v>5</v>
      </c>
      <c r="N1247" s="6" t="inlineStr">
        <is>
          <t>Amazon link not found</t>
        </is>
      </c>
      <c r="O1247" s="56">
        <f>IF(N1247="Selling pet toys + Artificial grass/Pet toilets (TARGET)",15,IF(N1247="Selling artificial grass/pet toilets (TARGET)",10,IF(N1247="Selling pet toys",7,IF(N1247="There's an Amazon link, but no target sales.",3,0))))</f>
        <v/>
      </c>
      <c r="P1247" s="65">
        <f>H1247+J1247+L1247+M1247+O1247</f>
        <v/>
      </c>
      <c r="Q1247" s="68">
        <f>IF(OR(H1247=0,P1247&lt;30),"Tier D (Đóng băng)",IF(P1247&gt;=85,"Tier S (Kim Cương: 85-100đ)",IF(P1247&gt;=70,"Tier A (Vàng: 70-84đ)",IF(P1247&gt;=61,"Tier B+ / Cấp A (Hot Lead: 61-69đ)",IF(P1247&gt;=50,"Tier B (Bạc: 50-60đ)","Tier C (Đồng: 30-49đ)")))))</f>
        <v/>
      </c>
      <c r="R1247" s="6" t="inlineStr">
        <is>
          <t>Trọn gói Take-Home Starter Kit V2/V3 (Cỏ nhân tạo + Khay Potty + Đồ chơi Teething/Snuggle)</t>
        </is>
      </c>
      <c r="S1247" s="6" t="inlineStr">
        <is>
          <t>Đóng băng tương tác (&gt;30 ngày): Lưu trữ chờ kích hoạt lại, không tốn tài nguyên Sales</t>
        </is>
      </c>
    </row>
    <row r="1248">
      <c r="A1248" s="59" t="n">
        <v>1744</v>
      </c>
      <c r="B1248" s="15" t="inlineStr">
        <is>
          <t>Iz zolotoy stepi, kennel. Jack Russell Terrier</t>
        </is>
      </c>
      <c r="C1248" s="60" t="inlineStr">
        <is>
          <t>https://www.facebook.com/profile.php?id=100056245995607</t>
        </is>
      </c>
      <c r="D1248" s="9" t="inlineStr">
        <is>
          <t>Cần quét Bio Fanpage</t>
        </is>
      </c>
      <c r="E1248" s="59" t="inlineStr">
        <is>
          <t>12/02/2026 16:42:20</t>
        </is>
      </c>
      <c r="F1248" s="59" t="inlineStr">
        <is>
          <t>8 tháng trước</t>
        </is>
      </c>
      <c r="G1248" s="61" t="n">
        <v>240</v>
      </c>
      <c r="H1248" s="62" t="n">
        <v>0</v>
      </c>
      <c r="I1248" s="9" t="inlineStr">
        <is>
          <t>Dog Breeder / Trại chó chuyên nghiệp (28-30đ)</t>
        </is>
      </c>
      <c r="J1248" s="62" t="n">
        <v>30</v>
      </c>
      <c r="K1248" s="9" t="inlineStr">
        <is>
          <t>Terrier (Jack Russell/Yorkie/Boston/Staffy)</t>
        </is>
      </c>
      <c r="L1248" s="62" t="n">
        <v>5</v>
      </c>
      <c r="M1248" s="62" t="n">
        <v>5</v>
      </c>
      <c r="N1248" s="9" t="inlineStr">
        <is>
          <t>Amazon link not found</t>
        </is>
      </c>
      <c r="O1248" s="62">
        <f>IF(N1248="Selling pet toys + Artificial grass/Pet toilets (TARGET)",15,IF(N1248="Selling artificial grass/pet toilets (TARGET)",10,IF(N1248="Selling pet toys",7,IF(N1248="There's an Amazon link, but no target sales.",3,0))))</f>
        <v/>
      </c>
      <c r="P1248" s="67">
        <f>H1248+J1248+L1248+M1248+O1248</f>
        <v/>
      </c>
      <c r="Q1248" s="68">
        <f>IF(OR(H1248=0,P1248&lt;30),"Tier D (Đóng băng)",IF(P1248&gt;=85,"Tier S (Kim Cương: 85-100đ)",IF(P1248&gt;=70,"Tier A (Vàng: 70-84đ)",IF(P1248&gt;=61,"Tier B+ / Cấp A (Hot Lead: 61-69đ)",IF(P1248&gt;=50,"Tier B (Bạc: 50-60đ)","Tier C (Đồng: 30-49đ)")))))</f>
        <v/>
      </c>
      <c r="R1248" s="9" t="inlineStr">
        <is>
          <t>Trọn gói Take-Home Starter Kit V2/V3 (Cỏ nhân tạo + Khay Potty + Đồ chơi Teething/Snuggle)</t>
        </is>
      </c>
      <c r="S1248" s="9" t="inlineStr">
        <is>
          <t>Đóng băng tương tác (&gt;30 ngày): Lưu trữ chờ kích hoạt lại, không tốn tài nguyên Sales</t>
        </is>
      </c>
    </row>
    <row r="1249">
      <c r="A1249" s="53" t="n">
        <v>945</v>
      </c>
      <c r="B1249" s="12" t="inlineStr">
        <is>
          <t>Corso Imperium Kennel</t>
        </is>
      </c>
      <c r="C1249" s="54" t="inlineStr">
        <is>
          <t>https://www.facebook.com/corsoimperiumkennel</t>
        </is>
      </c>
      <c r="D1249" s="6" t="inlineStr">
        <is>
          <t>Cần quét Bio Fanpage</t>
        </is>
      </c>
      <c r="E1249" s="53" t="inlineStr">
        <is>
          <t>03/02/2026 06:41:12</t>
        </is>
      </c>
      <c r="F1249" s="53" t="inlineStr">
        <is>
          <t>8 tháng trước</t>
        </is>
      </c>
      <c r="G1249" s="55" t="n">
        <v>240</v>
      </c>
      <c r="H1249" s="56" t="n">
        <v>0</v>
      </c>
      <c r="I1249" s="6" t="inlineStr">
        <is>
          <t>Dog Breeder / Trại chó chuyên nghiệp (28-30đ)</t>
        </is>
      </c>
      <c r="J1249" s="56" t="n">
        <v>30</v>
      </c>
      <c r="K1249" s="6" t="inlineStr">
        <is>
          <t>Cane Corso / Mastiff</t>
        </is>
      </c>
      <c r="L1249" s="56" t="n">
        <v>5</v>
      </c>
      <c r="M1249" s="56" t="n">
        <v>5</v>
      </c>
      <c r="N1249" s="6" t="inlineStr">
        <is>
          <t>Amazon link not found</t>
        </is>
      </c>
      <c r="O1249" s="56">
        <f>IF(N1249="Selling pet toys + Artificial grass/Pet toilets (TARGET)",15,IF(N1249="Selling artificial grass/pet toilets (TARGET)",10,IF(N1249="Selling pet toys",7,IF(N1249="There's an Amazon link, but no target sales.",3,0))))</f>
        <v/>
      </c>
      <c r="P1249" s="65">
        <f>H1249+J1249+L1249+M1249+O1249</f>
        <v/>
      </c>
      <c r="Q1249" s="68">
        <f>IF(OR(H1249=0,P1249&lt;30),"Tier D (Đóng băng)",IF(P1249&gt;=85,"Tier S (Kim Cương: 85-100đ)",IF(P1249&gt;=70,"Tier A (Vàng: 70-84đ)",IF(P1249&gt;=61,"Tier B+ / Cấp A (Hot Lead: 61-69đ)",IF(P1249&gt;=50,"Tier B (Bạc: 50-60đ)","Tier C (Đồng: 30-49đ)")))))</f>
        <v/>
      </c>
      <c r="R1249" s="6" t="inlineStr">
        <is>
          <t>Trọn gói Take-Home Starter Kit V2/V3 (Cỏ nhân tạo + Khay Potty + Đồ chơi Teething/Snuggle)</t>
        </is>
      </c>
      <c r="S1249" s="6" t="inlineStr">
        <is>
          <t>Đóng băng tương tác (&gt;30 ngày): Lưu trữ chờ kích hoạt lại, không tốn tài nguyên Sales</t>
        </is>
      </c>
    </row>
    <row r="1250">
      <c r="A1250" s="59" t="n">
        <v>2199</v>
      </c>
      <c r="B1250" s="15" t="inlineStr">
        <is>
          <t>Mixed Signals Farm Clumber Spaniels</t>
        </is>
      </c>
      <c r="C1250" s="60" t="inlineStr">
        <is>
          <t>https://www.facebook.com/profile.php?id=100083675605544</t>
        </is>
      </c>
      <c r="D1250" s="9" t="inlineStr">
        <is>
          <t>Cần quét Bio Fanpage</t>
        </is>
      </c>
      <c r="E1250" s="59" t="inlineStr">
        <is>
          <t>28/01/2026 06:10:31</t>
        </is>
      </c>
      <c r="F1250" s="59" t="inlineStr">
        <is>
          <t>8 tháng trước</t>
        </is>
      </c>
      <c r="G1250" s="61" t="n">
        <v>240</v>
      </c>
      <c r="H1250" s="62" t="n">
        <v>0</v>
      </c>
      <c r="I1250" s="9" t="inlineStr">
        <is>
          <t>Dog Breeder / Trại chó chuyên nghiệp (28-30đ)</t>
        </is>
      </c>
      <c r="J1250" s="62" t="n">
        <v>30</v>
      </c>
      <c r="K1250" s="9" t="inlineStr">
        <is>
          <t>Spaniel / Gun Dog / Retriever</t>
        </is>
      </c>
      <c r="L1250" s="62" t="n">
        <v>5</v>
      </c>
      <c r="M1250" s="62" t="n">
        <v>5</v>
      </c>
      <c r="N1250" s="9" t="inlineStr">
        <is>
          <t>Amazon link not found</t>
        </is>
      </c>
      <c r="O1250" s="62">
        <f>IF(N1250="Selling pet toys + Artificial grass/Pet toilets (TARGET)",15,IF(N1250="Selling artificial grass/pet toilets (TARGET)",10,IF(N1250="Selling pet toys",7,IF(N1250="There's an Amazon link, but no target sales.",3,0))))</f>
        <v/>
      </c>
      <c r="P1250" s="67">
        <f>H1250+J1250+L1250+M1250+O1250</f>
        <v/>
      </c>
      <c r="Q1250" s="68">
        <f>IF(OR(H1250=0,P1250&lt;30),"Tier D (Đóng băng)",IF(P1250&gt;=85,"Tier S (Kim Cương: 85-100đ)",IF(P1250&gt;=70,"Tier A (Vàng: 70-84đ)",IF(P1250&gt;=61,"Tier B+ / Cấp A (Hot Lead: 61-69đ)",IF(P1250&gt;=50,"Tier B (Bạc: 50-60đ)","Tier C (Đồng: 30-49đ)")))))</f>
        <v/>
      </c>
      <c r="R1250" s="9" t="inlineStr">
        <is>
          <t>Trọn gói Take-Home Starter Kit V2/V3 (Cỏ nhân tạo + Khay Potty + Đồ chơi Teething/Snuggle)</t>
        </is>
      </c>
      <c r="S1250" s="9" t="inlineStr">
        <is>
          <t>Đóng băng tương tác (&gt;30 ngày): Lưu trữ chờ kích hoạt lại, không tốn tài nguyên Sales</t>
        </is>
      </c>
    </row>
    <row r="1251">
      <c r="A1251" s="53" t="n">
        <v>1847</v>
      </c>
      <c r="B1251" s="12" t="inlineStr">
        <is>
          <t>KART's Boxer Kennels</t>
        </is>
      </c>
      <c r="C1251" s="54" t="inlineStr">
        <is>
          <t>https://www.facebook.com/kartskennels</t>
        </is>
      </c>
      <c r="D1251" s="6" t="inlineStr">
        <is>
          <t>Cần quét Bio Fanpage</t>
        </is>
      </c>
      <c r="E1251" s="53" t="inlineStr">
        <is>
          <t>04/11/2025 03:10:02</t>
        </is>
      </c>
      <c r="F1251" s="53" t="inlineStr">
        <is>
          <t>11 tháng trước</t>
        </is>
      </c>
      <c r="G1251" s="55" t="n">
        <v>330</v>
      </c>
      <c r="H1251" s="56" t="n">
        <v>0</v>
      </c>
      <c r="I1251" s="6" t="inlineStr">
        <is>
          <t>Dog Breeder / Trại chó chuyên nghiệp (28-30đ)</t>
        </is>
      </c>
      <c r="J1251" s="56" t="n">
        <v>30</v>
      </c>
      <c r="K1251" s="6" t="inlineStr">
        <is>
          <t>Great Dane / Working Giant</t>
        </is>
      </c>
      <c r="L1251" s="56" t="n">
        <v>5</v>
      </c>
      <c r="M1251" s="56" t="n">
        <v>5</v>
      </c>
      <c r="N1251" s="6" t="inlineStr">
        <is>
          <t>Amazon link not found</t>
        </is>
      </c>
      <c r="O1251" s="56">
        <f>IF(N1251="Selling pet toys + Artificial grass/Pet toilets (TARGET)",15,IF(N1251="Selling artificial grass/pet toilets (TARGET)",10,IF(N1251="Selling pet toys",7,IF(N1251="There's an Amazon link, but no target sales.",3,0))))</f>
        <v/>
      </c>
      <c r="P1251" s="65">
        <f>H1251+J1251+L1251+M1251+O1251</f>
        <v/>
      </c>
      <c r="Q1251" s="68">
        <f>IF(OR(H1251=0,P1251&lt;30),"Tier D (Đóng băng)",IF(P1251&gt;=85,"Tier S (Kim Cương: 85-100đ)",IF(P1251&gt;=70,"Tier A (Vàng: 70-84đ)",IF(P1251&gt;=61,"Tier B+ / Cấp A (Hot Lead: 61-69đ)",IF(P1251&gt;=50,"Tier B (Bạc: 50-60đ)","Tier C (Đồng: 30-49đ)")))))</f>
        <v/>
      </c>
      <c r="R1251" s="6" t="inlineStr">
        <is>
          <t>Trọn gói Take-Home Starter Kit V2/V3 (Cỏ nhân tạo + Khay Potty + Đồ chơi Teething/Snuggle)</t>
        </is>
      </c>
      <c r="S1251" s="6" t="inlineStr">
        <is>
          <t>Đóng băng tương tác (&gt;30 ngày): Lưu trữ chờ kích hoạt lại, không tốn tài nguyên Sales</t>
        </is>
      </c>
    </row>
    <row r="1252">
      <c r="A1252" s="59" t="n">
        <v>1703</v>
      </c>
      <c r="B1252" s="15" t="inlineStr">
        <is>
          <t>Husky puppies Wood Mark</t>
        </is>
      </c>
      <c r="C1252" s="60" t="inlineStr">
        <is>
          <t>https://www.facebook.com/HuskyWoodmark</t>
        </is>
      </c>
      <c r="D1252" s="9" t="inlineStr">
        <is>
          <t>Cần quét Bio Fanpage</t>
        </is>
      </c>
      <c r="E1252" s="59" t="inlineStr">
        <is>
          <t>11/08/2025 19:15:51</t>
        </is>
      </c>
      <c r="F1252" s="59" t="inlineStr">
        <is>
          <t>1 năm trước</t>
        </is>
      </c>
      <c r="G1252" s="61" t="n">
        <v>365</v>
      </c>
      <c r="H1252" s="62" t="n">
        <v>0</v>
      </c>
      <c r="I1252" s="9" t="inlineStr">
        <is>
          <t>Dog Breeder / Trại chó chuyên nghiệp (28-30đ)</t>
        </is>
      </c>
      <c r="J1252" s="62" t="n">
        <v>30</v>
      </c>
      <c r="K1252" s="9" t="inlineStr">
        <is>
          <t>Husky / Malamute / Samoyed / Spitz</t>
        </is>
      </c>
      <c r="L1252" s="62" t="n">
        <v>5</v>
      </c>
      <c r="M1252" s="62" t="n">
        <v>5</v>
      </c>
      <c r="N1252" s="9" t="inlineStr">
        <is>
          <t>Amazon link not found</t>
        </is>
      </c>
      <c r="O1252" s="62">
        <f>IF(N1252="Selling pet toys + Artificial grass/Pet toilets (TARGET)",15,IF(N1252="Selling artificial grass/pet toilets (TARGET)",10,IF(N1252="Selling pet toys",7,IF(N1252="There's an Amazon link, but no target sales.",3,0))))</f>
        <v/>
      </c>
      <c r="P1252" s="67">
        <f>H1252+J1252+L1252+M1252+O1252</f>
        <v/>
      </c>
      <c r="Q1252" s="68">
        <f>IF(OR(H1252=0,P1252&lt;30),"Tier D (Đóng băng)",IF(P1252&gt;=85,"Tier S (Kim Cương: 85-100đ)",IF(P1252&gt;=70,"Tier A (Vàng: 70-84đ)",IF(P1252&gt;=61,"Tier B+ / Cấp A (Hot Lead: 61-69đ)",IF(P1252&gt;=50,"Tier B (Bạc: 50-60đ)","Tier C (Đồng: 30-49đ)")))))</f>
        <v/>
      </c>
      <c r="R1252" s="9" t="inlineStr">
        <is>
          <t>Trọn gói Take-Home Starter Kit V2/V3 (Cỏ nhân tạo + Khay Potty + Đồ chơi Teething/Snuggle)</t>
        </is>
      </c>
      <c r="S1252" s="9" t="inlineStr">
        <is>
          <t>Đóng băng tương tác (&gt;30 ngày): Lưu trữ chờ kích hoạt lại, không tốn tài nguyên Sales</t>
        </is>
      </c>
    </row>
    <row r="1253">
      <c r="A1253" s="53" t="n">
        <v>2111</v>
      </c>
      <c r="B1253" s="12" t="inlineStr">
        <is>
          <t>Maltipoo - Teacup Puppies Of All Colors NO SCAM ZONE</t>
        </is>
      </c>
      <c r="C1253" s="54" t="inlineStr">
        <is>
          <t>https://www.facebook.com/maltipoopuppiesofallcolors</t>
        </is>
      </c>
      <c r="D1253" s="6" t="inlineStr">
        <is>
          <t>Cần quét Bio Fanpage</t>
        </is>
      </c>
      <c r="E1253" s="53" t="inlineStr">
        <is>
          <t>19/04/2025 04:15:28</t>
        </is>
      </c>
      <c r="F1253" s="53" t="inlineStr">
        <is>
          <t>1 năm trước</t>
        </is>
      </c>
      <c r="G1253" s="55" t="n">
        <v>365</v>
      </c>
      <c r="H1253" s="56" t="n">
        <v>0</v>
      </c>
      <c r="I1253" s="6" t="inlineStr">
        <is>
          <t>Dog Breeder / Trại chó chuyên nghiệp (28-30đ)</t>
        </is>
      </c>
      <c r="J1253" s="56" t="n">
        <v>30</v>
      </c>
      <c r="K1253" s="6" t="inlineStr">
        <is>
          <t>Poodle (Standard/Mini/Toy)</t>
        </is>
      </c>
      <c r="L1253" s="56" t="n">
        <v>5</v>
      </c>
      <c r="M1253" s="56" t="n">
        <v>5</v>
      </c>
      <c r="N1253" s="6" t="inlineStr">
        <is>
          <t>Amazon link not found</t>
        </is>
      </c>
      <c r="O1253" s="56">
        <f>IF(N1253="Selling pet toys + Artificial grass/Pet toilets (TARGET)",15,IF(N1253="Selling artificial grass/pet toilets (TARGET)",10,IF(N1253="Selling pet toys",7,IF(N1253="There's an Amazon link, but no target sales.",3,0))))</f>
        <v/>
      </c>
      <c r="P1253" s="65">
        <f>H1253+J1253+L1253+M1253+O1253</f>
        <v/>
      </c>
      <c r="Q1253" s="68">
        <f>IF(OR(H1253=0,P1253&lt;30),"Tier D (Đóng băng)",IF(P1253&gt;=85,"Tier S (Kim Cương: 85-100đ)",IF(P1253&gt;=70,"Tier A (Vàng: 70-84đ)",IF(P1253&gt;=61,"Tier B+ / Cấp A (Hot Lead: 61-69đ)",IF(P1253&gt;=50,"Tier B (Bạc: 50-60đ)","Tier C (Đồng: 30-49đ)")))))</f>
        <v/>
      </c>
      <c r="R1253" s="6" t="inlineStr">
        <is>
          <t>Trọn gói Take-Home Starter Kit V2/V3 (Cỏ nhân tạo + Khay Potty + Đồ chơi Teething/Snuggle)</t>
        </is>
      </c>
      <c r="S1253" s="6" t="inlineStr">
        <is>
          <t>Đóng băng tương tác (&gt;30 ngày): Lưu trữ chờ kích hoạt lại, không tốn tài nguyên Sales</t>
        </is>
      </c>
    </row>
    <row r="1254">
      <c r="A1254" s="59" t="n">
        <v>503</v>
      </c>
      <c r="B1254" s="15" t="inlineStr">
        <is>
          <t>Antiqua Fortis Cane Corso Kennel</t>
        </is>
      </c>
      <c r="C1254" s="60" t="inlineStr">
        <is>
          <t>https://www.facebook.com/profile.php?id=100067552450945</t>
        </is>
      </c>
      <c r="D1254" s="9" t="inlineStr">
        <is>
          <t>Cần quét Bio Fanpage</t>
        </is>
      </c>
      <c r="E1254" s="59" t="inlineStr">
        <is>
          <t>02/01/2025 21:11:04</t>
        </is>
      </c>
      <c r="F1254" s="59" t="inlineStr">
        <is>
          <t>1 năm trước</t>
        </is>
      </c>
      <c r="G1254" s="61" t="n">
        <v>365</v>
      </c>
      <c r="H1254" s="62" t="n">
        <v>0</v>
      </c>
      <c r="I1254" s="9" t="inlineStr">
        <is>
          <t>Dog Breeder / Trại chó chuyên nghiệp (28-30đ)</t>
        </is>
      </c>
      <c r="J1254" s="62" t="n">
        <v>30</v>
      </c>
      <c r="K1254" s="9" t="inlineStr">
        <is>
          <t>Cane Corso / Mastiff</t>
        </is>
      </c>
      <c r="L1254" s="62" t="n">
        <v>5</v>
      </c>
      <c r="M1254" s="62" t="n">
        <v>5</v>
      </c>
      <c r="N1254" s="9" t="inlineStr">
        <is>
          <t>Amazon link not found</t>
        </is>
      </c>
      <c r="O1254" s="62">
        <f>IF(N1254="Selling pet toys + Artificial grass/Pet toilets (TARGET)",15,IF(N1254="Selling artificial grass/pet toilets (TARGET)",10,IF(N1254="Selling pet toys",7,IF(N1254="There's an Amazon link, but no target sales.",3,0))))</f>
        <v/>
      </c>
      <c r="P1254" s="67">
        <f>H1254+J1254+L1254+M1254+O1254</f>
        <v/>
      </c>
      <c r="Q1254" s="68">
        <f>IF(OR(H1254=0,P1254&lt;30),"Tier D (Đóng băng)",IF(P1254&gt;=85,"Tier S (Kim Cương: 85-100đ)",IF(P1254&gt;=70,"Tier A (Vàng: 70-84đ)",IF(P1254&gt;=61,"Tier B+ / Cấp A (Hot Lead: 61-69đ)",IF(P1254&gt;=50,"Tier B (Bạc: 50-60đ)","Tier C (Đồng: 30-49đ)")))))</f>
        <v/>
      </c>
      <c r="R1254" s="9" t="inlineStr">
        <is>
          <t>Trọn gói Take-Home Starter Kit V2/V3 (Cỏ nhân tạo + Khay Potty + Đồ chơi Teething/Snuggle)</t>
        </is>
      </c>
      <c r="S1254" s="9" t="inlineStr">
        <is>
          <t>Đóng băng tương tác (&gt;30 ngày): Lưu trữ chờ kích hoạt lại, không tốn tài nguyên Sales</t>
        </is>
      </c>
    </row>
    <row r="1255">
      <c r="A1255" s="53" t="n">
        <v>3427</v>
      </c>
      <c r="B1255" s="12" t="inlineStr">
        <is>
          <t>Windy Hill Kennel - Schnoodles &amp; Schnauzers</t>
        </is>
      </c>
      <c r="C1255" s="54" t="inlineStr">
        <is>
          <t>https://www.facebook.com/profile.php?id=100068041147094</t>
        </is>
      </c>
      <c r="D1255" s="6" t="inlineStr">
        <is>
          <t>Cần quét Bio Fanpage</t>
        </is>
      </c>
      <c r="E1255" s="53" t="inlineStr">
        <is>
          <t>14/11/2024 02:47:40</t>
        </is>
      </c>
      <c r="F1255" s="53" t="inlineStr">
        <is>
          <t>1 năm trước</t>
        </is>
      </c>
      <c r="G1255" s="55" t="n">
        <v>365</v>
      </c>
      <c r="H1255" s="56" t="n">
        <v>0</v>
      </c>
      <c r="I1255" s="6" t="inlineStr">
        <is>
          <t>Dog Breeder / Trại chó chuyên nghiệp (28-30đ)</t>
        </is>
      </c>
      <c r="J1255" s="56" t="n">
        <v>30</v>
      </c>
      <c r="K1255" s="6" t="inlineStr">
        <is>
          <t>Great Dane / Working Giant</t>
        </is>
      </c>
      <c r="L1255" s="56" t="n">
        <v>5</v>
      </c>
      <c r="M1255" s="56" t="n">
        <v>5</v>
      </c>
      <c r="N1255" s="6" t="inlineStr">
        <is>
          <t>Amazon link not found</t>
        </is>
      </c>
      <c r="O1255" s="56">
        <f>IF(N1255="Selling pet toys + Artificial grass/Pet toilets (TARGET)",15,IF(N1255="Selling artificial grass/pet toilets (TARGET)",10,IF(N1255="Selling pet toys",7,IF(N1255="There's an Amazon link, but no target sales.",3,0))))</f>
        <v/>
      </c>
      <c r="P1255" s="65">
        <f>H1255+J1255+L1255+M1255+O1255</f>
        <v/>
      </c>
      <c r="Q1255" s="68">
        <f>IF(OR(H1255=0,P1255&lt;30),"Tier D (Đóng băng)",IF(P1255&gt;=85,"Tier S (Kim Cương: 85-100đ)",IF(P1255&gt;=70,"Tier A (Vàng: 70-84đ)",IF(P1255&gt;=61,"Tier B+ / Cấp A (Hot Lead: 61-69đ)",IF(P1255&gt;=50,"Tier B (Bạc: 50-60đ)","Tier C (Đồng: 30-49đ)")))))</f>
        <v/>
      </c>
      <c r="R1255" s="6" t="inlineStr">
        <is>
          <t>Trọn gói Take-Home Starter Kit V2/V3 (Cỏ nhân tạo + Khay Potty + Đồ chơi Teething/Snuggle)</t>
        </is>
      </c>
      <c r="S1255" s="6" t="inlineStr">
        <is>
          <t>Đóng băng tương tác (&gt;30 ngày): Lưu trữ chờ kích hoạt lại, không tốn tài nguyên Sales</t>
        </is>
      </c>
    </row>
    <row r="1256">
      <c r="A1256" s="59" t="n">
        <v>2206</v>
      </c>
      <c r="B1256" s="15" t="inlineStr">
        <is>
          <t>MontBright Bernese Mountain Dog Kennel</t>
        </is>
      </c>
      <c r="C1256" s="60" t="inlineStr">
        <is>
          <t>https://www.facebook.com/montbright.bernese</t>
        </is>
      </c>
      <c r="D1256" s="9" t="inlineStr">
        <is>
          <t>Cần quét Bio Fanpage</t>
        </is>
      </c>
      <c r="E1256" s="59" t="inlineStr">
        <is>
          <t>02/11/2024 17:49:09</t>
        </is>
      </c>
      <c r="F1256" s="59" t="inlineStr">
        <is>
          <t>1 năm trước</t>
        </is>
      </c>
      <c r="G1256" s="61" t="n">
        <v>365</v>
      </c>
      <c r="H1256" s="62" t="n">
        <v>0</v>
      </c>
      <c r="I1256" s="9" t="inlineStr">
        <is>
          <t>Dog Breeder / Trại chó chuyên nghiệp (28-30đ)</t>
        </is>
      </c>
      <c r="J1256" s="62" t="n">
        <v>30</v>
      </c>
      <c r="K1256" s="9" t="inlineStr">
        <is>
          <t>Bernese Mountain Dog</t>
        </is>
      </c>
      <c r="L1256" s="62" t="n">
        <v>5</v>
      </c>
      <c r="M1256" s="62" t="n">
        <v>5</v>
      </c>
      <c r="N1256" s="9" t="inlineStr">
        <is>
          <t>Amazon link not found</t>
        </is>
      </c>
      <c r="O1256" s="62">
        <f>IF(N1256="Selling pet toys + Artificial grass/Pet toilets (TARGET)",15,IF(N1256="Selling artificial grass/pet toilets (TARGET)",10,IF(N1256="Selling pet toys",7,IF(N1256="There's an Amazon link, but no target sales.",3,0))))</f>
        <v/>
      </c>
      <c r="P1256" s="67">
        <f>H1256+J1256+L1256+M1256+O1256</f>
        <v/>
      </c>
      <c r="Q1256" s="68">
        <f>IF(OR(H1256=0,P1256&lt;30),"Tier D (Đóng băng)",IF(P1256&gt;=85,"Tier S (Kim Cương: 85-100đ)",IF(P1256&gt;=70,"Tier A (Vàng: 70-84đ)",IF(P1256&gt;=61,"Tier B+ / Cấp A (Hot Lead: 61-69đ)",IF(P1256&gt;=50,"Tier B (Bạc: 50-60đ)","Tier C (Đồng: 30-49đ)")))))</f>
        <v/>
      </c>
      <c r="R1256" s="9" t="inlineStr">
        <is>
          <t>Trọn gói Take-Home Starter Kit V2/V3 (Cỏ nhân tạo + Khay Potty + Đồ chơi Teething/Snuggle)</t>
        </is>
      </c>
      <c r="S1256" s="9" t="inlineStr">
        <is>
          <t>Đóng băng tương tác (&gt;30 ngày): Lưu trữ chờ kích hoạt lại, không tốn tài nguyên Sales</t>
        </is>
      </c>
    </row>
    <row r="1257">
      <c r="A1257" s="53" t="n">
        <v>2596</v>
      </c>
      <c r="B1257" s="12" t="inlineStr">
        <is>
          <t>Pomeranian from kennel "Iz Vestlandii"</t>
        </is>
      </c>
      <c r="C1257" s="54" t="inlineStr">
        <is>
          <t>https://www.facebook.com/VivaVestlandia</t>
        </is>
      </c>
      <c r="D1257" s="6" t="inlineStr">
        <is>
          <t>Cần quét Bio Fanpage</t>
        </is>
      </c>
      <c r="E1257" s="53" t="inlineStr">
        <is>
          <t>02/11/2024 16:27:33</t>
        </is>
      </c>
      <c r="F1257" s="53" t="inlineStr">
        <is>
          <t>1 năm trước</t>
        </is>
      </c>
      <c r="G1257" s="55" t="n">
        <v>365</v>
      </c>
      <c r="H1257" s="56" t="n">
        <v>0</v>
      </c>
      <c r="I1257" s="6" t="inlineStr">
        <is>
          <t>Dog Breeder / Trại chó chuyên nghiệp (28-30đ)</t>
        </is>
      </c>
      <c r="J1257" s="56" t="n">
        <v>30</v>
      </c>
      <c r="K1257" s="6" t="inlineStr">
        <is>
          <t>Husky / Malamute / Samoyed / Spitz</t>
        </is>
      </c>
      <c r="L1257" s="56" t="n">
        <v>5</v>
      </c>
      <c r="M1257" s="56" t="n">
        <v>5</v>
      </c>
      <c r="N1257" s="6" t="inlineStr">
        <is>
          <t>Amazon link not found</t>
        </is>
      </c>
      <c r="O1257" s="56">
        <f>IF(N1257="Selling pet toys + Artificial grass/Pet toilets (TARGET)",15,IF(N1257="Selling artificial grass/pet toilets (TARGET)",10,IF(N1257="Selling pet toys",7,IF(N1257="There's an Amazon link, but no target sales.",3,0))))</f>
        <v/>
      </c>
      <c r="P1257" s="65">
        <f>H1257+J1257+L1257+M1257+O1257</f>
        <v/>
      </c>
      <c r="Q1257" s="68">
        <f>IF(OR(H1257=0,P1257&lt;30),"Tier D (Đóng băng)",IF(P1257&gt;=85,"Tier S (Kim Cương: 85-100đ)",IF(P1257&gt;=70,"Tier A (Vàng: 70-84đ)",IF(P1257&gt;=61,"Tier B+ / Cấp A (Hot Lead: 61-69đ)",IF(P1257&gt;=50,"Tier B (Bạc: 50-60đ)","Tier C (Đồng: 30-49đ)")))))</f>
        <v/>
      </c>
      <c r="R1257" s="6" t="inlineStr">
        <is>
          <t>Trọn gói Take-Home Starter Kit V2/V3 (Cỏ nhân tạo + Khay Potty + Đồ chơi Teething/Snuggle)</t>
        </is>
      </c>
      <c r="S1257" s="6" t="inlineStr">
        <is>
          <t>Đóng băng tương tác (&gt;30 ngày): Lưu trữ chờ kích hoạt lại, không tốn tài nguyên Sales</t>
        </is>
      </c>
    </row>
    <row r="1258">
      <c r="A1258" s="59" t="n">
        <v>3230</v>
      </c>
      <c r="B1258" s="15" t="inlineStr">
        <is>
          <t>Treece Farms Bassets</t>
        </is>
      </c>
      <c r="C1258" s="60" t="inlineStr">
        <is>
          <t>https://www.facebook.com/treecefarmsbassets</t>
        </is>
      </c>
      <c r="D1258" s="9" t="inlineStr">
        <is>
          <t>Cần quét Bio Fanpage</t>
        </is>
      </c>
      <c r="E1258" s="59" t="inlineStr">
        <is>
          <t>17/10/2024 08:19:08</t>
        </is>
      </c>
      <c r="F1258" s="59" t="inlineStr">
        <is>
          <t>1 năm trước</t>
        </is>
      </c>
      <c r="G1258" s="61" t="n">
        <v>365</v>
      </c>
      <c r="H1258" s="62" t="n">
        <v>0</v>
      </c>
      <c r="I1258" s="9" t="inlineStr">
        <is>
          <t>Dog Breeder / Trại chó chuyên nghiệp (28-30đ)</t>
        </is>
      </c>
      <c r="J1258" s="62" t="n">
        <v>30</v>
      </c>
      <c r="K1258" s="9" t="inlineStr">
        <is>
          <t>Hound / Beagle / Basset</t>
        </is>
      </c>
      <c r="L1258" s="62" t="n">
        <v>5</v>
      </c>
      <c r="M1258" s="62" t="n">
        <v>5</v>
      </c>
      <c r="N1258" s="9" t="inlineStr">
        <is>
          <t>Amazon link not found</t>
        </is>
      </c>
      <c r="O1258" s="62">
        <f>IF(N1258="Selling pet toys + Artificial grass/Pet toilets (TARGET)",15,IF(N1258="Selling artificial grass/pet toilets (TARGET)",10,IF(N1258="Selling pet toys",7,IF(N1258="There's an Amazon link, but no target sales.",3,0))))</f>
        <v/>
      </c>
      <c r="P1258" s="67">
        <f>H1258+J1258+L1258+M1258+O1258</f>
        <v/>
      </c>
      <c r="Q1258" s="68">
        <f>IF(OR(H1258=0,P1258&lt;30),"Tier D (Đóng băng)",IF(P1258&gt;=85,"Tier S (Kim Cương: 85-100đ)",IF(P1258&gt;=70,"Tier A (Vàng: 70-84đ)",IF(P1258&gt;=61,"Tier B+ / Cấp A (Hot Lead: 61-69đ)",IF(P1258&gt;=50,"Tier B (Bạc: 50-60đ)","Tier C (Đồng: 30-49đ)")))))</f>
        <v/>
      </c>
      <c r="R1258" s="9" t="inlineStr">
        <is>
          <t>Trọn gói Take-Home Starter Kit V2/V3 (Cỏ nhân tạo + Khay Potty + Đồ chơi Teething/Snuggle)</t>
        </is>
      </c>
      <c r="S1258" s="9" t="inlineStr">
        <is>
          <t>Đóng băng tương tác (&gt;30 ngày): Lưu trữ chờ kích hoạt lại, không tốn tài nguyên Sales</t>
        </is>
      </c>
    </row>
    <row r="1259">
      <c r="A1259" s="53" t="n">
        <v>1774</v>
      </c>
      <c r="B1259" s="12" t="inlineStr">
        <is>
          <t>Jonu's JR Kennel - Jack Russell</t>
        </is>
      </c>
      <c r="C1259" s="54" t="inlineStr">
        <is>
          <t>https://www.facebook.com/JonusJrKennelJackRussell</t>
        </is>
      </c>
      <c r="D1259" s="6" t="inlineStr">
        <is>
          <t>Cần quét Bio Fanpage</t>
        </is>
      </c>
      <c r="E1259" s="53" t="inlineStr">
        <is>
          <t>29/09/2024 22:26:16</t>
        </is>
      </c>
      <c r="F1259" s="53" t="inlineStr">
        <is>
          <t>2 năm trước</t>
        </is>
      </c>
      <c r="G1259" s="55" t="n">
        <v>730</v>
      </c>
      <c r="H1259" s="56" t="n">
        <v>0</v>
      </c>
      <c r="I1259" s="6" t="inlineStr">
        <is>
          <t>Dog Breeder / Trại chó chuyên nghiệp (28-30đ)</t>
        </is>
      </c>
      <c r="J1259" s="56" t="n">
        <v>30</v>
      </c>
      <c r="K1259" s="6" t="inlineStr">
        <is>
          <t>Terrier (Jack Russell/Yorkie/Boston/Staffy)</t>
        </is>
      </c>
      <c r="L1259" s="56" t="n">
        <v>5</v>
      </c>
      <c r="M1259" s="56" t="n">
        <v>5</v>
      </c>
      <c r="N1259" s="6" t="inlineStr">
        <is>
          <t>Amazon link not found</t>
        </is>
      </c>
      <c r="O1259" s="56">
        <f>IF(N1259="Selling pet toys + Artificial grass/Pet toilets (TARGET)",15,IF(N1259="Selling artificial grass/pet toilets (TARGET)",10,IF(N1259="Selling pet toys",7,IF(N1259="There's an Amazon link, but no target sales.",3,0))))</f>
        <v/>
      </c>
      <c r="P1259" s="65">
        <f>H1259+J1259+L1259+M1259+O1259</f>
        <v/>
      </c>
      <c r="Q1259" s="68">
        <f>IF(OR(H1259=0,P1259&lt;30),"Tier D (Đóng băng)",IF(P1259&gt;=85,"Tier S (Kim Cương: 85-100đ)",IF(P1259&gt;=70,"Tier A (Vàng: 70-84đ)",IF(P1259&gt;=61,"Tier B+ / Cấp A (Hot Lead: 61-69đ)",IF(P1259&gt;=50,"Tier B (Bạc: 50-60đ)","Tier C (Đồng: 30-49đ)")))))</f>
        <v/>
      </c>
      <c r="R1259" s="6" t="inlineStr">
        <is>
          <t>Trọn gói Take-Home Starter Kit V2/V3 (Cỏ nhân tạo + Khay Potty + Đồ chơi Teething/Snuggle)</t>
        </is>
      </c>
      <c r="S1259" s="6" t="inlineStr">
        <is>
          <t>Đóng băng tương tác (&gt;30 ngày): Lưu trữ chờ kích hoạt lại, không tốn tài nguyên Sales</t>
        </is>
      </c>
    </row>
    <row r="1260">
      <c r="A1260" s="59" t="n">
        <v>925</v>
      </c>
      <c r="B1260" s="15" t="inlineStr">
        <is>
          <t>Cockerry Kennel</t>
        </is>
      </c>
      <c r="C1260" s="60" t="inlineStr">
        <is>
          <t>https://www.facebook.com/cockerrykennel</t>
        </is>
      </c>
      <c r="D1260" s="9" t="inlineStr">
        <is>
          <t>Cần quét Bio Fanpage</t>
        </is>
      </c>
      <c r="E1260" s="59" t="inlineStr">
        <is>
          <t>22/09/2024 04:01:57</t>
        </is>
      </c>
      <c r="F1260" s="59" t="inlineStr">
        <is>
          <t>2 năm trước</t>
        </is>
      </c>
      <c r="G1260" s="61" t="n">
        <v>730</v>
      </c>
      <c r="H1260" s="62" t="n">
        <v>0</v>
      </c>
      <c r="I1260" s="9" t="inlineStr">
        <is>
          <t>Dog Breeder / Trại chó chuyên nghiệp (28-30đ)</t>
        </is>
      </c>
      <c r="J1260" s="62" t="n">
        <v>30</v>
      </c>
      <c r="K1260" s="9" t="inlineStr">
        <is>
          <t>Spaniel / Gun Dog / Retriever</t>
        </is>
      </c>
      <c r="L1260" s="62" t="n">
        <v>5</v>
      </c>
      <c r="M1260" s="62" t="n">
        <v>5</v>
      </c>
      <c r="N1260" s="9" t="inlineStr">
        <is>
          <t>Amazon link not found</t>
        </is>
      </c>
      <c r="O1260" s="62">
        <f>IF(N1260="Selling pet toys + Artificial grass/Pet toilets (TARGET)",15,IF(N1260="Selling artificial grass/pet toilets (TARGET)",10,IF(N1260="Selling pet toys",7,IF(N1260="There's an Amazon link, but no target sales.",3,0))))</f>
        <v/>
      </c>
      <c r="P1260" s="67">
        <f>H1260+J1260+L1260+M1260+O1260</f>
        <v/>
      </c>
      <c r="Q1260" s="68">
        <f>IF(OR(H1260=0,P1260&lt;30),"Tier D (Đóng băng)",IF(P1260&gt;=85,"Tier S (Kim Cương: 85-100đ)",IF(P1260&gt;=70,"Tier A (Vàng: 70-84đ)",IF(P1260&gt;=61,"Tier B+ / Cấp A (Hot Lead: 61-69đ)",IF(P1260&gt;=50,"Tier B (Bạc: 50-60đ)","Tier C (Đồng: 30-49đ)")))))</f>
        <v/>
      </c>
      <c r="R1260" s="9" t="inlineStr">
        <is>
          <t>Trọn gói Take-Home Starter Kit V2/V3 (Cỏ nhân tạo + Khay Potty + Đồ chơi Teething/Snuggle)</t>
        </is>
      </c>
      <c r="S1260" s="9" t="inlineStr">
        <is>
          <t>Đóng băng tương tác (&gt;30 ngày): Lưu trữ chờ kích hoạt lại, không tốn tài nguyên Sales</t>
        </is>
      </c>
    </row>
    <row r="1261">
      <c r="A1261" s="53" t="n">
        <v>684</v>
      </c>
      <c r="B1261" s="12" t="inlineStr">
        <is>
          <t>Black Angel's Eye Cane Corso Kennel</t>
        </is>
      </c>
      <c r="C1261" s="54" t="inlineStr">
        <is>
          <t>https://www.facebook.com/canecorsocluj</t>
        </is>
      </c>
      <c r="D1261" s="6" t="inlineStr">
        <is>
          <t>Cần quét Bio Fanpage</t>
        </is>
      </c>
      <c r="E1261" s="53" t="inlineStr">
        <is>
          <t>11/03/2024 13:32:15</t>
        </is>
      </c>
      <c r="F1261" s="53" t="inlineStr">
        <is>
          <t>2 năm trước</t>
        </is>
      </c>
      <c r="G1261" s="55" t="n">
        <v>730</v>
      </c>
      <c r="H1261" s="56" t="n">
        <v>0</v>
      </c>
      <c r="I1261" s="6" t="inlineStr">
        <is>
          <t>Dog Breeder / Trại chó chuyên nghiệp (28-30đ)</t>
        </is>
      </c>
      <c r="J1261" s="56" t="n">
        <v>30</v>
      </c>
      <c r="K1261" s="6" t="inlineStr">
        <is>
          <t>Cane Corso / Mastiff</t>
        </is>
      </c>
      <c r="L1261" s="56" t="n">
        <v>5</v>
      </c>
      <c r="M1261" s="56" t="n">
        <v>5</v>
      </c>
      <c r="N1261" s="6" t="inlineStr">
        <is>
          <t>Amazon link not found</t>
        </is>
      </c>
      <c r="O1261" s="56">
        <f>IF(N1261="Selling pet toys + Artificial grass/Pet toilets (TARGET)",15,IF(N1261="Selling artificial grass/pet toilets (TARGET)",10,IF(N1261="Selling pet toys",7,IF(N1261="There's an Amazon link, but no target sales.",3,0))))</f>
        <v/>
      </c>
      <c r="P1261" s="65">
        <f>H1261+J1261+L1261+M1261+O1261</f>
        <v/>
      </c>
      <c r="Q1261" s="68">
        <f>IF(OR(H1261=0,P1261&lt;30),"Tier D (Đóng băng)",IF(P1261&gt;=85,"Tier S (Kim Cương: 85-100đ)",IF(P1261&gt;=70,"Tier A (Vàng: 70-84đ)",IF(P1261&gt;=61,"Tier B+ / Cấp A (Hot Lead: 61-69đ)",IF(P1261&gt;=50,"Tier B (Bạc: 50-60đ)","Tier C (Đồng: 30-49đ)")))))</f>
        <v/>
      </c>
      <c r="R1261" s="6" t="inlineStr">
        <is>
          <t>Trọn gói Take-Home Starter Kit V2/V3 (Cỏ nhân tạo + Khay Potty + Đồ chơi Teething/Snuggle)</t>
        </is>
      </c>
      <c r="S1261" s="6" t="inlineStr">
        <is>
          <t>Đóng băng tương tác (&gt;30 ngày): Lưu trữ chờ kích hoạt lại, không tốn tài nguyên Sales</t>
        </is>
      </c>
    </row>
    <row r="1262">
      <c r="A1262" s="59" t="n">
        <v>2997</v>
      </c>
      <c r="B1262" s="15" t="inlineStr">
        <is>
          <t>Stellar Road kennel of Alaskan Malamute</t>
        </is>
      </c>
      <c r="C1262" s="60" t="inlineStr">
        <is>
          <t>https://www.facebook.com/profile.php?id=100064598625761</t>
        </is>
      </c>
      <c r="D1262" s="9" t="inlineStr">
        <is>
          <t>Cần quét Bio Fanpage</t>
        </is>
      </c>
      <c r="E1262" s="59" t="inlineStr">
        <is>
          <t>31/01/2024 00:23:59</t>
        </is>
      </c>
      <c r="F1262" s="59" t="inlineStr">
        <is>
          <t>2 năm trước</t>
        </is>
      </c>
      <c r="G1262" s="61" t="n">
        <v>730</v>
      </c>
      <c r="H1262" s="62" t="n">
        <v>0</v>
      </c>
      <c r="I1262" s="9" t="inlineStr">
        <is>
          <t>Dog Breeder / Trại chó chuyên nghiệp (28-30đ)</t>
        </is>
      </c>
      <c r="J1262" s="62" t="n">
        <v>30</v>
      </c>
      <c r="K1262" s="9" t="inlineStr">
        <is>
          <t>Husky / Malamute / Samoyed / Spitz</t>
        </is>
      </c>
      <c r="L1262" s="62" t="n">
        <v>5</v>
      </c>
      <c r="M1262" s="62" t="n">
        <v>5</v>
      </c>
      <c r="N1262" s="9" t="inlineStr">
        <is>
          <t>Amazon link not found</t>
        </is>
      </c>
      <c r="O1262" s="62">
        <f>IF(N1262="Selling pet toys + Artificial grass/Pet toilets (TARGET)",15,IF(N1262="Selling artificial grass/pet toilets (TARGET)",10,IF(N1262="Selling pet toys",7,IF(N1262="There's an Amazon link, but no target sales.",3,0))))</f>
        <v/>
      </c>
      <c r="P1262" s="67">
        <f>H1262+J1262+L1262+M1262+O1262</f>
        <v/>
      </c>
      <c r="Q1262" s="68">
        <f>IF(OR(H1262=0,P1262&lt;30),"Tier D (Đóng băng)",IF(P1262&gt;=85,"Tier S (Kim Cương: 85-100đ)",IF(P1262&gt;=70,"Tier A (Vàng: 70-84đ)",IF(P1262&gt;=61,"Tier B+ / Cấp A (Hot Lead: 61-69đ)",IF(P1262&gt;=50,"Tier B (Bạc: 50-60đ)","Tier C (Đồng: 30-49đ)")))))</f>
        <v/>
      </c>
      <c r="R1262" s="9" t="inlineStr">
        <is>
          <t>Trọn gói Take-Home Starter Kit V2/V3 (Cỏ nhân tạo + Khay Potty + Đồ chơi Teething/Snuggle)</t>
        </is>
      </c>
      <c r="S1262" s="9" t="inlineStr">
        <is>
          <t>Đóng băng tương tác (&gt;30 ngày): Lưu trữ chờ kích hoạt lại, không tốn tài nguyên Sales</t>
        </is>
      </c>
    </row>
    <row r="1263">
      <c r="A1263" s="53" t="n">
        <v>1749</v>
      </c>
      <c r="B1263" s="12" t="inlineStr">
        <is>
          <t>Jack russell kennel Space way</t>
        </is>
      </c>
      <c r="C1263" s="54" t="inlineStr">
        <is>
          <t>https://www.facebook.com/spacewaykennel</t>
        </is>
      </c>
      <c r="D1263" s="6" t="inlineStr">
        <is>
          <t>Cần quét Bio Fanpage</t>
        </is>
      </c>
      <c r="E1263" s="53" t="inlineStr">
        <is>
          <t>26/11/2023 02:05:37</t>
        </is>
      </c>
      <c r="F1263" s="53" t="inlineStr">
        <is>
          <t>2 năm trước</t>
        </is>
      </c>
      <c r="G1263" s="55" t="n">
        <v>730</v>
      </c>
      <c r="H1263" s="56" t="n">
        <v>0</v>
      </c>
      <c r="I1263" s="6" t="inlineStr">
        <is>
          <t>Dog Breeder / Trại chó chuyên nghiệp (28-30đ)</t>
        </is>
      </c>
      <c r="J1263" s="56" t="n">
        <v>30</v>
      </c>
      <c r="K1263" s="6" t="inlineStr">
        <is>
          <t>Terrier (Jack Russell/Yorkie/Boston/Staffy)</t>
        </is>
      </c>
      <c r="L1263" s="56" t="n">
        <v>5</v>
      </c>
      <c r="M1263" s="56" t="n">
        <v>5</v>
      </c>
      <c r="N1263" s="6" t="inlineStr">
        <is>
          <t>Amazon link not found</t>
        </is>
      </c>
      <c r="O1263" s="56">
        <f>IF(N1263="Selling pet toys + Artificial grass/Pet toilets (TARGET)",15,IF(N1263="Selling artificial grass/pet toilets (TARGET)",10,IF(N1263="Selling pet toys",7,IF(N1263="There's an Amazon link, but no target sales.",3,0))))</f>
        <v/>
      </c>
      <c r="P1263" s="65">
        <f>H1263+J1263+L1263+M1263+O1263</f>
        <v/>
      </c>
      <c r="Q1263" s="68">
        <f>IF(OR(H1263=0,P1263&lt;30),"Tier D (Đóng băng)",IF(P1263&gt;=85,"Tier S (Kim Cương: 85-100đ)",IF(P1263&gt;=70,"Tier A (Vàng: 70-84đ)",IF(P1263&gt;=61,"Tier B+ / Cấp A (Hot Lead: 61-69đ)",IF(P1263&gt;=50,"Tier B (Bạc: 50-60đ)","Tier C (Đồng: 30-49đ)")))))</f>
        <v/>
      </c>
      <c r="R1263" s="6" t="inlineStr">
        <is>
          <t>Trọn gói Take-Home Starter Kit V2/V3 (Cỏ nhân tạo + Khay Potty + Đồ chơi Teething/Snuggle)</t>
        </is>
      </c>
      <c r="S1263" s="6" t="inlineStr">
        <is>
          <t>Đóng băng tương tác (&gt;30 ngày): Lưu trữ chờ kích hoạt lại, không tốn tài nguyên Sales</t>
        </is>
      </c>
    </row>
    <row r="1264">
      <c r="A1264" s="59" t="n">
        <v>992</v>
      </c>
      <c r="B1264" s="15" t="inlineStr">
        <is>
          <t>Dachshunds Puppies Puppies</t>
        </is>
      </c>
      <c r="C1264" s="60" t="inlineStr">
        <is>
          <t>https://www.facebook.com/dachshunds.puppies</t>
        </is>
      </c>
      <c r="D1264" s="9" t="inlineStr">
        <is>
          <t>Cần quét Bio Fanpage</t>
        </is>
      </c>
      <c r="E1264" s="59" t="inlineStr">
        <is>
          <t>06/03/2023 07:59:51</t>
        </is>
      </c>
      <c r="F1264" s="59" t="inlineStr">
        <is>
          <t>3 năm trước</t>
        </is>
      </c>
      <c r="G1264" s="61" t="n">
        <v>1095</v>
      </c>
      <c r="H1264" s="62" t="n">
        <v>0</v>
      </c>
      <c r="I1264" s="9" t="inlineStr">
        <is>
          <t>Dog Breeder / Trại chó chuyên nghiệp (28-30đ)</t>
        </is>
      </c>
      <c r="J1264" s="62" t="n">
        <v>30</v>
      </c>
      <c r="K1264" s="9" t="inlineStr">
        <is>
          <t>Dachshund</t>
        </is>
      </c>
      <c r="L1264" s="62" t="n">
        <v>5</v>
      </c>
      <c r="M1264" s="62" t="n">
        <v>5</v>
      </c>
      <c r="N1264" s="9" t="inlineStr">
        <is>
          <t>Amazon link not found</t>
        </is>
      </c>
      <c r="O1264" s="62">
        <f>IF(N1264="Selling pet toys + Artificial grass/Pet toilets (TARGET)",15,IF(N1264="Selling artificial grass/pet toilets (TARGET)",10,IF(N1264="Selling pet toys",7,IF(N1264="There's an Amazon link, but no target sales.",3,0))))</f>
        <v/>
      </c>
      <c r="P1264" s="67">
        <f>H1264+J1264+L1264+M1264+O1264</f>
        <v/>
      </c>
      <c r="Q1264" s="68">
        <f>IF(OR(H1264=0,P1264&lt;30),"Tier D (Đóng băng)",IF(P1264&gt;=85,"Tier S (Kim Cương: 85-100đ)",IF(P1264&gt;=70,"Tier A (Vàng: 70-84đ)",IF(P1264&gt;=61,"Tier B+ / Cấp A (Hot Lead: 61-69đ)",IF(P1264&gt;=50,"Tier B (Bạc: 50-60đ)","Tier C (Đồng: 30-49đ)")))))</f>
        <v/>
      </c>
      <c r="R1264" s="9" t="inlineStr">
        <is>
          <t>Trọn gói Take-Home Starter Kit V2/V3 (Cỏ nhân tạo + Khay Potty + Đồ chơi Teething/Snuggle)</t>
        </is>
      </c>
      <c r="S1264" s="9" t="inlineStr">
        <is>
          <t>Đóng băng tương tác (&gt;30 ngày): Lưu trữ chờ kích hoạt lại, không tốn tài nguyên Sales</t>
        </is>
      </c>
    </row>
    <row r="1265">
      <c r="A1265" s="53" t="n">
        <v>608</v>
      </c>
      <c r="B1265" s="12" t="inlineStr">
        <is>
          <t>Be Come The Star Dragon - Cane Corso Kennel</t>
        </is>
      </c>
      <c r="C1265" s="54" t="inlineStr">
        <is>
          <t>https://www.facebook.com/BCTSDragon</t>
        </is>
      </c>
      <c r="D1265" s="6" t="inlineStr">
        <is>
          <t>Cần quét Bio Fanpage</t>
        </is>
      </c>
      <c r="E1265" s="53" t="inlineStr">
        <is>
          <t>02/06/2022 10:49:36</t>
        </is>
      </c>
      <c r="F1265" s="53" t="inlineStr">
        <is>
          <t>4 năm trước</t>
        </is>
      </c>
      <c r="G1265" s="55" t="n">
        <v>1460</v>
      </c>
      <c r="H1265" s="56" t="n">
        <v>0</v>
      </c>
      <c r="I1265" s="6" t="inlineStr">
        <is>
          <t>Dog Breeder / Trại chó chuyên nghiệp (28-30đ)</t>
        </is>
      </c>
      <c r="J1265" s="56" t="n">
        <v>30</v>
      </c>
      <c r="K1265" s="6" t="inlineStr">
        <is>
          <t>Cane Corso / Mastiff</t>
        </is>
      </c>
      <c r="L1265" s="56" t="n">
        <v>5</v>
      </c>
      <c r="M1265" s="56" t="n">
        <v>5</v>
      </c>
      <c r="N1265" s="6" t="inlineStr">
        <is>
          <t>Amazon link not found</t>
        </is>
      </c>
      <c r="O1265" s="56">
        <f>IF(N1265="Selling pet toys + Artificial grass/Pet toilets (TARGET)",15,IF(N1265="Selling artificial grass/pet toilets (TARGET)",10,IF(N1265="Selling pet toys",7,IF(N1265="There's an Amazon link, but no target sales.",3,0))))</f>
        <v/>
      </c>
      <c r="P1265" s="65">
        <f>H1265+J1265+L1265+M1265+O1265</f>
        <v/>
      </c>
      <c r="Q1265" s="68">
        <f>IF(OR(H1265=0,P1265&lt;30),"Tier D (Đóng băng)",IF(P1265&gt;=85,"Tier S (Kim Cương: 85-100đ)",IF(P1265&gt;=70,"Tier A (Vàng: 70-84đ)",IF(P1265&gt;=61,"Tier B+ / Cấp A (Hot Lead: 61-69đ)",IF(P1265&gt;=50,"Tier B (Bạc: 50-60đ)","Tier C (Đồng: 30-49đ)")))))</f>
        <v/>
      </c>
      <c r="R1265" s="6" t="inlineStr">
        <is>
          <t>Trọn gói Take-Home Starter Kit V2/V3 (Cỏ nhân tạo + Khay Potty + Đồ chơi Teething/Snuggle)</t>
        </is>
      </c>
      <c r="S1265" s="6" t="inlineStr">
        <is>
          <t>Đóng băng tương tác (&gt;30 ngày): Lưu trữ chờ kích hoạt lại, không tốn tài nguyên Sales</t>
        </is>
      </c>
    </row>
    <row r="1266">
      <c r="A1266" s="59" t="n">
        <v>1893</v>
      </c>
      <c r="B1266" s="15" t="inlineStr">
        <is>
          <t>Kennel Maroussia</t>
        </is>
      </c>
      <c r="C1266" s="60" t="inlineStr">
        <is>
          <t>https://www.facebook.com/maroussia.org</t>
        </is>
      </c>
      <c r="D1266" s="9" t="inlineStr">
        <is>
          <t>Cần quét Bio Fanpage</t>
        </is>
      </c>
      <c r="E1266" s="59" t="inlineStr">
        <is>
          <t>09/05/2022 01:03:30</t>
        </is>
      </c>
      <c r="F1266" s="59" t="inlineStr">
        <is>
          <t>4 năm trước</t>
        </is>
      </c>
      <c r="G1266" s="61" t="n">
        <v>1460</v>
      </c>
      <c r="H1266" s="62" t="n">
        <v>0</v>
      </c>
      <c r="I1266" s="9" t="inlineStr">
        <is>
          <t>Dog Breeder / Trại chó chuyên nghiệp (28-30đ)</t>
        </is>
      </c>
      <c r="J1266" s="62" t="n">
        <v>30</v>
      </c>
      <c r="K1266" s="9" t="inlineStr">
        <is>
          <t>Chưa rõ giống (Cần quét Bio)</t>
        </is>
      </c>
      <c r="L1266" s="62" t="n">
        <v>0</v>
      </c>
      <c r="M1266" s="62" t="n">
        <v>10</v>
      </c>
      <c r="N1266" s="9" t="inlineStr">
        <is>
          <t>Amazon link not found</t>
        </is>
      </c>
      <c r="O1266" s="62">
        <f>IF(N1266="Selling pet toys + Artificial grass/Pet toilets (TARGET)",15,IF(N1266="Selling artificial grass/pet toilets (TARGET)",10,IF(N1266="Selling pet toys",7,IF(N1266="There's an Amazon link, but no target sales.",3,0))))</f>
        <v/>
      </c>
      <c r="P1266" s="67">
        <f>H1266+J1266+L1266+M1266+O1266</f>
        <v/>
      </c>
      <c r="Q1266" s="68">
        <f>IF(OR(H1266=0,P1266&lt;30),"Tier D (Đóng băng)",IF(P1266&gt;=85,"Tier S (Kim Cương: 85-100đ)",IF(P1266&gt;=70,"Tier A (Vàng: 70-84đ)",IF(P1266&gt;=61,"Tier B+ / Cấp A (Hot Lead: 61-69đ)",IF(P1266&gt;=50,"Tier B (Bạc: 50-60đ)","Tier C (Đồng: 30-49đ)")))))</f>
        <v/>
      </c>
      <c r="R1266" s="9" t="inlineStr">
        <is>
          <t>Trọn gói Take-Home Starter Kit V2/V3 (Cỏ nhân tạo + Khay Potty + Đồ chơi Teething/Snuggle)</t>
        </is>
      </c>
      <c r="S1266" s="9" t="inlineStr">
        <is>
          <t>Đóng băng tương tác (&gt;30 ngày): Lưu trữ chờ kích hoạt lại, không tốn tài nguyên Sales</t>
        </is>
      </c>
    </row>
    <row r="1267">
      <c r="A1267" s="53" t="n">
        <v>3486</v>
      </c>
      <c r="B1267" s="12" t="inlineStr">
        <is>
          <t>«BEST Maristyle - Kennel chihuahua».</t>
        </is>
      </c>
      <c r="C1267" s="54" t="inlineStr">
        <is>
          <t>https://www.facebook.com/profile.php?id=100054223850566</t>
        </is>
      </c>
      <c r="D1267" s="6" t="inlineStr">
        <is>
          <t>Cần quét Bio Fanpage</t>
        </is>
      </c>
      <c r="E1267" s="53" t="inlineStr">
        <is>
          <t>18/02/2022 04:42:57</t>
        </is>
      </c>
      <c r="F1267" s="53" t="inlineStr">
        <is>
          <t>4 năm trước</t>
        </is>
      </c>
      <c r="G1267" s="55" t="n">
        <v>1460</v>
      </c>
      <c r="H1267" s="56" t="n">
        <v>0</v>
      </c>
      <c r="I1267" s="6" t="inlineStr">
        <is>
          <t>Dog Breeder / Trại chó chuyên nghiệp (28-30đ)</t>
        </is>
      </c>
      <c r="J1267" s="56" t="n">
        <v>30</v>
      </c>
      <c r="K1267" s="6" t="inlineStr">
        <is>
          <t>Chihuahua / Toy Companion</t>
        </is>
      </c>
      <c r="L1267" s="56" t="n">
        <v>5</v>
      </c>
      <c r="M1267" s="56" t="n">
        <v>5</v>
      </c>
      <c r="N1267" s="6" t="inlineStr">
        <is>
          <t>Amazon link not found</t>
        </is>
      </c>
      <c r="O1267" s="56">
        <f>IF(N1267="Selling pet toys + Artificial grass/Pet toilets (TARGET)",15,IF(N1267="Selling artificial grass/pet toilets (TARGET)",10,IF(N1267="Selling pet toys",7,IF(N1267="There's an Amazon link, but no target sales.",3,0))))</f>
        <v/>
      </c>
      <c r="P1267" s="65">
        <f>H1267+J1267+L1267+M1267+O1267</f>
        <v/>
      </c>
      <c r="Q1267" s="68">
        <f>IF(OR(H1267=0,P1267&lt;30),"Tier D (Đóng băng)",IF(P1267&gt;=85,"Tier S (Kim Cương: 85-100đ)",IF(P1267&gt;=70,"Tier A (Vàng: 70-84đ)",IF(P1267&gt;=61,"Tier B+ / Cấp A (Hot Lead: 61-69đ)",IF(P1267&gt;=50,"Tier B (Bạc: 50-60đ)","Tier C (Đồng: 30-49đ)")))))</f>
        <v/>
      </c>
      <c r="R1267" s="6" t="inlineStr">
        <is>
          <t>Trọn gói Take-Home Starter Kit V2/V3 (Cỏ nhân tạo + Khay Potty + Đồ chơi Teething/Snuggle)</t>
        </is>
      </c>
      <c r="S1267" s="6" t="inlineStr">
        <is>
          <t>Đóng băng tương tác (&gt;30 ngày): Lưu trữ chờ kích hoạt lại, không tốn tài nguyên Sales</t>
        </is>
      </c>
    </row>
    <row r="1268">
      <c r="A1268" s="59" t="n">
        <v>1008</v>
      </c>
      <c r="B1268" s="15" t="inlineStr">
        <is>
          <t>De Boxema Boxer Kennel</t>
        </is>
      </c>
      <c r="C1268" s="60" t="inlineStr">
        <is>
          <t>https://www.facebook.com/DeBoxemaBoxerKennel</t>
        </is>
      </c>
      <c r="D1268" s="9" t="inlineStr">
        <is>
          <t>Cần quét Bio Fanpage</t>
        </is>
      </c>
      <c r="E1268" s="59" t="inlineStr">
        <is>
          <t>31/12/2021 23:14:36</t>
        </is>
      </c>
      <c r="F1268" s="59" t="inlineStr">
        <is>
          <t>4 năm trước</t>
        </is>
      </c>
      <c r="G1268" s="61" t="n">
        <v>1460</v>
      </c>
      <c r="H1268" s="62" t="n">
        <v>0</v>
      </c>
      <c r="I1268" s="9" t="inlineStr">
        <is>
          <t>Dog Breeder / Trại chó chuyên nghiệp (28-30đ)</t>
        </is>
      </c>
      <c r="J1268" s="62" t="n">
        <v>30</v>
      </c>
      <c r="K1268" s="9" t="inlineStr">
        <is>
          <t>Great Dane / Working Giant</t>
        </is>
      </c>
      <c r="L1268" s="62" t="n">
        <v>5</v>
      </c>
      <c r="M1268" s="62" t="n">
        <v>5</v>
      </c>
      <c r="N1268" s="9" t="inlineStr">
        <is>
          <t>Amazon link not found</t>
        </is>
      </c>
      <c r="O1268" s="62">
        <f>IF(N1268="Selling pet toys + Artificial grass/Pet toilets (TARGET)",15,IF(N1268="Selling artificial grass/pet toilets (TARGET)",10,IF(N1268="Selling pet toys",7,IF(N1268="There's an Amazon link, but no target sales.",3,0))))</f>
        <v/>
      </c>
      <c r="P1268" s="67">
        <f>H1268+J1268+L1268+M1268+O1268</f>
        <v/>
      </c>
      <c r="Q1268" s="68">
        <f>IF(OR(H1268=0,P1268&lt;30),"Tier D (Đóng băng)",IF(P1268&gt;=85,"Tier S (Kim Cương: 85-100đ)",IF(P1268&gt;=70,"Tier A (Vàng: 70-84đ)",IF(P1268&gt;=61,"Tier B+ / Cấp A (Hot Lead: 61-69đ)",IF(P1268&gt;=50,"Tier B (Bạc: 50-60đ)","Tier C (Đồng: 30-49đ)")))))</f>
        <v/>
      </c>
      <c r="R1268" s="9" t="inlineStr">
        <is>
          <t>Trọn gói Take-Home Starter Kit V2/V3 (Cỏ nhân tạo + Khay Potty + Đồ chơi Teething/Snuggle)</t>
        </is>
      </c>
      <c r="S1268" s="9" t="inlineStr">
        <is>
          <t>Đóng băng tương tác (&gt;30 ngày): Lưu trữ chờ kích hoạt lại, không tốn tài nguyên Sales</t>
        </is>
      </c>
    </row>
    <row r="1269">
      <c r="A1269" s="53" t="n">
        <v>1736</v>
      </c>
      <c r="B1269" s="12" t="inlineStr">
        <is>
          <t>Ironmastiff-kennel Dogue de Bordeaux</t>
        </is>
      </c>
      <c r="C1269" s="54" t="inlineStr">
        <is>
          <t>https://www.facebook.com/ironmastiffkennel.doguedebordeaux</t>
        </is>
      </c>
      <c r="D1269" s="6" t="inlineStr">
        <is>
          <t>Cần quét Bio Fanpage</t>
        </is>
      </c>
      <c r="E1269" s="53" t="inlineStr">
        <is>
          <t>20/11/2020 13:10:54</t>
        </is>
      </c>
      <c r="F1269" s="53" t="inlineStr">
        <is>
          <t>5 năm trước</t>
        </is>
      </c>
      <c r="G1269" s="55" t="n">
        <v>1825</v>
      </c>
      <c r="H1269" s="56" t="n">
        <v>0</v>
      </c>
      <c r="I1269" s="6" t="inlineStr">
        <is>
          <t>Dog Breeder / Trại chó chuyên nghiệp (28-30đ)</t>
        </is>
      </c>
      <c r="J1269" s="56" t="n">
        <v>30</v>
      </c>
      <c r="K1269" s="6" t="inlineStr">
        <is>
          <t>Cane Corso / Mastiff</t>
        </is>
      </c>
      <c r="L1269" s="56" t="n">
        <v>5</v>
      </c>
      <c r="M1269" s="56" t="n">
        <v>5</v>
      </c>
      <c r="N1269" s="6" t="inlineStr">
        <is>
          <t>Amazon link not found</t>
        </is>
      </c>
      <c r="O1269" s="56">
        <f>IF(N1269="Selling pet toys + Artificial grass/Pet toilets (TARGET)",15,IF(N1269="Selling artificial grass/pet toilets (TARGET)",10,IF(N1269="Selling pet toys",7,IF(N1269="There's an Amazon link, but no target sales.",3,0))))</f>
        <v/>
      </c>
      <c r="P1269" s="65">
        <f>H1269+J1269+L1269+M1269+O1269</f>
        <v/>
      </c>
      <c r="Q1269" s="68">
        <f>IF(OR(H1269=0,P1269&lt;30),"Tier D (Đóng băng)",IF(P1269&gt;=85,"Tier S (Kim Cương: 85-100đ)",IF(P1269&gt;=70,"Tier A (Vàng: 70-84đ)",IF(P1269&gt;=61,"Tier B+ / Cấp A (Hot Lead: 61-69đ)",IF(P1269&gt;=50,"Tier B (Bạc: 50-60đ)","Tier C (Đồng: 30-49đ)")))))</f>
        <v/>
      </c>
      <c r="R1269" s="6" t="inlineStr">
        <is>
          <t>Trọn gói Take-Home Starter Kit V2/V3 (Cỏ nhân tạo + Khay Potty + Đồ chơi Teething/Snuggle)</t>
        </is>
      </c>
      <c r="S1269" s="6" t="inlineStr">
        <is>
          <t>Đóng băng tương tác (&gt;30 ngày): Lưu trữ chờ kích hoạt lại, không tốn tài nguyên Sales</t>
        </is>
      </c>
    </row>
    <row r="1270">
      <c r="A1270" s="59" t="n">
        <v>1798</v>
      </c>
      <c r="B1270" s="15" t="inlineStr">
        <is>
          <t>K/C Berner Puppies</t>
        </is>
      </c>
      <c r="C1270" s="60" t="inlineStr">
        <is>
          <t>https://www.facebook.com/profile.php?id=100064670695900</t>
        </is>
      </c>
      <c r="D1270" s="9" t="inlineStr">
        <is>
          <t>Cần quét Bio Fanpage</t>
        </is>
      </c>
      <c r="E1270" s="59" t="inlineStr">
        <is>
          <t>04/09/2020 04:14:24</t>
        </is>
      </c>
      <c r="F1270" s="59" t="inlineStr">
        <is>
          <t>6 năm trước</t>
        </is>
      </c>
      <c r="G1270" s="61" t="n">
        <v>2190</v>
      </c>
      <c r="H1270" s="62" t="n">
        <v>0</v>
      </c>
      <c r="I1270" s="9" t="inlineStr">
        <is>
          <t>Dog Breeder / Trại chó chuyên nghiệp (28-30đ)</t>
        </is>
      </c>
      <c r="J1270" s="62" t="n">
        <v>30</v>
      </c>
      <c r="K1270" s="9" t="inlineStr">
        <is>
          <t>Bernese Mountain Dog</t>
        </is>
      </c>
      <c r="L1270" s="62" t="n">
        <v>5</v>
      </c>
      <c r="M1270" s="62" t="n">
        <v>5</v>
      </c>
      <c r="N1270" s="9" t="inlineStr">
        <is>
          <t>Amazon link not found</t>
        </is>
      </c>
      <c r="O1270" s="62">
        <f>IF(N1270="Selling pet toys + Artificial grass/Pet toilets (TARGET)",15,IF(N1270="Selling artificial grass/pet toilets (TARGET)",10,IF(N1270="Selling pet toys",7,IF(N1270="There's an Amazon link, but no target sales.",3,0))))</f>
        <v/>
      </c>
      <c r="P1270" s="67">
        <f>H1270+J1270+L1270+M1270+O1270</f>
        <v/>
      </c>
      <c r="Q1270" s="68">
        <f>IF(OR(H1270=0,P1270&lt;30),"Tier D (Đóng băng)",IF(P1270&gt;=85,"Tier S (Kim Cương: 85-100đ)",IF(P1270&gt;=70,"Tier A (Vàng: 70-84đ)",IF(P1270&gt;=61,"Tier B+ / Cấp A (Hot Lead: 61-69đ)",IF(P1270&gt;=50,"Tier B (Bạc: 50-60đ)","Tier C (Đồng: 30-49đ)")))))</f>
        <v/>
      </c>
      <c r="R1270" s="9" t="inlineStr">
        <is>
          <t>Trọn gói Take-Home Starter Kit V2/V3 (Cỏ nhân tạo + Khay Potty + Đồ chơi Teething/Snuggle)</t>
        </is>
      </c>
      <c r="S1270" s="9" t="inlineStr">
        <is>
          <t>Đóng băng tương tác (&gt;30 ngày): Lưu trữ chờ kích hoạt lại, không tốn tài nguyên Sales</t>
        </is>
      </c>
    </row>
    <row r="1271">
      <c r="A1271" s="53" t="n">
        <v>1957</v>
      </c>
      <c r="B1271" s="12" t="inlineStr">
        <is>
          <t>La Mastino Kennel CANE CORSO</t>
        </is>
      </c>
      <c r="C1271" s="54" t="inlineStr">
        <is>
          <t>https://www.facebook.com/LaMastinoKennelCaneCorso</t>
        </is>
      </c>
      <c r="D1271" s="6" t="inlineStr">
        <is>
          <t>Cần quét Bio Fanpage</t>
        </is>
      </c>
      <c r="E1271" s="53" t="inlineStr">
        <is>
          <t>14/03/2020 06:05:23</t>
        </is>
      </c>
      <c r="F1271" s="53" t="inlineStr">
        <is>
          <t>6 năm trước</t>
        </is>
      </c>
      <c r="G1271" s="55" t="n">
        <v>2190</v>
      </c>
      <c r="H1271" s="56" t="n">
        <v>0</v>
      </c>
      <c r="I1271" s="6" t="inlineStr">
        <is>
          <t>Dog Breeder / Trại chó chuyên nghiệp (28-30đ)</t>
        </is>
      </c>
      <c r="J1271" s="56" t="n">
        <v>30</v>
      </c>
      <c r="K1271" s="6" t="inlineStr">
        <is>
          <t>Cane Corso / Mastiff</t>
        </is>
      </c>
      <c r="L1271" s="56" t="n">
        <v>5</v>
      </c>
      <c r="M1271" s="56" t="n">
        <v>5</v>
      </c>
      <c r="N1271" s="6" t="inlineStr">
        <is>
          <t>Amazon link not found</t>
        </is>
      </c>
      <c r="O1271" s="56">
        <f>IF(N1271="Selling pet toys + Artificial grass/Pet toilets (TARGET)",15,IF(N1271="Selling artificial grass/pet toilets (TARGET)",10,IF(N1271="Selling pet toys",7,IF(N1271="There's an Amazon link, but no target sales.",3,0))))</f>
        <v/>
      </c>
      <c r="P1271" s="65">
        <f>H1271+J1271+L1271+M1271+O1271</f>
        <v/>
      </c>
      <c r="Q1271" s="68">
        <f>IF(OR(H1271=0,P1271&lt;30),"Tier D (Đóng băng)",IF(P1271&gt;=85,"Tier S (Kim Cương: 85-100đ)",IF(P1271&gt;=70,"Tier A (Vàng: 70-84đ)",IF(P1271&gt;=61,"Tier B+ / Cấp A (Hot Lead: 61-69đ)",IF(P1271&gt;=50,"Tier B (Bạc: 50-60đ)","Tier C (Đồng: 30-49đ)")))))</f>
        <v/>
      </c>
      <c r="R1271" s="6" t="inlineStr">
        <is>
          <t>Trọn gói Take-Home Starter Kit V2/V3 (Cỏ nhân tạo + Khay Potty + Đồ chơi Teething/Snuggle)</t>
        </is>
      </c>
      <c r="S1271" s="6" t="inlineStr">
        <is>
          <t>Đóng băng tương tác (&gt;30 ngày): Lưu trữ chờ kích hoạt lại, không tốn tài nguyên Sales</t>
        </is>
      </c>
    </row>
    <row r="1272">
      <c r="A1272" s="59" t="n">
        <v>389</v>
      </c>
      <c r="B1272" s="15" t="inlineStr">
        <is>
          <t>Almaz Imperatricy kennel - caucasian shepard and chow-chow</t>
        </is>
      </c>
      <c r="C1272" s="60" t="inlineStr">
        <is>
          <t>https://www.facebook.com/profile.php?id=100081701374226</t>
        </is>
      </c>
      <c r="D1272" s="9" t="inlineStr">
        <is>
          <t>Cần quét Bio Fanpage</t>
        </is>
      </c>
      <c r="E1272" s="59" t="inlineStr">
        <is>
          <t>04/02/2020 11:57:34</t>
        </is>
      </c>
      <c r="F1272" s="59" t="inlineStr">
        <is>
          <t>6 năm trước</t>
        </is>
      </c>
      <c r="G1272" s="61" t="n">
        <v>2190</v>
      </c>
      <c r="H1272" s="62" t="n">
        <v>0</v>
      </c>
      <c r="I1272" s="9" t="inlineStr">
        <is>
          <t>Dog Breeder / Trại chó chuyên nghiệp (28-30đ)</t>
        </is>
      </c>
      <c r="J1272" s="62" t="n">
        <v>30</v>
      </c>
      <c r="K1272" s="9" t="inlineStr">
        <is>
          <t>Husky / Malamute / Samoyed / Spitz</t>
        </is>
      </c>
      <c r="L1272" s="62" t="n">
        <v>5</v>
      </c>
      <c r="M1272" s="62" t="n">
        <v>5</v>
      </c>
      <c r="N1272" s="9" t="inlineStr">
        <is>
          <t>Amazon link not found</t>
        </is>
      </c>
      <c r="O1272" s="62">
        <f>IF(N1272="Selling pet toys + Artificial grass/Pet toilets (TARGET)",15,IF(N1272="Selling artificial grass/pet toilets (TARGET)",10,IF(N1272="Selling pet toys",7,IF(N1272="There's an Amazon link, but no target sales.",3,0))))</f>
        <v/>
      </c>
      <c r="P1272" s="67">
        <f>H1272+J1272+L1272+M1272+O1272</f>
        <v/>
      </c>
      <c r="Q1272" s="68">
        <f>IF(OR(H1272=0,P1272&lt;30),"Tier D (Đóng băng)",IF(P1272&gt;=85,"Tier S (Kim Cương: 85-100đ)",IF(P1272&gt;=70,"Tier A (Vàng: 70-84đ)",IF(P1272&gt;=61,"Tier B+ / Cấp A (Hot Lead: 61-69đ)",IF(P1272&gt;=50,"Tier B (Bạc: 50-60đ)","Tier C (Đồng: 30-49đ)")))))</f>
        <v/>
      </c>
      <c r="R1272" s="9" t="inlineStr">
        <is>
          <t>Trọn gói Take-Home Starter Kit V2/V3 (Cỏ nhân tạo + Khay Potty + Đồ chơi Teething/Snuggle)</t>
        </is>
      </c>
      <c r="S1272" s="9" t="inlineStr">
        <is>
          <t>Đóng băng tương tác (&gt;30 ngày): Lưu trữ chờ kích hoạt lại, không tốn tài nguyên Sales</t>
        </is>
      </c>
    </row>
    <row r="1273">
      <c r="A1273" s="53" t="n">
        <v>497</v>
      </c>
      <c r="B1273" s="12" t="inlineStr">
        <is>
          <t>Anmacco Kennel - Cane Corso</t>
        </is>
      </c>
      <c r="C1273" s="54" t="inlineStr">
        <is>
          <t>https://www.facebook.com/profile.php?id=100054351529218</t>
        </is>
      </c>
      <c r="D1273" s="6" t="inlineStr">
        <is>
          <t>Cần quét Bio Fanpage</t>
        </is>
      </c>
      <c r="E1273" s="53" t="inlineStr">
        <is>
          <t>29/01/2016 07:59:00</t>
        </is>
      </c>
      <c r="F1273" s="53" t="inlineStr">
        <is>
          <t>29 Tháng 1, 2016 lúc 07:59</t>
        </is>
      </c>
      <c r="G1273" s="55" t="n">
        <v>365</v>
      </c>
      <c r="H1273" s="56" t="n">
        <v>0</v>
      </c>
      <c r="I1273" s="6" t="inlineStr">
        <is>
          <t>Dog Breeder / Trại chó chuyên nghiệp (28-30đ)</t>
        </is>
      </c>
      <c r="J1273" s="56" t="n">
        <v>30</v>
      </c>
      <c r="K1273" s="6" t="inlineStr">
        <is>
          <t>Cane Corso / Mastiff</t>
        </is>
      </c>
      <c r="L1273" s="56" t="n">
        <v>5</v>
      </c>
      <c r="M1273" s="56" t="n">
        <v>5</v>
      </c>
      <c r="N1273" s="6" t="inlineStr">
        <is>
          <t>Amazon link not found</t>
        </is>
      </c>
      <c r="O1273" s="56">
        <f>IF(N1273="Selling pet toys + Artificial grass/Pet toilets (TARGET)",15,IF(N1273="Selling artificial grass/pet toilets (TARGET)",10,IF(N1273="Selling pet toys",7,IF(N1273="There's an Amazon link, but no target sales.",3,0))))</f>
        <v/>
      </c>
      <c r="P1273" s="65">
        <f>H1273+J1273+L1273+M1273+O1273</f>
        <v/>
      </c>
      <c r="Q1273" s="68">
        <f>IF(OR(H1273=0,P1273&lt;30),"Tier D (Đóng băng)",IF(P1273&gt;=85,"Tier S (Kim Cương: 85-100đ)",IF(P1273&gt;=70,"Tier A (Vàng: 70-84đ)",IF(P1273&gt;=61,"Tier B+ / Cấp A (Hot Lead: 61-69đ)",IF(P1273&gt;=50,"Tier B (Bạc: 50-60đ)","Tier C (Đồng: 30-49đ)")))))</f>
        <v/>
      </c>
      <c r="R1273" s="6" t="inlineStr">
        <is>
          <t>Trọn gói Take-Home Starter Kit V2/V3 (Cỏ nhân tạo + Khay Potty + Đồ chơi Teething/Snuggle)</t>
        </is>
      </c>
      <c r="S1273" s="6" t="inlineStr">
        <is>
          <t>Đóng băng tương tác (&gt;30 ngày): Lưu trữ chờ kích hoạt lại, không tốn tài nguyên Sales</t>
        </is>
      </c>
    </row>
    <row r="1274">
      <c r="A1274" s="59" t="n">
        <v>307</v>
      </c>
      <c r="B1274" s="15" t="inlineStr">
        <is>
          <t>4 Zampe Rescue Albania</t>
        </is>
      </c>
      <c r="C1274" s="60" t="inlineStr">
        <is>
          <t>https://www.facebook.com/Houseofstraysofficial</t>
        </is>
      </c>
      <c r="D1274" s="9" t="inlineStr">
        <is>
          <t>Cần quét Bio Fanpage</t>
        </is>
      </c>
      <c r="E1274" s="59" t="inlineStr">
        <is>
          <t>08/10/2026 02:48:51</t>
        </is>
      </c>
      <c r="F1274" s="59" t="inlineStr">
        <is>
          <t>4 ngày trước</t>
        </is>
      </c>
      <c r="G1274" s="61" t="n">
        <v>4</v>
      </c>
      <c r="H1274" s="62" t="n">
        <v>20</v>
      </c>
      <c r="I1274" s="9" t="inlineStr">
        <is>
          <t>Pet Rescue / Trạm cứu trợ (14-16đ)</t>
        </is>
      </c>
      <c r="J1274" s="62" t="n">
        <v>14</v>
      </c>
      <c r="K1274" s="9" t="inlineStr">
        <is>
          <t>Chưa rõ giống (Cần quét Bio)</t>
        </is>
      </c>
      <c r="L1274" s="62" t="n">
        <v>0</v>
      </c>
      <c r="M1274" s="62" t="n">
        <v>5</v>
      </c>
      <c r="N1274" s="9" t="inlineStr">
        <is>
          <t>Amazon link not found</t>
        </is>
      </c>
      <c r="O1274" s="62">
        <f>IF(N1274="Selling pet toys + Artificial grass/Pet toilets (TARGET)",15,IF(N1274="Selling artificial grass/pet toilets (TARGET)",10,IF(N1274="Selling pet toys",7,IF(N1274="There's an Amazon link, but no target sales.",3,0))))</f>
        <v/>
      </c>
      <c r="P1274" s="67">
        <f>H1274+J1274+L1274+M1274+O1274</f>
        <v/>
      </c>
      <c r="Q1274" s="69">
        <f>IF(OR(H1274=0,P1274&lt;30),"Tier D (Đóng băng)",IF(P1274&gt;=85,"Tier S (Kim Cương: 85-100đ)",IF(P1274&gt;=70,"Tier A (Vàng: 70-84đ)",IF(P1274&gt;=61,"Tier B+ / Cấp A (Hot Lead: 61-69đ)",IF(P1274&gt;=50,"Tier B (Bạc: 50-60đ)","Tier C (Đồng: 30-49đ)")))))</f>
        <v/>
      </c>
      <c r="R1274" s="9" t="inlineStr">
        <is>
          <t>Nhà vệ sinh &amp; Tã lót (Potty Tray / Pee Pads) + Cỏ nhân tạo lót chuồng</t>
        </is>
      </c>
      <c r="S1274" s="9" t="inlineStr">
        <is>
          <t>Cấp C Chi phí thấp: Nhắn tin trực tiếp qua Fanpage Facebook/Instagram + Nuôi dưỡng nội dung</t>
        </is>
      </c>
    </row>
    <row r="1275">
      <c r="A1275" s="53" t="n">
        <v>3148</v>
      </c>
      <c r="B1275" s="12" t="inlineStr">
        <is>
          <t>The Pet Food Pantry</t>
        </is>
      </c>
      <c r="C1275" s="54" t="inlineStr">
        <is>
          <t>https://www.facebook.com/ThePetFoodPantry</t>
        </is>
      </c>
      <c r="D1275" s="6" t="inlineStr">
        <is>
          <t>Cần quét Bio Fanpage</t>
        </is>
      </c>
      <c r="E1275" s="53" t="inlineStr">
        <is>
          <t>12/10/2026 06:04:12</t>
        </is>
      </c>
      <c r="F1275" s="53" t="inlineStr">
        <is>
          <t>1 ngày trước</t>
        </is>
      </c>
      <c r="G1275" s="55" t="n">
        <v>1</v>
      </c>
      <c r="H1275" s="56" t="n">
        <v>28</v>
      </c>
      <c r="I1275" s="6" t="inlineStr">
        <is>
          <t>Pet Owner / Cộng đồng nuôi cún (10đ)</t>
        </is>
      </c>
      <c r="J1275" s="56" t="n">
        <v>10</v>
      </c>
      <c r="K1275" s="6" t="inlineStr">
        <is>
          <t>Chưa rõ giống (Cần quét Bio)</t>
        </is>
      </c>
      <c r="L1275" s="56" t="n">
        <v>0</v>
      </c>
      <c r="M1275" s="56" t="n">
        <v>0</v>
      </c>
      <c r="N1275" s="6" t="inlineStr">
        <is>
          <t>Amazon link not found</t>
        </is>
      </c>
      <c r="O1275" s="56">
        <f>IF(N1275="Selling pet toys + Artificial grass/Pet toilets (TARGET)",15,IF(N1275="Selling artificial grass/pet toilets (TARGET)",10,IF(N1275="Selling pet toys",7,IF(N1275="There's an Amazon link, but no target sales.",3,0))))</f>
        <v/>
      </c>
      <c r="P1275" s="65">
        <f>H1275+J1275+L1275+M1275+O1275</f>
        <v/>
      </c>
      <c r="Q1275" s="69">
        <f>IF(OR(H1275=0,P1275&lt;30),"Tier D (Đóng băng)",IF(P1275&gt;=85,"Tier S (Kim Cương: 85-100đ)",IF(P1275&gt;=70,"Tier A (Vàng: 70-84đ)",IF(P1275&gt;=61,"Tier B+ / Cấp A (Hot Lead: 61-69đ)",IF(P1275&gt;=50,"Tier B (Bạc: 50-60đ)","Tier C (Đồng: 30-49đ)")))))</f>
        <v/>
      </c>
      <c r="R1275" s="6" t="inlineStr">
        <is>
          <t>Khay vệ sinh chung cư (Indoor Potty) + Thảm cỏ ban công (Grass Patch) + Đồ chơi</t>
        </is>
      </c>
      <c r="S1275" s="6" t="inlineStr">
        <is>
          <t>Cấp C Chi phí thấp: Nhắn tin trực tiếp qua Fanpage Facebook/Instagram + Nuôi dưỡng nội dung</t>
        </is>
      </c>
    </row>
    <row r="1276">
      <c r="A1276" s="59" t="n">
        <v>2415</v>
      </c>
      <c r="B1276" s="15" t="inlineStr">
        <is>
          <t>PawsUpCertifiedDogTraining</t>
        </is>
      </c>
      <c r="C1276" s="60" t="inlineStr">
        <is>
          <t>https://www.facebook.com/PawsUpCertifiedDogTraining</t>
        </is>
      </c>
      <c r="D1276" s="9" t="inlineStr">
        <is>
          <t>Cần quét Bio Fanpage</t>
        </is>
      </c>
      <c r="E1276" s="59" t="inlineStr">
        <is>
          <t>12/10/2026 04:42:21</t>
        </is>
      </c>
      <c r="F1276" s="59" t="inlineStr">
        <is>
          <t>1 ngày trước</t>
        </is>
      </c>
      <c r="G1276" s="61" t="n">
        <v>1</v>
      </c>
      <c r="H1276" s="62" t="n">
        <v>28</v>
      </c>
      <c r="I1276" s="9" t="inlineStr">
        <is>
          <t>Pet Owner / Cộng đồng nuôi cún (10đ)</t>
        </is>
      </c>
      <c r="J1276" s="62" t="n">
        <v>10</v>
      </c>
      <c r="K1276" s="9" t="inlineStr">
        <is>
          <t>Chưa rõ giống (Cần quét Bio)</t>
        </is>
      </c>
      <c r="L1276" s="62" t="n">
        <v>0</v>
      </c>
      <c r="M1276" s="62" t="n">
        <v>0</v>
      </c>
      <c r="N1276" s="9" t="inlineStr">
        <is>
          <t>Amazon link not found</t>
        </is>
      </c>
      <c r="O1276" s="62">
        <f>IF(N1276="Selling pet toys + Artificial grass/Pet toilets (TARGET)",15,IF(N1276="Selling artificial grass/pet toilets (TARGET)",10,IF(N1276="Selling pet toys",7,IF(N1276="There's an Amazon link, but no target sales.",3,0))))</f>
        <v/>
      </c>
      <c r="P1276" s="67">
        <f>H1276+J1276+L1276+M1276+O1276</f>
        <v/>
      </c>
      <c r="Q1276" s="69">
        <f>IF(OR(H1276=0,P1276&lt;30),"Tier D (Đóng băng)",IF(P1276&gt;=85,"Tier S (Kim Cương: 85-100đ)",IF(P1276&gt;=70,"Tier A (Vàng: 70-84đ)",IF(P1276&gt;=61,"Tier B+ / Cấp A (Hot Lead: 61-69đ)",IF(P1276&gt;=50,"Tier B (Bạc: 50-60đ)","Tier C (Đồng: 30-49đ)")))))</f>
        <v/>
      </c>
      <c r="R1276" s="9" t="inlineStr">
        <is>
          <t>Khay vệ sinh chung cư (Indoor Potty) + Thảm cỏ ban công (Grass Patch) + Đồ chơi</t>
        </is>
      </c>
      <c r="S1276" s="9" t="inlineStr">
        <is>
          <t>Cấp C Chi phí thấp: Nhắn tin trực tiếp qua Fanpage Facebook/Instagram + Nuôi dưỡng nội dung</t>
        </is>
      </c>
    </row>
    <row r="1277">
      <c r="A1277" s="53" t="n">
        <v>1641</v>
      </c>
      <c r="B1277" s="12" t="inlineStr">
        <is>
          <t>Help a pet find a home</t>
        </is>
      </c>
      <c r="C1277" s="54" t="inlineStr">
        <is>
          <t>https://www.facebook.com/Helpapetfindahome</t>
        </is>
      </c>
      <c r="D1277" s="6" t="inlineStr">
        <is>
          <t>Cần quét Bio Fanpage</t>
        </is>
      </c>
      <c r="E1277" s="53" t="inlineStr">
        <is>
          <t>12/10/2026 03:48:39</t>
        </is>
      </c>
      <c r="F1277" s="53" t="inlineStr">
        <is>
          <t>1 ngày trước</t>
        </is>
      </c>
      <c r="G1277" s="55" t="n">
        <v>1</v>
      </c>
      <c r="H1277" s="56" t="n">
        <v>28</v>
      </c>
      <c r="I1277" s="6" t="inlineStr">
        <is>
          <t>Pet Owner / Cộng đồng nuôi cún (10đ)</t>
        </is>
      </c>
      <c r="J1277" s="56" t="n">
        <v>10</v>
      </c>
      <c r="K1277" s="6" t="inlineStr">
        <is>
          <t>Chưa rõ giống (Cần quét Bio)</t>
        </is>
      </c>
      <c r="L1277" s="56" t="n">
        <v>0</v>
      </c>
      <c r="M1277" s="56" t="n">
        <v>0</v>
      </c>
      <c r="N1277" s="6" t="inlineStr">
        <is>
          <t>Amazon link not found</t>
        </is>
      </c>
      <c r="O1277" s="56">
        <f>IF(N1277="Selling pet toys + Artificial grass/Pet toilets (TARGET)",15,IF(N1277="Selling artificial grass/pet toilets (TARGET)",10,IF(N1277="Selling pet toys",7,IF(N1277="There's an Amazon link, but no target sales.",3,0))))</f>
        <v/>
      </c>
      <c r="P1277" s="65">
        <f>H1277+J1277+L1277+M1277+O1277</f>
        <v/>
      </c>
      <c r="Q1277" s="69">
        <f>IF(OR(H1277=0,P1277&lt;30),"Tier D (Đóng băng)",IF(P1277&gt;=85,"Tier S (Kim Cương: 85-100đ)",IF(P1277&gt;=70,"Tier A (Vàng: 70-84đ)",IF(P1277&gt;=61,"Tier B+ / Cấp A (Hot Lead: 61-69đ)",IF(P1277&gt;=50,"Tier B (Bạc: 50-60đ)","Tier C (Đồng: 30-49đ)")))))</f>
        <v/>
      </c>
      <c r="R1277" s="6" t="inlineStr">
        <is>
          <t>Khay vệ sinh chung cư (Indoor Potty) + Thảm cỏ ban công (Grass Patch) + Đồ chơi</t>
        </is>
      </c>
      <c r="S1277" s="6" t="inlineStr">
        <is>
          <t>Cấp C Chi phí thấp: Nhắn tin trực tiếp qua Fanpage Facebook/Instagram + Nuôi dưỡng nội dung</t>
        </is>
      </c>
    </row>
    <row r="1278">
      <c r="A1278" s="59" t="n">
        <v>3162</v>
      </c>
      <c r="B1278" s="15" t="inlineStr">
        <is>
          <t>The Suddy Dog</t>
        </is>
      </c>
      <c r="C1278" s="60" t="inlineStr">
        <is>
          <t>https://www.facebook.com/profile.php?id=61550981697633</t>
        </is>
      </c>
      <c r="D1278" s="9" t="inlineStr">
        <is>
          <t>Cần quét Bio Fanpage</t>
        </is>
      </c>
      <c r="E1278" s="59" t="inlineStr">
        <is>
          <t>12/10/2026 03:04:08</t>
        </is>
      </c>
      <c r="F1278" s="59" t="inlineStr">
        <is>
          <t>1 ngày trước</t>
        </is>
      </c>
      <c r="G1278" s="61" t="n">
        <v>1</v>
      </c>
      <c r="H1278" s="62" t="n">
        <v>28</v>
      </c>
      <c r="I1278" s="9" t="inlineStr">
        <is>
          <t>Pet Owner / Cộng đồng nuôi cún (10đ)</t>
        </is>
      </c>
      <c r="J1278" s="62" t="n">
        <v>10</v>
      </c>
      <c r="K1278" s="9" t="inlineStr">
        <is>
          <t>Chưa rõ giống (Cần quét Bio)</t>
        </is>
      </c>
      <c r="L1278" s="62" t="n">
        <v>0</v>
      </c>
      <c r="M1278" s="62" t="n">
        <v>0</v>
      </c>
      <c r="N1278" s="9" t="inlineStr">
        <is>
          <t>Amazon link not found</t>
        </is>
      </c>
      <c r="O1278" s="62">
        <f>IF(N1278="Selling pet toys + Artificial grass/Pet toilets (TARGET)",15,IF(N1278="Selling artificial grass/pet toilets (TARGET)",10,IF(N1278="Selling pet toys",7,IF(N1278="There's an Amazon link, but no target sales.",3,0))))</f>
        <v/>
      </c>
      <c r="P1278" s="67">
        <f>H1278+J1278+L1278+M1278+O1278</f>
        <v/>
      </c>
      <c r="Q1278" s="69">
        <f>IF(OR(H1278=0,P1278&lt;30),"Tier D (Đóng băng)",IF(P1278&gt;=85,"Tier S (Kim Cương: 85-100đ)",IF(P1278&gt;=70,"Tier A (Vàng: 70-84đ)",IF(P1278&gt;=61,"Tier B+ / Cấp A (Hot Lead: 61-69đ)",IF(P1278&gt;=50,"Tier B (Bạc: 50-60đ)","Tier C (Đồng: 30-49đ)")))))</f>
        <v/>
      </c>
      <c r="R1278" s="9" t="inlineStr">
        <is>
          <t>Khay vệ sinh chung cư (Indoor Potty) + Thảm cỏ ban công (Grass Patch) + Đồ chơi</t>
        </is>
      </c>
      <c r="S1278" s="9" t="inlineStr">
        <is>
          <t>Cấp C Chi phí thấp: Nhắn tin trực tiếp qua Fanpage Facebook/Instagram + Nuôi dưỡng nội dung</t>
        </is>
      </c>
    </row>
    <row r="1279">
      <c r="A1279" s="53" t="n">
        <v>2612</v>
      </c>
      <c r="B1279" s="12" t="inlineStr">
        <is>
          <t>Prague Expo Dog</t>
        </is>
      </c>
      <c r="C1279" s="54" t="inlineStr">
        <is>
          <t>https://www.facebook.com/PragueExpoDog</t>
        </is>
      </c>
      <c r="D1279" s="6" t="inlineStr">
        <is>
          <t>Cần quét Bio Fanpage</t>
        </is>
      </c>
      <c r="E1279" s="53" t="inlineStr">
        <is>
          <t>12/10/2026 02:00:20</t>
        </is>
      </c>
      <c r="F1279" s="53" t="inlineStr">
        <is>
          <t>1 ngày trước</t>
        </is>
      </c>
      <c r="G1279" s="55" t="n">
        <v>1</v>
      </c>
      <c r="H1279" s="56" t="n">
        <v>28</v>
      </c>
      <c r="I1279" s="6" t="inlineStr">
        <is>
          <t>Pet Owner / Cộng đồng nuôi cún (10đ)</t>
        </is>
      </c>
      <c r="J1279" s="56" t="n">
        <v>10</v>
      </c>
      <c r="K1279" s="6" t="inlineStr">
        <is>
          <t>Chưa rõ giống (Cần quét Bio)</t>
        </is>
      </c>
      <c r="L1279" s="56" t="n">
        <v>0</v>
      </c>
      <c r="M1279" s="56" t="n">
        <v>0</v>
      </c>
      <c r="N1279" s="6" t="inlineStr">
        <is>
          <t>Amazon link not found</t>
        </is>
      </c>
      <c r="O1279" s="56">
        <f>IF(N1279="Selling pet toys + Artificial grass/Pet toilets (TARGET)",15,IF(N1279="Selling artificial grass/pet toilets (TARGET)",10,IF(N1279="Selling pet toys",7,IF(N1279="There's an Amazon link, but no target sales.",3,0))))</f>
        <v/>
      </c>
      <c r="P1279" s="65">
        <f>H1279+J1279+L1279+M1279+O1279</f>
        <v/>
      </c>
      <c r="Q1279" s="69">
        <f>IF(OR(H1279=0,P1279&lt;30),"Tier D (Đóng băng)",IF(P1279&gt;=85,"Tier S (Kim Cương: 85-100đ)",IF(P1279&gt;=70,"Tier A (Vàng: 70-84đ)",IF(P1279&gt;=61,"Tier B+ / Cấp A (Hot Lead: 61-69đ)",IF(P1279&gt;=50,"Tier B (Bạc: 50-60đ)","Tier C (Đồng: 30-49đ)")))))</f>
        <v/>
      </c>
      <c r="R1279" s="6" t="inlineStr">
        <is>
          <t>Khay vệ sinh chung cư (Indoor Potty) + Thảm cỏ ban công (Grass Patch) + Đồ chơi</t>
        </is>
      </c>
      <c r="S1279" s="6" t="inlineStr">
        <is>
          <t>Cấp C Chi phí thấp: Nhắn tin trực tiếp qua Fanpage Facebook/Instagram + Nuôi dưỡng nội dung</t>
        </is>
      </c>
    </row>
    <row r="1280">
      <c r="A1280" s="59" t="n">
        <v>2891</v>
      </c>
      <c r="B1280" s="15" t="inlineStr">
        <is>
          <t>Shunako - Dog Photography</t>
        </is>
      </c>
      <c r="C1280" s="60" t="inlineStr">
        <is>
          <t>https://www.facebook.com/shunakodp</t>
        </is>
      </c>
      <c r="D1280" s="9" t="inlineStr">
        <is>
          <t>Cần quét Bio Fanpage</t>
        </is>
      </c>
      <c r="E1280" s="59" t="inlineStr">
        <is>
          <t>12/10/2026 01:57:18</t>
        </is>
      </c>
      <c r="F1280" s="59" t="inlineStr">
        <is>
          <t>1 ngày trước</t>
        </is>
      </c>
      <c r="G1280" s="61" t="n">
        <v>1</v>
      </c>
      <c r="H1280" s="62" t="n">
        <v>28</v>
      </c>
      <c r="I1280" s="9" t="inlineStr">
        <is>
          <t>Pet Owner / Cộng đồng nuôi cún (10đ)</t>
        </is>
      </c>
      <c r="J1280" s="62" t="n">
        <v>10</v>
      </c>
      <c r="K1280" s="9" t="inlineStr">
        <is>
          <t>Chưa rõ giống (Cần quét Bio)</t>
        </is>
      </c>
      <c r="L1280" s="62" t="n">
        <v>0</v>
      </c>
      <c r="M1280" s="62" t="n">
        <v>0</v>
      </c>
      <c r="N1280" s="9" t="inlineStr">
        <is>
          <t>Amazon link not found</t>
        </is>
      </c>
      <c r="O1280" s="62">
        <f>IF(N1280="Selling pet toys + Artificial grass/Pet toilets (TARGET)",15,IF(N1280="Selling artificial grass/pet toilets (TARGET)",10,IF(N1280="Selling pet toys",7,IF(N1280="There's an Amazon link, but no target sales.",3,0))))</f>
        <v/>
      </c>
      <c r="P1280" s="67">
        <f>H1280+J1280+L1280+M1280+O1280</f>
        <v/>
      </c>
      <c r="Q1280" s="69">
        <f>IF(OR(H1280=0,P1280&lt;30),"Tier D (Đóng băng)",IF(P1280&gt;=85,"Tier S (Kim Cương: 85-100đ)",IF(P1280&gt;=70,"Tier A (Vàng: 70-84đ)",IF(P1280&gt;=61,"Tier B+ / Cấp A (Hot Lead: 61-69đ)",IF(P1280&gt;=50,"Tier B (Bạc: 50-60đ)","Tier C (Đồng: 30-49đ)")))))</f>
        <v/>
      </c>
      <c r="R1280" s="9" t="inlineStr">
        <is>
          <t>Khay vệ sinh chung cư (Indoor Potty) + Thảm cỏ ban công (Grass Patch) + Đồ chơi</t>
        </is>
      </c>
      <c r="S1280" s="9" t="inlineStr">
        <is>
          <t>Cấp C Chi phí thấp: Nhắn tin trực tiếp qua Fanpage Facebook/Instagram + Nuôi dưỡng nội dung</t>
        </is>
      </c>
    </row>
    <row r="1281">
      <c r="A1281" s="53" t="n">
        <v>2420</v>
      </c>
      <c r="B1281" s="12" t="inlineStr">
        <is>
          <t>Pawsitive Vet Care</t>
        </is>
      </c>
      <c r="C1281" s="54" t="inlineStr">
        <is>
          <t>https://www.facebook.com/pawsitivevc</t>
        </is>
      </c>
      <c r="D1281" s="6" t="inlineStr">
        <is>
          <t>Cần quét Bio Fanpage</t>
        </is>
      </c>
      <c r="E1281" s="53" t="inlineStr">
        <is>
          <t>12/10/2026 01:22:03</t>
        </is>
      </c>
      <c r="F1281" s="53" t="inlineStr">
        <is>
          <t>1 ngày trước</t>
        </is>
      </c>
      <c r="G1281" s="55" t="n">
        <v>1</v>
      </c>
      <c r="H1281" s="56" t="n">
        <v>28</v>
      </c>
      <c r="I1281" s="6" t="inlineStr">
        <is>
          <t>Pet Owner / Cộng đồng nuôi cún (10đ)</t>
        </is>
      </c>
      <c r="J1281" s="56" t="n">
        <v>10</v>
      </c>
      <c r="K1281" s="6" t="inlineStr">
        <is>
          <t>Chưa rõ giống (Cần quét Bio)</t>
        </is>
      </c>
      <c r="L1281" s="56" t="n">
        <v>0</v>
      </c>
      <c r="M1281" s="56" t="n">
        <v>0</v>
      </c>
      <c r="N1281" s="6" t="inlineStr">
        <is>
          <t>Amazon link not found</t>
        </is>
      </c>
      <c r="O1281" s="56">
        <f>IF(N1281="Selling pet toys + Artificial grass/Pet toilets (TARGET)",15,IF(N1281="Selling artificial grass/pet toilets (TARGET)",10,IF(N1281="Selling pet toys",7,IF(N1281="There's an Amazon link, but no target sales.",3,0))))</f>
        <v/>
      </c>
      <c r="P1281" s="65">
        <f>H1281+J1281+L1281+M1281+O1281</f>
        <v/>
      </c>
      <c r="Q1281" s="69">
        <f>IF(OR(H1281=0,P1281&lt;30),"Tier D (Đóng băng)",IF(P1281&gt;=85,"Tier S (Kim Cương: 85-100đ)",IF(P1281&gt;=70,"Tier A (Vàng: 70-84đ)",IF(P1281&gt;=61,"Tier B+ / Cấp A (Hot Lead: 61-69đ)",IF(P1281&gt;=50,"Tier B (Bạc: 50-60đ)","Tier C (Đồng: 30-49đ)")))))</f>
        <v/>
      </c>
      <c r="R1281" s="6" t="inlineStr">
        <is>
          <t>Khay vệ sinh chung cư (Indoor Potty) + Thảm cỏ ban công (Grass Patch) + Đồ chơi</t>
        </is>
      </c>
      <c r="S1281" s="6" t="inlineStr">
        <is>
          <t>Cấp C Chi phí thấp: Nhắn tin trực tiếp qua Fanpage Facebook/Instagram + Nuôi dưỡng nội dung</t>
        </is>
      </c>
    </row>
    <row r="1282">
      <c r="A1282" s="59" t="n">
        <v>1753</v>
      </c>
      <c r="B1282" s="15" t="inlineStr">
        <is>
          <t>Jaegr Dogwear</t>
        </is>
      </c>
      <c r="C1282" s="60" t="inlineStr">
        <is>
          <t>https://www.facebook.com/profile.php?id=61573794633320</t>
        </is>
      </c>
      <c r="D1282" s="9" t="inlineStr">
        <is>
          <t>Cần quét Bio Fanpage</t>
        </is>
      </c>
      <c r="E1282" s="59" t="inlineStr">
        <is>
          <t>12/10/2026 01:04:31</t>
        </is>
      </c>
      <c r="F1282" s="59" t="inlineStr">
        <is>
          <t>1 ngày trước</t>
        </is>
      </c>
      <c r="G1282" s="61" t="n">
        <v>1</v>
      </c>
      <c r="H1282" s="62" t="n">
        <v>28</v>
      </c>
      <c r="I1282" s="9" t="inlineStr">
        <is>
          <t>Pet Owner / Cộng đồng nuôi cún (10đ)</t>
        </is>
      </c>
      <c r="J1282" s="62" t="n">
        <v>10</v>
      </c>
      <c r="K1282" s="9" t="inlineStr">
        <is>
          <t>Chưa rõ giống (Cần quét Bio)</t>
        </is>
      </c>
      <c r="L1282" s="62" t="n">
        <v>0</v>
      </c>
      <c r="M1282" s="62" t="n">
        <v>0</v>
      </c>
      <c r="N1282" s="9" t="inlineStr">
        <is>
          <t>Amazon link not found</t>
        </is>
      </c>
      <c r="O1282" s="62">
        <f>IF(N1282="Selling pet toys + Artificial grass/Pet toilets (TARGET)",15,IF(N1282="Selling artificial grass/pet toilets (TARGET)",10,IF(N1282="Selling pet toys",7,IF(N1282="There's an Amazon link, but no target sales.",3,0))))</f>
        <v/>
      </c>
      <c r="P1282" s="67">
        <f>H1282+J1282+L1282+M1282+O1282</f>
        <v/>
      </c>
      <c r="Q1282" s="69">
        <f>IF(OR(H1282=0,P1282&lt;30),"Tier D (Đóng băng)",IF(P1282&gt;=85,"Tier S (Kim Cương: 85-100đ)",IF(P1282&gt;=70,"Tier A (Vàng: 70-84đ)",IF(P1282&gt;=61,"Tier B+ / Cấp A (Hot Lead: 61-69đ)",IF(P1282&gt;=50,"Tier B (Bạc: 50-60đ)","Tier C (Đồng: 30-49đ)")))))</f>
        <v/>
      </c>
      <c r="R1282" s="9" t="inlineStr">
        <is>
          <t>Khay vệ sinh chung cư (Indoor Potty) + Thảm cỏ ban công (Grass Patch) + Đồ chơi</t>
        </is>
      </c>
      <c r="S1282" s="9" t="inlineStr">
        <is>
          <t>Cấp C Chi phí thấp: Nhắn tin trực tiếp qua Fanpage Facebook/Instagram + Nuôi dưỡng nội dung</t>
        </is>
      </c>
    </row>
    <row r="1283">
      <c r="A1283" s="53" t="n">
        <v>35</v>
      </c>
      <c r="B1283" s="12" t="inlineStr">
        <is>
          <t>Charlie the Therapy Dog</t>
        </is>
      </c>
      <c r="C1283" s="54" t="inlineStr">
        <is>
          <t>https://www.facebook.com/charliethetherapy</t>
        </is>
      </c>
      <c r="D1283" s="6" t="inlineStr">
        <is>
          <t>Cần quét Bio Fanpage</t>
        </is>
      </c>
      <c r="E1283" s="53" t="inlineStr">
        <is>
          <t>12/10/2026 00:53:23</t>
        </is>
      </c>
      <c r="F1283" s="53" t="inlineStr">
        <is>
          <t>1 ngày trước</t>
        </is>
      </c>
      <c r="G1283" s="55" t="n">
        <v>1</v>
      </c>
      <c r="H1283" s="56" t="n">
        <v>28</v>
      </c>
      <c r="I1283" s="6" t="inlineStr">
        <is>
          <t>Pet Owner / Cộng đồng nuôi cún (10đ)</t>
        </is>
      </c>
      <c r="J1283" s="56" t="n">
        <v>10</v>
      </c>
      <c r="K1283" s="6" t="inlineStr">
        <is>
          <t>Chưa rõ giống (Cần quét Bio)</t>
        </is>
      </c>
      <c r="L1283" s="56" t="n">
        <v>0</v>
      </c>
      <c r="M1283" s="56" t="n">
        <v>0</v>
      </c>
      <c r="N1283" s="6" t="inlineStr">
        <is>
          <t>Amazon link not found</t>
        </is>
      </c>
      <c r="O1283" s="56">
        <f>IF(N1283="Selling pet toys + Artificial grass/Pet toilets (TARGET)",15,IF(N1283="Selling artificial grass/pet toilets (TARGET)",10,IF(N1283="Selling pet toys",7,IF(N1283="There's an Amazon link, but no target sales.",3,0))))</f>
        <v/>
      </c>
      <c r="P1283" s="65">
        <f>H1283+J1283+L1283+M1283+O1283</f>
        <v/>
      </c>
      <c r="Q1283" s="69">
        <f>IF(OR(H1283=0,P1283&lt;30),"Tier D (Đóng băng)",IF(P1283&gt;=85,"Tier S (Kim Cương: 85-100đ)",IF(P1283&gt;=70,"Tier A (Vàng: 70-84đ)",IF(P1283&gt;=61,"Tier B+ / Cấp A (Hot Lead: 61-69đ)",IF(P1283&gt;=50,"Tier B (Bạc: 50-60đ)","Tier C (Đồng: 30-49đ)")))))</f>
        <v/>
      </c>
      <c r="R1283" s="6" t="inlineStr">
        <is>
          <t>Khay vệ sinh chung cư (Indoor Potty) + Thảm cỏ ban công (Grass Patch) + Đồ chơi</t>
        </is>
      </c>
      <c r="S1283" s="6" t="inlineStr">
        <is>
          <t>Cấp C Chi phí thấp: Nhắn tin trực tiếp qua Fanpage Facebook/Instagram + Nuôi dưỡng nội dung</t>
        </is>
      </c>
    </row>
    <row r="1284">
      <c r="A1284" s="59" t="n">
        <v>1732</v>
      </c>
      <c r="B1284" s="15" t="inlineStr">
        <is>
          <t>IQ Dogsport</t>
        </is>
      </c>
      <c r="C1284" s="60" t="inlineStr">
        <is>
          <t>https://www.facebook.com/IQDogsport</t>
        </is>
      </c>
      <c r="D1284" s="9" t="inlineStr">
        <is>
          <t>Cần quét Bio Fanpage</t>
        </is>
      </c>
      <c r="E1284" s="59" t="inlineStr">
        <is>
          <t>12/10/2026 00:40:01</t>
        </is>
      </c>
      <c r="F1284" s="59" t="inlineStr">
        <is>
          <t>1 ngày trước</t>
        </is>
      </c>
      <c r="G1284" s="61" t="n">
        <v>1</v>
      </c>
      <c r="H1284" s="62" t="n">
        <v>28</v>
      </c>
      <c r="I1284" s="9" t="inlineStr">
        <is>
          <t>Pet Owner / Cộng đồng nuôi cún (10đ)</t>
        </is>
      </c>
      <c r="J1284" s="62" t="n">
        <v>10</v>
      </c>
      <c r="K1284" s="9" t="inlineStr">
        <is>
          <t>Chưa rõ giống (Cần quét Bio)</t>
        </is>
      </c>
      <c r="L1284" s="62" t="n">
        <v>0</v>
      </c>
      <c r="M1284" s="62" t="n">
        <v>0</v>
      </c>
      <c r="N1284" s="9" t="inlineStr">
        <is>
          <t>Amazon link not found</t>
        </is>
      </c>
      <c r="O1284" s="62">
        <f>IF(N1284="Selling pet toys + Artificial grass/Pet toilets (TARGET)",15,IF(N1284="Selling artificial grass/pet toilets (TARGET)",10,IF(N1284="Selling pet toys",7,IF(N1284="There's an Amazon link, but no target sales.",3,0))))</f>
        <v/>
      </c>
      <c r="P1284" s="67">
        <f>H1284+J1284+L1284+M1284+O1284</f>
        <v/>
      </c>
      <c r="Q1284" s="69">
        <f>IF(OR(H1284=0,P1284&lt;30),"Tier D (Đóng băng)",IF(P1284&gt;=85,"Tier S (Kim Cương: 85-100đ)",IF(P1284&gt;=70,"Tier A (Vàng: 70-84đ)",IF(P1284&gt;=61,"Tier B+ / Cấp A (Hot Lead: 61-69đ)",IF(P1284&gt;=50,"Tier B (Bạc: 50-60đ)","Tier C (Đồng: 30-49đ)")))))</f>
        <v/>
      </c>
      <c r="R1284" s="9" t="inlineStr">
        <is>
          <t>Khay vệ sinh chung cư (Indoor Potty) + Thảm cỏ ban công (Grass Patch) + Đồ chơi</t>
        </is>
      </c>
      <c r="S1284" s="9" t="inlineStr">
        <is>
          <t>Cấp C Chi phí thấp: Nhắn tin trực tiếp qua Fanpage Facebook/Instagram + Nuôi dưỡng nội dung</t>
        </is>
      </c>
    </row>
    <row r="1285">
      <c r="A1285" s="53" t="n">
        <v>15</v>
      </c>
      <c r="B1285" s="12" t="inlineStr">
        <is>
          <t>pugloulou</t>
        </is>
      </c>
      <c r="C1285" s="54" t="inlineStr">
        <is>
          <t>https://www.facebook.com/pugloulou</t>
        </is>
      </c>
      <c r="D1285" s="6" t="inlineStr">
        <is>
          <t>Cần quét Bio Fanpage</t>
        </is>
      </c>
      <c r="E1285" s="53" t="inlineStr">
        <is>
          <t>12/10/2026 00:35:59</t>
        </is>
      </c>
      <c r="F1285" s="53" t="inlineStr">
        <is>
          <t>1 ngày trước</t>
        </is>
      </c>
      <c r="G1285" s="55" t="n">
        <v>1</v>
      </c>
      <c r="H1285" s="56" t="n">
        <v>28</v>
      </c>
      <c r="I1285" s="6" t="inlineStr">
        <is>
          <t>Pet Owner / Cộng đồng nuôi cún (10đ)</t>
        </is>
      </c>
      <c r="J1285" s="56" t="n">
        <v>10</v>
      </c>
      <c r="K1285" s="6" t="inlineStr">
        <is>
          <t>Chưa rõ giống (Cần quét Bio)</t>
        </is>
      </c>
      <c r="L1285" s="56" t="n">
        <v>0</v>
      </c>
      <c r="M1285" s="56" t="n">
        <v>0</v>
      </c>
      <c r="N1285" s="6" t="inlineStr">
        <is>
          <t>Amazon link not found</t>
        </is>
      </c>
      <c r="O1285" s="56">
        <f>IF(N1285="Selling pet toys + Artificial grass/Pet toilets (TARGET)",15,IF(N1285="Selling artificial grass/pet toilets (TARGET)",10,IF(N1285="Selling pet toys",7,IF(N1285="There's an Amazon link, but no target sales.",3,0))))</f>
        <v/>
      </c>
      <c r="P1285" s="65">
        <f>H1285+J1285+L1285+M1285+O1285</f>
        <v/>
      </c>
      <c r="Q1285" s="69">
        <f>IF(OR(H1285=0,P1285&lt;30),"Tier D (Đóng băng)",IF(P1285&gt;=85,"Tier S (Kim Cương: 85-100đ)",IF(P1285&gt;=70,"Tier A (Vàng: 70-84đ)",IF(P1285&gt;=61,"Tier B+ / Cấp A (Hot Lead: 61-69đ)",IF(P1285&gt;=50,"Tier B (Bạc: 50-60đ)","Tier C (Đồng: 30-49đ)")))))</f>
        <v/>
      </c>
      <c r="R1285" s="6" t="inlineStr">
        <is>
          <t>Khay vệ sinh chung cư (Indoor Potty) + Thảm cỏ ban công (Grass Patch) + Đồ chơi</t>
        </is>
      </c>
      <c r="S1285" s="6" t="inlineStr">
        <is>
          <t>Cấp C Chi phí thấp: Nhắn tin trực tiếp qua Fanpage Facebook/Instagram + Nuôi dưỡng nội dung</t>
        </is>
      </c>
    </row>
    <row r="1286">
      <c r="A1286" s="59" t="n">
        <v>3386</v>
      </c>
      <c r="B1286" s="15" t="inlineStr">
        <is>
          <t>Wellness Pet Food</t>
        </is>
      </c>
      <c r="C1286" s="60" t="inlineStr">
        <is>
          <t>https://www.facebook.com/wellnesspetfood</t>
        </is>
      </c>
      <c r="D1286" s="9" t="inlineStr">
        <is>
          <t>Cần quét Bio Fanpage</t>
        </is>
      </c>
      <c r="E1286" s="59" t="inlineStr">
        <is>
          <t>11/10/2026 23:45:39</t>
        </is>
      </c>
      <c r="F1286" s="59" t="inlineStr">
        <is>
          <t>1 ngày trước</t>
        </is>
      </c>
      <c r="G1286" s="61" t="n">
        <v>1</v>
      </c>
      <c r="H1286" s="62" t="n">
        <v>28</v>
      </c>
      <c r="I1286" s="9" t="inlineStr">
        <is>
          <t>Pet Owner / Cộng đồng nuôi cún (10đ)</t>
        </is>
      </c>
      <c r="J1286" s="62" t="n">
        <v>10</v>
      </c>
      <c r="K1286" s="9" t="inlineStr">
        <is>
          <t>Chưa rõ giống (Cần quét Bio)</t>
        </is>
      </c>
      <c r="L1286" s="62" t="n">
        <v>0</v>
      </c>
      <c r="M1286" s="62" t="n">
        <v>0</v>
      </c>
      <c r="N1286" s="9" t="inlineStr">
        <is>
          <t>Amazon link not found</t>
        </is>
      </c>
      <c r="O1286" s="62">
        <f>IF(N1286="Selling pet toys + Artificial grass/Pet toilets (TARGET)",15,IF(N1286="Selling artificial grass/pet toilets (TARGET)",10,IF(N1286="Selling pet toys",7,IF(N1286="There's an Amazon link, but no target sales.",3,0))))</f>
        <v/>
      </c>
      <c r="P1286" s="67">
        <f>H1286+J1286+L1286+M1286+O1286</f>
        <v/>
      </c>
      <c r="Q1286" s="69">
        <f>IF(OR(H1286=0,P1286&lt;30),"Tier D (Đóng băng)",IF(P1286&gt;=85,"Tier S (Kim Cương: 85-100đ)",IF(P1286&gt;=70,"Tier A (Vàng: 70-84đ)",IF(P1286&gt;=61,"Tier B+ / Cấp A (Hot Lead: 61-69đ)",IF(P1286&gt;=50,"Tier B (Bạc: 50-60đ)","Tier C (Đồng: 30-49đ)")))))</f>
        <v/>
      </c>
      <c r="R1286" s="9" t="inlineStr">
        <is>
          <t>Khay vệ sinh chung cư (Indoor Potty) + Thảm cỏ ban công (Grass Patch) + Đồ chơi</t>
        </is>
      </c>
      <c r="S1286" s="9" t="inlineStr">
        <is>
          <t>Cấp C Chi phí thấp: Nhắn tin trực tiếp qua Fanpage Facebook/Instagram + Nuôi dưỡng nội dung</t>
        </is>
      </c>
    </row>
    <row r="1287">
      <c r="A1287" s="53" t="n">
        <v>507</v>
      </c>
      <c r="B1287" s="12" t="inlineStr">
        <is>
          <t>AquaDog Normandie - Initiation Sauvetage en Mer Canin</t>
        </is>
      </c>
      <c r="C1287" s="54" t="inlineStr">
        <is>
          <t>https://www.facebook.com/AquaDogNormandie14</t>
        </is>
      </c>
      <c r="D1287" s="6" t="inlineStr">
        <is>
          <t>Cần quét Bio Fanpage</t>
        </is>
      </c>
      <c r="E1287" s="53" t="inlineStr">
        <is>
          <t>11/10/2026 23:36:44</t>
        </is>
      </c>
      <c r="F1287" s="53" t="inlineStr">
        <is>
          <t>1 ngày trước</t>
        </is>
      </c>
      <c r="G1287" s="55" t="n">
        <v>1</v>
      </c>
      <c r="H1287" s="56" t="n">
        <v>28</v>
      </c>
      <c r="I1287" s="6" t="inlineStr">
        <is>
          <t>Pet Owner / Cộng đồng nuôi cún (10đ)</t>
        </is>
      </c>
      <c r="J1287" s="56" t="n">
        <v>10</v>
      </c>
      <c r="K1287" s="6" t="inlineStr">
        <is>
          <t>Chưa rõ giống (Cần quét Bio)</t>
        </is>
      </c>
      <c r="L1287" s="56" t="n">
        <v>0</v>
      </c>
      <c r="M1287" s="56" t="n">
        <v>0</v>
      </c>
      <c r="N1287" s="6" t="inlineStr">
        <is>
          <t>Amazon link not found</t>
        </is>
      </c>
      <c r="O1287" s="56">
        <f>IF(N1287="Selling pet toys + Artificial grass/Pet toilets (TARGET)",15,IF(N1287="Selling artificial grass/pet toilets (TARGET)",10,IF(N1287="Selling pet toys",7,IF(N1287="There's an Amazon link, but no target sales.",3,0))))</f>
        <v/>
      </c>
      <c r="P1287" s="65">
        <f>H1287+J1287+L1287+M1287+O1287</f>
        <v/>
      </c>
      <c r="Q1287" s="69">
        <f>IF(OR(H1287=0,P1287&lt;30),"Tier D (Đóng băng)",IF(P1287&gt;=85,"Tier S (Kim Cương: 85-100đ)",IF(P1287&gt;=70,"Tier A (Vàng: 70-84đ)",IF(P1287&gt;=61,"Tier B+ / Cấp A (Hot Lead: 61-69đ)",IF(P1287&gt;=50,"Tier B (Bạc: 50-60đ)","Tier C (Đồng: 30-49đ)")))))</f>
        <v/>
      </c>
      <c r="R1287" s="6" t="inlineStr">
        <is>
          <t>Khay vệ sinh chung cư (Indoor Potty) + Thảm cỏ ban công (Grass Patch) + Đồ chơi</t>
        </is>
      </c>
      <c r="S1287" s="6" t="inlineStr">
        <is>
          <t>Cấp C Chi phí thấp: Nhắn tin trực tiếp qua Fanpage Facebook/Instagram + Nuôi dưỡng nội dung</t>
        </is>
      </c>
    </row>
    <row r="1288">
      <c r="A1288" s="59" t="n">
        <v>3245</v>
      </c>
      <c r="B1288" s="15" t="inlineStr">
        <is>
          <t>Truf.pet</t>
        </is>
      </c>
      <c r="C1288" s="60" t="inlineStr">
        <is>
          <t>https://www.facebook.com/truf.pet</t>
        </is>
      </c>
      <c r="D1288" s="9" t="inlineStr">
        <is>
          <t>Cần quét Bio Fanpage</t>
        </is>
      </c>
      <c r="E1288" s="59" t="inlineStr">
        <is>
          <t>11/10/2026 23:30:03</t>
        </is>
      </c>
      <c r="F1288" s="59" t="inlineStr">
        <is>
          <t>1 ngày trước</t>
        </is>
      </c>
      <c r="G1288" s="61" t="n">
        <v>1</v>
      </c>
      <c r="H1288" s="62" t="n">
        <v>28</v>
      </c>
      <c r="I1288" s="9" t="inlineStr">
        <is>
          <t>Pet Owner / Cộng đồng nuôi cún (10đ)</t>
        </is>
      </c>
      <c r="J1288" s="62" t="n">
        <v>10</v>
      </c>
      <c r="K1288" s="9" t="inlineStr">
        <is>
          <t>Chưa rõ giống (Cần quét Bio)</t>
        </is>
      </c>
      <c r="L1288" s="62" t="n">
        <v>0</v>
      </c>
      <c r="M1288" s="62" t="n">
        <v>0</v>
      </c>
      <c r="N1288" s="9" t="inlineStr">
        <is>
          <t>Amazon link not found</t>
        </is>
      </c>
      <c r="O1288" s="62">
        <f>IF(N1288="Selling pet toys + Artificial grass/Pet toilets (TARGET)",15,IF(N1288="Selling artificial grass/pet toilets (TARGET)",10,IF(N1288="Selling pet toys",7,IF(N1288="There's an Amazon link, but no target sales.",3,0))))</f>
        <v/>
      </c>
      <c r="P1288" s="67">
        <f>H1288+J1288+L1288+M1288+O1288</f>
        <v/>
      </c>
      <c r="Q1288" s="69">
        <f>IF(OR(H1288=0,P1288&lt;30),"Tier D (Đóng băng)",IF(P1288&gt;=85,"Tier S (Kim Cương: 85-100đ)",IF(P1288&gt;=70,"Tier A (Vàng: 70-84đ)",IF(P1288&gt;=61,"Tier B+ / Cấp A (Hot Lead: 61-69đ)",IF(P1288&gt;=50,"Tier B (Bạc: 50-60đ)","Tier C (Đồng: 30-49đ)")))))</f>
        <v/>
      </c>
      <c r="R1288" s="9" t="inlineStr">
        <is>
          <t>Khay vệ sinh chung cư (Indoor Potty) + Thảm cỏ ban công (Grass Patch) + Đồ chơi</t>
        </is>
      </c>
      <c r="S1288" s="9" t="inlineStr">
        <is>
          <t>Cấp C Chi phí thấp: Nhắn tin trực tiếp qua Fanpage Facebook/Instagram + Nuôi dưỡng nội dung</t>
        </is>
      </c>
    </row>
    <row r="1289">
      <c r="A1289" s="53" t="n">
        <v>909</v>
      </c>
      <c r="B1289" s="12" t="inlineStr">
        <is>
          <t>Clearly Loved Pets</t>
        </is>
      </c>
      <c r="C1289" s="54" t="inlineStr">
        <is>
          <t>https://www.facebook.com/clearlylovedpets</t>
        </is>
      </c>
      <c r="D1289" s="6" t="inlineStr">
        <is>
          <t>Cần quét Bio Fanpage</t>
        </is>
      </c>
      <c r="E1289" s="53" t="inlineStr">
        <is>
          <t>11/10/2026 23:19:17</t>
        </is>
      </c>
      <c r="F1289" s="53" t="inlineStr">
        <is>
          <t>1 ngày trước</t>
        </is>
      </c>
      <c r="G1289" s="55" t="n">
        <v>1</v>
      </c>
      <c r="H1289" s="56" t="n">
        <v>28</v>
      </c>
      <c r="I1289" s="6" t="inlineStr">
        <is>
          <t>Pet Owner / Cộng đồng nuôi cún (10đ)</t>
        </is>
      </c>
      <c r="J1289" s="56" t="n">
        <v>10</v>
      </c>
      <c r="K1289" s="6" t="inlineStr">
        <is>
          <t>Chưa rõ giống (Cần quét Bio)</t>
        </is>
      </c>
      <c r="L1289" s="56" t="n">
        <v>0</v>
      </c>
      <c r="M1289" s="56" t="n">
        <v>0</v>
      </c>
      <c r="N1289" s="6" t="inlineStr">
        <is>
          <t>Amazon link not found</t>
        </is>
      </c>
      <c r="O1289" s="56">
        <f>IF(N1289="Selling pet toys + Artificial grass/Pet toilets (TARGET)",15,IF(N1289="Selling artificial grass/pet toilets (TARGET)",10,IF(N1289="Selling pet toys",7,IF(N1289="There's an Amazon link, but no target sales.",3,0))))</f>
        <v/>
      </c>
      <c r="P1289" s="65">
        <f>H1289+J1289+L1289+M1289+O1289</f>
        <v/>
      </c>
      <c r="Q1289" s="69">
        <f>IF(OR(H1289=0,P1289&lt;30),"Tier D (Đóng băng)",IF(P1289&gt;=85,"Tier S (Kim Cương: 85-100đ)",IF(P1289&gt;=70,"Tier A (Vàng: 70-84đ)",IF(P1289&gt;=61,"Tier B+ / Cấp A (Hot Lead: 61-69đ)",IF(P1289&gt;=50,"Tier B (Bạc: 50-60đ)","Tier C (Đồng: 30-49đ)")))))</f>
        <v/>
      </c>
      <c r="R1289" s="6" t="inlineStr">
        <is>
          <t>Khay vệ sinh chung cư (Indoor Potty) + Thảm cỏ ban công (Grass Patch) + Đồ chơi</t>
        </is>
      </c>
      <c r="S1289" s="6" t="inlineStr">
        <is>
          <t>Cấp C Chi phí thấp: Nhắn tin trực tiếp qua Fanpage Facebook/Instagram + Nuôi dưỡng nội dung</t>
        </is>
      </c>
    </row>
    <row r="1290">
      <c r="A1290" s="59" t="n">
        <v>155</v>
      </c>
      <c r="B1290" s="15" t="inlineStr">
        <is>
          <t>Dogogen</t>
        </is>
      </c>
      <c r="C1290" s="60" t="inlineStr">
        <is>
          <t>https://www.facebook.com/profile.php?id=61552519411489</t>
        </is>
      </c>
      <c r="D1290" s="9" t="inlineStr">
        <is>
          <t>Cần quét Bio Fanpage</t>
        </is>
      </c>
      <c r="E1290" s="59" t="inlineStr">
        <is>
          <t>11/10/2026 23:15:22</t>
        </is>
      </c>
      <c r="F1290" s="59" t="inlineStr">
        <is>
          <t>1 ngày trước</t>
        </is>
      </c>
      <c r="G1290" s="61" t="n">
        <v>1</v>
      </c>
      <c r="H1290" s="62" t="n">
        <v>28</v>
      </c>
      <c r="I1290" s="9" t="inlineStr">
        <is>
          <t>Pet Owner / Cộng đồng nuôi cún (10đ)</t>
        </is>
      </c>
      <c r="J1290" s="62" t="n">
        <v>10</v>
      </c>
      <c r="K1290" s="9" t="inlineStr">
        <is>
          <t>Chưa rõ giống (Cần quét Bio)</t>
        </is>
      </c>
      <c r="L1290" s="62" t="n">
        <v>0</v>
      </c>
      <c r="M1290" s="62" t="n">
        <v>0</v>
      </c>
      <c r="N1290" s="9" t="inlineStr">
        <is>
          <t>Amazon link not found</t>
        </is>
      </c>
      <c r="O1290" s="62">
        <f>IF(N1290="Selling pet toys + Artificial grass/Pet toilets (TARGET)",15,IF(N1290="Selling artificial grass/pet toilets (TARGET)",10,IF(N1290="Selling pet toys",7,IF(N1290="There's an Amazon link, but no target sales.",3,0))))</f>
        <v/>
      </c>
      <c r="P1290" s="67">
        <f>H1290+J1290+L1290+M1290+O1290</f>
        <v/>
      </c>
      <c r="Q1290" s="69">
        <f>IF(OR(H1290=0,P1290&lt;30),"Tier D (Đóng băng)",IF(P1290&gt;=85,"Tier S (Kim Cương: 85-100đ)",IF(P1290&gt;=70,"Tier A (Vàng: 70-84đ)",IF(P1290&gt;=61,"Tier B+ / Cấp A (Hot Lead: 61-69đ)",IF(P1290&gt;=50,"Tier B (Bạc: 50-60đ)","Tier C (Đồng: 30-49đ)")))))</f>
        <v/>
      </c>
      <c r="R1290" s="9" t="inlineStr">
        <is>
          <t>Khay vệ sinh chung cư (Indoor Potty) + Thảm cỏ ban công (Grass Patch) + Đồ chơi</t>
        </is>
      </c>
      <c r="S1290" s="9" t="inlineStr">
        <is>
          <t>Cấp C Chi phí thấp: Nhắn tin trực tiếp qua Fanpage Facebook/Instagram + Nuôi dưỡng nội dung</t>
        </is>
      </c>
    </row>
    <row r="1291">
      <c r="A1291" s="53" t="n">
        <v>2433</v>
      </c>
      <c r="B1291" s="12" t="inlineStr">
        <is>
          <t>Perfect Touch Pet Salon</t>
        </is>
      </c>
      <c r="C1291" s="54" t="inlineStr">
        <is>
          <t>https://www.facebook.com/profile.php?id=61570069250504</t>
        </is>
      </c>
      <c r="D1291" s="6" t="inlineStr">
        <is>
          <t>Cần quét Bio Fanpage</t>
        </is>
      </c>
      <c r="E1291" s="53" t="inlineStr">
        <is>
          <t>11/10/2026 23:14:40</t>
        </is>
      </c>
      <c r="F1291" s="53" t="inlineStr">
        <is>
          <t>1 ngày trước</t>
        </is>
      </c>
      <c r="G1291" s="55" t="n">
        <v>1</v>
      </c>
      <c r="H1291" s="56" t="n">
        <v>28</v>
      </c>
      <c r="I1291" s="6" t="inlineStr">
        <is>
          <t>Pet Owner / Cộng đồng nuôi cún (10đ)</t>
        </is>
      </c>
      <c r="J1291" s="56" t="n">
        <v>10</v>
      </c>
      <c r="K1291" s="6" t="inlineStr">
        <is>
          <t>Chưa rõ giống (Cần quét Bio)</t>
        </is>
      </c>
      <c r="L1291" s="56" t="n">
        <v>0</v>
      </c>
      <c r="M1291" s="56" t="n">
        <v>0</v>
      </c>
      <c r="N1291" s="6" t="inlineStr">
        <is>
          <t>Amazon link not found</t>
        </is>
      </c>
      <c r="O1291" s="56">
        <f>IF(N1291="Selling pet toys + Artificial grass/Pet toilets (TARGET)",15,IF(N1291="Selling artificial grass/pet toilets (TARGET)",10,IF(N1291="Selling pet toys",7,IF(N1291="There's an Amazon link, but no target sales.",3,0))))</f>
        <v/>
      </c>
      <c r="P1291" s="65">
        <f>H1291+J1291+L1291+M1291+O1291</f>
        <v/>
      </c>
      <c r="Q1291" s="69">
        <f>IF(OR(H1291=0,P1291&lt;30),"Tier D (Đóng băng)",IF(P1291&gt;=85,"Tier S (Kim Cương: 85-100đ)",IF(P1291&gt;=70,"Tier A (Vàng: 70-84đ)",IF(P1291&gt;=61,"Tier B+ / Cấp A (Hot Lead: 61-69đ)",IF(P1291&gt;=50,"Tier B (Bạc: 50-60đ)","Tier C (Đồng: 30-49đ)")))))</f>
        <v/>
      </c>
      <c r="R1291" s="6" t="inlineStr">
        <is>
          <t>Khay vệ sinh chung cư (Indoor Potty) + Thảm cỏ ban công (Grass Patch) + Đồ chơi</t>
        </is>
      </c>
      <c r="S1291" s="6" t="inlineStr">
        <is>
          <t>Cấp C Chi phí thấp: Nhắn tin trực tiếp qua Fanpage Facebook/Instagram + Nuôi dưỡng nội dung</t>
        </is>
      </c>
    </row>
    <row r="1292">
      <c r="A1292" s="59" t="n">
        <v>2096</v>
      </c>
      <c r="B1292" s="15" t="inlineStr">
        <is>
          <t>Madison Dog Pack</t>
        </is>
      </c>
      <c r="C1292" s="60" t="inlineStr">
        <is>
          <t>https://www.facebook.com/profile.php?id=61577344693630</t>
        </is>
      </c>
      <c r="D1292" s="9" t="inlineStr">
        <is>
          <t>Cần quét Bio Fanpage</t>
        </is>
      </c>
      <c r="E1292" s="59" t="inlineStr">
        <is>
          <t>11/10/2026 23:10:46</t>
        </is>
      </c>
      <c r="F1292" s="59" t="inlineStr">
        <is>
          <t>1 ngày trước</t>
        </is>
      </c>
      <c r="G1292" s="61" t="n">
        <v>1</v>
      </c>
      <c r="H1292" s="62" t="n">
        <v>28</v>
      </c>
      <c r="I1292" s="9" t="inlineStr">
        <is>
          <t>Pet Owner / Cộng đồng nuôi cún (10đ)</t>
        </is>
      </c>
      <c r="J1292" s="62" t="n">
        <v>10</v>
      </c>
      <c r="K1292" s="9" t="inlineStr">
        <is>
          <t>Chưa rõ giống (Cần quét Bio)</t>
        </is>
      </c>
      <c r="L1292" s="62" t="n">
        <v>0</v>
      </c>
      <c r="M1292" s="62" t="n">
        <v>0</v>
      </c>
      <c r="N1292" s="9" t="inlineStr">
        <is>
          <t>Amazon link not found</t>
        </is>
      </c>
      <c r="O1292" s="62">
        <f>IF(N1292="Selling pet toys + Artificial grass/Pet toilets (TARGET)",15,IF(N1292="Selling artificial grass/pet toilets (TARGET)",10,IF(N1292="Selling pet toys",7,IF(N1292="There's an Amazon link, but no target sales.",3,0))))</f>
        <v/>
      </c>
      <c r="P1292" s="67">
        <f>H1292+J1292+L1292+M1292+O1292</f>
        <v/>
      </c>
      <c r="Q1292" s="69">
        <f>IF(OR(H1292=0,P1292&lt;30),"Tier D (Đóng băng)",IF(P1292&gt;=85,"Tier S (Kim Cương: 85-100đ)",IF(P1292&gt;=70,"Tier A (Vàng: 70-84đ)",IF(P1292&gt;=61,"Tier B+ / Cấp A (Hot Lead: 61-69đ)",IF(P1292&gt;=50,"Tier B (Bạc: 50-60đ)","Tier C (Đồng: 30-49đ)")))))</f>
        <v/>
      </c>
      <c r="R1292" s="9" t="inlineStr">
        <is>
          <t>Khay vệ sinh chung cư (Indoor Potty) + Thảm cỏ ban công (Grass Patch) + Đồ chơi</t>
        </is>
      </c>
      <c r="S1292" s="9" t="inlineStr">
        <is>
          <t>Cấp C Chi phí thấp: Nhắn tin trực tiếp qua Fanpage Facebook/Instagram + Nuôi dưỡng nội dung</t>
        </is>
      </c>
    </row>
    <row r="1293">
      <c r="A1293" s="53" t="n">
        <v>1796</v>
      </c>
      <c r="B1293" s="12" t="inlineStr">
        <is>
          <t>Justin Peterson Highaltitudehouseplants</t>
        </is>
      </c>
      <c r="C1293" s="54" t="inlineStr">
        <is>
          <t>https://www.facebook.com/justin.peterson.5623</t>
        </is>
      </c>
      <c r="D1293" s="6" t="inlineStr">
        <is>
          <t>Cần quét Bio Fanpage</t>
        </is>
      </c>
      <c r="E1293" s="53" t="inlineStr">
        <is>
          <t>11/10/2026 23:00:19</t>
        </is>
      </c>
      <c r="F1293" s="53" t="inlineStr">
        <is>
          <t>1 ngày trước</t>
        </is>
      </c>
      <c r="G1293" s="55" t="n">
        <v>1</v>
      </c>
      <c r="H1293" s="56" t="n">
        <v>28</v>
      </c>
      <c r="I1293" s="6" t="inlineStr">
        <is>
          <t>Pet Owner / Cộng đồng nuôi cún (10đ)</t>
        </is>
      </c>
      <c r="J1293" s="56" t="n">
        <v>10</v>
      </c>
      <c r="K1293" s="6" t="inlineStr">
        <is>
          <t>Chưa rõ giống (Cần quét Bio)</t>
        </is>
      </c>
      <c r="L1293" s="56" t="n">
        <v>0</v>
      </c>
      <c r="M1293" s="56" t="n">
        <v>0</v>
      </c>
      <c r="N1293" s="6" t="inlineStr">
        <is>
          <t>Amazon link not found</t>
        </is>
      </c>
      <c r="O1293" s="56">
        <f>IF(N1293="Selling pet toys + Artificial grass/Pet toilets (TARGET)",15,IF(N1293="Selling artificial grass/pet toilets (TARGET)",10,IF(N1293="Selling pet toys",7,IF(N1293="There's an Amazon link, but no target sales.",3,0))))</f>
        <v/>
      </c>
      <c r="P1293" s="65">
        <f>H1293+J1293+L1293+M1293+O1293</f>
        <v/>
      </c>
      <c r="Q1293" s="69">
        <f>IF(OR(H1293=0,P1293&lt;30),"Tier D (Đóng băng)",IF(P1293&gt;=85,"Tier S (Kim Cương: 85-100đ)",IF(P1293&gt;=70,"Tier A (Vàng: 70-84đ)",IF(P1293&gt;=61,"Tier B+ / Cấp A (Hot Lead: 61-69đ)",IF(P1293&gt;=50,"Tier B (Bạc: 50-60đ)","Tier C (Đồng: 30-49đ)")))))</f>
        <v/>
      </c>
      <c r="R1293" s="6" t="inlineStr">
        <is>
          <t>Khay vệ sinh chung cư (Indoor Potty) + Thảm cỏ ban công (Grass Patch) + Đồ chơi</t>
        </is>
      </c>
      <c r="S1293" s="6" t="inlineStr">
        <is>
          <t>Cấp C Chi phí thấp: Nhắn tin trực tiếp qua Fanpage Facebook/Instagram + Nuôi dưỡng nội dung</t>
        </is>
      </c>
    </row>
    <row r="1294">
      <c r="A1294" s="59" t="n">
        <v>2340</v>
      </c>
      <c r="B1294" s="15" t="inlineStr">
        <is>
          <t>Ogilvie Dogs</t>
        </is>
      </c>
      <c r="C1294" s="60" t="inlineStr">
        <is>
          <t>https://www.facebook.com/OgilvieDogs</t>
        </is>
      </c>
      <c r="D1294" s="9" t="inlineStr">
        <is>
          <t>Cần quét Bio Fanpage</t>
        </is>
      </c>
      <c r="E1294" s="59" t="inlineStr">
        <is>
          <t>11/10/2026 22:44:24</t>
        </is>
      </c>
      <c r="F1294" s="59" t="inlineStr">
        <is>
          <t>1 ngày trước</t>
        </is>
      </c>
      <c r="G1294" s="61" t="n">
        <v>1</v>
      </c>
      <c r="H1294" s="62" t="n">
        <v>28</v>
      </c>
      <c r="I1294" s="9" t="inlineStr">
        <is>
          <t>Pet Owner / Cộng đồng nuôi cún (10đ)</t>
        </is>
      </c>
      <c r="J1294" s="62" t="n">
        <v>10</v>
      </c>
      <c r="K1294" s="9" t="inlineStr">
        <is>
          <t>Chưa rõ giống (Cần quét Bio)</t>
        </is>
      </c>
      <c r="L1294" s="62" t="n">
        <v>0</v>
      </c>
      <c r="M1294" s="62" t="n">
        <v>0</v>
      </c>
      <c r="N1294" s="9" t="inlineStr">
        <is>
          <t>Amazon link not found</t>
        </is>
      </c>
      <c r="O1294" s="62">
        <f>IF(N1294="Selling pet toys + Artificial grass/Pet toilets (TARGET)",15,IF(N1294="Selling artificial grass/pet toilets (TARGET)",10,IF(N1294="Selling pet toys",7,IF(N1294="There's an Amazon link, but no target sales.",3,0))))</f>
        <v/>
      </c>
      <c r="P1294" s="67">
        <f>H1294+J1294+L1294+M1294+O1294</f>
        <v/>
      </c>
      <c r="Q1294" s="69">
        <f>IF(OR(H1294=0,P1294&lt;30),"Tier D (Đóng băng)",IF(P1294&gt;=85,"Tier S (Kim Cương: 85-100đ)",IF(P1294&gt;=70,"Tier A (Vàng: 70-84đ)",IF(P1294&gt;=61,"Tier B+ / Cấp A (Hot Lead: 61-69đ)",IF(P1294&gt;=50,"Tier B (Bạc: 50-60đ)","Tier C (Đồng: 30-49đ)")))))</f>
        <v/>
      </c>
      <c r="R1294" s="9" t="inlineStr">
        <is>
          <t>Khay vệ sinh chung cư (Indoor Potty) + Thảm cỏ ban công (Grass Patch) + Đồ chơi</t>
        </is>
      </c>
      <c r="S1294" s="9" t="inlineStr">
        <is>
          <t>Cấp C Chi phí thấp: Nhắn tin trực tiếp qua Fanpage Facebook/Instagram + Nuôi dưỡng nội dung</t>
        </is>
      </c>
    </row>
    <row r="1295">
      <c r="A1295" s="53" t="n">
        <v>1630</v>
      </c>
      <c r="B1295" s="12" t="inlineStr">
        <is>
          <t>HD DogHouse</t>
        </is>
      </c>
      <c r="C1295" s="54" t="inlineStr">
        <is>
          <t>https://www.facebook.com/hd.doghouse</t>
        </is>
      </c>
      <c r="D1295" s="6" t="inlineStr">
        <is>
          <t>Cần quét Bio Fanpage</t>
        </is>
      </c>
      <c r="E1295" s="53" t="inlineStr">
        <is>
          <t>11/10/2026 22:38:37</t>
        </is>
      </c>
      <c r="F1295" s="53" t="inlineStr">
        <is>
          <t>1 ngày trước</t>
        </is>
      </c>
      <c r="G1295" s="55" t="n">
        <v>1</v>
      </c>
      <c r="H1295" s="56" t="n">
        <v>28</v>
      </c>
      <c r="I1295" s="6" t="inlineStr">
        <is>
          <t>Pet Owner / Cộng đồng nuôi cún (10đ)</t>
        </is>
      </c>
      <c r="J1295" s="56" t="n">
        <v>10</v>
      </c>
      <c r="K1295" s="6" t="inlineStr">
        <is>
          <t>Chưa rõ giống (Cần quét Bio)</t>
        </is>
      </c>
      <c r="L1295" s="56" t="n">
        <v>0</v>
      </c>
      <c r="M1295" s="56" t="n">
        <v>0</v>
      </c>
      <c r="N1295" s="6" t="inlineStr">
        <is>
          <t>Amazon link not found</t>
        </is>
      </c>
      <c r="O1295" s="56">
        <f>IF(N1295="Selling pet toys + Artificial grass/Pet toilets (TARGET)",15,IF(N1295="Selling artificial grass/pet toilets (TARGET)",10,IF(N1295="Selling pet toys",7,IF(N1295="There's an Amazon link, but no target sales.",3,0))))</f>
        <v/>
      </c>
      <c r="P1295" s="65">
        <f>H1295+J1295+L1295+M1295+O1295</f>
        <v/>
      </c>
      <c r="Q1295" s="69">
        <f>IF(OR(H1295=0,P1295&lt;30),"Tier D (Đóng băng)",IF(P1295&gt;=85,"Tier S (Kim Cương: 85-100đ)",IF(P1295&gt;=70,"Tier A (Vàng: 70-84đ)",IF(P1295&gt;=61,"Tier B+ / Cấp A (Hot Lead: 61-69đ)",IF(P1295&gt;=50,"Tier B (Bạc: 50-60đ)","Tier C (Đồng: 30-49đ)")))))</f>
        <v/>
      </c>
      <c r="R1295" s="6" t="inlineStr">
        <is>
          <t>Khay vệ sinh chung cư (Indoor Potty) + Thảm cỏ ban công (Grass Patch) + Đồ chơi</t>
        </is>
      </c>
      <c r="S1295" s="6" t="inlineStr">
        <is>
          <t>Cấp C Chi phí thấp: Nhắn tin trực tiếp qua Fanpage Facebook/Instagram + Nuôi dưỡng nội dung</t>
        </is>
      </c>
    </row>
    <row r="1296">
      <c r="A1296" s="59" t="n">
        <v>2514</v>
      </c>
      <c r="B1296" s="15" t="inlineStr">
        <is>
          <t>PetitFit by Cris</t>
        </is>
      </c>
      <c r="C1296" s="60" t="inlineStr">
        <is>
          <t>https://www.facebook.com/petitfitbycris</t>
        </is>
      </c>
      <c r="D1296" s="9" t="inlineStr">
        <is>
          <t>Cần quét Bio Fanpage</t>
        </is>
      </c>
      <c r="E1296" s="59" t="inlineStr">
        <is>
          <t>11/10/2026 22:18:26</t>
        </is>
      </c>
      <c r="F1296" s="59" t="inlineStr">
        <is>
          <t>1 ngày trước</t>
        </is>
      </c>
      <c r="G1296" s="61" t="n">
        <v>1</v>
      </c>
      <c r="H1296" s="62" t="n">
        <v>28</v>
      </c>
      <c r="I1296" s="9" t="inlineStr">
        <is>
          <t>Pet Owner / Cộng đồng nuôi cún (10đ)</t>
        </is>
      </c>
      <c r="J1296" s="62" t="n">
        <v>10</v>
      </c>
      <c r="K1296" s="9" t="inlineStr">
        <is>
          <t>Chưa rõ giống (Cần quét Bio)</t>
        </is>
      </c>
      <c r="L1296" s="62" t="n">
        <v>0</v>
      </c>
      <c r="M1296" s="62" t="n">
        <v>0</v>
      </c>
      <c r="N1296" s="9" t="inlineStr">
        <is>
          <t>Amazon link not found</t>
        </is>
      </c>
      <c r="O1296" s="62">
        <f>IF(N1296="Selling pet toys + Artificial grass/Pet toilets (TARGET)",15,IF(N1296="Selling artificial grass/pet toilets (TARGET)",10,IF(N1296="Selling pet toys",7,IF(N1296="There's an Amazon link, but no target sales.",3,0))))</f>
        <v/>
      </c>
      <c r="P1296" s="67">
        <f>H1296+J1296+L1296+M1296+O1296</f>
        <v/>
      </c>
      <c r="Q1296" s="69">
        <f>IF(OR(H1296=0,P1296&lt;30),"Tier D (Đóng băng)",IF(P1296&gt;=85,"Tier S (Kim Cương: 85-100đ)",IF(P1296&gt;=70,"Tier A (Vàng: 70-84đ)",IF(P1296&gt;=61,"Tier B+ / Cấp A (Hot Lead: 61-69đ)",IF(P1296&gt;=50,"Tier B (Bạc: 50-60đ)","Tier C (Đồng: 30-49đ)")))))</f>
        <v/>
      </c>
      <c r="R1296" s="9" t="inlineStr">
        <is>
          <t>Khay vệ sinh chung cư (Indoor Potty) + Thảm cỏ ban công (Grass Patch) + Đồ chơi</t>
        </is>
      </c>
      <c r="S1296" s="9" t="inlineStr">
        <is>
          <t>Cấp C Chi phí thấp: Nhắn tin trực tiếp qua Fanpage Facebook/Instagram + Nuôi dưỡng nội dung</t>
        </is>
      </c>
    </row>
    <row r="1297">
      <c r="A1297" s="53" t="n">
        <v>1921</v>
      </c>
      <c r="B1297" s="12" t="inlineStr">
        <is>
          <t>Kentuckiana Cluster of Dog Shows</t>
        </is>
      </c>
      <c r="C1297" s="54" t="inlineStr">
        <is>
          <t>https://www.facebook.com/kentuckianacluster</t>
        </is>
      </c>
      <c r="D1297" s="6" t="inlineStr">
        <is>
          <t>Cần quét Bio Fanpage</t>
        </is>
      </c>
      <c r="E1297" s="53" t="inlineStr">
        <is>
          <t>11/10/2026 22:04:34</t>
        </is>
      </c>
      <c r="F1297" s="53" t="inlineStr">
        <is>
          <t>1 ngày trước</t>
        </is>
      </c>
      <c r="G1297" s="55" t="n">
        <v>1</v>
      </c>
      <c r="H1297" s="56" t="n">
        <v>28</v>
      </c>
      <c r="I1297" s="6" t="inlineStr">
        <is>
          <t>Pet Owner / Cộng đồng nuôi cún (10đ)</t>
        </is>
      </c>
      <c r="J1297" s="56" t="n">
        <v>10</v>
      </c>
      <c r="K1297" s="6" t="inlineStr">
        <is>
          <t>Chưa rõ giống (Cần quét Bio)</t>
        </is>
      </c>
      <c r="L1297" s="56" t="n">
        <v>0</v>
      </c>
      <c r="M1297" s="56" t="n">
        <v>0</v>
      </c>
      <c r="N1297" s="6" t="inlineStr">
        <is>
          <t>Amazon link not found</t>
        </is>
      </c>
      <c r="O1297" s="56">
        <f>IF(N1297="Selling pet toys + Artificial grass/Pet toilets (TARGET)",15,IF(N1297="Selling artificial grass/pet toilets (TARGET)",10,IF(N1297="Selling pet toys",7,IF(N1297="There's an Amazon link, but no target sales.",3,0))))</f>
        <v/>
      </c>
      <c r="P1297" s="65">
        <f>H1297+J1297+L1297+M1297+O1297</f>
        <v/>
      </c>
      <c r="Q1297" s="69">
        <f>IF(OR(H1297=0,P1297&lt;30),"Tier D (Đóng băng)",IF(P1297&gt;=85,"Tier S (Kim Cương: 85-100đ)",IF(P1297&gt;=70,"Tier A (Vàng: 70-84đ)",IF(P1297&gt;=61,"Tier B+ / Cấp A (Hot Lead: 61-69đ)",IF(P1297&gt;=50,"Tier B (Bạc: 50-60đ)","Tier C (Đồng: 30-49đ)")))))</f>
        <v/>
      </c>
      <c r="R1297" s="6" t="inlineStr">
        <is>
          <t>Khay vệ sinh chung cư (Indoor Potty) + Thảm cỏ ban công (Grass Patch) + Đồ chơi</t>
        </is>
      </c>
      <c r="S1297" s="6" t="inlineStr">
        <is>
          <t>Cấp C Chi phí thấp: Nhắn tin trực tiếp qua Fanpage Facebook/Instagram + Nuôi dưỡng nội dung</t>
        </is>
      </c>
    </row>
    <row r="1298">
      <c r="A1298" s="59" t="n">
        <v>40</v>
      </c>
      <c r="B1298" s="15" t="inlineStr">
        <is>
          <t>perfectpoochesgrooming</t>
        </is>
      </c>
      <c r="C1298" s="60" t="inlineStr">
        <is>
          <t>https://www.facebook.com/perfectpoochesgrooming</t>
        </is>
      </c>
      <c r="D1298" s="9" t="inlineStr">
        <is>
          <t>Cần quét Bio Fanpage</t>
        </is>
      </c>
      <c r="E1298" s="59" t="inlineStr">
        <is>
          <t>11/10/2026 22:01:41</t>
        </is>
      </c>
      <c r="F1298" s="59" t="inlineStr">
        <is>
          <t>1 ngày trước</t>
        </is>
      </c>
      <c r="G1298" s="61" t="n">
        <v>1</v>
      </c>
      <c r="H1298" s="62" t="n">
        <v>28</v>
      </c>
      <c r="I1298" s="9" t="inlineStr">
        <is>
          <t>Pet Owner / Cộng đồng nuôi cún (10đ)</t>
        </is>
      </c>
      <c r="J1298" s="62" t="n">
        <v>10</v>
      </c>
      <c r="K1298" s="9" t="inlineStr">
        <is>
          <t>Chưa rõ giống (Cần quét Bio)</t>
        </is>
      </c>
      <c r="L1298" s="62" t="n">
        <v>0</v>
      </c>
      <c r="M1298" s="62" t="n">
        <v>0</v>
      </c>
      <c r="N1298" s="9" t="inlineStr">
        <is>
          <t>Amazon link not found</t>
        </is>
      </c>
      <c r="O1298" s="62">
        <f>IF(N1298="Selling pet toys + Artificial grass/Pet toilets (TARGET)",15,IF(N1298="Selling artificial grass/pet toilets (TARGET)",10,IF(N1298="Selling pet toys",7,IF(N1298="There's an Amazon link, but no target sales.",3,0))))</f>
        <v/>
      </c>
      <c r="P1298" s="67">
        <f>H1298+J1298+L1298+M1298+O1298</f>
        <v/>
      </c>
      <c r="Q1298" s="69">
        <f>IF(OR(H1298=0,P1298&lt;30),"Tier D (Đóng băng)",IF(P1298&gt;=85,"Tier S (Kim Cương: 85-100đ)",IF(P1298&gt;=70,"Tier A (Vàng: 70-84đ)",IF(P1298&gt;=61,"Tier B+ / Cấp A (Hot Lead: 61-69đ)",IF(P1298&gt;=50,"Tier B (Bạc: 50-60đ)","Tier C (Đồng: 30-49đ)")))))</f>
        <v/>
      </c>
      <c r="R1298" s="9" t="inlineStr">
        <is>
          <t>Khay vệ sinh chung cư (Indoor Potty) + Thảm cỏ ban công (Grass Patch) + Đồ chơi</t>
        </is>
      </c>
      <c r="S1298" s="9" t="inlineStr">
        <is>
          <t>Cấp C Chi phí thấp: Nhắn tin trực tiếp qua Fanpage Facebook/Instagram + Nuôi dưỡng nội dung</t>
        </is>
      </c>
    </row>
    <row r="1299">
      <c r="A1299" s="53" t="n">
        <v>1047</v>
      </c>
      <c r="B1299" s="12" t="inlineStr">
        <is>
          <t>Dog and Cat Networking Agents</t>
        </is>
      </c>
      <c r="C1299" s="54" t="inlineStr">
        <is>
          <t>https://www.facebook.com/DNACSRA</t>
        </is>
      </c>
      <c r="D1299" s="6" t="inlineStr">
        <is>
          <t>Cần quét Bio Fanpage</t>
        </is>
      </c>
      <c r="E1299" s="53" t="inlineStr">
        <is>
          <t>11/10/2026 22:01:00</t>
        </is>
      </c>
      <c r="F1299" s="53" t="inlineStr">
        <is>
          <t>1 ngày trước</t>
        </is>
      </c>
      <c r="G1299" s="55" t="n">
        <v>1</v>
      </c>
      <c r="H1299" s="56" t="n">
        <v>28</v>
      </c>
      <c r="I1299" s="6" t="inlineStr">
        <is>
          <t>Pet Owner / Cộng đồng nuôi cún (10đ)</t>
        </is>
      </c>
      <c r="J1299" s="56" t="n">
        <v>10</v>
      </c>
      <c r="K1299" s="6" t="inlineStr">
        <is>
          <t>Chưa rõ giống (Cần quét Bio)</t>
        </is>
      </c>
      <c r="L1299" s="56" t="n">
        <v>0</v>
      </c>
      <c r="M1299" s="56" t="n">
        <v>0</v>
      </c>
      <c r="N1299" s="6" t="inlineStr">
        <is>
          <t>Amazon link not found</t>
        </is>
      </c>
      <c r="O1299" s="56">
        <f>IF(N1299="Selling pet toys + Artificial grass/Pet toilets (TARGET)",15,IF(N1299="Selling artificial grass/pet toilets (TARGET)",10,IF(N1299="Selling pet toys",7,IF(N1299="There's an Amazon link, but no target sales.",3,0))))</f>
        <v/>
      </c>
      <c r="P1299" s="65">
        <f>H1299+J1299+L1299+M1299+O1299</f>
        <v/>
      </c>
      <c r="Q1299" s="69">
        <f>IF(OR(H1299=0,P1299&lt;30),"Tier D (Đóng băng)",IF(P1299&gt;=85,"Tier S (Kim Cương: 85-100đ)",IF(P1299&gt;=70,"Tier A (Vàng: 70-84đ)",IF(P1299&gt;=61,"Tier B+ / Cấp A (Hot Lead: 61-69đ)",IF(P1299&gt;=50,"Tier B (Bạc: 50-60đ)","Tier C (Đồng: 30-49đ)")))))</f>
        <v/>
      </c>
      <c r="R1299" s="6" t="inlineStr">
        <is>
          <t>Khay vệ sinh chung cư (Indoor Potty) + Thảm cỏ ban công (Grass Patch) + Đồ chơi</t>
        </is>
      </c>
      <c r="S1299" s="6" t="inlineStr">
        <is>
          <t>Cấp C Chi phí thấp: Nhắn tin trực tiếp qua Fanpage Facebook/Instagram + Nuôi dưỡng nội dung</t>
        </is>
      </c>
    </row>
    <row r="1300">
      <c r="A1300" s="59" t="n">
        <v>1042</v>
      </c>
      <c r="B1300" s="15" t="inlineStr">
        <is>
          <t>Dixie The Praying Dog</t>
        </is>
      </c>
      <c r="C1300" s="60" t="inlineStr">
        <is>
          <t>https://www.facebook.com/dixietheprayingdog</t>
        </is>
      </c>
      <c r="D1300" s="9" t="inlineStr">
        <is>
          <t>Cần quét Bio Fanpage</t>
        </is>
      </c>
      <c r="E1300" s="59" t="inlineStr">
        <is>
          <t>11/10/2026 21:28:33</t>
        </is>
      </c>
      <c r="F1300" s="59" t="inlineStr">
        <is>
          <t>1 ngày trước</t>
        </is>
      </c>
      <c r="G1300" s="61" t="n">
        <v>1</v>
      </c>
      <c r="H1300" s="62" t="n">
        <v>28</v>
      </c>
      <c r="I1300" s="9" t="inlineStr">
        <is>
          <t>Pet Owner / Cộng đồng nuôi cún (10đ)</t>
        </is>
      </c>
      <c r="J1300" s="62" t="n">
        <v>10</v>
      </c>
      <c r="K1300" s="9" t="inlineStr">
        <is>
          <t>Chưa rõ giống (Cần quét Bio)</t>
        </is>
      </c>
      <c r="L1300" s="62" t="n">
        <v>0</v>
      </c>
      <c r="M1300" s="62" t="n">
        <v>0</v>
      </c>
      <c r="N1300" s="9" t="inlineStr">
        <is>
          <t>Amazon link not found</t>
        </is>
      </c>
      <c r="O1300" s="62">
        <f>IF(N1300="Selling pet toys + Artificial grass/Pet toilets (TARGET)",15,IF(N1300="Selling artificial grass/pet toilets (TARGET)",10,IF(N1300="Selling pet toys",7,IF(N1300="There's an Amazon link, but no target sales.",3,0))))</f>
        <v/>
      </c>
      <c r="P1300" s="67">
        <f>H1300+J1300+L1300+M1300+O1300</f>
        <v/>
      </c>
      <c r="Q1300" s="69">
        <f>IF(OR(H1300=0,P1300&lt;30),"Tier D (Đóng băng)",IF(P1300&gt;=85,"Tier S (Kim Cương: 85-100đ)",IF(P1300&gt;=70,"Tier A (Vàng: 70-84đ)",IF(P1300&gt;=61,"Tier B+ / Cấp A (Hot Lead: 61-69đ)",IF(P1300&gt;=50,"Tier B (Bạc: 50-60đ)","Tier C (Đồng: 30-49đ)")))))</f>
        <v/>
      </c>
      <c r="R1300" s="9" t="inlineStr">
        <is>
          <t>Khay vệ sinh chung cư (Indoor Potty) + Thảm cỏ ban công (Grass Patch) + Đồ chơi</t>
        </is>
      </c>
      <c r="S1300" s="9" t="inlineStr">
        <is>
          <t>Cấp C Chi phí thấp: Nhắn tin trực tiếp qua Fanpage Facebook/Instagram + Nuôi dưỡng nội dung</t>
        </is>
      </c>
    </row>
    <row r="1301">
      <c r="A1301" s="53" t="n">
        <v>887</v>
      </c>
      <c r="B1301" s="12" t="inlineStr">
        <is>
          <t>Chesapeake Search Dogs</t>
        </is>
      </c>
      <c r="C1301" s="54" t="inlineStr">
        <is>
          <t>https://www.facebook.com/profile.php?id=100064839212383</t>
        </is>
      </c>
      <c r="D1301" s="6" t="inlineStr">
        <is>
          <t>Cần quét Bio Fanpage</t>
        </is>
      </c>
      <c r="E1301" s="53" t="inlineStr">
        <is>
          <t>11/10/2026 21:25:29</t>
        </is>
      </c>
      <c r="F1301" s="53" t="inlineStr">
        <is>
          <t>1 ngày trước</t>
        </is>
      </c>
      <c r="G1301" s="55" t="n">
        <v>1</v>
      </c>
      <c r="H1301" s="56" t="n">
        <v>28</v>
      </c>
      <c r="I1301" s="6" t="inlineStr">
        <is>
          <t>Pet Owner / Cộng đồng nuôi cún (10đ)</t>
        </is>
      </c>
      <c r="J1301" s="56" t="n">
        <v>10</v>
      </c>
      <c r="K1301" s="6" t="inlineStr">
        <is>
          <t>Chưa rõ giống (Cần quét Bio)</t>
        </is>
      </c>
      <c r="L1301" s="56" t="n">
        <v>0</v>
      </c>
      <c r="M1301" s="56" t="n">
        <v>0</v>
      </c>
      <c r="N1301" s="6" t="inlineStr">
        <is>
          <t>Amazon link not found</t>
        </is>
      </c>
      <c r="O1301" s="56">
        <f>IF(N1301="Selling pet toys + Artificial grass/Pet toilets (TARGET)",15,IF(N1301="Selling artificial grass/pet toilets (TARGET)",10,IF(N1301="Selling pet toys",7,IF(N1301="There's an Amazon link, but no target sales.",3,0))))</f>
        <v/>
      </c>
      <c r="P1301" s="65">
        <f>H1301+J1301+L1301+M1301+O1301</f>
        <v/>
      </c>
      <c r="Q1301" s="69">
        <f>IF(OR(H1301=0,P1301&lt;30),"Tier D (Đóng băng)",IF(P1301&gt;=85,"Tier S (Kim Cương: 85-100đ)",IF(P1301&gt;=70,"Tier A (Vàng: 70-84đ)",IF(P1301&gt;=61,"Tier B+ / Cấp A (Hot Lead: 61-69đ)",IF(P1301&gt;=50,"Tier B (Bạc: 50-60đ)","Tier C (Đồng: 30-49đ)")))))</f>
        <v/>
      </c>
      <c r="R1301" s="6" t="inlineStr">
        <is>
          <t>Khay vệ sinh chung cư (Indoor Potty) + Thảm cỏ ban công (Grass Patch) + Đồ chơi</t>
        </is>
      </c>
      <c r="S1301" s="6" t="inlineStr">
        <is>
          <t>Cấp C Chi phí thấp: Nhắn tin trực tiếp qua Fanpage Facebook/Instagram + Nuôi dưỡng nội dung</t>
        </is>
      </c>
    </row>
    <row r="1302">
      <c r="A1302" s="59" t="n">
        <v>2472</v>
      </c>
      <c r="B1302" s="15" t="inlineStr">
        <is>
          <t>Pet Valu</t>
        </is>
      </c>
      <c r="C1302" s="60" t="inlineStr">
        <is>
          <t>https://www.facebook.com/petvalu</t>
        </is>
      </c>
      <c r="D1302" s="9" t="inlineStr">
        <is>
          <t>Cần quét Bio Fanpage</t>
        </is>
      </c>
      <c r="E1302" s="59" t="inlineStr">
        <is>
          <t>11/10/2026 21:01:22</t>
        </is>
      </c>
      <c r="F1302" s="59" t="inlineStr">
        <is>
          <t>1 ngày trước</t>
        </is>
      </c>
      <c r="G1302" s="61" t="n">
        <v>1</v>
      </c>
      <c r="H1302" s="62" t="n">
        <v>28</v>
      </c>
      <c r="I1302" s="9" t="inlineStr">
        <is>
          <t>Pet Owner / Cộng đồng nuôi cún (10đ)</t>
        </is>
      </c>
      <c r="J1302" s="62" t="n">
        <v>10</v>
      </c>
      <c r="K1302" s="9" t="inlineStr">
        <is>
          <t>Chưa rõ giống (Cần quét Bio)</t>
        </is>
      </c>
      <c r="L1302" s="62" t="n">
        <v>0</v>
      </c>
      <c r="M1302" s="62" t="n">
        <v>0</v>
      </c>
      <c r="N1302" s="9" t="inlineStr">
        <is>
          <t>Amazon link not found</t>
        </is>
      </c>
      <c r="O1302" s="62">
        <f>IF(N1302="Selling pet toys + Artificial grass/Pet toilets (TARGET)",15,IF(N1302="Selling artificial grass/pet toilets (TARGET)",10,IF(N1302="Selling pet toys",7,IF(N1302="There's an Amazon link, but no target sales.",3,0))))</f>
        <v/>
      </c>
      <c r="P1302" s="67">
        <f>H1302+J1302+L1302+M1302+O1302</f>
        <v/>
      </c>
      <c r="Q1302" s="69">
        <f>IF(OR(H1302=0,P1302&lt;30),"Tier D (Đóng băng)",IF(P1302&gt;=85,"Tier S (Kim Cương: 85-100đ)",IF(P1302&gt;=70,"Tier A (Vàng: 70-84đ)",IF(P1302&gt;=61,"Tier B+ / Cấp A (Hot Lead: 61-69đ)",IF(P1302&gt;=50,"Tier B (Bạc: 50-60đ)","Tier C (Đồng: 30-49đ)")))))</f>
        <v/>
      </c>
      <c r="R1302" s="9" t="inlineStr">
        <is>
          <t>Khay vệ sinh chung cư (Indoor Potty) + Thảm cỏ ban công (Grass Patch) + Đồ chơi</t>
        </is>
      </c>
      <c r="S1302" s="9" t="inlineStr">
        <is>
          <t>Cấp C Chi phí thấp: Nhắn tin trực tiếp qua Fanpage Facebook/Instagram + Nuôi dưỡng nội dung</t>
        </is>
      </c>
    </row>
    <row r="1303">
      <c r="A1303" s="53" t="n">
        <v>3109</v>
      </c>
      <c r="B1303" s="12" t="inlineStr">
        <is>
          <t>The Dog Training Barn</t>
        </is>
      </c>
      <c r="C1303" s="54" t="inlineStr">
        <is>
          <t>https://www.facebook.com/profile.php?id=100063595902764</t>
        </is>
      </c>
      <c r="D1303" s="6" t="inlineStr">
        <is>
          <t>Cần quét Bio Fanpage</t>
        </is>
      </c>
      <c r="E1303" s="53" t="inlineStr">
        <is>
          <t>11/10/2026 20:55:05</t>
        </is>
      </c>
      <c r="F1303" s="53" t="inlineStr">
        <is>
          <t>1 ngày trước</t>
        </is>
      </c>
      <c r="G1303" s="55" t="n">
        <v>1</v>
      </c>
      <c r="H1303" s="56" t="n">
        <v>28</v>
      </c>
      <c r="I1303" s="6" t="inlineStr">
        <is>
          <t>Pet Owner / Kênh cá nhân thú cưng (10đ)</t>
        </is>
      </c>
      <c r="J1303" s="56" t="n">
        <v>10</v>
      </c>
      <c r="K1303" s="6" t="inlineStr">
        <is>
          <t>Chưa rõ giống (Cần quét Bio)</t>
        </is>
      </c>
      <c r="L1303" s="56" t="n">
        <v>0</v>
      </c>
      <c r="M1303" s="56" t="n">
        <v>0</v>
      </c>
      <c r="N1303" s="6" t="inlineStr">
        <is>
          <t>Amazon link not found</t>
        </is>
      </c>
      <c r="O1303" s="56">
        <f>IF(N1303="Selling pet toys + Artificial grass/Pet toilets (TARGET)",15,IF(N1303="Selling artificial grass/pet toilets (TARGET)",10,IF(N1303="Selling pet toys",7,IF(N1303="There's an Amazon link, but no target sales.",3,0))))</f>
        <v/>
      </c>
      <c r="P1303" s="65">
        <f>H1303+J1303+L1303+M1303+O1303</f>
        <v/>
      </c>
      <c r="Q1303" s="69">
        <f>IF(OR(H1303=0,P1303&lt;30),"Tier D (Đóng băng)",IF(P1303&gt;=85,"Tier S (Kim Cương: 85-100đ)",IF(P1303&gt;=70,"Tier A (Vàng: 70-84đ)",IF(P1303&gt;=61,"Tier B+ / Cấp A (Hot Lead: 61-69đ)",IF(P1303&gt;=50,"Tier B (Bạc: 50-60đ)","Tier C (Đồng: 30-49đ)")))))</f>
        <v/>
      </c>
      <c r="R1303" s="6" t="inlineStr">
        <is>
          <t>Khay vệ sinh trong nhà (Indoor Dog Potty) + Đồ chơi thú cưng lẻ</t>
        </is>
      </c>
      <c r="S1303" s="6" t="inlineStr">
        <is>
          <t>Cấp C Chi phí thấp: Nhắn tin trực tiếp qua Fanpage Facebook/Instagram + Nuôi dưỡng nội dung</t>
        </is>
      </c>
    </row>
    <row r="1304">
      <c r="A1304" s="59" t="n">
        <v>2884</v>
      </c>
      <c r="B1304" s="15" t="inlineStr">
        <is>
          <t>Shima Onida Wolfdogs</t>
        </is>
      </c>
      <c r="C1304" s="60" t="inlineStr">
        <is>
          <t>https://www.facebook.com/profile.php?id=61574677094544</t>
        </is>
      </c>
      <c r="D1304" s="9" t="inlineStr">
        <is>
          <t>Cần quét Bio Fanpage</t>
        </is>
      </c>
      <c r="E1304" s="59" t="inlineStr">
        <is>
          <t>11/10/2026 20:45:55</t>
        </is>
      </c>
      <c r="F1304" s="59" t="inlineStr">
        <is>
          <t>1 ngày trước</t>
        </is>
      </c>
      <c r="G1304" s="61" t="n">
        <v>1</v>
      </c>
      <c r="H1304" s="62" t="n">
        <v>28</v>
      </c>
      <c r="I1304" s="9" t="inlineStr">
        <is>
          <t>Pet Owner / Cộng đồng nuôi cún (10đ)</t>
        </is>
      </c>
      <c r="J1304" s="62" t="n">
        <v>10</v>
      </c>
      <c r="K1304" s="9" t="inlineStr">
        <is>
          <t>Chưa rõ giống (Cần quét Bio)</t>
        </is>
      </c>
      <c r="L1304" s="62" t="n">
        <v>0</v>
      </c>
      <c r="M1304" s="62" t="n">
        <v>0</v>
      </c>
      <c r="N1304" s="9" t="inlineStr">
        <is>
          <t>Amazon link not found</t>
        </is>
      </c>
      <c r="O1304" s="62">
        <f>IF(N1304="Selling pet toys + Artificial grass/Pet toilets (TARGET)",15,IF(N1304="Selling artificial grass/pet toilets (TARGET)",10,IF(N1304="Selling pet toys",7,IF(N1304="There's an Amazon link, but no target sales.",3,0))))</f>
        <v/>
      </c>
      <c r="P1304" s="67">
        <f>H1304+J1304+L1304+M1304+O1304</f>
        <v/>
      </c>
      <c r="Q1304" s="69">
        <f>IF(OR(H1304=0,P1304&lt;30),"Tier D (Đóng băng)",IF(P1304&gt;=85,"Tier S (Kim Cương: 85-100đ)",IF(P1304&gt;=70,"Tier A (Vàng: 70-84đ)",IF(P1304&gt;=61,"Tier B+ / Cấp A (Hot Lead: 61-69đ)",IF(P1304&gt;=50,"Tier B (Bạc: 50-60đ)","Tier C (Đồng: 30-49đ)")))))</f>
        <v/>
      </c>
      <c r="R1304" s="9" t="inlineStr">
        <is>
          <t>Khay vệ sinh chung cư (Indoor Potty) + Thảm cỏ ban công (Grass Patch) + Đồ chơi</t>
        </is>
      </c>
      <c r="S1304" s="9" t="inlineStr">
        <is>
          <t>Cấp C Chi phí thấp: Nhắn tin trực tiếp qua Fanpage Facebook/Instagram + Nuôi dưỡng nội dung</t>
        </is>
      </c>
    </row>
    <row r="1305">
      <c r="A1305" s="53" t="n">
        <v>2219</v>
      </c>
      <c r="B1305" s="12" t="inlineStr">
        <is>
          <t>Mountain Dog Companion</t>
        </is>
      </c>
      <c r="C1305" s="54" t="inlineStr">
        <is>
          <t>https://www.facebook.com/mountaindogcompanion</t>
        </is>
      </c>
      <c r="D1305" s="6" t="inlineStr">
        <is>
          <t>Cần quét Bio Fanpage</t>
        </is>
      </c>
      <c r="E1305" s="53" t="inlineStr">
        <is>
          <t>11/10/2026 20:00:15</t>
        </is>
      </c>
      <c r="F1305" s="53" t="inlineStr">
        <is>
          <t>1 ngày trước</t>
        </is>
      </c>
      <c r="G1305" s="55" t="n">
        <v>1</v>
      </c>
      <c r="H1305" s="56" t="n">
        <v>28</v>
      </c>
      <c r="I1305" s="6" t="inlineStr">
        <is>
          <t>Pet Owner / Cộng đồng nuôi cún (10đ)</t>
        </is>
      </c>
      <c r="J1305" s="56" t="n">
        <v>10</v>
      </c>
      <c r="K1305" s="6" t="inlineStr">
        <is>
          <t>Chưa rõ giống (Cần quét Bio)</t>
        </is>
      </c>
      <c r="L1305" s="56" t="n">
        <v>0</v>
      </c>
      <c r="M1305" s="56" t="n">
        <v>0</v>
      </c>
      <c r="N1305" s="6" t="inlineStr">
        <is>
          <t>Amazon link not found</t>
        </is>
      </c>
      <c r="O1305" s="56">
        <f>IF(N1305="Selling pet toys + Artificial grass/Pet toilets (TARGET)",15,IF(N1305="Selling artificial grass/pet toilets (TARGET)",10,IF(N1305="Selling pet toys",7,IF(N1305="There's an Amazon link, but no target sales.",3,0))))</f>
        <v/>
      </c>
      <c r="P1305" s="65">
        <f>H1305+J1305+L1305+M1305+O1305</f>
        <v/>
      </c>
      <c r="Q1305" s="69">
        <f>IF(OR(H1305=0,P1305&lt;30),"Tier D (Đóng băng)",IF(P1305&gt;=85,"Tier S (Kim Cương: 85-100đ)",IF(P1305&gt;=70,"Tier A (Vàng: 70-84đ)",IF(P1305&gt;=61,"Tier B+ / Cấp A (Hot Lead: 61-69đ)",IF(P1305&gt;=50,"Tier B (Bạc: 50-60đ)","Tier C (Đồng: 30-49đ)")))))</f>
        <v/>
      </c>
      <c r="R1305" s="6" t="inlineStr">
        <is>
          <t>Khay vệ sinh chung cư (Indoor Potty) + Thảm cỏ ban công (Grass Patch) + Đồ chơi</t>
        </is>
      </c>
      <c r="S1305" s="6" t="inlineStr">
        <is>
          <t>Cấp C Chi phí thấp: Nhắn tin trực tiếp qua Fanpage Facebook/Instagram + Nuôi dưỡng nội dung</t>
        </is>
      </c>
    </row>
    <row r="1306">
      <c r="A1306" s="59" t="n">
        <v>256</v>
      </c>
      <c r="B1306" s="15" t="inlineStr">
        <is>
          <t>Rodney Habib Pet Health Media</t>
        </is>
      </c>
      <c r="C1306" s="60" t="inlineStr">
        <is>
          <t>https://www.facebook.com/RodneyHabibBlog</t>
        </is>
      </c>
      <c r="D1306" s="9" t="inlineStr">
        <is>
          <t>Cần quét Bio Fanpage</t>
        </is>
      </c>
      <c r="E1306" s="59" t="inlineStr">
        <is>
          <t>11/10/2026 19:57:39</t>
        </is>
      </c>
      <c r="F1306" s="59" t="inlineStr">
        <is>
          <t>1 ngày trước</t>
        </is>
      </c>
      <c r="G1306" s="61" t="n">
        <v>1</v>
      </c>
      <c r="H1306" s="62" t="n">
        <v>28</v>
      </c>
      <c r="I1306" s="9" t="inlineStr">
        <is>
          <t>Pet Owner / Cộng đồng nuôi cún (10đ)</t>
        </is>
      </c>
      <c r="J1306" s="62" t="n">
        <v>10</v>
      </c>
      <c r="K1306" s="9" t="inlineStr">
        <is>
          <t>Chưa rõ giống (Cần quét Bio)</t>
        </is>
      </c>
      <c r="L1306" s="62" t="n">
        <v>0</v>
      </c>
      <c r="M1306" s="62" t="n">
        <v>0</v>
      </c>
      <c r="N1306" s="9" t="inlineStr">
        <is>
          <t>Amazon link not found</t>
        </is>
      </c>
      <c r="O1306" s="62">
        <f>IF(N1306="Selling pet toys + Artificial grass/Pet toilets (TARGET)",15,IF(N1306="Selling artificial grass/pet toilets (TARGET)",10,IF(N1306="Selling pet toys",7,IF(N1306="There's an Amazon link, but no target sales.",3,0))))</f>
        <v/>
      </c>
      <c r="P1306" s="67">
        <f>H1306+J1306+L1306+M1306+O1306</f>
        <v/>
      </c>
      <c r="Q1306" s="69">
        <f>IF(OR(H1306=0,P1306&lt;30),"Tier D (Đóng băng)",IF(P1306&gt;=85,"Tier S (Kim Cương: 85-100đ)",IF(P1306&gt;=70,"Tier A (Vàng: 70-84đ)",IF(P1306&gt;=61,"Tier B+ / Cấp A (Hot Lead: 61-69đ)",IF(P1306&gt;=50,"Tier B (Bạc: 50-60đ)","Tier C (Đồng: 30-49đ)")))))</f>
        <v/>
      </c>
      <c r="R1306" s="9" t="inlineStr">
        <is>
          <t>Khay vệ sinh chung cư (Indoor Potty) + Thảm cỏ ban công (Grass Patch) + Đồ chơi</t>
        </is>
      </c>
      <c r="S1306" s="9" t="inlineStr">
        <is>
          <t>Cấp C Chi phí thấp: Nhắn tin trực tiếp qua Fanpage Facebook/Instagram + Nuôi dưỡng nội dung</t>
        </is>
      </c>
    </row>
    <row r="1307">
      <c r="A1307" s="53" t="n">
        <v>2539</v>
      </c>
      <c r="B1307" s="12" t="inlineStr">
        <is>
          <t>Pets Who Bet</t>
        </is>
      </c>
      <c r="C1307" s="54" t="inlineStr">
        <is>
          <t>https://www.facebook.com/profile.php?id=61581411606302</t>
        </is>
      </c>
      <c r="D1307" s="6" t="inlineStr">
        <is>
          <t>Cần quét Bio Fanpage</t>
        </is>
      </c>
      <c r="E1307" s="53" t="inlineStr">
        <is>
          <t>11/10/2026 19:55:58</t>
        </is>
      </c>
      <c r="F1307" s="53" t="inlineStr">
        <is>
          <t>1 ngày trước</t>
        </is>
      </c>
      <c r="G1307" s="55" t="n">
        <v>1</v>
      </c>
      <c r="H1307" s="56" t="n">
        <v>28</v>
      </c>
      <c r="I1307" s="6" t="inlineStr">
        <is>
          <t>Pet Owner / Cộng đồng nuôi cún (10đ)</t>
        </is>
      </c>
      <c r="J1307" s="56" t="n">
        <v>10</v>
      </c>
      <c r="K1307" s="6" t="inlineStr">
        <is>
          <t>Chưa rõ giống (Cần quét Bio)</t>
        </is>
      </c>
      <c r="L1307" s="56" t="n">
        <v>0</v>
      </c>
      <c r="M1307" s="56" t="n">
        <v>0</v>
      </c>
      <c r="N1307" s="6" t="inlineStr">
        <is>
          <t>Amazon link not found</t>
        </is>
      </c>
      <c r="O1307" s="56">
        <f>IF(N1307="Selling pet toys + Artificial grass/Pet toilets (TARGET)",15,IF(N1307="Selling artificial grass/pet toilets (TARGET)",10,IF(N1307="Selling pet toys",7,IF(N1307="There's an Amazon link, but no target sales.",3,0))))</f>
        <v/>
      </c>
      <c r="P1307" s="65">
        <f>H1307+J1307+L1307+M1307+O1307</f>
        <v/>
      </c>
      <c r="Q1307" s="69">
        <f>IF(OR(H1307=0,P1307&lt;30),"Tier D (Đóng băng)",IF(P1307&gt;=85,"Tier S (Kim Cương: 85-100đ)",IF(P1307&gt;=70,"Tier A (Vàng: 70-84đ)",IF(P1307&gt;=61,"Tier B+ / Cấp A (Hot Lead: 61-69đ)",IF(P1307&gt;=50,"Tier B (Bạc: 50-60đ)","Tier C (Đồng: 30-49đ)")))))</f>
        <v/>
      </c>
      <c r="R1307" s="6" t="inlineStr">
        <is>
          <t>Khay vệ sinh chung cư (Indoor Potty) + Thảm cỏ ban công (Grass Patch) + Đồ chơi</t>
        </is>
      </c>
      <c r="S1307" s="6" t="inlineStr">
        <is>
          <t>Cấp C Chi phí thấp: Nhắn tin trực tiếp qua Fanpage Facebook/Instagram + Nuôi dưỡng nội dung</t>
        </is>
      </c>
    </row>
    <row r="1308">
      <c r="A1308" s="59" t="n">
        <v>153</v>
      </c>
      <c r="B1308" s="15" t="inlineStr">
        <is>
          <t>DogManee Yancey</t>
        </is>
      </c>
      <c r="C1308" s="60" t="inlineStr">
        <is>
          <t>https://www.facebook.com/DogManee.Yancey</t>
        </is>
      </c>
      <c r="D1308" s="9" t="inlineStr">
        <is>
          <t>Cần quét Bio Fanpage</t>
        </is>
      </c>
      <c r="E1308" s="59" t="inlineStr">
        <is>
          <t>11/10/2026 19:02:10</t>
        </is>
      </c>
      <c r="F1308" s="59" t="inlineStr">
        <is>
          <t>1 ngày trước</t>
        </is>
      </c>
      <c r="G1308" s="61" t="n">
        <v>1</v>
      </c>
      <c r="H1308" s="62" t="n">
        <v>28</v>
      </c>
      <c r="I1308" s="9" t="inlineStr">
        <is>
          <t>Pet Owner / Cộng đồng nuôi cún (10đ)</t>
        </is>
      </c>
      <c r="J1308" s="62" t="n">
        <v>10</v>
      </c>
      <c r="K1308" s="9" t="inlineStr">
        <is>
          <t>Chưa rõ giống (Cần quét Bio)</t>
        </is>
      </c>
      <c r="L1308" s="62" t="n">
        <v>0</v>
      </c>
      <c r="M1308" s="62" t="n">
        <v>0</v>
      </c>
      <c r="N1308" s="9" t="inlineStr">
        <is>
          <t>Amazon link not found</t>
        </is>
      </c>
      <c r="O1308" s="62">
        <f>IF(N1308="Selling pet toys + Artificial grass/Pet toilets (TARGET)",15,IF(N1308="Selling artificial grass/pet toilets (TARGET)",10,IF(N1308="Selling pet toys",7,IF(N1308="There's an Amazon link, but no target sales.",3,0))))</f>
        <v/>
      </c>
      <c r="P1308" s="67">
        <f>H1308+J1308+L1308+M1308+O1308</f>
        <v/>
      </c>
      <c r="Q1308" s="69">
        <f>IF(OR(H1308=0,P1308&lt;30),"Tier D (Đóng băng)",IF(P1308&gt;=85,"Tier S (Kim Cương: 85-100đ)",IF(P1308&gt;=70,"Tier A (Vàng: 70-84đ)",IF(P1308&gt;=61,"Tier B+ / Cấp A (Hot Lead: 61-69đ)",IF(P1308&gt;=50,"Tier B (Bạc: 50-60đ)","Tier C (Đồng: 30-49đ)")))))</f>
        <v/>
      </c>
      <c r="R1308" s="9" t="inlineStr">
        <is>
          <t>Khay vệ sinh chung cư (Indoor Potty) + Thảm cỏ ban công (Grass Patch) + Đồ chơi</t>
        </is>
      </c>
      <c r="S1308" s="9" t="inlineStr">
        <is>
          <t>Cấp C Chi phí thấp: Nhắn tin trực tiếp qua Fanpage Facebook/Instagram + Nuôi dưỡng nội dung</t>
        </is>
      </c>
    </row>
    <row r="1309">
      <c r="A1309" s="53" t="n">
        <v>1127</v>
      </c>
      <c r="B1309" s="12" t="inlineStr">
        <is>
          <t>Doggos and Puppers</t>
        </is>
      </c>
      <c r="C1309" s="54" t="inlineStr">
        <is>
          <t>https://www.facebook.com/doggosandpuppersph</t>
        </is>
      </c>
      <c r="D1309" s="6" t="inlineStr">
        <is>
          <t>Cần quét Bio Fanpage</t>
        </is>
      </c>
      <c r="E1309" s="53" t="inlineStr">
        <is>
          <t>11/10/2026 18:31:29</t>
        </is>
      </c>
      <c r="F1309" s="53" t="inlineStr">
        <is>
          <t>1 ngày trước</t>
        </is>
      </c>
      <c r="G1309" s="55" t="n">
        <v>1</v>
      </c>
      <c r="H1309" s="56" t="n">
        <v>28</v>
      </c>
      <c r="I1309" s="6" t="inlineStr">
        <is>
          <t>Pet Owner / Cộng đồng nuôi cún (10đ)</t>
        </is>
      </c>
      <c r="J1309" s="56" t="n">
        <v>10</v>
      </c>
      <c r="K1309" s="6" t="inlineStr">
        <is>
          <t>Chưa rõ giống (Cần quét Bio)</t>
        </is>
      </c>
      <c r="L1309" s="56" t="n">
        <v>0</v>
      </c>
      <c r="M1309" s="56" t="n">
        <v>0</v>
      </c>
      <c r="N1309" s="6" t="inlineStr">
        <is>
          <t>Amazon link not found</t>
        </is>
      </c>
      <c r="O1309" s="56">
        <f>IF(N1309="Selling pet toys + Artificial grass/Pet toilets (TARGET)",15,IF(N1309="Selling artificial grass/pet toilets (TARGET)",10,IF(N1309="Selling pet toys",7,IF(N1309="There's an Amazon link, but no target sales.",3,0))))</f>
        <v/>
      </c>
      <c r="P1309" s="65">
        <f>H1309+J1309+L1309+M1309+O1309</f>
        <v/>
      </c>
      <c r="Q1309" s="69">
        <f>IF(OR(H1309=0,P1309&lt;30),"Tier D (Đóng băng)",IF(P1309&gt;=85,"Tier S (Kim Cương: 85-100đ)",IF(P1309&gt;=70,"Tier A (Vàng: 70-84đ)",IF(P1309&gt;=61,"Tier B+ / Cấp A (Hot Lead: 61-69đ)",IF(P1309&gt;=50,"Tier B (Bạc: 50-60đ)","Tier C (Đồng: 30-49đ)")))))</f>
        <v/>
      </c>
      <c r="R1309" s="6" t="inlineStr">
        <is>
          <t>Khay vệ sinh chung cư (Indoor Potty) + Thảm cỏ ban công (Grass Patch) + Đồ chơi</t>
        </is>
      </c>
      <c r="S1309" s="6" t="inlineStr">
        <is>
          <t>Cấp C Chi phí thấp: Nhắn tin trực tiếp qua Fanpage Facebook/Instagram + Nuôi dưỡng nội dung</t>
        </is>
      </c>
    </row>
    <row r="1310">
      <c r="A1310" s="59" t="n">
        <v>594</v>
      </c>
      <c r="B1310" s="15" t="inlineStr">
        <is>
          <t>Barking Mad Animal Refuge Limited</t>
        </is>
      </c>
      <c r="C1310" s="60" t="inlineStr">
        <is>
          <t>https://www.facebook.com/barkingmadanimalrescue</t>
        </is>
      </c>
      <c r="D1310" s="9" t="inlineStr">
        <is>
          <t>Cần quét Bio Fanpage</t>
        </is>
      </c>
      <c r="E1310" s="59" t="inlineStr">
        <is>
          <t>11/10/2026 18:04:20</t>
        </is>
      </c>
      <c r="F1310" s="59" t="inlineStr">
        <is>
          <t>1 ngày trước</t>
        </is>
      </c>
      <c r="G1310" s="61" t="n">
        <v>1</v>
      </c>
      <c r="H1310" s="62" t="n">
        <v>28</v>
      </c>
      <c r="I1310" s="9" t="inlineStr">
        <is>
          <t>Pet Owner / Cộng đồng nuôi cún (10đ)</t>
        </is>
      </c>
      <c r="J1310" s="62" t="n">
        <v>10</v>
      </c>
      <c r="K1310" s="9" t="inlineStr">
        <is>
          <t>Chưa rõ giống (Cần quét Bio)</t>
        </is>
      </c>
      <c r="L1310" s="62" t="n">
        <v>0</v>
      </c>
      <c r="M1310" s="62" t="n">
        <v>0</v>
      </c>
      <c r="N1310" s="9" t="inlineStr">
        <is>
          <t>Amazon link not found</t>
        </is>
      </c>
      <c r="O1310" s="62">
        <f>IF(N1310="Selling pet toys + Artificial grass/Pet toilets (TARGET)",15,IF(N1310="Selling artificial grass/pet toilets (TARGET)",10,IF(N1310="Selling pet toys",7,IF(N1310="There's an Amazon link, but no target sales.",3,0))))</f>
        <v/>
      </c>
      <c r="P1310" s="67">
        <f>H1310+J1310+L1310+M1310+O1310</f>
        <v/>
      </c>
      <c r="Q1310" s="69">
        <f>IF(OR(H1310=0,P1310&lt;30),"Tier D (Đóng băng)",IF(P1310&gt;=85,"Tier S (Kim Cương: 85-100đ)",IF(P1310&gt;=70,"Tier A (Vàng: 70-84đ)",IF(P1310&gt;=61,"Tier B+ / Cấp A (Hot Lead: 61-69đ)",IF(P1310&gt;=50,"Tier B (Bạc: 50-60đ)","Tier C (Đồng: 30-49đ)")))))</f>
        <v/>
      </c>
      <c r="R1310" s="9" t="inlineStr">
        <is>
          <t>Khay vệ sinh chung cư (Indoor Potty) + Thảm cỏ ban công (Grass Patch) + Đồ chơi</t>
        </is>
      </c>
      <c r="S1310" s="9" t="inlineStr">
        <is>
          <t>Cấp C Chi phí thấp: Nhắn tin trực tiếp qua Fanpage Facebook/Instagram + Nuôi dưỡng nội dung</t>
        </is>
      </c>
    </row>
    <row r="1311">
      <c r="A1311" s="53" t="n">
        <v>1520</v>
      </c>
      <c r="B1311" s="12" t="inlineStr">
        <is>
          <t>Golden Garden Doggies</t>
        </is>
      </c>
      <c r="C1311" s="54" t="inlineStr">
        <is>
          <t>https://www.facebook.com/profile.php?id=61571861524964</t>
        </is>
      </c>
      <c r="D1311" s="6" t="inlineStr">
        <is>
          <t>Cần quét Bio Fanpage</t>
        </is>
      </c>
      <c r="E1311" s="53" t="inlineStr">
        <is>
          <t>11/10/2026 17:35:06</t>
        </is>
      </c>
      <c r="F1311" s="53" t="inlineStr">
        <is>
          <t>1 ngày trước</t>
        </is>
      </c>
      <c r="G1311" s="55" t="n">
        <v>1</v>
      </c>
      <c r="H1311" s="56" t="n">
        <v>28</v>
      </c>
      <c r="I1311" s="6" t="inlineStr">
        <is>
          <t>Pet Owner / Cộng đồng nuôi cún (10đ)</t>
        </is>
      </c>
      <c r="J1311" s="56" t="n">
        <v>10</v>
      </c>
      <c r="K1311" s="6" t="inlineStr">
        <is>
          <t>Chưa rõ giống (Cần quét Bio)</t>
        </is>
      </c>
      <c r="L1311" s="56" t="n">
        <v>0</v>
      </c>
      <c r="M1311" s="56" t="n">
        <v>0</v>
      </c>
      <c r="N1311" s="6" t="inlineStr">
        <is>
          <t>Amazon link not found</t>
        </is>
      </c>
      <c r="O1311" s="56">
        <f>IF(N1311="Selling pet toys + Artificial grass/Pet toilets (TARGET)",15,IF(N1311="Selling artificial grass/pet toilets (TARGET)",10,IF(N1311="Selling pet toys",7,IF(N1311="There's an Amazon link, but no target sales.",3,0))))</f>
        <v/>
      </c>
      <c r="P1311" s="65">
        <f>H1311+J1311+L1311+M1311+O1311</f>
        <v/>
      </c>
      <c r="Q1311" s="69">
        <f>IF(OR(H1311=0,P1311&lt;30),"Tier D (Đóng băng)",IF(P1311&gt;=85,"Tier S (Kim Cương: 85-100đ)",IF(P1311&gt;=70,"Tier A (Vàng: 70-84đ)",IF(P1311&gt;=61,"Tier B+ / Cấp A (Hot Lead: 61-69đ)",IF(P1311&gt;=50,"Tier B (Bạc: 50-60đ)","Tier C (Đồng: 30-49đ)")))))</f>
        <v/>
      </c>
      <c r="R1311" s="6" t="inlineStr">
        <is>
          <t>Khay vệ sinh chung cư (Indoor Potty) + Thảm cỏ ban công (Grass Patch) + Đồ chơi</t>
        </is>
      </c>
      <c r="S1311" s="6" t="inlineStr">
        <is>
          <t>Cấp C Chi phí thấp: Nhắn tin trực tiếp qua Fanpage Facebook/Instagram + Nuôi dưỡng nội dung</t>
        </is>
      </c>
    </row>
    <row r="1312">
      <c r="A1312" s="59" t="n">
        <v>3436</v>
      </c>
      <c r="B1312" s="15" t="inlineStr">
        <is>
          <t>Women in Dog  (Esperienze di gruppo)</t>
        </is>
      </c>
      <c r="C1312" s="60" t="inlineStr">
        <is>
          <t>https://www.facebook.com/womenindog</t>
        </is>
      </c>
      <c r="D1312" s="9" t="inlineStr">
        <is>
          <t>Cần quét Bio Fanpage</t>
        </is>
      </c>
      <c r="E1312" s="59" t="inlineStr">
        <is>
          <t>11/10/2026 17:19:10</t>
        </is>
      </c>
      <c r="F1312" s="59" t="inlineStr">
        <is>
          <t>1 ngày trước</t>
        </is>
      </c>
      <c r="G1312" s="61" t="n">
        <v>1</v>
      </c>
      <c r="H1312" s="62" t="n">
        <v>28</v>
      </c>
      <c r="I1312" s="9" t="inlineStr">
        <is>
          <t>Pet Owner / Cộng đồng nuôi cún (10đ)</t>
        </is>
      </c>
      <c r="J1312" s="62" t="n">
        <v>10</v>
      </c>
      <c r="K1312" s="9" t="inlineStr">
        <is>
          <t>Chưa rõ giống (Cần quét Bio)</t>
        </is>
      </c>
      <c r="L1312" s="62" t="n">
        <v>0</v>
      </c>
      <c r="M1312" s="62" t="n">
        <v>0</v>
      </c>
      <c r="N1312" s="9" t="inlineStr">
        <is>
          <t>Amazon link not found</t>
        </is>
      </c>
      <c r="O1312" s="62">
        <f>IF(N1312="Selling pet toys + Artificial grass/Pet toilets (TARGET)",15,IF(N1312="Selling artificial grass/pet toilets (TARGET)",10,IF(N1312="Selling pet toys",7,IF(N1312="There's an Amazon link, but no target sales.",3,0))))</f>
        <v/>
      </c>
      <c r="P1312" s="67">
        <f>H1312+J1312+L1312+M1312+O1312</f>
        <v/>
      </c>
      <c r="Q1312" s="69">
        <f>IF(OR(H1312=0,P1312&lt;30),"Tier D (Đóng băng)",IF(P1312&gt;=85,"Tier S (Kim Cương: 85-100đ)",IF(P1312&gt;=70,"Tier A (Vàng: 70-84đ)",IF(P1312&gt;=61,"Tier B+ / Cấp A (Hot Lead: 61-69đ)",IF(P1312&gt;=50,"Tier B (Bạc: 50-60đ)","Tier C (Đồng: 30-49đ)")))))</f>
        <v/>
      </c>
      <c r="R1312" s="9" t="inlineStr">
        <is>
          <t>Khay vệ sinh chung cư (Indoor Potty) + Thảm cỏ ban công (Grass Patch) + Đồ chơi</t>
        </is>
      </c>
      <c r="S1312" s="9" t="inlineStr">
        <is>
          <t>Cấp C Chi phí thấp: Nhắn tin trực tiếp qua Fanpage Facebook/Instagram + Nuôi dưỡng nội dung</t>
        </is>
      </c>
    </row>
    <row r="1313">
      <c r="A1313" s="53" t="n">
        <v>3065</v>
      </c>
      <c r="B1313" s="12" t="inlineStr">
        <is>
          <t>Taxipet daniele</t>
        </is>
      </c>
      <c r="C1313" s="54" t="inlineStr">
        <is>
          <t>https://www.facebook.com/danieletaxidog</t>
        </is>
      </c>
      <c r="D1313" s="6" t="inlineStr">
        <is>
          <t>Cần quét Bio Fanpage</t>
        </is>
      </c>
      <c r="E1313" s="53" t="inlineStr">
        <is>
          <t>11/10/2026 17:00:39</t>
        </is>
      </c>
      <c r="F1313" s="53" t="inlineStr">
        <is>
          <t>1 ngày trước</t>
        </is>
      </c>
      <c r="G1313" s="55" t="n">
        <v>1</v>
      </c>
      <c r="H1313" s="56" t="n">
        <v>28</v>
      </c>
      <c r="I1313" s="6" t="inlineStr">
        <is>
          <t>Pet Owner / Cộng đồng nuôi cún (10đ)</t>
        </is>
      </c>
      <c r="J1313" s="56" t="n">
        <v>10</v>
      </c>
      <c r="K1313" s="6" t="inlineStr">
        <is>
          <t>Chưa rõ giống (Cần quét Bio)</t>
        </is>
      </c>
      <c r="L1313" s="56" t="n">
        <v>0</v>
      </c>
      <c r="M1313" s="56" t="n">
        <v>0</v>
      </c>
      <c r="N1313" s="6" t="inlineStr">
        <is>
          <t>Amazon link not found</t>
        </is>
      </c>
      <c r="O1313" s="56">
        <f>IF(N1313="Selling pet toys + Artificial grass/Pet toilets (TARGET)",15,IF(N1313="Selling artificial grass/pet toilets (TARGET)",10,IF(N1313="Selling pet toys",7,IF(N1313="There's an Amazon link, but no target sales.",3,0))))</f>
        <v/>
      </c>
      <c r="P1313" s="65">
        <f>H1313+J1313+L1313+M1313+O1313</f>
        <v/>
      </c>
      <c r="Q1313" s="69">
        <f>IF(OR(H1313=0,P1313&lt;30),"Tier D (Đóng băng)",IF(P1313&gt;=85,"Tier S (Kim Cương: 85-100đ)",IF(P1313&gt;=70,"Tier A (Vàng: 70-84đ)",IF(P1313&gt;=61,"Tier B+ / Cấp A (Hot Lead: 61-69đ)",IF(P1313&gt;=50,"Tier B (Bạc: 50-60đ)","Tier C (Đồng: 30-49đ)")))))</f>
        <v/>
      </c>
      <c r="R1313" s="6" t="inlineStr">
        <is>
          <t>Khay vệ sinh chung cư (Indoor Potty) + Thảm cỏ ban công (Grass Patch) + Đồ chơi</t>
        </is>
      </c>
      <c r="S1313" s="6" t="inlineStr">
        <is>
          <t>Cấp C Chi phí thấp: Nhắn tin trực tiếp qua Fanpage Facebook/Instagram + Nuôi dưỡng nội dung</t>
        </is>
      </c>
    </row>
    <row r="1314">
      <c r="A1314" s="59" t="n">
        <v>1116</v>
      </c>
      <c r="B1314" s="15" t="inlineStr">
        <is>
          <t>Dogelthy</t>
        </is>
      </c>
      <c r="C1314" s="60" t="inlineStr">
        <is>
          <t>https://www.facebook.com/dogelthy</t>
        </is>
      </c>
      <c r="D1314" s="9" t="inlineStr">
        <is>
          <t>Cần quét Bio Fanpage</t>
        </is>
      </c>
      <c r="E1314" s="59" t="inlineStr">
        <is>
          <t>11/10/2026 16:35:02</t>
        </is>
      </c>
      <c r="F1314" s="59" t="inlineStr">
        <is>
          <t>1 ngày trước</t>
        </is>
      </c>
      <c r="G1314" s="61" t="n">
        <v>1</v>
      </c>
      <c r="H1314" s="62" t="n">
        <v>28</v>
      </c>
      <c r="I1314" s="9" t="inlineStr">
        <is>
          <t>Pet Owner / Cộng đồng nuôi cún (10đ)</t>
        </is>
      </c>
      <c r="J1314" s="62" t="n">
        <v>10</v>
      </c>
      <c r="K1314" s="9" t="inlineStr">
        <is>
          <t>Chưa rõ giống (Cần quét Bio)</t>
        </is>
      </c>
      <c r="L1314" s="62" t="n">
        <v>0</v>
      </c>
      <c r="M1314" s="62" t="n">
        <v>0</v>
      </c>
      <c r="N1314" s="9" t="inlineStr">
        <is>
          <t>Amazon link not found</t>
        </is>
      </c>
      <c r="O1314" s="62">
        <f>IF(N1314="Selling pet toys + Artificial grass/Pet toilets (TARGET)",15,IF(N1314="Selling artificial grass/pet toilets (TARGET)",10,IF(N1314="Selling pet toys",7,IF(N1314="There's an Amazon link, but no target sales.",3,0))))</f>
        <v/>
      </c>
      <c r="P1314" s="67">
        <f>H1314+J1314+L1314+M1314+O1314</f>
        <v/>
      </c>
      <c r="Q1314" s="69">
        <f>IF(OR(H1314=0,P1314&lt;30),"Tier D (Đóng băng)",IF(P1314&gt;=85,"Tier S (Kim Cương: 85-100đ)",IF(P1314&gt;=70,"Tier A (Vàng: 70-84đ)",IF(P1314&gt;=61,"Tier B+ / Cấp A (Hot Lead: 61-69đ)",IF(P1314&gt;=50,"Tier B (Bạc: 50-60đ)","Tier C (Đồng: 30-49đ)")))))</f>
        <v/>
      </c>
      <c r="R1314" s="9" t="inlineStr">
        <is>
          <t>Khay vệ sinh chung cư (Indoor Potty) + Thảm cỏ ban công (Grass Patch) + Đồ chơi</t>
        </is>
      </c>
      <c r="S1314" s="9" t="inlineStr">
        <is>
          <t>Cấp C Chi phí thấp: Nhắn tin trực tiếp qua Fanpage Facebook/Instagram + Nuôi dưỡng nội dung</t>
        </is>
      </c>
    </row>
    <row r="1315">
      <c r="A1315" s="53" t="n">
        <v>1763</v>
      </c>
      <c r="B1315" s="12" t="inlineStr">
        <is>
          <t>Jetfast Pet Express</t>
        </is>
      </c>
      <c r="C1315" s="54" t="inlineStr">
        <is>
          <t>https://www.facebook.com/jetfastpetexpress</t>
        </is>
      </c>
      <c r="D1315" s="6" t="inlineStr">
        <is>
          <t>Cần quét Bio Fanpage</t>
        </is>
      </c>
      <c r="E1315" s="53" t="inlineStr">
        <is>
          <t>11/10/2026 16:28:51</t>
        </is>
      </c>
      <c r="F1315" s="53" t="inlineStr">
        <is>
          <t>1 ngày trước</t>
        </is>
      </c>
      <c r="G1315" s="55" t="n">
        <v>1</v>
      </c>
      <c r="H1315" s="56" t="n">
        <v>28</v>
      </c>
      <c r="I1315" s="6" t="inlineStr">
        <is>
          <t>Pet Owner / Cộng đồng nuôi cún (10đ)</t>
        </is>
      </c>
      <c r="J1315" s="56" t="n">
        <v>10</v>
      </c>
      <c r="K1315" s="6" t="inlineStr">
        <is>
          <t>Chưa rõ giống (Cần quét Bio)</t>
        </is>
      </c>
      <c r="L1315" s="56" t="n">
        <v>0</v>
      </c>
      <c r="M1315" s="56" t="n">
        <v>0</v>
      </c>
      <c r="N1315" s="6" t="inlineStr">
        <is>
          <t>Amazon link not found</t>
        </is>
      </c>
      <c r="O1315" s="56">
        <f>IF(N1315="Selling pet toys + Artificial grass/Pet toilets (TARGET)",15,IF(N1315="Selling artificial grass/pet toilets (TARGET)",10,IF(N1315="Selling pet toys",7,IF(N1315="There's an Amazon link, but no target sales.",3,0))))</f>
        <v/>
      </c>
      <c r="P1315" s="65">
        <f>H1315+J1315+L1315+M1315+O1315</f>
        <v/>
      </c>
      <c r="Q1315" s="69">
        <f>IF(OR(H1315=0,P1315&lt;30),"Tier D (Đóng băng)",IF(P1315&gt;=85,"Tier S (Kim Cương: 85-100đ)",IF(P1315&gt;=70,"Tier A (Vàng: 70-84đ)",IF(P1315&gt;=61,"Tier B+ / Cấp A (Hot Lead: 61-69đ)",IF(P1315&gt;=50,"Tier B (Bạc: 50-60đ)","Tier C (Đồng: 30-49đ)")))))</f>
        <v/>
      </c>
      <c r="R1315" s="6" t="inlineStr">
        <is>
          <t>Khay vệ sinh chung cư (Indoor Potty) + Thảm cỏ ban công (Grass Patch) + Đồ chơi</t>
        </is>
      </c>
      <c r="S1315" s="6" t="inlineStr">
        <is>
          <t>Cấp C Chi phí thấp: Nhắn tin trực tiếp qua Fanpage Facebook/Instagram + Nuôi dưỡng nội dung</t>
        </is>
      </c>
    </row>
    <row r="1316">
      <c r="A1316" s="59" t="n">
        <v>242</v>
      </c>
      <c r="B1316" s="15" t="inlineStr">
        <is>
          <t>Pet Printed</t>
        </is>
      </c>
      <c r="C1316" s="60" t="inlineStr">
        <is>
          <t>https://www.facebook.com/petprinted</t>
        </is>
      </c>
      <c r="D1316" s="9" t="inlineStr">
        <is>
          <t>Cần quét Bio Fanpage</t>
        </is>
      </c>
      <c r="E1316" s="59" t="inlineStr">
        <is>
          <t>11/10/2026 16:24:30</t>
        </is>
      </c>
      <c r="F1316" s="59" t="inlineStr">
        <is>
          <t>1 ngày trước</t>
        </is>
      </c>
      <c r="G1316" s="61" t="n">
        <v>1</v>
      </c>
      <c r="H1316" s="62" t="n">
        <v>28</v>
      </c>
      <c r="I1316" s="9" t="inlineStr">
        <is>
          <t>Pet Owner / Cộng đồng nuôi cún (10đ)</t>
        </is>
      </c>
      <c r="J1316" s="62" t="n">
        <v>10</v>
      </c>
      <c r="K1316" s="9" t="inlineStr">
        <is>
          <t>Chưa rõ giống (Cần quét Bio)</t>
        </is>
      </c>
      <c r="L1316" s="62" t="n">
        <v>0</v>
      </c>
      <c r="M1316" s="62" t="n">
        <v>0</v>
      </c>
      <c r="N1316" s="9" t="inlineStr">
        <is>
          <t>Amazon link not found</t>
        </is>
      </c>
      <c r="O1316" s="62">
        <f>IF(N1316="Selling pet toys + Artificial grass/Pet toilets (TARGET)",15,IF(N1316="Selling artificial grass/pet toilets (TARGET)",10,IF(N1316="Selling pet toys",7,IF(N1316="There's an Amazon link, but no target sales.",3,0))))</f>
        <v/>
      </c>
      <c r="P1316" s="67">
        <f>H1316+J1316+L1316+M1316+O1316</f>
        <v/>
      </c>
      <c r="Q1316" s="69">
        <f>IF(OR(H1316=0,P1316&lt;30),"Tier D (Đóng băng)",IF(P1316&gt;=85,"Tier S (Kim Cương: 85-100đ)",IF(P1316&gt;=70,"Tier A (Vàng: 70-84đ)",IF(P1316&gt;=61,"Tier B+ / Cấp A (Hot Lead: 61-69đ)",IF(P1316&gt;=50,"Tier B (Bạc: 50-60đ)","Tier C (Đồng: 30-49đ)")))))</f>
        <v/>
      </c>
      <c r="R1316" s="9" t="inlineStr">
        <is>
          <t>Khay vệ sinh chung cư (Indoor Potty) + Thảm cỏ ban công (Grass Patch) + Đồ chơi</t>
        </is>
      </c>
      <c r="S1316" s="9" t="inlineStr">
        <is>
          <t>Cấp C Chi phí thấp: Nhắn tin trực tiếp qua Fanpage Facebook/Instagram + Nuôi dưỡng nội dung</t>
        </is>
      </c>
    </row>
    <row r="1317">
      <c r="A1317" s="53" t="n">
        <v>667</v>
      </c>
      <c r="B1317" s="12" t="inlineStr">
        <is>
          <t>Big Dog Pet Foods</t>
        </is>
      </c>
      <c r="C1317" s="54" t="inlineStr">
        <is>
          <t>https://www.facebook.com/bigdogpetfoods</t>
        </is>
      </c>
      <c r="D1317" s="6" t="inlineStr">
        <is>
          <t>Cần quét Bio Fanpage</t>
        </is>
      </c>
      <c r="E1317" s="53" t="inlineStr">
        <is>
          <t>11/10/2026 16:15:05</t>
        </is>
      </c>
      <c r="F1317" s="53" t="inlineStr">
        <is>
          <t>1 ngày trước</t>
        </is>
      </c>
      <c r="G1317" s="55" t="n">
        <v>1</v>
      </c>
      <c r="H1317" s="56" t="n">
        <v>28</v>
      </c>
      <c r="I1317" s="6" t="inlineStr">
        <is>
          <t>Pet Owner / Cộng đồng nuôi cún (10đ)</t>
        </is>
      </c>
      <c r="J1317" s="56" t="n">
        <v>10</v>
      </c>
      <c r="K1317" s="6" t="inlineStr">
        <is>
          <t>Chưa rõ giống (Cần quét Bio)</t>
        </is>
      </c>
      <c r="L1317" s="56" t="n">
        <v>0</v>
      </c>
      <c r="M1317" s="56" t="n">
        <v>0</v>
      </c>
      <c r="N1317" s="6" t="inlineStr">
        <is>
          <t>Amazon link not found</t>
        </is>
      </c>
      <c r="O1317" s="56">
        <f>IF(N1317="Selling pet toys + Artificial grass/Pet toilets (TARGET)",15,IF(N1317="Selling artificial grass/pet toilets (TARGET)",10,IF(N1317="Selling pet toys",7,IF(N1317="There's an Amazon link, but no target sales.",3,0))))</f>
        <v/>
      </c>
      <c r="P1317" s="65">
        <f>H1317+J1317+L1317+M1317+O1317</f>
        <v/>
      </c>
      <c r="Q1317" s="69">
        <f>IF(OR(H1317=0,P1317&lt;30),"Tier D (Đóng băng)",IF(P1317&gt;=85,"Tier S (Kim Cương: 85-100đ)",IF(P1317&gt;=70,"Tier A (Vàng: 70-84đ)",IF(P1317&gt;=61,"Tier B+ / Cấp A (Hot Lead: 61-69đ)",IF(P1317&gt;=50,"Tier B (Bạc: 50-60đ)","Tier C (Đồng: 30-49đ)")))))</f>
        <v/>
      </c>
      <c r="R1317" s="6" t="inlineStr">
        <is>
          <t>Khay vệ sinh chung cư (Indoor Potty) + Thảm cỏ ban công (Grass Patch) + Đồ chơi</t>
        </is>
      </c>
      <c r="S1317" s="6" t="inlineStr">
        <is>
          <t>Cấp C Chi phí thấp: Nhắn tin trực tiếp qua Fanpage Facebook/Instagram + Nuôi dưỡng nội dung</t>
        </is>
      </c>
    </row>
    <row r="1318">
      <c r="A1318" s="59" t="n">
        <v>2525</v>
      </c>
      <c r="B1318" s="15" t="inlineStr">
        <is>
          <t>Petra Fisher Movement</t>
        </is>
      </c>
      <c r="C1318" s="60" t="inlineStr">
        <is>
          <t>https://www.facebook.com/petrafishermovement</t>
        </is>
      </c>
      <c r="D1318" s="9" t="inlineStr">
        <is>
          <t>Cần quét Bio Fanpage</t>
        </is>
      </c>
      <c r="E1318" s="59" t="inlineStr">
        <is>
          <t>11/10/2026 15:51:17</t>
        </is>
      </c>
      <c r="F1318" s="59" t="inlineStr">
        <is>
          <t>1 ngày trước</t>
        </is>
      </c>
      <c r="G1318" s="61" t="n">
        <v>1</v>
      </c>
      <c r="H1318" s="62" t="n">
        <v>28</v>
      </c>
      <c r="I1318" s="9" t="inlineStr">
        <is>
          <t>Pet Owner / Cộng đồng nuôi cún (10đ)</t>
        </is>
      </c>
      <c r="J1318" s="62" t="n">
        <v>10</v>
      </c>
      <c r="K1318" s="9" t="inlineStr">
        <is>
          <t>Chưa rõ giống (Cần quét Bio)</t>
        </is>
      </c>
      <c r="L1318" s="62" t="n">
        <v>0</v>
      </c>
      <c r="M1318" s="62" t="n">
        <v>0</v>
      </c>
      <c r="N1318" s="9" t="inlineStr">
        <is>
          <t>Amazon link not found</t>
        </is>
      </c>
      <c r="O1318" s="62">
        <f>IF(N1318="Selling pet toys + Artificial grass/Pet toilets (TARGET)",15,IF(N1318="Selling artificial grass/pet toilets (TARGET)",10,IF(N1318="Selling pet toys",7,IF(N1318="There's an Amazon link, but no target sales.",3,0))))</f>
        <v/>
      </c>
      <c r="P1318" s="67">
        <f>H1318+J1318+L1318+M1318+O1318</f>
        <v/>
      </c>
      <c r="Q1318" s="69">
        <f>IF(OR(H1318=0,P1318&lt;30),"Tier D (Đóng băng)",IF(P1318&gt;=85,"Tier S (Kim Cương: 85-100đ)",IF(P1318&gt;=70,"Tier A (Vàng: 70-84đ)",IF(P1318&gt;=61,"Tier B+ / Cấp A (Hot Lead: 61-69đ)",IF(P1318&gt;=50,"Tier B (Bạc: 50-60đ)","Tier C (Đồng: 30-49đ)")))))</f>
        <v/>
      </c>
      <c r="R1318" s="9" t="inlineStr">
        <is>
          <t>Khay vệ sinh chung cư (Indoor Potty) + Thảm cỏ ban công (Grass Patch) + Đồ chơi</t>
        </is>
      </c>
      <c r="S1318" s="9" t="inlineStr">
        <is>
          <t>Cấp C Chi phí thấp: Nhắn tin trực tiếp qua Fanpage Facebook/Instagram + Nuôi dưỡng nội dung</t>
        </is>
      </c>
    </row>
    <row r="1319">
      <c r="A1319" s="53" t="n">
        <v>2681</v>
      </c>
      <c r="B1319" s="12" t="inlineStr">
        <is>
          <t>Queen's Park Pet Hospital</t>
        </is>
      </c>
      <c r="C1319" s="54" t="inlineStr">
        <is>
          <t>https://www.facebook.com/QPPetHospital</t>
        </is>
      </c>
      <c r="D1319" s="6" t="inlineStr">
        <is>
          <t>Cần quét Bio Fanpage</t>
        </is>
      </c>
      <c r="E1319" s="53" t="inlineStr">
        <is>
          <t>11/10/2026 15:03:31</t>
        </is>
      </c>
      <c r="F1319" s="53" t="inlineStr">
        <is>
          <t>1 ngày trước</t>
        </is>
      </c>
      <c r="G1319" s="55" t="n">
        <v>1</v>
      </c>
      <c r="H1319" s="56" t="n">
        <v>28</v>
      </c>
      <c r="I1319" s="6" t="inlineStr">
        <is>
          <t>Pet Owner / Cộng đồng nuôi cún (10đ)</t>
        </is>
      </c>
      <c r="J1319" s="56" t="n">
        <v>10</v>
      </c>
      <c r="K1319" s="6" t="inlineStr">
        <is>
          <t>Chưa rõ giống (Cần quét Bio)</t>
        </is>
      </c>
      <c r="L1319" s="56" t="n">
        <v>0</v>
      </c>
      <c r="M1319" s="56" t="n">
        <v>0</v>
      </c>
      <c r="N1319" s="6" t="inlineStr">
        <is>
          <t>Amazon link not found</t>
        </is>
      </c>
      <c r="O1319" s="56">
        <f>IF(N1319="Selling pet toys + Artificial grass/Pet toilets (TARGET)",15,IF(N1319="Selling artificial grass/pet toilets (TARGET)",10,IF(N1319="Selling pet toys",7,IF(N1319="There's an Amazon link, but no target sales.",3,0))))</f>
        <v/>
      </c>
      <c r="P1319" s="65">
        <f>H1319+J1319+L1319+M1319+O1319</f>
        <v/>
      </c>
      <c r="Q1319" s="69">
        <f>IF(OR(H1319=0,P1319&lt;30),"Tier D (Đóng băng)",IF(P1319&gt;=85,"Tier S (Kim Cương: 85-100đ)",IF(P1319&gt;=70,"Tier A (Vàng: 70-84đ)",IF(P1319&gt;=61,"Tier B+ / Cấp A (Hot Lead: 61-69đ)",IF(P1319&gt;=50,"Tier B (Bạc: 50-60đ)","Tier C (Đồng: 30-49đ)")))))</f>
        <v/>
      </c>
      <c r="R1319" s="6" t="inlineStr">
        <is>
          <t>Khay vệ sinh chung cư (Indoor Potty) + Thảm cỏ ban công (Grass Patch) + Đồ chơi</t>
        </is>
      </c>
      <c r="S1319" s="6" t="inlineStr">
        <is>
          <t>Cấp C Chi phí thấp: Nhắn tin trực tiếp qua Fanpage Facebook/Instagram + Nuôi dưỡng nội dung</t>
        </is>
      </c>
    </row>
    <row r="1320">
      <c r="A1320" s="59" t="n">
        <v>1013</v>
      </c>
      <c r="B1320" s="15" t="inlineStr">
        <is>
          <t>Dear Dog</t>
        </is>
      </c>
      <c r="C1320" s="60" t="inlineStr">
        <is>
          <t>https://www.facebook.com/deardognz</t>
        </is>
      </c>
      <c r="D1320" s="9" t="inlineStr">
        <is>
          <t>Cần quét Bio Fanpage</t>
        </is>
      </c>
      <c r="E1320" s="59" t="inlineStr">
        <is>
          <t>11/10/2026 14:15:18</t>
        </is>
      </c>
      <c r="F1320" s="59" t="inlineStr">
        <is>
          <t>1 ngày trước</t>
        </is>
      </c>
      <c r="G1320" s="61" t="n">
        <v>1</v>
      </c>
      <c r="H1320" s="62" t="n">
        <v>28</v>
      </c>
      <c r="I1320" s="9" t="inlineStr">
        <is>
          <t>Pet Owner / Cộng đồng nuôi cún (10đ)</t>
        </is>
      </c>
      <c r="J1320" s="62" t="n">
        <v>10</v>
      </c>
      <c r="K1320" s="9" t="inlineStr">
        <is>
          <t>Chưa rõ giống (Cần quét Bio)</t>
        </is>
      </c>
      <c r="L1320" s="62" t="n">
        <v>0</v>
      </c>
      <c r="M1320" s="62" t="n">
        <v>0</v>
      </c>
      <c r="N1320" s="9" t="inlineStr">
        <is>
          <t>Amazon link not found</t>
        </is>
      </c>
      <c r="O1320" s="62">
        <f>IF(N1320="Selling pet toys + Artificial grass/Pet toilets (TARGET)",15,IF(N1320="Selling artificial grass/pet toilets (TARGET)",10,IF(N1320="Selling pet toys",7,IF(N1320="There's an Amazon link, but no target sales.",3,0))))</f>
        <v/>
      </c>
      <c r="P1320" s="67">
        <f>H1320+J1320+L1320+M1320+O1320</f>
        <v/>
      </c>
      <c r="Q1320" s="69">
        <f>IF(OR(H1320=0,P1320&lt;30),"Tier D (Đóng băng)",IF(P1320&gt;=85,"Tier S (Kim Cương: 85-100đ)",IF(P1320&gt;=70,"Tier A (Vàng: 70-84đ)",IF(P1320&gt;=61,"Tier B+ / Cấp A (Hot Lead: 61-69đ)",IF(P1320&gt;=50,"Tier B (Bạc: 50-60đ)","Tier C (Đồng: 30-49đ)")))))</f>
        <v/>
      </c>
      <c r="R1320" s="9" t="inlineStr">
        <is>
          <t>Khay vệ sinh chung cư (Indoor Potty) + Thảm cỏ ban công (Grass Patch) + Đồ chơi</t>
        </is>
      </c>
      <c r="S1320" s="9" t="inlineStr">
        <is>
          <t>Cấp C Chi phí thấp: Nhắn tin trực tiếp qua Fanpage Facebook/Instagram + Nuôi dưỡng nội dung</t>
        </is>
      </c>
    </row>
    <row r="1321">
      <c r="A1321" s="53" t="n">
        <v>1364</v>
      </c>
      <c r="B1321" s="12" t="inlineStr">
        <is>
          <t>Feedwell Dog Food</t>
        </is>
      </c>
      <c r="C1321" s="54" t="inlineStr">
        <is>
          <t>https://www.facebook.com/feedwell1962</t>
        </is>
      </c>
      <c r="D1321" s="6" t="inlineStr">
        <is>
          <t>Cần quét Bio Fanpage</t>
        </is>
      </c>
      <c r="E1321" s="53" t="inlineStr">
        <is>
          <t>11/10/2026 13:26:02</t>
        </is>
      </c>
      <c r="F1321" s="53" t="inlineStr">
        <is>
          <t>1 ngày trước</t>
        </is>
      </c>
      <c r="G1321" s="55" t="n">
        <v>1</v>
      </c>
      <c r="H1321" s="56" t="n">
        <v>28</v>
      </c>
      <c r="I1321" s="6" t="inlineStr">
        <is>
          <t>Pet Owner / Cộng đồng nuôi cún (10đ)</t>
        </is>
      </c>
      <c r="J1321" s="56" t="n">
        <v>10</v>
      </c>
      <c r="K1321" s="6" t="inlineStr">
        <is>
          <t>Chưa rõ giống (Cần quét Bio)</t>
        </is>
      </c>
      <c r="L1321" s="56" t="n">
        <v>0</v>
      </c>
      <c r="M1321" s="56" t="n">
        <v>0</v>
      </c>
      <c r="N1321" s="6" t="inlineStr">
        <is>
          <t>Amazon link not found</t>
        </is>
      </c>
      <c r="O1321" s="56">
        <f>IF(N1321="Selling pet toys + Artificial grass/Pet toilets (TARGET)",15,IF(N1321="Selling artificial grass/pet toilets (TARGET)",10,IF(N1321="Selling pet toys",7,IF(N1321="There's an Amazon link, but no target sales.",3,0))))</f>
        <v/>
      </c>
      <c r="P1321" s="65">
        <f>H1321+J1321+L1321+M1321+O1321</f>
        <v/>
      </c>
      <c r="Q1321" s="69">
        <f>IF(OR(H1321=0,P1321&lt;30),"Tier D (Đóng băng)",IF(P1321&gt;=85,"Tier S (Kim Cương: 85-100đ)",IF(P1321&gt;=70,"Tier A (Vàng: 70-84đ)",IF(P1321&gt;=61,"Tier B+ / Cấp A (Hot Lead: 61-69đ)",IF(P1321&gt;=50,"Tier B (Bạc: 50-60đ)","Tier C (Đồng: 30-49đ)")))))</f>
        <v/>
      </c>
      <c r="R1321" s="6" t="inlineStr">
        <is>
          <t>Khay vệ sinh chung cư (Indoor Potty) + Thảm cỏ ban công (Grass Patch) + Đồ chơi</t>
        </is>
      </c>
      <c r="S1321" s="6" t="inlineStr">
        <is>
          <t>Cấp C Chi phí thấp: Nhắn tin trực tiếp qua Fanpage Facebook/Instagram + Nuôi dưỡng nội dung</t>
        </is>
      </c>
    </row>
    <row r="1322">
      <c r="A1322" s="59" t="n">
        <v>2493</v>
      </c>
      <c r="B1322" s="15" t="inlineStr">
        <is>
          <t>Peter Firic</t>
        </is>
      </c>
      <c r="C1322" s="60" t="inlineStr">
        <is>
          <t>https://www.facebook.com/peter.firic.92</t>
        </is>
      </c>
      <c r="D1322" s="9" t="inlineStr">
        <is>
          <t>Cần quét Bio Fanpage</t>
        </is>
      </c>
      <c r="E1322" s="59" t="inlineStr">
        <is>
          <t>11/10/2026 13:07:49</t>
        </is>
      </c>
      <c r="F1322" s="59" t="inlineStr">
        <is>
          <t>1 ngày trước</t>
        </is>
      </c>
      <c r="G1322" s="61" t="n">
        <v>1</v>
      </c>
      <c r="H1322" s="62" t="n">
        <v>28</v>
      </c>
      <c r="I1322" s="9" t="inlineStr">
        <is>
          <t>Pet Owner / Cộng đồng nuôi cún (10đ)</t>
        </is>
      </c>
      <c r="J1322" s="62" t="n">
        <v>10</v>
      </c>
      <c r="K1322" s="9" t="inlineStr">
        <is>
          <t>Chưa rõ giống (Cần quét Bio)</t>
        </is>
      </c>
      <c r="L1322" s="62" t="n">
        <v>0</v>
      </c>
      <c r="M1322" s="62" t="n">
        <v>0</v>
      </c>
      <c r="N1322" s="9" t="inlineStr">
        <is>
          <t>Amazon link not found</t>
        </is>
      </c>
      <c r="O1322" s="62">
        <f>IF(N1322="Selling pet toys + Artificial grass/Pet toilets (TARGET)",15,IF(N1322="Selling artificial grass/pet toilets (TARGET)",10,IF(N1322="Selling pet toys",7,IF(N1322="There's an Amazon link, but no target sales.",3,0))))</f>
        <v/>
      </c>
      <c r="P1322" s="67">
        <f>H1322+J1322+L1322+M1322+O1322</f>
        <v/>
      </c>
      <c r="Q1322" s="69">
        <f>IF(OR(H1322=0,P1322&lt;30),"Tier D (Đóng băng)",IF(P1322&gt;=85,"Tier S (Kim Cương: 85-100đ)",IF(P1322&gt;=70,"Tier A (Vàng: 70-84đ)",IF(P1322&gt;=61,"Tier B+ / Cấp A (Hot Lead: 61-69đ)",IF(P1322&gt;=50,"Tier B (Bạc: 50-60đ)","Tier C (Đồng: 30-49đ)")))))</f>
        <v/>
      </c>
      <c r="R1322" s="9" t="inlineStr">
        <is>
          <t>Khay vệ sinh chung cư (Indoor Potty) + Thảm cỏ ban công (Grass Patch) + Đồ chơi</t>
        </is>
      </c>
      <c r="S1322" s="9" t="inlineStr">
        <is>
          <t>Cấp C Chi phí thấp: Nhắn tin trực tiếp qua Fanpage Facebook/Instagram + Nuôi dưỡng nội dung</t>
        </is>
      </c>
    </row>
    <row r="1323">
      <c r="A1323" s="53" t="n">
        <v>519</v>
      </c>
      <c r="B1323" s="12" t="inlineStr">
        <is>
          <t>Arm Satit Petyoying  (M A Dog House)</t>
        </is>
      </c>
      <c r="C1323" s="54" t="inlineStr">
        <is>
          <t>https://www.facebook.com/siberiansisaket</t>
        </is>
      </c>
      <c r="D1323" s="6" t="inlineStr">
        <is>
          <t>Cần quét Bio Fanpage</t>
        </is>
      </c>
      <c r="E1323" s="53" t="inlineStr">
        <is>
          <t>11/10/2026 12:09:21</t>
        </is>
      </c>
      <c r="F1323" s="53" t="inlineStr">
        <is>
          <t>1 ngày trước</t>
        </is>
      </c>
      <c r="G1323" s="55" t="n">
        <v>1</v>
      </c>
      <c r="H1323" s="56" t="n">
        <v>28</v>
      </c>
      <c r="I1323" s="6" t="inlineStr">
        <is>
          <t>Pet Owner / Cộng đồng nuôi cún (10đ)</t>
        </is>
      </c>
      <c r="J1323" s="56" t="n">
        <v>10</v>
      </c>
      <c r="K1323" s="6" t="inlineStr">
        <is>
          <t>Chưa rõ giống (Cần quét Bio)</t>
        </is>
      </c>
      <c r="L1323" s="56" t="n">
        <v>0</v>
      </c>
      <c r="M1323" s="56" t="n">
        <v>0</v>
      </c>
      <c r="N1323" s="6" t="inlineStr">
        <is>
          <t>Amazon link not found</t>
        </is>
      </c>
      <c r="O1323" s="56">
        <f>IF(N1323="Selling pet toys + Artificial grass/Pet toilets (TARGET)",15,IF(N1323="Selling artificial grass/pet toilets (TARGET)",10,IF(N1323="Selling pet toys",7,IF(N1323="There's an Amazon link, but no target sales.",3,0))))</f>
        <v/>
      </c>
      <c r="P1323" s="65">
        <f>H1323+J1323+L1323+M1323+O1323</f>
        <v/>
      </c>
      <c r="Q1323" s="69">
        <f>IF(OR(H1323=0,P1323&lt;30),"Tier D (Đóng băng)",IF(P1323&gt;=85,"Tier S (Kim Cương: 85-100đ)",IF(P1323&gt;=70,"Tier A (Vàng: 70-84đ)",IF(P1323&gt;=61,"Tier B+ / Cấp A (Hot Lead: 61-69đ)",IF(P1323&gt;=50,"Tier B (Bạc: 50-60đ)","Tier C (Đồng: 30-49đ)")))))</f>
        <v/>
      </c>
      <c r="R1323" s="6" t="inlineStr">
        <is>
          <t>Khay vệ sinh chung cư (Indoor Potty) + Thảm cỏ ban công (Grass Patch) + Đồ chơi</t>
        </is>
      </c>
      <c r="S1323" s="6" t="inlineStr">
        <is>
          <t>Cấp C Chi phí thấp: Nhắn tin trực tiếp qua Fanpage Facebook/Instagram + Nuôi dưỡng nội dung</t>
        </is>
      </c>
    </row>
    <row r="1324">
      <c r="A1324" s="59" t="n">
        <v>3506</v>
      </c>
      <c r="B1324" s="15" t="inlineStr">
        <is>
          <t>petepamana</t>
        </is>
      </c>
      <c r="C1324" s="60" t="inlineStr">
        <is>
          <t>https://www.facebook.com/petepamana</t>
        </is>
      </c>
      <c r="D1324" s="9" t="inlineStr">
        <is>
          <t>Cần quét Bio Fanpage</t>
        </is>
      </c>
      <c r="E1324" s="59" t="inlineStr">
        <is>
          <t>11/10/2026 11:38:48</t>
        </is>
      </c>
      <c r="F1324" s="59" t="inlineStr">
        <is>
          <t>1 ngày trước</t>
        </is>
      </c>
      <c r="G1324" s="61" t="n">
        <v>1</v>
      </c>
      <c r="H1324" s="62" t="n">
        <v>28</v>
      </c>
      <c r="I1324" s="9" t="inlineStr">
        <is>
          <t>Pet Owner / Cộng đồng nuôi cún (10đ)</t>
        </is>
      </c>
      <c r="J1324" s="62" t="n">
        <v>10</v>
      </c>
      <c r="K1324" s="9" t="inlineStr">
        <is>
          <t>Chưa rõ giống (Cần quét Bio)</t>
        </is>
      </c>
      <c r="L1324" s="62" t="n">
        <v>0</v>
      </c>
      <c r="M1324" s="62" t="n">
        <v>0</v>
      </c>
      <c r="N1324" s="9" t="inlineStr">
        <is>
          <t>Amazon link not found</t>
        </is>
      </c>
      <c r="O1324" s="62">
        <f>IF(N1324="Selling pet toys + Artificial grass/Pet toilets (TARGET)",15,IF(N1324="Selling artificial grass/pet toilets (TARGET)",10,IF(N1324="Selling pet toys",7,IF(N1324="There's an Amazon link, but no target sales.",3,0))))</f>
        <v/>
      </c>
      <c r="P1324" s="67">
        <f>H1324+J1324+L1324+M1324+O1324</f>
        <v/>
      </c>
      <c r="Q1324" s="69">
        <f>IF(OR(H1324=0,P1324&lt;30),"Tier D (Đóng băng)",IF(P1324&gt;=85,"Tier S (Kim Cương: 85-100đ)",IF(P1324&gt;=70,"Tier A (Vàng: 70-84đ)",IF(P1324&gt;=61,"Tier B+ / Cấp A (Hot Lead: 61-69đ)",IF(P1324&gt;=50,"Tier B (Bạc: 50-60đ)","Tier C (Đồng: 30-49đ)")))))</f>
        <v/>
      </c>
      <c r="R1324" s="9" t="inlineStr">
        <is>
          <t>Khay vệ sinh chung cư (Indoor Potty) + Thảm cỏ ban công (Grass Patch) + Đồ chơi</t>
        </is>
      </c>
      <c r="S1324" s="9" t="inlineStr">
        <is>
          <t>Cấp C Chi phí thấp: Nhắn tin trực tiếp qua Fanpage Facebook/Instagram + Nuôi dưỡng nội dung</t>
        </is>
      </c>
    </row>
    <row r="1325">
      <c r="A1325" s="53" t="n">
        <v>1767</v>
      </c>
      <c r="B1325" s="12" t="inlineStr">
        <is>
          <t>Jiraporn Petchanon</t>
        </is>
      </c>
      <c r="C1325" s="54" t="inlineStr">
        <is>
          <t>https://www.facebook.com/jiraporn.petchanon</t>
        </is>
      </c>
      <c r="D1325" s="6" t="inlineStr">
        <is>
          <t>Cần quét Bio Fanpage</t>
        </is>
      </c>
      <c r="E1325" s="53" t="inlineStr">
        <is>
          <t>11/10/2026 11:16:01</t>
        </is>
      </c>
      <c r="F1325" s="53" t="inlineStr">
        <is>
          <t>1 ngày trước</t>
        </is>
      </c>
      <c r="G1325" s="55" t="n">
        <v>1</v>
      </c>
      <c r="H1325" s="56" t="n">
        <v>28</v>
      </c>
      <c r="I1325" s="6" t="inlineStr">
        <is>
          <t>Pet Owner / Cộng đồng nuôi cún (10đ)</t>
        </is>
      </c>
      <c r="J1325" s="56" t="n">
        <v>10</v>
      </c>
      <c r="K1325" s="6" t="inlineStr">
        <is>
          <t>Chưa rõ giống (Cần quét Bio)</t>
        </is>
      </c>
      <c r="L1325" s="56" t="n">
        <v>0</v>
      </c>
      <c r="M1325" s="56" t="n">
        <v>0</v>
      </c>
      <c r="N1325" s="6" t="inlineStr">
        <is>
          <t>Amazon link not found</t>
        </is>
      </c>
      <c r="O1325" s="56">
        <f>IF(N1325="Selling pet toys + Artificial grass/Pet toilets (TARGET)",15,IF(N1325="Selling artificial grass/pet toilets (TARGET)",10,IF(N1325="Selling pet toys",7,IF(N1325="There's an Amazon link, but no target sales.",3,0))))</f>
        <v/>
      </c>
      <c r="P1325" s="65">
        <f>H1325+J1325+L1325+M1325+O1325</f>
        <v/>
      </c>
      <c r="Q1325" s="69">
        <f>IF(OR(H1325=0,P1325&lt;30),"Tier D (Đóng băng)",IF(P1325&gt;=85,"Tier S (Kim Cương: 85-100đ)",IF(P1325&gt;=70,"Tier A (Vàng: 70-84đ)",IF(P1325&gt;=61,"Tier B+ / Cấp A (Hot Lead: 61-69đ)",IF(P1325&gt;=50,"Tier B (Bạc: 50-60đ)","Tier C (Đồng: 30-49đ)")))))</f>
        <v/>
      </c>
      <c r="R1325" s="6" t="inlineStr">
        <is>
          <t>Khay vệ sinh chung cư (Indoor Potty) + Thảm cỏ ban công (Grass Patch) + Đồ chơi</t>
        </is>
      </c>
      <c r="S1325" s="6" t="inlineStr">
        <is>
          <t>Cấp C Chi phí thấp: Nhắn tin trực tiếp qua Fanpage Facebook/Instagram + Nuôi dưỡng nội dung</t>
        </is>
      </c>
    </row>
    <row r="1326">
      <c r="A1326" s="59" t="n">
        <v>200</v>
      </c>
      <c r="B1326" s="15" t="inlineStr">
        <is>
          <t>Just Food For Dogs</t>
        </is>
      </c>
      <c r="C1326" s="60" t="inlineStr">
        <is>
          <t>https://www.facebook.com/JustFoodForDogs</t>
        </is>
      </c>
      <c r="D1326" s="9" t="inlineStr">
        <is>
          <t>Cần quét Bio Fanpage</t>
        </is>
      </c>
      <c r="E1326" s="59" t="inlineStr">
        <is>
          <t>11/10/2026 09:51:48</t>
        </is>
      </c>
      <c r="F1326" s="59" t="inlineStr">
        <is>
          <t>1 ngày trước</t>
        </is>
      </c>
      <c r="G1326" s="61" t="n">
        <v>1</v>
      </c>
      <c r="H1326" s="62" t="n">
        <v>28</v>
      </c>
      <c r="I1326" s="9" t="inlineStr">
        <is>
          <t>Pet Owner / Cộng đồng nuôi cún (10đ)</t>
        </is>
      </c>
      <c r="J1326" s="62" t="n">
        <v>10</v>
      </c>
      <c r="K1326" s="9" t="inlineStr">
        <is>
          <t>Chưa rõ giống (Cần quét Bio)</t>
        </is>
      </c>
      <c r="L1326" s="62" t="n">
        <v>0</v>
      </c>
      <c r="M1326" s="62" t="n">
        <v>0</v>
      </c>
      <c r="N1326" s="9" t="inlineStr">
        <is>
          <t>Amazon link not found</t>
        </is>
      </c>
      <c r="O1326" s="62">
        <f>IF(N1326="Selling pet toys + Artificial grass/Pet toilets (TARGET)",15,IF(N1326="Selling artificial grass/pet toilets (TARGET)",10,IF(N1326="Selling pet toys",7,IF(N1326="There's an Amazon link, but no target sales.",3,0))))</f>
        <v/>
      </c>
      <c r="P1326" s="67">
        <f>H1326+J1326+L1326+M1326+O1326</f>
        <v/>
      </c>
      <c r="Q1326" s="69">
        <f>IF(OR(H1326=0,P1326&lt;30),"Tier D (Đóng băng)",IF(P1326&gt;=85,"Tier S (Kim Cương: 85-100đ)",IF(P1326&gt;=70,"Tier A (Vàng: 70-84đ)",IF(P1326&gt;=61,"Tier B+ / Cấp A (Hot Lead: 61-69đ)",IF(P1326&gt;=50,"Tier B (Bạc: 50-60đ)","Tier C (Đồng: 30-49đ)")))))</f>
        <v/>
      </c>
      <c r="R1326" s="9" t="inlineStr">
        <is>
          <t>Khay vệ sinh chung cư (Indoor Potty) + Thảm cỏ ban công (Grass Patch) + Đồ chơi</t>
        </is>
      </c>
      <c r="S1326" s="9" t="inlineStr">
        <is>
          <t>Cấp C Chi phí thấp: Nhắn tin trực tiếp qua Fanpage Facebook/Instagram + Nuôi dưỡng nội dung</t>
        </is>
      </c>
    </row>
    <row r="1327">
      <c r="A1327" s="53" t="n">
        <v>2736</v>
      </c>
      <c r="B1327" s="12" t="inlineStr">
        <is>
          <t>Rescued by love RD</t>
        </is>
      </c>
      <c r="C1327" s="54" t="inlineStr">
        <is>
          <t>https://www.facebook.com/byloverescued17</t>
        </is>
      </c>
      <c r="D1327" s="6" t="inlineStr">
        <is>
          <t>Cần quét Bio Fanpage</t>
        </is>
      </c>
      <c r="E1327" s="53" t="inlineStr">
        <is>
          <t>11/10/2026 09:34:43</t>
        </is>
      </c>
      <c r="F1327" s="53" t="inlineStr">
        <is>
          <t>1 ngày trước</t>
        </is>
      </c>
      <c r="G1327" s="55" t="n">
        <v>1</v>
      </c>
      <c r="H1327" s="56" t="n">
        <v>28</v>
      </c>
      <c r="I1327" s="6" t="inlineStr">
        <is>
          <t>Pet Owner / Kênh cá nhân thú cưng (10đ)</t>
        </is>
      </c>
      <c r="J1327" s="56" t="n">
        <v>10</v>
      </c>
      <c r="K1327" s="6" t="inlineStr">
        <is>
          <t>Chưa rõ giống (Cần quét Bio)</t>
        </is>
      </c>
      <c r="L1327" s="56" t="n">
        <v>0</v>
      </c>
      <c r="M1327" s="56" t="n">
        <v>0</v>
      </c>
      <c r="N1327" s="6" t="inlineStr">
        <is>
          <t>Amazon link not found</t>
        </is>
      </c>
      <c r="O1327" s="56">
        <f>IF(N1327="Selling pet toys + Artificial grass/Pet toilets (TARGET)",15,IF(N1327="Selling artificial grass/pet toilets (TARGET)",10,IF(N1327="Selling pet toys",7,IF(N1327="There's an Amazon link, but no target sales.",3,0))))</f>
        <v/>
      </c>
      <c r="P1327" s="65">
        <f>H1327+J1327+L1327+M1327+O1327</f>
        <v/>
      </c>
      <c r="Q1327" s="69">
        <f>IF(OR(H1327=0,P1327&lt;30),"Tier D (Đóng băng)",IF(P1327&gt;=85,"Tier S (Kim Cương: 85-100đ)",IF(P1327&gt;=70,"Tier A (Vàng: 70-84đ)",IF(P1327&gt;=61,"Tier B+ / Cấp A (Hot Lead: 61-69đ)",IF(P1327&gt;=50,"Tier B (Bạc: 50-60đ)","Tier C (Đồng: 30-49đ)")))))</f>
        <v/>
      </c>
      <c r="R1327" s="6" t="inlineStr">
        <is>
          <t>Khay vệ sinh trong nhà (Indoor Dog Potty) + Đồ chơi thú cưng lẻ</t>
        </is>
      </c>
      <c r="S1327" s="6" t="inlineStr">
        <is>
          <t>Cấp C Chi phí thấp: Nhắn tin trực tiếp qua Fanpage Facebook/Instagram + Nuôi dưỡng nội dung</t>
        </is>
      </c>
    </row>
    <row r="1328">
      <c r="A1328" s="59" t="n">
        <v>175</v>
      </c>
      <c r="B1328" s="15" t="inlineStr">
        <is>
          <t>Fuzzywumpets</t>
        </is>
      </c>
      <c r="C1328" s="60" t="inlineStr">
        <is>
          <t>https://www.facebook.com/Fuzzywumpets</t>
        </is>
      </c>
      <c r="D1328" s="9" t="inlineStr">
        <is>
          <t>Cần quét Bio Fanpage</t>
        </is>
      </c>
      <c r="E1328" s="59" t="inlineStr">
        <is>
          <t>11/10/2026 09:19:17</t>
        </is>
      </c>
      <c r="F1328" s="59" t="inlineStr">
        <is>
          <t>1 ngày trước</t>
        </is>
      </c>
      <c r="G1328" s="61" t="n">
        <v>1</v>
      </c>
      <c r="H1328" s="62" t="n">
        <v>28</v>
      </c>
      <c r="I1328" s="9" t="inlineStr">
        <is>
          <t>Pet Owner / Cộng đồng nuôi cún (10đ)</t>
        </is>
      </c>
      <c r="J1328" s="62" t="n">
        <v>10</v>
      </c>
      <c r="K1328" s="9" t="inlineStr">
        <is>
          <t>Chưa rõ giống (Cần quét Bio)</t>
        </is>
      </c>
      <c r="L1328" s="62" t="n">
        <v>0</v>
      </c>
      <c r="M1328" s="62" t="n">
        <v>0</v>
      </c>
      <c r="N1328" s="9" t="inlineStr">
        <is>
          <t>Amazon link not found</t>
        </is>
      </c>
      <c r="O1328" s="62">
        <f>IF(N1328="Selling pet toys + Artificial grass/Pet toilets (TARGET)",15,IF(N1328="Selling artificial grass/pet toilets (TARGET)",10,IF(N1328="Selling pet toys",7,IF(N1328="There's an Amazon link, but no target sales.",3,0))))</f>
        <v/>
      </c>
      <c r="P1328" s="67">
        <f>H1328+J1328+L1328+M1328+O1328</f>
        <v/>
      </c>
      <c r="Q1328" s="69">
        <f>IF(OR(H1328=0,P1328&lt;30),"Tier D (Đóng băng)",IF(P1328&gt;=85,"Tier S (Kim Cương: 85-100đ)",IF(P1328&gt;=70,"Tier A (Vàng: 70-84đ)",IF(P1328&gt;=61,"Tier B+ / Cấp A (Hot Lead: 61-69đ)",IF(P1328&gt;=50,"Tier B (Bạc: 50-60đ)","Tier C (Đồng: 30-49đ)")))))</f>
        <v/>
      </c>
      <c r="R1328" s="9" t="inlineStr">
        <is>
          <t>Khay vệ sinh chung cư (Indoor Potty) + Thảm cỏ ban công (Grass Patch) + Đồ chơi</t>
        </is>
      </c>
      <c r="S1328" s="9" t="inlineStr">
        <is>
          <t>Cấp C Chi phí thấp: Nhắn tin trực tiếp qua Fanpage Facebook/Instagram + Nuôi dưỡng nội dung</t>
        </is>
      </c>
    </row>
    <row r="1329">
      <c r="A1329" s="53" t="n">
        <v>2446</v>
      </c>
      <c r="B1329" s="12" t="inlineStr">
        <is>
          <t>Pet Couture</t>
        </is>
      </c>
      <c r="C1329" s="54" t="inlineStr">
        <is>
          <t>https://www.facebook.com/profile.php?id=61568979924539</t>
        </is>
      </c>
      <c r="D1329" s="6" t="inlineStr">
        <is>
          <t>Cần quét Bio Fanpage</t>
        </is>
      </c>
      <c r="E1329" s="53" t="inlineStr">
        <is>
          <t>11/10/2026 08:54:14</t>
        </is>
      </c>
      <c r="F1329" s="53" t="inlineStr">
        <is>
          <t>1 ngày trước</t>
        </is>
      </c>
      <c r="G1329" s="55" t="n">
        <v>1</v>
      </c>
      <c r="H1329" s="56" t="n">
        <v>28</v>
      </c>
      <c r="I1329" s="6" t="inlineStr">
        <is>
          <t>Pet Owner / Cộng đồng nuôi cún (10đ)</t>
        </is>
      </c>
      <c r="J1329" s="56" t="n">
        <v>10</v>
      </c>
      <c r="K1329" s="6" t="inlineStr">
        <is>
          <t>Chưa rõ giống (Cần quét Bio)</t>
        </is>
      </c>
      <c r="L1329" s="56" t="n">
        <v>0</v>
      </c>
      <c r="M1329" s="56" t="n">
        <v>0</v>
      </c>
      <c r="N1329" s="6" t="inlineStr">
        <is>
          <t>Amazon link not found</t>
        </is>
      </c>
      <c r="O1329" s="56">
        <f>IF(N1329="Selling pet toys + Artificial grass/Pet toilets (TARGET)",15,IF(N1329="Selling artificial grass/pet toilets (TARGET)",10,IF(N1329="Selling pet toys",7,IF(N1329="There's an Amazon link, but no target sales.",3,0))))</f>
        <v/>
      </c>
      <c r="P1329" s="65">
        <f>H1329+J1329+L1329+M1329+O1329</f>
        <v/>
      </c>
      <c r="Q1329" s="69">
        <f>IF(OR(H1329=0,P1329&lt;30),"Tier D (Đóng băng)",IF(P1329&gt;=85,"Tier S (Kim Cương: 85-100đ)",IF(P1329&gt;=70,"Tier A (Vàng: 70-84đ)",IF(P1329&gt;=61,"Tier B+ / Cấp A (Hot Lead: 61-69đ)",IF(P1329&gt;=50,"Tier B (Bạc: 50-60đ)","Tier C (Đồng: 30-49đ)")))))</f>
        <v/>
      </c>
      <c r="R1329" s="6" t="inlineStr">
        <is>
          <t>Khay vệ sinh chung cư (Indoor Potty) + Thảm cỏ ban công (Grass Patch) + Đồ chơi</t>
        </is>
      </c>
      <c r="S1329" s="6" t="inlineStr">
        <is>
          <t>Cấp C Chi phí thấp: Nhắn tin trực tiếp qua Fanpage Facebook/Instagram + Nuôi dưỡng nội dung</t>
        </is>
      </c>
    </row>
    <row r="1330">
      <c r="A1330" s="59" t="n">
        <v>1397</v>
      </c>
      <c r="B1330" s="15" t="inlineStr">
        <is>
          <t>Flambo the dog</t>
        </is>
      </c>
      <c r="C1330" s="60" t="inlineStr">
        <is>
          <t>https://www.facebook.com/FlamboTheDog</t>
        </is>
      </c>
      <c r="D1330" s="9" t="inlineStr">
        <is>
          <t>Cần quét Bio Fanpage</t>
        </is>
      </c>
      <c r="E1330" s="59" t="inlineStr">
        <is>
          <t>11/10/2026 08:27:29</t>
        </is>
      </c>
      <c r="F1330" s="59" t="inlineStr">
        <is>
          <t>1 ngày trước</t>
        </is>
      </c>
      <c r="G1330" s="61" t="n">
        <v>1</v>
      </c>
      <c r="H1330" s="62" t="n">
        <v>28</v>
      </c>
      <c r="I1330" s="9" t="inlineStr">
        <is>
          <t>Pet Owner / Kênh cá nhân thú cưng (10đ)</t>
        </is>
      </c>
      <c r="J1330" s="62" t="n">
        <v>10</v>
      </c>
      <c r="K1330" s="9" t="inlineStr">
        <is>
          <t>Chưa rõ giống (Cần quét Bio)</t>
        </is>
      </c>
      <c r="L1330" s="62" t="n">
        <v>0</v>
      </c>
      <c r="M1330" s="62" t="n">
        <v>0</v>
      </c>
      <c r="N1330" s="9" t="inlineStr">
        <is>
          <t>Amazon link not found</t>
        </is>
      </c>
      <c r="O1330" s="62">
        <f>IF(N1330="Selling pet toys + Artificial grass/Pet toilets (TARGET)",15,IF(N1330="Selling artificial grass/pet toilets (TARGET)",10,IF(N1330="Selling pet toys",7,IF(N1330="There's an Amazon link, but no target sales.",3,0))))</f>
        <v/>
      </c>
      <c r="P1330" s="67">
        <f>H1330+J1330+L1330+M1330+O1330</f>
        <v/>
      </c>
      <c r="Q1330" s="69">
        <f>IF(OR(H1330=0,P1330&lt;30),"Tier D (Đóng băng)",IF(P1330&gt;=85,"Tier S (Kim Cương: 85-100đ)",IF(P1330&gt;=70,"Tier A (Vàng: 70-84đ)",IF(P1330&gt;=61,"Tier B+ / Cấp A (Hot Lead: 61-69đ)",IF(P1330&gt;=50,"Tier B (Bạc: 50-60đ)","Tier C (Đồng: 30-49đ)")))))</f>
        <v/>
      </c>
      <c r="R1330" s="9" t="inlineStr">
        <is>
          <t>Khay vệ sinh trong nhà (Indoor Dog Potty) + Đồ chơi thú cưng lẻ</t>
        </is>
      </c>
      <c r="S1330" s="9" t="inlineStr">
        <is>
          <t>Cấp C Chi phí thấp: Nhắn tin trực tiếp qua Fanpage Facebook/Instagram + Nuôi dưỡng nội dung</t>
        </is>
      </c>
    </row>
    <row r="1331">
      <c r="A1331" s="53" t="n">
        <v>1995</v>
      </c>
      <c r="B1331" s="12" t="inlineStr">
        <is>
          <t>Lead Me To It Dog Show Leads</t>
        </is>
      </c>
      <c r="C1331" s="54" t="inlineStr">
        <is>
          <t>https://www.facebook.com/LeadMeToItDogShowLeads</t>
        </is>
      </c>
      <c r="D1331" s="6" t="inlineStr">
        <is>
          <t>Cần quét Bio Fanpage</t>
        </is>
      </c>
      <c r="E1331" s="53" t="inlineStr">
        <is>
          <t>11/10/2026 07:53:26</t>
        </is>
      </c>
      <c r="F1331" s="53" t="inlineStr">
        <is>
          <t>1 ngày trước</t>
        </is>
      </c>
      <c r="G1331" s="55" t="n">
        <v>1</v>
      </c>
      <c r="H1331" s="56" t="n">
        <v>28</v>
      </c>
      <c r="I1331" s="6" t="inlineStr">
        <is>
          <t>Pet Owner / Cộng đồng nuôi cún (10đ)</t>
        </is>
      </c>
      <c r="J1331" s="56" t="n">
        <v>10</v>
      </c>
      <c r="K1331" s="6" t="inlineStr">
        <is>
          <t>Chưa rõ giống (Cần quét Bio)</t>
        </is>
      </c>
      <c r="L1331" s="56" t="n">
        <v>0</v>
      </c>
      <c r="M1331" s="56" t="n">
        <v>0</v>
      </c>
      <c r="N1331" s="6" t="inlineStr">
        <is>
          <t>Amazon link not found</t>
        </is>
      </c>
      <c r="O1331" s="56">
        <f>IF(N1331="Selling pet toys + Artificial grass/Pet toilets (TARGET)",15,IF(N1331="Selling artificial grass/pet toilets (TARGET)",10,IF(N1331="Selling pet toys",7,IF(N1331="There's an Amazon link, but no target sales.",3,0))))</f>
        <v/>
      </c>
      <c r="P1331" s="65">
        <f>H1331+J1331+L1331+M1331+O1331</f>
        <v/>
      </c>
      <c r="Q1331" s="69">
        <f>IF(OR(H1331=0,P1331&lt;30),"Tier D (Đóng băng)",IF(P1331&gt;=85,"Tier S (Kim Cương: 85-100đ)",IF(P1331&gt;=70,"Tier A (Vàng: 70-84đ)",IF(P1331&gt;=61,"Tier B+ / Cấp A (Hot Lead: 61-69đ)",IF(P1331&gt;=50,"Tier B (Bạc: 50-60đ)","Tier C (Đồng: 30-49đ)")))))</f>
        <v/>
      </c>
      <c r="R1331" s="6" t="inlineStr">
        <is>
          <t>Khay vệ sinh chung cư (Indoor Potty) + Thảm cỏ ban công (Grass Patch) + Đồ chơi</t>
        </is>
      </c>
      <c r="S1331" s="6" t="inlineStr">
        <is>
          <t>Cấp C Chi phí thấp: Nhắn tin trực tiếp qua Fanpage Facebook/Instagram + Nuôi dưỡng nội dung</t>
        </is>
      </c>
    </row>
    <row r="1332">
      <c r="A1332" s="59" t="n">
        <v>82</v>
      </c>
      <c r="B1332" s="15" t="inlineStr">
        <is>
          <t>The Unstoppable Dogs</t>
        </is>
      </c>
      <c r="C1332" s="60" t="inlineStr">
        <is>
          <t>https://www.facebook.com/theunstoppabledogs</t>
        </is>
      </c>
      <c r="D1332" s="9" t="inlineStr">
        <is>
          <t>Cần quét Bio Fanpage</t>
        </is>
      </c>
      <c r="E1332" s="59" t="inlineStr">
        <is>
          <t>11/10/2026 07:45:36</t>
        </is>
      </c>
      <c r="F1332" s="59" t="inlineStr">
        <is>
          <t>1 ngày trước</t>
        </is>
      </c>
      <c r="G1332" s="61" t="n">
        <v>1</v>
      </c>
      <c r="H1332" s="62" t="n">
        <v>28</v>
      </c>
      <c r="I1332" s="9" t="inlineStr">
        <is>
          <t>Pet Owner / Cộng đồng nuôi cún (10đ)</t>
        </is>
      </c>
      <c r="J1332" s="62" t="n">
        <v>10</v>
      </c>
      <c r="K1332" s="9" t="inlineStr">
        <is>
          <t>Chưa rõ giống (Cần quét Bio)</t>
        </is>
      </c>
      <c r="L1332" s="62" t="n">
        <v>0</v>
      </c>
      <c r="M1332" s="62" t="n">
        <v>0</v>
      </c>
      <c r="N1332" s="9" t="inlineStr">
        <is>
          <t>Amazon link not found</t>
        </is>
      </c>
      <c r="O1332" s="62">
        <f>IF(N1332="Selling pet toys + Artificial grass/Pet toilets (TARGET)",15,IF(N1332="Selling artificial grass/pet toilets (TARGET)",10,IF(N1332="Selling pet toys",7,IF(N1332="There's an Amazon link, but no target sales.",3,0))))</f>
        <v/>
      </c>
      <c r="P1332" s="67">
        <f>H1332+J1332+L1332+M1332+O1332</f>
        <v/>
      </c>
      <c r="Q1332" s="69">
        <f>IF(OR(H1332=0,P1332&lt;30),"Tier D (Đóng băng)",IF(P1332&gt;=85,"Tier S (Kim Cương: 85-100đ)",IF(P1332&gt;=70,"Tier A (Vàng: 70-84đ)",IF(P1332&gt;=61,"Tier B+ / Cấp A (Hot Lead: 61-69đ)",IF(P1332&gt;=50,"Tier B (Bạc: 50-60đ)","Tier C (Đồng: 30-49đ)")))))</f>
        <v/>
      </c>
      <c r="R1332" s="9" t="inlineStr">
        <is>
          <t>Khay vệ sinh chung cư (Indoor Potty) + Thảm cỏ ban công (Grass Patch) + Đồ chơi</t>
        </is>
      </c>
      <c r="S1332" s="9" t="inlineStr">
        <is>
          <t>Cấp C Chi phí thấp: Nhắn tin trực tiếp qua Fanpage Facebook/Instagram + Nuôi dưỡng nội dung</t>
        </is>
      </c>
    </row>
    <row r="1333">
      <c r="A1333" s="53" t="n">
        <v>1326</v>
      </c>
      <c r="B1333" s="12" t="inlineStr">
        <is>
          <t>FancyPets Oficial</t>
        </is>
      </c>
      <c r="C1333" s="54" t="inlineStr">
        <is>
          <t>https://www.facebook.com/fancypetsoficial</t>
        </is>
      </c>
      <c r="D1333" s="6" t="inlineStr">
        <is>
          <t>Cần quét Bio Fanpage</t>
        </is>
      </c>
      <c r="E1333" s="53" t="inlineStr">
        <is>
          <t>11/10/2026 06:03:01</t>
        </is>
      </c>
      <c r="F1333" s="53" t="inlineStr">
        <is>
          <t>1 ngày trước</t>
        </is>
      </c>
      <c r="G1333" s="55" t="n">
        <v>1</v>
      </c>
      <c r="H1333" s="56" t="n">
        <v>28</v>
      </c>
      <c r="I1333" s="6" t="inlineStr">
        <is>
          <t>Pet Owner / Cộng đồng nuôi cún (10đ)</t>
        </is>
      </c>
      <c r="J1333" s="56" t="n">
        <v>10</v>
      </c>
      <c r="K1333" s="6" t="inlineStr">
        <is>
          <t>Chưa rõ giống (Cần quét Bio)</t>
        </is>
      </c>
      <c r="L1333" s="56" t="n">
        <v>0</v>
      </c>
      <c r="M1333" s="56" t="n">
        <v>0</v>
      </c>
      <c r="N1333" s="6" t="inlineStr">
        <is>
          <t>Amazon link not found</t>
        </is>
      </c>
      <c r="O1333" s="56">
        <f>IF(N1333="Selling pet toys + Artificial grass/Pet toilets (TARGET)",15,IF(N1333="Selling artificial grass/pet toilets (TARGET)",10,IF(N1333="Selling pet toys",7,IF(N1333="There's an Amazon link, but no target sales.",3,0))))</f>
        <v/>
      </c>
      <c r="P1333" s="65">
        <f>H1333+J1333+L1333+M1333+O1333</f>
        <v/>
      </c>
      <c r="Q1333" s="69">
        <f>IF(OR(H1333=0,P1333&lt;30),"Tier D (Đóng băng)",IF(P1333&gt;=85,"Tier S (Kim Cương: 85-100đ)",IF(P1333&gt;=70,"Tier A (Vàng: 70-84đ)",IF(P1333&gt;=61,"Tier B+ / Cấp A (Hot Lead: 61-69đ)",IF(P1333&gt;=50,"Tier B (Bạc: 50-60đ)","Tier C (Đồng: 30-49đ)")))))</f>
        <v/>
      </c>
      <c r="R1333" s="6" t="inlineStr">
        <is>
          <t>Khay vệ sinh chung cư (Indoor Potty) + Thảm cỏ ban công (Grass Patch) + Đồ chơi</t>
        </is>
      </c>
      <c r="S1333" s="6" t="inlineStr">
        <is>
          <t>Cấp C Chi phí thấp: Nhắn tin trực tiếp qua Fanpage Facebook/Instagram + Nuôi dưỡng nội dung</t>
        </is>
      </c>
    </row>
    <row r="1334">
      <c r="A1334" s="59" t="n">
        <v>2726</v>
      </c>
      <c r="B1334" s="15" t="inlineStr">
        <is>
          <t>Renegade The Good Dog</t>
        </is>
      </c>
      <c r="C1334" s="60" t="inlineStr">
        <is>
          <t>https://www.facebook.com/Renthegooddog</t>
        </is>
      </c>
      <c r="D1334" s="9" t="inlineStr">
        <is>
          <t>Cần quét Bio Fanpage</t>
        </is>
      </c>
      <c r="E1334" s="59" t="inlineStr">
        <is>
          <t>11/10/2026 04:52:06</t>
        </is>
      </c>
      <c r="F1334" s="59" t="inlineStr">
        <is>
          <t>2 ngày trước</t>
        </is>
      </c>
      <c r="G1334" s="61" t="n">
        <v>2</v>
      </c>
      <c r="H1334" s="62" t="n">
        <v>28</v>
      </c>
      <c r="I1334" s="9" t="inlineStr">
        <is>
          <t>Pet Owner / Cộng đồng nuôi cún (10đ)</t>
        </is>
      </c>
      <c r="J1334" s="62" t="n">
        <v>10</v>
      </c>
      <c r="K1334" s="9" t="inlineStr">
        <is>
          <t>Chưa rõ giống (Cần quét Bio)</t>
        </is>
      </c>
      <c r="L1334" s="62" t="n">
        <v>0</v>
      </c>
      <c r="M1334" s="62" t="n">
        <v>0</v>
      </c>
      <c r="N1334" s="9" t="inlineStr">
        <is>
          <t>Amazon link not found</t>
        </is>
      </c>
      <c r="O1334" s="62">
        <f>IF(N1334="Selling pet toys + Artificial grass/Pet toilets (TARGET)",15,IF(N1334="Selling artificial grass/pet toilets (TARGET)",10,IF(N1334="Selling pet toys",7,IF(N1334="There's an Amazon link, but no target sales.",3,0))))</f>
        <v/>
      </c>
      <c r="P1334" s="67">
        <f>H1334+J1334+L1334+M1334+O1334</f>
        <v/>
      </c>
      <c r="Q1334" s="69">
        <f>IF(OR(H1334=0,P1334&lt;30),"Tier D (Đóng băng)",IF(P1334&gt;=85,"Tier S (Kim Cương: 85-100đ)",IF(P1334&gt;=70,"Tier A (Vàng: 70-84đ)",IF(P1334&gt;=61,"Tier B+ / Cấp A (Hot Lead: 61-69đ)",IF(P1334&gt;=50,"Tier B (Bạc: 50-60đ)","Tier C (Đồng: 30-49đ)")))))</f>
        <v/>
      </c>
      <c r="R1334" s="9" t="inlineStr">
        <is>
          <t>Khay vệ sinh chung cư (Indoor Potty) + Thảm cỏ ban công (Grass Patch) + Đồ chơi</t>
        </is>
      </c>
      <c r="S1334" s="9" t="inlineStr">
        <is>
          <t>Cấp C Chi phí thấp: Nhắn tin trực tiếp qua Fanpage Facebook/Instagram + Nuôi dưỡng nội dung</t>
        </is>
      </c>
    </row>
    <row r="1335">
      <c r="A1335" s="53" t="n">
        <v>2456</v>
      </c>
      <c r="B1335" s="12" t="inlineStr">
        <is>
          <t>Pet Markt</t>
        </is>
      </c>
      <c r="C1335" s="54" t="inlineStr">
        <is>
          <t>https://www.facebook.com/PetMarkt</t>
        </is>
      </c>
      <c r="D1335" s="6" t="inlineStr">
        <is>
          <t>Cần quét Bio Fanpage</t>
        </is>
      </c>
      <c r="E1335" s="53" t="inlineStr">
        <is>
          <t>11/10/2026 04:36:13</t>
        </is>
      </c>
      <c r="F1335" s="53" t="inlineStr">
        <is>
          <t>2 ngày trước</t>
        </is>
      </c>
      <c r="G1335" s="55" t="n">
        <v>2</v>
      </c>
      <c r="H1335" s="56" t="n">
        <v>28</v>
      </c>
      <c r="I1335" s="6" t="inlineStr">
        <is>
          <t>Pet Owner / Cộng đồng nuôi cún (10đ)</t>
        </is>
      </c>
      <c r="J1335" s="56" t="n">
        <v>10</v>
      </c>
      <c r="K1335" s="6" t="inlineStr">
        <is>
          <t>Chưa rõ giống (Cần quét Bio)</t>
        </is>
      </c>
      <c r="L1335" s="56" t="n">
        <v>0</v>
      </c>
      <c r="M1335" s="56" t="n">
        <v>0</v>
      </c>
      <c r="N1335" s="6" t="inlineStr">
        <is>
          <t>Amazon link not found</t>
        </is>
      </c>
      <c r="O1335" s="56">
        <f>IF(N1335="Selling pet toys + Artificial grass/Pet toilets (TARGET)",15,IF(N1335="Selling artificial grass/pet toilets (TARGET)",10,IF(N1335="Selling pet toys",7,IF(N1335="There's an Amazon link, but no target sales.",3,0))))</f>
        <v/>
      </c>
      <c r="P1335" s="65">
        <f>H1335+J1335+L1335+M1335+O1335</f>
        <v/>
      </c>
      <c r="Q1335" s="69">
        <f>IF(OR(H1335=0,P1335&lt;30),"Tier D (Đóng băng)",IF(P1335&gt;=85,"Tier S (Kim Cương: 85-100đ)",IF(P1335&gt;=70,"Tier A (Vàng: 70-84đ)",IF(P1335&gt;=61,"Tier B+ / Cấp A (Hot Lead: 61-69đ)",IF(P1335&gt;=50,"Tier B (Bạc: 50-60đ)","Tier C (Đồng: 30-49đ)")))))</f>
        <v/>
      </c>
      <c r="R1335" s="6" t="inlineStr">
        <is>
          <t>Khay vệ sinh chung cư (Indoor Potty) + Thảm cỏ ban công (Grass Patch) + Đồ chơi</t>
        </is>
      </c>
      <c r="S1335" s="6" t="inlineStr">
        <is>
          <t>Cấp C Chi phí thấp: Nhắn tin trực tiếp qua Fanpage Facebook/Instagram + Nuôi dưỡng nội dung</t>
        </is>
      </c>
    </row>
    <row r="1336">
      <c r="A1336" s="59" t="n">
        <v>1049</v>
      </c>
      <c r="B1336" s="15" t="inlineStr">
        <is>
          <t>Dog Artistry</t>
        </is>
      </c>
      <c r="C1336" s="60" t="inlineStr">
        <is>
          <t>https://www.facebook.com/DogArtistry</t>
        </is>
      </c>
      <c r="D1336" s="9" t="inlineStr">
        <is>
          <t>Cần quét Bio Fanpage</t>
        </is>
      </c>
      <c r="E1336" s="59" t="inlineStr">
        <is>
          <t>11/10/2026 04:15:19</t>
        </is>
      </c>
      <c r="F1336" s="59" t="inlineStr">
        <is>
          <t>1 ngày trước</t>
        </is>
      </c>
      <c r="G1336" s="61" t="n">
        <v>1</v>
      </c>
      <c r="H1336" s="62" t="n">
        <v>28</v>
      </c>
      <c r="I1336" s="9" t="inlineStr">
        <is>
          <t>Pet Owner / Cộng đồng nuôi cún (10đ)</t>
        </is>
      </c>
      <c r="J1336" s="62" t="n">
        <v>10</v>
      </c>
      <c r="K1336" s="9" t="inlineStr">
        <is>
          <t>Chưa rõ giống (Cần quét Bio)</t>
        </is>
      </c>
      <c r="L1336" s="62" t="n">
        <v>0</v>
      </c>
      <c r="M1336" s="62" t="n">
        <v>0</v>
      </c>
      <c r="N1336" s="9" t="inlineStr">
        <is>
          <t>Amazon link not found</t>
        </is>
      </c>
      <c r="O1336" s="62">
        <f>IF(N1336="Selling pet toys + Artificial grass/Pet toilets (TARGET)",15,IF(N1336="Selling artificial grass/pet toilets (TARGET)",10,IF(N1336="Selling pet toys",7,IF(N1336="There's an Amazon link, but no target sales.",3,0))))</f>
        <v/>
      </c>
      <c r="P1336" s="67">
        <f>H1336+J1336+L1336+M1336+O1336</f>
        <v/>
      </c>
      <c r="Q1336" s="69">
        <f>IF(OR(H1336=0,P1336&lt;30),"Tier D (Đóng băng)",IF(P1336&gt;=85,"Tier S (Kim Cương: 85-100đ)",IF(P1336&gt;=70,"Tier A (Vàng: 70-84đ)",IF(P1336&gt;=61,"Tier B+ / Cấp A (Hot Lead: 61-69đ)",IF(P1336&gt;=50,"Tier B (Bạc: 50-60đ)","Tier C (Đồng: 30-49đ)")))))</f>
        <v/>
      </c>
      <c r="R1336" s="9" t="inlineStr">
        <is>
          <t>Khay vệ sinh chung cư (Indoor Potty) + Thảm cỏ ban công (Grass Patch) + Đồ chơi</t>
        </is>
      </c>
      <c r="S1336" s="9" t="inlineStr">
        <is>
          <t>Cấp C Chi phí thấp: Nhắn tin trực tiếp qua Fanpage Facebook/Instagram + Nuôi dưỡng nội dung</t>
        </is>
      </c>
    </row>
    <row r="1337">
      <c r="A1337" s="53" t="n">
        <v>1671</v>
      </c>
      <c r="B1337" s="12" t="inlineStr">
        <is>
          <t>Homes Alive Pets</t>
        </is>
      </c>
      <c r="C1337" s="54" t="inlineStr">
        <is>
          <t>https://www.facebook.com/homesalivepets</t>
        </is>
      </c>
      <c r="D1337" s="6" t="inlineStr">
        <is>
          <t>Cần quét Bio Fanpage</t>
        </is>
      </c>
      <c r="E1337" s="53" t="inlineStr">
        <is>
          <t>11/10/2026 04:00:04</t>
        </is>
      </c>
      <c r="F1337" s="53" t="inlineStr">
        <is>
          <t>1 ngày trước</t>
        </is>
      </c>
      <c r="G1337" s="55" t="n">
        <v>1</v>
      </c>
      <c r="H1337" s="56" t="n">
        <v>28</v>
      </c>
      <c r="I1337" s="6" t="inlineStr">
        <is>
          <t>Pet Owner / Cộng đồng nuôi cún (10đ)</t>
        </is>
      </c>
      <c r="J1337" s="56" t="n">
        <v>10</v>
      </c>
      <c r="K1337" s="6" t="inlineStr">
        <is>
          <t>Chưa rõ giống (Cần quét Bio)</t>
        </is>
      </c>
      <c r="L1337" s="56" t="n">
        <v>0</v>
      </c>
      <c r="M1337" s="56" t="n">
        <v>0</v>
      </c>
      <c r="N1337" s="6" t="inlineStr">
        <is>
          <t>Amazon link not found</t>
        </is>
      </c>
      <c r="O1337" s="56">
        <f>IF(N1337="Selling pet toys + Artificial grass/Pet toilets (TARGET)",15,IF(N1337="Selling artificial grass/pet toilets (TARGET)",10,IF(N1337="Selling pet toys",7,IF(N1337="There's an Amazon link, but no target sales.",3,0))))</f>
        <v/>
      </c>
      <c r="P1337" s="65">
        <f>H1337+J1337+L1337+M1337+O1337</f>
        <v/>
      </c>
      <c r="Q1337" s="69">
        <f>IF(OR(H1337=0,P1337&lt;30),"Tier D (Đóng băng)",IF(P1337&gt;=85,"Tier S (Kim Cương: 85-100đ)",IF(P1337&gt;=70,"Tier A (Vàng: 70-84đ)",IF(P1337&gt;=61,"Tier B+ / Cấp A (Hot Lead: 61-69đ)",IF(P1337&gt;=50,"Tier B (Bạc: 50-60đ)","Tier C (Đồng: 30-49đ)")))))</f>
        <v/>
      </c>
      <c r="R1337" s="6" t="inlineStr">
        <is>
          <t>Khay vệ sinh chung cư (Indoor Potty) + Thảm cỏ ban công (Grass Patch) + Đồ chơi</t>
        </is>
      </c>
      <c r="S1337" s="6" t="inlineStr">
        <is>
          <t>Cấp C Chi phí thấp: Nhắn tin trực tiếp qua Fanpage Facebook/Instagram + Nuôi dưỡng nội dung</t>
        </is>
      </c>
    </row>
    <row r="1338">
      <c r="A1338" s="59" t="n">
        <v>355</v>
      </c>
      <c r="B1338" s="15" t="inlineStr">
        <is>
          <t>Airplane the Dog</t>
        </is>
      </c>
      <c r="C1338" s="60" t="inlineStr">
        <is>
          <t>https://www.facebook.com/airplanethedog</t>
        </is>
      </c>
      <c r="D1338" s="9" t="inlineStr">
        <is>
          <t>Cần quét Bio Fanpage</t>
        </is>
      </c>
      <c r="E1338" s="59" t="inlineStr">
        <is>
          <t>11/10/2026 03:57:08</t>
        </is>
      </c>
      <c r="F1338" s="59" t="inlineStr">
        <is>
          <t>1 ngày trước</t>
        </is>
      </c>
      <c r="G1338" s="61" t="n">
        <v>1</v>
      </c>
      <c r="H1338" s="62" t="n">
        <v>28</v>
      </c>
      <c r="I1338" s="9" t="inlineStr">
        <is>
          <t>Pet Owner / Kênh cá nhân thú cưng (10đ)</t>
        </is>
      </c>
      <c r="J1338" s="62" t="n">
        <v>10</v>
      </c>
      <c r="K1338" s="9" t="inlineStr">
        <is>
          <t>Chưa rõ giống (Cần quét Bio)</t>
        </is>
      </c>
      <c r="L1338" s="62" t="n">
        <v>0</v>
      </c>
      <c r="M1338" s="62" t="n">
        <v>0</v>
      </c>
      <c r="N1338" s="9" t="inlineStr">
        <is>
          <t>Amazon link not found</t>
        </is>
      </c>
      <c r="O1338" s="62">
        <f>IF(N1338="Selling pet toys + Artificial grass/Pet toilets (TARGET)",15,IF(N1338="Selling artificial grass/pet toilets (TARGET)",10,IF(N1338="Selling pet toys",7,IF(N1338="There's an Amazon link, but no target sales.",3,0))))</f>
        <v/>
      </c>
      <c r="P1338" s="67">
        <f>H1338+J1338+L1338+M1338+O1338</f>
        <v/>
      </c>
      <c r="Q1338" s="69">
        <f>IF(OR(H1338=0,P1338&lt;30),"Tier D (Đóng băng)",IF(P1338&gt;=85,"Tier S (Kim Cương: 85-100đ)",IF(P1338&gt;=70,"Tier A (Vàng: 70-84đ)",IF(P1338&gt;=61,"Tier B+ / Cấp A (Hot Lead: 61-69đ)",IF(P1338&gt;=50,"Tier B (Bạc: 50-60đ)","Tier C (Đồng: 30-49đ)")))))</f>
        <v/>
      </c>
      <c r="R1338" s="9" t="inlineStr">
        <is>
          <t>Khay vệ sinh trong nhà (Indoor Dog Potty) + Đồ chơi thú cưng lẻ</t>
        </is>
      </c>
      <c r="S1338" s="9" t="inlineStr">
        <is>
          <t>Cấp C Chi phí thấp: Nhắn tin trực tiếp qua Fanpage Facebook/Instagram + Nuôi dưỡng nội dung</t>
        </is>
      </c>
    </row>
    <row r="1339">
      <c r="A1339" s="53" t="n">
        <v>3362</v>
      </c>
      <c r="B1339" s="12" t="inlineStr">
        <is>
          <t>Waita Pets</t>
        </is>
      </c>
      <c r="C1339" s="54" t="inlineStr">
        <is>
          <t>https://www.facebook.com/profile.php?id=61555751757562</t>
        </is>
      </c>
      <c r="D1339" s="6" t="inlineStr">
        <is>
          <t>Cần quét Bio Fanpage</t>
        </is>
      </c>
      <c r="E1339" s="53" t="inlineStr">
        <is>
          <t>11/10/2026 02:22:42</t>
        </is>
      </c>
      <c r="F1339" s="53" t="inlineStr">
        <is>
          <t>2 ngày trước</t>
        </is>
      </c>
      <c r="G1339" s="55" t="n">
        <v>2</v>
      </c>
      <c r="H1339" s="56" t="n">
        <v>28</v>
      </c>
      <c r="I1339" s="6" t="inlineStr">
        <is>
          <t>Pet Owner / Cộng đồng nuôi cún (10đ)</t>
        </is>
      </c>
      <c r="J1339" s="56" t="n">
        <v>10</v>
      </c>
      <c r="K1339" s="6" t="inlineStr">
        <is>
          <t>Chưa rõ giống (Cần quét Bio)</t>
        </is>
      </c>
      <c r="L1339" s="56" t="n">
        <v>0</v>
      </c>
      <c r="M1339" s="56" t="n">
        <v>0</v>
      </c>
      <c r="N1339" s="6" t="inlineStr">
        <is>
          <t>Amazon link not found</t>
        </is>
      </c>
      <c r="O1339" s="56">
        <f>IF(N1339="Selling pet toys + Artificial grass/Pet toilets (TARGET)",15,IF(N1339="Selling artificial grass/pet toilets (TARGET)",10,IF(N1339="Selling pet toys",7,IF(N1339="There's an Amazon link, but no target sales.",3,0))))</f>
        <v/>
      </c>
      <c r="P1339" s="65">
        <f>H1339+J1339+L1339+M1339+O1339</f>
        <v/>
      </c>
      <c r="Q1339" s="69">
        <f>IF(OR(H1339=0,P1339&lt;30),"Tier D (Đóng băng)",IF(P1339&gt;=85,"Tier S (Kim Cương: 85-100đ)",IF(P1339&gt;=70,"Tier A (Vàng: 70-84đ)",IF(P1339&gt;=61,"Tier B+ / Cấp A (Hot Lead: 61-69đ)",IF(P1339&gt;=50,"Tier B (Bạc: 50-60đ)","Tier C (Đồng: 30-49đ)")))))</f>
        <v/>
      </c>
      <c r="R1339" s="6" t="inlineStr">
        <is>
          <t>Khay vệ sinh chung cư (Indoor Potty) + Thảm cỏ ban công (Grass Patch) + Đồ chơi</t>
        </is>
      </c>
      <c r="S1339" s="6" t="inlineStr">
        <is>
          <t>Cấp C Chi phí thấp: Nhắn tin trực tiếp qua Fanpage Facebook/Instagram + Nuôi dưỡng nội dung</t>
        </is>
      </c>
    </row>
    <row r="1340">
      <c r="A1340" s="59" t="n">
        <v>3111</v>
      </c>
      <c r="B1340" s="15" t="inlineStr">
        <is>
          <t>thedogist</t>
        </is>
      </c>
      <c r="C1340" s="60" t="inlineStr">
        <is>
          <t>https://www.facebook.com/thedogist</t>
        </is>
      </c>
      <c r="D1340" s="9" t="inlineStr">
        <is>
          <t>Cần quét Bio Fanpage</t>
        </is>
      </c>
      <c r="E1340" s="59" t="inlineStr">
        <is>
          <t>11/10/2026 02:20:21</t>
        </is>
      </c>
      <c r="F1340" s="59" t="inlineStr">
        <is>
          <t>2 ngày trước</t>
        </is>
      </c>
      <c r="G1340" s="61" t="n">
        <v>2</v>
      </c>
      <c r="H1340" s="62" t="n">
        <v>28</v>
      </c>
      <c r="I1340" s="9" t="inlineStr">
        <is>
          <t>Pet Owner / Cộng đồng nuôi cún (10đ)</t>
        </is>
      </c>
      <c r="J1340" s="62" t="n">
        <v>10</v>
      </c>
      <c r="K1340" s="9" t="inlineStr">
        <is>
          <t>Chưa rõ giống (Cần quét Bio)</t>
        </is>
      </c>
      <c r="L1340" s="62" t="n">
        <v>0</v>
      </c>
      <c r="M1340" s="62" t="n">
        <v>0</v>
      </c>
      <c r="N1340" s="9" t="inlineStr">
        <is>
          <t>Amazon link not found</t>
        </is>
      </c>
      <c r="O1340" s="62">
        <f>IF(N1340="Selling pet toys + Artificial grass/Pet toilets (TARGET)",15,IF(N1340="Selling artificial grass/pet toilets (TARGET)",10,IF(N1340="Selling pet toys",7,IF(N1340="There's an Amazon link, but no target sales.",3,0))))</f>
        <v/>
      </c>
      <c r="P1340" s="67">
        <f>H1340+J1340+L1340+M1340+O1340</f>
        <v/>
      </c>
      <c r="Q1340" s="69">
        <f>IF(OR(H1340=0,P1340&lt;30),"Tier D (Đóng băng)",IF(P1340&gt;=85,"Tier S (Kim Cương: 85-100đ)",IF(P1340&gt;=70,"Tier A (Vàng: 70-84đ)",IF(P1340&gt;=61,"Tier B+ / Cấp A (Hot Lead: 61-69đ)",IF(P1340&gt;=50,"Tier B (Bạc: 50-60đ)","Tier C (Đồng: 30-49đ)")))))</f>
        <v/>
      </c>
      <c r="R1340" s="9" t="inlineStr">
        <is>
          <t>Khay vệ sinh chung cư (Indoor Potty) + Thảm cỏ ban công (Grass Patch) + Đồ chơi</t>
        </is>
      </c>
      <c r="S1340" s="9" t="inlineStr">
        <is>
          <t>Cấp C Chi phí thấp: Nhắn tin trực tiếp qua Fanpage Facebook/Instagram + Nuôi dưỡng nội dung</t>
        </is>
      </c>
    </row>
    <row r="1341">
      <c r="A1341" s="53" t="n">
        <v>2679</v>
      </c>
      <c r="B1341" s="12" t="inlineStr">
        <is>
          <t>Quantock Cottages - 3 Dog Friendly Cottages In Somerset</t>
        </is>
      </c>
      <c r="C1341" s="54" t="inlineStr">
        <is>
          <t>https://www.facebook.com/QuantockCottages</t>
        </is>
      </c>
      <c r="D1341" s="6" t="inlineStr">
        <is>
          <t>Cần quét Bio Fanpage</t>
        </is>
      </c>
      <c r="E1341" s="53" t="inlineStr">
        <is>
          <t>11/10/2026 01:18:11</t>
        </is>
      </c>
      <c r="F1341" s="53" t="inlineStr">
        <is>
          <t>2 ngày trước</t>
        </is>
      </c>
      <c r="G1341" s="55" t="n">
        <v>2</v>
      </c>
      <c r="H1341" s="56" t="n">
        <v>28</v>
      </c>
      <c r="I1341" s="6" t="inlineStr">
        <is>
          <t>Pet Owner / Cộng đồng nuôi cún (10đ)</t>
        </is>
      </c>
      <c r="J1341" s="56" t="n">
        <v>10</v>
      </c>
      <c r="K1341" s="6" t="inlineStr">
        <is>
          <t>Chưa rõ giống (Cần quét Bio)</t>
        </is>
      </c>
      <c r="L1341" s="56" t="n">
        <v>0</v>
      </c>
      <c r="M1341" s="56" t="n">
        <v>0</v>
      </c>
      <c r="N1341" s="6" t="inlineStr">
        <is>
          <t>Amazon link not found</t>
        </is>
      </c>
      <c r="O1341" s="56">
        <f>IF(N1341="Selling pet toys + Artificial grass/Pet toilets (TARGET)",15,IF(N1341="Selling artificial grass/pet toilets (TARGET)",10,IF(N1341="Selling pet toys",7,IF(N1341="There's an Amazon link, but no target sales.",3,0))))</f>
        <v/>
      </c>
      <c r="P1341" s="65">
        <f>H1341+J1341+L1341+M1341+O1341</f>
        <v/>
      </c>
      <c r="Q1341" s="69">
        <f>IF(OR(H1341=0,P1341&lt;30),"Tier D (Đóng băng)",IF(P1341&gt;=85,"Tier S (Kim Cương: 85-100đ)",IF(P1341&gt;=70,"Tier A (Vàng: 70-84đ)",IF(P1341&gt;=61,"Tier B+ / Cấp A (Hot Lead: 61-69đ)",IF(P1341&gt;=50,"Tier B (Bạc: 50-60đ)","Tier C (Đồng: 30-49đ)")))))</f>
        <v/>
      </c>
      <c r="R1341" s="6" t="inlineStr">
        <is>
          <t>Khay vệ sinh chung cư (Indoor Potty) + Thảm cỏ ban công (Grass Patch) + Đồ chơi</t>
        </is>
      </c>
      <c r="S1341" s="6" t="inlineStr">
        <is>
          <t>Cấp C Chi phí thấp: Nhắn tin trực tiếp qua Fanpage Facebook/Instagram + Nuôi dưỡng nội dung</t>
        </is>
      </c>
    </row>
    <row r="1342">
      <c r="A1342" s="59" t="n">
        <v>2307</v>
      </c>
      <c r="B1342" s="15" t="inlineStr">
        <is>
          <t>Non-stop dogwear</t>
        </is>
      </c>
      <c r="C1342" s="60" t="inlineStr">
        <is>
          <t>https://www.facebook.com/nonstopdogwear</t>
        </is>
      </c>
      <c r="D1342" s="9" t="inlineStr">
        <is>
          <t>Cần quét Bio Fanpage</t>
        </is>
      </c>
      <c r="E1342" s="59" t="inlineStr">
        <is>
          <t>11/10/2026 00:00:11</t>
        </is>
      </c>
      <c r="F1342" s="59" t="inlineStr">
        <is>
          <t>2 ngày trước</t>
        </is>
      </c>
      <c r="G1342" s="61" t="n">
        <v>2</v>
      </c>
      <c r="H1342" s="62" t="n">
        <v>28</v>
      </c>
      <c r="I1342" s="9" t="inlineStr">
        <is>
          <t>Pet Owner / Cộng đồng nuôi cún (10đ)</t>
        </is>
      </c>
      <c r="J1342" s="62" t="n">
        <v>10</v>
      </c>
      <c r="K1342" s="9" t="inlineStr">
        <is>
          <t>Chưa rõ giống (Cần quét Bio)</t>
        </is>
      </c>
      <c r="L1342" s="62" t="n">
        <v>0</v>
      </c>
      <c r="M1342" s="62" t="n">
        <v>0</v>
      </c>
      <c r="N1342" s="9" t="inlineStr">
        <is>
          <t>Amazon link not found</t>
        </is>
      </c>
      <c r="O1342" s="62">
        <f>IF(N1342="Selling pet toys + Artificial grass/Pet toilets (TARGET)",15,IF(N1342="Selling artificial grass/pet toilets (TARGET)",10,IF(N1342="Selling pet toys",7,IF(N1342="There's an Amazon link, but no target sales.",3,0))))</f>
        <v/>
      </c>
      <c r="P1342" s="67">
        <f>H1342+J1342+L1342+M1342+O1342</f>
        <v/>
      </c>
      <c r="Q1342" s="69">
        <f>IF(OR(H1342=0,P1342&lt;30),"Tier D (Đóng băng)",IF(P1342&gt;=85,"Tier S (Kim Cương: 85-100đ)",IF(P1342&gt;=70,"Tier A (Vàng: 70-84đ)",IF(P1342&gt;=61,"Tier B+ / Cấp A (Hot Lead: 61-69đ)",IF(P1342&gt;=50,"Tier B (Bạc: 50-60đ)","Tier C (Đồng: 30-49đ)")))))</f>
        <v/>
      </c>
      <c r="R1342" s="9" t="inlineStr">
        <is>
          <t>Khay vệ sinh chung cư (Indoor Potty) + Thảm cỏ ban công (Grass Patch) + Đồ chơi</t>
        </is>
      </c>
      <c r="S1342" s="9" t="inlineStr">
        <is>
          <t>Cấp C Chi phí thấp: Nhắn tin trực tiếp qua Fanpage Facebook/Instagram + Nuôi dưỡng nội dung</t>
        </is>
      </c>
    </row>
    <row r="1343">
      <c r="A1343" s="53" t="n">
        <v>2439</v>
      </c>
      <c r="B1343" s="12" t="inlineStr">
        <is>
          <t>Pet Alert Murcia</t>
        </is>
      </c>
      <c r="C1343" s="54" t="inlineStr">
        <is>
          <t>https://www.facebook.com/Pet.Alert.Murcia</t>
        </is>
      </c>
      <c r="D1343" s="6" t="inlineStr">
        <is>
          <t>Cần quét Bio Fanpage</t>
        </is>
      </c>
      <c r="E1343" s="53" t="inlineStr">
        <is>
          <t>10/10/2026 23:44:08</t>
        </is>
      </c>
      <c r="F1343" s="53" t="inlineStr">
        <is>
          <t>2 ngày trước</t>
        </is>
      </c>
      <c r="G1343" s="55" t="n">
        <v>2</v>
      </c>
      <c r="H1343" s="56" t="n">
        <v>28</v>
      </c>
      <c r="I1343" s="6" t="inlineStr">
        <is>
          <t>Pet Owner / Cộng đồng nuôi cún (10đ)</t>
        </is>
      </c>
      <c r="J1343" s="56" t="n">
        <v>10</v>
      </c>
      <c r="K1343" s="6" t="inlineStr">
        <is>
          <t>Chưa rõ giống (Cần quét Bio)</t>
        </is>
      </c>
      <c r="L1343" s="56" t="n">
        <v>0</v>
      </c>
      <c r="M1343" s="56" t="n">
        <v>0</v>
      </c>
      <c r="N1343" s="6" t="inlineStr">
        <is>
          <t>Amazon link not found</t>
        </is>
      </c>
      <c r="O1343" s="56">
        <f>IF(N1343="Selling pet toys + Artificial grass/Pet toilets (TARGET)",15,IF(N1343="Selling artificial grass/pet toilets (TARGET)",10,IF(N1343="Selling pet toys",7,IF(N1343="There's an Amazon link, but no target sales.",3,0))))</f>
        <v/>
      </c>
      <c r="P1343" s="65">
        <f>H1343+J1343+L1343+M1343+O1343</f>
        <v/>
      </c>
      <c r="Q1343" s="69">
        <f>IF(OR(H1343=0,P1343&lt;30),"Tier D (Đóng băng)",IF(P1343&gt;=85,"Tier S (Kim Cương: 85-100đ)",IF(P1343&gt;=70,"Tier A (Vàng: 70-84đ)",IF(P1343&gt;=61,"Tier B+ / Cấp A (Hot Lead: 61-69đ)",IF(P1343&gt;=50,"Tier B (Bạc: 50-60đ)","Tier C (Đồng: 30-49đ)")))))</f>
        <v/>
      </c>
      <c r="R1343" s="6" t="inlineStr">
        <is>
          <t>Khay vệ sinh chung cư (Indoor Potty) + Thảm cỏ ban công (Grass Patch) + Đồ chơi</t>
        </is>
      </c>
      <c r="S1343" s="6" t="inlineStr">
        <is>
          <t>Cấp C Chi phí thấp: Nhắn tin trực tiếp qua Fanpage Facebook/Instagram + Nuôi dưỡng nội dung</t>
        </is>
      </c>
    </row>
    <row r="1344">
      <c r="A1344" s="59" t="n">
        <v>2743</v>
      </c>
      <c r="B1344" s="15" t="inlineStr">
        <is>
          <t>Ride Dog GPS Security</t>
        </is>
      </c>
      <c r="C1344" s="60" t="inlineStr">
        <is>
          <t>https://www.facebook.com/RideDogGPS</t>
        </is>
      </c>
      <c r="D1344" s="9" t="inlineStr">
        <is>
          <t>Cần quét Bio Fanpage</t>
        </is>
      </c>
      <c r="E1344" s="59" t="inlineStr">
        <is>
          <t>10/10/2026 23:42:29</t>
        </is>
      </c>
      <c r="F1344" s="59" t="inlineStr">
        <is>
          <t>2 ngày trước</t>
        </is>
      </c>
      <c r="G1344" s="61" t="n">
        <v>2</v>
      </c>
      <c r="H1344" s="62" t="n">
        <v>28</v>
      </c>
      <c r="I1344" s="9" t="inlineStr">
        <is>
          <t>Pet Owner / Cộng đồng nuôi cún (10đ)</t>
        </is>
      </c>
      <c r="J1344" s="62" t="n">
        <v>10</v>
      </c>
      <c r="K1344" s="9" t="inlineStr">
        <is>
          <t>Chưa rõ giống (Cần quét Bio)</t>
        </is>
      </c>
      <c r="L1344" s="62" t="n">
        <v>0</v>
      </c>
      <c r="M1344" s="62" t="n">
        <v>0</v>
      </c>
      <c r="N1344" s="9" t="inlineStr">
        <is>
          <t>Amazon link not found</t>
        </is>
      </c>
      <c r="O1344" s="62">
        <f>IF(N1344="Selling pet toys + Artificial grass/Pet toilets (TARGET)",15,IF(N1344="Selling artificial grass/pet toilets (TARGET)",10,IF(N1344="Selling pet toys",7,IF(N1344="There's an Amazon link, but no target sales.",3,0))))</f>
        <v/>
      </c>
      <c r="P1344" s="67">
        <f>H1344+J1344+L1344+M1344+O1344</f>
        <v/>
      </c>
      <c r="Q1344" s="69">
        <f>IF(OR(H1344=0,P1344&lt;30),"Tier D (Đóng băng)",IF(P1344&gt;=85,"Tier S (Kim Cương: 85-100đ)",IF(P1344&gt;=70,"Tier A (Vàng: 70-84đ)",IF(P1344&gt;=61,"Tier B+ / Cấp A (Hot Lead: 61-69đ)",IF(P1344&gt;=50,"Tier B (Bạc: 50-60đ)","Tier C (Đồng: 30-49đ)")))))</f>
        <v/>
      </c>
      <c r="R1344" s="9" t="inlineStr">
        <is>
          <t>Khay vệ sinh chung cư (Indoor Potty) + Thảm cỏ ban công (Grass Patch) + Đồ chơi</t>
        </is>
      </c>
      <c r="S1344" s="9" t="inlineStr">
        <is>
          <t>Cấp C Chi phí thấp: Nhắn tin trực tiếp qua Fanpage Facebook/Instagram + Nuôi dưỡng nội dung</t>
        </is>
      </c>
    </row>
    <row r="1345">
      <c r="A1345" s="53" t="n">
        <v>2630</v>
      </c>
      <c r="B1345" s="12" t="inlineStr">
        <is>
          <t>Primal Pet Foods</t>
        </is>
      </c>
      <c r="C1345" s="54" t="inlineStr">
        <is>
          <t>https://www.facebook.com/primalpetfoods</t>
        </is>
      </c>
      <c r="D1345" s="6" t="inlineStr">
        <is>
          <t>Cần quét Bio Fanpage</t>
        </is>
      </c>
      <c r="E1345" s="53" t="inlineStr">
        <is>
          <t>10/10/2026 23:00:12</t>
        </is>
      </c>
      <c r="F1345" s="53" t="inlineStr">
        <is>
          <t>2 ngày trước</t>
        </is>
      </c>
      <c r="G1345" s="55" t="n">
        <v>2</v>
      </c>
      <c r="H1345" s="56" t="n">
        <v>28</v>
      </c>
      <c r="I1345" s="6" t="inlineStr">
        <is>
          <t>Pet Owner / Cộng đồng nuôi cún (10đ)</t>
        </is>
      </c>
      <c r="J1345" s="56" t="n">
        <v>10</v>
      </c>
      <c r="K1345" s="6" t="inlineStr">
        <is>
          <t>Chưa rõ giống (Cần quét Bio)</t>
        </is>
      </c>
      <c r="L1345" s="56" t="n">
        <v>0</v>
      </c>
      <c r="M1345" s="56" t="n">
        <v>0</v>
      </c>
      <c r="N1345" s="6" t="inlineStr">
        <is>
          <t>Amazon link not found</t>
        </is>
      </c>
      <c r="O1345" s="56">
        <f>IF(N1345="Selling pet toys + Artificial grass/Pet toilets (TARGET)",15,IF(N1345="Selling artificial grass/pet toilets (TARGET)",10,IF(N1345="Selling pet toys",7,IF(N1345="There's an Amazon link, but no target sales.",3,0))))</f>
        <v/>
      </c>
      <c r="P1345" s="65">
        <f>H1345+J1345+L1345+M1345+O1345</f>
        <v/>
      </c>
      <c r="Q1345" s="69">
        <f>IF(OR(H1345=0,P1345&lt;30),"Tier D (Đóng băng)",IF(P1345&gt;=85,"Tier S (Kim Cương: 85-100đ)",IF(P1345&gt;=70,"Tier A (Vàng: 70-84đ)",IF(P1345&gt;=61,"Tier B+ / Cấp A (Hot Lead: 61-69đ)",IF(P1345&gt;=50,"Tier B (Bạc: 50-60đ)","Tier C (Đồng: 30-49đ)")))))</f>
        <v/>
      </c>
      <c r="R1345" s="6" t="inlineStr">
        <is>
          <t>Khay vệ sinh chung cư (Indoor Potty) + Thảm cỏ ban công (Grass Patch) + Đồ chơi</t>
        </is>
      </c>
      <c r="S1345" s="6" t="inlineStr">
        <is>
          <t>Cấp C Chi phí thấp: Nhắn tin trực tiếp qua Fanpage Facebook/Instagram + Nuôi dưỡng nội dung</t>
        </is>
      </c>
    </row>
    <row r="1346">
      <c r="A1346" s="59" t="n">
        <v>1635</v>
      </c>
      <c r="B1346" s="15" t="inlineStr">
        <is>
          <t>Healthy Pets of Wedgewood</t>
        </is>
      </c>
      <c r="C1346" s="60" t="inlineStr">
        <is>
          <t>https://www.facebook.com/HealthyPetsofWedgewood</t>
        </is>
      </c>
      <c r="D1346" s="9" t="inlineStr">
        <is>
          <t>Cần quét Bio Fanpage</t>
        </is>
      </c>
      <c r="E1346" s="59" t="inlineStr">
        <is>
          <t>10/10/2026 22:50:18</t>
        </is>
      </c>
      <c r="F1346" s="59" t="inlineStr">
        <is>
          <t>2 ngày trước</t>
        </is>
      </c>
      <c r="G1346" s="61" t="n">
        <v>2</v>
      </c>
      <c r="H1346" s="62" t="n">
        <v>28</v>
      </c>
      <c r="I1346" s="9" t="inlineStr">
        <is>
          <t>Pet Owner / Cộng đồng nuôi cún (10đ)</t>
        </is>
      </c>
      <c r="J1346" s="62" t="n">
        <v>10</v>
      </c>
      <c r="K1346" s="9" t="inlineStr">
        <is>
          <t>Chưa rõ giống (Cần quét Bio)</t>
        </is>
      </c>
      <c r="L1346" s="62" t="n">
        <v>0</v>
      </c>
      <c r="M1346" s="62" t="n">
        <v>0</v>
      </c>
      <c r="N1346" s="9" t="inlineStr">
        <is>
          <t>Amazon link not found</t>
        </is>
      </c>
      <c r="O1346" s="62">
        <f>IF(N1346="Selling pet toys + Artificial grass/Pet toilets (TARGET)",15,IF(N1346="Selling artificial grass/pet toilets (TARGET)",10,IF(N1346="Selling pet toys",7,IF(N1346="There's an Amazon link, but no target sales.",3,0))))</f>
        <v/>
      </c>
      <c r="P1346" s="67">
        <f>H1346+J1346+L1346+M1346+O1346</f>
        <v/>
      </c>
      <c r="Q1346" s="69">
        <f>IF(OR(H1346=0,P1346&lt;30),"Tier D (Đóng băng)",IF(P1346&gt;=85,"Tier S (Kim Cương: 85-100đ)",IF(P1346&gt;=70,"Tier A (Vàng: 70-84đ)",IF(P1346&gt;=61,"Tier B+ / Cấp A (Hot Lead: 61-69đ)",IF(P1346&gt;=50,"Tier B (Bạc: 50-60đ)","Tier C (Đồng: 30-49đ)")))))</f>
        <v/>
      </c>
      <c r="R1346" s="9" t="inlineStr">
        <is>
          <t>Khay vệ sinh chung cư (Indoor Potty) + Thảm cỏ ban công (Grass Patch) + Đồ chơi</t>
        </is>
      </c>
      <c r="S1346" s="9" t="inlineStr">
        <is>
          <t>Cấp C Chi phí thấp: Nhắn tin trực tiếp qua Fanpage Facebook/Instagram + Nuôi dưỡng nội dung</t>
        </is>
      </c>
    </row>
    <row r="1347">
      <c r="A1347" s="53" t="n">
        <v>2459</v>
      </c>
      <c r="B1347" s="12" t="inlineStr">
        <is>
          <t>Pet Partners</t>
        </is>
      </c>
      <c r="C1347" s="54" t="inlineStr">
        <is>
          <t>https://www.facebook.com/petpartnersorg</t>
        </is>
      </c>
      <c r="D1347" s="6" t="inlineStr">
        <is>
          <t>Cần quét Bio Fanpage</t>
        </is>
      </c>
      <c r="E1347" s="53" t="inlineStr">
        <is>
          <t>10/10/2026 22:41:00</t>
        </is>
      </c>
      <c r="F1347" s="53" t="inlineStr">
        <is>
          <t>2 ngày trước</t>
        </is>
      </c>
      <c r="G1347" s="55" t="n">
        <v>2</v>
      </c>
      <c r="H1347" s="56" t="n">
        <v>28</v>
      </c>
      <c r="I1347" s="6" t="inlineStr">
        <is>
          <t>Pet Owner / Cộng đồng nuôi cún (10đ)</t>
        </is>
      </c>
      <c r="J1347" s="56" t="n">
        <v>10</v>
      </c>
      <c r="K1347" s="6" t="inlineStr">
        <is>
          <t>Chưa rõ giống (Cần quét Bio)</t>
        </is>
      </c>
      <c r="L1347" s="56" t="n">
        <v>0</v>
      </c>
      <c r="M1347" s="56" t="n">
        <v>0</v>
      </c>
      <c r="N1347" s="6" t="inlineStr">
        <is>
          <t>Amazon link not found</t>
        </is>
      </c>
      <c r="O1347" s="56">
        <f>IF(N1347="Selling pet toys + Artificial grass/Pet toilets (TARGET)",15,IF(N1347="Selling artificial grass/pet toilets (TARGET)",10,IF(N1347="Selling pet toys",7,IF(N1347="There's an Amazon link, but no target sales.",3,0))))</f>
        <v/>
      </c>
      <c r="P1347" s="65">
        <f>H1347+J1347+L1347+M1347+O1347</f>
        <v/>
      </c>
      <c r="Q1347" s="69">
        <f>IF(OR(H1347=0,P1347&lt;30),"Tier D (Đóng băng)",IF(P1347&gt;=85,"Tier S (Kim Cương: 85-100đ)",IF(P1347&gt;=70,"Tier A (Vàng: 70-84đ)",IF(P1347&gt;=61,"Tier B+ / Cấp A (Hot Lead: 61-69đ)",IF(P1347&gt;=50,"Tier B (Bạc: 50-60đ)","Tier C (Đồng: 30-49đ)")))))</f>
        <v/>
      </c>
      <c r="R1347" s="6" t="inlineStr">
        <is>
          <t>Khay vệ sinh chung cư (Indoor Potty) + Thảm cỏ ban công (Grass Patch) + Đồ chơi</t>
        </is>
      </c>
      <c r="S1347" s="6" t="inlineStr">
        <is>
          <t>Cấp C Chi phí thấp: Nhắn tin trực tiếp qua Fanpage Facebook/Instagram + Nuôi dưỡng nội dung</t>
        </is>
      </c>
    </row>
    <row r="1348">
      <c r="A1348" s="59" t="n">
        <v>3226</v>
      </c>
      <c r="B1348" s="15" t="inlineStr">
        <is>
          <t>TransK9USA</t>
        </is>
      </c>
      <c r="C1348" s="60" t="inlineStr">
        <is>
          <t>https://www.facebook.com/TransK9USA</t>
        </is>
      </c>
      <c r="D1348" s="9" t="inlineStr">
        <is>
          <t>Cần quét Bio Fanpage</t>
        </is>
      </c>
      <c r="E1348" s="59" t="inlineStr">
        <is>
          <t>10/10/2026 22:16:37</t>
        </is>
      </c>
      <c r="F1348" s="59" t="inlineStr">
        <is>
          <t>2 ngày trước</t>
        </is>
      </c>
      <c r="G1348" s="61" t="n">
        <v>2</v>
      </c>
      <c r="H1348" s="62" t="n">
        <v>28</v>
      </c>
      <c r="I1348" s="9" t="inlineStr">
        <is>
          <t>Pet Owner / Cộng đồng nuôi cún (10đ)</t>
        </is>
      </c>
      <c r="J1348" s="62" t="n">
        <v>10</v>
      </c>
      <c r="K1348" s="9" t="inlineStr">
        <is>
          <t>Chưa rõ giống (Cần quét Bio)</t>
        </is>
      </c>
      <c r="L1348" s="62" t="n">
        <v>0</v>
      </c>
      <c r="M1348" s="62" t="n">
        <v>0</v>
      </c>
      <c r="N1348" s="9" t="inlineStr">
        <is>
          <t>Amazon link not found</t>
        </is>
      </c>
      <c r="O1348" s="62">
        <f>IF(N1348="Selling pet toys + Artificial grass/Pet toilets (TARGET)",15,IF(N1348="Selling artificial grass/pet toilets (TARGET)",10,IF(N1348="Selling pet toys",7,IF(N1348="There's an Amazon link, but no target sales.",3,0))))</f>
        <v/>
      </c>
      <c r="P1348" s="67">
        <f>H1348+J1348+L1348+M1348+O1348</f>
        <v/>
      </c>
      <c r="Q1348" s="69">
        <f>IF(OR(H1348=0,P1348&lt;30),"Tier D (Đóng băng)",IF(P1348&gt;=85,"Tier S (Kim Cương: 85-100đ)",IF(P1348&gt;=70,"Tier A (Vàng: 70-84đ)",IF(P1348&gt;=61,"Tier B+ / Cấp A (Hot Lead: 61-69đ)",IF(P1348&gt;=50,"Tier B (Bạc: 50-60đ)","Tier C (Đồng: 30-49đ)")))))</f>
        <v/>
      </c>
      <c r="R1348" s="9" t="inlineStr">
        <is>
          <t>Khay vệ sinh chung cư (Indoor Potty) + Thảm cỏ ban công (Grass Patch) + Đồ chơi</t>
        </is>
      </c>
      <c r="S1348" s="9" t="inlineStr">
        <is>
          <t>Cấp C Chi phí thấp: Nhắn tin trực tiếp qua Fanpage Facebook/Instagram + Nuôi dưỡng nội dung</t>
        </is>
      </c>
    </row>
    <row r="1349">
      <c r="A1349" s="53" t="n">
        <v>2729</v>
      </c>
      <c r="B1349" s="12" t="inlineStr">
        <is>
          <t>ResCat &amp; Dog</t>
        </is>
      </c>
      <c r="C1349" s="54" t="inlineStr">
        <is>
          <t>https://www.facebook.com/Rescatandogvalencia</t>
        </is>
      </c>
      <c r="D1349" s="6" t="inlineStr">
        <is>
          <t>Cần quét Bio Fanpage</t>
        </is>
      </c>
      <c r="E1349" s="53" t="inlineStr">
        <is>
          <t>10/10/2026 21:29:31</t>
        </is>
      </c>
      <c r="F1349" s="53" t="inlineStr">
        <is>
          <t>2 ngày trước</t>
        </is>
      </c>
      <c r="G1349" s="55" t="n">
        <v>2</v>
      </c>
      <c r="H1349" s="56" t="n">
        <v>28</v>
      </c>
      <c r="I1349" s="6" t="inlineStr">
        <is>
          <t>Pet Owner / Cộng đồng nuôi cún (10đ)</t>
        </is>
      </c>
      <c r="J1349" s="56" t="n">
        <v>10</v>
      </c>
      <c r="K1349" s="6" t="inlineStr">
        <is>
          <t>Chưa rõ giống (Cần quét Bio)</t>
        </is>
      </c>
      <c r="L1349" s="56" t="n">
        <v>0</v>
      </c>
      <c r="M1349" s="56" t="n">
        <v>0</v>
      </c>
      <c r="N1349" s="6" t="inlineStr">
        <is>
          <t>Amazon link not found</t>
        </is>
      </c>
      <c r="O1349" s="56">
        <f>IF(N1349="Selling pet toys + Artificial grass/Pet toilets (TARGET)",15,IF(N1349="Selling artificial grass/pet toilets (TARGET)",10,IF(N1349="Selling pet toys",7,IF(N1349="There's an Amazon link, but no target sales.",3,0))))</f>
        <v/>
      </c>
      <c r="P1349" s="65">
        <f>H1349+J1349+L1349+M1349+O1349</f>
        <v/>
      </c>
      <c r="Q1349" s="69">
        <f>IF(OR(H1349=0,P1349&lt;30),"Tier D (Đóng băng)",IF(P1349&gt;=85,"Tier S (Kim Cương: 85-100đ)",IF(P1349&gt;=70,"Tier A (Vàng: 70-84đ)",IF(P1349&gt;=61,"Tier B+ / Cấp A (Hot Lead: 61-69đ)",IF(P1349&gt;=50,"Tier B (Bạc: 50-60đ)","Tier C (Đồng: 30-49đ)")))))</f>
        <v/>
      </c>
      <c r="R1349" s="6" t="inlineStr">
        <is>
          <t>Khay vệ sinh chung cư (Indoor Potty) + Thảm cỏ ban công (Grass Patch) + Đồ chơi</t>
        </is>
      </c>
      <c r="S1349" s="6" t="inlineStr">
        <is>
          <t>Cấp C Chi phí thấp: Nhắn tin trực tiếp qua Fanpage Facebook/Instagram + Nuôi dưỡng nội dung</t>
        </is>
      </c>
    </row>
    <row r="1350">
      <c r="A1350" s="59" t="n">
        <v>738</v>
      </c>
      <c r="B1350" s="15" t="inlineStr">
        <is>
          <t>Boston Dog Lawyers</t>
        </is>
      </c>
      <c r="C1350" s="60" t="inlineStr">
        <is>
          <t>https://www.facebook.com/BostonDogLawyers</t>
        </is>
      </c>
      <c r="D1350" s="9" t="inlineStr">
        <is>
          <t>Cần quét Bio Fanpage</t>
        </is>
      </c>
      <c r="E1350" s="59" t="inlineStr">
        <is>
          <t>10/10/2026 21:29:23</t>
        </is>
      </c>
      <c r="F1350" s="59" t="inlineStr">
        <is>
          <t>2 ngày trước</t>
        </is>
      </c>
      <c r="G1350" s="61" t="n">
        <v>2</v>
      </c>
      <c r="H1350" s="62" t="n">
        <v>28</v>
      </c>
      <c r="I1350" s="9" t="inlineStr">
        <is>
          <t>Pet Owner / Cộng đồng nuôi cún (10đ)</t>
        </is>
      </c>
      <c r="J1350" s="62" t="n">
        <v>10</v>
      </c>
      <c r="K1350" s="9" t="inlineStr">
        <is>
          <t>Chưa rõ giống (Cần quét Bio)</t>
        </is>
      </c>
      <c r="L1350" s="62" t="n">
        <v>0</v>
      </c>
      <c r="M1350" s="62" t="n">
        <v>0</v>
      </c>
      <c r="N1350" s="9" t="inlineStr">
        <is>
          <t>Amazon link not found</t>
        </is>
      </c>
      <c r="O1350" s="62">
        <f>IF(N1350="Selling pet toys + Artificial grass/Pet toilets (TARGET)",15,IF(N1350="Selling artificial grass/pet toilets (TARGET)",10,IF(N1350="Selling pet toys",7,IF(N1350="There's an Amazon link, but no target sales.",3,0))))</f>
        <v/>
      </c>
      <c r="P1350" s="67">
        <f>H1350+J1350+L1350+M1350+O1350</f>
        <v/>
      </c>
      <c r="Q1350" s="69">
        <f>IF(OR(H1350=0,P1350&lt;30),"Tier D (Đóng băng)",IF(P1350&gt;=85,"Tier S (Kim Cương: 85-100đ)",IF(P1350&gt;=70,"Tier A (Vàng: 70-84đ)",IF(P1350&gt;=61,"Tier B+ / Cấp A (Hot Lead: 61-69đ)",IF(P1350&gt;=50,"Tier B (Bạc: 50-60đ)","Tier C (Đồng: 30-49đ)")))))</f>
        <v/>
      </c>
      <c r="R1350" s="9" t="inlineStr">
        <is>
          <t>Khay vệ sinh chung cư (Indoor Potty) + Thảm cỏ ban công (Grass Patch) + Đồ chơi</t>
        </is>
      </c>
      <c r="S1350" s="9" t="inlineStr">
        <is>
          <t>Cấp C Chi phí thấp: Nhắn tin trực tiếp qua Fanpage Facebook/Instagram + Nuôi dưỡng nội dung</t>
        </is>
      </c>
    </row>
    <row r="1351">
      <c r="A1351" s="53" t="n">
        <v>2512</v>
      </c>
      <c r="B1351" s="12" t="inlineStr">
        <is>
          <t>Petite Indienne</t>
        </is>
      </c>
      <c r="C1351" s="54" t="inlineStr">
        <is>
          <t>https://www.facebook.com/lapetiteindienne</t>
        </is>
      </c>
      <c r="D1351" s="6" t="inlineStr">
        <is>
          <t>Cần quét Bio Fanpage</t>
        </is>
      </c>
      <c r="E1351" s="53" t="inlineStr">
        <is>
          <t>10/10/2026 21:10:49</t>
        </is>
      </c>
      <c r="F1351" s="53" t="inlineStr">
        <is>
          <t>2 ngày trước</t>
        </is>
      </c>
      <c r="G1351" s="55" t="n">
        <v>2</v>
      </c>
      <c r="H1351" s="56" t="n">
        <v>28</v>
      </c>
      <c r="I1351" s="6" t="inlineStr">
        <is>
          <t>Pet Owner / Cộng đồng nuôi cún (10đ)</t>
        </is>
      </c>
      <c r="J1351" s="56" t="n">
        <v>10</v>
      </c>
      <c r="K1351" s="6" t="inlineStr">
        <is>
          <t>Chưa rõ giống (Cần quét Bio)</t>
        </is>
      </c>
      <c r="L1351" s="56" t="n">
        <v>0</v>
      </c>
      <c r="M1351" s="56" t="n">
        <v>0</v>
      </c>
      <c r="N1351" s="6" t="inlineStr">
        <is>
          <t>Amazon link not found</t>
        </is>
      </c>
      <c r="O1351" s="56">
        <f>IF(N1351="Selling pet toys + Artificial grass/Pet toilets (TARGET)",15,IF(N1351="Selling artificial grass/pet toilets (TARGET)",10,IF(N1351="Selling pet toys",7,IF(N1351="There's an Amazon link, but no target sales.",3,0))))</f>
        <v/>
      </c>
      <c r="P1351" s="65">
        <f>H1351+J1351+L1351+M1351+O1351</f>
        <v/>
      </c>
      <c r="Q1351" s="69">
        <f>IF(OR(H1351=0,P1351&lt;30),"Tier D (Đóng băng)",IF(P1351&gt;=85,"Tier S (Kim Cương: 85-100đ)",IF(P1351&gt;=70,"Tier A (Vàng: 70-84đ)",IF(P1351&gt;=61,"Tier B+ / Cấp A (Hot Lead: 61-69đ)",IF(P1351&gt;=50,"Tier B (Bạc: 50-60đ)","Tier C (Đồng: 30-49đ)")))))</f>
        <v/>
      </c>
      <c r="R1351" s="6" t="inlineStr">
        <is>
          <t>Khay vệ sinh chung cư (Indoor Potty) + Thảm cỏ ban công (Grass Patch) + Đồ chơi</t>
        </is>
      </c>
      <c r="S1351" s="6" t="inlineStr">
        <is>
          <t>Cấp C Chi phí thấp: Nhắn tin trực tiếp qua Fanpage Facebook/Instagram + Nuôi dưỡng nội dung</t>
        </is>
      </c>
    </row>
    <row r="1352">
      <c r="A1352" s="59" t="n">
        <v>2203</v>
      </c>
      <c r="B1352" s="15" t="inlineStr">
        <is>
          <t>MOAS Pets</t>
        </is>
      </c>
      <c r="C1352" s="60" t="inlineStr">
        <is>
          <t>https://www.facebook.com/moaspets</t>
        </is>
      </c>
      <c r="D1352" s="9" t="inlineStr">
        <is>
          <t>Cần quét Bio Fanpage</t>
        </is>
      </c>
      <c r="E1352" s="59" t="inlineStr">
        <is>
          <t>10/10/2026 20:58:37</t>
        </is>
      </c>
      <c r="F1352" s="59" t="inlineStr">
        <is>
          <t>2 ngày trước</t>
        </is>
      </c>
      <c r="G1352" s="61" t="n">
        <v>2</v>
      </c>
      <c r="H1352" s="62" t="n">
        <v>28</v>
      </c>
      <c r="I1352" s="9" t="inlineStr">
        <is>
          <t>Pet Owner / Cộng đồng nuôi cún (10đ)</t>
        </is>
      </c>
      <c r="J1352" s="62" t="n">
        <v>10</v>
      </c>
      <c r="K1352" s="9" t="inlineStr">
        <is>
          <t>Chưa rõ giống (Cần quét Bio)</t>
        </is>
      </c>
      <c r="L1352" s="62" t="n">
        <v>0</v>
      </c>
      <c r="M1352" s="62" t="n">
        <v>0</v>
      </c>
      <c r="N1352" s="9" t="inlineStr">
        <is>
          <t>Amazon link not found</t>
        </is>
      </c>
      <c r="O1352" s="62">
        <f>IF(N1352="Selling pet toys + Artificial grass/Pet toilets (TARGET)",15,IF(N1352="Selling artificial grass/pet toilets (TARGET)",10,IF(N1352="Selling pet toys",7,IF(N1352="There's an Amazon link, but no target sales.",3,0))))</f>
        <v/>
      </c>
      <c r="P1352" s="67">
        <f>H1352+J1352+L1352+M1352+O1352</f>
        <v/>
      </c>
      <c r="Q1352" s="69">
        <f>IF(OR(H1352=0,P1352&lt;30),"Tier D (Đóng băng)",IF(P1352&gt;=85,"Tier S (Kim Cương: 85-100đ)",IF(P1352&gt;=70,"Tier A (Vàng: 70-84đ)",IF(P1352&gt;=61,"Tier B+ / Cấp A (Hot Lead: 61-69đ)",IF(P1352&gt;=50,"Tier B (Bạc: 50-60đ)","Tier C (Đồng: 30-49đ)")))))</f>
        <v/>
      </c>
      <c r="R1352" s="9" t="inlineStr">
        <is>
          <t>Khay vệ sinh chung cư (Indoor Potty) + Thảm cỏ ban công (Grass Patch) + Đồ chơi</t>
        </is>
      </c>
      <c r="S1352" s="9" t="inlineStr">
        <is>
          <t>Cấp C Chi phí thấp: Nhắn tin trực tiếp qua Fanpage Facebook/Instagram + Nuôi dưỡng nội dung</t>
        </is>
      </c>
    </row>
    <row r="1353">
      <c r="A1353" s="53" t="n">
        <v>2202</v>
      </c>
      <c r="B1353" s="12" t="inlineStr">
        <is>
          <t>MLA Pets - My Little Angels</t>
        </is>
      </c>
      <c r="C1353" s="54" t="inlineStr">
        <is>
          <t>https://www.facebook.com/mlapets</t>
        </is>
      </c>
      <c r="D1353" s="6" t="inlineStr">
        <is>
          <t>Cần quét Bio Fanpage</t>
        </is>
      </c>
      <c r="E1353" s="53" t="inlineStr">
        <is>
          <t>10/10/2026 20:50:34</t>
        </is>
      </c>
      <c r="F1353" s="53" t="inlineStr">
        <is>
          <t>2 ngày trước</t>
        </is>
      </c>
      <c r="G1353" s="55" t="n">
        <v>2</v>
      </c>
      <c r="H1353" s="56" t="n">
        <v>28</v>
      </c>
      <c r="I1353" s="6" t="inlineStr">
        <is>
          <t>Pet Owner / Cộng đồng nuôi cún (10đ)</t>
        </is>
      </c>
      <c r="J1353" s="56" t="n">
        <v>10</v>
      </c>
      <c r="K1353" s="6" t="inlineStr">
        <is>
          <t>Chưa rõ giống (Cần quét Bio)</t>
        </is>
      </c>
      <c r="L1353" s="56" t="n">
        <v>0</v>
      </c>
      <c r="M1353" s="56" t="n">
        <v>0</v>
      </c>
      <c r="N1353" s="6" t="inlineStr">
        <is>
          <t>Amazon link not found</t>
        </is>
      </c>
      <c r="O1353" s="56">
        <f>IF(N1353="Selling pet toys + Artificial grass/Pet toilets (TARGET)",15,IF(N1353="Selling artificial grass/pet toilets (TARGET)",10,IF(N1353="Selling pet toys",7,IF(N1353="There's an Amazon link, but no target sales.",3,0))))</f>
        <v/>
      </c>
      <c r="P1353" s="65">
        <f>H1353+J1353+L1353+M1353+O1353</f>
        <v/>
      </c>
      <c r="Q1353" s="69">
        <f>IF(OR(H1353=0,P1353&lt;30),"Tier D (Đóng băng)",IF(P1353&gt;=85,"Tier S (Kim Cương: 85-100đ)",IF(P1353&gt;=70,"Tier A (Vàng: 70-84đ)",IF(P1353&gt;=61,"Tier B+ / Cấp A (Hot Lead: 61-69đ)",IF(P1353&gt;=50,"Tier B (Bạc: 50-60đ)","Tier C (Đồng: 30-49đ)")))))</f>
        <v/>
      </c>
      <c r="R1353" s="6" t="inlineStr">
        <is>
          <t>Khay vệ sinh chung cư (Indoor Potty) + Thảm cỏ ban công (Grass Patch) + Đồ chơi</t>
        </is>
      </c>
      <c r="S1353" s="6" t="inlineStr">
        <is>
          <t>Cấp C Chi phí thấp: Nhắn tin trực tiếp qua Fanpage Facebook/Instagram + Nuôi dưỡng nội dung</t>
        </is>
      </c>
    </row>
    <row r="1354">
      <c r="A1354" s="59" t="n">
        <v>2986</v>
      </c>
      <c r="B1354" s="15" t="inlineStr">
        <is>
          <t>Staffette Associazione Amico Dog</t>
        </is>
      </c>
      <c r="C1354" s="60" t="inlineStr">
        <is>
          <t>https://www.facebook.com/StaffAssAmicoDog</t>
        </is>
      </c>
      <c r="D1354" s="9" t="inlineStr">
        <is>
          <t>Cần quét Bio Fanpage</t>
        </is>
      </c>
      <c r="E1354" s="59" t="inlineStr">
        <is>
          <t>10/10/2026 18:32:20</t>
        </is>
      </c>
      <c r="F1354" s="59" t="inlineStr">
        <is>
          <t>2 ngày trước</t>
        </is>
      </c>
      <c r="G1354" s="61" t="n">
        <v>2</v>
      </c>
      <c r="H1354" s="62" t="n">
        <v>28</v>
      </c>
      <c r="I1354" s="9" t="inlineStr">
        <is>
          <t>Pet Owner / Cộng đồng nuôi cún (10đ)</t>
        </is>
      </c>
      <c r="J1354" s="62" t="n">
        <v>10</v>
      </c>
      <c r="K1354" s="9" t="inlineStr">
        <is>
          <t>Chưa rõ giống (Cần quét Bio)</t>
        </is>
      </c>
      <c r="L1354" s="62" t="n">
        <v>0</v>
      </c>
      <c r="M1354" s="62" t="n">
        <v>0</v>
      </c>
      <c r="N1354" s="9" t="inlineStr">
        <is>
          <t>Amazon link not found</t>
        </is>
      </c>
      <c r="O1354" s="62">
        <f>IF(N1354="Selling pet toys + Artificial grass/Pet toilets (TARGET)",15,IF(N1354="Selling artificial grass/pet toilets (TARGET)",10,IF(N1354="Selling pet toys",7,IF(N1354="There's an Amazon link, but no target sales.",3,0))))</f>
        <v/>
      </c>
      <c r="P1354" s="67">
        <f>H1354+J1354+L1354+M1354+O1354</f>
        <v/>
      </c>
      <c r="Q1354" s="69">
        <f>IF(OR(H1354=0,P1354&lt;30),"Tier D (Đóng băng)",IF(P1354&gt;=85,"Tier S (Kim Cương: 85-100đ)",IF(P1354&gt;=70,"Tier A (Vàng: 70-84đ)",IF(P1354&gt;=61,"Tier B+ / Cấp A (Hot Lead: 61-69đ)",IF(P1354&gt;=50,"Tier B (Bạc: 50-60đ)","Tier C (Đồng: 30-49đ)")))))</f>
        <v/>
      </c>
      <c r="R1354" s="9" t="inlineStr">
        <is>
          <t>Khay vệ sinh chung cư (Indoor Potty) + Thảm cỏ ban công (Grass Patch) + Đồ chơi</t>
        </is>
      </c>
      <c r="S1354" s="9" t="inlineStr">
        <is>
          <t>Cấp C Chi phí thấp: Nhắn tin trực tiếp qua Fanpage Facebook/Instagram + Nuôi dưỡng nội dung</t>
        </is>
      </c>
    </row>
    <row r="1355">
      <c r="A1355" s="53" t="n">
        <v>2627</v>
      </c>
      <c r="B1355" s="12" t="inlineStr">
        <is>
          <t>Pretty Penny's Dog &amp; Pet Accessories</t>
        </is>
      </c>
      <c r="C1355" s="54" t="inlineStr">
        <is>
          <t>https://www.facebook.com/PrettyPennysuk</t>
        </is>
      </c>
      <c r="D1355" s="6" t="inlineStr">
        <is>
          <t>Cần quét Bio Fanpage</t>
        </is>
      </c>
      <c r="E1355" s="53" t="inlineStr">
        <is>
          <t>10/10/2026 17:13:12</t>
        </is>
      </c>
      <c r="F1355" s="53" t="inlineStr">
        <is>
          <t>2 ngày trước</t>
        </is>
      </c>
      <c r="G1355" s="55" t="n">
        <v>2</v>
      </c>
      <c r="H1355" s="56" t="n">
        <v>28</v>
      </c>
      <c r="I1355" s="6" t="inlineStr">
        <is>
          <t>Pet Owner / Cộng đồng nuôi cún (10đ)</t>
        </is>
      </c>
      <c r="J1355" s="56" t="n">
        <v>10</v>
      </c>
      <c r="K1355" s="6" t="inlineStr">
        <is>
          <t>Chưa rõ giống (Cần quét Bio)</t>
        </is>
      </c>
      <c r="L1355" s="56" t="n">
        <v>0</v>
      </c>
      <c r="M1355" s="56" t="n">
        <v>0</v>
      </c>
      <c r="N1355" s="6" t="inlineStr">
        <is>
          <t>Amazon link not found</t>
        </is>
      </c>
      <c r="O1355" s="56">
        <f>IF(N1355="Selling pet toys + Artificial grass/Pet toilets (TARGET)",15,IF(N1355="Selling artificial grass/pet toilets (TARGET)",10,IF(N1355="Selling pet toys",7,IF(N1355="There's an Amazon link, but no target sales.",3,0))))</f>
        <v/>
      </c>
      <c r="P1355" s="65">
        <f>H1355+J1355+L1355+M1355+O1355</f>
        <v/>
      </c>
      <c r="Q1355" s="69">
        <f>IF(OR(H1355=0,P1355&lt;30),"Tier D (Đóng băng)",IF(P1355&gt;=85,"Tier S (Kim Cương: 85-100đ)",IF(P1355&gt;=70,"Tier A (Vàng: 70-84đ)",IF(P1355&gt;=61,"Tier B+ / Cấp A (Hot Lead: 61-69đ)",IF(P1355&gt;=50,"Tier B (Bạc: 50-60đ)","Tier C (Đồng: 30-49đ)")))))</f>
        <v/>
      </c>
      <c r="R1355" s="6" t="inlineStr">
        <is>
          <t>Khay vệ sinh chung cư (Indoor Potty) + Thảm cỏ ban công (Grass Patch) + Đồ chơi</t>
        </is>
      </c>
      <c r="S1355" s="6" t="inlineStr">
        <is>
          <t>Cấp C Chi phí thấp: Nhắn tin trực tiếp qua Fanpage Facebook/Instagram + Nuôi dưỡng nội dung</t>
        </is>
      </c>
    </row>
    <row r="1356">
      <c r="A1356" s="59" t="n">
        <v>1842</v>
      </c>
      <c r="B1356" s="15" t="inlineStr">
        <is>
          <t>Kaniva Pet Food</t>
        </is>
      </c>
      <c r="C1356" s="60" t="inlineStr">
        <is>
          <t>https://www.facebook.com/KanivaThailand</t>
        </is>
      </c>
      <c r="D1356" s="9" t="inlineStr">
        <is>
          <t>Cần quét Bio Fanpage</t>
        </is>
      </c>
      <c r="E1356" s="59" t="inlineStr">
        <is>
          <t>10/10/2026 17:00:59</t>
        </is>
      </c>
      <c r="F1356" s="59" t="inlineStr">
        <is>
          <t>2 ngày trước</t>
        </is>
      </c>
      <c r="G1356" s="61" t="n">
        <v>2</v>
      </c>
      <c r="H1356" s="62" t="n">
        <v>28</v>
      </c>
      <c r="I1356" s="9" t="inlineStr">
        <is>
          <t>Pet Owner / Cộng đồng nuôi cún (10đ)</t>
        </is>
      </c>
      <c r="J1356" s="62" t="n">
        <v>10</v>
      </c>
      <c r="K1356" s="9" t="inlineStr">
        <is>
          <t>Chưa rõ giống (Cần quét Bio)</t>
        </is>
      </c>
      <c r="L1356" s="62" t="n">
        <v>0</v>
      </c>
      <c r="M1356" s="62" t="n">
        <v>0</v>
      </c>
      <c r="N1356" s="9" t="inlineStr">
        <is>
          <t>Amazon link not found</t>
        </is>
      </c>
      <c r="O1356" s="62">
        <f>IF(N1356="Selling pet toys + Artificial grass/Pet toilets (TARGET)",15,IF(N1356="Selling artificial grass/pet toilets (TARGET)",10,IF(N1356="Selling pet toys",7,IF(N1356="There's an Amazon link, but no target sales.",3,0))))</f>
        <v/>
      </c>
      <c r="P1356" s="67">
        <f>H1356+J1356+L1356+M1356+O1356</f>
        <v/>
      </c>
      <c r="Q1356" s="69">
        <f>IF(OR(H1356=0,P1356&lt;30),"Tier D (Đóng băng)",IF(P1356&gt;=85,"Tier S (Kim Cương: 85-100đ)",IF(P1356&gt;=70,"Tier A (Vàng: 70-84đ)",IF(P1356&gt;=61,"Tier B+ / Cấp A (Hot Lead: 61-69đ)",IF(P1356&gt;=50,"Tier B (Bạc: 50-60đ)","Tier C (Đồng: 30-49đ)")))))</f>
        <v/>
      </c>
      <c r="R1356" s="9" t="inlineStr">
        <is>
          <t>Khay vệ sinh chung cư (Indoor Potty) + Thảm cỏ ban công (Grass Patch) + Đồ chơi</t>
        </is>
      </c>
      <c r="S1356" s="9" t="inlineStr">
        <is>
          <t>Cấp C Chi phí thấp: Nhắn tin trực tiếp qua Fanpage Facebook/Instagram + Nuôi dưỡng nội dung</t>
        </is>
      </c>
    </row>
    <row r="1357">
      <c r="A1357" s="53" t="n">
        <v>1035</v>
      </c>
      <c r="B1357" s="12" t="inlineStr">
        <is>
          <t>Dibaq Petcare</t>
        </is>
      </c>
      <c r="C1357" s="54" t="inlineStr">
        <is>
          <t>https://www.facebook.com/dibaq.petcare</t>
        </is>
      </c>
      <c r="D1357" s="6" t="inlineStr">
        <is>
          <t>Cần quét Bio Fanpage</t>
        </is>
      </c>
      <c r="E1357" s="53" t="inlineStr">
        <is>
          <t>10/10/2026 17:00:12</t>
        </is>
      </c>
      <c r="F1357" s="53" t="inlineStr">
        <is>
          <t>2 ngày trước</t>
        </is>
      </c>
      <c r="G1357" s="55" t="n">
        <v>2</v>
      </c>
      <c r="H1357" s="56" t="n">
        <v>28</v>
      </c>
      <c r="I1357" s="6" t="inlineStr">
        <is>
          <t>Pet Owner / Cộng đồng nuôi cún (10đ)</t>
        </is>
      </c>
      <c r="J1357" s="56" t="n">
        <v>10</v>
      </c>
      <c r="K1357" s="6" t="inlineStr">
        <is>
          <t>Chưa rõ giống (Cần quét Bio)</t>
        </is>
      </c>
      <c r="L1357" s="56" t="n">
        <v>0</v>
      </c>
      <c r="M1357" s="56" t="n">
        <v>0</v>
      </c>
      <c r="N1357" s="6" t="inlineStr">
        <is>
          <t>Amazon link not found</t>
        </is>
      </c>
      <c r="O1357" s="56">
        <f>IF(N1357="Selling pet toys + Artificial grass/Pet toilets (TARGET)",15,IF(N1357="Selling artificial grass/pet toilets (TARGET)",10,IF(N1357="Selling pet toys",7,IF(N1357="There's an Amazon link, but no target sales.",3,0))))</f>
        <v/>
      </c>
      <c r="P1357" s="65">
        <f>H1357+J1357+L1357+M1357+O1357</f>
        <v/>
      </c>
      <c r="Q1357" s="69">
        <f>IF(OR(H1357=0,P1357&lt;30),"Tier D (Đóng băng)",IF(P1357&gt;=85,"Tier S (Kim Cương: 85-100đ)",IF(P1357&gt;=70,"Tier A (Vàng: 70-84đ)",IF(P1357&gt;=61,"Tier B+ / Cấp A (Hot Lead: 61-69đ)",IF(P1357&gt;=50,"Tier B (Bạc: 50-60đ)","Tier C (Đồng: 30-49đ)")))))</f>
        <v/>
      </c>
      <c r="R1357" s="6" t="inlineStr">
        <is>
          <t>Khay vệ sinh chung cư (Indoor Potty) + Thảm cỏ ban công (Grass Patch) + Đồ chơi</t>
        </is>
      </c>
      <c r="S1357" s="6" t="inlineStr">
        <is>
          <t>Cấp C Chi phí thấp: Nhắn tin trực tiếp qua Fanpage Facebook/Instagram + Nuôi dưỡng nội dung</t>
        </is>
      </c>
    </row>
    <row r="1358">
      <c r="A1358" s="59" t="n">
        <v>3186</v>
      </c>
      <c r="B1358" s="15" t="inlineStr">
        <is>
          <t>Ti-Pet</t>
        </is>
      </c>
      <c r="C1358" s="60" t="inlineStr">
        <is>
          <t>https://www.facebook.com/profile.php?id=61588617067436</t>
        </is>
      </c>
      <c r="D1358" s="9" t="inlineStr">
        <is>
          <t>Cần quét Bio Fanpage</t>
        </is>
      </c>
      <c r="E1358" s="59" t="inlineStr">
        <is>
          <t>10/10/2026 16:34:15</t>
        </is>
      </c>
      <c r="F1358" s="59" t="inlineStr">
        <is>
          <t>2 ngày trước</t>
        </is>
      </c>
      <c r="G1358" s="61" t="n">
        <v>2</v>
      </c>
      <c r="H1358" s="62" t="n">
        <v>28</v>
      </c>
      <c r="I1358" s="9" t="inlineStr">
        <is>
          <t>Pet Owner / Cộng đồng nuôi cún (10đ)</t>
        </is>
      </c>
      <c r="J1358" s="62" t="n">
        <v>10</v>
      </c>
      <c r="K1358" s="9" t="inlineStr">
        <is>
          <t>Chưa rõ giống (Cần quét Bio)</t>
        </is>
      </c>
      <c r="L1358" s="62" t="n">
        <v>0</v>
      </c>
      <c r="M1358" s="62" t="n">
        <v>0</v>
      </c>
      <c r="N1358" s="9" t="inlineStr">
        <is>
          <t>Amazon link not found</t>
        </is>
      </c>
      <c r="O1358" s="62">
        <f>IF(N1358="Selling pet toys + Artificial grass/Pet toilets (TARGET)",15,IF(N1358="Selling artificial grass/pet toilets (TARGET)",10,IF(N1358="Selling pet toys",7,IF(N1358="There's an Amazon link, but no target sales.",3,0))))</f>
        <v/>
      </c>
      <c r="P1358" s="67">
        <f>H1358+J1358+L1358+M1358+O1358</f>
        <v/>
      </c>
      <c r="Q1358" s="69">
        <f>IF(OR(H1358=0,P1358&lt;30),"Tier D (Đóng băng)",IF(P1358&gt;=85,"Tier S (Kim Cương: 85-100đ)",IF(P1358&gt;=70,"Tier A (Vàng: 70-84đ)",IF(P1358&gt;=61,"Tier B+ / Cấp A (Hot Lead: 61-69đ)",IF(P1358&gt;=50,"Tier B (Bạc: 50-60đ)","Tier C (Đồng: 30-49đ)")))))</f>
        <v/>
      </c>
      <c r="R1358" s="9" t="inlineStr">
        <is>
          <t>Khay vệ sinh chung cư (Indoor Potty) + Thảm cỏ ban công (Grass Patch) + Đồ chơi</t>
        </is>
      </c>
      <c r="S1358" s="9" t="inlineStr">
        <is>
          <t>Cấp C Chi phí thấp: Nhắn tin trực tiếp qua Fanpage Facebook/Instagram + Nuôi dưỡng nội dung</t>
        </is>
      </c>
    </row>
    <row r="1359">
      <c r="A1359" s="53" t="n">
        <v>2863</v>
      </c>
      <c r="B1359" s="12" t="inlineStr">
        <is>
          <t>Sergey Pet Delivery Kanaev</t>
        </is>
      </c>
      <c r="C1359" s="54" t="inlineStr">
        <is>
          <t>https://www.facebook.com/sakanaev</t>
        </is>
      </c>
      <c r="D1359" s="6" t="inlineStr">
        <is>
          <t>Cần quét Bio Fanpage</t>
        </is>
      </c>
      <c r="E1359" s="53" t="inlineStr">
        <is>
          <t>10/10/2026 16:28:45</t>
        </is>
      </c>
      <c r="F1359" s="53" t="inlineStr">
        <is>
          <t>2 ngày trước</t>
        </is>
      </c>
      <c r="G1359" s="55" t="n">
        <v>2</v>
      </c>
      <c r="H1359" s="56" t="n">
        <v>28</v>
      </c>
      <c r="I1359" s="6" t="inlineStr">
        <is>
          <t>Pet Owner / Cộng đồng nuôi cún (10đ)</t>
        </is>
      </c>
      <c r="J1359" s="56" t="n">
        <v>10</v>
      </c>
      <c r="K1359" s="6" t="inlineStr">
        <is>
          <t>Chưa rõ giống (Cần quét Bio)</t>
        </is>
      </c>
      <c r="L1359" s="56" t="n">
        <v>0</v>
      </c>
      <c r="M1359" s="56" t="n">
        <v>0</v>
      </c>
      <c r="N1359" s="6" t="inlineStr">
        <is>
          <t>Amazon link not found</t>
        </is>
      </c>
      <c r="O1359" s="56">
        <f>IF(N1359="Selling pet toys + Artificial grass/Pet toilets (TARGET)",15,IF(N1359="Selling artificial grass/pet toilets (TARGET)",10,IF(N1359="Selling pet toys",7,IF(N1359="There's an Amazon link, but no target sales.",3,0))))</f>
        <v/>
      </c>
      <c r="P1359" s="65">
        <f>H1359+J1359+L1359+M1359+O1359</f>
        <v/>
      </c>
      <c r="Q1359" s="69">
        <f>IF(OR(H1359=0,P1359&lt;30),"Tier D (Đóng băng)",IF(P1359&gt;=85,"Tier S (Kim Cương: 85-100đ)",IF(P1359&gt;=70,"Tier A (Vàng: 70-84đ)",IF(P1359&gt;=61,"Tier B+ / Cấp A (Hot Lead: 61-69đ)",IF(P1359&gt;=50,"Tier B (Bạc: 50-60đ)","Tier C (Đồng: 30-49đ)")))))</f>
        <v/>
      </c>
      <c r="R1359" s="6" t="inlineStr">
        <is>
          <t>Khay vệ sinh chung cư (Indoor Potty) + Thảm cỏ ban công (Grass Patch) + Đồ chơi</t>
        </is>
      </c>
      <c r="S1359" s="6" t="inlineStr">
        <is>
          <t>Cấp C Chi phí thấp: Nhắn tin trực tiếp qua Fanpage Facebook/Instagram + Nuôi dưỡng nội dung</t>
        </is>
      </c>
    </row>
    <row r="1360">
      <c r="A1360" s="59" t="n">
        <v>1165</v>
      </c>
      <c r="B1360" s="15" t="inlineStr">
        <is>
          <t>Dogs Deli</t>
        </is>
      </c>
      <c r="C1360" s="60" t="inlineStr">
        <is>
          <t>https://www.facebook.com/DogsDeliUK</t>
        </is>
      </c>
      <c r="D1360" s="9" t="inlineStr">
        <is>
          <t>Cần quét Bio Fanpage</t>
        </is>
      </c>
      <c r="E1360" s="59" t="inlineStr">
        <is>
          <t>10/10/2026 16:27:27</t>
        </is>
      </c>
      <c r="F1360" s="59" t="inlineStr">
        <is>
          <t>2 ngày trước</t>
        </is>
      </c>
      <c r="G1360" s="61" t="n">
        <v>2</v>
      </c>
      <c r="H1360" s="62" t="n">
        <v>28</v>
      </c>
      <c r="I1360" s="9" t="inlineStr">
        <is>
          <t>Pet Owner / Cộng đồng nuôi cún (10đ)</t>
        </is>
      </c>
      <c r="J1360" s="62" t="n">
        <v>10</v>
      </c>
      <c r="K1360" s="9" t="inlineStr">
        <is>
          <t>Chưa rõ giống (Cần quét Bio)</t>
        </is>
      </c>
      <c r="L1360" s="62" t="n">
        <v>0</v>
      </c>
      <c r="M1360" s="62" t="n">
        <v>0</v>
      </c>
      <c r="N1360" s="9" t="inlineStr">
        <is>
          <t>Amazon link not found</t>
        </is>
      </c>
      <c r="O1360" s="62">
        <f>IF(N1360="Selling pet toys + Artificial grass/Pet toilets (TARGET)",15,IF(N1360="Selling artificial grass/pet toilets (TARGET)",10,IF(N1360="Selling pet toys",7,IF(N1360="There's an Amazon link, but no target sales.",3,0))))</f>
        <v/>
      </c>
      <c r="P1360" s="67">
        <f>H1360+J1360+L1360+M1360+O1360</f>
        <v/>
      </c>
      <c r="Q1360" s="69">
        <f>IF(OR(H1360=0,P1360&lt;30),"Tier D (Đóng băng)",IF(P1360&gt;=85,"Tier S (Kim Cương: 85-100đ)",IF(P1360&gt;=70,"Tier A (Vàng: 70-84đ)",IF(P1360&gt;=61,"Tier B+ / Cấp A (Hot Lead: 61-69đ)",IF(P1360&gt;=50,"Tier B (Bạc: 50-60đ)","Tier C (Đồng: 30-49đ)")))))</f>
        <v/>
      </c>
      <c r="R1360" s="9" t="inlineStr">
        <is>
          <t>Khay vệ sinh chung cư (Indoor Potty) + Thảm cỏ ban công (Grass Patch) + Đồ chơi</t>
        </is>
      </c>
      <c r="S1360" s="9" t="inlineStr">
        <is>
          <t>Cấp C Chi phí thấp: Nhắn tin trực tiếp qua Fanpage Facebook/Instagram + Nuôi dưỡng nội dung</t>
        </is>
      </c>
    </row>
    <row r="1361">
      <c r="A1361" s="53" t="n">
        <v>258</v>
      </c>
      <c r="B1361" s="12" t="inlineStr">
        <is>
          <t>Ruff &amp; Tumble Dog Drying Coats</t>
        </is>
      </c>
      <c r="C1361" s="54" t="inlineStr">
        <is>
          <t>https://www.facebook.com/RuffAndTumbleDogCoats</t>
        </is>
      </c>
      <c r="D1361" s="6" t="inlineStr">
        <is>
          <t>Cần quét Bio Fanpage</t>
        </is>
      </c>
      <c r="E1361" s="53" t="inlineStr">
        <is>
          <t>10/10/2026 16:00:07</t>
        </is>
      </c>
      <c r="F1361" s="53" t="inlineStr">
        <is>
          <t>2 ngày trước</t>
        </is>
      </c>
      <c r="G1361" s="55" t="n">
        <v>2</v>
      </c>
      <c r="H1361" s="56" t="n">
        <v>28</v>
      </c>
      <c r="I1361" s="6" t="inlineStr">
        <is>
          <t>Pet Owner / Cộng đồng nuôi cún (10đ)</t>
        </is>
      </c>
      <c r="J1361" s="56" t="n">
        <v>10</v>
      </c>
      <c r="K1361" s="6" t="inlineStr">
        <is>
          <t>Chưa rõ giống (Cần quét Bio)</t>
        </is>
      </c>
      <c r="L1361" s="56" t="n">
        <v>0</v>
      </c>
      <c r="M1361" s="56" t="n">
        <v>0</v>
      </c>
      <c r="N1361" s="6" t="inlineStr">
        <is>
          <t>Amazon link not found</t>
        </is>
      </c>
      <c r="O1361" s="56">
        <f>IF(N1361="Selling pet toys + Artificial grass/Pet toilets (TARGET)",15,IF(N1361="Selling artificial grass/pet toilets (TARGET)",10,IF(N1361="Selling pet toys",7,IF(N1361="There's an Amazon link, but no target sales.",3,0))))</f>
        <v/>
      </c>
      <c r="P1361" s="65">
        <f>H1361+J1361+L1361+M1361+O1361</f>
        <v/>
      </c>
      <c r="Q1361" s="69">
        <f>IF(OR(H1361=0,P1361&lt;30),"Tier D (Đóng băng)",IF(P1361&gt;=85,"Tier S (Kim Cương: 85-100đ)",IF(P1361&gt;=70,"Tier A (Vàng: 70-84đ)",IF(P1361&gt;=61,"Tier B+ / Cấp A (Hot Lead: 61-69đ)",IF(P1361&gt;=50,"Tier B (Bạc: 50-60đ)","Tier C (Đồng: 30-49đ)")))))</f>
        <v/>
      </c>
      <c r="R1361" s="6" t="inlineStr">
        <is>
          <t>Khay vệ sinh chung cư (Indoor Potty) + Thảm cỏ ban công (Grass Patch) + Đồ chơi</t>
        </is>
      </c>
      <c r="S1361" s="6" t="inlineStr">
        <is>
          <t>Cấp C Chi phí thấp: Nhắn tin trực tiếp qua Fanpage Facebook/Instagram + Nuôi dưỡng nội dung</t>
        </is>
      </c>
    </row>
    <row r="1362">
      <c r="A1362" s="59" t="n">
        <v>435</v>
      </c>
      <c r="B1362" s="15" t="inlineStr">
        <is>
          <t>Angel Pet Transport</t>
        </is>
      </c>
      <c r="C1362" s="60" t="inlineStr">
        <is>
          <t>https://www.facebook.com/angelpettransport</t>
        </is>
      </c>
      <c r="D1362" s="9" t="inlineStr">
        <is>
          <t>Cần quét Bio Fanpage</t>
        </is>
      </c>
      <c r="E1362" s="59" t="inlineStr">
        <is>
          <t>10/10/2026 14:13:17</t>
        </is>
      </c>
      <c r="F1362" s="59" t="inlineStr">
        <is>
          <t>2 ngày trước</t>
        </is>
      </c>
      <c r="G1362" s="61" t="n">
        <v>2</v>
      </c>
      <c r="H1362" s="62" t="n">
        <v>28</v>
      </c>
      <c r="I1362" s="9" t="inlineStr">
        <is>
          <t>Pet Owner / Cộng đồng nuôi cún (10đ)</t>
        </is>
      </c>
      <c r="J1362" s="62" t="n">
        <v>10</v>
      </c>
      <c r="K1362" s="9" t="inlineStr">
        <is>
          <t>Chưa rõ giống (Cần quét Bio)</t>
        </is>
      </c>
      <c r="L1362" s="62" t="n">
        <v>0</v>
      </c>
      <c r="M1362" s="62" t="n">
        <v>0</v>
      </c>
      <c r="N1362" s="9" t="inlineStr">
        <is>
          <t>Amazon link not found</t>
        </is>
      </c>
      <c r="O1362" s="62">
        <f>IF(N1362="Selling pet toys + Artificial grass/Pet toilets (TARGET)",15,IF(N1362="Selling artificial grass/pet toilets (TARGET)",10,IF(N1362="Selling pet toys",7,IF(N1362="There's an Amazon link, but no target sales.",3,0))))</f>
        <v/>
      </c>
      <c r="P1362" s="67">
        <f>H1362+J1362+L1362+M1362+O1362</f>
        <v/>
      </c>
      <c r="Q1362" s="69">
        <f>IF(OR(H1362=0,P1362&lt;30),"Tier D (Đóng băng)",IF(P1362&gt;=85,"Tier S (Kim Cương: 85-100đ)",IF(P1362&gt;=70,"Tier A (Vàng: 70-84đ)",IF(P1362&gt;=61,"Tier B+ / Cấp A (Hot Lead: 61-69đ)",IF(P1362&gt;=50,"Tier B (Bạc: 50-60đ)","Tier C (Đồng: 30-49đ)")))))</f>
        <v/>
      </c>
      <c r="R1362" s="9" t="inlineStr">
        <is>
          <t>Khay vệ sinh chung cư (Indoor Potty) + Thảm cỏ ban công (Grass Patch) + Đồ chơi</t>
        </is>
      </c>
      <c r="S1362" s="9" t="inlineStr">
        <is>
          <t>Cấp C Chi phí thấp: Nhắn tin trực tiếp qua Fanpage Facebook/Instagram + Nuôi dưỡng nội dung</t>
        </is>
      </c>
    </row>
    <row r="1363">
      <c r="A1363" s="53" t="n">
        <v>1037</v>
      </c>
      <c r="B1363" s="12" t="inlineStr">
        <is>
          <t>Diego’s Dog Advice</t>
        </is>
      </c>
      <c r="C1363" s="54" t="inlineStr">
        <is>
          <t>https://www.facebook.com/diegodogscoast</t>
        </is>
      </c>
      <c r="D1363" s="6" t="inlineStr">
        <is>
          <t>Cần quét Bio Fanpage</t>
        </is>
      </c>
      <c r="E1363" s="53" t="inlineStr">
        <is>
          <t>10/10/2026 09:33:45</t>
        </is>
      </c>
      <c r="F1363" s="53" t="inlineStr">
        <is>
          <t>2 ngày trước</t>
        </is>
      </c>
      <c r="G1363" s="55" t="n">
        <v>2</v>
      </c>
      <c r="H1363" s="56" t="n">
        <v>28</v>
      </c>
      <c r="I1363" s="6" t="inlineStr">
        <is>
          <t>Pet Owner / Cộng đồng nuôi cún (10đ)</t>
        </is>
      </c>
      <c r="J1363" s="56" t="n">
        <v>10</v>
      </c>
      <c r="K1363" s="6" t="inlineStr">
        <is>
          <t>Chưa rõ giống (Cần quét Bio)</t>
        </is>
      </c>
      <c r="L1363" s="56" t="n">
        <v>0</v>
      </c>
      <c r="M1363" s="56" t="n">
        <v>0</v>
      </c>
      <c r="N1363" s="6" t="inlineStr">
        <is>
          <t>Amazon link not found</t>
        </is>
      </c>
      <c r="O1363" s="56">
        <f>IF(N1363="Selling pet toys + Artificial grass/Pet toilets (TARGET)",15,IF(N1363="Selling artificial grass/pet toilets (TARGET)",10,IF(N1363="Selling pet toys",7,IF(N1363="There's an Amazon link, but no target sales.",3,0))))</f>
        <v/>
      </c>
      <c r="P1363" s="65">
        <f>H1363+J1363+L1363+M1363+O1363</f>
        <v/>
      </c>
      <c r="Q1363" s="69">
        <f>IF(OR(H1363=0,P1363&lt;30),"Tier D (Đóng băng)",IF(P1363&gt;=85,"Tier S (Kim Cương: 85-100đ)",IF(P1363&gt;=70,"Tier A (Vàng: 70-84đ)",IF(P1363&gt;=61,"Tier B+ / Cấp A (Hot Lead: 61-69đ)",IF(P1363&gt;=50,"Tier B (Bạc: 50-60đ)","Tier C (Đồng: 30-49đ)")))))</f>
        <v/>
      </c>
      <c r="R1363" s="6" t="inlineStr">
        <is>
          <t>Khay vệ sinh chung cư (Indoor Potty) + Thảm cỏ ban công (Grass Patch) + Đồ chơi</t>
        </is>
      </c>
      <c r="S1363" s="6" t="inlineStr">
        <is>
          <t>Cấp C Chi phí thấp: Nhắn tin trực tiếp qua Fanpage Facebook/Instagram + Nuôi dưỡng nội dung</t>
        </is>
      </c>
    </row>
    <row r="1364">
      <c r="A1364" s="59" t="n">
        <v>2452</v>
      </c>
      <c r="B1364" s="15" t="inlineStr">
        <is>
          <t>Pet Harmony</t>
        </is>
      </c>
      <c r="C1364" s="60" t="inlineStr">
        <is>
          <t>https://www.facebook.com/petharmonytraining</t>
        </is>
      </c>
      <c r="D1364" s="9" t="inlineStr">
        <is>
          <t>Cần quét Bio Fanpage</t>
        </is>
      </c>
      <c r="E1364" s="59" t="inlineStr">
        <is>
          <t>10/10/2026 08:09:03</t>
        </is>
      </c>
      <c r="F1364" s="59" t="inlineStr">
        <is>
          <t>2 ngày trước</t>
        </is>
      </c>
      <c r="G1364" s="61" t="n">
        <v>2</v>
      </c>
      <c r="H1364" s="62" t="n">
        <v>28</v>
      </c>
      <c r="I1364" s="9" t="inlineStr">
        <is>
          <t>Pet Owner / Cộng đồng nuôi cún (10đ)</t>
        </is>
      </c>
      <c r="J1364" s="62" t="n">
        <v>10</v>
      </c>
      <c r="K1364" s="9" t="inlineStr">
        <is>
          <t>Chưa rõ giống (Cần quét Bio)</t>
        </is>
      </c>
      <c r="L1364" s="62" t="n">
        <v>0</v>
      </c>
      <c r="M1364" s="62" t="n">
        <v>0</v>
      </c>
      <c r="N1364" s="9" t="inlineStr">
        <is>
          <t>Amazon link not found</t>
        </is>
      </c>
      <c r="O1364" s="62">
        <f>IF(N1364="Selling pet toys + Artificial grass/Pet toilets (TARGET)",15,IF(N1364="Selling artificial grass/pet toilets (TARGET)",10,IF(N1364="Selling pet toys",7,IF(N1364="There's an Amazon link, but no target sales.",3,0))))</f>
        <v/>
      </c>
      <c r="P1364" s="67">
        <f>H1364+J1364+L1364+M1364+O1364</f>
        <v/>
      </c>
      <c r="Q1364" s="69">
        <f>IF(OR(H1364=0,P1364&lt;30),"Tier D (Đóng băng)",IF(P1364&gt;=85,"Tier S (Kim Cương: 85-100đ)",IF(P1364&gt;=70,"Tier A (Vàng: 70-84đ)",IF(P1364&gt;=61,"Tier B+ / Cấp A (Hot Lead: 61-69đ)",IF(P1364&gt;=50,"Tier B (Bạc: 50-60đ)","Tier C (Đồng: 30-49đ)")))))</f>
        <v/>
      </c>
      <c r="R1364" s="9" t="inlineStr">
        <is>
          <t>Khay vệ sinh chung cư (Indoor Potty) + Thảm cỏ ban công (Grass Patch) + Đồ chơi</t>
        </is>
      </c>
      <c r="S1364" s="9" t="inlineStr">
        <is>
          <t>Cấp C Chi phí thấp: Nhắn tin trực tiếp qua Fanpage Facebook/Instagram + Nuôi dưỡng nội dung</t>
        </is>
      </c>
    </row>
    <row r="1365">
      <c r="A1365" s="53" t="n">
        <v>2875</v>
      </c>
      <c r="B1365" s="12" t="inlineStr">
        <is>
          <t>Shameless Pets</t>
        </is>
      </c>
      <c r="C1365" s="54" t="inlineStr">
        <is>
          <t>https://www.facebook.com/ourshamelesspets</t>
        </is>
      </c>
      <c r="D1365" s="6" t="inlineStr">
        <is>
          <t>Cần quét Bio Fanpage</t>
        </is>
      </c>
      <c r="E1365" s="53" t="inlineStr">
        <is>
          <t>10/10/2026 06:16:30</t>
        </is>
      </c>
      <c r="F1365" s="53" t="inlineStr">
        <is>
          <t>2 ngày trước</t>
        </is>
      </c>
      <c r="G1365" s="55" t="n">
        <v>2</v>
      </c>
      <c r="H1365" s="56" t="n">
        <v>28</v>
      </c>
      <c r="I1365" s="6" t="inlineStr">
        <is>
          <t>Pet Owner / Cộng đồng nuôi cún (10đ)</t>
        </is>
      </c>
      <c r="J1365" s="56" t="n">
        <v>10</v>
      </c>
      <c r="K1365" s="6" t="inlineStr">
        <is>
          <t>Chưa rõ giống (Cần quét Bio)</t>
        </is>
      </c>
      <c r="L1365" s="56" t="n">
        <v>0</v>
      </c>
      <c r="M1365" s="56" t="n">
        <v>0</v>
      </c>
      <c r="N1365" s="6" t="inlineStr">
        <is>
          <t>Amazon link not found</t>
        </is>
      </c>
      <c r="O1365" s="56">
        <f>IF(N1365="Selling pet toys + Artificial grass/Pet toilets (TARGET)",15,IF(N1365="Selling artificial grass/pet toilets (TARGET)",10,IF(N1365="Selling pet toys",7,IF(N1365="There's an Amazon link, but no target sales.",3,0))))</f>
        <v/>
      </c>
      <c r="P1365" s="65">
        <f>H1365+J1365+L1365+M1365+O1365</f>
        <v/>
      </c>
      <c r="Q1365" s="69">
        <f>IF(OR(H1365=0,P1365&lt;30),"Tier D (Đóng băng)",IF(P1365&gt;=85,"Tier S (Kim Cương: 85-100đ)",IF(P1365&gt;=70,"Tier A (Vàng: 70-84đ)",IF(P1365&gt;=61,"Tier B+ / Cấp A (Hot Lead: 61-69đ)",IF(P1365&gt;=50,"Tier B (Bạc: 50-60đ)","Tier C (Đồng: 30-49đ)")))))</f>
        <v/>
      </c>
      <c r="R1365" s="6" t="inlineStr">
        <is>
          <t>Khay vệ sinh chung cư (Indoor Potty) + Thảm cỏ ban công (Grass Patch) + Đồ chơi</t>
        </is>
      </c>
      <c r="S1365" s="6" t="inlineStr">
        <is>
          <t>Cấp C Chi phí thấp: Nhắn tin trực tiếp qua Fanpage Facebook/Instagram + Nuôi dưỡng nội dung</t>
        </is>
      </c>
    </row>
    <row r="1366">
      <c r="A1366" s="59" t="n">
        <v>531</v>
      </c>
      <c r="B1366" s="15" t="inlineStr">
        <is>
          <t>ASAPpettransportflightnanny</t>
        </is>
      </c>
      <c r="C1366" s="60" t="inlineStr">
        <is>
          <t>https://www.facebook.com/ASAPpettransportflightnanny</t>
        </is>
      </c>
      <c r="D1366" s="9" t="inlineStr">
        <is>
          <t>Cần quét Bio Fanpage</t>
        </is>
      </c>
      <c r="E1366" s="59" t="inlineStr">
        <is>
          <t>10/10/2026 05:09:05</t>
        </is>
      </c>
      <c r="F1366" s="59" t="inlineStr">
        <is>
          <t>2 ngày trước</t>
        </is>
      </c>
      <c r="G1366" s="61" t="n">
        <v>2</v>
      </c>
      <c r="H1366" s="62" t="n">
        <v>28</v>
      </c>
      <c r="I1366" s="9" t="inlineStr">
        <is>
          <t>Pet Owner / Cộng đồng nuôi cún (10đ)</t>
        </is>
      </c>
      <c r="J1366" s="62" t="n">
        <v>10</v>
      </c>
      <c r="K1366" s="9" t="inlineStr">
        <is>
          <t>Chưa rõ giống (Cần quét Bio)</t>
        </is>
      </c>
      <c r="L1366" s="62" t="n">
        <v>0</v>
      </c>
      <c r="M1366" s="62" t="n">
        <v>0</v>
      </c>
      <c r="N1366" s="9" t="inlineStr">
        <is>
          <t>Amazon link not found</t>
        </is>
      </c>
      <c r="O1366" s="62">
        <f>IF(N1366="Selling pet toys + Artificial grass/Pet toilets (TARGET)",15,IF(N1366="Selling artificial grass/pet toilets (TARGET)",10,IF(N1366="Selling pet toys",7,IF(N1366="There's an Amazon link, but no target sales.",3,0))))</f>
        <v/>
      </c>
      <c r="P1366" s="67">
        <f>H1366+J1366+L1366+M1366+O1366</f>
        <v/>
      </c>
      <c r="Q1366" s="69">
        <f>IF(OR(H1366=0,P1366&lt;30),"Tier D (Đóng băng)",IF(P1366&gt;=85,"Tier S (Kim Cương: 85-100đ)",IF(P1366&gt;=70,"Tier A (Vàng: 70-84đ)",IF(P1366&gt;=61,"Tier B+ / Cấp A (Hot Lead: 61-69đ)",IF(P1366&gt;=50,"Tier B (Bạc: 50-60đ)","Tier C (Đồng: 30-49đ)")))))</f>
        <v/>
      </c>
      <c r="R1366" s="9" t="inlineStr">
        <is>
          <t>Khay vệ sinh chung cư (Indoor Potty) + Thảm cỏ ban công (Grass Patch) + Đồ chơi</t>
        </is>
      </c>
      <c r="S1366" s="9" t="inlineStr">
        <is>
          <t>Cấp C Chi phí thấp: Nhắn tin trực tiếp qua Fanpage Facebook/Instagram + Nuôi dưỡng nội dung</t>
        </is>
      </c>
    </row>
    <row r="1367">
      <c r="A1367" s="53" t="n">
        <v>2136</v>
      </c>
      <c r="B1367" s="12" t="inlineStr">
        <is>
          <t>Max 200 Performance Dog Equipment</t>
        </is>
      </c>
      <c r="C1367" s="54" t="inlineStr">
        <is>
          <t>https://www.facebook.com/max200com</t>
        </is>
      </c>
      <c r="D1367" s="6" t="inlineStr">
        <is>
          <t>Cần quét Bio Fanpage</t>
        </is>
      </c>
      <c r="E1367" s="53" t="inlineStr">
        <is>
          <t>10/10/2026 04:55:18</t>
        </is>
      </c>
      <c r="F1367" s="53" t="inlineStr">
        <is>
          <t>2 ngày trước</t>
        </is>
      </c>
      <c r="G1367" s="55" t="n">
        <v>2</v>
      </c>
      <c r="H1367" s="56" t="n">
        <v>28</v>
      </c>
      <c r="I1367" s="6" t="inlineStr">
        <is>
          <t>Pet Owner / Cộng đồng nuôi cún (10đ)</t>
        </is>
      </c>
      <c r="J1367" s="56" t="n">
        <v>10</v>
      </c>
      <c r="K1367" s="6" t="inlineStr">
        <is>
          <t>Chưa rõ giống (Cần quét Bio)</t>
        </is>
      </c>
      <c r="L1367" s="56" t="n">
        <v>0</v>
      </c>
      <c r="M1367" s="56" t="n">
        <v>0</v>
      </c>
      <c r="N1367" s="6" t="inlineStr">
        <is>
          <t>Amazon link not found</t>
        </is>
      </c>
      <c r="O1367" s="56">
        <f>IF(N1367="Selling pet toys + Artificial grass/Pet toilets (TARGET)",15,IF(N1367="Selling artificial grass/pet toilets (TARGET)",10,IF(N1367="Selling pet toys",7,IF(N1367="There's an Amazon link, but no target sales.",3,0))))</f>
        <v/>
      </c>
      <c r="P1367" s="65">
        <f>H1367+J1367+L1367+M1367+O1367</f>
        <v/>
      </c>
      <c r="Q1367" s="69">
        <f>IF(OR(H1367=0,P1367&lt;30),"Tier D (Đóng băng)",IF(P1367&gt;=85,"Tier S (Kim Cương: 85-100đ)",IF(P1367&gt;=70,"Tier A (Vàng: 70-84đ)",IF(P1367&gt;=61,"Tier B+ / Cấp A (Hot Lead: 61-69đ)",IF(P1367&gt;=50,"Tier B (Bạc: 50-60đ)","Tier C (Đồng: 30-49đ)")))))</f>
        <v/>
      </c>
      <c r="R1367" s="6" t="inlineStr">
        <is>
          <t>Khay vệ sinh chung cư (Indoor Potty) + Thảm cỏ ban công (Grass Patch) + Đồ chơi</t>
        </is>
      </c>
      <c r="S1367" s="6" t="inlineStr">
        <is>
          <t>Cấp C Chi phí thấp: Nhắn tin trực tiếp qua Fanpage Facebook/Instagram + Nuôi dưỡng nội dung</t>
        </is>
      </c>
    </row>
    <row r="1368">
      <c r="A1368" s="59" t="n">
        <v>461</v>
      </c>
      <c r="B1368" s="15" t="inlineStr">
        <is>
          <t>Animal Haven</t>
        </is>
      </c>
      <c r="C1368" s="60" t="inlineStr">
        <is>
          <t>https://www.facebook.com/AnimalHavenShelter</t>
        </is>
      </c>
      <c r="D1368" s="9" t="inlineStr">
        <is>
          <t>Cần quét Bio Fanpage</t>
        </is>
      </c>
      <c r="E1368" s="59" t="inlineStr">
        <is>
          <t>10/10/2026 04:19:08</t>
        </is>
      </c>
      <c r="F1368" s="59" t="inlineStr">
        <is>
          <t>2 ngày trước</t>
        </is>
      </c>
      <c r="G1368" s="61" t="n">
        <v>2</v>
      </c>
      <c r="H1368" s="62" t="n">
        <v>28</v>
      </c>
      <c r="I1368" s="9" t="inlineStr">
        <is>
          <t>Pet Owner / Cộng đồng nuôi cún (10đ)</t>
        </is>
      </c>
      <c r="J1368" s="62" t="n">
        <v>10</v>
      </c>
      <c r="K1368" s="9" t="inlineStr">
        <is>
          <t>Chưa rõ giống (Cần quét Bio)</t>
        </is>
      </c>
      <c r="L1368" s="62" t="n">
        <v>0</v>
      </c>
      <c r="M1368" s="62" t="n">
        <v>0</v>
      </c>
      <c r="N1368" s="9" t="inlineStr">
        <is>
          <t>Amazon link not found</t>
        </is>
      </c>
      <c r="O1368" s="62">
        <f>IF(N1368="Selling pet toys + Artificial grass/Pet toilets (TARGET)",15,IF(N1368="Selling artificial grass/pet toilets (TARGET)",10,IF(N1368="Selling pet toys",7,IF(N1368="There's an Amazon link, but no target sales.",3,0))))</f>
        <v/>
      </c>
      <c r="P1368" s="67">
        <f>H1368+J1368+L1368+M1368+O1368</f>
        <v/>
      </c>
      <c r="Q1368" s="69">
        <f>IF(OR(H1368=0,P1368&lt;30),"Tier D (Đóng băng)",IF(P1368&gt;=85,"Tier S (Kim Cương: 85-100đ)",IF(P1368&gt;=70,"Tier A (Vàng: 70-84đ)",IF(P1368&gt;=61,"Tier B+ / Cấp A (Hot Lead: 61-69đ)",IF(P1368&gt;=50,"Tier B (Bạc: 50-60đ)","Tier C (Đồng: 30-49đ)")))))</f>
        <v/>
      </c>
      <c r="R1368" s="9" t="inlineStr">
        <is>
          <t>Khay vệ sinh chung cư (Indoor Potty) + Thảm cỏ ban công (Grass Patch) + Đồ chơi</t>
        </is>
      </c>
      <c r="S1368" s="9" t="inlineStr">
        <is>
          <t>Cấp C Chi phí thấp: Nhắn tin trực tiếp qua Fanpage Facebook/Instagram + Nuôi dưỡng nội dung</t>
        </is>
      </c>
    </row>
    <row r="1369">
      <c r="A1369" s="53" t="n">
        <v>1944</v>
      </c>
      <c r="B1369" s="12" t="inlineStr">
        <is>
          <t>Kriser's Natural Pet</t>
        </is>
      </c>
      <c r="C1369" s="54" t="inlineStr">
        <is>
          <t>https://www.facebook.com/kriserspets</t>
        </is>
      </c>
      <c r="D1369" s="6" t="inlineStr">
        <is>
          <t>Cần quét Bio Fanpage</t>
        </is>
      </c>
      <c r="E1369" s="53" t="inlineStr">
        <is>
          <t>10/10/2026 03:59:06</t>
        </is>
      </c>
      <c r="F1369" s="53" t="inlineStr">
        <is>
          <t>3 ngày trước</t>
        </is>
      </c>
      <c r="G1369" s="55" t="n">
        <v>3</v>
      </c>
      <c r="H1369" s="56" t="n">
        <v>28</v>
      </c>
      <c r="I1369" s="6" t="inlineStr">
        <is>
          <t>Pet Owner / Cộng đồng nuôi cún (10đ)</t>
        </is>
      </c>
      <c r="J1369" s="56" t="n">
        <v>10</v>
      </c>
      <c r="K1369" s="6" t="inlineStr">
        <is>
          <t>Chưa rõ giống (Cần quét Bio)</t>
        </is>
      </c>
      <c r="L1369" s="56" t="n">
        <v>0</v>
      </c>
      <c r="M1369" s="56" t="n">
        <v>0</v>
      </c>
      <c r="N1369" s="6" t="inlineStr">
        <is>
          <t>Amazon link not found</t>
        </is>
      </c>
      <c r="O1369" s="56">
        <f>IF(N1369="Selling pet toys + Artificial grass/Pet toilets (TARGET)",15,IF(N1369="Selling artificial grass/pet toilets (TARGET)",10,IF(N1369="Selling pet toys",7,IF(N1369="There's an Amazon link, but no target sales.",3,0))))</f>
        <v/>
      </c>
      <c r="P1369" s="65">
        <f>H1369+J1369+L1369+M1369+O1369</f>
        <v/>
      </c>
      <c r="Q1369" s="69">
        <f>IF(OR(H1369=0,P1369&lt;30),"Tier D (Đóng băng)",IF(P1369&gt;=85,"Tier S (Kim Cương: 85-100đ)",IF(P1369&gt;=70,"Tier A (Vàng: 70-84đ)",IF(P1369&gt;=61,"Tier B+ / Cấp A (Hot Lead: 61-69đ)",IF(P1369&gt;=50,"Tier B (Bạc: 50-60đ)","Tier C (Đồng: 30-49đ)")))))</f>
        <v/>
      </c>
      <c r="R1369" s="6" t="inlineStr">
        <is>
          <t>Khay vệ sinh chung cư (Indoor Potty) + Thảm cỏ ban công (Grass Patch) + Đồ chơi</t>
        </is>
      </c>
      <c r="S1369" s="6" t="inlineStr">
        <is>
          <t>Cấp C Chi phí thấp: Nhắn tin trực tiếp qua Fanpage Facebook/Instagram + Nuôi dưỡng nội dung</t>
        </is>
      </c>
    </row>
    <row r="1370">
      <c r="A1370" s="59" t="n">
        <v>3233</v>
      </c>
      <c r="B1370" s="15" t="inlineStr">
        <is>
          <t>Tri State Dog Guard</t>
        </is>
      </c>
      <c r="C1370" s="60" t="inlineStr">
        <is>
          <t>https://www.facebook.com/TriStateDogGuard</t>
        </is>
      </c>
      <c r="D1370" s="9" t="inlineStr">
        <is>
          <t>Cần quét Bio Fanpage</t>
        </is>
      </c>
      <c r="E1370" s="59" t="inlineStr">
        <is>
          <t>10/10/2026 03:30:35</t>
        </is>
      </c>
      <c r="F1370" s="59" t="inlineStr">
        <is>
          <t>3 ngày trước</t>
        </is>
      </c>
      <c r="G1370" s="61" t="n">
        <v>3</v>
      </c>
      <c r="H1370" s="62" t="n">
        <v>28</v>
      </c>
      <c r="I1370" s="9" t="inlineStr">
        <is>
          <t>Pet Owner / Cộng đồng nuôi cún (10đ)</t>
        </is>
      </c>
      <c r="J1370" s="62" t="n">
        <v>10</v>
      </c>
      <c r="K1370" s="9" t="inlineStr">
        <is>
          <t>Chưa rõ giống (Cần quét Bio)</t>
        </is>
      </c>
      <c r="L1370" s="62" t="n">
        <v>0</v>
      </c>
      <c r="M1370" s="62" t="n">
        <v>0</v>
      </c>
      <c r="N1370" s="9" t="inlineStr">
        <is>
          <t>Amazon link not found</t>
        </is>
      </c>
      <c r="O1370" s="62">
        <f>IF(N1370="Selling pet toys + Artificial grass/Pet toilets (TARGET)",15,IF(N1370="Selling artificial grass/pet toilets (TARGET)",10,IF(N1370="Selling pet toys",7,IF(N1370="There's an Amazon link, but no target sales.",3,0))))</f>
        <v/>
      </c>
      <c r="P1370" s="67">
        <f>H1370+J1370+L1370+M1370+O1370</f>
        <v/>
      </c>
      <c r="Q1370" s="69">
        <f>IF(OR(H1370=0,P1370&lt;30),"Tier D (Đóng băng)",IF(P1370&gt;=85,"Tier S (Kim Cương: 85-100đ)",IF(P1370&gt;=70,"Tier A (Vàng: 70-84đ)",IF(P1370&gt;=61,"Tier B+ / Cấp A (Hot Lead: 61-69đ)",IF(P1370&gt;=50,"Tier B (Bạc: 50-60đ)","Tier C (Đồng: 30-49đ)")))))</f>
        <v/>
      </c>
      <c r="R1370" s="9" t="inlineStr">
        <is>
          <t>Khay vệ sinh chung cư (Indoor Potty) + Thảm cỏ ban công (Grass Patch) + Đồ chơi</t>
        </is>
      </c>
      <c r="S1370" s="9" t="inlineStr">
        <is>
          <t>Cấp C Chi phí thấp: Nhắn tin trực tiếp qua Fanpage Facebook/Instagram + Nuôi dưỡng nội dung</t>
        </is>
      </c>
    </row>
    <row r="1371">
      <c r="A1371" s="53" t="n">
        <v>1070</v>
      </c>
      <c r="B1371" s="12" t="inlineStr">
        <is>
          <t>Dog Guard of Northern Michigan</t>
        </is>
      </c>
      <c r="C1371" s="54" t="inlineStr">
        <is>
          <t>https://www.facebook.com/DogGuardOfNorthernMichigan</t>
        </is>
      </c>
      <c r="D1371" s="6" t="inlineStr">
        <is>
          <t>Cần quét Bio Fanpage</t>
        </is>
      </c>
      <c r="E1371" s="53" t="inlineStr">
        <is>
          <t>10/10/2026 03:30:29</t>
        </is>
      </c>
      <c r="F1371" s="53" t="inlineStr">
        <is>
          <t>2 ngày trước</t>
        </is>
      </c>
      <c r="G1371" s="55" t="n">
        <v>2</v>
      </c>
      <c r="H1371" s="56" t="n">
        <v>28</v>
      </c>
      <c r="I1371" s="6" t="inlineStr">
        <is>
          <t>Pet Owner / Cộng đồng nuôi cún (10đ)</t>
        </is>
      </c>
      <c r="J1371" s="56" t="n">
        <v>10</v>
      </c>
      <c r="K1371" s="6" t="inlineStr">
        <is>
          <t>Chưa rõ giống (Cần quét Bio)</t>
        </is>
      </c>
      <c r="L1371" s="56" t="n">
        <v>0</v>
      </c>
      <c r="M1371" s="56" t="n">
        <v>0</v>
      </c>
      <c r="N1371" s="6" t="inlineStr">
        <is>
          <t>Amazon link not found</t>
        </is>
      </c>
      <c r="O1371" s="56">
        <f>IF(N1371="Selling pet toys + Artificial grass/Pet toilets (TARGET)",15,IF(N1371="Selling artificial grass/pet toilets (TARGET)",10,IF(N1371="Selling pet toys",7,IF(N1371="There's an Amazon link, but no target sales.",3,0))))</f>
        <v/>
      </c>
      <c r="P1371" s="65">
        <f>H1371+J1371+L1371+M1371+O1371</f>
        <v/>
      </c>
      <c r="Q1371" s="69">
        <f>IF(OR(H1371=0,P1371&lt;30),"Tier D (Đóng băng)",IF(P1371&gt;=85,"Tier S (Kim Cương: 85-100đ)",IF(P1371&gt;=70,"Tier A (Vàng: 70-84đ)",IF(P1371&gt;=61,"Tier B+ / Cấp A (Hot Lead: 61-69đ)",IF(P1371&gt;=50,"Tier B (Bạc: 50-60đ)","Tier C (Đồng: 30-49đ)")))))</f>
        <v/>
      </c>
      <c r="R1371" s="6" t="inlineStr">
        <is>
          <t>Khay vệ sinh chung cư (Indoor Potty) + Thảm cỏ ban công (Grass Patch) + Đồ chơi</t>
        </is>
      </c>
      <c r="S1371" s="6" t="inlineStr">
        <is>
          <t>Cấp C Chi phí thấp: Nhắn tin trực tiếp qua Fanpage Facebook/Instagram + Nuôi dưỡng nội dung</t>
        </is>
      </c>
    </row>
    <row r="1372">
      <c r="A1372" s="59" t="n">
        <v>361</v>
      </c>
      <c r="B1372" s="15" t="inlineStr">
        <is>
          <t>Alabama DOG GUARD</t>
        </is>
      </c>
      <c r="C1372" s="60" t="inlineStr">
        <is>
          <t>https://www.facebook.com/alabamadogguard</t>
        </is>
      </c>
      <c r="D1372" s="9" t="inlineStr">
        <is>
          <t>Cần quét Bio Fanpage</t>
        </is>
      </c>
      <c r="E1372" s="59" t="inlineStr">
        <is>
          <t>10/10/2026 03:30:27</t>
        </is>
      </c>
      <c r="F1372" s="59" t="inlineStr">
        <is>
          <t>2 ngày trước</t>
        </is>
      </c>
      <c r="G1372" s="61" t="n">
        <v>2</v>
      </c>
      <c r="H1372" s="62" t="n">
        <v>28</v>
      </c>
      <c r="I1372" s="9" t="inlineStr">
        <is>
          <t>Pet Owner / Cộng đồng nuôi cún (10đ)</t>
        </is>
      </c>
      <c r="J1372" s="62" t="n">
        <v>10</v>
      </c>
      <c r="K1372" s="9" t="inlineStr">
        <is>
          <t>Chưa rõ giống (Cần quét Bio)</t>
        </is>
      </c>
      <c r="L1372" s="62" t="n">
        <v>0</v>
      </c>
      <c r="M1372" s="62" t="n">
        <v>0</v>
      </c>
      <c r="N1372" s="9" t="inlineStr">
        <is>
          <t>Amazon link not found</t>
        </is>
      </c>
      <c r="O1372" s="62">
        <f>IF(N1372="Selling pet toys + Artificial grass/Pet toilets (TARGET)",15,IF(N1372="Selling artificial grass/pet toilets (TARGET)",10,IF(N1372="Selling pet toys",7,IF(N1372="There's an Amazon link, but no target sales.",3,0))))</f>
        <v/>
      </c>
      <c r="P1372" s="67">
        <f>H1372+J1372+L1372+M1372+O1372</f>
        <v/>
      </c>
      <c r="Q1372" s="69">
        <f>IF(OR(H1372=0,P1372&lt;30),"Tier D (Đóng băng)",IF(P1372&gt;=85,"Tier S (Kim Cương: 85-100đ)",IF(P1372&gt;=70,"Tier A (Vàng: 70-84đ)",IF(P1372&gt;=61,"Tier B+ / Cấp A (Hot Lead: 61-69đ)",IF(P1372&gt;=50,"Tier B (Bạc: 50-60đ)","Tier C (Đồng: 30-49đ)")))))</f>
        <v/>
      </c>
      <c r="R1372" s="9" t="inlineStr">
        <is>
          <t>Khay vệ sinh chung cư (Indoor Potty) + Thảm cỏ ban công (Grass Patch) + Đồ chơi</t>
        </is>
      </c>
      <c r="S1372" s="9" t="inlineStr">
        <is>
          <t>Cấp C Chi phí thấp: Nhắn tin trực tiếp qua Fanpage Facebook/Instagram + Nuôi dưỡng nội dung</t>
        </is>
      </c>
    </row>
    <row r="1373">
      <c r="A1373" s="53" t="n">
        <v>1068</v>
      </c>
      <c r="B1373" s="12" t="inlineStr">
        <is>
          <t>Dog Guard of Florida</t>
        </is>
      </c>
      <c r="C1373" s="54" t="inlineStr">
        <is>
          <t>https://www.facebook.com/dogguardofflorida</t>
        </is>
      </c>
      <c r="D1373" s="6" t="inlineStr">
        <is>
          <t>Cần quét Bio Fanpage</t>
        </is>
      </c>
      <c r="E1373" s="53" t="inlineStr">
        <is>
          <t>10/10/2026 03:30:26</t>
        </is>
      </c>
      <c r="F1373" s="53" t="inlineStr">
        <is>
          <t>2 ngày trước</t>
        </is>
      </c>
      <c r="G1373" s="55" t="n">
        <v>2</v>
      </c>
      <c r="H1373" s="56" t="n">
        <v>28</v>
      </c>
      <c r="I1373" s="6" t="inlineStr">
        <is>
          <t>Pet Owner / Cộng đồng nuôi cún (10đ)</t>
        </is>
      </c>
      <c r="J1373" s="56" t="n">
        <v>10</v>
      </c>
      <c r="K1373" s="6" t="inlineStr">
        <is>
          <t>Chưa rõ giống (Cần quét Bio)</t>
        </is>
      </c>
      <c r="L1373" s="56" t="n">
        <v>0</v>
      </c>
      <c r="M1373" s="56" t="n">
        <v>0</v>
      </c>
      <c r="N1373" s="6" t="inlineStr">
        <is>
          <t>Amazon link not found</t>
        </is>
      </c>
      <c r="O1373" s="56">
        <f>IF(N1373="Selling pet toys + Artificial grass/Pet toilets (TARGET)",15,IF(N1373="Selling artificial grass/pet toilets (TARGET)",10,IF(N1373="Selling pet toys",7,IF(N1373="There's an Amazon link, but no target sales.",3,0))))</f>
        <v/>
      </c>
      <c r="P1373" s="65">
        <f>H1373+J1373+L1373+M1373+O1373</f>
        <v/>
      </c>
      <c r="Q1373" s="69">
        <f>IF(OR(H1373=0,P1373&lt;30),"Tier D (Đóng băng)",IF(P1373&gt;=85,"Tier S (Kim Cương: 85-100đ)",IF(P1373&gt;=70,"Tier A (Vàng: 70-84đ)",IF(P1373&gt;=61,"Tier B+ / Cấp A (Hot Lead: 61-69đ)",IF(P1373&gt;=50,"Tier B (Bạc: 50-60đ)","Tier C (Đồng: 30-49đ)")))))</f>
        <v/>
      </c>
      <c r="R1373" s="6" t="inlineStr">
        <is>
          <t>Khay vệ sinh chung cư (Indoor Potty) + Thảm cỏ ban công (Grass Patch) + Đồ chơi</t>
        </is>
      </c>
      <c r="S1373" s="6" t="inlineStr">
        <is>
          <t>Cấp C Chi phí thấp: Nhắn tin trực tiếp qua Fanpage Facebook/Instagram + Nuôi dưỡng nội dung</t>
        </is>
      </c>
    </row>
    <row r="1374">
      <c r="A1374" s="59" t="n">
        <v>1063</v>
      </c>
      <c r="B1374" s="15" t="inlineStr">
        <is>
          <t>Dog Guard</t>
        </is>
      </c>
      <c r="C1374" s="60" t="inlineStr">
        <is>
          <t>https://www.facebook.com/DogGuardUSA</t>
        </is>
      </c>
      <c r="D1374" s="9" t="inlineStr">
        <is>
          <t>Cần quét Bio Fanpage</t>
        </is>
      </c>
      <c r="E1374" s="59" t="inlineStr">
        <is>
          <t>10/10/2026 03:30:24</t>
        </is>
      </c>
      <c r="F1374" s="59" t="inlineStr">
        <is>
          <t>2 ngày trước</t>
        </is>
      </c>
      <c r="G1374" s="61" t="n">
        <v>2</v>
      </c>
      <c r="H1374" s="62" t="n">
        <v>28</v>
      </c>
      <c r="I1374" s="9" t="inlineStr">
        <is>
          <t>Pet Owner / Cộng đồng nuôi cún (10đ)</t>
        </is>
      </c>
      <c r="J1374" s="62" t="n">
        <v>10</v>
      </c>
      <c r="K1374" s="9" t="inlineStr">
        <is>
          <t>Chưa rõ giống (Cần quét Bio)</t>
        </is>
      </c>
      <c r="L1374" s="62" t="n">
        <v>0</v>
      </c>
      <c r="M1374" s="62" t="n">
        <v>0</v>
      </c>
      <c r="N1374" s="9" t="inlineStr">
        <is>
          <t>Amazon link not found</t>
        </is>
      </c>
      <c r="O1374" s="62">
        <f>IF(N1374="Selling pet toys + Artificial grass/Pet toilets (TARGET)",15,IF(N1374="Selling artificial grass/pet toilets (TARGET)",10,IF(N1374="Selling pet toys",7,IF(N1374="There's an Amazon link, but no target sales.",3,0))))</f>
        <v/>
      </c>
      <c r="P1374" s="67">
        <f>H1374+J1374+L1374+M1374+O1374</f>
        <v/>
      </c>
      <c r="Q1374" s="69">
        <f>IF(OR(H1374=0,P1374&lt;30),"Tier D (Đóng băng)",IF(P1374&gt;=85,"Tier S (Kim Cương: 85-100đ)",IF(P1374&gt;=70,"Tier A (Vàng: 70-84đ)",IF(P1374&gt;=61,"Tier B+ / Cấp A (Hot Lead: 61-69đ)",IF(P1374&gt;=50,"Tier B (Bạc: 50-60đ)","Tier C (Đồng: 30-49đ)")))))</f>
        <v/>
      </c>
      <c r="R1374" s="9" t="inlineStr">
        <is>
          <t>Khay vệ sinh chung cư (Indoor Potty) + Thảm cỏ ban công (Grass Patch) + Đồ chơi</t>
        </is>
      </c>
      <c r="S1374" s="9" t="inlineStr">
        <is>
          <t>Cấp C Chi phí thấp: Nhắn tin trực tiếp qua Fanpage Facebook/Instagram + Nuôi dưỡng nội dung</t>
        </is>
      </c>
    </row>
    <row r="1375">
      <c r="A1375" s="53" t="n">
        <v>584</v>
      </c>
      <c r="B1375" s="12" t="inlineStr">
        <is>
          <t>Banfield Pet Hospital</t>
        </is>
      </c>
      <c r="C1375" s="54" t="inlineStr">
        <is>
          <t>https://www.facebook.com/BanfieldPetHospital</t>
        </is>
      </c>
      <c r="D1375" s="6" t="inlineStr">
        <is>
          <t>Cần quét Bio Fanpage</t>
        </is>
      </c>
      <c r="E1375" s="53" t="inlineStr">
        <is>
          <t>10/10/2026 03:27:02</t>
        </is>
      </c>
      <c r="F1375" s="53" t="inlineStr">
        <is>
          <t>2 ngày trước</t>
        </is>
      </c>
      <c r="G1375" s="55" t="n">
        <v>2</v>
      </c>
      <c r="H1375" s="56" t="n">
        <v>28</v>
      </c>
      <c r="I1375" s="6" t="inlineStr">
        <is>
          <t>Pet Owner / Cộng đồng nuôi cún (10đ)</t>
        </is>
      </c>
      <c r="J1375" s="56" t="n">
        <v>10</v>
      </c>
      <c r="K1375" s="6" t="inlineStr">
        <is>
          <t>Chưa rõ giống (Cần quét Bio)</t>
        </is>
      </c>
      <c r="L1375" s="56" t="n">
        <v>0</v>
      </c>
      <c r="M1375" s="56" t="n">
        <v>0</v>
      </c>
      <c r="N1375" s="6" t="inlineStr">
        <is>
          <t>Amazon link not found</t>
        </is>
      </c>
      <c r="O1375" s="56">
        <f>IF(N1375="Selling pet toys + Artificial grass/Pet toilets (TARGET)",15,IF(N1375="Selling artificial grass/pet toilets (TARGET)",10,IF(N1375="Selling pet toys",7,IF(N1375="There's an Amazon link, but no target sales.",3,0))))</f>
        <v/>
      </c>
      <c r="P1375" s="65">
        <f>H1375+J1375+L1375+M1375+O1375</f>
        <v/>
      </c>
      <c r="Q1375" s="69">
        <f>IF(OR(H1375=0,P1375&lt;30),"Tier D (Đóng băng)",IF(P1375&gt;=85,"Tier S (Kim Cương: 85-100đ)",IF(P1375&gt;=70,"Tier A (Vàng: 70-84đ)",IF(P1375&gt;=61,"Tier B+ / Cấp A (Hot Lead: 61-69đ)",IF(P1375&gt;=50,"Tier B (Bạc: 50-60đ)","Tier C (Đồng: 30-49đ)")))))</f>
        <v/>
      </c>
      <c r="R1375" s="6" t="inlineStr">
        <is>
          <t>Khay vệ sinh chung cư (Indoor Potty) + Thảm cỏ ban công (Grass Patch) + Đồ chơi</t>
        </is>
      </c>
      <c r="S1375" s="6" t="inlineStr">
        <is>
          <t>Cấp C Chi phí thấp: Nhắn tin trực tiếp qua Fanpage Facebook/Instagram + Nuôi dưỡng nội dung</t>
        </is>
      </c>
    </row>
    <row r="1376">
      <c r="A1376" s="59" t="n">
        <v>1303</v>
      </c>
      <c r="B1376" s="15" t="inlineStr">
        <is>
          <t>Everything Pets - Bandana Bar Etc</t>
        </is>
      </c>
      <c r="C1376" s="60" t="inlineStr">
        <is>
          <t>https://www.facebook.com/TJGray1126</t>
        </is>
      </c>
      <c r="D1376" s="9" t="inlineStr">
        <is>
          <t>Cần quét Bio Fanpage</t>
        </is>
      </c>
      <c r="E1376" s="59" t="inlineStr">
        <is>
          <t>10/10/2026 02:43:18</t>
        </is>
      </c>
      <c r="F1376" s="59" t="inlineStr">
        <is>
          <t>3 ngày trước</t>
        </is>
      </c>
      <c r="G1376" s="61" t="n">
        <v>3</v>
      </c>
      <c r="H1376" s="62" t="n">
        <v>28</v>
      </c>
      <c r="I1376" s="9" t="inlineStr">
        <is>
          <t>Pet Owner / Cộng đồng nuôi cún (10đ)</t>
        </is>
      </c>
      <c r="J1376" s="62" t="n">
        <v>10</v>
      </c>
      <c r="K1376" s="9" t="inlineStr">
        <is>
          <t>Chưa rõ giống (Cần quét Bio)</t>
        </is>
      </c>
      <c r="L1376" s="62" t="n">
        <v>0</v>
      </c>
      <c r="M1376" s="62" t="n">
        <v>0</v>
      </c>
      <c r="N1376" s="9" t="inlineStr">
        <is>
          <t>Amazon link not found</t>
        </is>
      </c>
      <c r="O1376" s="62">
        <f>IF(N1376="Selling pet toys + Artificial grass/Pet toilets (TARGET)",15,IF(N1376="Selling artificial grass/pet toilets (TARGET)",10,IF(N1376="Selling pet toys",7,IF(N1376="There's an Amazon link, but no target sales.",3,0))))</f>
        <v/>
      </c>
      <c r="P1376" s="67">
        <f>H1376+J1376+L1376+M1376+O1376</f>
        <v/>
      </c>
      <c r="Q1376" s="69">
        <f>IF(OR(H1376=0,P1376&lt;30),"Tier D (Đóng băng)",IF(P1376&gt;=85,"Tier S (Kim Cương: 85-100đ)",IF(P1376&gt;=70,"Tier A (Vàng: 70-84đ)",IF(P1376&gt;=61,"Tier B+ / Cấp A (Hot Lead: 61-69đ)",IF(P1376&gt;=50,"Tier B (Bạc: 50-60đ)","Tier C (Đồng: 30-49đ)")))))</f>
        <v/>
      </c>
      <c r="R1376" s="9" t="inlineStr">
        <is>
          <t>Khay vệ sinh chung cư (Indoor Potty) + Thảm cỏ ban công (Grass Patch) + Đồ chơi</t>
        </is>
      </c>
      <c r="S1376" s="9" t="inlineStr">
        <is>
          <t>Cấp C Chi phí thấp: Nhắn tin trực tiếp qua Fanpage Facebook/Instagram + Nuôi dưỡng nội dung</t>
        </is>
      </c>
    </row>
    <row r="1377">
      <c r="A1377" s="53" t="n">
        <v>1543</v>
      </c>
      <c r="B1377" s="12" t="inlineStr">
        <is>
          <t>GrandPET</t>
        </is>
      </c>
      <c r="C1377" s="54" t="inlineStr">
        <is>
          <t>https://www.facebook.com/GrandPETmx</t>
        </is>
      </c>
      <c r="D1377" s="6" t="inlineStr">
        <is>
          <t>Cần quét Bio Fanpage</t>
        </is>
      </c>
      <c r="E1377" s="53" t="inlineStr">
        <is>
          <t>10/10/2026 01:00:19</t>
        </is>
      </c>
      <c r="F1377" s="53" t="inlineStr">
        <is>
          <t>3 ngày trước</t>
        </is>
      </c>
      <c r="G1377" s="55" t="n">
        <v>3</v>
      </c>
      <c r="H1377" s="56" t="n">
        <v>28</v>
      </c>
      <c r="I1377" s="6" t="inlineStr">
        <is>
          <t>Pet Owner / Cộng đồng nuôi cún (10đ)</t>
        </is>
      </c>
      <c r="J1377" s="56" t="n">
        <v>10</v>
      </c>
      <c r="K1377" s="6" t="inlineStr">
        <is>
          <t>Chưa rõ giống (Cần quét Bio)</t>
        </is>
      </c>
      <c r="L1377" s="56" t="n">
        <v>0</v>
      </c>
      <c r="M1377" s="56" t="n">
        <v>0</v>
      </c>
      <c r="N1377" s="6" t="inlineStr">
        <is>
          <t>Amazon link not found</t>
        </is>
      </c>
      <c r="O1377" s="56">
        <f>IF(N1377="Selling pet toys + Artificial grass/Pet toilets (TARGET)",15,IF(N1377="Selling artificial grass/pet toilets (TARGET)",10,IF(N1377="Selling pet toys",7,IF(N1377="There's an Amazon link, but no target sales.",3,0))))</f>
        <v/>
      </c>
      <c r="P1377" s="65">
        <f>H1377+J1377+L1377+M1377+O1377</f>
        <v/>
      </c>
      <c r="Q1377" s="69">
        <f>IF(OR(H1377=0,P1377&lt;30),"Tier D (Đóng băng)",IF(P1377&gt;=85,"Tier S (Kim Cương: 85-100đ)",IF(P1377&gt;=70,"Tier A (Vàng: 70-84đ)",IF(P1377&gt;=61,"Tier B+ / Cấp A (Hot Lead: 61-69đ)",IF(P1377&gt;=50,"Tier B (Bạc: 50-60đ)","Tier C (Đồng: 30-49đ)")))))</f>
        <v/>
      </c>
      <c r="R1377" s="6" t="inlineStr">
        <is>
          <t>Khay vệ sinh chung cư (Indoor Potty) + Thảm cỏ ban công (Grass Patch) + Đồ chơi</t>
        </is>
      </c>
      <c r="S1377" s="6" t="inlineStr">
        <is>
          <t>Cấp C Chi phí thấp: Nhắn tin trực tiếp qua Fanpage Facebook/Instagram + Nuôi dưỡng nội dung</t>
        </is>
      </c>
    </row>
    <row r="1378">
      <c r="A1378" s="59" t="n">
        <v>708</v>
      </c>
      <c r="B1378" s="15" t="inlineStr">
        <is>
          <t>Blue Valley of Dogs</t>
        </is>
      </c>
      <c r="C1378" s="60" t="inlineStr">
        <is>
          <t>https://www.facebook.com/BlueValleyOfDogs</t>
        </is>
      </c>
      <c r="D1378" s="9" t="inlineStr">
        <is>
          <t>Cần quét Bio Fanpage</t>
        </is>
      </c>
      <c r="E1378" s="59" t="inlineStr">
        <is>
          <t>10/10/2026 00:48:45</t>
        </is>
      </c>
      <c r="F1378" s="59" t="inlineStr">
        <is>
          <t>3 ngày trước</t>
        </is>
      </c>
      <c r="G1378" s="61" t="n">
        <v>3</v>
      </c>
      <c r="H1378" s="62" t="n">
        <v>28</v>
      </c>
      <c r="I1378" s="9" t="inlineStr">
        <is>
          <t>Pet Owner / Cộng đồng nuôi cún (10đ)</t>
        </is>
      </c>
      <c r="J1378" s="62" t="n">
        <v>10</v>
      </c>
      <c r="K1378" s="9" t="inlineStr">
        <is>
          <t>Chưa rõ giống (Cần quét Bio)</t>
        </is>
      </c>
      <c r="L1378" s="62" t="n">
        <v>0</v>
      </c>
      <c r="M1378" s="62" t="n">
        <v>0</v>
      </c>
      <c r="N1378" s="9" t="inlineStr">
        <is>
          <t>Amazon link not found</t>
        </is>
      </c>
      <c r="O1378" s="62">
        <f>IF(N1378="Selling pet toys + Artificial grass/Pet toilets (TARGET)",15,IF(N1378="Selling artificial grass/pet toilets (TARGET)",10,IF(N1378="Selling pet toys",7,IF(N1378="There's an Amazon link, but no target sales.",3,0))))</f>
        <v/>
      </c>
      <c r="P1378" s="67">
        <f>H1378+J1378+L1378+M1378+O1378</f>
        <v/>
      </c>
      <c r="Q1378" s="69">
        <f>IF(OR(H1378=0,P1378&lt;30),"Tier D (Đóng băng)",IF(P1378&gt;=85,"Tier S (Kim Cương: 85-100đ)",IF(P1378&gt;=70,"Tier A (Vàng: 70-84đ)",IF(P1378&gt;=61,"Tier B+ / Cấp A (Hot Lead: 61-69đ)",IF(P1378&gt;=50,"Tier B (Bạc: 50-60đ)","Tier C (Đồng: 30-49đ)")))))</f>
        <v/>
      </c>
      <c r="R1378" s="9" t="inlineStr">
        <is>
          <t>Khay vệ sinh chung cư (Indoor Potty) + Thảm cỏ ban công (Grass Patch) + Đồ chơi</t>
        </is>
      </c>
      <c r="S1378" s="9" t="inlineStr">
        <is>
          <t>Cấp C Chi phí thấp: Nhắn tin trực tiếp qua Fanpage Facebook/Instagram + Nuôi dưỡng nội dung</t>
        </is>
      </c>
    </row>
    <row r="1379">
      <c r="A1379" s="53" t="n">
        <v>2123</v>
      </c>
      <c r="B1379" s="12" t="inlineStr">
        <is>
          <t>Marina Dogarrow Canestrale</t>
        </is>
      </c>
      <c r="C1379" s="54" t="inlineStr">
        <is>
          <t>https://www.facebook.com/marina.canestrale</t>
        </is>
      </c>
      <c r="D1379" s="6" t="inlineStr">
        <is>
          <t>Cần quét Bio Fanpage</t>
        </is>
      </c>
      <c r="E1379" s="53" t="inlineStr">
        <is>
          <t>10/10/2026 00:35:36</t>
        </is>
      </c>
      <c r="F1379" s="53" t="inlineStr">
        <is>
          <t>3 ngày trước</t>
        </is>
      </c>
      <c r="G1379" s="55" t="n">
        <v>3</v>
      </c>
      <c r="H1379" s="56" t="n">
        <v>28</v>
      </c>
      <c r="I1379" s="6" t="inlineStr">
        <is>
          <t>Pet Owner / Cộng đồng nuôi cún (10đ)</t>
        </is>
      </c>
      <c r="J1379" s="56" t="n">
        <v>10</v>
      </c>
      <c r="K1379" s="6" t="inlineStr">
        <is>
          <t>Chưa rõ giống (Cần quét Bio)</t>
        </is>
      </c>
      <c r="L1379" s="56" t="n">
        <v>0</v>
      </c>
      <c r="M1379" s="56" t="n">
        <v>0</v>
      </c>
      <c r="N1379" s="6" t="inlineStr">
        <is>
          <t>Amazon link not found</t>
        </is>
      </c>
      <c r="O1379" s="56">
        <f>IF(N1379="Selling pet toys + Artificial grass/Pet toilets (TARGET)",15,IF(N1379="Selling artificial grass/pet toilets (TARGET)",10,IF(N1379="Selling pet toys",7,IF(N1379="There's an Amazon link, but no target sales.",3,0))))</f>
        <v/>
      </c>
      <c r="P1379" s="65">
        <f>H1379+J1379+L1379+M1379+O1379</f>
        <v/>
      </c>
      <c r="Q1379" s="69">
        <f>IF(OR(H1379=0,P1379&lt;30),"Tier D (Đóng băng)",IF(P1379&gt;=85,"Tier S (Kim Cương: 85-100đ)",IF(P1379&gt;=70,"Tier A (Vàng: 70-84đ)",IF(P1379&gt;=61,"Tier B+ / Cấp A (Hot Lead: 61-69đ)",IF(P1379&gt;=50,"Tier B (Bạc: 50-60đ)","Tier C (Đồng: 30-49đ)")))))</f>
        <v/>
      </c>
      <c r="R1379" s="6" t="inlineStr">
        <is>
          <t>Khay vệ sinh chung cư (Indoor Potty) + Thảm cỏ ban công (Grass Patch) + Đồ chơi</t>
        </is>
      </c>
      <c r="S1379" s="6" t="inlineStr">
        <is>
          <t>Cấp C Chi phí thấp: Nhắn tin trực tiếp qua Fanpage Facebook/Instagram + Nuôi dưỡng nội dung</t>
        </is>
      </c>
    </row>
    <row r="1380">
      <c r="A1380" s="59" t="n">
        <v>1296</v>
      </c>
      <c r="B1380" s="15" t="inlineStr">
        <is>
          <t>Escuela Canina Quercus - Citydog</t>
        </is>
      </c>
      <c r="C1380" s="60" t="inlineStr">
        <is>
          <t>https://www.facebook.com/escuelacaninaquercus</t>
        </is>
      </c>
      <c r="D1380" s="9" t="inlineStr">
        <is>
          <t>Cần quét Bio Fanpage</t>
        </is>
      </c>
      <c r="E1380" s="59" t="inlineStr">
        <is>
          <t>10/10/2026 00:16:21</t>
        </is>
      </c>
      <c r="F1380" s="59" t="inlineStr">
        <is>
          <t>3 ngày trước</t>
        </is>
      </c>
      <c r="G1380" s="61" t="n">
        <v>3</v>
      </c>
      <c r="H1380" s="62" t="n">
        <v>28</v>
      </c>
      <c r="I1380" s="9" t="inlineStr">
        <is>
          <t>Pet Owner / Cộng đồng nuôi cún (10đ)</t>
        </is>
      </c>
      <c r="J1380" s="62" t="n">
        <v>10</v>
      </c>
      <c r="K1380" s="9" t="inlineStr">
        <is>
          <t>Chưa rõ giống (Cần quét Bio)</t>
        </is>
      </c>
      <c r="L1380" s="62" t="n">
        <v>0</v>
      </c>
      <c r="M1380" s="62" t="n">
        <v>0</v>
      </c>
      <c r="N1380" s="9" t="inlineStr">
        <is>
          <t>Amazon link not found</t>
        </is>
      </c>
      <c r="O1380" s="62">
        <f>IF(N1380="Selling pet toys + Artificial grass/Pet toilets (TARGET)",15,IF(N1380="Selling artificial grass/pet toilets (TARGET)",10,IF(N1380="Selling pet toys",7,IF(N1380="There's an Amazon link, but no target sales.",3,0))))</f>
        <v/>
      </c>
      <c r="P1380" s="67">
        <f>H1380+J1380+L1380+M1380+O1380</f>
        <v/>
      </c>
      <c r="Q1380" s="69">
        <f>IF(OR(H1380=0,P1380&lt;30),"Tier D (Đóng băng)",IF(P1380&gt;=85,"Tier S (Kim Cương: 85-100đ)",IF(P1380&gt;=70,"Tier A (Vàng: 70-84đ)",IF(P1380&gt;=61,"Tier B+ / Cấp A (Hot Lead: 61-69đ)",IF(P1380&gt;=50,"Tier B (Bạc: 50-60đ)","Tier C (Đồng: 30-49đ)")))))</f>
        <v/>
      </c>
      <c r="R1380" s="9" t="inlineStr">
        <is>
          <t>Khay vệ sinh chung cư (Indoor Potty) + Thảm cỏ ban công (Grass Patch) + Đồ chơi</t>
        </is>
      </c>
      <c r="S1380" s="9" t="inlineStr">
        <is>
          <t>Cấp C Chi phí thấp: Nhắn tin trực tiếp qua Fanpage Facebook/Instagram + Nuôi dưỡng nội dung</t>
        </is>
      </c>
    </row>
    <row r="1381">
      <c r="A1381" s="53" t="n">
        <v>318</v>
      </c>
      <c r="B1381" s="12" t="inlineStr">
        <is>
          <t>A&amp;C Dog Collars</t>
        </is>
      </c>
      <c r="C1381" s="54" t="inlineStr">
        <is>
          <t>https://www.facebook.com/acdogcollars</t>
        </is>
      </c>
      <c r="D1381" s="6" t="inlineStr">
        <is>
          <t>Cần quét Bio Fanpage</t>
        </is>
      </c>
      <c r="E1381" s="53" t="inlineStr">
        <is>
          <t>09/10/2026 23:37:04</t>
        </is>
      </c>
      <c r="F1381" s="53" t="inlineStr">
        <is>
          <t>3 ngày trước</t>
        </is>
      </c>
      <c r="G1381" s="55" t="n">
        <v>3</v>
      </c>
      <c r="H1381" s="56" t="n">
        <v>28</v>
      </c>
      <c r="I1381" s="6" t="inlineStr">
        <is>
          <t>Pet Owner / Cộng đồng nuôi cún (10đ)</t>
        </is>
      </c>
      <c r="J1381" s="56" t="n">
        <v>10</v>
      </c>
      <c r="K1381" s="6" t="inlineStr">
        <is>
          <t>Chưa rõ giống (Cần quét Bio)</t>
        </is>
      </c>
      <c r="L1381" s="56" t="n">
        <v>0</v>
      </c>
      <c r="M1381" s="56" t="n">
        <v>0</v>
      </c>
      <c r="N1381" s="6" t="inlineStr">
        <is>
          <t>Amazon link not found</t>
        </is>
      </c>
      <c r="O1381" s="56">
        <f>IF(N1381="Selling pet toys + Artificial grass/Pet toilets (TARGET)",15,IF(N1381="Selling artificial grass/pet toilets (TARGET)",10,IF(N1381="Selling pet toys",7,IF(N1381="There's an Amazon link, but no target sales.",3,0))))</f>
        <v/>
      </c>
      <c r="P1381" s="65">
        <f>H1381+J1381+L1381+M1381+O1381</f>
        <v/>
      </c>
      <c r="Q1381" s="69">
        <f>IF(OR(H1381=0,P1381&lt;30),"Tier D (Đóng băng)",IF(P1381&gt;=85,"Tier S (Kim Cương: 85-100đ)",IF(P1381&gt;=70,"Tier A (Vàng: 70-84đ)",IF(P1381&gt;=61,"Tier B+ / Cấp A (Hot Lead: 61-69đ)",IF(P1381&gt;=50,"Tier B (Bạc: 50-60đ)","Tier C (Đồng: 30-49đ)")))))</f>
        <v/>
      </c>
      <c r="R1381" s="6" t="inlineStr">
        <is>
          <t>Khay vệ sinh chung cư (Indoor Potty) + Thảm cỏ ban công (Grass Patch) + Đồ chơi</t>
        </is>
      </c>
      <c r="S1381" s="6" t="inlineStr">
        <is>
          <t>Cấp C Chi phí thấp: Nhắn tin trực tiếp qua Fanpage Facebook/Instagram + Nuôi dưỡng nội dung</t>
        </is>
      </c>
    </row>
    <row r="1382">
      <c r="A1382" s="59" t="n">
        <v>1052</v>
      </c>
      <c r="B1382" s="15" t="inlineStr">
        <is>
          <t>exploredogs</t>
        </is>
      </c>
      <c r="C1382" s="60" t="inlineStr">
        <is>
          <t>https://www.facebook.com/exploredogs</t>
        </is>
      </c>
      <c r="D1382" s="9" t="inlineStr">
        <is>
          <t>Cần quét Bio Fanpage</t>
        </is>
      </c>
      <c r="E1382" s="59" t="inlineStr">
        <is>
          <t>09/10/2026 23:01:51</t>
        </is>
      </c>
      <c r="F1382" s="59" t="inlineStr">
        <is>
          <t>3 ngày trước</t>
        </is>
      </c>
      <c r="G1382" s="61" t="n">
        <v>3</v>
      </c>
      <c r="H1382" s="62" t="n">
        <v>28</v>
      </c>
      <c r="I1382" s="9" t="inlineStr">
        <is>
          <t>Pet Owner / Cộng đồng nuôi cún (10đ)</t>
        </is>
      </c>
      <c r="J1382" s="62" t="n">
        <v>10</v>
      </c>
      <c r="K1382" s="9" t="inlineStr">
        <is>
          <t>Chưa rõ giống (Cần quét Bio)</t>
        </is>
      </c>
      <c r="L1382" s="62" t="n">
        <v>0</v>
      </c>
      <c r="M1382" s="62" t="n">
        <v>0</v>
      </c>
      <c r="N1382" s="9" t="inlineStr">
        <is>
          <t>Amazon link not found</t>
        </is>
      </c>
      <c r="O1382" s="62">
        <f>IF(N1382="Selling pet toys + Artificial grass/Pet toilets (TARGET)",15,IF(N1382="Selling artificial grass/pet toilets (TARGET)",10,IF(N1382="Selling pet toys",7,IF(N1382="There's an Amazon link, but no target sales.",3,0))))</f>
        <v/>
      </c>
      <c r="P1382" s="67">
        <f>H1382+J1382+L1382+M1382+O1382</f>
        <v/>
      </c>
      <c r="Q1382" s="69">
        <f>IF(OR(H1382=0,P1382&lt;30),"Tier D (Đóng băng)",IF(P1382&gt;=85,"Tier S (Kim Cương: 85-100đ)",IF(P1382&gt;=70,"Tier A (Vàng: 70-84đ)",IF(P1382&gt;=61,"Tier B+ / Cấp A (Hot Lead: 61-69đ)",IF(P1382&gt;=50,"Tier B (Bạc: 50-60đ)","Tier C (Đồng: 30-49đ)")))))</f>
        <v/>
      </c>
      <c r="R1382" s="9" t="inlineStr">
        <is>
          <t>Khay vệ sinh chung cư (Indoor Potty) + Thảm cỏ ban công (Grass Patch) + Đồ chơi</t>
        </is>
      </c>
      <c r="S1382" s="9" t="inlineStr">
        <is>
          <t>Cấp C Chi phí thấp: Nhắn tin trực tiếp qua Fanpage Facebook/Instagram + Nuôi dưỡng nội dung</t>
        </is>
      </c>
    </row>
    <row r="1383">
      <c r="A1383" s="53" t="n">
        <v>2244</v>
      </c>
      <c r="B1383" s="12" t="inlineStr">
        <is>
          <t>My Pet's Brace</t>
        </is>
      </c>
      <c r="C1383" s="54" t="inlineStr">
        <is>
          <t>https://www.facebook.com/MyPetsBrace</t>
        </is>
      </c>
      <c r="D1383" s="6" t="inlineStr">
        <is>
          <t>Cần quét Bio Fanpage</t>
        </is>
      </c>
      <c r="E1383" s="53" t="inlineStr">
        <is>
          <t>09/10/2026 22:54:44</t>
        </is>
      </c>
      <c r="F1383" s="53" t="inlineStr">
        <is>
          <t>3 ngày trước</t>
        </is>
      </c>
      <c r="G1383" s="55" t="n">
        <v>3</v>
      </c>
      <c r="H1383" s="56" t="n">
        <v>28</v>
      </c>
      <c r="I1383" s="6" t="inlineStr">
        <is>
          <t>Pet Owner / Cộng đồng nuôi cún (10đ)</t>
        </is>
      </c>
      <c r="J1383" s="56" t="n">
        <v>10</v>
      </c>
      <c r="K1383" s="6" t="inlineStr">
        <is>
          <t>Chưa rõ giống (Cần quét Bio)</t>
        </is>
      </c>
      <c r="L1383" s="56" t="n">
        <v>0</v>
      </c>
      <c r="M1383" s="56" t="n">
        <v>0</v>
      </c>
      <c r="N1383" s="6" t="inlineStr">
        <is>
          <t>Amazon link not found</t>
        </is>
      </c>
      <c r="O1383" s="56">
        <f>IF(N1383="Selling pet toys + Artificial grass/Pet toilets (TARGET)",15,IF(N1383="Selling artificial grass/pet toilets (TARGET)",10,IF(N1383="Selling pet toys",7,IF(N1383="There's an Amazon link, but no target sales.",3,0))))</f>
        <v/>
      </c>
      <c r="P1383" s="65">
        <f>H1383+J1383+L1383+M1383+O1383</f>
        <v/>
      </c>
      <c r="Q1383" s="69">
        <f>IF(OR(H1383=0,P1383&lt;30),"Tier D (Đóng băng)",IF(P1383&gt;=85,"Tier S (Kim Cương: 85-100đ)",IF(P1383&gt;=70,"Tier A (Vàng: 70-84đ)",IF(P1383&gt;=61,"Tier B+ / Cấp A (Hot Lead: 61-69đ)",IF(P1383&gt;=50,"Tier B (Bạc: 50-60đ)","Tier C (Đồng: 30-49đ)")))))</f>
        <v/>
      </c>
      <c r="R1383" s="6" t="inlineStr">
        <is>
          <t>Khay vệ sinh chung cư (Indoor Potty) + Thảm cỏ ban công (Grass Patch) + Đồ chơi</t>
        </is>
      </c>
      <c r="S1383" s="6" t="inlineStr">
        <is>
          <t>Cấp C Chi phí thấp: Nhắn tin trực tiếp qua Fanpage Facebook/Instagram + Nuôi dưỡng nội dung</t>
        </is>
      </c>
    </row>
    <row r="1384">
      <c r="A1384" s="59" t="n">
        <v>3400</v>
      </c>
      <c r="B1384" s="15" t="inlineStr">
        <is>
          <t>Whisker &amp; Howl Pet Photography</t>
        </is>
      </c>
      <c r="C1384" s="60" t="inlineStr">
        <is>
          <t>https://www.facebook.com/whiskerandhowl</t>
        </is>
      </c>
      <c r="D1384" s="9" t="inlineStr">
        <is>
          <t>Cần quét Bio Fanpage</t>
        </is>
      </c>
      <c r="E1384" s="59" t="inlineStr">
        <is>
          <t>09/10/2026 22:50:28</t>
        </is>
      </c>
      <c r="F1384" s="59" t="inlineStr">
        <is>
          <t>3 ngày trước</t>
        </is>
      </c>
      <c r="G1384" s="61" t="n">
        <v>3</v>
      </c>
      <c r="H1384" s="62" t="n">
        <v>28</v>
      </c>
      <c r="I1384" s="9" t="inlineStr">
        <is>
          <t>Pet Owner / Cộng đồng nuôi cún (10đ)</t>
        </is>
      </c>
      <c r="J1384" s="62" t="n">
        <v>10</v>
      </c>
      <c r="K1384" s="9" t="inlineStr">
        <is>
          <t>Chưa rõ giống (Cần quét Bio)</t>
        </is>
      </c>
      <c r="L1384" s="62" t="n">
        <v>0</v>
      </c>
      <c r="M1384" s="62" t="n">
        <v>0</v>
      </c>
      <c r="N1384" s="9" t="inlineStr">
        <is>
          <t>Amazon link not found</t>
        </is>
      </c>
      <c r="O1384" s="62">
        <f>IF(N1384="Selling pet toys + Artificial grass/Pet toilets (TARGET)",15,IF(N1384="Selling artificial grass/pet toilets (TARGET)",10,IF(N1384="Selling pet toys",7,IF(N1384="There's an Amazon link, but no target sales.",3,0))))</f>
        <v/>
      </c>
      <c r="P1384" s="67">
        <f>H1384+J1384+L1384+M1384+O1384</f>
        <v/>
      </c>
      <c r="Q1384" s="69">
        <f>IF(OR(H1384=0,P1384&lt;30),"Tier D (Đóng băng)",IF(P1384&gt;=85,"Tier S (Kim Cương: 85-100đ)",IF(P1384&gt;=70,"Tier A (Vàng: 70-84đ)",IF(P1384&gt;=61,"Tier B+ / Cấp A (Hot Lead: 61-69đ)",IF(P1384&gt;=50,"Tier B (Bạc: 50-60đ)","Tier C (Đồng: 30-49đ)")))))</f>
        <v/>
      </c>
      <c r="R1384" s="9" t="inlineStr">
        <is>
          <t>Khay vệ sinh chung cư (Indoor Potty) + Thảm cỏ ban công (Grass Patch) + Đồ chơi</t>
        </is>
      </c>
      <c r="S1384" s="9" t="inlineStr">
        <is>
          <t>Cấp C Chi phí thấp: Nhắn tin trực tiếp qua Fanpage Facebook/Instagram + Nuôi dưỡng nội dung</t>
        </is>
      </c>
    </row>
    <row r="1385">
      <c r="A1385" s="53" t="n">
        <v>2889</v>
      </c>
      <c r="B1385" s="12" t="inlineStr">
        <is>
          <t>ShowdogMedia</t>
        </is>
      </c>
      <c r="C1385" s="54" t="inlineStr">
        <is>
          <t>https://www.facebook.com/Showdogmedia</t>
        </is>
      </c>
      <c r="D1385" s="6" t="inlineStr">
        <is>
          <t>Cần quét Bio Fanpage</t>
        </is>
      </c>
      <c r="E1385" s="53" t="inlineStr">
        <is>
          <t>09/10/2026 22:44:38</t>
        </is>
      </c>
      <c r="F1385" s="53" t="inlineStr">
        <is>
          <t>3 ngày trước</t>
        </is>
      </c>
      <c r="G1385" s="55" t="n">
        <v>3</v>
      </c>
      <c r="H1385" s="56" t="n">
        <v>28</v>
      </c>
      <c r="I1385" s="6" t="inlineStr">
        <is>
          <t>Pet Owner / Cộng đồng nuôi cún (10đ)</t>
        </is>
      </c>
      <c r="J1385" s="56" t="n">
        <v>10</v>
      </c>
      <c r="K1385" s="6" t="inlineStr">
        <is>
          <t>Chưa rõ giống (Cần quét Bio)</t>
        </is>
      </c>
      <c r="L1385" s="56" t="n">
        <v>0</v>
      </c>
      <c r="M1385" s="56" t="n">
        <v>0</v>
      </c>
      <c r="N1385" s="6" t="inlineStr">
        <is>
          <t>Amazon link not found</t>
        </is>
      </c>
      <c r="O1385" s="56">
        <f>IF(N1385="Selling pet toys + Artificial grass/Pet toilets (TARGET)",15,IF(N1385="Selling artificial grass/pet toilets (TARGET)",10,IF(N1385="Selling pet toys",7,IF(N1385="There's an Amazon link, but no target sales.",3,0))))</f>
        <v/>
      </c>
      <c r="P1385" s="65">
        <f>H1385+J1385+L1385+M1385+O1385</f>
        <v/>
      </c>
      <c r="Q1385" s="69">
        <f>IF(OR(H1385=0,P1385&lt;30),"Tier D (Đóng băng)",IF(P1385&gt;=85,"Tier S (Kim Cương: 85-100đ)",IF(P1385&gt;=70,"Tier A (Vàng: 70-84đ)",IF(P1385&gt;=61,"Tier B+ / Cấp A (Hot Lead: 61-69đ)",IF(P1385&gt;=50,"Tier B (Bạc: 50-60đ)","Tier C (Đồng: 30-49đ)")))))</f>
        <v/>
      </c>
      <c r="R1385" s="6" t="inlineStr">
        <is>
          <t>Khay vệ sinh chung cư (Indoor Potty) + Thảm cỏ ban công (Grass Patch) + Đồ chơi</t>
        </is>
      </c>
      <c r="S1385" s="6" t="inlineStr">
        <is>
          <t>Cấp C Chi phí thấp: Nhắn tin trực tiếp qua Fanpage Facebook/Instagram + Nuôi dưỡng nội dung</t>
        </is>
      </c>
    </row>
    <row r="1386">
      <c r="A1386" s="59" t="n">
        <v>1298</v>
      </c>
      <c r="B1386" s="15" t="inlineStr">
        <is>
          <t>Eukanuba Sporting Dog</t>
        </is>
      </c>
      <c r="C1386" s="60" t="inlineStr">
        <is>
          <t>https://www.facebook.com/eukanubasportingdog</t>
        </is>
      </c>
      <c r="D1386" s="9" t="inlineStr">
        <is>
          <t>Cần quét Bio Fanpage</t>
        </is>
      </c>
      <c r="E1386" s="59" t="inlineStr">
        <is>
          <t>09/10/2026 22:42:32</t>
        </is>
      </c>
      <c r="F1386" s="59" t="inlineStr">
        <is>
          <t>3 ngày trước</t>
        </is>
      </c>
      <c r="G1386" s="61" t="n">
        <v>3</v>
      </c>
      <c r="H1386" s="62" t="n">
        <v>28</v>
      </c>
      <c r="I1386" s="9" t="inlineStr">
        <is>
          <t>Pet Owner / Cộng đồng nuôi cún (10đ)</t>
        </is>
      </c>
      <c r="J1386" s="62" t="n">
        <v>10</v>
      </c>
      <c r="K1386" s="9" t="inlineStr">
        <is>
          <t>Chưa rõ giống (Cần quét Bio)</t>
        </is>
      </c>
      <c r="L1386" s="62" t="n">
        <v>0</v>
      </c>
      <c r="M1386" s="62" t="n">
        <v>0</v>
      </c>
      <c r="N1386" s="9" t="inlineStr">
        <is>
          <t>Amazon link not found</t>
        </is>
      </c>
      <c r="O1386" s="62">
        <f>IF(N1386="Selling pet toys + Artificial grass/Pet toilets (TARGET)",15,IF(N1386="Selling artificial grass/pet toilets (TARGET)",10,IF(N1386="Selling pet toys",7,IF(N1386="There's an Amazon link, but no target sales.",3,0))))</f>
        <v/>
      </c>
      <c r="P1386" s="67">
        <f>H1386+J1386+L1386+M1386+O1386</f>
        <v/>
      </c>
      <c r="Q1386" s="69">
        <f>IF(OR(H1386=0,P1386&lt;30),"Tier D (Đóng băng)",IF(P1386&gt;=85,"Tier S (Kim Cương: 85-100đ)",IF(P1386&gt;=70,"Tier A (Vàng: 70-84đ)",IF(P1386&gt;=61,"Tier B+ / Cấp A (Hot Lead: 61-69đ)",IF(P1386&gt;=50,"Tier B (Bạc: 50-60đ)","Tier C (Đồng: 30-49đ)")))))</f>
        <v/>
      </c>
      <c r="R1386" s="9" t="inlineStr">
        <is>
          <t>Khay vệ sinh chung cư (Indoor Potty) + Thảm cỏ ban công (Grass Patch) + Đồ chơi</t>
        </is>
      </c>
      <c r="S1386" s="9" t="inlineStr">
        <is>
          <t>Cấp C Chi phí thấp: Nhắn tin trực tiếp qua Fanpage Facebook/Instagram + Nuôi dưỡng nội dung</t>
        </is>
      </c>
    </row>
    <row r="1387">
      <c r="A1387" s="53" t="n">
        <v>3015</v>
      </c>
      <c r="B1387" s="12" t="inlineStr">
        <is>
          <t>Suffolk Dog Town</t>
        </is>
      </c>
      <c r="C1387" s="54" t="inlineStr">
        <is>
          <t>https://www.facebook.com/IpswichDogDayCare</t>
        </is>
      </c>
      <c r="D1387" s="6" t="inlineStr">
        <is>
          <t>Cần quét Bio Fanpage</t>
        </is>
      </c>
      <c r="E1387" s="53" t="inlineStr">
        <is>
          <t>09/10/2026 22:37:09</t>
        </is>
      </c>
      <c r="F1387" s="53" t="inlineStr">
        <is>
          <t>3 ngày trước</t>
        </is>
      </c>
      <c r="G1387" s="55" t="n">
        <v>3</v>
      </c>
      <c r="H1387" s="56" t="n">
        <v>28</v>
      </c>
      <c r="I1387" s="6" t="inlineStr">
        <is>
          <t>Pet Owner / Cộng đồng nuôi cún (10đ)</t>
        </is>
      </c>
      <c r="J1387" s="56" t="n">
        <v>10</v>
      </c>
      <c r="K1387" s="6" t="inlineStr">
        <is>
          <t>Chưa rõ giống (Cần quét Bio)</t>
        </is>
      </c>
      <c r="L1387" s="56" t="n">
        <v>0</v>
      </c>
      <c r="M1387" s="56" t="n">
        <v>0</v>
      </c>
      <c r="N1387" s="6" t="inlineStr">
        <is>
          <t>Amazon link not found</t>
        </is>
      </c>
      <c r="O1387" s="56">
        <f>IF(N1387="Selling pet toys + Artificial grass/Pet toilets (TARGET)",15,IF(N1387="Selling artificial grass/pet toilets (TARGET)",10,IF(N1387="Selling pet toys",7,IF(N1387="There's an Amazon link, but no target sales.",3,0))))</f>
        <v/>
      </c>
      <c r="P1387" s="65">
        <f>H1387+J1387+L1387+M1387+O1387</f>
        <v/>
      </c>
      <c r="Q1387" s="69">
        <f>IF(OR(H1387=0,P1387&lt;30),"Tier D (Đóng băng)",IF(P1387&gt;=85,"Tier S (Kim Cương: 85-100đ)",IF(P1387&gt;=70,"Tier A (Vàng: 70-84đ)",IF(P1387&gt;=61,"Tier B+ / Cấp A (Hot Lead: 61-69đ)",IF(P1387&gt;=50,"Tier B (Bạc: 50-60đ)","Tier C (Đồng: 30-49đ)")))))</f>
        <v/>
      </c>
      <c r="R1387" s="6" t="inlineStr">
        <is>
          <t>Khay vệ sinh chung cư (Indoor Potty) + Thảm cỏ ban công (Grass Patch) + Đồ chơi</t>
        </is>
      </c>
      <c r="S1387" s="6" t="inlineStr">
        <is>
          <t>Cấp C Chi phí thấp: Nhắn tin trực tiếp qua Fanpage Facebook/Instagram + Nuôi dưỡng nội dung</t>
        </is>
      </c>
    </row>
    <row r="1388">
      <c r="A1388" s="59" t="n">
        <v>1471</v>
      </c>
      <c r="B1388" s="15" t="inlineStr">
        <is>
          <t>Fruitables Pet Treats</t>
        </is>
      </c>
      <c r="C1388" s="60" t="inlineStr">
        <is>
          <t>https://www.facebook.com/fruitablespettreats</t>
        </is>
      </c>
      <c r="D1388" s="9" t="inlineStr">
        <is>
          <t>Cần quét Bio Fanpage</t>
        </is>
      </c>
      <c r="E1388" s="59" t="inlineStr">
        <is>
          <t>09/10/2026 22:08:01</t>
        </is>
      </c>
      <c r="F1388" s="59" t="inlineStr">
        <is>
          <t>3 ngày trước</t>
        </is>
      </c>
      <c r="G1388" s="61" t="n">
        <v>3</v>
      </c>
      <c r="H1388" s="62" t="n">
        <v>28</v>
      </c>
      <c r="I1388" s="9" t="inlineStr">
        <is>
          <t>Pet Owner / Cộng đồng nuôi cún (10đ)</t>
        </is>
      </c>
      <c r="J1388" s="62" t="n">
        <v>10</v>
      </c>
      <c r="K1388" s="9" t="inlineStr">
        <is>
          <t>Chưa rõ giống (Cần quét Bio)</t>
        </is>
      </c>
      <c r="L1388" s="62" t="n">
        <v>0</v>
      </c>
      <c r="M1388" s="62" t="n">
        <v>0</v>
      </c>
      <c r="N1388" s="9" t="inlineStr">
        <is>
          <t>Amazon link not found</t>
        </is>
      </c>
      <c r="O1388" s="62">
        <f>IF(N1388="Selling pet toys + Artificial grass/Pet toilets (TARGET)",15,IF(N1388="Selling artificial grass/pet toilets (TARGET)",10,IF(N1388="Selling pet toys",7,IF(N1388="There's an Amazon link, but no target sales.",3,0))))</f>
        <v/>
      </c>
      <c r="P1388" s="67">
        <f>H1388+J1388+L1388+M1388+O1388</f>
        <v/>
      </c>
      <c r="Q1388" s="69">
        <f>IF(OR(H1388=0,P1388&lt;30),"Tier D (Đóng băng)",IF(P1388&gt;=85,"Tier S (Kim Cương: 85-100đ)",IF(P1388&gt;=70,"Tier A (Vàng: 70-84đ)",IF(P1388&gt;=61,"Tier B+ / Cấp A (Hot Lead: 61-69đ)",IF(P1388&gt;=50,"Tier B (Bạc: 50-60đ)","Tier C (Đồng: 30-49đ)")))))</f>
        <v/>
      </c>
      <c r="R1388" s="9" t="inlineStr">
        <is>
          <t>Khay vệ sinh chung cư (Indoor Potty) + Thảm cỏ ban công (Grass Patch) + Đồ chơi</t>
        </is>
      </c>
      <c r="S1388" s="9" t="inlineStr">
        <is>
          <t>Cấp C Chi phí thấp: Nhắn tin trực tiếp qua Fanpage Facebook/Instagram + Nuôi dưỡng nội dung</t>
        </is>
      </c>
    </row>
    <row r="1389">
      <c r="A1389" s="53" t="n">
        <v>2198</v>
      </c>
      <c r="B1389" s="12" t="inlineStr">
        <is>
          <t>Mister Mix Dog Magyarország</t>
        </is>
      </c>
      <c r="C1389" s="54" t="inlineStr">
        <is>
          <t>https://www.facebook.com/mistermixmagyarorszag</t>
        </is>
      </c>
      <c r="D1389" s="6" t="inlineStr">
        <is>
          <t>Cần quét Bio Fanpage</t>
        </is>
      </c>
      <c r="E1389" s="53" t="inlineStr">
        <is>
          <t>09/10/2026 18:56:15</t>
        </is>
      </c>
      <c r="F1389" s="53" t="inlineStr">
        <is>
          <t>3 ngày trước</t>
        </is>
      </c>
      <c r="G1389" s="55" t="n">
        <v>3</v>
      </c>
      <c r="H1389" s="56" t="n">
        <v>28</v>
      </c>
      <c r="I1389" s="6" t="inlineStr">
        <is>
          <t>Pet Owner / Cộng đồng nuôi cún (10đ)</t>
        </is>
      </c>
      <c r="J1389" s="56" t="n">
        <v>10</v>
      </c>
      <c r="K1389" s="6" t="inlineStr">
        <is>
          <t>Chưa rõ giống (Cần quét Bio)</t>
        </is>
      </c>
      <c r="L1389" s="56" t="n">
        <v>0</v>
      </c>
      <c r="M1389" s="56" t="n">
        <v>0</v>
      </c>
      <c r="N1389" s="6" t="inlineStr">
        <is>
          <t>Amazon link not found</t>
        </is>
      </c>
      <c r="O1389" s="56">
        <f>IF(N1389="Selling pet toys + Artificial grass/Pet toilets (TARGET)",15,IF(N1389="Selling artificial grass/pet toilets (TARGET)",10,IF(N1389="Selling pet toys",7,IF(N1389="There's an Amazon link, but no target sales.",3,0))))</f>
        <v/>
      </c>
      <c r="P1389" s="65">
        <f>H1389+J1389+L1389+M1389+O1389</f>
        <v/>
      </c>
      <c r="Q1389" s="69">
        <f>IF(OR(H1389=0,P1389&lt;30),"Tier D (Đóng băng)",IF(P1389&gt;=85,"Tier S (Kim Cương: 85-100đ)",IF(P1389&gt;=70,"Tier A (Vàng: 70-84đ)",IF(P1389&gt;=61,"Tier B+ / Cấp A (Hot Lead: 61-69đ)",IF(P1389&gt;=50,"Tier B (Bạc: 50-60đ)","Tier C (Đồng: 30-49đ)")))))</f>
        <v/>
      </c>
      <c r="R1389" s="6" t="inlineStr">
        <is>
          <t>Khay vệ sinh chung cư (Indoor Potty) + Thảm cỏ ban công (Grass Patch) + Đồ chơi</t>
        </is>
      </c>
      <c r="S1389" s="6" t="inlineStr">
        <is>
          <t>Cấp C Chi phí thấp: Nhắn tin trực tiếp qua Fanpage Facebook/Instagram + Nuôi dưỡng nội dung</t>
        </is>
      </c>
    </row>
    <row r="1390">
      <c r="A1390" s="59" t="n">
        <v>207</v>
      </c>
      <c r="B1390" s="15" t="inlineStr">
        <is>
          <t>La Pet-noira</t>
        </is>
      </c>
      <c r="C1390" s="60" t="inlineStr">
        <is>
          <t>https://www.facebook.com/lapetnoira</t>
        </is>
      </c>
      <c r="D1390" s="9" t="inlineStr">
        <is>
          <t>Cần quét Bio Fanpage</t>
        </is>
      </c>
      <c r="E1390" s="59" t="inlineStr">
        <is>
          <t>09/10/2026 18:35:45</t>
        </is>
      </c>
      <c r="F1390" s="59" t="inlineStr">
        <is>
          <t>3 ngày trước</t>
        </is>
      </c>
      <c r="G1390" s="61" t="n">
        <v>3</v>
      </c>
      <c r="H1390" s="62" t="n">
        <v>28</v>
      </c>
      <c r="I1390" s="9" t="inlineStr">
        <is>
          <t>Pet Owner / Cộng đồng nuôi cún (10đ)</t>
        </is>
      </c>
      <c r="J1390" s="62" t="n">
        <v>10</v>
      </c>
      <c r="K1390" s="9" t="inlineStr">
        <is>
          <t>Chưa rõ giống (Cần quét Bio)</t>
        </is>
      </c>
      <c r="L1390" s="62" t="n">
        <v>0</v>
      </c>
      <c r="M1390" s="62" t="n">
        <v>0</v>
      </c>
      <c r="N1390" s="9" t="inlineStr">
        <is>
          <t>Amazon link not found</t>
        </is>
      </c>
      <c r="O1390" s="62">
        <f>IF(N1390="Selling pet toys + Artificial grass/Pet toilets (TARGET)",15,IF(N1390="Selling artificial grass/pet toilets (TARGET)",10,IF(N1390="Selling pet toys",7,IF(N1390="There's an Amazon link, but no target sales.",3,0))))</f>
        <v/>
      </c>
      <c r="P1390" s="67">
        <f>H1390+J1390+L1390+M1390+O1390</f>
        <v/>
      </c>
      <c r="Q1390" s="69">
        <f>IF(OR(H1390=0,P1390&lt;30),"Tier D (Đóng băng)",IF(P1390&gt;=85,"Tier S (Kim Cương: 85-100đ)",IF(P1390&gt;=70,"Tier A (Vàng: 70-84đ)",IF(P1390&gt;=61,"Tier B+ / Cấp A (Hot Lead: 61-69đ)",IF(P1390&gt;=50,"Tier B (Bạc: 50-60đ)","Tier C (Đồng: 30-49đ)")))))</f>
        <v/>
      </c>
      <c r="R1390" s="9" t="inlineStr">
        <is>
          <t>Khay vệ sinh chung cư (Indoor Potty) + Thảm cỏ ban công (Grass Patch) + Đồ chơi</t>
        </is>
      </c>
      <c r="S1390" s="9" t="inlineStr">
        <is>
          <t>Cấp C Chi phí thấp: Nhắn tin trực tiếp qua Fanpage Facebook/Instagram + Nuôi dưỡng nội dung</t>
        </is>
      </c>
    </row>
    <row r="1391">
      <c r="A1391" s="53" t="n">
        <v>1985</v>
      </c>
      <c r="B1391" s="12" t="inlineStr">
        <is>
          <t>Lapki.pet</t>
        </is>
      </c>
      <c r="C1391" s="54" t="inlineStr">
        <is>
          <t>https://www.facebook.com/LapkiPets</t>
        </is>
      </c>
      <c r="D1391" s="6" t="inlineStr">
        <is>
          <t>Cần quét Bio Fanpage</t>
        </is>
      </c>
      <c r="E1391" s="53" t="inlineStr">
        <is>
          <t>09/10/2026 15:05:44</t>
        </is>
      </c>
      <c r="F1391" s="53" t="inlineStr">
        <is>
          <t>3 ngày trước</t>
        </is>
      </c>
      <c r="G1391" s="55" t="n">
        <v>3</v>
      </c>
      <c r="H1391" s="56" t="n">
        <v>28</v>
      </c>
      <c r="I1391" s="6" t="inlineStr">
        <is>
          <t>Pet Owner / Cộng đồng nuôi cún (10đ)</t>
        </is>
      </c>
      <c r="J1391" s="56" t="n">
        <v>10</v>
      </c>
      <c r="K1391" s="6" t="inlineStr">
        <is>
          <t>Chưa rõ giống (Cần quét Bio)</t>
        </is>
      </c>
      <c r="L1391" s="56" t="n">
        <v>0</v>
      </c>
      <c r="M1391" s="56" t="n">
        <v>0</v>
      </c>
      <c r="N1391" s="6" t="inlineStr">
        <is>
          <t>Amazon link not found</t>
        </is>
      </c>
      <c r="O1391" s="56">
        <f>IF(N1391="Selling pet toys + Artificial grass/Pet toilets (TARGET)",15,IF(N1391="Selling artificial grass/pet toilets (TARGET)",10,IF(N1391="Selling pet toys",7,IF(N1391="There's an Amazon link, but no target sales.",3,0))))</f>
        <v/>
      </c>
      <c r="P1391" s="65">
        <f>H1391+J1391+L1391+M1391+O1391</f>
        <v/>
      </c>
      <c r="Q1391" s="69">
        <f>IF(OR(H1391=0,P1391&lt;30),"Tier D (Đóng băng)",IF(P1391&gt;=85,"Tier S (Kim Cương: 85-100đ)",IF(P1391&gt;=70,"Tier A (Vàng: 70-84đ)",IF(P1391&gt;=61,"Tier B+ / Cấp A (Hot Lead: 61-69đ)",IF(P1391&gt;=50,"Tier B (Bạc: 50-60đ)","Tier C (Đồng: 30-49đ)")))))</f>
        <v/>
      </c>
      <c r="R1391" s="6" t="inlineStr">
        <is>
          <t>Khay vệ sinh chung cư (Indoor Potty) + Thảm cỏ ban công (Grass Patch) + Đồ chơi</t>
        </is>
      </c>
      <c r="S1391" s="6" t="inlineStr">
        <is>
          <t>Cấp C Chi phí thấp: Nhắn tin trực tiếp qua Fanpage Facebook/Instagram + Nuôi dưỡng nội dung</t>
        </is>
      </c>
    </row>
    <row r="1392">
      <c r="A1392" s="59" t="n">
        <v>1244</v>
      </c>
      <c r="B1392" s="15" t="inlineStr">
        <is>
          <t>Duck Dogz Chews &amp; Bones</t>
        </is>
      </c>
      <c r="C1392" s="60" t="inlineStr">
        <is>
          <t>https://www.facebook.com/profile.php?id=61576199054628</t>
        </is>
      </c>
      <c r="D1392" s="9" t="inlineStr">
        <is>
          <t>Cần quét Bio Fanpage</t>
        </is>
      </c>
      <c r="E1392" s="59" t="inlineStr">
        <is>
          <t>09/10/2026 09:41:01</t>
        </is>
      </c>
      <c r="F1392" s="59" t="inlineStr">
        <is>
          <t>3 ngày trước</t>
        </is>
      </c>
      <c r="G1392" s="61" t="n">
        <v>3</v>
      </c>
      <c r="H1392" s="62" t="n">
        <v>28</v>
      </c>
      <c r="I1392" s="9" t="inlineStr">
        <is>
          <t>Pet Owner / Cộng đồng nuôi cún (10đ)</t>
        </is>
      </c>
      <c r="J1392" s="62" t="n">
        <v>10</v>
      </c>
      <c r="K1392" s="9" t="inlineStr">
        <is>
          <t>Chưa rõ giống (Cần quét Bio)</t>
        </is>
      </c>
      <c r="L1392" s="62" t="n">
        <v>0</v>
      </c>
      <c r="M1392" s="62" t="n">
        <v>0</v>
      </c>
      <c r="N1392" s="9" t="inlineStr">
        <is>
          <t>Amazon link not found</t>
        </is>
      </c>
      <c r="O1392" s="62">
        <f>IF(N1392="Selling pet toys + Artificial grass/Pet toilets (TARGET)",15,IF(N1392="Selling artificial grass/pet toilets (TARGET)",10,IF(N1392="Selling pet toys",7,IF(N1392="There's an Amazon link, but no target sales.",3,0))))</f>
        <v/>
      </c>
      <c r="P1392" s="67">
        <f>H1392+J1392+L1392+M1392+O1392</f>
        <v/>
      </c>
      <c r="Q1392" s="69">
        <f>IF(OR(H1392=0,P1392&lt;30),"Tier D (Đóng băng)",IF(P1392&gt;=85,"Tier S (Kim Cương: 85-100đ)",IF(P1392&gt;=70,"Tier A (Vàng: 70-84đ)",IF(P1392&gt;=61,"Tier B+ / Cấp A (Hot Lead: 61-69đ)",IF(P1392&gt;=50,"Tier B (Bạc: 50-60đ)","Tier C (Đồng: 30-49đ)")))))</f>
        <v/>
      </c>
      <c r="R1392" s="9" t="inlineStr">
        <is>
          <t>Khay vệ sinh chung cư (Indoor Potty) + Thảm cỏ ban công (Grass Patch) + Đồ chơi</t>
        </is>
      </c>
      <c r="S1392" s="9" t="inlineStr">
        <is>
          <t>Cấp C Chi phí thấp: Nhắn tin trực tiếp qua Fanpage Facebook/Instagram + Nuôi dưỡng nội dung</t>
        </is>
      </c>
    </row>
    <row r="1393">
      <c r="A1393" s="53" t="n">
        <v>1838</v>
      </c>
      <c r="B1393" s="12" t="inlineStr">
        <is>
          <t>Kaka'ako Pet Hospital</t>
        </is>
      </c>
      <c r="C1393" s="54" t="inlineStr">
        <is>
          <t>https://www.facebook.com/KakaakoPetHospital</t>
        </is>
      </c>
      <c r="D1393" s="6" t="inlineStr">
        <is>
          <t>Cần quét Bio Fanpage</t>
        </is>
      </c>
      <c r="E1393" s="53" t="inlineStr">
        <is>
          <t>09/10/2026 09:28:06</t>
        </is>
      </c>
      <c r="F1393" s="53" t="inlineStr">
        <is>
          <t>3 ngày trước</t>
        </is>
      </c>
      <c r="G1393" s="55" t="n">
        <v>3</v>
      </c>
      <c r="H1393" s="56" t="n">
        <v>28</v>
      </c>
      <c r="I1393" s="6" t="inlineStr">
        <is>
          <t>Pet Owner / Cộng đồng nuôi cún (10đ)</t>
        </is>
      </c>
      <c r="J1393" s="56" t="n">
        <v>10</v>
      </c>
      <c r="K1393" s="6" t="inlineStr">
        <is>
          <t>Chưa rõ giống (Cần quét Bio)</t>
        </is>
      </c>
      <c r="L1393" s="56" t="n">
        <v>0</v>
      </c>
      <c r="M1393" s="56" t="n">
        <v>0</v>
      </c>
      <c r="N1393" s="6" t="inlineStr">
        <is>
          <t>Amazon link not found</t>
        </is>
      </c>
      <c r="O1393" s="56">
        <f>IF(N1393="Selling pet toys + Artificial grass/Pet toilets (TARGET)",15,IF(N1393="Selling artificial grass/pet toilets (TARGET)",10,IF(N1393="Selling pet toys",7,IF(N1393="There's an Amazon link, but no target sales.",3,0))))</f>
        <v/>
      </c>
      <c r="P1393" s="65">
        <f>H1393+J1393+L1393+M1393+O1393</f>
        <v/>
      </c>
      <c r="Q1393" s="69">
        <f>IF(OR(H1393=0,P1393&lt;30),"Tier D (Đóng băng)",IF(P1393&gt;=85,"Tier S (Kim Cương: 85-100đ)",IF(P1393&gt;=70,"Tier A (Vàng: 70-84đ)",IF(P1393&gt;=61,"Tier B+ / Cấp A (Hot Lead: 61-69đ)",IF(P1393&gt;=50,"Tier B (Bạc: 50-60đ)","Tier C (Đồng: 30-49đ)")))))</f>
        <v/>
      </c>
      <c r="R1393" s="6" t="inlineStr">
        <is>
          <t>Khay vệ sinh chung cư (Indoor Potty) + Thảm cỏ ban công (Grass Patch) + Đồ chơi</t>
        </is>
      </c>
      <c r="S1393" s="6" t="inlineStr">
        <is>
          <t>Cấp C Chi phí thấp: Nhắn tin trực tiếp qua Fanpage Facebook/Instagram + Nuôi dưỡng nội dung</t>
        </is>
      </c>
    </row>
    <row r="1394">
      <c r="A1394" s="59" t="n">
        <v>352</v>
      </c>
      <c r="B1394" s="15" t="inlineStr">
        <is>
          <t>Ahwatukee Carpets</t>
        </is>
      </c>
      <c r="C1394" s="60" t="inlineStr">
        <is>
          <t>https://www.facebook.com/ahwatukeecarpets</t>
        </is>
      </c>
      <c r="D1394" s="9" t="inlineStr">
        <is>
          <t>Cần quét Bio Fanpage</t>
        </is>
      </c>
      <c r="E1394" s="59" t="inlineStr">
        <is>
          <t>09/10/2026 08:39:36</t>
        </is>
      </c>
      <c r="F1394" s="59" t="inlineStr">
        <is>
          <t>3 ngày trước</t>
        </is>
      </c>
      <c r="G1394" s="61" t="n">
        <v>3</v>
      </c>
      <c r="H1394" s="62" t="n">
        <v>28</v>
      </c>
      <c r="I1394" s="9" t="inlineStr">
        <is>
          <t>Pet Owner / Cộng đồng nuôi cún (10đ)</t>
        </is>
      </c>
      <c r="J1394" s="62" t="n">
        <v>10</v>
      </c>
      <c r="K1394" s="9" t="inlineStr">
        <is>
          <t>Chưa rõ giống (Cần quét Bio)</t>
        </is>
      </c>
      <c r="L1394" s="62" t="n">
        <v>0</v>
      </c>
      <c r="M1394" s="62" t="n">
        <v>0</v>
      </c>
      <c r="N1394" s="9" t="inlineStr">
        <is>
          <t>Amazon link not found</t>
        </is>
      </c>
      <c r="O1394" s="62">
        <f>IF(N1394="Selling pet toys + Artificial grass/Pet toilets (TARGET)",15,IF(N1394="Selling artificial grass/pet toilets (TARGET)",10,IF(N1394="Selling pet toys",7,IF(N1394="There's an Amazon link, but no target sales.",3,0))))</f>
        <v/>
      </c>
      <c r="P1394" s="67">
        <f>H1394+J1394+L1394+M1394+O1394</f>
        <v/>
      </c>
      <c r="Q1394" s="69">
        <f>IF(OR(H1394=0,P1394&lt;30),"Tier D (Đóng băng)",IF(P1394&gt;=85,"Tier S (Kim Cương: 85-100đ)",IF(P1394&gt;=70,"Tier A (Vàng: 70-84đ)",IF(P1394&gt;=61,"Tier B+ / Cấp A (Hot Lead: 61-69đ)",IF(P1394&gt;=50,"Tier B (Bạc: 50-60đ)","Tier C (Đồng: 30-49đ)")))))</f>
        <v/>
      </c>
      <c r="R1394" s="9" t="inlineStr">
        <is>
          <t>Khay vệ sinh chung cư (Indoor Potty) + Thảm cỏ ban công (Grass Patch) + Đồ chơi</t>
        </is>
      </c>
      <c r="S1394" s="9" t="inlineStr">
        <is>
          <t>Cấp C Chi phí thấp: Nhắn tin trực tiếp qua Fanpage Facebook/Instagram + Nuôi dưỡng nội dung</t>
        </is>
      </c>
    </row>
    <row r="1395">
      <c r="A1395" s="53" t="n">
        <v>1644</v>
      </c>
      <c r="B1395" s="12" t="inlineStr">
        <is>
          <t>Henry The Colorado Dog</t>
        </is>
      </c>
      <c r="C1395" s="54" t="inlineStr">
        <is>
          <t>https://www.facebook.com/henrythecoloradodog</t>
        </is>
      </c>
      <c r="D1395" s="6" t="inlineStr">
        <is>
          <t>Cần quét Bio Fanpage</t>
        </is>
      </c>
      <c r="E1395" s="53" t="inlineStr">
        <is>
          <t>09/10/2026 08:18:34</t>
        </is>
      </c>
      <c r="F1395" s="53" t="inlineStr">
        <is>
          <t>3 ngày trước</t>
        </is>
      </c>
      <c r="G1395" s="55" t="n">
        <v>3</v>
      </c>
      <c r="H1395" s="56" t="n">
        <v>28</v>
      </c>
      <c r="I1395" s="6" t="inlineStr">
        <is>
          <t>Pet Owner / Cộng đồng nuôi cún (10đ)</t>
        </is>
      </c>
      <c r="J1395" s="56" t="n">
        <v>10</v>
      </c>
      <c r="K1395" s="6" t="inlineStr">
        <is>
          <t>Chưa rõ giống (Cần quét Bio)</t>
        </is>
      </c>
      <c r="L1395" s="56" t="n">
        <v>0</v>
      </c>
      <c r="M1395" s="56" t="n">
        <v>0</v>
      </c>
      <c r="N1395" s="6" t="inlineStr">
        <is>
          <t>Amazon link not found</t>
        </is>
      </c>
      <c r="O1395" s="56">
        <f>IF(N1395="Selling pet toys + Artificial grass/Pet toilets (TARGET)",15,IF(N1395="Selling artificial grass/pet toilets (TARGET)",10,IF(N1395="Selling pet toys",7,IF(N1395="There's an Amazon link, but no target sales.",3,0))))</f>
        <v/>
      </c>
      <c r="P1395" s="65">
        <f>H1395+J1395+L1395+M1395+O1395</f>
        <v/>
      </c>
      <c r="Q1395" s="69">
        <f>IF(OR(H1395=0,P1395&lt;30),"Tier D (Đóng băng)",IF(P1395&gt;=85,"Tier S (Kim Cương: 85-100đ)",IF(P1395&gt;=70,"Tier A (Vàng: 70-84đ)",IF(P1395&gt;=61,"Tier B+ / Cấp A (Hot Lead: 61-69đ)",IF(P1395&gt;=50,"Tier B (Bạc: 50-60đ)","Tier C (Đồng: 30-49đ)")))))</f>
        <v/>
      </c>
      <c r="R1395" s="6" t="inlineStr">
        <is>
          <t>Khay vệ sinh chung cư (Indoor Potty) + Thảm cỏ ban công (Grass Patch) + Đồ chơi</t>
        </is>
      </c>
      <c r="S1395" s="6" t="inlineStr">
        <is>
          <t>Cấp C Chi phí thấp: Nhắn tin trực tiếp qua Fanpage Facebook/Instagram + Nuôi dưỡng nội dung</t>
        </is>
      </c>
    </row>
    <row r="1396">
      <c r="A1396" s="59" t="n">
        <v>125</v>
      </c>
      <c r="B1396" s="15" t="inlineStr">
        <is>
          <t>Busy Dog Box</t>
        </is>
      </c>
      <c r="C1396" s="60" t="inlineStr">
        <is>
          <t>https://www.facebook.com/busydogbox</t>
        </is>
      </c>
      <c r="D1396" s="9" t="inlineStr">
        <is>
          <t>Cần quét Bio Fanpage</t>
        </is>
      </c>
      <c r="E1396" s="59" t="inlineStr">
        <is>
          <t>09/10/2026 06:43:23</t>
        </is>
      </c>
      <c r="F1396" s="59" t="inlineStr">
        <is>
          <t>3 ngày trước</t>
        </is>
      </c>
      <c r="G1396" s="61" t="n">
        <v>3</v>
      </c>
      <c r="H1396" s="62" t="n">
        <v>28</v>
      </c>
      <c r="I1396" s="9" t="inlineStr">
        <is>
          <t>Pet Owner / Cộng đồng nuôi cún (10đ)</t>
        </is>
      </c>
      <c r="J1396" s="62" t="n">
        <v>10</v>
      </c>
      <c r="K1396" s="9" t="inlineStr">
        <is>
          <t>Chưa rõ giống (Cần quét Bio)</t>
        </is>
      </c>
      <c r="L1396" s="62" t="n">
        <v>0</v>
      </c>
      <c r="M1396" s="62" t="n">
        <v>0</v>
      </c>
      <c r="N1396" s="9" t="inlineStr">
        <is>
          <t>Amazon link not found</t>
        </is>
      </c>
      <c r="O1396" s="62">
        <f>IF(N1396="Selling pet toys + Artificial grass/Pet toilets (TARGET)",15,IF(N1396="Selling artificial grass/pet toilets (TARGET)",10,IF(N1396="Selling pet toys",7,IF(N1396="There's an Amazon link, but no target sales.",3,0))))</f>
        <v/>
      </c>
      <c r="P1396" s="67">
        <f>H1396+J1396+L1396+M1396+O1396</f>
        <v/>
      </c>
      <c r="Q1396" s="69">
        <f>IF(OR(H1396=0,P1396&lt;30),"Tier D (Đóng băng)",IF(P1396&gt;=85,"Tier S (Kim Cương: 85-100đ)",IF(P1396&gt;=70,"Tier A (Vàng: 70-84đ)",IF(P1396&gt;=61,"Tier B+ / Cấp A (Hot Lead: 61-69đ)",IF(P1396&gt;=50,"Tier B (Bạc: 50-60đ)","Tier C (Đồng: 30-49đ)")))))</f>
        <v/>
      </c>
      <c r="R1396" s="9" t="inlineStr">
        <is>
          <t>Khay vệ sinh chung cư (Indoor Potty) + Thảm cỏ ban công (Grass Patch) + Đồ chơi</t>
        </is>
      </c>
      <c r="S1396" s="9" t="inlineStr">
        <is>
          <t>Cấp C Chi phí thấp: Nhắn tin trực tiếp qua Fanpage Facebook/Instagram + Nuôi dưỡng nội dung</t>
        </is>
      </c>
    </row>
    <row r="1397">
      <c r="A1397" s="53" t="n">
        <v>1166</v>
      </c>
      <c r="B1397" s="12" t="inlineStr">
        <is>
          <t>dogsdeservebetter</t>
        </is>
      </c>
      <c r="C1397" s="54" t="inlineStr">
        <is>
          <t>https://www.facebook.com/dogsdeservebetter</t>
        </is>
      </c>
      <c r="D1397" s="6" t="inlineStr">
        <is>
          <t>Cần quét Bio Fanpage</t>
        </is>
      </c>
      <c r="E1397" s="53" t="inlineStr">
        <is>
          <t>09/10/2026 06:43:08</t>
        </is>
      </c>
      <c r="F1397" s="53" t="inlineStr">
        <is>
          <t>3 ngày trước</t>
        </is>
      </c>
      <c r="G1397" s="55" t="n">
        <v>3</v>
      </c>
      <c r="H1397" s="56" t="n">
        <v>28</v>
      </c>
      <c r="I1397" s="6" t="inlineStr">
        <is>
          <t>Pet Owner / Cộng đồng nuôi cún (10đ)</t>
        </is>
      </c>
      <c r="J1397" s="56" t="n">
        <v>10</v>
      </c>
      <c r="K1397" s="6" t="inlineStr">
        <is>
          <t>Chưa rõ giống (Cần quét Bio)</t>
        </is>
      </c>
      <c r="L1397" s="56" t="n">
        <v>0</v>
      </c>
      <c r="M1397" s="56" t="n">
        <v>0</v>
      </c>
      <c r="N1397" s="6" t="inlineStr">
        <is>
          <t>Amazon link not found</t>
        </is>
      </c>
      <c r="O1397" s="56">
        <f>IF(N1397="Selling pet toys + Artificial grass/Pet toilets (TARGET)",15,IF(N1397="Selling artificial grass/pet toilets (TARGET)",10,IF(N1397="Selling pet toys",7,IF(N1397="There's an Amazon link, but no target sales.",3,0))))</f>
        <v/>
      </c>
      <c r="P1397" s="65">
        <f>H1397+J1397+L1397+M1397+O1397</f>
        <v/>
      </c>
      <c r="Q1397" s="69">
        <f>IF(OR(H1397=0,P1397&lt;30),"Tier D (Đóng băng)",IF(P1397&gt;=85,"Tier S (Kim Cương: 85-100đ)",IF(P1397&gt;=70,"Tier A (Vàng: 70-84đ)",IF(P1397&gt;=61,"Tier B+ / Cấp A (Hot Lead: 61-69đ)",IF(P1397&gt;=50,"Tier B (Bạc: 50-60đ)","Tier C (Đồng: 30-49đ)")))))</f>
        <v/>
      </c>
      <c r="R1397" s="6" t="inlineStr">
        <is>
          <t>Khay vệ sinh chung cư (Indoor Potty) + Thảm cỏ ban công (Grass Patch) + Đồ chơi</t>
        </is>
      </c>
      <c r="S1397" s="6" t="inlineStr">
        <is>
          <t>Cấp C Chi phí thấp: Nhắn tin trực tiếp qua Fanpage Facebook/Instagram + Nuôi dưỡng nội dung</t>
        </is>
      </c>
    </row>
    <row r="1398">
      <c r="A1398" s="59" t="n">
        <v>2728</v>
      </c>
      <c r="B1398" s="15" t="inlineStr">
        <is>
          <t>Reptile Pet Dad Qimeng</t>
        </is>
      </c>
      <c r="C1398" s="60" t="inlineStr">
        <is>
          <t>https://www.facebook.com/ReptilePetDadQimeng</t>
        </is>
      </c>
      <c r="D1398" s="9" t="inlineStr">
        <is>
          <t>Cần quét Bio Fanpage</t>
        </is>
      </c>
      <c r="E1398" s="59" t="inlineStr">
        <is>
          <t>09/10/2026 06:01:18</t>
        </is>
      </c>
      <c r="F1398" s="59" t="inlineStr">
        <is>
          <t>3 ngày trước</t>
        </is>
      </c>
      <c r="G1398" s="61" t="n">
        <v>3</v>
      </c>
      <c r="H1398" s="62" t="n">
        <v>28</v>
      </c>
      <c r="I1398" s="9" t="inlineStr">
        <is>
          <t>Pet Owner / Cộng đồng nuôi cún (10đ)</t>
        </is>
      </c>
      <c r="J1398" s="62" t="n">
        <v>10</v>
      </c>
      <c r="K1398" s="9" t="inlineStr">
        <is>
          <t>Chưa rõ giống (Cần quét Bio)</t>
        </is>
      </c>
      <c r="L1398" s="62" t="n">
        <v>0</v>
      </c>
      <c r="M1398" s="62" t="n">
        <v>0</v>
      </c>
      <c r="N1398" s="9" t="inlineStr">
        <is>
          <t>Amazon link not found</t>
        </is>
      </c>
      <c r="O1398" s="62">
        <f>IF(N1398="Selling pet toys + Artificial grass/Pet toilets (TARGET)",15,IF(N1398="Selling artificial grass/pet toilets (TARGET)",10,IF(N1398="Selling pet toys",7,IF(N1398="There's an Amazon link, but no target sales.",3,0))))</f>
        <v/>
      </c>
      <c r="P1398" s="67">
        <f>H1398+J1398+L1398+M1398+O1398</f>
        <v/>
      </c>
      <c r="Q1398" s="69">
        <f>IF(OR(H1398=0,P1398&lt;30),"Tier D (Đóng băng)",IF(P1398&gt;=85,"Tier S (Kim Cương: 85-100đ)",IF(P1398&gt;=70,"Tier A (Vàng: 70-84đ)",IF(P1398&gt;=61,"Tier B+ / Cấp A (Hot Lead: 61-69đ)",IF(P1398&gt;=50,"Tier B (Bạc: 50-60đ)","Tier C (Đồng: 30-49đ)")))))</f>
        <v/>
      </c>
      <c r="R1398" s="9" t="inlineStr">
        <is>
          <t>Khay vệ sinh chung cư (Indoor Potty) + Thảm cỏ ban công (Grass Patch) + Đồ chơi</t>
        </is>
      </c>
      <c r="S1398" s="9" t="inlineStr">
        <is>
          <t>Cấp C Chi phí thấp: Nhắn tin trực tiếp qua Fanpage Facebook/Instagram + Nuôi dưỡng nội dung</t>
        </is>
      </c>
    </row>
    <row r="1399">
      <c r="A1399" s="53" t="n">
        <v>906</v>
      </c>
      <c r="B1399" s="12" t="inlineStr">
        <is>
          <t>Clarityk9LLC</t>
        </is>
      </c>
      <c r="C1399" s="54" t="inlineStr">
        <is>
          <t>https://www.facebook.com/Clarityk9LLC</t>
        </is>
      </c>
      <c r="D1399" s="6" t="inlineStr">
        <is>
          <t>Cần quét Bio Fanpage</t>
        </is>
      </c>
      <c r="E1399" s="53" t="inlineStr">
        <is>
          <t>09/10/2026 04:16:21</t>
        </is>
      </c>
      <c r="F1399" s="53" t="inlineStr">
        <is>
          <t>3 ngày trước</t>
        </is>
      </c>
      <c r="G1399" s="55" t="n">
        <v>3</v>
      </c>
      <c r="H1399" s="56" t="n">
        <v>28</v>
      </c>
      <c r="I1399" s="6" t="inlineStr">
        <is>
          <t>Pet Owner / Cộng đồng nuôi cún (10đ)</t>
        </is>
      </c>
      <c r="J1399" s="56" t="n">
        <v>10</v>
      </c>
      <c r="K1399" s="6" t="inlineStr">
        <is>
          <t>Chưa rõ giống (Cần quét Bio)</t>
        </is>
      </c>
      <c r="L1399" s="56" t="n">
        <v>0</v>
      </c>
      <c r="M1399" s="56" t="n">
        <v>0</v>
      </c>
      <c r="N1399" s="6" t="inlineStr">
        <is>
          <t>Amazon link not found</t>
        </is>
      </c>
      <c r="O1399" s="56">
        <f>IF(N1399="Selling pet toys + Artificial grass/Pet toilets (TARGET)",15,IF(N1399="Selling artificial grass/pet toilets (TARGET)",10,IF(N1399="Selling pet toys",7,IF(N1399="There's an Amazon link, but no target sales.",3,0))))</f>
        <v/>
      </c>
      <c r="P1399" s="65">
        <f>H1399+J1399+L1399+M1399+O1399</f>
        <v/>
      </c>
      <c r="Q1399" s="69">
        <f>IF(OR(H1399=0,P1399&lt;30),"Tier D (Đóng băng)",IF(P1399&gt;=85,"Tier S (Kim Cương: 85-100đ)",IF(P1399&gt;=70,"Tier A (Vàng: 70-84đ)",IF(P1399&gt;=61,"Tier B+ / Cấp A (Hot Lead: 61-69đ)",IF(P1399&gt;=50,"Tier B (Bạc: 50-60đ)","Tier C (Đồng: 30-49đ)")))))</f>
        <v/>
      </c>
      <c r="R1399" s="6" t="inlineStr">
        <is>
          <t>Khay vệ sinh chung cư (Indoor Potty) + Thảm cỏ ban công (Grass Patch) + Đồ chơi</t>
        </is>
      </c>
      <c r="S1399" s="6" t="inlineStr">
        <is>
          <t>Cấp C Chi phí thấp: Nhắn tin trực tiếp qua Fanpage Facebook/Instagram + Nuôi dưỡng nội dung</t>
        </is>
      </c>
    </row>
    <row r="1400">
      <c r="A1400" s="59" t="n">
        <v>333</v>
      </c>
      <c r="B1400" s="15" t="inlineStr">
        <is>
          <t>ACANA Pet Foods</t>
        </is>
      </c>
      <c r="C1400" s="60" t="inlineStr">
        <is>
          <t>https://www.facebook.com/ACANAPetFoods</t>
        </is>
      </c>
      <c r="D1400" s="9" t="inlineStr">
        <is>
          <t>Cần quét Bio Fanpage</t>
        </is>
      </c>
      <c r="E1400" s="59" t="inlineStr">
        <is>
          <t>09/10/2026 04:08:53</t>
        </is>
      </c>
      <c r="F1400" s="59" t="inlineStr">
        <is>
          <t>3 ngày trước</t>
        </is>
      </c>
      <c r="G1400" s="61" t="n">
        <v>3</v>
      </c>
      <c r="H1400" s="62" t="n">
        <v>28</v>
      </c>
      <c r="I1400" s="9" t="inlineStr">
        <is>
          <t>Pet Owner / Cộng đồng nuôi cún (10đ)</t>
        </is>
      </c>
      <c r="J1400" s="62" t="n">
        <v>10</v>
      </c>
      <c r="K1400" s="9" t="inlineStr">
        <is>
          <t>Chưa rõ giống (Cần quét Bio)</t>
        </is>
      </c>
      <c r="L1400" s="62" t="n">
        <v>0</v>
      </c>
      <c r="M1400" s="62" t="n">
        <v>0</v>
      </c>
      <c r="N1400" s="9" t="inlineStr">
        <is>
          <t>Amazon link not found</t>
        </is>
      </c>
      <c r="O1400" s="62">
        <f>IF(N1400="Selling pet toys + Artificial grass/Pet toilets (TARGET)",15,IF(N1400="Selling artificial grass/pet toilets (TARGET)",10,IF(N1400="Selling pet toys",7,IF(N1400="There's an Amazon link, but no target sales.",3,0))))</f>
        <v/>
      </c>
      <c r="P1400" s="67">
        <f>H1400+J1400+L1400+M1400+O1400</f>
        <v/>
      </c>
      <c r="Q1400" s="69">
        <f>IF(OR(H1400=0,P1400&lt;30),"Tier D (Đóng băng)",IF(P1400&gt;=85,"Tier S (Kim Cương: 85-100đ)",IF(P1400&gt;=70,"Tier A (Vàng: 70-84đ)",IF(P1400&gt;=61,"Tier B+ / Cấp A (Hot Lead: 61-69đ)",IF(P1400&gt;=50,"Tier B (Bạc: 50-60đ)","Tier C (Đồng: 30-49đ)")))))</f>
        <v/>
      </c>
      <c r="R1400" s="9" t="inlineStr">
        <is>
          <t>Khay vệ sinh chung cư (Indoor Potty) + Thảm cỏ ban công (Grass Patch) + Đồ chơi</t>
        </is>
      </c>
      <c r="S1400" s="9" t="inlineStr">
        <is>
          <t>Cấp C Chi phí thấp: Nhắn tin trực tiếp qua Fanpage Facebook/Instagram + Nuôi dưỡng nội dung</t>
        </is>
      </c>
    </row>
    <row r="1401">
      <c r="A1401" s="53" t="n">
        <v>1639</v>
      </c>
      <c r="B1401" s="12" t="inlineStr">
        <is>
          <t>Heels &amp; Hedges English Bulldogs</t>
        </is>
      </c>
      <c r="C1401" s="54" t="inlineStr">
        <is>
          <t>https://www.facebook.com/profile.php?id=61579676722984</t>
        </is>
      </c>
      <c r="D1401" s="6" t="inlineStr">
        <is>
          <t>Cần quét Bio Fanpage</t>
        </is>
      </c>
      <c r="E1401" s="53" t="inlineStr">
        <is>
          <t>13/09/2026 01:45:18</t>
        </is>
      </c>
      <c r="F1401" s="53" t="inlineStr">
        <is>
          <t>1 tháng trước</t>
        </is>
      </c>
      <c r="G1401" s="55" t="n">
        <v>30</v>
      </c>
      <c r="H1401" s="56" t="n">
        <v>0</v>
      </c>
      <c r="I1401" s="6" t="inlineStr">
        <is>
          <t>Dog Breeder / Trại chó chuyên nghiệp (28-30đ)</t>
        </is>
      </c>
      <c r="J1401" s="56" t="n">
        <v>28</v>
      </c>
      <c r="K1401" s="6" t="inlineStr">
        <is>
          <t>English Bulldog</t>
        </is>
      </c>
      <c r="L1401" s="56" t="n">
        <v>10</v>
      </c>
      <c r="M1401" s="56" t="n">
        <v>0</v>
      </c>
      <c r="N1401" s="6" t="inlineStr">
        <is>
          <t>Amazon link not found</t>
        </is>
      </c>
      <c r="O1401" s="56">
        <f>IF(N1401="Selling pet toys + Artificial grass/Pet toilets (TARGET)",15,IF(N1401="Selling artificial grass/pet toilets (TARGET)",10,IF(N1401="Selling pet toys",7,IF(N1401="There's an Amazon link, but no target sales.",3,0))))</f>
        <v/>
      </c>
      <c r="P1401" s="65">
        <f>H1401+J1401+L1401+M1401+O1401</f>
        <v/>
      </c>
      <c r="Q1401" s="68">
        <f>IF(OR(H1401=0,P1401&lt;30),"Tier D (Đóng băng)",IF(P1401&gt;=85,"Tier S (Kim Cương: 85-100đ)",IF(P1401&gt;=70,"Tier A (Vàng: 70-84đ)",IF(P1401&gt;=61,"Tier B+ / Cấp A (Hot Lead: 61-69đ)",IF(P1401&gt;=50,"Tier B (Bạc: 50-60đ)","Tier C (Đồng: 30-49đ)")))))</f>
        <v/>
      </c>
      <c r="R1401" s="6" t="inlineStr">
        <is>
          <t>Trọn gói Take-Home Starter Kit V2/V3 (Cỏ nhân tạo + Khay Potty + Đồ chơi Teething/Snuggle)</t>
        </is>
      </c>
      <c r="S1401" s="6" t="inlineStr">
        <is>
          <t>Đóng băng tương tác (&gt;30 ngày): Lưu trữ chờ kích hoạt lại, không tốn tài nguyên Sales</t>
        </is>
      </c>
    </row>
    <row r="1402">
      <c r="A1402" s="59" t="n">
        <v>3252</v>
      </c>
      <c r="B1402" s="15" t="inlineStr">
        <is>
          <t>Tumbling Creek Bulldogges</t>
        </is>
      </c>
      <c r="C1402" s="60" t="inlineStr">
        <is>
          <t>https://www.facebook.com/profile.php?id=100050645477316</t>
        </is>
      </c>
      <c r="D1402" s="9" t="inlineStr">
        <is>
          <t>Cần quét Bio Fanpage</t>
        </is>
      </c>
      <c r="E1402" s="59" t="inlineStr">
        <is>
          <t>07/09/2026 19:36:11</t>
        </is>
      </c>
      <c r="F1402" s="59" t="inlineStr">
        <is>
          <t>1 tháng trước</t>
        </is>
      </c>
      <c r="G1402" s="61" t="n">
        <v>30</v>
      </c>
      <c r="H1402" s="62" t="n">
        <v>0</v>
      </c>
      <c r="I1402" s="9" t="inlineStr">
        <is>
          <t>Dog Breeder / Trại chó chuyên nghiệp (28-30đ)</t>
        </is>
      </c>
      <c r="J1402" s="62" t="n">
        <v>28</v>
      </c>
      <c r="K1402" s="9" t="inlineStr">
        <is>
          <t>English Bulldog</t>
        </is>
      </c>
      <c r="L1402" s="62" t="n">
        <v>10</v>
      </c>
      <c r="M1402" s="62" t="n">
        <v>0</v>
      </c>
      <c r="N1402" s="9" t="inlineStr">
        <is>
          <t>Amazon link not found</t>
        </is>
      </c>
      <c r="O1402" s="62">
        <f>IF(N1402="Selling pet toys + Artificial grass/Pet toilets (TARGET)",15,IF(N1402="Selling artificial grass/pet toilets (TARGET)",10,IF(N1402="Selling pet toys",7,IF(N1402="There's an Amazon link, but no target sales.",3,0))))</f>
        <v/>
      </c>
      <c r="P1402" s="67">
        <f>H1402+J1402+L1402+M1402+O1402</f>
        <v/>
      </c>
      <c r="Q1402" s="68">
        <f>IF(OR(H1402=0,P1402&lt;30),"Tier D (Đóng băng)",IF(P1402&gt;=85,"Tier S (Kim Cương: 85-100đ)",IF(P1402&gt;=70,"Tier A (Vàng: 70-84đ)",IF(P1402&gt;=61,"Tier B+ / Cấp A (Hot Lead: 61-69đ)",IF(P1402&gt;=50,"Tier B (Bạc: 50-60đ)","Tier C (Đồng: 30-49đ)")))))</f>
        <v/>
      </c>
      <c r="R1402" s="9" t="inlineStr">
        <is>
          <t>Trọn gói Take-Home Starter Kit V2/V3 (Cỏ nhân tạo + Khay Potty + Đồ chơi Teething/Snuggle)</t>
        </is>
      </c>
      <c r="S1402" s="9" t="inlineStr">
        <is>
          <t>Đóng băng tương tác (&gt;30 ngày): Lưu trữ chờ kích hoạt lại, không tốn tài nguyên Sales</t>
        </is>
      </c>
    </row>
    <row r="1403">
      <c r="A1403" s="53" t="n">
        <v>626</v>
      </c>
      <c r="B1403" s="12" t="inlineStr">
        <is>
          <t>Belly-Roll Bulldogs</t>
        </is>
      </c>
      <c r="C1403" s="54" t="inlineStr">
        <is>
          <t>https://www.facebook.com/profile.php?id=61565517291069</t>
        </is>
      </c>
      <c r="D1403" s="6" t="inlineStr">
        <is>
          <t>Cần quét Bio Fanpage</t>
        </is>
      </c>
      <c r="E1403" s="53" t="inlineStr">
        <is>
          <t>02/09/2026 13:33:53</t>
        </is>
      </c>
      <c r="F1403" s="53" t="inlineStr">
        <is>
          <t>1 tháng trước</t>
        </is>
      </c>
      <c r="G1403" s="55" t="n">
        <v>30</v>
      </c>
      <c r="H1403" s="56" t="n">
        <v>0</v>
      </c>
      <c r="I1403" s="6" t="inlineStr">
        <is>
          <t>Dog Breeder / Trại chó chuyên nghiệp (28-30đ)</t>
        </is>
      </c>
      <c r="J1403" s="56" t="n">
        <v>28</v>
      </c>
      <c r="K1403" s="6" t="inlineStr">
        <is>
          <t>English Bulldog</t>
        </is>
      </c>
      <c r="L1403" s="56" t="n">
        <v>10</v>
      </c>
      <c r="M1403" s="56" t="n">
        <v>0</v>
      </c>
      <c r="N1403" s="6" t="inlineStr">
        <is>
          <t>Amazon link not found</t>
        </is>
      </c>
      <c r="O1403" s="56">
        <f>IF(N1403="Selling pet toys + Artificial grass/Pet toilets (TARGET)",15,IF(N1403="Selling artificial grass/pet toilets (TARGET)",10,IF(N1403="Selling pet toys",7,IF(N1403="There's an Amazon link, but no target sales.",3,0))))</f>
        <v/>
      </c>
      <c r="P1403" s="65">
        <f>H1403+J1403+L1403+M1403+O1403</f>
        <v/>
      </c>
      <c r="Q1403" s="68">
        <f>IF(OR(H1403=0,P1403&lt;30),"Tier D (Đóng băng)",IF(P1403&gt;=85,"Tier S (Kim Cương: 85-100đ)",IF(P1403&gt;=70,"Tier A (Vàng: 70-84đ)",IF(P1403&gt;=61,"Tier B+ / Cấp A (Hot Lead: 61-69đ)",IF(P1403&gt;=50,"Tier B (Bạc: 50-60đ)","Tier C (Đồng: 30-49đ)")))))</f>
        <v/>
      </c>
      <c r="R1403" s="6" t="inlineStr">
        <is>
          <t>Trọn gói Take-Home Starter Kit V2/V3 (Cỏ nhân tạo + Khay Potty + Đồ chơi Teething/Snuggle)</t>
        </is>
      </c>
      <c r="S1403" s="6" t="inlineStr">
        <is>
          <t>Đóng băng tương tác (&gt;30 ngày): Lưu trữ chờ kích hoạt lại, không tốn tài nguyên Sales</t>
        </is>
      </c>
    </row>
    <row r="1404">
      <c r="A1404" s="59" t="n">
        <v>2959</v>
      </c>
      <c r="B1404" s="15" t="inlineStr">
        <is>
          <t>Southshore Frenchie</t>
        </is>
      </c>
      <c r="C1404" s="60" t="inlineStr">
        <is>
          <t>https://www.facebook.com/SouthshoreFrenchie</t>
        </is>
      </c>
      <c r="D1404" s="9" t="inlineStr">
        <is>
          <t>Cần quét Bio Fanpage</t>
        </is>
      </c>
      <c r="E1404" s="59" t="inlineStr">
        <is>
          <t>02/09/2026 01:25:50</t>
        </is>
      </c>
      <c r="F1404" s="59" t="inlineStr">
        <is>
          <t>1 tháng trước</t>
        </is>
      </c>
      <c r="G1404" s="61" t="n">
        <v>30</v>
      </c>
      <c r="H1404" s="62" t="n">
        <v>0</v>
      </c>
      <c r="I1404" s="9" t="inlineStr">
        <is>
          <t>Dog Breeder / Trại nhân giống (28-30đ)</t>
        </is>
      </c>
      <c r="J1404" s="62" t="n">
        <v>28</v>
      </c>
      <c r="K1404" s="9" t="inlineStr">
        <is>
          <t>French Bulldog</t>
        </is>
      </c>
      <c r="L1404" s="62" t="n">
        <v>10</v>
      </c>
      <c r="M1404" s="62" t="n">
        <v>0</v>
      </c>
      <c r="N1404" s="9" t="inlineStr">
        <is>
          <t>Amazon link not found</t>
        </is>
      </c>
      <c r="O1404" s="62">
        <f>IF(N1404="Selling pet toys + Artificial grass/Pet toilets (TARGET)",15,IF(N1404="Selling artificial grass/pet toilets (TARGET)",10,IF(N1404="Selling pet toys",7,IF(N1404="There's an Amazon link, but no target sales.",3,0))))</f>
        <v/>
      </c>
      <c r="P1404" s="67">
        <f>H1404+J1404+L1404+M1404+O1404</f>
        <v/>
      </c>
      <c r="Q1404" s="68">
        <f>IF(OR(H1404=0,P1404&lt;30),"Tier D (Đóng băng)",IF(P1404&gt;=85,"Tier S (Kim Cương: 85-100đ)",IF(P1404&gt;=70,"Tier A (Vàng: 70-84đ)",IF(P1404&gt;=61,"Tier B+ / Cấp A (Hot Lead: 61-69đ)",IF(P1404&gt;=50,"Tier B (Bạc: 50-60đ)","Tier C (Đồng: 30-49đ)")))))</f>
        <v/>
      </c>
      <c r="R1404" s="9" t="inlineStr">
        <is>
          <t>Trọn gói Take-Home Starter Kit V2/V3 (Cỏ nhân tạo + Khay Potty + Đồ chơi cún con)</t>
        </is>
      </c>
      <c r="S1404" s="9" t="inlineStr">
        <is>
          <t>Đóng băng tương tác (&gt;30 ngày): Lưu trữ chờ kích hoạt lại, không tốn tài nguyên Sales</t>
        </is>
      </c>
    </row>
    <row r="1405">
      <c r="A1405" s="53" t="n">
        <v>756</v>
      </c>
      <c r="B1405" s="12" t="inlineStr">
        <is>
          <t>Brickhouse Frenchies</t>
        </is>
      </c>
      <c r="C1405" s="54" t="inlineStr">
        <is>
          <t>https://www.facebook.com/brickhousefrenchiesmt</t>
        </is>
      </c>
      <c r="D1405" s="6" t="inlineStr">
        <is>
          <t>Cần quét Bio Fanpage</t>
        </is>
      </c>
      <c r="E1405" s="53" t="inlineStr">
        <is>
          <t>01/09/2026 00:12:41</t>
        </is>
      </c>
      <c r="F1405" s="53" t="inlineStr">
        <is>
          <t>1 tháng trước</t>
        </is>
      </c>
      <c r="G1405" s="55" t="n">
        <v>30</v>
      </c>
      <c r="H1405" s="56" t="n">
        <v>0</v>
      </c>
      <c r="I1405" s="6" t="inlineStr">
        <is>
          <t>Dog Breeder / Trại chó chuyên nghiệp (28-30đ)</t>
        </is>
      </c>
      <c r="J1405" s="56" t="n">
        <v>28</v>
      </c>
      <c r="K1405" s="6" t="inlineStr">
        <is>
          <t>French Bulldog</t>
        </is>
      </c>
      <c r="L1405" s="56" t="n">
        <v>10</v>
      </c>
      <c r="M1405" s="56" t="n">
        <v>0</v>
      </c>
      <c r="N1405" s="6" t="inlineStr">
        <is>
          <t>Amazon link not found</t>
        </is>
      </c>
      <c r="O1405" s="56">
        <f>IF(N1405="Selling pet toys + Artificial grass/Pet toilets (TARGET)",15,IF(N1405="Selling artificial grass/pet toilets (TARGET)",10,IF(N1405="Selling pet toys",7,IF(N1405="There's an Amazon link, but no target sales.",3,0))))</f>
        <v/>
      </c>
      <c r="P1405" s="65">
        <f>H1405+J1405+L1405+M1405+O1405</f>
        <v/>
      </c>
      <c r="Q1405" s="68">
        <f>IF(OR(H1405=0,P1405&lt;30),"Tier D (Đóng băng)",IF(P1405&gt;=85,"Tier S (Kim Cương: 85-100đ)",IF(P1405&gt;=70,"Tier A (Vàng: 70-84đ)",IF(P1405&gt;=61,"Tier B+ / Cấp A (Hot Lead: 61-69đ)",IF(P1405&gt;=50,"Tier B (Bạc: 50-60đ)","Tier C (Đồng: 30-49đ)")))))</f>
        <v/>
      </c>
      <c r="R1405" s="6" t="inlineStr">
        <is>
          <t>Trọn gói Take-Home Starter Kit V2/V3 (Cỏ nhân tạo + Khay Potty + Đồ chơi Teething/Snuggle)</t>
        </is>
      </c>
      <c r="S1405" s="6" t="inlineStr">
        <is>
          <t>Đóng băng tương tác (&gt;30 ngày): Lưu trữ chờ kích hoạt lại, không tốn tài nguyên Sales</t>
        </is>
      </c>
    </row>
    <row r="1406">
      <c r="A1406" s="59" t="n">
        <v>3116</v>
      </c>
      <c r="B1406" s="15" t="inlineStr">
        <is>
          <t>The Family Frenchie</t>
        </is>
      </c>
      <c r="C1406" s="60" t="inlineStr">
        <is>
          <t>https://www.facebook.com/profile.php?id=100064515452891</t>
        </is>
      </c>
      <c r="D1406" s="9" t="inlineStr">
        <is>
          <t>Cần quét Bio Fanpage</t>
        </is>
      </c>
      <c r="E1406" s="59" t="inlineStr">
        <is>
          <t>26/08/2026 20:09:21</t>
        </is>
      </c>
      <c r="F1406" s="59" t="inlineStr">
        <is>
          <t>1 tháng trước</t>
        </is>
      </c>
      <c r="G1406" s="61" t="n">
        <v>30</v>
      </c>
      <c r="H1406" s="62" t="n">
        <v>0</v>
      </c>
      <c r="I1406" s="9" t="inlineStr">
        <is>
          <t>Dog Breeder / Trại nhân giống (28-30đ)</t>
        </is>
      </c>
      <c r="J1406" s="62" t="n">
        <v>28</v>
      </c>
      <c r="K1406" s="9" t="inlineStr">
        <is>
          <t>French Bulldog</t>
        </is>
      </c>
      <c r="L1406" s="62" t="n">
        <v>10</v>
      </c>
      <c r="M1406" s="62" t="n">
        <v>0</v>
      </c>
      <c r="N1406" s="9" t="inlineStr">
        <is>
          <t>Amazon link not found</t>
        </is>
      </c>
      <c r="O1406" s="62">
        <f>IF(N1406="Selling pet toys + Artificial grass/Pet toilets (TARGET)",15,IF(N1406="Selling artificial grass/pet toilets (TARGET)",10,IF(N1406="Selling pet toys",7,IF(N1406="There's an Amazon link, but no target sales.",3,0))))</f>
        <v/>
      </c>
      <c r="P1406" s="67">
        <f>H1406+J1406+L1406+M1406+O1406</f>
        <v/>
      </c>
      <c r="Q1406" s="68">
        <f>IF(OR(H1406=0,P1406&lt;30),"Tier D (Đóng băng)",IF(P1406&gt;=85,"Tier S (Kim Cương: 85-100đ)",IF(P1406&gt;=70,"Tier A (Vàng: 70-84đ)",IF(P1406&gt;=61,"Tier B+ / Cấp A (Hot Lead: 61-69đ)",IF(P1406&gt;=50,"Tier B (Bạc: 50-60đ)","Tier C (Đồng: 30-49đ)")))))</f>
        <v/>
      </c>
      <c r="R1406" s="9" t="inlineStr">
        <is>
          <t>Trọn gói Take-Home Starter Kit V2/V3 (Cỏ nhân tạo + Khay Potty + Đồ chơi cún con)</t>
        </is>
      </c>
      <c r="S1406" s="9" t="inlineStr">
        <is>
          <t>Đóng băng tương tác (&gt;30 ngày): Lưu trữ chờ kích hoạt lại, không tốn tài nguyên Sales</t>
        </is>
      </c>
    </row>
    <row r="1407">
      <c r="A1407" s="53" t="n">
        <v>2953</v>
      </c>
      <c r="B1407" s="12" t="inlineStr">
        <is>
          <t>Southern Frenchies And Sons</t>
        </is>
      </c>
      <c r="C1407" s="54" t="inlineStr">
        <is>
          <t>https://www.facebook.com/southernfrenchiesandsons</t>
        </is>
      </c>
      <c r="D1407" s="6" t="inlineStr">
        <is>
          <t>Cần quét Bio Fanpage</t>
        </is>
      </c>
      <c r="E1407" s="53" t="inlineStr">
        <is>
          <t>26/08/2026 07:10:37</t>
        </is>
      </c>
      <c r="F1407" s="53" t="inlineStr">
        <is>
          <t>1 tháng trước</t>
        </is>
      </c>
      <c r="G1407" s="55" t="n">
        <v>30</v>
      </c>
      <c r="H1407" s="56" t="n">
        <v>0</v>
      </c>
      <c r="I1407" s="6" t="inlineStr">
        <is>
          <t>Dog Breeder / Trại chó chuyên nghiệp (28-30đ)</t>
        </is>
      </c>
      <c r="J1407" s="56" t="n">
        <v>28</v>
      </c>
      <c r="K1407" s="6" t="inlineStr">
        <is>
          <t>French Bulldog</t>
        </is>
      </c>
      <c r="L1407" s="56" t="n">
        <v>10</v>
      </c>
      <c r="M1407" s="56" t="n">
        <v>0</v>
      </c>
      <c r="N1407" s="6" t="inlineStr">
        <is>
          <t>Amazon link not found</t>
        </is>
      </c>
      <c r="O1407" s="56">
        <f>IF(N1407="Selling pet toys + Artificial grass/Pet toilets (TARGET)",15,IF(N1407="Selling artificial grass/pet toilets (TARGET)",10,IF(N1407="Selling pet toys",7,IF(N1407="There's an Amazon link, but no target sales.",3,0))))</f>
        <v/>
      </c>
      <c r="P1407" s="65">
        <f>H1407+J1407+L1407+M1407+O1407</f>
        <v/>
      </c>
      <c r="Q1407" s="68">
        <f>IF(OR(H1407=0,P1407&lt;30),"Tier D (Đóng băng)",IF(P1407&gt;=85,"Tier S (Kim Cương: 85-100đ)",IF(P1407&gt;=70,"Tier A (Vàng: 70-84đ)",IF(P1407&gt;=61,"Tier B+ / Cấp A (Hot Lead: 61-69đ)",IF(P1407&gt;=50,"Tier B (Bạc: 50-60đ)","Tier C (Đồng: 30-49đ)")))))</f>
        <v/>
      </c>
      <c r="R1407" s="6" t="inlineStr">
        <is>
          <t>Trọn gói Take-Home Starter Kit V2/V3 (Cỏ nhân tạo + Khay Potty + Đồ chơi Teething/Snuggle)</t>
        </is>
      </c>
      <c r="S1407" s="6" t="inlineStr">
        <is>
          <t>Đóng băng tương tác (&gt;30 ngày): Lưu trữ chờ kích hoạt lại, không tốn tài nguyên Sales</t>
        </is>
      </c>
    </row>
    <row r="1408">
      <c r="A1408" s="59" t="n">
        <v>3430</v>
      </c>
      <c r="B1408" s="15" t="inlineStr">
        <is>
          <t>Winston The English Bulldog</t>
        </is>
      </c>
      <c r="C1408" s="60" t="inlineStr">
        <is>
          <t>https://www.facebook.com/profile.php?id=61592022564622</t>
        </is>
      </c>
      <c r="D1408" s="9" t="inlineStr">
        <is>
          <t>Cần quét Bio Fanpage</t>
        </is>
      </c>
      <c r="E1408" s="59" t="inlineStr">
        <is>
          <t>25/08/2026 02:00:48</t>
        </is>
      </c>
      <c r="F1408" s="59" t="inlineStr">
        <is>
          <t>1 tháng trước</t>
        </is>
      </c>
      <c r="G1408" s="61" t="n">
        <v>30</v>
      </c>
      <c r="H1408" s="62" t="n">
        <v>0</v>
      </c>
      <c r="I1408" s="9" t="inlineStr">
        <is>
          <t>Dog Breeder / Trại nhân giống (28-30đ)</t>
        </is>
      </c>
      <c r="J1408" s="62" t="n">
        <v>28</v>
      </c>
      <c r="K1408" s="9" t="inlineStr">
        <is>
          <t>English Bulldog</t>
        </is>
      </c>
      <c r="L1408" s="62" t="n">
        <v>10</v>
      </c>
      <c r="M1408" s="62" t="n">
        <v>0</v>
      </c>
      <c r="N1408" s="9" t="inlineStr">
        <is>
          <t>Amazon link not found</t>
        </is>
      </c>
      <c r="O1408" s="62">
        <f>IF(N1408="Selling pet toys + Artificial grass/Pet toilets (TARGET)",15,IF(N1408="Selling artificial grass/pet toilets (TARGET)",10,IF(N1408="Selling pet toys",7,IF(N1408="There's an Amazon link, but no target sales.",3,0))))</f>
        <v/>
      </c>
      <c r="P1408" s="67">
        <f>H1408+J1408+L1408+M1408+O1408</f>
        <v/>
      </c>
      <c r="Q1408" s="68">
        <f>IF(OR(H1408=0,P1408&lt;30),"Tier D (Đóng băng)",IF(P1408&gt;=85,"Tier S (Kim Cương: 85-100đ)",IF(P1408&gt;=70,"Tier A (Vàng: 70-84đ)",IF(P1408&gt;=61,"Tier B+ / Cấp A (Hot Lead: 61-69đ)",IF(P1408&gt;=50,"Tier B (Bạc: 50-60đ)","Tier C (Đồng: 30-49đ)")))))</f>
        <v/>
      </c>
      <c r="R1408" s="9" t="inlineStr">
        <is>
          <t>Trọn gói Take-Home Starter Kit V2/V3 (Cỏ nhân tạo + Khay Potty + Đồ chơi cún con)</t>
        </is>
      </c>
      <c r="S1408" s="9" t="inlineStr">
        <is>
          <t>Đóng băng tương tác (&gt;30 ngày): Lưu trữ chờ kích hoạt lại, không tốn tài nguyên Sales</t>
        </is>
      </c>
    </row>
    <row r="1409">
      <c r="A1409" s="53" t="n">
        <v>1212</v>
      </c>
      <c r="B1409" s="12" t="inlineStr">
        <is>
          <t>Dorman’s Legacy Bullies</t>
        </is>
      </c>
      <c r="C1409" s="54" t="inlineStr">
        <is>
          <t>https://www.facebook.com/profile.php?id=61577143373204</t>
        </is>
      </c>
      <c r="D1409" s="6" t="inlineStr">
        <is>
          <t>Cần quét Bio Fanpage</t>
        </is>
      </c>
      <c r="E1409" s="53" t="inlineStr">
        <is>
          <t>20/08/2026 22:20:57</t>
        </is>
      </c>
      <c r="F1409" s="53" t="inlineStr">
        <is>
          <t>1 tháng trước</t>
        </is>
      </c>
      <c r="G1409" s="55" t="n">
        <v>30</v>
      </c>
      <c r="H1409" s="56" t="n">
        <v>0</v>
      </c>
      <c r="I1409" s="6" t="inlineStr">
        <is>
          <t>Dog Breeder / Trại chó chuyên nghiệp (28-30đ)</t>
        </is>
      </c>
      <c r="J1409" s="56" t="n">
        <v>28</v>
      </c>
      <c r="K1409" s="6" t="inlineStr">
        <is>
          <t>American Bully / Bully</t>
        </is>
      </c>
      <c r="L1409" s="56" t="n">
        <v>10</v>
      </c>
      <c r="M1409" s="56" t="n">
        <v>0</v>
      </c>
      <c r="N1409" s="6" t="inlineStr">
        <is>
          <t>Amazon link not found</t>
        </is>
      </c>
      <c r="O1409" s="56">
        <f>IF(N1409="Selling pet toys + Artificial grass/Pet toilets (TARGET)",15,IF(N1409="Selling artificial grass/pet toilets (TARGET)",10,IF(N1409="Selling pet toys",7,IF(N1409="There's an Amazon link, but no target sales.",3,0))))</f>
        <v/>
      </c>
      <c r="P1409" s="65">
        <f>H1409+J1409+L1409+M1409+O1409</f>
        <v/>
      </c>
      <c r="Q1409" s="68">
        <f>IF(OR(H1409=0,P1409&lt;30),"Tier D (Đóng băng)",IF(P1409&gt;=85,"Tier S (Kim Cương: 85-100đ)",IF(P1409&gt;=70,"Tier A (Vàng: 70-84đ)",IF(P1409&gt;=61,"Tier B+ / Cấp A (Hot Lead: 61-69đ)",IF(P1409&gt;=50,"Tier B (Bạc: 50-60đ)","Tier C (Đồng: 30-49đ)")))))</f>
        <v/>
      </c>
      <c r="R1409" s="6" t="inlineStr">
        <is>
          <t>Trọn gói Take-Home Starter Kit V2/V3 (Cỏ nhân tạo + Khay Potty + Đồ chơi Teething/Snuggle)</t>
        </is>
      </c>
      <c r="S1409" s="6" t="inlineStr">
        <is>
          <t>Đóng băng tương tác (&gt;30 ngày): Lưu trữ chờ kích hoạt lại, không tốn tài nguyên Sales</t>
        </is>
      </c>
    </row>
    <row r="1410">
      <c r="A1410" s="59" t="n">
        <v>430</v>
      </c>
      <c r="B1410" s="15" t="inlineStr">
        <is>
          <t>Anderson Bulldogges</t>
        </is>
      </c>
      <c r="C1410" s="60" t="inlineStr">
        <is>
          <t>https://www.facebook.com/AndersonOEB</t>
        </is>
      </c>
      <c r="D1410" s="9" t="inlineStr">
        <is>
          <t>Cần quét Bio Fanpage</t>
        </is>
      </c>
      <c r="E1410" s="59" t="inlineStr">
        <is>
          <t>16/08/2026 22:21:36</t>
        </is>
      </c>
      <c r="F1410" s="59" t="inlineStr">
        <is>
          <t>1 tháng trước</t>
        </is>
      </c>
      <c r="G1410" s="61" t="n">
        <v>30</v>
      </c>
      <c r="H1410" s="62" t="n">
        <v>0</v>
      </c>
      <c r="I1410" s="9" t="inlineStr">
        <is>
          <t>Dog Breeder / Trại chó chuyên nghiệp (28-30đ)</t>
        </is>
      </c>
      <c r="J1410" s="62" t="n">
        <v>28</v>
      </c>
      <c r="K1410" s="9" t="inlineStr">
        <is>
          <t>English Bulldog</t>
        </is>
      </c>
      <c r="L1410" s="62" t="n">
        <v>10</v>
      </c>
      <c r="M1410" s="62" t="n">
        <v>0</v>
      </c>
      <c r="N1410" s="9" t="inlineStr">
        <is>
          <t>Amazon link not found</t>
        </is>
      </c>
      <c r="O1410" s="62">
        <f>IF(N1410="Selling pet toys + Artificial grass/Pet toilets (TARGET)",15,IF(N1410="Selling artificial grass/pet toilets (TARGET)",10,IF(N1410="Selling pet toys",7,IF(N1410="There's an Amazon link, but no target sales.",3,0))))</f>
        <v/>
      </c>
      <c r="P1410" s="67">
        <f>H1410+J1410+L1410+M1410+O1410</f>
        <v/>
      </c>
      <c r="Q1410" s="68">
        <f>IF(OR(H1410=0,P1410&lt;30),"Tier D (Đóng băng)",IF(P1410&gt;=85,"Tier S (Kim Cương: 85-100đ)",IF(P1410&gt;=70,"Tier A (Vàng: 70-84đ)",IF(P1410&gt;=61,"Tier B+ / Cấp A (Hot Lead: 61-69đ)",IF(P1410&gt;=50,"Tier B (Bạc: 50-60đ)","Tier C (Đồng: 30-49đ)")))))</f>
        <v/>
      </c>
      <c r="R1410" s="9" t="inlineStr">
        <is>
          <t>Trọn gói Take-Home Starter Kit V2/V3 (Cỏ nhân tạo + Khay Potty + Đồ chơi Teething/Snuggle)</t>
        </is>
      </c>
      <c r="S1410" s="9" t="inlineStr">
        <is>
          <t>Đóng băng tương tác (&gt;30 ngày): Lưu trữ chờ kích hoạt lại, không tốn tài nguyên Sales</t>
        </is>
      </c>
    </row>
    <row r="1411">
      <c r="A1411" s="53" t="n">
        <v>689</v>
      </c>
      <c r="B1411" s="12" t="inlineStr">
        <is>
          <t>Black Hills Bullies</t>
        </is>
      </c>
      <c r="C1411" s="54" t="inlineStr">
        <is>
          <t>https://www.facebook.com/blackhillsbullies</t>
        </is>
      </c>
      <c r="D1411" s="6" t="inlineStr">
        <is>
          <t>Cần quét Bio Fanpage</t>
        </is>
      </c>
      <c r="E1411" s="53" t="inlineStr">
        <is>
          <t>15/08/2026 21:51:29</t>
        </is>
      </c>
      <c r="F1411" s="53" t="inlineStr">
        <is>
          <t>1 tháng trước</t>
        </is>
      </c>
      <c r="G1411" s="55" t="n">
        <v>30</v>
      </c>
      <c r="H1411" s="56" t="n">
        <v>0</v>
      </c>
      <c r="I1411" s="6" t="inlineStr">
        <is>
          <t>Dog Breeder / Trại chó chuyên nghiệp (28-30đ)</t>
        </is>
      </c>
      <c r="J1411" s="56" t="n">
        <v>28</v>
      </c>
      <c r="K1411" s="6" t="inlineStr">
        <is>
          <t>American Bully / Bully</t>
        </is>
      </c>
      <c r="L1411" s="56" t="n">
        <v>10</v>
      </c>
      <c r="M1411" s="56" t="n">
        <v>0</v>
      </c>
      <c r="N1411" s="6" t="inlineStr">
        <is>
          <t>Amazon link not found</t>
        </is>
      </c>
      <c r="O1411" s="56">
        <f>IF(N1411="Selling pet toys + Artificial grass/Pet toilets (TARGET)",15,IF(N1411="Selling artificial grass/pet toilets (TARGET)",10,IF(N1411="Selling pet toys",7,IF(N1411="There's an Amazon link, but no target sales.",3,0))))</f>
        <v/>
      </c>
      <c r="P1411" s="65">
        <f>H1411+J1411+L1411+M1411+O1411</f>
        <v/>
      </c>
      <c r="Q1411" s="68">
        <f>IF(OR(H1411=0,P1411&lt;30),"Tier D (Đóng băng)",IF(P1411&gt;=85,"Tier S (Kim Cương: 85-100đ)",IF(P1411&gt;=70,"Tier A (Vàng: 70-84đ)",IF(P1411&gt;=61,"Tier B+ / Cấp A (Hot Lead: 61-69đ)",IF(P1411&gt;=50,"Tier B (Bạc: 50-60đ)","Tier C (Đồng: 30-49đ)")))))</f>
        <v/>
      </c>
      <c r="R1411" s="6" t="inlineStr">
        <is>
          <t>Trọn gói Take-Home Starter Kit V2/V3 (Cỏ nhân tạo + Khay Potty + Đồ chơi Teething/Snuggle)</t>
        </is>
      </c>
      <c r="S1411" s="6" t="inlineStr">
        <is>
          <t>Đóng băng tương tác (&gt;30 ngày): Lưu trữ chờ kích hoạt lại, không tốn tài nguyên Sales</t>
        </is>
      </c>
    </row>
    <row r="1412">
      <c r="A1412" s="59" t="n">
        <v>3432</v>
      </c>
      <c r="B1412" s="15" t="inlineStr">
        <is>
          <t>Wishmadi Bulldogs</t>
        </is>
      </c>
      <c r="C1412" s="60" t="inlineStr">
        <is>
          <t>https://www.facebook.com/WishmadiBulldogs</t>
        </is>
      </c>
      <c r="D1412" s="9" t="inlineStr">
        <is>
          <t>Cần quét Bio Fanpage</t>
        </is>
      </c>
      <c r="E1412" s="59" t="inlineStr">
        <is>
          <t>08/08/2026 17:26:00</t>
        </is>
      </c>
      <c r="F1412" s="59" t="inlineStr">
        <is>
          <t>2 tháng trước</t>
        </is>
      </c>
      <c r="G1412" s="61" t="n">
        <v>60</v>
      </c>
      <c r="H1412" s="62" t="n">
        <v>0</v>
      </c>
      <c r="I1412" s="9" t="inlineStr">
        <is>
          <t>Dog Breeder / Trại chó chuyên nghiệp (28-30đ)</t>
        </is>
      </c>
      <c r="J1412" s="62" t="n">
        <v>28</v>
      </c>
      <c r="K1412" s="9" t="inlineStr">
        <is>
          <t>English Bulldog</t>
        </is>
      </c>
      <c r="L1412" s="62" t="n">
        <v>10</v>
      </c>
      <c r="M1412" s="62" t="n">
        <v>0</v>
      </c>
      <c r="N1412" s="9" t="inlineStr">
        <is>
          <t>Amazon link not found</t>
        </is>
      </c>
      <c r="O1412" s="62">
        <f>IF(N1412="Selling pet toys + Artificial grass/Pet toilets (TARGET)",15,IF(N1412="Selling artificial grass/pet toilets (TARGET)",10,IF(N1412="Selling pet toys",7,IF(N1412="There's an Amazon link, but no target sales.",3,0))))</f>
        <v/>
      </c>
      <c r="P1412" s="67">
        <f>H1412+J1412+L1412+M1412+O1412</f>
        <v/>
      </c>
      <c r="Q1412" s="68">
        <f>IF(OR(H1412=0,P1412&lt;30),"Tier D (Đóng băng)",IF(P1412&gt;=85,"Tier S (Kim Cương: 85-100đ)",IF(P1412&gt;=70,"Tier A (Vàng: 70-84đ)",IF(P1412&gt;=61,"Tier B+ / Cấp A (Hot Lead: 61-69đ)",IF(P1412&gt;=50,"Tier B (Bạc: 50-60đ)","Tier C (Đồng: 30-49đ)")))))</f>
        <v/>
      </c>
      <c r="R1412" s="9" t="inlineStr">
        <is>
          <t>Trọn gói Take-Home Starter Kit V2/V3 (Cỏ nhân tạo + Khay Potty + Đồ chơi Teething/Snuggle)</t>
        </is>
      </c>
      <c r="S1412" s="9" t="inlineStr">
        <is>
          <t>Đóng băng tương tác (&gt;30 ngày): Lưu trữ chờ kích hoạt lại, không tốn tài nguyên Sales</t>
        </is>
      </c>
    </row>
    <row r="1413">
      <c r="A1413" s="53" t="n">
        <v>2915</v>
      </c>
      <c r="B1413" s="12" t="inlineStr">
        <is>
          <t>Skookum Bulldogs</t>
        </is>
      </c>
      <c r="C1413" s="54" t="inlineStr">
        <is>
          <t>https://www.facebook.com/profile.php?id=100057281965099</t>
        </is>
      </c>
      <c r="D1413" s="6" t="inlineStr">
        <is>
          <t>Cần quét Bio Fanpage</t>
        </is>
      </c>
      <c r="E1413" s="53" t="inlineStr">
        <is>
          <t>29/07/2026 13:04:40</t>
        </is>
      </c>
      <c r="F1413" s="53" t="inlineStr">
        <is>
          <t>2 tháng trước</t>
        </is>
      </c>
      <c r="G1413" s="55" t="n">
        <v>60</v>
      </c>
      <c r="H1413" s="56" t="n">
        <v>0</v>
      </c>
      <c r="I1413" s="6" t="inlineStr">
        <is>
          <t>Dog Breeder / Trại chó chuyên nghiệp (28-30đ)</t>
        </is>
      </c>
      <c r="J1413" s="56" t="n">
        <v>28</v>
      </c>
      <c r="K1413" s="6" t="inlineStr">
        <is>
          <t>English Bulldog</t>
        </is>
      </c>
      <c r="L1413" s="56" t="n">
        <v>10</v>
      </c>
      <c r="M1413" s="56" t="n">
        <v>0</v>
      </c>
      <c r="N1413" s="6" t="inlineStr">
        <is>
          <t>Amazon link not found</t>
        </is>
      </c>
      <c r="O1413" s="56">
        <f>IF(N1413="Selling pet toys + Artificial grass/Pet toilets (TARGET)",15,IF(N1413="Selling artificial grass/pet toilets (TARGET)",10,IF(N1413="Selling pet toys",7,IF(N1413="There's an Amazon link, but no target sales.",3,0))))</f>
        <v/>
      </c>
      <c r="P1413" s="65">
        <f>H1413+J1413+L1413+M1413+O1413</f>
        <v/>
      </c>
      <c r="Q1413" s="68">
        <f>IF(OR(H1413=0,P1413&lt;30),"Tier D (Đóng băng)",IF(P1413&gt;=85,"Tier S (Kim Cương: 85-100đ)",IF(P1413&gt;=70,"Tier A (Vàng: 70-84đ)",IF(P1413&gt;=61,"Tier B+ / Cấp A (Hot Lead: 61-69đ)",IF(P1413&gt;=50,"Tier B (Bạc: 50-60đ)","Tier C (Đồng: 30-49đ)")))))</f>
        <v/>
      </c>
      <c r="R1413" s="6" t="inlineStr">
        <is>
          <t>Trọn gói Take-Home Starter Kit V2/V3 (Cỏ nhân tạo + Khay Potty + Đồ chơi Teething/Snuggle)</t>
        </is>
      </c>
      <c r="S1413" s="6" t="inlineStr">
        <is>
          <t>Đóng băng tương tác (&gt;30 ngày): Lưu trữ chờ kích hoạt lại, không tốn tài nguyên Sales</t>
        </is>
      </c>
    </row>
    <row r="1414">
      <c r="A1414" s="59" t="n">
        <v>2279</v>
      </c>
      <c r="B1414" s="15" t="inlineStr">
        <is>
          <t>Nephtys Bulldogs</t>
        </is>
      </c>
      <c r="C1414" s="60" t="inlineStr">
        <is>
          <t>https://www.facebook.com/SphynxBulldog</t>
        </is>
      </c>
      <c r="D1414" s="9" t="inlineStr">
        <is>
          <t>Cần quét Bio Fanpage</t>
        </is>
      </c>
      <c r="E1414" s="59" t="inlineStr">
        <is>
          <t>26/07/2026 04:17:22</t>
        </is>
      </c>
      <c r="F1414" s="59" t="inlineStr">
        <is>
          <t>2 tháng trước</t>
        </is>
      </c>
      <c r="G1414" s="61" t="n">
        <v>60</v>
      </c>
      <c r="H1414" s="62" t="n">
        <v>0</v>
      </c>
      <c r="I1414" s="9" t="inlineStr">
        <is>
          <t>Dog Breeder / Trại chó chuyên nghiệp (28-30đ)</t>
        </is>
      </c>
      <c r="J1414" s="62" t="n">
        <v>28</v>
      </c>
      <c r="K1414" s="9" t="inlineStr">
        <is>
          <t>English Bulldog</t>
        </is>
      </c>
      <c r="L1414" s="62" t="n">
        <v>10</v>
      </c>
      <c r="M1414" s="62" t="n">
        <v>0</v>
      </c>
      <c r="N1414" s="9" t="inlineStr">
        <is>
          <t>Amazon link not found</t>
        </is>
      </c>
      <c r="O1414" s="62">
        <f>IF(N1414="Selling pet toys + Artificial grass/Pet toilets (TARGET)",15,IF(N1414="Selling artificial grass/pet toilets (TARGET)",10,IF(N1414="Selling pet toys",7,IF(N1414="There's an Amazon link, but no target sales.",3,0))))</f>
        <v/>
      </c>
      <c r="P1414" s="67">
        <f>H1414+J1414+L1414+M1414+O1414</f>
        <v/>
      </c>
      <c r="Q1414" s="68">
        <f>IF(OR(H1414=0,P1414&lt;30),"Tier D (Đóng băng)",IF(P1414&gt;=85,"Tier S (Kim Cương: 85-100đ)",IF(P1414&gt;=70,"Tier A (Vàng: 70-84đ)",IF(P1414&gt;=61,"Tier B+ / Cấp A (Hot Lead: 61-69đ)",IF(P1414&gt;=50,"Tier B (Bạc: 50-60đ)","Tier C (Đồng: 30-49đ)")))))</f>
        <v/>
      </c>
      <c r="R1414" s="9" t="inlineStr">
        <is>
          <t>Trọn gói Take-Home Starter Kit V2/V3 (Cỏ nhân tạo + Khay Potty + Đồ chơi Teething/Snuggle)</t>
        </is>
      </c>
      <c r="S1414" s="9" t="inlineStr">
        <is>
          <t>Đóng băng tương tác (&gt;30 ngày): Lưu trữ chờ kích hoạt lại, không tốn tài nguyên Sales</t>
        </is>
      </c>
    </row>
    <row r="1415">
      <c r="A1415" s="53" t="n">
        <v>427</v>
      </c>
      <c r="B1415" s="12" t="inlineStr">
        <is>
          <t>Anchor Bulldogges</t>
        </is>
      </c>
      <c r="C1415" s="54" t="inlineStr">
        <is>
          <t>https://www.facebook.com/profile.php?id=100090229851762</t>
        </is>
      </c>
      <c r="D1415" s="6" t="inlineStr">
        <is>
          <t>Cần quét Bio Fanpage</t>
        </is>
      </c>
      <c r="E1415" s="53" t="inlineStr">
        <is>
          <t>23/07/2026 19:22:41</t>
        </is>
      </c>
      <c r="F1415" s="53" t="inlineStr">
        <is>
          <t>2 tháng trước</t>
        </is>
      </c>
      <c r="G1415" s="55" t="n">
        <v>60</v>
      </c>
      <c r="H1415" s="56" t="n">
        <v>0</v>
      </c>
      <c r="I1415" s="6" t="inlineStr">
        <is>
          <t>Dog Breeder / Trại chó chuyên nghiệp (28-30đ)</t>
        </is>
      </c>
      <c r="J1415" s="56" t="n">
        <v>28</v>
      </c>
      <c r="K1415" s="6" t="inlineStr">
        <is>
          <t>English Bulldog</t>
        </is>
      </c>
      <c r="L1415" s="56" t="n">
        <v>10</v>
      </c>
      <c r="M1415" s="56" t="n">
        <v>0</v>
      </c>
      <c r="N1415" s="6" t="inlineStr">
        <is>
          <t>Amazon link not found</t>
        </is>
      </c>
      <c r="O1415" s="56">
        <f>IF(N1415="Selling pet toys + Artificial grass/Pet toilets (TARGET)",15,IF(N1415="Selling artificial grass/pet toilets (TARGET)",10,IF(N1415="Selling pet toys",7,IF(N1415="There's an Amazon link, but no target sales.",3,0))))</f>
        <v/>
      </c>
      <c r="P1415" s="65">
        <f>H1415+J1415+L1415+M1415+O1415</f>
        <v/>
      </c>
      <c r="Q1415" s="68">
        <f>IF(OR(H1415=0,P1415&lt;30),"Tier D (Đóng băng)",IF(P1415&gt;=85,"Tier S (Kim Cương: 85-100đ)",IF(P1415&gt;=70,"Tier A (Vàng: 70-84đ)",IF(P1415&gt;=61,"Tier B+ / Cấp A (Hot Lead: 61-69đ)",IF(P1415&gt;=50,"Tier B (Bạc: 50-60đ)","Tier C (Đồng: 30-49đ)")))))</f>
        <v/>
      </c>
      <c r="R1415" s="6" t="inlineStr">
        <is>
          <t>Trọn gói Take-Home Starter Kit V2/V3 (Cỏ nhân tạo + Khay Potty + Đồ chơi Teething/Snuggle)</t>
        </is>
      </c>
      <c r="S1415" s="6" t="inlineStr">
        <is>
          <t>Đóng băng tương tác (&gt;30 ngày): Lưu trữ chờ kích hoạt lại, không tốn tài nguyên Sales</t>
        </is>
      </c>
    </row>
    <row r="1416">
      <c r="A1416" s="59" t="n">
        <v>3194</v>
      </c>
      <c r="B1416" s="15" t="inlineStr">
        <is>
          <t>TKO Frenchie Neuhaus</t>
        </is>
      </c>
      <c r="C1416" s="60" t="inlineStr">
        <is>
          <t>https://www.facebook.com/tkofrenchieneuhaus</t>
        </is>
      </c>
      <c r="D1416" s="9" t="inlineStr">
        <is>
          <t>Cần quét Bio Fanpage</t>
        </is>
      </c>
      <c r="E1416" s="59" t="inlineStr">
        <is>
          <t>17/07/2026 19:51:04</t>
        </is>
      </c>
      <c r="F1416" s="59" t="inlineStr">
        <is>
          <t>2 tháng trước</t>
        </is>
      </c>
      <c r="G1416" s="61" t="n">
        <v>60</v>
      </c>
      <c r="H1416" s="62" t="n">
        <v>0</v>
      </c>
      <c r="I1416" s="9" t="inlineStr">
        <is>
          <t>Dog Breeder / Trại nhân giống (28-30đ)</t>
        </is>
      </c>
      <c r="J1416" s="62" t="n">
        <v>28</v>
      </c>
      <c r="K1416" s="9" t="inlineStr">
        <is>
          <t>French Bulldog</t>
        </is>
      </c>
      <c r="L1416" s="62" t="n">
        <v>10</v>
      </c>
      <c r="M1416" s="62" t="n">
        <v>0</v>
      </c>
      <c r="N1416" s="9" t="inlineStr">
        <is>
          <t>Amazon link not found</t>
        </is>
      </c>
      <c r="O1416" s="62">
        <f>IF(N1416="Selling pet toys + Artificial grass/Pet toilets (TARGET)",15,IF(N1416="Selling artificial grass/pet toilets (TARGET)",10,IF(N1416="Selling pet toys",7,IF(N1416="There's an Amazon link, but no target sales.",3,0))))</f>
        <v/>
      </c>
      <c r="P1416" s="67">
        <f>H1416+J1416+L1416+M1416+O1416</f>
        <v/>
      </c>
      <c r="Q1416" s="68">
        <f>IF(OR(H1416=0,P1416&lt;30),"Tier D (Đóng băng)",IF(P1416&gt;=85,"Tier S (Kim Cương: 85-100đ)",IF(P1416&gt;=70,"Tier A (Vàng: 70-84đ)",IF(P1416&gt;=61,"Tier B+ / Cấp A (Hot Lead: 61-69đ)",IF(P1416&gt;=50,"Tier B (Bạc: 50-60đ)","Tier C (Đồng: 30-49đ)")))))</f>
        <v/>
      </c>
      <c r="R1416" s="9" t="inlineStr">
        <is>
          <t>Trọn gói Take-Home Starter Kit V2/V3 (Cỏ nhân tạo + Khay Potty + Đồ chơi cún con)</t>
        </is>
      </c>
      <c r="S1416" s="9" t="inlineStr">
        <is>
          <t>Đóng băng tương tác (&gt;30 ngày): Lưu trữ chờ kích hoạt lại, không tốn tài nguyên Sales</t>
        </is>
      </c>
    </row>
    <row r="1417">
      <c r="A1417" s="53" t="n">
        <v>867</v>
      </c>
      <c r="B1417" s="12" t="inlineStr">
        <is>
          <t>Celebrity bulldogs</t>
        </is>
      </c>
      <c r="C1417" s="54" t="inlineStr">
        <is>
          <t>https://www.facebook.com/CelebrityEnghlishBulldogs</t>
        </is>
      </c>
      <c r="D1417" s="6" t="inlineStr">
        <is>
          <t>Cần quét Bio Fanpage</t>
        </is>
      </c>
      <c r="E1417" s="53" t="inlineStr">
        <is>
          <t>25/06/2026 01:50:16</t>
        </is>
      </c>
      <c r="F1417" s="53" t="inlineStr">
        <is>
          <t>3 tháng trước</t>
        </is>
      </c>
      <c r="G1417" s="55" t="n">
        <v>90</v>
      </c>
      <c r="H1417" s="56" t="n">
        <v>0</v>
      </c>
      <c r="I1417" s="6" t="inlineStr">
        <is>
          <t>Dog Breeder / Trại chó chuyên nghiệp (28-30đ)</t>
        </is>
      </c>
      <c r="J1417" s="56" t="n">
        <v>28</v>
      </c>
      <c r="K1417" s="6" t="inlineStr">
        <is>
          <t>English Bulldog</t>
        </is>
      </c>
      <c r="L1417" s="56" t="n">
        <v>10</v>
      </c>
      <c r="M1417" s="56" t="n">
        <v>0</v>
      </c>
      <c r="N1417" s="6" t="inlineStr">
        <is>
          <t>Amazon link not found</t>
        </is>
      </c>
      <c r="O1417" s="56">
        <f>IF(N1417="Selling pet toys + Artificial grass/Pet toilets (TARGET)",15,IF(N1417="Selling artificial grass/pet toilets (TARGET)",10,IF(N1417="Selling pet toys",7,IF(N1417="There's an Amazon link, but no target sales.",3,0))))</f>
        <v/>
      </c>
      <c r="P1417" s="65">
        <f>H1417+J1417+L1417+M1417+O1417</f>
        <v/>
      </c>
      <c r="Q1417" s="68">
        <f>IF(OR(H1417=0,P1417&lt;30),"Tier D (Đóng băng)",IF(P1417&gt;=85,"Tier S (Kim Cương: 85-100đ)",IF(P1417&gt;=70,"Tier A (Vàng: 70-84đ)",IF(P1417&gt;=61,"Tier B+ / Cấp A (Hot Lead: 61-69đ)",IF(P1417&gt;=50,"Tier B (Bạc: 50-60đ)","Tier C (Đồng: 30-49đ)")))))</f>
        <v/>
      </c>
      <c r="R1417" s="6" t="inlineStr">
        <is>
          <t>Trọn gói Take-Home Starter Kit V2/V3 (Cỏ nhân tạo + Khay Potty + Đồ chơi Teething/Snuggle)</t>
        </is>
      </c>
      <c r="S1417" s="6" t="inlineStr">
        <is>
          <t>Đóng băng tương tác (&gt;30 ngày): Lưu trữ chờ kích hoạt lại, không tốn tài nguyên Sales</t>
        </is>
      </c>
    </row>
    <row r="1418">
      <c r="A1418" s="59" t="n">
        <v>2754</v>
      </c>
      <c r="B1418" s="15" t="inlineStr">
        <is>
          <t>River Ridge Frenchies of Texas</t>
        </is>
      </c>
      <c r="C1418" s="60" t="inlineStr">
        <is>
          <t>https://www.facebook.com/riverridgefrenchiesptx</t>
        </is>
      </c>
      <c r="D1418" s="9" t="inlineStr">
        <is>
          <t>Cần quét Bio Fanpage</t>
        </is>
      </c>
      <c r="E1418" s="59" t="inlineStr">
        <is>
          <t>25/06/2026 01:04:09</t>
        </is>
      </c>
      <c r="F1418" s="59" t="inlineStr">
        <is>
          <t>3 tháng trước</t>
        </is>
      </c>
      <c r="G1418" s="61" t="n">
        <v>90</v>
      </c>
      <c r="H1418" s="62" t="n">
        <v>0</v>
      </c>
      <c r="I1418" s="9" t="inlineStr">
        <is>
          <t>Dog Breeder / Trại chó chuyên nghiệp (28-30đ)</t>
        </is>
      </c>
      <c r="J1418" s="62" t="n">
        <v>28</v>
      </c>
      <c r="K1418" s="9" t="inlineStr">
        <is>
          <t>French Bulldog</t>
        </is>
      </c>
      <c r="L1418" s="62" t="n">
        <v>10</v>
      </c>
      <c r="M1418" s="62" t="n">
        <v>0</v>
      </c>
      <c r="N1418" s="9" t="inlineStr">
        <is>
          <t>Amazon link not found</t>
        </is>
      </c>
      <c r="O1418" s="62">
        <f>IF(N1418="Selling pet toys + Artificial grass/Pet toilets (TARGET)",15,IF(N1418="Selling artificial grass/pet toilets (TARGET)",10,IF(N1418="Selling pet toys",7,IF(N1418="There's an Amazon link, but no target sales.",3,0))))</f>
        <v/>
      </c>
      <c r="P1418" s="67">
        <f>H1418+J1418+L1418+M1418+O1418</f>
        <v/>
      </c>
      <c r="Q1418" s="68">
        <f>IF(OR(H1418=0,P1418&lt;30),"Tier D (Đóng băng)",IF(P1418&gt;=85,"Tier S (Kim Cương: 85-100đ)",IF(P1418&gt;=70,"Tier A (Vàng: 70-84đ)",IF(P1418&gt;=61,"Tier B+ / Cấp A (Hot Lead: 61-69đ)",IF(P1418&gt;=50,"Tier B (Bạc: 50-60đ)","Tier C (Đồng: 30-49đ)")))))</f>
        <v/>
      </c>
      <c r="R1418" s="9" t="inlineStr">
        <is>
          <t>Trọn gói Take-Home Starter Kit V2/V3 (Cỏ nhân tạo + Khay Potty + Đồ chơi Teething/Snuggle)</t>
        </is>
      </c>
      <c r="S1418" s="9" t="inlineStr">
        <is>
          <t>Đóng băng tương tác (&gt;30 ngày): Lưu trữ chờ kích hoạt lại, không tốn tài nguyên Sales</t>
        </is>
      </c>
    </row>
    <row r="1419">
      <c r="A1419" s="53" t="n">
        <v>1542</v>
      </c>
      <c r="B1419" s="12" t="inlineStr">
        <is>
          <t>Grand Teton Bullies</t>
        </is>
      </c>
      <c r="C1419" s="54" t="inlineStr">
        <is>
          <t>https://www.facebook.com/profile.php?id=61577586599698</t>
        </is>
      </c>
      <c r="D1419" s="6" t="inlineStr">
        <is>
          <t>Cần quét Bio Fanpage</t>
        </is>
      </c>
      <c r="E1419" s="53" t="inlineStr">
        <is>
          <t>23/06/2026 20:09:00</t>
        </is>
      </c>
      <c r="F1419" s="53" t="inlineStr">
        <is>
          <t>3 tháng trước</t>
        </is>
      </c>
      <c r="G1419" s="55" t="n">
        <v>90</v>
      </c>
      <c r="H1419" s="56" t="n">
        <v>0</v>
      </c>
      <c r="I1419" s="6" t="inlineStr">
        <is>
          <t>Dog Breeder / Trại chó chuyên nghiệp (28-30đ)</t>
        </is>
      </c>
      <c r="J1419" s="56" t="n">
        <v>28</v>
      </c>
      <c r="K1419" s="6" t="inlineStr">
        <is>
          <t>American Bully / Bully</t>
        </is>
      </c>
      <c r="L1419" s="56" t="n">
        <v>10</v>
      </c>
      <c r="M1419" s="56" t="n">
        <v>0</v>
      </c>
      <c r="N1419" s="6" t="inlineStr">
        <is>
          <t>Amazon link not found</t>
        </is>
      </c>
      <c r="O1419" s="56">
        <f>IF(N1419="Selling pet toys + Artificial grass/Pet toilets (TARGET)",15,IF(N1419="Selling artificial grass/pet toilets (TARGET)",10,IF(N1419="Selling pet toys",7,IF(N1419="There's an Amazon link, but no target sales.",3,0))))</f>
        <v/>
      </c>
      <c r="P1419" s="65">
        <f>H1419+J1419+L1419+M1419+O1419</f>
        <v/>
      </c>
      <c r="Q1419" s="68">
        <f>IF(OR(H1419=0,P1419&lt;30),"Tier D (Đóng băng)",IF(P1419&gt;=85,"Tier S (Kim Cương: 85-100đ)",IF(P1419&gt;=70,"Tier A (Vàng: 70-84đ)",IF(P1419&gt;=61,"Tier B+ / Cấp A (Hot Lead: 61-69đ)",IF(P1419&gt;=50,"Tier B (Bạc: 50-60đ)","Tier C (Đồng: 30-49đ)")))))</f>
        <v/>
      </c>
      <c r="R1419" s="6" t="inlineStr">
        <is>
          <t>Trọn gói Take-Home Starter Kit V2/V3 (Cỏ nhân tạo + Khay Potty + Đồ chơi Teething/Snuggle)</t>
        </is>
      </c>
      <c r="S1419" s="6" t="inlineStr">
        <is>
          <t>Đóng băng tương tác (&gt;30 ngày): Lưu trữ chờ kích hoạt lại, không tốn tài nguyên Sales</t>
        </is>
      </c>
    </row>
    <row r="1420">
      <c r="A1420" s="59" t="n">
        <v>1242</v>
      </c>
      <c r="B1420" s="15" t="inlineStr">
        <is>
          <t>Dubfire Bulldogs</t>
        </is>
      </c>
      <c r="C1420" s="60" t="inlineStr">
        <is>
          <t>https://www.facebook.com/DubfireEnglishbulldogs</t>
        </is>
      </c>
      <c r="D1420" s="9" t="inlineStr">
        <is>
          <t>Cần quét Bio Fanpage</t>
        </is>
      </c>
      <c r="E1420" s="59" t="inlineStr">
        <is>
          <t>23/06/2026 07:11:38</t>
        </is>
      </c>
      <c r="F1420" s="59" t="inlineStr">
        <is>
          <t>3 tháng trước</t>
        </is>
      </c>
      <c r="G1420" s="61" t="n">
        <v>90</v>
      </c>
      <c r="H1420" s="62" t="n">
        <v>0</v>
      </c>
      <c r="I1420" s="9" t="inlineStr">
        <is>
          <t>Dog Breeder / Trại chó chuyên nghiệp (28-30đ)</t>
        </is>
      </c>
      <c r="J1420" s="62" t="n">
        <v>28</v>
      </c>
      <c r="K1420" s="9" t="inlineStr">
        <is>
          <t>English Bulldog</t>
        </is>
      </c>
      <c r="L1420" s="62" t="n">
        <v>10</v>
      </c>
      <c r="M1420" s="62" t="n">
        <v>0</v>
      </c>
      <c r="N1420" s="9" t="inlineStr">
        <is>
          <t>Amazon link not found</t>
        </is>
      </c>
      <c r="O1420" s="62">
        <f>IF(N1420="Selling pet toys + Artificial grass/Pet toilets (TARGET)",15,IF(N1420="Selling artificial grass/pet toilets (TARGET)",10,IF(N1420="Selling pet toys",7,IF(N1420="There's an Amazon link, but no target sales.",3,0))))</f>
        <v/>
      </c>
      <c r="P1420" s="67">
        <f>H1420+J1420+L1420+M1420+O1420</f>
        <v/>
      </c>
      <c r="Q1420" s="68">
        <f>IF(OR(H1420=0,P1420&lt;30),"Tier D (Đóng băng)",IF(P1420&gt;=85,"Tier S (Kim Cương: 85-100đ)",IF(P1420&gt;=70,"Tier A (Vàng: 70-84đ)",IF(P1420&gt;=61,"Tier B+ / Cấp A (Hot Lead: 61-69đ)",IF(P1420&gt;=50,"Tier B (Bạc: 50-60đ)","Tier C (Đồng: 30-49đ)")))))</f>
        <v/>
      </c>
      <c r="R1420" s="9" t="inlineStr">
        <is>
          <t>Trọn gói Take-Home Starter Kit V2/V3 (Cỏ nhân tạo + Khay Potty + Đồ chơi Teething/Snuggle)</t>
        </is>
      </c>
      <c r="S1420" s="9" t="inlineStr">
        <is>
          <t>Đóng băng tương tác (&gt;30 ngày): Lưu trữ chờ kích hoạt lại, không tốn tài nguyên Sales</t>
        </is>
      </c>
    </row>
    <row r="1421">
      <c r="A1421" s="53" t="n">
        <v>1329</v>
      </c>
      <c r="B1421" s="12" t="inlineStr">
        <is>
          <t>fantasykennel</t>
        </is>
      </c>
      <c r="C1421" s="54" t="inlineStr">
        <is>
          <t>https://www.facebook.com/fantasyrottweilerkennel</t>
        </is>
      </c>
      <c r="D1421" s="6" t="inlineStr">
        <is>
          <t>Cần quét Bio Fanpage</t>
        </is>
      </c>
      <c r="E1421" s="53" t="inlineStr">
        <is>
          <t>16/06/2026 00:32:18</t>
        </is>
      </c>
      <c r="F1421" s="53" t="inlineStr">
        <is>
          <t>3 tháng trước</t>
        </is>
      </c>
      <c r="G1421" s="55" t="n">
        <v>90</v>
      </c>
      <c r="H1421" s="56" t="n">
        <v>0</v>
      </c>
      <c r="I1421" s="6" t="inlineStr">
        <is>
          <t>Dog Breeder / Trại nhân giống (28-30đ)</t>
        </is>
      </c>
      <c r="J1421" s="56" t="n">
        <v>28</v>
      </c>
      <c r="K1421" s="6" t="inlineStr">
        <is>
          <t>Rottweiler</t>
        </is>
      </c>
      <c r="L1421" s="56" t="n">
        <v>10</v>
      </c>
      <c r="M1421" s="56" t="n">
        <v>0</v>
      </c>
      <c r="N1421" s="6" t="inlineStr">
        <is>
          <t>Amazon link not found</t>
        </is>
      </c>
      <c r="O1421" s="56">
        <f>IF(N1421="Selling pet toys + Artificial grass/Pet toilets (TARGET)",15,IF(N1421="Selling artificial grass/pet toilets (TARGET)",10,IF(N1421="Selling pet toys",7,IF(N1421="There's an Amazon link, but no target sales.",3,0))))</f>
        <v/>
      </c>
      <c r="P1421" s="65">
        <f>H1421+J1421+L1421+M1421+O1421</f>
        <v/>
      </c>
      <c r="Q1421" s="68">
        <f>IF(OR(H1421=0,P1421&lt;30),"Tier D (Đóng băng)",IF(P1421&gt;=85,"Tier S (Kim Cương: 85-100đ)",IF(P1421&gt;=70,"Tier A (Vàng: 70-84đ)",IF(P1421&gt;=61,"Tier B+ / Cấp A (Hot Lead: 61-69đ)",IF(P1421&gt;=50,"Tier B (Bạc: 50-60đ)","Tier C (Đồng: 30-49đ)")))))</f>
        <v/>
      </c>
      <c r="R1421" s="6" t="inlineStr">
        <is>
          <t>Trọn gói Take-Home Starter Kit V2/V3 (Cỏ nhân tạo + Khay Potty + Đồ chơi cún con)</t>
        </is>
      </c>
      <c r="S1421" s="6" t="inlineStr">
        <is>
          <t>Đóng băng tương tác (&gt;30 ngày): Lưu trữ chờ kích hoạt lại, không tốn tài nguyên Sales</t>
        </is>
      </c>
    </row>
    <row r="1422">
      <c r="A1422" s="59" t="n">
        <v>2702</v>
      </c>
      <c r="B1422" s="15" t="inlineStr">
        <is>
          <t>RBK XL Bullies</t>
        </is>
      </c>
      <c r="C1422" s="60" t="inlineStr">
        <is>
          <t>https://www.facebook.com/profile.php?id=61589188854204</t>
        </is>
      </c>
      <c r="D1422" s="9" t="inlineStr">
        <is>
          <t>Cần quét Bio Fanpage</t>
        </is>
      </c>
      <c r="E1422" s="59" t="inlineStr">
        <is>
          <t>07/06/2026 05:45:31</t>
        </is>
      </c>
      <c r="F1422" s="59" t="inlineStr">
        <is>
          <t>4 tháng trước</t>
        </is>
      </c>
      <c r="G1422" s="61" t="n">
        <v>120</v>
      </c>
      <c r="H1422" s="62" t="n">
        <v>0</v>
      </c>
      <c r="I1422" s="9" t="inlineStr">
        <is>
          <t>Dog Breeder / Trại chó chuyên nghiệp (28-30đ)</t>
        </is>
      </c>
      <c r="J1422" s="62" t="n">
        <v>28</v>
      </c>
      <c r="K1422" s="9" t="inlineStr">
        <is>
          <t>American Bully / Bully</t>
        </is>
      </c>
      <c r="L1422" s="62" t="n">
        <v>10</v>
      </c>
      <c r="M1422" s="62" t="n">
        <v>0</v>
      </c>
      <c r="N1422" s="9" t="inlineStr">
        <is>
          <t>Amazon link not found</t>
        </is>
      </c>
      <c r="O1422" s="62">
        <f>IF(N1422="Selling pet toys + Artificial grass/Pet toilets (TARGET)",15,IF(N1422="Selling artificial grass/pet toilets (TARGET)",10,IF(N1422="Selling pet toys",7,IF(N1422="There's an Amazon link, but no target sales.",3,0))))</f>
        <v/>
      </c>
      <c r="P1422" s="67">
        <f>H1422+J1422+L1422+M1422+O1422</f>
        <v/>
      </c>
      <c r="Q1422" s="68">
        <f>IF(OR(H1422=0,P1422&lt;30),"Tier D (Đóng băng)",IF(P1422&gt;=85,"Tier S (Kim Cương: 85-100đ)",IF(P1422&gt;=70,"Tier A (Vàng: 70-84đ)",IF(P1422&gt;=61,"Tier B+ / Cấp A (Hot Lead: 61-69đ)",IF(P1422&gt;=50,"Tier B (Bạc: 50-60đ)","Tier C (Đồng: 30-49đ)")))))</f>
        <v/>
      </c>
      <c r="R1422" s="9" t="inlineStr">
        <is>
          <t>Trọn gói Take-Home Starter Kit V2/V3 (Cỏ nhân tạo + Khay Potty + Đồ chơi Teething/Snuggle)</t>
        </is>
      </c>
      <c r="S1422" s="9" t="inlineStr">
        <is>
          <t>Đóng băng tương tác (&gt;30 ngày): Lưu trữ chờ kích hoạt lại, không tốn tài nguyên Sales</t>
        </is>
      </c>
    </row>
    <row r="1423">
      <c r="A1423" s="53" t="n">
        <v>1173</v>
      </c>
      <c r="B1423" s="12" t="inlineStr">
        <is>
          <t>Dogs Make Me Happy</t>
        </is>
      </c>
      <c r="C1423" s="54" t="inlineStr">
        <is>
          <t>https://www.facebook.com/Bulldog212e</t>
        </is>
      </c>
      <c r="D1423" s="6" t="inlineStr">
        <is>
          <t>Cần quét Bio Fanpage</t>
        </is>
      </c>
      <c r="E1423" s="53" t="inlineStr">
        <is>
          <t>25/05/2026 14:00:24</t>
        </is>
      </c>
      <c r="F1423" s="53" t="inlineStr">
        <is>
          <t>4 tháng trước</t>
        </is>
      </c>
      <c r="G1423" s="55" t="n">
        <v>120</v>
      </c>
      <c r="H1423" s="56" t="n">
        <v>0</v>
      </c>
      <c r="I1423" s="6" t="inlineStr">
        <is>
          <t>Dog Breeder / Trại nhân giống (28-30đ)</t>
        </is>
      </c>
      <c r="J1423" s="56" t="n">
        <v>28</v>
      </c>
      <c r="K1423" s="6" t="inlineStr">
        <is>
          <t>English Bulldog</t>
        </is>
      </c>
      <c r="L1423" s="56" t="n">
        <v>10</v>
      </c>
      <c r="M1423" s="56" t="n">
        <v>0</v>
      </c>
      <c r="N1423" s="6" t="inlineStr">
        <is>
          <t>Amazon link not found</t>
        </is>
      </c>
      <c r="O1423" s="56">
        <f>IF(N1423="Selling pet toys + Artificial grass/Pet toilets (TARGET)",15,IF(N1423="Selling artificial grass/pet toilets (TARGET)",10,IF(N1423="Selling pet toys",7,IF(N1423="There's an Amazon link, but no target sales.",3,0))))</f>
        <v/>
      </c>
      <c r="P1423" s="65">
        <f>H1423+J1423+L1423+M1423+O1423</f>
        <v/>
      </c>
      <c r="Q1423" s="68">
        <f>IF(OR(H1423=0,P1423&lt;30),"Tier D (Đóng băng)",IF(P1423&gt;=85,"Tier S (Kim Cương: 85-100đ)",IF(P1423&gt;=70,"Tier A (Vàng: 70-84đ)",IF(P1423&gt;=61,"Tier B+ / Cấp A (Hot Lead: 61-69đ)",IF(P1423&gt;=50,"Tier B (Bạc: 50-60đ)","Tier C (Đồng: 30-49đ)")))))</f>
        <v/>
      </c>
      <c r="R1423" s="6" t="inlineStr">
        <is>
          <t>Trọn gói Take-Home Starter Kit V2/V3 (Cỏ nhân tạo + Khay Potty + Đồ chơi cún con)</t>
        </is>
      </c>
      <c r="S1423" s="6" t="inlineStr">
        <is>
          <t>Đóng băng tương tác (&gt;30 ngày): Lưu trữ chờ kích hoạt lại, không tốn tài nguyên Sales</t>
        </is>
      </c>
    </row>
    <row r="1424">
      <c r="A1424" s="59" t="n">
        <v>2170</v>
      </c>
      <c r="B1424" s="15" t="inlineStr">
        <is>
          <t>Micro-ville Frenchies</t>
        </is>
      </c>
      <c r="C1424" s="60" t="inlineStr">
        <is>
          <t>https://www.facebook.com/micro.ville.frenchies</t>
        </is>
      </c>
      <c r="D1424" s="9" t="inlineStr">
        <is>
          <t>Cần quét Bio Fanpage</t>
        </is>
      </c>
      <c r="E1424" s="59" t="inlineStr">
        <is>
          <t>24/05/2026 23:57:26</t>
        </is>
      </c>
      <c r="F1424" s="59" t="inlineStr">
        <is>
          <t>4 tháng trước</t>
        </is>
      </c>
      <c r="G1424" s="61" t="n">
        <v>120</v>
      </c>
      <c r="H1424" s="62" t="n">
        <v>0</v>
      </c>
      <c r="I1424" s="9" t="inlineStr">
        <is>
          <t>Dog Breeder / Trại chó chuyên nghiệp (28-30đ)</t>
        </is>
      </c>
      <c r="J1424" s="62" t="n">
        <v>28</v>
      </c>
      <c r="K1424" s="9" t="inlineStr">
        <is>
          <t>French Bulldog</t>
        </is>
      </c>
      <c r="L1424" s="62" t="n">
        <v>10</v>
      </c>
      <c r="M1424" s="62" t="n">
        <v>0</v>
      </c>
      <c r="N1424" s="9" t="inlineStr">
        <is>
          <t>Amazon link not found</t>
        </is>
      </c>
      <c r="O1424" s="62">
        <f>IF(N1424="Selling pet toys + Artificial grass/Pet toilets (TARGET)",15,IF(N1424="Selling artificial grass/pet toilets (TARGET)",10,IF(N1424="Selling pet toys",7,IF(N1424="There's an Amazon link, but no target sales.",3,0))))</f>
        <v/>
      </c>
      <c r="P1424" s="67">
        <f>H1424+J1424+L1424+M1424+O1424</f>
        <v/>
      </c>
      <c r="Q1424" s="68">
        <f>IF(OR(H1424=0,P1424&lt;30),"Tier D (Đóng băng)",IF(P1424&gt;=85,"Tier S (Kim Cương: 85-100đ)",IF(P1424&gt;=70,"Tier A (Vàng: 70-84đ)",IF(P1424&gt;=61,"Tier B+ / Cấp A (Hot Lead: 61-69đ)",IF(P1424&gt;=50,"Tier B (Bạc: 50-60đ)","Tier C (Đồng: 30-49đ)")))))</f>
        <v/>
      </c>
      <c r="R1424" s="9" t="inlineStr">
        <is>
          <t>Trọn gói Take-Home Starter Kit V2/V3 (Cỏ nhân tạo + Khay Potty + Đồ chơi Teething/Snuggle)</t>
        </is>
      </c>
      <c r="S1424" s="9" t="inlineStr">
        <is>
          <t>Đóng băng tương tác (&gt;30 ngày): Lưu trữ chờ kích hoạt lại, không tốn tài nguyên Sales</t>
        </is>
      </c>
    </row>
    <row r="1425">
      <c r="A1425" s="53" t="n">
        <v>810</v>
      </c>
      <c r="B1425" s="12" t="inlineStr">
        <is>
          <t>California Dream Frenchies</t>
        </is>
      </c>
      <c r="C1425" s="54" t="inlineStr">
        <is>
          <t>https://www.facebook.com/californiadreamfrenchies</t>
        </is>
      </c>
      <c r="D1425" s="6" t="inlineStr">
        <is>
          <t>Cần quét Bio Fanpage</t>
        </is>
      </c>
      <c r="E1425" s="53" t="inlineStr">
        <is>
          <t>20/05/2026 03:04:11</t>
        </is>
      </c>
      <c r="F1425" s="53" t="inlineStr">
        <is>
          <t>4 tháng trước</t>
        </is>
      </c>
      <c r="G1425" s="55" t="n">
        <v>120</v>
      </c>
      <c r="H1425" s="56" t="n">
        <v>0</v>
      </c>
      <c r="I1425" s="6" t="inlineStr">
        <is>
          <t>Dog Breeder / Trại chó chuyên nghiệp (28-30đ)</t>
        </is>
      </c>
      <c r="J1425" s="56" t="n">
        <v>28</v>
      </c>
      <c r="K1425" s="6" t="inlineStr">
        <is>
          <t>French Bulldog</t>
        </is>
      </c>
      <c r="L1425" s="56" t="n">
        <v>10</v>
      </c>
      <c r="M1425" s="56" t="n">
        <v>0</v>
      </c>
      <c r="N1425" s="6" t="inlineStr">
        <is>
          <t>Amazon link not found</t>
        </is>
      </c>
      <c r="O1425" s="56">
        <f>IF(N1425="Selling pet toys + Artificial grass/Pet toilets (TARGET)",15,IF(N1425="Selling artificial grass/pet toilets (TARGET)",10,IF(N1425="Selling pet toys",7,IF(N1425="There's an Amazon link, but no target sales.",3,0))))</f>
        <v/>
      </c>
      <c r="P1425" s="65">
        <f>H1425+J1425+L1425+M1425+O1425</f>
        <v/>
      </c>
      <c r="Q1425" s="68">
        <f>IF(OR(H1425=0,P1425&lt;30),"Tier D (Đóng băng)",IF(P1425&gt;=85,"Tier S (Kim Cương: 85-100đ)",IF(P1425&gt;=70,"Tier A (Vàng: 70-84đ)",IF(P1425&gt;=61,"Tier B+ / Cấp A (Hot Lead: 61-69đ)",IF(P1425&gt;=50,"Tier B (Bạc: 50-60đ)","Tier C (Đồng: 30-49đ)")))))</f>
        <v/>
      </c>
      <c r="R1425" s="6" t="inlineStr">
        <is>
          <t>Trọn gói Take-Home Starter Kit V2/V3 (Cỏ nhân tạo + Khay Potty + Đồ chơi Teething/Snuggle)</t>
        </is>
      </c>
      <c r="S1425" s="6" t="inlineStr">
        <is>
          <t>Đóng băng tương tác (&gt;30 ngày): Lưu trữ chờ kích hoạt lại, không tốn tài nguyên Sales</t>
        </is>
      </c>
    </row>
    <row r="1426">
      <c r="A1426" s="59" t="n">
        <v>2708</v>
      </c>
      <c r="B1426" s="15" t="inlineStr">
        <is>
          <t>Red Bottom Frenchies</t>
        </is>
      </c>
      <c r="C1426" s="60" t="inlineStr">
        <is>
          <t>https://www.facebook.com/redbottomfrenchies</t>
        </is>
      </c>
      <c r="D1426" s="9" t="inlineStr">
        <is>
          <t>Cần quét Bio Fanpage</t>
        </is>
      </c>
      <c r="E1426" s="59" t="inlineStr">
        <is>
          <t>07/05/2026 00:52:31</t>
        </is>
      </c>
      <c r="F1426" s="59" t="inlineStr">
        <is>
          <t>5 tháng trước</t>
        </is>
      </c>
      <c r="G1426" s="61" t="n">
        <v>150</v>
      </c>
      <c r="H1426" s="62" t="n">
        <v>0</v>
      </c>
      <c r="I1426" s="9" t="inlineStr">
        <is>
          <t>Dog Breeder / Trại chó chuyên nghiệp (28-30đ)</t>
        </is>
      </c>
      <c r="J1426" s="62" t="n">
        <v>28</v>
      </c>
      <c r="K1426" s="9" t="inlineStr">
        <is>
          <t>French Bulldog</t>
        </is>
      </c>
      <c r="L1426" s="62" t="n">
        <v>10</v>
      </c>
      <c r="M1426" s="62" t="n">
        <v>0</v>
      </c>
      <c r="N1426" s="9" t="inlineStr">
        <is>
          <t>Amazon link not found</t>
        </is>
      </c>
      <c r="O1426" s="62">
        <f>IF(N1426="Selling pet toys + Artificial grass/Pet toilets (TARGET)",15,IF(N1426="Selling artificial grass/pet toilets (TARGET)",10,IF(N1426="Selling pet toys",7,IF(N1426="There's an Amazon link, but no target sales.",3,0))))</f>
        <v/>
      </c>
      <c r="P1426" s="67">
        <f>H1426+J1426+L1426+M1426+O1426</f>
        <v/>
      </c>
      <c r="Q1426" s="68">
        <f>IF(OR(H1426=0,P1426&lt;30),"Tier D (Đóng băng)",IF(P1426&gt;=85,"Tier S (Kim Cương: 85-100đ)",IF(P1426&gt;=70,"Tier A (Vàng: 70-84đ)",IF(P1426&gt;=61,"Tier B+ / Cấp A (Hot Lead: 61-69đ)",IF(P1426&gt;=50,"Tier B (Bạc: 50-60đ)","Tier C (Đồng: 30-49đ)")))))</f>
        <v/>
      </c>
      <c r="R1426" s="9" t="inlineStr">
        <is>
          <t>Trọn gói Take-Home Starter Kit V2/V3 (Cỏ nhân tạo + Khay Potty + Đồ chơi Teething/Snuggle)</t>
        </is>
      </c>
      <c r="S1426" s="9" t="inlineStr">
        <is>
          <t>Đóng băng tương tác (&gt;30 ngày): Lưu trữ chờ kích hoạt lại, không tốn tài nguyên Sales</t>
        </is>
      </c>
    </row>
    <row r="1427">
      <c r="A1427" s="53" t="n">
        <v>1448</v>
      </c>
      <c r="B1427" s="12" t="inlineStr">
        <is>
          <t>Frenchie_lamarbosa</t>
        </is>
      </c>
      <c r="C1427" s="54" t="inlineStr">
        <is>
          <t>https://www.facebook.com/frenchielamarbosa</t>
        </is>
      </c>
      <c r="D1427" s="6" t="inlineStr">
        <is>
          <t>Cần quét Bio Fanpage</t>
        </is>
      </c>
      <c r="E1427" s="53" t="inlineStr">
        <is>
          <t>03/05/2026 17:15:39</t>
        </is>
      </c>
      <c r="F1427" s="53" t="inlineStr">
        <is>
          <t>5 tháng trước</t>
        </is>
      </c>
      <c r="G1427" s="55" t="n">
        <v>150</v>
      </c>
      <c r="H1427" s="56" t="n">
        <v>0</v>
      </c>
      <c r="I1427" s="6" t="inlineStr">
        <is>
          <t>Dog Breeder / Trại nhân giống (28-30đ)</t>
        </is>
      </c>
      <c r="J1427" s="56" t="n">
        <v>28</v>
      </c>
      <c r="K1427" s="6" t="inlineStr">
        <is>
          <t>French Bulldog</t>
        </is>
      </c>
      <c r="L1427" s="56" t="n">
        <v>10</v>
      </c>
      <c r="M1427" s="56" t="n">
        <v>0</v>
      </c>
      <c r="N1427" s="6" t="inlineStr">
        <is>
          <t>Amazon link not found</t>
        </is>
      </c>
      <c r="O1427" s="56">
        <f>IF(N1427="Selling pet toys + Artificial grass/Pet toilets (TARGET)",15,IF(N1427="Selling artificial grass/pet toilets (TARGET)",10,IF(N1427="Selling pet toys",7,IF(N1427="There's an Amazon link, but no target sales.",3,0))))</f>
        <v/>
      </c>
      <c r="P1427" s="65">
        <f>H1427+J1427+L1427+M1427+O1427</f>
        <v/>
      </c>
      <c r="Q1427" s="68">
        <f>IF(OR(H1427=0,P1427&lt;30),"Tier D (Đóng băng)",IF(P1427&gt;=85,"Tier S (Kim Cương: 85-100đ)",IF(P1427&gt;=70,"Tier A (Vàng: 70-84đ)",IF(P1427&gt;=61,"Tier B+ / Cấp A (Hot Lead: 61-69đ)",IF(P1427&gt;=50,"Tier B (Bạc: 50-60đ)","Tier C (Đồng: 30-49đ)")))))</f>
        <v/>
      </c>
      <c r="R1427" s="6" t="inlineStr">
        <is>
          <t>Trọn gói Take-Home Starter Kit V2/V3 (Cỏ nhân tạo + Khay Potty + Đồ chơi cún con)</t>
        </is>
      </c>
      <c r="S1427" s="6" t="inlineStr">
        <is>
          <t>Đóng băng tương tác (&gt;30 ngày): Lưu trữ chờ kích hoạt lại, không tốn tài nguyên Sales</t>
        </is>
      </c>
    </row>
    <row r="1428">
      <c r="A1428" s="59" t="n">
        <v>2290</v>
      </c>
      <c r="B1428" s="15" t="inlineStr">
        <is>
          <t>Ngakautoa Bulldogs</t>
        </is>
      </c>
      <c r="C1428" s="60" t="inlineStr">
        <is>
          <t>https://www.facebook.com/ngakautoabulldogs</t>
        </is>
      </c>
      <c r="D1428" s="9" t="inlineStr">
        <is>
          <t>Cần quét Bio Fanpage</t>
        </is>
      </c>
      <c r="E1428" s="59" t="inlineStr">
        <is>
          <t>01/05/2026 06:22:59</t>
        </is>
      </c>
      <c r="F1428" s="59" t="inlineStr">
        <is>
          <t>5 tháng trước</t>
        </is>
      </c>
      <c r="G1428" s="61" t="n">
        <v>150</v>
      </c>
      <c r="H1428" s="62" t="n">
        <v>0</v>
      </c>
      <c r="I1428" s="9" t="inlineStr">
        <is>
          <t>Dog Breeder / Trại chó chuyên nghiệp (28-30đ)</t>
        </is>
      </c>
      <c r="J1428" s="62" t="n">
        <v>28</v>
      </c>
      <c r="K1428" s="9" t="inlineStr">
        <is>
          <t>English Bulldog</t>
        </is>
      </c>
      <c r="L1428" s="62" t="n">
        <v>10</v>
      </c>
      <c r="M1428" s="62" t="n">
        <v>0</v>
      </c>
      <c r="N1428" s="9" t="inlineStr">
        <is>
          <t>Amazon link not found</t>
        </is>
      </c>
      <c r="O1428" s="62">
        <f>IF(N1428="Selling pet toys + Artificial grass/Pet toilets (TARGET)",15,IF(N1428="Selling artificial grass/pet toilets (TARGET)",10,IF(N1428="Selling pet toys",7,IF(N1428="There's an Amazon link, but no target sales.",3,0))))</f>
        <v/>
      </c>
      <c r="P1428" s="67">
        <f>H1428+J1428+L1428+M1428+O1428</f>
        <v/>
      </c>
      <c r="Q1428" s="68">
        <f>IF(OR(H1428=0,P1428&lt;30),"Tier D (Đóng băng)",IF(P1428&gt;=85,"Tier S (Kim Cương: 85-100đ)",IF(P1428&gt;=70,"Tier A (Vàng: 70-84đ)",IF(P1428&gt;=61,"Tier B+ / Cấp A (Hot Lead: 61-69đ)",IF(P1428&gt;=50,"Tier B (Bạc: 50-60đ)","Tier C (Đồng: 30-49đ)")))))</f>
        <v/>
      </c>
      <c r="R1428" s="9" t="inlineStr">
        <is>
          <t>Trọn gói Take-Home Starter Kit V2/V3 (Cỏ nhân tạo + Khay Potty + Đồ chơi Teething/Snuggle)</t>
        </is>
      </c>
      <c r="S1428" s="9" t="inlineStr">
        <is>
          <t>Đóng băng tương tác (&gt;30 ngày): Lưu trữ chờ kích hoạt lại, không tốn tài nguyên Sales</t>
        </is>
      </c>
    </row>
    <row r="1429">
      <c r="A1429" s="53" t="n">
        <v>2086</v>
      </c>
      <c r="B1429" s="12" t="inlineStr">
        <is>
          <t>M4 Bullies</t>
        </is>
      </c>
      <c r="C1429" s="54" t="inlineStr">
        <is>
          <t>https://www.facebook.com/m4bullies</t>
        </is>
      </c>
      <c r="D1429" s="6" t="inlineStr">
        <is>
          <t>Cần quét Bio Fanpage</t>
        </is>
      </c>
      <c r="E1429" s="53" t="inlineStr">
        <is>
          <t>27/04/2026 05:48:33</t>
        </is>
      </c>
      <c r="F1429" s="53" t="inlineStr">
        <is>
          <t>5 tháng trước</t>
        </is>
      </c>
      <c r="G1429" s="55" t="n">
        <v>150</v>
      </c>
      <c r="H1429" s="56" t="n">
        <v>0</v>
      </c>
      <c r="I1429" s="6" t="inlineStr">
        <is>
          <t>Dog Breeder / Trại chó chuyên nghiệp (28-30đ)</t>
        </is>
      </c>
      <c r="J1429" s="56" t="n">
        <v>28</v>
      </c>
      <c r="K1429" s="6" t="inlineStr">
        <is>
          <t>American Bully / Bully</t>
        </is>
      </c>
      <c r="L1429" s="56" t="n">
        <v>10</v>
      </c>
      <c r="M1429" s="56" t="n">
        <v>0</v>
      </c>
      <c r="N1429" s="6" t="inlineStr">
        <is>
          <t>Amazon link not found</t>
        </is>
      </c>
      <c r="O1429" s="56">
        <f>IF(N1429="Selling pet toys + Artificial grass/Pet toilets (TARGET)",15,IF(N1429="Selling artificial grass/pet toilets (TARGET)",10,IF(N1429="Selling pet toys",7,IF(N1429="There's an Amazon link, but no target sales.",3,0))))</f>
        <v/>
      </c>
      <c r="P1429" s="65">
        <f>H1429+J1429+L1429+M1429+O1429</f>
        <v/>
      </c>
      <c r="Q1429" s="68">
        <f>IF(OR(H1429=0,P1429&lt;30),"Tier D (Đóng băng)",IF(P1429&gt;=85,"Tier S (Kim Cương: 85-100đ)",IF(P1429&gt;=70,"Tier A (Vàng: 70-84đ)",IF(P1429&gt;=61,"Tier B+ / Cấp A (Hot Lead: 61-69đ)",IF(P1429&gt;=50,"Tier B (Bạc: 50-60đ)","Tier C (Đồng: 30-49đ)")))))</f>
        <v/>
      </c>
      <c r="R1429" s="6" t="inlineStr">
        <is>
          <t>Trọn gói Take-Home Starter Kit V2/V3 (Cỏ nhân tạo + Khay Potty + Đồ chơi Teething/Snuggle)</t>
        </is>
      </c>
      <c r="S1429" s="6" t="inlineStr">
        <is>
          <t>Đóng băng tương tác (&gt;30 ngày): Lưu trữ chờ kích hoạt lại, không tốn tài nguyên Sales</t>
        </is>
      </c>
    </row>
    <row r="1430">
      <c r="A1430" s="59" t="n">
        <v>670</v>
      </c>
      <c r="B1430" s="15" t="inlineStr">
        <is>
          <t>Big Rig Frenchies</t>
        </is>
      </c>
      <c r="C1430" s="60" t="inlineStr">
        <is>
          <t>https://www.facebook.com/bigrigfrenchies</t>
        </is>
      </c>
      <c r="D1430" s="9" t="inlineStr">
        <is>
          <t>Cần quét Bio Fanpage</t>
        </is>
      </c>
      <c r="E1430" s="59" t="inlineStr">
        <is>
          <t>26/04/2026 01:10:51</t>
        </is>
      </c>
      <c r="F1430" s="59" t="inlineStr">
        <is>
          <t>5 tháng trước</t>
        </is>
      </c>
      <c r="G1430" s="61" t="n">
        <v>150</v>
      </c>
      <c r="H1430" s="62" t="n">
        <v>0</v>
      </c>
      <c r="I1430" s="9" t="inlineStr">
        <is>
          <t>Dog Breeder / Trại chó chuyên nghiệp (28-30đ)</t>
        </is>
      </c>
      <c r="J1430" s="62" t="n">
        <v>28</v>
      </c>
      <c r="K1430" s="9" t="inlineStr">
        <is>
          <t>French Bulldog</t>
        </is>
      </c>
      <c r="L1430" s="62" t="n">
        <v>10</v>
      </c>
      <c r="M1430" s="62" t="n">
        <v>0</v>
      </c>
      <c r="N1430" s="9" t="inlineStr">
        <is>
          <t>Amazon link not found</t>
        </is>
      </c>
      <c r="O1430" s="62">
        <f>IF(N1430="Selling pet toys + Artificial grass/Pet toilets (TARGET)",15,IF(N1430="Selling artificial grass/pet toilets (TARGET)",10,IF(N1430="Selling pet toys",7,IF(N1430="There's an Amazon link, but no target sales.",3,0))))</f>
        <v/>
      </c>
      <c r="P1430" s="67">
        <f>H1430+J1430+L1430+M1430+O1430</f>
        <v/>
      </c>
      <c r="Q1430" s="68">
        <f>IF(OR(H1430=0,P1430&lt;30),"Tier D (Đóng băng)",IF(P1430&gt;=85,"Tier S (Kim Cương: 85-100đ)",IF(P1430&gt;=70,"Tier A (Vàng: 70-84đ)",IF(P1430&gt;=61,"Tier B+ / Cấp A (Hot Lead: 61-69đ)",IF(P1430&gt;=50,"Tier B (Bạc: 50-60đ)","Tier C (Đồng: 30-49đ)")))))</f>
        <v/>
      </c>
      <c r="R1430" s="9" t="inlineStr">
        <is>
          <t>Trọn gói Take-Home Starter Kit V2/V3 (Cỏ nhân tạo + Khay Potty + Đồ chơi Teething/Snuggle)</t>
        </is>
      </c>
      <c r="S1430" s="9" t="inlineStr">
        <is>
          <t>Đóng băng tương tác (&gt;30 ngày): Lưu trữ chờ kích hoạt lại, không tốn tài nguyên Sales</t>
        </is>
      </c>
    </row>
    <row r="1431">
      <c r="A1431" s="53" t="n">
        <v>2779</v>
      </c>
      <c r="B1431" s="12" t="inlineStr">
        <is>
          <t>Rose City Frenchies</t>
        </is>
      </c>
      <c r="C1431" s="54" t="inlineStr">
        <is>
          <t>https://www.facebook.com/RoseCityFrenchies</t>
        </is>
      </c>
      <c r="D1431" s="6" t="inlineStr">
        <is>
          <t>Cần quét Bio Fanpage</t>
        </is>
      </c>
      <c r="E1431" s="53" t="inlineStr">
        <is>
          <t>19/04/2026 00:25:40</t>
        </is>
      </c>
      <c r="F1431" s="53" t="inlineStr">
        <is>
          <t>5 tháng trước</t>
        </is>
      </c>
      <c r="G1431" s="55" t="n">
        <v>150</v>
      </c>
      <c r="H1431" s="56" t="n">
        <v>0</v>
      </c>
      <c r="I1431" s="6" t="inlineStr">
        <is>
          <t>Dog Breeder / Trại chó chuyên nghiệp (28-30đ)</t>
        </is>
      </c>
      <c r="J1431" s="56" t="n">
        <v>28</v>
      </c>
      <c r="K1431" s="6" t="inlineStr">
        <is>
          <t>French Bulldog</t>
        </is>
      </c>
      <c r="L1431" s="56" t="n">
        <v>10</v>
      </c>
      <c r="M1431" s="56" t="n">
        <v>0</v>
      </c>
      <c r="N1431" s="6" t="inlineStr">
        <is>
          <t>Amazon link not found</t>
        </is>
      </c>
      <c r="O1431" s="56">
        <f>IF(N1431="Selling pet toys + Artificial grass/Pet toilets (TARGET)",15,IF(N1431="Selling artificial grass/pet toilets (TARGET)",10,IF(N1431="Selling pet toys",7,IF(N1431="There's an Amazon link, but no target sales.",3,0))))</f>
        <v/>
      </c>
      <c r="P1431" s="65">
        <f>H1431+J1431+L1431+M1431+O1431</f>
        <v/>
      </c>
      <c r="Q1431" s="68">
        <f>IF(OR(H1431=0,P1431&lt;30),"Tier D (Đóng băng)",IF(P1431&gt;=85,"Tier S (Kim Cương: 85-100đ)",IF(P1431&gt;=70,"Tier A (Vàng: 70-84đ)",IF(P1431&gt;=61,"Tier B+ / Cấp A (Hot Lead: 61-69đ)",IF(P1431&gt;=50,"Tier B (Bạc: 50-60đ)","Tier C (Đồng: 30-49đ)")))))</f>
        <v/>
      </c>
      <c r="R1431" s="6" t="inlineStr">
        <is>
          <t>Trọn gói Take-Home Starter Kit V2/V3 (Cỏ nhân tạo + Khay Potty + Đồ chơi Teething/Snuggle)</t>
        </is>
      </c>
      <c r="S1431" s="6" t="inlineStr">
        <is>
          <t>Đóng băng tương tác (&gt;30 ngày): Lưu trữ chờ kích hoạt lại, không tốn tài nguyên Sales</t>
        </is>
      </c>
    </row>
    <row r="1432">
      <c r="A1432" s="59" t="n">
        <v>1559</v>
      </c>
      <c r="B1432" s="15" t="inlineStr">
        <is>
          <t>Green Haven Bulldogs</t>
        </is>
      </c>
      <c r="C1432" s="60" t="inlineStr">
        <is>
          <t>https://www.facebook.com/greenhavenbulldogs</t>
        </is>
      </c>
      <c r="D1432" s="9" t="inlineStr">
        <is>
          <t>Cần quét Bio Fanpage</t>
        </is>
      </c>
      <c r="E1432" s="59" t="inlineStr">
        <is>
          <t>16/04/2026 02:34:50</t>
        </is>
      </c>
      <c r="F1432" s="59" t="inlineStr">
        <is>
          <t>6 tháng trước</t>
        </is>
      </c>
      <c r="G1432" s="61" t="n">
        <v>180</v>
      </c>
      <c r="H1432" s="62" t="n">
        <v>0</v>
      </c>
      <c r="I1432" s="9" t="inlineStr">
        <is>
          <t>Dog Breeder / Trại chó chuyên nghiệp (28-30đ)</t>
        </is>
      </c>
      <c r="J1432" s="62" t="n">
        <v>28</v>
      </c>
      <c r="K1432" s="9" t="inlineStr">
        <is>
          <t>English Bulldog</t>
        </is>
      </c>
      <c r="L1432" s="62" t="n">
        <v>10</v>
      </c>
      <c r="M1432" s="62" t="n">
        <v>0</v>
      </c>
      <c r="N1432" s="9" t="inlineStr">
        <is>
          <t>Amazon link not found</t>
        </is>
      </c>
      <c r="O1432" s="62">
        <f>IF(N1432="Selling pet toys + Artificial grass/Pet toilets (TARGET)",15,IF(N1432="Selling artificial grass/pet toilets (TARGET)",10,IF(N1432="Selling pet toys",7,IF(N1432="There's an Amazon link, but no target sales.",3,0))))</f>
        <v/>
      </c>
      <c r="P1432" s="67">
        <f>H1432+J1432+L1432+M1432+O1432</f>
        <v/>
      </c>
      <c r="Q1432" s="68">
        <f>IF(OR(H1432=0,P1432&lt;30),"Tier D (Đóng băng)",IF(P1432&gt;=85,"Tier S (Kim Cương: 85-100đ)",IF(P1432&gt;=70,"Tier A (Vàng: 70-84đ)",IF(P1432&gt;=61,"Tier B+ / Cấp A (Hot Lead: 61-69đ)",IF(P1432&gt;=50,"Tier B (Bạc: 50-60đ)","Tier C (Đồng: 30-49đ)")))))</f>
        <v/>
      </c>
      <c r="R1432" s="9" t="inlineStr">
        <is>
          <t>Trọn gói Take-Home Starter Kit V2/V3 (Cỏ nhân tạo + Khay Potty + Đồ chơi Teething/Snuggle)</t>
        </is>
      </c>
      <c r="S1432" s="9" t="inlineStr">
        <is>
          <t>Đóng băng tương tác (&gt;30 ngày): Lưu trữ chờ kích hoạt lại, không tốn tài nguyên Sales</t>
        </is>
      </c>
    </row>
    <row r="1433">
      <c r="A1433" s="53" t="n">
        <v>2322</v>
      </c>
      <c r="B1433" s="12" t="inlineStr">
        <is>
          <t>Northside Frenchies</t>
        </is>
      </c>
      <c r="C1433" s="54" t="inlineStr">
        <is>
          <t>https://www.facebook.com/CapitalBottles613</t>
        </is>
      </c>
      <c r="D1433" s="6" t="inlineStr">
        <is>
          <t>Cần quét Bio Fanpage</t>
        </is>
      </c>
      <c r="E1433" s="53" t="inlineStr">
        <is>
          <t>19/03/2026 21:19:48</t>
        </is>
      </c>
      <c r="F1433" s="53" t="inlineStr">
        <is>
          <t>6 tháng trước</t>
        </is>
      </c>
      <c r="G1433" s="55" t="n">
        <v>180</v>
      </c>
      <c r="H1433" s="56" t="n">
        <v>0</v>
      </c>
      <c r="I1433" s="6" t="inlineStr">
        <is>
          <t>Dog Breeder / Trại chó chuyên nghiệp (28-30đ)</t>
        </is>
      </c>
      <c r="J1433" s="56" t="n">
        <v>28</v>
      </c>
      <c r="K1433" s="6" t="inlineStr">
        <is>
          <t>French Bulldog</t>
        </is>
      </c>
      <c r="L1433" s="56" t="n">
        <v>10</v>
      </c>
      <c r="M1433" s="56" t="n">
        <v>0</v>
      </c>
      <c r="N1433" s="6" t="inlineStr">
        <is>
          <t>Amazon link not found</t>
        </is>
      </c>
      <c r="O1433" s="56">
        <f>IF(N1433="Selling pet toys + Artificial grass/Pet toilets (TARGET)",15,IF(N1433="Selling artificial grass/pet toilets (TARGET)",10,IF(N1433="Selling pet toys",7,IF(N1433="There's an Amazon link, but no target sales.",3,0))))</f>
        <v/>
      </c>
      <c r="P1433" s="65">
        <f>H1433+J1433+L1433+M1433+O1433</f>
        <v/>
      </c>
      <c r="Q1433" s="68">
        <f>IF(OR(H1433=0,P1433&lt;30),"Tier D (Đóng băng)",IF(P1433&gt;=85,"Tier S (Kim Cương: 85-100đ)",IF(P1433&gt;=70,"Tier A (Vàng: 70-84đ)",IF(P1433&gt;=61,"Tier B+ / Cấp A (Hot Lead: 61-69đ)",IF(P1433&gt;=50,"Tier B (Bạc: 50-60đ)","Tier C (Đồng: 30-49đ)")))))</f>
        <v/>
      </c>
      <c r="R1433" s="6" t="inlineStr">
        <is>
          <t>Trọn gói Take-Home Starter Kit V2/V3 (Cỏ nhân tạo + Khay Potty + Đồ chơi Teething/Snuggle)</t>
        </is>
      </c>
      <c r="S1433" s="6" t="inlineStr">
        <is>
          <t>Đóng băng tương tác (&gt;30 ngày): Lưu trữ chờ kích hoạt lại, không tốn tài nguyên Sales</t>
        </is>
      </c>
    </row>
    <row r="1434">
      <c r="A1434" s="59" t="n">
        <v>970</v>
      </c>
      <c r="B1434" s="15" t="inlineStr">
        <is>
          <t>Cruzin Bullies</t>
        </is>
      </c>
      <c r="C1434" s="60" t="inlineStr">
        <is>
          <t>https://www.facebook.com/cruzinbullies</t>
        </is>
      </c>
      <c r="D1434" s="9" t="inlineStr">
        <is>
          <t>Cần quét Bio Fanpage</t>
        </is>
      </c>
      <c r="E1434" s="59" t="inlineStr">
        <is>
          <t>18/03/2026 21:55:16</t>
        </is>
      </c>
      <c r="F1434" s="59" t="inlineStr">
        <is>
          <t>6 tháng trước</t>
        </is>
      </c>
      <c r="G1434" s="61" t="n">
        <v>180</v>
      </c>
      <c r="H1434" s="62" t="n">
        <v>0</v>
      </c>
      <c r="I1434" s="9" t="inlineStr">
        <is>
          <t>Dog Breeder / Trại chó chuyên nghiệp (28-30đ)</t>
        </is>
      </c>
      <c r="J1434" s="62" t="n">
        <v>28</v>
      </c>
      <c r="K1434" s="9" t="inlineStr">
        <is>
          <t>American Bully / Bully</t>
        </is>
      </c>
      <c r="L1434" s="62" t="n">
        <v>10</v>
      </c>
      <c r="M1434" s="62" t="n">
        <v>0</v>
      </c>
      <c r="N1434" s="9" t="inlineStr">
        <is>
          <t>Amazon link not found</t>
        </is>
      </c>
      <c r="O1434" s="62">
        <f>IF(N1434="Selling pet toys + Artificial grass/Pet toilets (TARGET)",15,IF(N1434="Selling artificial grass/pet toilets (TARGET)",10,IF(N1434="Selling pet toys",7,IF(N1434="There's an Amazon link, but no target sales.",3,0))))</f>
        <v/>
      </c>
      <c r="P1434" s="67">
        <f>H1434+J1434+L1434+M1434+O1434</f>
        <v/>
      </c>
      <c r="Q1434" s="68">
        <f>IF(OR(H1434=0,P1434&lt;30),"Tier D (Đóng băng)",IF(P1434&gt;=85,"Tier S (Kim Cương: 85-100đ)",IF(P1434&gt;=70,"Tier A (Vàng: 70-84đ)",IF(P1434&gt;=61,"Tier B+ / Cấp A (Hot Lead: 61-69đ)",IF(P1434&gt;=50,"Tier B (Bạc: 50-60đ)","Tier C (Đồng: 30-49đ)")))))</f>
        <v/>
      </c>
      <c r="R1434" s="9" t="inlineStr">
        <is>
          <t>Trọn gói Take-Home Starter Kit V2/V3 (Cỏ nhân tạo + Khay Potty + Đồ chơi Teething/Snuggle)</t>
        </is>
      </c>
      <c r="S1434" s="9" t="inlineStr">
        <is>
          <t>Đóng băng tương tác (&gt;30 ngày): Lưu trữ chờ kích hoạt lại, không tốn tài nguyên Sales</t>
        </is>
      </c>
    </row>
    <row r="1435">
      <c r="A1435" s="53" t="n">
        <v>1490</v>
      </c>
      <c r="B1435" s="12" t="inlineStr">
        <is>
          <t>Gemstone Bulldogges</t>
        </is>
      </c>
      <c r="C1435" s="54" t="inlineStr">
        <is>
          <t>https://www.facebook.com/gemstonebulldogges</t>
        </is>
      </c>
      <c r="D1435" s="6" t="inlineStr">
        <is>
          <t>Cần quét Bio Fanpage</t>
        </is>
      </c>
      <c r="E1435" s="53" t="inlineStr">
        <is>
          <t>09/03/2026 02:30:23</t>
        </is>
      </c>
      <c r="F1435" s="53" t="inlineStr">
        <is>
          <t>7 tháng trước</t>
        </is>
      </c>
      <c r="G1435" s="55" t="n">
        <v>210</v>
      </c>
      <c r="H1435" s="56" t="n">
        <v>0</v>
      </c>
      <c r="I1435" s="6" t="inlineStr">
        <is>
          <t>Dog Breeder / Trại chó chuyên nghiệp (28-30đ)</t>
        </is>
      </c>
      <c r="J1435" s="56" t="n">
        <v>28</v>
      </c>
      <c r="K1435" s="6" t="inlineStr">
        <is>
          <t>English Bulldog</t>
        </is>
      </c>
      <c r="L1435" s="56" t="n">
        <v>10</v>
      </c>
      <c r="M1435" s="56" t="n">
        <v>0</v>
      </c>
      <c r="N1435" s="6" t="inlineStr">
        <is>
          <t>Amazon link not found</t>
        </is>
      </c>
      <c r="O1435" s="56">
        <f>IF(N1435="Selling pet toys + Artificial grass/Pet toilets (TARGET)",15,IF(N1435="Selling artificial grass/pet toilets (TARGET)",10,IF(N1435="Selling pet toys",7,IF(N1435="There's an Amazon link, but no target sales.",3,0))))</f>
        <v/>
      </c>
      <c r="P1435" s="65">
        <f>H1435+J1435+L1435+M1435+O1435</f>
        <v/>
      </c>
      <c r="Q1435" s="68">
        <f>IF(OR(H1435=0,P1435&lt;30),"Tier D (Đóng băng)",IF(P1435&gt;=85,"Tier S (Kim Cương: 85-100đ)",IF(P1435&gt;=70,"Tier A (Vàng: 70-84đ)",IF(P1435&gt;=61,"Tier B+ / Cấp A (Hot Lead: 61-69đ)",IF(P1435&gt;=50,"Tier B (Bạc: 50-60đ)","Tier C (Đồng: 30-49đ)")))))</f>
        <v/>
      </c>
      <c r="R1435" s="6" t="inlineStr">
        <is>
          <t>Trọn gói Take-Home Starter Kit V2/V3 (Cỏ nhân tạo + Khay Potty + Đồ chơi Teething/Snuggle)</t>
        </is>
      </c>
      <c r="S1435" s="6" t="inlineStr">
        <is>
          <t>Đóng băng tương tác (&gt;30 ngày): Lưu trữ chờ kích hoạt lại, không tốn tài nguyên Sales</t>
        </is>
      </c>
    </row>
    <row r="1436">
      <c r="A1436" s="59" t="n">
        <v>595</v>
      </c>
      <c r="B1436" s="15" t="inlineStr">
        <is>
          <t>Barkley the French Bulldog</t>
        </is>
      </c>
      <c r="C1436" s="60" t="inlineStr">
        <is>
          <t>https://www.facebook.com/BarkleySC</t>
        </is>
      </c>
      <c r="D1436" s="9" t="inlineStr">
        <is>
          <t>Cần quét Bio Fanpage</t>
        </is>
      </c>
      <c r="E1436" s="59" t="inlineStr">
        <is>
          <t>09/02/2026 01:18:20</t>
        </is>
      </c>
      <c r="F1436" s="59" t="inlineStr">
        <is>
          <t>8 tháng trước</t>
        </is>
      </c>
      <c r="G1436" s="61" t="n">
        <v>240</v>
      </c>
      <c r="H1436" s="62" t="n">
        <v>0</v>
      </c>
      <c r="I1436" s="9" t="inlineStr">
        <is>
          <t>Dog Breeder / Trại nhân giống (28-30đ)</t>
        </is>
      </c>
      <c r="J1436" s="62" t="n">
        <v>28</v>
      </c>
      <c r="K1436" s="9" t="inlineStr">
        <is>
          <t>French Bulldog</t>
        </is>
      </c>
      <c r="L1436" s="62" t="n">
        <v>10</v>
      </c>
      <c r="M1436" s="62" t="n">
        <v>0</v>
      </c>
      <c r="N1436" s="9" t="inlineStr">
        <is>
          <t>Amazon link not found</t>
        </is>
      </c>
      <c r="O1436" s="62">
        <f>IF(N1436="Selling pet toys + Artificial grass/Pet toilets (TARGET)",15,IF(N1436="Selling artificial grass/pet toilets (TARGET)",10,IF(N1436="Selling pet toys",7,IF(N1436="There's an Amazon link, but no target sales.",3,0))))</f>
        <v/>
      </c>
      <c r="P1436" s="67">
        <f>H1436+J1436+L1436+M1436+O1436</f>
        <v/>
      </c>
      <c r="Q1436" s="68">
        <f>IF(OR(H1436=0,P1436&lt;30),"Tier D (Đóng băng)",IF(P1436&gt;=85,"Tier S (Kim Cương: 85-100đ)",IF(P1436&gt;=70,"Tier A (Vàng: 70-84đ)",IF(P1436&gt;=61,"Tier B+ / Cấp A (Hot Lead: 61-69đ)",IF(P1436&gt;=50,"Tier B (Bạc: 50-60đ)","Tier C (Đồng: 30-49đ)")))))</f>
        <v/>
      </c>
      <c r="R1436" s="9" t="inlineStr">
        <is>
          <t>Trọn gói Take-Home Starter Kit V2/V3 (Cỏ nhân tạo + Khay Potty + Đồ chơi cún con)</t>
        </is>
      </c>
      <c r="S1436" s="9" t="inlineStr">
        <is>
          <t>Đóng băng tương tác (&gt;30 ngày): Lưu trữ chờ kích hoạt lại, không tốn tài nguyên Sales</t>
        </is>
      </c>
    </row>
    <row r="1437">
      <c r="A1437" s="53" t="n">
        <v>2026</v>
      </c>
      <c r="B1437" s="12" t="inlineStr">
        <is>
          <t>Lindor French Bulldogs</t>
        </is>
      </c>
      <c r="C1437" s="54" t="inlineStr">
        <is>
          <t>https://www.facebook.com/lindorfrenchbulldogs</t>
        </is>
      </c>
      <c r="D1437" s="6" t="inlineStr">
        <is>
          <t>Cần quét Bio Fanpage</t>
        </is>
      </c>
      <c r="E1437" s="53" t="inlineStr">
        <is>
          <t>20/01/2026 23:14:34</t>
        </is>
      </c>
      <c r="F1437" s="53" t="inlineStr">
        <is>
          <t>8 tháng trước</t>
        </is>
      </c>
      <c r="G1437" s="55" t="n">
        <v>240</v>
      </c>
      <c r="H1437" s="56" t="n">
        <v>0</v>
      </c>
      <c r="I1437" s="6" t="inlineStr">
        <is>
          <t>Dog Breeder / Trại chó chuyên nghiệp (28-30đ)</t>
        </is>
      </c>
      <c r="J1437" s="56" t="n">
        <v>28</v>
      </c>
      <c r="K1437" s="6" t="inlineStr">
        <is>
          <t>French Bulldog</t>
        </is>
      </c>
      <c r="L1437" s="56" t="n">
        <v>10</v>
      </c>
      <c r="M1437" s="56" t="n">
        <v>0</v>
      </c>
      <c r="N1437" s="6" t="inlineStr">
        <is>
          <t>Amazon link not found</t>
        </is>
      </c>
      <c r="O1437" s="56">
        <f>IF(N1437="Selling pet toys + Artificial grass/Pet toilets (TARGET)",15,IF(N1437="Selling artificial grass/pet toilets (TARGET)",10,IF(N1437="Selling pet toys",7,IF(N1437="There's an Amazon link, but no target sales.",3,0))))</f>
        <v/>
      </c>
      <c r="P1437" s="65">
        <f>H1437+J1437+L1437+M1437+O1437</f>
        <v/>
      </c>
      <c r="Q1437" s="68">
        <f>IF(OR(H1437=0,P1437&lt;30),"Tier D (Đóng băng)",IF(P1437&gt;=85,"Tier S (Kim Cương: 85-100đ)",IF(P1437&gt;=70,"Tier A (Vàng: 70-84đ)",IF(P1437&gt;=61,"Tier B+ / Cấp A (Hot Lead: 61-69đ)",IF(P1437&gt;=50,"Tier B (Bạc: 50-60đ)","Tier C (Đồng: 30-49đ)")))))</f>
        <v/>
      </c>
      <c r="R1437" s="6" t="inlineStr">
        <is>
          <t>Trọn gói Take-Home Starter Kit V2/V3 (Cỏ nhân tạo + Khay Potty + Đồ chơi Teething/Snuggle)</t>
        </is>
      </c>
      <c r="S1437" s="6" t="inlineStr">
        <is>
          <t>Đóng băng tương tác (&gt;30 ngày): Lưu trữ chờ kích hoạt lại, không tốn tài nguyên Sales</t>
        </is>
      </c>
    </row>
    <row r="1438">
      <c r="A1438" s="59" t="n">
        <v>1856</v>
      </c>
      <c r="B1438" s="15" t="inlineStr">
        <is>
          <t>KCI Champion Dog GSD</t>
        </is>
      </c>
      <c r="C1438" s="60" t="inlineStr">
        <is>
          <t>https://www.facebook.com/KCIChampionDog</t>
        </is>
      </c>
      <c r="D1438" s="9" t="inlineStr">
        <is>
          <t>Cần quét Bio Fanpage</t>
        </is>
      </c>
      <c r="E1438" s="59" t="inlineStr">
        <is>
          <t>18/01/2026 18:20:33</t>
        </is>
      </c>
      <c r="F1438" s="59" t="inlineStr">
        <is>
          <t>8 tháng trước</t>
        </is>
      </c>
      <c r="G1438" s="61" t="n">
        <v>240</v>
      </c>
      <c r="H1438" s="62" t="n">
        <v>0</v>
      </c>
      <c r="I1438" s="9" t="inlineStr">
        <is>
          <t>Dog Breeder / Trại nhân giống (28-30đ)</t>
        </is>
      </c>
      <c r="J1438" s="62" t="n">
        <v>28</v>
      </c>
      <c r="K1438" s="9" t="inlineStr">
        <is>
          <t>German Shepherd</t>
        </is>
      </c>
      <c r="L1438" s="62" t="n">
        <v>10</v>
      </c>
      <c r="M1438" s="62" t="n">
        <v>0</v>
      </c>
      <c r="N1438" s="9" t="inlineStr">
        <is>
          <t>Amazon link not found</t>
        </is>
      </c>
      <c r="O1438" s="62">
        <f>IF(N1438="Selling pet toys + Artificial grass/Pet toilets (TARGET)",15,IF(N1438="Selling artificial grass/pet toilets (TARGET)",10,IF(N1438="Selling pet toys",7,IF(N1438="There's an Amazon link, but no target sales.",3,0))))</f>
        <v/>
      </c>
      <c r="P1438" s="67">
        <f>H1438+J1438+L1438+M1438+O1438</f>
        <v/>
      </c>
      <c r="Q1438" s="68">
        <f>IF(OR(H1438=0,P1438&lt;30),"Tier D (Đóng băng)",IF(P1438&gt;=85,"Tier S (Kim Cương: 85-100đ)",IF(P1438&gt;=70,"Tier A (Vàng: 70-84đ)",IF(P1438&gt;=61,"Tier B+ / Cấp A (Hot Lead: 61-69đ)",IF(P1438&gt;=50,"Tier B (Bạc: 50-60đ)","Tier C (Đồng: 30-49đ)")))))</f>
        <v/>
      </c>
      <c r="R1438" s="9" t="inlineStr">
        <is>
          <t>Trọn gói Take-Home Starter Kit V2/V3 (Cỏ nhân tạo + Khay Potty + Đồ chơi cún con)</t>
        </is>
      </c>
      <c r="S1438" s="9" t="inlineStr">
        <is>
          <t>Đóng băng tương tác (&gt;30 ngày): Lưu trữ chờ kích hoạt lại, không tốn tài nguyên Sales</t>
        </is>
      </c>
    </row>
    <row r="1439">
      <c r="A1439" s="53" t="n">
        <v>1677</v>
      </c>
      <c r="B1439" s="12" t="inlineStr">
        <is>
          <t>Honey Hole Frenchies</t>
        </is>
      </c>
      <c r="C1439" s="54" t="inlineStr">
        <is>
          <t>https://www.facebook.com/honeyholefrenchies</t>
        </is>
      </c>
      <c r="D1439" s="6" t="inlineStr">
        <is>
          <t>Cần quét Bio Fanpage</t>
        </is>
      </c>
      <c r="E1439" s="53" t="inlineStr">
        <is>
          <t>16/01/2026 22:28:33</t>
        </is>
      </c>
      <c r="F1439" s="53" t="inlineStr">
        <is>
          <t>8 tháng trước</t>
        </is>
      </c>
      <c r="G1439" s="55" t="n">
        <v>240</v>
      </c>
      <c r="H1439" s="56" t="n">
        <v>0</v>
      </c>
      <c r="I1439" s="6" t="inlineStr">
        <is>
          <t>Dog Breeder / Trại chó chuyên nghiệp (28-30đ)</t>
        </is>
      </c>
      <c r="J1439" s="56" t="n">
        <v>28</v>
      </c>
      <c r="K1439" s="6" t="inlineStr">
        <is>
          <t>French Bulldog</t>
        </is>
      </c>
      <c r="L1439" s="56" t="n">
        <v>10</v>
      </c>
      <c r="M1439" s="56" t="n">
        <v>0</v>
      </c>
      <c r="N1439" s="6" t="inlineStr">
        <is>
          <t>Amazon link not found</t>
        </is>
      </c>
      <c r="O1439" s="56">
        <f>IF(N1439="Selling pet toys + Artificial grass/Pet toilets (TARGET)",15,IF(N1439="Selling artificial grass/pet toilets (TARGET)",10,IF(N1439="Selling pet toys",7,IF(N1439="There's an Amazon link, but no target sales.",3,0))))</f>
        <v/>
      </c>
      <c r="P1439" s="65">
        <f>H1439+J1439+L1439+M1439+O1439</f>
        <v/>
      </c>
      <c r="Q1439" s="68">
        <f>IF(OR(H1439=0,P1439&lt;30),"Tier D (Đóng băng)",IF(P1439&gt;=85,"Tier S (Kim Cương: 85-100đ)",IF(P1439&gt;=70,"Tier A (Vàng: 70-84đ)",IF(P1439&gt;=61,"Tier B+ / Cấp A (Hot Lead: 61-69đ)",IF(P1439&gt;=50,"Tier B (Bạc: 50-60đ)","Tier C (Đồng: 30-49đ)")))))</f>
        <v/>
      </c>
      <c r="R1439" s="6" t="inlineStr">
        <is>
          <t>Trọn gói Take-Home Starter Kit V2/V3 (Cỏ nhân tạo + Khay Potty + Đồ chơi Teething/Snuggle)</t>
        </is>
      </c>
      <c r="S1439" s="6" t="inlineStr">
        <is>
          <t>Đóng băng tương tác (&gt;30 ngày): Lưu trữ chờ kích hoạt lại, không tốn tài nguyên Sales</t>
        </is>
      </c>
    </row>
    <row r="1440">
      <c r="A1440" s="59" t="n">
        <v>2324</v>
      </c>
      <c r="B1440" s="15" t="inlineStr">
        <is>
          <t>Northwest Frenchies</t>
        </is>
      </c>
      <c r="C1440" s="60" t="inlineStr">
        <is>
          <t>https://www.facebook.com/nwfrenchies</t>
        </is>
      </c>
      <c r="D1440" s="9" t="inlineStr">
        <is>
          <t>Cần quét Bio Fanpage</t>
        </is>
      </c>
      <c r="E1440" s="59" t="inlineStr">
        <is>
          <t>12/01/2026 06:50:12</t>
        </is>
      </c>
      <c r="F1440" s="59" t="inlineStr">
        <is>
          <t>9 tháng trước</t>
        </is>
      </c>
      <c r="G1440" s="61" t="n">
        <v>270</v>
      </c>
      <c r="H1440" s="62" t="n">
        <v>0</v>
      </c>
      <c r="I1440" s="9" t="inlineStr">
        <is>
          <t>Dog Breeder / Trại chó chuyên nghiệp (28-30đ)</t>
        </is>
      </c>
      <c r="J1440" s="62" t="n">
        <v>28</v>
      </c>
      <c r="K1440" s="9" t="inlineStr">
        <is>
          <t>French Bulldog</t>
        </is>
      </c>
      <c r="L1440" s="62" t="n">
        <v>10</v>
      </c>
      <c r="M1440" s="62" t="n">
        <v>0</v>
      </c>
      <c r="N1440" s="9" t="inlineStr">
        <is>
          <t>Amazon link not found</t>
        </is>
      </c>
      <c r="O1440" s="62">
        <f>IF(N1440="Selling pet toys + Artificial grass/Pet toilets (TARGET)",15,IF(N1440="Selling artificial grass/pet toilets (TARGET)",10,IF(N1440="Selling pet toys",7,IF(N1440="There's an Amazon link, but no target sales.",3,0))))</f>
        <v/>
      </c>
      <c r="P1440" s="67">
        <f>H1440+J1440+L1440+M1440+O1440</f>
        <v/>
      </c>
      <c r="Q1440" s="68">
        <f>IF(OR(H1440=0,P1440&lt;30),"Tier D (Đóng băng)",IF(P1440&gt;=85,"Tier S (Kim Cương: 85-100đ)",IF(P1440&gt;=70,"Tier A (Vàng: 70-84đ)",IF(P1440&gt;=61,"Tier B+ / Cấp A (Hot Lead: 61-69đ)",IF(P1440&gt;=50,"Tier B (Bạc: 50-60đ)","Tier C (Đồng: 30-49đ)")))))</f>
        <v/>
      </c>
      <c r="R1440" s="9" t="inlineStr">
        <is>
          <t>Trọn gói Take-Home Starter Kit V2/V3 (Cỏ nhân tạo + Khay Potty + Đồ chơi Teething/Snuggle)</t>
        </is>
      </c>
      <c r="S1440" s="9" t="inlineStr">
        <is>
          <t>Đóng băng tương tác (&gt;30 ngày): Lưu trữ chờ kích hoạt lại, không tốn tài nguyên Sales</t>
        </is>
      </c>
    </row>
    <row r="1441">
      <c r="A1441" s="53" t="n">
        <v>1593</v>
      </c>
      <c r="B1441" s="12" t="inlineStr">
        <is>
          <t>Hamby Family Bulldogge's</t>
        </is>
      </c>
      <c r="C1441" s="54" t="inlineStr">
        <is>
          <t>https://www.facebook.com/profile.php?id=100057191270689</t>
        </is>
      </c>
      <c r="D1441" s="6" t="inlineStr">
        <is>
          <t>Cần quét Bio Fanpage</t>
        </is>
      </c>
      <c r="E1441" s="53" t="inlineStr">
        <is>
          <t>02/01/2026 05:53:30</t>
        </is>
      </c>
      <c r="F1441" s="53" t="inlineStr">
        <is>
          <t>9 tháng trước</t>
        </is>
      </c>
      <c r="G1441" s="55" t="n">
        <v>270</v>
      </c>
      <c r="H1441" s="56" t="n">
        <v>0</v>
      </c>
      <c r="I1441" s="6" t="inlineStr">
        <is>
          <t>Dog Breeder / Trại nhân giống (28-30đ)</t>
        </is>
      </c>
      <c r="J1441" s="56" t="n">
        <v>28</v>
      </c>
      <c r="K1441" s="6" t="inlineStr">
        <is>
          <t>English Bulldog</t>
        </is>
      </c>
      <c r="L1441" s="56" t="n">
        <v>10</v>
      </c>
      <c r="M1441" s="56" t="n">
        <v>0</v>
      </c>
      <c r="N1441" s="6" t="inlineStr">
        <is>
          <t>Amazon link not found</t>
        </is>
      </c>
      <c r="O1441" s="56">
        <f>IF(N1441="Selling pet toys + Artificial grass/Pet toilets (TARGET)",15,IF(N1441="Selling artificial grass/pet toilets (TARGET)",10,IF(N1441="Selling pet toys",7,IF(N1441="There's an Amazon link, but no target sales.",3,0))))</f>
        <v/>
      </c>
      <c r="P1441" s="65">
        <f>H1441+J1441+L1441+M1441+O1441</f>
        <v/>
      </c>
      <c r="Q1441" s="68">
        <f>IF(OR(H1441=0,P1441&lt;30),"Tier D (Đóng băng)",IF(P1441&gt;=85,"Tier S (Kim Cương: 85-100đ)",IF(P1441&gt;=70,"Tier A (Vàng: 70-84đ)",IF(P1441&gt;=61,"Tier B+ / Cấp A (Hot Lead: 61-69đ)",IF(P1441&gt;=50,"Tier B (Bạc: 50-60đ)","Tier C (Đồng: 30-49đ)")))))</f>
        <v/>
      </c>
      <c r="R1441" s="6" t="inlineStr">
        <is>
          <t>Trọn gói Take-Home Starter Kit V2/V3 (Cỏ nhân tạo + Khay Potty + Đồ chơi cún con)</t>
        </is>
      </c>
      <c r="S1441" s="6" t="inlineStr">
        <is>
          <t>Đóng băng tương tác (&gt;30 ngày): Lưu trữ chờ kích hoạt lại, không tốn tài nguyên Sales</t>
        </is>
      </c>
    </row>
    <row r="1442">
      <c r="A1442" s="59" t="n">
        <v>672</v>
      </c>
      <c r="B1442" s="15" t="inlineStr">
        <is>
          <t>Bigbenefit bullies</t>
        </is>
      </c>
      <c r="C1442" s="60" t="inlineStr">
        <is>
          <t>https://www.facebook.com/bigbenefitbullies</t>
        </is>
      </c>
      <c r="D1442" s="9" t="inlineStr">
        <is>
          <t>Cần quét Bio Fanpage</t>
        </is>
      </c>
      <c r="E1442" s="59" t="inlineStr">
        <is>
          <t>11/12/2025 18:25:40</t>
        </is>
      </c>
      <c r="F1442" s="59" t="inlineStr">
        <is>
          <t>10 tháng trước</t>
        </is>
      </c>
      <c r="G1442" s="61" t="n">
        <v>300</v>
      </c>
      <c r="H1442" s="62" t="n">
        <v>0</v>
      </c>
      <c r="I1442" s="9" t="inlineStr">
        <is>
          <t>Dog Breeder / Trại chó chuyên nghiệp (28-30đ)</t>
        </is>
      </c>
      <c r="J1442" s="62" t="n">
        <v>28</v>
      </c>
      <c r="K1442" s="9" t="inlineStr">
        <is>
          <t>American Bully / Bully</t>
        </is>
      </c>
      <c r="L1442" s="62" t="n">
        <v>10</v>
      </c>
      <c r="M1442" s="62" t="n">
        <v>0</v>
      </c>
      <c r="N1442" s="9" t="inlineStr">
        <is>
          <t>Amazon link not found</t>
        </is>
      </c>
      <c r="O1442" s="62">
        <f>IF(N1442="Selling pet toys + Artificial grass/Pet toilets (TARGET)",15,IF(N1442="Selling artificial grass/pet toilets (TARGET)",10,IF(N1442="Selling pet toys",7,IF(N1442="There's an Amazon link, but no target sales.",3,0))))</f>
        <v/>
      </c>
      <c r="P1442" s="67">
        <f>H1442+J1442+L1442+M1442+O1442</f>
        <v/>
      </c>
      <c r="Q1442" s="68">
        <f>IF(OR(H1442=0,P1442&lt;30),"Tier D (Đóng băng)",IF(P1442&gt;=85,"Tier S (Kim Cương: 85-100đ)",IF(P1442&gt;=70,"Tier A (Vàng: 70-84đ)",IF(P1442&gt;=61,"Tier B+ / Cấp A (Hot Lead: 61-69đ)",IF(P1442&gt;=50,"Tier B (Bạc: 50-60đ)","Tier C (Đồng: 30-49đ)")))))</f>
        <v/>
      </c>
      <c r="R1442" s="9" t="inlineStr">
        <is>
          <t>Trọn gói Take-Home Starter Kit V2/V3 (Cỏ nhân tạo + Khay Potty + Đồ chơi Teething/Snuggle)</t>
        </is>
      </c>
      <c r="S1442" s="9" t="inlineStr">
        <is>
          <t>Đóng băng tương tác (&gt;30 ngày): Lưu trữ chờ kích hoạt lại, không tốn tài nguyên Sales</t>
        </is>
      </c>
    </row>
    <row r="1443">
      <c r="A1443" s="53" t="n">
        <v>2326</v>
      </c>
      <c r="B1443" s="12" t="inlineStr">
        <is>
          <t>Notabull British Bulldogs</t>
        </is>
      </c>
      <c r="C1443" s="54" t="inlineStr">
        <is>
          <t>https://www.facebook.com/profile.php?id=100063457664984</t>
        </is>
      </c>
      <c r="D1443" s="6" t="inlineStr">
        <is>
          <t>Cần quét Bio Fanpage</t>
        </is>
      </c>
      <c r="E1443" s="53" t="inlineStr">
        <is>
          <t>30/11/2025 16:06:23</t>
        </is>
      </c>
      <c r="F1443" s="53" t="inlineStr">
        <is>
          <t>10 tháng trước</t>
        </is>
      </c>
      <c r="G1443" s="55" t="n">
        <v>300</v>
      </c>
      <c r="H1443" s="56" t="n">
        <v>0</v>
      </c>
      <c r="I1443" s="6" t="inlineStr">
        <is>
          <t>Dog Breeder / Trại chó chuyên nghiệp (28-30đ)</t>
        </is>
      </c>
      <c r="J1443" s="56" t="n">
        <v>28</v>
      </c>
      <c r="K1443" s="6" t="inlineStr">
        <is>
          <t>English Bulldog</t>
        </is>
      </c>
      <c r="L1443" s="56" t="n">
        <v>10</v>
      </c>
      <c r="M1443" s="56" t="n">
        <v>0</v>
      </c>
      <c r="N1443" s="6" t="inlineStr">
        <is>
          <t>Amazon link not found</t>
        </is>
      </c>
      <c r="O1443" s="56">
        <f>IF(N1443="Selling pet toys + Artificial grass/Pet toilets (TARGET)",15,IF(N1443="Selling artificial grass/pet toilets (TARGET)",10,IF(N1443="Selling pet toys",7,IF(N1443="There's an Amazon link, but no target sales.",3,0))))</f>
        <v/>
      </c>
      <c r="P1443" s="65">
        <f>H1443+J1443+L1443+M1443+O1443</f>
        <v/>
      </c>
      <c r="Q1443" s="68">
        <f>IF(OR(H1443=0,P1443&lt;30),"Tier D (Đóng băng)",IF(P1443&gt;=85,"Tier S (Kim Cương: 85-100đ)",IF(P1443&gt;=70,"Tier A (Vàng: 70-84đ)",IF(P1443&gt;=61,"Tier B+ / Cấp A (Hot Lead: 61-69đ)",IF(P1443&gt;=50,"Tier B (Bạc: 50-60đ)","Tier C (Đồng: 30-49đ)")))))</f>
        <v/>
      </c>
      <c r="R1443" s="6" t="inlineStr">
        <is>
          <t>Trọn gói Take-Home Starter Kit V2/V3 (Cỏ nhân tạo + Khay Potty + Đồ chơi Teething/Snuggle)</t>
        </is>
      </c>
      <c r="S1443" s="6" t="inlineStr">
        <is>
          <t>Đóng băng tương tác (&gt;30 ngày): Lưu trữ chờ kích hoạt lại, không tốn tài nguyên Sales</t>
        </is>
      </c>
    </row>
    <row r="1444">
      <c r="A1444" s="59" t="n">
        <v>3456</v>
      </c>
      <c r="B1444" s="15" t="inlineStr">
        <is>
          <t>Wrecking Ball Bullies</t>
        </is>
      </c>
      <c r="C1444" s="60" t="inlineStr">
        <is>
          <t>https://www.facebook.com/profile.php?id=100087967724474</t>
        </is>
      </c>
      <c r="D1444" s="9" t="inlineStr">
        <is>
          <t>Cần quét Bio Fanpage</t>
        </is>
      </c>
      <c r="E1444" s="59" t="inlineStr">
        <is>
          <t>31/10/2025 05:12:50</t>
        </is>
      </c>
      <c r="F1444" s="59" t="inlineStr">
        <is>
          <t>11 tháng trước</t>
        </is>
      </c>
      <c r="G1444" s="61" t="n">
        <v>330</v>
      </c>
      <c r="H1444" s="62" t="n">
        <v>0</v>
      </c>
      <c r="I1444" s="9" t="inlineStr">
        <is>
          <t>Dog Breeder / Trại chó chuyên nghiệp (28-30đ)</t>
        </is>
      </c>
      <c r="J1444" s="62" t="n">
        <v>28</v>
      </c>
      <c r="K1444" s="9" t="inlineStr">
        <is>
          <t>American Bully / Bully</t>
        </is>
      </c>
      <c r="L1444" s="62" t="n">
        <v>10</v>
      </c>
      <c r="M1444" s="62" t="n">
        <v>0</v>
      </c>
      <c r="N1444" s="9" t="inlineStr">
        <is>
          <t>Amazon link not found</t>
        </is>
      </c>
      <c r="O1444" s="62">
        <f>IF(N1444="Selling pet toys + Artificial grass/Pet toilets (TARGET)",15,IF(N1444="Selling artificial grass/pet toilets (TARGET)",10,IF(N1444="Selling pet toys",7,IF(N1444="There's an Amazon link, but no target sales.",3,0))))</f>
        <v/>
      </c>
      <c r="P1444" s="67">
        <f>H1444+J1444+L1444+M1444+O1444</f>
        <v/>
      </c>
      <c r="Q1444" s="68">
        <f>IF(OR(H1444=0,P1444&lt;30),"Tier D (Đóng băng)",IF(P1444&gt;=85,"Tier S (Kim Cương: 85-100đ)",IF(P1444&gt;=70,"Tier A (Vàng: 70-84đ)",IF(P1444&gt;=61,"Tier B+ / Cấp A (Hot Lead: 61-69đ)",IF(P1444&gt;=50,"Tier B (Bạc: 50-60đ)","Tier C (Đồng: 30-49đ)")))))</f>
        <v/>
      </c>
      <c r="R1444" s="9" t="inlineStr">
        <is>
          <t>Trọn gói Take-Home Starter Kit V2/V3 (Cỏ nhân tạo + Khay Potty + Đồ chơi Teething/Snuggle)</t>
        </is>
      </c>
      <c r="S1444" s="9" t="inlineStr">
        <is>
          <t>Đóng băng tương tác (&gt;30 ngày): Lưu trữ chờ kích hoạt lại, không tốn tài nguyên Sales</t>
        </is>
      </c>
    </row>
    <row r="1445">
      <c r="A1445" s="53" t="n">
        <v>2169</v>
      </c>
      <c r="B1445" s="12" t="inlineStr">
        <is>
          <t>Micro Exotic Frenchies</t>
        </is>
      </c>
      <c r="C1445" s="54" t="inlineStr">
        <is>
          <t>https://www.facebook.com/profile.php?id=100080484122611</t>
        </is>
      </c>
      <c r="D1445" s="6" t="inlineStr">
        <is>
          <t>Cần quét Bio Fanpage</t>
        </is>
      </c>
      <c r="E1445" s="53" t="inlineStr">
        <is>
          <t>16/10/2025 20:26:08</t>
        </is>
      </c>
      <c r="F1445" s="53" t="inlineStr">
        <is>
          <t>12 tháng trước</t>
        </is>
      </c>
      <c r="G1445" s="55" t="n">
        <v>360</v>
      </c>
      <c r="H1445" s="56" t="n">
        <v>0</v>
      </c>
      <c r="I1445" s="6" t="inlineStr">
        <is>
          <t>Dog Breeder / Trại chó chuyên nghiệp (28-30đ)</t>
        </is>
      </c>
      <c r="J1445" s="56" t="n">
        <v>28</v>
      </c>
      <c r="K1445" s="6" t="inlineStr">
        <is>
          <t>French Bulldog</t>
        </is>
      </c>
      <c r="L1445" s="56" t="n">
        <v>10</v>
      </c>
      <c r="M1445" s="56" t="n">
        <v>0</v>
      </c>
      <c r="N1445" s="6" t="inlineStr">
        <is>
          <t>Amazon link not found</t>
        </is>
      </c>
      <c r="O1445" s="56">
        <f>IF(N1445="Selling pet toys + Artificial grass/Pet toilets (TARGET)",15,IF(N1445="Selling artificial grass/pet toilets (TARGET)",10,IF(N1445="Selling pet toys",7,IF(N1445="There's an Amazon link, but no target sales.",3,0))))</f>
        <v/>
      </c>
      <c r="P1445" s="65">
        <f>H1445+J1445+L1445+M1445+O1445</f>
        <v/>
      </c>
      <c r="Q1445" s="68">
        <f>IF(OR(H1445=0,P1445&lt;30),"Tier D (Đóng băng)",IF(P1445&gt;=85,"Tier S (Kim Cương: 85-100đ)",IF(P1445&gt;=70,"Tier A (Vàng: 70-84đ)",IF(P1445&gt;=61,"Tier B+ / Cấp A (Hot Lead: 61-69đ)",IF(P1445&gt;=50,"Tier B (Bạc: 50-60đ)","Tier C (Đồng: 30-49đ)")))))</f>
        <v/>
      </c>
      <c r="R1445" s="6" t="inlineStr">
        <is>
          <t>Trọn gói Take-Home Starter Kit V2/V3 (Cỏ nhân tạo + Khay Potty + Đồ chơi Teething/Snuggle)</t>
        </is>
      </c>
      <c r="S1445" s="6" t="inlineStr">
        <is>
          <t>Đóng băng tương tác (&gt;30 ngày): Lưu trữ chờ kích hoạt lại, không tốn tài nguyên Sales</t>
        </is>
      </c>
    </row>
    <row r="1446">
      <c r="A1446" s="59" t="n">
        <v>3396</v>
      </c>
      <c r="B1446" s="15" t="inlineStr">
        <is>
          <t>What The Fluff Frenchies</t>
        </is>
      </c>
      <c r="C1446" s="60" t="inlineStr">
        <is>
          <t>https://www.facebook.com/poshbarkfrenchbulldogs</t>
        </is>
      </c>
      <c r="D1446" s="9" t="inlineStr">
        <is>
          <t>Cần quét Bio Fanpage</t>
        </is>
      </c>
      <c r="E1446" s="59" t="inlineStr">
        <is>
          <t>03/09/2025 09:59:11</t>
        </is>
      </c>
      <c r="F1446" s="59" t="inlineStr">
        <is>
          <t>1 năm trước</t>
        </is>
      </c>
      <c r="G1446" s="61" t="n">
        <v>365</v>
      </c>
      <c r="H1446" s="62" t="n">
        <v>0</v>
      </c>
      <c r="I1446" s="9" t="inlineStr">
        <is>
          <t>Dog Breeder / Trại chó chuyên nghiệp (28-30đ)</t>
        </is>
      </c>
      <c r="J1446" s="62" t="n">
        <v>28</v>
      </c>
      <c r="K1446" s="9" t="inlineStr">
        <is>
          <t>French Bulldog</t>
        </is>
      </c>
      <c r="L1446" s="62" t="n">
        <v>10</v>
      </c>
      <c r="M1446" s="62" t="n">
        <v>0</v>
      </c>
      <c r="N1446" s="9" t="inlineStr">
        <is>
          <t>Amazon link not found</t>
        </is>
      </c>
      <c r="O1446" s="62">
        <f>IF(N1446="Selling pet toys + Artificial grass/Pet toilets (TARGET)",15,IF(N1446="Selling artificial grass/pet toilets (TARGET)",10,IF(N1446="Selling pet toys",7,IF(N1446="There's an Amazon link, but no target sales.",3,0))))</f>
        <v/>
      </c>
      <c r="P1446" s="67">
        <f>H1446+J1446+L1446+M1446+O1446</f>
        <v/>
      </c>
      <c r="Q1446" s="68">
        <f>IF(OR(H1446=0,P1446&lt;30),"Tier D (Đóng băng)",IF(P1446&gt;=85,"Tier S (Kim Cương: 85-100đ)",IF(P1446&gt;=70,"Tier A (Vàng: 70-84đ)",IF(P1446&gt;=61,"Tier B+ / Cấp A (Hot Lead: 61-69đ)",IF(P1446&gt;=50,"Tier B (Bạc: 50-60đ)","Tier C (Đồng: 30-49đ)")))))</f>
        <v/>
      </c>
      <c r="R1446" s="9" t="inlineStr">
        <is>
          <t>Trọn gói Take-Home Starter Kit V2/V3 (Cỏ nhân tạo + Khay Potty + Đồ chơi Teething/Snuggle)</t>
        </is>
      </c>
      <c r="S1446" s="9" t="inlineStr">
        <is>
          <t>Đóng băng tương tác (&gt;30 ngày): Lưu trữ chờ kích hoạt lại, không tốn tài nguyên Sales</t>
        </is>
      </c>
    </row>
    <row r="1447">
      <c r="A1447" s="53" t="n">
        <v>586</v>
      </c>
      <c r="B1447" s="12" t="inlineStr">
        <is>
          <t>Bank Up Bullies</t>
        </is>
      </c>
      <c r="C1447" s="54" t="inlineStr">
        <is>
          <t>https://www.facebook.com/BANKUPBULLIES</t>
        </is>
      </c>
      <c r="D1447" s="6" t="inlineStr">
        <is>
          <t>Cần quét Bio Fanpage</t>
        </is>
      </c>
      <c r="E1447" s="53" t="inlineStr">
        <is>
          <t>16/08/2025 01:06:45</t>
        </is>
      </c>
      <c r="F1447" s="53" t="inlineStr">
        <is>
          <t>1 năm trước</t>
        </is>
      </c>
      <c r="G1447" s="55" t="n">
        <v>365</v>
      </c>
      <c r="H1447" s="56" t="n">
        <v>0</v>
      </c>
      <c r="I1447" s="6" t="inlineStr">
        <is>
          <t>Dog Breeder / Trại chó chuyên nghiệp (28-30đ)</t>
        </is>
      </c>
      <c r="J1447" s="56" t="n">
        <v>28</v>
      </c>
      <c r="K1447" s="6" t="inlineStr">
        <is>
          <t>American Bully / Bully</t>
        </is>
      </c>
      <c r="L1447" s="56" t="n">
        <v>10</v>
      </c>
      <c r="M1447" s="56" t="n">
        <v>0</v>
      </c>
      <c r="N1447" s="6" t="inlineStr">
        <is>
          <t>Amazon link not found</t>
        </is>
      </c>
      <c r="O1447" s="56">
        <f>IF(N1447="Selling pet toys + Artificial grass/Pet toilets (TARGET)",15,IF(N1447="Selling artificial grass/pet toilets (TARGET)",10,IF(N1447="Selling pet toys",7,IF(N1447="There's an Amazon link, but no target sales.",3,0))))</f>
        <v/>
      </c>
      <c r="P1447" s="65">
        <f>H1447+J1447+L1447+M1447+O1447</f>
        <v/>
      </c>
      <c r="Q1447" s="68">
        <f>IF(OR(H1447=0,P1447&lt;30),"Tier D (Đóng băng)",IF(P1447&gt;=85,"Tier S (Kim Cương: 85-100đ)",IF(P1447&gt;=70,"Tier A (Vàng: 70-84đ)",IF(P1447&gt;=61,"Tier B+ / Cấp A (Hot Lead: 61-69đ)",IF(P1447&gt;=50,"Tier B (Bạc: 50-60đ)","Tier C (Đồng: 30-49đ)")))))</f>
        <v/>
      </c>
      <c r="R1447" s="6" t="inlineStr">
        <is>
          <t>Trọn gói Take-Home Starter Kit V2/V3 (Cỏ nhân tạo + Khay Potty + Đồ chơi Teething/Snuggle)</t>
        </is>
      </c>
      <c r="S1447" s="6" t="inlineStr">
        <is>
          <t>Đóng băng tương tác (&gt;30 ngày): Lưu trữ chờ kích hoạt lại, không tốn tài nguyên Sales</t>
        </is>
      </c>
    </row>
    <row r="1448">
      <c r="A1448" s="59" t="n">
        <v>2952</v>
      </c>
      <c r="B1448" s="15" t="inlineStr">
        <is>
          <t>Southern Charm Frenchie</t>
        </is>
      </c>
      <c r="C1448" s="60" t="inlineStr">
        <is>
          <t>https://www.facebook.com/southerncharmfrenchiellc</t>
        </is>
      </c>
      <c r="D1448" s="9" t="inlineStr">
        <is>
          <t>Cần quét Bio Fanpage</t>
        </is>
      </c>
      <c r="E1448" s="59" t="inlineStr">
        <is>
          <t>14/07/2025 20:23:20</t>
        </is>
      </c>
      <c r="F1448" s="59" t="inlineStr">
        <is>
          <t>1 năm trước</t>
        </is>
      </c>
      <c r="G1448" s="61" t="n">
        <v>365</v>
      </c>
      <c r="H1448" s="62" t="n">
        <v>0</v>
      </c>
      <c r="I1448" s="9" t="inlineStr">
        <is>
          <t>Dog Breeder / Trại nhân giống (28-30đ)</t>
        </is>
      </c>
      <c r="J1448" s="62" t="n">
        <v>28</v>
      </c>
      <c r="K1448" s="9" t="inlineStr">
        <is>
          <t>French Bulldog</t>
        </is>
      </c>
      <c r="L1448" s="62" t="n">
        <v>10</v>
      </c>
      <c r="M1448" s="62" t="n">
        <v>0</v>
      </c>
      <c r="N1448" s="9" t="inlineStr">
        <is>
          <t>Amazon link not found</t>
        </is>
      </c>
      <c r="O1448" s="62">
        <f>IF(N1448="Selling pet toys + Artificial grass/Pet toilets (TARGET)",15,IF(N1448="Selling artificial grass/pet toilets (TARGET)",10,IF(N1448="Selling pet toys",7,IF(N1448="There's an Amazon link, but no target sales.",3,0))))</f>
        <v/>
      </c>
      <c r="P1448" s="67">
        <f>H1448+J1448+L1448+M1448+O1448</f>
        <v/>
      </c>
      <c r="Q1448" s="68">
        <f>IF(OR(H1448=0,P1448&lt;30),"Tier D (Đóng băng)",IF(P1448&gt;=85,"Tier S (Kim Cương: 85-100đ)",IF(P1448&gt;=70,"Tier A (Vàng: 70-84đ)",IF(P1448&gt;=61,"Tier B+ / Cấp A (Hot Lead: 61-69đ)",IF(P1448&gt;=50,"Tier B (Bạc: 50-60đ)","Tier C (Đồng: 30-49đ)")))))</f>
        <v/>
      </c>
      <c r="R1448" s="9" t="inlineStr">
        <is>
          <t>Trọn gói Take-Home Starter Kit V2/V3 (Cỏ nhân tạo + Khay Potty + Đồ chơi cún con)</t>
        </is>
      </c>
      <c r="S1448" s="9" t="inlineStr">
        <is>
          <t>Đóng băng tương tác (&gt;30 ngày): Lưu trữ chờ kích hoạt lại, không tốn tài nguyên Sales</t>
        </is>
      </c>
    </row>
    <row r="1449">
      <c r="A1449" s="53" t="n">
        <v>434</v>
      </c>
      <c r="B1449" s="12" t="inlineStr">
        <is>
          <t>Andres Bulldogfrances</t>
        </is>
      </c>
      <c r="C1449" s="54" t="inlineStr">
        <is>
          <t>https://www.facebook.com/Andresbulldogfrances</t>
        </is>
      </c>
      <c r="D1449" s="6" t="inlineStr">
        <is>
          <t>Cần quét Bio Fanpage</t>
        </is>
      </c>
      <c r="E1449" s="53" t="inlineStr">
        <is>
          <t>12/01/2025 15:06:42</t>
        </is>
      </c>
      <c r="F1449" s="53" t="inlineStr">
        <is>
          <t>1 năm trước</t>
        </is>
      </c>
      <c r="G1449" s="55" t="n">
        <v>365</v>
      </c>
      <c r="H1449" s="56" t="n">
        <v>0</v>
      </c>
      <c r="I1449" s="6" t="inlineStr">
        <is>
          <t>Dog Breeder / Trại nhân giống (28-30đ)</t>
        </is>
      </c>
      <c r="J1449" s="56" t="n">
        <v>28</v>
      </c>
      <c r="K1449" s="6" t="inlineStr">
        <is>
          <t>English Bulldog</t>
        </is>
      </c>
      <c r="L1449" s="56" t="n">
        <v>10</v>
      </c>
      <c r="M1449" s="56" t="n">
        <v>0</v>
      </c>
      <c r="N1449" s="6" t="inlineStr">
        <is>
          <t>Amazon link not found</t>
        </is>
      </c>
      <c r="O1449" s="56">
        <f>IF(N1449="Selling pet toys + Artificial grass/Pet toilets (TARGET)",15,IF(N1449="Selling artificial grass/pet toilets (TARGET)",10,IF(N1449="Selling pet toys",7,IF(N1449="There's an Amazon link, but no target sales.",3,0))))</f>
        <v/>
      </c>
      <c r="P1449" s="65">
        <f>H1449+J1449+L1449+M1449+O1449</f>
        <v/>
      </c>
      <c r="Q1449" s="68">
        <f>IF(OR(H1449=0,P1449&lt;30),"Tier D (Đóng băng)",IF(P1449&gt;=85,"Tier S (Kim Cương: 85-100đ)",IF(P1449&gt;=70,"Tier A (Vàng: 70-84đ)",IF(P1449&gt;=61,"Tier B+ / Cấp A (Hot Lead: 61-69đ)",IF(P1449&gt;=50,"Tier B (Bạc: 50-60đ)","Tier C (Đồng: 30-49đ)")))))</f>
        <v/>
      </c>
      <c r="R1449" s="6" t="inlineStr">
        <is>
          <t>Trọn gói Take-Home Starter Kit V2/V3 (Cỏ nhân tạo + Khay Potty + Đồ chơi cún con)</t>
        </is>
      </c>
      <c r="S1449" s="6" t="inlineStr">
        <is>
          <t>Đóng băng tương tác (&gt;30 ngày): Lưu trữ chờ kích hoạt lại, không tốn tài nguyên Sales</t>
        </is>
      </c>
    </row>
    <row r="1450">
      <c r="A1450" s="59" t="n">
        <v>3078</v>
      </c>
      <c r="B1450" s="15" t="inlineStr">
        <is>
          <t>Texas Elite Bulldogs</t>
        </is>
      </c>
      <c r="C1450" s="60" t="inlineStr">
        <is>
          <t>https://www.facebook.com/texaselitebulldogs</t>
        </is>
      </c>
      <c r="D1450" s="9" t="inlineStr">
        <is>
          <t>Cần quét Bio Fanpage</t>
        </is>
      </c>
      <c r="E1450" s="59" t="inlineStr">
        <is>
          <t>18/12/2024 07:08:05</t>
        </is>
      </c>
      <c r="F1450" s="59" t="inlineStr">
        <is>
          <t>1 năm trước</t>
        </is>
      </c>
      <c r="G1450" s="61" t="n">
        <v>365</v>
      </c>
      <c r="H1450" s="62" t="n">
        <v>0</v>
      </c>
      <c r="I1450" s="9" t="inlineStr">
        <is>
          <t>Dog Breeder / Trại chó chuyên nghiệp (28-30đ)</t>
        </is>
      </c>
      <c r="J1450" s="62" t="n">
        <v>28</v>
      </c>
      <c r="K1450" s="9" t="inlineStr">
        <is>
          <t>English Bulldog</t>
        </is>
      </c>
      <c r="L1450" s="62" t="n">
        <v>10</v>
      </c>
      <c r="M1450" s="62" t="n">
        <v>0</v>
      </c>
      <c r="N1450" s="9" t="inlineStr">
        <is>
          <t>Amazon link not found</t>
        </is>
      </c>
      <c r="O1450" s="62">
        <f>IF(N1450="Selling pet toys + Artificial grass/Pet toilets (TARGET)",15,IF(N1450="Selling artificial grass/pet toilets (TARGET)",10,IF(N1450="Selling pet toys",7,IF(N1450="There's an Amazon link, but no target sales.",3,0))))</f>
        <v/>
      </c>
      <c r="P1450" s="67">
        <f>H1450+J1450+L1450+M1450+O1450</f>
        <v/>
      </c>
      <c r="Q1450" s="68">
        <f>IF(OR(H1450=0,P1450&lt;30),"Tier D (Đóng băng)",IF(P1450&gt;=85,"Tier S (Kim Cương: 85-100đ)",IF(P1450&gt;=70,"Tier A (Vàng: 70-84đ)",IF(P1450&gt;=61,"Tier B+ / Cấp A (Hot Lead: 61-69đ)",IF(P1450&gt;=50,"Tier B (Bạc: 50-60đ)","Tier C (Đồng: 30-49đ)")))))</f>
        <v/>
      </c>
      <c r="R1450" s="9" t="inlineStr">
        <is>
          <t>Trọn gói Take-Home Starter Kit V2/V3 (Cỏ nhân tạo + Khay Potty + Đồ chơi Teething/Snuggle)</t>
        </is>
      </c>
      <c r="S1450" s="9" t="inlineStr">
        <is>
          <t>Đóng băng tương tác (&gt;30 ngày): Lưu trữ chờ kích hoạt lại, không tốn tài nguyên Sales</t>
        </is>
      </c>
    </row>
    <row r="1451">
      <c r="A1451" s="53" t="n">
        <v>1451</v>
      </c>
      <c r="B1451" s="12" t="inlineStr">
        <is>
          <t>FrenchieMom</t>
        </is>
      </c>
      <c r="C1451" s="54" t="inlineStr">
        <is>
          <t>https://www.facebook.com/profile.php?id=61557529042788</t>
        </is>
      </c>
      <c r="D1451" s="6" t="inlineStr">
        <is>
          <t>Cần quét Bio Fanpage</t>
        </is>
      </c>
      <c r="E1451" s="53" t="inlineStr">
        <is>
          <t>04/12/2024 23:40:37</t>
        </is>
      </c>
      <c r="F1451" s="53" t="inlineStr">
        <is>
          <t>1 năm trước</t>
        </is>
      </c>
      <c r="G1451" s="55" t="n">
        <v>365</v>
      </c>
      <c r="H1451" s="56" t="n">
        <v>0</v>
      </c>
      <c r="I1451" s="6" t="inlineStr">
        <is>
          <t>Dog Breeder / Trại nhân giống (28-30đ)</t>
        </is>
      </c>
      <c r="J1451" s="56" t="n">
        <v>28</v>
      </c>
      <c r="K1451" s="6" t="inlineStr">
        <is>
          <t>French Bulldog</t>
        </is>
      </c>
      <c r="L1451" s="56" t="n">
        <v>10</v>
      </c>
      <c r="M1451" s="56" t="n">
        <v>0</v>
      </c>
      <c r="N1451" s="6" t="inlineStr">
        <is>
          <t>Amazon link not found</t>
        </is>
      </c>
      <c r="O1451" s="56">
        <f>IF(N1451="Selling pet toys + Artificial grass/Pet toilets (TARGET)",15,IF(N1451="Selling artificial grass/pet toilets (TARGET)",10,IF(N1451="Selling pet toys",7,IF(N1451="There's an Amazon link, but no target sales.",3,0))))</f>
        <v/>
      </c>
      <c r="P1451" s="65">
        <f>H1451+J1451+L1451+M1451+O1451</f>
        <v/>
      </c>
      <c r="Q1451" s="68">
        <f>IF(OR(H1451=0,P1451&lt;30),"Tier D (Đóng băng)",IF(P1451&gt;=85,"Tier S (Kim Cương: 85-100đ)",IF(P1451&gt;=70,"Tier A (Vàng: 70-84đ)",IF(P1451&gt;=61,"Tier B+ / Cấp A (Hot Lead: 61-69đ)",IF(P1451&gt;=50,"Tier B (Bạc: 50-60đ)","Tier C (Đồng: 30-49đ)")))))</f>
        <v/>
      </c>
      <c r="R1451" s="6" t="inlineStr">
        <is>
          <t>Trọn gói Take-Home Starter Kit V2/V3 (Cỏ nhân tạo + Khay Potty + Đồ chơi cún con)</t>
        </is>
      </c>
      <c r="S1451" s="6" t="inlineStr">
        <is>
          <t>Đóng băng tương tác (&gt;30 ngày): Lưu trữ chờ kích hoạt lại, không tốn tài nguyên Sales</t>
        </is>
      </c>
    </row>
    <row r="1452">
      <c r="A1452" s="59" t="n">
        <v>2149</v>
      </c>
      <c r="B1452" s="15" t="inlineStr">
        <is>
          <t>MDTX Bulldogges</t>
        </is>
      </c>
      <c r="C1452" s="60" t="inlineStr">
        <is>
          <t>https://www.facebook.com/MDTXBulldogges</t>
        </is>
      </c>
      <c r="D1452" s="9" t="inlineStr">
        <is>
          <t>Cần quét Bio Fanpage</t>
        </is>
      </c>
      <c r="E1452" s="59" t="inlineStr">
        <is>
          <t>03/12/2024 19:30:36</t>
        </is>
      </c>
      <c r="F1452" s="59" t="inlineStr">
        <is>
          <t>1 năm trước</t>
        </is>
      </c>
      <c r="G1452" s="61" t="n">
        <v>365</v>
      </c>
      <c r="H1452" s="62" t="n">
        <v>0</v>
      </c>
      <c r="I1452" s="9" t="inlineStr">
        <is>
          <t>Dog Breeder / Trại chó chuyên nghiệp (28-30đ)</t>
        </is>
      </c>
      <c r="J1452" s="62" t="n">
        <v>28</v>
      </c>
      <c r="K1452" s="9" t="inlineStr">
        <is>
          <t>English Bulldog</t>
        </is>
      </c>
      <c r="L1452" s="62" t="n">
        <v>10</v>
      </c>
      <c r="M1452" s="62" t="n">
        <v>0</v>
      </c>
      <c r="N1452" s="9" t="inlineStr">
        <is>
          <t>Amazon link not found</t>
        </is>
      </c>
      <c r="O1452" s="62">
        <f>IF(N1452="Selling pet toys + Artificial grass/Pet toilets (TARGET)",15,IF(N1452="Selling artificial grass/pet toilets (TARGET)",10,IF(N1452="Selling pet toys",7,IF(N1452="There's an Amazon link, but no target sales.",3,0))))</f>
        <v/>
      </c>
      <c r="P1452" s="67">
        <f>H1452+J1452+L1452+M1452+O1452</f>
        <v/>
      </c>
      <c r="Q1452" s="68">
        <f>IF(OR(H1452=0,P1452&lt;30),"Tier D (Đóng băng)",IF(P1452&gt;=85,"Tier S (Kim Cương: 85-100đ)",IF(P1452&gt;=70,"Tier A (Vàng: 70-84đ)",IF(P1452&gt;=61,"Tier B+ / Cấp A (Hot Lead: 61-69đ)",IF(P1452&gt;=50,"Tier B (Bạc: 50-60đ)","Tier C (Đồng: 30-49đ)")))))</f>
        <v/>
      </c>
      <c r="R1452" s="9" t="inlineStr">
        <is>
          <t>Trọn gói Take-Home Starter Kit V2/V3 (Cỏ nhân tạo + Khay Potty + Đồ chơi Teething/Snuggle)</t>
        </is>
      </c>
      <c r="S1452" s="9" t="inlineStr">
        <is>
          <t>Đóng băng tương tác (&gt;30 ngày): Lưu trữ chờ kích hoạt lại, không tốn tài nguyên Sales</t>
        </is>
      </c>
    </row>
    <row r="1453">
      <c r="A1453" s="53" t="n">
        <v>1310</v>
      </c>
      <c r="B1453" s="12" t="inlineStr">
        <is>
          <t>Eye Of Horus Frenchies</t>
        </is>
      </c>
      <c r="C1453" s="54" t="inlineStr">
        <is>
          <t>https://www.facebook.com/profile.php?id=100071538645344</t>
        </is>
      </c>
      <c r="D1453" s="6" t="inlineStr">
        <is>
          <t>Cần quét Bio Fanpage</t>
        </is>
      </c>
      <c r="E1453" s="53" t="inlineStr">
        <is>
          <t>01/12/2024 22:21:27</t>
        </is>
      </c>
      <c r="F1453" s="53" t="inlineStr">
        <is>
          <t>1 năm trước</t>
        </is>
      </c>
      <c r="G1453" s="55" t="n">
        <v>365</v>
      </c>
      <c r="H1453" s="56" t="n">
        <v>0</v>
      </c>
      <c r="I1453" s="6" t="inlineStr">
        <is>
          <t>Dog Breeder / Trại chó chuyên nghiệp (28-30đ)</t>
        </is>
      </c>
      <c r="J1453" s="56" t="n">
        <v>28</v>
      </c>
      <c r="K1453" s="6" t="inlineStr">
        <is>
          <t>French Bulldog</t>
        </is>
      </c>
      <c r="L1453" s="56" t="n">
        <v>10</v>
      </c>
      <c r="M1453" s="56" t="n">
        <v>0</v>
      </c>
      <c r="N1453" s="6" t="inlineStr">
        <is>
          <t>Amazon link not found</t>
        </is>
      </c>
      <c r="O1453" s="56">
        <f>IF(N1453="Selling pet toys + Artificial grass/Pet toilets (TARGET)",15,IF(N1453="Selling artificial grass/pet toilets (TARGET)",10,IF(N1453="Selling pet toys",7,IF(N1453="There's an Amazon link, but no target sales.",3,0))))</f>
        <v/>
      </c>
      <c r="P1453" s="65">
        <f>H1453+J1453+L1453+M1453+O1453</f>
        <v/>
      </c>
      <c r="Q1453" s="68">
        <f>IF(OR(H1453=0,P1453&lt;30),"Tier D (Đóng băng)",IF(P1453&gt;=85,"Tier S (Kim Cương: 85-100đ)",IF(P1453&gt;=70,"Tier A (Vàng: 70-84đ)",IF(P1453&gt;=61,"Tier B+ / Cấp A (Hot Lead: 61-69đ)",IF(P1453&gt;=50,"Tier B (Bạc: 50-60đ)","Tier C (Đồng: 30-49đ)")))))</f>
        <v/>
      </c>
      <c r="R1453" s="6" t="inlineStr">
        <is>
          <t>Trọn gói Take-Home Starter Kit V2/V3 (Cỏ nhân tạo + Khay Potty + Đồ chơi Teething/Snuggle)</t>
        </is>
      </c>
      <c r="S1453" s="6" t="inlineStr">
        <is>
          <t>Đóng băng tương tác (&gt;30 ngày): Lưu trữ chờ kích hoạt lại, không tốn tài nguyên Sales</t>
        </is>
      </c>
    </row>
    <row r="1454">
      <c r="A1454" s="59" t="n">
        <v>2566</v>
      </c>
      <c r="B1454" s="15" t="inlineStr">
        <is>
          <t>Phoenix's Frenchies</t>
        </is>
      </c>
      <c r="C1454" s="60" t="inlineStr">
        <is>
          <t>https://www.facebook.com/phoenixsfrenchies</t>
        </is>
      </c>
      <c r="D1454" s="9" t="inlineStr">
        <is>
          <t>Cần quét Bio Fanpage</t>
        </is>
      </c>
      <c r="E1454" s="59" t="inlineStr">
        <is>
          <t>05/11/2024 22:57:44</t>
        </is>
      </c>
      <c r="F1454" s="59" t="inlineStr">
        <is>
          <t>1 năm trước</t>
        </is>
      </c>
      <c r="G1454" s="61" t="n">
        <v>365</v>
      </c>
      <c r="H1454" s="62" t="n">
        <v>0</v>
      </c>
      <c r="I1454" s="9" t="inlineStr">
        <is>
          <t>Dog Breeder / Trại chó chuyên nghiệp (28-30đ)</t>
        </is>
      </c>
      <c r="J1454" s="62" t="n">
        <v>28</v>
      </c>
      <c r="K1454" s="9" t="inlineStr">
        <is>
          <t>French Bulldog</t>
        </is>
      </c>
      <c r="L1454" s="62" t="n">
        <v>10</v>
      </c>
      <c r="M1454" s="62" t="n">
        <v>0</v>
      </c>
      <c r="N1454" s="9" t="inlineStr">
        <is>
          <t>Amazon link not found</t>
        </is>
      </c>
      <c r="O1454" s="62">
        <f>IF(N1454="Selling pet toys + Artificial grass/Pet toilets (TARGET)",15,IF(N1454="Selling artificial grass/pet toilets (TARGET)",10,IF(N1454="Selling pet toys",7,IF(N1454="There's an Amazon link, but no target sales.",3,0))))</f>
        <v/>
      </c>
      <c r="P1454" s="67">
        <f>H1454+J1454+L1454+M1454+O1454</f>
        <v/>
      </c>
      <c r="Q1454" s="68">
        <f>IF(OR(H1454=0,P1454&lt;30),"Tier D (Đóng băng)",IF(P1454&gt;=85,"Tier S (Kim Cương: 85-100đ)",IF(P1454&gt;=70,"Tier A (Vàng: 70-84đ)",IF(P1454&gt;=61,"Tier B+ / Cấp A (Hot Lead: 61-69đ)",IF(P1454&gt;=50,"Tier B (Bạc: 50-60đ)","Tier C (Đồng: 30-49đ)")))))</f>
        <v/>
      </c>
      <c r="R1454" s="9" t="inlineStr">
        <is>
          <t>Trọn gói Take-Home Starter Kit V2/V3 (Cỏ nhân tạo + Khay Potty + Đồ chơi Teething/Snuggle)</t>
        </is>
      </c>
      <c r="S1454" s="9" t="inlineStr">
        <is>
          <t>Đóng băng tương tác (&gt;30 ngày): Lưu trữ chờ kích hoạt lại, không tốn tài nguyên Sales</t>
        </is>
      </c>
    </row>
    <row r="1455">
      <c r="A1455" s="53" t="n">
        <v>549</v>
      </c>
      <c r="B1455" s="12" t="inlineStr">
        <is>
          <t>Atlas Bulldogs</t>
        </is>
      </c>
      <c r="C1455" s="54" t="inlineStr">
        <is>
          <t>https://www.facebook.com/AtlasBulldogs</t>
        </is>
      </c>
      <c r="D1455" s="6" t="inlineStr">
        <is>
          <t>Cần quét Bio Fanpage</t>
        </is>
      </c>
      <c r="E1455" s="53" t="inlineStr">
        <is>
          <t>13/10/2024 10:54:17</t>
        </is>
      </c>
      <c r="F1455" s="53" t="inlineStr">
        <is>
          <t>1 năm trước</t>
        </is>
      </c>
      <c r="G1455" s="55" t="n">
        <v>365</v>
      </c>
      <c r="H1455" s="56" t="n">
        <v>0</v>
      </c>
      <c r="I1455" s="6" t="inlineStr">
        <is>
          <t>Dog Breeder / Trại chó chuyên nghiệp (28-30đ)</t>
        </is>
      </c>
      <c r="J1455" s="56" t="n">
        <v>28</v>
      </c>
      <c r="K1455" s="6" t="inlineStr">
        <is>
          <t>English Bulldog</t>
        </is>
      </c>
      <c r="L1455" s="56" t="n">
        <v>10</v>
      </c>
      <c r="M1455" s="56" t="n">
        <v>0</v>
      </c>
      <c r="N1455" s="6" t="inlineStr">
        <is>
          <t>Amazon link not found</t>
        </is>
      </c>
      <c r="O1455" s="56">
        <f>IF(N1455="Selling pet toys + Artificial grass/Pet toilets (TARGET)",15,IF(N1455="Selling artificial grass/pet toilets (TARGET)",10,IF(N1455="Selling pet toys",7,IF(N1455="There's an Amazon link, but no target sales.",3,0))))</f>
        <v/>
      </c>
      <c r="P1455" s="65">
        <f>H1455+J1455+L1455+M1455+O1455</f>
        <v/>
      </c>
      <c r="Q1455" s="68">
        <f>IF(OR(H1455=0,P1455&lt;30),"Tier D (Đóng băng)",IF(P1455&gt;=85,"Tier S (Kim Cương: 85-100đ)",IF(P1455&gt;=70,"Tier A (Vàng: 70-84đ)",IF(P1455&gt;=61,"Tier B+ / Cấp A (Hot Lead: 61-69đ)",IF(P1455&gt;=50,"Tier B (Bạc: 50-60đ)","Tier C (Đồng: 30-49đ)")))))</f>
        <v/>
      </c>
      <c r="R1455" s="6" t="inlineStr">
        <is>
          <t>Trọn gói Take-Home Starter Kit V2/V3 (Cỏ nhân tạo + Khay Potty + Đồ chơi Teething/Snuggle)</t>
        </is>
      </c>
      <c r="S1455" s="6" t="inlineStr">
        <is>
          <t>Đóng băng tương tác (&gt;30 ngày): Lưu trữ chờ kích hoạt lại, không tốn tài nguyên Sales</t>
        </is>
      </c>
    </row>
    <row r="1456">
      <c r="A1456" s="59" t="n">
        <v>954</v>
      </c>
      <c r="B1456" s="15" t="inlineStr">
        <is>
          <t>Cowboy Frenchies</t>
        </is>
      </c>
      <c r="C1456" s="60" t="inlineStr">
        <is>
          <t>https://www.facebook.com/profile.php?id=100084284827275</t>
        </is>
      </c>
      <c r="D1456" s="9" t="inlineStr">
        <is>
          <t>Cần quét Bio Fanpage</t>
        </is>
      </c>
      <c r="E1456" s="59" t="inlineStr">
        <is>
          <t>02/10/2024 01:38:31</t>
        </is>
      </c>
      <c r="F1456" s="59" t="inlineStr">
        <is>
          <t>2 năm trước</t>
        </is>
      </c>
      <c r="G1456" s="61" t="n">
        <v>730</v>
      </c>
      <c r="H1456" s="62" t="n">
        <v>0</v>
      </c>
      <c r="I1456" s="9" t="inlineStr">
        <is>
          <t>Dog Breeder / Trại chó chuyên nghiệp (28-30đ)</t>
        </is>
      </c>
      <c r="J1456" s="62" t="n">
        <v>28</v>
      </c>
      <c r="K1456" s="9" t="inlineStr">
        <is>
          <t>French Bulldog</t>
        </is>
      </c>
      <c r="L1456" s="62" t="n">
        <v>10</v>
      </c>
      <c r="M1456" s="62" t="n">
        <v>0</v>
      </c>
      <c r="N1456" s="9" t="inlineStr">
        <is>
          <t>Amazon link not found</t>
        </is>
      </c>
      <c r="O1456" s="62">
        <f>IF(N1456="Selling pet toys + Artificial grass/Pet toilets (TARGET)",15,IF(N1456="Selling artificial grass/pet toilets (TARGET)",10,IF(N1456="Selling pet toys",7,IF(N1456="There's an Amazon link, but no target sales.",3,0))))</f>
        <v/>
      </c>
      <c r="P1456" s="67">
        <f>H1456+J1456+L1456+M1456+O1456</f>
        <v/>
      </c>
      <c r="Q1456" s="68">
        <f>IF(OR(H1456=0,P1456&lt;30),"Tier D (Đóng băng)",IF(P1456&gt;=85,"Tier S (Kim Cương: 85-100đ)",IF(P1456&gt;=70,"Tier A (Vàng: 70-84đ)",IF(P1456&gt;=61,"Tier B+ / Cấp A (Hot Lead: 61-69đ)",IF(P1456&gt;=50,"Tier B (Bạc: 50-60đ)","Tier C (Đồng: 30-49đ)")))))</f>
        <v/>
      </c>
      <c r="R1456" s="9" t="inlineStr">
        <is>
          <t>Trọn gói Take-Home Starter Kit V2/V3 (Cỏ nhân tạo + Khay Potty + Đồ chơi Teething/Snuggle)</t>
        </is>
      </c>
      <c r="S1456" s="9" t="inlineStr">
        <is>
          <t>Đóng băng tương tác (&gt;30 ngày): Lưu trữ chờ kích hoạt lại, không tốn tài nguyên Sales</t>
        </is>
      </c>
    </row>
    <row r="1457">
      <c r="A1457" s="53" t="n">
        <v>1404</v>
      </c>
      <c r="B1457" s="12" t="inlineStr">
        <is>
          <t>Floridaqualityfrenchies</t>
        </is>
      </c>
      <c r="C1457" s="54" t="inlineStr">
        <is>
          <t>https://www.facebook.com/profile.php?id=61565669129264</t>
        </is>
      </c>
      <c r="D1457" s="6" t="inlineStr">
        <is>
          <t>Cần quét Bio Fanpage</t>
        </is>
      </c>
      <c r="E1457" s="53" t="inlineStr">
        <is>
          <t>22/09/2024 02:26:11</t>
        </is>
      </c>
      <c r="F1457" s="53" t="inlineStr">
        <is>
          <t>2 năm trước</t>
        </is>
      </c>
      <c r="G1457" s="55" t="n">
        <v>730</v>
      </c>
      <c r="H1457" s="56" t="n">
        <v>0</v>
      </c>
      <c r="I1457" s="6" t="inlineStr">
        <is>
          <t>Dog Breeder / Trại nhân giống (28-30đ)</t>
        </is>
      </c>
      <c r="J1457" s="56" t="n">
        <v>28</v>
      </c>
      <c r="K1457" s="6" t="inlineStr">
        <is>
          <t>French Bulldog</t>
        </is>
      </c>
      <c r="L1457" s="56" t="n">
        <v>10</v>
      </c>
      <c r="M1457" s="56" t="n">
        <v>0</v>
      </c>
      <c r="N1457" s="6" t="inlineStr">
        <is>
          <t>Amazon link not found</t>
        </is>
      </c>
      <c r="O1457" s="56">
        <f>IF(N1457="Selling pet toys + Artificial grass/Pet toilets (TARGET)",15,IF(N1457="Selling artificial grass/pet toilets (TARGET)",10,IF(N1457="Selling pet toys",7,IF(N1457="There's an Amazon link, but no target sales.",3,0))))</f>
        <v/>
      </c>
      <c r="P1457" s="65">
        <f>H1457+J1457+L1457+M1457+O1457</f>
        <v/>
      </c>
      <c r="Q1457" s="68">
        <f>IF(OR(H1457=0,P1457&lt;30),"Tier D (Đóng băng)",IF(P1457&gt;=85,"Tier S (Kim Cương: 85-100đ)",IF(P1457&gt;=70,"Tier A (Vàng: 70-84đ)",IF(P1457&gt;=61,"Tier B+ / Cấp A (Hot Lead: 61-69đ)",IF(P1457&gt;=50,"Tier B (Bạc: 50-60đ)","Tier C (Đồng: 30-49đ)")))))</f>
        <v/>
      </c>
      <c r="R1457" s="6" t="inlineStr">
        <is>
          <t>Trọn gói Take-Home Starter Kit V2/V3 (Cỏ nhân tạo + Khay Potty + Đồ chơi cún con)</t>
        </is>
      </c>
      <c r="S1457" s="6" t="inlineStr">
        <is>
          <t>Đóng băng tương tác (&gt;30 ngày): Lưu trữ chờ kích hoạt lại, không tốn tài nguyên Sales</t>
        </is>
      </c>
    </row>
    <row r="1458">
      <c r="A1458" s="59" t="n">
        <v>3232</v>
      </c>
      <c r="B1458" s="15" t="inlineStr">
        <is>
          <t>TRI COLORED AMERICAN BULLIES</t>
        </is>
      </c>
      <c r="C1458" s="60" t="inlineStr">
        <is>
          <t>https://www.facebook.com/profile.php?id=100093679972061</t>
        </is>
      </c>
      <c r="D1458" s="9" t="inlineStr">
        <is>
          <t>Cần quét Bio Fanpage</t>
        </is>
      </c>
      <c r="E1458" s="59" t="inlineStr">
        <is>
          <t>18/08/2024 10:16:21</t>
        </is>
      </c>
      <c r="F1458" s="59" t="inlineStr">
        <is>
          <t>2 năm trước</t>
        </is>
      </c>
      <c r="G1458" s="61" t="n">
        <v>730</v>
      </c>
      <c r="H1458" s="62" t="n">
        <v>0</v>
      </c>
      <c r="I1458" s="9" t="inlineStr">
        <is>
          <t>Dog Breeder / Trại chó chuyên nghiệp (28-30đ)</t>
        </is>
      </c>
      <c r="J1458" s="62" t="n">
        <v>28</v>
      </c>
      <c r="K1458" s="9" t="inlineStr">
        <is>
          <t>American Bully / Bully</t>
        </is>
      </c>
      <c r="L1458" s="62" t="n">
        <v>10</v>
      </c>
      <c r="M1458" s="62" t="n">
        <v>0</v>
      </c>
      <c r="N1458" s="9" t="inlineStr">
        <is>
          <t>Amazon link not found</t>
        </is>
      </c>
      <c r="O1458" s="62">
        <f>IF(N1458="Selling pet toys + Artificial grass/Pet toilets (TARGET)",15,IF(N1458="Selling artificial grass/pet toilets (TARGET)",10,IF(N1458="Selling pet toys",7,IF(N1458="There's an Amazon link, but no target sales.",3,0))))</f>
        <v/>
      </c>
      <c r="P1458" s="67">
        <f>H1458+J1458+L1458+M1458+O1458</f>
        <v/>
      </c>
      <c r="Q1458" s="68">
        <f>IF(OR(H1458=0,P1458&lt;30),"Tier D (Đóng băng)",IF(P1458&gt;=85,"Tier S (Kim Cương: 85-100đ)",IF(P1458&gt;=70,"Tier A (Vàng: 70-84đ)",IF(P1458&gt;=61,"Tier B+ / Cấp A (Hot Lead: 61-69đ)",IF(P1458&gt;=50,"Tier B (Bạc: 50-60đ)","Tier C (Đồng: 30-49đ)")))))</f>
        <v/>
      </c>
      <c r="R1458" s="9" t="inlineStr">
        <is>
          <t>Trọn gói Take-Home Starter Kit V2/V3 (Cỏ nhân tạo + Khay Potty + Đồ chơi Teething/Snuggle)</t>
        </is>
      </c>
      <c r="S1458" s="9" t="inlineStr">
        <is>
          <t>Đóng băng tương tác (&gt;30 ngày): Lưu trữ chờ kích hoạt lại, không tốn tài nguyên Sales</t>
        </is>
      </c>
    </row>
    <row r="1459">
      <c r="A1459" s="53" t="n">
        <v>1358</v>
      </c>
      <c r="B1459" s="12" t="inlineStr">
        <is>
          <t>Fawn Drive Frenchies</t>
        </is>
      </c>
      <c r="C1459" s="54" t="inlineStr">
        <is>
          <t>https://www.facebook.com/fawndrivefrenchies</t>
        </is>
      </c>
      <c r="D1459" s="6" t="inlineStr">
        <is>
          <t>Cần quét Bio Fanpage</t>
        </is>
      </c>
      <c r="E1459" s="53" t="inlineStr">
        <is>
          <t>17/08/2024 23:51:20</t>
        </is>
      </c>
      <c r="F1459" s="53" t="inlineStr">
        <is>
          <t>2 năm trước</t>
        </is>
      </c>
      <c r="G1459" s="55" t="n">
        <v>730</v>
      </c>
      <c r="H1459" s="56" t="n">
        <v>0</v>
      </c>
      <c r="I1459" s="6" t="inlineStr">
        <is>
          <t>Dog Breeder / Trại chó chuyên nghiệp (28-30đ)</t>
        </is>
      </c>
      <c r="J1459" s="56" t="n">
        <v>28</v>
      </c>
      <c r="K1459" s="6" t="inlineStr">
        <is>
          <t>French Bulldog</t>
        </is>
      </c>
      <c r="L1459" s="56" t="n">
        <v>10</v>
      </c>
      <c r="M1459" s="56" t="n">
        <v>0</v>
      </c>
      <c r="N1459" s="6" t="inlineStr">
        <is>
          <t>Amazon link not found</t>
        </is>
      </c>
      <c r="O1459" s="56">
        <f>IF(N1459="Selling pet toys + Artificial grass/Pet toilets (TARGET)",15,IF(N1459="Selling artificial grass/pet toilets (TARGET)",10,IF(N1459="Selling pet toys",7,IF(N1459="There's an Amazon link, but no target sales.",3,0))))</f>
        <v/>
      </c>
      <c r="P1459" s="65">
        <f>H1459+J1459+L1459+M1459+O1459</f>
        <v/>
      </c>
      <c r="Q1459" s="68">
        <f>IF(OR(H1459=0,P1459&lt;30),"Tier D (Đóng băng)",IF(P1459&gt;=85,"Tier S (Kim Cương: 85-100đ)",IF(P1459&gt;=70,"Tier A (Vàng: 70-84đ)",IF(P1459&gt;=61,"Tier B+ / Cấp A (Hot Lead: 61-69đ)",IF(P1459&gt;=50,"Tier B (Bạc: 50-60đ)","Tier C (Đồng: 30-49đ)")))))</f>
        <v/>
      </c>
      <c r="R1459" s="6" t="inlineStr">
        <is>
          <t>Trọn gói Take-Home Starter Kit V2/V3 (Cỏ nhân tạo + Khay Potty + Đồ chơi Teething/Snuggle)</t>
        </is>
      </c>
      <c r="S1459" s="6" t="inlineStr">
        <is>
          <t>Đóng băng tương tác (&gt;30 ngày): Lưu trữ chờ kích hoạt lại, không tốn tài nguyên Sales</t>
        </is>
      </c>
    </row>
    <row r="1460">
      <c r="A1460" s="59" t="n">
        <v>1955</v>
      </c>
      <c r="B1460" s="15" t="inlineStr">
        <is>
          <t>La Imperial French Bulldogs</t>
        </is>
      </c>
      <c r="C1460" s="60" t="inlineStr">
        <is>
          <t>https://www.facebook.com/profile.php?id=100064382965406</t>
        </is>
      </c>
      <c r="D1460" s="9" t="inlineStr">
        <is>
          <t>Cần quét Bio Fanpage</t>
        </is>
      </c>
      <c r="E1460" s="59" t="inlineStr">
        <is>
          <t>18/05/2024 04:29:24</t>
        </is>
      </c>
      <c r="F1460" s="59" t="inlineStr">
        <is>
          <t>2 năm trước</t>
        </is>
      </c>
      <c r="G1460" s="61" t="n">
        <v>730</v>
      </c>
      <c r="H1460" s="62" t="n">
        <v>0</v>
      </c>
      <c r="I1460" s="9" t="inlineStr">
        <is>
          <t>Dog Breeder / Trại chó chuyên nghiệp (28-30đ)</t>
        </is>
      </c>
      <c r="J1460" s="62" t="n">
        <v>28</v>
      </c>
      <c r="K1460" s="9" t="inlineStr">
        <is>
          <t>French Bulldog</t>
        </is>
      </c>
      <c r="L1460" s="62" t="n">
        <v>10</v>
      </c>
      <c r="M1460" s="62" t="n">
        <v>0</v>
      </c>
      <c r="N1460" s="9" t="inlineStr">
        <is>
          <t>Amazon link not found</t>
        </is>
      </c>
      <c r="O1460" s="62">
        <f>IF(N1460="Selling pet toys + Artificial grass/Pet toilets (TARGET)",15,IF(N1460="Selling artificial grass/pet toilets (TARGET)",10,IF(N1460="Selling pet toys",7,IF(N1460="There's an Amazon link, but no target sales.",3,0))))</f>
        <v/>
      </c>
      <c r="P1460" s="67">
        <f>H1460+J1460+L1460+M1460+O1460</f>
        <v/>
      </c>
      <c r="Q1460" s="68">
        <f>IF(OR(H1460=0,P1460&lt;30),"Tier D (Đóng băng)",IF(P1460&gt;=85,"Tier S (Kim Cương: 85-100đ)",IF(P1460&gt;=70,"Tier A (Vàng: 70-84đ)",IF(P1460&gt;=61,"Tier B+ / Cấp A (Hot Lead: 61-69đ)",IF(P1460&gt;=50,"Tier B (Bạc: 50-60đ)","Tier C (Đồng: 30-49đ)")))))</f>
        <v/>
      </c>
      <c r="R1460" s="9" t="inlineStr">
        <is>
          <t>Trọn gói Take-Home Starter Kit V2/V3 (Cỏ nhân tạo + Khay Potty + Đồ chơi Teething/Snuggle)</t>
        </is>
      </c>
      <c r="S1460" s="9" t="inlineStr">
        <is>
          <t>Đóng băng tương tác (&gt;30 ngày): Lưu trữ chờ kích hoạt lại, không tốn tài nguyên Sales</t>
        </is>
      </c>
    </row>
    <row r="1461">
      <c r="A1461" s="53" t="n">
        <v>1837</v>
      </c>
      <c r="B1461" s="12" t="inlineStr">
        <is>
          <t>Kaizen Fiber Farm &amp; DyeWorks Studio</t>
        </is>
      </c>
      <c r="C1461" s="54" t="inlineStr">
        <is>
          <t>https://www.facebook.com/KaizenFiberFarm</t>
        </is>
      </c>
      <c r="D1461" s="6" t="inlineStr">
        <is>
          <t>Cần quét Bio Fanpage</t>
        </is>
      </c>
      <c r="E1461" s="53" t="inlineStr">
        <is>
          <t>13/04/2024 11:09:13</t>
        </is>
      </c>
      <c r="F1461" s="53" t="inlineStr">
        <is>
          <t>2 năm trước</t>
        </is>
      </c>
      <c r="G1461" s="55" t="n">
        <v>730</v>
      </c>
      <c r="H1461" s="56" t="n">
        <v>0</v>
      </c>
      <c r="I1461" s="6" t="inlineStr">
        <is>
          <t>Dog Breeder / Trại nhân giống (28-30đ)</t>
        </is>
      </c>
      <c r="J1461" s="56" t="n">
        <v>28</v>
      </c>
      <c r="K1461" s="6" t="inlineStr">
        <is>
          <t>Chưa rõ giống (Cần quét Bio)</t>
        </is>
      </c>
      <c r="L1461" s="56" t="n">
        <v>0</v>
      </c>
      <c r="M1461" s="56" t="n">
        <v>10</v>
      </c>
      <c r="N1461" s="6" t="inlineStr">
        <is>
          <t>Amazon link not found</t>
        </is>
      </c>
      <c r="O1461" s="56">
        <f>IF(N1461="Selling pet toys + Artificial grass/Pet toilets (TARGET)",15,IF(N1461="Selling artificial grass/pet toilets (TARGET)",10,IF(N1461="Selling pet toys",7,IF(N1461="There's an Amazon link, but no target sales.",3,0))))</f>
        <v/>
      </c>
      <c r="P1461" s="65">
        <f>H1461+J1461+L1461+M1461+O1461</f>
        <v/>
      </c>
      <c r="Q1461" s="68">
        <f>IF(OR(H1461=0,P1461&lt;30),"Tier D (Đóng băng)",IF(P1461&gt;=85,"Tier S (Kim Cương: 85-100đ)",IF(P1461&gt;=70,"Tier A (Vàng: 70-84đ)",IF(P1461&gt;=61,"Tier B+ / Cấp A (Hot Lead: 61-69đ)",IF(P1461&gt;=50,"Tier B (Bạc: 50-60đ)","Tier C (Đồng: 30-49đ)")))))</f>
        <v/>
      </c>
      <c r="R1461" s="6" t="inlineStr">
        <is>
          <t>Trọn gói Take-Home Starter Kit V2/V3 (Cỏ nhân tạo + Khay Potty + Đồ chơi cún con)</t>
        </is>
      </c>
      <c r="S1461" s="6" t="inlineStr">
        <is>
          <t>Đóng băng tương tác (&gt;30 ngày): Lưu trữ chờ kích hoạt lại, không tốn tài nguyên Sales</t>
        </is>
      </c>
    </row>
    <row r="1462">
      <c r="A1462" s="59" t="n">
        <v>3080</v>
      </c>
      <c r="B1462" s="15" t="inlineStr">
        <is>
          <t>Texas sized frenchies</t>
        </is>
      </c>
      <c r="C1462" s="60" t="inlineStr">
        <is>
          <t>https://www.facebook.com/TEXASSIZEDFRENCHIES</t>
        </is>
      </c>
      <c r="D1462" s="9" t="inlineStr">
        <is>
          <t>Cần quét Bio Fanpage</t>
        </is>
      </c>
      <c r="E1462" s="59" t="inlineStr">
        <is>
          <t>28/03/2024 05:37:04</t>
        </is>
      </c>
      <c r="F1462" s="59" t="inlineStr">
        <is>
          <t>2 năm trước</t>
        </is>
      </c>
      <c r="G1462" s="61" t="n">
        <v>730</v>
      </c>
      <c r="H1462" s="62" t="n">
        <v>0</v>
      </c>
      <c r="I1462" s="9" t="inlineStr">
        <is>
          <t>Dog Breeder / Trại chó chuyên nghiệp (28-30đ)</t>
        </is>
      </c>
      <c r="J1462" s="62" t="n">
        <v>28</v>
      </c>
      <c r="K1462" s="9" t="inlineStr">
        <is>
          <t>French Bulldog</t>
        </is>
      </c>
      <c r="L1462" s="62" t="n">
        <v>10</v>
      </c>
      <c r="M1462" s="62" t="n">
        <v>0</v>
      </c>
      <c r="N1462" s="9" t="inlineStr">
        <is>
          <t>Amazon link not found</t>
        </is>
      </c>
      <c r="O1462" s="62">
        <f>IF(N1462="Selling pet toys + Artificial grass/Pet toilets (TARGET)",15,IF(N1462="Selling artificial grass/pet toilets (TARGET)",10,IF(N1462="Selling pet toys",7,IF(N1462="There's an Amazon link, but no target sales.",3,0))))</f>
        <v/>
      </c>
      <c r="P1462" s="67">
        <f>H1462+J1462+L1462+M1462+O1462</f>
        <v/>
      </c>
      <c r="Q1462" s="68">
        <f>IF(OR(H1462=0,P1462&lt;30),"Tier D (Đóng băng)",IF(P1462&gt;=85,"Tier S (Kim Cương: 85-100đ)",IF(P1462&gt;=70,"Tier A (Vàng: 70-84đ)",IF(P1462&gt;=61,"Tier B+ / Cấp A (Hot Lead: 61-69đ)",IF(P1462&gt;=50,"Tier B (Bạc: 50-60đ)","Tier C (Đồng: 30-49đ)")))))</f>
        <v/>
      </c>
      <c r="R1462" s="9" t="inlineStr">
        <is>
          <t>Trọn gói Take-Home Starter Kit V2/V3 (Cỏ nhân tạo + Khay Potty + Đồ chơi Teething/Snuggle)</t>
        </is>
      </c>
      <c r="S1462" s="9" t="inlineStr">
        <is>
          <t>Đóng băng tương tác (&gt;30 ngày): Lưu trữ chờ kích hoạt lại, không tốn tài nguyên Sales</t>
        </is>
      </c>
    </row>
    <row r="1463">
      <c r="A1463" s="53" t="n">
        <v>2230</v>
      </c>
      <c r="B1463" s="12" t="inlineStr">
        <is>
          <t>Mt Olympus French Bulldogs</t>
        </is>
      </c>
      <c r="C1463" s="54" t="inlineStr">
        <is>
          <t>https://www.facebook.com/profile.php?id=100064859558023</t>
        </is>
      </c>
      <c r="D1463" s="6" t="inlineStr">
        <is>
          <t>Cần quét Bio Fanpage</t>
        </is>
      </c>
      <c r="E1463" s="53" t="inlineStr">
        <is>
          <t>28/02/2024 20:35:46</t>
        </is>
      </c>
      <c r="F1463" s="53" t="inlineStr">
        <is>
          <t>2 năm trước</t>
        </is>
      </c>
      <c r="G1463" s="55" t="n">
        <v>730</v>
      </c>
      <c r="H1463" s="56" t="n">
        <v>0</v>
      </c>
      <c r="I1463" s="6" t="inlineStr">
        <is>
          <t>Dog Breeder / Trại chó chuyên nghiệp (28-30đ)</t>
        </is>
      </c>
      <c r="J1463" s="56" t="n">
        <v>28</v>
      </c>
      <c r="K1463" s="6" t="inlineStr">
        <is>
          <t>French Bulldog</t>
        </is>
      </c>
      <c r="L1463" s="56" t="n">
        <v>10</v>
      </c>
      <c r="M1463" s="56" t="n">
        <v>0</v>
      </c>
      <c r="N1463" s="6" t="inlineStr">
        <is>
          <t>Amazon link not found</t>
        </is>
      </c>
      <c r="O1463" s="56">
        <f>IF(N1463="Selling pet toys + Artificial grass/Pet toilets (TARGET)",15,IF(N1463="Selling artificial grass/pet toilets (TARGET)",10,IF(N1463="Selling pet toys",7,IF(N1463="There's an Amazon link, but no target sales.",3,0))))</f>
        <v/>
      </c>
      <c r="P1463" s="65">
        <f>H1463+J1463+L1463+M1463+O1463</f>
        <v/>
      </c>
      <c r="Q1463" s="68">
        <f>IF(OR(H1463=0,P1463&lt;30),"Tier D (Đóng băng)",IF(P1463&gt;=85,"Tier S (Kim Cương: 85-100đ)",IF(P1463&gt;=70,"Tier A (Vàng: 70-84đ)",IF(P1463&gt;=61,"Tier B+ / Cấp A (Hot Lead: 61-69đ)",IF(P1463&gt;=50,"Tier B (Bạc: 50-60đ)","Tier C (Đồng: 30-49đ)")))))</f>
        <v/>
      </c>
      <c r="R1463" s="6" t="inlineStr">
        <is>
          <t>Trọn gói Take-Home Starter Kit V2/V3 (Cỏ nhân tạo + Khay Potty + Đồ chơi Teething/Snuggle)</t>
        </is>
      </c>
      <c r="S1463" s="6" t="inlineStr">
        <is>
          <t>Đóng băng tương tác (&gt;30 ngày): Lưu trữ chờ kích hoạt lại, không tốn tài nguyên Sales</t>
        </is>
      </c>
    </row>
    <row r="1464">
      <c r="A1464" s="59" t="n">
        <v>1650</v>
      </c>
      <c r="B1464" s="15" t="inlineStr">
        <is>
          <t>Hermitage Estate Bulldogs</t>
        </is>
      </c>
      <c r="C1464" s="60" t="inlineStr">
        <is>
          <t>https://www.facebook.com/hermitageestatebulldogs</t>
        </is>
      </c>
      <c r="D1464" s="9" t="inlineStr">
        <is>
          <t>Cần quét Bio Fanpage</t>
        </is>
      </c>
      <c r="E1464" s="59" t="inlineStr">
        <is>
          <t>02/02/2024 16:38:01</t>
        </is>
      </c>
      <c r="F1464" s="59" t="inlineStr">
        <is>
          <t>2 năm trước</t>
        </is>
      </c>
      <c r="G1464" s="61" t="n">
        <v>730</v>
      </c>
      <c r="H1464" s="62" t="n">
        <v>0</v>
      </c>
      <c r="I1464" s="9" t="inlineStr">
        <is>
          <t>Dog Breeder / Trại chó chuyên nghiệp (28-30đ)</t>
        </is>
      </c>
      <c r="J1464" s="62" t="n">
        <v>28</v>
      </c>
      <c r="K1464" s="9" t="inlineStr">
        <is>
          <t>English Bulldog</t>
        </is>
      </c>
      <c r="L1464" s="62" t="n">
        <v>10</v>
      </c>
      <c r="M1464" s="62" t="n">
        <v>0</v>
      </c>
      <c r="N1464" s="9" t="inlineStr">
        <is>
          <t>Amazon link not found</t>
        </is>
      </c>
      <c r="O1464" s="62">
        <f>IF(N1464="Selling pet toys + Artificial grass/Pet toilets (TARGET)",15,IF(N1464="Selling artificial grass/pet toilets (TARGET)",10,IF(N1464="Selling pet toys",7,IF(N1464="There's an Amazon link, but no target sales.",3,0))))</f>
        <v/>
      </c>
      <c r="P1464" s="67">
        <f>H1464+J1464+L1464+M1464+O1464</f>
        <v/>
      </c>
      <c r="Q1464" s="68">
        <f>IF(OR(H1464=0,P1464&lt;30),"Tier D (Đóng băng)",IF(P1464&gt;=85,"Tier S (Kim Cương: 85-100đ)",IF(P1464&gt;=70,"Tier A (Vàng: 70-84đ)",IF(P1464&gt;=61,"Tier B+ / Cấp A (Hot Lead: 61-69đ)",IF(P1464&gt;=50,"Tier B (Bạc: 50-60đ)","Tier C (Đồng: 30-49đ)")))))</f>
        <v/>
      </c>
      <c r="R1464" s="9" t="inlineStr">
        <is>
          <t>Trọn gói Take-Home Starter Kit V2/V3 (Cỏ nhân tạo + Khay Potty + Đồ chơi Teething/Snuggle)</t>
        </is>
      </c>
      <c r="S1464" s="9" t="inlineStr">
        <is>
          <t>Đóng băng tương tác (&gt;30 ngày): Lưu trữ chờ kích hoạt lại, không tốn tài nguyên Sales</t>
        </is>
      </c>
    </row>
    <row r="1465">
      <c r="A1465" s="53" t="n">
        <v>2316</v>
      </c>
      <c r="B1465" s="12" t="inlineStr">
        <is>
          <t>Northbound Bullies</t>
        </is>
      </c>
      <c r="C1465" s="54" t="inlineStr">
        <is>
          <t>https://www.facebook.com/profile.php?id=61553589004186</t>
        </is>
      </c>
      <c r="D1465" s="6" t="inlineStr">
        <is>
          <t>Cần quét Bio Fanpage</t>
        </is>
      </c>
      <c r="E1465" s="53" t="inlineStr">
        <is>
          <t>17/11/2023 02:09:59</t>
        </is>
      </c>
      <c r="F1465" s="53" t="inlineStr">
        <is>
          <t>2 năm trước</t>
        </is>
      </c>
      <c r="G1465" s="55" t="n">
        <v>730</v>
      </c>
      <c r="H1465" s="56" t="n">
        <v>0</v>
      </c>
      <c r="I1465" s="6" t="inlineStr">
        <is>
          <t>Dog Breeder / Trại chó chuyên nghiệp (28-30đ)</t>
        </is>
      </c>
      <c r="J1465" s="56" t="n">
        <v>28</v>
      </c>
      <c r="K1465" s="6" t="inlineStr">
        <is>
          <t>American Bully / Bully</t>
        </is>
      </c>
      <c r="L1465" s="56" t="n">
        <v>10</v>
      </c>
      <c r="M1465" s="56" t="n">
        <v>0</v>
      </c>
      <c r="N1465" s="6" t="inlineStr">
        <is>
          <t>Amazon link not found</t>
        </is>
      </c>
      <c r="O1465" s="56">
        <f>IF(N1465="Selling pet toys + Artificial grass/Pet toilets (TARGET)",15,IF(N1465="Selling artificial grass/pet toilets (TARGET)",10,IF(N1465="Selling pet toys",7,IF(N1465="There's an Amazon link, but no target sales.",3,0))))</f>
        <v/>
      </c>
      <c r="P1465" s="65">
        <f>H1465+J1465+L1465+M1465+O1465</f>
        <v/>
      </c>
      <c r="Q1465" s="68">
        <f>IF(OR(H1465=0,P1465&lt;30),"Tier D (Đóng băng)",IF(P1465&gt;=85,"Tier S (Kim Cương: 85-100đ)",IF(P1465&gt;=70,"Tier A (Vàng: 70-84đ)",IF(P1465&gt;=61,"Tier B+ / Cấp A (Hot Lead: 61-69đ)",IF(P1465&gt;=50,"Tier B (Bạc: 50-60đ)","Tier C (Đồng: 30-49đ)")))))</f>
        <v/>
      </c>
      <c r="R1465" s="6" t="inlineStr">
        <is>
          <t>Trọn gói Take-Home Starter Kit V2/V3 (Cỏ nhân tạo + Khay Potty + Đồ chơi Teething/Snuggle)</t>
        </is>
      </c>
      <c r="S1465" s="6" t="inlineStr">
        <is>
          <t>Đóng băng tương tác (&gt;30 ngày): Lưu trữ chờ kích hoạt lại, không tốn tài nguyên Sales</t>
        </is>
      </c>
    </row>
    <row r="1466">
      <c r="A1466" s="59" t="n">
        <v>1444</v>
      </c>
      <c r="B1466" s="15" t="inlineStr">
        <is>
          <t>Frenchie Empire</t>
        </is>
      </c>
      <c r="C1466" s="60" t="inlineStr">
        <is>
          <t>https://www.facebook.com/thefrenchieempire</t>
        </is>
      </c>
      <c r="D1466" s="9" t="inlineStr">
        <is>
          <t>Cần quét Bio Fanpage</t>
        </is>
      </c>
      <c r="E1466" s="59" t="inlineStr">
        <is>
          <t>15/11/2023 22:50:00</t>
        </is>
      </c>
      <c r="F1466" s="59" t="inlineStr">
        <is>
          <t>2 năm trước</t>
        </is>
      </c>
      <c r="G1466" s="61" t="n">
        <v>730</v>
      </c>
      <c r="H1466" s="62" t="n">
        <v>0</v>
      </c>
      <c r="I1466" s="9" t="inlineStr">
        <is>
          <t>Dog Breeder / Trại nhân giống (28-30đ)</t>
        </is>
      </c>
      <c r="J1466" s="62" t="n">
        <v>28</v>
      </c>
      <c r="K1466" s="9" t="inlineStr">
        <is>
          <t>French Bulldog</t>
        </is>
      </c>
      <c r="L1466" s="62" t="n">
        <v>10</v>
      </c>
      <c r="M1466" s="62" t="n">
        <v>0</v>
      </c>
      <c r="N1466" s="9" t="inlineStr">
        <is>
          <t>Amazon link not found</t>
        </is>
      </c>
      <c r="O1466" s="62">
        <f>IF(N1466="Selling pet toys + Artificial grass/Pet toilets (TARGET)",15,IF(N1466="Selling artificial grass/pet toilets (TARGET)",10,IF(N1466="Selling pet toys",7,IF(N1466="There's an Amazon link, but no target sales.",3,0))))</f>
        <v/>
      </c>
      <c r="P1466" s="67">
        <f>H1466+J1466+L1466+M1466+O1466</f>
        <v/>
      </c>
      <c r="Q1466" s="68">
        <f>IF(OR(H1466=0,P1466&lt;30),"Tier D (Đóng băng)",IF(P1466&gt;=85,"Tier S (Kim Cương: 85-100đ)",IF(P1466&gt;=70,"Tier A (Vàng: 70-84đ)",IF(P1466&gt;=61,"Tier B+ / Cấp A (Hot Lead: 61-69đ)",IF(P1466&gt;=50,"Tier B (Bạc: 50-60đ)","Tier C (Đồng: 30-49đ)")))))</f>
        <v/>
      </c>
      <c r="R1466" s="9" t="inlineStr">
        <is>
          <t>Trọn gói Take-Home Starter Kit V2/V3 (Cỏ nhân tạo + Khay Potty + Đồ chơi cún con)</t>
        </is>
      </c>
      <c r="S1466" s="9" t="inlineStr">
        <is>
          <t>Đóng băng tương tác (&gt;30 ngày): Lưu trữ chờ kích hoạt lại, không tốn tài nguyên Sales</t>
        </is>
      </c>
    </row>
    <row r="1467">
      <c r="A1467" s="53" t="n">
        <v>1575</v>
      </c>
      <c r="B1467" s="12" t="inlineStr">
        <is>
          <t>Guardian Bullies</t>
        </is>
      </c>
      <c r="C1467" s="54" t="inlineStr">
        <is>
          <t>https://www.facebook.com/guardianbulliesau</t>
        </is>
      </c>
      <c r="D1467" s="6" t="inlineStr">
        <is>
          <t>Cần quét Bio Fanpage</t>
        </is>
      </c>
      <c r="E1467" s="53" t="inlineStr">
        <is>
          <t>22/08/2023 09:15:36</t>
        </is>
      </c>
      <c r="F1467" s="53" t="inlineStr">
        <is>
          <t>3 năm trước</t>
        </is>
      </c>
      <c r="G1467" s="55" t="n">
        <v>1095</v>
      </c>
      <c r="H1467" s="56" t="n">
        <v>0</v>
      </c>
      <c r="I1467" s="6" t="inlineStr">
        <is>
          <t>Dog Breeder / Trại chó chuyên nghiệp (28-30đ)</t>
        </is>
      </c>
      <c r="J1467" s="56" t="n">
        <v>28</v>
      </c>
      <c r="K1467" s="6" t="inlineStr">
        <is>
          <t>American Bully / Bully</t>
        </is>
      </c>
      <c r="L1467" s="56" t="n">
        <v>10</v>
      </c>
      <c r="M1467" s="56" t="n">
        <v>0</v>
      </c>
      <c r="N1467" s="6" t="inlineStr">
        <is>
          <t>Amazon link not found</t>
        </is>
      </c>
      <c r="O1467" s="56">
        <f>IF(N1467="Selling pet toys + Artificial grass/Pet toilets (TARGET)",15,IF(N1467="Selling artificial grass/pet toilets (TARGET)",10,IF(N1467="Selling pet toys",7,IF(N1467="There's an Amazon link, but no target sales.",3,0))))</f>
        <v/>
      </c>
      <c r="P1467" s="65">
        <f>H1467+J1467+L1467+M1467+O1467</f>
        <v/>
      </c>
      <c r="Q1467" s="68">
        <f>IF(OR(H1467=0,P1467&lt;30),"Tier D (Đóng băng)",IF(P1467&gt;=85,"Tier S (Kim Cương: 85-100đ)",IF(P1467&gt;=70,"Tier A (Vàng: 70-84đ)",IF(P1467&gt;=61,"Tier B+ / Cấp A (Hot Lead: 61-69đ)",IF(P1467&gt;=50,"Tier B (Bạc: 50-60đ)","Tier C (Đồng: 30-49đ)")))))</f>
        <v/>
      </c>
      <c r="R1467" s="6" t="inlineStr">
        <is>
          <t>Trọn gói Take-Home Starter Kit V2/V3 (Cỏ nhân tạo + Khay Potty + Đồ chơi Teething/Snuggle)</t>
        </is>
      </c>
      <c r="S1467" s="6" t="inlineStr">
        <is>
          <t>Đóng băng tương tác (&gt;30 ngày): Lưu trữ chờ kích hoạt lại, không tốn tài nguyên Sales</t>
        </is>
      </c>
    </row>
    <row r="1468">
      <c r="A1468" s="59" t="n">
        <v>1406</v>
      </c>
      <c r="B1468" s="15" t="inlineStr">
        <is>
          <t>Fluent in Frenchie</t>
        </is>
      </c>
      <c r="C1468" s="60" t="inlineStr">
        <is>
          <t>https://www.facebook.com/fluentinfrenchie</t>
        </is>
      </c>
      <c r="D1468" s="9" t="inlineStr">
        <is>
          <t>Cần quét Bio Fanpage</t>
        </is>
      </c>
      <c r="E1468" s="59" t="inlineStr">
        <is>
          <t>01/07/2023 11:08:29</t>
        </is>
      </c>
      <c r="F1468" s="59" t="inlineStr">
        <is>
          <t>3 năm trước</t>
        </is>
      </c>
      <c r="G1468" s="61" t="n">
        <v>1095</v>
      </c>
      <c r="H1468" s="62" t="n">
        <v>0</v>
      </c>
      <c r="I1468" s="9" t="inlineStr">
        <is>
          <t>Dog Breeder / Trại nhân giống (28-30đ)</t>
        </is>
      </c>
      <c r="J1468" s="62" t="n">
        <v>28</v>
      </c>
      <c r="K1468" s="9" t="inlineStr">
        <is>
          <t>French Bulldog</t>
        </is>
      </c>
      <c r="L1468" s="62" t="n">
        <v>10</v>
      </c>
      <c r="M1468" s="62" t="n">
        <v>0</v>
      </c>
      <c r="N1468" s="9" t="inlineStr">
        <is>
          <t>Amazon link not found</t>
        </is>
      </c>
      <c r="O1468" s="62">
        <f>IF(N1468="Selling pet toys + Artificial grass/Pet toilets (TARGET)",15,IF(N1468="Selling artificial grass/pet toilets (TARGET)",10,IF(N1468="Selling pet toys",7,IF(N1468="There's an Amazon link, but no target sales.",3,0))))</f>
        <v/>
      </c>
      <c r="P1468" s="67">
        <f>H1468+J1468+L1468+M1468+O1468</f>
        <v/>
      </c>
      <c r="Q1468" s="68">
        <f>IF(OR(H1468=0,P1468&lt;30),"Tier D (Đóng băng)",IF(P1468&gt;=85,"Tier S (Kim Cương: 85-100đ)",IF(P1468&gt;=70,"Tier A (Vàng: 70-84đ)",IF(P1468&gt;=61,"Tier B+ / Cấp A (Hot Lead: 61-69đ)",IF(P1468&gt;=50,"Tier B (Bạc: 50-60đ)","Tier C (Đồng: 30-49đ)")))))</f>
        <v/>
      </c>
      <c r="R1468" s="9" t="inlineStr">
        <is>
          <t>Trọn gói Take-Home Starter Kit V2/V3 (Cỏ nhân tạo + Khay Potty + Đồ chơi cún con)</t>
        </is>
      </c>
      <c r="S1468" s="9" t="inlineStr">
        <is>
          <t>Đóng băng tương tác (&gt;30 ngày): Lưu trữ chờ kích hoạt lại, không tốn tài nguyên Sales</t>
        </is>
      </c>
    </row>
    <row r="1469">
      <c r="A1469" s="53" t="n">
        <v>848</v>
      </c>
      <c r="B1469" s="12" t="inlineStr">
        <is>
          <t>Carolina Bullies,</t>
        </is>
      </c>
      <c r="C1469" s="54" t="inlineStr">
        <is>
          <t>https://www.facebook.com/carolinabullies</t>
        </is>
      </c>
      <c r="D1469" s="6" t="inlineStr">
        <is>
          <t>Cần quét Bio Fanpage</t>
        </is>
      </c>
      <c r="E1469" s="53" t="inlineStr">
        <is>
          <t>09/05/2023 07:19:27</t>
        </is>
      </c>
      <c r="F1469" s="53" t="inlineStr">
        <is>
          <t>3 năm trước</t>
        </is>
      </c>
      <c r="G1469" s="55" t="n">
        <v>1095</v>
      </c>
      <c r="H1469" s="56" t="n">
        <v>0</v>
      </c>
      <c r="I1469" s="6" t="inlineStr">
        <is>
          <t>Dog Breeder / Trại chó chuyên nghiệp (28-30đ)</t>
        </is>
      </c>
      <c r="J1469" s="56" t="n">
        <v>28</v>
      </c>
      <c r="K1469" s="6" t="inlineStr">
        <is>
          <t>American Bully / Bully</t>
        </is>
      </c>
      <c r="L1469" s="56" t="n">
        <v>10</v>
      </c>
      <c r="M1469" s="56" t="n">
        <v>0</v>
      </c>
      <c r="N1469" s="6" t="inlineStr">
        <is>
          <t>Amazon link not found</t>
        </is>
      </c>
      <c r="O1469" s="56">
        <f>IF(N1469="Selling pet toys + Artificial grass/Pet toilets (TARGET)",15,IF(N1469="Selling artificial grass/pet toilets (TARGET)",10,IF(N1469="Selling pet toys",7,IF(N1469="There's an Amazon link, but no target sales.",3,0))))</f>
        <v/>
      </c>
      <c r="P1469" s="65">
        <f>H1469+J1469+L1469+M1469+O1469</f>
        <v/>
      </c>
      <c r="Q1469" s="68">
        <f>IF(OR(H1469=0,P1469&lt;30),"Tier D (Đóng băng)",IF(P1469&gt;=85,"Tier S (Kim Cương: 85-100đ)",IF(P1469&gt;=70,"Tier A (Vàng: 70-84đ)",IF(P1469&gt;=61,"Tier B+ / Cấp A (Hot Lead: 61-69đ)",IF(P1469&gt;=50,"Tier B (Bạc: 50-60đ)","Tier C (Đồng: 30-49đ)")))))</f>
        <v/>
      </c>
      <c r="R1469" s="6" t="inlineStr">
        <is>
          <t>Trọn gói Take-Home Starter Kit V2/V3 (Cỏ nhân tạo + Khay Potty + Đồ chơi Teething/Snuggle)</t>
        </is>
      </c>
      <c r="S1469" s="6" t="inlineStr">
        <is>
          <t>Đóng băng tương tác (&gt;30 ngày): Lưu trữ chờ kích hoạt lại, không tốn tài nguyên Sales</t>
        </is>
      </c>
    </row>
    <row r="1470">
      <c r="A1470" s="59" t="n">
        <v>306</v>
      </c>
      <c r="B1470" s="15" t="inlineStr">
        <is>
          <t>4 W Bullies</t>
        </is>
      </c>
      <c r="C1470" s="60" t="inlineStr">
        <is>
          <t>https://www.facebook.com/4wbullies</t>
        </is>
      </c>
      <c r="D1470" s="9" t="inlineStr">
        <is>
          <t>Cần quét Bio Fanpage</t>
        </is>
      </c>
      <c r="E1470" s="59" t="inlineStr">
        <is>
          <t>08/05/2023 06:18:55</t>
        </is>
      </c>
      <c r="F1470" s="59" t="inlineStr">
        <is>
          <t>3 năm trước</t>
        </is>
      </c>
      <c r="G1470" s="61" t="n">
        <v>1095</v>
      </c>
      <c r="H1470" s="62" t="n">
        <v>0</v>
      </c>
      <c r="I1470" s="9" t="inlineStr">
        <is>
          <t>Dog Breeder / Trại chó chuyên nghiệp (28-30đ)</t>
        </is>
      </c>
      <c r="J1470" s="62" t="n">
        <v>28</v>
      </c>
      <c r="K1470" s="9" t="inlineStr">
        <is>
          <t>American Bully / Bully</t>
        </is>
      </c>
      <c r="L1470" s="62" t="n">
        <v>10</v>
      </c>
      <c r="M1470" s="62" t="n">
        <v>0</v>
      </c>
      <c r="N1470" s="9" t="inlineStr">
        <is>
          <t>Amazon link not found</t>
        </is>
      </c>
      <c r="O1470" s="62">
        <f>IF(N1470="Selling pet toys + Artificial grass/Pet toilets (TARGET)",15,IF(N1470="Selling artificial grass/pet toilets (TARGET)",10,IF(N1470="Selling pet toys",7,IF(N1470="There's an Amazon link, but no target sales.",3,0))))</f>
        <v/>
      </c>
      <c r="P1470" s="67">
        <f>H1470+J1470+L1470+M1470+O1470</f>
        <v/>
      </c>
      <c r="Q1470" s="68">
        <f>IF(OR(H1470=0,P1470&lt;30),"Tier D (Đóng băng)",IF(P1470&gt;=85,"Tier S (Kim Cương: 85-100đ)",IF(P1470&gt;=70,"Tier A (Vàng: 70-84đ)",IF(P1470&gt;=61,"Tier B+ / Cấp A (Hot Lead: 61-69đ)",IF(P1470&gt;=50,"Tier B (Bạc: 50-60đ)","Tier C (Đồng: 30-49đ)")))))</f>
        <v/>
      </c>
      <c r="R1470" s="9" t="inlineStr">
        <is>
          <t>Trọn gói Take-Home Starter Kit V2/V3 (Cỏ nhân tạo + Khay Potty + Đồ chơi Teething/Snuggle)</t>
        </is>
      </c>
      <c r="S1470" s="9" t="inlineStr">
        <is>
          <t>Đóng băng tương tác (&gt;30 ngày): Lưu trữ chờ kích hoạt lại, không tốn tài nguyên Sales</t>
        </is>
      </c>
    </row>
    <row r="1471">
      <c r="A1471" s="53" t="n">
        <v>2182</v>
      </c>
      <c r="B1471" s="12" t="inlineStr">
        <is>
          <t>Millennium Bullies</t>
        </is>
      </c>
      <c r="C1471" s="54" t="inlineStr">
        <is>
          <t>https://www.facebook.com/MillenniumBullies</t>
        </is>
      </c>
      <c r="D1471" s="6" t="inlineStr">
        <is>
          <t>Cần quét Bio Fanpage</t>
        </is>
      </c>
      <c r="E1471" s="53" t="inlineStr">
        <is>
          <t>01/02/2023 10:01:12</t>
        </is>
      </c>
      <c r="F1471" s="53" t="inlineStr">
        <is>
          <t>3 năm trước</t>
        </is>
      </c>
      <c r="G1471" s="55" t="n">
        <v>1095</v>
      </c>
      <c r="H1471" s="56" t="n">
        <v>0</v>
      </c>
      <c r="I1471" s="6" t="inlineStr">
        <is>
          <t>Dog Breeder / Trại chó chuyên nghiệp (28-30đ)</t>
        </is>
      </c>
      <c r="J1471" s="56" t="n">
        <v>28</v>
      </c>
      <c r="K1471" s="6" t="inlineStr">
        <is>
          <t>American Bully / Bully</t>
        </is>
      </c>
      <c r="L1471" s="56" t="n">
        <v>10</v>
      </c>
      <c r="M1471" s="56" t="n">
        <v>0</v>
      </c>
      <c r="N1471" s="6" t="inlineStr">
        <is>
          <t>Amazon link not found</t>
        </is>
      </c>
      <c r="O1471" s="56">
        <f>IF(N1471="Selling pet toys + Artificial grass/Pet toilets (TARGET)",15,IF(N1471="Selling artificial grass/pet toilets (TARGET)",10,IF(N1471="Selling pet toys",7,IF(N1471="There's an Amazon link, but no target sales.",3,0))))</f>
        <v/>
      </c>
      <c r="P1471" s="65">
        <f>H1471+J1471+L1471+M1471+O1471</f>
        <v/>
      </c>
      <c r="Q1471" s="68">
        <f>IF(OR(H1471=0,P1471&lt;30),"Tier D (Đóng băng)",IF(P1471&gt;=85,"Tier S (Kim Cương: 85-100đ)",IF(P1471&gt;=70,"Tier A (Vàng: 70-84đ)",IF(P1471&gt;=61,"Tier B+ / Cấp A (Hot Lead: 61-69đ)",IF(P1471&gt;=50,"Tier B (Bạc: 50-60đ)","Tier C (Đồng: 30-49đ)")))))</f>
        <v/>
      </c>
      <c r="R1471" s="6" t="inlineStr">
        <is>
          <t>Trọn gói Take-Home Starter Kit V2/V3 (Cỏ nhân tạo + Khay Potty + Đồ chơi Teething/Snuggle)</t>
        </is>
      </c>
      <c r="S1471" s="6" t="inlineStr">
        <is>
          <t>Đóng băng tương tác (&gt;30 ngày): Lưu trữ chờ kích hoạt lại, không tốn tài nguyên Sales</t>
        </is>
      </c>
    </row>
    <row r="1472">
      <c r="A1472" s="59" t="n">
        <v>797</v>
      </c>
      <c r="B1472" s="15" t="inlineStr">
        <is>
          <t>Buster the French Bulldog</t>
        </is>
      </c>
      <c r="C1472" s="60" t="inlineStr">
        <is>
          <t>https://www.facebook.com/BustertheFrenchbulldog</t>
        </is>
      </c>
      <c r="D1472" s="9" t="inlineStr">
        <is>
          <t>Cần quét Bio Fanpage</t>
        </is>
      </c>
      <c r="E1472" s="59" t="inlineStr">
        <is>
          <t>23/11/2022 03:00:03</t>
        </is>
      </c>
      <c r="F1472" s="59" t="inlineStr">
        <is>
          <t>3 năm trước</t>
        </is>
      </c>
      <c r="G1472" s="61" t="n">
        <v>1095</v>
      </c>
      <c r="H1472" s="62" t="n">
        <v>0</v>
      </c>
      <c r="I1472" s="9" t="inlineStr">
        <is>
          <t>Dog Breeder / Trại nhân giống (28-30đ)</t>
        </is>
      </c>
      <c r="J1472" s="62" t="n">
        <v>28</v>
      </c>
      <c r="K1472" s="9" t="inlineStr">
        <is>
          <t>French Bulldog</t>
        </is>
      </c>
      <c r="L1472" s="62" t="n">
        <v>10</v>
      </c>
      <c r="M1472" s="62" t="n">
        <v>0</v>
      </c>
      <c r="N1472" s="9" t="inlineStr">
        <is>
          <t>Amazon link not found</t>
        </is>
      </c>
      <c r="O1472" s="62">
        <f>IF(N1472="Selling pet toys + Artificial grass/Pet toilets (TARGET)",15,IF(N1472="Selling artificial grass/pet toilets (TARGET)",10,IF(N1472="Selling pet toys",7,IF(N1472="There's an Amazon link, but no target sales.",3,0))))</f>
        <v/>
      </c>
      <c r="P1472" s="67">
        <f>H1472+J1472+L1472+M1472+O1472</f>
        <v/>
      </c>
      <c r="Q1472" s="68">
        <f>IF(OR(H1472=0,P1472&lt;30),"Tier D (Đóng băng)",IF(P1472&gt;=85,"Tier S (Kim Cương: 85-100đ)",IF(P1472&gt;=70,"Tier A (Vàng: 70-84đ)",IF(P1472&gt;=61,"Tier B+ / Cấp A (Hot Lead: 61-69đ)",IF(P1472&gt;=50,"Tier B (Bạc: 50-60đ)","Tier C (Đồng: 30-49đ)")))))</f>
        <v/>
      </c>
      <c r="R1472" s="9" t="inlineStr">
        <is>
          <t>Trọn gói Take-Home Starter Kit V2/V3 (Cỏ nhân tạo + Khay Potty + Đồ chơi cún con)</t>
        </is>
      </c>
      <c r="S1472" s="9" t="inlineStr">
        <is>
          <t>Đóng băng tương tác (&gt;30 ngày): Lưu trữ chờ kích hoạt lại, không tốn tài nguyên Sales</t>
        </is>
      </c>
    </row>
    <row r="1473">
      <c r="A1473" s="53" t="n">
        <v>1292</v>
      </c>
      <c r="B1473" s="12" t="inlineStr">
        <is>
          <t>Ensabull-bulldog Ingles</t>
        </is>
      </c>
      <c r="C1473" s="54" t="inlineStr">
        <is>
          <t>https://www.facebook.com/profile.php?id=100063618630421</t>
        </is>
      </c>
      <c r="D1473" s="6" t="inlineStr">
        <is>
          <t>Cần quét Bio Fanpage</t>
        </is>
      </c>
      <c r="E1473" s="53" t="inlineStr">
        <is>
          <t>13/05/2022 03:16:47</t>
        </is>
      </c>
      <c r="F1473" s="53" t="inlineStr">
        <is>
          <t>4 năm trước</t>
        </is>
      </c>
      <c r="G1473" s="55" t="n">
        <v>1460</v>
      </c>
      <c r="H1473" s="56" t="n">
        <v>0</v>
      </c>
      <c r="I1473" s="6" t="inlineStr">
        <is>
          <t>Dog Breeder / Trại nhân giống (28-30đ)</t>
        </is>
      </c>
      <c r="J1473" s="56" t="n">
        <v>28</v>
      </c>
      <c r="K1473" s="6" t="inlineStr">
        <is>
          <t>English Bulldog</t>
        </is>
      </c>
      <c r="L1473" s="56" t="n">
        <v>10</v>
      </c>
      <c r="M1473" s="56" t="n">
        <v>0</v>
      </c>
      <c r="N1473" s="6" t="inlineStr">
        <is>
          <t>Amazon link not found</t>
        </is>
      </c>
      <c r="O1473" s="56">
        <f>IF(N1473="Selling pet toys + Artificial grass/Pet toilets (TARGET)",15,IF(N1473="Selling artificial grass/pet toilets (TARGET)",10,IF(N1473="Selling pet toys",7,IF(N1473="There's an Amazon link, but no target sales.",3,0))))</f>
        <v/>
      </c>
      <c r="P1473" s="65">
        <f>H1473+J1473+L1473+M1473+O1473</f>
        <v/>
      </c>
      <c r="Q1473" s="68">
        <f>IF(OR(H1473=0,P1473&lt;30),"Tier D (Đóng băng)",IF(P1473&gt;=85,"Tier S (Kim Cương: 85-100đ)",IF(P1473&gt;=70,"Tier A (Vàng: 70-84đ)",IF(P1473&gt;=61,"Tier B+ / Cấp A (Hot Lead: 61-69đ)",IF(P1473&gt;=50,"Tier B (Bạc: 50-60đ)","Tier C (Đồng: 30-49đ)")))))</f>
        <v/>
      </c>
      <c r="R1473" s="6" t="inlineStr">
        <is>
          <t>Trọn gói Take-Home Starter Kit V2/V3 (Cỏ nhân tạo + Khay Potty + Đồ chơi cún con)</t>
        </is>
      </c>
      <c r="S1473" s="6" t="inlineStr">
        <is>
          <t>Đóng băng tương tác (&gt;30 ngày): Lưu trữ chờ kích hoạt lại, không tốn tài nguyên Sales</t>
        </is>
      </c>
    </row>
    <row r="1474">
      <c r="A1474" s="59" t="n">
        <v>782</v>
      </c>
      <c r="B1474" s="15" t="inlineStr">
        <is>
          <t>Bulldog al.BONDY.ga</t>
        </is>
      </c>
      <c r="C1474" s="60" t="inlineStr">
        <is>
          <t>https://www.facebook.com/albondyga</t>
        </is>
      </c>
      <c r="D1474" s="9" t="inlineStr">
        <is>
          <t>Cần quét Bio Fanpage</t>
        </is>
      </c>
      <c r="E1474" s="59" t="inlineStr">
        <is>
          <t>05/05/2022 23:45:09</t>
        </is>
      </c>
      <c r="F1474" s="59" t="inlineStr">
        <is>
          <t>4 năm trước</t>
        </is>
      </c>
      <c r="G1474" s="61" t="n">
        <v>1460</v>
      </c>
      <c r="H1474" s="62" t="n">
        <v>0</v>
      </c>
      <c r="I1474" s="9" t="inlineStr">
        <is>
          <t>Dog Breeder / Trại nhân giống (28-30đ)</t>
        </is>
      </c>
      <c r="J1474" s="62" t="n">
        <v>28</v>
      </c>
      <c r="K1474" s="9" t="inlineStr">
        <is>
          <t>English Bulldog</t>
        </is>
      </c>
      <c r="L1474" s="62" t="n">
        <v>10</v>
      </c>
      <c r="M1474" s="62" t="n">
        <v>0</v>
      </c>
      <c r="N1474" s="9" t="inlineStr">
        <is>
          <t>Amazon link not found</t>
        </is>
      </c>
      <c r="O1474" s="62">
        <f>IF(N1474="Selling pet toys + Artificial grass/Pet toilets (TARGET)",15,IF(N1474="Selling artificial grass/pet toilets (TARGET)",10,IF(N1474="Selling pet toys",7,IF(N1474="There's an Amazon link, but no target sales.",3,0))))</f>
        <v/>
      </c>
      <c r="P1474" s="67">
        <f>H1474+J1474+L1474+M1474+O1474</f>
        <v/>
      </c>
      <c r="Q1474" s="68">
        <f>IF(OR(H1474=0,P1474&lt;30),"Tier D (Đóng băng)",IF(P1474&gt;=85,"Tier S (Kim Cương: 85-100đ)",IF(P1474&gt;=70,"Tier A (Vàng: 70-84đ)",IF(P1474&gt;=61,"Tier B+ / Cấp A (Hot Lead: 61-69đ)",IF(P1474&gt;=50,"Tier B (Bạc: 50-60đ)","Tier C (Đồng: 30-49đ)")))))</f>
        <v/>
      </c>
      <c r="R1474" s="9" t="inlineStr">
        <is>
          <t>Trọn gói Take-Home Starter Kit V2/V3 (Cỏ nhân tạo + Khay Potty + Đồ chơi cún con)</t>
        </is>
      </c>
      <c r="S1474" s="9" t="inlineStr">
        <is>
          <t>Đóng băng tương tác (&gt;30 ngày): Lưu trữ chờ kích hoạt lại, không tốn tài nguyên Sales</t>
        </is>
      </c>
    </row>
    <row r="1475">
      <c r="A1475" s="53" t="n">
        <v>1453</v>
      </c>
      <c r="B1475" s="12" t="inlineStr">
        <is>
          <t>Frenchies of the Midwest</t>
        </is>
      </c>
      <c r="C1475" s="54" t="inlineStr">
        <is>
          <t>https://www.facebook.com/Frenchiesofthemidwest</t>
        </is>
      </c>
      <c r="D1475" s="6" t="inlineStr">
        <is>
          <t>Cần quét Bio Fanpage</t>
        </is>
      </c>
      <c r="E1475" s="53" t="inlineStr">
        <is>
          <t>23/04/2022 08:27:45</t>
        </is>
      </c>
      <c r="F1475" s="53" t="inlineStr">
        <is>
          <t>4 năm trước</t>
        </is>
      </c>
      <c r="G1475" s="55" t="n">
        <v>1460</v>
      </c>
      <c r="H1475" s="56" t="n">
        <v>0</v>
      </c>
      <c r="I1475" s="6" t="inlineStr">
        <is>
          <t>Dog Breeder / Trại chó chuyên nghiệp (28-30đ)</t>
        </is>
      </c>
      <c r="J1475" s="56" t="n">
        <v>28</v>
      </c>
      <c r="K1475" s="6" t="inlineStr">
        <is>
          <t>French Bulldog</t>
        </is>
      </c>
      <c r="L1475" s="56" t="n">
        <v>10</v>
      </c>
      <c r="M1475" s="56" t="n">
        <v>0</v>
      </c>
      <c r="N1475" s="6" t="inlineStr">
        <is>
          <t>Amazon link not found</t>
        </is>
      </c>
      <c r="O1475" s="56">
        <f>IF(N1475="Selling pet toys + Artificial grass/Pet toilets (TARGET)",15,IF(N1475="Selling artificial grass/pet toilets (TARGET)",10,IF(N1475="Selling pet toys",7,IF(N1475="There's an Amazon link, but no target sales.",3,0))))</f>
        <v/>
      </c>
      <c r="P1475" s="65">
        <f>H1475+J1475+L1475+M1475+O1475</f>
        <v/>
      </c>
      <c r="Q1475" s="68">
        <f>IF(OR(H1475=0,P1475&lt;30),"Tier D (Đóng băng)",IF(P1475&gt;=85,"Tier S (Kim Cương: 85-100đ)",IF(P1475&gt;=70,"Tier A (Vàng: 70-84đ)",IF(P1475&gt;=61,"Tier B+ / Cấp A (Hot Lead: 61-69đ)",IF(P1475&gt;=50,"Tier B (Bạc: 50-60đ)","Tier C (Đồng: 30-49đ)")))))</f>
        <v/>
      </c>
      <c r="R1475" s="6" t="inlineStr">
        <is>
          <t>Trọn gói Take-Home Starter Kit V2/V3 (Cỏ nhân tạo + Khay Potty + Đồ chơi Teething/Snuggle)</t>
        </is>
      </c>
      <c r="S1475" s="6" t="inlineStr">
        <is>
          <t>Đóng băng tương tác (&gt;30 ngày): Lưu trữ chờ kích hoạt lại, không tốn tài nguyên Sales</t>
        </is>
      </c>
    </row>
    <row r="1476">
      <c r="A1476" s="59" t="n">
        <v>1290</v>
      </c>
      <c r="B1476" s="15" t="inlineStr">
        <is>
          <t>English Bulldogs Brothers</t>
        </is>
      </c>
      <c r="C1476" s="60" t="inlineStr">
        <is>
          <t>https://www.facebook.com/bulldogbrothersenglish</t>
        </is>
      </c>
      <c r="D1476" s="9" t="inlineStr">
        <is>
          <t>Cần quét Bio Fanpage</t>
        </is>
      </c>
      <c r="E1476" s="59" t="inlineStr">
        <is>
          <t>09/04/2022 22:14:15</t>
        </is>
      </c>
      <c r="F1476" s="59" t="inlineStr">
        <is>
          <t>4 năm trước</t>
        </is>
      </c>
      <c r="G1476" s="61" t="n">
        <v>1460</v>
      </c>
      <c r="H1476" s="62" t="n">
        <v>0</v>
      </c>
      <c r="I1476" s="9" t="inlineStr">
        <is>
          <t>Dog Breeder / Trại chó chuyên nghiệp (28-30đ)</t>
        </is>
      </c>
      <c r="J1476" s="62" t="n">
        <v>28</v>
      </c>
      <c r="K1476" s="9" t="inlineStr">
        <is>
          <t>English Bulldog</t>
        </is>
      </c>
      <c r="L1476" s="62" t="n">
        <v>10</v>
      </c>
      <c r="M1476" s="62" t="n">
        <v>0</v>
      </c>
      <c r="N1476" s="9" t="inlineStr">
        <is>
          <t>Amazon link not found</t>
        </is>
      </c>
      <c r="O1476" s="62">
        <f>IF(N1476="Selling pet toys + Artificial grass/Pet toilets (TARGET)",15,IF(N1476="Selling artificial grass/pet toilets (TARGET)",10,IF(N1476="Selling pet toys",7,IF(N1476="There's an Amazon link, but no target sales.",3,0))))</f>
        <v/>
      </c>
      <c r="P1476" s="67">
        <f>H1476+J1476+L1476+M1476+O1476</f>
        <v/>
      </c>
      <c r="Q1476" s="68">
        <f>IF(OR(H1476=0,P1476&lt;30),"Tier D (Đóng băng)",IF(P1476&gt;=85,"Tier S (Kim Cương: 85-100đ)",IF(P1476&gt;=70,"Tier A (Vàng: 70-84đ)",IF(P1476&gt;=61,"Tier B+ / Cấp A (Hot Lead: 61-69đ)",IF(P1476&gt;=50,"Tier B (Bạc: 50-60đ)","Tier C (Đồng: 30-49đ)")))))</f>
        <v/>
      </c>
      <c r="R1476" s="9" t="inlineStr">
        <is>
          <t>Trọn gói Take-Home Starter Kit V2/V3 (Cỏ nhân tạo + Khay Potty + Đồ chơi Teething/Snuggle)</t>
        </is>
      </c>
      <c r="S1476" s="9" t="inlineStr">
        <is>
          <t>Đóng băng tương tác (&gt;30 ngày): Lưu trữ chờ kích hoạt lại, không tốn tài nguyên Sales</t>
        </is>
      </c>
    </row>
    <row r="1477">
      <c r="A1477" s="53" t="n">
        <v>789</v>
      </c>
      <c r="B1477" s="12" t="inlineStr">
        <is>
          <t>Bulldoggerie</t>
        </is>
      </c>
      <c r="C1477" s="54" t="inlineStr">
        <is>
          <t>https://www.facebook.com/Bulldoggerie</t>
        </is>
      </c>
      <c r="D1477" s="6" t="inlineStr">
        <is>
          <t>Cần quét Bio Fanpage</t>
        </is>
      </c>
      <c r="E1477" s="53" t="inlineStr">
        <is>
          <t>16/03/2022 16:08:51</t>
        </is>
      </c>
      <c r="F1477" s="53" t="inlineStr">
        <is>
          <t>4 năm trước</t>
        </is>
      </c>
      <c r="G1477" s="55" t="n">
        <v>1460</v>
      </c>
      <c r="H1477" s="56" t="n">
        <v>0</v>
      </c>
      <c r="I1477" s="6" t="inlineStr">
        <is>
          <t>Dog Breeder / Trại nhân giống (28-30đ)</t>
        </is>
      </c>
      <c r="J1477" s="56" t="n">
        <v>28</v>
      </c>
      <c r="K1477" s="6" t="inlineStr">
        <is>
          <t>English Bulldog</t>
        </is>
      </c>
      <c r="L1477" s="56" t="n">
        <v>10</v>
      </c>
      <c r="M1477" s="56" t="n">
        <v>0</v>
      </c>
      <c r="N1477" s="6" t="inlineStr">
        <is>
          <t>Amazon link not found</t>
        </is>
      </c>
      <c r="O1477" s="56">
        <f>IF(N1477="Selling pet toys + Artificial grass/Pet toilets (TARGET)",15,IF(N1477="Selling artificial grass/pet toilets (TARGET)",10,IF(N1477="Selling pet toys",7,IF(N1477="There's an Amazon link, but no target sales.",3,0))))</f>
        <v/>
      </c>
      <c r="P1477" s="65">
        <f>H1477+J1477+L1477+M1477+O1477</f>
        <v/>
      </c>
      <c r="Q1477" s="68">
        <f>IF(OR(H1477=0,P1477&lt;30),"Tier D (Đóng băng)",IF(P1477&gt;=85,"Tier S (Kim Cương: 85-100đ)",IF(P1477&gt;=70,"Tier A (Vàng: 70-84đ)",IF(P1477&gt;=61,"Tier B+ / Cấp A (Hot Lead: 61-69đ)",IF(P1477&gt;=50,"Tier B (Bạc: 50-60đ)","Tier C (Đồng: 30-49đ)")))))</f>
        <v/>
      </c>
      <c r="R1477" s="6" t="inlineStr">
        <is>
          <t>Trọn gói Take-Home Starter Kit V2/V3 (Cỏ nhân tạo + Khay Potty + Đồ chơi cún con)</t>
        </is>
      </c>
      <c r="S1477" s="6" t="inlineStr">
        <is>
          <t>Đóng băng tương tác (&gt;30 ngày): Lưu trữ chờ kích hoạt lại, không tốn tài nguyên Sales</t>
        </is>
      </c>
    </row>
    <row r="1478">
      <c r="A1478" s="59" t="n">
        <v>3202</v>
      </c>
      <c r="B1478" s="15" t="inlineStr">
        <is>
          <t>Toedter’s Isle of Frenchies</t>
        </is>
      </c>
      <c r="C1478" s="60" t="inlineStr">
        <is>
          <t>https://www.facebook.com/toedtersisleoffrenchies</t>
        </is>
      </c>
      <c r="D1478" s="9" t="inlineStr">
        <is>
          <t>Cần quét Bio Fanpage</t>
        </is>
      </c>
      <c r="E1478" s="59" t="inlineStr">
        <is>
          <t>16/03/2022 06:25:19</t>
        </is>
      </c>
      <c r="F1478" s="59" t="inlineStr">
        <is>
          <t>4 năm trước</t>
        </is>
      </c>
      <c r="G1478" s="61" t="n">
        <v>1460</v>
      </c>
      <c r="H1478" s="62" t="n">
        <v>0</v>
      </c>
      <c r="I1478" s="9" t="inlineStr">
        <is>
          <t>Dog Breeder / Trại chó chuyên nghiệp (28-30đ)</t>
        </is>
      </c>
      <c r="J1478" s="62" t="n">
        <v>28</v>
      </c>
      <c r="K1478" s="9" t="inlineStr">
        <is>
          <t>French Bulldog</t>
        </is>
      </c>
      <c r="L1478" s="62" t="n">
        <v>10</v>
      </c>
      <c r="M1478" s="62" t="n">
        <v>0</v>
      </c>
      <c r="N1478" s="9" t="inlineStr">
        <is>
          <t>Amazon link not found</t>
        </is>
      </c>
      <c r="O1478" s="62">
        <f>IF(N1478="Selling pet toys + Artificial grass/Pet toilets (TARGET)",15,IF(N1478="Selling artificial grass/pet toilets (TARGET)",10,IF(N1478="Selling pet toys",7,IF(N1478="There's an Amazon link, but no target sales.",3,0))))</f>
        <v/>
      </c>
      <c r="P1478" s="67">
        <f>H1478+J1478+L1478+M1478+O1478</f>
        <v/>
      </c>
      <c r="Q1478" s="68">
        <f>IF(OR(H1478=0,P1478&lt;30),"Tier D (Đóng băng)",IF(P1478&gt;=85,"Tier S (Kim Cương: 85-100đ)",IF(P1478&gt;=70,"Tier A (Vàng: 70-84đ)",IF(P1478&gt;=61,"Tier B+ / Cấp A (Hot Lead: 61-69đ)",IF(P1478&gt;=50,"Tier B (Bạc: 50-60đ)","Tier C (Đồng: 30-49đ)")))))</f>
        <v/>
      </c>
      <c r="R1478" s="9" t="inlineStr">
        <is>
          <t>Trọn gói Take-Home Starter Kit V2/V3 (Cỏ nhân tạo + Khay Potty + Đồ chơi Teething/Snuggle)</t>
        </is>
      </c>
      <c r="S1478" s="9" t="inlineStr">
        <is>
          <t>Đóng băng tương tác (&gt;30 ngày): Lưu trữ chờ kích hoạt lại, không tốn tài nguyên Sales</t>
        </is>
      </c>
    </row>
    <row r="1479">
      <c r="A1479" s="53" t="n">
        <v>1449</v>
      </c>
      <c r="B1479" s="12" t="inlineStr">
        <is>
          <t>Frenchiegang</t>
        </is>
      </c>
      <c r="C1479" s="54" t="inlineStr">
        <is>
          <t>https://www.facebook.com/FrenchieGangFG</t>
        </is>
      </c>
      <c r="D1479" s="6" t="inlineStr">
        <is>
          <t>Cần quét Bio Fanpage</t>
        </is>
      </c>
      <c r="E1479" s="53" t="inlineStr">
        <is>
          <t>29/10/2021 23:58:58</t>
        </is>
      </c>
      <c r="F1479" s="53" t="inlineStr">
        <is>
          <t>4 năm trước</t>
        </is>
      </c>
      <c r="G1479" s="55" t="n">
        <v>1460</v>
      </c>
      <c r="H1479" s="56" t="n">
        <v>0</v>
      </c>
      <c r="I1479" s="6" t="inlineStr">
        <is>
          <t>Dog Breeder / Trại nhân giống (28-30đ)</t>
        </is>
      </c>
      <c r="J1479" s="56" t="n">
        <v>28</v>
      </c>
      <c r="K1479" s="6" t="inlineStr">
        <is>
          <t>French Bulldog</t>
        </is>
      </c>
      <c r="L1479" s="56" t="n">
        <v>10</v>
      </c>
      <c r="M1479" s="56" t="n">
        <v>0</v>
      </c>
      <c r="N1479" s="6" t="inlineStr">
        <is>
          <t>Amazon link not found</t>
        </is>
      </c>
      <c r="O1479" s="56">
        <f>IF(N1479="Selling pet toys + Artificial grass/Pet toilets (TARGET)",15,IF(N1479="Selling artificial grass/pet toilets (TARGET)",10,IF(N1479="Selling pet toys",7,IF(N1479="There's an Amazon link, but no target sales.",3,0))))</f>
        <v/>
      </c>
      <c r="P1479" s="65">
        <f>H1479+J1479+L1479+M1479+O1479</f>
        <v/>
      </c>
      <c r="Q1479" s="68">
        <f>IF(OR(H1479=0,P1479&lt;30),"Tier D (Đóng băng)",IF(P1479&gt;=85,"Tier S (Kim Cương: 85-100đ)",IF(P1479&gt;=70,"Tier A (Vàng: 70-84đ)",IF(P1479&gt;=61,"Tier B+ / Cấp A (Hot Lead: 61-69đ)",IF(P1479&gt;=50,"Tier B (Bạc: 50-60đ)","Tier C (Đồng: 30-49đ)")))))</f>
        <v/>
      </c>
      <c r="R1479" s="6" t="inlineStr">
        <is>
          <t>Trọn gói Take-Home Starter Kit V2/V3 (Cỏ nhân tạo + Khay Potty + Đồ chơi cún con)</t>
        </is>
      </c>
      <c r="S1479" s="6" t="inlineStr">
        <is>
          <t>Đóng băng tương tác (&gt;30 ngày): Lưu trữ chờ kích hoạt lại, không tốn tài nguyên Sales</t>
        </is>
      </c>
    </row>
    <row r="1480">
      <c r="A1480" s="59" t="n">
        <v>1188</v>
      </c>
      <c r="B1480" s="15" t="inlineStr">
        <is>
          <t>Dogs: Chocolate Labrador</t>
        </is>
      </c>
      <c r="C1480" s="60" t="inlineStr">
        <is>
          <t>https://www.facebook.com/profile.php?id=100081779490512</t>
        </is>
      </c>
      <c r="D1480" s="9" t="inlineStr">
        <is>
          <t>Cần quét Bio Fanpage</t>
        </is>
      </c>
      <c r="E1480" s="59" t="inlineStr">
        <is>
          <t>15/06/2020 20:57:53</t>
        </is>
      </c>
      <c r="F1480" s="59" t="inlineStr">
        <is>
          <t>6 năm trước</t>
        </is>
      </c>
      <c r="G1480" s="61" t="n">
        <v>2190</v>
      </c>
      <c r="H1480" s="62" t="n">
        <v>0</v>
      </c>
      <c r="I1480" s="9" t="inlineStr">
        <is>
          <t>Dog Breeder / Trại nhân giống (28-30đ)</t>
        </is>
      </c>
      <c r="J1480" s="62" t="n">
        <v>28</v>
      </c>
      <c r="K1480" s="9" t="inlineStr">
        <is>
          <t>Labrador</t>
        </is>
      </c>
      <c r="L1480" s="62" t="n">
        <v>10</v>
      </c>
      <c r="M1480" s="62" t="n">
        <v>0</v>
      </c>
      <c r="N1480" s="9" t="inlineStr">
        <is>
          <t>Amazon link not found</t>
        </is>
      </c>
      <c r="O1480" s="62">
        <f>IF(N1480="Selling pet toys + Artificial grass/Pet toilets (TARGET)",15,IF(N1480="Selling artificial grass/pet toilets (TARGET)",10,IF(N1480="Selling pet toys",7,IF(N1480="There's an Amazon link, but no target sales.",3,0))))</f>
        <v/>
      </c>
      <c r="P1480" s="67">
        <f>H1480+J1480+L1480+M1480+O1480</f>
        <v/>
      </c>
      <c r="Q1480" s="68">
        <f>IF(OR(H1480=0,P1480&lt;30),"Tier D (Đóng băng)",IF(P1480&gt;=85,"Tier S (Kim Cương: 85-100đ)",IF(P1480&gt;=70,"Tier A (Vàng: 70-84đ)",IF(P1480&gt;=61,"Tier B+ / Cấp A (Hot Lead: 61-69đ)",IF(P1480&gt;=50,"Tier B (Bạc: 50-60đ)","Tier C (Đồng: 30-49đ)")))))</f>
        <v/>
      </c>
      <c r="R1480" s="9" t="inlineStr">
        <is>
          <t>Trọn gói Take-Home Starter Kit V2/V3 (Cỏ nhân tạo + Khay Potty + Đồ chơi cún con)</t>
        </is>
      </c>
      <c r="S1480" s="9" t="inlineStr">
        <is>
          <t>Đóng băng tương tác (&gt;30 ngày): Lưu trữ chờ kích hoạt lại, không tốn tài nguyên Sales</t>
        </is>
      </c>
    </row>
    <row r="1481">
      <c r="A1481" s="53" t="n">
        <v>4449</v>
      </c>
      <c r="B1481" s="12" t="inlineStr">
        <is>
          <t>Lakeside Bullies</t>
        </is>
      </c>
      <c r="C1481" s="54" t="inlineStr">
        <is>
          <t>https://www.facebook.com/RenayLakesidebullies</t>
        </is>
      </c>
      <c r="D1481" s="6" t="inlineStr">
        <is>
          <t>Cần quét Bio Fanpage</t>
        </is>
      </c>
      <c r="E1481" s="53" t="inlineStr">
        <is>
          <t>16/08/2018 23:29:00</t>
        </is>
      </c>
      <c r="F1481" s="53" t="inlineStr">
        <is>
          <t>16 Tháng 8, 2018 lúc 23:29</t>
        </is>
      </c>
      <c r="G1481" s="55" t="n">
        <v>365</v>
      </c>
      <c r="H1481" s="56" t="n">
        <v>0</v>
      </c>
      <c r="I1481" s="6" t="inlineStr">
        <is>
          <t>Dog Breeder / Trại chó chuyên nghiệp (28-30đ)</t>
        </is>
      </c>
      <c r="J1481" s="56" t="n">
        <v>28</v>
      </c>
      <c r="K1481" s="6" t="inlineStr">
        <is>
          <t>American Bully / Bully</t>
        </is>
      </c>
      <c r="L1481" s="56" t="n">
        <v>10</v>
      </c>
      <c r="M1481" s="56" t="n">
        <v>0</v>
      </c>
      <c r="N1481" s="6" t="inlineStr">
        <is>
          <t>Amazon link not found</t>
        </is>
      </c>
      <c r="O1481" s="56">
        <f>IF(N1481="Selling pet toys + Artificial grass/Pet toilets (TARGET)",15,IF(N1481="Selling artificial grass/pet toilets (TARGET)",10,IF(N1481="Selling pet toys",7,IF(N1481="There's an Amazon link, but no target sales.",3,0))))</f>
        <v/>
      </c>
      <c r="P1481" s="65">
        <f>H1481+J1481+L1481+M1481+O1481</f>
        <v/>
      </c>
      <c r="Q1481" s="68">
        <f>IF(OR(H1481=0,P1481&lt;30),"Tier D (Đóng băng)",IF(P1481&gt;=85,"Tier S (Kim Cương: 85-100đ)",IF(P1481&gt;=70,"Tier A (Vàng: 70-84đ)",IF(P1481&gt;=61,"Tier B+ / Cấp A (Hot Lead: 61-69đ)",IF(P1481&gt;=50,"Tier B (Bạc: 50-60đ)","Tier C (Đồng: 30-49đ)")))))</f>
        <v/>
      </c>
      <c r="R1481" s="6" t="inlineStr">
        <is>
          <t>Trọn gói Take-Home Starter Kit V2/V3 (Cỏ nhân tạo + Khay Potty + Đồ chơi Teething/Snuggle)</t>
        </is>
      </c>
      <c r="S1481" s="6" t="inlineStr">
        <is>
          <t>Đóng băng tương tác (&gt;30 ngày): Lưu trữ chờ kích hoạt lại, không tốn tài nguyên Sales</t>
        </is>
      </c>
    </row>
    <row r="1482">
      <c r="A1482" s="59" t="n">
        <v>1140</v>
      </c>
      <c r="B1482" s="15" t="inlineStr">
        <is>
          <t>Doglingual Canine Training</t>
        </is>
      </c>
      <c r="C1482" s="60" t="inlineStr">
        <is>
          <t>https://www.facebook.com/Doglingual</t>
        </is>
      </c>
      <c r="D1482" s="9" t="inlineStr">
        <is>
          <t>Cần quét Bio Fanpage</t>
        </is>
      </c>
      <c r="E1482" s="59" t="inlineStr">
        <is>
          <t>29/09/2026 00:17:35</t>
        </is>
      </c>
      <c r="F1482" s="59" t="inlineStr">
        <is>
          <t>2 tuần trước</t>
        </is>
      </c>
      <c r="G1482" s="61" t="n">
        <v>14</v>
      </c>
      <c r="H1482" s="62" t="n">
        <v>15</v>
      </c>
      <c r="I1482" s="9" t="inlineStr">
        <is>
          <t>Pet Boarding / Huấn luyện K9 &amp; Dịch vụ (20-22đ)</t>
        </is>
      </c>
      <c r="J1482" s="62" t="n">
        <v>22</v>
      </c>
      <c r="K1482" s="9" t="inlineStr">
        <is>
          <t>Chưa rõ giống (Cần quét Bio)</t>
        </is>
      </c>
      <c r="L1482" s="62" t="n">
        <v>0</v>
      </c>
      <c r="M1482" s="62" t="n">
        <v>0</v>
      </c>
      <c r="N1482" s="9" t="inlineStr">
        <is>
          <t>Amazon link not found</t>
        </is>
      </c>
      <c r="O1482" s="62">
        <f>IF(N1482="Selling pet toys + Artificial grass/Pet toilets (TARGET)",15,IF(N1482="Selling artificial grass/pet toilets (TARGET)",10,IF(N1482="Selling pet toys",7,IF(N1482="There's an Amazon link, but no target sales.",3,0))))</f>
        <v/>
      </c>
      <c r="P1482" s="67">
        <f>H1482+J1482+L1482+M1482+O1482</f>
        <v/>
      </c>
      <c r="Q1482" s="69">
        <f>IF(OR(H1482=0,P1482&lt;30),"Tier D (Đóng băng)",IF(P1482&gt;=85,"Tier S (Kim Cương: 85-100đ)",IF(P1482&gt;=70,"Tier A (Vàng: 70-84đ)",IF(P1482&gt;=61,"Tier B+ / Cấp A (Hot Lead: 61-69đ)",IF(P1482&gt;=50,"Tier B (Bạc: 50-60đ)","Tier C (Đồng: 30-49đ)")))))</f>
        <v/>
      </c>
      <c r="R1482" s="9" t="inlineStr">
        <is>
          <t>Cỏ nhân tạo sân chơi/huấn luyện (Dog Turf) + Đồ chơi nhai chịu lực (KONG/Chew Toys)</t>
        </is>
      </c>
      <c r="S1482" s="9" t="inlineStr">
        <is>
          <t>Cấp C Chi phí thấp: Nhắn tin trực tiếp qua Fanpage Facebook/Instagram + Nuôi dưỡng nội dung</t>
        </is>
      </c>
    </row>
    <row r="1483">
      <c r="A1483" s="53" t="n">
        <v>2168</v>
      </c>
      <c r="B1483" s="12" t="inlineStr">
        <is>
          <t>Micks Dog Training</t>
        </is>
      </c>
      <c r="C1483" s="54" t="inlineStr">
        <is>
          <t>https://www.facebook.com/micksdogtraining</t>
        </is>
      </c>
      <c r="D1483" s="6" t="inlineStr">
        <is>
          <t>Cần quét Bio Fanpage</t>
        </is>
      </c>
      <c r="E1483" s="53" t="inlineStr">
        <is>
          <t>29/09/2026 00:07:16</t>
        </is>
      </c>
      <c r="F1483" s="53" t="inlineStr">
        <is>
          <t>2 tuần trước</t>
        </is>
      </c>
      <c r="G1483" s="55" t="n">
        <v>14</v>
      </c>
      <c r="H1483" s="56" t="n">
        <v>15</v>
      </c>
      <c r="I1483" s="6" t="inlineStr">
        <is>
          <t>Pet Boarding / Huấn luyện K9 &amp; Dịch vụ (20-22đ)</t>
        </is>
      </c>
      <c r="J1483" s="56" t="n">
        <v>22</v>
      </c>
      <c r="K1483" s="6" t="inlineStr">
        <is>
          <t>Chưa rõ giống (Cần quét Bio)</t>
        </is>
      </c>
      <c r="L1483" s="56" t="n">
        <v>0</v>
      </c>
      <c r="M1483" s="56" t="n">
        <v>0</v>
      </c>
      <c r="N1483" s="6" t="inlineStr">
        <is>
          <t>Amazon link not found</t>
        </is>
      </c>
      <c r="O1483" s="56">
        <f>IF(N1483="Selling pet toys + Artificial grass/Pet toilets (TARGET)",15,IF(N1483="Selling artificial grass/pet toilets (TARGET)",10,IF(N1483="Selling pet toys",7,IF(N1483="There's an Amazon link, but no target sales.",3,0))))</f>
        <v/>
      </c>
      <c r="P1483" s="65">
        <f>H1483+J1483+L1483+M1483+O1483</f>
        <v/>
      </c>
      <c r="Q1483" s="69">
        <f>IF(OR(H1483=0,P1483&lt;30),"Tier D (Đóng băng)",IF(P1483&gt;=85,"Tier S (Kim Cương: 85-100đ)",IF(P1483&gt;=70,"Tier A (Vàng: 70-84đ)",IF(P1483&gt;=61,"Tier B+ / Cấp A (Hot Lead: 61-69đ)",IF(P1483&gt;=50,"Tier B (Bạc: 50-60đ)","Tier C (Đồng: 30-49đ)")))))</f>
        <v/>
      </c>
      <c r="R1483" s="6" t="inlineStr">
        <is>
          <t>Cỏ nhân tạo sân chơi/huấn luyện (Dog Turf) + Đồ chơi nhai chịu lực (KONG/Chew Toys)</t>
        </is>
      </c>
      <c r="S1483" s="6" t="inlineStr">
        <is>
          <t>Cấp C Chi phí thấp: Nhắn tin trực tiếp qua Fanpage Facebook/Instagram + Nuôi dưỡng nội dung</t>
        </is>
      </c>
    </row>
    <row r="1484">
      <c r="A1484" s="59" t="n">
        <v>2677</v>
      </c>
      <c r="B1484" s="15" t="inlineStr">
        <is>
          <t>Q-It Dog Training</t>
        </is>
      </c>
      <c r="C1484" s="60" t="inlineStr">
        <is>
          <t>https://www.facebook.com/tressia.agility</t>
        </is>
      </c>
      <c r="D1484" s="9" t="inlineStr">
        <is>
          <t>Cần quét Bio Fanpage</t>
        </is>
      </c>
      <c r="E1484" s="59" t="inlineStr">
        <is>
          <t>29/09/2026 00:01:36</t>
        </is>
      </c>
      <c r="F1484" s="59" t="inlineStr">
        <is>
          <t>2 tuần trước</t>
        </is>
      </c>
      <c r="G1484" s="61" t="n">
        <v>14</v>
      </c>
      <c r="H1484" s="62" t="n">
        <v>15</v>
      </c>
      <c r="I1484" s="9" t="inlineStr">
        <is>
          <t>Pet Boarding / Huấn luyện K9 &amp; Dịch vụ (20-22đ)</t>
        </is>
      </c>
      <c r="J1484" s="62" t="n">
        <v>22</v>
      </c>
      <c r="K1484" s="9" t="inlineStr">
        <is>
          <t>Chưa rõ giống (Cần quét Bio)</t>
        </is>
      </c>
      <c r="L1484" s="62" t="n">
        <v>0</v>
      </c>
      <c r="M1484" s="62" t="n">
        <v>0</v>
      </c>
      <c r="N1484" s="9" t="inlineStr">
        <is>
          <t>Amazon link not found</t>
        </is>
      </c>
      <c r="O1484" s="62">
        <f>IF(N1484="Selling pet toys + Artificial grass/Pet toilets (TARGET)",15,IF(N1484="Selling artificial grass/pet toilets (TARGET)",10,IF(N1484="Selling pet toys",7,IF(N1484="There's an Amazon link, but no target sales.",3,0))))</f>
        <v/>
      </c>
      <c r="P1484" s="67">
        <f>H1484+J1484+L1484+M1484+O1484</f>
        <v/>
      </c>
      <c r="Q1484" s="69">
        <f>IF(OR(H1484=0,P1484&lt;30),"Tier D (Đóng băng)",IF(P1484&gt;=85,"Tier S (Kim Cương: 85-100đ)",IF(P1484&gt;=70,"Tier A (Vàng: 70-84đ)",IF(P1484&gt;=61,"Tier B+ / Cấp A (Hot Lead: 61-69đ)",IF(P1484&gt;=50,"Tier B (Bạc: 50-60đ)","Tier C (Đồng: 30-49đ)")))))</f>
        <v/>
      </c>
      <c r="R1484" s="9" t="inlineStr">
        <is>
          <t>Cỏ nhân tạo sân chơi/huấn luyện (Dog Turf) + Đồ chơi nhai chịu lực (KONG/Chew Toys)</t>
        </is>
      </c>
      <c r="S1484" s="9" t="inlineStr">
        <is>
          <t>Cấp C Chi phí thấp: Nhắn tin trực tiếp qua Fanpage Facebook/Instagram + Nuôi dưỡng nội dung</t>
        </is>
      </c>
    </row>
    <row r="1485">
      <c r="A1485" s="53" t="n">
        <v>2070</v>
      </c>
      <c r="B1485" s="12" t="inlineStr">
        <is>
          <t>Lucky Dog Training Club</t>
        </is>
      </c>
      <c r="C1485" s="54" t="inlineStr">
        <is>
          <t>https://www.facebook.com/LuckyDogTrainingClub</t>
        </is>
      </c>
      <c r="D1485" s="6" t="inlineStr">
        <is>
          <t>Cần quét Bio Fanpage</t>
        </is>
      </c>
      <c r="E1485" s="53" t="inlineStr">
        <is>
          <t>27/09/2026 20:00:32</t>
        </is>
      </c>
      <c r="F1485" s="53" t="inlineStr">
        <is>
          <t>2 tuần trước</t>
        </is>
      </c>
      <c r="G1485" s="55" t="n">
        <v>14</v>
      </c>
      <c r="H1485" s="56" t="n">
        <v>15</v>
      </c>
      <c r="I1485" s="6" t="inlineStr">
        <is>
          <t>Pet Boarding / Huấn luyện K9 &amp; Dịch vụ (20-22đ)</t>
        </is>
      </c>
      <c r="J1485" s="56" t="n">
        <v>22</v>
      </c>
      <c r="K1485" s="6" t="inlineStr">
        <is>
          <t>Chưa rõ giống (Cần quét Bio)</t>
        </is>
      </c>
      <c r="L1485" s="56" t="n">
        <v>0</v>
      </c>
      <c r="M1485" s="56" t="n">
        <v>0</v>
      </c>
      <c r="N1485" s="6" t="inlineStr">
        <is>
          <t>Amazon link not found</t>
        </is>
      </c>
      <c r="O1485" s="56">
        <f>IF(N1485="Selling pet toys + Artificial grass/Pet toilets (TARGET)",15,IF(N1485="Selling artificial grass/pet toilets (TARGET)",10,IF(N1485="Selling pet toys",7,IF(N1485="There's an Amazon link, but no target sales.",3,0))))</f>
        <v/>
      </c>
      <c r="P1485" s="65">
        <f>H1485+J1485+L1485+M1485+O1485</f>
        <v/>
      </c>
      <c r="Q1485" s="69">
        <f>IF(OR(H1485=0,P1485&lt;30),"Tier D (Đóng băng)",IF(P1485&gt;=85,"Tier S (Kim Cương: 85-100đ)",IF(P1485&gt;=70,"Tier A (Vàng: 70-84đ)",IF(P1485&gt;=61,"Tier B+ / Cấp A (Hot Lead: 61-69đ)",IF(P1485&gt;=50,"Tier B (Bạc: 50-60đ)","Tier C (Đồng: 30-49đ)")))))</f>
        <v/>
      </c>
      <c r="R1485" s="6" t="inlineStr">
        <is>
          <t>Cỏ nhân tạo sân chơi/huấn luyện (Dog Turf) + Đồ chơi nhai chịu lực (KONG/Chew Toys)</t>
        </is>
      </c>
      <c r="S1485" s="6" t="inlineStr">
        <is>
          <t>Cấp C Chi phí thấp: Nhắn tin trực tiếp qua Fanpage Facebook/Instagram + Nuôi dưỡng nội dung</t>
        </is>
      </c>
    </row>
    <row r="1486">
      <c r="A1486" s="59" t="n">
        <v>2355</v>
      </c>
      <c r="B1486" s="15" t="inlineStr">
        <is>
          <t>Old Valley K9 Training</t>
        </is>
      </c>
      <c r="C1486" s="60" t="inlineStr">
        <is>
          <t>https://www.facebook.com/profile.php?id=61585599557375</t>
        </is>
      </c>
      <c r="D1486" s="9" t="inlineStr">
        <is>
          <t>Cần quét Bio Fanpage</t>
        </is>
      </c>
      <c r="E1486" s="59" t="inlineStr">
        <is>
          <t>26/09/2026 22:41:51</t>
        </is>
      </c>
      <c r="F1486" s="59" t="inlineStr">
        <is>
          <t>2 tuần trước</t>
        </is>
      </c>
      <c r="G1486" s="61" t="n">
        <v>14</v>
      </c>
      <c r="H1486" s="62" t="n">
        <v>15</v>
      </c>
      <c r="I1486" s="9" t="inlineStr">
        <is>
          <t>Pet Boarding / Huấn luyện K9 &amp; Dịch vụ (20-22đ)</t>
        </is>
      </c>
      <c r="J1486" s="62" t="n">
        <v>22</v>
      </c>
      <c r="K1486" s="9" t="inlineStr">
        <is>
          <t>Chưa rõ giống (Cần quét Bio)</t>
        </is>
      </c>
      <c r="L1486" s="62" t="n">
        <v>0</v>
      </c>
      <c r="M1486" s="62" t="n">
        <v>0</v>
      </c>
      <c r="N1486" s="9" t="inlineStr">
        <is>
          <t>Amazon link not found</t>
        </is>
      </c>
      <c r="O1486" s="62">
        <f>IF(N1486="Selling pet toys + Artificial grass/Pet toilets (TARGET)",15,IF(N1486="Selling artificial grass/pet toilets (TARGET)",10,IF(N1486="Selling pet toys",7,IF(N1486="There's an Amazon link, but no target sales.",3,0))))</f>
        <v/>
      </c>
      <c r="P1486" s="67">
        <f>H1486+J1486+L1486+M1486+O1486</f>
        <v/>
      </c>
      <c r="Q1486" s="69">
        <f>IF(OR(H1486=0,P1486&lt;30),"Tier D (Đóng băng)",IF(P1486&gt;=85,"Tier S (Kim Cương: 85-100đ)",IF(P1486&gt;=70,"Tier A (Vàng: 70-84đ)",IF(P1486&gt;=61,"Tier B+ / Cấp A (Hot Lead: 61-69đ)",IF(P1486&gt;=50,"Tier B (Bạc: 50-60đ)","Tier C (Đồng: 30-49đ)")))))</f>
        <v/>
      </c>
      <c r="R1486" s="9" t="inlineStr">
        <is>
          <t>Cỏ nhân tạo sân chơi/huấn luyện (Dog Turf) + Đồ chơi nhai chịu lực (KONG/Chew Toys)</t>
        </is>
      </c>
      <c r="S1486" s="9" t="inlineStr">
        <is>
          <t>Cấp C Chi phí thấp: Nhắn tin trực tiếp qua Fanpage Facebook/Instagram + Nuôi dưỡng nội dung</t>
        </is>
      </c>
    </row>
    <row r="1487">
      <c r="A1487" s="53" t="n">
        <v>1816</v>
      </c>
      <c r="B1487" s="12" t="inlineStr">
        <is>
          <t>K9 Operational Emergency Medical Support</t>
        </is>
      </c>
      <c r="C1487" s="54" t="inlineStr">
        <is>
          <t>https://www.facebook.com/K9OEMSUK</t>
        </is>
      </c>
      <c r="D1487" s="6" t="inlineStr">
        <is>
          <t>Cần quét Bio Fanpage</t>
        </is>
      </c>
      <c r="E1487" s="53" t="inlineStr">
        <is>
          <t>26/09/2026 03:03:25</t>
        </is>
      </c>
      <c r="F1487" s="53" t="inlineStr">
        <is>
          <t>2 tuần trước</t>
        </is>
      </c>
      <c r="G1487" s="55" t="n">
        <v>14</v>
      </c>
      <c r="H1487" s="56" t="n">
        <v>15</v>
      </c>
      <c r="I1487" s="6" t="inlineStr">
        <is>
          <t>Pet Boarding / Huấn luyện K9 &amp; Dịch vụ (20-22đ)</t>
        </is>
      </c>
      <c r="J1487" s="56" t="n">
        <v>22</v>
      </c>
      <c r="K1487" s="6" t="inlineStr">
        <is>
          <t>Chưa rõ giống (Cần quét Bio)</t>
        </is>
      </c>
      <c r="L1487" s="56" t="n">
        <v>0</v>
      </c>
      <c r="M1487" s="56" t="n">
        <v>0</v>
      </c>
      <c r="N1487" s="6" t="inlineStr">
        <is>
          <t>Amazon link not found</t>
        </is>
      </c>
      <c r="O1487" s="56">
        <f>IF(N1487="Selling pet toys + Artificial grass/Pet toilets (TARGET)",15,IF(N1487="Selling artificial grass/pet toilets (TARGET)",10,IF(N1487="Selling pet toys",7,IF(N1487="There's an Amazon link, but no target sales.",3,0))))</f>
        <v/>
      </c>
      <c r="P1487" s="65">
        <f>H1487+J1487+L1487+M1487+O1487</f>
        <v/>
      </c>
      <c r="Q1487" s="69">
        <f>IF(OR(H1487=0,P1487&lt;30),"Tier D (Đóng băng)",IF(P1487&gt;=85,"Tier S (Kim Cương: 85-100đ)",IF(P1487&gt;=70,"Tier A (Vàng: 70-84đ)",IF(P1487&gt;=61,"Tier B+ / Cấp A (Hot Lead: 61-69đ)",IF(P1487&gt;=50,"Tier B (Bạc: 50-60đ)","Tier C (Đồng: 30-49đ)")))))</f>
        <v/>
      </c>
      <c r="R1487" s="6" t="inlineStr">
        <is>
          <t>Cỏ nhân tạo sân chơi/huấn luyện (Dog Turf) + Đồ chơi nhai chịu lực (KONG/Chew Toys)</t>
        </is>
      </c>
      <c r="S1487" s="6" t="inlineStr">
        <is>
          <t>Cấp C Chi phí thấp: Nhắn tin trực tiếp qua Fanpage Facebook/Instagram + Nuôi dưỡng nội dung</t>
        </is>
      </c>
    </row>
    <row r="1488">
      <c r="A1488" s="59" t="n">
        <v>2240</v>
      </c>
      <c r="B1488" s="15" t="inlineStr">
        <is>
          <t>My Clever Canine Dog Training</t>
        </is>
      </c>
      <c r="C1488" s="60" t="inlineStr">
        <is>
          <t>https://www.facebook.com/MyCleverCanine</t>
        </is>
      </c>
      <c r="D1488" s="9" t="inlineStr">
        <is>
          <t>Cần quét Bio Fanpage</t>
        </is>
      </c>
      <c r="E1488" s="59" t="inlineStr">
        <is>
          <t>25/09/2026 02:37:12</t>
        </is>
      </c>
      <c r="F1488" s="59" t="inlineStr">
        <is>
          <t>2 tuần trước</t>
        </is>
      </c>
      <c r="G1488" s="61" t="n">
        <v>14</v>
      </c>
      <c r="H1488" s="62" t="n">
        <v>15</v>
      </c>
      <c r="I1488" s="9" t="inlineStr">
        <is>
          <t>Pet Boarding / Huấn luyện K9 &amp; Dịch vụ (20-22đ)</t>
        </is>
      </c>
      <c r="J1488" s="62" t="n">
        <v>22</v>
      </c>
      <c r="K1488" s="9" t="inlineStr">
        <is>
          <t>Chưa rõ giống (Cần quét Bio)</t>
        </is>
      </c>
      <c r="L1488" s="62" t="n">
        <v>0</v>
      </c>
      <c r="M1488" s="62" t="n">
        <v>0</v>
      </c>
      <c r="N1488" s="9" t="inlineStr">
        <is>
          <t>Amazon link not found</t>
        </is>
      </c>
      <c r="O1488" s="62">
        <f>IF(N1488="Selling pet toys + Artificial grass/Pet toilets (TARGET)",15,IF(N1488="Selling artificial grass/pet toilets (TARGET)",10,IF(N1488="Selling pet toys",7,IF(N1488="There's an Amazon link, but no target sales.",3,0))))</f>
        <v/>
      </c>
      <c r="P1488" s="67">
        <f>H1488+J1488+L1488+M1488+O1488</f>
        <v/>
      </c>
      <c r="Q1488" s="69">
        <f>IF(OR(H1488=0,P1488&lt;30),"Tier D (Đóng băng)",IF(P1488&gt;=85,"Tier S (Kim Cương: 85-100đ)",IF(P1488&gt;=70,"Tier A (Vàng: 70-84đ)",IF(P1488&gt;=61,"Tier B+ / Cấp A (Hot Lead: 61-69đ)",IF(P1488&gt;=50,"Tier B (Bạc: 50-60đ)","Tier C (Đồng: 30-49đ)")))))</f>
        <v/>
      </c>
      <c r="R1488" s="9" t="inlineStr">
        <is>
          <t>Cỏ nhân tạo sân chơi/huấn luyện (Dog Turf) + Đồ chơi nhai chịu lực (KONG/Chew Toys)</t>
        </is>
      </c>
      <c r="S1488" s="9" t="inlineStr">
        <is>
          <t>Cấp C Chi phí thấp: Nhắn tin trực tiếp qua Fanpage Facebook/Instagram + Nuôi dưỡng nội dung</t>
        </is>
      </c>
    </row>
    <row r="1489">
      <c r="A1489" s="53" t="n">
        <v>1981</v>
      </c>
      <c r="B1489" s="12" t="inlineStr">
        <is>
          <t>Land Race Farm LGD Rescue</t>
        </is>
      </c>
      <c r="C1489" s="54" t="inlineStr">
        <is>
          <t>https://www.facebook.com/profile.php?id=100091391079330</t>
        </is>
      </c>
      <c r="D1489" s="6" t="inlineStr">
        <is>
          <t>Cần quét Bio Fanpage</t>
        </is>
      </c>
      <c r="E1489" s="53" t="inlineStr">
        <is>
          <t>26/09/2026 00:05:13</t>
        </is>
      </c>
      <c r="F1489" s="53" t="inlineStr">
        <is>
          <t>2 tuần trước</t>
        </is>
      </c>
      <c r="G1489" s="55" t="n">
        <v>14</v>
      </c>
      <c r="H1489" s="56" t="n">
        <v>15</v>
      </c>
      <c r="I1489" s="6" t="inlineStr">
        <is>
          <t>Pet Rescue / Trạm cứu trợ (14-16đ)</t>
        </is>
      </c>
      <c r="J1489" s="56" t="n">
        <v>16</v>
      </c>
      <c r="K1489" s="6" t="inlineStr">
        <is>
          <t>Chưa rõ giống (Cần quét Bio)</t>
        </is>
      </c>
      <c r="L1489" s="56" t="n">
        <v>0</v>
      </c>
      <c r="M1489" s="56" t="n">
        <v>5</v>
      </c>
      <c r="N1489" s="6" t="inlineStr">
        <is>
          <t>Amazon link not found</t>
        </is>
      </c>
      <c r="O1489" s="56">
        <f>IF(N1489="Selling pet toys + Artificial grass/Pet toilets (TARGET)",15,IF(N1489="Selling artificial grass/pet toilets (TARGET)",10,IF(N1489="Selling pet toys",7,IF(N1489="There's an Amazon link, but no target sales.",3,0))))</f>
        <v/>
      </c>
      <c r="P1489" s="65">
        <f>H1489+J1489+L1489+M1489+O1489</f>
        <v/>
      </c>
      <c r="Q1489" s="69">
        <f>IF(OR(H1489=0,P1489&lt;30),"Tier D (Đóng băng)",IF(P1489&gt;=85,"Tier S (Kim Cương: 85-100đ)",IF(P1489&gt;=70,"Tier A (Vàng: 70-84đ)",IF(P1489&gt;=61,"Tier B+ / Cấp A (Hot Lead: 61-69đ)",IF(P1489&gt;=50,"Tier B (Bạc: 50-60đ)","Tier C (Đồng: 30-49đ)")))))</f>
        <v/>
      </c>
      <c r="R1489" s="6" t="inlineStr">
        <is>
          <t>Nhà vệ sinh &amp; Tã lót (Potty Tray / Pee Pads) + Cỏ nhân tạo lót chuồng</t>
        </is>
      </c>
      <c r="S1489" s="6" t="inlineStr">
        <is>
          <t>Cấp C Chi phí thấp: Nhắn tin trực tiếp qua Fanpage Facebook/Instagram + Nuôi dưỡng nội dung</t>
        </is>
      </c>
    </row>
    <row r="1490">
      <c r="A1490" s="59" t="n">
        <v>2488</v>
      </c>
      <c r="B1490" s="15" t="inlineStr">
        <is>
          <t>Peter Antoniou</t>
        </is>
      </c>
      <c r="C1490" s="60" t="inlineStr">
        <is>
          <t>https://www.facebook.com/OfficialPeterAntoniou</t>
        </is>
      </c>
      <c r="D1490" s="9" t="inlineStr">
        <is>
          <t>Cần quét Bio Fanpage</t>
        </is>
      </c>
      <c r="E1490" s="59" t="inlineStr">
        <is>
          <t>09/10/2026 05:00:58</t>
        </is>
      </c>
      <c r="F1490" s="59" t="inlineStr">
        <is>
          <t>4 ngày trước</t>
        </is>
      </c>
      <c r="G1490" s="61" t="n">
        <v>4</v>
      </c>
      <c r="H1490" s="62" t="n">
        <v>20</v>
      </c>
      <c r="I1490" s="9" t="inlineStr">
        <is>
          <t>Pet Owner / Cộng đồng nuôi cún (10đ)</t>
        </is>
      </c>
      <c r="J1490" s="62" t="n">
        <v>10</v>
      </c>
      <c r="K1490" s="9" t="inlineStr">
        <is>
          <t>Chưa rõ giống (Cần quét Bio)</t>
        </is>
      </c>
      <c r="L1490" s="62" t="n">
        <v>0</v>
      </c>
      <c r="M1490" s="62" t="n">
        <v>5</v>
      </c>
      <c r="N1490" s="9" t="inlineStr">
        <is>
          <t>Amazon link not found</t>
        </is>
      </c>
      <c r="O1490" s="62">
        <f>IF(N1490="Selling pet toys + Artificial grass/Pet toilets (TARGET)",15,IF(N1490="Selling artificial grass/pet toilets (TARGET)",10,IF(N1490="Selling pet toys",7,IF(N1490="There's an Amazon link, but no target sales.",3,0))))</f>
        <v/>
      </c>
      <c r="P1490" s="67">
        <f>H1490+J1490+L1490+M1490+O1490</f>
        <v/>
      </c>
      <c r="Q1490" s="69">
        <f>IF(OR(H1490=0,P1490&lt;30),"Tier D (Đóng băng)",IF(P1490&gt;=85,"Tier S (Kim Cương: 85-100đ)",IF(P1490&gt;=70,"Tier A (Vàng: 70-84đ)",IF(P1490&gt;=61,"Tier B+ / Cấp A (Hot Lead: 61-69đ)",IF(P1490&gt;=50,"Tier B (Bạc: 50-60đ)","Tier C (Đồng: 30-49đ)")))))</f>
        <v/>
      </c>
      <c r="R1490" s="9" t="inlineStr">
        <is>
          <t>Khay vệ sinh chung cư (Indoor Potty) + Thảm cỏ ban công (Grass Patch) + Đồ chơi</t>
        </is>
      </c>
      <c r="S1490" s="9" t="inlineStr">
        <is>
          <t>Cấp C Chi phí thấp: Nhắn tin trực tiếp qua Fanpage Facebook/Instagram + Nuôi dưỡng nội dung</t>
        </is>
      </c>
    </row>
    <row r="1491">
      <c r="A1491" s="53" t="n">
        <v>2996</v>
      </c>
      <c r="B1491" s="12" t="inlineStr">
        <is>
          <t>Stellar Pet Products</t>
        </is>
      </c>
      <c r="C1491" s="54" t="inlineStr">
        <is>
          <t>https://www.facebook.com/profile.php?id=61572837287946</t>
        </is>
      </c>
      <c r="D1491" s="6" t="inlineStr">
        <is>
          <t>Cần quét Bio Fanpage</t>
        </is>
      </c>
      <c r="E1491" s="53" t="inlineStr">
        <is>
          <t>09/10/2026 02:49:43</t>
        </is>
      </c>
      <c r="F1491" s="53" t="inlineStr">
        <is>
          <t>4 ngày trước</t>
        </is>
      </c>
      <c r="G1491" s="55" t="n">
        <v>4</v>
      </c>
      <c r="H1491" s="56" t="n">
        <v>20</v>
      </c>
      <c r="I1491" s="6" t="inlineStr">
        <is>
          <t>Pet Owner / Cộng đồng nuôi cún (10đ)</t>
        </is>
      </c>
      <c r="J1491" s="56" t="n">
        <v>10</v>
      </c>
      <c r="K1491" s="6" t="inlineStr">
        <is>
          <t>Chưa rõ giống (Cần quét Bio)</t>
        </is>
      </c>
      <c r="L1491" s="56" t="n">
        <v>0</v>
      </c>
      <c r="M1491" s="56" t="n">
        <v>5</v>
      </c>
      <c r="N1491" s="6" t="inlineStr">
        <is>
          <t>Amazon link not found</t>
        </is>
      </c>
      <c r="O1491" s="56">
        <f>IF(N1491="Selling pet toys + Artificial grass/Pet toilets (TARGET)",15,IF(N1491="Selling artificial grass/pet toilets (TARGET)",10,IF(N1491="Selling pet toys",7,IF(N1491="There's an Amazon link, but no target sales.",3,0))))</f>
        <v/>
      </c>
      <c r="P1491" s="65">
        <f>H1491+J1491+L1491+M1491+O1491</f>
        <v/>
      </c>
      <c r="Q1491" s="69">
        <f>IF(OR(H1491=0,P1491&lt;30),"Tier D (Đóng băng)",IF(P1491&gt;=85,"Tier S (Kim Cương: 85-100đ)",IF(P1491&gt;=70,"Tier A (Vàng: 70-84đ)",IF(P1491&gt;=61,"Tier B+ / Cấp A (Hot Lead: 61-69đ)",IF(P1491&gt;=50,"Tier B (Bạc: 50-60đ)","Tier C (Đồng: 30-49đ)")))))</f>
        <v/>
      </c>
      <c r="R1491" s="6" t="inlineStr">
        <is>
          <t>Khay vệ sinh chung cư (Indoor Potty) + Thảm cỏ ban công (Grass Patch) + Đồ chơi</t>
        </is>
      </c>
      <c r="S1491" s="6" t="inlineStr">
        <is>
          <t>Cấp C Chi phí thấp: Nhắn tin trực tiếp qua Fanpage Facebook/Instagram + Nuôi dưỡng nội dung</t>
        </is>
      </c>
    </row>
    <row r="1492">
      <c r="A1492" s="59" t="n">
        <v>2565</v>
      </c>
      <c r="B1492" s="15" t="inlineStr">
        <is>
          <t>Phillips Pet Food &amp; Supplies</t>
        </is>
      </c>
      <c r="C1492" s="60" t="inlineStr">
        <is>
          <t>https://www.facebook.com/PhillipsPetFoodandSupplies</t>
        </is>
      </c>
      <c r="D1492" s="9" t="inlineStr">
        <is>
          <t>Cần quét Bio Fanpage</t>
        </is>
      </c>
      <c r="E1492" s="59" t="inlineStr">
        <is>
          <t>08/10/2026 22:45:29</t>
        </is>
      </c>
      <c r="F1492" s="59" t="inlineStr">
        <is>
          <t>4 ngày trước</t>
        </is>
      </c>
      <c r="G1492" s="61" t="n">
        <v>4</v>
      </c>
      <c r="H1492" s="62" t="n">
        <v>20</v>
      </c>
      <c r="I1492" s="9" t="inlineStr">
        <is>
          <t>Pet Owner / Cộng đồng nuôi cún (10đ)</t>
        </is>
      </c>
      <c r="J1492" s="62" t="n">
        <v>10</v>
      </c>
      <c r="K1492" s="9" t="inlineStr">
        <is>
          <t>Chưa rõ giống (Cần quét Bio)</t>
        </is>
      </c>
      <c r="L1492" s="62" t="n">
        <v>0</v>
      </c>
      <c r="M1492" s="62" t="n">
        <v>5</v>
      </c>
      <c r="N1492" s="9" t="inlineStr">
        <is>
          <t>Amazon link not found</t>
        </is>
      </c>
      <c r="O1492" s="62">
        <f>IF(N1492="Selling pet toys + Artificial grass/Pet toilets (TARGET)",15,IF(N1492="Selling artificial grass/pet toilets (TARGET)",10,IF(N1492="Selling pet toys",7,IF(N1492="There's an Amazon link, but no target sales.",3,0))))</f>
        <v/>
      </c>
      <c r="P1492" s="67">
        <f>H1492+J1492+L1492+M1492+O1492</f>
        <v/>
      </c>
      <c r="Q1492" s="69">
        <f>IF(OR(H1492=0,P1492&lt;30),"Tier D (Đóng băng)",IF(P1492&gt;=85,"Tier S (Kim Cương: 85-100đ)",IF(P1492&gt;=70,"Tier A (Vàng: 70-84đ)",IF(P1492&gt;=61,"Tier B+ / Cấp A (Hot Lead: 61-69đ)",IF(P1492&gt;=50,"Tier B (Bạc: 50-60đ)","Tier C (Đồng: 30-49đ)")))))</f>
        <v/>
      </c>
      <c r="R1492" s="9" t="inlineStr">
        <is>
          <t>Khay vệ sinh chung cư (Indoor Potty) + Thảm cỏ ban công (Grass Patch) + Đồ chơi</t>
        </is>
      </c>
      <c r="S1492" s="9" t="inlineStr">
        <is>
          <t>Cấp C Chi phí thấp: Nhắn tin trực tiếp qua Fanpage Facebook/Instagram + Nuôi dưỡng nội dung</t>
        </is>
      </c>
    </row>
    <row r="1493">
      <c r="A1493" s="53" t="n">
        <v>1734</v>
      </c>
      <c r="B1493" s="12" t="inlineStr">
        <is>
          <t>Irish Wolfhound Lovers</t>
        </is>
      </c>
      <c r="C1493" s="54" t="inlineStr">
        <is>
          <t>https://www.facebook.com/profile.php?id=61592865428149</t>
        </is>
      </c>
      <c r="D1493" s="6" t="inlineStr">
        <is>
          <t>Cần quét Bio Fanpage</t>
        </is>
      </c>
      <c r="E1493" s="53" t="inlineStr">
        <is>
          <t>08/10/2026 09:41:30</t>
        </is>
      </c>
      <c r="F1493" s="53" t="inlineStr">
        <is>
          <t>4 ngày trước</t>
        </is>
      </c>
      <c r="G1493" s="55" t="n">
        <v>4</v>
      </c>
      <c r="H1493" s="56" t="n">
        <v>20</v>
      </c>
      <c r="I1493" s="6" t="inlineStr">
        <is>
          <t>Pet Owner / Kênh cá nhân thú cưng (10đ)</t>
        </is>
      </c>
      <c r="J1493" s="56" t="n">
        <v>10</v>
      </c>
      <c r="K1493" s="6" t="inlineStr">
        <is>
          <t>Hound / Beagle / Basset</t>
        </is>
      </c>
      <c r="L1493" s="56" t="n">
        <v>5</v>
      </c>
      <c r="M1493" s="56" t="n">
        <v>0</v>
      </c>
      <c r="N1493" s="6" t="inlineStr">
        <is>
          <t>Amazon link not found</t>
        </is>
      </c>
      <c r="O1493" s="56">
        <f>IF(N1493="Selling pet toys + Artificial grass/Pet toilets (TARGET)",15,IF(N1493="Selling artificial grass/pet toilets (TARGET)",10,IF(N1493="Selling pet toys",7,IF(N1493="There's an Amazon link, but no target sales.",3,0))))</f>
        <v/>
      </c>
      <c r="P1493" s="65">
        <f>H1493+J1493+L1493+M1493+O1493</f>
        <v/>
      </c>
      <c r="Q1493" s="69">
        <f>IF(OR(H1493=0,P1493&lt;30),"Tier D (Đóng băng)",IF(P1493&gt;=85,"Tier S (Kim Cương: 85-100đ)",IF(P1493&gt;=70,"Tier A (Vàng: 70-84đ)",IF(P1493&gt;=61,"Tier B+ / Cấp A (Hot Lead: 61-69đ)",IF(P1493&gt;=50,"Tier B (Bạc: 50-60đ)","Tier C (Đồng: 30-49đ)")))))</f>
        <v/>
      </c>
      <c r="R1493" s="6" t="inlineStr">
        <is>
          <t>Khay vệ sinh trong nhà (Indoor Dog Potty) + Đồ chơi thú cưng lẻ</t>
        </is>
      </c>
      <c r="S1493" s="6" t="inlineStr">
        <is>
          <t>Cấp C Chi phí thấp: Nhắn tin trực tiếp qua Fanpage Facebook/Instagram + Nuôi dưỡng nội dung</t>
        </is>
      </c>
    </row>
    <row r="1494">
      <c r="A1494" s="59" t="n">
        <v>3212</v>
      </c>
      <c r="B1494" s="15" t="inlineStr">
        <is>
          <t>Top Shelf Dog Supply</t>
        </is>
      </c>
      <c r="C1494" s="60" t="inlineStr">
        <is>
          <t>https://www.facebook.com/TopShelfDogSupply</t>
        </is>
      </c>
      <c r="D1494" s="9" t="inlineStr">
        <is>
          <t>Cần quét Bio Fanpage</t>
        </is>
      </c>
      <c r="E1494" s="59" t="inlineStr">
        <is>
          <t>07/10/2026 17:26:34</t>
        </is>
      </c>
      <c r="F1494" s="59" t="inlineStr">
        <is>
          <t>5 ngày trước</t>
        </is>
      </c>
      <c r="G1494" s="61" t="n">
        <v>5</v>
      </c>
      <c r="H1494" s="62" t="n">
        <v>20</v>
      </c>
      <c r="I1494" s="9" t="inlineStr">
        <is>
          <t>Pet Owner / Cộng đồng nuôi cún (10đ)</t>
        </is>
      </c>
      <c r="J1494" s="62" t="n">
        <v>10</v>
      </c>
      <c r="K1494" s="9" t="inlineStr">
        <is>
          <t>Chưa rõ giống (Cần quét Bio)</t>
        </is>
      </c>
      <c r="L1494" s="62" t="n">
        <v>0</v>
      </c>
      <c r="M1494" s="62" t="n">
        <v>5</v>
      </c>
      <c r="N1494" s="9" t="inlineStr">
        <is>
          <t>Amazon link not found</t>
        </is>
      </c>
      <c r="O1494" s="62">
        <f>IF(N1494="Selling pet toys + Artificial grass/Pet toilets (TARGET)",15,IF(N1494="Selling artificial grass/pet toilets (TARGET)",10,IF(N1494="Selling pet toys",7,IF(N1494="There's an Amazon link, but no target sales.",3,0))))</f>
        <v/>
      </c>
      <c r="P1494" s="67">
        <f>H1494+J1494+L1494+M1494+O1494</f>
        <v/>
      </c>
      <c r="Q1494" s="69">
        <f>IF(OR(H1494=0,P1494&lt;30),"Tier D (Đóng băng)",IF(P1494&gt;=85,"Tier S (Kim Cương: 85-100đ)",IF(P1494&gt;=70,"Tier A (Vàng: 70-84đ)",IF(P1494&gt;=61,"Tier B+ / Cấp A (Hot Lead: 61-69đ)",IF(P1494&gt;=50,"Tier B (Bạc: 50-60đ)","Tier C (Đồng: 30-49đ)")))))</f>
        <v/>
      </c>
      <c r="R1494" s="9" t="inlineStr">
        <is>
          <t>Khay vệ sinh chung cư (Indoor Potty) + Thảm cỏ ban công (Grass Patch) + Đồ chơi</t>
        </is>
      </c>
      <c r="S1494" s="9" t="inlineStr">
        <is>
          <t>Cấp C Chi phí thấp: Nhắn tin trực tiếp qua Fanpage Facebook/Instagram + Nuôi dưỡng nội dung</t>
        </is>
      </c>
    </row>
    <row r="1495">
      <c r="A1495" s="53" t="n">
        <v>2269</v>
      </c>
      <c r="B1495" s="12" t="inlineStr">
        <is>
          <t>Natural Petshop Tienda</t>
        </is>
      </c>
      <c r="C1495" s="54" t="inlineStr">
        <is>
          <t>https://www.facebook.com/naturalpetshop.es</t>
        </is>
      </c>
      <c r="D1495" s="6" t="inlineStr">
        <is>
          <t>Cần quét Bio Fanpage</t>
        </is>
      </c>
      <c r="E1495" s="53" t="inlineStr">
        <is>
          <t>07/10/2026 15:00:04</t>
        </is>
      </c>
      <c r="F1495" s="53" t="inlineStr">
        <is>
          <t>5 ngày trước</t>
        </is>
      </c>
      <c r="G1495" s="55" t="n">
        <v>5</v>
      </c>
      <c r="H1495" s="56" t="n">
        <v>20</v>
      </c>
      <c r="I1495" s="6" t="inlineStr">
        <is>
          <t>Pet Owner / Cộng đồng nuôi cún (10đ)</t>
        </is>
      </c>
      <c r="J1495" s="56" t="n">
        <v>10</v>
      </c>
      <c r="K1495" s="6" t="inlineStr">
        <is>
          <t>Chưa rõ giống (Cần quét Bio)</t>
        </is>
      </c>
      <c r="L1495" s="56" t="n">
        <v>0</v>
      </c>
      <c r="M1495" s="56" t="n">
        <v>5</v>
      </c>
      <c r="N1495" s="6" t="inlineStr">
        <is>
          <t>Amazon link not found</t>
        </is>
      </c>
      <c r="O1495" s="56">
        <f>IF(N1495="Selling pet toys + Artificial grass/Pet toilets (TARGET)",15,IF(N1495="Selling artificial grass/pet toilets (TARGET)",10,IF(N1495="Selling pet toys",7,IF(N1495="There's an Amazon link, but no target sales.",3,0))))</f>
        <v/>
      </c>
      <c r="P1495" s="65">
        <f>H1495+J1495+L1495+M1495+O1495</f>
        <v/>
      </c>
      <c r="Q1495" s="69">
        <f>IF(OR(H1495=0,P1495&lt;30),"Tier D (Đóng băng)",IF(P1495&gt;=85,"Tier S (Kim Cương: 85-100đ)",IF(P1495&gt;=70,"Tier A (Vàng: 70-84đ)",IF(P1495&gt;=61,"Tier B+ / Cấp A (Hot Lead: 61-69đ)",IF(P1495&gt;=50,"Tier B (Bạc: 50-60đ)","Tier C (Đồng: 30-49đ)")))))</f>
        <v/>
      </c>
      <c r="R1495" s="6" t="inlineStr">
        <is>
          <t>Khay vệ sinh chung cư (Indoor Potty) + Thảm cỏ ban công (Grass Patch) + Đồ chơi</t>
        </is>
      </c>
      <c r="S1495" s="6" t="inlineStr">
        <is>
          <t>Cấp C Chi phí thấp: Nhắn tin trực tiếp qua Fanpage Facebook/Instagram + Nuôi dưỡng nội dung</t>
        </is>
      </c>
    </row>
    <row r="1496">
      <c r="A1496" s="59" t="n">
        <v>589</v>
      </c>
      <c r="B1496" s="15" t="inlineStr">
        <is>
          <t>Bark and Brew - Pet Accessories and Coffee Shop</t>
        </is>
      </c>
      <c r="C1496" s="60" t="inlineStr">
        <is>
          <t>https://www.facebook.com/profile.php?id=61552926202334</t>
        </is>
      </c>
      <c r="D1496" s="9" t="inlineStr">
        <is>
          <t>Cần quét Bio Fanpage</t>
        </is>
      </c>
      <c r="E1496" s="59" t="inlineStr">
        <is>
          <t>07/10/2026 05:45:50</t>
        </is>
      </c>
      <c r="F1496" s="59" t="inlineStr">
        <is>
          <t>5 ngày trước</t>
        </is>
      </c>
      <c r="G1496" s="61" t="n">
        <v>5</v>
      </c>
      <c r="H1496" s="62" t="n">
        <v>20</v>
      </c>
      <c r="I1496" s="9" t="inlineStr">
        <is>
          <t>Pet Owner / Cộng đồng nuôi cún (10đ)</t>
        </is>
      </c>
      <c r="J1496" s="62" t="n">
        <v>10</v>
      </c>
      <c r="K1496" s="9" t="inlineStr">
        <is>
          <t>Chưa rõ giống (Cần quét Bio)</t>
        </is>
      </c>
      <c r="L1496" s="62" t="n">
        <v>0</v>
      </c>
      <c r="M1496" s="62" t="n">
        <v>5</v>
      </c>
      <c r="N1496" s="9" t="inlineStr">
        <is>
          <t>Amazon link not found</t>
        </is>
      </c>
      <c r="O1496" s="62">
        <f>IF(N1496="Selling pet toys + Artificial grass/Pet toilets (TARGET)",15,IF(N1496="Selling artificial grass/pet toilets (TARGET)",10,IF(N1496="Selling pet toys",7,IF(N1496="There's an Amazon link, but no target sales.",3,0))))</f>
        <v/>
      </c>
      <c r="P1496" s="67">
        <f>H1496+J1496+L1496+M1496+O1496</f>
        <v/>
      </c>
      <c r="Q1496" s="69">
        <f>IF(OR(H1496=0,P1496&lt;30),"Tier D (Đóng băng)",IF(P1496&gt;=85,"Tier S (Kim Cương: 85-100đ)",IF(P1496&gt;=70,"Tier A (Vàng: 70-84đ)",IF(P1496&gt;=61,"Tier B+ / Cấp A (Hot Lead: 61-69đ)",IF(P1496&gt;=50,"Tier B (Bạc: 50-60đ)","Tier C (Đồng: 30-49đ)")))))</f>
        <v/>
      </c>
      <c r="R1496" s="9" t="inlineStr">
        <is>
          <t>Khay vệ sinh chung cư (Indoor Potty) + Thảm cỏ ban công (Grass Patch) + Đồ chơi</t>
        </is>
      </c>
      <c r="S1496" s="9" t="inlineStr">
        <is>
          <t>Cấp C Chi phí thấp: Nhắn tin trực tiếp qua Fanpage Facebook/Instagram + Nuôi dưỡng nội dung</t>
        </is>
      </c>
    </row>
    <row r="1497">
      <c r="A1497" s="53" t="n">
        <v>2431</v>
      </c>
      <c r="B1497" s="12" t="inlineStr">
        <is>
          <t>Perfect Pet - Studio Pielęgnacji Zwierząt</t>
        </is>
      </c>
      <c r="C1497" s="54" t="inlineStr">
        <is>
          <t>https://www.facebook.com/PerfectPetStudio</t>
        </is>
      </c>
      <c r="D1497" s="6" t="inlineStr">
        <is>
          <t>Cần quét Bio Fanpage</t>
        </is>
      </c>
      <c r="E1497" s="53" t="inlineStr">
        <is>
          <t>06/10/2026 20:55:52</t>
        </is>
      </c>
      <c r="F1497" s="53" t="inlineStr">
        <is>
          <t>6 ngày trước</t>
        </is>
      </c>
      <c r="G1497" s="55" t="n">
        <v>6</v>
      </c>
      <c r="H1497" s="56" t="n">
        <v>20</v>
      </c>
      <c r="I1497" s="6" t="inlineStr">
        <is>
          <t>Pet Owner / Cộng đồng nuôi cún (10đ)</t>
        </is>
      </c>
      <c r="J1497" s="56" t="n">
        <v>10</v>
      </c>
      <c r="K1497" s="6" t="inlineStr">
        <is>
          <t>Chưa rõ giống (Cần quét Bio)</t>
        </is>
      </c>
      <c r="L1497" s="56" t="n">
        <v>0</v>
      </c>
      <c r="M1497" s="56" t="n">
        <v>5</v>
      </c>
      <c r="N1497" s="6" t="inlineStr">
        <is>
          <t>Amazon link not found</t>
        </is>
      </c>
      <c r="O1497" s="56">
        <f>IF(N1497="Selling pet toys + Artificial grass/Pet toilets (TARGET)",15,IF(N1497="Selling artificial grass/pet toilets (TARGET)",10,IF(N1497="Selling pet toys",7,IF(N1497="There's an Amazon link, but no target sales.",3,0))))</f>
        <v/>
      </c>
      <c r="P1497" s="65">
        <f>H1497+J1497+L1497+M1497+O1497</f>
        <v/>
      </c>
      <c r="Q1497" s="69">
        <f>IF(OR(H1497=0,P1497&lt;30),"Tier D (Đóng băng)",IF(P1497&gt;=85,"Tier S (Kim Cương: 85-100đ)",IF(P1497&gt;=70,"Tier A (Vàng: 70-84đ)",IF(P1497&gt;=61,"Tier B+ / Cấp A (Hot Lead: 61-69đ)",IF(P1497&gt;=50,"Tier B (Bạc: 50-60đ)","Tier C (Đồng: 30-49đ)")))))</f>
        <v/>
      </c>
      <c r="R1497" s="6" t="inlineStr">
        <is>
          <t>Khay vệ sinh chung cư (Indoor Potty) + Thảm cỏ ban công (Grass Patch) + Đồ chơi</t>
        </is>
      </c>
      <c r="S1497" s="6" t="inlineStr">
        <is>
          <t>Cấp C Chi phí thấp: Nhắn tin trực tiếp qua Fanpage Facebook/Instagram + Nuôi dưỡng nội dung</t>
        </is>
      </c>
    </row>
    <row r="1498">
      <c r="A1498" s="59" t="n">
        <v>1533</v>
      </c>
      <c r="B1498" s="15" t="inlineStr">
        <is>
          <t>Goodboyz Petshop</t>
        </is>
      </c>
      <c r="C1498" s="60" t="inlineStr">
        <is>
          <t>https://www.facebook.com/GoodboyzPetshop</t>
        </is>
      </c>
      <c r="D1498" s="9" t="inlineStr">
        <is>
          <t>Cần quét Bio Fanpage</t>
        </is>
      </c>
      <c r="E1498" s="59" t="inlineStr">
        <is>
          <t>06/10/2026 14:06:58</t>
        </is>
      </c>
      <c r="F1498" s="59" t="inlineStr">
        <is>
          <t>6 ngày trước</t>
        </is>
      </c>
      <c r="G1498" s="61" t="n">
        <v>6</v>
      </c>
      <c r="H1498" s="62" t="n">
        <v>20</v>
      </c>
      <c r="I1498" s="9" t="inlineStr">
        <is>
          <t>Pet Owner / Cộng đồng nuôi cún (10đ)</t>
        </is>
      </c>
      <c r="J1498" s="62" t="n">
        <v>10</v>
      </c>
      <c r="K1498" s="9" t="inlineStr">
        <is>
          <t>Chưa rõ giống (Cần quét Bio)</t>
        </is>
      </c>
      <c r="L1498" s="62" t="n">
        <v>0</v>
      </c>
      <c r="M1498" s="62" t="n">
        <v>5</v>
      </c>
      <c r="N1498" s="9" t="inlineStr">
        <is>
          <t>Amazon link not found</t>
        </is>
      </c>
      <c r="O1498" s="62">
        <f>IF(N1498="Selling pet toys + Artificial grass/Pet toilets (TARGET)",15,IF(N1498="Selling artificial grass/pet toilets (TARGET)",10,IF(N1498="Selling pet toys",7,IF(N1498="There's an Amazon link, but no target sales.",3,0))))</f>
        <v/>
      </c>
      <c r="P1498" s="67">
        <f>H1498+J1498+L1498+M1498+O1498</f>
        <v/>
      </c>
      <c r="Q1498" s="69">
        <f>IF(OR(H1498=0,P1498&lt;30),"Tier D (Đóng băng)",IF(P1498&gt;=85,"Tier S (Kim Cương: 85-100đ)",IF(P1498&gt;=70,"Tier A (Vàng: 70-84đ)",IF(P1498&gt;=61,"Tier B+ / Cấp A (Hot Lead: 61-69đ)",IF(P1498&gt;=50,"Tier B (Bạc: 50-60đ)","Tier C (Đồng: 30-49đ)")))))</f>
        <v/>
      </c>
      <c r="R1498" s="9" t="inlineStr">
        <is>
          <t>Khay vệ sinh chung cư (Indoor Potty) + Thảm cỏ ban công (Grass Patch) + Đồ chơi</t>
        </is>
      </c>
      <c r="S1498" s="9" t="inlineStr">
        <is>
          <t>Cấp C Chi phí thấp: Nhắn tin trực tiếp qua Fanpage Facebook/Instagram + Nuôi dưỡng nội dung</t>
        </is>
      </c>
    </row>
    <row r="1499">
      <c r="A1499" s="53" t="n">
        <v>1100</v>
      </c>
      <c r="B1499" s="12" t="inlineStr">
        <is>
          <t>Dog Supplies Warehouse</t>
        </is>
      </c>
      <c r="C1499" s="54" t="inlineStr">
        <is>
          <t>https://www.facebook.com/dogsupplieswarehouse</t>
        </is>
      </c>
      <c r="D1499" s="6" t="inlineStr">
        <is>
          <t>Cần quét Bio Fanpage</t>
        </is>
      </c>
      <c r="E1499" s="53" t="inlineStr">
        <is>
          <t>06/10/2026 06:17:27</t>
        </is>
      </c>
      <c r="F1499" s="53" t="inlineStr">
        <is>
          <t>6 ngày trước</t>
        </is>
      </c>
      <c r="G1499" s="55" t="n">
        <v>6</v>
      </c>
      <c r="H1499" s="56" t="n">
        <v>20</v>
      </c>
      <c r="I1499" s="6" t="inlineStr">
        <is>
          <t>Pet Owner / Cộng đồng nuôi cún (10đ)</t>
        </is>
      </c>
      <c r="J1499" s="56" t="n">
        <v>10</v>
      </c>
      <c r="K1499" s="6" t="inlineStr">
        <is>
          <t>Chưa rõ giống (Cần quét Bio)</t>
        </is>
      </c>
      <c r="L1499" s="56" t="n">
        <v>0</v>
      </c>
      <c r="M1499" s="56" t="n">
        <v>5</v>
      </c>
      <c r="N1499" s="6" t="inlineStr">
        <is>
          <t>Amazon link not found</t>
        </is>
      </c>
      <c r="O1499" s="56">
        <f>IF(N1499="Selling pet toys + Artificial grass/Pet toilets (TARGET)",15,IF(N1499="Selling artificial grass/pet toilets (TARGET)",10,IF(N1499="Selling pet toys",7,IF(N1499="There's an Amazon link, but no target sales.",3,0))))</f>
        <v/>
      </c>
      <c r="P1499" s="65">
        <f>H1499+J1499+L1499+M1499+O1499</f>
        <v/>
      </c>
      <c r="Q1499" s="69">
        <f>IF(OR(H1499=0,P1499&lt;30),"Tier D (Đóng băng)",IF(P1499&gt;=85,"Tier S (Kim Cương: 85-100đ)",IF(P1499&gt;=70,"Tier A (Vàng: 70-84đ)",IF(P1499&gt;=61,"Tier B+ / Cấp A (Hot Lead: 61-69đ)",IF(P1499&gt;=50,"Tier B (Bạc: 50-60đ)","Tier C (Đồng: 30-49đ)")))))</f>
        <v/>
      </c>
      <c r="R1499" s="6" t="inlineStr">
        <is>
          <t>Khay vệ sinh chung cư (Indoor Potty) + Thảm cỏ ban công (Grass Patch) + Đồ chơi</t>
        </is>
      </c>
      <c r="S1499" s="6" t="inlineStr">
        <is>
          <t>Cấp C Chi phí thấp: Nhắn tin trực tiếp qua Fanpage Facebook/Instagram + Nuôi dưỡng nội dung</t>
        </is>
      </c>
    </row>
    <row r="1500">
      <c r="A1500" s="59" t="n">
        <v>2016</v>
      </c>
      <c r="B1500" s="15" t="inlineStr">
        <is>
          <t>Ligerinhos's Pet Shop</t>
        </is>
      </c>
      <c r="C1500" s="60" t="inlineStr">
        <is>
          <t>https://www.facebook.com/ligerinhospetshopoficial</t>
        </is>
      </c>
      <c r="D1500" s="9" t="inlineStr">
        <is>
          <t>Cần quét Bio Fanpage</t>
        </is>
      </c>
      <c r="E1500" s="59" t="inlineStr">
        <is>
          <t>06/10/2026 02:40:23</t>
        </is>
      </c>
      <c r="F1500" s="59" t="inlineStr">
        <is>
          <t>1 tuần trước</t>
        </is>
      </c>
      <c r="G1500" s="61" t="n">
        <v>7</v>
      </c>
      <c r="H1500" s="62" t="n">
        <v>20</v>
      </c>
      <c r="I1500" s="9" t="inlineStr">
        <is>
          <t>Pet Owner / Cộng đồng nuôi cún (10đ)</t>
        </is>
      </c>
      <c r="J1500" s="62" t="n">
        <v>10</v>
      </c>
      <c r="K1500" s="9" t="inlineStr">
        <is>
          <t>Chưa rõ giống (Cần quét Bio)</t>
        </is>
      </c>
      <c r="L1500" s="62" t="n">
        <v>0</v>
      </c>
      <c r="M1500" s="62" t="n">
        <v>5</v>
      </c>
      <c r="N1500" s="9" t="inlineStr">
        <is>
          <t>Amazon link not found</t>
        </is>
      </c>
      <c r="O1500" s="62">
        <f>IF(N1500="Selling pet toys + Artificial grass/Pet toilets (TARGET)",15,IF(N1500="Selling artificial grass/pet toilets (TARGET)",10,IF(N1500="Selling pet toys",7,IF(N1500="There's an Amazon link, but no target sales.",3,0))))</f>
        <v/>
      </c>
      <c r="P1500" s="67">
        <f>H1500+J1500+L1500+M1500+O1500</f>
        <v/>
      </c>
      <c r="Q1500" s="69">
        <f>IF(OR(H1500=0,P1500&lt;30),"Tier D (Đóng băng)",IF(P1500&gt;=85,"Tier S (Kim Cương: 85-100đ)",IF(P1500&gt;=70,"Tier A (Vàng: 70-84đ)",IF(P1500&gt;=61,"Tier B+ / Cấp A (Hot Lead: 61-69đ)",IF(P1500&gt;=50,"Tier B (Bạc: 50-60đ)","Tier C (Đồng: 30-49đ)")))))</f>
        <v/>
      </c>
      <c r="R1500" s="9" t="inlineStr">
        <is>
          <t>Khay vệ sinh chung cư (Indoor Potty) + Thảm cỏ ban công (Grass Patch) + Đồ chơi</t>
        </is>
      </c>
      <c r="S1500" s="9" t="inlineStr">
        <is>
          <t>Cấp C Chi phí thấp: Nhắn tin trực tiếp qua Fanpage Facebook/Instagram + Nuôi dưỡng nội dung</t>
        </is>
      </c>
    </row>
    <row r="1501">
      <c r="A1501" s="53" t="n">
        <v>2667</v>
      </c>
      <c r="B1501" s="12" t="inlineStr">
        <is>
          <t>Puppychase</t>
        </is>
      </c>
      <c r="C1501" s="54" t="inlineStr">
        <is>
          <t>https://www.facebook.com/profile.php?id=100064175280972</t>
        </is>
      </c>
      <c r="D1501" s="6" t="inlineStr">
        <is>
          <t>Cần quét Bio Fanpage</t>
        </is>
      </c>
      <c r="E1501" s="53" t="inlineStr">
        <is>
          <t>03/10/2026 02:46:01</t>
        </is>
      </c>
      <c r="F1501" s="53" t="inlineStr">
        <is>
          <t>1 tuần trước</t>
        </is>
      </c>
      <c r="G1501" s="55" t="n">
        <v>7</v>
      </c>
      <c r="H1501" s="56" t="n">
        <v>20</v>
      </c>
      <c r="I1501" s="6" t="inlineStr">
        <is>
          <t>Pet Owner / Cộng đồng nuôi cún (10đ)</t>
        </is>
      </c>
      <c r="J1501" s="56" t="n">
        <v>10</v>
      </c>
      <c r="K1501" s="6" t="inlineStr">
        <is>
          <t>Chưa rõ giống (Cần quét Bio)</t>
        </is>
      </c>
      <c r="L1501" s="56" t="n">
        <v>0</v>
      </c>
      <c r="M1501" s="56" t="n">
        <v>5</v>
      </c>
      <c r="N1501" s="6" t="inlineStr">
        <is>
          <t>Amazon link not found</t>
        </is>
      </c>
      <c r="O1501" s="56">
        <f>IF(N1501="Selling pet toys + Artificial grass/Pet toilets (TARGET)",15,IF(N1501="Selling artificial grass/pet toilets (TARGET)",10,IF(N1501="Selling pet toys",7,IF(N1501="There's an Amazon link, but no target sales.",3,0))))</f>
        <v/>
      </c>
      <c r="P1501" s="65">
        <f>H1501+J1501+L1501+M1501+O1501</f>
        <v/>
      </c>
      <c r="Q1501" s="69">
        <f>IF(OR(H1501=0,P1501&lt;30),"Tier D (Đóng băng)",IF(P1501&gt;=85,"Tier S (Kim Cương: 85-100đ)",IF(P1501&gt;=70,"Tier A (Vàng: 70-84đ)",IF(P1501&gt;=61,"Tier B+ / Cấp A (Hot Lead: 61-69đ)",IF(P1501&gt;=50,"Tier B (Bạc: 50-60đ)","Tier C (Đồng: 30-49đ)")))))</f>
        <v/>
      </c>
      <c r="R1501" s="6" t="inlineStr">
        <is>
          <t>Khay vệ sinh chung cư (Indoor Potty) + Thảm cỏ ban công (Grass Patch) + Đồ chơi</t>
        </is>
      </c>
      <c r="S1501" s="6" t="inlineStr">
        <is>
          <t>Cấp C Chi phí thấp: Nhắn tin trực tiếp qua Fanpage Facebook/Instagram + Nuôi dưỡng nội dung</t>
        </is>
      </c>
    </row>
    <row r="1502">
      <c r="A1502" s="59" t="n">
        <v>1149</v>
      </c>
      <c r="B1502" s="15" t="inlineStr">
        <is>
          <t>Dogoni.store</t>
        </is>
      </c>
      <c r="C1502" s="60" t="inlineStr">
        <is>
          <t>https://www.facebook.com/Dogoni.store</t>
        </is>
      </c>
      <c r="D1502" s="9" t="inlineStr">
        <is>
          <t>Cần quét Bio Fanpage</t>
        </is>
      </c>
      <c r="E1502" s="59" t="inlineStr">
        <is>
          <t>01/10/2026 18:00:55</t>
        </is>
      </c>
      <c r="F1502" s="59" t="inlineStr">
        <is>
          <t>1 tuần trước</t>
        </is>
      </c>
      <c r="G1502" s="61" t="n">
        <v>7</v>
      </c>
      <c r="H1502" s="62" t="n">
        <v>20</v>
      </c>
      <c r="I1502" s="9" t="inlineStr">
        <is>
          <t>Pet Owner / Cộng đồng nuôi cún (10đ)</t>
        </is>
      </c>
      <c r="J1502" s="62" t="n">
        <v>10</v>
      </c>
      <c r="K1502" s="9" t="inlineStr">
        <is>
          <t>Chưa rõ giống (Cần quét Bio)</t>
        </is>
      </c>
      <c r="L1502" s="62" t="n">
        <v>0</v>
      </c>
      <c r="M1502" s="62" t="n">
        <v>5</v>
      </c>
      <c r="N1502" s="9" t="inlineStr">
        <is>
          <t>Amazon link not found</t>
        </is>
      </c>
      <c r="O1502" s="62">
        <f>IF(N1502="Selling pet toys + Artificial grass/Pet toilets (TARGET)",15,IF(N1502="Selling artificial grass/pet toilets (TARGET)",10,IF(N1502="Selling pet toys",7,IF(N1502="There's an Amazon link, but no target sales.",3,0))))</f>
        <v/>
      </c>
      <c r="P1502" s="67">
        <f>H1502+J1502+L1502+M1502+O1502</f>
        <v/>
      </c>
      <c r="Q1502" s="69">
        <f>IF(OR(H1502=0,P1502&lt;30),"Tier D (Đóng băng)",IF(P1502&gt;=85,"Tier S (Kim Cương: 85-100đ)",IF(P1502&gt;=70,"Tier A (Vàng: 70-84đ)",IF(P1502&gt;=61,"Tier B+ / Cấp A (Hot Lead: 61-69đ)",IF(P1502&gt;=50,"Tier B (Bạc: 50-60đ)","Tier C (Đồng: 30-49đ)")))))</f>
        <v/>
      </c>
      <c r="R1502" s="9" t="inlineStr">
        <is>
          <t>Khay vệ sinh chung cư (Indoor Potty) + Thảm cỏ ban công (Grass Patch) + Đồ chơi</t>
        </is>
      </c>
      <c r="S1502" s="9" t="inlineStr">
        <is>
          <t>Cấp C Chi phí thấp: Nhắn tin trực tiếp qua Fanpage Facebook/Instagram + Nuôi dưỡng nội dung</t>
        </is>
      </c>
    </row>
    <row r="1503">
      <c r="A1503" s="53" t="n">
        <v>2605</v>
      </c>
      <c r="B1503" s="12" t="inlineStr">
        <is>
          <t>Poudre Pet &amp; Feed Supply (North College and Vine)</t>
        </is>
      </c>
      <c r="C1503" s="54" t="inlineStr">
        <is>
          <t>https://www.facebook.com/profile.php?id=100089286956912</t>
        </is>
      </c>
      <c r="D1503" s="6" t="inlineStr">
        <is>
          <t>Cần quét Bio Fanpage</t>
        </is>
      </c>
      <c r="E1503" s="53" t="inlineStr">
        <is>
          <t>01/10/2026 02:53:11</t>
        </is>
      </c>
      <c r="F1503" s="53" t="inlineStr">
        <is>
          <t>1 tuần trước</t>
        </is>
      </c>
      <c r="G1503" s="55" t="n">
        <v>7</v>
      </c>
      <c r="H1503" s="56" t="n">
        <v>20</v>
      </c>
      <c r="I1503" s="6" t="inlineStr">
        <is>
          <t>Pet Owner / Cộng đồng nuôi cún (10đ)</t>
        </is>
      </c>
      <c r="J1503" s="56" t="n">
        <v>10</v>
      </c>
      <c r="K1503" s="6" t="inlineStr">
        <is>
          <t>Chưa rõ giống (Cần quét Bio)</t>
        </is>
      </c>
      <c r="L1503" s="56" t="n">
        <v>0</v>
      </c>
      <c r="M1503" s="56" t="n">
        <v>5</v>
      </c>
      <c r="N1503" s="6" t="inlineStr">
        <is>
          <t>Amazon link not found</t>
        </is>
      </c>
      <c r="O1503" s="56">
        <f>IF(N1503="Selling pet toys + Artificial grass/Pet toilets (TARGET)",15,IF(N1503="Selling artificial grass/pet toilets (TARGET)",10,IF(N1503="Selling pet toys",7,IF(N1503="There's an Amazon link, but no target sales.",3,0))))</f>
        <v/>
      </c>
      <c r="P1503" s="65">
        <f>H1503+J1503+L1503+M1503+O1503</f>
        <v/>
      </c>
      <c r="Q1503" s="69">
        <f>IF(OR(H1503=0,P1503&lt;30),"Tier D (Đóng băng)",IF(P1503&gt;=85,"Tier S (Kim Cương: 85-100đ)",IF(P1503&gt;=70,"Tier A (Vàng: 70-84đ)",IF(P1503&gt;=61,"Tier B+ / Cấp A (Hot Lead: 61-69đ)",IF(P1503&gt;=50,"Tier B (Bạc: 50-60đ)","Tier C (Đồng: 30-49đ)")))))</f>
        <v/>
      </c>
      <c r="R1503" s="6" t="inlineStr">
        <is>
          <t>Khay vệ sinh chung cư (Indoor Potty) + Thảm cỏ ban công (Grass Patch) + Đồ chơi</t>
        </is>
      </c>
      <c r="S1503" s="6" t="inlineStr">
        <is>
          <t>Cấp C Chi phí thấp: Nhắn tin trực tiếp qua Fanpage Facebook/Instagram + Nuôi dưỡng nội dung</t>
        </is>
      </c>
    </row>
    <row r="1504">
      <c r="A1504" s="59" t="n">
        <v>2607</v>
      </c>
      <c r="B1504" s="15" t="inlineStr">
        <is>
          <t>Poudre Pet &amp; Feed Supply (Downtown Windsor)</t>
        </is>
      </c>
      <c r="C1504" s="60" t="inlineStr">
        <is>
          <t>https://www.facebook.com/profile.php?id=100089807237910</t>
        </is>
      </c>
      <c r="D1504" s="9" t="inlineStr">
        <is>
          <t>Cần quét Bio Fanpage</t>
        </is>
      </c>
      <c r="E1504" s="59" t="inlineStr">
        <is>
          <t>01/10/2026 02:53:11</t>
        </is>
      </c>
      <c r="F1504" s="59" t="inlineStr">
        <is>
          <t>1 tuần trước</t>
        </is>
      </c>
      <c r="G1504" s="61" t="n">
        <v>7</v>
      </c>
      <c r="H1504" s="62" t="n">
        <v>20</v>
      </c>
      <c r="I1504" s="9" t="inlineStr">
        <is>
          <t>Pet Owner / Cộng đồng nuôi cún (10đ)</t>
        </is>
      </c>
      <c r="J1504" s="62" t="n">
        <v>10</v>
      </c>
      <c r="K1504" s="9" t="inlineStr">
        <is>
          <t>Chưa rõ giống (Cần quét Bio)</t>
        </is>
      </c>
      <c r="L1504" s="62" t="n">
        <v>0</v>
      </c>
      <c r="M1504" s="62" t="n">
        <v>5</v>
      </c>
      <c r="N1504" s="9" t="inlineStr">
        <is>
          <t>Amazon link not found</t>
        </is>
      </c>
      <c r="O1504" s="62">
        <f>IF(N1504="Selling pet toys + Artificial grass/Pet toilets (TARGET)",15,IF(N1504="Selling artificial grass/pet toilets (TARGET)",10,IF(N1504="Selling pet toys",7,IF(N1504="There's an Amazon link, but no target sales.",3,0))))</f>
        <v/>
      </c>
      <c r="P1504" s="67">
        <f>H1504+J1504+L1504+M1504+O1504</f>
        <v/>
      </c>
      <c r="Q1504" s="69">
        <f>IF(OR(H1504=0,P1504&lt;30),"Tier D (Đóng băng)",IF(P1504&gt;=85,"Tier S (Kim Cương: 85-100đ)",IF(P1504&gt;=70,"Tier A (Vàng: 70-84đ)",IF(P1504&gt;=61,"Tier B+ / Cấp A (Hot Lead: 61-69đ)",IF(P1504&gt;=50,"Tier B (Bạc: 50-60đ)","Tier C (Đồng: 30-49đ)")))))</f>
        <v/>
      </c>
      <c r="R1504" s="9" t="inlineStr">
        <is>
          <t>Khay vệ sinh chung cư (Indoor Potty) + Thảm cỏ ban công (Grass Patch) + Đồ chơi</t>
        </is>
      </c>
      <c r="S1504" s="9" t="inlineStr">
        <is>
          <t>Cấp C Chi phí thấp: Nhắn tin trực tiếp qua Fanpage Facebook/Instagram + Nuôi dưỡng nội dung</t>
        </is>
      </c>
    </row>
    <row r="1505">
      <c r="A1505" s="53" t="n">
        <v>3167</v>
      </c>
      <c r="B1505" s="12" t="inlineStr">
        <is>
          <t>The Urban Dog Trainer</t>
        </is>
      </c>
      <c r="C1505" s="54" t="inlineStr">
        <is>
          <t>https://www.facebook.com/havedogwilltrain</t>
        </is>
      </c>
      <c r="D1505" s="6" t="inlineStr">
        <is>
          <t>Cần quét Bio Fanpage</t>
        </is>
      </c>
      <c r="E1505" s="53" t="inlineStr">
        <is>
          <t>29/09/2026 03:26:18</t>
        </is>
      </c>
      <c r="F1505" s="53" t="inlineStr">
        <is>
          <t>2 tuần trước</t>
        </is>
      </c>
      <c r="G1505" s="55" t="n">
        <v>14</v>
      </c>
      <c r="H1505" s="56" t="n">
        <v>15</v>
      </c>
      <c r="I1505" s="6" t="inlineStr">
        <is>
          <t>Pet Boarding / Huấn luyện K9 &amp; Dịch vụ (20-22đ)</t>
        </is>
      </c>
      <c r="J1505" s="56" t="n">
        <v>20</v>
      </c>
      <c r="K1505" s="6" t="inlineStr">
        <is>
          <t>Chưa rõ giống (Cần quét Bio)</t>
        </is>
      </c>
      <c r="L1505" s="56" t="n">
        <v>0</v>
      </c>
      <c r="M1505" s="56" t="n">
        <v>0</v>
      </c>
      <c r="N1505" s="6" t="inlineStr">
        <is>
          <t>Amazon link not found</t>
        </is>
      </c>
      <c r="O1505" s="56">
        <f>IF(N1505="Selling pet toys + Artificial grass/Pet toilets (TARGET)",15,IF(N1505="Selling artificial grass/pet toilets (TARGET)",10,IF(N1505="Selling pet toys",7,IF(N1505="There's an Amazon link, but no target sales.",3,0))))</f>
        <v/>
      </c>
      <c r="P1505" s="65">
        <f>H1505+J1505+L1505+M1505+O1505</f>
        <v/>
      </c>
      <c r="Q1505" s="69">
        <f>IF(OR(H1505=0,P1505&lt;30),"Tier D (Đóng băng)",IF(P1505&gt;=85,"Tier S (Kim Cương: 85-100đ)",IF(P1505&gt;=70,"Tier A (Vàng: 70-84đ)",IF(P1505&gt;=61,"Tier B+ / Cấp A (Hot Lead: 61-69đ)",IF(P1505&gt;=50,"Tier B (Bạc: 50-60đ)","Tier C (Đồng: 30-49đ)")))))</f>
        <v/>
      </c>
      <c r="R1505" s="6" t="inlineStr">
        <is>
          <t>Cỏ nhân tạo sân chơi/huấn luyện (Dog Turf) + Đồ chơi nhai chịu lực (KONG/Chew Toys)</t>
        </is>
      </c>
      <c r="S1505" s="6" t="inlineStr">
        <is>
          <t>Cấp C Chi phí thấp: Nhắn tin trực tiếp qua Fanpage Facebook/Instagram + Nuôi dưỡng nội dung</t>
        </is>
      </c>
    </row>
    <row r="1506">
      <c r="A1506" s="59" t="n">
        <v>1094</v>
      </c>
      <c r="B1506" s="15" t="inlineStr">
        <is>
          <t>Dog On It Sports</t>
        </is>
      </c>
      <c r="C1506" s="60" t="inlineStr">
        <is>
          <t>https://www.facebook.com/dogonitsports</t>
        </is>
      </c>
      <c r="D1506" s="9" t="inlineStr">
        <is>
          <t>Cần quét Bio Fanpage</t>
        </is>
      </c>
      <c r="E1506" s="59" t="inlineStr">
        <is>
          <t>28/09/2026 21:00:16</t>
        </is>
      </c>
      <c r="F1506" s="59" t="inlineStr">
        <is>
          <t>2 tuần trước</t>
        </is>
      </c>
      <c r="G1506" s="61" t="n">
        <v>14</v>
      </c>
      <c r="H1506" s="62" t="n">
        <v>15</v>
      </c>
      <c r="I1506" s="9" t="inlineStr">
        <is>
          <t>Pet Boarding / Huấn luyện K9 &amp; Dịch vụ (20-22đ)</t>
        </is>
      </c>
      <c r="J1506" s="62" t="n">
        <v>20</v>
      </c>
      <c r="K1506" s="9" t="inlineStr">
        <is>
          <t>Chưa rõ giống (Cần quét Bio)</t>
        </is>
      </c>
      <c r="L1506" s="62" t="n">
        <v>0</v>
      </c>
      <c r="M1506" s="62" t="n">
        <v>0</v>
      </c>
      <c r="N1506" s="9" t="inlineStr">
        <is>
          <t>Amazon link not found</t>
        </is>
      </c>
      <c r="O1506" s="62">
        <f>IF(N1506="Selling pet toys + Artificial grass/Pet toilets (TARGET)",15,IF(N1506="Selling artificial grass/pet toilets (TARGET)",10,IF(N1506="Selling pet toys",7,IF(N1506="There's an Amazon link, but no target sales.",3,0))))</f>
        <v/>
      </c>
      <c r="P1506" s="67">
        <f>H1506+J1506+L1506+M1506+O1506</f>
        <v/>
      </c>
      <c r="Q1506" s="69">
        <f>IF(OR(H1506=0,P1506&lt;30),"Tier D (Đóng băng)",IF(P1506&gt;=85,"Tier S (Kim Cương: 85-100đ)",IF(P1506&gt;=70,"Tier A (Vàng: 70-84đ)",IF(P1506&gt;=61,"Tier B+ / Cấp A (Hot Lead: 61-69đ)",IF(P1506&gt;=50,"Tier B (Bạc: 50-60đ)","Tier C (Đồng: 30-49đ)")))))</f>
        <v/>
      </c>
      <c r="R1506" s="9" t="inlineStr">
        <is>
          <t>Cỏ nhân tạo sân chơi/huấn luyện (Dog Turf) + Đồ chơi nhai chịu lực (KONG/Chew Toys)</t>
        </is>
      </c>
      <c r="S1506" s="9" t="inlineStr">
        <is>
          <t>Cấp C Chi phí thấp: Nhắn tin trực tiếp qua Fanpage Facebook/Instagram + Nuôi dưỡng nội dung</t>
        </is>
      </c>
    </row>
    <row r="1507">
      <c r="A1507" s="53" t="n">
        <v>2384</v>
      </c>
      <c r="B1507" s="12" t="inlineStr">
        <is>
          <t>Oxford Dog Sports Incorporated</t>
        </is>
      </c>
      <c r="C1507" s="54" t="inlineStr">
        <is>
          <t>https://www.facebook.com/OxfordDogSports</t>
        </is>
      </c>
      <c r="D1507" s="6" t="inlineStr">
        <is>
          <t>Cần quét Bio Fanpage</t>
        </is>
      </c>
      <c r="E1507" s="53" t="inlineStr">
        <is>
          <t>26/09/2026 19:26:21</t>
        </is>
      </c>
      <c r="F1507" s="53" t="inlineStr">
        <is>
          <t>2 tuần trước</t>
        </is>
      </c>
      <c r="G1507" s="55" t="n">
        <v>14</v>
      </c>
      <c r="H1507" s="56" t="n">
        <v>15</v>
      </c>
      <c r="I1507" s="6" t="inlineStr">
        <is>
          <t>Pet Boarding / Huấn luyện K9 &amp; Dịch vụ (20-22đ)</t>
        </is>
      </c>
      <c r="J1507" s="56" t="n">
        <v>20</v>
      </c>
      <c r="K1507" s="6" t="inlineStr">
        <is>
          <t>Chưa rõ giống (Cần quét Bio)</t>
        </is>
      </c>
      <c r="L1507" s="56" t="n">
        <v>0</v>
      </c>
      <c r="M1507" s="56" t="n">
        <v>0</v>
      </c>
      <c r="N1507" s="6" t="inlineStr">
        <is>
          <t>Amazon link not found</t>
        </is>
      </c>
      <c r="O1507" s="56">
        <f>IF(N1507="Selling pet toys + Artificial grass/Pet toilets (TARGET)",15,IF(N1507="Selling artificial grass/pet toilets (TARGET)",10,IF(N1507="Selling pet toys",7,IF(N1507="There's an Amazon link, but no target sales.",3,0))))</f>
        <v/>
      </c>
      <c r="P1507" s="65">
        <f>H1507+J1507+L1507+M1507+O1507</f>
        <v/>
      </c>
      <c r="Q1507" s="69">
        <f>IF(OR(H1507=0,P1507&lt;30),"Tier D (Đóng băng)",IF(P1507&gt;=85,"Tier S (Kim Cương: 85-100đ)",IF(P1507&gt;=70,"Tier A (Vàng: 70-84đ)",IF(P1507&gt;=61,"Tier B+ / Cấp A (Hot Lead: 61-69đ)",IF(P1507&gt;=50,"Tier B (Bạc: 50-60đ)","Tier C (Đồng: 30-49đ)")))))</f>
        <v/>
      </c>
      <c r="R1507" s="6" t="inlineStr">
        <is>
          <t>Cỏ nhân tạo sân chơi/huấn luyện (Dog Turf) + Đồ chơi nhai chịu lực (KONG/Chew Toys)</t>
        </is>
      </c>
      <c r="S1507" s="6" t="inlineStr">
        <is>
          <t>Cấp C Chi phí thấp: Nhắn tin trực tiếp qua Fanpage Facebook/Instagram + Nuôi dưỡng nội dung</t>
        </is>
      </c>
    </row>
    <row r="1508">
      <c r="A1508" s="59" t="n">
        <v>853</v>
      </c>
      <c r="B1508" s="15" t="inlineStr">
        <is>
          <t>Carusi Professional Dog Handling</t>
        </is>
      </c>
      <c r="C1508" s="60" t="inlineStr">
        <is>
          <t>https://www.facebook.com/profile.php?id=100087954556437</t>
        </is>
      </c>
      <c r="D1508" s="9" t="inlineStr">
        <is>
          <t>Cần quét Bio Fanpage</t>
        </is>
      </c>
      <c r="E1508" s="59" t="inlineStr">
        <is>
          <t>26/09/2026 03:54:52</t>
        </is>
      </c>
      <c r="F1508" s="59" t="inlineStr">
        <is>
          <t>2 tuần trước</t>
        </is>
      </c>
      <c r="G1508" s="61" t="n">
        <v>14</v>
      </c>
      <c r="H1508" s="62" t="n">
        <v>15</v>
      </c>
      <c r="I1508" s="9" t="inlineStr">
        <is>
          <t>Pet Boarding / Huấn luyện K9 &amp; Dịch vụ (20-22đ)</t>
        </is>
      </c>
      <c r="J1508" s="62" t="n">
        <v>20</v>
      </c>
      <c r="K1508" s="9" t="inlineStr">
        <is>
          <t>Chưa rõ giống (Cần quét Bio)</t>
        </is>
      </c>
      <c r="L1508" s="62" t="n">
        <v>0</v>
      </c>
      <c r="M1508" s="62" t="n">
        <v>0</v>
      </c>
      <c r="N1508" s="9" t="inlineStr">
        <is>
          <t>Amazon link not found</t>
        </is>
      </c>
      <c r="O1508" s="62">
        <f>IF(N1508="Selling pet toys + Artificial grass/Pet toilets (TARGET)",15,IF(N1508="Selling artificial grass/pet toilets (TARGET)",10,IF(N1508="Selling pet toys",7,IF(N1508="There's an Amazon link, but no target sales.",3,0))))</f>
        <v/>
      </c>
      <c r="P1508" s="67">
        <f>H1508+J1508+L1508+M1508+O1508</f>
        <v/>
      </c>
      <c r="Q1508" s="69">
        <f>IF(OR(H1508=0,P1508&lt;30),"Tier D (Đóng băng)",IF(P1508&gt;=85,"Tier S (Kim Cương: 85-100đ)",IF(P1508&gt;=70,"Tier A (Vàng: 70-84đ)",IF(P1508&gt;=61,"Tier B+ / Cấp A (Hot Lead: 61-69đ)",IF(P1508&gt;=50,"Tier B (Bạc: 50-60đ)","Tier C (Đồng: 30-49đ)")))))</f>
        <v/>
      </c>
      <c r="R1508" s="9" t="inlineStr">
        <is>
          <t>Cỏ nhân tạo sân chơi/huấn luyện (Dog Turf) + Đồ chơi nhai chịu lực (KONG/Chew Toys)</t>
        </is>
      </c>
      <c r="S1508" s="9" t="inlineStr">
        <is>
          <t>Cấp C Chi phí thấp: Nhắn tin trực tiếp qua Fanpage Facebook/Instagram + Nuôi dưỡng nội dung</t>
        </is>
      </c>
    </row>
    <row r="1509">
      <c r="A1509" s="53" t="n">
        <v>312</v>
      </c>
      <c r="B1509" s="12" t="inlineStr">
        <is>
          <t>668 Pet Care</t>
        </is>
      </c>
      <c r="C1509" s="54" t="inlineStr">
        <is>
          <t>https://www.facebook.com/profile.php?id=100094049033615</t>
        </is>
      </c>
      <c r="D1509" s="6" t="inlineStr">
        <is>
          <t>Cần quét Bio Fanpage</t>
        </is>
      </c>
      <c r="E1509" s="53" t="inlineStr">
        <is>
          <t>25/09/2026 01:23:02</t>
        </is>
      </c>
      <c r="F1509" s="53" t="inlineStr">
        <is>
          <t>2 tuần trước</t>
        </is>
      </c>
      <c r="G1509" s="55" t="n">
        <v>14</v>
      </c>
      <c r="H1509" s="56" t="n">
        <v>15</v>
      </c>
      <c r="I1509" s="6" t="inlineStr">
        <is>
          <t>Pet Boarding / Huấn luyện K9 &amp; Dịch vụ (20-22đ)</t>
        </is>
      </c>
      <c r="J1509" s="56" t="n">
        <v>20</v>
      </c>
      <c r="K1509" s="6" t="inlineStr">
        <is>
          <t>Chưa rõ giống (Cần quét Bio)</t>
        </is>
      </c>
      <c r="L1509" s="56" t="n">
        <v>0</v>
      </c>
      <c r="M1509" s="56" t="n">
        <v>0</v>
      </c>
      <c r="N1509" s="6" t="inlineStr">
        <is>
          <t>Amazon link not found</t>
        </is>
      </c>
      <c r="O1509" s="56">
        <f>IF(N1509="Selling pet toys + Artificial grass/Pet toilets (TARGET)",15,IF(N1509="Selling artificial grass/pet toilets (TARGET)",10,IF(N1509="Selling pet toys",7,IF(N1509="There's an Amazon link, but no target sales.",3,0))))</f>
        <v/>
      </c>
      <c r="P1509" s="65">
        <f>H1509+J1509+L1509+M1509+O1509</f>
        <v/>
      </c>
      <c r="Q1509" s="69">
        <f>IF(OR(H1509=0,P1509&lt;30),"Tier D (Đóng băng)",IF(P1509&gt;=85,"Tier S (Kim Cương: 85-100đ)",IF(P1509&gt;=70,"Tier A (Vàng: 70-84đ)",IF(P1509&gt;=61,"Tier B+ / Cấp A (Hot Lead: 61-69đ)",IF(P1509&gt;=50,"Tier B (Bạc: 50-60đ)","Tier C (Đồng: 30-49đ)")))))</f>
        <v/>
      </c>
      <c r="R1509" s="6" t="inlineStr">
        <is>
          <t>Cỏ nhân tạo sân chơi/huấn luyện (Dog Turf) + Đồ chơi nhai chịu lực (KONG/Chew Toys)</t>
        </is>
      </c>
      <c r="S1509" s="6" t="inlineStr">
        <is>
          <t>Cấp C Chi phí thấp: Nhắn tin trực tiếp qua Fanpage Facebook/Instagram + Nuôi dưỡng nội dung</t>
        </is>
      </c>
    </row>
    <row r="1510">
      <c r="A1510" s="59" t="n">
        <v>3259</v>
      </c>
      <c r="B1510" s="15" t="inlineStr">
        <is>
          <t>Twisted Whiskers Pet Deli &amp; Spa</t>
        </is>
      </c>
      <c r="C1510" s="60" t="inlineStr">
        <is>
          <t>https://www.facebook.com/TwistedWhiskersPetDeliAndSpa</t>
        </is>
      </c>
      <c r="D1510" s="9" t="inlineStr">
        <is>
          <t>Cần quét Bio Fanpage</t>
        </is>
      </c>
      <c r="E1510" s="59" t="inlineStr">
        <is>
          <t>23/09/2026 12:25:03</t>
        </is>
      </c>
      <c r="F1510" s="59" t="inlineStr">
        <is>
          <t>2 tuần trước</t>
        </is>
      </c>
      <c r="G1510" s="61" t="n">
        <v>14</v>
      </c>
      <c r="H1510" s="62" t="n">
        <v>15</v>
      </c>
      <c r="I1510" s="9" t="inlineStr">
        <is>
          <t>Pet Boarding / Huấn luyện K9 &amp; Dịch vụ (20-22đ)</t>
        </is>
      </c>
      <c r="J1510" s="62" t="n">
        <v>20</v>
      </c>
      <c r="K1510" s="9" t="inlineStr">
        <is>
          <t>Chưa rõ giống (Cần quét Bio)</t>
        </is>
      </c>
      <c r="L1510" s="62" t="n">
        <v>0</v>
      </c>
      <c r="M1510" s="62" t="n">
        <v>0</v>
      </c>
      <c r="N1510" s="9" t="inlineStr">
        <is>
          <t>Amazon link not found</t>
        </is>
      </c>
      <c r="O1510" s="62">
        <f>IF(N1510="Selling pet toys + Artificial grass/Pet toilets (TARGET)",15,IF(N1510="Selling artificial grass/pet toilets (TARGET)",10,IF(N1510="Selling pet toys",7,IF(N1510="There's an Amazon link, but no target sales.",3,0))))</f>
        <v/>
      </c>
      <c r="P1510" s="67">
        <f>H1510+J1510+L1510+M1510+O1510</f>
        <v/>
      </c>
      <c r="Q1510" s="69">
        <f>IF(OR(H1510=0,P1510&lt;30),"Tier D (Đóng băng)",IF(P1510&gt;=85,"Tier S (Kim Cương: 85-100đ)",IF(P1510&gt;=70,"Tier A (Vàng: 70-84đ)",IF(P1510&gt;=61,"Tier B+ / Cấp A (Hot Lead: 61-69đ)",IF(P1510&gt;=50,"Tier B (Bạc: 50-60đ)","Tier C (Đồng: 30-49đ)")))))</f>
        <v/>
      </c>
      <c r="R1510" s="9" t="inlineStr">
        <is>
          <t>Cỏ nhân tạo sân chơi/huấn luyện (Dog Turf) + Đồ chơi nhai chịu lực (KONG/Chew Toys)</t>
        </is>
      </c>
      <c r="S1510" s="9" t="inlineStr">
        <is>
          <t>Cấp C Chi phí thấp: Nhắn tin trực tiếp qua Fanpage Facebook/Instagram + Nuôi dưỡng nội dung</t>
        </is>
      </c>
    </row>
    <row r="1511">
      <c r="A1511" s="53" t="n">
        <v>1024</v>
      </c>
      <c r="B1511" s="12" t="inlineStr">
        <is>
          <t>Derbyshire Dog Agility Club</t>
        </is>
      </c>
      <c r="C1511" s="54" t="inlineStr">
        <is>
          <t>https://www.facebook.com/DerbyshireAgility</t>
        </is>
      </c>
      <c r="D1511" s="6" t="inlineStr">
        <is>
          <t>Cần quét Bio Fanpage</t>
        </is>
      </c>
      <c r="E1511" s="53" t="inlineStr">
        <is>
          <t>23/09/2026 00:40:24</t>
        </is>
      </c>
      <c r="F1511" s="53" t="inlineStr">
        <is>
          <t>2 tuần trước</t>
        </is>
      </c>
      <c r="G1511" s="55" t="n">
        <v>14</v>
      </c>
      <c r="H1511" s="56" t="n">
        <v>15</v>
      </c>
      <c r="I1511" s="6" t="inlineStr">
        <is>
          <t>Pet Boarding / Huấn luyện K9 &amp; Dịch vụ (20-22đ)</t>
        </is>
      </c>
      <c r="J1511" s="56" t="n">
        <v>20</v>
      </c>
      <c r="K1511" s="6" t="inlineStr">
        <is>
          <t>Chưa rõ giống (Cần quét Bio)</t>
        </is>
      </c>
      <c r="L1511" s="56" t="n">
        <v>0</v>
      </c>
      <c r="M1511" s="56" t="n">
        <v>0</v>
      </c>
      <c r="N1511" s="6" t="inlineStr">
        <is>
          <t>Amazon link not found</t>
        </is>
      </c>
      <c r="O1511" s="56">
        <f>IF(N1511="Selling pet toys + Artificial grass/Pet toilets (TARGET)",15,IF(N1511="Selling artificial grass/pet toilets (TARGET)",10,IF(N1511="Selling pet toys",7,IF(N1511="There's an Amazon link, but no target sales.",3,0))))</f>
        <v/>
      </c>
      <c r="P1511" s="65">
        <f>H1511+J1511+L1511+M1511+O1511</f>
        <v/>
      </c>
      <c r="Q1511" s="69">
        <f>IF(OR(H1511=0,P1511&lt;30),"Tier D (Đóng băng)",IF(P1511&gt;=85,"Tier S (Kim Cương: 85-100đ)",IF(P1511&gt;=70,"Tier A (Vàng: 70-84đ)",IF(P1511&gt;=61,"Tier B+ / Cấp A (Hot Lead: 61-69đ)",IF(P1511&gt;=50,"Tier B (Bạc: 50-60đ)","Tier C (Đồng: 30-49đ)")))))</f>
        <v/>
      </c>
      <c r="R1511" s="6" t="inlineStr">
        <is>
          <t>Cỏ nhân tạo sân chơi/huấn luyện (Dog Turf) + Đồ chơi nhai chịu lực (KONG/Chew Toys)</t>
        </is>
      </c>
      <c r="S1511" s="6" t="inlineStr">
        <is>
          <t>Cấp C Chi phí thấp: Nhắn tin trực tiếp qua Fanpage Facebook/Instagram + Nuôi dưỡng nội dung</t>
        </is>
      </c>
    </row>
    <row r="1512">
      <c r="A1512" s="59" t="n">
        <v>1500</v>
      </c>
      <c r="B1512" s="15" t="inlineStr">
        <is>
          <t>Gibson Lawn Care</t>
        </is>
      </c>
      <c r="C1512" s="60" t="inlineStr">
        <is>
          <t>https://www.facebook.com/profile.php?id=61570747320641</t>
        </is>
      </c>
      <c r="D1512" s="9" t="inlineStr">
        <is>
          <t>Cần quét Bio Fanpage</t>
        </is>
      </c>
      <c r="E1512" s="59" t="inlineStr">
        <is>
          <t>18/09/2026 12:15:42</t>
        </is>
      </c>
      <c r="F1512" s="59" t="inlineStr">
        <is>
          <t>3 tuần trước</t>
        </is>
      </c>
      <c r="G1512" s="61" t="n">
        <v>21</v>
      </c>
      <c r="H1512" s="62" t="n">
        <v>8</v>
      </c>
      <c r="I1512" s="9" t="inlineStr">
        <is>
          <t>Pet Boarding / Huấn luyện K9 &amp; Dịch vụ (20-22đ)</t>
        </is>
      </c>
      <c r="J1512" s="62" t="n">
        <v>22</v>
      </c>
      <c r="K1512" s="9" t="inlineStr">
        <is>
          <t>Chưa rõ giống (Cần quét Bio)</t>
        </is>
      </c>
      <c r="L1512" s="62" t="n">
        <v>0</v>
      </c>
      <c r="M1512" s="62" t="n">
        <v>5</v>
      </c>
      <c r="N1512" s="9" t="inlineStr">
        <is>
          <t>Amazon link not found</t>
        </is>
      </c>
      <c r="O1512" s="62">
        <f>IF(N1512="Selling pet toys + Artificial grass/Pet toilets (TARGET)",15,IF(N1512="Selling artificial grass/pet toilets (TARGET)",10,IF(N1512="Selling pet toys",7,IF(N1512="There's an Amazon link, but no target sales.",3,0))))</f>
        <v/>
      </c>
      <c r="P1512" s="67">
        <f>H1512+J1512+L1512+M1512+O1512</f>
        <v/>
      </c>
      <c r="Q1512" s="69">
        <f>IF(OR(H1512=0,P1512&lt;30),"Tier D (Đóng băng)",IF(P1512&gt;=85,"Tier S (Kim Cương: 85-100đ)",IF(P1512&gt;=70,"Tier A (Vàng: 70-84đ)",IF(P1512&gt;=61,"Tier B+ / Cấp A (Hot Lead: 61-69đ)",IF(P1512&gt;=50,"Tier B (Bạc: 50-60đ)","Tier C (Đồng: 30-49đ)")))))</f>
        <v/>
      </c>
      <c r="R1512" s="9" t="inlineStr">
        <is>
          <t>Cỏ nhân tạo sân chơi/huấn luyện (Dog Turf) + Đồ chơi nhai chịu lực (KONG/Chew Toys)</t>
        </is>
      </c>
      <c r="S1512" s="9" t="inlineStr">
        <is>
          <t>Cấp C Chi phí thấp: Nhắn tin trực tiếp qua Fanpage Facebook/Instagram + Nuôi dưỡng nội dung</t>
        </is>
      </c>
    </row>
    <row r="1513">
      <c r="A1513" s="53" t="n">
        <v>1605</v>
      </c>
      <c r="B1513" s="12" t="inlineStr">
        <is>
          <t>Happy Dog Groomers e-Academy</t>
        </is>
      </c>
      <c r="C1513" s="54" t="inlineStr">
        <is>
          <t>https://www.facebook.com/groomhappy</t>
        </is>
      </c>
      <c r="D1513" s="6" t="inlineStr">
        <is>
          <t>Cần quét Bio Fanpage</t>
        </is>
      </c>
      <c r="E1513" s="53" t="inlineStr">
        <is>
          <t>14/09/2026 17:45:31</t>
        </is>
      </c>
      <c r="F1513" s="53" t="inlineStr">
        <is>
          <t>4 tuần trước</t>
        </is>
      </c>
      <c r="G1513" s="55" t="n">
        <v>28</v>
      </c>
      <c r="H1513" s="56" t="n">
        <v>8</v>
      </c>
      <c r="I1513" s="6" t="inlineStr">
        <is>
          <t>Pet Boarding / Huấn luyện K9 &amp; Dịch vụ (20-22đ)</t>
        </is>
      </c>
      <c r="J1513" s="56" t="n">
        <v>22</v>
      </c>
      <c r="K1513" s="6" t="inlineStr">
        <is>
          <t>Chưa rõ giống (Cần quét Bio)</t>
        </is>
      </c>
      <c r="L1513" s="56" t="n">
        <v>0</v>
      </c>
      <c r="M1513" s="56" t="n">
        <v>5</v>
      </c>
      <c r="N1513" s="6" t="inlineStr">
        <is>
          <t>Amazon link not found</t>
        </is>
      </c>
      <c r="O1513" s="56">
        <f>IF(N1513="Selling pet toys + Artificial grass/Pet toilets (TARGET)",15,IF(N1513="Selling artificial grass/pet toilets (TARGET)",10,IF(N1513="Selling pet toys",7,IF(N1513="There's an Amazon link, but no target sales.",3,0))))</f>
        <v/>
      </c>
      <c r="P1513" s="65">
        <f>H1513+J1513+L1513+M1513+O1513</f>
        <v/>
      </c>
      <c r="Q1513" s="69">
        <f>IF(OR(H1513=0,P1513&lt;30),"Tier D (Đóng băng)",IF(P1513&gt;=85,"Tier S (Kim Cương: 85-100đ)",IF(P1513&gt;=70,"Tier A (Vàng: 70-84đ)",IF(P1513&gt;=61,"Tier B+ / Cấp A (Hot Lead: 61-69đ)",IF(P1513&gt;=50,"Tier B (Bạc: 50-60đ)","Tier C (Đồng: 30-49đ)")))))</f>
        <v/>
      </c>
      <c r="R1513" s="6" t="inlineStr">
        <is>
          <t>Cỏ nhân tạo sân chơi/huấn luyện (Dog Turf) + Đồ chơi nhai chịu lực (KONG/Chew Toys)</t>
        </is>
      </c>
      <c r="S1513" s="6" t="inlineStr">
        <is>
          <t>Cấp C Chi phí thấp: Nhắn tin trực tiếp qua Fanpage Facebook/Instagram + Nuôi dưỡng nội dung</t>
        </is>
      </c>
    </row>
    <row r="1514">
      <c r="A1514" s="59" t="n">
        <v>1907</v>
      </c>
      <c r="B1514" s="15" t="inlineStr">
        <is>
          <t>Kennel Team Zenta</t>
        </is>
      </c>
      <c r="C1514" s="60" t="inlineStr">
        <is>
          <t>https://www.facebook.com/profile.php?id=61582067104527</t>
        </is>
      </c>
      <c r="D1514" s="9" t="inlineStr">
        <is>
          <t>Cần quét Bio Fanpage</t>
        </is>
      </c>
      <c r="E1514" s="59" t="inlineStr">
        <is>
          <t>12/09/2026 03:11:30</t>
        </is>
      </c>
      <c r="F1514" s="59" t="inlineStr">
        <is>
          <t>1 tháng trước</t>
        </is>
      </c>
      <c r="G1514" s="61" t="n">
        <v>30</v>
      </c>
      <c r="H1514" s="62" t="n">
        <v>0</v>
      </c>
      <c r="I1514" s="9" t="inlineStr">
        <is>
          <t>Dog Breeder / Trại chó chuyên nghiệp (28-30đ)</t>
        </is>
      </c>
      <c r="J1514" s="62" t="n">
        <v>30</v>
      </c>
      <c r="K1514" s="9" t="inlineStr">
        <is>
          <t>Chưa rõ giống (Cần quét Bio)</t>
        </is>
      </c>
      <c r="L1514" s="62" t="n">
        <v>0</v>
      </c>
      <c r="M1514" s="62" t="n">
        <v>5</v>
      </c>
      <c r="N1514" s="9" t="inlineStr">
        <is>
          <t>Amazon link not found</t>
        </is>
      </c>
      <c r="O1514" s="62">
        <f>IF(N1514="Selling pet toys + Artificial grass/Pet toilets (TARGET)",15,IF(N1514="Selling artificial grass/pet toilets (TARGET)",10,IF(N1514="Selling pet toys",7,IF(N1514="There's an Amazon link, but no target sales.",3,0))))</f>
        <v/>
      </c>
      <c r="P1514" s="67">
        <f>H1514+J1514+L1514+M1514+O1514</f>
        <v/>
      </c>
      <c r="Q1514" s="68">
        <f>IF(OR(H1514=0,P1514&lt;30),"Tier D (Đóng băng)",IF(P1514&gt;=85,"Tier S (Kim Cương: 85-100đ)",IF(P1514&gt;=70,"Tier A (Vàng: 70-84đ)",IF(P1514&gt;=61,"Tier B+ / Cấp A (Hot Lead: 61-69đ)",IF(P1514&gt;=50,"Tier B (Bạc: 50-60đ)","Tier C (Đồng: 30-49đ)")))))</f>
        <v/>
      </c>
      <c r="R1514" s="9" t="inlineStr">
        <is>
          <t>Trọn gói Take-Home Starter Kit V2/V3 (Cỏ nhân tạo + Khay Potty + Đồ chơi Teething/Snuggle)</t>
        </is>
      </c>
      <c r="S1514" s="9" t="inlineStr">
        <is>
          <t>Đóng băng tương tác (&gt;30 ngày): Lưu trữ chờ kích hoạt lại, không tốn tài nguyên Sales</t>
        </is>
      </c>
    </row>
    <row r="1515">
      <c r="A1515" s="53" t="n">
        <v>1902</v>
      </c>
      <c r="B1515" s="12" t="inlineStr">
        <is>
          <t>Kennel Snaggletooth's</t>
        </is>
      </c>
      <c r="C1515" s="54" t="inlineStr">
        <is>
          <t>https://www.facebook.com/snaggletooths</t>
        </is>
      </c>
      <c r="D1515" s="6" t="inlineStr">
        <is>
          <t>Cần quét Bio Fanpage</t>
        </is>
      </c>
      <c r="E1515" s="53" t="inlineStr">
        <is>
          <t>11/09/2026 21:22:10</t>
        </is>
      </c>
      <c r="F1515" s="53" t="inlineStr">
        <is>
          <t>1 tháng trước</t>
        </is>
      </c>
      <c r="G1515" s="55" t="n">
        <v>30</v>
      </c>
      <c r="H1515" s="56" t="n">
        <v>0</v>
      </c>
      <c r="I1515" s="6" t="inlineStr">
        <is>
          <t>Dog Breeder / Trại chó chuyên nghiệp (28-30đ)</t>
        </is>
      </c>
      <c r="J1515" s="56" t="n">
        <v>30</v>
      </c>
      <c r="K1515" s="6" t="inlineStr">
        <is>
          <t>Chưa rõ giống (Cần quét Bio)</t>
        </is>
      </c>
      <c r="L1515" s="56" t="n">
        <v>0</v>
      </c>
      <c r="M1515" s="56" t="n">
        <v>5</v>
      </c>
      <c r="N1515" s="6" t="inlineStr">
        <is>
          <t>Amazon link not found</t>
        </is>
      </c>
      <c r="O1515" s="56">
        <f>IF(N1515="Selling pet toys + Artificial grass/Pet toilets (TARGET)",15,IF(N1515="Selling artificial grass/pet toilets (TARGET)",10,IF(N1515="Selling pet toys",7,IF(N1515="There's an Amazon link, but no target sales.",3,0))))</f>
        <v/>
      </c>
      <c r="P1515" s="65">
        <f>H1515+J1515+L1515+M1515+O1515</f>
        <v/>
      </c>
      <c r="Q1515" s="68">
        <f>IF(OR(H1515=0,P1515&lt;30),"Tier D (Đóng băng)",IF(P1515&gt;=85,"Tier S (Kim Cương: 85-100đ)",IF(P1515&gt;=70,"Tier A (Vàng: 70-84đ)",IF(P1515&gt;=61,"Tier B+ / Cấp A (Hot Lead: 61-69đ)",IF(P1515&gt;=50,"Tier B (Bạc: 50-60đ)","Tier C (Đồng: 30-49đ)")))))</f>
        <v/>
      </c>
      <c r="R1515" s="6" t="inlineStr">
        <is>
          <t>Trọn gói Take-Home Starter Kit V2/V3 (Cỏ nhân tạo + Khay Potty + Đồ chơi Teething/Snuggle)</t>
        </is>
      </c>
      <c r="S1515" s="6" t="inlineStr">
        <is>
          <t>Đóng băng tương tác (&gt;30 ngày): Lưu trữ chờ kích hoạt lại, không tốn tài nguyên Sales</t>
        </is>
      </c>
    </row>
    <row r="1516">
      <c r="A1516" s="59" t="n">
        <v>3043</v>
      </c>
      <c r="B1516" s="15" t="inlineStr">
        <is>
          <t>Sweet Pine Puppies</t>
        </is>
      </c>
      <c r="C1516" s="60" t="inlineStr">
        <is>
          <t>https://www.facebook.com/SweetPinePuppies</t>
        </is>
      </c>
      <c r="D1516" s="9" t="inlineStr">
        <is>
          <t>Cần quét Bio Fanpage</t>
        </is>
      </c>
      <c r="E1516" s="59" t="inlineStr">
        <is>
          <t>10/09/2026 23:22:10</t>
        </is>
      </c>
      <c r="F1516" s="59" t="inlineStr">
        <is>
          <t>1 tháng trước</t>
        </is>
      </c>
      <c r="G1516" s="61" t="n">
        <v>30</v>
      </c>
      <c r="H1516" s="62" t="n">
        <v>0</v>
      </c>
      <c r="I1516" s="9" t="inlineStr">
        <is>
          <t>Dog Breeder / Trại chó chuyên nghiệp (28-30đ)</t>
        </is>
      </c>
      <c r="J1516" s="62" t="n">
        <v>30</v>
      </c>
      <c r="K1516" s="9" t="inlineStr">
        <is>
          <t>Chưa rõ giống (Cần quét Bio)</t>
        </is>
      </c>
      <c r="L1516" s="62" t="n">
        <v>0</v>
      </c>
      <c r="M1516" s="62" t="n">
        <v>5</v>
      </c>
      <c r="N1516" s="9" t="inlineStr">
        <is>
          <t>Amazon link not found</t>
        </is>
      </c>
      <c r="O1516" s="62">
        <f>IF(N1516="Selling pet toys + Artificial grass/Pet toilets (TARGET)",15,IF(N1516="Selling artificial grass/pet toilets (TARGET)",10,IF(N1516="Selling pet toys",7,IF(N1516="There's an Amazon link, but no target sales.",3,0))))</f>
        <v/>
      </c>
      <c r="P1516" s="67">
        <f>H1516+J1516+L1516+M1516+O1516</f>
        <v/>
      </c>
      <c r="Q1516" s="68">
        <f>IF(OR(H1516=0,P1516&lt;30),"Tier D (Đóng băng)",IF(P1516&gt;=85,"Tier S (Kim Cương: 85-100đ)",IF(P1516&gt;=70,"Tier A (Vàng: 70-84đ)",IF(P1516&gt;=61,"Tier B+ / Cấp A (Hot Lead: 61-69đ)",IF(P1516&gt;=50,"Tier B (Bạc: 50-60đ)","Tier C (Đồng: 30-49đ)")))))</f>
        <v/>
      </c>
      <c r="R1516" s="9" t="inlineStr">
        <is>
          <t>Trọn gói Take-Home Starter Kit V2/V3 (Cỏ nhân tạo + Khay Potty + Đồ chơi Teething/Snuggle)</t>
        </is>
      </c>
      <c r="S1516" s="9" t="inlineStr">
        <is>
          <t>Đóng băng tương tác (&gt;30 ngày): Lưu trữ chờ kích hoạt lại, không tốn tài nguyên Sales</t>
        </is>
      </c>
    </row>
    <row r="1517">
      <c r="A1517" s="53" t="n">
        <v>968</v>
      </c>
      <c r="B1517" s="12" t="inlineStr">
        <is>
          <t>CrossFire Kennel</t>
        </is>
      </c>
      <c r="C1517" s="54" t="inlineStr">
        <is>
          <t>https://www.facebook.com/profile.php?id=100057169131571</t>
        </is>
      </c>
      <c r="D1517" s="6" t="inlineStr">
        <is>
          <t>Cần quét Bio Fanpage</t>
        </is>
      </c>
      <c r="E1517" s="53" t="inlineStr">
        <is>
          <t>06/09/2026 09:01:27</t>
        </is>
      </c>
      <c r="F1517" s="53" t="inlineStr">
        <is>
          <t>1 tháng trước</t>
        </is>
      </c>
      <c r="G1517" s="55" t="n">
        <v>30</v>
      </c>
      <c r="H1517" s="56" t="n">
        <v>0</v>
      </c>
      <c r="I1517" s="6" t="inlineStr">
        <is>
          <t>Dog Breeder / Trại chó chuyên nghiệp (28-30đ)</t>
        </is>
      </c>
      <c r="J1517" s="56" t="n">
        <v>30</v>
      </c>
      <c r="K1517" s="6" t="inlineStr">
        <is>
          <t>Chưa rõ giống (Cần quét Bio)</t>
        </is>
      </c>
      <c r="L1517" s="56" t="n">
        <v>0</v>
      </c>
      <c r="M1517" s="56" t="n">
        <v>5</v>
      </c>
      <c r="N1517" s="6" t="inlineStr">
        <is>
          <t>Amazon link not found</t>
        </is>
      </c>
      <c r="O1517" s="56">
        <f>IF(N1517="Selling pet toys + Artificial grass/Pet toilets (TARGET)",15,IF(N1517="Selling artificial grass/pet toilets (TARGET)",10,IF(N1517="Selling pet toys",7,IF(N1517="There's an Amazon link, but no target sales.",3,0))))</f>
        <v/>
      </c>
      <c r="P1517" s="65">
        <f>H1517+J1517+L1517+M1517+O1517</f>
        <v/>
      </c>
      <c r="Q1517" s="68">
        <f>IF(OR(H1517=0,P1517&lt;30),"Tier D (Đóng băng)",IF(P1517&gt;=85,"Tier S (Kim Cương: 85-100đ)",IF(P1517&gt;=70,"Tier A (Vàng: 70-84đ)",IF(P1517&gt;=61,"Tier B+ / Cấp A (Hot Lead: 61-69đ)",IF(P1517&gt;=50,"Tier B (Bạc: 50-60đ)","Tier C (Đồng: 30-49đ)")))))</f>
        <v/>
      </c>
      <c r="R1517" s="6" t="inlineStr">
        <is>
          <t>Trọn gói Take-Home Starter Kit V2/V3 (Cỏ nhân tạo + Khay Potty + Đồ chơi Teething/Snuggle)</t>
        </is>
      </c>
      <c r="S1517" s="6" t="inlineStr">
        <is>
          <t>Đóng băng tương tác (&gt;30 ngày): Lưu trữ chờ kích hoạt lại, không tốn tài nguyên Sales</t>
        </is>
      </c>
    </row>
    <row r="1518">
      <c r="A1518" s="59" t="n">
        <v>3025</v>
      </c>
      <c r="B1518" s="15" t="inlineStr">
        <is>
          <t>Sunshinelabs Kennels</t>
        </is>
      </c>
      <c r="C1518" s="60" t="inlineStr">
        <is>
          <t>https://www.facebook.com/profile.php?id=100064975391834</t>
        </is>
      </c>
      <c r="D1518" s="9" t="inlineStr">
        <is>
          <t>Cần quét Bio Fanpage</t>
        </is>
      </c>
      <c r="E1518" s="59" t="inlineStr">
        <is>
          <t>06/09/2026 07:36:35</t>
        </is>
      </c>
      <c r="F1518" s="59" t="inlineStr">
        <is>
          <t>1 tháng trước</t>
        </is>
      </c>
      <c r="G1518" s="61" t="n">
        <v>30</v>
      </c>
      <c r="H1518" s="62" t="n">
        <v>0</v>
      </c>
      <c r="I1518" s="9" t="inlineStr">
        <is>
          <t>Dog Breeder / Trại chó chuyên nghiệp (28-30đ)</t>
        </is>
      </c>
      <c r="J1518" s="62" t="n">
        <v>30</v>
      </c>
      <c r="K1518" s="9" t="inlineStr">
        <is>
          <t>Chưa rõ giống (Cần quét Bio)</t>
        </is>
      </c>
      <c r="L1518" s="62" t="n">
        <v>0</v>
      </c>
      <c r="M1518" s="62" t="n">
        <v>5</v>
      </c>
      <c r="N1518" s="9" t="inlineStr">
        <is>
          <t>Amazon link not found</t>
        </is>
      </c>
      <c r="O1518" s="62">
        <f>IF(N1518="Selling pet toys + Artificial grass/Pet toilets (TARGET)",15,IF(N1518="Selling artificial grass/pet toilets (TARGET)",10,IF(N1518="Selling pet toys",7,IF(N1518="There's an Amazon link, but no target sales.",3,0))))</f>
        <v/>
      </c>
      <c r="P1518" s="67">
        <f>H1518+J1518+L1518+M1518+O1518</f>
        <v/>
      </c>
      <c r="Q1518" s="68">
        <f>IF(OR(H1518=0,P1518&lt;30),"Tier D (Đóng băng)",IF(P1518&gt;=85,"Tier S (Kim Cương: 85-100đ)",IF(P1518&gt;=70,"Tier A (Vàng: 70-84đ)",IF(P1518&gt;=61,"Tier B+ / Cấp A (Hot Lead: 61-69đ)",IF(P1518&gt;=50,"Tier B (Bạc: 50-60đ)","Tier C (Đồng: 30-49đ)")))))</f>
        <v/>
      </c>
      <c r="R1518" s="9" t="inlineStr">
        <is>
          <t>Trọn gói Take-Home Starter Kit V2/V3 (Cỏ nhân tạo + Khay Potty + Đồ chơi Teething/Snuggle)</t>
        </is>
      </c>
      <c r="S1518" s="9" t="inlineStr">
        <is>
          <t>Đóng băng tương tác (&gt;30 ngày): Lưu trữ chờ kích hoạt lại, không tốn tài nguyên Sales</t>
        </is>
      </c>
    </row>
    <row r="1519">
      <c r="A1519" s="53" t="n">
        <v>2613</v>
      </c>
      <c r="B1519" s="12" t="inlineStr">
        <is>
          <t>Prairie Loved Puppies</t>
        </is>
      </c>
      <c r="C1519" s="54" t="inlineStr">
        <is>
          <t>https://www.facebook.com/profile.php?id=100063475899275</t>
        </is>
      </c>
      <c r="D1519" s="6" t="inlineStr">
        <is>
          <t>Cần quét Bio Fanpage</t>
        </is>
      </c>
      <c r="E1519" s="53" t="inlineStr">
        <is>
          <t>05/09/2026 03:18:29</t>
        </is>
      </c>
      <c r="F1519" s="53" t="inlineStr">
        <is>
          <t>1 tháng trước</t>
        </is>
      </c>
      <c r="G1519" s="55" t="n">
        <v>30</v>
      </c>
      <c r="H1519" s="56" t="n">
        <v>0</v>
      </c>
      <c r="I1519" s="6" t="inlineStr">
        <is>
          <t>Dog Breeder / Trại chó chuyên nghiệp (28-30đ)</t>
        </is>
      </c>
      <c r="J1519" s="56" t="n">
        <v>30</v>
      </c>
      <c r="K1519" s="6" t="inlineStr">
        <is>
          <t>Chưa rõ giống (Cần quét Bio)</t>
        </is>
      </c>
      <c r="L1519" s="56" t="n">
        <v>0</v>
      </c>
      <c r="M1519" s="56" t="n">
        <v>5</v>
      </c>
      <c r="N1519" s="6" t="inlineStr">
        <is>
          <t>Amazon link not found</t>
        </is>
      </c>
      <c r="O1519" s="56">
        <f>IF(N1519="Selling pet toys + Artificial grass/Pet toilets (TARGET)",15,IF(N1519="Selling artificial grass/pet toilets (TARGET)",10,IF(N1519="Selling pet toys",7,IF(N1519="There's an Amazon link, but no target sales.",3,0))))</f>
        <v/>
      </c>
      <c r="P1519" s="65">
        <f>H1519+J1519+L1519+M1519+O1519</f>
        <v/>
      </c>
      <c r="Q1519" s="68">
        <f>IF(OR(H1519=0,P1519&lt;30),"Tier D (Đóng băng)",IF(P1519&gt;=85,"Tier S (Kim Cương: 85-100đ)",IF(P1519&gt;=70,"Tier A (Vàng: 70-84đ)",IF(P1519&gt;=61,"Tier B+ / Cấp A (Hot Lead: 61-69đ)",IF(P1519&gt;=50,"Tier B (Bạc: 50-60đ)","Tier C (Đồng: 30-49đ)")))))</f>
        <v/>
      </c>
      <c r="R1519" s="6" t="inlineStr">
        <is>
          <t>Trọn gói Take-Home Starter Kit V2/V3 (Cỏ nhân tạo + Khay Potty + Đồ chơi Teething/Snuggle)</t>
        </is>
      </c>
      <c r="S1519" s="6" t="inlineStr">
        <is>
          <t>Đóng băng tương tác (&gt;30 ngày): Lưu trữ chờ kích hoạt lại, không tốn tài nguyên Sales</t>
        </is>
      </c>
    </row>
    <row r="1520">
      <c r="A1520" s="59" t="n">
        <v>1023</v>
      </c>
      <c r="B1520" s="15" t="inlineStr">
        <is>
          <t>Dentis kennel</t>
        </is>
      </c>
      <c r="C1520" s="60" t="inlineStr">
        <is>
          <t>https://www.facebook.com/profile.php?id=100077338486981</t>
        </is>
      </c>
      <c r="D1520" s="9" t="inlineStr">
        <is>
          <t>Cần quét Bio Fanpage</t>
        </is>
      </c>
      <c r="E1520" s="59" t="inlineStr">
        <is>
          <t>04/09/2026 03:46:39</t>
        </is>
      </c>
      <c r="F1520" s="59" t="inlineStr">
        <is>
          <t>1 tháng trước</t>
        </is>
      </c>
      <c r="G1520" s="61" t="n">
        <v>30</v>
      </c>
      <c r="H1520" s="62" t="n">
        <v>0</v>
      </c>
      <c r="I1520" s="9" t="inlineStr">
        <is>
          <t>Dog Breeder / Trại chó chuyên nghiệp (28-30đ)</t>
        </is>
      </c>
      <c r="J1520" s="62" t="n">
        <v>30</v>
      </c>
      <c r="K1520" s="9" t="inlineStr">
        <is>
          <t>Chưa rõ giống (Cần quét Bio)</t>
        </is>
      </c>
      <c r="L1520" s="62" t="n">
        <v>0</v>
      </c>
      <c r="M1520" s="62" t="n">
        <v>5</v>
      </c>
      <c r="N1520" s="9" t="inlineStr">
        <is>
          <t>Amazon link not found</t>
        </is>
      </c>
      <c r="O1520" s="62">
        <f>IF(N1520="Selling pet toys + Artificial grass/Pet toilets (TARGET)",15,IF(N1520="Selling artificial grass/pet toilets (TARGET)",10,IF(N1520="Selling pet toys",7,IF(N1520="There's an Amazon link, but no target sales.",3,0))))</f>
        <v/>
      </c>
      <c r="P1520" s="67">
        <f>H1520+J1520+L1520+M1520+O1520</f>
        <v/>
      </c>
      <c r="Q1520" s="68">
        <f>IF(OR(H1520=0,P1520&lt;30),"Tier D (Đóng băng)",IF(P1520&gt;=85,"Tier S (Kim Cương: 85-100đ)",IF(P1520&gt;=70,"Tier A (Vàng: 70-84đ)",IF(P1520&gt;=61,"Tier B+ / Cấp A (Hot Lead: 61-69đ)",IF(P1520&gt;=50,"Tier B (Bạc: 50-60đ)","Tier C (Đồng: 30-49đ)")))))</f>
        <v/>
      </c>
      <c r="R1520" s="9" t="inlineStr">
        <is>
          <t>Trọn gói Take-Home Starter Kit V2/V3 (Cỏ nhân tạo + Khay Potty + Đồ chơi Teething/Snuggle)</t>
        </is>
      </c>
      <c r="S1520" s="9" t="inlineStr">
        <is>
          <t>Đóng băng tương tác (&gt;30 ngày): Lưu trữ chờ kích hoạt lại, không tốn tài nguyên Sales</t>
        </is>
      </c>
    </row>
    <row r="1521">
      <c r="A1521" s="53" t="n">
        <v>1538</v>
      </c>
      <c r="B1521" s="12" t="inlineStr">
        <is>
          <t>Grafika dla hodowców - Graphics for Dog Breeders</t>
        </is>
      </c>
      <c r="C1521" s="54" t="inlineStr">
        <is>
          <t>https://www.facebook.com/grafika.psy</t>
        </is>
      </c>
      <c r="D1521" s="6" t="inlineStr">
        <is>
          <t>Cần quét Bio Fanpage</t>
        </is>
      </c>
      <c r="E1521" s="53" t="inlineStr">
        <is>
          <t>02/09/2026 21:56:45</t>
        </is>
      </c>
      <c r="F1521" s="53" t="inlineStr">
        <is>
          <t>1 tháng trước</t>
        </is>
      </c>
      <c r="G1521" s="55" t="n">
        <v>30</v>
      </c>
      <c r="H1521" s="56" t="n">
        <v>0</v>
      </c>
      <c r="I1521" s="6" t="inlineStr">
        <is>
          <t>Dog Breeder / Trại chó chuyên nghiệp (28-30đ)</t>
        </is>
      </c>
      <c r="J1521" s="56" t="n">
        <v>30</v>
      </c>
      <c r="K1521" s="6" t="inlineStr">
        <is>
          <t>Chưa rõ giống (Cần quét Bio)</t>
        </is>
      </c>
      <c r="L1521" s="56" t="n">
        <v>0</v>
      </c>
      <c r="M1521" s="56" t="n">
        <v>5</v>
      </c>
      <c r="N1521" s="6" t="inlineStr">
        <is>
          <t>Amazon link not found</t>
        </is>
      </c>
      <c r="O1521" s="56">
        <f>IF(N1521="Selling pet toys + Artificial grass/Pet toilets (TARGET)",15,IF(N1521="Selling artificial grass/pet toilets (TARGET)",10,IF(N1521="Selling pet toys",7,IF(N1521="There's an Amazon link, but no target sales.",3,0))))</f>
        <v/>
      </c>
      <c r="P1521" s="65">
        <f>H1521+J1521+L1521+M1521+O1521</f>
        <v/>
      </c>
      <c r="Q1521" s="68">
        <f>IF(OR(H1521=0,P1521&lt;30),"Tier D (Đóng băng)",IF(P1521&gt;=85,"Tier S (Kim Cương: 85-100đ)",IF(P1521&gt;=70,"Tier A (Vàng: 70-84đ)",IF(P1521&gt;=61,"Tier B+ / Cấp A (Hot Lead: 61-69đ)",IF(P1521&gt;=50,"Tier B (Bạc: 50-60đ)","Tier C (Đồng: 30-49đ)")))))</f>
        <v/>
      </c>
      <c r="R1521" s="6" t="inlineStr">
        <is>
          <t>Trọn gói Take-Home Starter Kit V2/V3 (Cỏ nhân tạo + Khay Potty + Đồ chơi Teething/Snuggle)</t>
        </is>
      </c>
      <c r="S1521" s="6" t="inlineStr">
        <is>
          <t>Đóng băng tương tác (&gt;30 ngày): Lưu trữ chờ kích hoạt lại, không tốn tài nguyên Sales</t>
        </is>
      </c>
    </row>
    <row r="1522">
      <c r="A1522" s="59" t="n">
        <v>1896</v>
      </c>
      <c r="B1522" s="15" t="inlineStr">
        <is>
          <t>Kennel Opalina</t>
        </is>
      </c>
      <c r="C1522" s="60" t="inlineStr">
        <is>
          <t>https://www.facebook.com/kennel.opalina</t>
        </is>
      </c>
      <c r="D1522" s="9" t="inlineStr">
        <is>
          <t>Cần quét Bio Fanpage</t>
        </is>
      </c>
      <c r="E1522" s="59" t="inlineStr">
        <is>
          <t>02/09/2026 16:20:38</t>
        </is>
      </c>
      <c r="F1522" s="59" t="inlineStr">
        <is>
          <t>1 tháng trước</t>
        </is>
      </c>
      <c r="G1522" s="61" t="n">
        <v>30</v>
      </c>
      <c r="H1522" s="62" t="n">
        <v>0</v>
      </c>
      <c r="I1522" s="9" t="inlineStr">
        <is>
          <t>Dog Breeder / Trại chó chuyên nghiệp (28-30đ)</t>
        </is>
      </c>
      <c r="J1522" s="62" t="n">
        <v>30</v>
      </c>
      <c r="K1522" s="9" t="inlineStr">
        <is>
          <t>Chưa rõ giống (Cần quét Bio)</t>
        </is>
      </c>
      <c r="L1522" s="62" t="n">
        <v>0</v>
      </c>
      <c r="M1522" s="62" t="n">
        <v>5</v>
      </c>
      <c r="N1522" s="9" t="inlineStr">
        <is>
          <t>Amazon link not found</t>
        </is>
      </c>
      <c r="O1522" s="62">
        <f>IF(N1522="Selling pet toys + Artificial grass/Pet toilets (TARGET)",15,IF(N1522="Selling artificial grass/pet toilets (TARGET)",10,IF(N1522="Selling pet toys",7,IF(N1522="There's an Amazon link, but no target sales.",3,0))))</f>
        <v/>
      </c>
      <c r="P1522" s="67">
        <f>H1522+J1522+L1522+M1522+O1522</f>
        <v/>
      </c>
      <c r="Q1522" s="68">
        <f>IF(OR(H1522=0,P1522&lt;30),"Tier D (Đóng băng)",IF(P1522&gt;=85,"Tier S (Kim Cương: 85-100đ)",IF(P1522&gt;=70,"Tier A (Vàng: 70-84đ)",IF(P1522&gt;=61,"Tier B+ / Cấp A (Hot Lead: 61-69đ)",IF(P1522&gt;=50,"Tier B (Bạc: 50-60đ)","Tier C (Đồng: 30-49đ)")))))</f>
        <v/>
      </c>
      <c r="R1522" s="9" t="inlineStr">
        <is>
          <t>Trọn gói Take-Home Starter Kit V2/V3 (Cỏ nhân tạo + Khay Potty + Đồ chơi Teething/Snuggle)</t>
        </is>
      </c>
      <c r="S1522" s="9" t="inlineStr">
        <is>
          <t>Đóng băng tương tác (&gt;30 ngày): Lưu trữ chờ kích hoạt lại, không tốn tài nguyên Sales</t>
        </is>
      </c>
    </row>
    <row r="1523">
      <c r="A1523" s="53" t="n">
        <v>1912</v>
      </c>
      <c r="B1523" s="12" t="inlineStr">
        <is>
          <t>Kennel Whistledown</t>
        </is>
      </c>
      <c r="C1523" s="54" t="inlineStr">
        <is>
          <t>https://www.facebook.com/KennelWhistledown</t>
        </is>
      </c>
      <c r="D1523" s="6" t="inlineStr">
        <is>
          <t>Cần quét Bio Fanpage</t>
        </is>
      </c>
      <c r="E1523" s="53" t="inlineStr">
        <is>
          <t>02/09/2026 14:22:30</t>
        </is>
      </c>
      <c r="F1523" s="53" t="inlineStr">
        <is>
          <t>1 tháng trước</t>
        </is>
      </c>
      <c r="G1523" s="55" t="n">
        <v>30</v>
      </c>
      <c r="H1523" s="56" t="n">
        <v>0</v>
      </c>
      <c r="I1523" s="6" t="inlineStr">
        <is>
          <t>Dog Breeder / Trại chó chuyên nghiệp (28-30đ)</t>
        </is>
      </c>
      <c r="J1523" s="56" t="n">
        <v>30</v>
      </c>
      <c r="K1523" s="6" t="inlineStr">
        <is>
          <t>Chưa rõ giống (Cần quét Bio)</t>
        </is>
      </c>
      <c r="L1523" s="56" t="n">
        <v>0</v>
      </c>
      <c r="M1523" s="56" t="n">
        <v>5</v>
      </c>
      <c r="N1523" s="6" t="inlineStr">
        <is>
          <t>Amazon link not found</t>
        </is>
      </c>
      <c r="O1523" s="56">
        <f>IF(N1523="Selling pet toys + Artificial grass/Pet toilets (TARGET)",15,IF(N1523="Selling artificial grass/pet toilets (TARGET)",10,IF(N1523="Selling pet toys",7,IF(N1523="There's an Amazon link, but no target sales.",3,0))))</f>
        <v/>
      </c>
      <c r="P1523" s="65">
        <f>H1523+J1523+L1523+M1523+O1523</f>
        <v/>
      </c>
      <c r="Q1523" s="68">
        <f>IF(OR(H1523=0,P1523&lt;30),"Tier D (Đóng băng)",IF(P1523&gt;=85,"Tier S (Kim Cương: 85-100đ)",IF(P1523&gt;=70,"Tier A (Vàng: 70-84đ)",IF(P1523&gt;=61,"Tier B+ / Cấp A (Hot Lead: 61-69đ)",IF(P1523&gt;=50,"Tier B (Bạc: 50-60đ)","Tier C (Đồng: 30-49đ)")))))</f>
        <v/>
      </c>
      <c r="R1523" s="6" t="inlineStr">
        <is>
          <t>Trọn gói Take-Home Starter Kit V2/V3 (Cỏ nhân tạo + Khay Potty + Đồ chơi Teething/Snuggle)</t>
        </is>
      </c>
      <c r="S1523" s="6" t="inlineStr">
        <is>
          <t>Đóng băng tương tác (&gt;30 ngày): Lưu trữ chờ kích hoạt lại, không tốn tài nguyên Sales</t>
        </is>
      </c>
    </row>
    <row r="1524">
      <c r="A1524" s="59" t="n">
        <v>3332</v>
      </c>
      <c r="B1524" s="15" t="inlineStr">
        <is>
          <t>Visgard Kennels</t>
        </is>
      </c>
      <c r="C1524" s="60" t="inlineStr">
        <is>
          <t>https://www.facebook.com/profile.php?id=61574732826847</t>
        </is>
      </c>
      <c r="D1524" s="9" t="inlineStr">
        <is>
          <t>Cần quét Bio Fanpage</t>
        </is>
      </c>
      <c r="E1524" s="59" t="inlineStr">
        <is>
          <t>01/09/2026 18:40:20</t>
        </is>
      </c>
      <c r="F1524" s="59" t="inlineStr">
        <is>
          <t>1 tháng trước</t>
        </is>
      </c>
      <c r="G1524" s="61" t="n">
        <v>30</v>
      </c>
      <c r="H1524" s="62" t="n">
        <v>0</v>
      </c>
      <c r="I1524" s="9" t="inlineStr">
        <is>
          <t>Dog Breeder / Trại chó chuyên nghiệp (28-30đ)</t>
        </is>
      </c>
      <c r="J1524" s="62" t="n">
        <v>30</v>
      </c>
      <c r="K1524" s="9" t="inlineStr">
        <is>
          <t>Chưa rõ giống (Cần quét Bio)</t>
        </is>
      </c>
      <c r="L1524" s="62" t="n">
        <v>0</v>
      </c>
      <c r="M1524" s="62" t="n">
        <v>5</v>
      </c>
      <c r="N1524" s="9" t="inlineStr">
        <is>
          <t>Amazon link not found</t>
        </is>
      </c>
      <c r="O1524" s="62">
        <f>IF(N1524="Selling pet toys + Artificial grass/Pet toilets (TARGET)",15,IF(N1524="Selling artificial grass/pet toilets (TARGET)",10,IF(N1524="Selling pet toys",7,IF(N1524="There's an Amazon link, but no target sales.",3,0))))</f>
        <v/>
      </c>
      <c r="P1524" s="67">
        <f>H1524+J1524+L1524+M1524+O1524</f>
        <v/>
      </c>
      <c r="Q1524" s="68">
        <f>IF(OR(H1524=0,P1524&lt;30),"Tier D (Đóng băng)",IF(P1524&gt;=85,"Tier S (Kim Cương: 85-100đ)",IF(P1524&gt;=70,"Tier A (Vàng: 70-84đ)",IF(P1524&gt;=61,"Tier B+ / Cấp A (Hot Lead: 61-69đ)",IF(P1524&gt;=50,"Tier B (Bạc: 50-60đ)","Tier C (Đồng: 30-49đ)")))))</f>
        <v/>
      </c>
      <c r="R1524" s="9" t="inlineStr">
        <is>
          <t>Trọn gói Take-Home Starter Kit V2/V3 (Cỏ nhân tạo + Khay Potty + Đồ chơi Teething/Snuggle)</t>
        </is>
      </c>
      <c r="S1524" s="9" t="inlineStr">
        <is>
          <t>Đóng băng tương tác (&gt;30 ngày): Lưu trữ chờ kích hoạt lại, không tốn tài nguyên Sales</t>
        </is>
      </c>
    </row>
    <row r="1525">
      <c r="A1525" s="53" t="n">
        <v>2577</v>
      </c>
      <c r="B1525" s="12" t="inlineStr">
        <is>
          <t>Pinecliff Kennels</t>
        </is>
      </c>
      <c r="C1525" s="54" t="inlineStr">
        <is>
          <t>https://www.facebook.com/pinecliffclumbers</t>
        </is>
      </c>
      <c r="D1525" s="6" t="inlineStr">
        <is>
          <t>Cần quét Bio Fanpage</t>
        </is>
      </c>
      <c r="E1525" s="53" t="inlineStr">
        <is>
          <t>31/08/2026 12:00:05</t>
        </is>
      </c>
      <c r="F1525" s="53" t="inlineStr">
        <is>
          <t>1 tháng trước</t>
        </is>
      </c>
      <c r="G1525" s="55" t="n">
        <v>30</v>
      </c>
      <c r="H1525" s="56" t="n">
        <v>0</v>
      </c>
      <c r="I1525" s="6" t="inlineStr">
        <is>
          <t>Dog Breeder / Trại chó chuyên nghiệp (28-30đ)</t>
        </is>
      </c>
      <c r="J1525" s="56" t="n">
        <v>30</v>
      </c>
      <c r="K1525" s="6" t="inlineStr">
        <is>
          <t>Chưa rõ giống (Cần quét Bio)</t>
        </is>
      </c>
      <c r="L1525" s="56" t="n">
        <v>0</v>
      </c>
      <c r="M1525" s="56" t="n">
        <v>5</v>
      </c>
      <c r="N1525" s="6" t="inlineStr">
        <is>
          <t>Amazon link not found</t>
        </is>
      </c>
      <c r="O1525" s="56">
        <f>IF(N1525="Selling pet toys + Artificial grass/Pet toilets (TARGET)",15,IF(N1525="Selling artificial grass/pet toilets (TARGET)",10,IF(N1525="Selling pet toys",7,IF(N1525="There's an Amazon link, but no target sales.",3,0))))</f>
        <v/>
      </c>
      <c r="P1525" s="65">
        <f>H1525+J1525+L1525+M1525+O1525</f>
        <v/>
      </c>
      <c r="Q1525" s="68">
        <f>IF(OR(H1525=0,P1525&lt;30),"Tier D (Đóng băng)",IF(P1525&gt;=85,"Tier S (Kim Cương: 85-100đ)",IF(P1525&gt;=70,"Tier A (Vàng: 70-84đ)",IF(P1525&gt;=61,"Tier B+ / Cấp A (Hot Lead: 61-69đ)",IF(P1525&gt;=50,"Tier B (Bạc: 50-60đ)","Tier C (Đồng: 30-49đ)")))))</f>
        <v/>
      </c>
      <c r="R1525" s="6" t="inlineStr">
        <is>
          <t>Trọn gói Take-Home Starter Kit V2/V3 (Cỏ nhân tạo + Khay Potty + Đồ chơi Teething/Snuggle)</t>
        </is>
      </c>
      <c r="S1525" s="6" t="inlineStr">
        <is>
          <t>Đóng băng tương tác (&gt;30 ngày): Lưu trữ chờ kích hoạt lại, không tốn tài nguyên Sales</t>
        </is>
      </c>
    </row>
    <row r="1526">
      <c r="A1526" s="59" t="n">
        <v>1681</v>
      </c>
      <c r="B1526" s="15" t="inlineStr">
        <is>
          <t>Honor Point Kennels</t>
        </is>
      </c>
      <c r="C1526" s="60" t="inlineStr">
        <is>
          <t>https://www.facebook.com/honorpointkennels</t>
        </is>
      </c>
      <c r="D1526" s="9" t="inlineStr">
        <is>
          <t>Cần quét Bio Fanpage</t>
        </is>
      </c>
      <c r="E1526" s="59" t="inlineStr">
        <is>
          <t>23/08/2026 21:10:58</t>
        </is>
      </c>
      <c r="F1526" s="59" t="inlineStr">
        <is>
          <t>1 tháng trước</t>
        </is>
      </c>
      <c r="G1526" s="61" t="n">
        <v>30</v>
      </c>
      <c r="H1526" s="62" t="n">
        <v>0</v>
      </c>
      <c r="I1526" s="9" t="inlineStr">
        <is>
          <t>Dog Breeder / Trại chó chuyên nghiệp (28-30đ)</t>
        </is>
      </c>
      <c r="J1526" s="62" t="n">
        <v>30</v>
      </c>
      <c r="K1526" s="9" t="inlineStr">
        <is>
          <t>Chưa rõ giống (Cần quét Bio)</t>
        </is>
      </c>
      <c r="L1526" s="62" t="n">
        <v>0</v>
      </c>
      <c r="M1526" s="62" t="n">
        <v>5</v>
      </c>
      <c r="N1526" s="9" t="inlineStr">
        <is>
          <t>Amazon link not found</t>
        </is>
      </c>
      <c r="O1526" s="62">
        <f>IF(N1526="Selling pet toys + Artificial grass/Pet toilets (TARGET)",15,IF(N1526="Selling artificial grass/pet toilets (TARGET)",10,IF(N1526="Selling pet toys",7,IF(N1526="There's an Amazon link, but no target sales.",3,0))))</f>
        <v/>
      </c>
      <c r="P1526" s="67">
        <f>H1526+J1526+L1526+M1526+O1526</f>
        <v/>
      </c>
      <c r="Q1526" s="68">
        <f>IF(OR(H1526=0,P1526&lt;30),"Tier D (Đóng băng)",IF(P1526&gt;=85,"Tier S (Kim Cương: 85-100đ)",IF(P1526&gt;=70,"Tier A (Vàng: 70-84đ)",IF(P1526&gt;=61,"Tier B+ / Cấp A (Hot Lead: 61-69đ)",IF(P1526&gt;=50,"Tier B (Bạc: 50-60đ)","Tier C (Đồng: 30-49đ)")))))</f>
        <v/>
      </c>
      <c r="R1526" s="9" t="inlineStr">
        <is>
          <t>Trọn gói Take-Home Starter Kit V2/V3 (Cỏ nhân tạo + Khay Potty + Đồ chơi Teething/Snuggle)</t>
        </is>
      </c>
      <c r="S1526" s="9" t="inlineStr">
        <is>
          <t>Đóng băng tương tác (&gt;30 ngày): Lưu trữ chờ kích hoạt lại, không tốn tài nguyên Sales</t>
        </is>
      </c>
    </row>
    <row r="1527">
      <c r="A1527" s="53" t="n">
        <v>2114</v>
      </c>
      <c r="B1527" s="12" t="inlineStr">
        <is>
          <t>Mamonova’s Kennel II</t>
        </is>
      </c>
      <c r="C1527" s="54" t="inlineStr">
        <is>
          <t>https://www.facebook.com/profile.php?id=100093950252877</t>
        </is>
      </c>
      <c r="D1527" s="6" t="inlineStr">
        <is>
          <t>Cần quét Bio Fanpage</t>
        </is>
      </c>
      <c r="E1527" s="53" t="inlineStr">
        <is>
          <t>20/08/2026 21:39:50</t>
        </is>
      </c>
      <c r="F1527" s="53" t="inlineStr">
        <is>
          <t>1 tháng trước</t>
        </is>
      </c>
      <c r="G1527" s="55" t="n">
        <v>30</v>
      </c>
      <c r="H1527" s="56" t="n">
        <v>0</v>
      </c>
      <c r="I1527" s="6" t="inlineStr">
        <is>
          <t>Dog Breeder / Trại chó chuyên nghiệp (28-30đ)</t>
        </is>
      </c>
      <c r="J1527" s="56" t="n">
        <v>30</v>
      </c>
      <c r="K1527" s="6" t="inlineStr">
        <is>
          <t>Chưa rõ giống (Cần quét Bio)</t>
        </is>
      </c>
      <c r="L1527" s="56" t="n">
        <v>0</v>
      </c>
      <c r="M1527" s="56" t="n">
        <v>5</v>
      </c>
      <c r="N1527" s="6" t="inlineStr">
        <is>
          <t>Amazon link not found</t>
        </is>
      </c>
      <c r="O1527" s="56">
        <f>IF(N1527="Selling pet toys + Artificial grass/Pet toilets (TARGET)",15,IF(N1527="Selling artificial grass/pet toilets (TARGET)",10,IF(N1527="Selling pet toys",7,IF(N1527="There's an Amazon link, but no target sales.",3,0))))</f>
        <v/>
      </c>
      <c r="P1527" s="65">
        <f>H1527+J1527+L1527+M1527+O1527</f>
        <v/>
      </c>
      <c r="Q1527" s="68">
        <f>IF(OR(H1527=0,P1527&lt;30),"Tier D (Đóng băng)",IF(P1527&gt;=85,"Tier S (Kim Cương: 85-100đ)",IF(P1527&gt;=70,"Tier A (Vàng: 70-84đ)",IF(P1527&gt;=61,"Tier B+ / Cấp A (Hot Lead: 61-69đ)",IF(P1527&gt;=50,"Tier B (Bạc: 50-60đ)","Tier C (Đồng: 30-49đ)")))))</f>
        <v/>
      </c>
      <c r="R1527" s="6" t="inlineStr">
        <is>
          <t>Trọn gói Take-Home Starter Kit V2/V3 (Cỏ nhân tạo + Khay Potty + Đồ chơi Teething/Snuggle)</t>
        </is>
      </c>
      <c r="S1527" s="6" t="inlineStr">
        <is>
          <t>Đóng băng tương tác (&gt;30 ngày): Lưu trữ chờ kích hoạt lại, không tốn tài nguyên Sales</t>
        </is>
      </c>
    </row>
    <row r="1528">
      <c r="A1528" s="59" t="n">
        <v>1141</v>
      </c>
      <c r="B1528" s="15" t="inlineStr">
        <is>
          <t>Doglyfe Ke Kennels</t>
        </is>
      </c>
      <c r="C1528" s="60" t="inlineStr">
        <is>
          <t>https://www.facebook.com/doglyfe.ke.kennels</t>
        </is>
      </c>
      <c r="D1528" s="9" t="inlineStr">
        <is>
          <t>Cần quét Bio Fanpage</t>
        </is>
      </c>
      <c r="E1528" s="59" t="inlineStr">
        <is>
          <t>18/08/2026 19:00:39</t>
        </is>
      </c>
      <c r="F1528" s="59" t="inlineStr">
        <is>
          <t>1 tháng trước</t>
        </is>
      </c>
      <c r="G1528" s="61" t="n">
        <v>30</v>
      </c>
      <c r="H1528" s="62" t="n">
        <v>0</v>
      </c>
      <c r="I1528" s="9" t="inlineStr">
        <is>
          <t>Dog Breeder / Trại chó chuyên nghiệp (28-30đ)</t>
        </is>
      </c>
      <c r="J1528" s="62" t="n">
        <v>30</v>
      </c>
      <c r="K1528" s="9" t="inlineStr">
        <is>
          <t>Chưa rõ giống (Cần quét Bio)</t>
        </is>
      </c>
      <c r="L1528" s="62" t="n">
        <v>0</v>
      </c>
      <c r="M1528" s="62" t="n">
        <v>5</v>
      </c>
      <c r="N1528" s="9" t="inlineStr">
        <is>
          <t>Amazon link not found</t>
        </is>
      </c>
      <c r="O1528" s="62">
        <f>IF(N1528="Selling pet toys + Artificial grass/Pet toilets (TARGET)",15,IF(N1528="Selling artificial grass/pet toilets (TARGET)",10,IF(N1528="Selling pet toys",7,IF(N1528="There's an Amazon link, but no target sales.",3,0))))</f>
        <v/>
      </c>
      <c r="P1528" s="67">
        <f>H1528+J1528+L1528+M1528+O1528</f>
        <v/>
      </c>
      <c r="Q1528" s="68">
        <f>IF(OR(H1528=0,P1528&lt;30),"Tier D (Đóng băng)",IF(P1528&gt;=85,"Tier S (Kim Cương: 85-100đ)",IF(P1528&gt;=70,"Tier A (Vàng: 70-84đ)",IF(P1528&gt;=61,"Tier B+ / Cấp A (Hot Lead: 61-69đ)",IF(P1528&gt;=50,"Tier B (Bạc: 50-60đ)","Tier C (Đồng: 30-49đ)")))))</f>
        <v/>
      </c>
      <c r="R1528" s="9" t="inlineStr">
        <is>
          <t>Trọn gói Take-Home Starter Kit V2/V3 (Cỏ nhân tạo + Khay Potty + Đồ chơi Teething/Snuggle)</t>
        </is>
      </c>
      <c r="S1528" s="9" t="inlineStr">
        <is>
          <t>Đóng băng tương tác (&gt;30 ngày): Lưu trữ chờ kích hoạt lại, không tốn tài nguyên Sales</t>
        </is>
      </c>
    </row>
    <row r="1529">
      <c r="A1529" s="53" t="n">
        <v>882</v>
      </c>
      <c r="B1529" s="12" t="inlineStr">
        <is>
          <t>Charm of Spring kennel</t>
        </is>
      </c>
      <c r="C1529" s="54" t="inlineStr">
        <is>
          <t>https://www.facebook.com/profile.php?id=61565964727721</t>
        </is>
      </c>
      <c r="D1529" s="6" t="inlineStr">
        <is>
          <t>Cần quét Bio Fanpage</t>
        </is>
      </c>
      <c r="E1529" s="53" t="inlineStr">
        <is>
          <t>12/08/2026 13:34:59</t>
        </is>
      </c>
      <c r="F1529" s="53" t="inlineStr">
        <is>
          <t>2 tháng trước</t>
        </is>
      </c>
      <c r="G1529" s="55" t="n">
        <v>60</v>
      </c>
      <c r="H1529" s="56" t="n">
        <v>0</v>
      </c>
      <c r="I1529" s="6" t="inlineStr">
        <is>
          <t>Dog Breeder / Trại chó chuyên nghiệp (28-30đ)</t>
        </is>
      </c>
      <c r="J1529" s="56" t="n">
        <v>30</v>
      </c>
      <c r="K1529" s="6" t="inlineStr">
        <is>
          <t>Chưa rõ giống (Cần quét Bio)</t>
        </is>
      </c>
      <c r="L1529" s="56" t="n">
        <v>0</v>
      </c>
      <c r="M1529" s="56" t="n">
        <v>5</v>
      </c>
      <c r="N1529" s="6" t="inlineStr">
        <is>
          <t>Amazon link not found</t>
        </is>
      </c>
      <c r="O1529" s="56">
        <f>IF(N1529="Selling pet toys + Artificial grass/Pet toilets (TARGET)",15,IF(N1529="Selling artificial grass/pet toilets (TARGET)",10,IF(N1529="Selling pet toys",7,IF(N1529="There's an Amazon link, but no target sales.",3,0))))</f>
        <v/>
      </c>
      <c r="P1529" s="65">
        <f>H1529+J1529+L1529+M1529+O1529</f>
        <v/>
      </c>
      <c r="Q1529" s="68">
        <f>IF(OR(H1529=0,P1529&lt;30),"Tier D (Đóng băng)",IF(P1529&gt;=85,"Tier S (Kim Cương: 85-100đ)",IF(P1529&gt;=70,"Tier A (Vàng: 70-84đ)",IF(P1529&gt;=61,"Tier B+ / Cấp A (Hot Lead: 61-69đ)",IF(P1529&gt;=50,"Tier B (Bạc: 50-60đ)","Tier C (Đồng: 30-49đ)")))))</f>
        <v/>
      </c>
      <c r="R1529" s="6" t="inlineStr">
        <is>
          <t>Trọn gói Take-Home Starter Kit V2/V3 (Cỏ nhân tạo + Khay Potty + Đồ chơi Teething/Snuggle)</t>
        </is>
      </c>
      <c r="S1529" s="6" t="inlineStr">
        <is>
          <t>Đóng băng tương tác (&gt;30 ngày): Lưu trữ chờ kích hoạt lại, không tốn tài nguyên Sales</t>
        </is>
      </c>
    </row>
    <row r="1530">
      <c r="A1530" s="59" t="n">
        <v>202</v>
      </c>
      <c r="B1530" s="15" t="inlineStr">
        <is>
          <t>Kennel Pride of Justin</t>
        </is>
      </c>
      <c r="C1530" s="60" t="inlineStr">
        <is>
          <t>https://www.facebook.com/profile.php?id=100064185751170</t>
        </is>
      </c>
      <c r="D1530" s="9" t="inlineStr">
        <is>
          <t>Cần quét Bio Fanpage</t>
        </is>
      </c>
      <c r="E1530" s="59" t="inlineStr">
        <is>
          <t>09/08/2026 06:27:22</t>
        </is>
      </c>
      <c r="F1530" s="59" t="inlineStr">
        <is>
          <t>2 tháng trước</t>
        </is>
      </c>
      <c r="G1530" s="61" t="n">
        <v>60</v>
      </c>
      <c r="H1530" s="62" t="n">
        <v>0</v>
      </c>
      <c r="I1530" s="9" t="inlineStr">
        <is>
          <t>Dog Breeder / Trại chó chuyên nghiệp (28-30đ)</t>
        </is>
      </c>
      <c r="J1530" s="62" t="n">
        <v>30</v>
      </c>
      <c r="K1530" s="9" t="inlineStr">
        <is>
          <t>Chưa rõ giống (Cần quét Bio)</t>
        </is>
      </c>
      <c r="L1530" s="62" t="n">
        <v>0</v>
      </c>
      <c r="M1530" s="62" t="n">
        <v>5</v>
      </c>
      <c r="N1530" s="9" t="inlineStr">
        <is>
          <t>Amazon link not found</t>
        </is>
      </c>
      <c r="O1530" s="62">
        <f>IF(N1530="Selling pet toys + Artificial grass/Pet toilets (TARGET)",15,IF(N1530="Selling artificial grass/pet toilets (TARGET)",10,IF(N1530="Selling pet toys",7,IF(N1530="There's an Amazon link, but no target sales.",3,0))))</f>
        <v/>
      </c>
      <c r="P1530" s="67">
        <f>H1530+J1530+L1530+M1530+O1530</f>
        <v/>
      </c>
      <c r="Q1530" s="68">
        <f>IF(OR(H1530=0,P1530&lt;30),"Tier D (Đóng băng)",IF(P1530&gt;=85,"Tier S (Kim Cương: 85-100đ)",IF(P1530&gt;=70,"Tier A (Vàng: 70-84đ)",IF(P1530&gt;=61,"Tier B+ / Cấp A (Hot Lead: 61-69đ)",IF(P1530&gt;=50,"Tier B (Bạc: 50-60đ)","Tier C (Đồng: 30-49đ)")))))</f>
        <v/>
      </c>
      <c r="R1530" s="9" t="inlineStr">
        <is>
          <t>Trọn gói Take-Home Starter Kit V2/V3 (Cỏ nhân tạo + Khay Potty + Đồ chơi Teething/Snuggle)</t>
        </is>
      </c>
      <c r="S1530" s="9" t="inlineStr">
        <is>
          <t>Đóng băng tương tác (&gt;30 ngày): Lưu trữ chờ kích hoạt lại, không tốn tài nguyên Sales</t>
        </is>
      </c>
    </row>
    <row r="1531">
      <c r="A1531" s="53" t="n">
        <v>1900</v>
      </c>
      <c r="B1531" s="12" t="inlineStr">
        <is>
          <t>Kennel Rott Frau Fortuna</t>
        </is>
      </c>
      <c r="C1531" s="54" t="inlineStr">
        <is>
          <t>https://www.facebook.com/KennelRottFrauFortuna</t>
        </is>
      </c>
      <c r="D1531" s="6" t="inlineStr">
        <is>
          <t>Cần quét Bio Fanpage</t>
        </is>
      </c>
      <c r="E1531" s="53" t="inlineStr">
        <is>
          <t>06/08/2026 15:49:28</t>
        </is>
      </c>
      <c r="F1531" s="53" t="inlineStr">
        <is>
          <t>2 tháng trước</t>
        </is>
      </c>
      <c r="G1531" s="55" t="n">
        <v>60</v>
      </c>
      <c r="H1531" s="56" t="n">
        <v>0</v>
      </c>
      <c r="I1531" s="6" t="inlineStr">
        <is>
          <t>Dog Breeder / Trại chó chuyên nghiệp (28-30đ)</t>
        </is>
      </c>
      <c r="J1531" s="56" t="n">
        <v>30</v>
      </c>
      <c r="K1531" s="6" t="inlineStr">
        <is>
          <t>Chưa rõ giống (Cần quét Bio)</t>
        </is>
      </c>
      <c r="L1531" s="56" t="n">
        <v>0</v>
      </c>
      <c r="M1531" s="56" t="n">
        <v>5</v>
      </c>
      <c r="N1531" s="6" t="inlineStr">
        <is>
          <t>Amazon link not found</t>
        </is>
      </c>
      <c r="O1531" s="56">
        <f>IF(N1531="Selling pet toys + Artificial grass/Pet toilets (TARGET)",15,IF(N1531="Selling artificial grass/pet toilets (TARGET)",10,IF(N1531="Selling pet toys",7,IF(N1531="There's an Amazon link, but no target sales.",3,0))))</f>
        <v/>
      </c>
      <c r="P1531" s="65">
        <f>H1531+J1531+L1531+M1531+O1531</f>
        <v/>
      </c>
      <c r="Q1531" s="68">
        <f>IF(OR(H1531=0,P1531&lt;30),"Tier D (Đóng băng)",IF(P1531&gt;=85,"Tier S (Kim Cương: 85-100đ)",IF(P1531&gt;=70,"Tier A (Vàng: 70-84đ)",IF(P1531&gt;=61,"Tier B+ / Cấp A (Hot Lead: 61-69đ)",IF(P1531&gt;=50,"Tier B (Bạc: 50-60đ)","Tier C (Đồng: 30-49đ)")))))</f>
        <v/>
      </c>
      <c r="R1531" s="6" t="inlineStr">
        <is>
          <t>Trọn gói Take-Home Starter Kit V2/V3 (Cỏ nhân tạo + Khay Potty + Đồ chơi Teething/Snuggle)</t>
        </is>
      </c>
      <c r="S1531" s="6" t="inlineStr">
        <is>
          <t>Đóng băng tương tác (&gt;30 ngày): Lưu trữ chờ kích hoạt lại, không tốn tài nguyên Sales</t>
        </is>
      </c>
    </row>
    <row r="1532">
      <c r="A1532" s="59" t="n">
        <v>525</v>
      </c>
      <c r="B1532" s="15" t="inlineStr">
        <is>
          <t>Artemiziz kennel</t>
        </is>
      </c>
      <c r="C1532" s="60" t="inlineStr">
        <is>
          <t>https://www.facebook.com/oxiboga</t>
        </is>
      </c>
      <c r="D1532" s="9" t="inlineStr">
        <is>
          <t>Cần quét Bio Fanpage</t>
        </is>
      </c>
      <c r="E1532" s="59" t="inlineStr">
        <is>
          <t>06/08/2026 14:49:33</t>
        </is>
      </c>
      <c r="F1532" s="59" t="inlineStr">
        <is>
          <t>2 tháng trước</t>
        </is>
      </c>
      <c r="G1532" s="61" t="n">
        <v>60</v>
      </c>
      <c r="H1532" s="62" t="n">
        <v>0</v>
      </c>
      <c r="I1532" s="9" t="inlineStr">
        <is>
          <t>Dog Breeder / Trại chó chuyên nghiệp (28-30đ)</t>
        </is>
      </c>
      <c r="J1532" s="62" t="n">
        <v>30</v>
      </c>
      <c r="K1532" s="9" t="inlineStr">
        <is>
          <t>Chưa rõ giống (Cần quét Bio)</t>
        </is>
      </c>
      <c r="L1532" s="62" t="n">
        <v>0</v>
      </c>
      <c r="M1532" s="62" t="n">
        <v>5</v>
      </c>
      <c r="N1532" s="9" t="inlineStr">
        <is>
          <t>Amazon link not found</t>
        </is>
      </c>
      <c r="O1532" s="62">
        <f>IF(N1532="Selling pet toys + Artificial grass/Pet toilets (TARGET)",15,IF(N1532="Selling artificial grass/pet toilets (TARGET)",10,IF(N1532="Selling pet toys",7,IF(N1532="There's an Amazon link, but no target sales.",3,0))))</f>
        <v/>
      </c>
      <c r="P1532" s="67">
        <f>H1532+J1532+L1532+M1532+O1532</f>
        <v/>
      </c>
      <c r="Q1532" s="68">
        <f>IF(OR(H1532=0,P1532&lt;30),"Tier D (Đóng băng)",IF(P1532&gt;=85,"Tier S (Kim Cương: 85-100đ)",IF(P1532&gt;=70,"Tier A (Vàng: 70-84đ)",IF(P1532&gt;=61,"Tier B+ / Cấp A (Hot Lead: 61-69đ)",IF(P1532&gt;=50,"Tier B (Bạc: 50-60đ)","Tier C (Đồng: 30-49đ)")))))</f>
        <v/>
      </c>
      <c r="R1532" s="9" t="inlineStr">
        <is>
          <t>Trọn gói Take-Home Starter Kit V2/V3 (Cỏ nhân tạo + Khay Potty + Đồ chơi Teething/Snuggle)</t>
        </is>
      </c>
      <c r="S1532" s="9" t="inlineStr">
        <is>
          <t>Đóng băng tương tác (&gt;30 ngày): Lưu trữ chờ kích hoạt lại, không tốn tài nguyên Sales</t>
        </is>
      </c>
    </row>
    <row r="1533">
      <c r="A1533" s="53" t="n">
        <v>1947</v>
      </c>
      <c r="B1533" s="12" t="inlineStr">
        <is>
          <t>Kulture Kennels LLC</t>
        </is>
      </c>
      <c r="C1533" s="54" t="inlineStr">
        <is>
          <t>https://www.facebook.com/kulturekennelsllc</t>
        </is>
      </c>
      <c r="D1533" s="6" t="inlineStr">
        <is>
          <t>Cần quét Bio Fanpage</t>
        </is>
      </c>
      <c r="E1533" s="53" t="inlineStr">
        <is>
          <t>06/08/2026 01:49:09</t>
        </is>
      </c>
      <c r="F1533" s="53" t="inlineStr">
        <is>
          <t>2 tháng trước</t>
        </is>
      </c>
      <c r="G1533" s="55" t="n">
        <v>60</v>
      </c>
      <c r="H1533" s="56" t="n">
        <v>0</v>
      </c>
      <c r="I1533" s="6" t="inlineStr">
        <is>
          <t>Dog Breeder / Trại chó chuyên nghiệp (28-30đ)</t>
        </is>
      </c>
      <c r="J1533" s="56" t="n">
        <v>30</v>
      </c>
      <c r="K1533" s="6" t="inlineStr">
        <is>
          <t>Chưa rõ giống (Cần quét Bio)</t>
        </is>
      </c>
      <c r="L1533" s="56" t="n">
        <v>0</v>
      </c>
      <c r="M1533" s="56" t="n">
        <v>5</v>
      </c>
      <c r="N1533" s="6" t="inlineStr">
        <is>
          <t>Amazon link not found</t>
        </is>
      </c>
      <c r="O1533" s="56">
        <f>IF(N1533="Selling pet toys + Artificial grass/Pet toilets (TARGET)",15,IF(N1533="Selling artificial grass/pet toilets (TARGET)",10,IF(N1533="Selling pet toys",7,IF(N1533="There's an Amazon link, but no target sales.",3,0))))</f>
        <v/>
      </c>
      <c r="P1533" s="65">
        <f>H1533+J1533+L1533+M1533+O1533</f>
        <v/>
      </c>
      <c r="Q1533" s="68">
        <f>IF(OR(H1533=0,P1533&lt;30),"Tier D (Đóng băng)",IF(P1533&gt;=85,"Tier S (Kim Cương: 85-100đ)",IF(P1533&gt;=70,"Tier A (Vàng: 70-84đ)",IF(P1533&gt;=61,"Tier B+ / Cấp A (Hot Lead: 61-69đ)",IF(P1533&gt;=50,"Tier B (Bạc: 50-60đ)","Tier C (Đồng: 30-49đ)")))))</f>
        <v/>
      </c>
      <c r="R1533" s="6" t="inlineStr">
        <is>
          <t>Trọn gói Take-Home Starter Kit V2/V3 (Cỏ nhân tạo + Khay Potty + Đồ chơi Teething/Snuggle)</t>
        </is>
      </c>
      <c r="S1533" s="6" t="inlineStr">
        <is>
          <t>Đóng băng tương tác (&gt;30 ngày): Lưu trữ chờ kích hoạt lại, không tốn tài nguyên Sales</t>
        </is>
      </c>
    </row>
    <row r="1534">
      <c r="A1534" s="59" t="n">
        <v>1565</v>
      </c>
      <c r="B1534" s="15" t="inlineStr">
        <is>
          <t>Greenridge Kennels</t>
        </is>
      </c>
      <c r="C1534" s="60" t="inlineStr">
        <is>
          <t>https://www.facebook.com/greenridgekennels</t>
        </is>
      </c>
      <c r="D1534" s="9" t="inlineStr">
        <is>
          <t>Cần quét Bio Fanpage</t>
        </is>
      </c>
      <c r="E1534" s="59" t="inlineStr">
        <is>
          <t>02/08/2026 20:46:42</t>
        </is>
      </c>
      <c r="F1534" s="59" t="inlineStr">
        <is>
          <t>2 tháng trước</t>
        </is>
      </c>
      <c r="G1534" s="61" t="n">
        <v>60</v>
      </c>
      <c r="H1534" s="62" t="n">
        <v>0</v>
      </c>
      <c r="I1534" s="9" t="inlineStr">
        <is>
          <t>Dog Breeder / Trại chó chuyên nghiệp (28-30đ)</t>
        </is>
      </c>
      <c r="J1534" s="62" t="n">
        <v>30</v>
      </c>
      <c r="K1534" s="9" t="inlineStr">
        <is>
          <t>Chưa rõ giống (Cần quét Bio)</t>
        </is>
      </c>
      <c r="L1534" s="62" t="n">
        <v>0</v>
      </c>
      <c r="M1534" s="62" t="n">
        <v>5</v>
      </c>
      <c r="N1534" s="9" t="inlineStr">
        <is>
          <t>Amazon link not found</t>
        </is>
      </c>
      <c r="O1534" s="62">
        <f>IF(N1534="Selling pet toys + Artificial grass/Pet toilets (TARGET)",15,IF(N1534="Selling artificial grass/pet toilets (TARGET)",10,IF(N1534="Selling pet toys",7,IF(N1534="There's an Amazon link, but no target sales.",3,0))))</f>
        <v/>
      </c>
      <c r="P1534" s="67">
        <f>H1534+J1534+L1534+M1534+O1534</f>
        <v/>
      </c>
      <c r="Q1534" s="68">
        <f>IF(OR(H1534=0,P1534&lt;30),"Tier D (Đóng băng)",IF(P1534&gt;=85,"Tier S (Kim Cương: 85-100đ)",IF(P1534&gt;=70,"Tier A (Vàng: 70-84đ)",IF(P1534&gt;=61,"Tier B+ / Cấp A (Hot Lead: 61-69đ)",IF(P1534&gt;=50,"Tier B (Bạc: 50-60đ)","Tier C (Đồng: 30-49đ)")))))</f>
        <v/>
      </c>
      <c r="R1534" s="9" t="inlineStr">
        <is>
          <t>Trọn gói Take-Home Starter Kit V2/V3 (Cỏ nhân tạo + Khay Potty + Đồ chơi Teething/Snuggle)</t>
        </is>
      </c>
      <c r="S1534" s="9" t="inlineStr">
        <is>
          <t>Đóng băng tương tác (&gt;30 ngày): Lưu trữ chờ kích hoạt lại, không tốn tài nguyên Sales</t>
        </is>
      </c>
    </row>
    <row r="1535">
      <c r="A1535" s="53" t="n">
        <v>686</v>
      </c>
      <c r="B1535" s="12" t="inlineStr">
        <is>
          <t>Black Diamond Kennels</t>
        </is>
      </c>
      <c r="C1535" s="54" t="inlineStr">
        <is>
          <t>https://www.facebook.com/profile.php?id=100089945260030</t>
        </is>
      </c>
      <c r="D1535" s="6" t="inlineStr">
        <is>
          <t>Cần quét Bio Fanpage</t>
        </is>
      </c>
      <c r="E1535" s="53" t="inlineStr">
        <is>
          <t>02/08/2026 01:57:45</t>
        </is>
      </c>
      <c r="F1535" s="53" t="inlineStr">
        <is>
          <t>2 tháng trước</t>
        </is>
      </c>
      <c r="G1535" s="55" t="n">
        <v>60</v>
      </c>
      <c r="H1535" s="56" t="n">
        <v>0</v>
      </c>
      <c r="I1535" s="6" t="inlineStr">
        <is>
          <t>Dog Breeder / Trại chó chuyên nghiệp (28-30đ)</t>
        </is>
      </c>
      <c r="J1535" s="56" t="n">
        <v>30</v>
      </c>
      <c r="K1535" s="6" t="inlineStr">
        <is>
          <t>Chưa rõ giống (Cần quét Bio)</t>
        </is>
      </c>
      <c r="L1535" s="56" t="n">
        <v>0</v>
      </c>
      <c r="M1535" s="56" t="n">
        <v>5</v>
      </c>
      <c r="N1535" s="6" t="inlineStr">
        <is>
          <t>Amazon link not found</t>
        </is>
      </c>
      <c r="O1535" s="56">
        <f>IF(N1535="Selling pet toys + Artificial grass/Pet toilets (TARGET)",15,IF(N1535="Selling artificial grass/pet toilets (TARGET)",10,IF(N1535="Selling pet toys",7,IF(N1535="There's an Amazon link, but no target sales.",3,0))))</f>
        <v/>
      </c>
      <c r="P1535" s="65">
        <f>H1535+J1535+L1535+M1535+O1535</f>
        <v/>
      </c>
      <c r="Q1535" s="68">
        <f>IF(OR(H1535=0,P1535&lt;30),"Tier D (Đóng băng)",IF(P1535&gt;=85,"Tier S (Kim Cương: 85-100đ)",IF(P1535&gt;=70,"Tier A (Vàng: 70-84đ)",IF(P1535&gt;=61,"Tier B+ / Cấp A (Hot Lead: 61-69đ)",IF(P1535&gt;=50,"Tier B (Bạc: 50-60đ)","Tier C (Đồng: 30-49đ)")))))</f>
        <v/>
      </c>
      <c r="R1535" s="6" t="inlineStr">
        <is>
          <t>Trọn gói Take-Home Starter Kit V2/V3 (Cỏ nhân tạo + Khay Potty + Đồ chơi Teething/Snuggle)</t>
        </is>
      </c>
      <c r="S1535" s="6" t="inlineStr">
        <is>
          <t>Đóng băng tương tác (&gt;30 ngày): Lưu trữ chờ kích hoạt lại, không tốn tài nguyên Sales</t>
        </is>
      </c>
    </row>
    <row r="1536">
      <c r="A1536" s="59" t="n">
        <v>201</v>
      </c>
      <c r="B1536" s="15" t="inlineStr">
        <is>
          <t>Kennel Dreams</t>
        </is>
      </c>
      <c r="C1536" s="60" t="inlineStr">
        <is>
          <t>https://www.facebook.com/KennelDreams</t>
        </is>
      </c>
      <c r="D1536" s="9" t="inlineStr">
        <is>
          <t>Cần quét Bio Fanpage</t>
        </is>
      </c>
      <c r="E1536" s="59" t="inlineStr">
        <is>
          <t>29/07/2026 23:58:29</t>
        </is>
      </c>
      <c r="F1536" s="59" t="inlineStr">
        <is>
          <t>2 tháng trước</t>
        </is>
      </c>
      <c r="G1536" s="61" t="n">
        <v>60</v>
      </c>
      <c r="H1536" s="62" t="n">
        <v>0</v>
      </c>
      <c r="I1536" s="9" t="inlineStr">
        <is>
          <t>Dog Breeder / Trại chó chuyên nghiệp (28-30đ)</t>
        </is>
      </c>
      <c r="J1536" s="62" t="n">
        <v>30</v>
      </c>
      <c r="K1536" s="9" t="inlineStr">
        <is>
          <t>Chưa rõ giống (Cần quét Bio)</t>
        </is>
      </c>
      <c r="L1536" s="62" t="n">
        <v>0</v>
      </c>
      <c r="M1536" s="62" t="n">
        <v>5</v>
      </c>
      <c r="N1536" s="9" t="inlineStr">
        <is>
          <t>Amazon link not found</t>
        </is>
      </c>
      <c r="O1536" s="62">
        <f>IF(N1536="Selling pet toys + Artificial grass/Pet toilets (TARGET)",15,IF(N1536="Selling artificial grass/pet toilets (TARGET)",10,IF(N1536="Selling pet toys",7,IF(N1536="There's an Amazon link, but no target sales.",3,0))))</f>
        <v/>
      </c>
      <c r="P1536" s="67">
        <f>H1536+J1536+L1536+M1536+O1536</f>
        <v/>
      </c>
      <c r="Q1536" s="68">
        <f>IF(OR(H1536=0,P1536&lt;30),"Tier D (Đóng băng)",IF(P1536&gt;=85,"Tier S (Kim Cương: 85-100đ)",IF(P1536&gt;=70,"Tier A (Vàng: 70-84đ)",IF(P1536&gt;=61,"Tier B+ / Cấp A (Hot Lead: 61-69đ)",IF(P1536&gt;=50,"Tier B (Bạc: 50-60đ)","Tier C (Đồng: 30-49đ)")))))</f>
        <v/>
      </c>
      <c r="R1536" s="9" t="inlineStr">
        <is>
          <t>Trọn gói Take-Home Starter Kit V2/V3 (Cỏ nhân tạo + Khay Potty + Đồ chơi Teething/Snuggle)</t>
        </is>
      </c>
      <c r="S1536" s="9" t="inlineStr">
        <is>
          <t>Đóng băng tương tác (&gt;30 ngày): Lưu trữ chờ kích hoạt lại, không tốn tài nguyên Sales</t>
        </is>
      </c>
    </row>
    <row r="1537">
      <c r="A1537" s="53" t="n">
        <v>704</v>
      </c>
      <c r="B1537" s="12" t="inlineStr">
        <is>
          <t>Blue Haven Kennels</t>
        </is>
      </c>
      <c r="C1537" s="54" t="inlineStr">
        <is>
          <t>https://www.facebook.com/profile.php?id=100068880685173</t>
        </is>
      </c>
      <c r="D1537" s="6" t="inlineStr">
        <is>
          <t>Cần quét Bio Fanpage</t>
        </is>
      </c>
      <c r="E1537" s="53" t="inlineStr">
        <is>
          <t>27/07/2026 05:37:33</t>
        </is>
      </c>
      <c r="F1537" s="53" t="inlineStr">
        <is>
          <t>2 tháng trước</t>
        </is>
      </c>
      <c r="G1537" s="55" t="n">
        <v>60</v>
      </c>
      <c r="H1537" s="56" t="n">
        <v>0</v>
      </c>
      <c r="I1537" s="6" t="inlineStr">
        <is>
          <t>Dog Breeder / Trại chó chuyên nghiệp (28-30đ)</t>
        </is>
      </c>
      <c r="J1537" s="56" t="n">
        <v>30</v>
      </c>
      <c r="K1537" s="6" t="inlineStr">
        <is>
          <t>Chưa rõ giống (Cần quét Bio)</t>
        </is>
      </c>
      <c r="L1537" s="56" t="n">
        <v>0</v>
      </c>
      <c r="M1537" s="56" t="n">
        <v>5</v>
      </c>
      <c r="N1537" s="6" t="inlineStr">
        <is>
          <t>Amazon link not found</t>
        </is>
      </c>
      <c r="O1537" s="56">
        <f>IF(N1537="Selling pet toys + Artificial grass/Pet toilets (TARGET)",15,IF(N1537="Selling artificial grass/pet toilets (TARGET)",10,IF(N1537="Selling pet toys",7,IF(N1537="There's an Amazon link, but no target sales.",3,0))))</f>
        <v/>
      </c>
      <c r="P1537" s="65">
        <f>H1537+J1537+L1537+M1537+O1537</f>
        <v/>
      </c>
      <c r="Q1537" s="68">
        <f>IF(OR(H1537=0,P1537&lt;30),"Tier D (Đóng băng)",IF(P1537&gt;=85,"Tier S (Kim Cương: 85-100đ)",IF(P1537&gt;=70,"Tier A (Vàng: 70-84đ)",IF(P1537&gt;=61,"Tier B+ / Cấp A (Hot Lead: 61-69đ)",IF(P1537&gt;=50,"Tier B (Bạc: 50-60đ)","Tier C (Đồng: 30-49đ)")))))</f>
        <v/>
      </c>
      <c r="R1537" s="6" t="inlineStr">
        <is>
          <t>Trọn gói Take-Home Starter Kit V2/V3 (Cỏ nhân tạo + Khay Potty + Đồ chơi Teething/Snuggle)</t>
        </is>
      </c>
      <c r="S1537" s="6" t="inlineStr">
        <is>
          <t>Đóng băng tương tác (&gt;30 ngày): Lưu trữ chờ kích hoạt lại, không tốn tài nguyên Sales</t>
        </is>
      </c>
    </row>
    <row r="1538">
      <c r="A1538" s="59" t="n">
        <v>2120</v>
      </c>
      <c r="B1538" s="15" t="inlineStr">
        <is>
          <t>Maplehills Kennel</t>
        </is>
      </c>
      <c r="C1538" s="60" t="inlineStr">
        <is>
          <t>https://www.facebook.com/maplehills.kennel</t>
        </is>
      </c>
      <c r="D1538" s="9" t="inlineStr">
        <is>
          <t>Cần quét Bio Fanpage</t>
        </is>
      </c>
      <c r="E1538" s="59" t="inlineStr">
        <is>
          <t>22/07/2026 20:11:50</t>
        </is>
      </c>
      <c r="F1538" s="59" t="inlineStr">
        <is>
          <t>2 tháng trước</t>
        </is>
      </c>
      <c r="G1538" s="61" t="n">
        <v>60</v>
      </c>
      <c r="H1538" s="62" t="n">
        <v>0</v>
      </c>
      <c r="I1538" s="9" t="inlineStr">
        <is>
          <t>Dog Breeder / Trại chó chuyên nghiệp (28-30đ)</t>
        </is>
      </c>
      <c r="J1538" s="62" t="n">
        <v>30</v>
      </c>
      <c r="K1538" s="9" t="inlineStr">
        <is>
          <t>Chưa rõ giống (Cần quét Bio)</t>
        </is>
      </c>
      <c r="L1538" s="62" t="n">
        <v>0</v>
      </c>
      <c r="M1538" s="62" t="n">
        <v>5</v>
      </c>
      <c r="N1538" s="9" t="inlineStr">
        <is>
          <t>Amazon link not found</t>
        </is>
      </c>
      <c r="O1538" s="62">
        <f>IF(N1538="Selling pet toys + Artificial grass/Pet toilets (TARGET)",15,IF(N1538="Selling artificial grass/pet toilets (TARGET)",10,IF(N1538="Selling pet toys",7,IF(N1538="There's an Amazon link, but no target sales.",3,0))))</f>
        <v/>
      </c>
      <c r="P1538" s="67">
        <f>H1538+J1538+L1538+M1538+O1538</f>
        <v/>
      </c>
      <c r="Q1538" s="68">
        <f>IF(OR(H1538=0,P1538&lt;30),"Tier D (Đóng băng)",IF(P1538&gt;=85,"Tier S (Kim Cương: 85-100đ)",IF(P1538&gt;=70,"Tier A (Vàng: 70-84đ)",IF(P1538&gt;=61,"Tier B+ / Cấp A (Hot Lead: 61-69đ)",IF(P1538&gt;=50,"Tier B (Bạc: 50-60đ)","Tier C (Đồng: 30-49đ)")))))</f>
        <v/>
      </c>
      <c r="R1538" s="9" t="inlineStr">
        <is>
          <t>Trọn gói Take-Home Starter Kit V2/V3 (Cỏ nhân tạo + Khay Potty + Đồ chơi Teething/Snuggle)</t>
        </is>
      </c>
      <c r="S1538" s="9" t="inlineStr">
        <is>
          <t>Đóng băng tương tác (&gt;30 ngày): Lưu trữ chờ kích hoạt lại, không tốn tài nguyên Sales</t>
        </is>
      </c>
    </row>
    <row r="1539">
      <c r="A1539" s="53" t="n">
        <v>1895</v>
      </c>
      <c r="B1539" s="12" t="inlineStr">
        <is>
          <t>Kennel Mountain Dog "BERN HAUS on OKA"</t>
        </is>
      </c>
      <c r="C1539" s="54" t="inlineStr">
        <is>
          <t>https://www.facebook.com/BernHausOnOka</t>
        </is>
      </c>
      <c r="D1539" s="6" t="inlineStr">
        <is>
          <t>Cần quét Bio Fanpage</t>
        </is>
      </c>
      <c r="E1539" s="53" t="inlineStr">
        <is>
          <t>22/07/2026 01:11:53</t>
        </is>
      </c>
      <c r="F1539" s="53" t="inlineStr">
        <is>
          <t>2 tháng trước</t>
        </is>
      </c>
      <c r="G1539" s="55" t="n">
        <v>60</v>
      </c>
      <c r="H1539" s="56" t="n">
        <v>0</v>
      </c>
      <c r="I1539" s="6" t="inlineStr">
        <is>
          <t>Dog Breeder / Trại chó chuyên nghiệp (28-30đ)</t>
        </is>
      </c>
      <c r="J1539" s="56" t="n">
        <v>30</v>
      </c>
      <c r="K1539" s="6" t="inlineStr">
        <is>
          <t>Chưa rõ giống (Cần quét Bio)</t>
        </is>
      </c>
      <c r="L1539" s="56" t="n">
        <v>0</v>
      </c>
      <c r="M1539" s="56" t="n">
        <v>5</v>
      </c>
      <c r="N1539" s="6" t="inlineStr">
        <is>
          <t>Amazon link not found</t>
        </is>
      </c>
      <c r="O1539" s="56">
        <f>IF(N1539="Selling pet toys + Artificial grass/Pet toilets (TARGET)",15,IF(N1539="Selling artificial grass/pet toilets (TARGET)",10,IF(N1539="Selling pet toys",7,IF(N1539="There's an Amazon link, but no target sales.",3,0))))</f>
        <v/>
      </c>
      <c r="P1539" s="65">
        <f>H1539+J1539+L1539+M1539+O1539</f>
        <v/>
      </c>
      <c r="Q1539" s="68">
        <f>IF(OR(H1539=0,P1539&lt;30),"Tier D (Đóng băng)",IF(P1539&gt;=85,"Tier S (Kim Cương: 85-100đ)",IF(P1539&gt;=70,"Tier A (Vàng: 70-84đ)",IF(P1539&gt;=61,"Tier B+ / Cấp A (Hot Lead: 61-69đ)",IF(P1539&gt;=50,"Tier B (Bạc: 50-60đ)","Tier C (Đồng: 30-49đ)")))))</f>
        <v/>
      </c>
      <c r="R1539" s="6" t="inlineStr">
        <is>
          <t>Trọn gói Take-Home Starter Kit V2/V3 (Cỏ nhân tạo + Khay Potty + Đồ chơi Teething/Snuggle)</t>
        </is>
      </c>
      <c r="S1539" s="6" t="inlineStr">
        <is>
          <t>Đóng băng tương tác (&gt;30 ngày): Lưu trữ chờ kích hoạt lại, không tốn tài nguyên Sales</t>
        </is>
      </c>
    </row>
    <row r="1540">
      <c r="A1540" s="59" t="n">
        <v>3231</v>
      </c>
      <c r="B1540" s="15" t="inlineStr">
        <is>
          <t>Trendzy Kennel</t>
        </is>
      </c>
      <c r="C1540" s="60" t="inlineStr">
        <is>
          <t>https://www.facebook.com/profile.php?id=100063717656054</t>
        </is>
      </c>
      <c r="D1540" s="9" t="inlineStr">
        <is>
          <t>Cần quét Bio Fanpage</t>
        </is>
      </c>
      <c r="E1540" s="59" t="inlineStr">
        <is>
          <t>13/07/2026 10:50:33</t>
        </is>
      </c>
      <c r="F1540" s="59" t="inlineStr">
        <is>
          <t>3 tháng trước</t>
        </is>
      </c>
      <c r="G1540" s="61" t="n">
        <v>90</v>
      </c>
      <c r="H1540" s="62" t="n">
        <v>0</v>
      </c>
      <c r="I1540" s="9" t="inlineStr">
        <is>
          <t>Dog Breeder / Trại chó chuyên nghiệp (28-30đ)</t>
        </is>
      </c>
      <c r="J1540" s="62" t="n">
        <v>30</v>
      </c>
      <c r="K1540" s="9" t="inlineStr">
        <is>
          <t>Chưa rõ giống (Cần quét Bio)</t>
        </is>
      </c>
      <c r="L1540" s="62" t="n">
        <v>0</v>
      </c>
      <c r="M1540" s="62" t="n">
        <v>5</v>
      </c>
      <c r="N1540" s="9" t="inlineStr">
        <is>
          <t>Amazon link not found</t>
        </is>
      </c>
      <c r="O1540" s="62">
        <f>IF(N1540="Selling pet toys + Artificial grass/Pet toilets (TARGET)",15,IF(N1540="Selling artificial grass/pet toilets (TARGET)",10,IF(N1540="Selling pet toys",7,IF(N1540="There's an Amazon link, but no target sales.",3,0))))</f>
        <v/>
      </c>
      <c r="P1540" s="67">
        <f>H1540+J1540+L1540+M1540+O1540</f>
        <v/>
      </c>
      <c r="Q1540" s="68">
        <f>IF(OR(H1540=0,P1540&lt;30),"Tier D (Đóng băng)",IF(P1540&gt;=85,"Tier S (Kim Cương: 85-100đ)",IF(P1540&gt;=70,"Tier A (Vàng: 70-84đ)",IF(P1540&gt;=61,"Tier B+ / Cấp A (Hot Lead: 61-69đ)",IF(P1540&gt;=50,"Tier B (Bạc: 50-60đ)","Tier C (Đồng: 30-49đ)")))))</f>
        <v/>
      </c>
      <c r="R1540" s="9" t="inlineStr">
        <is>
          <t>Trọn gói Take-Home Starter Kit V2/V3 (Cỏ nhân tạo + Khay Potty + Đồ chơi Teething/Snuggle)</t>
        </is>
      </c>
      <c r="S1540" s="9" t="inlineStr">
        <is>
          <t>Đóng băng tương tác (&gt;30 ngày): Lưu trữ chờ kích hoạt lại, không tốn tài nguyên Sales</t>
        </is>
      </c>
    </row>
    <row r="1541">
      <c r="A1541" s="53" t="n">
        <v>2777</v>
      </c>
      <c r="B1541" s="12" t="inlineStr">
        <is>
          <t>Roon Kennel</t>
        </is>
      </c>
      <c r="C1541" s="54" t="inlineStr">
        <is>
          <t>https://www.facebook.com/profile.php?id=100038995313375</t>
        </is>
      </c>
      <c r="D1541" s="6" t="inlineStr">
        <is>
          <t>Cần quét Bio Fanpage</t>
        </is>
      </c>
      <c r="E1541" s="53" t="inlineStr">
        <is>
          <t>12/07/2026 03:58:05</t>
        </is>
      </c>
      <c r="F1541" s="53" t="inlineStr">
        <is>
          <t>3 tháng trước</t>
        </is>
      </c>
      <c r="G1541" s="55" t="n">
        <v>90</v>
      </c>
      <c r="H1541" s="56" t="n">
        <v>0</v>
      </c>
      <c r="I1541" s="6" t="inlineStr">
        <is>
          <t>Dog Breeder / Trại chó chuyên nghiệp (28-30đ)</t>
        </is>
      </c>
      <c r="J1541" s="56" t="n">
        <v>30</v>
      </c>
      <c r="K1541" s="6" t="inlineStr">
        <is>
          <t>Chưa rõ giống (Cần quét Bio)</t>
        </is>
      </c>
      <c r="L1541" s="56" t="n">
        <v>0</v>
      </c>
      <c r="M1541" s="56" t="n">
        <v>5</v>
      </c>
      <c r="N1541" s="6" t="inlineStr">
        <is>
          <t>Amazon link not found</t>
        </is>
      </c>
      <c r="O1541" s="56">
        <f>IF(N1541="Selling pet toys + Artificial grass/Pet toilets (TARGET)",15,IF(N1541="Selling artificial grass/pet toilets (TARGET)",10,IF(N1541="Selling pet toys",7,IF(N1541="There's an Amazon link, but no target sales.",3,0))))</f>
        <v/>
      </c>
      <c r="P1541" s="65">
        <f>H1541+J1541+L1541+M1541+O1541</f>
        <v/>
      </c>
      <c r="Q1541" s="68">
        <f>IF(OR(H1541=0,P1541&lt;30),"Tier D (Đóng băng)",IF(P1541&gt;=85,"Tier S (Kim Cương: 85-100đ)",IF(P1541&gt;=70,"Tier A (Vàng: 70-84đ)",IF(P1541&gt;=61,"Tier B+ / Cấp A (Hot Lead: 61-69đ)",IF(P1541&gt;=50,"Tier B (Bạc: 50-60đ)","Tier C (Đồng: 30-49đ)")))))</f>
        <v/>
      </c>
      <c r="R1541" s="6" t="inlineStr">
        <is>
          <t>Trọn gói Take-Home Starter Kit V2/V3 (Cỏ nhân tạo + Khay Potty + Đồ chơi Teething/Snuggle)</t>
        </is>
      </c>
      <c r="S1541" s="6" t="inlineStr">
        <is>
          <t>Đóng băng tương tác (&gt;30 ngày): Lưu trữ chờ kích hoạt lại, không tốn tài nguyên Sales</t>
        </is>
      </c>
    </row>
    <row r="1542">
      <c r="A1542" s="59" t="n">
        <v>1624</v>
      </c>
      <c r="B1542" s="15" t="inlineStr">
        <is>
          <t>Haus Of Big Hope kennel</t>
        </is>
      </c>
      <c r="C1542" s="60" t="inlineStr">
        <is>
          <t>https://www.facebook.com/profile.php?id=100071217535399</t>
        </is>
      </c>
      <c r="D1542" s="9" t="inlineStr">
        <is>
          <t>Cần quét Bio Fanpage</t>
        </is>
      </c>
      <c r="E1542" s="59" t="inlineStr">
        <is>
          <t>04/07/2026 16:33:54</t>
        </is>
      </c>
      <c r="F1542" s="59" t="inlineStr">
        <is>
          <t>3 tháng trước</t>
        </is>
      </c>
      <c r="G1542" s="61" t="n">
        <v>90</v>
      </c>
      <c r="H1542" s="62" t="n">
        <v>0</v>
      </c>
      <c r="I1542" s="9" t="inlineStr">
        <is>
          <t>Dog Breeder / Trại chó chuyên nghiệp (28-30đ)</t>
        </is>
      </c>
      <c r="J1542" s="62" t="n">
        <v>30</v>
      </c>
      <c r="K1542" s="9" t="inlineStr">
        <is>
          <t>Chưa rõ giống (Cần quét Bio)</t>
        </is>
      </c>
      <c r="L1542" s="62" t="n">
        <v>0</v>
      </c>
      <c r="M1542" s="62" t="n">
        <v>5</v>
      </c>
      <c r="N1542" s="9" t="inlineStr">
        <is>
          <t>Amazon link not found</t>
        </is>
      </c>
      <c r="O1542" s="62">
        <f>IF(N1542="Selling pet toys + Artificial grass/Pet toilets (TARGET)",15,IF(N1542="Selling artificial grass/pet toilets (TARGET)",10,IF(N1542="Selling pet toys",7,IF(N1542="There's an Amazon link, but no target sales.",3,0))))</f>
        <v/>
      </c>
      <c r="P1542" s="67">
        <f>H1542+J1542+L1542+M1542+O1542</f>
        <v/>
      </c>
      <c r="Q1542" s="68">
        <f>IF(OR(H1542=0,P1542&lt;30),"Tier D (Đóng băng)",IF(P1542&gt;=85,"Tier S (Kim Cương: 85-100đ)",IF(P1542&gt;=70,"Tier A (Vàng: 70-84đ)",IF(P1542&gt;=61,"Tier B+ / Cấp A (Hot Lead: 61-69đ)",IF(P1542&gt;=50,"Tier B (Bạc: 50-60đ)","Tier C (Đồng: 30-49đ)")))))</f>
        <v/>
      </c>
      <c r="R1542" s="9" t="inlineStr">
        <is>
          <t>Trọn gói Take-Home Starter Kit V2/V3 (Cỏ nhân tạo + Khay Potty + Đồ chơi Teething/Snuggle)</t>
        </is>
      </c>
      <c r="S1542" s="9" t="inlineStr">
        <is>
          <t>Đóng băng tương tác (&gt;30 ngày): Lưu trữ chờ kích hoạt lại, không tốn tài nguyên Sales</t>
        </is>
      </c>
    </row>
    <row r="1543">
      <c r="A1543" s="53" t="n">
        <v>3220</v>
      </c>
      <c r="B1543" s="12" t="inlineStr">
        <is>
          <t>Tp-Kennels</t>
        </is>
      </c>
      <c r="C1543" s="54" t="inlineStr">
        <is>
          <t>https://www.facebook.com/TpKennels</t>
        </is>
      </c>
      <c r="D1543" s="6" t="inlineStr">
        <is>
          <t>Cần quét Bio Fanpage</t>
        </is>
      </c>
      <c r="E1543" s="53" t="inlineStr">
        <is>
          <t>03/07/2026 17:38:56</t>
        </is>
      </c>
      <c r="F1543" s="53" t="inlineStr">
        <is>
          <t>3 tháng trước</t>
        </is>
      </c>
      <c r="G1543" s="55" t="n">
        <v>90</v>
      </c>
      <c r="H1543" s="56" t="n">
        <v>0</v>
      </c>
      <c r="I1543" s="6" t="inlineStr">
        <is>
          <t>Dog Breeder / Trại chó chuyên nghiệp (28-30đ)</t>
        </is>
      </c>
      <c r="J1543" s="56" t="n">
        <v>30</v>
      </c>
      <c r="K1543" s="6" t="inlineStr">
        <is>
          <t>Chưa rõ giống (Cần quét Bio)</t>
        </is>
      </c>
      <c r="L1543" s="56" t="n">
        <v>0</v>
      </c>
      <c r="M1543" s="56" t="n">
        <v>5</v>
      </c>
      <c r="N1543" s="6" t="inlineStr">
        <is>
          <t>Amazon link not found</t>
        </is>
      </c>
      <c r="O1543" s="56">
        <f>IF(N1543="Selling pet toys + Artificial grass/Pet toilets (TARGET)",15,IF(N1543="Selling artificial grass/pet toilets (TARGET)",10,IF(N1543="Selling pet toys",7,IF(N1543="There's an Amazon link, but no target sales.",3,0))))</f>
        <v/>
      </c>
      <c r="P1543" s="65">
        <f>H1543+J1543+L1543+M1543+O1543</f>
        <v/>
      </c>
      <c r="Q1543" s="68">
        <f>IF(OR(H1543=0,P1543&lt;30),"Tier D (Đóng băng)",IF(P1543&gt;=85,"Tier S (Kim Cương: 85-100đ)",IF(P1543&gt;=70,"Tier A (Vàng: 70-84đ)",IF(P1543&gt;=61,"Tier B+ / Cấp A (Hot Lead: 61-69đ)",IF(P1543&gt;=50,"Tier B (Bạc: 50-60đ)","Tier C (Đồng: 30-49đ)")))))</f>
        <v/>
      </c>
      <c r="R1543" s="6" t="inlineStr">
        <is>
          <t>Trọn gói Take-Home Starter Kit V2/V3 (Cỏ nhân tạo + Khay Potty + Đồ chơi Teething/Snuggle)</t>
        </is>
      </c>
      <c r="S1543" s="6" t="inlineStr">
        <is>
          <t>Đóng băng tương tác (&gt;30 ngày): Lưu trữ chờ kích hoạt lại, không tốn tài nguyên Sales</t>
        </is>
      </c>
    </row>
    <row r="1544">
      <c r="A1544" s="59" t="n">
        <v>2967</v>
      </c>
      <c r="B1544" s="15" t="inlineStr">
        <is>
          <t>Spirit of Shepherd kennel</t>
        </is>
      </c>
      <c r="C1544" s="60" t="inlineStr">
        <is>
          <t>https://www.facebook.com/profile.php?id=61555033113749</t>
        </is>
      </c>
      <c r="D1544" s="9" t="inlineStr">
        <is>
          <t>Cần quét Bio Fanpage</t>
        </is>
      </c>
      <c r="E1544" s="59" t="inlineStr">
        <is>
          <t>29/06/2026 00:39:13</t>
        </is>
      </c>
      <c r="F1544" s="59" t="inlineStr">
        <is>
          <t>3 tháng trước</t>
        </is>
      </c>
      <c r="G1544" s="61" t="n">
        <v>90</v>
      </c>
      <c r="H1544" s="62" t="n">
        <v>0</v>
      </c>
      <c r="I1544" s="9" t="inlineStr">
        <is>
          <t>Dog Breeder / Trại chó chuyên nghiệp (28-30đ)</t>
        </is>
      </c>
      <c r="J1544" s="62" t="n">
        <v>30</v>
      </c>
      <c r="K1544" s="9" t="inlineStr">
        <is>
          <t>Chưa rõ giống (Cần quét Bio)</t>
        </is>
      </c>
      <c r="L1544" s="62" t="n">
        <v>0</v>
      </c>
      <c r="M1544" s="62" t="n">
        <v>5</v>
      </c>
      <c r="N1544" s="9" t="inlineStr">
        <is>
          <t>Amazon link not found</t>
        </is>
      </c>
      <c r="O1544" s="62">
        <f>IF(N1544="Selling pet toys + Artificial grass/Pet toilets (TARGET)",15,IF(N1544="Selling artificial grass/pet toilets (TARGET)",10,IF(N1544="Selling pet toys",7,IF(N1544="There's an Amazon link, but no target sales.",3,0))))</f>
        <v/>
      </c>
      <c r="P1544" s="67">
        <f>H1544+J1544+L1544+M1544+O1544</f>
        <v/>
      </c>
      <c r="Q1544" s="68">
        <f>IF(OR(H1544=0,P1544&lt;30),"Tier D (Đóng băng)",IF(P1544&gt;=85,"Tier S (Kim Cương: 85-100đ)",IF(P1544&gt;=70,"Tier A (Vàng: 70-84đ)",IF(P1544&gt;=61,"Tier B+ / Cấp A (Hot Lead: 61-69đ)",IF(P1544&gt;=50,"Tier B (Bạc: 50-60đ)","Tier C (Đồng: 30-49đ)")))))</f>
        <v/>
      </c>
      <c r="R1544" s="9" t="inlineStr">
        <is>
          <t>Trọn gói Take-Home Starter Kit V2/V3 (Cỏ nhân tạo + Khay Potty + Đồ chơi Teething/Snuggle)</t>
        </is>
      </c>
      <c r="S1544" s="9" t="inlineStr">
        <is>
          <t>Đóng băng tương tác (&gt;30 ngày): Lưu trữ chờ kích hoạt lại, không tốn tài nguyên Sales</t>
        </is>
      </c>
    </row>
    <row r="1545">
      <c r="A1545" s="53" t="n">
        <v>987</v>
      </c>
      <c r="B1545" s="12" t="inlineStr">
        <is>
          <t>D'Leriher Kennel</t>
        </is>
      </c>
      <c r="C1545" s="54" t="inlineStr">
        <is>
          <t>https://www.facebook.com/DLeriher</t>
        </is>
      </c>
      <c r="D1545" s="6" t="inlineStr">
        <is>
          <t>Cần quét Bio Fanpage</t>
        </is>
      </c>
      <c r="E1545" s="53" t="inlineStr">
        <is>
          <t>24/06/2026 21:07:07</t>
        </is>
      </c>
      <c r="F1545" s="53" t="inlineStr">
        <is>
          <t>3 tháng trước</t>
        </is>
      </c>
      <c r="G1545" s="55" t="n">
        <v>90</v>
      </c>
      <c r="H1545" s="56" t="n">
        <v>0</v>
      </c>
      <c r="I1545" s="6" t="inlineStr">
        <is>
          <t>Dog Breeder / Trại chó chuyên nghiệp (28-30đ)</t>
        </is>
      </c>
      <c r="J1545" s="56" t="n">
        <v>30</v>
      </c>
      <c r="K1545" s="6" t="inlineStr">
        <is>
          <t>Chưa rõ giống (Cần quét Bio)</t>
        </is>
      </c>
      <c r="L1545" s="56" t="n">
        <v>0</v>
      </c>
      <c r="M1545" s="56" t="n">
        <v>5</v>
      </c>
      <c r="N1545" s="6" t="inlineStr">
        <is>
          <t>Amazon link not found</t>
        </is>
      </c>
      <c r="O1545" s="56">
        <f>IF(N1545="Selling pet toys + Artificial grass/Pet toilets (TARGET)",15,IF(N1545="Selling artificial grass/pet toilets (TARGET)",10,IF(N1545="Selling pet toys",7,IF(N1545="There's an Amazon link, but no target sales.",3,0))))</f>
        <v/>
      </c>
      <c r="P1545" s="65">
        <f>H1545+J1545+L1545+M1545+O1545</f>
        <v/>
      </c>
      <c r="Q1545" s="68">
        <f>IF(OR(H1545=0,P1545&lt;30),"Tier D (Đóng băng)",IF(P1545&gt;=85,"Tier S (Kim Cương: 85-100đ)",IF(P1545&gt;=70,"Tier A (Vàng: 70-84đ)",IF(P1545&gt;=61,"Tier B+ / Cấp A (Hot Lead: 61-69đ)",IF(P1545&gt;=50,"Tier B (Bạc: 50-60đ)","Tier C (Đồng: 30-49đ)")))))</f>
        <v/>
      </c>
      <c r="R1545" s="6" t="inlineStr">
        <is>
          <t>Trọn gói Take-Home Starter Kit V2/V3 (Cỏ nhân tạo + Khay Potty + Đồ chơi Teething/Snuggle)</t>
        </is>
      </c>
      <c r="S1545" s="6" t="inlineStr">
        <is>
          <t>Đóng băng tương tác (&gt;30 ngày): Lưu trữ chờ kích hoạt lại, không tốn tài nguyên Sales</t>
        </is>
      </c>
    </row>
    <row r="1546">
      <c r="A1546" s="59" t="n">
        <v>3225</v>
      </c>
      <c r="B1546" s="15" t="inlineStr">
        <is>
          <t>Transformation kennels</t>
        </is>
      </c>
      <c r="C1546" s="60" t="inlineStr">
        <is>
          <t>https://www.facebook.com/transformationkennel</t>
        </is>
      </c>
      <c r="D1546" s="9" t="inlineStr">
        <is>
          <t>Cần quét Bio Fanpage</t>
        </is>
      </c>
      <c r="E1546" s="59" t="inlineStr">
        <is>
          <t>22/06/2026 19:22:17</t>
        </is>
      </c>
      <c r="F1546" s="59" t="inlineStr">
        <is>
          <t>3 tháng trước</t>
        </is>
      </c>
      <c r="G1546" s="61" t="n">
        <v>90</v>
      </c>
      <c r="H1546" s="62" t="n">
        <v>0</v>
      </c>
      <c r="I1546" s="9" t="inlineStr">
        <is>
          <t>Dog Breeder / Trại chó chuyên nghiệp (28-30đ)</t>
        </is>
      </c>
      <c r="J1546" s="62" t="n">
        <v>30</v>
      </c>
      <c r="K1546" s="9" t="inlineStr">
        <is>
          <t>Chưa rõ giống (Cần quét Bio)</t>
        </is>
      </c>
      <c r="L1546" s="62" t="n">
        <v>0</v>
      </c>
      <c r="M1546" s="62" t="n">
        <v>5</v>
      </c>
      <c r="N1546" s="9" t="inlineStr">
        <is>
          <t>Amazon link not found</t>
        </is>
      </c>
      <c r="O1546" s="62">
        <f>IF(N1546="Selling pet toys + Artificial grass/Pet toilets (TARGET)",15,IF(N1546="Selling artificial grass/pet toilets (TARGET)",10,IF(N1546="Selling pet toys",7,IF(N1546="There's an Amazon link, but no target sales.",3,0))))</f>
        <v/>
      </c>
      <c r="P1546" s="67">
        <f>H1546+J1546+L1546+M1546+O1546</f>
        <v/>
      </c>
      <c r="Q1546" s="68">
        <f>IF(OR(H1546=0,P1546&lt;30),"Tier D (Đóng băng)",IF(P1546&gt;=85,"Tier S (Kim Cương: 85-100đ)",IF(P1546&gt;=70,"Tier A (Vàng: 70-84đ)",IF(P1546&gt;=61,"Tier B+ / Cấp A (Hot Lead: 61-69đ)",IF(P1546&gt;=50,"Tier B (Bạc: 50-60đ)","Tier C (Đồng: 30-49đ)")))))</f>
        <v/>
      </c>
      <c r="R1546" s="9" t="inlineStr">
        <is>
          <t>Trọn gói Take-Home Starter Kit V2/V3 (Cỏ nhân tạo + Khay Potty + Đồ chơi Teething/Snuggle)</t>
        </is>
      </c>
      <c r="S1546" s="9" t="inlineStr">
        <is>
          <t>Đóng băng tương tác (&gt;30 ngày): Lưu trữ chờ kích hoạt lại, không tốn tài nguyên Sales</t>
        </is>
      </c>
    </row>
    <row r="1547">
      <c r="A1547" s="53" t="n">
        <v>2080</v>
      </c>
      <c r="B1547" s="12" t="inlineStr">
        <is>
          <t>Luxury Diamond Kennels</t>
        </is>
      </c>
      <c r="C1547" s="54" t="inlineStr">
        <is>
          <t>https://www.facebook.com/profile.php?id=61568341680323</t>
        </is>
      </c>
      <c r="D1547" s="6" t="inlineStr">
        <is>
          <t>Cần quét Bio Fanpage</t>
        </is>
      </c>
      <c r="E1547" s="53" t="inlineStr">
        <is>
          <t>21/06/2026 10:09:23</t>
        </is>
      </c>
      <c r="F1547" s="53" t="inlineStr">
        <is>
          <t>3 tháng trước</t>
        </is>
      </c>
      <c r="G1547" s="55" t="n">
        <v>90</v>
      </c>
      <c r="H1547" s="56" t="n">
        <v>0</v>
      </c>
      <c r="I1547" s="6" t="inlineStr">
        <is>
          <t>Dog Breeder / Trại chó chuyên nghiệp (28-30đ)</t>
        </is>
      </c>
      <c r="J1547" s="56" t="n">
        <v>30</v>
      </c>
      <c r="K1547" s="6" t="inlineStr">
        <is>
          <t>Chưa rõ giống (Cần quét Bio)</t>
        </is>
      </c>
      <c r="L1547" s="56" t="n">
        <v>0</v>
      </c>
      <c r="M1547" s="56" t="n">
        <v>5</v>
      </c>
      <c r="N1547" s="6" t="inlineStr">
        <is>
          <t>Amazon link not found</t>
        </is>
      </c>
      <c r="O1547" s="56">
        <f>IF(N1547="Selling pet toys + Artificial grass/Pet toilets (TARGET)",15,IF(N1547="Selling artificial grass/pet toilets (TARGET)",10,IF(N1547="Selling pet toys",7,IF(N1547="There's an Amazon link, but no target sales.",3,0))))</f>
        <v/>
      </c>
      <c r="P1547" s="65">
        <f>H1547+J1547+L1547+M1547+O1547</f>
        <v/>
      </c>
      <c r="Q1547" s="68">
        <f>IF(OR(H1547=0,P1547&lt;30),"Tier D (Đóng băng)",IF(P1547&gt;=85,"Tier S (Kim Cương: 85-100đ)",IF(P1547&gt;=70,"Tier A (Vàng: 70-84đ)",IF(P1547&gt;=61,"Tier B+ / Cấp A (Hot Lead: 61-69đ)",IF(P1547&gt;=50,"Tier B (Bạc: 50-60đ)","Tier C (Đồng: 30-49đ)")))))</f>
        <v/>
      </c>
      <c r="R1547" s="6" t="inlineStr">
        <is>
          <t>Trọn gói Take-Home Starter Kit V2/V3 (Cỏ nhân tạo + Khay Potty + Đồ chơi Teething/Snuggle)</t>
        </is>
      </c>
      <c r="S1547" s="6" t="inlineStr">
        <is>
          <t>Đóng băng tương tác (&gt;30 ngày): Lưu trữ chờ kích hoạt lại, không tốn tài nguyên Sales</t>
        </is>
      </c>
    </row>
    <row r="1548">
      <c r="A1548" s="59" t="n">
        <v>1863</v>
      </c>
      <c r="B1548" s="15" t="inlineStr">
        <is>
          <t>Kennel "Della Andasi"</t>
        </is>
      </c>
      <c r="C1548" s="60" t="inlineStr">
        <is>
          <t>https://www.facebook.com/profile.php?id=100063580933790</t>
        </is>
      </c>
      <c r="D1548" s="9" t="inlineStr">
        <is>
          <t>Cần quét Bio Fanpage</t>
        </is>
      </c>
      <c r="E1548" s="59" t="inlineStr">
        <is>
          <t>18/06/2026 02:12:27</t>
        </is>
      </c>
      <c r="F1548" s="59" t="inlineStr">
        <is>
          <t>3 tháng trước</t>
        </is>
      </c>
      <c r="G1548" s="61" t="n">
        <v>90</v>
      </c>
      <c r="H1548" s="62" t="n">
        <v>0</v>
      </c>
      <c r="I1548" s="9" t="inlineStr">
        <is>
          <t>Dog Breeder / Trại chó chuyên nghiệp (28-30đ)</t>
        </is>
      </c>
      <c r="J1548" s="62" t="n">
        <v>30</v>
      </c>
      <c r="K1548" s="9" t="inlineStr">
        <is>
          <t>Chưa rõ giống (Cần quét Bio)</t>
        </is>
      </c>
      <c r="L1548" s="62" t="n">
        <v>0</v>
      </c>
      <c r="M1548" s="62" t="n">
        <v>5</v>
      </c>
      <c r="N1548" s="9" t="inlineStr">
        <is>
          <t>Amazon link not found</t>
        </is>
      </c>
      <c r="O1548" s="62">
        <f>IF(N1548="Selling pet toys + Artificial grass/Pet toilets (TARGET)",15,IF(N1548="Selling artificial grass/pet toilets (TARGET)",10,IF(N1548="Selling pet toys",7,IF(N1548="There's an Amazon link, but no target sales.",3,0))))</f>
        <v/>
      </c>
      <c r="P1548" s="67">
        <f>H1548+J1548+L1548+M1548+O1548</f>
        <v/>
      </c>
      <c r="Q1548" s="68">
        <f>IF(OR(H1548=0,P1548&lt;30),"Tier D (Đóng băng)",IF(P1548&gt;=85,"Tier S (Kim Cương: 85-100đ)",IF(P1548&gt;=70,"Tier A (Vàng: 70-84đ)",IF(P1548&gt;=61,"Tier B+ / Cấp A (Hot Lead: 61-69đ)",IF(P1548&gt;=50,"Tier B (Bạc: 50-60đ)","Tier C (Đồng: 30-49đ)")))))</f>
        <v/>
      </c>
      <c r="R1548" s="9" t="inlineStr">
        <is>
          <t>Trọn gói Take-Home Starter Kit V2/V3 (Cỏ nhân tạo + Khay Potty + Đồ chơi Teething/Snuggle)</t>
        </is>
      </c>
      <c r="S1548" s="9" t="inlineStr">
        <is>
          <t>Đóng băng tương tác (&gt;30 ngày): Lưu trữ chờ kích hoạt lại, không tốn tài nguyên Sales</t>
        </is>
      </c>
    </row>
    <row r="1549">
      <c r="A1549" s="53" t="n">
        <v>311</v>
      </c>
      <c r="B1549" s="12" t="inlineStr">
        <is>
          <t>5W Kennels</t>
        </is>
      </c>
      <c r="C1549" s="54" t="inlineStr">
        <is>
          <t>https://www.facebook.com/profile.php?id=100057130553106</t>
        </is>
      </c>
      <c r="D1549" s="6" t="inlineStr">
        <is>
          <t>Cần quét Bio Fanpage</t>
        </is>
      </c>
      <c r="E1549" s="53" t="inlineStr">
        <is>
          <t>06/06/2026 00:28:08</t>
        </is>
      </c>
      <c r="F1549" s="53" t="inlineStr">
        <is>
          <t>4 tháng trước</t>
        </is>
      </c>
      <c r="G1549" s="55" t="n">
        <v>120</v>
      </c>
      <c r="H1549" s="56" t="n">
        <v>0</v>
      </c>
      <c r="I1549" s="6" t="inlineStr">
        <is>
          <t>Dog Breeder / Trại chó chuyên nghiệp (28-30đ)</t>
        </is>
      </c>
      <c r="J1549" s="56" t="n">
        <v>30</v>
      </c>
      <c r="K1549" s="6" t="inlineStr">
        <is>
          <t>Chưa rõ giống (Cần quét Bio)</t>
        </is>
      </c>
      <c r="L1549" s="56" t="n">
        <v>0</v>
      </c>
      <c r="M1549" s="56" t="n">
        <v>5</v>
      </c>
      <c r="N1549" s="6" t="inlineStr">
        <is>
          <t>Amazon link not found</t>
        </is>
      </c>
      <c r="O1549" s="56">
        <f>IF(N1549="Selling pet toys + Artificial grass/Pet toilets (TARGET)",15,IF(N1549="Selling artificial grass/pet toilets (TARGET)",10,IF(N1549="Selling pet toys",7,IF(N1549="There's an Amazon link, but no target sales.",3,0))))</f>
        <v/>
      </c>
      <c r="P1549" s="65">
        <f>H1549+J1549+L1549+M1549+O1549</f>
        <v/>
      </c>
      <c r="Q1549" s="68">
        <f>IF(OR(H1549=0,P1549&lt;30),"Tier D (Đóng băng)",IF(P1549&gt;=85,"Tier S (Kim Cương: 85-100đ)",IF(P1549&gt;=70,"Tier A (Vàng: 70-84đ)",IF(P1549&gt;=61,"Tier B+ / Cấp A (Hot Lead: 61-69đ)",IF(P1549&gt;=50,"Tier B (Bạc: 50-60đ)","Tier C (Đồng: 30-49đ)")))))</f>
        <v/>
      </c>
      <c r="R1549" s="6" t="inlineStr">
        <is>
          <t>Trọn gói Take-Home Starter Kit V2/V3 (Cỏ nhân tạo + Khay Potty + Đồ chơi Teething/Snuggle)</t>
        </is>
      </c>
      <c r="S1549" s="6" t="inlineStr">
        <is>
          <t>Đóng băng tương tác (&gt;30 ngày): Lưu trữ chờ kích hoạt lại, không tốn tài nguyên Sales</t>
        </is>
      </c>
    </row>
    <row r="1550">
      <c r="A1550" s="59" t="n">
        <v>3333</v>
      </c>
      <c r="B1550" s="15" t="inlineStr">
        <is>
          <t>Visible Love BC Kennel</t>
        </is>
      </c>
      <c r="C1550" s="60" t="inlineStr">
        <is>
          <t>https://www.facebook.com/profile.php?id=100083366439071</t>
        </is>
      </c>
      <c r="D1550" s="9" t="inlineStr">
        <is>
          <t>Cần quét Bio Fanpage</t>
        </is>
      </c>
      <c r="E1550" s="59" t="inlineStr">
        <is>
          <t>30/05/2026 01:29:56</t>
        </is>
      </c>
      <c r="F1550" s="59" t="inlineStr">
        <is>
          <t>4 tháng trước</t>
        </is>
      </c>
      <c r="G1550" s="61" t="n">
        <v>120</v>
      </c>
      <c r="H1550" s="62" t="n">
        <v>0</v>
      </c>
      <c r="I1550" s="9" t="inlineStr">
        <is>
          <t>Dog Breeder / Trại chó chuyên nghiệp (28-30đ)</t>
        </is>
      </c>
      <c r="J1550" s="62" t="n">
        <v>30</v>
      </c>
      <c r="K1550" s="9" t="inlineStr">
        <is>
          <t>Chưa rõ giống (Cần quét Bio)</t>
        </is>
      </c>
      <c r="L1550" s="62" t="n">
        <v>0</v>
      </c>
      <c r="M1550" s="62" t="n">
        <v>5</v>
      </c>
      <c r="N1550" s="9" t="inlineStr">
        <is>
          <t>Amazon link not found</t>
        </is>
      </c>
      <c r="O1550" s="62">
        <f>IF(N1550="Selling pet toys + Artificial grass/Pet toilets (TARGET)",15,IF(N1550="Selling artificial grass/pet toilets (TARGET)",10,IF(N1550="Selling pet toys",7,IF(N1550="There's an Amazon link, but no target sales.",3,0))))</f>
        <v/>
      </c>
      <c r="P1550" s="67">
        <f>H1550+J1550+L1550+M1550+O1550</f>
        <v/>
      </c>
      <c r="Q1550" s="68">
        <f>IF(OR(H1550=0,P1550&lt;30),"Tier D (Đóng băng)",IF(P1550&gt;=85,"Tier S (Kim Cương: 85-100đ)",IF(P1550&gt;=70,"Tier A (Vàng: 70-84đ)",IF(P1550&gt;=61,"Tier B+ / Cấp A (Hot Lead: 61-69đ)",IF(P1550&gt;=50,"Tier B (Bạc: 50-60đ)","Tier C (Đồng: 30-49đ)")))))</f>
        <v/>
      </c>
      <c r="R1550" s="9" t="inlineStr">
        <is>
          <t>Trọn gói Take-Home Starter Kit V2/V3 (Cỏ nhân tạo + Khay Potty + Đồ chơi Teething/Snuggle)</t>
        </is>
      </c>
      <c r="S1550" s="9" t="inlineStr">
        <is>
          <t>Đóng băng tương tác (&gt;30 ngày): Lưu trữ chờ kích hoạt lại, không tốn tài nguyên Sales</t>
        </is>
      </c>
    </row>
    <row r="1551">
      <c r="A1551" s="53" t="n">
        <v>1417</v>
      </c>
      <c r="B1551" s="12" t="inlineStr">
        <is>
          <t>Forest Paws Kennel</t>
        </is>
      </c>
      <c r="C1551" s="54" t="inlineStr">
        <is>
          <t>https://www.facebook.com/profile.php?id=100093978677164</t>
        </is>
      </c>
      <c r="D1551" s="6" t="inlineStr">
        <is>
          <t>Cần quét Bio Fanpage</t>
        </is>
      </c>
      <c r="E1551" s="53" t="inlineStr">
        <is>
          <t>29/05/2026 16:10:33</t>
        </is>
      </c>
      <c r="F1551" s="53" t="inlineStr">
        <is>
          <t>4 tháng trước</t>
        </is>
      </c>
      <c r="G1551" s="55" t="n">
        <v>120</v>
      </c>
      <c r="H1551" s="56" t="n">
        <v>0</v>
      </c>
      <c r="I1551" s="6" t="inlineStr">
        <is>
          <t>Dog Breeder / Trại chó chuyên nghiệp (28-30đ)</t>
        </is>
      </c>
      <c r="J1551" s="56" t="n">
        <v>30</v>
      </c>
      <c r="K1551" s="6" t="inlineStr">
        <is>
          <t>Chưa rõ giống (Cần quét Bio)</t>
        </is>
      </c>
      <c r="L1551" s="56" t="n">
        <v>0</v>
      </c>
      <c r="M1551" s="56" t="n">
        <v>5</v>
      </c>
      <c r="N1551" s="6" t="inlineStr">
        <is>
          <t>Amazon link not found</t>
        </is>
      </c>
      <c r="O1551" s="56">
        <f>IF(N1551="Selling pet toys + Artificial grass/Pet toilets (TARGET)",15,IF(N1551="Selling artificial grass/pet toilets (TARGET)",10,IF(N1551="Selling pet toys",7,IF(N1551="There's an Amazon link, but no target sales.",3,0))))</f>
        <v/>
      </c>
      <c r="P1551" s="65">
        <f>H1551+J1551+L1551+M1551+O1551</f>
        <v/>
      </c>
      <c r="Q1551" s="68">
        <f>IF(OR(H1551=0,P1551&lt;30),"Tier D (Đóng băng)",IF(P1551&gt;=85,"Tier S (Kim Cương: 85-100đ)",IF(P1551&gt;=70,"Tier A (Vàng: 70-84đ)",IF(P1551&gt;=61,"Tier B+ / Cấp A (Hot Lead: 61-69đ)",IF(P1551&gt;=50,"Tier B (Bạc: 50-60đ)","Tier C (Đồng: 30-49đ)")))))</f>
        <v/>
      </c>
      <c r="R1551" s="6" t="inlineStr">
        <is>
          <t>Trọn gói Take-Home Starter Kit V2/V3 (Cỏ nhân tạo + Khay Potty + Đồ chơi Teething/Snuggle)</t>
        </is>
      </c>
      <c r="S1551" s="6" t="inlineStr">
        <is>
          <t>Đóng băng tương tác (&gt;30 ngày): Lưu trữ chờ kích hoạt lại, không tốn tài nguyên Sales</t>
        </is>
      </c>
    </row>
    <row r="1552">
      <c r="A1552" s="59" t="n">
        <v>326</v>
      </c>
      <c r="B1552" s="15" t="inlineStr">
        <is>
          <t>Abemarx Fantasy BC Kennel</t>
        </is>
      </c>
      <c r="C1552" s="60" t="inlineStr">
        <is>
          <t>https://www.facebook.com/abemarx</t>
        </is>
      </c>
      <c r="D1552" s="9" t="inlineStr">
        <is>
          <t>Cần quét Bio Fanpage</t>
        </is>
      </c>
      <c r="E1552" s="59" t="inlineStr">
        <is>
          <t>21/05/2026 19:05:37</t>
        </is>
      </c>
      <c r="F1552" s="59" t="inlineStr">
        <is>
          <t>4 tháng trước</t>
        </is>
      </c>
      <c r="G1552" s="61" t="n">
        <v>120</v>
      </c>
      <c r="H1552" s="62" t="n">
        <v>0</v>
      </c>
      <c r="I1552" s="9" t="inlineStr">
        <is>
          <t>Dog Breeder / Trại chó chuyên nghiệp (28-30đ)</t>
        </is>
      </c>
      <c r="J1552" s="62" t="n">
        <v>30</v>
      </c>
      <c r="K1552" s="9" t="inlineStr">
        <is>
          <t>Chưa rõ giống (Cần quét Bio)</t>
        </is>
      </c>
      <c r="L1552" s="62" t="n">
        <v>0</v>
      </c>
      <c r="M1552" s="62" t="n">
        <v>5</v>
      </c>
      <c r="N1552" s="9" t="inlineStr">
        <is>
          <t>Amazon link not found</t>
        </is>
      </c>
      <c r="O1552" s="62">
        <f>IF(N1552="Selling pet toys + Artificial grass/Pet toilets (TARGET)",15,IF(N1552="Selling artificial grass/pet toilets (TARGET)",10,IF(N1552="Selling pet toys",7,IF(N1552="There's an Amazon link, but no target sales.",3,0))))</f>
        <v/>
      </c>
      <c r="P1552" s="67">
        <f>H1552+J1552+L1552+M1552+O1552</f>
        <v/>
      </c>
      <c r="Q1552" s="68">
        <f>IF(OR(H1552=0,P1552&lt;30),"Tier D (Đóng băng)",IF(P1552&gt;=85,"Tier S (Kim Cương: 85-100đ)",IF(P1552&gt;=70,"Tier A (Vàng: 70-84đ)",IF(P1552&gt;=61,"Tier B+ / Cấp A (Hot Lead: 61-69đ)",IF(P1552&gt;=50,"Tier B (Bạc: 50-60đ)","Tier C (Đồng: 30-49đ)")))))</f>
        <v/>
      </c>
      <c r="R1552" s="9" t="inlineStr">
        <is>
          <t>Trọn gói Take-Home Starter Kit V2/V3 (Cỏ nhân tạo + Khay Potty + Đồ chơi Teething/Snuggle)</t>
        </is>
      </c>
      <c r="S1552" s="9" t="inlineStr">
        <is>
          <t>Đóng băng tương tác (&gt;30 ngày): Lưu trữ chờ kích hoạt lại, không tốn tài nguyên Sales</t>
        </is>
      </c>
    </row>
    <row r="1553">
      <c r="A1553" s="53" t="n">
        <v>1057</v>
      </c>
      <c r="B1553" s="12" t="inlineStr">
        <is>
          <t>Dog Easy Kennels</t>
        </is>
      </c>
      <c r="C1553" s="54" t="inlineStr">
        <is>
          <t>https://www.facebook.com/stanricdogeasy</t>
        </is>
      </c>
      <c r="D1553" s="6" t="inlineStr">
        <is>
          <t>Cần quét Bio Fanpage</t>
        </is>
      </c>
      <c r="E1553" s="53" t="inlineStr">
        <is>
          <t>13/05/2026 11:31:08</t>
        </is>
      </c>
      <c r="F1553" s="53" t="inlineStr">
        <is>
          <t>5 tháng trước</t>
        </is>
      </c>
      <c r="G1553" s="55" t="n">
        <v>150</v>
      </c>
      <c r="H1553" s="56" t="n">
        <v>0</v>
      </c>
      <c r="I1553" s="6" t="inlineStr">
        <is>
          <t>Dog Breeder / Trại chó chuyên nghiệp (28-30đ)</t>
        </is>
      </c>
      <c r="J1553" s="56" t="n">
        <v>30</v>
      </c>
      <c r="K1553" s="6" t="inlineStr">
        <is>
          <t>Chưa rõ giống (Cần quét Bio)</t>
        </is>
      </c>
      <c r="L1553" s="56" t="n">
        <v>0</v>
      </c>
      <c r="M1553" s="56" t="n">
        <v>5</v>
      </c>
      <c r="N1553" s="6" t="inlineStr">
        <is>
          <t>Amazon link not found</t>
        </is>
      </c>
      <c r="O1553" s="56">
        <f>IF(N1553="Selling pet toys + Artificial grass/Pet toilets (TARGET)",15,IF(N1553="Selling artificial grass/pet toilets (TARGET)",10,IF(N1553="Selling pet toys",7,IF(N1553="There's an Amazon link, but no target sales.",3,0))))</f>
        <v/>
      </c>
      <c r="P1553" s="65">
        <f>H1553+J1553+L1553+M1553+O1553</f>
        <v/>
      </c>
      <c r="Q1553" s="68">
        <f>IF(OR(H1553=0,P1553&lt;30),"Tier D (Đóng băng)",IF(P1553&gt;=85,"Tier S (Kim Cương: 85-100đ)",IF(P1553&gt;=70,"Tier A (Vàng: 70-84đ)",IF(P1553&gt;=61,"Tier B+ / Cấp A (Hot Lead: 61-69đ)",IF(P1553&gt;=50,"Tier B (Bạc: 50-60đ)","Tier C (Đồng: 30-49đ)")))))</f>
        <v/>
      </c>
      <c r="R1553" s="6" t="inlineStr">
        <is>
          <t>Trọn gói Take-Home Starter Kit V2/V3 (Cỏ nhân tạo + Khay Potty + Đồ chơi Teething/Snuggle)</t>
        </is>
      </c>
      <c r="S1553" s="6" t="inlineStr">
        <is>
          <t>Đóng băng tương tác (&gt;30 ngày): Lưu trữ chờ kích hoạt lại, không tốn tài nguyên Sales</t>
        </is>
      </c>
    </row>
    <row r="1554">
      <c r="A1554" s="59" t="n">
        <v>1534</v>
      </c>
      <c r="B1554" s="15" t="inlineStr">
        <is>
          <t>Goose Down Farm Kennel</t>
        </is>
      </c>
      <c r="C1554" s="60" t="inlineStr">
        <is>
          <t>https://www.facebook.com/profile.php?id=100058505514554</t>
        </is>
      </c>
      <c r="D1554" s="9" t="inlineStr">
        <is>
          <t>Cần quét Bio Fanpage</t>
        </is>
      </c>
      <c r="E1554" s="59" t="inlineStr">
        <is>
          <t>10/05/2026 06:25:39</t>
        </is>
      </c>
      <c r="F1554" s="59" t="inlineStr">
        <is>
          <t>5 tháng trước</t>
        </is>
      </c>
      <c r="G1554" s="61" t="n">
        <v>150</v>
      </c>
      <c r="H1554" s="62" t="n">
        <v>0</v>
      </c>
      <c r="I1554" s="9" t="inlineStr">
        <is>
          <t>Dog Breeder / Trại chó chuyên nghiệp (28-30đ)</t>
        </is>
      </c>
      <c r="J1554" s="62" t="n">
        <v>30</v>
      </c>
      <c r="K1554" s="9" t="inlineStr">
        <is>
          <t>Chưa rõ giống (Cần quét Bio)</t>
        </is>
      </c>
      <c r="L1554" s="62" t="n">
        <v>0</v>
      </c>
      <c r="M1554" s="62" t="n">
        <v>5</v>
      </c>
      <c r="N1554" s="9" t="inlineStr">
        <is>
          <t>Amazon link not found</t>
        </is>
      </c>
      <c r="O1554" s="62">
        <f>IF(N1554="Selling pet toys + Artificial grass/Pet toilets (TARGET)",15,IF(N1554="Selling artificial grass/pet toilets (TARGET)",10,IF(N1554="Selling pet toys",7,IF(N1554="There's an Amazon link, but no target sales.",3,0))))</f>
        <v/>
      </c>
      <c r="P1554" s="67">
        <f>H1554+J1554+L1554+M1554+O1554</f>
        <v/>
      </c>
      <c r="Q1554" s="68">
        <f>IF(OR(H1554=0,P1554&lt;30),"Tier D (Đóng băng)",IF(P1554&gt;=85,"Tier S (Kim Cương: 85-100đ)",IF(P1554&gt;=70,"Tier A (Vàng: 70-84đ)",IF(P1554&gt;=61,"Tier B+ / Cấp A (Hot Lead: 61-69đ)",IF(P1554&gt;=50,"Tier B (Bạc: 50-60đ)","Tier C (Đồng: 30-49đ)")))))</f>
        <v/>
      </c>
      <c r="R1554" s="9" t="inlineStr">
        <is>
          <t>Trọn gói Take-Home Starter Kit V2/V3 (Cỏ nhân tạo + Khay Potty + Đồ chơi Teething/Snuggle)</t>
        </is>
      </c>
      <c r="S1554" s="9" t="inlineStr">
        <is>
          <t>Đóng băng tương tác (&gt;30 ngày): Lưu trữ chờ kích hoạt lại, không tốn tài nguyên Sales</t>
        </is>
      </c>
    </row>
    <row r="1555">
      <c r="A1555" s="53" t="n">
        <v>947</v>
      </c>
      <c r="B1555" s="12" t="inlineStr">
        <is>
          <t>Cotton Kiss Kennel</t>
        </is>
      </c>
      <c r="C1555" s="54" t="inlineStr">
        <is>
          <t>https://www.facebook.com/cottonkisskennel</t>
        </is>
      </c>
      <c r="D1555" s="6" t="inlineStr">
        <is>
          <t>Cần quét Bio Fanpage</t>
        </is>
      </c>
      <c r="E1555" s="53" t="inlineStr">
        <is>
          <t>05/05/2026 23:58:07</t>
        </is>
      </c>
      <c r="F1555" s="53" t="inlineStr">
        <is>
          <t>5 tháng trước</t>
        </is>
      </c>
      <c r="G1555" s="55" t="n">
        <v>150</v>
      </c>
      <c r="H1555" s="56" t="n">
        <v>0</v>
      </c>
      <c r="I1555" s="6" t="inlineStr">
        <is>
          <t>Dog Breeder / Trại chó chuyên nghiệp (28-30đ)</t>
        </is>
      </c>
      <c r="J1555" s="56" t="n">
        <v>30</v>
      </c>
      <c r="K1555" s="6" t="inlineStr">
        <is>
          <t>Chưa rõ giống (Cần quét Bio)</t>
        </is>
      </c>
      <c r="L1555" s="56" t="n">
        <v>0</v>
      </c>
      <c r="M1555" s="56" t="n">
        <v>5</v>
      </c>
      <c r="N1555" s="6" t="inlineStr">
        <is>
          <t>Amazon link not found</t>
        </is>
      </c>
      <c r="O1555" s="56">
        <f>IF(N1555="Selling pet toys + Artificial grass/Pet toilets (TARGET)",15,IF(N1555="Selling artificial grass/pet toilets (TARGET)",10,IF(N1555="Selling pet toys",7,IF(N1555="There's an Amazon link, but no target sales.",3,0))))</f>
        <v/>
      </c>
      <c r="P1555" s="65">
        <f>H1555+J1555+L1555+M1555+O1555</f>
        <v/>
      </c>
      <c r="Q1555" s="68">
        <f>IF(OR(H1555=0,P1555&lt;30),"Tier D (Đóng băng)",IF(P1555&gt;=85,"Tier S (Kim Cương: 85-100đ)",IF(P1555&gt;=70,"Tier A (Vàng: 70-84đ)",IF(P1555&gt;=61,"Tier B+ / Cấp A (Hot Lead: 61-69đ)",IF(P1555&gt;=50,"Tier B (Bạc: 50-60đ)","Tier C (Đồng: 30-49đ)")))))</f>
        <v/>
      </c>
      <c r="R1555" s="6" t="inlineStr">
        <is>
          <t>Trọn gói Take-Home Starter Kit V2/V3 (Cỏ nhân tạo + Khay Potty + Đồ chơi Teething/Snuggle)</t>
        </is>
      </c>
      <c r="S1555" s="6" t="inlineStr">
        <is>
          <t>Đóng băng tương tác (&gt;30 ngày): Lưu trữ chờ kích hoạt lại, không tốn tài nguyên Sales</t>
        </is>
      </c>
    </row>
    <row r="1556">
      <c r="A1556" s="59" t="n">
        <v>966</v>
      </c>
      <c r="B1556" s="15" t="inlineStr">
        <is>
          <t>Crooked Creek Kennel- Josh McNeal</t>
        </is>
      </c>
      <c r="C1556" s="60" t="inlineStr">
        <is>
          <t>https://www.facebook.com/profile.php?id=100047350361904</t>
        </is>
      </c>
      <c r="D1556" s="9" t="inlineStr">
        <is>
          <t>Cần quét Bio Fanpage</t>
        </is>
      </c>
      <c r="E1556" s="59" t="inlineStr">
        <is>
          <t>05/05/2026 01:54:20</t>
        </is>
      </c>
      <c r="F1556" s="59" t="inlineStr">
        <is>
          <t>5 tháng trước</t>
        </is>
      </c>
      <c r="G1556" s="61" t="n">
        <v>150</v>
      </c>
      <c r="H1556" s="62" t="n">
        <v>0</v>
      </c>
      <c r="I1556" s="9" t="inlineStr">
        <is>
          <t>Dog Breeder / Trại chó chuyên nghiệp (28-30đ)</t>
        </is>
      </c>
      <c r="J1556" s="62" t="n">
        <v>30</v>
      </c>
      <c r="K1556" s="9" t="inlineStr">
        <is>
          <t>Chưa rõ giống (Cần quét Bio)</t>
        </is>
      </c>
      <c r="L1556" s="62" t="n">
        <v>0</v>
      </c>
      <c r="M1556" s="62" t="n">
        <v>5</v>
      </c>
      <c r="N1556" s="9" t="inlineStr">
        <is>
          <t>Amazon link not found</t>
        </is>
      </c>
      <c r="O1556" s="62">
        <f>IF(N1556="Selling pet toys + Artificial grass/Pet toilets (TARGET)",15,IF(N1556="Selling artificial grass/pet toilets (TARGET)",10,IF(N1556="Selling pet toys",7,IF(N1556="There's an Amazon link, but no target sales.",3,0))))</f>
        <v/>
      </c>
      <c r="P1556" s="67">
        <f>H1556+J1556+L1556+M1556+O1556</f>
        <v/>
      </c>
      <c r="Q1556" s="68">
        <f>IF(OR(H1556=0,P1556&lt;30),"Tier D (Đóng băng)",IF(P1556&gt;=85,"Tier S (Kim Cương: 85-100đ)",IF(P1556&gt;=70,"Tier A (Vàng: 70-84đ)",IF(P1556&gt;=61,"Tier B+ / Cấp A (Hot Lead: 61-69đ)",IF(P1556&gt;=50,"Tier B (Bạc: 50-60đ)","Tier C (Đồng: 30-49đ)")))))</f>
        <v/>
      </c>
      <c r="R1556" s="9" t="inlineStr">
        <is>
          <t>Trọn gói Take-Home Starter Kit V2/V3 (Cỏ nhân tạo + Khay Potty + Đồ chơi Teething/Snuggle)</t>
        </is>
      </c>
      <c r="S1556" s="9" t="inlineStr">
        <is>
          <t>Đóng băng tương tác (&gt;30 ngày): Lưu trữ chờ kích hoạt lại, không tốn tài nguyên Sales</t>
        </is>
      </c>
    </row>
    <row r="1557">
      <c r="A1557" s="53" t="n">
        <v>2631</v>
      </c>
      <c r="B1557" s="12" t="inlineStr">
        <is>
          <t>Prince of dreams kennel</t>
        </is>
      </c>
      <c r="C1557" s="54" t="inlineStr">
        <is>
          <t>https://www.facebook.com/profile.php?id=100041817589195</t>
        </is>
      </c>
      <c r="D1557" s="6" t="inlineStr">
        <is>
          <t>Cần quét Bio Fanpage</t>
        </is>
      </c>
      <c r="E1557" s="53" t="inlineStr">
        <is>
          <t>24/04/2026 14:52:39</t>
        </is>
      </c>
      <c r="F1557" s="53" t="inlineStr">
        <is>
          <t>5 tháng trước</t>
        </is>
      </c>
      <c r="G1557" s="55" t="n">
        <v>150</v>
      </c>
      <c r="H1557" s="56" t="n">
        <v>0</v>
      </c>
      <c r="I1557" s="6" t="inlineStr">
        <is>
          <t>Dog Breeder / Trại chó chuyên nghiệp (28-30đ)</t>
        </is>
      </c>
      <c r="J1557" s="56" t="n">
        <v>30</v>
      </c>
      <c r="K1557" s="6" t="inlineStr">
        <is>
          <t>Chưa rõ giống (Cần quét Bio)</t>
        </is>
      </c>
      <c r="L1557" s="56" t="n">
        <v>0</v>
      </c>
      <c r="M1557" s="56" t="n">
        <v>5</v>
      </c>
      <c r="N1557" s="6" t="inlineStr">
        <is>
          <t>Amazon link not found</t>
        </is>
      </c>
      <c r="O1557" s="56">
        <f>IF(N1557="Selling pet toys + Artificial grass/Pet toilets (TARGET)",15,IF(N1557="Selling artificial grass/pet toilets (TARGET)",10,IF(N1557="Selling pet toys",7,IF(N1557="There's an Amazon link, but no target sales.",3,0))))</f>
        <v/>
      </c>
      <c r="P1557" s="65">
        <f>H1557+J1557+L1557+M1557+O1557</f>
        <v/>
      </c>
      <c r="Q1557" s="68">
        <f>IF(OR(H1557=0,P1557&lt;30),"Tier D (Đóng băng)",IF(P1557&gt;=85,"Tier S (Kim Cương: 85-100đ)",IF(P1557&gt;=70,"Tier A (Vàng: 70-84đ)",IF(P1557&gt;=61,"Tier B+ / Cấp A (Hot Lead: 61-69đ)",IF(P1557&gt;=50,"Tier B (Bạc: 50-60đ)","Tier C (Đồng: 30-49đ)")))))</f>
        <v/>
      </c>
      <c r="R1557" s="6" t="inlineStr">
        <is>
          <t>Trọn gói Take-Home Starter Kit V2/V3 (Cỏ nhân tạo + Khay Potty + Đồ chơi Teething/Snuggle)</t>
        </is>
      </c>
      <c r="S1557" s="6" t="inlineStr">
        <is>
          <t>Đóng băng tương tác (&gt;30 ngày): Lưu trữ chờ kích hoạt lại, không tốn tài nguyên Sales</t>
        </is>
      </c>
    </row>
    <row r="1558">
      <c r="A1558" s="59" t="n">
        <v>2352</v>
      </c>
      <c r="B1558" s="15" t="inlineStr">
        <is>
          <t>Old Red Kennels</t>
        </is>
      </c>
      <c r="C1558" s="60" t="inlineStr">
        <is>
          <t>https://www.facebook.com/oldredkennelsoninsta</t>
        </is>
      </c>
      <c r="D1558" s="9" t="inlineStr">
        <is>
          <t>Cần quét Bio Fanpage</t>
        </is>
      </c>
      <c r="E1558" s="59" t="inlineStr">
        <is>
          <t>02/04/2026 22:04:56</t>
        </is>
      </c>
      <c r="F1558" s="59" t="inlineStr">
        <is>
          <t>6 tháng trước</t>
        </is>
      </c>
      <c r="G1558" s="61" t="n">
        <v>180</v>
      </c>
      <c r="H1558" s="62" t="n">
        <v>0</v>
      </c>
      <c r="I1558" s="9" t="inlineStr">
        <is>
          <t>Dog Breeder / Trại chó chuyên nghiệp (28-30đ)</t>
        </is>
      </c>
      <c r="J1558" s="62" t="n">
        <v>30</v>
      </c>
      <c r="K1558" s="9" t="inlineStr">
        <is>
          <t>Chưa rõ giống (Cần quét Bio)</t>
        </is>
      </c>
      <c r="L1558" s="62" t="n">
        <v>0</v>
      </c>
      <c r="M1558" s="62" t="n">
        <v>5</v>
      </c>
      <c r="N1558" s="9" t="inlineStr">
        <is>
          <t>Amazon link not found</t>
        </is>
      </c>
      <c r="O1558" s="62">
        <f>IF(N1558="Selling pet toys + Artificial grass/Pet toilets (TARGET)",15,IF(N1558="Selling artificial grass/pet toilets (TARGET)",10,IF(N1558="Selling pet toys",7,IF(N1558="There's an Amazon link, but no target sales.",3,0))))</f>
        <v/>
      </c>
      <c r="P1558" s="67">
        <f>H1558+J1558+L1558+M1558+O1558</f>
        <v/>
      </c>
      <c r="Q1558" s="68">
        <f>IF(OR(H1558=0,P1558&lt;30),"Tier D (Đóng băng)",IF(P1558&gt;=85,"Tier S (Kim Cương: 85-100đ)",IF(P1558&gt;=70,"Tier A (Vàng: 70-84đ)",IF(P1558&gt;=61,"Tier B+ / Cấp A (Hot Lead: 61-69đ)",IF(P1558&gt;=50,"Tier B (Bạc: 50-60đ)","Tier C (Đồng: 30-49đ)")))))</f>
        <v/>
      </c>
      <c r="R1558" s="9" t="inlineStr">
        <is>
          <t>Trọn gói Take-Home Starter Kit V2/V3 (Cỏ nhân tạo + Khay Potty + Đồ chơi Teething/Snuggle)</t>
        </is>
      </c>
      <c r="S1558" s="9" t="inlineStr">
        <is>
          <t>Đóng băng tương tác (&gt;30 ngày): Lưu trữ chờ kích hoạt lại, không tốn tài nguyên Sales</t>
        </is>
      </c>
    </row>
    <row r="1559">
      <c r="A1559" s="53" t="n">
        <v>2245</v>
      </c>
      <c r="B1559" s="12" t="inlineStr">
        <is>
          <t>My puppies</t>
        </is>
      </c>
      <c r="C1559" s="54" t="inlineStr">
        <is>
          <t>https://www.facebook.com/labranzh</t>
        </is>
      </c>
      <c r="D1559" s="6" t="inlineStr">
        <is>
          <t>Cần quét Bio Fanpage</t>
        </is>
      </c>
      <c r="E1559" s="53" t="inlineStr">
        <is>
          <t>23/03/2026 15:55:14</t>
        </is>
      </c>
      <c r="F1559" s="53" t="inlineStr">
        <is>
          <t>6 tháng trước</t>
        </is>
      </c>
      <c r="G1559" s="55" t="n">
        <v>180</v>
      </c>
      <c r="H1559" s="56" t="n">
        <v>0</v>
      </c>
      <c r="I1559" s="6" t="inlineStr">
        <is>
          <t>Dog Breeder / Trại chó chuyên nghiệp (28-30đ)</t>
        </is>
      </c>
      <c r="J1559" s="56" t="n">
        <v>30</v>
      </c>
      <c r="K1559" s="6" t="inlineStr">
        <is>
          <t>Chưa rõ giống (Cần quét Bio)</t>
        </is>
      </c>
      <c r="L1559" s="56" t="n">
        <v>0</v>
      </c>
      <c r="M1559" s="56" t="n">
        <v>5</v>
      </c>
      <c r="N1559" s="6" t="inlineStr">
        <is>
          <t>Amazon link not found</t>
        </is>
      </c>
      <c r="O1559" s="56">
        <f>IF(N1559="Selling pet toys + Artificial grass/Pet toilets (TARGET)",15,IF(N1559="Selling artificial grass/pet toilets (TARGET)",10,IF(N1559="Selling pet toys",7,IF(N1559="There's an Amazon link, but no target sales.",3,0))))</f>
        <v/>
      </c>
      <c r="P1559" s="65">
        <f>H1559+J1559+L1559+M1559+O1559</f>
        <v/>
      </c>
      <c r="Q1559" s="68">
        <f>IF(OR(H1559=0,P1559&lt;30),"Tier D (Đóng băng)",IF(P1559&gt;=85,"Tier S (Kim Cương: 85-100đ)",IF(P1559&gt;=70,"Tier A (Vàng: 70-84đ)",IF(P1559&gt;=61,"Tier B+ / Cấp A (Hot Lead: 61-69đ)",IF(P1559&gt;=50,"Tier B (Bạc: 50-60đ)","Tier C (Đồng: 30-49đ)")))))</f>
        <v/>
      </c>
      <c r="R1559" s="6" t="inlineStr">
        <is>
          <t>Trọn gói Take-Home Starter Kit V2/V3 (Cỏ nhân tạo + Khay Potty + Đồ chơi Teething/Snuggle)</t>
        </is>
      </c>
      <c r="S1559" s="6" t="inlineStr">
        <is>
          <t>Đóng băng tương tác (&gt;30 ngày): Lưu trữ chờ kích hoạt lại, không tốn tài nguyên Sales</t>
        </is>
      </c>
    </row>
    <row r="1560">
      <c r="A1560" s="59" t="n">
        <v>1214</v>
      </c>
      <c r="B1560" s="15" t="inlineStr">
        <is>
          <t>Double Luck kennel</t>
        </is>
      </c>
      <c r="C1560" s="60" t="inlineStr">
        <is>
          <t>https://www.facebook.com/doubleluckkennel</t>
        </is>
      </c>
      <c r="D1560" s="9" t="inlineStr">
        <is>
          <t>Cần quét Bio Fanpage</t>
        </is>
      </c>
      <c r="E1560" s="59" t="inlineStr">
        <is>
          <t>21/03/2026 22:20:25</t>
        </is>
      </c>
      <c r="F1560" s="59" t="inlineStr">
        <is>
          <t>6 tháng trước</t>
        </is>
      </c>
      <c r="G1560" s="61" t="n">
        <v>180</v>
      </c>
      <c r="H1560" s="62" t="n">
        <v>0</v>
      </c>
      <c r="I1560" s="9" t="inlineStr">
        <is>
          <t>Dog Breeder / Trại chó chuyên nghiệp (28-30đ)</t>
        </is>
      </c>
      <c r="J1560" s="62" t="n">
        <v>30</v>
      </c>
      <c r="K1560" s="9" t="inlineStr">
        <is>
          <t>Chưa rõ giống (Cần quét Bio)</t>
        </is>
      </c>
      <c r="L1560" s="62" t="n">
        <v>0</v>
      </c>
      <c r="M1560" s="62" t="n">
        <v>5</v>
      </c>
      <c r="N1560" s="9" t="inlineStr">
        <is>
          <t>Amazon link not found</t>
        </is>
      </c>
      <c r="O1560" s="62">
        <f>IF(N1560="Selling pet toys + Artificial grass/Pet toilets (TARGET)",15,IF(N1560="Selling artificial grass/pet toilets (TARGET)",10,IF(N1560="Selling pet toys",7,IF(N1560="There's an Amazon link, but no target sales.",3,0))))</f>
        <v/>
      </c>
      <c r="P1560" s="67">
        <f>H1560+J1560+L1560+M1560+O1560</f>
        <v/>
      </c>
      <c r="Q1560" s="68">
        <f>IF(OR(H1560=0,P1560&lt;30),"Tier D (Đóng băng)",IF(P1560&gt;=85,"Tier S (Kim Cương: 85-100đ)",IF(P1560&gt;=70,"Tier A (Vàng: 70-84đ)",IF(P1560&gt;=61,"Tier B+ / Cấp A (Hot Lead: 61-69đ)",IF(P1560&gt;=50,"Tier B (Bạc: 50-60đ)","Tier C (Đồng: 30-49đ)")))))</f>
        <v/>
      </c>
      <c r="R1560" s="9" t="inlineStr">
        <is>
          <t>Trọn gói Take-Home Starter Kit V2/V3 (Cỏ nhân tạo + Khay Potty + Đồ chơi Teething/Snuggle)</t>
        </is>
      </c>
      <c r="S1560" s="9" t="inlineStr">
        <is>
          <t>Đóng băng tương tác (&gt;30 ngày): Lưu trữ chờ kích hoạt lại, không tốn tài nguyên Sales</t>
        </is>
      </c>
    </row>
    <row r="1561">
      <c r="A1561" s="53" t="n">
        <v>998</v>
      </c>
      <c r="B1561" s="12" t="inlineStr">
        <is>
          <t>Daniel Bensusan Kennel Campo de Gibraltar</t>
        </is>
      </c>
      <c r="C1561" s="54" t="inlineStr">
        <is>
          <t>https://www.facebook.com/profile.php?id=61555700740322</t>
        </is>
      </c>
      <c r="D1561" s="6" t="inlineStr">
        <is>
          <t>Cần quét Bio Fanpage</t>
        </is>
      </c>
      <c r="E1561" s="53" t="inlineStr">
        <is>
          <t>20/03/2026 22:00:48</t>
        </is>
      </c>
      <c r="F1561" s="53" t="inlineStr">
        <is>
          <t>6 tháng trước</t>
        </is>
      </c>
      <c r="G1561" s="55" t="n">
        <v>180</v>
      </c>
      <c r="H1561" s="56" t="n">
        <v>0</v>
      </c>
      <c r="I1561" s="6" t="inlineStr">
        <is>
          <t>Dog Breeder / Trại chó chuyên nghiệp (28-30đ)</t>
        </is>
      </c>
      <c r="J1561" s="56" t="n">
        <v>30</v>
      </c>
      <c r="K1561" s="6" t="inlineStr">
        <is>
          <t>Chưa rõ giống (Cần quét Bio)</t>
        </is>
      </c>
      <c r="L1561" s="56" t="n">
        <v>0</v>
      </c>
      <c r="M1561" s="56" t="n">
        <v>5</v>
      </c>
      <c r="N1561" s="6" t="inlineStr">
        <is>
          <t>Amazon link not found</t>
        </is>
      </c>
      <c r="O1561" s="56">
        <f>IF(N1561="Selling pet toys + Artificial grass/Pet toilets (TARGET)",15,IF(N1561="Selling artificial grass/pet toilets (TARGET)",10,IF(N1561="Selling pet toys",7,IF(N1561="There's an Amazon link, but no target sales.",3,0))))</f>
        <v/>
      </c>
      <c r="P1561" s="65">
        <f>H1561+J1561+L1561+M1561+O1561</f>
        <v/>
      </c>
      <c r="Q1561" s="68">
        <f>IF(OR(H1561=0,P1561&lt;30),"Tier D (Đóng băng)",IF(P1561&gt;=85,"Tier S (Kim Cương: 85-100đ)",IF(P1561&gt;=70,"Tier A (Vàng: 70-84đ)",IF(P1561&gt;=61,"Tier B+ / Cấp A (Hot Lead: 61-69đ)",IF(P1561&gt;=50,"Tier B (Bạc: 50-60đ)","Tier C (Đồng: 30-49đ)")))))</f>
        <v/>
      </c>
      <c r="R1561" s="6" t="inlineStr">
        <is>
          <t>Trọn gói Take-Home Starter Kit V2/V3 (Cỏ nhân tạo + Khay Potty + Đồ chơi Teething/Snuggle)</t>
        </is>
      </c>
      <c r="S1561" s="6" t="inlineStr">
        <is>
          <t>Đóng băng tương tác (&gt;30 ngày): Lưu trữ chờ kích hoạt lại, không tốn tài nguyên Sales</t>
        </is>
      </c>
    </row>
    <row r="1562">
      <c r="A1562" s="59" t="n">
        <v>1306</v>
      </c>
      <c r="B1562" s="15" t="inlineStr">
        <is>
          <t>Executive Kennels</t>
        </is>
      </c>
      <c r="C1562" s="60" t="inlineStr">
        <is>
          <t>https://www.facebook.com/profile.php?id=100064779169323</t>
        </is>
      </c>
      <c r="D1562" s="9" t="inlineStr">
        <is>
          <t>Cần quét Bio Fanpage</t>
        </is>
      </c>
      <c r="E1562" s="59" t="inlineStr">
        <is>
          <t>17/03/2026 23:40:25</t>
        </is>
      </c>
      <c r="F1562" s="59" t="inlineStr">
        <is>
          <t>6 tháng trước</t>
        </is>
      </c>
      <c r="G1562" s="61" t="n">
        <v>180</v>
      </c>
      <c r="H1562" s="62" t="n">
        <v>0</v>
      </c>
      <c r="I1562" s="9" t="inlineStr">
        <is>
          <t>Dog Breeder / Trại chó chuyên nghiệp (28-30đ)</t>
        </is>
      </c>
      <c r="J1562" s="62" t="n">
        <v>30</v>
      </c>
      <c r="K1562" s="9" t="inlineStr">
        <is>
          <t>Chưa rõ giống (Cần quét Bio)</t>
        </is>
      </c>
      <c r="L1562" s="62" t="n">
        <v>0</v>
      </c>
      <c r="M1562" s="62" t="n">
        <v>5</v>
      </c>
      <c r="N1562" s="9" t="inlineStr">
        <is>
          <t>Amazon link not found</t>
        </is>
      </c>
      <c r="O1562" s="62">
        <f>IF(N1562="Selling pet toys + Artificial grass/Pet toilets (TARGET)",15,IF(N1562="Selling artificial grass/pet toilets (TARGET)",10,IF(N1562="Selling pet toys",7,IF(N1562="There's an Amazon link, but no target sales.",3,0))))</f>
        <v/>
      </c>
      <c r="P1562" s="67">
        <f>H1562+J1562+L1562+M1562+O1562</f>
        <v/>
      </c>
      <c r="Q1562" s="68">
        <f>IF(OR(H1562=0,P1562&lt;30),"Tier D (Đóng băng)",IF(P1562&gt;=85,"Tier S (Kim Cương: 85-100đ)",IF(P1562&gt;=70,"Tier A (Vàng: 70-84đ)",IF(P1562&gt;=61,"Tier B+ / Cấp A (Hot Lead: 61-69đ)",IF(P1562&gt;=50,"Tier B (Bạc: 50-60đ)","Tier C (Đồng: 30-49đ)")))))</f>
        <v/>
      </c>
      <c r="R1562" s="9" t="inlineStr">
        <is>
          <t>Trọn gói Take-Home Starter Kit V2/V3 (Cỏ nhân tạo + Khay Potty + Đồ chơi Teething/Snuggle)</t>
        </is>
      </c>
      <c r="S1562" s="9" t="inlineStr">
        <is>
          <t>Đóng băng tương tác (&gt;30 ngày): Lưu trữ chờ kích hoạt lại, không tốn tài nguyên Sales</t>
        </is>
      </c>
    </row>
    <row r="1563">
      <c r="A1563" s="53" t="n">
        <v>436</v>
      </c>
      <c r="B1563" s="12" t="inlineStr">
        <is>
          <t>Angel SIlvestre kennel</t>
        </is>
      </c>
      <c r="C1563" s="54" t="inlineStr">
        <is>
          <t>https://www.facebook.com/angelsilvestrekennel</t>
        </is>
      </c>
      <c r="D1563" s="6" t="inlineStr">
        <is>
          <t>Cần quét Bio Fanpage</t>
        </is>
      </c>
      <c r="E1563" s="53" t="inlineStr">
        <is>
          <t>15/03/2026 14:54:55</t>
        </is>
      </c>
      <c r="F1563" s="53" t="inlineStr">
        <is>
          <t>7 tháng trước</t>
        </is>
      </c>
      <c r="G1563" s="55" t="n">
        <v>210</v>
      </c>
      <c r="H1563" s="56" t="n">
        <v>0</v>
      </c>
      <c r="I1563" s="6" t="inlineStr">
        <is>
          <t>Dog Breeder / Trại chó chuyên nghiệp (28-30đ)</t>
        </is>
      </c>
      <c r="J1563" s="56" t="n">
        <v>30</v>
      </c>
      <c r="K1563" s="6" t="inlineStr">
        <is>
          <t>Chưa rõ giống (Cần quét Bio)</t>
        </is>
      </c>
      <c r="L1563" s="56" t="n">
        <v>0</v>
      </c>
      <c r="M1563" s="56" t="n">
        <v>5</v>
      </c>
      <c r="N1563" s="6" t="inlineStr">
        <is>
          <t>Amazon link not found</t>
        </is>
      </c>
      <c r="O1563" s="56">
        <f>IF(N1563="Selling pet toys + Artificial grass/Pet toilets (TARGET)",15,IF(N1563="Selling artificial grass/pet toilets (TARGET)",10,IF(N1563="Selling pet toys",7,IF(N1563="There's an Amazon link, but no target sales.",3,0))))</f>
        <v/>
      </c>
      <c r="P1563" s="65">
        <f>H1563+J1563+L1563+M1563+O1563</f>
        <v/>
      </c>
      <c r="Q1563" s="68">
        <f>IF(OR(H1563=0,P1563&lt;30),"Tier D (Đóng băng)",IF(P1563&gt;=85,"Tier S (Kim Cương: 85-100đ)",IF(P1563&gt;=70,"Tier A (Vàng: 70-84đ)",IF(P1563&gt;=61,"Tier B+ / Cấp A (Hot Lead: 61-69đ)",IF(P1563&gt;=50,"Tier B (Bạc: 50-60đ)","Tier C (Đồng: 30-49đ)")))))</f>
        <v/>
      </c>
      <c r="R1563" s="6" t="inlineStr">
        <is>
          <t>Trọn gói Take-Home Starter Kit V2/V3 (Cỏ nhân tạo + Khay Potty + Đồ chơi Teething/Snuggle)</t>
        </is>
      </c>
      <c r="S1563" s="6" t="inlineStr">
        <is>
          <t>Đóng băng tương tác (&gt;30 ngày): Lưu trữ chờ kích hoạt lại, không tốn tài nguyên Sales</t>
        </is>
      </c>
    </row>
    <row r="1564">
      <c r="A1564" s="59" t="n">
        <v>633</v>
      </c>
      <c r="B1564" s="15" t="inlineStr">
        <is>
          <t>Berjiss Kennel</t>
        </is>
      </c>
      <c r="C1564" s="60" t="inlineStr">
        <is>
          <t>https://www.facebook.com/BerjissUA</t>
        </is>
      </c>
      <c r="D1564" s="9" t="inlineStr">
        <is>
          <t>Cần quét Bio Fanpage</t>
        </is>
      </c>
      <c r="E1564" s="59" t="inlineStr">
        <is>
          <t>07/03/2026 01:12:50</t>
        </is>
      </c>
      <c r="F1564" s="59" t="inlineStr">
        <is>
          <t>7 tháng trước</t>
        </is>
      </c>
      <c r="G1564" s="61" t="n">
        <v>210</v>
      </c>
      <c r="H1564" s="62" t="n">
        <v>0</v>
      </c>
      <c r="I1564" s="9" t="inlineStr">
        <is>
          <t>Dog Breeder / Trại chó chuyên nghiệp (28-30đ)</t>
        </is>
      </c>
      <c r="J1564" s="62" t="n">
        <v>30</v>
      </c>
      <c r="K1564" s="9" t="inlineStr">
        <is>
          <t>Chưa rõ giống (Cần quét Bio)</t>
        </is>
      </c>
      <c r="L1564" s="62" t="n">
        <v>0</v>
      </c>
      <c r="M1564" s="62" t="n">
        <v>5</v>
      </c>
      <c r="N1564" s="9" t="inlineStr">
        <is>
          <t>Amazon link not found</t>
        </is>
      </c>
      <c r="O1564" s="62">
        <f>IF(N1564="Selling pet toys + Artificial grass/Pet toilets (TARGET)",15,IF(N1564="Selling artificial grass/pet toilets (TARGET)",10,IF(N1564="Selling pet toys",7,IF(N1564="There's an Amazon link, but no target sales.",3,0))))</f>
        <v/>
      </c>
      <c r="P1564" s="67">
        <f>H1564+J1564+L1564+M1564+O1564</f>
        <v/>
      </c>
      <c r="Q1564" s="68">
        <f>IF(OR(H1564=0,P1564&lt;30),"Tier D (Đóng băng)",IF(P1564&gt;=85,"Tier S (Kim Cương: 85-100đ)",IF(P1564&gt;=70,"Tier A (Vàng: 70-84đ)",IF(P1564&gt;=61,"Tier B+ / Cấp A (Hot Lead: 61-69đ)",IF(P1564&gt;=50,"Tier B (Bạc: 50-60đ)","Tier C (Đồng: 30-49đ)")))))</f>
        <v/>
      </c>
      <c r="R1564" s="9" t="inlineStr">
        <is>
          <t>Trọn gói Take-Home Starter Kit V2/V3 (Cỏ nhân tạo + Khay Potty + Đồ chơi Teething/Snuggle)</t>
        </is>
      </c>
      <c r="S1564" s="9" t="inlineStr">
        <is>
          <t>Đóng băng tương tác (&gt;30 ngày): Lưu trữ chờ kích hoạt lại, không tốn tài nguyên Sales</t>
        </is>
      </c>
    </row>
    <row r="1565">
      <c r="A1565" s="53" t="n">
        <v>2786</v>
      </c>
      <c r="B1565" s="12" t="inlineStr">
        <is>
          <t>Royal Kennels</t>
        </is>
      </c>
      <c r="C1565" s="54" t="inlineStr">
        <is>
          <t>https://www.facebook.com/RoyalKennelsID</t>
        </is>
      </c>
      <c r="D1565" s="6" t="inlineStr">
        <is>
          <t>Cần quét Bio Fanpage</t>
        </is>
      </c>
      <c r="E1565" s="53" t="inlineStr">
        <is>
          <t>24/02/2026 14:39:53</t>
        </is>
      </c>
      <c r="F1565" s="53" t="inlineStr">
        <is>
          <t>7 tháng trước</t>
        </is>
      </c>
      <c r="G1565" s="55" t="n">
        <v>210</v>
      </c>
      <c r="H1565" s="56" t="n">
        <v>0</v>
      </c>
      <c r="I1565" s="6" t="inlineStr">
        <is>
          <t>Dog Breeder / Trại chó chuyên nghiệp (28-30đ)</t>
        </is>
      </c>
      <c r="J1565" s="56" t="n">
        <v>30</v>
      </c>
      <c r="K1565" s="6" t="inlineStr">
        <is>
          <t>Chưa rõ giống (Cần quét Bio)</t>
        </is>
      </c>
      <c r="L1565" s="56" t="n">
        <v>0</v>
      </c>
      <c r="M1565" s="56" t="n">
        <v>5</v>
      </c>
      <c r="N1565" s="6" t="inlineStr">
        <is>
          <t>Amazon link not found</t>
        </is>
      </c>
      <c r="O1565" s="56">
        <f>IF(N1565="Selling pet toys + Artificial grass/Pet toilets (TARGET)",15,IF(N1565="Selling artificial grass/pet toilets (TARGET)",10,IF(N1565="Selling pet toys",7,IF(N1565="There's an Amazon link, but no target sales.",3,0))))</f>
        <v/>
      </c>
      <c r="P1565" s="65">
        <f>H1565+J1565+L1565+M1565+O1565</f>
        <v/>
      </c>
      <c r="Q1565" s="68">
        <f>IF(OR(H1565=0,P1565&lt;30),"Tier D (Đóng băng)",IF(P1565&gt;=85,"Tier S (Kim Cương: 85-100đ)",IF(P1565&gt;=70,"Tier A (Vàng: 70-84đ)",IF(P1565&gt;=61,"Tier B+ / Cấp A (Hot Lead: 61-69đ)",IF(P1565&gt;=50,"Tier B (Bạc: 50-60đ)","Tier C (Đồng: 30-49đ)")))))</f>
        <v/>
      </c>
      <c r="R1565" s="6" t="inlineStr">
        <is>
          <t>Trọn gói Take-Home Starter Kit V2/V3 (Cỏ nhân tạo + Khay Potty + Đồ chơi Teething/Snuggle)</t>
        </is>
      </c>
      <c r="S1565" s="6" t="inlineStr">
        <is>
          <t>Đóng băng tương tác (&gt;30 ngày): Lưu trữ chờ kích hoạt lại, không tốn tài nguyên Sales</t>
        </is>
      </c>
    </row>
    <row r="1566">
      <c r="A1566" s="59" t="n">
        <v>2991</v>
      </c>
      <c r="B1566" s="15" t="inlineStr">
        <is>
          <t>Starspitz Kennel - Kleinspitz &amp; Mittelspitz</t>
        </is>
      </c>
      <c r="C1566" s="60" t="inlineStr">
        <is>
          <t>https://www.facebook.com/StarspitzKennel</t>
        </is>
      </c>
      <c r="D1566" s="9" t="inlineStr">
        <is>
          <t>Cần quét Bio Fanpage</t>
        </is>
      </c>
      <c r="E1566" s="59" t="inlineStr">
        <is>
          <t>15/02/2026 00:58:17</t>
        </is>
      </c>
      <c r="F1566" s="59" t="inlineStr">
        <is>
          <t>8 tháng trước</t>
        </is>
      </c>
      <c r="G1566" s="61" t="n">
        <v>240</v>
      </c>
      <c r="H1566" s="62" t="n">
        <v>0</v>
      </c>
      <c r="I1566" s="9" t="inlineStr">
        <is>
          <t>Dog Breeder / Trại chó chuyên nghiệp (28-30đ)</t>
        </is>
      </c>
      <c r="J1566" s="62" t="n">
        <v>30</v>
      </c>
      <c r="K1566" s="9" t="inlineStr">
        <is>
          <t>Chưa rõ giống (Cần quét Bio)</t>
        </is>
      </c>
      <c r="L1566" s="62" t="n">
        <v>0</v>
      </c>
      <c r="M1566" s="62" t="n">
        <v>5</v>
      </c>
      <c r="N1566" s="9" t="inlineStr">
        <is>
          <t>Amazon link not found</t>
        </is>
      </c>
      <c r="O1566" s="62">
        <f>IF(N1566="Selling pet toys + Artificial grass/Pet toilets (TARGET)",15,IF(N1566="Selling artificial grass/pet toilets (TARGET)",10,IF(N1566="Selling pet toys",7,IF(N1566="There's an Amazon link, but no target sales.",3,0))))</f>
        <v/>
      </c>
      <c r="P1566" s="67">
        <f>H1566+J1566+L1566+M1566+O1566</f>
        <v/>
      </c>
      <c r="Q1566" s="68">
        <f>IF(OR(H1566=0,P1566&lt;30),"Tier D (Đóng băng)",IF(P1566&gt;=85,"Tier S (Kim Cương: 85-100đ)",IF(P1566&gt;=70,"Tier A (Vàng: 70-84đ)",IF(P1566&gt;=61,"Tier B+ / Cấp A (Hot Lead: 61-69đ)",IF(P1566&gt;=50,"Tier B (Bạc: 50-60đ)","Tier C (Đồng: 30-49đ)")))))</f>
        <v/>
      </c>
      <c r="R1566" s="9" t="inlineStr">
        <is>
          <t>Trọn gói Take-Home Starter Kit V2/V3 (Cỏ nhân tạo + Khay Potty + Đồ chơi Teething/Snuggle)</t>
        </is>
      </c>
      <c r="S1566" s="9" t="inlineStr">
        <is>
          <t>Đóng băng tương tác (&gt;30 ngày): Lưu trữ chờ kích hoạt lại, không tốn tài nguyên Sales</t>
        </is>
      </c>
    </row>
    <row r="1567">
      <c r="A1567" s="53" t="n">
        <v>1898</v>
      </c>
      <c r="B1567" s="12" t="inlineStr">
        <is>
          <t>Kennel Raii</t>
        </is>
      </c>
      <c r="C1567" s="54" t="inlineStr">
        <is>
          <t>https://www.facebook.com/raii.kennel</t>
        </is>
      </c>
      <c r="D1567" s="6" t="inlineStr">
        <is>
          <t>Cần quét Bio Fanpage</t>
        </is>
      </c>
      <c r="E1567" s="53" t="inlineStr">
        <is>
          <t>14/02/2026 17:39:11</t>
        </is>
      </c>
      <c r="F1567" s="53" t="inlineStr">
        <is>
          <t>8 tháng trước</t>
        </is>
      </c>
      <c r="G1567" s="55" t="n">
        <v>240</v>
      </c>
      <c r="H1567" s="56" t="n">
        <v>0</v>
      </c>
      <c r="I1567" s="6" t="inlineStr">
        <is>
          <t>Dog Breeder / Trại chó chuyên nghiệp (28-30đ)</t>
        </is>
      </c>
      <c r="J1567" s="56" t="n">
        <v>30</v>
      </c>
      <c r="K1567" s="6" t="inlineStr">
        <is>
          <t>Chưa rõ giống (Cần quét Bio)</t>
        </is>
      </c>
      <c r="L1567" s="56" t="n">
        <v>0</v>
      </c>
      <c r="M1567" s="56" t="n">
        <v>5</v>
      </c>
      <c r="N1567" s="6" t="inlineStr">
        <is>
          <t>Amazon link not found</t>
        </is>
      </c>
      <c r="O1567" s="56">
        <f>IF(N1567="Selling pet toys + Artificial grass/Pet toilets (TARGET)",15,IF(N1567="Selling artificial grass/pet toilets (TARGET)",10,IF(N1567="Selling pet toys",7,IF(N1567="There's an Amazon link, but no target sales.",3,0))))</f>
        <v/>
      </c>
      <c r="P1567" s="65">
        <f>H1567+J1567+L1567+M1567+O1567</f>
        <v/>
      </c>
      <c r="Q1567" s="68">
        <f>IF(OR(H1567=0,P1567&lt;30),"Tier D (Đóng băng)",IF(P1567&gt;=85,"Tier S (Kim Cương: 85-100đ)",IF(P1567&gt;=70,"Tier A (Vàng: 70-84đ)",IF(P1567&gt;=61,"Tier B+ / Cấp A (Hot Lead: 61-69đ)",IF(P1567&gt;=50,"Tier B (Bạc: 50-60đ)","Tier C (Đồng: 30-49đ)")))))</f>
        <v/>
      </c>
      <c r="R1567" s="6" t="inlineStr">
        <is>
          <t>Trọn gói Take-Home Starter Kit V2/V3 (Cỏ nhân tạo + Khay Potty + Đồ chơi Teething/Snuggle)</t>
        </is>
      </c>
      <c r="S1567" s="6" t="inlineStr">
        <is>
          <t>Đóng băng tương tác (&gt;30 ngày): Lưu trữ chờ kích hoạt lại, không tốn tài nguyên Sales</t>
        </is>
      </c>
    </row>
    <row r="1568">
      <c r="A1568" s="59" t="n">
        <v>1874</v>
      </c>
      <c r="B1568" s="15" t="inlineStr">
        <is>
          <t>Kennel Chiorean</t>
        </is>
      </c>
      <c r="C1568" s="60" t="inlineStr">
        <is>
          <t>https://www.facebook.com/profile.php?id=100054317688722</t>
        </is>
      </c>
      <c r="D1568" s="9" t="inlineStr">
        <is>
          <t>Cần quét Bio Fanpage</t>
        </is>
      </c>
      <c r="E1568" s="59" t="inlineStr">
        <is>
          <t>07/02/2026 22:43:33</t>
        </is>
      </c>
      <c r="F1568" s="59" t="inlineStr">
        <is>
          <t>8 tháng trước</t>
        </is>
      </c>
      <c r="G1568" s="61" t="n">
        <v>240</v>
      </c>
      <c r="H1568" s="62" t="n">
        <v>0</v>
      </c>
      <c r="I1568" s="9" t="inlineStr">
        <is>
          <t>Dog Breeder / Trại chó chuyên nghiệp (28-30đ)</t>
        </is>
      </c>
      <c r="J1568" s="62" t="n">
        <v>30</v>
      </c>
      <c r="K1568" s="9" t="inlineStr">
        <is>
          <t>Chưa rõ giống (Cần quét Bio)</t>
        </is>
      </c>
      <c r="L1568" s="62" t="n">
        <v>0</v>
      </c>
      <c r="M1568" s="62" t="n">
        <v>5</v>
      </c>
      <c r="N1568" s="9" t="inlineStr">
        <is>
          <t>Amazon link not found</t>
        </is>
      </c>
      <c r="O1568" s="62">
        <f>IF(N1568="Selling pet toys + Artificial grass/Pet toilets (TARGET)",15,IF(N1568="Selling artificial grass/pet toilets (TARGET)",10,IF(N1568="Selling pet toys",7,IF(N1568="There's an Amazon link, but no target sales.",3,0))))</f>
        <v/>
      </c>
      <c r="P1568" s="67">
        <f>H1568+J1568+L1568+M1568+O1568</f>
        <v/>
      </c>
      <c r="Q1568" s="68">
        <f>IF(OR(H1568=0,P1568&lt;30),"Tier D (Đóng băng)",IF(P1568&gt;=85,"Tier S (Kim Cương: 85-100đ)",IF(P1568&gt;=70,"Tier A (Vàng: 70-84đ)",IF(P1568&gt;=61,"Tier B+ / Cấp A (Hot Lead: 61-69đ)",IF(P1568&gt;=50,"Tier B (Bạc: 50-60đ)","Tier C (Đồng: 30-49đ)")))))</f>
        <v/>
      </c>
      <c r="R1568" s="9" t="inlineStr">
        <is>
          <t>Trọn gói Take-Home Starter Kit V2/V3 (Cỏ nhân tạo + Khay Potty + Đồ chơi Teething/Snuggle)</t>
        </is>
      </c>
      <c r="S1568" s="9" t="inlineStr">
        <is>
          <t>Đóng băng tương tác (&gt;30 ngày): Lưu trữ chờ kích hoạt lại, không tốn tài nguyên Sales</t>
        </is>
      </c>
    </row>
    <row r="1569">
      <c r="A1569" s="53" t="n">
        <v>1625</v>
      </c>
      <c r="B1569" s="12" t="inlineStr">
        <is>
          <t>Haus Osko kennel</t>
        </is>
      </c>
      <c r="C1569" s="54" t="inlineStr">
        <is>
          <t>https://www.facebook.com/hausoskokennel</t>
        </is>
      </c>
      <c r="D1569" s="6" t="inlineStr">
        <is>
          <t>Cần quét Bio Fanpage</t>
        </is>
      </c>
      <c r="E1569" s="53" t="inlineStr">
        <is>
          <t>23/01/2026 22:53:09</t>
        </is>
      </c>
      <c r="F1569" s="53" t="inlineStr">
        <is>
          <t>8 tháng trước</t>
        </is>
      </c>
      <c r="G1569" s="55" t="n">
        <v>240</v>
      </c>
      <c r="H1569" s="56" t="n">
        <v>0</v>
      </c>
      <c r="I1569" s="6" t="inlineStr">
        <is>
          <t>Dog Breeder / Trại chó chuyên nghiệp (28-30đ)</t>
        </is>
      </c>
      <c r="J1569" s="56" t="n">
        <v>30</v>
      </c>
      <c r="K1569" s="6" t="inlineStr">
        <is>
          <t>Chưa rõ giống (Cần quét Bio)</t>
        </is>
      </c>
      <c r="L1569" s="56" t="n">
        <v>0</v>
      </c>
      <c r="M1569" s="56" t="n">
        <v>5</v>
      </c>
      <c r="N1569" s="6" t="inlineStr">
        <is>
          <t>Amazon link not found</t>
        </is>
      </c>
      <c r="O1569" s="56">
        <f>IF(N1569="Selling pet toys + Artificial grass/Pet toilets (TARGET)",15,IF(N1569="Selling artificial grass/pet toilets (TARGET)",10,IF(N1569="Selling pet toys",7,IF(N1569="There's an Amazon link, but no target sales.",3,0))))</f>
        <v/>
      </c>
      <c r="P1569" s="65">
        <f>H1569+J1569+L1569+M1569+O1569</f>
        <v/>
      </c>
      <c r="Q1569" s="68">
        <f>IF(OR(H1569=0,P1569&lt;30),"Tier D (Đóng băng)",IF(P1569&gt;=85,"Tier S (Kim Cương: 85-100đ)",IF(P1569&gt;=70,"Tier A (Vàng: 70-84đ)",IF(P1569&gt;=61,"Tier B+ / Cấp A (Hot Lead: 61-69đ)",IF(P1569&gt;=50,"Tier B (Bạc: 50-60đ)","Tier C (Đồng: 30-49đ)")))))</f>
        <v/>
      </c>
      <c r="R1569" s="6" t="inlineStr">
        <is>
          <t>Trọn gói Take-Home Starter Kit V2/V3 (Cỏ nhân tạo + Khay Potty + Đồ chơi Teething/Snuggle)</t>
        </is>
      </c>
      <c r="S1569" s="6" t="inlineStr">
        <is>
          <t>Đóng băng tương tác (&gt;30 ngày): Lưu trữ chờ kích hoạt lại, không tốn tài nguyên Sales</t>
        </is>
      </c>
    </row>
    <row r="1570">
      <c r="A1570" s="59" t="n">
        <v>1857</v>
      </c>
      <c r="B1570" s="15" t="inlineStr">
        <is>
          <t>KD Kennel Creations</t>
        </is>
      </c>
      <c r="C1570" s="60" t="inlineStr">
        <is>
          <t>https://www.facebook.com/profile.php?id=100093492861211</t>
        </is>
      </c>
      <c r="D1570" s="9" t="inlineStr">
        <is>
          <t>Cần quét Bio Fanpage</t>
        </is>
      </c>
      <c r="E1570" s="59" t="inlineStr">
        <is>
          <t>23/01/2026 00:20:36</t>
        </is>
      </c>
      <c r="F1570" s="59" t="inlineStr">
        <is>
          <t>8 tháng trước</t>
        </is>
      </c>
      <c r="G1570" s="61" t="n">
        <v>240</v>
      </c>
      <c r="H1570" s="62" t="n">
        <v>0</v>
      </c>
      <c r="I1570" s="9" t="inlineStr">
        <is>
          <t>Dog Breeder / Trại chó chuyên nghiệp (28-30đ)</t>
        </is>
      </c>
      <c r="J1570" s="62" t="n">
        <v>30</v>
      </c>
      <c r="K1570" s="9" t="inlineStr">
        <is>
          <t>Chưa rõ giống (Cần quét Bio)</t>
        </is>
      </c>
      <c r="L1570" s="62" t="n">
        <v>0</v>
      </c>
      <c r="M1570" s="62" t="n">
        <v>5</v>
      </c>
      <c r="N1570" s="9" t="inlineStr">
        <is>
          <t>Amazon link not found</t>
        </is>
      </c>
      <c r="O1570" s="62">
        <f>IF(N1570="Selling pet toys + Artificial grass/Pet toilets (TARGET)",15,IF(N1570="Selling artificial grass/pet toilets (TARGET)",10,IF(N1570="Selling pet toys",7,IF(N1570="There's an Amazon link, but no target sales.",3,0))))</f>
        <v/>
      </c>
      <c r="P1570" s="67">
        <f>H1570+J1570+L1570+M1570+O1570</f>
        <v/>
      </c>
      <c r="Q1570" s="68">
        <f>IF(OR(H1570=0,P1570&lt;30),"Tier D (Đóng băng)",IF(P1570&gt;=85,"Tier S (Kim Cương: 85-100đ)",IF(P1570&gt;=70,"Tier A (Vàng: 70-84đ)",IF(P1570&gt;=61,"Tier B+ / Cấp A (Hot Lead: 61-69đ)",IF(P1570&gt;=50,"Tier B (Bạc: 50-60đ)","Tier C (Đồng: 30-49đ)")))))</f>
        <v/>
      </c>
      <c r="R1570" s="9" t="inlineStr">
        <is>
          <t>Trọn gói Take-Home Starter Kit V2/V3 (Cỏ nhân tạo + Khay Potty + Đồ chơi Teething/Snuggle)</t>
        </is>
      </c>
      <c r="S1570" s="9" t="inlineStr">
        <is>
          <t>Đóng băng tương tác (&gt;30 ngày): Lưu trữ chờ kích hoạt lại, không tốn tài nguyên Sales</t>
        </is>
      </c>
    </row>
    <row r="1571">
      <c r="A1571" s="53" t="n">
        <v>1913</v>
      </c>
      <c r="B1571" s="12" t="inlineStr">
        <is>
          <t>Kennel White Arctic Mist</t>
        </is>
      </c>
      <c r="C1571" s="54" t="inlineStr">
        <is>
          <t>https://www.facebook.com/whitearcticmist</t>
        </is>
      </c>
      <c r="D1571" s="6" t="inlineStr">
        <is>
          <t>Cần quét Bio Fanpage</t>
        </is>
      </c>
      <c r="E1571" s="53" t="inlineStr">
        <is>
          <t>05/01/2026 19:08:06</t>
        </is>
      </c>
      <c r="F1571" s="53" t="inlineStr">
        <is>
          <t>9 tháng trước</t>
        </is>
      </c>
      <c r="G1571" s="55" t="n">
        <v>270</v>
      </c>
      <c r="H1571" s="56" t="n">
        <v>0</v>
      </c>
      <c r="I1571" s="6" t="inlineStr">
        <is>
          <t>Dog Breeder / Trại chó chuyên nghiệp (28-30đ)</t>
        </is>
      </c>
      <c r="J1571" s="56" t="n">
        <v>30</v>
      </c>
      <c r="K1571" s="6" t="inlineStr">
        <is>
          <t>Chưa rõ giống (Cần quét Bio)</t>
        </is>
      </c>
      <c r="L1571" s="56" t="n">
        <v>0</v>
      </c>
      <c r="M1571" s="56" t="n">
        <v>5</v>
      </c>
      <c r="N1571" s="6" t="inlineStr">
        <is>
          <t>Amazon link not found</t>
        </is>
      </c>
      <c r="O1571" s="56">
        <f>IF(N1571="Selling pet toys + Artificial grass/Pet toilets (TARGET)",15,IF(N1571="Selling artificial grass/pet toilets (TARGET)",10,IF(N1571="Selling pet toys",7,IF(N1571="There's an Amazon link, but no target sales.",3,0))))</f>
        <v/>
      </c>
      <c r="P1571" s="65">
        <f>H1571+J1571+L1571+M1571+O1571</f>
        <v/>
      </c>
      <c r="Q1571" s="68">
        <f>IF(OR(H1571=0,P1571&lt;30),"Tier D (Đóng băng)",IF(P1571&gt;=85,"Tier S (Kim Cương: 85-100đ)",IF(P1571&gt;=70,"Tier A (Vàng: 70-84đ)",IF(P1571&gt;=61,"Tier B+ / Cấp A (Hot Lead: 61-69đ)",IF(P1571&gt;=50,"Tier B (Bạc: 50-60đ)","Tier C (Đồng: 30-49đ)")))))</f>
        <v/>
      </c>
      <c r="R1571" s="6" t="inlineStr">
        <is>
          <t>Trọn gói Take-Home Starter Kit V2/V3 (Cỏ nhân tạo + Khay Potty + Đồ chơi Teething/Snuggle)</t>
        </is>
      </c>
      <c r="S1571" s="6" t="inlineStr">
        <is>
          <t>Đóng băng tương tác (&gt;30 ngày): Lưu trữ chờ kích hoạt lại, không tốn tài nguyên Sales</t>
        </is>
      </c>
    </row>
    <row r="1572">
      <c r="A1572" s="59" t="n">
        <v>1739</v>
      </c>
      <c r="B1572" s="15" t="inlineStr">
        <is>
          <t>Island Grove Kennels</t>
        </is>
      </c>
      <c r="C1572" s="60" t="inlineStr">
        <is>
          <t>https://www.facebook.com/IslandGrovePetKennels</t>
        </is>
      </c>
      <c r="D1572" s="9" t="inlineStr">
        <is>
          <t>Cần quét Bio Fanpage</t>
        </is>
      </c>
      <c r="E1572" s="59" t="inlineStr">
        <is>
          <t>29/12/2025 21:21:10</t>
        </is>
      </c>
      <c r="F1572" s="59" t="inlineStr">
        <is>
          <t>9 tháng trước</t>
        </is>
      </c>
      <c r="G1572" s="61" t="n">
        <v>270</v>
      </c>
      <c r="H1572" s="62" t="n">
        <v>0</v>
      </c>
      <c r="I1572" s="9" t="inlineStr">
        <is>
          <t>Dog Breeder / Trại chó chuyên nghiệp (28-30đ)</t>
        </is>
      </c>
      <c r="J1572" s="62" t="n">
        <v>30</v>
      </c>
      <c r="K1572" s="9" t="inlineStr">
        <is>
          <t>Chưa rõ giống (Cần quét Bio)</t>
        </is>
      </c>
      <c r="L1572" s="62" t="n">
        <v>0</v>
      </c>
      <c r="M1572" s="62" t="n">
        <v>5</v>
      </c>
      <c r="N1572" s="9" t="inlineStr">
        <is>
          <t>Amazon link not found</t>
        </is>
      </c>
      <c r="O1572" s="62">
        <f>IF(N1572="Selling pet toys + Artificial grass/Pet toilets (TARGET)",15,IF(N1572="Selling artificial grass/pet toilets (TARGET)",10,IF(N1572="Selling pet toys",7,IF(N1572="There's an Amazon link, but no target sales.",3,0))))</f>
        <v/>
      </c>
      <c r="P1572" s="67">
        <f>H1572+J1572+L1572+M1572+O1572</f>
        <v/>
      </c>
      <c r="Q1572" s="68">
        <f>IF(OR(H1572=0,P1572&lt;30),"Tier D (Đóng băng)",IF(P1572&gt;=85,"Tier S (Kim Cương: 85-100đ)",IF(P1572&gt;=70,"Tier A (Vàng: 70-84đ)",IF(P1572&gt;=61,"Tier B+ / Cấp A (Hot Lead: 61-69đ)",IF(P1572&gt;=50,"Tier B (Bạc: 50-60đ)","Tier C (Đồng: 30-49đ)")))))</f>
        <v/>
      </c>
      <c r="R1572" s="9" t="inlineStr">
        <is>
          <t>Trọn gói Take-Home Starter Kit V2/V3 (Cỏ nhân tạo + Khay Potty + Đồ chơi Teething/Snuggle)</t>
        </is>
      </c>
      <c r="S1572" s="9" t="inlineStr">
        <is>
          <t>Đóng băng tương tác (&gt;30 ngày): Lưu trữ chờ kích hoạt lại, không tốn tài nguyên Sales</t>
        </is>
      </c>
    </row>
    <row r="1573">
      <c r="A1573" s="53" t="n">
        <v>466</v>
      </c>
      <c r="B1573" s="12" t="inlineStr">
        <is>
          <t>Animal Lover Design for breeders</t>
        </is>
      </c>
      <c r="C1573" s="54" t="inlineStr">
        <is>
          <t>https://www.facebook.com/animalloverdesign</t>
        </is>
      </c>
      <c r="D1573" s="6" t="inlineStr">
        <is>
          <t>Cần quét Bio Fanpage</t>
        </is>
      </c>
      <c r="E1573" s="53" t="inlineStr">
        <is>
          <t>25/12/2025 23:08:59</t>
        </is>
      </c>
      <c r="F1573" s="53" t="inlineStr">
        <is>
          <t>9 tháng trước</t>
        </is>
      </c>
      <c r="G1573" s="55" t="n">
        <v>270</v>
      </c>
      <c r="H1573" s="56" t="n">
        <v>0</v>
      </c>
      <c r="I1573" s="6" t="inlineStr">
        <is>
          <t>Dog Breeder / Trại chó chuyên nghiệp (28-30đ)</t>
        </is>
      </c>
      <c r="J1573" s="56" t="n">
        <v>30</v>
      </c>
      <c r="K1573" s="6" t="inlineStr">
        <is>
          <t>Chưa rõ giống (Cần quét Bio)</t>
        </is>
      </c>
      <c r="L1573" s="56" t="n">
        <v>0</v>
      </c>
      <c r="M1573" s="56" t="n">
        <v>5</v>
      </c>
      <c r="N1573" s="6" t="inlineStr">
        <is>
          <t>Amazon link not found</t>
        </is>
      </c>
      <c r="O1573" s="56">
        <f>IF(N1573="Selling pet toys + Artificial grass/Pet toilets (TARGET)",15,IF(N1573="Selling artificial grass/pet toilets (TARGET)",10,IF(N1573="Selling pet toys",7,IF(N1573="There's an Amazon link, but no target sales.",3,0))))</f>
        <v/>
      </c>
      <c r="P1573" s="65">
        <f>H1573+J1573+L1573+M1573+O1573</f>
        <v/>
      </c>
      <c r="Q1573" s="68">
        <f>IF(OR(H1573=0,P1573&lt;30),"Tier D (Đóng băng)",IF(P1573&gt;=85,"Tier S (Kim Cương: 85-100đ)",IF(P1573&gt;=70,"Tier A (Vàng: 70-84đ)",IF(P1573&gt;=61,"Tier B+ / Cấp A (Hot Lead: 61-69đ)",IF(P1573&gt;=50,"Tier B (Bạc: 50-60đ)","Tier C (Đồng: 30-49đ)")))))</f>
        <v/>
      </c>
      <c r="R1573" s="6" t="inlineStr">
        <is>
          <t>Trọn gói Take-Home Starter Kit V2/V3 (Cỏ nhân tạo + Khay Potty + Đồ chơi Teething/Snuggle)</t>
        </is>
      </c>
      <c r="S1573" s="6" t="inlineStr">
        <is>
          <t>Đóng băng tương tác (&gt;30 ngày): Lưu trữ chờ kích hoạt lại, không tốn tài nguyên Sales</t>
        </is>
      </c>
    </row>
    <row r="1574">
      <c r="A1574" s="59" t="n">
        <v>3321</v>
      </c>
      <c r="B1574" s="15" t="inlineStr">
        <is>
          <t>Victorious Star kennel</t>
        </is>
      </c>
      <c r="C1574" s="60" t="inlineStr">
        <is>
          <t>https://www.facebook.com/profile.php?id=100064303621958</t>
        </is>
      </c>
      <c r="D1574" s="9" t="inlineStr">
        <is>
          <t>Cần quét Bio Fanpage</t>
        </is>
      </c>
      <c r="E1574" s="59" t="inlineStr">
        <is>
          <t>16/12/2025 15:33:02</t>
        </is>
      </c>
      <c r="F1574" s="59" t="inlineStr">
        <is>
          <t>10 tháng trước</t>
        </is>
      </c>
      <c r="G1574" s="61" t="n">
        <v>300</v>
      </c>
      <c r="H1574" s="62" t="n">
        <v>0</v>
      </c>
      <c r="I1574" s="9" t="inlineStr">
        <is>
          <t>Dog Breeder / Trại chó chuyên nghiệp (28-30đ)</t>
        </is>
      </c>
      <c r="J1574" s="62" t="n">
        <v>30</v>
      </c>
      <c r="K1574" s="9" t="inlineStr">
        <is>
          <t>Chưa rõ giống (Cần quét Bio)</t>
        </is>
      </c>
      <c r="L1574" s="62" t="n">
        <v>0</v>
      </c>
      <c r="M1574" s="62" t="n">
        <v>5</v>
      </c>
      <c r="N1574" s="9" t="inlineStr">
        <is>
          <t>Amazon link not found</t>
        </is>
      </c>
      <c r="O1574" s="62">
        <f>IF(N1574="Selling pet toys + Artificial grass/Pet toilets (TARGET)",15,IF(N1574="Selling artificial grass/pet toilets (TARGET)",10,IF(N1574="Selling pet toys",7,IF(N1574="There's an Amazon link, but no target sales.",3,0))))</f>
        <v/>
      </c>
      <c r="P1574" s="67">
        <f>H1574+J1574+L1574+M1574+O1574</f>
        <v/>
      </c>
      <c r="Q1574" s="68">
        <f>IF(OR(H1574=0,P1574&lt;30),"Tier D (Đóng băng)",IF(P1574&gt;=85,"Tier S (Kim Cương: 85-100đ)",IF(P1574&gt;=70,"Tier A (Vàng: 70-84đ)",IF(P1574&gt;=61,"Tier B+ / Cấp A (Hot Lead: 61-69đ)",IF(P1574&gt;=50,"Tier B (Bạc: 50-60đ)","Tier C (Đồng: 30-49đ)")))))</f>
        <v/>
      </c>
      <c r="R1574" s="9" t="inlineStr">
        <is>
          <t>Trọn gói Take-Home Starter Kit V2/V3 (Cỏ nhân tạo + Khay Potty + Đồ chơi Teething/Snuggle)</t>
        </is>
      </c>
      <c r="S1574" s="9" t="inlineStr">
        <is>
          <t>Đóng băng tương tác (&gt;30 ngày): Lưu trữ chờ kích hoạt lại, không tốn tài nguyên Sales</t>
        </is>
      </c>
    </row>
    <row r="1575">
      <c r="A1575" s="53" t="n">
        <v>1890</v>
      </c>
      <c r="B1575" s="12" t="inlineStr">
        <is>
          <t>Kennel Larigosh</t>
        </is>
      </c>
      <c r="C1575" s="54" t="inlineStr">
        <is>
          <t>https://www.facebook.com/Larigosh1</t>
        </is>
      </c>
      <c r="D1575" s="6" t="inlineStr">
        <is>
          <t>Cần quét Bio Fanpage</t>
        </is>
      </c>
      <c r="E1575" s="53" t="inlineStr">
        <is>
          <t>04/12/2025 01:48:40</t>
        </is>
      </c>
      <c r="F1575" s="53" t="inlineStr">
        <is>
          <t>10 tháng trước</t>
        </is>
      </c>
      <c r="G1575" s="55" t="n">
        <v>300</v>
      </c>
      <c r="H1575" s="56" t="n">
        <v>0</v>
      </c>
      <c r="I1575" s="6" t="inlineStr">
        <is>
          <t>Dog Breeder / Trại chó chuyên nghiệp (28-30đ)</t>
        </is>
      </c>
      <c r="J1575" s="56" t="n">
        <v>30</v>
      </c>
      <c r="K1575" s="6" t="inlineStr">
        <is>
          <t>Chưa rõ giống (Cần quét Bio)</t>
        </is>
      </c>
      <c r="L1575" s="56" t="n">
        <v>0</v>
      </c>
      <c r="M1575" s="56" t="n">
        <v>5</v>
      </c>
      <c r="N1575" s="6" t="inlineStr">
        <is>
          <t>Amazon link not found</t>
        </is>
      </c>
      <c r="O1575" s="56">
        <f>IF(N1575="Selling pet toys + Artificial grass/Pet toilets (TARGET)",15,IF(N1575="Selling artificial grass/pet toilets (TARGET)",10,IF(N1575="Selling pet toys",7,IF(N1575="There's an Amazon link, but no target sales.",3,0))))</f>
        <v/>
      </c>
      <c r="P1575" s="65">
        <f>H1575+J1575+L1575+M1575+O1575</f>
        <v/>
      </c>
      <c r="Q1575" s="68">
        <f>IF(OR(H1575=0,P1575&lt;30),"Tier D (Đóng băng)",IF(P1575&gt;=85,"Tier S (Kim Cương: 85-100đ)",IF(P1575&gt;=70,"Tier A (Vàng: 70-84đ)",IF(P1575&gt;=61,"Tier B+ / Cấp A (Hot Lead: 61-69đ)",IF(P1575&gt;=50,"Tier B (Bạc: 50-60đ)","Tier C (Đồng: 30-49đ)")))))</f>
        <v/>
      </c>
      <c r="R1575" s="6" t="inlineStr">
        <is>
          <t>Trọn gói Take-Home Starter Kit V2/V3 (Cỏ nhân tạo + Khay Potty + Đồ chơi Teething/Snuggle)</t>
        </is>
      </c>
      <c r="S1575" s="6" t="inlineStr">
        <is>
          <t>Đóng băng tương tác (&gt;30 ngày): Lưu trữ chờ kích hoạt lại, không tốn tài nguyên Sales</t>
        </is>
      </c>
    </row>
    <row r="1576">
      <c r="A1576" s="59" t="n">
        <v>1954</v>
      </c>
      <c r="B1576" s="15" t="inlineStr">
        <is>
          <t>La Carica dei Puppies</t>
        </is>
      </c>
      <c r="C1576" s="60" t="inlineStr">
        <is>
          <t>https://www.facebook.com/profile.php?id=100072258877970</t>
        </is>
      </c>
      <c r="D1576" s="9" t="inlineStr">
        <is>
          <t>Cần quét Bio Fanpage</t>
        </is>
      </c>
      <c r="E1576" s="59" t="inlineStr">
        <is>
          <t>15/10/2025 00:37:03</t>
        </is>
      </c>
      <c r="F1576" s="59" t="inlineStr">
        <is>
          <t>12 tháng trước</t>
        </is>
      </c>
      <c r="G1576" s="61" t="n">
        <v>360</v>
      </c>
      <c r="H1576" s="62" t="n">
        <v>0</v>
      </c>
      <c r="I1576" s="9" t="inlineStr">
        <is>
          <t>Dog Breeder / Trại chó chuyên nghiệp (28-30đ)</t>
        </is>
      </c>
      <c r="J1576" s="62" t="n">
        <v>30</v>
      </c>
      <c r="K1576" s="9" t="inlineStr">
        <is>
          <t>Chưa rõ giống (Cần quét Bio)</t>
        </is>
      </c>
      <c r="L1576" s="62" t="n">
        <v>0</v>
      </c>
      <c r="M1576" s="62" t="n">
        <v>5</v>
      </c>
      <c r="N1576" s="9" t="inlineStr">
        <is>
          <t>Amazon link not found</t>
        </is>
      </c>
      <c r="O1576" s="62">
        <f>IF(N1576="Selling pet toys + Artificial grass/Pet toilets (TARGET)",15,IF(N1576="Selling artificial grass/pet toilets (TARGET)",10,IF(N1576="Selling pet toys",7,IF(N1576="There's an Amazon link, but no target sales.",3,0))))</f>
        <v/>
      </c>
      <c r="P1576" s="67">
        <f>H1576+J1576+L1576+M1576+O1576</f>
        <v/>
      </c>
      <c r="Q1576" s="68">
        <f>IF(OR(H1576=0,P1576&lt;30),"Tier D (Đóng băng)",IF(P1576&gt;=85,"Tier S (Kim Cương: 85-100đ)",IF(P1576&gt;=70,"Tier A (Vàng: 70-84đ)",IF(P1576&gt;=61,"Tier B+ / Cấp A (Hot Lead: 61-69đ)",IF(P1576&gt;=50,"Tier B (Bạc: 50-60đ)","Tier C (Đồng: 30-49đ)")))))</f>
        <v/>
      </c>
      <c r="R1576" s="9" t="inlineStr">
        <is>
          <t>Trọn gói Take-Home Starter Kit V2/V3 (Cỏ nhân tạo + Khay Potty + Đồ chơi Teething/Snuggle)</t>
        </is>
      </c>
      <c r="S1576" s="9" t="inlineStr">
        <is>
          <t>Đóng băng tương tác (&gt;30 ngày): Lưu trữ chờ kích hoạt lại, không tốn tài nguyên Sales</t>
        </is>
      </c>
    </row>
    <row r="1577">
      <c r="A1577" s="53" t="n">
        <v>3040</v>
      </c>
      <c r="B1577" s="12" t="inlineStr">
        <is>
          <t>Swannburg Kennel Ratia</t>
        </is>
      </c>
      <c r="C1577" s="54" t="inlineStr">
        <is>
          <t>https://www.facebook.com/swannburg</t>
        </is>
      </c>
      <c r="D1577" s="6" t="inlineStr">
        <is>
          <t>Cần quét Bio Fanpage</t>
        </is>
      </c>
      <c r="E1577" s="53" t="inlineStr">
        <is>
          <t>06/10/2025 19:17:01</t>
        </is>
      </c>
      <c r="F1577" s="53" t="inlineStr">
        <is>
          <t>1 năm trước</t>
        </is>
      </c>
      <c r="G1577" s="55" t="n">
        <v>365</v>
      </c>
      <c r="H1577" s="56" t="n">
        <v>0</v>
      </c>
      <c r="I1577" s="6" t="inlineStr">
        <is>
          <t>Dog Breeder / Trại chó chuyên nghiệp (28-30đ)</t>
        </is>
      </c>
      <c r="J1577" s="56" t="n">
        <v>30</v>
      </c>
      <c r="K1577" s="6" t="inlineStr">
        <is>
          <t>Chưa rõ giống (Cần quét Bio)</t>
        </is>
      </c>
      <c r="L1577" s="56" t="n">
        <v>0</v>
      </c>
      <c r="M1577" s="56" t="n">
        <v>5</v>
      </c>
      <c r="N1577" s="6" t="inlineStr">
        <is>
          <t>Amazon link not found</t>
        </is>
      </c>
      <c r="O1577" s="56">
        <f>IF(N1577="Selling pet toys + Artificial grass/Pet toilets (TARGET)",15,IF(N1577="Selling artificial grass/pet toilets (TARGET)",10,IF(N1577="Selling pet toys",7,IF(N1577="There's an Amazon link, but no target sales.",3,0))))</f>
        <v/>
      </c>
      <c r="P1577" s="65">
        <f>H1577+J1577+L1577+M1577+O1577</f>
        <v/>
      </c>
      <c r="Q1577" s="68">
        <f>IF(OR(H1577=0,P1577&lt;30),"Tier D (Đóng băng)",IF(P1577&gt;=85,"Tier S (Kim Cương: 85-100đ)",IF(P1577&gt;=70,"Tier A (Vàng: 70-84đ)",IF(P1577&gt;=61,"Tier B+ / Cấp A (Hot Lead: 61-69đ)",IF(P1577&gt;=50,"Tier B (Bạc: 50-60đ)","Tier C (Đồng: 30-49đ)")))))</f>
        <v/>
      </c>
      <c r="R1577" s="6" t="inlineStr">
        <is>
          <t>Trọn gói Take-Home Starter Kit V2/V3 (Cỏ nhân tạo + Khay Potty + Đồ chơi Teething/Snuggle)</t>
        </is>
      </c>
      <c r="S1577" s="6" t="inlineStr">
        <is>
          <t>Đóng băng tương tác (&gt;30 ngày): Lưu trữ chờ kích hoạt lại, không tốn tài nguyên Sales</t>
        </is>
      </c>
    </row>
    <row r="1578">
      <c r="A1578" s="59" t="n">
        <v>2028</v>
      </c>
      <c r="B1578" s="15" t="inlineStr">
        <is>
          <t>Linqua's kennel</t>
        </is>
      </c>
      <c r="C1578" s="60" t="inlineStr">
        <is>
          <t>https://www.facebook.com/Linquaskennel</t>
        </is>
      </c>
      <c r="D1578" s="9" t="inlineStr">
        <is>
          <t>Cần quét Bio Fanpage</t>
        </is>
      </c>
      <c r="E1578" s="59" t="inlineStr">
        <is>
          <t>06/10/2025 18:16:12</t>
        </is>
      </c>
      <c r="F1578" s="59" t="inlineStr">
        <is>
          <t>1 năm trước</t>
        </is>
      </c>
      <c r="G1578" s="61" t="n">
        <v>365</v>
      </c>
      <c r="H1578" s="62" t="n">
        <v>0</v>
      </c>
      <c r="I1578" s="9" t="inlineStr">
        <is>
          <t>Dog Breeder / Trại chó chuyên nghiệp (28-30đ)</t>
        </is>
      </c>
      <c r="J1578" s="62" t="n">
        <v>30</v>
      </c>
      <c r="K1578" s="9" t="inlineStr">
        <is>
          <t>Chưa rõ giống (Cần quét Bio)</t>
        </is>
      </c>
      <c r="L1578" s="62" t="n">
        <v>0</v>
      </c>
      <c r="M1578" s="62" t="n">
        <v>5</v>
      </c>
      <c r="N1578" s="9" t="inlineStr">
        <is>
          <t>Amazon link not found</t>
        </is>
      </c>
      <c r="O1578" s="62">
        <f>IF(N1578="Selling pet toys + Artificial grass/Pet toilets (TARGET)",15,IF(N1578="Selling artificial grass/pet toilets (TARGET)",10,IF(N1578="Selling pet toys",7,IF(N1578="There's an Amazon link, but no target sales.",3,0))))</f>
        <v/>
      </c>
      <c r="P1578" s="67">
        <f>H1578+J1578+L1578+M1578+O1578</f>
        <v/>
      </c>
      <c r="Q1578" s="68">
        <f>IF(OR(H1578=0,P1578&lt;30),"Tier D (Đóng băng)",IF(P1578&gt;=85,"Tier S (Kim Cương: 85-100đ)",IF(P1578&gt;=70,"Tier A (Vàng: 70-84đ)",IF(P1578&gt;=61,"Tier B+ / Cấp A (Hot Lead: 61-69đ)",IF(P1578&gt;=50,"Tier B (Bạc: 50-60đ)","Tier C (Đồng: 30-49đ)")))))</f>
        <v/>
      </c>
      <c r="R1578" s="9" t="inlineStr">
        <is>
          <t>Trọn gói Take-Home Starter Kit V2/V3 (Cỏ nhân tạo + Khay Potty + Đồ chơi Teething/Snuggle)</t>
        </is>
      </c>
      <c r="S1578" s="9" t="inlineStr">
        <is>
          <t>Đóng băng tương tác (&gt;30 ngày): Lưu trữ chờ kích hoạt lại, không tốn tài nguyên Sales</t>
        </is>
      </c>
    </row>
    <row r="1579">
      <c r="A1579" s="53" t="n">
        <v>1014</v>
      </c>
      <c r="B1579" s="12" t="inlineStr">
        <is>
          <t>Decipher Kennels</t>
        </is>
      </c>
      <c r="C1579" s="54" t="inlineStr">
        <is>
          <t>https://www.facebook.com/profile.php?id=100063601898651</t>
        </is>
      </c>
      <c r="D1579" s="6" t="inlineStr">
        <is>
          <t>Cần quét Bio Fanpage</t>
        </is>
      </c>
      <c r="E1579" s="53" t="inlineStr">
        <is>
          <t>27/08/2025 22:55:16</t>
        </is>
      </c>
      <c r="F1579" s="53" t="inlineStr">
        <is>
          <t>1 năm trước</t>
        </is>
      </c>
      <c r="G1579" s="55" t="n">
        <v>365</v>
      </c>
      <c r="H1579" s="56" t="n">
        <v>0</v>
      </c>
      <c r="I1579" s="6" t="inlineStr">
        <is>
          <t>Dog Breeder / Trại chó chuyên nghiệp (28-30đ)</t>
        </is>
      </c>
      <c r="J1579" s="56" t="n">
        <v>30</v>
      </c>
      <c r="K1579" s="6" t="inlineStr">
        <is>
          <t>Chưa rõ giống (Cần quét Bio)</t>
        </is>
      </c>
      <c r="L1579" s="56" t="n">
        <v>0</v>
      </c>
      <c r="M1579" s="56" t="n">
        <v>5</v>
      </c>
      <c r="N1579" s="6" t="inlineStr">
        <is>
          <t>Amazon link not found</t>
        </is>
      </c>
      <c r="O1579" s="56">
        <f>IF(N1579="Selling pet toys + Artificial grass/Pet toilets (TARGET)",15,IF(N1579="Selling artificial grass/pet toilets (TARGET)",10,IF(N1579="Selling pet toys",7,IF(N1579="There's an Amazon link, but no target sales.",3,0))))</f>
        <v/>
      </c>
      <c r="P1579" s="65">
        <f>H1579+J1579+L1579+M1579+O1579</f>
        <v/>
      </c>
      <c r="Q1579" s="68">
        <f>IF(OR(H1579=0,P1579&lt;30),"Tier D (Đóng băng)",IF(P1579&gt;=85,"Tier S (Kim Cương: 85-100đ)",IF(P1579&gt;=70,"Tier A (Vàng: 70-84đ)",IF(P1579&gt;=61,"Tier B+ / Cấp A (Hot Lead: 61-69đ)",IF(P1579&gt;=50,"Tier B (Bạc: 50-60đ)","Tier C (Đồng: 30-49đ)")))))</f>
        <v/>
      </c>
      <c r="R1579" s="6" t="inlineStr">
        <is>
          <t>Trọn gói Take-Home Starter Kit V2/V3 (Cỏ nhân tạo + Khay Potty + Đồ chơi Teething/Snuggle)</t>
        </is>
      </c>
      <c r="S1579" s="6" t="inlineStr">
        <is>
          <t>Đóng băng tương tác (&gt;30 ngày): Lưu trữ chờ kích hoạt lại, không tốn tài nguyên Sales</t>
        </is>
      </c>
    </row>
    <row r="1580">
      <c r="A1580" s="59" t="n">
        <v>439</v>
      </c>
      <c r="B1580" s="15" t="inlineStr">
        <is>
          <t>Angels in Leash Kennel</t>
        </is>
      </c>
      <c r="C1580" s="60" t="inlineStr">
        <is>
          <t>https://www.facebook.com/angelsinleashkennel</t>
        </is>
      </c>
      <c r="D1580" s="9" t="inlineStr">
        <is>
          <t>Cần quét Bio Fanpage</t>
        </is>
      </c>
      <c r="E1580" s="59" t="inlineStr">
        <is>
          <t>19/08/2025 18:56:27</t>
        </is>
      </c>
      <c r="F1580" s="59" t="inlineStr">
        <is>
          <t>1 năm trước</t>
        </is>
      </c>
      <c r="G1580" s="61" t="n">
        <v>365</v>
      </c>
      <c r="H1580" s="62" t="n">
        <v>0</v>
      </c>
      <c r="I1580" s="9" t="inlineStr">
        <is>
          <t>Dog Breeder / Trại chó chuyên nghiệp (28-30đ)</t>
        </is>
      </c>
      <c r="J1580" s="62" t="n">
        <v>30</v>
      </c>
      <c r="K1580" s="9" t="inlineStr">
        <is>
          <t>Chưa rõ giống (Cần quét Bio)</t>
        </is>
      </c>
      <c r="L1580" s="62" t="n">
        <v>0</v>
      </c>
      <c r="M1580" s="62" t="n">
        <v>5</v>
      </c>
      <c r="N1580" s="9" t="inlineStr">
        <is>
          <t>Amazon link not found</t>
        </is>
      </c>
      <c r="O1580" s="62">
        <f>IF(N1580="Selling pet toys + Artificial grass/Pet toilets (TARGET)",15,IF(N1580="Selling artificial grass/pet toilets (TARGET)",10,IF(N1580="Selling pet toys",7,IF(N1580="There's an Amazon link, but no target sales.",3,0))))</f>
        <v/>
      </c>
      <c r="P1580" s="67">
        <f>H1580+J1580+L1580+M1580+O1580</f>
        <v/>
      </c>
      <c r="Q1580" s="68">
        <f>IF(OR(H1580=0,P1580&lt;30),"Tier D (Đóng băng)",IF(P1580&gt;=85,"Tier S (Kim Cương: 85-100đ)",IF(P1580&gt;=70,"Tier A (Vàng: 70-84đ)",IF(P1580&gt;=61,"Tier B+ / Cấp A (Hot Lead: 61-69đ)",IF(P1580&gt;=50,"Tier B (Bạc: 50-60đ)","Tier C (Đồng: 30-49đ)")))))</f>
        <v/>
      </c>
      <c r="R1580" s="9" t="inlineStr">
        <is>
          <t>Trọn gói Take-Home Starter Kit V2/V3 (Cỏ nhân tạo + Khay Potty + Đồ chơi Teething/Snuggle)</t>
        </is>
      </c>
      <c r="S1580" s="9" t="inlineStr">
        <is>
          <t>Đóng băng tương tác (&gt;30 ngày): Lưu trữ chờ kích hoạt lại, không tốn tài nguyên Sales</t>
        </is>
      </c>
    </row>
    <row r="1581">
      <c r="A1581" s="53" t="n">
        <v>1886</v>
      </c>
      <c r="B1581" s="12" t="inlineStr">
        <is>
          <t>Kennel Joulumaan</t>
        </is>
      </c>
      <c r="C1581" s="54" t="inlineStr">
        <is>
          <t>https://www.facebook.com/profile.php?id=100057390440492</t>
        </is>
      </c>
      <c r="D1581" s="6" t="inlineStr">
        <is>
          <t>Cần quét Bio Fanpage</t>
        </is>
      </c>
      <c r="E1581" s="53" t="inlineStr">
        <is>
          <t>27/07/2025 15:08:58</t>
        </is>
      </c>
      <c r="F1581" s="53" t="inlineStr">
        <is>
          <t>1 năm trước</t>
        </is>
      </c>
      <c r="G1581" s="55" t="n">
        <v>365</v>
      </c>
      <c r="H1581" s="56" t="n">
        <v>0</v>
      </c>
      <c r="I1581" s="6" t="inlineStr">
        <is>
          <t>Dog Breeder / Trại chó chuyên nghiệp (28-30đ)</t>
        </is>
      </c>
      <c r="J1581" s="56" t="n">
        <v>30</v>
      </c>
      <c r="K1581" s="6" t="inlineStr">
        <is>
          <t>Chưa rõ giống (Cần quét Bio)</t>
        </is>
      </c>
      <c r="L1581" s="56" t="n">
        <v>0</v>
      </c>
      <c r="M1581" s="56" t="n">
        <v>5</v>
      </c>
      <c r="N1581" s="6" t="inlineStr">
        <is>
          <t>Amazon link not found</t>
        </is>
      </c>
      <c r="O1581" s="56">
        <f>IF(N1581="Selling pet toys + Artificial grass/Pet toilets (TARGET)",15,IF(N1581="Selling artificial grass/pet toilets (TARGET)",10,IF(N1581="Selling pet toys",7,IF(N1581="There's an Amazon link, but no target sales.",3,0))))</f>
        <v/>
      </c>
      <c r="P1581" s="65">
        <f>H1581+J1581+L1581+M1581+O1581</f>
        <v/>
      </c>
      <c r="Q1581" s="68">
        <f>IF(OR(H1581=0,P1581&lt;30),"Tier D (Đóng băng)",IF(P1581&gt;=85,"Tier S (Kim Cương: 85-100đ)",IF(P1581&gt;=70,"Tier A (Vàng: 70-84đ)",IF(P1581&gt;=61,"Tier B+ / Cấp A (Hot Lead: 61-69đ)",IF(P1581&gt;=50,"Tier B (Bạc: 50-60đ)","Tier C (Đồng: 30-49đ)")))))</f>
        <v/>
      </c>
      <c r="R1581" s="6" t="inlineStr">
        <is>
          <t>Trọn gói Take-Home Starter Kit V2/V3 (Cỏ nhân tạo + Khay Potty + Đồ chơi Teething/Snuggle)</t>
        </is>
      </c>
      <c r="S1581" s="6" t="inlineStr">
        <is>
          <t>Đóng băng tương tác (&gt;30 ngày): Lưu trữ chờ kích hoạt lại, không tốn tài nguyên Sales</t>
        </is>
      </c>
    </row>
    <row r="1582">
      <c r="A1582" s="59" t="n">
        <v>2476</v>
      </c>
      <c r="B1582" s="15" t="inlineStr">
        <is>
          <t>Petar Mudrinski  (Kennel Leon of Neoplanta)</t>
        </is>
      </c>
      <c r="C1582" s="60" t="inlineStr">
        <is>
          <t>https://www.facebook.com/petar.mudrinski</t>
        </is>
      </c>
      <c r="D1582" s="9" t="inlineStr">
        <is>
          <t>Cần quét Bio Fanpage</t>
        </is>
      </c>
      <c r="E1582" s="59" t="inlineStr">
        <is>
          <t>27/06/2025 03:07:02</t>
        </is>
      </c>
      <c r="F1582" s="59" t="inlineStr">
        <is>
          <t>1 năm trước</t>
        </is>
      </c>
      <c r="G1582" s="61" t="n">
        <v>365</v>
      </c>
      <c r="H1582" s="62" t="n">
        <v>0</v>
      </c>
      <c r="I1582" s="9" t="inlineStr">
        <is>
          <t>Dog Breeder / Trại chó chuyên nghiệp (28-30đ)</t>
        </is>
      </c>
      <c r="J1582" s="62" t="n">
        <v>30</v>
      </c>
      <c r="K1582" s="9" t="inlineStr">
        <is>
          <t>Chưa rõ giống (Cần quét Bio)</t>
        </is>
      </c>
      <c r="L1582" s="62" t="n">
        <v>0</v>
      </c>
      <c r="M1582" s="62" t="n">
        <v>5</v>
      </c>
      <c r="N1582" s="9" t="inlineStr">
        <is>
          <t>Amazon link not found</t>
        </is>
      </c>
      <c r="O1582" s="62">
        <f>IF(N1582="Selling pet toys + Artificial grass/Pet toilets (TARGET)",15,IF(N1582="Selling artificial grass/pet toilets (TARGET)",10,IF(N1582="Selling pet toys",7,IF(N1582="There's an Amazon link, but no target sales.",3,0))))</f>
        <v/>
      </c>
      <c r="P1582" s="67">
        <f>H1582+J1582+L1582+M1582+O1582</f>
        <v/>
      </c>
      <c r="Q1582" s="68">
        <f>IF(OR(H1582=0,P1582&lt;30),"Tier D (Đóng băng)",IF(P1582&gt;=85,"Tier S (Kim Cương: 85-100đ)",IF(P1582&gt;=70,"Tier A (Vàng: 70-84đ)",IF(P1582&gt;=61,"Tier B+ / Cấp A (Hot Lead: 61-69đ)",IF(P1582&gt;=50,"Tier B (Bạc: 50-60đ)","Tier C (Đồng: 30-49đ)")))))</f>
        <v/>
      </c>
      <c r="R1582" s="9" t="inlineStr">
        <is>
          <t>Trọn gói Take-Home Starter Kit V2/V3 (Cỏ nhân tạo + Khay Potty + Đồ chơi Teething/Snuggle)</t>
        </is>
      </c>
      <c r="S1582" s="9" t="inlineStr">
        <is>
          <t>Đóng băng tương tác (&gt;30 ngày): Lưu trữ chờ kích hoạt lại, không tốn tài nguyên Sales</t>
        </is>
      </c>
    </row>
    <row r="1583">
      <c r="A1583" s="53" t="n">
        <v>963</v>
      </c>
      <c r="B1583" s="12" t="inlineStr">
        <is>
          <t>Creekwood Kennel</t>
        </is>
      </c>
      <c r="C1583" s="54" t="inlineStr">
        <is>
          <t>https://www.facebook.com/profile.php?id=100089624950296</t>
        </is>
      </c>
      <c r="D1583" s="6" t="inlineStr">
        <is>
          <t>Cần quét Bio Fanpage</t>
        </is>
      </c>
      <c r="E1583" s="53" t="inlineStr">
        <is>
          <t>15/06/2025 08:18:51</t>
        </is>
      </c>
      <c r="F1583" s="53" t="inlineStr">
        <is>
          <t>1 năm trước</t>
        </is>
      </c>
      <c r="G1583" s="55" t="n">
        <v>365</v>
      </c>
      <c r="H1583" s="56" t="n">
        <v>0</v>
      </c>
      <c r="I1583" s="6" t="inlineStr">
        <is>
          <t>Dog Breeder / Trại chó chuyên nghiệp (28-30đ)</t>
        </is>
      </c>
      <c r="J1583" s="56" t="n">
        <v>30</v>
      </c>
      <c r="K1583" s="6" t="inlineStr">
        <is>
          <t>Chưa rõ giống (Cần quét Bio)</t>
        </is>
      </c>
      <c r="L1583" s="56" t="n">
        <v>0</v>
      </c>
      <c r="M1583" s="56" t="n">
        <v>5</v>
      </c>
      <c r="N1583" s="6" t="inlineStr">
        <is>
          <t>Amazon link not found</t>
        </is>
      </c>
      <c r="O1583" s="56">
        <f>IF(N1583="Selling pet toys + Artificial grass/Pet toilets (TARGET)",15,IF(N1583="Selling artificial grass/pet toilets (TARGET)",10,IF(N1583="Selling pet toys",7,IF(N1583="There's an Amazon link, but no target sales.",3,0))))</f>
        <v/>
      </c>
      <c r="P1583" s="65">
        <f>H1583+J1583+L1583+M1583+O1583</f>
        <v/>
      </c>
      <c r="Q1583" s="68">
        <f>IF(OR(H1583=0,P1583&lt;30),"Tier D (Đóng băng)",IF(P1583&gt;=85,"Tier S (Kim Cương: 85-100đ)",IF(P1583&gt;=70,"Tier A (Vàng: 70-84đ)",IF(P1583&gt;=61,"Tier B+ / Cấp A (Hot Lead: 61-69đ)",IF(P1583&gt;=50,"Tier B (Bạc: 50-60đ)","Tier C (Đồng: 30-49đ)")))))</f>
        <v/>
      </c>
      <c r="R1583" s="6" t="inlineStr">
        <is>
          <t>Trọn gói Take-Home Starter Kit V2/V3 (Cỏ nhân tạo + Khay Potty + Đồ chơi Teething/Snuggle)</t>
        </is>
      </c>
      <c r="S1583" s="6" t="inlineStr">
        <is>
          <t>Đóng băng tương tác (&gt;30 ngày): Lưu trữ chờ kích hoạt lại, không tốn tài nguyên Sales</t>
        </is>
      </c>
    </row>
    <row r="1584">
      <c r="A1584" s="59" t="n">
        <v>1869</v>
      </c>
      <c r="B1584" s="15" t="inlineStr">
        <is>
          <t>Kennel Alpis Poenina</t>
        </is>
      </c>
      <c r="C1584" s="60" t="inlineStr">
        <is>
          <t>https://www.facebook.com/demidionysiusvomklosterhornbach</t>
        </is>
      </c>
      <c r="D1584" s="9" t="inlineStr">
        <is>
          <t>Cần quét Bio Fanpage</t>
        </is>
      </c>
      <c r="E1584" s="59" t="inlineStr">
        <is>
          <t>02/06/2025 22:47:06</t>
        </is>
      </c>
      <c r="F1584" s="59" t="inlineStr">
        <is>
          <t>1 năm trước</t>
        </is>
      </c>
      <c r="G1584" s="61" t="n">
        <v>365</v>
      </c>
      <c r="H1584" s="62" t="n">
        <v>0</v>
      </c>
      <c r="I1584" s="9" t="inlineStr">
        <is>
          <t>Dog Breeder / Trại chó chuyên nghiệp (28-30đ)</t>
        </is>
      </c>
      <c r="J1584" s="62" t="n">
        <v>30</v>
      </c>
      <c r="K1584" s="9" t="inlineStr">
        <is>
          <t>Chưa rõ giống (Cần quét Bio)</t>
        </is>
      </c>
      <c r="L1584" s="62" t="n">
        <v>0</v>
      </c>
      <c r="M1584" s="62" t="n">
        <v>5</v>
      </c>
      <c r="N1584" s="9" t="inlineStr">
        <is>
          <t>Amazon link not found</t>
        </is>
      </c>
      <c r="O1584" s="62">
        <f>IF(N1584="Selling pet toys + Artificial grass/Pet toilets (TARGET)",15,IF(N1584="Selling artificial grass/pet toilets (TARGET)",10,IF(N1584="Selling pet toys",7,IF(N1584="There's an Amazon link, but no target sales.",3,0))))</f>
        <v/>
      </c>
      <c r="P1584" s="67">
        <f>H1584+J1584+L1584+M1584+O1584</f>
        <v/>
      </c>
      <c r="Q1584" s="68">
        <f>IF(OR(H1584=0,P1584&lt;30),"Tier D (Đóng băng)",IF(P1584&gt;=85,"Tier S (Kim Cương: 85-100đ)",IF(P1584&gt;=70,"Tier A (Vàng: 70-84đ)",IF(P1584&gt;=61,"Tier B+ / Cấp A (Hot Lead: 61-69đ)",IF(P1584&gt;=50,"Tier B (Bạc: 50-60đ)","Tier C (Đồng: 30-49đ)")))))</f>
        <v/>
      </c>
      <c r="R1584" s="9" t="inlineStr">
        <is>
          <t>Trọn gói Take-Home Starter Kit V2/V3 (Cỏ nhân tạo + Khay Potty + Đồ chơi Teething/Snuggle)</t>
        </is>
      </c>
      <c r="S1584" s="9" t="inlineStr">
        <is>
          <t>Đóng băng tương tác (&gt;30 ngày): Lưu trữ chờ kích hoạt lại, không tốn tài nguyên Sales</t>
        </is>
      </c>
    </row>
    <row r="1585">
      <c r="A1585" s="53" t="n">
        <v>2336</v>
      </c>
      <c r="B1585" s="12" t="inlineStr">
        <is>
          <t>Obedient Heart Kennels, LLC</t>
        </is>
      </c>
      <c r="C1585" s="54" t="inlineStr">
        <is>
          <t>https://www.facebook.com/obhkennels</t>
        </is>
      </c>
      <c r="D1585" s="6" t="inlineStr">
        <is>
          <t>Cần quét Bio Fanpage</t>
        </is>
      </c>
      <c r="E1585" s="53" t="inlineStr">
        <is>
          <t>26/05/2025 22:58:05</t>
        </is>
      </c>
      <c r="F1585" s="53" t="inlineStr">
        <is>
          <t>1 năm trước</t>
        </is>
      </c>
      <c r="G1585" s="55" t="n">
        <v>365</v>
      </c>
      <c r="H1585" s="56" t="n">
        <v>0</v>
      </c>
      <c r="I1585" s="6" t="inlineStr">
        <is>
          <t>Dog Breeder / Trại chó chuyên nghiệp (28-30đ)</t>
        </is>
      </c>
      <c r="J1585" s="56" t="n">
        <v>30</v>
      </c>
      <c r="K1585" s="6" t="inlineStr">
        <is>
          <t>Chưa rõ giống (Cần quét Bio)</t>
        </is>
      </c>
      <c r="L1585" s="56" t="n">
        <v>0</v>
      </c>
      <c r="M1585" s="56" t="n">
        <v>5</v>
      </c>
      <c r="N1585" s="6" t="inlineStr">
        <is>
          <t>Amazon link not found</t>
        </is>
      </c>
      <c r="O1585" s="56">
        <f>IF(N1585="Selling pet toys + Artificial grass/Pet toilets (TARGET)",15,IF(N1585="Selling artificial grass/pet toilets (TARGET)",10,IF(N1585="Selling pet toys",7,IF(N1585="There's an Amazon link, but no target sales.",3,0))))</f>
        <v/>
      </c>
      <c r="P1585" s="65">
        <f>H1585+J1585+L1585+M1585+O1585</f>
        <v/>
      </c>
      <c r="Q1585" s="68">
        <f>IF(OR(H1585=0,P1585&lt;30),"Tier D (Đóng băng)",IF(P1585&gt;=85,"Tier S (Kim Cương: 85-100đ)",IF(P1585&gt;=70,"Tier A (Vàng: 70-84đ)",IF(P1585&gt;=61,"Tier B+ / Cấp A (Hot Lead: 61-69đ)",IF(P1585&gt;=50,"Tier B (Bạc: 50-60đ)","Tier C (Đồng: 30-49đ)")))))</f>
        <v/>
      </c>
      <c r="R1585" s="6" t="inlineStr">
        <is>
          <t>Trọn gói Take-Home Starter Kit V2/V3 (Cỏ nhân tạo + Khay Potty + Đồ chơi Teething/Snuggle)</t>
        </is>
      </c>
      <c r="S1585" s="6" t="inlineStr">
        <is>
          <t>Đóng băng tương tác (&gt;30 ngày): Lưu trữ chờ kích hoạt lại, không tốn tài nguyên Sales</t>
        </is>
      </c>
    </row>
    <row r="1586">
      <c r="A1586" s="59" t="n">
        <v>2963</v>
      </c>
      <c r="B1586" s="15" t="inlineStr">
        <is>
          <t>Spinaz de Can Kennels</t>
        </is>
      </c>
      <c r="C1586" s="60" t="inlineStr">
        <is>
          <t>https://www.facebook.com/SpinazdeCan</t>
        </is>
      </c>
      <c r="D1586" s="9" t="inlineStr">
        <is>
          <t>Cần quét Bio Fanpage</t>
        </is>
      </c>
      <c r="E1586" s="59" t="inlineStr">
        <is>
          <t>25/05/2025 05:09:36</t>
        </is>
      </c>
      <c r="F1586" s="59" t="inlineStr">
        <is>
          <t>1 năm trước</t>
        </is>
      </c>
      <c r="G1586" s="61" t="n">
        <v>365</v>
      </c>
      <c r="H1586" s="62" t="n">
        <v>0</v>
      </c>
      <c r="I1586" s="9" t="inlineStr">
        <is>
          <t>Dog Breeder / Trại chó chuyên nghiệp (28-30đ)</t>
        </is>
      </c>
      <c r="J1586" s="62" t="n">
        <v>30</v>
      </c>
      <c r="K1586" s="9" t="inlineStr">
        <is>
          <t>Chưa rõ giống (Cần quét Bio)</t>
        </is>
      </c>
      <c r="L1586" s="62" t="n">
        <v>0</v>
      </c>
      <c r="M1586" s="62" t="n">
        <v>5</v>
      </c>
      <c r="N1586" s="9" t="inlineStr">
        <is>
          <t>Amazon link not found</t>
        </is>
      </c>
      <c r="O1586" s="62">
        <f>IF(N1586="Selling pet toys + Artificial grass/Pet toilets (TARGET)",15,IF(N1586="Selling artificial grass/pet toilets (TARGET)",10,IF(N1586="Selling pet toys",7,IF(N1586="There's an Amazon link, but no target sales.",3,0))))</f>
        <v/>
      </c>
      <c r="P1586" s="67">
        <f>H1586+J1586+L1586+M1586+O1586</f>
        <v/>
      </c>
      <c r="Q1586" s="68">
        <f>IF(OR(H1586=0,P1586&lt;30),"Tier D (Đóng băng)",IF(P1586&gt;=85,"Tier S (Kim Cương: 85-100đ)",IF(P1586&gt;=70,"Tier A (Vàng: 70-84đ)",IF(P1586&gt;=61,"Tier B+ / Cấp A (Hot Lead: 61-69đ)",IF(P1586&gt;=50,"Tier B (Bạc: 50-60đ)","Tier C (Đồng: 30-49đ)")))))</f>
        <v/>
      </c>
      <c r="R1586" s="9" t="inlineStr">
        <is>
          <t>Trọn gói Take-Home Starter Kit V2/V3 (Cỏ nhân tạo + Khay Potty + Đồ chơi Teething/Snuggle)</t>
        </is>
      </c>
      <c r="S1586" s="9" t="inlineStr">
        <is>
          <t>Đóng băng tương tác (&gt;30 ngày): Lưu trữ chờ kích hoạt lại, không tốn tài nguyên Sales</t>
        </is>
      </c>
    </row>
    <row r="1587">
      <c r="A1587" s="53" t="n">
        <v>2791</v>
      </c>
      <c r="B1587" s="12" t="inlineStr">
        <is>
          <t>Rudė Kennel</t>
        </is>
      </c>
      <c r="C1587" s="54" t="inlineStr">
        <is>
          <t>https://www.facebook.com/rudethekennel</t>
        </is>
      </c>
      <c r="D1587" s="6" t="inlineStr">
        <is>
          <t>Cần quét Bio Fanpage</t>
        </is>
      </c>
      <c r="E1587" s="53" t="inlineStr">
        <is>
          <t>23/04/2025 17:55:30</t>
        </is>
      </c>
      <c r="F1587" s="53" t="inlineStr">
        <is>
          <t>1 năm trước</t>
        </is>
      </c>
      <c r="G1587" s="55" t="n">
        <v>365</v>
      </c>
      <c r="H1587" s="56" t="n">
        <v>0</v>
      </c>
      <c r="I1587" s="6" t="inlineStr">
        <is>
          <t>Dog Breeder / Trại chó chuyên nghiệp (28-30đ)</t>
        </is>
      </c>
      <c r="J1587" s="56" t="n">
        <v>30</v>
      </c>
      <c r="K1587" s="6" t="inlineStr">
        <is>
          <t>Chưa rõ giống (Cần quét Bio)</t>
        </is>
      </c>
      <c r="L1587" s="56" t="n">
        <v>0</v>
      </c>
      <c r="M1587" s="56" t="n">
        <v>5</v>
      </c>
      <c r="N1587" s="6" t="inlineStr">
        <is>
          <t>Amazon link not found</t>
        </is>
      </c>
      <c r="O1587" s="56">
        <f>IF(N1587="Selling pet toys + Artificial grass/Pet toilets (TARGET)",15,IF(N1587="Selling artificial grass/pet toilets (TARGET)",10,IF(N1587="Selling pet toys",7,IF(N1587="There's an Amazon link, but no target sales.",3,0))))</f>
        <v/>
      </c>
      <c r="P1587" s="65">
        <f>H1587+J1587+L1587+M1587+O1587</f>
        <v/>
      </c>
      <c r="Q1587" s="68">
        <f>IF(OR(H1587=0,P1587&lt;30),"Tier D (Đóng băng)",IF(P1587&gt;=85,"Tier S (Kim Cương: 85-100đ)",IF(P1587&gt;=70,"Tier A (Vàng: 70-84đ)",IF(P1587&gt;=61,"Tier B+ / Cấp A (Hot Lead: 61-69đ)",IF(P1587&gt;=50,"Tier B (Bạc: 50-60đ)","Tier C (Đồng: 30-49đ)")))))</f>
        <v/>
      </c>
      <c r="R1587" s="6" t="inlineStr">
        <is>
          <t>Trọn gói Take-Home Starter Kit V2/V3 (Cỏ nhân tạo + Khay Potty + Đồ chơi Teething/Snuggle)</t>
        </is>
      </c>
      <c r="S1587" s="6" t="inlineStr">
        <is>
          <t>Đóng băng tương tác (&gt;30 ngày): Lưu trữ chờ kích hoạt lại, không tốn tài nguyên Sales</t>
        </is>
      </c>
    </row>
    <row r="1588">
      <c r="A1588" s="59" t="n">
        <v>1916</v>
      </c>
      <c r="B1588" s="15" t="inlineStr">
        <is>
          <t>Kennel"Legenda Slavyan"-St.Bernard of Belarus</t>
        </is>
      </c>
      <c r="C1588" s="60" t="inlineStr">
        <is>
          <t>https://www.facebook.com/legendaslavyan</t>
        </is>
      </c>
      <c r="D1588" s="9" t="inlineStr">
        <is>
          <t>Cần quét Bio Fanpage</t>
        </is>
      </c>
      <c r="E1588" s="59" t="inlineStr">
        <is>
          <t>03/04/2025 23:07:55</t>
        </is>
      </c>
      <c r="F1588" s="59" t="inlineStr">
        <is>
          <t>1 năm trước</t>
        </is>
      </c>
      <c r="G1588" s="61" t="n">
        <v>365</v>
      </c>
      <c r="H1588" s="62" t="n">
        <v>0</v>
      </c>
      <c r="I1588" s="9" t="inlineStr">
        <is>
          <t>Dog Breeder / Trại chó chuyên nghiệp (28-30đ)</t>
        </is>
      </c>
      <c r="J1588" s="62" t="n">
        <v>30</v>
      </c>
      <c r="K1588" s="9" t="inlineStr">
        <is>
          <t>Chưa rõ giống (Cần quét Bio)</t>
        </is>
      </c>
      <c r="L1588" s="62" t="n">
        <v>0</v>
      </c>
      <c r="M1588" s="62" t="n">
        <v>5</v>
      </c>
      <c r="N1588" s="9" t="inlineStr">
        <is>
          <t>Amazon link not found</t>
        </is>
      </c>
      <c r="O1588" s="62">
        <f>IF(N1588="Selling pet toys + Artificial grass/Pet toilets (TARGET)",15,IF(N1588="Selling artificial grass/pet toilets (TARGET)",10,IF(N1588="Selling pet toys",7,IF(N1588="There's an Amazon link, but no target sales.",3,0))))</f>
        <v/>
      </c>
      <c r="P1588" s="67">
        <f>H1588+J1588+L1588+M1588+O1588</f>
        <v/>
      </c>
      <c r="Q1588" s="68">
        <f>IF(OR(H1588=0,P1588&lt;30),"Tier D (Đóng băng)",IF(P1588&gt;=85,"Tier S (Kim Cương: 85-100đ)",IF(P1588&gt;=70,"Tier A (Vàng: 70-84đ)",IF(P1588&gt;=61,"Tier B+ / Cấp A (Hot Lead: 61-69đ)",IF(P1588&gt;=50,"Tier B (Bạc: 50-60đ)","Tier C (Đồng: 30-49đ)")))))</f>
        <v/>
      </c>
      <c r="R1588" s="9" t="inlineStr">
        <is>
          <t>Trọn gói Take-Home Starter Kit V2/V3 (Cỏ nhân tạo + Khay Potty + Đồ chơi Teething/Snuggle)</t>
        </is>
      </c>
      <c r="S1588" s="9" t="inlineStr">
        <is>
          <t>Đóng băng tương tác (&gt;30 ngày): Lưu trữ chờ kích hoạt lại, không tốn tài nguyên Sales</t>
        </is>
      </c>
    </row>
    <row r="1589">
      <c r="A1589" s="53" t="n">
        <v>3434</v>
      </c>
      <c r="B1589" s="12" t="inlineStr">
        <is>
          <t>Wizard Montenegro Rott kennel</t>
        </is>
      </c>
      <c r="C1589" s="54" t="inlineStr">
        <is>
          <t>https://www.facebook.com/wizardmontenegrorott</t>
        </is>
      </c>
      <c r="D1589" s="6" t="inlineStr">
        <is>
          <t>Cần quét Bio Fanpage</t>
        </is>
      </c>
      <c r="E1589" s="53" t="inlineStr">
        <is>
          <t>06/02/2025 04:13:22</t>
        </is>
      </c>
      <c r="F1589" s="53" t="inlineStr">
        <is>
          <t>1 năm trước</t>
        </is>
      </c>
      <c r="G1589" s="55" t="n">
        <v>365</v>
      </c>
      <c r="H1589" s="56" t="n">
        <v>0</v>
      </c>
      <c r="I1589" s="6" t="inlineStr">
        <is>
          <t>Dog Breeder / Trại chó chuyên nghiệp (28-30đ)</t>
        </is>
      </c>
      <c r="J1589" s="56" t="n">
        <v>30</v>
      </c>
      <c r="K1589" s="6" t="inlineStr">
        <is>
          <t>Chưa rõ giống (Cần quét Bio)</t>
        </is>
      </c>
      <c r="L1589" s="56" t="n">
        <v>0</v>
      </c>
      <c r="M1589" s="56" t="n">
        <v>5</v>
      </c>
      <c r="N1589" s="6" t="inlineStr">
        <is>
          <t>Amazon link not found</t>
        </is>
      </c>
      <c r="O1589" s="56">
        <f>IF(N1589="Selling pet toys + Artificial grass/Pet toilets (TARGET)",15,IF(N1589="Selling artificial grass/pet toilets (TARGET)",10,IF(N1589="Selling pet toys",7,IF(N1589="There's an Amazon link, but no target sales.",3,0))))</f>
        <v/>
      </c>
      <c r="P1589" s="65">
        <f>H1589+J1589+L1589+M1589+O1589</f>
        <v/>
      </c>
      <c r="Q1589" s="68">
        <f>IF(OR(H1589=0,P1589&lt;30),"Tier D (Đóng băng)",IF(P1589&gt;=85,"Tier S (Kim Cương: 85-100đ)",IF(P1589&gt;=70,"Tier A (Vàng: 70-84đ)",IF(P1589&gt;=61,"Tier B+ / Cấp A (Hot Lead: 61-69đ)",IF(P1589&gt;=50,"Tier B (Bạc: 50-60đ)","Tier C (Đồng: 30-49đ)")))))</f>
        <v/>
      </c>
      <c r="R1589" s="6" t="inlineStr">
        <is>
          <t>Trọn gói Take-Home Starter Kit V2/V3 (Cỏ nhân tạo + Khay Potty + Đồ chơi Teething/Snuggle)</t>
        </is>
      </c>
      <c r="S1589" s="6" t="inlineStr">
        <is>
          <t>Đóng băng tương tác (&gt;30 ngày): Lưu trữ chờ kích hoạt lại, không tốn tài nguyên Sales</t>
        </is>
      </c>
    </row>
    <row r="1590">
      <c r="A1590" s="59" t="n">
        <v>2634</v>
      </c>
      <c r="B1590" s="15" t="inlineStr">
        <is>
          <t>Pro-Kennels</t>
        </is>
      </c>
      <c r="C1590" s="60" t="inlineStr">
        <is>
          <t>https://www.facebook.com/franetallc</t>
        </is>
      </c>
      <c r="D1590" s="9" t="inlineStr">
        <is>
          <t>Cần quét Bio Fanpage</t>
        </is>
      </c>
      <c r="E1590" s="59" t="inlineStr">
        <is>
          <t>04/02/2025 02:09:44</t>
        </is>
      </c>
      <c r="F1590" s="59" t="inlineStr">
        <is>
          <t>1 năm trước</t>
        </is>
      </c>
      <c r="G1590" s="61" t="n">
        <v>365</v>
      </c>
      <c r="H1590" s="62" t="n">
        <v>0</v>
      </c>
      <c r="I1590" s="9" t="inlineStr">
        <is>
          <t>Dog Breeder / Trại chó chuyên nghiệp (28-30đ)</t>
        </is>
      </c>
      <c r="J1590" s="62" t="n">
        <v>30</v>
      </c>
      <c r="K1590" s="9" t="inlineStr">
        <is>
          <t>Chưa rõ giống (Cần quét Bio)</t>
        </is>
      </c>
      <c r="L1590" s="62" t="n">
        <v>0</v>
      </c>
      <c r="M1590" s="62" t="n">
        <v>5</v>
      </c>
      <c r="N1590" s="9" t="inlineStr">
        <is>
          <t>Amazon link not found</t>
        </is>
      </c>
      <c r="O1590" s="62">
        <f>IF(N1590="Selling pet toys + Artificial grass/Pet toilets (TARGET)",15,IF(N1590="Selling artificial grass/pet toilets (TARGET)",10,IF(N1590="Selling pet toys",7,IF(N1590="There's an Amazon link, but no target sales.",3,0))))</f>
        <v/>
      </c>
      <c r="P1590" s="67">
        <f>H1590+J1590+L1590+M1590+O1590</f>
        <v/>
      </c>
      <c r="Q1590" s="68">
        <f>IF(OR(H1590=0,P1590&lt;30),"Tier D (Đóng băng)",IF(P1590&gt;=85,"Tier S (Kim Cương: 85-100đ)",IF(P1590&gt;=70,"Tier A (Vàng: 70-84đ)",IF(P1590&gt;=61,"Tier B+ / Cấp A (Hot Lead: 61-69đ)",IF(P1590&gt;=50,"Tier B (Bạc: 50-60đ)","Tier C (Đồng: 30-49đ)")))))</f>
        <v/>
      </c>
      <c r="R1590" s="9" t="inlineStr">
        <is>
          <t>Trọn gói Take-Home Starter Kit V2/V3 (Cỏ nhân tạo + Khay Potty + Đồ chơi Teething/Snuggle)</t>
        </is>
      </c>
      <c r="S1590" s="9" t="inlineStr">
        <is>
          <t>Đóng băng tương tác (&gt;30 ngày): Lưu trữ chờ kích hoạt lại, không tốn tài nguyên Sales</t>
        </is>
      </c>
    </row>
    <row r="1591">
      <c r="A1591" s="53" t="n">
        <v>1385</v>
      </c>
      <c r="B1591" s="12" t="inlineStr">
        <is>
          <t>Firecrest Kennels LLC</t>
        </is>
      </c>
      <c r="C1591" s="54" t="inlineStr">
        <is>
          <t>https://www.facebook.com/firecrestkennel</t>
        </is>
      </c>
      <c r="D1591" s="6" t="inlineStr">
        <is>
          <t>Cần quét Bio Fanpage</t>
        </is>
      </c>
      <c r="E1591" s="53" t="inlineStr">
        <is>
          <t>10/01/2025 20:37:38</t>
        </is>
      </c>
      <c r="F1591" s="53" t="inlineStr">
        <is>
          <t>1 năm trước</t>
        </is>
      </c>
      <c r="G1591" s="55" t="n">
        <v>365</v>
      </c>
      <c r="H1591" s="56" t="n">
        <v>0</v>
      </c>
      <c r="I1591" s="6" t="inlineStr">
        <is>
          <t>Dog Breeder / Trại chó chuyên nghiệp (28-30đ)</t>
        </is>
      </c>
      <c r="J1591" s="56" t="n">
        <v>30</v>
      </c>
      <c r="K1591" s="6" t="inlineStr">
        <is>
          <t>Chưa rõ giống (Cần quét Bio)</t>
        </is>
      </c>
      <c r="L1591" s="56" t="n">
        <v>0</v>
      </c>
      <c r="M1591" s="56" t="n">
        <v>5</v>
      </c>
      <c r="N1591" s="6" t="inlineStr">
        <is>
          <t>Amazon link not found</t>
        </is>
      </c>
      <c r="O1591" s="56">
        <f>IF(N1591="Selling pet toys + Artificial grass/Pet toilets (TARGET)",15,IF(N1591="Selling artificial grass/pet toilets (TARGET)",10,IF(N1591="Selling pet toys",7,IF(N1591="There's an Amazon link, but no target sales.",3,0))))</f>
        <v/>
      </c>
      <c r="P1591" s="65">
        <f>H1591+J1591+L1591+M1591+O1591</f>
        <v/>
      </c>
      <c r="Q1591" s="68">
        <f>IF(OR(H1591=0,P1591&lt;30),"Tier D (Đóng băng)",IF(P1591&gt;=85,"Tier S (Kim Cương: 85-100đ)",IF(P1591&gt;=70,"Tier A (Vàng: 70-84đ)",IF(P1591&gt;=61,"Tier B+ / Cấp A (Hot Lead: 61-69đ)",IF(P1591&gt;=50,"Tier B (Bạc: 50-60đ)","Tier C (Đồng: 30-49đ)")))))</f>
        <v/>
      </c>
      <c r="R1591" s="6" t="inlineStr">
        <is>
          <t>Trọn gói Take-Home Starter Kit V2/V3 (Cỏ nhân tạo + Khay Potty + Đồ chơi Teething/Snuggle)</t>
        </is>
      </c>
      <c r="S1591" s="6" t="inlineStr">
        <is>
          <t>Đóng băng tương tác (&gt;30 ngày): Lưu trữ chờ kích hoạt lại, không tốn tài nguyên Sales</t>
        </is>
      </c>
    </row>
    <row r="1592">
      <c r="A1592" s="59" t="n">
        <v>1918</v>
      </c>
      <c r="B1592" s="15" t="inlineStr">
        <is>
          <t>Kennel«Cane Maestro»</t>
        </is>
      </c>
      <c r="C1592" s="60" t="inlineStr">
        <is>
          <t>https://www.facebook.com/Atlanta1978</t>
        </is>
      </c>
      <c r="D1592" s="9" t="inlineStr">
        <is>
          <t>Cần quét Bio Fanpage</t>
        </is>
      </c>
      <c r="E1592" s="59" t="inlineStr">
        <is>
          <t>10/01/2025 17:46:28</t>
        </is>
      </c>
      <c r="F1592" s="59" t="inlineStr">
        <is>
          <t>1 năm trước</t>
        </is>
      </c>
      <c r="G1592" s="61" t="n">
        <v>365</v>
      </c>
      <c r="H1592" s="62" t="n">
        <v>0</v>
      </c>
      <c r="I1592" s="9" t="inlineStr">
        <is>
          <t>Dog Breeder / Trại chó chuyên nghiệp (28-30đ)</t>
        </is>
      </c>
      <c r="J1592" s="62" t="n">
        <v>30</v>
      </c>
      <c r="K1592" s="9" t="inlineStr">
        <is>
          <t>Chưa rõ giống (Cần quét Bio)</t>
        </is>
      </c>
      <c r="L1592" s="62" t="n">
        <v>0</v>
      </c>
      <c r="M1592" s="62" t="n">
        <v>5</v>
      </c>
      <c r="N1592" s="9" t="inlineStr">
        <is>
          <t>Amazon link not found</t>
        </is>
      </c>
      <c r="O1592" s="62">
        <f>IF(N1592="Selling pet toys + Artificial grass/Pet toilets (TARGET)",15,IF(N1592="Selling artificial grass/pet toilets (TARGET)",10,IF(N1592="Selling pet toys",7,IF(N1592="There's an Amazon link, but no target sales.",3,0))))</f>
        <v/>
      </c>
      <c r="P1592" s="67">
        <f>H1592+J1592+L1592+M1592+O1592</f>
        <v/>
      </c>
      <c r="Q1592" s="68">
        <f>IF(OR(H1592=0,P1592&lt;30),"Tier D (Đóng băng)",IF(P1592&gt;=85,"Tier S (Kim Cương: 85-100đ)",IF(P1592&gt;=70,"Tier A (Vàng: 70-84đ)",IF(P1592&gt;=61,"Tier B+ / Cấp A (Hot Lead: 61-69đ)",IF(P1592&gt;=50,"Tier B (Bạc: 50-60đ)","Tier C (Đồng: 30-49đ)")))))</f>
        <v/>
      </c>
      <c r="R1592" s="9" t="inlineStr">
        <is>
          <t>Trọn gói Take-Home Starter Kit V2/V3 (Cỏ nhân tạo + Khay Potty + Đồ chơi Teething/Snuggle)</t>
        </is>
      </c>
      <c r="S1592" s="9" t="inlineStr">
        <is>
          <t>Đóng băng tương tác (&gt;30 ngày): Lưu trữ chờ kích hoạt lại, không tốn tài nguyên Sales</t>
        </is>
      </c>
    </row>
    <row r="1593">
      <c r="A1593" s="53" t="n">
        <v>985</v>
      </c>
      <c r="B1593" s="12" t="inlineStr">
        <is>
          <t>D Cabids Kennel</t>
        </is>
      </c>
      <c r="C1593" s="54" t="inlineStr">
        <is>
          <t>https://www.facebook.com/profile.php?id=100089965091573</t>
        </is>
      </c>
      <c r="D1593" s="6" t="inlineStr">
        <is>
          <t>Cần quét Bio Fanpage</t>
        </is>
      </c>
      <c r="E1593" s="53" t="inlineStr">
        <is>
          <t>02/11/2024 23:47:16</t>
        </is>
      </c>
      <c r="F1593" s="53" t="inlineStr">
        <is>
          <t>1 năm trước</t>
        </is>
      </c>
      <c r="G1593" s="55" t="n">
        <v>365</v>
      </c>
      <c r="H1593" s="56" t="n">
        <v>0</v>
      </c>
      <c r="I1593" s="6" t="inlineStr">
        <is>
          <t>Dog Breeder / Trại chó chuyên nghiệp (28-30đ)</t>
        </is>
      </c>
      <c r="J1593" s="56" t="n">
        <v>30</v>
      </c>
      <c r="K1593" s="6" t="inlineStr">
        <is>
          <t>Chưa rõ giống (Cần quét Bio)</t>
        </is>
      </c>
      <c r="L1593" s="56" t="n">
        <v>0</v>
      </c>
      <c r="M1593" s="56" t="n">
        <v>5</v>
      </c>
      <c r="N1593" s="6" t="inlineStr">
        <is>
          <t>Amazon link not found</t>
        </is>
      </c>
      <c r="O1593" s="56">
        <f>IF(N1593="Selling pet toys + Artificial grass/Pet toilets (TARGET)",15,IF(N1593="Selling artificial grass/pet toilets (TARGET)",10,IF(N1593="Selling pet toys",7,IF(N1593="There's an Amazon link, but no target sales.",3,0))))</f>
        <v/>
      </c>
      <c r="P1593" s="65">
        <f>H1593+J1593+L1593+M1593+O1593</f>
        <v/>
      </c>
      <c r="Q1593" s="68">
        <f>IF(OR(H1593=0,P1593&lt;30),"Tier D (Đóng băng)",IF(P1593&gt;=85,"Tier S (Kim Cương: 85-100đ)",IF(P1593&gt;=70,"Tier A (Vàng: 70-84đ)",IF(P1593&gt;=61,"Tier B+ / Cấp A (Hot Lead: 61-69đ)",IF(P1593&gt;=50,"Tier B (Bạc: 50-60đ)","Tier C (Đồng: 30-49đ)")))))</f>
        <v/>
      </c>
      <c r="R1593" s="6" t="inlineStr">
        <is>
          <t>Trọn gói Take-Home Starter Kit V2/V3 (Cỏ nhân tạo + Khay Potty + Đồ chơi Teething/Snuggle)</t>
        </is>
      </c>
      <c r="S1593" s="6" t="inlineStr">
        <is>
          <t>Đóng băng tương tác (&gt;30 ngày): Lưu trữ chờ kích hoạt lại, không tốn tài nguyên Sales</t>
        </is>
      </c>
    </row>
    <row r="1594">
      <c r="A1594" s="59" t="n">
        <v>937</v>
      </c>
      <c r="B1594" s="15" t="inlineStr">
        <is>
          <t>Contarino Kennel</t>
        </is>
      </c>
      <c r="C1594" s="60" t="inlineStr">
        <is>
          <t>https://www.facebook.com/Contarinokennel</t>
        </is>
      </c>
      <c r="D1594" s="9" t="inlineStr">
        <is>
          <t>Cần quét Bio Fanpage</t>
        </is>
      </c>
      <c r="E1594" s="59" t="inlineStr">
        <is>
          <t>14/09/2024 12:17:56</t>
        </is>
      </c>
      <c r="F1594" s="59" t="inlineStr">
        <is>
          <t>2 năm trước</t>
        </is>
      </c>
      <c r="G1594" s="61" t="n">
        <v>730</v>
      </c>
      <c r="H1594" s="62" t="n">
        <v>0</v>
      </c>
      <c r="I1594" s="9" t="inlineStr">
        <is>
          <t>Dog Breeder / Trại chó chuyên nghiệp (28-30đ)</t>
        </is>
      </c>
      <c r="J1594" s="62" t="n">
        <v>30</v>
      </c>
      <c r="K1594" s="9" t="inlineStr">
        <is>
          <t>Chưa rõ giống (Cần quét Bio)</t>
        </is>
      </c>
      <c r="L1594" s="62" t="n">
        <v>0</v>
      </c>
      <c r="M1594" s="62" t="n">
        <v>5</v>
      </c>
      <c r="N1594" s="9" t="inlineStr">
        <is>
          <t>Amazon link not found</t>
        </is>
      </c>
      <c r="O1594" s="62">
        <f>IF(N1594="Selling pet toys + Artificial grass/Pet toilets (TARGET)",15,IF(N1594="Selling artificial grass/pet toilets (TARGET)",10,IF(N1594="Selling pet toys",7,IF(N1594="There's an Amazon link, but no target sales.",3,0))))</f>
        <v/>
      </c>
      <c r="P1594" s="67">
        <f>H1594+J1594+L1594+M1594+O1594</f>
        <v/>
      </c>
      <c r="Q1594" s="68">
        <f>IF(OR(H1594=0,P1594&lt;30),"Tier D (Đóng băng)",IF(P1594&gt;=85,"Tier S (Kim Cương: 85-100đ)",IF(P1594&gt;=70,"Tier A (Vàng: 70-84đ)",IF(P1594&gt;=61,"Tier B+ / Cấp A (Hot Lead: 61-69đ)",IF(P1594&gt;=50,"Tier B (Bạc: 50-60đ)","Tier C (Đồng: 30-49đ)")))))</f>
        <v/>
      </c>
      <c r="R1594" s="9" t="inlineStr">
        <is>
          <t>Trọn gói Take-Home Starter Kit V2/V3 (Cỏ nhân tạo + Khay Potty + Đồ chơi Teething/Snuggle)</t>
        </is>
      </c>
      <c r="S1594" s="9" t="inlineStr">
        <is>
          <t>Đóng băng tương tác (&gt;30 ngày): Lưu trữ chờ kích hoạt lại, không tốn tài nguyên Sales</t>
        </is>
      </c>
    </row>
    <row r="1595">
      <c r="A1595" s="53" t="n">
        <v>1866</v>
      </c>
      <c r="B1595" s="12" t="inlineStr">
        <is>
          <t>Kennel "Shaggy Tale"</t>
        </is>
      </c>
      <c r="C1595" s="54" t="inlineStr">
        <is>
          <t>https://www.facebook.com/shaggytale</t>
        </is>
      </c>
      <c r="D1595" s="6" t="inlineStr">
        <is>
          <t>Cần quét Bio Fanpage</t>
        </is>
      </c>
      <c r="E1595" s="53" t="inlineStr">
        <is>
          <t>19/08/2024 17:00:50</t>
        </is>
      </c>
      <c r="F1595" s="53" t="inlineStr">
        <is>
          <t>2 năm trước</t>
        </is>
      </c>
      <c r="G1595" s="55" t="n">
        <v>730</v>
      </c>
      <c r="H1595" s="56" t="n">
        <v>0</v>
      </c>
      <c r="I1595" s="6" t="inlineStr">
        <is>
          <t>Dog Breeder / Trại chó chuyên nghiệp (28-30đ)</t>
        </is>
      </c>
      <c r="J1595" s="56" t="n">
        <v>30</v>
      </c>
      <c r="K1595" s="6" t="inlineStr">
        <is>
          <t>Chưa rõ giống (Cần quét Bio)</t>
        </is>
      </c>
      <c r="L1595" s="56" t="n">
        <v>0</v>
      </c>
      <c r="M1595" s="56" t="n">
        <v>5</v>
      </c>
      <c r="N1595" s="6" t="inlineStr">
        <is>
          <t>Amazon link not found</t>
        </is>
      </c>
      <c r="O1595" s="56">
        <f>IF(N1595="Selling pet toys + Artificial grass/Pet toilets (TARGET)",15,IF(N1595="Selling artificial grass/pet toilets (TARGET)",10,IF(N1595="Selling pet toys",7,IF(N1595="There's an Amazon link, but no target sales.",3,0))))</f>
        <v/>
      </c>
      <c r="P1595" s="65">
        <f>H1595+J1595+L1595+M1595+O1595</f>
        <v/>
      </c>
      <c r="Q1595" s="68">
        <f>IF(OR(H1595=0,P1595&lt;30),"Tier D (Đóng băng)",IF(P1595&gt;=85,"Tier S (Kim Cương: 85-100đ)",IF(P1595&gt;=70,"Tier A (Vàng: 70-84đ)",IF(P1595&gt;=61,"Tier B+ / Cấp A (Hot Lead: 61-69đ)",IF(P1595&gt;=50,"Tier B (Bạc: 50-60đ)","Tier C (Đồng: 30-49đ)")))))</f>
        <v/>
      </c>
      <c r="R1595" s="6" t="inlineStr">
        <is>
          <t>Trọn gói Take-Home Starter Kit V2/V3 (Cỏ nhân tạo + Khay Potty + Đồ chơi Teething/Snuggle)</t>
        </is>
      </c>
      <c r="S1595" s="6" t="inlineStr">
        <is>
          <t>Đóng băng tương tác (&gt;30 ngày): Lưu trữ chờ kích hoạt lại, không tốn tài nguyên Sales</t>
        </is>
      </c>
    </row>
    <row r="1596">
      <c r="A1596" s="59" t="n">
        <v>1889</v>
      </c>
      <c r="B1596" s="15" t="inlineStr">
        <is>
          <t>Kennel Katiliani</t>
        </is>
      </c>
      <c r="C1596" s="60" t="inlineStr">
        <is>
          <t>https://www.facebook.com/KATILIANI</t>
        </is>
      </c>
      <c r="D1596" s="9" t="inlineStr">
        <is>
          <t>Cần quét Bio Fanpage</t>
        </is>
      </c>
      <c r="E1596" s="59" t="inlineStr">
        <is>
          <t>29/07/2024 08:25:44</t>
        </is>
      </c>
      <c r="F1596" s="59" t="inlineStr">
        <is>
          <t>2 năm trước</t>
        </is>
      </c>
      <c r="G1596" s="61" t="n">
        <v>730</v>
      </c>
      <c r="H1596" s="62" t="n">
        <v>0</v>
      </c>
      <c r="I1596" s="9" t="inlineStr">
        <is>
          <t>Dog Breeder / Trại chó chuyên nghiệp (28-30đ)</t>
        </is>
      </c>
      <c r="J1596" s="62" t="n">
        <v>30</v>
      </c>
      <c r="K1596" s="9" t="inlineStr">
        <is>
          <t>Chưa rõ giống (Cần quét Bio)</t>
        </is>
      </c>
      <c r="L1596" s="62" t="n">
        <v>0</v>
      </c>
      <c r="M1596" s="62" t="n">
        <v>5</v>
      </c>
      <c r="N1596" s="9" t="inlineStr">
        <is>
          <t>Amazon link not found</t>
        </is>
      </c>
      <c r="O1596" s="62">
        <f>IF(N1596="Selling pet toys + Artificial grass/Pet toilets (TARGET)",15,IF(N1596="Selling artificial grass/pet toilets (TARGET)",10,IF(N1596="Selling pet toys",7,IF(N1596="There's an Amazon link, but no target sales.",3,0))))</f>
        <v/>
      </c>
      <c r="P1596" s="67">
        <f>H1596+J1596+L1596+M1596+O1596</f>
        <v/>
      </c>
      <c r="Q1596" s="68">
        <f>IF(OR(H1596=0,P1596&lt;30),"Tier D (Đóng băng)",IF(P1596&gt;=85,"Tier S (Kim Cương: 85-100đ)",IF(P1596&gt;=70,"Tier A (Vàng: 70-84đ)",IF(P1596&gt;=61,"Tier B+ / Cấp A (Hot Lead: 61-69đ)",IF(P1596&gt;=50,"Tier B (Bạc: 50-60đ)","Tier C (Đồng: 30-49đ)")))))</f>
        <v/>
      </c>
      <c r="R1596" s="9" t="inlineStr">
        <is>
          <t>Trọn gói Take-Home Starter Kit V2/V3 (Cỏ nhân tạo + Khay Potty + Đồ chơi Teething/Snuggle)</t>
        </is>
      </c>
      <c r="S1596" s="9" t="inlineStr">
        <is>
          <t>Đóng băng tương tác (&gt;30 ngày): Lưu trữ chờ kích hoạt lại, không tốn tài nguyên Sales</t>
        </is>
      </c>
    </row>
    <row r="1597">
      <c r="A1597" s="53" t="n">
        <v>3406</v>
      </c>
      <c r="B1597" s="12" t="inlineStr">
        <is>
          <t>Whitehorse Kennel</t>
        </is>
      </c>
      <c r="C1597" s="54" t="inlineStr">
        <is>
          <t>https://www.facebook.com/profile.php?id=61554294596056</t>
        </is>
      </c>
      <c r="D1597" s="6" t="inlineStr">
        <is>
          <t>Cần quét Bio Fanpage</t>
        </is>
      </c>
      <c r="E1597" s="53" t="inlineStr">
        <is>
          <t>05/06/2024 13:31:32</t>
        </is>
      </c>
      <c r="F1597" s="53" t="inlineStr">
        <is>
          <t>2 năm trước</t>
        </is>
      </c>
      <c r="G1597" s="55" t="n">
        <v>730</v>
      </c>
      <c r="H1597" s="56" t="n">
        <v>0</v>
      </c>
      <c r="I1597" s="6" t="inlineStr">
        <is>
          <t>Dog Breeder / Trại chó chuyên nghiệp (28-30đ)</t>
        </is>
      </c>
      <c r="J1597" s="56" t="n">
        <v>30</v>
      </c>
      <c r="K1597" s="6" t="inlineStr">
        <is>
          <t>Chưa rõ giống (Cần quét Bio)</t>
        </is>
      </c>
      <c r="L1597" s="56" t="n">
        <v>0</v>
      </c>
      <c r="M1597" s="56" t="n">
        <v>5</v>
      </c>
      <c r="N1597" s="6" t="inlineStr">
        <is>
          <t>Amazon link not found</t>
        </is>
      </c>
      <c r="O1597" s="56">
        <f>IF(N1597="Selling pet toys + Artificial grass/Pet toilets (TARGET)",15,IF(N1597="Selling artificial grass/pet toilets (TARGET)",10,IF(N1597="Selling pet toys",7,IF(N1597="There's an Amazon link, but no target sales.",3,0))))</f>
        <v/>
      </c>
      <c r="P1597" s="65">
        <f>H1597+J1597+L1597+M1597+O1597</f>
        <v/>
      </c>
      <c r="Q1597" s="68">
        <f>IF(OR(H1597=0,P1597&lt;30),"Tier D (Đóng băng)",IF(P1597&gt;=85,"Tier S (Kim Cương: 85-100đ)",IF(P1597&gt;=70,"Tier A (Vàng: 70-84đ)",IF(P1597&gt;=61,"Tier B+ / Cấp A (Hot Lead: 61-69đ)",IF(P1597&gt;=50,"Tier B (Bạc: 50-60đ)","Tier C (Đồng: 30-49đ)")))))</f>
        <v/>
      </c>
      <c r="R1597" s="6" t="inlineStr">
        <is>
          <t>Trọn gói Take-Home Starter Kit V2/V3 (Cỏ nhân tạo + Khay Potty + Đồ chơi Teething/Snuggle)</t>
        </is>
      </c>
      <c r="S1597" s="6" t="inlineStr">
        <is>
          <t>Đóng băng tương tác (&gt;30 ngày): Lưu trữ chờ kích hoạt lại, không tốn tài nguyên Sales</t>
        </is>
      </c>
    </row>
    <row r="1598">
      <c r="A1598" s="59" t="n">
        <v>830</v>
      </c>
      <c r="B1598" s="15" t="inlineStr">
        <is>
          <t>Canis Admirabilis kennel</t>
        </is>
      </c>
      <c r="C1598" s="60" t="inlineStr">
        <is>
          <t>https://www.facebook.com/canisadmirabilis</t>
        </is>
      </c>
      <c r="D1598" s="9" t="inlineStr">
        <is>
          <t>Cần quét Bio Fanpage</t>
        </is>
      </c>
      <c r="E1598" s="59" t="inlineStr">
        <is>
          <t>02/06/2024 01:35:05</t>
        </is>
      </c>
      <c r="F1598" s="59" t="inlineStr">
        <is>
          <t>2 năm trước</t>
        </is>
      </c>
      <c r="G1598" s="61" t="n">
        <v>730</v>
      </c>
      <c r="H1598" s="62" t="n">
        <v>0</v>
      </c>
      <c r="I1598" s="9" t="inlineStr">
        <is>
          <t>Dog Breeder / Trại chó chuyên nghiệp (28-30đ)</t>
        </is>
      </c>
      <c r="J1598" s="62" t="n">
        <v>30</v>
      </c>
      <c r="K1598" s="9" t="inlineStr">
        <is>
          <t>Chưa rõ giống (Cần quét Bio)</t>
        </is>
      </c>
      <c r="L1598" s="62" t="n">
        <v>0</v>
      </c>
      <c r="M1598" s="62" t="n">
        <v>5</v>
      </c>
      <c r="N1598" s="9" t="inlineStr">
        <is>
          <t>Amazon link not found</t>
        </is>
      </c>
      <c r="O1598" s="62">
        <f>IF(N1598="Selling pet toys + Artificial grass/Pet toilets (TARGET)",15,IF(N1598="Selling artificial grass/pet toilets (TARGET)",10,IF(N1598="Selling pet toys",7,IF(N1598="There's an Amazon link, but no target sales.",3,0))))</f>
        <v/>
      </c>
      <c r="P1598" s="67">
        <f>H1598+J1598+L1598+M1598+O1598</f>
        <v/>
      </c>
      <c r="Q1598" s="68">
        <f>IF(OR(H1598=0,P1598&lt;30),"Tier D (Đóng băng)",IF(P1598&gt;=85,"Tier S (Kim Cương: 85-100đ)",IF(P1598&gt;=70,"Tier A (Vàng: 70-84đ)",IF(P1598&gt;=61,"Tier B+ / Cấp A (Hot Lead: 61-69đ)",IF(P1598&gt;=50,"Tier B (Bạc: 50-60đ)","Tier C (Đồng: 30-49đ)")))))</f>
        <v/>
      </c>
      <c r="R1598" s="9" t="inlineStr">
        <is>
          <t>Trọn gói Take-Home Starter Kit V2/V3 (Cỏ nhân tạo + Khay Potty + Đồ chơi Teething/Snuggle)</t>
        </is>
      </c>
      <c r="S1598" s="9" t="inlineStr">
        <is>
          <t>Đóng băng tương tác (&gt;30 ngày): Lưu trữ chờ kích hoạt lại, không tốn tài nguyên Sales</t>
        </is>
      </c>
    </row>
    <row r="1599">
      <c r="A1599" s="53" t="n">
        <v>1908</v>
      </c>
      <c r="B1599" s="12" t="inlineStr">
        <is>
          <t>Kennel Trial's</t>
        </is>
      </c>
      <c r="C1599" s="54" t="inlineStr">
        <is>
          <t>https://www.facebook.com/kennelTrials</t>
        </is>
      </c>
      <c r="D1599" s="6" t="inlineStr">
        <is>
          <t>Cần quét Bio Fanpage</t>
        </is>
      </c>
      <c r="E1599" s="53" t="inlineStr">
        <is>
          <t>01/05/2024 13:23:37</t>
        </is>
      </c>
      <c r="F1599" s="53" t="inlineStr">
        <is>
          <t>2 năm trước</t>
        </is>
      </c>
      <c r="G1599" s="55" t="n">
        <v>730</v>
      </c>
      <c r="H1599" s="56" t="n">
        <v>0</v>
      </c>
      <c r="I1599" s="6" t="inlineStr">
        <is>
          <t>Dog Breeder / Trại chó chuyên nghiệp (28-30đ)</t>
        </is>
      </c>
      <c r="J1599" s="56" t="n">
        <v>30</v>
      </c>
      <c r="K1599" s="6" t="inlineStr">
        <is>
          <t>Chưa rõ giống (Cần quét Bio)</t>
        </is>
      </c>
      <c r="L1599" s="56" t="n">
        <v>0</v>
      </c>
      <c r="M1599" s="56" t="n">
        <v>5</v>
      </c>
      <c r="N1599" s="6" t="inlineStr">
        <is>
          <t>Amazon link not found</t>
        </is>
      </c>
      <c r="O1599" s="56">
        <f>IF(N1599="Selling pet toys + Artificial grass/Pet toilets (TARGET)",15,IF(N1599="Selling artificial grass/pet toilets (TARGET)",10,IF(N1599="Selling pet toys",7,IF(N1599="There's an Amazon link, but no target sales.",3,0))))</f>
        <v/>
      </c>
      <c r="P1599" s="65">
        <f>H1599+J1599+L1599+M1599+O1599</f>
        <v/>
      </c>
      <c r="Q1599" s="68">
        <f>IF(OR(H1599=0,P1599&lt;30),"Tier D (Đóng băng)",IF(P1599&gt;=85,"Tier S (Kim Cương: 85-100đ)",IF(P1599&gt;=70,"Tier A (Vàng: 70-84đ)",IF(P1599&gt;=61,"Tier B+ / Cấp A (Hot Lead: 61-69đ)",IF(P1599&gt;=50,"Tier B (Bạc: 50-60đ)","Tier C (Đồng: 30-49đ)")))))</f>
        <v/>
      </c>
      <c r="R1599" s="6" t="inlineStr">
        <is>
          <t>Trọn gói Take-Home Starter Kit V2/V3 (Cỏ nhân tạo + Khay Potty + Đồ chơi Teething/Snuggle)</t>
        </is>
      </c>
      <c r="S1599" s="6" t="inlineStr">
        <is>
          <t>Đóng băng tương tác (&gt;30 ngày): Lưu trữ chờ kích hoạt lại, không tốn tài nguyên Sales</t>
        </is>
      </c>
    </row>
    <row r="1600">
      <c r="A1600" s="59" t="n">
        <v>1906</v>
      </c>
      <c r="B1600" s="15" t="inlineStr">
        <is>
          <t>Kennel Starzhy</t>
        </is>
      </c>
      <c r="C1600" s="60" t="inlineStr">
        <is>
          <t>https://www.facebook.com/kennelstarzhy</t>
        </is>
      </c>
      <c r="D1600" s="9" t="inlineStr">
        <is>
          <t>Cần quét Bio Fanpage</t>
        </is>
      </c>
      <c r="E1600" s="59" t="inlineStr">
        <is>
          <t>30/04/2024 19:51:34</t>
        </is>
      </c>
      <c r="F1600" s="59" t="inlineStr">
        <is>
          <t>2 năm trước</t>
        </is>
      </c>
      <c r="G1600" s="61" t="n">
        <v>730</v>
      </c>
      <c r="H1600" s="62" t="n">
        <v>0</v>
      </c>
      <c r="I1600" s="9" t="inlineStr">
        <is>
          <t>Dog Breeder / Trại chó chuyên nghiệp (28-30đ)</t>
        </is>
      </c>
      <c r="J1600" s="62" t="n">
        <v>30</v>
      </c>
      <c r="K1600" s="9" t="inlineStr">
        <is>
          <t>Chưa rõ giống (Cần quét Bio)</t>
        </is>
      </c>
      <c r="L1600" s="62" t="n">
        <v>0</v>
      </c>
      <c r="M1600" s="62" t="n">
        <v>5</v>
      </c>
      <c r="N1600" s="9" t="inlineStr">
        <is>
          <t>Amazon link not found</t>
        </is>
      </c>
      <c r="O1600" s="62">
        <f>IF(N1600="Selling pet toys + Artificial grass/Pet toilets (TARGET)",15,IF(N1600="Selling artificial grass/pet toilets (TARGET)",10,IF(N1600="Selling pet toys",7,IF(N1600="There's an Amazon link, but no target sales.",3,0))))</f>
        <v/>
      </c>
      <c r="P1600" s="67">
        <f>H1600+J1600+L1600+M1600+O1600</f>
        <v/>
      </c>
      <c r="Q1600" s="68">
        <f>IF(OR(H1600=0,P1600&lt;30),"Tier D (Đóng băng)",IF(P1600&gt;=85,"Tier S (Kim Cương: 85-100đ)",IF(P1600&gt;=70,"Tier A (Vàng: 70-84đ)",IF(P1600&gt;=61,"Tier B+ / Cấp A (Hot Lead: 61-69đ)",IF(P1600&gt;=50,"Tier B (Bạc: 50-60đ)","Tier C (Đồng: 30-49đ)")))))</f>
        <v/>
      </c>
      <c r="R1600" s="9" t="inlineStr">
        <is>
          <t>Trọn gói Take-Home Starter Kit V2/V3 (Cỏ nhân tạo + Khay Potty + Đồ chơi Teething/Snuggle)</t>
        </is>
      </c>
      <c r="S1600" s="9" t="inlineStr">
        <is>
          <t>Đóng băng tương tác (&gt;30 ngày): Lưu trữ chờ kích hoạt lại, không tốn tài nguyên Sales</t>
        </is>
      </c>
    </row>
    <row r="1601">
      <c r="A1601" s="53" t="n">
        <v>2280</v>
      </c>
      <c r="B1601" s="12" t="inlineStr">
        <is>
          <t>Neu Garmond Kennel</t>
        </is>
      </c>
      <c r="C1601" s="54" t="inlineStr">
        <is>
          <t>https://www.facebook.com/garmondkennel</t>
        </is>
      </c>
      <c r="D1601" s="6" t="inlineStr">
        <is>
          <t>Cần quét Bio Fanpage</t>
        </is>
      </c>
      <c r="E1601" s="53" t="inlineStr">
        <is>
          <t>21/04/2024 03:27:16</t>
        </is>
      </c>
      <c r="F1601" s="53" t="inlineStr">
        <is>
          <t>2 năm trước</t>
        </is>
      </c>
      <c r="G1601" s="55" t="n">
        <v>730</v>
      </c>
      <c r="H1601" s="56" t="n">
        <v>0</v>
      </c>
      <c r="I1601" s="6" t="inlineStr">
        <is>
          <t>Dog Breeder / Trại chó chuyên nghiệp (28-30đ)</t>
        </is>
      </c>
      <c r="J1601" s="56" t="n">
        <v>30</v>
      </c>
      <c r="K1601" s="6" t="inlineStr">
        <is>
          <t>Chưa rõ giống (Cần quét Bio)</t>
        </is>
      </c>
      <c r="L1601" s="56" t="n">
        <v>0</v>
      </c>
      <c r="M1601" s="56" t="n">
        <v>5</v>
      </c>
      <c r="N1601" s="6" t="inlineStr">
        <is>
          <t>Amazon link not found</t>
        </is>
      </c>
      <c r="O1601" s="56">
        <f>IF(N1601="Selling pet toys + Artificial grass/Pet toilets (TARGET)",15,IF(N1601="Selling artificial grass/pet toilets (TARGET)",10,IF(N1601="Selling pet toys",7,IF(N1601="There's an Amazon link, but no target sales.",3,0))))</f>
        <v/>
      </c>
      <c r="P1601" s="65">
        <f>H1601+J1601+L1601+M1601+O1601</f>
        <v/>
      </c>
      <c r="Q1601" s="68">
        <f>IF(OR(H1601=0,P1601&lt;30),"Tier D (Đóng băng)",IF(P1601&gt;=85,"Tier S (Kim Cương: 85-100đ)",IF(P1601&gt;=70,"Tier A (Vàng: 70-84đ)",IF(P1601&gt;=61,"Tier B+ / Cấp A (Hot Lead: 61-69đ)",IF(P1601&gt;=50,"Tier B (Bạc: 50-60đ)","Tier C (Đồng: 30-49đ)")))))</f>
        <v/>
      </c>
      <c r="R1601" s="6" t="inlineStr">
        <is>
          <t>Trọn gói Take-Home Starter Kit V2/V3 (Cỏ nhân tạo + Khay Potty + Đồ chơi Teething/Snuggle)</t>
        </is>
      </c>
      <c r="S1601" s="6" t="inlineStr">
        <is>
          <t>Đóng băng tương tác (&gt;30 ngày): Lưu trữ chờ kích hoạt lại, không tốn tài nguyên Sales</t>
        </is>
      </c>
    </row>
    <row r="1602">
      <c r="A1602" s="59" t="n">
        <v>1590</v>
      </c>
      <c r="B1602" s="15" t="inlineStr">
        <is>
          <t>H7 Kennels</t>
        </is>
      </c>
      <c r="C1602" s="60" t="inlineStr">
        <is>
          <t>https://www.facebook.com/profile.php?id=100091367095519</t>
        </is>
      </c>
      <c r="D1602" s="9" t="inlineStr">
        <is>
          <t>Cần quét Bio Fanpage</t>
        </is>
      </c>
      <c r="E1602" s="59" t="inlineStr">
        <is>
          <t>28/03/2024 05:09:02</t>
        </is>
      </c>
      <c r="F1602" s="59" t="inlineStr">
        <is>
          <t>2 năm trước</t>
        </is>
      </c>
      <c r="G1602" s="61" t="n">
        <v>730</v>
      </c>
      <c r="H1602" s="62" t="n">
        <v>0</v>
      </c>
      <c r="I1602" s="9" t="inlineStr">
        <is>
          <t>Dog Breeder / Trại chó chuyên nghiệp (28-30đ)</t>
        </is>
      </c>
      <c r="J1602" s="62" t="n">
        <v>30</v>
      </c>
      <c r="K1602" s="9" t="inlineStr">
        <is>
          <t>Chưa rõ giống (Cần quét Bio)</t>
        </is>
      </c>
      <c r="L1602" s="62" t="n">
        <v>0</v>
      </c>
      <c r="M1602" s="62" t="n">
        <v>5</v>
      </c>
      <c r="N1602" s="9" t="inlineStr">
        <is>
          <t>Amazon link not found</t>
        </is>
      </c>
      <c r="O1602" s="62">
        <f>IF(N1602="Selling pet toys + Artificial grass/Pet toilets (TARGET)",15,IF(N1602="Selling artificial grass/pet toilets (TARGET)",10,IF(N1602="Selling pet toys",7,IF(N1602="There's an Amazon link, but no target sales.",3,0))))</f>
        <v/>
      </c>
      <c r="P1602" s="67">
        <f>H1602+J1602+L1602+M1602+O1602</f>
        <v/>
      </c>
      <c r="Q1602" s="68">
        <f>IF(OR(H1602=0,P1602&lt;30),"Tier D (Đóng băng)",IF(P1602&gt;=85,"Tier S (Kim Cương: 85-100đ)",IF(P1602&gt;=70,"Tier A (Vàng: 70-84đ)",IF(P1602&gt;=61,"Tier B+ / Cấp A (Hot Lead: 61-69đ)",IF(P1602&gt;=50,"Tier B (Bạc: 50-60đ)","Tier C (Đồng: 30-49đ)")))))</f>
        <v/>
      </c>
      <c r="R1602" s="9" t="inlineStr">
        <is>
          <t>Trọn gói Take-Home Starter Kit V2/V3 (Cỏ nhân tạo + Khay Potty + Đồ chơi Teething/Snuggle)</t>
        </is>
      </c>
      <c r="S1602" s="9" t="inlineStr">
        <is>
          <t>Đóng băng tương tác (&gt;30 ngày): Lưu trữ chờ kích hoạt lại, không tốn tài nguyên Sales</t>
        </is>
      </c>
    </row>
    <row r="1603">
      <c r="A1603" s="53" t="n">
        <v>2629</v>
      </c>
      <c r="B1603" s="12" t="inlineStr">
        <is>
          <t>Prima - kennel since 1947</t>
        </is>
      </c>
      <c r="C1603" s="54" t="inlineStr">
        <is>
          <t>https://www.facebook.com/hodowlaprima</t>
        </is>
      </c>
      <c r="D1603" s="6" t="inlineStr">
        <is>
          <t>Cần quét Bio Fanpage</t>
        </is>
      </c>
      <c r="E1603" s="53" t="inlineStr">
        <is>
          <t>13/03/2024 03:23:58</t>
        </is>
      </c>
      <c r="F1603" s="53" t="inlineStr">
        <is>
          <t>2 năm trước</t>
        </is>
      </c>
      <c r="G1603" s="55" t="n">
        <v>730</v>
      </c>
      <c r="H1603" s="56" t="n">
        <v>0</v>
      </c>
      <c r="I1603" s="6" t="inlineStr">
        <is>
          <t>Dog Breeder / Trại chó chuyên nghiệp (28-30đ)</t>
        </is>
      </c>
      <c r="J1603" s="56" t="n">
        <v>30</v>
      </c>
      <c r="K1603" s="6" t="inlineStr">
        <is>
          <t>Chưa rõ giống (Cần quét Bio)</t>
        </is>
      </c>
      <c r="L1603" s="56" t="n">
        <v>0</v>
      </c>
      <c r="M1603" s="56" t="n">
        <v>5</v>
      </c>
      <c r="N1603" s="6" t="inlineStr">
        <is>
          <t>Amazon link not found</t>
        </is>
      </c>
      <c r="O1603" s="56">
        <f>IF(N1603="Selling pet toys + Artificial grass/Pet toilets (TARGET)",15,IF(N1603="Selling artificial grass/pet toilets (TARGET)",10,IF(N1603="Selling pet toys",7,IF(N1603="There's an Amazon link, but no target sales.",3,0))))</f>
        <v/>
      </c>
      <c r="P1603" s="65">
        <f>H1603+J1603+L1603+M1603+O1603</f>
        <v/>
      </c>
      <c r="Q1603" s="68">
        <f>IF(OR(H1603=0,P1603&lt;30),"Tier D (Đóng băng)",IF(P1603&gt;=85,"Tier S (Kim Cương: 85-100đ)",IF(P1603&gt;=70,"Tier A (Vàng: 70-84đ)",IF(P1603&gt;=61,"Tier B+ / Cấp A (Hot Lead: 61-69đ)",IF(P1603&gt;=50,"Tier B (Bạc: 50-60đ)","Tier C (Đồng: 30-49đ)")))))</f>
        <v/>
      </c>
      <c r="R1603" s="6" t="inlineStr">
        <is>
          <t>Trọn gói Take-Home Starter Kit V2/V3 (Cỏ nhân tạo + Khay Potty + Đồ chơi Teething/Snuggle)</t>
        </is>
      </c>
      <c r="S1603" s="6" t="inlineStr">
        <is>
          <t>Đóng băng tương tác (&gt;30 ngày): Lưu trữ chờ kích hoạt lại, không tốn tài nguyên Sales</t>
        </is>
      </c>
    </row>
    <row r="1604">
      <c r="A1604" s="59" t="n">
        <v>1230</v>
      </c>
      <c r="B1604" s="15" t="inlineStr">
        <is>
          <t>Dreams to reality kennel</t>
        </is>
      </c>
      <c r="C1604" s="60" t="inlineStr">
        <is>
          <t>https://www.facebook.com/jrpena500</t>
        </is>
      </c>
      <c r="D1604" s="9" t="inlineStr">
        <is>
          <t>Cần quét Bio Fanpage</t>
        </is>
      </c>
      <c r="E1604" s="59" t="inlineStr">
        <is>
          <t>22/02/2024 08:36:20</t>
        </is>
      </c>
      <c r="F1604" s="59" t="inlineStr">
        <is>
          <t>2 năm trước</t>
        </is>
      </c>
      <c r="G1604" s="61" t="n">
        <v>730</v>
      </c>
      <c r="H1604" s="62" t="n">
        <v>0</v>
      </c>
      <c r="I1604" s="9" t="inlineStr">
        <is>
          <t>Dog Breeder / Trại chó chuyên nghiệp (28-30đ)</t>
        </is>
      </c>
      <c r="J1604" s="62" t="n">
        <v>30</v>
      </c>
      <c r="K1604" s="9" t="inlineStr">
        <is>
          <t>Chưa rõ giống (Cần quét Bio)</t>
        </is>
      </c>
      <c r="L1604" s="62" t="n">
        <v>0</v>
      </c>
      <c r="M1604" s="62" t="n">
        <v>5</v>
      </c>
      <c r="N1604" s="9" t="inlineStr">
        <is>
          <t>Amazon link not found</t>
        </is>
      </c>
      <c r="O1604" s="62">
        <f>IF(N1604="Selling pet toys + Artificial grass/Pet toilets (TARGET)",15,IF(N1604="Selling artificial grass/pet toilets (TARGET)",10,IF(N1604="Selling pet toys",7,IF(N1604="There's an Amazon link, but no target sales.",3,0))))</f>
        <v/>
      </c>
      <c r="P1604" s="67">
        <f>H1604+J1604+L1604+M1604+O1604</f>
        <v/>
      </c>
      <c r="Q1604" s="68">
        <f>IF(OR(H1604=0,P1604&lt;30),"Tier D (Đóng băng)",IF(P1604&gt;=85,"Tier S (Kim Cương: 85-100đ)",IF(P1604&gt;=70,"Tier A (Vàng: 70-84đ)",IF(P1604&gt;=61,"Tier B+ / Cấp A (Hot Lead: 61-69đ)",IF(P1604&gt;=50,"Tier B (Bạc: 50-60đ)","Tier C (Đồng: 30-49đ)")))))</f>
        <v/>
      </c>
      <c r="R1604" s="9" t="inlineStr">
        <is>
          <t>Trọn gói Take-Home Starter Kit V2/V3 (Cỏ nhân tạo + Khay Potty + Đồ chơi Teething/Snuggle)</t>
        </is>
      </c>
      <c r="S1604" s="9" t="inlineStr">
        <is>
          <t>Đóng băng tương tác (&gt;30 ngày): Lưu trữ chờ kích hoạt lại, không tốn tài nguyên Sales</t>
        </is>
      </c>
    </row>
    <row r="1605">
      <c r="A1605" s="53" t="n">
        <v>1887</v>
      </c>
      <c r="B1605" s="12" t="inlineStr">
        <is>
          <t>Kennel Kaimon Gerheil</t>
        </is>
      </c>
      <c r="C1605" s="54" t="inlineStr">
        <is>
          <t>https://www.facebook.com/Kaimongerheil</t>
        </is>
      </c>
      <c r="D1605" s="6" t="inlineStr">
        <is>
          <t>Cần quét Bio Fanpage</t>
        </is>
      </c>
      <c r="E1605" s="53" t="inlineStr">
        <is>
          <t>05/02/2024 16:08:29</t>
        </is>
      </c>
      <c r="F1605" s="53" t="inlineStr">
        <is>
          <t>2 năm trước</t>
        </is>
      </c>
      <c r="G1605" s="55" t="n">
        <v>730</v>
      </c>
      <c r="H1605" s="56" t="n">
        <v>0</v>
      </c>
      <c r="I1605" s="6" t="inlineStr">
        <is>
          <t>Dog Breeder / Trại chó chuyên nghiệp (28-30đ)</t>
        </is>
      </c>
      <c r="J1605" s="56" t="n">
        <v>30</v>
      </c>
      <c r="K1605" s="6" t="inlineStr">
        <is>
          <t>Chưa rõ giống (Cần quét Bio)</t>
        </is>
      </c>
      <c r="L1605" s="56" t="n">
        <v>0</v>
      </c>
      <c r="M1605" s="56" t="n">
        <v>5</v>
      </c>
      <c r="N1605" s="6" t="inlineStr">
        <is>
          <t>Amazon link not found</t>
        </is>
      </c>
      <c r="O1605" s="56">
        <f>IF(N1605="Selling pet toys + Artificial grass/Pet toilets (TARGET)",15,IF(N1605="Selling artificial grass/pet toilets (TARGET)",10,IF(N1605="Selling pet toys",7,IF(N1605="There's an Amazon link, but no target sales.",3,0))))</f>
        <v/>
      </c>
      <c r="P1605" s="65">
        <f>H1605+J1605+L1605+M1605+O1605</f>
        <v/>
      </c>
      <c r="Q1605" s="68">
        <f>IF(OR(H1605=0,P1605&lt;30),"Tier D (Đóng băng)",IF(P1605&gt;=85,"Tier S (Kim Cương: 85-100đ)",IF(P1605&gt;=70,"Tier A (Vàng: 70-84đ)",IF(P1605&gt;=61,"Tier B+ / Cấp A (Hot Lead: 61-69đ)",IF(P1605&gt;=50,"Tier B (Bạc: 50-60đ)","Tier C (Đồng: 30-49đ)")))))</f>
        <v/>
      </c>
      <c r="R1605" s="6" t="inlineStr">
        <is>
          <t>Trọn gói Take-Home Starter Kit V2/V3 (Cỏ nhân tạo + Khay Potty + Đồ chơi Teething/Snuggle)</t>
        </is>
      </c>
      <c r="S1605" s="6" t="inlineStr">
        <is>
          <t>Đóng băng tương tác (&gt;30 ngày): Lưu trữ chờ kích hoạt lại, không tốn tài nguyên Sales</t>
        </is>
      </c>
    </row>
    <row r="1606">
      <c r="A1606" s="59" t="n">
        <v>1867</v>
      </c>
      <c r="B1606" s="15" t="inlineStr">
        <is>
          <t>Kennel "Tiempo De Force"</t>
        </is>
      </c>
      <c r="C1606" s="60" t="inlineStr">
        <is>
          <t>https://www.facebook.com/profile.php?id=100063703565969</t>
        </is>
      </c>
      <c r="D1606" s="9" t="inlineStr">
        <is>
          <t>Cần quét Bio Fanpage</t>
        </is>
      </c>
      <c r="E1606" s="59" t="inlineStr">
        <is>
          <t>27/01/2024 03:46:31</t>
        </is>
      </c>
      <c r="F1606" s="59" t="inlineStr">
        <is>
          <t>2 năm trước</t>
        </is>
      </c>
      <c r="G1606" s="61" t="n">
        <v>730</v>
      </c>
      <c r="H1606" s="62" t="n">
        <v>0</v>
      </c>
      <c r="I1606" s="9" t="inlineStr">
        <is>
          <t>Dog Breeder / Trại chó chuyên nghiệp (28-30đ)</t>
        </is>
      </c>
      <c r="J1606" s="62" t="n">
        <v>30</v>
      </c>
      <c r="K1606" s="9" t="inlineStr">
        <is>
          <t>Chưa rõ giống (Cần quét Bio)</t>
        </is>
      </c>
      <c r="L1606" s="62" t="n">
        <v>0</v>
      </c>
      <c r="M1606" s="62" t="n">
        <v>5</v>
      </c>
      <c r="N1606" s="9" t="inlineStr">
        <is>
          <t>Amazon link not found</t>
        </is>
      </c>
      <c r="O1606" s="62">
        <f>IF(N1606="Selling pet toys + Artificial grass/Pet toilets (TARGET)",15,IF(N1606="Selling artificial grass/pet toilets (TARGET)",10,IF(N1606="Selling pet toys",7,IF(N1606="There's an Amazon link, but no target sales.",3,0))))</f>
        <v/>
      </c>
      <c r="P1606" s="67">
        <f>H1606+J1606+L1606+M1606+O1606</f>
        <v/>
      </c>
      <c r="Q1606" s="68">
        <f>IF(OR(H1606=0,P1606&lt;30),"Tier D (Đóng băng)",IF(P1606&gt;=85,"Tier S (Kim Cương: 85-100đ)",IF(P1606&gt;=70,"Tier A (Vàng: 70-84đ)",IF(P1606&gt;=61,"Tier B+ / Cấp A (Hot Lead: 61-69đ)",IF(P1606&gt;=50,"Tier B (Bạc: 50-60đ)","Tier C (Đồng: 30-49đ)")))))</f>
        <v/>
      </c>
      <c r="R1606" s="9" t="inlineStr">
        <is>
          <t>Trọn gói Take-Home Starter Kit V2/V3 (Cỏ nhân tạo + Khay Potty + Đồ chơi Teething/Snuggle)</t>
        </is>
      </c>
      <c r="S1606" s="9" t="inlineStr">
        <is>
          <t>Đóng băng tương tác (&gt;30 ngày): Lưu trữ chờ kích hoạt lại, không tốn tài nguyên Sales</t>
        </is>
      </c>
    </row>
    <row r="1607">
      <c r="A1607" s="53" t="n">
        <v>3211</v>
      </c>
      <c r="B1607" s="12" t="inlineStr">
        <is>
          <t>Top Of The Top Kennels</t>
        </is>
      </c>
      <c r="C1607" s="54" t="inlineStr">
        <is>
          <t>https://www.facebook.com/profile.php?id=100063608880697</t>
        </is>
      </c>
      <c r="D1607" s="6" t="inlineStr">
        <is>
          <t>Cần quét Bio Fanpage</t>
        </is>
      </c>
      <c r="E1607" s="53" t="inlineStr">
        <is>
          <t>29/12/2023 06:19:39</t>
        </is>
      </c>
      <c r="F1607" s="53" t="inlineStr">
        <is>
          <t>2 năm trước</t>
        </is>
      </c>
      <c r="G1607" s="55" t="n">
        <v>730</v>
      </c>
      <c r="H1607" s="56" t="n">
        <v>0</v>
      </c>
      <c r="I1607" s="6" t="inlineStr">
        <is>
          <t>Dog Breeder / Trại chó chuyên nghiệp (28-30đ)</t>
        </is>
      </c>
      <c r="J1607" s="56" t="n">
        <v>30</v>
      </c>
      <c r="K1607" s="6" t="inlineStr">
        <is>
          <t>Chưa rõ giống (Cần quét Bio)</t>
        </is>
      </c>
      <c r="L1607" s="56" t="n">
        <v>0</v>
      </c>
      <c r="M1607" s="56" t="n">
        <v>5</v>
      </c>
      <c r="N1607" s="6" t="inlineStr">
        <is>
          <t>Amazon link not found</t>
        </is>
      </c>
      <c r="O1607" s="56">
        <f>IF(N1607="Selling pet toys + Artificial grass/Pet toilets (TARGET)",15,IF(N1607="Selling artificial grass/pet toilets (TARGET)",10,IF(N1607="Selling pet toys",7,IF(N1607="There's an Amazon link, but no target sales.",3,0))))</f>
        <v/>
      </c>
      <c r="P1607" s="65">
        <f>H1607+J1607+L1607+M1607+O1607</f>
        <v/>
      </c>
      <c r="Q1607" s="68">
        <f>IF(OR(H1607=0,P1607&lt;30),"Tier D (Đóng băng)",IF(P1607&gt;=85,"Tier S (Kim Cương: 85-100đ)",IF(P1607&gt;=70,"Tier A (Vàng: 70-84đ)",IF(P1607&gt;=61,"Tier B+ / Cấp A (Hot Lead: 61-69đ)",IF(P1607&gt;=50,"Tier B (Bạc: 50-60đ)","Tier C (Đồng: 30-49đ)")))))</f>
        <v/>
      </c>
      <c r="R1607" s="6" t="inlineStr">
        <is>
          <t>Trọn gói Take-Home Starter Kit V2/V3 (Cỏ nhân tạo + Khay Potty + Đồ chơi Teething/Snuggle)</t>
        </is>
      </c>
      <c r="S1607" s="6" t="inlineStr">
        <is>
          <t>Đóng băng tương tác (&gt;30 ngày): Lưu trữ chờ kích hoạt lại, không tốn tài nguyên Sales</t>
        </is>
      </c>
    </row>
    <row r="1608">
      <c r="A1608" s="59" t="n">
        <v>2922</v>
      </c>
      <c r="B1608" s="15" t="inlineStr">
        <is>
          <t>Smoke House Kennel</t>
        </is>
      </c>
      <c r="C1608" s="60" t="inlineStr">
        <is>
          <t>https://www.facebook.com/profile.php?id=100058321696679</t>
        </is>
      </c>
      <c r="D1608" s="9" t="inlineStr">
        <is>
          <t>Cần quét Bio Fanpage</t>
        </is>
      </c>
      <c r="E1608" s="59" t="inlineStr">
        <is>
          <t>15/11/2023 01:39:39</t>
        </is>
      </c>
      <c r="F1608" s="59" t="inlineStr">
        <is>
          <t>2 năm trước</t>
        </is>
      </c>
      <c r="G1608" s="61" t="n">
        <v>730</v>
      </c>
      <c r="H1608" s="62" t="n">
        <v>0</v>
      </c>
      <c r="I1608" s="9" t="inlineStr">
        <is>
          <t>Dog Breeder / Trại chó chuyên nghiệp (28-30đ)</t>
        </is>
      </c>
      <c r="J1608" s="62" t="n">
        <v>30</v>
      </c>
      <c r="K1608" s="9" t="inlineStr">
        <is>
          <t>Chưa rõ giống (Cần quét Bio)</t>
        </is>
      </c>
      <c r="L1608" s="62" t="n">
        <v>0</v>
      </c>
      <c r="M1608" s="62" t="n">
        <v>5</v>
      </c>
      <c r="N1608" s="9" t="inlineStr">
        <is>
          <t>Amazon link not found</t>
        </is>
      </c>
      <c r="O1608" s="62">
        <f>IF(N1608="Selling pet toys + Artificial grass/Pet toilets (TARGET)",15,IF(N1608="Selling artificial grass/pet toilets (TARGET)",10,IF(N1608="Selling pet toys",7,IF(N1608="There's an Amazon link, but no target sales.",3,0))))</f>
        <v/>
      </c>
      <c r="P1608" s="67">
        <f>H1608+J1608+L1608+M1608+O1608</f>
        <v/>
      </c>
      <c r="Q1608" s="68">
        <f>IF(OR(H1608=0,P1608&lt;30),"Tier D (Đóng băng)",IF(P1608&gt;=85,"Tier S (Kim Cương: 85-100đ)",IF(P1608&gt;=70,"Tier A (Vàng: 70-84đ)",IF(P1608&gt;=61,"Tier B+ / Cấp A (Hot Lead: 61-69đ)",IF(P1608&gt;=50,"Tier B (Bạc: 50-60đ)","Tier C (Đồng: 30-49đ)")))))</f>
        <v/>
      </c>
      <c r="R1608" s="9" t="inlineStr">
        <is>
          <t>Trọn gói Take-Home Starter Kit V2/V3 (Cỏ nhân tạo + Khay Potty + Đồ chơi Teething/Snuggle)</t>
        </is>
      </c>
      <c r="S1608" s="9" t="inlineStr">
        <is>
          <t>Đóng băng tương tác (&gt;30 ngày): Lưu trữ chờ kích hoạt lại, không tốn tài nguyên Sales</t>
        </is>
      </c>
    </row>
    <row r="1609">
      <c r="A1609" s="53" t="n">
        <v>2918</v>
      </c>
      <c r="B1609" s="12" t="inlineStr">
        <is>
          <t>Skyhigh Kennels</t>
        </is>
      </c>
      <c r="C1609" s="54" t="inlineStr">
        <is>
          <t>https://www.facebook.com/profile.php?id=100083031564394</t>
        </is>
      </c>
      <c r="D1609" s="6" t="inlineStr">
        <is>
          <t>Cần quét Bio Fanpage</t>
        </is>
      </c>
      <c r="E1609" s="53" t="inlineStr">
        <is>
          <t>05/10/2023 03:02:27</t>
        </is>
      </c>
      <c r="F1609" s="53" t="inlineStr">
        <is>
          <t>3 năm trước</t>
        </is>
      </c>
      <c r="G1609" s="55" t="n">
        <v>1095</v>
      </c>
      <c r="H1609" s="56" t="n">
        <v>0</v>
      </c>
      <c r="I1609" s="6" t="inlineStr">
        <is>
          <t>Dog Breeder / Trại chó chuyên nghiệp (28-30đ)</t>
        </is>
      </c>
      <c r="J1609" s="56" t="n">
        <v>30</v>
      </c>
      <c r="K1609" s="6" t="inlineStr">
        <is>
          <t>Chưa rõ giống (Cần quét Bio)</t>
        </is>
      </c>
      <c r="L1609" s="56" t="n">
        <v>0</v>
      </c>
      <c r="M1609" s="56" t="n">
        <v>5</v>
      </c>
      <c r="N1609" s="6" t="inlineStr">
        <is>
          <t>Amazon link not found</t>
        </is>
      </c>
      <c r="O1609" s="56">
        <f>IF(N1609="Selling pet toys + Artificial grass/Pet toilets (TARGET)",15,IF(N1609="Selling artificial grass/pet toilets (TARGET)",10,IF(N1609="Selling pet toys",7,IF(N1609="There's an Amazon link, but no target sales.",3,0))))</f>
        <v/>
      </c>
      <c r="P1609" s="65">
        <f>H1609+J1609+L1609+M1609+O1609</f>
        <v/>
      </c>
      <c r="Q1609" s="68">
        <f>IF(OR(H1609=0,P1609&lt;30),"Tier D (Đóng băng)",IF(P1609&gt;=85,"Tier S (Kim Cương: 85-100đ)",IF(P1609&gt;=70,"Tier A (Vàng: 70-84đ)",IF(P1609&gt;=61,"Tier B+ / Cấp A (Hot Lead: 61-69đ)",IF(P1609&gt;=50,"Tier B (Bạc: 50-60đ)","Tier C (Đồng: 30-49đ)")))))</f>
        <v/>
      </c>
      <c r="R1609" s="6" t="inlineStr">
        <is>
          <t>Trọn gói Take-Home Starter Kit V2/V3 (Cỏ nhân tạo + Khay Potty + Đồ chơi Teething/Snuggle)</t>
        </is>
      </c>
      <c r="S1609" s="6" t="inlineStr">
        <is>
          <t>Đóng băng tương tác (&gt;30 ngày): Lưu trữ chờ kích hoạt lại, không tốn tài nguyên Sales</t>
        </is>
      </c>
    </row>
    <row r="1610">
      <c r="A1610" s="59" t="n">
        <v>1971</v>
      </c>
      <c r="B1610" s="15" t="inlineStr">
        <is>
          <t>Laika Kennels</t>
        </is>
      </c>
      <c r="C1610" s="60" t="inlineStr">
        <is>
          <t>https://www.facebook.com/laika.kennels.9</t>
        </is>
      </c>
      <c r="D1610" s="9" t="inlineStr">
        <is>
          <t>Cần quét Bio Fanpage</t>
        </is>
      </c>
      <c r="E1610" s="59" t="inlineStr">
        <is>
          <t>28/09/2023 13:52:33</t>
        </is>
      </c>
      <c r="F1610" s="59" t="inlineStr">
        <is>
          <t>3 năm trước</t>
        </is>
      </c>
      <c r="G1610" s="61" t="n">
        <v>1095</v>
      </c>
      <c r="H1610" s="62" t="n">
        <v>0</v>
      </c>
      <c r="I1610" s="9" t="inlineStr">
        <is>
          <t>Dog Breeder / Trại chó chuyên nghiệp (28-30đ)</t>
        </is>
      </c>
      <c r="J1610" s="62" t="n">
        <v>30</v>
      </c>
      <c r="K1610" s="9" t="inlineStr">
        <is>
          <t>Chưa rõ giống (Cần quét Bio)</t>
        </is>
      </c>
      <c r="L1610" s="62" t="n">
        <v>0</v>
      </c>
      <c r="M1610" s="62" t="n">
        <v>5</v>
      </c>
      <c r="N1610" s="9" t="inlineStr">
        <is>
          <t>Amazon link not found</t>
        </is>
      </c>
      <c r="O1610" s="62">
        <f>IF(N1610="Selling pet toys + Artificial grass/Pet toilets (TARGET)",15,IF(N1610="Selling artificial grass/pet toilets (TARGET)",10,IF(N1610="Selling pet toys",7,IF(N1610="There's an Amazon link, but no target sales.",3,0))))</f>
        <v/>
      </c>
      <c r="P1610" s="67">
        <f>H1610+J1610+L1610+M1610+O1610</f>
        <v/>
      </c>
      <c r="Q1610" s="68">
        <f>IF(OR(H1610=0,P1610&lt;30),"Tier D (Đóng băng)",IF(P1610&gt;=85,"Tier S (Kim Cương: 85-100đ)",IF(P1610&gt;=70,"Tier A (Vàng: 70-84đ)",IF(P1610&gt;=61,"Tier B+ / Cấp A (Hot Lead: 61-69đ)",IF(P1610&gt;=50,"Tier B (Bạc: 50-60đ)","Tier C (Đồng: 30-49đ)")))))</f>
        <v/>
      </c>
      <c r="R1610" s="9" t="inlineStr">
        <is>
          <t>Trọn gói Take-Home Starter Kit V2/V3 (Cỏ nhân tạo + Khay Potty + Đồ chơi Teething/Snuggle)</t>
        </is>
      </c>
      <c r="S1610" s="9" t="inlineStr">
        <is>
          <t>Đóng băng tương tác (&gt;30 ngày): Lưu trữ chờ kích hoạt lại, không tốn tài nguyên Sales</t>
        </is>
      </c>
    </row>
    <row r="1611">
      <c r="A1611" s="53" t="n">
        <v>2878</v>
      </c>
      <c r="B1611" s="12" t="inlineStr">
        <is>
          <t>Sheaman Farm &amp; Kennel</t>
        </is>
      </c>
      <c r="C1611" s="54" t="inlineStr">
        <is>
          <t>https://www.facebook.com/sheamanfarm</t>
        </is>
      </c>
      <c r="D1611" s="6" t="inlineStr">
        <is>
          <t>Cần quét Bio Fanpage</t>
        </is>
      </c>
      <c r="E1611" s="53" t="inlineStr">
        <is>
          <t>07/09/2023 03:39:17</t>
        </is>
      </c>
      <c r="F1611" s="53" t="inlineStr">
        <is>
          <t>3 năm trước</t>
        </is>
      </c>
      <c r="G1611" s="55" t="n">
        <v>1095</v>
      </c>
      <c r="H1611" s="56" t="n">
        <v>0</v>
      </c>
      <c r="I1611" s="6" t="inlineStr">
        <is>
          <t>Dog Breeder / Trại chó chuyên nghiệp (28-30đ)</t>
        </is>
      </c>
      <c r="J1611" s="56" t="n">
        <v>30</v>
      </c>
      <c r="K1611" s="6" t="inlineStr">
        <is>
          <t>Chưa rõ giống (Cần quét Bio)</t>
        </is>
      </c>
      <c r="L1611" s="56" t="n">
        <v>0</v>
      </c>
      <c r="M1611" s="56" t="n">
        <v>5</v>
      </c>
      <c r="N1611" s="6" t="inlineStr">
        <is>
          <t>Amazon link not found</t>
        </is>
      </c>
      <c r="O1611" s="56">
        <f>IF(N1611="Selling pet toys + Artificial grass/Pet toilets (TARGET)",15,IF(N1611="Selling artificial grass/pet toilets (TARGET)",10,IF(N1611="Selling pet toys",7,IF(N1611="There's an Amazon link, but no target sales.",3,0))))</f>
        <v/>
      </c>
      <c r="P1611" s="65">
        <f>H1611+J1611+L1611+M1611+O1611</f>
        <v/>
      </c>
      <c r="Q1611" s="68">
        <f>IF(OR(H1611=0,P1611&lt;30),"Tier D (Đóng băng)",IF(P1611&gt;=85,"Tier S (Kim Cương: 85-100đ)",IF(P1611&gt;=70,"Tier A (Vàng: 70-84đ)",IF(P1611&gt;=61,"Tier B+ / Cấp A (Hot Lead: 61-69đ)",IF(P1611&gt;=50,"Tier B (Bạc: 50-60đ)","Tier C (Đồng: 30-49đ)")))))</f>
        <v/>
      </c>
      <c r="R1611" s="6" t="inlineStr">
        <is>
          <t>Trọn gói Take-Home Starter Kit V2/V3 (Cỏ nhân tạo + Khay Potty + Đồ chơi Teething/Snuggle)</t>
        </is>
      </c>
      <c r="S1611" s="6" t="inlineStr">
        <is>
          <t>Đóng băng tương tác (&gt;30 ngày): Lưu trữ chờ kích hoạt lại, không tốn tài nguyên Sales</t>
        </is>
      </c>
    </row>
    <row r="1612">
      <c r="A1612" s="59" t="n">
        <v>1278</v>
      </c>
      <c r="B1612" s="15" t="inlineStr">
        <is>
          <t>Embolden Kennels</t>
        </is>
      </c>
      <c r="C1612" s="60" t="inlineStr">
        <is>
          <t>https://www.facebook.com/emboldenbulldogs</t>
        </is>
      </c>
      <c r="D1612" s="9" t="inlineStr">
        <is>
          <t>Cần quét Bio Fanpage</t>
        </is>
      </c>
      <c r="E1612" s="59" t="inlineStr">
        <is>
          <t>25/07/2023 06:37:11</t>
        </is>
      </c>
      <c r="F1612" s="59" t="inlineStr">
        <is>
          <t>3 năm trước</t>
        </is>
      </c>
      <c r="G1612" s="61" t="n">
        <v>1095</v>
      </c>
      <c r="H1612" s="62" t="n">
        <v>0</v>
      </c>
      <c r="I1612" s="9" t="inlineStr">
        <is>
          <t>Dog Breeder / Trại chó chuyên nghiệp (28-30đ)</t>
        </is>
      </c>
      <c r="J1612" s="62" t="n">
        <v>30</v>
      </c>
      <c r="K1612" s="9" t="inlineStr">
        <is>
          <t>Chưa rõ giống (Cần quét Bio)</t>
        </is>
      </c>
      <c r="L1612" s="62" t="n">
        <v>0</v>
      </c>
      <c r="M1612" s="62" t="n">
        <v>5</v>
      </c>
      <c r="N1612" s="9" t="inlineStr">
        <is>
          <t>Amazon link not found</t>
        </is>
      </c>
      <c r="O1612" s="62">
        <f>IF(N1612="Selling pet toys + Artificial grass/Pet toilets (TARGET)",15,IF(N1612="Selling artificial grass/pet toilets (TARGET)",10,IF(N1612="Selling pet toys",7,IF(N1612="There's an Amazon link, but no target sales.",3,0))))</f>
        <v/>
      </c>
      <c r="P1612" s="67">
        <f>H1612+J1612+L1612+M1612+O1612</f>
        <v/>
      </c>
      <c r="Q1612" s="68">
        <f>IF(OR(H1612=0,P1612&lt;30),"Tier D (Đóng băng)",IF(P1612&gt;=85,"Tier S (Kim Cương: 85-100đ)",IF(P1612&gt;=70,"Tier A (Vàng: 70-84đ)",IF(P1612&gt;=61,"Tier B+ / Cấp A (Hot Lead: 61-69đ)",IF(P1612&gt;=50,"Tier B (Bạc: 50-60đ)","Tier C (Đồng: 30-49đ)")))))</f>
        <v/>
      </c>
      <c r="R1612" s="9" t="inlineStr">
        <is>
          <t>Trọn gói Take-Home Starter Kit V2/V3 (Cỏ nhân tạo + Khay Potty + Đồ chơi Teething/Snuggle)</t>
        </is>
      </c>
      <c r="S1612" s="9" t="inlineStr">
        <is>
          <t>Đóng băng tương tác (&gt;30 ngày): Lưu trữ chờ kích hoạt lại, không tốn tài nguyên Sales</t>
        </is>
      </c>
    </row>
    <row r="1613">
      <c r="A1613" s="53" t="n">
        <v>3481</v>
      </c>
      <c r="B1613" s="12" t="inlineStr">
        <is>
          <t>Zezo Kennel</t>
        </is>
      </c>
      <c r="C1613" s="54" t="inlineStr">
        <is>
          <t>https://www.facebook.com/zezo.beek</t>
        </is>
      </c>
      <c r="D1613" s="6" t="inlineStr">
        <is>
          <t>Cần quét Bio Fanpage</t>
        </is>
      </c>
      <c r="E1613" s="53" t="inlineStr">
        <is>
          <t>02/07/2023 12:55:33</t>
        </is>
      </c>
      <c r="F1613" s="53" t="inlineStr">
        <is>
          <t>3 năm trước</t>
        </is>
      </c>
      <c r="G1613" s="55" t="n">
        <v>1095</v>
      </c>
      <c r="H1613" s="56" t="n">
        <v>0</v>
      </c>
      <c r="I1613" s="6" t="inlineStr">
        <is>
          <t>Dog Breeder / Trại chó chuyên nghiệp (28-30đ)</t>
        </is>
      </c>
      <c r="J1613" s="56" t="n">
        <v>30</v>
      </c>
      <c r="K1613" s="6" t="inlineStr">
        <is>
          <t>Chưa rõ giống (Cần quét Bio)</t>
        </is>
      </c>
      <c r="L1613" s="56" t="n">
        <v>0</v>
      </c>
      <c r="M1613" s="56" t="n">
        <v>5</v>
      </c>
      <c r="N1613" s="6" t="inlineStr">
        <is>
          <t>Amazon link not found</t>
        </is>
      </c>
      <c r="O1613" s="56">
        <f>IF(N1613="Selling pet toys + Artificial grass/Pet toilets (TARGET)",15,IF(N1613="Selling artificial grass/pet toilets (TARGET)",10,IF(N1613="Selling pet toys",7,IF(N1613="There's an Amazon link, but no target sales.",3,0))))</f>
        <v/>
      </c>
      <c r="P1613" s="65">
        <f>H1613+J1613+L1613+M1613+O1613</f>
        <v/>
      </c>
      <c r="Q1613" s="68">
        <f>IF(OR(H1613=0,P1613&lt;30),"Tier D (Đóng băng)",IF(P1613&gt;=85,"Tier S (Kim Cương: 85-100đ)",IF(P1613&gt;=70,"Tier A (Vàng: 70-84đ)",IF(P1613&gt;=61,"Tier B+ / Cấp A (Hot Lead: 61-69đ)",IF(P1613&gt;=50,"Tier B (Bạc: 50-60đ)","Tier C (Đồng: 30-49đ)")))))</f>
        <v/>
      </c>
      <c r="R1613" s="6" t="inlineStr">
        <is>
          <t>Trọn gói Take-Home Starter Kit V2/V3 (Cỏ nhân tạo + Khay Potty + Đồ chơi Teething/Snuggle)</t>
        </is>
      </c>
      <c r="S1613" s="6" t="inlineStr">
        <is>
          <t>Đóng băng tương tác (&gt;30 ngày): Lưu trữ chờ kích hoạt lại, không tốn tài nguyên Sales</t>
        </is>
      </c>
    </row>
    <row r="1614">
      <c r="A1614" s="59" t="n">
        <v>3026</v>
      </c>
      <c r="B1614" s="15" t="inlineStr">
        <is>
          <t>Superdachs Kennel Handling &amp; Grooming</t>
        </is>
      </c>
      <c r="C1614" s="60" t="inlineStr">
        <is>
          <t>https://www.facebook.com/Superdachs</t>
        </is>
      </c>
      <c r="D1614" s="9" t="inlineStr">
        <is>
          <t>Cần quét Bio Fanpage</t>
        </is>
      </c>
      <c r="E1614" s="59" t="inlineStr">
        <is>
          <t>30/05/2023 04:33:37</t>
        </is>
      </c>
      <c r="F1614" s="59" t="inlineStr">
        <is>
          <t>3 năm trước</t>
        </is>
      </c>
      <c r="G1614" s="61" t="n">
        <v>1095</v>
      </c>
      <c r="H1614" s="62" t="n">
        <v>0</v>
      </c>
      <c r="I1614" s="9" t="inlineStr">
        <is>
          <t>Dog Breeder / Trại chó chuyên nghiệp (28-30đ)</t>
        </is>
      </c>
      <c r="J1614" s="62" t="n">
        <v>30</v>
      </c>
      <c r="K1614" s="9" t="inlineStr">
        <is>
          <t>Chưa rõ giống (Cần quét Bio)</t>
        </is>
      </c>
      <c r="L1614" s="62" t="n">
        <v>0</v>
      </c>
      <c r="M1614" s="62" t="n">
        <v>5</v>
      </c>
      <c r="N1614" s="9" t="inlineStr">
        <is>
          <t>Amazon link not found</t>
        </is>
      </c>
      <c r="O1614" s="62">
        <f>IF(N1614="Selling pet toys + Artificial grass/Pet toilets (TARGET)",15,IF(N1614="Selling artificial grass/pet toilets (TARGET)",10,IF(N1614="Selling pet toys",7,IF(N1614="There's an Amazon link, but no target sales.",3,0))))</f>
        <v/>
      </c>
      <c r="P1614" s="67">
        <f>H1614+J1614+L1614+M1614+O1614</f>
        <v/>
      </c>
      <c r="Q1614" s="68">
        <f>IF(OR(H1614=0,P1614&lt;30),"Tier D (Đóng băng)",IF(P1614&gt;=85,"Tier S (Kim Cương: 85-100đ)",IF(P1614&gt;=70,"Tier A (Vàng: 70-84đ)",IF(P1614&gt;=61,"Tier B+ / Cấp A (Hot Lead: 61-69đ)",IF(P1614&gt;=50,"Tier B (Bạc: 50-60đ)","Tier C (Đồng: 30-49đ)")))))</f>
        <v/>
      </c>
      <c r="R1614" s="9" t="inlineStr">
        <is>
          <t>Trọn gói Take-Home Starter Kit V2/V3 (Cỏ nhân tạo + Khay Potty + Đồ chơi Teething/Snuggle)</t>
        </is>
      </c>
      <c r="S1614" s="9" t="inlineStr">
        <is>
          <t>Đóng băng tương tác (&gt;30 ngày): Lưu trữ chờ kích hoạt lại, không tốn tài nguyên Sales</t>
        </is>
      </c>
    </row>
    <row r="1615">
      <c r="A1615" s="53" t="n">
        <v>3258</v>
      </c>
      <c r="B1615" s="12" t="inlineStr">
        <is>
          <t>Twintowers Kennel</t>
        </is>
      </c>
      <c r="C1615" s="54" t="inlineStr">
        <is>
          <t>https://www.facebook.com/twintowers.kennel</t>
        </is>
      </c>
      <c r="D1615" s="6" t="inlineStr">
        <is>
          <t>Cần quét Bio Fanpage</t>
        </is>
      </c>
      <c r="E1615" s="53" t="inlineStr">
        <is>
          <t>26/04/2023 23:51:52</t>
        </is>
      </c>
      <c r="F1615" s="53" t="inlineStr">
        <is>
          <t>3 năm trước</t>
        </is>
      </c>
      <c r="G1615" s="55" t="n">
        <v>1095</v>
      </c>
      <c r="H1615" s="56" t="n">
        <v>0</v>
      </c>
      <c r="I1615" s="6" t="inlineStr">
        <is>
          <t>Dog Breeder / Trại chó chuyên nghiệp (28-30đ)</t>
        </is>
      </c>
      <c r="J1615" s="56" t="n">
        <v>30</v>
      </c>
      <c r="K1615" s="6" t="inlineStr">
        <is>
          <t>Chưa rõ giống (Cần quét Bio)</t>
        </is>
      </c>
      <c r="L1615" s="56" t="n">
        <v>0</v>
      </c>
      <c r="M1615" s="56" t="n">
        <v>5</v>
      </c>
      <c r="N1615" s="6" t="inlineStr">
        <is>
          <t>Amazon link not found</t>
        </is>
      </c>
      <c r="O1615" s="56">
        <f>IF(N1615="Selling pet toys + Artificial grass/Pet toilets (TARGET)",15,IF(N1615="Selling artificial grass/pet toilets (TARGET)",10,IF(N1615="Selling pet toys",7,IF(N1615="There's an Amazon link, but no target sales.",3,0))))</f>
        <v/>
      </c>
      <c r="P1615" s="65">
        <f>H1615+J1615+L1615+M1615+O1615</f>
        <v/>
      </c>
      <c r="Q1615" s="68">
        <f>IF(OR(H1615=0,P1615&lt;30),"Tier D (Đóng băng)",IF(P1615&gt;=85,"Tier S (Kim Cương: 85-100đ)",IF(P1615&gt;=70,"Tier A (Vàng: 70-84đ)",IF(P1615&gt;=61,"Tier B+ / Cấp A (Hot Lead: 61-69đ)",IF(P1615&gt;=50,"Tier B (Bạc: 50-60đ)","Tier C (Đồng: 30-49đ)")))))</f>
        <v/>
      </c>
      <c r="R1615" s="6" t="inlineStr">
        <is>
          <t>Trọn gói Take-Home Starter Kit V2/V3 (Cỏ nhân tạo + Khay Potty + Đồ chơi Teething/Snuggle)</t>
        </is>
      </c>
      <c r="S1615" s="6" t="inlineStr">
        <is>
          <t>Đóng băng tương tác (&gt;30 ngày): Lưu trữ chờ kích hoạt lại, không tốn tài nguyên Sales</t>
        </is>
      </c>
    </row>
    <row r="1616">
      <c r="A1616" s="59" t="n">
        <v>3393</v>
      </c>
      <c r="B1616" s="15" t="inlineStr">
        <is>
          <t>Westergaard Kennels</t>
        </is>
      </c>
      <c r="C1616" s="60" t="inlineStr">
        <is>
          <t>https://www.facebook.com/WestergaardKennelsOakRidgeNC</t>
        </is>
      </c>
      <c r="D1616" s="9" t="inlineStr">
        <is>
          <t>Cần quét Bio Fanpage</t>
        </is>
      </c>
      <c r="E1616" s="59" t="inlineStr">
        <is>
          <t>29/12/2022 21:19:33</t>
        </is>
      </c>
      <c r="F1616" s="59" t="inlineStr">
        <is>
          <t>3 năm trước</t>
        </is>
      </c>
      <c r="G1616" s="61" t="n">
        <v>1095</v>
      </c>
      <c r="H1616" s="62" t="n">
        <v>0</v>
      </c>
      <c r="I1616" s="9" t="inlineStr">
        <is>
          <t>Dog Breeder / Trại chó chuyên nghiệp (28-30đ)</t>
        </is>
      </c>
      <c r="J1616" s="62" t="n">
        <v>30</v>
      </c>
      <c r="K1616" s="9" t="inlineStr">
        <is>
          <t>Chưa rõ giống (Cần quét Bio)</t>
        </is>
      </c>
      <c r="L1616" s="62" t="n">
        <v>0</v>
      </c>
      <c r="M1616" s="62" t="n">
        <v>5</v>
      </c>
      <c r="N1616" s="9" t="inlineStr">
        <is>
          <t>Amazon link not found</t>
        </is>
      </c>
      <c r="O1616" s="62">
        <f>IF(N1616="Selling pet toys + Artificial grass/Pet toilets (TARGET)",15,IF(N1616="Selling artificial grass/pet toilets (TARGET)",10,IF(N1616="Selling pet toys",7,IF(N1616="There's an Amazon link, but no target sales.",3,0))))</f>
        <v/>
      </c>
      <c r="P1616" s="67">
        <f>H1616+J1616+L1616+M1616+O1616</f>
        <v/>
      </c>
      <c r="Q1616" s="68">
        <f>IF(OR(H1616=0,P1616&lt;30),"Tier D (Đóng băng)",IF(P1616&gt;=85,"Tier S (Kim Cương: 85-100đ)",IF(P1616&gt;=70,"Tier A (Vàng: 70-84đ)",IF(P1616&gt;=61,"Tier B+ / Cấp A (Hot Lead: 61-69đ)",IF(P1616&gt;=50,"Tier B (Bạc: 50-60đ)","Tier C (Đồng: 30-49đ)")))))</f>
        <v/>
      </c>
      <c r="R1616" s="9" t="inlineStr">
        <is>
          <t>Trọn gói Take-Home Starter Kit V2/V3 (Cỏ nhân tạo + Khay Potty + Đồ chơi Teething/Snuggle)</t>
        </is>
      </c>
      <c r="S1616" s="9" t="inlineStr">
        <is>
          <t>Đóng băng tương tác (&gt;30 ngày): Lưu trữ chờ kích hoạt lại, không tốn tài nguyên Sales</t>
        </is>
      </c>
    </row>
    <row r="1617">
      <c r="A1617" s="53" t="n">
        <v>3464</v>
      </c>
      <c r="B1617" s="12" t="inlineStr">
        <is>
          <t>YGEIA Kennel</t>
        </is>
      </c>
      <c r="C1617" s="54" t="inlineStr">
        <is>
          <t>https://www.facebook.com/Ygeiakennel</t>
        </is>
      </c>
      <c r="D1617" s="6" t="inlineStr">
        <is>
          <t>Cần quét Bio Fanpage</t>
        </is>
      </c>
      <c r="E1617" s="53" t="inlineStr">
        <is>
          <t>20/11/2022 19:36:46</t>
        </is>
      </c>
      <c r="F1617" s="53" t="inlineStr">
        <is>
          <t>3 năm trước</t>
        </is>
      </c>
      <c r="G1617" s="55" t="n">
        <v>1095</v>
      </c>
      <c r="H1617" s="56" t="n">
        <v>0</v>
      </c>
      <c r="I1617" s="6" t="inlineStr">
        <is>
          <t>Dog Breeder / Trại chó chuyên nghiệp (28-30đ)</t>
        </is>
      </c>
      <c r="J1617" s="56" t="n">
        <v>30</v>
      </c>
      <c r="K1617" s="6" t="inlineStr">
        <is>
          <t>Chưa rõ giống (Cần quét Bio)</t>
        </is>
      </c>
      <c r="L1617" s="56" t="n">
        <v>0</v>
      </c>
      <c r="M1617" s="56" t="n">
        <v>5</v>
      </c>
      <c r="N1617" s="6" t="inlineStr">
        <is>
          <t>Amazon link not found</t>
        </is>
      </c>
      <c r="O1617" s="56">
        <f>IF(N1617="Selling pet toys + Artificial grass/Pet toilets (TARGET)",15,IF(N1617="Selling artificial grass/pet toilets (TARGET)",10,IF(N1617="Selling pet toys",7,IF(N1617="There's an Amazon link, but no target sales.",3,0))))</f>
        <v/>
      </c>
      <c r="P1617" s="65">
        <f>H1617+J1617+L1617+M1617+O1617</f>
        <v/>
      </c>
      <c r="Q1617" s="68">
        <f>IF(OR(H1617=0,P1617&lt;30),"Tier D (Đóng băng)",IF(P1617&gt;=85,"Tier S (Kim Cương: 85-100đ)",IF(P1617&gt;=70,"Tier A (Vàng: 70-84đ)",IF(P1617&gt;=61,"Tier B+ / Cấp A (Hot Lead: 61-69đ)",IF(P1617&gt;=50,"Tier B (Bạc: 50-60đ)","Tier C (Đồng: 30-49đ)")))))</f>
        <v/>
      </c>
      <c r="R1617" s="6" t="inlineStr">
        <is>
          <t>Trọn gói Take-Home Starter Kit V2/V3 (Cỏ nhân tạo + Khay Potty + Đồ chơi Teething/Snuggle)</t>
        </is>
      </c>
      <c r="S1617" s="6" t="inlineStr">
        <is>
          <t>Đóng băng tương tác (&gt;30 ngày): Lưu trữ chờ kích hoạt lại, không tốn tài nguyên Sales</t>
        </is>
      </c>
    </row>
    <row r="1618">
      <c r="A1618" s="59" t="n">
        <v>1507</v>
      </c>
      <c r="B1618" s="15" t="inlineStr">
        <is>
          <t>Gladiatorbulls Kennel</t>
        </is>
      </c>
      <c r="C1618" s="60" t="inlineStr">
        <is>
          <t>https://www.facebook.com/gladiatorbulls.kennel</t>
        </is>
      </c>
      <c r="D1618" s="9" t="inlineStr">
        <is>
          <t>Cần quét Bio Fanpage</t>
        </is>
      </c>
      <c r="E1618" s="59" t="inlineStr">
        <is>
          <t>26/10/2022 20:41:38</t>
        </is>
      </c>
      <c r="F1618" s="59" t="inlineStr">
        <is>
          <t>3 năm trước</t>
        </is>
      </c>
      <c r="G1618" s="61" t="n">
        <v>1095</v>
      </c>
      <c r="H1618" s="62" t="n">
        <v>0</v>
      </c>
      <c r="I1618" s="9" t="inlineStr">
        <is>
          <t>Dog Breeder / Trại chó chuyên nghiệp (28-30đ)</t>
        </is>
      </c>
      <c r="J1618" s="62" t="n">
        <v>30</v>
      </c>
      <c r="K1618" s="9" t="inlineStr">
        <is>
          <t>Chưa rõ giống (Cần quét Bio)</t>
        </is>
      </c>
      <c r="L1618" s="62" t="n">
        <v>0</v>
      </c>
      <c r="M1618" s="62" t="n">
        <v>5</v>
      </c>
      <c r="N1618" s="9" t="inlineStr">
        <is>
          <t>Amazon link not found</t>
        </is>
      </c>
      <c r="O1618" s="62">
        <f>IF(N1618="Selling pet toys + Artificial grass/Pet toilets (TARGET)",15,IF(N1618="Selling artificial grass/pet toilets (TARGET)",10,IF(N1618="Selling pet toys",7,IF(N1618="There's an Amazon link, but no target sales.",3,0))))</f>
        <v/>
      </c>
      <c r="P1618" s="67">
        <f>H1618+J1618+L1618+M1618+O1618</f>
        <v/>
      </c>
      <c r="Q1618" s="68">
        <f>IF(OR(H1618=0,P1618&lt;30),"Tier D (Đóng băng)",IF(P1618&gt;=85,"Tier S (Kim Cương: 85-100đ)",IF(P1618&gt;=70,"Tier A (Vàng: 70-84đ)",IF(P1618&gt;=61,"Tier B+ / Cấp A (Hot Lead: 61-69đ)",IF(P1618&gt;=50,"Tier B (Bạc: 50-60đ)","Tier C (Đồng: 30-49đ)")))))</f>
        <v/>
      </c>
      <c r="R1618" s="9" t="inlineStr">
        <is>
          <t>Trọn gói Take-Home Starter Kit V2/V3 (Cỏ nhân tạo + Khay Potty + Đồ chơi Teething/Snuggle)</t>
        </is>
      </c>
      <c r="S1618" s="9" t="inlineStr">
        <is>
          <t>Đóng băng tương tác (&gt;30 ngày): Lưu trữ chờ kích hoạt lại, không tốn tài nguyên Sales</t>
        </is>
      </c>
    </row>
    <row r="1619">
      <c r="A1619" s="53" t="n">
        <v>1878</v>
      </c>
      <c r="B1619" s="12" t="inlineStr">
        <is>
          <t>Kennel Dale Gudbrand - Stig Odenrud</t>
        </is>
      </c>
      <c r="C1619" s="54" t="inlineStr">
        <is>
          <t>https://www.facebook.com/kenneldalegudbrand</t>
        </is>
      </c>
      <c r="D1619" s="6" t="inlineStr">
        <is>
          <t>Cần quét Bio Fanpage</t>
        </is>
      </c>
      <c r="E1619" s="53" t="inlineStr">
        <is>
          <t>09/10/2022 02:27:23</t>
        </is>
      </c>
      <c r="F1619" s="53" t="inlineStr">
        <is>
          <t>4 năm trước</t>
        </is>
      </c>
      <c r="G1619" s="55" t="n">
        <v>1460</v>
      </c>
      <c r="H1619" s="56" t="n">
        <v>0</v>
      </c>
      <c r="I1619" s="6" t="inlineStr">
        <is>
          <t>Dog Breeder / Trại chó chuyên nghiệp (28-30đ)</t>
        </is>
      </c>
      <c r="J1619" s="56" t="n">
        <v>30</v>
      </c>
      <c r="K1619" s="6" t="inlineStr">
        <is>
          <t>Chưa rõ giống (Cần quét Bio)</t>
        </is>
      </c>
      <c r="L1619" s="56" t="n">
        <v>0</v>
      </c>
      <c r="M1619" s="56" t="n">
        <v>5</v>
      </c>
      <c r="N1619" s="6" t="inlineStr">
        <is>
          <t>Amazon link not found</t>
        </is>
      </c>
      <c r="O1619" s="56">
        <f>IF(N1619="Selling pet toys + Artificial grass/Pet toilets (TARGET)",15,IF(N1619="Selling artificial grass/pet toilets (TARGET)",10,IF(N1619="Selling pet toys",7,IF(N1619="There's an Amazon link, but no target sales.",3,0))))</f>
        <v/>
      </c>
      <c r="P1619" s="65">
        <f>H1619+J1619+L1619+M1619+O1619</f>
        <v/>
      </c>
      <c r="Q1619" s="68">
        <f>IF(OR(H1619=0,P1619&lt;30),"Tier D (Đóng băng)",IF(P1619&gt;=85,"Tier S (Kim Cương: 85-100đ)",IF(P1619&gt;=70,"Tier A (Vàng: 70-84đ)",IF(P1619&gt;=61,"Tier B+ / Cấp A (Hot Lead: 61-69đ)",IF(P1619&gt;=50,"Tier B (Bạc: 50-60đ)","Tier C (Đồng: 30-49đ)")))))</f>
        <v/>
      </c>
      <c r="R1619" s="6" t="inlineStr">
        <is>
          <t>Trọn gói Take-Home Starter Kit V2/V3 (Cỏ nhân tạo + Khay Potty + Đồ chơi Teething/Snuggle)</t>
        </is>
      </c>
      <c r="S1619" s="6" t="inlineStr">
        <is>
          <t>Đóng băng tương tác (&gt;30 ngày): Lưu trữ chờ kích hoạt lại, không tốn tài nguyên Sales</t>
        </is>
      </c>
    </row>
    <row r="1620">
      <c r="A1620" s="59" t="n">
        <v>582</v>
      </c>
      <c r="B1620" s="15" t="inlineStr">
        <is>
          <t>BamfordPremium Kennel</t>
        </is>
      </c>
      <c r="C1620" s="60" t="inlineStr">
        <is>
          <t>https://www.facebook.com/BamfordPremiumKennel</t>
        </is>
      </c>
      <c r="D1620" s="9" t="inlineStr">
        <is>
          <t>Cần quét Bio Fanpage</t>
        </is>
      </c>
      <c r="E1620" s="59" t="inlineStr">
        <is>
          <t>29/07/2022 18:29:13</t>
        </is>
      </c>
      <c r="F1620" s="59" t="inlineStr">
        <is>
          <t>4 năm trước</t>
        </is>
      </c>
      <c r="G1620" s="61" t="n">
        <v>1460</v>
      </c>
      <c r="H1620" s="62" t="n">
        <v>0</v>
      </c>
      <c r="I1620" s="9" t="inlineStr">
        <is>
          <t>Dog Breeder / Trại chó chuyên nghiệp (28-30đ)</t>
        </is>
      </c>
      <c r="J1620" s="62" t="n">
        <v>30</v>
      </c>
      <c r="K1620" s="9" t="inlineStr">
        <is>
          <t>Chưa rõ giống (Cần quét Bio)</t>
        </is>
      </c>
      <c r="L1620" s="62" t="n">
        <v>0</v>
      </c>
      <c r="M1620" s="62" t="n">
        <v>5</v>
      </c>
      <c r="N1620" s="9" t="inlineStr">
        <is>
          <t>Amazon link not found</t>
        </is>
      </c>
      <c r="O1620" s="62">
        <f>IF(N1620="Selling pet toys + Artificial grass/Pet toilets (TARGET)",15,IF(N1620="Selling artificial grass/pet toilets (TARGET)",10,IF(N1620="Selling pet toys",7,IF(N1620="There's an Amazon link, but no target sales.",3,0))))</f>
        <v/>
      </c>
      <c r="P1620" s="67">
        <f>H1620+J1620+L1620+M1620+O1620</f>
        <v/>
      </c>
      <c r="Q1620" s="68">
        <f>IF(OR(H1620=0,P1620&lt;30),"Tier D (Đóng băng)",IF(P1620&gt;=85,"Tier S (Kim Cương: 85-100đ)",IF(P1620&gt;=70,"Tier A (Vàng: 70-84đ)",IF(P1620&gt;=61,"Tier B+ / Cấp A (Hot Lead: 61-69đ)",IF(P1620&gt;=50,"Tier B (Bạc: 50-60đ)","Tier C (Đồng: 30-49đ)")))))</f>
        <v/>
      </c>
      <c r="R1620" s="9" t="inlineStr">
        <is>
          <t>Trọn gói Take-Home Starter Kit V2/V3 (Cỏ nhân tạo + Khay Potty + Đồ chơi Teething/Snuggle)</t>
        </is>
      </c>
      <c r="S1620" s="9" t="inlineStr">
        <is>
          <t>Đóng băng tương tác (&gt;30 ngày): Lưu trữ chờ kích hoạt lại, không tốn tài nguyên Sales</t>
        </is>
      </c>
    </row>
    <row r="1621">
      <c r="A1621" s="53" t="n">
        <v>1108</v>
      </c>
      <c r="B1621" s="12" t="inlineStr">
        <is>
          <t>Dog'n'roll Kennel</t>
        </is>
      </c>
      <c r="C1621" s="54" t="inlineStr">
        <is>
          <t>https://www.facebook.com/dognrollkennel</t>
        </is>
      </c>
      <c r="D1621" s="6" t="inlineStr">
        <is>
          <t>Cần quét Bio Fanpage</t>
        </is>
      </c>
      <c r="E1621" s="53" t="inlineStr">
        <is>
          <t>18/04/2022 02:35:43</t>
        </is>
      </c>
      <c r="F1621" s="53" t="inlineStr">
        <is>
          <t>4 năm trước</t>
        </is>
      </c>
      <c r="G1621" s="55" t="n">
        <v>1460</v>
      </c>
      <c r="H1621" s="56" t="n">
        <v>0</v>
      </c>
      <c r="I1621" s="6" t="inlineStr">
        <is>
          <t>Dog Breeder / Trại chó chuyên nghiệp (28-30đ)</t>
        </is>
      </c>
      <c r="J1621" s="56" t="n">
        <v>30</v>
      </c>
      <c r="K1621" s="6" t="inlineStr">
        <is>
          <t>Chưa rõ giống (Cần quét Bio)</t>
        </is>
      </c>
      <c r="L1621" s="56" t="n">
        <v>0</v>
      </c>
      <c r="M1621" s="56" t="n">
        <v>5</v>
      </c>
      <c r="N1621" s="6" t="inlineStr">
        <is>
          <t>Amazon link not found</t>
        </is>
      </c>
      <c r="O1621" s="56">
        <f>IF(N1621="Selling pet toys + Artificial grass/Pet toilets (TARGET)",15,IF(N1621="Selling artificial grass/pet toilets (TARGET)",10,IF(N1621="Selling pet toys",7,IF(N1621="There's an Amazon link, but no target sales.",3,0))))</f>
        <v/>
      </c>
      <c r="P1621" s="65">
        <f>H1621+J1621+L1621+M1621+O1621</f>
        <v/>
      </c>
      <c r="Q1621" s="68">
        <f>IF(OR(H1621=0,P1621&lt;30),"Tier D (Đóng băng)",IF(P1621&gt;=85,"Tier S (Kim Cương: 85-100đ)",IF(P1621&gt;=70,"Tier A (Vàng: 70-84đ)",IF(P1621&gt;=61,"Tier B+ / Cấp A (Hot Lead: 61-69đ)",IF(P1621&gt;=50,"Tier B (Bạc: 50-60đ)","Tier C (Đồng: 30-49đ)")))))</f>
        <v/>
      </c>
      <c r="R1621" s="6" t="inlineStr">
        <is>
          <t>Trọn gói Take-Home Starter Kit V2/V3 (Cỏ nhân tạo + Khay Potty + Đồ chơi Teething/Snuggle)</t>
        </is>
      </c>
      <c r="S1621" s="6" t="inlineStr">
        <is>
          <t>Đóng băng tương tác (&gt;30 ngày): Lưu trữ chờ kích hoạt lại, không tốn tài nguyên Sales</t>
        </is>
      </c>
    </row>
    <row r="1622">
      <c r="A1622" s="59" t="n">
        <v>2943</v>
      </c>
      <c r="B1622" s="15" t="inlineStr">
        <is>
          <t>Source of Happiness Kennel</t>
        </is>
      </c>
      <c r="C1622" s="60" t="inlineStr">
        <is>
          <t>https://www.facebook.com/profile.php?id=100054484748804</t>
        </is>
      </c>
      <c r="D1622" s="9" t="inlineStr">
        <is>
          <t>Cần quét Bio Fanpage</t>
        </is>
      </c>
      <c r="E1622" s="59" t="inlineStr">
        <is>
          <t>24/02/2022 02:55:07</t>
        </is>
      </c>
      <c r="F1622" s="59" t="inlineStr">
        <is>
          <t>4 năm trước</t>
        </is>
      </c>
      <c r="G1622" s="61" t="n">
        <v>1460</v>
      </c>
      <c r="H1622" s="62" t="n">
        <v>0</v>
      </c>
      <c r="I1622" s="9" t="inlineStr">
        <is>
          <t>Dog Breeder / Trại chó chuyên nghiệp (28-30đ)</t>
        </is>
      </c>
      <c r="J1622" s="62" t="n">
        <v>30</v>
      </c>
      <c r="K1622" s="9" t="inlineStr">
        <is>
          <t>Chưa rõ giống (Cần quét Bio)</t>
        </is>
      </c>
      <c r="L1622" s="62" t="n">
        <v>0</v>
      </c>
      <c r="M1622" s="62" t="n">
        <v>5</v>
      </c>
      <c r="N1622" s="9" t="inlineStr">
        <is>
          <t>Amazon link not found</t>
        </is>
      </c>
      <c r="O1622" s="62">
        <f>IF(N1622="Selling pet toys + Artificial grass/Pet toilets (TARGET)",15,IF(N1622="Selling artificial grass/pet toilets (TARGET)",10,IF(N1622="Selling pet toys",7,IF(N1622="There's an Amazon link, but no target sales.",3,0))))</f>
        <v/>
      </c>
      <c r="P1622" s="67">
        <f>H1622+J1622+L1622+M1622+O1622</f>
        <v/>
      </c>
      <c r="Q1622" s="68">
        <f>IF(OR(H1622=0,P1622&lt;30),"Tier D (Đóng băng)",IF(P1622&gt;=85,"Tier S (Kim Cương: 85-100đ)",IF(P1622&gt;=70,"Tier A (Vàng: 70-84đ)",IF(P1622&gt;=61,"Tier B+ / Cấp A (Hot Lead: 61-69đ)",IF(P1622&gt;=50,"Tier B (Bạc: 50-60đ)","Tier C (Đồng: 30-49đ)")))))</f>
        <v/>
      </c>
      <c r="R1622" s="9" t="inlineStr">
        <is>
          <t>Trọn gói Take-Home Starter Kit V2/V3 (Cỏ nhân tạo + Khay Potty + Đồ chơi Teething/Snuggle)</t>
        </is>
      </c>
      <c r="S1622" s="9" t="inlineStr">
        <is>
          <t>Đóng băng tương tác (&gt;30 ngày): Lưu trữ chờ kích hoạt lại, không tốn tài nguyên Sales</t>
        </is>
      </c>
    </row>
    <row r="1623">
      <c r="A1623" s="53" t="n">
        <v>372</v>
      </c>
      <c r="B1623" s="12" t="inlineStr">
        <is>
          <t>Aljans Manifik kennel</t>
        </is>
      </c>
      <c r="C1623" s="54" t="inlineStr">
        <is>
          <t>https://www.facebook.com/profile.php?id=100075998886283</t>
        </is>
      </c>
      <c r="D1623" s="6" t="inlineStr">
        <is>
          <t>Cần quét Bio Fanpage</t>
        </is>
      </c>
      <c r="E1623" s="53" t="inlineStr">
        <is>
          <t>12/02/2022 04:09:02</t>
        </is>
      </c>
      <c r="F1623" s="53" t="inlineStr">
        <is>
          <t>4 năm trước</t>
        </is>
      </c>
      <c r="G1623" s="55" t="n">
        <v>1460</v>
      </c>
      <c r="H1623" s="56" t="n">
        <v>0</v>
      </c>
      <c r="I1623" s="6" t="inlineStr">
        <is>
          <t>Dog Breeder / Trại chó chuyên nghiệp (28-30đ)</t>
        </is>
      </c>
      <c r="J1623" s="56" t="n">
        <v>30</v>
      </c>
      <c r="K1623" s="6" t="inlineStr">
        <is>
          <t>Chưa rõ giống (Cần quét Bio)</t>
        </is>
      </c>
      <c r="L1623" s="56" t="n">
        <v>0</v>
      </c>
      <c r="M1623" s="56" t="n">
        <v>5</v>
      </c>
      <c r="N1623" s="6" t="inlineStr">
        <is>
          <t>Amazon link not found</t>
        </is>
      </c>
      <c r="O1623" s="56">
        <f>IF(N1623="Selling pet toys + Artificial grass/Pet toilets (TARGET)",15,IF(N1623="Selling artificial grass/pet toilets (TARGET)",10,IF(N1623="Selling pet toys",7,IF(N1623="There's an Amazon link, but no target sales.",3,0))))</f>
        <v/>
      </c>
      <c r="P1623" s="65">
        <f>H1623+J1623+L1623+M1623+O1623</f>
        <v/>
      </c>
      <c r="Q1623" s="68">
        <f>IF(OR(H1623=0,P1623&lt;30),"Tier D (Đóng băng)",IF(P1623&gt;=85,"Tier S (Kim Cương: 85-100đ)",IF(P1623&gt;=70,"Tier A (Vàng: 70-84đ)",IF(P1623&gt;=61,"Tier B+ / Cấp A (Hot Lead: 61-69đ)",IF(P1623&gt;=50,"Tier B (Bạc: 50-60đ)","Tier C (Đồng: 30-49đ)")))))</f>
        <v/>
      </c>
      <c r="R1623" s="6" t="inlineStr">
        <is>
          <t>Trọn gói Take-Home Starter Kit V2/V3 (Cỏ nhân tạo + Khay Potty + Đồ chơi Teething/Snuggle)</t>
        </is>
      </c>
      <c r="S1623" s="6" t="inlineStr">
        <is>
          <t>Đóng băng tương tác (&gt;30 ngày): Lưu trữ chờ kích hoạt lại, không tốn tài nguyên Sales</t>
        </is>
      </c>
    </row>
    <row r="1624">
      <c r="A1624" s="59" t="n">
        <v>651</v>
      </c>
      <c r="B1624" s="15" t="inlineStr">
        <is>
          <t>BERNO MANIJA Kennel</t>
        </is>
      </c>
      <c r="C1624" s="60" t="inlineStr">
        <is>
          <t>https://www.facebook.com/bernomanija</t>
        </is>
      </c>
      <c r="D1624" s="9" t="inlineStr">
        <is>
          <t>Cần quét Bio Fanpage</t>
        </is>
      </c>
      <c r="E1624" s="59" t="inlineStr">
        <is>
          <t>26/12/2021 00:01:52</t>
        </is>
      </c>
      <c r="F1624" s="59" t="inlineStr">
        <is>
          <t>4 năm trước</t>
        </is>
      </c>
      <c r="G1624" s="61" t="n">
        <v>1460</v>
      </c>
      <c r="H1624" s="62" t="n">
        <v>0</v>
      </c>
      <c r="I1624" s="9" t="inlineStr">
        <is>
          <t>Dog Breeder / Trại chó chuyên nghiệp (28-30đ)</t>
        </is>
      </c>
      <c r="J1624" s="62" t="n">
        <v>30</v>
      </c>
      <c r="K1624" s="9" t="inlineStr">
        <is>
          <t>Chưa rõ giống (Cần quét Bio)</t>
        </is>
      </c>
      <c r="L1624" s="62" t="n">
        <v>0</v>
      </c>
      <c r="M1624" s="62" t="n">
        <v>5</v>
      </c>
      <c r="N1624" s="9" t="inlineStr">
        <is>
          <t>Amazon link not found</t>
        </is>
      </c>
      <c r="O1624" s="62">
        <f>IF(N1624="Selling pet toys + Artificial grass/Pet toilets (TARGET)",15,IF(N1624="Selling artificial grass/pet toilets (TARGET)",10,IF(N1624="Selling pet toys",7,IF(N1624="There's an Amazon link, but no target sales.",3,0))))</f>
        <v/>
      </c>
      <c r="P1624" s="67">
        <f>H1624+J1624+L1624+M1624+O1624</f>
        <v/>
      </c>
      <c r="Q1624" s="68">
        <f>IF(OR(H1624=0,P1624&lt;30),"Tier D (Đóng băng)",IF(P1624&gt;=85,"Tier S (Kim Cương: 85-100đ)",IF(P1624&gt;=70,"Tier A (Vàng: 70-84đ)",IF(P1624&gt;=61,"Tier B+ / Cấp A (Hot Lead: 61-69đ)",IF(P1624&gt;=50,"Tier B (Bạc: 50-60đ)","Tier C (Đồng: 30-49đ)")))))</f>
        <v/>
      </c>
      <c r="R1624" s="9" t="inlineStr">
        <is>
          <t>Trọn gói Take-Home Starter Kit V2/V3 (Cỏ nhân tạo + Khay Potty + Đồ chơi Teething/Snuggle)</t>
        </is>
      </c>
      <c r="S1624" s="9" t="inlineStr">
        <is>
          <t>Đóng băng tương tác (&gt;30 ngày): Lưu trữ chờ kích hoạt lại, không tốn tài nguyên Sales</t>
        </is>
      </c>
    </row>
    <row r="1625">
      <c r="A1625" s="53" t="n">
        <v>1894</v>
      </c>
      <c r="B1625" s="12" t="inlineStr">
        <is>
          <t>Kennel Mighty Workers</t>
        </is>
      </c>
      <c r="C1625" s="54" t="inlineStr">
        <is>
          <t>https://www.facebook.com/MightyWorkers</t>
        </is>
      </c>
      <c r="D1625" s="6" t="inlineStr">
        <is>
          <t>Cần quét Bio Fanpage</t>
        </is>
      </c>
      <c r="E1625" s="53" t="inlineStr">
        <is>
          <t>22/08/2021 02:54:00</t>
        </is>
      </c>
      <c r="F1625" s="53" t="inlineStr">
        <is>
          <t>22 Tháng 8, 2021 lúc 02:54</t>
        </is>
      </c>
      <c r="G1625" s="55" t="n">
        <v>365</v>
      </c>
      <c r="H1625" s="56" t="n">
        <v>0</v>
      </c>
      <c r="I1625" s="6" t="inlineStr">
        <is>
          <t>Dog Breeder / Trại chó chuyên nghiệp (28-30đ)</t>
        </is>
      </c>
      <c r="J1625" s="56" t="n">
        <v>30</v>
      </c>
      <c r="K1625" s="6" t="inlineStr">
        <is>
          <t>Chưa rõ giống (Cần quét Bio)</t>
        </is>
      </c>
      <c r="L1625" s="56" t="n">
        <v>0</v>
      </c>
      <c r="M1625" s="56" t="n">
        <v>5</v>
      </c>
      <c r="N1625" s="6" t="inlineStr">
        <is>
          <t>Amazon link not found</t>
        </is>
      </c>
      <c r="O1625" s="56">
        <f>IF(N1625="Selling pet toys + Artificial grass/Pet toilets (TARGET)",15,IF(N1625="Selling artificial grass/pet toilets (TARGET)",10,IF(N1625="Selling pet toys",7,IF(N1625="There's an Amazon link, but no target sales.",3,0))))</f>
        <v/>
      </c>
      <c r="P1625" s="65">
        <f>H1625+J1625+L1625+M1625+O1625</f>
        <v/>
      </c>
      <c r="Q1625" s="68">
        <f>IF(OR(H1625=0,P1625&lt;30),"Tier D (Đóng băng)",IF(P1625&gt;=85,"Tier S (Kim Cương: 85-100đ)",IF(P1625&gt;=70,"Tier A (Vàng: 70-84đ)",IF(P1625&gt;=61,"Tier B+ / Cấp A (Hot Lead: 61-69đ)",IF(P1625&gt;=50,"Tier B (Bạc: 50-60đ)","Tier C (Đồng: 30-49đ)")))))</f>
        <v/>
      </c>
      <c r="R1625" s="6" t="inlineStr">
        <is>
          <t>Trọn gói Take-Home Starter Kit V2/V3 (Cỏ nhân tạo + Khay Potty + Đồ chơi Teething/Snuggle)</t>
        </is>
      </c>
      <c r="S1625" s="6" t="inlineStr">
        <is>
          <t>Đóng băng tương tác (&gt;30 ngày): Lưu trữ chờ kích hoạt lại, không tốn tài nguyên Sales</t>
        </is>
      </c>
    </row>
    <row r="1626">
      <c r="A1626" s="59" t="n">
        <v>1215</v>
      </c>
      <c r="B1626" s="15" t="inlineStr">
        <is>
          <t>Down South Kennels</t>
        </is>
      </c>
      <c r="C1626" s="60" t="inlineStr">
        <is>
          <t>https://www.facebook.com/profile.php?id=100066548225937</t>
        </is>
      </c>
      <c r="D1626" s="9" t="inlineStr">
        <is>
          <t>Cần quét Bio Fanpage</t>
        </is>
      </c>
      <c r="E1626" s="59" t="inlineStr">
        <is>
          <t>17/08/2021 02:05:05</t>
        </is>
      </c>
      <c r="F1626" s="59" t="inlineStr">
        <is>
          <t>5 năm trước</t>
        </is>
      </c>
      <c r="G1626" s="61" t="n">
        <v>1825</v>
      </c>
      <c r="H1626" s="62" t="n">
        <v>0</v>
      </c>
      <c r="I1626" s="9" t="inlineStr">
        <is>
          <t>Dog Breeder / Trại chó chuyên nghiệp (28-30đ)</t>
        </is>
      </c>
      <c r="J1626" s="62" t="n">
        <v>30</v>
      </c>
      <c r="K1626" s="9" t="inlineStr">
        <is>
          <t>Chưa rõ giống (Cần quét Bio)</t>
        </is>
      </c>
      <c r="L1626" s="62" t="n">
        <v>0</v>
      </c>
      <c r="M1626" s="62" t="n">
        <v>5</v>
      </c>
      <c r="N1626" s="9" t="inlineStr">
        <is>
          <t>Amazon link not found</t>
        </is>
      </c>
      <c r="O1626" s="62">
        <f>IF(N1626="Selling pet toys + Artificial grass/Pet toilets (TARGET)",15,IF(N1626="Selling artificial grass/pet toilets (TARGET)",10,IF(N1626="Selling pet toys",7,IF(N1626="There's an Amazon link, but no target sales.",3,0))))</f>
        <v/>
      </c>
      <c r="P1626" s="67">
        <f>H1626+J1626+L1626+M1626+O1626</f>
        <v/>
      </c>
      <c r="Q1626" s="68">
        <f>IF(OR(H1626=0,P1626&lt;30),"Tier D (Đóng băng)",IF(P1626&gt;=85,"Tier S (Kim Cương: 85-100đ)",IF(P1626&gt;=70,"Tier A (Vàng: 70-84đ)",IF(P1626&gt;=61,"Tier B+ / Cấp A (Hot Lead: 61-69đ)",IF(P1626&gt;=50,"Tier B (Bạc: 50-60đ)","Tier C (Đồng: 30-49đ)")))))</f>
        <v/>
      </c>
      <c r="R1626" s="9" t="inlineStr">
        <is>
          <t>Trọn gói Take-Home Starter Kit V2/V3 (Cỏ nhân tạo + Khay Potty + Đồ chơi Teething/Snuggle)</t>
        </is>
      </c>
      <c r="S1626" s="9" t="inlineStr">
        <is>
          <t>Đóng băng tương tác (&gt;30 ngày): Lưu trữ chờ kích hoạt lại, không tốn tài nguyên Sales</t>
        </is>
      </c>
    </row>
    <row r="1627">
      <c r="A1627" s="53" t="n">
        <v>2691</v>
      </c>
      <c r="B1627" s="12" t="inlineStr">
        <is>
          <t>Ramirez Ruiz Kennels</t>
        </is>
      </c>
      <c r="C1627" s="54" t="inlineStr">
        <is>
          <t>https://www.facebook.com/profile.php?id=100042841916020</t>
        </is>
      </c>
      <c r="D1627" s="6" t="inlineStr">
        <is>
          <t>Cần quét Bio Fanpage</t>
        </is>
      </c>
      <c r="E1627" s="53" t="inlineStr">
        <is>
          <t>09/07/2021 07:42:23</t>
        </is>
      </c>
      <c r="F1627" s="53" t="inlineStr">
        <is>
          <t>5 năm trước</t>
        </is>
      </c>
      <c r="G1627" s="55" t="n">
        <v>1825</v>
      </c>
      <c r="H1627" s="56" t="n">
        <v>0</v>
      </c>
      <c r="I1627" s="6" t="inlineStr">
        <is>
          <t>Dog Breeder / Trại chó chuyên nghiệp (28-30đ)</t>
        </is>
      </c>
      <c r="J1627" s="56" t="n">
        <v>30</v>
      </c>
      <c r="K1627" s="6" t="inlineStr">
        <is>
          <t>Chưa rõ giống (Cần quét Bio)</t>
        </is>
      </c>
      <c r="L1627" s="56" t="n">
        <v>0</v>
      </c>
      <c r="M1627" s="56" t="n">
        <v>5</v>
      </c>
      <c r="N1627" s="6" t="inlineStr">
        <is>
          <t>Amazon link not found</t>
        </is>
      </c>
      <c r="O1627" s="56">
        <f>IF(N1627="Selling pet toys + Artificial grass/Pet toilets (TARGET)",15,IF(N1627="Selling artificial grass/pet toilets (TARGET)",10,IF(N1627="Selling pet toys",7,IF(N1627="There's an Amazon link, but no target sales.",3,0))))</f>
        <v/>
      </c>
      <c r="P1627" s="65">
        <f>H1627+J1627+L1627+M1627+O1627</f>
        <v/>
      </c>
      <c r="Q1627" s="68">
        <f>IF(OR(H1627=0,P1627&lt;30),"Tier D (Đóng băng)",IF(P1627&gt;=85,"Tier S (Kim Cương: 85-100đ)",IF(P1627&gt;=70,"Tier A (Vàng: 70-84đ)",IF(P1627&gt;=61,"Tier B+ / Cấp A (Hot Lead: 61-69đ)",IF(P1627&gt;=50,"Tier B (Bạc: 50-60đ)","Tier C (Đồng: 30-49đ)")))))</f>
        <v/>
      </c>
      <c r="R1627" s="6" t="inlineStr">
        <is>
          <t>Trọn gói Take-Home Starter Kit V2/V3 (Cỏ nhân tạo + Khay Potty + Đồ chơi Teething/Snuggle)</t>
        </is>
      </c>
      <c r="S1627" s="6" t="inlineStr">
        <is>
          <t>Đóng băng tương tác (&gt;30 ngày): Lưu trữ chờ kích hoạt lại, không tốn tài nguyên Sales</t>
        </is>
      </c>
    </row>
    <row r="1628">
      <c r="A1628" s="59" t="n">
        <v>327</v>
      </c>
      <c r="B1628" s="15" t="inlineStr">
        <is>
          <t>Abitt Like Home Kennels</t>
        </is>
      </c>
      <c r="C1628" s="60" t="inlineStr">
        <is>
          <t>https://www.facebook.com/profile.php?id=100055372521103</t>
        </is>
      </c>
      <c r="D1628" s="9" t="inlineStr">
        <is>
          <t>Cần quét Bio Fanpage</t>
        </is>
      </c>
      <c r="E1628" s="59" t="inlineStr">
        <is>
          <t>15/01/2021 22:54:43</t>
        </is>
      </c>
      <c r="F1628" s="59" t="inlineStr">
        <is>
          <t>5 năm trước</t>
        </is>
      </c>
      <c r="G1628" s="61" t="n">
        <v>1825</v>
      </c>
      <c r="H1628" s="62" t="n">
        <v>0</v>
      </c>
      <c r="I1628" s="9" t="inlineStr">
        <is>
          <t>Dog Breeder / Trại chó chuyên nghiệp (28-30đ)</t>
        </is>
      </c>
      <c r="J1628" s="62" t="n">
        <v>30</v>
      </c>
      <c r="K1628" s="9" t="inlineStr">
        <is>
          <t>Chưa rõ giống (Cần quét Bio)</t>
        </is>
      </c>
      <c r="L1628" s="62" t="n">
        <v>0</v>
      </c>
      <c r="M1628" s="62" t="n">
        <v>5</v>
      </c>
      <c r="N1628" s="9" t="inlineStr">
        <is>
          <t>Amazon link not found</t>
        </is>
      </c>
      <c r="O1628" s="62">
        <f>IF(N1628="Selling pet toys + Artificial grass/Pet toilets (TARGET)",15,IF(N1628="Selling artificial grass/pet toilets (TARGET)",10,IF(N1628="Selling pet toys",7,IF(N1628="There's an Amazon link, but no target sales.",3,0))))</f>
        <v/>
      </c>
      <c r="P1628" s="67">
        <f>H1628+J1628+L1628+M1628+O1628</f>
        <v/>
      </c>
      <c r="Q1628" s="68">
        <f>IF(OR(H1628=0,P1628&lt;30),"Tier D (Đóng băng)",IF(P1628&gt;=85,"Tier S (Kim Cương: 85-100đ)",IF(P1628&gt;=70,"Tier A (Vàng: 70-84đ)",IF(P1628&gt;=61,"Tier B+ / Cấp A (Hot Lead: 61-69đ)",IF(P1628&gt;=50,"Tier B (Bạc: 50-60đ)","Tier C (Đồng: 30-49đ)")))))</f>
        <v/>
      </c>
      <c r="R1628" s="9" t="inlineStr">
        <is>
          <t>Trọn gói Take-Home Starter Kit V2/V3 (Cỏ nhân tạo + Khay Potty + Đồ chơi Teething/Snuggle)</t>
        </is>
      </c>
      <c r="S1628" s="9" t="inlineStr">
        <is>
          <t>Đóng băng tương tác (&gt;30 ngày): Lưu trữ chờ kích hoạt lại, không tốn tài nguyên Sales</t>
        </is>
      </c>
    </row>
    <row r="1629">
      <c r="A1629" s="53" t="n">
        <v>606</v>
      </c>
      <c r="B1629" s="12" t="inlineStr">
        <is>
          <t>Bayou Blood Kennels</t>
        </is>
      </c>
      <c r="C1629" s="54" t="inlineStr">
        <is>
          <t>https://www.facebook.com/bayoubloodkennels</t>
        </is>
      </c>
      <c r="D1629" s="6" t="inlineStr">
        <is>
          <t>Cần quét Bio Fanpage</t>
        </is>
      </c>
      <c r="E1629" s="53" t="inlineStr">
        <is>
          <t>29/10/2020 23:49:41</t>
        </is>
      </c>
      <c r="F1629" s="53" t="inlineStr">
        <is>
          <t>5 năm trước</t>
        </is>
      </c>
      <c r="G1629" s="55" t="n">
        <v>1825</v>
      </c>
      <c r="H1629" s="56" t="n">
        <v>0</v>
      </c>
      <c r="I1629" s="6" t="inlineStr">
        <is>
          <t>Dog Breeder / Trại chó chuyên nghiệp (28-30đ)</t>
        </is>
      </c>
      <c r="J1629" s="56" t="n">
        <v>30</v>
      </c>
      <c r="K1629" s="6" t="inlineStr">
        <is>
          <t>Chưa rõ giống (Cần quét Bio)</t>
        </is>
      </c>
      <c r="L1629" s="56" t="n">
        <v>0</v>
      </c>
      <c r="M1629" s="56" t="n">
        <v>5</v>
      </c>
      <c r="N1629" s="6" t="inlineStr">
        <is>
          <t>Amazon link not found</t>
        </is>
      </c>
      <c r="O1629" s="56">
        <f>IF(N1629="Selling pet toys + Artificial grass/Pet toilets (TARGET)",15,IF(N1629="Selling artificial grass/pet toilets (TARGET)",10,IF(N1629="Selling pet toys",7,IF(N1629="There's an Amazon link, but no target sales.",3,0))))</f>
        <v/>
      </c>
      <c r="P1629" s="65">
        <f>H1629+J1629+L1629+M1629+O1629</f>
        <v/>
      </c>
      <c r="Q1629" s="68">
        <f>IF(OR(H1629=0,P1629&lt;30),"Tier D (Đóng băng)",IF(P1629&gt;=85,"Tier S (Kim Cương: 85-100đ)",IF(P1629&gt;=70,"Tier A (Vàng: 70-84đ)",IF(P1629&gt;=61,"Tier B+ / Cấp A (Hot Lead: 61-69đ)",IF(P1629&gt;=50,"Tier B (Bạc: 50-60đ)","Tier C (Đồng: 30-49đ)")))))</f>
        <v/>
      </c>
      <c r="R1629" s="6" t="inlineStr">
        <is>
          <t>Trọn gói Take-Home Starter Kit V2/V3 (Cỏ nhân tạo + Khay Potty + Đồ chơi Teething/Snuggle)</t>
        </is>
      </c>
      <c r="S1629" s="6" t="inlineStr">
        <is>
          <t>Đóng băng tương tác (&gt;30 ngày): Lưu trữ chờ kích hoạt lại, không tốn tài nguyên Sales</t>
        </is>
      </c>
    </row>
    <row r="1630">
      <c r="A1630" s="59" t="n">
        <v>3159</v>
      </c>
      <c r="B1630" s="15" t="inlineStr">
        <is>
          <t>The Rustic Guardian Kennel</t>
        </is>
      </c>
      <c r="C1630" s="60" t="inlineStr">
        <is>
          <t>https://www.facebook.com/TheRusticGuardian</t>
        </is>
      </c>
      <c r="D1630" s="9" t="inlineStr">
        <is>
          <t>Cần quét Bio Fanpage</t>
        </is>
      </c>
      <c r="E1630" s="59" t="inlineStr">
        <is>
          <t>19/08/2020 02:43:49</t>
        </is>
      </c>
      <c r="F1630" s="59" t="inlineStr">
        <is>
          <t>6 năm trước</t>
        </is>
      </c>
      <c r="G1630" s="61" t="n">
        <v>2190</v>
      </c>
      <c r="H1630" s="62" t="n">
        <v>0</v>
      </c>
      <c r="I1630" s="9" t="inlineStr">
        <is>
          <t>Dog Breeder / Trại chó chuyên nghiệp (28-30đ)</t>
        </is>
      </c>
      <c r="J1630" s="62" t="n">
        <v>30</v>
      </c>
      <c r="K1630" s="9" t="inlineStr">
        <is>
          <t>Chưa rõ giống (Cần quét Bio)</t>
        </is>
      </c>
      <c r="L1630" s="62" t="n">
        <v>0</v>
      </c>
      <c r="M1630" s="62" t="n">
        <v>5</v>
      </c>
      <c r="N1630" s="9" t="inlineStr">
        <is>
          <t>Amazon link not found</t>
        </is>
      </c>
      <c r="O1630" s="62">
        <f>IF(N1630="Selling pet toys + Artificial grass/Pet toilets (TARGET)",15,IF(N1630="Selling artificial grass/pet toilets (TARGET)",10,IF(N1630="Selling pet toys",7,IF(N1630="There's an Amazon link, but no target sales.",3,0))))</f>
        <v/>
      </c>
      <c r="P1630" s="67">
        <f>H1630+J1630+L1630+M1630+O1630</f>
        <v/>
      </c>
      <c r="Q1630" s="68">
        <f>IF(OR(H1630=0,P1630&lt;30),"Tier D (Đóng băng)",IF(P1630&gt;=85,"Tier S (Kim Cương: 85-100đ)",IF(P1630&gt;=70,"Tier A (Vàng: 70-84đ)",IF(P1630&gt;=61,"Tier B+ / Cấp A (Hot Lead: 61-69đ)",IF(P1630&gt;=50,"Tier B (Bạc: 50-60đ)","Tier C (Đồng: 30-49đ)")))))</f>
        <v/>
      </c>
      <c r="R1630" s="9" t="inlineStr">
        <is>
          <t>Trọn gói Take-Home Starter Kit V2/V3 (Cỏ nhân tạo + Khay Potty + Đồ chơi Teething/Snuggle)</t>
        </is>
      </c>
      <c r="S1630" s="9" t="inlineStr">
        <is>
          <t>Đóng băng tương tác (&gt;30 ngày): Lưu trữ chờ kích hoạt lại, không tốn tài nguyên Sales</t>
        </is>
      </c>
    </row>
    <row r="1631">
      <c r="A1631" s="53" t="n">
        <v>2004</v>
      </c>
      <c r="B1631" s="12" t="inlineStr">
        <is>
          <t>Leju Lagus Kennel</t>
        </is>
      </c>
      <c r="C1631" s="54" t="inlineStr">
        <is>
          <t>https://www.facebook.com/LejuLagusKennel</t>
        </is>
      </c>
      <c r="D1631" s="6" t="inlineStr">
        <is>
          <t>Cần quét Bio Fanpage</t>
        </is>
      </c>
      <c r="E1631" s="53" t="inlineStr">
        <is>
          <t>29/06/2020 10:41:21</t>
        </is>
      </c>
      <c r="F1631" s="53" t="inlineStr">
        <is>
          <t>6 năm trước</t>
        </is>
      </c>
      <c r="G1631" s="55" t="n">
        <v>2190</v>
      </c>
      <c r="H1631" s="56" t="n">
        <v>0</v>
      </c>
      <c r="I1631" s="6" t="inlineStr">
        <is>
          <t>Dog Breeder / Trại chó chuyên nghiệp (28-30đ)</t>
        </is>
      </c>
      <c r="J1631" s="56" t="n">
        <v>30</v>
      </c>
      <c r="K1631" s="6" t="inlineStr">
        <is>
          <t>Chưa rõ giống (Cần quét Bio)</t>
        </is>
      </c>
      <c r="L1631" s="56" t="n">
        <v>0</v>
      </c>
      <c r="M1631" s="56" t="n">
        <v>5</v>
      </c>
      <c r="N1631" s="6" t="inlineStr">
        <is>
          <t>Amazon link not found</t>
        </is>
      </c>
      <c r="O1631" s="56">
        <f>IF(N1631="Selling pet toys + Artificial grass/Pet toilets (TARGET)",15,IF(N1631="Selling artificial grass/pet toilets (TARGET)",10,IF(N1631="Selling pet toys",7,IF(N1631="There's an Amazon link, but no target sales.",3,0))))</f>
        <v/>
      </c>
      <c r="P1631" s="65">
        <f>H1631+J1631+L1631+M1631+O1631</f>
        <v/>
      </c>
      <c r="Q1631" s="68">
        <f>IF(OR(H1631=0,P1631&lt;30),"Tier D (Đóng băng)",IF(P1631&gt;=85,"Tier S (Kim Cương: 85-100đ)",IF(P1631&gt;=70,"Tier A (Vàng: 70-84đ)",IF(P1631&gt;=61,"Tier B+ / Cấp A (Hot Lead: 61-69đ)",IF(P1631&gt;=50,"Tier B (Bạc: 50-60đ)","Tier C (Đồng: 30-49đ)")))))</f>
        <v/>
      </c>
      <c r="R1631" s="6" t="inlineStr">
        <is>
          <t>Trọn gói Take-Home Starter Kit V2/V3 (Cỏ nhân tạo + Khay Potty + Đồ chơi Teething/Snuggle)</t>
        </is>
      </c>
      <c r="S1631" s="6" t="inlineStr">
        <is>
          <t>Đóng băng tương tác (&gt;30 ngày): Lưu trữ chờ kích hoạt lại, không tốn tài nguyên Sales</t>
        </is>
      </c>
    </row>
    <row r="1632">
      <c r="A1632" s="59" t="n">
        <v>988</v>
      </c>
      <c r="B1632" s="15" t="inlineStr">
        <is>
          <t>D-One Kennels</t>
        </is>
      </c>
      <c r="C1632" s="60" t="inlineStr">
        <is>
          <t>https://www.facebook.com/D1Kennels</t>
        </is>
      </c>
      <c r="D1632" s="9" t="inlineStr">
        <is>
          <t>Cần quét Bio Fanpage</t>
        </is>
      </c>
      <c r="E1632" s="59" t="inlineStr">
        <is>
          <t>23/01/2020 11:40:18</t>
        </is>
      </c>
      <c r="F1632" s="59" t="inlineStr">
        <is>
          <t>6 năm trước</t>
        </is>
      </c>
      <c r="G1632" s="61" t="n">
        <v>2190</v>
      </c>
      <c r="H1632" s="62" t="n">
        <v>0</v>
      </c>
      <c r="I1632" s="9" t="inlineStr">
        <is>
          <t>Dog Breeder / Trại chó chuyên nghiệp (28-30đ)</t>
        </is>
      </c>
      <c r="J1632" s="62" t="n">
        <v>30</v>
      </c>
      <c r="K1632" s="9" t="inlineStr">
        <is>
          <t>Chưa rõ giống (Cần quét Bio)</t>
        </is>
      </c>
      <c r="L1632" s="62" t="n">
        <v>0</v>
      </c>
      <c r="M1632" s="62" t="n">
        <v>5</v>
      </c>
      <c r="N1632" s="9" t="inlineStr">
        <is>
          <t>Amazon link not found</t>
        </is>
      </c>
      <c r="O1632" s="62">
        <f>IF(N1632="Selling pet toys + Artificial grass/Pet toilets (TARGET)",15,IF(N1632="Selling artificial grass/pet toilets (TARGET)",10,IF(N1632="Selling pet toys",7,IF(N1632="There's an Amazon link, but no target sales.",3,0))))</f>
        <v/>
      </c>
      <c r="P1632" s="67">
        <f>H1632+J1632+L1632+M1632+O1632</f>
        <v/>
      </c>
      <c r="Q1632" s="68">
        <f>IF(OR(H1632=0,P1632&lt;30),"Tier D (Đóng băng)",IF(P1632&gt;=85,"Tier S (Kim Cương: 85-100đ)",IF(P1632&gt;=70,"Tier A (Vàng: 70-84đ)",IF(P1632&gt;=61,"Tier B+ / Cấp A (Hot Lead: 61-69đ)",IF(P1632&gt;=50,"Tier B (Bạc: 50-60đ)","Tier C (Đồng: 30-49đ)")))))</f>
        <v/>
      </c>
      <c r="R1632" s="9" t="inlineStr">
        <is>
          <t>Trọn gói Take-Home Starter Kit V2/V3 (Cỏ nhân tạo + Khay Potty + Đồ chơi Teething/Snuggle)</t>
        </is>
      </c>
      <c r="S1632" s="9" t="inlineStr">
        <is>
          <t>Đóng băng tương tác (&gt;30 ngày): Lưu trữ chờ kích hoạt lại, không tốn tài nguyên Sales</t>
        </is>
      </c>
    </row>
    <row r="1633">
      <c r="A1633" s="53" t="n">
        <v>2579</v>
      </c>
      <c r="B1633" s="12" t="inlineStr">
        <is>
          <t>Pink Ribbon Puppies</t>
        </is>
      </c>
      <c r="C1633" s="54" t="inlineStr">
        <is>
          <t>https://www.facebook.com/PinkRibbonPuppies</t>
        </is>
      </c>
      <c r="D1633" s="6" t="inlineStr">
        <is>
          <t>Cần quét Bio Fanpage</t>
        </is>
      </c>
      <c r="E1633" s="53" t="inlineStr">
        <is>
          <t>21/02/2019 09:21:00</t>
        </is>
      </c>
      <c r="F1633" s="53" t="inlineStr">
        <is>
          <t>21 Tháng 2, 2019 lúc 09:21</t>
        </is>
      </c>
      <c r="G1633" s="55" t="n">
        <v>365</v>
      </c>
      <c r="H1633" s="56" t="n">
        <v>0</v>
      </c>
      <c r="I1633" s="6" t="inlineStr">
        <is>
          <t>Dog Breeder / Trại chó chuyên nghiệp (28-30đ)</t>
        </is>
      </c>
      <c r="J1633" s="56" t="n">
        <v>30</v>
      </c>
      <c r="K1633" s="6" t="inlineStr">
        <is>
          <t>Chưa rõ giống (Cần quét Bio)</t>
        </is>
      </c>
      <c r="L1633" s="56" t="n">
        <v>0</v>
      </c>
      <c r="M1633" s="56" t="n">
        <v>5</v>
      </c>
      <c r="N1633" s="6" t="inlineStr">
        <is>
          <t>Amazon link not found</t>
        </is>
      </c>
      <c r="O1633" s="56">
        <f>IF(N1633="Selling pet toys + Artificial grass/Pet toilets (TARGET)",15,IF(N1633="Selling artificial grass/pet toilets (TARGET)",10,IF(N1633="Selling pet toys",7,IF(N1633="There's an Amazon link, but no target sales.",3,0))))</f>
        <v/>
      </c>
      <c r="P1633" s="65">
        <f>H1633+J1633+L1633+M1633+O1633</f>
        <v/>
      </c>
      <c r="Q1633" s="68">
        <f>IF(OR(H1633=0,P1633&lt;30),"Tier D (Đóng băng)",IF(P1633&gt;=85,"Tier S (Kim Cương: 85-100đ)",IF(P1633&gt;=70,"Tier A (Vàng: 70-84đ)",IF(P1633&gt;=61,"Tier B+ / Cấp A (Hot Lead: 61-69đ)",IF(P1633&gt;=50,"Tier B (Bạc: 50-60đ)","Tier C (Đồng: 30-49đ)")))))</f>
        <v/>
      </c>
      <c r="R1633" s="6" t="inlineStr">
        <is>
          <t>Trọn gói Take-Home Starter Kit V2/V3 (Cỏ nhân tạo + Khay Potty + Đồ chơi Teething/Snuggle)</t>
        </is>
      </c>
      <c r="S1633" s="6" t="inlineStr">
        <is>
          <t>Đóng băng tương tác (&gt;30 ngày): Lưu trữ chờ kích hoạt lại, không tốn tài nguyên Sales</t>
        </is>
      </c>
    </row>
    <row r="1634">
      <c r="A1634" s="59" t="n">
        <v>2773</v>
      </c>
      <c r="B1634" s="15" t="inlineStr">
        <is>
          <t>Rokee Kennel</t>
        </is>
      </c>
      <c r="C1634" s="60" t="inlineStr">
        <is>
          <t>https://www.facebook.com/Chrishantha.senasinghe</t>
        </is>
      </c>
      <c r="D1634" s="9" t="inlineStr">
        <is>
          <t>Cần quét Bio Fanpage</t>
        </is>
      </c>
      <c r="E1634" s="59" t="inlineStr">
        <is>
          <t>27/04/2016 12:00:00</t>
        </is>
      </c>
      <c r="F1634" s="59" t="inlineStr">
        <is>
          <t>27 Tháng 4, 2016</t>
        </is>
      </c>
      <c r="G1634" s="61" t="n">
        <v>365</v>
      </c>
      <c r="H1634" s="62" t="n">
        <v>0</v>
      </c>
      <c r="I1634" s="9" t="inlineStr">
        <is>
          <t>Dog Breeder / Trại chó chuyên nghiệp (28-30đ)</t>
        </is>
      </c>
      <c r="J1634" s="62" t="n">
        <v>30</v>
      </c>
      <c r="K1634" s="9" t="inlineStr">
        <is>
          <t>Chưa rõ giống (Cần quét Bio)</t>
        </is>
      </c>
      <c r="L1634" s="62" t="n">
        <v>0</v>
      </c>
      <c r="M1634" s="62" t="n">
        <v>5</v>
      </c>
      <c r="N1634" s="9" t="inlineStr">
        <is>
          <t>Amazon link not found</t>
        </is>
      </c>
      <c r="O1634" s="62">
        <f>IF(N1634="Selling pet toys + Artificial grass/Pet toilets (TARGET)",15,IF(N1634="Selling artificial grass/pet toilets (TARGET)",10,IF(N1634="Selling pet toys",7,IF(N1634="There's an Amazon link, but no target sales.",3,0))))</f>
        <v/>
      </c>
      <c r="P1634" s="67">
        <f>H1634+J1634+L1634+M1634+O1634</f>
        <v/>
      </c>
      <c r="Q1634" s="68">
        <f>IF(OR(H1634=0,P1634&lt;30),"Tier D (Đóng băng)",IF(P1634&gt;=85,"Tier S (Kim Cương: 85-100đ)",IF(P1634&gt;=70,"Tier A (Vàng: 70-84đ)",IF(P1634&gt;=61,"Tier B+ / Cấp A (Hot Lead: 61-69đ)",IF(P1634&gt;=50,"Tier B (Bạc: 50-60đ)","Tier C (Đồng: 30-49đ)")))))</f>
        <v/>
      </c>
      <c r="R1634" s="9" t="inlineStr">
        <is>
          <t>Trọn gói Take-Home Starter Kit V2/V3 (Cỏ nhân tạo + Khay Potty + Đồ chơi Teething/Snuggle)</t>
        </is>
      </c>
      <c r="S1634" s="9" t="inlineStr">
        <is>
          <t>Đóng băng tương tác (&gt;30 ngày): Lưu trữ chờ kích hoạt lại, không tốn tài nguyên Sales</t>
        </is>
      </c>
    </row>
    <row r="1635">
      <c r="A1635" s="53" t="n">
        <v>4501</v>
      </c>
      <c r="B1635" s="12" t="inlineStr">
        <is>
          <t>Lionsdebordeaux Kennel</t>
        </is>
      </c>
      <c r="C1635" s="54" t="inlineStr">
        <is>
          <t>https://www.facebook.com/profile.php?id=100072473670694</t>
        </is>
      </c>
      <c r="D1635" s="6" t="inlineStr">
        <is>
          <t>Cần quét Bio Fanpage</t>
        </is>
      </c>
      <c r="E1635" s="53" t="inlineStr">
        <is>
          <t>07/09/2014 12:00:00</t>
        </is>
      </c>
      <c r="F1635" s="53" t="inlineStr">
        <is>
          <t>7 Tháng 9, 2014</t>
        </is>
      </c>
      <c r="G1635" s="55" t="n">
        <v>365</v>
      </c>
      <c r="H1635" s="56" t="n">
        <v>0</v>
      </c>
      <c r="I1635" s="6" t="inlineStr">
        <is>
          <t>Dog Breeder / Trại chó chuyên nghiệp (28-30đ)</t>
        </is>
      </c>
      <c r="J1635" s="56" t="n">
        <v>30</v>
      </c>
      <c r="K1635" s="6" t="inlineStr">
        <is>
          <t>Chưa rõ giống (Cần quét Bio)</t>
        </is>
      </c>
      <c r="L1635" s="56" t="n">
        <v>0</v>
      </c>
      <c r="M1635" s="56" t="n">
        <v>5</v>
      </c>
      <c r="N1635" s="6" t="inlineStr">
        <is>
          <t>Amazon link not found</t>
        </is>
      </c>
      <c r="O1635" s="56">
        <f>IF(N1635="Selling pet toys + Artificial grass/Pet toilets (TARGET)",15,IF(N1635="Selling artificial grass/pet toilets (TARGET)",10,IF(N1635="Selling pet toys",7,IF(N1635="There's an Amazon link, but no target sales.",3,0))))</f>
        <v/>
      </c>
      <c r="P1635" s="65">
        <f>H1635+J1635+L1635+M1635+O1635</f>
        <v/>
      </c>
      <c r="Q1635" s="68">
        <f>IF(OR(H1635=0,P1635&lt;30),"Tier D (Đóng băng)",IF(P1635&gt;=85,"Tier S (Kim Cương: 85-100đ)",IF(P1635&gt;=70,"Tier A (Vàng: 70-84đ)",IF(P1635&gt;=61,"Tier B+ / Cấp A (Hot Lead: 61-69đ)",IF(P1635&gt;=50,"Tier B (Bạc: 50-60đ)","Tier C (Đồng: 30-49đ)")))))</f>
        <v/>
      </c>
      <c r="R1635" s="6" t="inlineStr">
        <is>
          <t>Trọn gói Take-Home Starter Kit V2/V3 (Cỏ nhân tạo + Khay Potty + Đồ chơi Teething/Snuggle)</t>
        </is>
      </c>
      <c r="S1635" s="6" t="inlineStr">
        <is>
          <t>Đóng băng tương tác (&gt;30 ngày): Lưu trữ chờ kích hoạt lại, không tốn tài nguyên Sales</t>
        </is>
      </c>
    </row>
    <row r="1636">
      <c r="A1636" s="59" t="n">
        <v>1899</v>
      </c>
      <c r="B1636" s="15" t="inlineStr">
        <is>
          <t>Kennel Revestreken</t>
        </is>
      </c>
      <c r="C1636" s="60" t="inlineStr">
        <is>
          <t>https://www.facebook.com/Kennelrevestreken</t>
        </is>
      </c>
      <c r="D1636" s="9" t="inlineStr">
        <is>
          <t>Cần quét Bio Fanpage</t>
        </is>
      </c>
      <c r="E1636" s="59" t="inlineStr">
        <is>
          <t>11/06/2014 17:56:00</t>
        </is>
      </c>
      <c r="F1636" s="59" t="inlineStr">
        <is>
          <t>11 Tháng 6, 2014 lúc 17:56</t>
        </is>
      </c>
      <c r="G1636" s="61" t="n">
        <v>365</v>
      </c>
      <c r="H1636" s="62" t="n">
        <v>0</v>
      </c>
      <c r="I1636" s="9" t="inlineStr">
        <is>
          <t>Dog Breeder / Trại chó chuyên nghiệp (28-30đ)</t>
        </is>
      </c>
      <c r="J1636" s="62" t="n">
        <v>30</v>
      </c>
      <c r="K1636" s="9" t="inlineStr">
        <is>
          <t>Chưa rõ giống (Cần quét Bio)</t>
        </is>
      </c>
      <c r="L1636" s="62" t="n">
        <v>0</v>
      </c>
      <c r="M1636" s="62" t="n">
        <v>5</v>
      </c>
      <c r="N1636" s="9" t="inlineStr">
        <is>
          <t>Amazon link not found</t>
        </is>
      </c>
      <c r="O1636" s="62">
        <f>IF(N1636="Selling pet toys + Artificial grass/Pet toilets (TARGET)",15,IF(N1636="Selling artificial grass/pet toilets (TARGET)",10,IF(N1636="Selling pet toys",7,IF(N1636="There's an Amazon link, but no target sales.",3,0))))</f>
        <v/>
      </c>
      <c r="P1636" s="67">
        <f>H1636+J1636+L1636+M1636+O1636</f>
        <v/>
      </c>
      <c r="Q1636" s="68">
        <f>IF(OR(H1636=0,P1636&lt;30),"Tier D (Đóng băng)",IF(P1636&gt;=85,"Tier S (Kim Cương: 85-100đ)",IF(P1636&gt;=70,"Tier A (Vàng: 70-84đ)",IF(P1636&gt;=61,"Tier B+ / Cấp A (Hot Lead: 61-69đ)",IF(P1636&gt;=50,"Tier B (Bạc: 50-60đ)","Tier C (Đồng: 30-49đ)")))))</f>
        <v/>
      </c>
      <c r="R1636" s="9" t="inlineStr">
        <is>
          <t>Trọn gói Take-Home Starter Kit V2/V3 (Cỏ nhân tạo + Khay Potty + Đồ chơi Teething/Snuggle)</t>
        </is>
      </c>
      <c r="S1636" s="9" t="inlineStr">
        <is>
          <t>Đóng băng tương tác (&gt;30 ngày): Lưu trữ chờ kích hoạt lại, không tốn tài nguyên Sales</t>
        </is>
      </c>
    </row>
    <row r="1637">
      <c r="A1637" s="53" t="n">
        <v>3286</v>
      </c>
      <c r="B1637" s="12" t="inlineStr">
        <is>
          <t>Varmick Kennels</t>
        </is>
      </c>
      <c r="C1637" s="54" t="inlineStr">
        <is>
          <t>https://www.facebook.com/varmick.kennels</t>
        </is>
      </c>
      <c r="D1637" s="6" t="inlineStr">
        <is>
          <t>Cần quét Bio Fanpage</t>
        </is>
      </c>
      <c r="E1637" s="53" t="inlineStr">
        <is>
          <t>04/01/2014 12:00:00</t>
        </is>
      </c>
      <c r="F1637" s="53" t="inlineStr">
        <is>
          <t>4 Tháng 1, 2014</t>
        </is>
      </c>
      <c r="G1637" s="55" t="n">
        <v>365</v>
      </c>
      <c r="H1637" s="56" t="n">
        <v>0</v>
      </c>
      <c r="I1637" s="6" t="inlineStr">
        <is>
          <t>Dog Breeder / Trại chó chuyên nghiệp (28-30đ)</t>
        </is>
      </c>
      <c r="J1637" s="56" t="n">
        <v>30</v>
      </c>
      <c r="K1637" s="6" t="inlineStr">
        <is>
          <t>Chưa rõ giống (Cần quét Bio)</t>
        </is>
      </c>
      <c r="L1637" s="56" t="n">
        <v>0</v>
      </c>
      <c r="M1637" s="56" t="n">
        <v>5</v>
      </c>
      <c r="N1637" s="6" t="inlineStr">
        <is>
          <t>Amazon link not found</t>
        </is>
      </c>
      <c r="O1637" s="56">
        <f>IF(N1637="Selling pet toys + Artificial grass/Pet toilets (TARGET)",15,IF(N1637="Selling artificial grass/pet toilets (TARGET)",10,IF(N1637="Selling pet toys",7,IF(N1637="There's an Amazon link, but no target sales.",3,0))))</f>
        <v/>
      </c>
      <c r="P1637" s="65">
        <f>H1637+J1637+L1637+M1637+O1637</f>
        <v/>
      </c>
      <c r="Q1637" s="68">
        <f>IF(OR(H1637=0,P1637&lt;30),"Tier D (Đóng băng)",IF(P1637&gt;=85,"Tier S (Kim Cương: 85-100đ)",IF(P1637&gt;=70,"Tier A (Vàng: 70-84đ)",IF(P1637&gt;=61,"Tier B+ / Cấp A (Hot Lead: 61-69đ)",IF(P1637&gt;=50,"Tier B (Bạc: 50-60đ)","Tier C (Đồng: 30-49đ)")))))</f>
        <v/>
      </c>
      <c r="R1637" s="6" t="inlineStr">
        <is>
          <t>Trọn gói Take-Home Starter Kit V2/V3 (Cỏ nhân tạo + Khay Potty + Đồ chơi Teething/Snuggle)</t>
        </is>
      </c>
      <c r="S1637" s="6" t="inlineStr">
        <is>
          <t>Đóng băng tương tác (&gt;30 ngày): Lưu trữ chờ kích hoạt lại, không tốn tài nguyên Sales</t>
        </is>
      </c>
    </row>
    <row r="1638">
      <c r="A1638" s="59" t="n">
        <v>105</v>
      </c>
      <c r="B1638" s="15" t="inlineStr">
        <is>
          <t>Asokoto Labs Kennel</t>
        </is>
      </c>
      <c r="C1638" s="60" t="inlineStr">
        <is>
          <t>https://www.facebook.com/asokoto.kennel</t>
        </is>
      </c>
      <c r="D1638" s="9" t="inlineStr">
        <is>
          <t>Cần quét Bio Fanpage</t>
        </is>
      </c>
      <c r="E1638" s="59" t="inlineStr">
        <is>
          <t>27/12/2013 12:00:00</t>
        </is>
      </c>
      <c r="F1638" s="59" t="inlineStr">
        <is>
          <t>27 Tháng 12, 2013</t>
        </is>
      </c>
      <c r="G1638" s="61" t="n">
        <v>365</v>
      </c>
      <c r="H1638" s="62" t="n">
        <v>0</v>
      </c>
      <c r="I1638" s="9" t="inlineStr">
        <is>
          <t>Dog Breeder / Trại chó chuyên nghiệp (28-30đ)</t>
        </is>
      </c>
      <c r="J1638" s="62" t="n">
        <v>30</v>
      </c>
      <c r="K1638" s="9" t="inlineStr">
        <is>
          <t>Chưa rõ giống (Cần quét Bio)</t>
        </is>
      </c>
      <c r="L1638" s="62" t="n">
        <v>0</v>
      </c>
      <c r="M1638" s="62" t="n">
        <v>5</v>
      </c>
      <c r="N1638" s="9" t="inlineStr">
        <is>
          <t>Amazon link not found</t>
        </is>
      </c>
      <c r="O1638" s="62">
        <f>IF(N1638="Selling pet toys + Artificial grass/Pet toilets (TARGET)",15,IF(N1638="Selling artificial grass/pet toilets (TARGET)",10,IF(N1638="Selling pet toys",7,IF(N1638="There's an Amazon link, but no target sales.",3,0))))</f>
        <v/>
      </c>
      <c r="P1638" s="67">
        <f>H1638+J1638+L1638+M1638+O1638</f>
        <v/>
      </c>
      <c r="Q1638" s="68">
        <f>IF(OR(H1638=0,P1638&lt;30),"Tier D (Đóng băng)",IF(P1638&gt;=85,"Tier S (Kim Cương: 85-100đ)",IF(P1638&gt;=70,"Tier A (Vàng: 70-84đ)",IF(P1638&gt;=61,"Tier B+ / Cấp A (Hot Lead: 61-69đ)",IF(P1638&gt;=50,"Tier B (Bạc: 50-60đ)","Tier C (Đồng: 30-49đ)")))))</f>
        <v/>
      </c>
      <c r="R1638" s="9" t="inlineStr">
        <is>
          <t>Trọn gói Take-Home Starter Kit V2/V3 (Cỏ nhân tạo + Khay Potty + Đồ chơi Teething/Snuggle)</t>
        </is>
      </c>
      <c r="S1638" s="9" t="inlineStr">
        <is>
          <t>Đóng băng tương tác (&gt;30 ngày): Lưu trữ chờ kích hoạt lại, không tốn tài nguyên Sales</t>
        </is>
      </c>
    </row>
    <row r="1639">
      <c r="A1639" s="53" t="n">
        <v>1879</v>
      </c>
      <c r="B1639" s="12" t="inlineStr">
        <is>
          <t>Kennel Ddb Senoves Kilnumas</t>
        </is>
      </c>
      <c r="C1639" s="54" t="inlineStr">
        <is>
          <t>https://www.facebook.com/profile.php?id=100054296001095</t>
        </is>
      </c>
      <c r="D1639" s="6" t="inlineStr">
        <is>
          <t>Cần quét Bio Fanpage</t>
        </is>
      </c>
      <c r="E1639" s="53" t="inlineStr">
        <is>
          <t>Không tìm thấy bài viết</t>
        </is>
      </c>
      <c r="F1639" s="53" t="inlineStr">
        <is>
          <t>Không có bài</t>
        </is>
      </c>
      <c r="G1639" s="55" t="n">
        <v>999</v>
      </c>
      <c r="H1639" s="56" t="n">
        <v>0</v>
      </c>
      <c r="I1639" s="6" t="inlineStr">
        <is>
          <t>Dog Breeder / Trại chó chuyên nghiệp (28-30đ)</t>
        </is>
      </c>
      <c r="J1639" s="56" t="n">
        <v>30</v>
      </c>
      <c r="K1639" s="6" t="inlineStr">
        <is>
          <t>Chưa rõ giống (Cần quét Bio)</t>
        </is>
      </c>
      <c r="L1639" s="56" t="n">
        <v>0</v>
      </c>
      <c r="M1639" s="56" t="n">
        <v>5</v>
      </c>
      <c r="N1639" s="6" t="inlineStr">
        <is>
          <t>Amazon link not found</t>
        </is>
      </c>
      <c r="O1639" s="56">
        <f>IF(N1639="Selling pet toys + Artificial grass/Pet toilets (TARGET)",15,IF(N1639="Selling artificial grass/pet toilets (TARGET)",10,IF(N1639="Selling pet toys",7,IF(N1639="There's an Amazon link, but no target sales.",3,0))))</f>
        <v/>
      </c>
      <c r="P1639" s="65">
        <f>H1639+J1639+L1639+M1639+O1639</f>
        <v/>
      </c>
      <c r="Q1639" s="68">
        <f>IF(OR(H1639=0,P1639&lt;30),"Tier D (Đóng băng)",IF(P1639&gt;=85,"Tier S (Kim Cương: 85-100đ)",IF(P1639&gt;=70,"Tier A (Vàng: 70-84đ)",IF(P1639&gt;=61,"Tier B+ / Cấp A (Hot Lead: 61-69đ)",IF(P1639&gt;=50,"Tier B (Bạc: 50-60đ)","Tier C (Đồng: 30-49đ)")))))</f>
        <v/>
      </c>
      <c r="R1639" s="6" t="inlineStr">
        <is>
          <t>Trọn gói Take-Home Starter Kit V2/V3 (Cỏ nhân tạo + Khay Potty + Đồ chơi Teething/Snuggle)</t>
        </is>
      </c>
      <c r="S1639" s="6" t="inlineStr">
        <is>
          <t>Đóng băng tương tác (&gt;30 ngày): Lưu trữ chờ kích hoạt lại, không tốn tài nguyên Sales</t>
        </is>
      </c>
    </row>
    <row r="1640">
      <c r="A1640" s="59" t="n">
        <v>1881</v>
      </c>
      <c r="B1640" s="15" t="inlineStr">
        <is>
          <t>Kennel Draugas</t>
        </is>
      </c>
      <c r="C1640" s="60" t="inlineStr">
        <is>
          <t>https://www.facebook.com/kvietukas</t>
        </is>
      </c>
      <c r="D1640" s="9" t="inlineStr">
        <is>
          <t>Cần quét Bio Fanpage</t>
        </is>
      </c>
      <c r="E1640" s="59" t="inlineStr">
        <is>
          <t>Không tìm thấy bài viết</t>
        </is>
      </c>
      <c r="F1640" s="59" t="inlineStr">
        <is>
          <t>Không có bài</t>
        </is>
      </c>
      <c r="G1640" s="61" t="n">
        <v>999</v>
      </c>
      <c r="H1640" s="62" t="n">
        <v>0</v>
      </c>
      <c r="I1640" s="9" t="inlineStr">
        <is>
          <t>Dog Breeder / Trại chó chuyên nghiệp (28-30đ)</t>
        </is>
      </c>
      <c r="J1640" s="62" t="n">
        <v>30</v>
      </c>
      <c r="K1640" s="9" t="inlineStr">
        <is>
          <t>Chưa rõ giống (Cần quét Bio)</t>
        </is>
      </c>
      <c r="L1640" s="62" t="n">
        <v>0</v>
      </c>
      <c r="M1640" s="62" t="n">
        <v>5</v>
      </c>
      <c r="N1640" s="9" t="inlineStr">
        <is>
          <t>Amazon link not found</t>
        </is>
      </c>
      <c r="O1640" s="62">
        <f>IF(N1640="Selling pet toys + Artificial grass/Pet toilets (TARGET)",15,IF(N1640="Selling artificial grass/pet toilets (TARGET)",10,IF(N1640="Selling pet toys",7,IF(N1640="There's an Amazon link, but no target sales.",3,0))))</f>
        <v/>
      </c>
      <c r="P1640" s="67">
        <f>H1640+J1640+L1640+M1640+O1640</f>
        <v/>
      </c>
      <c r="Q1640" s="68">
        <f>IF(OR(H1640=0,P1640&lt;30),"Tier D (Đóng băng)",IF(P1640&gt;=85,"Tier S (Kim Cương: 85-100đ)",IF(P1640&gt;=70,"Tier A (Vàng: 70-84đ)",IF(P1640&gt;=61,"Tier B+ / Cấp A (Hot Lead: 61-69đ)",IF(P1640&gt;=50,"Tier B (Bạc: 50-60đ)","Tier C (Đồng: 30-49đ)")))))</f>
        <v/>
      </c>
      <c r="R1640" s="9" t="inlineStr">
        <is>
          <t>Trọn gói Take-Home Starter Kit V2/V3 (Cỏ nhân tạo + Khay Potty + Đồ chơi Teething/Snuggle)</t>
        </is>
      </c>
      <c r="S1640" s="9" t="inlineStr">
        <is>
          <t>Đóng băng tương tác (&gt;30 ngày): Lưu trữ chờ kích hoạt lại, không tốn tài nguyên Sales</t>
        </is>
      </c>
    </row>
    <row r="1641">
      <c r="A1641" s="53" t="n">
        <v>2110</v>
      </c>
      <c r="B1641" s="12" t="inlineStr">
        <is>
          <t>Malti &amp; Styx 2021 Puppies</t>
        </is>
      </c>
      <c r="C1641" s="54" t="inlineStr">
        <is>
          <t>https://www.facebook.com/profile.php?id=100078452800598</t>
        </is>
      </c>
      <c r="D1641" s="6" t="inlineStr">
        <is>
          <t>Cần quét Bio Fanpage</t>
        </is>
      </c>
      <c r="E1641" s="53" t="inlineStr">
        <is>
          <t>Không tìm thấy bài viết</t>
        </is>
      </c>
      <c r="F1641" s="53" t="inlineStr">
        <is>
          <t>Không có bài</t>
        </is>
      </c>
      <c r="G1641" s="55" t="n">
        <v>999</v>
      </c>
      <c r="H1641" s="56" t="n">
        <v>0</v>
      </c>
      <c r="I1641" s="6" t="inlineStr">
        <is>
          <t>Dog Breeder / Trại chó chuyên nghiệp (28-30đ)</t>
        </is>
      </c>
      <c r="J1641" s="56" t="n">
        <v>30</v>
      </c>
      <c r="K1641" s="6" t="inlineStr">
        <is>
          <t>Chưa rõ giống (Cần quét Bio)</t>
        </is>
      </c>
      <c r="L1641" s="56" t="n">
        <v>0</v>
      </c>
      <c r="M1641" s="56" t="n">
        <v>5</v>
      </c>
      <c r="N1641" s="6" t="inlineStr">
        <is>
          <t>Amazon link not found</t>
        </is>
      </c>
      <c r="O1641" s="56">
        <f>IF(N1641="Selling pet toys + Artificial grass/Pet toilets (TARGET)",15,IF(N1641="Selling artificial grass/pet toilets (TARGET)",10,IF(N1641="Selling pet toys",7,IF(N1641="There's an Amazon link, but no target sales.",3,0))))</f>
        <v/>
      </c>
      <c r="P1641" s="65">
        <f>H1641+J1641+L1641+M1641+O1641</f>
        <v/>
      </c>
      <c r="Q1641" s="68">
        <f>IF(OR(H1641=0,P1641&lt;30),"Tier D (Đóng băng)",IF(P1641&gt;=85,"Tier S (Kim Cương: 85-100đ)",IF(P1641&gt;=70,"Tier A (Vàng: 70-84đ)",IF(P1641&gt;=61,"Tier B+ / Cấp A (Hot Lead: 61-69đ)",IF(P1641&gt;=50,"Tier B (Bạc: 50-60đ)","Tier C (Đồng: 30-49đ)")))))</f>
        <v/>
      </c>
      <c r="R1641" s="6" t="inlineStr">
        <is>
          <t>Trọn gói Take-Home Starter Kit V2/V3 (Cỏ nhân tạo + Khay Potty + Đồ chơi Teething/Snuggle)</t>
        </is>
      </c>
      <c r="S1641" s="6" t="inlineStr">
        <is>
          <t>Đóng băng tương tác (&gt;30 ngày): Lưu trữ chờ kích hoạt lại, không tốn tài nguyên Sales</t>
        </is>
      </c>
    </row>
    <row r="1642">
      <c r="A1642" s="59" t="n">
        <v>1467</v>
      </c>
      <c r="B1642" s="15" t="inlineStr">
        <is>
          <t>Friends of Scituate Dog Park</t>
        </is>
      </c>
      <c r="C1642" s="60" t="inlineStr">
        <is>
          <t>https://www.facebook.com/scituatedogpark</t>
        </is>
      </c>
      <c r="D1642" s="9" t="inlineStr">
        <is>
          <t>Cần quét Bio Fanpage</t>
        </is>
      </c>
      <c r="E1642" s="59" t="inlineStr">
        <is>
          <t>09/10/2026 03:26:35</t>
        </is>
      </c>
      <c r="F1642" s="59" t="inlineStr">
        <is>
          <t>4 ngày trước</t>
        </is>
      </c>
      <c r="G1642" s="61" t="n">
        <v>4</v>
      </c>
      <c r="H1642" s="62" t="n">
        <v>20</v>
      </c>
      <c r="I1642" s="9" t="inlineStr">
        <is>
          <t>Pet Rescue / Trạm cứu trợ (14-16đ)</t>
        </is>
      </c>
      <c r="J1642" s="62" t="n">
        <v>14</v>
      </c>
      <c r="K1642" s="9" t="inlineStr">
        <is>
          <t>Chưa rõ giống (Cần quét Bio)</t>
        </is>
      </c>
      <c r="L1642" s="62" t="n">
        <v>0</v>
      </c>
      <c r="M1642" s="62" t="n">
        <v>0</v>
      </c>
      <c r="N1642" s="9" t="inlineStr">
        <is>
          <t>Amazon link not found</t>
        </is>
      </c>
      <c r="O1642" s="62">
        <f>IF(N1642="Selling pet toys + Artificial grass/Pet toilets (TARGET)",15,IF(N1642="Selling artificial grass/pet toilets (TARGET)",10,IF(N1642="Selling pet toys",7,IF(N1642="There's an Amazon link, but no target sales.",3,0))))</f>
        <v/>
      </c>
      <c r="P1642" s="67">
        <f>H1642+J1642+L1642+M1642+O1642</f>
        <v/>
      </c>
      <c r="Q1642" s="69">
        <f>IF(OR(H1642=0,P1642&lt;30),"Tier D (Đóng băng)",IF(P1642&gt;=85,"Tier S (Kim Cương: 85-100đ)",IF(P1642&gt;=70,"Tier A (Vàng: 70-84đ)",IF(P1642&gt;=61,"Tier B+ / Cấp A (Hot Lead: 61-69đ)",IF(P1642&gt;=50,"Tier B (Bạc: 50-60đ)","Tier C (Đồng: 30-49đ)")))))</f>
        <v/>
      </c>
      <c r="R1642" s="9" t="inlineStr">
        <is>
          <t>Nhà vệ sinh &amp; Tã lót (Potty Tray / Pee Pads) + Cỏ nhân tạo lót chuồng</t>
        </is>
      </c>
      <c r="S1642" s="9" t="inlineStr">
        <is>
          <t>Cấp C Chi phí thấp: Nhắn tin trực tiếp qua Fanpage Facebook/Instagram + Nuôi dưỡng nội dung</t>
        </is>
      </c>
    </row>
    <row r="1643">
      <c r="A1643" s="53" t="n">
        <v>2412</v>
      </c>
      <c r="B1643" s="12" t="inlineStr">
        <is>
          <t>Paws and Claws Animal Shelter</t>
        </is>
      </c>
      <c r="C1643" s="54" t="inlineStr">
        <is>
          <t>https://www.facebook.com/profile.php?id=100064644551399</t>
        </is>
      </c>
      <c r="D1643" s="6" t="inlineStr">
        <is>
          <t>Cần quét Bio Fanpage</t>
        </is>
      </c>
      <c r="E1643" s="53" t="inlineStr">
        <is>
          <t>09/10/2026 01:55:08</t>
        </is>
      </c>
      <c r="F1643" s="53" t="inlineStr">
        <is>
          <t>4 ngày trước</t>
        </is>
      </c>
      <c r="G1643" s="55" t="n">
        <v>4</v>
      </c>
      <c r="H1643" s="56" t="n">
        <v>20</v>
      </c>
      <c r="I1643" s="6" t="inlineStr">
        <is>
          <t>Pet Rescue / Trạm cứu trợ (14-16đ)</t>
        </is>
      </c>
      <c r="J1643" s="56" t="n">
        <v>14</v>
      </c>
      <c r="K1643" s="6" t="inlineStr">
        <is>
          <t>Chưa rõ giống (Cần quét Bio)</t>
        </is>
      </c>
      <c r="L1643" s="56" t="n">
        <v>0</v>
      </c>
      <c r="M1643" s="56" t="n">
        <v>0</v>
      </c>
      <c r="N1643" s="6" t="inlineStr">
        <is>
          <t>Amazon link not found</t>
        </is>
      </c>
      <c r="O1643" s="56">
        <f>IF(N1643="Selling pet toys + Artificial grass/Pet toilets (TARGET)",15,IF(N1643="Selling artificial grass/pet toilets (TARGET)",10,IF(N1643="Selling pet toys",7,IF(N1643="There's an Amazon link, but no target sales.",3,0))))</f>
        <v/>
      </c>
      <c r="P1643" s="65">
        <f>H1643+J1643+L1643+M1643+O1643</f>
        <v/>
      </c>
      <c r="Q1643" s="69">
        <f>IF(OR(H1643=0,P1643&lt;30),"Tier D (Đóng băng)",IF(P1643&gt;=85,"Tier S (Kim Cương: 85-100đ)",IF(P1643&gt;=70,"Tier A (Vàng: 70-84đ)",IF(P1643&gt;=61,"Tier B+ / Cấp A (Hot Lead: 61-69đ)",IF(P1643&gt;=50,"Tier B (Bạc: 50-60đ)","Tier C (Đồng: 30-49đ)")))))</f>
        <v/>
      </c>
      <c r="R1643" s="6" t="inlineStr">
        <is>
          <t>Nhà vệ sinh &amp; Tã lót (Potty Tray / Pee Pads) + Cỏ nhân tạo lót chuồng</t>
        </is>
      </c>
      <c r="S1643" s="6" t="inlineStr">
        <is>
          <t>Cấp C Chi phí thấp: Nhắn tin trực tiếp qua Fanpage Facebook/Instagram + Nuôi dưỡng nội dung</t>
        </is>
      </c>
    </row>
    <row r="1644">
      <c r="A1644" s="59" t="n">
        <v>2926</v>
      </c>
      <c r="B1644" s="15" t="inlineStr">
        <is>
          <t>Snyder Solutions Animal Rescue &amp; Conservation Group</t>
        </is>
      </c>
      <c r="C1644" s="60" t="inlineStr">
        <is>
          <t>https://www.facebook.com/profile.php?id=100080126600145</t>
        </is>
      </c>
      <c r="D1644" s="9" t="inlineStr">
        <is>
          <t>Cần quét Bio Fanpage</t>
        </is>
      </c>
      <c r="E1644" s="59" t="inlineStr">
        <is>
          <t>08/10/2026 23:12:35</t>
        </is>
      </c>
      <c r="F1644" s="59" t="inlineStr">
        <is>
          <t>4 ngày trước</t>
        </is>
      </c>
      <c r="G1644" s="61" t="n">
        <v>4</v>
      </c>
      <c r="H1644" s="62" t="n">
        <v>20</v>
      </c>
      <c r="I1644" s="9" t="inlineStr">
        <is>
          <t>Pet Rescue / Trạm cứu trợ (14-16đ)</t>
        </is>
      </c>
      <c r="J1644" s="62" t="n">
        <v>14</v>
      </c>
      <c r="K1644" s="9" t="inlineStr">
        <is>
          <t>Chưa rõ giống (Cần quét Bio)</t>
        </is>
      </c>
      <c r="L1644" s="62" t="n">
        <v>0</v>
      </c>
      <c r="M1644" s="62" t="n">
        <v>0</v>
      </c>
      <c r="N1644" s="9" t="inlineStr">
        <is>
          <t>Amazon link not found</t>
        </is>
      </c>
      <c r="O1644" s="62">
        <f>IF(N1644="Selling pet toys + Artificial grass/Pet toilets (TARGET)",15,IF(N1644="Selling artificial grass/pet toilets (TARGET)",10,IF(N1644="Selling pet toys",7,IF(N1644="There's an Amazon link, but no target sales.",3,0))))</f>
        <v/>
      </c>
      <c r="P1644" s="67">
        <f>H1644+J1644+L1644+M1644+O1644</f>
        <v/>
      </c>
      <c r="Q1644" s="69">
        <f>IF(OR(H1644=0,P1644&lt;30),"Tier D (Đóng băng)",IF(P1644&gt;=85,"Tier S (Kim Cương: 85-100đ)",IF(P1644&gt;=70,"Tier A (Vàng: 70-84đ)",IF(P1644&gt;=61,"Tier B+ / Cấp A (Hot Lead: 61-69đ)",IF(P1644&gt;=50,"Tier B (Bạc: 50-60đ)","Tier C (Đồng: 30-49đ)")))))</f>
        <v/>
      </c>
      <c r="R1644" s="9" t="inlineStr">
        <is>
          <t>Nhà vệ sinh &amp; Tã lót (Potty Tray / Pee Pads) + Cỏ nhân tạo lót chuồng</t>
        </is>
      </c>
      <c r="S1644" s="9" t="inlineStr">
        <is>
          <t>Cấp C Chi phí thấp: Nhắn tin trực tiếp qua Fanpage Facebook/Instagram + Nuôi dưỡng nội dung</t>
        </is>
      </c>
    </row>
    <row r="1645">
      <c r="A1645" s="53" t="n">
        <v>2580</v>
      </c>
      <c r="B1645" s="12" t="inlineStr">
        <is>
          <t>Pippa the rescue chi</t>
        </is>
      </c>
      <c r="C1645" s="54" t="inlineStr">
        <is>
          <t>https://www.facebook.com/profile.php?id=61567618980112</t>
        </is>
      </c>
      <c r="D1645" s="6" t="inlineStr">
        <is>
          <t>Cần quét Bio Fanpage</t>
        </is>
      </c>
      <c r="E1645" s="53" t="inlineStr">
        <is>
          <t>08/10/2026 19:42:06</t>
        </is>
      </c>
      <c r="F1645" s="53" t="inlineStr">
        <is>
          <t>4 ngày trước</t>
        </is>
      </c>
      <c r="G1645" s="55" t="n">
        <v>4</v>
      </c>
      <c r="H1645" s="56" t="n">
        <v>20</v>
      </c>
      <c r="I1645" s="6" t="inlineStr">
        <is>
          <t>Pet Rescue / Trạm cứu trợ (14-16đ)</t>
        </is>
      </c>
      <c r="J1645" s="56" t="n">
        <v>14</v>
      </c>
      <c r="K1645" s="6" t="inlineStr">
        <is>
          <t>Chưa rõ giống (Cần quét Bio)</t>
        </is>
      </c>
      <c r="L1645" s="56" t="n">
        <v>0</v>
      </c>
      <c r="M1645" s="56" t="n">
        <v>0</v>
      </c>
      <c r="N1645" s="6" t="inlineStr">
        <is>
          <t>Amazon link not found</t>
        </is>
      </c>
      <c r="O1645" s="56">
        <f>IF(N1645="Selling pet toys + Artificial grass/Pet toilets (TARGET)",15,IF(N1645="Selling artificial grass/pet toilets (TARGET)",10,IF(N1645="Selling pet toys",7,IF(N1645="There's an Amazon link, but no target sales.",3,0))))</f>
        <v/>
      </c>
      <c r="P1645" s="65">
        <f>H1645+J1645+L1645+M1645+O1645</f>
        <v/>
      </c>
      <c r="Q1645" s="69">
        <f>IF(OR(H1645=0,P1645&lt;30),"Tier D (Đóng băng)",IF(P1645&gt;=85,"Tier S (Kim Cương: 85-100đ)",IF(P1645&gt;=70,"Tier A (Vàng: 70-84đ)",IF(P1645&gt;=61,"Tier B+ / Cấp A (Hot Lead: 61-69đ)",IF(P1645&gt;=50,"Tier B (Bạc: 50-60đ)","Tier C (Đồng: 30-49đ)")))))</f>
        <v/>
      </c>
      <c r="R1645" s="6" t="inlineStr">
        <is>
          <t>Nhà vệ sinh &amp; Tã lót (Potty Tray / Pee Pads) + Cỏ nhân tạo lót chuồng</t>
        </is>
      </c>
      <c r="S1645" s="6" t="inlineStr">
        <is>
          <t>Cấp C Chi phí thấp: Nhắn tin trực tiếp qua Fanpage Facebook/Instagram + Nuôi dưỡng nội dung</t>
        </is>
      </c>
    </row>
    <row r="1646">
      <c r="A1646" s="59" t="n">
        <v>2574</v>
      </c>
      <c r="B1646" s="15" t="inlineStr">
        <is>
          <t>Pilots To The Rescue</t>
        </is>
      </c>
      <c r="C1646" s="60" t="inlineStr">
        <is>
          <t>https://www.facebook.com/pilotstotherescue</t>
        </is>
      </c>
      <c r="D1646" s="9" t="inlineStr">
        <is>
          <t>Cần quét Bio Fanpage</t>
        </is>
      </c>
      <c r="E1646" s="59" t="inlineStr">
        <is>
          <t>08/10/2026 06:27:14</t>
        </is>
      </c>
      <c r="F1646" s="59" t="inlineStr">
        <is>
          <t>4 ngày trước</t>
        </is>
      </c>
      <c r="G1646" s="61" t="n">
        <v>4</v>
      </c>
      <c r="H1646" s="62" t="n">
        <v>20</v>
      </c>
      <c r="I1646" s="9" t="inlineStr">
        <is>
          <t>Pet Rescue / Trạm cứu trợ (14-16đ)</t>
        </is>
      </c>
      <c r="J1646" s="62" t="n">
        <v>14</v>
      </c>
      <c r="K1646" s="9" t="inlineStr">
        <is>
          <t>Chưa rõ giống (Cần quét Bio)</t>
        </is>
      </c>
      <c r="L1646" s="62" t="n">
        <v>0</v>
      </c>
      <c r="M1646" s="62" t="n">
        <v>0</v>
      </c>
      <c r="N1646" s="9" t="inlineStr">
        <is>
          <t>Amazon link not found</t>
        </is>
      </c>
      <c r="O1646" s="62">
        <f>IF(N1646="Selling pet toys + Artificial grass/Pet toilets (TARGET)",15,IF(N1646="Selling artificial grass/pet toilets (TARGET)",10,IF(N1646="Selling pet toys",7,IF(N1646="There's an Amazon link, but no target sales.",3,0))))</f>
        <v/>
      </c>
      <c r="P1646" s="67">
        <f>H1646+J1646+L1646+M1646+O1646</f>
        <v/>
      </c>
      <c r="Q1646" s="69">
        <f>IF(OR(H1646=0,P1646&lt;30),"Tier D (Đóng băng)",IF(P1646&gt;=85,"Tier S (Kim Cương: 85-100đ)",IF(P1646&gt;=70,"Tier A (Vàng: 70-84đ)",IF(P1646&gt;=61,"Tier B+ / Cấp A (Hot Lead: 61-69đ)",IF(P1646&gt;=50,"Tier B (Bạc: 50-60đ)","Tier C (Đồng: 30-49đ)")))))</f>
        <v/>
      </c>
      <c r="R1646" s="9" t="inlineStr">
        <is>
          <t>Nhà vệ sinh &amp; Tã lót (Potty Tray / Pee Pads) + Cỏ nhân tạo lót chuồng</t>
        </is>
      </c>
      <c r="S1646" s="9" t="inlineStr">
        <is>
          <t>Cấp C Chi phí thấp: Nhắn tin trực tiếp qua Fanpage Facebook/Instagram + Nuôi dưỡng nội dung</t>
        </is>
      </c>
    </row>
    <row r="1647">
      <c r="A1647" s="53" t="n">
        <v>1585</v>
      </c>
      <c r="B1647" s="12" t="inlineStr">
        <is>
          <t>Gus The Rescue</t>
        </is>
      </c>
      <c r="C1647" s="54" t="inlineStr">
        <is>
          <t>https://www.facebook.com/profile.php?id=61594746661288</t>
        </is>
      </c>
      <c r="D1647" s="6" t="inlineStr">
        <is>
          <t>Cần quét Bio Fanpage</t>
        </is>
      </c>
      <c r="E1647" s="53" t="inlineStr">
        <is>
          <t>07/10/2026 08:41:14</t>
        </is>
      </c>
      <c r="F1647" s="53" t="inlineStr">
        <is>
          <t>5 ngày trước</t>
        </is>
      </c>
      <c r="G1647" s="55" t="n">
        <v>5</v>
      </c>
      <c r="H1647" s="56" t="n">
        <v>20</v>
      </c>
      <c r="I1647" s="6" t="inlineStr">
        <is>
          <t>Pet Rescue / Trạm cứu trợ (14-16đ)</t>
        </is>
      </c>
      <c r="J1647" s="56" t="n">
        <v>14</v>
      </c>
      <c r="K1647" s="6" t="inlineStr">
        <is>
          <t>Chưa rõ giống (Cần quét Bio)</t>
        </is>
      </c>
      <c r="L1647" s="56" t="n">
        <v>0</v>
      </c>
      <c r="M1647" s="56" t="n">
        <v>0</v>
      </c>
      <c r="N1647" s="6" t="inlineStr">
        <is>
          <t>Amazon link not found</t>
        </is>
      </c>
      <c r="O1647" s="56">
        <f>IF(N1647="Selling pet toys + Artificial grass/Pet toilets (TARGET)",15,IF(N1647="Selling artificial grass/pet toilets (TARGET)",10,IF(N1647="Selling pet toys",7,IF(N1647="There's an Amazon link, but no target sales.",3,0))))</f>
        <v/>
      </c>
      <c r="P1647" s="65">
        <f>H1647+J1647+L1647+M1647+O1647</f>
        <v/>
      </c>
      <c r="Q1647" s="69">
        <f>IF(OR(H1647=0,P1647&lt;30),"Tier D (Đóng băng)",IF(P1647&gt;=85,"Tier S (Kim Cương: 85-100đ)",IF(P1647&gt;=70,"Tier A (Vàng: 70-84đ)",IF(P1647&gt;=61,"Tier B+ / Cấp A (Hot Lead: 61-69đ)",IF(P1647&gt;=50,"Tier B (Bạc: 50-60đ)","Tier C (Đồng: 30-49đ)")))))</f>
        <v/>
      </c>
      <c r="R1647" s="6" t="inlineStr">
        <is>
          <t>Nhà vệ sinh &amp; Tã lót (Potty Tray / Pee Pads) + Cỏ nhân tạo lót chuồng</t>
        </is>
      </c>
      <c r="S1647" s="6" t="inlineStr">
        <is>
          <t>Cấp C Chi phí thấp: Nhắn tin trực tiếp qua Fanpage Facebook/Instagram + Nuôi dưỡng nội dung</t>
        </is>
      </c>
    </row>
    <row r="1648">
      <c r="A1648" s="59" t="n">
        <v>1005</v>
      </c>
      <c r="B1648" s="15" t="inlineStr">
        <is>
          <t>Darwin’s Dream Dog Rescue</t>
        </is>
      </c>
      <c r="C1648" s="60" t="inlineStr">
        <is>
          <t>https://www.facebook.com/profile.php?id=61577753970399</t>
        </is>
      </c>
      <c r="D1648" s="9" t="inlineStr">
        <is>
          <t>Cần quét Bio Fanpage</t>
        </is>
      </c>
      <c r="E1648" s="59" t="inlineStr">
        <is>
          <t>06/10/2026 22:42:00</t>
        </is>
      </c>
      <c r="F1648" s="59" t="inlineStr">
        <is>
          <t>6 ngày trước</t>
        </is>
      </c>
      <c r="G1648" s="61" t="n">
        <v>6</v>
      </c>
      <c r="H1648" s="62" t="n">
        <v>20</v>
      </c>
      <c r="I1648" s="9" t="inlineStr">
        <is>
          <t>Pet Rescue / Trạm cứu trợ (14-16đ)</t>
        </is>
      </c>
      <c r="J1648" s="62" t="n">
        <v>14</v>
      </c>
      <c r="K1648" s="9" t="inlineStr">
        <is>
          <t>Chưa rõ giống (Cần quét Bio)</t>
        </is>
      </c>
      <c r="L1648" s="62" t="n">
        <v>0</v>
      </c>
      <c r="M1648" s="62" t="n">
        <v>0</v>
      </c>
      <c r="N1648" s="9" t="inlineStr">
        <is>
          <t>Amazon link not found</t>
        </is>
      </c>
      <c r="O1648" s="62">
        <f>IF(N1648="Selling pet toys + Artificial grass/Pet toilets (TARGET)",15,IF(N1648="Selling artificial grass/pet toilets (TARGET)",10,IF(N1648="Selling pet toys",7,IF(N1648="There's an Amazon link, but no target sales.",3,0))))</f>
        <v/>
      </c>
      <c r="P1648" s="67">
        <f>H1648+J1648+L1648+M1648+O1648</f>
        <v/>
      </c>
      <c r="Q1648" s="69">
        <f>IF(OR(H1648=0,P1648&lt;30),"Tier D (Đóng băng)",IF(P1648&gt;=85,"Tier S (Kim Cương: 85-100đ)",IF(P1648&gt;=70,"Tier A (Vàng: 70-84đ)",IF(P1648&gt;=61,"Tier B+ / Cấp A (Hot Lead: 61-69đ)",IF(P1648&gt;=50,"Tier B (Bạc: 50-60đ)","Tier C (Đồng: 30-49đ)")))))</f>
        <v/>
      </c>
      <c r="R1648" s="9" t="inlineStr">
        <is>
          <t>Nhà vệ sinh &amp; Tã lót (Potty Tray / Pee Pads) + Cỏ nhân tạo lót chuồng</t>
        </is>
      </c>
      <c r="S1648" s="9" t="inlineStr">
        <is>
          <t>Cấp C Chi phí thấp: Nhắn tin trực tiếp qua Fanpage Facebook/Instagram + Nuôi dưỡng nội dung</t>
        </is>
      </c>
    </row>
    <row r="1649">
      <c r="A1649" s="53" t="n">
        <v>2704</v>
      </c>
      <c r="B1649" s="12" t="inlineStr">
        <is>
          <t>REBEL Dog Rescue</t>
        </is>
      </c>
      <c r="C1649" s="54" t="inlineStr">
        <is>
          <t>https://www.facebook.com/rebeldogrescue</t>
        </is>
      </c>
      <c r="D1649" s="6" t="inlineStr">
        <is>
          <t>Cần quét Bio Fanpage</t>
        </is>
      </c>
      <c r="E1649" s="53" t="inlineStr">
        <is>
          <t>06/10/2026 07:43:54</t>
        </is>
      </c>
      <c r="F1649" s="53" t="inlineStr">
        <is>
          <t>6 ngày trước</t>
        </is>
      </c>
      <c r="G1649" s="55" t="n">
        <v>6</v>
      </c>
      <c r="H1649" s="56" t="n">
        <v>20</v>
      </c>
      <c r="I1649" s="6" t="inlineStr">
        <is>
          <t>Pet Rescue / Trạm cứu trợ (14-16đ)</t>
        </is>
      </c>
      <c r="J1649" s="56" t="n">
        <v>14</v>
      </c>
      <c r="K1649" s="6" t="inlineStr">
        <is>
          <t>Chưa rõ giống (Cần quét Bio)</t>
        </is>
      </c>
      <c r="L1649" s="56" t="n">
        <v>0</v>
      </c>
      <c r="M1649" s="56" t="n">
        <v>0</v>
      </c>
      <c r="N1649" s="6" t="inlineStr">
        <is>
          <t>Amazon link not found</t>
        </is>
      </c>
      <c r="O1649" s="56">
        <f>IF(N1649="Selling pet toys + Artificial grass/Pet toilets (TARGET)",15,IF(N1649="Selling artificial grass/pet toilets (TARGET)",10,IF(N1649="Selling pet toys",7,IF(N1649="There's an Amazon link, but no target sales.",3,0))))</f>
        <v/>
      </c>
      <c r="P1649" s="65">
        <f>H1649+J1649+L1649+M1649+O1649</f>
        <v/>
      </c>
      <c r="Q1649" s="69">
        <f>IF(OR(H1649=0,P1649&lt;30),"Tier D (Đóng băng)",IF(P1649&gt;=85,"Tier S (Kim Cương: 85-100đ)",IF(P1649&gt;=70,"Tier A (Vàng: 70-84đ)",IF(P1649&gt;=61,"Tier B+ / Cấp A (Hot Lead: 61-69đ)",IF(P1649&gt;=50,"Tier B (Bạc: 50-60đ)","Tier C (Đồng: 30-49đ)")))))</f>
        <v/>
      </c>
      <c r="R1649" s="6" t="inlineStr">
        <is>
          <t>Nhà vệ sinh &amp; Tã lót (Potty Tray / Pee Pads) + Cỏ nhân tạo lót chuồng</t>
        </is>
      </c>
      <c r="S1649" s="6" t="inlineStr">
        <is>
          <t>Cấp C Chi phí thấp: Nhắn tin trực tiếp qua Fanpage Facebook/Instagram + Nuôi dưỡng nội dung</t>
        </is>
      </c>
    </row>
    <row r="1650">
      <c r="A1650" s="59" t="n">
        <v>1168</v>
      </c>
      <c r="B1650" s="15" t="inlineStr">
        <is>
          <t>Dogs for adoption - Christchurch City Council</t>
        </is>
      </c>
      <c r="C1650" s="60" t="inlineStr">
        <is>
          <t>https://www.facebook.com/dogsforadoptionchristchurchcitycouncil</t>
        </is>
      </c>
      <c r="D1650" s="9" t="inlineStr">
        <is>
          <t>Cần quét Bio Fanpage</t>
        </is>
      </c>
      <c r="E1650" s="59" t="inlineStr">
        <is>
          <t>06/10/2026 01:13:39</t>
        </is>
      </c>
      <c r="F1650" s="59" t="inlineStr">
        <is>
          <t>1 tuần trước</t>
        </is>
      </c>
      <c r="G1650" s="61" t="n">
        <v>7</v>
      </c>
      <c r="H1650" s="62" t="n">
        <v>20</v>
      </c>
      <c r="I1650" s="9" t="inlineStr">
        <is>
          <t>Pet Rescue / Trạm cứu trợ (14-16đ)</t>
        </is>
      </c>
      <c r="J1650" s="62" t="n">
        <v>14</v>
      </c>
      <c r="K1650" s="9" t="inlineStr">
        <is>
          <t>Chưa rõ giống (Cần quét Bio)</t>
        </is>
      </c>
      <c r="L1650" s="62" t="n">
        <v>0</v>
      </c>
      <c r="M1650" s="62" t="n">
        <v>0</v>
      </c>
      <c r="N1650" s="9" t="inlineStr">
        <is>
          <t>Amazon link not found</t>
        </is>
      </c>
      <c r="O1650" s="62">
        <f>IF(N1650="Selling pet toys + Artificial grass/Pet toilets (TARGET)",15,IF(N1650="Selling artificial grass/pet toilets (TARGET)",10,IF(N1650="Selling pet toys",7,IF(N1650="There's an Amazon link, but no target sales.",3,0))))</f>
        <v/>
      </c>
      <c r="P1650" s="67">
        <f>H1650+J1650+L1650+M1650+O1650</f>
        <v/>
      </c>
      <c r="Q1650" s="69">
        <f>IF(OR(H1650=0,P1650&lt;30),"Tier D (Đóng băng)",IF(P1650&gt;=85,"Tier S (Kim Cương: 85-100đ)",IF(P1650&gt;=70,"Tier A (Vàng: 70-84đ)",IF(P1650&gt;=61,"Tier B+ / Cấp A (Hot Lead: 61-69đ)",IF(P1650&gt;=50,"Tier B (Bạc: 50-60đ)","Tier C (Đồng: 30-49đ)")))))</f>
        <v/>
      </c>
      <c r="R1650" s="9" t="inlineStr">
        <is>
          <t>Nhà vệ sinh &amp; Tã lót (Potty Tray / Pee Pads) + Cỏ nhân tạo lót chuồng</t>
        </is>
      </c>
      <c r="S1650" s="9" t="inlineStr">
        <is>
          <t>Cấp C Chi phí thấp: Nhắn tin trực tiếp qua Fanpage Facebook/Instagram + Nuôi dưỡng nội dung</t>
        </is>
      </c>
    </row>
    <row r="1651">
      <c r="A1651" s="53" t="n">
        <v>3329</v>
      </c>
      <c r="B1651" s="12" t="inlineStr">
        <is>
          <t>Virginia Search and Rescue Dog Association</t>
        </is>
      </c>
      <c r="C1651" s="54" t="inlineStr">
        <is>
          <t>https://www.facebook.com/VSRDA</t>
        </is>
      </c>
      <c r="D1651" s="6" t="inlineStr">
        <is>
          <t>Cần quét Bio Fanpage</t>
        </is>
      </c>
      <c r="E1651" s="53" t="inlineStr">
        <is>
          <t>06/10/2026 00:04:50</t>
        </is>
      </c>
      <c r="F1651" s="53" t="inlineStr">
        <is>
          <t>1 tuần trước</t>
        </is>
      </c>
      <c r="G1651" s="55" t="n">
        <v>7</v>
      </c>
      <c r="H1651" s="56" t="n">
        <v>20</v>
      </c>
      <c r="I1651" s="6" t="inlineStr">
        <is>
          <t>Pet Rescue / Trạm cứu trợ (14-16đ)</t>
        </is>
      </c>
      <c r="J1651" s="56" t="n">
        <v>14</v>
      </c>
      <c r="K1651" s="6" t="inlineStr">
        <is>
          <t>Chưa rõ giống (Cần quét Bio)</t>
        </is>
      </c>
      <c r="L1651" s="56" t="n">
        <v>0</v>
      </c>
      <c r="M1651" s="56" t="n">
        <v>0</v>
      </c>
      <c r="N1651" s="6" t="inlineStr">
        <is>
          <t>Amazon link not found</t>
        </is>
      </c>
      <c r="O1651" s="56">
        <f>IF(N1651="Selling pet toys + Artificial grass/Pet toilets (TARGET)",15,IF(N1651="Selling artificial grass/pet toilets (TARGET)",10,IF(N1651="Selling pet toys",7,IF(N1651="There's an Amazon link, but no target sales.",3,0))))</f>
        <v/>
      </c>
      <c r="P1651" s="65">
        <f>H1651+J1651+L1651+M1651+O1651</f>
        <v/>
      </c>
      <c r="Q1651" s="69">
        <f>IF(OR(H1651=0,P1651&lt;30),"Tier D (Đóng băng)",IF(P1651&gt;=85,"Tier S (Kim Cương: 85-100đ)",IF(P1651&gt;=70,"Tier A (Vàng: 70-84đ)",IF(P1651&gt;=61,"Tier B+ / Cấp A (Hot Lead: 61-69đ)",IF(P1651&gt;=50,"Tier B (Bạc: 50-60đ)","Tier C (Đồng: 30-49đ)")))))</f>
        <v/>
      </c>
      <c r="R1651" s="6" t="inlineStr">
        <is>
          <t>Nhà vệ sinh &amp; Tã lót (Potty Tray / Pee Pads) + Cỏ nhân tạo lót chuồng</t>
        </is>
      </c>
      <c r="S1651" s="6" t="inlineStr">
        <is>
          <t>Cấp C Chi phí thấp: Nhắn tin trực tiếp qua Fanpage Facebook/Instagram + Nuôi dưỡng nội dung</t>
        </is>
      </c>
    </row>
    <row r="1652">
      <c r="A1652" s="59" t="n">
        <v>3323</v>
      </c>
      <c r="B1652" s="15" t="inlineStr">
        <is>
          <t>Vida Dog Rescue - Rescate Animal</t>
        </is>
      </c>
      <c r="C1652" s="60" t="inlineStr">
        <is>
          <t>https://www.facebook.com/VidaDogRescue</t>
        </is>
      </c>
      <c r="D1652" s="9" t="inlineStr">
        <is>
          <t>Cần quét Bio Fanpage</t>
        </is>
      </c>
      <c r="E1652" s="59" t="inlineStr">
        <is>
          <t>05/10/2026 23:05:49</t>
        </is>
      </c>
      <c r="F1652" s="59" t="inlineStr">
        <is>
          <t>1 tuần trước</t>
        </is>
      </c>
      <c r="G1652" s="61" t="n">
        <v>7</v>
      </c>
      <c r="H1652" s="62" t="n">
        <v>20</v>
      </c>
      <c r="I1652" s="9" t="inlineStr">
        <is>
          <t>Pet Rescue / Trạm cứu trợ (14-16đ)</t>
        </is>
      </c>
      <c r="J1652" s="62" t="n">
        <v>14</v>
      </c>
      <c r="K1652" s="9" t="inlineStr">
        <is>
          <t>Chưa rõ giống (Cần quét Bio)</t>
        </is>
      </c>
      <c r="L1652" s="62" t="n">
        <v>0</v>
      </c>
      <c r="M1652" s="62" t="n">
        <v>0</v>
      </c>
      <c r="N1652" s="9" t="inlineStr">
        <is>
          <t>Amazon link not found</t>
        </is>
      </c>
      <c r="O1652" s="62">
        <f>IF(N1652="Selling pet toys + Artificial grass/Pet toilets (TARGET)",15,IF(N1652="Selling artificial grass/pet toilets (TARGET)",10,IF(N1652="Selling pet toys",7,IF(N1652="There's an Amazon link, but no target sales.",3,0))))</f>
        <v/>
      </c>
      <c r="P1652" s="67">
        <f>H1652+J1652+L1652+M1652+O1652</f>
        <v/>
      </c>
      <c r="Q1652" s="69">
        <f>IF(OR(H1652=0,P1652&lt;30),"Tier D (Đóng băng)",IF(P1652&gt;=85,"Tier S (Kim Cương: 85-100đ)",IF(P1652&gt;=70,"Tier A (Vàng: 70-84đ)",IF(P1652&gt;=61,"Tier B+ / Cấp A (Hot Lead: 61-69đ)",IF(P1652&gt;=50,"Tier B (Bạc: 50-60đ)","Tier C (Đồng: 30-49đ)")))))</f>
        <v/>
      </c>
      <c r="R1652" s="9" t="inlineStr">
        <is>
          <t>Nhà vệ sinh &amp; Tã lót (Potty Tray / Pee Pads) + Cỏ nhân tạo lót chuồng</t>
        </is>
      </c>
      <c r="S1652" s="9" t="inlineStr">
        <is>
          <t>Cấp C Chi phí thấp: Nhắn tin trực tiếp qua Fanpage Facebook/Instagram + Nuôi dưỡng nội dung</t>
        </is>
      </c>
    </row>
    <row r="1653">
      <c r="A1653" s="53" t="n">
        <v>2303</v>
      </c>
      <c r="B1653" s="12" t="inlineStr">
        <is>
          <t>Noah’s Ark Animal Haven and Rescue</t>
        </is>
      </c>
      <c r="C1653" s="54" t="inlineStr">
        <is>
          <t>https://www.facebook.com/noahsarkanimalhavenandrescue</t>
        </is>
      </c>
      <c r="D1653" s="6" t="inlineStr">
        <is>
          <t>Cần quét Bio Fanpage</t>
        </is>
      </c>
      <c r="E1653" s="53" t="inlineStr">
        <is>
          <t>04/10/2026 04:24:44</t>
        </is>
      </c>
      <c r="F1653" s="53" t="inlineStr">
        <is>
          <t>1 tuần trước</t>
        </is>
      </c>
      <c r="G1653" s="55" t="n">
        <v>7</v>
      </c>
      <c r="H1653" s="56" t="n">
        <v>20</v>
      </c>
      <c r="I1653" s="6" t="inlineStr">
        <is>
          <t>Pet Rescue / Trạm cứu trợ (14-16đ)</t>
        </is>
      </c>
      <c r="J1653" s="56" t="n">
        <v>14</v>
      </c>
      <c r="K1653" s="6" t="inlineStr">
        <is>
          <t>Chưa rõ giống (Cần quét Bio)</t>
        </is>
      </c>
      <c r="L1653" s="56" t="n">
        <v>0</v>
      </c>
      <c r="M1653" s="56" t="n">
        <v>0</v>
      </c>
      <c r="N1653" s="6" t="inlineStr">
        <is>
          <t>Amazon link not found</t>
        </is>
      </c>
      <c r="O1653" s="56">
        <f>IF(N1653="Selling pet toys + Artificial grass/Pet toilets (TARGET)",15,IF(N1653="Selling artificial grass/pet toilets (TARGET)",10,IF(N1653="Selling pet toys",7,IF(N1653="There's an Amazon link, but no target sales.",3,0))))</f>
        <v/>
      </c>
      <c r="P1653" s="65">
        <f>H1653+J1653+L1653+M1653+O1653</f>
        <v/>
      </c>
      <c r="Q1653" s="69">
        <f>IF(OR(H1653=0,P1653&lt;30),"Tier D (Đóng băng)",IF(P1653&gt;=85,"Tier S (Kim Cương: 85-100đ)",IF(P1653&gt;=70,"Tier A (Vàng: 70-84đ)",IF(P1653&gt;=61,"Tier B+ / Cấp A (Hot Lead: 61-69đ)",IF(P1653&gt;=50,"Tier B (Bạc: 50-60đ)","Tier C (Đồng: 30-49đ)")))))</f>
        <v/>
      </c>
      <c r="R1653" s="6" t="inlineStr">
        <is>
          <t>Nhà vệ sinh &amp; Tã lót (Potty Tray / Pee Pads) + Cỏ nhân tạo lót chuồng</t>
        </is>
      </c>
      <c r="S1653" s="6" t="inlineStr">
        <is>
          <t>Cấp C Chi phí thấp: Nhắn tin trực tiếp qua Fanpage Facebook/Instagram + Nuôi dưỡng nội dung</t>
        </is>
      </c>
    </row>
    <row r="1654">
      <c r="A1654" s="59" t="n">
        <v>3444</v>
      </c>
      <c r="B1654" s="15" t="inlineStr">
        <is>
          <t>Woof Den Rescue</t>
        </is>
      </c>
      <c r="C1654" s="60" t="inlineStr">
        <is>
          <t>https://www.facebook.com/woofdenrescue</t>
        </is>
      </c>
      <c r="D1654" s="9" t="inlineStr">
        <is>
          <t>Cần quét Bio Fanpage</t>
        </is>
      </c>
      <c r="E1654" s="59" t="inlineStr">
        <is>
          <t>04/10/2026 03:10:25</t>
        </is>
      </c>
      <c r="F1654" s="59" t="inlineStr">
        <is>
          <t>1 tuần trước</t>
        </is>
      </c>
      <c r="G1654" s="61" t="n">
        <v>7</v>
      </c>
      <c r="H1654" s="62" t="n">
        <v>20</v>
      </c>
      <c r="I1654" s="9" t="inlineStr">
        <is>
          <t>Pet Rescue / Trạm cứu trợ (14-16đ)</t>
        </is>
      </c>
      <c r="J1654" s="62" t="n">
        <v>14</v>
      </c>
      <c r="K1654" s="9" t="inlineStr">
        <is>
          <t>Chưa rõ giống (Cần quét Bio)</t>
        </is>
      </c>
      <c r="L1654" s="62" t="n">
        <v>0</v>
      </c>
      <c r="M1654" s="62" t="n">
        <v>0</v>
      </c>
      <c r="N1654" s="9" t="inlineStr">
        <is>
          <t>Amazon link not found</t>
        </is>
      </c>
      <c r="O1654" s="62">
        <f>IF(N1654="Selling pet toys + Artificial grass/Pet toilets (TARGET)",15,IF(N1654="Selling artificial grass/pet toilets (TARGET)",10,IF(N1654="Selling pet toys",7,IF(N1654="There's an Amazon link, but no target sales.",3,0))))</f>
        <v/>
      </c>
      <c r="P1654" s="67">
        <f>H1654+J1654+L1654+M1654+O1654</f>
        <v/>
      </c>
      <c r="Q1654" s="69">
        <f>IF(OR(H1654=0,P1654&lt;30),"Tier D (Đóng băng)",IF(P1654&gt;=85,"Tier S (Kim Cương: 85-100đ)",IF(P1654&gt;=70,"Tier A (Vàng: 70-84đ)",IF(P1654&gt;=61,"Tier B+ / Cấp A (Hot Lead: 61-69đ)",IF(P1654&gt;=50,"Tier B (Bạc: 50-60đ)","Tier C (Đồng: 30-49đ)")))))</f>
        <v/>
      </c>
      <c r="R1654" s="9" t="inlineStr">
        <is>
          <t>Nhà vệ sinh &amp; Tã lót (Potty Tray / Pee Pads) + Cỏ nhân tạo lót chuồng</t>
        </is>
      </c>
      <c r="S1654" s="9" t="inlineStr">
        <is>
          <t>Cấp C Chi phí thấp: Nhắn tin trực tiếp qua Fanpage Facebook/Instagram + Nuôi dưỡng nội dung</t>
        </is>
      </c>
    </row>
    <row r="1655">
      <c r="A1655" s="53" t="n">
        <v>2034</v>
      </c>
      <c r="B1655" s="12" t="inlineStr">
        <is>
          <t>Little Legs Dogs Rescue</t>
        </is>
      </c>
      <c r="C1655" s="54" t="inlineStr">
        <is>
          <t>https://www.facebook.com/littlelegsdogsrehoming</t>
        </is>
      </c>
      <c r="D1655" s="6" t="inlineStr">
        <is>
          <t>Cần quét Bio Fanpage</t>
        </is>
      </c>
      <c r="E1655" s="53" t="inlineStr">
        <is>
          <t>02/10/2026 16:43:25</t>
        </is>
      </c>
      <c r="F1655" s="53" t="inlineStr">
        <is>
          <t>1 tuần trước</t>
        </is>
      </c>
      <c r="G1655" s="55" t="n">
        <v>7</v>
      </c>
      <c r="H1655" s="56" t="n">
        <v>20</v>
      </c>
      <c r="I1655" s="6" t="inlineStr">
        <is>
          <t>Pet Rescue / Trạm cứu trợ (14-16đ)</t>
        </is>
      </c>
      <c r="J1655" s="56" t="n">
        <v>14</v>
      </c>
      <c r="K1655" s="6" t="inlineStr">
        <is>
          <t>Chưa rõ giống (Cần quét Bio)</t>
        </is>
      </c>
      <c r="L1655" s="56" t="n">
        <v>0</v>
      </c>
      <c r="M1655" s="56" t="n">
        <v>0</v>
      </c>
      <c r="N1655" s="6" t="inlineStr">
        <is>
          <t>Amazon link not found</t>
        </is>
      </c>
      <c r="O1655" s="56">
        <f>IF(N1655="Selling pet toys + Artificial grass/Pet toilets (TARGET)",15,IF(N1655="Selling artificial grass/pet toilets (TARGET)",10,IF(N1655="Selling pet toys",7,IF(N1655="There's an Amazon link, but no target sales.",3,0))))</f>
        <v/>
      </c>
      <c r="P1655" s="65">
        <f>H1655+J1655+L1655+M1655+O1655</f>
        <v/>
      </c>
      <c r="Q1655" s="69">
        <f>IF(OR(H1655=0,P1655&lt;30),"Tier D (Đóng băng)",IF(P1655&gt;=85,"Tier S (Kim Cương: 85-100đ)",IF(P1655&gt;=70,"Tier A (Vàng: 70-84đ)",IF(P1655&gt;=61,"Tier B+ / Cấp A (Hot Lead: 61-69đ)",IF(P1655&gt;=50,"Tier B (Bạc: 50-60đ)","Tier C (Đồng: 30-49đ)")))))</f>
        <v/>
      </c>
      <c r="R1655" s="6" t="inlineStr">
        <is>
          <t>Nhà vệ sinh &amp; Tã lót (Potty Tray / Pee Pads) + Cỏ nhân tạo lót chuồng</t>
        </is>
      </c>
      <c r="S1655" s="6" t="inlineStr">
        <is>
          <t>Cấp C Chi phí thấp: Nhắn tin trực tiếp qua Fanpage Facebook/Instagram + Nuôi dưỡng nội dung</t>
        </is>
      </c>
    </row>
    <row r="1656">
      <c r="A1656" s="59" t="n">
        <v>858</v>
      </c>
      <c r="B1656" s="15" t="inlineStr">
        <is>
          <t>Cat's Animal Rescue and Sanctuary</t>
        </is>
      </c>
      <c r="C1656" s="60" t="inlineStr">
        <is>
          <t>https://www.facebook.com/Catsanimalrescue</t>
        </is>
      </c>
      <c r="D1656" s="9" t="inlineStr">
        <is>
          <t>Cần quét Bio Fanpage</t>
        </is>
      </c>
      <c r="E1656" s="59" t="inlineStr">
        <is>
          <t>02/10/2026 12:52:39</t>
        </is>
      </c>
      <c r="F1656" s="59" t="inlineStr">
        <is>
          <t>1 tuần trước</t>
        </is>
      </c>
      <c r="G1656" s="61" t="n">
        <v>7</v>
      </c>
      <c r="H1656" s="62" t="n">
        <v>20</v>
      </c>
      <c r="I1656" s="9" t="inlineStr">
        <is>
          <t>Pet Rescue / Trạm cứu trợ (14-16đ)</t>
        </is>
      </c>
      <c r="J1656" s="62" t="n">
        <v>14</v>
      </c>
      <c r="K1656" s="9" t="inlineStr">
        <is>
          <t>Chưa rõ giống (Cần quét Bio)</t>
        </is>
      </c>
      <c r="L1656" s="62" t="n">
        <v>0</v>
      </c>
      <c r="M1656" s="62" t="n">
        <v>0</v>
      </c>
      <c r="N1656" s="9" t="inlineStr">
        <is>
          <t>Amazon link not found</t>
        </is>
      </c>
      <c r="O1656" s="62">
        <f>IF(N1656="Selling pet toys + Artificial grass/Pet toilets (TARGET)",15,IF(N1656="Selling artificial grass/pet toilets (TARGET)",10,IF(N1656="Selling pet toys",7,IF(N1656="There's an Amazon link, but no target sales.",3,0))))</f>
        <v/>
      </c>
      <c r="P1656" s="67">
        <f>H1656+J1656+L1656+M1656+O1656</f>
        <v/>
      </c>
      <c r="Q1656" s="69">
        <f>IF(OR(H1656=0,P1656&lt;30),"Tier D (Đóng băng)",IF(P1656&gt;=85,"Tier S (Kim Cương: 85-100đ)",IF(P1656&gt;=70,"Tier A (Vàng: 70-84đ)",IF(P1656&gt;=61,"Tier B+ / Cấp A (Hot Lead: 61-69đ)",IF(P1656&gt;=50,"Tier B (Bạc: 50-60đ)","Tier C (Đồng: 30-49đ)")))))</f>
        <v/>
      </c>
      <c r="R1656" s="9" t="inlineStr">
        <is>
          <t>Nhà vệ sinh &amp; Tã lót (Potty Tray / Pee Pads) + Cỏ nhân tạo lót chuồng</t>
        </is>
      </c>
      <c r="S1656" s="9" t="inlineStr">
        <is>
          <t>Cấp C Chi phí thấp: Nhắn tin trực tiếp qua Fanpage Facebook/Instagram + Nuôi dưỡng nội dung</t>
        </is>
      </c>
    </row>
    <row r="1657">
      <c r="A1657" s="53" t="n">
        <v>1002</v>
      </c>
      <c r="B1657" s="12" t="inlineStr">
        <is>
          <t>DARN - Dogo Argentino Rescue Network</t>
        </is>
      </c>
      <c r="C1657" s="54" t="inlineStr">
        <is>
          <t>https://www.facebook.com/DogoRsq</t>
        </is>
      </c>
      <c r="D1657" s="6" t="inlineStr">
        <is>
          <t>Cần quét Bio Fanpage</t>
        </is>
      </c>
      <c r="E1657" s="53" t="inlineStr">
        <is>
          <t>29/09/2026 20:16:39</t>
        </is>
      </c>
      <c r="F1657" s="53" t="inlineStr">
        <is>
          <t>1 tuần trước</t>
        </is>
      </c>
      <c r="G1657" s="55" t="n">
        <v>7</v>
      </c>
      <c r="H1657" s="56" t="n">
        <v>20</v>
      </c>
      <c r="I1657" s="6" t="inlineStr">
        <is>
          <t>Pet Rescue / Trạm cứu trợ (14-16đ)</t>
        </is>
      </c>
      <c r="J1657" s="56" t="n">
        <v>14</v>
      </c>
      <c r="K1657" s="6" t="inlineStr">
        <is>
          <t>Chưa rõ giống (Cần quét Bio)</t>
        </is>
      </c>
      <c r="L1657" s="56" t="n">
        <v>0</v>
      </c>
      <c r="M1657" s="56" t="n">
        <v>0</v>
      </c>
      <c r="N1657" s="6" t="inlineStr">
        <is>
          <t>Amazon link not found</t>
        </is>
      </c>
      <c r="O1657" s="56">
        <f>IF(N1657="Selling pet toys + Artificial grass/Pet toilets (TARGET)",15,IF(N1657="Selling artificial grass/pet toilets (TARGET)",10,IF(N1657="Selling pet toys",7,IF(N1657="There's an Amazon link, but no target sales.",3,0))))</f>
        <v/>
      </c>
      <c r="P1657" s="65">
        <f>H1657+J1657+L1657+M1657+O1657</f>
        <v/>
      </c>
      <c r="Q1657" s="69">
        <f>IF(OR(H1657=0,P1657&lt;30),"Tier D (Đóng băng)",IF(P1657&gt;=85,"Tier S (Kim Cương: 85-100đ)",IF(P1657&gt;=70,"Tier A (Vàng: 70-84đ)",IF(P1657&gt;=61,"Tier B+ / Cấp A (Hot Lead: 61-69đ)",IF(P1657&gt;=50,"Tier B (Bạc: 50-60đ)","Tier C (Đồng: 30-49đ)")))))</f>
        <v/>
      </c>
      <c r="R1657" s="6" t="inlineStr">
        <is>
          <t>Nhà vệ sinh &amp; Tã lót (Potty Tray / Pee Pads) + Cỏ nhân tạo lót chuồng</t>
        </is>
      </c>
      <c r="S1657" s="6" t="inlineStr">
        <is>
          <t>Cấp C Chi phí thấp: Nhắn tin trực tiếp qua Fanpage Facebook/Instagram + Nuôi dưỡng nội dung</t>
        </is>
      </c>
    </row>
    <row r="1658">
      <c r="A1658" s="59" t="n">
        <v>2393</v>
      </c>
      <c r="B1658" s="15" t="inlineStr">
        <is>
          <t>Paiges Plant Rescue</t>
        </is>
      </c>
      <c r="C1658" s="60" t="inlineStr">
        <is>
          <t>https://www.facebook.com/profile.php?id=61594955549014</t>
        </is>
      </c>
      <c r="D1658" s="9" t="inlineStr">
        <is>
          <t>Cần quét Bio Fanpage</t>
        </is>
      </c>
      <c r="E1658" s="59" t="inlineStr">
        <is>
          <t>29/09/2026 08:10:06</t>
        </is>
      </c>
      <c r="F1658" s="59" t="inlineStr">
        <is>
          <t>1 tuần trước</t>
        </is>
      </c>
      <c r="G1658" s="61" t="n">
        <v>7</v>
      </c>
      <c r="H1658" s="62" t="n">
        <v>20</v>
      </c>
      <c r="I1658" s="9" t="inlineStr">
        <is>
          <t>Pet Rescue / Trạm cứu trợ (14-16đ)</t>
        </is>
      </c>
      <c r="J1658" s="62" t="n">
        <v>14</v>
      </c>
      <c r="K1658" s="9" t="inlineStr">
        <is>
          <t>Chưa rõ giống (Cần quét Bio)</t>
        </is>
      </c>
      <c r="L1658" s="62" t="n">
        <v>0</v>
      </c>
      <c r="M1658" s="62" t="n">
        <v>0</v>
      </c>
      <c r="N1658" s="9" t="inlineStr">
        <is>
          <t>Amazon link not found</t>
        </is>
      </c>
      <c r="O1658" s="62">
        <f>IF(N1658="Selling pet toys + Artificial grass/Pet toilets (TARGET)",15,IF(N1658="Selling artificial grass/pet toilets (TARGET)",10,IF(N1658="Selling pet toys",7,IF(N1658="There's an Amazon link, but no target sales.",3,0))))</f>
        <v/>
      </c>
      <c r="P1658" s="67">
        <f>H1658+J1658+L1658+M1658+O1658</f>
        <v/>
      </c>
      <c r="Q1658" s="69">
        <f>IF(OR(H1658=0,P1658&lt;30),"Tier D (Đóng băng)",IF(P1658&gt;=85,"Tier S (Kim Cương: 85-100đ)",IF(P1658&gt;=70,"Tier A (Vàng: 70-84đ)",IF(P1658&gt;=61,"Tier B+ / Cấp A (Hot Lead: 61-69đ)",IF(P1658&gt;=50,"Tier B (Bạc: 50-60đ)","Tier C (Đồng: 30-49đ)")))))</f>
        <v/>
      </c>
      <c r="R1658" s="9" t="inlineStr">
        <is>
          <t>Nhà vệ sinh &amp; Tã lót (Potty Tray / Pee Pads) + Cỏ nhân tạo lót chuồng</t>
        </is>
      </c>
      <c r="S1658" s="9" t="inlineStr">
        <is>
          <t>Cấp C Chi phí thấp: Nhắn tin trực tiếp qua Fanpage Facebook/Instagram + Nuôi dưỡng nội dung</t>
        </is>
      </c>
    </row>
    <row r="1659">
      <c r="A1659" s="53" t="n">
        <v>922</v>
      </c>
      <c r="B1659" s="12" t="inlineStr">
        <is>
          <t>Coast 2 Coast Rescue</t>
        </is>
      </c>
      <c r="C1659" s="54" t="inlineStr">
        <is>
          <t>https://www.facebook.com/c2crescue</t>
        </is>
      </c>
      <c r="D1659" s="6" t="inlineStr">
        <is>
          <t>Cần quét Bio Fanpage</t>
        </is>
      </c>
      <c r="E1659" s="53" t="inlineStr">
        <is>
          <t>29/09/2026 05:34:57</t>
        </is>
      </c>
      <c r="F1659" s="53" t="inlineStr">
        <is>
          <t>1 tuần trước</t>
        </is>
      </c>
      <c r="G1659" s="55" t="n">
        <v>7</v>
      </c>
      <c r="H1659" s="56" t="n">
        <v>20</v>
      </c>
      <c r="I1659" s="6" t="inlineStr">
        <is>
          <t>Pet Rescue / Trạm cứu trợ (14-16đ)</t>
        </is>
      </c>
      <c r="J1659" s="56" t="n">
        <v>14</v>
      </c>
      <c r="K1659" s="6" t="inlineStr">
        <is>
          <t>Chưa rõ giống (Cần quét Bio)</t>
        </is>
      </c>
      <c r="L1659" s="56" t="n">
        <v>0</v>
      </c>
      <c r="M1659" s="56" t="n">
        <v>0</v>
      </c>
      <c r="N1659" s="6" t="inlineStr">
        <is>
          <t>Amazon link not found</t>
        </is>
      </c>
      <c r="O1659" s="56">
        <f>IF(N1659="Selling pet toys + Artificial grass/Pet toilets (TARGET)",15,IF(N1659="Selling artificial grass/pet toilets (TARGET)",10,IF(N1659="Selling pet toys",7,IF(N1659="There's an Amazon link, but no target sales.",3,0))))</f>
        <v/>
      </c>
      <c r="P1659" s="65">
        <f>H1659+J1659+L1659+M1659+O1659</f>
        <v/>
      </c>
      <c r="Q1659" s="69">
        <f>IF(OR(H1659=0,P1659&lt;30),"Tier D (Đóng băng)",IF(P1659&gt;=85,"Tier S (Kim Cương: 85-100đ)",IF(P1659&gt;=70,"Tier A (Vàng: 70-84đ)",IF(P1659&gt;=61,"Tier B+ / Cấp A (Hot Lead: 61-69đ)",IF(P1659&gt;=50,"Tier B (Bạc: 50-60đ)","Tier C (Đồng: 30-49đ)")))))</f>
        <v/>
      </c>
      <c r="R1659" s="6" t="inlineStr">
        <is>
          <t>Nhà vệ sinh &amp; Tã lót (Potty Tray / Pee Pads) + Cỏ nhân tạo lót chuồng</t>
        </is>
      </c>
      <c r="S1659" s="6" t="inlineStr">
        <is>
          <t>Cấp C Chi phí thấp: Nhắn tin trực tiếp qua Fanpage Facebook/Instagram + Nuôi dưỡng nội dung</t>
        </is>
      </c>
    </row>
    <row r="1660">
      <c r="A1660" s="59" t="n">
        <v>1237</v>
      </c>
      <c r="B1660" s="15" t="inlineStr">
        <is>
          <t>Drumindoney Gundogs</t>
        </is>
      </c>
      <c r="C1660" s="60" t="inlineStr">
        <is>
          <t>https://www.facebook.com/drumindoney</t>
        </is>
      </c>
      <c r="D1660" s="9" t="inlineStr">
        <is>
          <t>Cần quét Bio Fanpage</t>
        </is>
      </c>
      <c r="E1660" s="59" t="inlineStr">
        <is>
          <t>15/09/2026 17:25:01</t>
        </is>
      </c>
      <c r="F1660" s="59" t="inlineStr">
        <is>
          <t>3 tuần trước</t>
        </is>
      </c>
      <c r="G1660" s="61" t="n">
        <v>21</v>
      </c>
      <c r="H1660" s="62" t="n">
        <v>8</v>
      </c>
      <c r="I1660" s="9" t="inlineStr">
        <is>
          <t>Pet Boarding / Huấn luyện K9 &amp; Dịch vụ (20-22đ)</t>
        </is>
      </c>
      <c r="J1660" s="62" t="n">
        <v>20</v>
      </c>
      <c r="K1660" s="9" t="inlineStr">
        <is>
          <t>Spaniel / Gun Dog / Retriever</t>
        </is>
      </c>
      <c r="L1660" s="62" t="n">
        <v>5</v>
      </c>
      <c r="M1660" s="62" t="n">
        <v>0</v>
      </c>
      <c r="N1660" s="9" t="inlineStr">
        <is>
          <t>Amazon link not found</t>
        </is>
      </c>
      <c r="O1660" s="62">
        <f>IF(N1660="Selling pet toys + Artificial grass/Pet toilets (TARGET)",15,IF(N1660="Selling artificial grass/pet toilets (TARGET)",10,IF(N1660="Selling pet toys",7,IF(N1660="There's an Amazon link, but no target sales.",3,0))))</f>
        <v/>
      </c>
      <c r="P1660" s="67">
        <f>H1660+J1660+L1660+M1660+O1660</f>
        <v/>
      </c>
      <c r="Q1660" s="69">
        <f>IF(OR(H1660=0,P1660&lt;30),"Tier D (Đóng băng)",IF(P1660&gt;=85,"Tier S (Kim Cương: 85-100đ)",IF(P1660&gt;=70,"Tier A (Vàng: 70-84đ)",IF(P1660&gt;=61,"Tier B+ / Cấp A (Hot Lead: 61-69đ)",IF(P1660&gt;=50,"Tier B (Bạc: 50-60đ)","Tier C (Đồng: 30-49đ)")))))</f>
        <v/>
      </c>
      <c r="R1660" s="9" t="inlineStr">
        <is>
          <t>Cỏ nhân tạo sân chơi/huấn luyện (Dog Turf) + Đồ chơi nhai chịu lực (KONG/Chew Toys)</t>
        </is>
      </c>
      <c r="S1660" s="9" t="inlineStr">
        <is>
          <t>Cấp C Chi phí thấp: Nhắn tin trực tiếp qua Fanpage Facebook/Instagram + Nuôi dưỡng nội dung</t>
        </is>
      </c>
    </row>
    <row r="1661">
      <c r="A1661" s="53" t="n">
        <v>2134</v>
      </c>
      <c r="B1661" s="12" t="inlineStr">
        <is>
          <t>Maverick the Bernese Mountain Dog</t>
        </is>
      </c>
      <c r="C1661" s="54" t="inlineStr">
        <is>
          <t>https://www.facebook.com/profile.php?id=61576555204707</t>
        </is>
      </c>
      <c r="D1661" s="6" t="inlineStr">
        <is>
          <t>Cần quét Bio Fanpage</t>
        </is>
      </c>
      <c r="E1661" s="53" t="inlineStr">
        <is>
          <t>11/09/2026 09:04:00</t>
        </is>
      </c>
      <c r="F1661" s="53" t="inlineStr">
        <is>
          <t>1 tháng trước</t>
        </is>
      </c>
      <c r="G1661" s="55" t="n">
        <v>30</v>
      </c>
      <c r="H1661" s="56" t="n">
        <v>0</v>
      </c>
      <c r="I1661" s="6" t="inlineStr">
        <is>
          <t>Dog Breeder / Trại chó chuyên nghiệp (28-30đ)</t>
        </is>
      </c>
      <c r="J1661" s="56" t="n">
        <v>28</v>
      </c>
      <c r="K1661" s="6" t="inlineStr">
        <is>
          <t>Bernese Mountain Dog</t>
        </is>
      </c>
      <c r="L1661" s="56" t="n">
        <v>5</v>
      </c>
      <c r="M1661" s="56" t="n">
        <v>0</v>
      </c>
      <c r="N1661" s="6" t="inlineStr">
        <is>
          <t>Amazon link not found</t>
        </is>
      </c>
      <c r="O1661" s="56">
        <f>IF(N1661="Selling pet toys + Artificial grass/Pet toilets (TARGET)",15,IF(N1661="Selling artificial grass/pet toilets (TARGET)",10,IF(N1661="Selling pet toys",7,IF(N1661="There's an Amazon link, but no target sales.",3,0))))</f>
        <v/>
      </c>
      <c r="P1661" s="65">
        <f>H1661+J1661+L1661+M1661+O1661</f>
        <v/>
      </c>
      <c r="Q1661" s="68">
        <f>IF(OR(H1661=0,P1661&lt;30),"Tier D (Đóng băng)",IF(P1661&gt;=85,"Tier S (Kim Cương: 85-100đ)",IF(P1661&gt;=70,"Tier A (Vàng: 70-84đ)",IF(P1661&gt;=61,"Tier B+ / Cấp A (Hot Lead: 61-69đ)",IF(P1661&gt;=50,"Tier B (Bạc: 50-60đ)","Tier C (Đồng: 30-49đ)")))))</f>
        <v/>
      </c>
      <c r="R1661" s="6" t="inlineStr">
        <is>
          <t>Trọn gói Take-Home Starter Kit V2/V3 (Cỏ nhân tạo + Khay Potty + Đồ chơi Teething/Snuggle)</t>
        </is>
      </c>
      <c r="S1661" s="6" t="inlineStr">
        <is>
          <t>Đóng băng tương tác (&gt;30 ngày): Lưu trữ chờ kích hoạt lại, không tốn tài nguyên Sales</t>
        </is>
      </c>
    </row>
    <row r="1662">
      <c r="A1662" s="59" t="n">
        <v>2861</v>
      </c>
      <c r="B1662" s="15" t="inlineStr">
        <is>
          <t>Serenity Bernese Mountain Dogs</t>
        </is>
      </c>
      <c r="C1662" s="60" t="inlineStr">
        <is>
          <t>https://www.facebook.com/serenitybmd</t>
        </is>
      </c>
      <c r="D1662" s="9" t="inlineStr">
        <is>
          <t>Cần quét Bio Fanpage</t>
        </is>
      </c>
      <c r="E1662" s="59" t="inlineStr">
        <is>
          <t>06/09/2026 10:48:11</t>
        </is>
      </c>
      <c r="F1662" s="59" t="inlineStr">
        <is>
          <t>1 tháng trước</t>
        </is>
      </c>
      <c r="G1662" s="61" t="n">
        <v>30</v>
      </c>
      <c r="H1662" s="62" t="n">
        <v>0</v>
      </c>
      <c r="I1662" s="9" t="inlineStr">
        <is>
          <t>Dog Breeder / Trại chó chuyên nghiệp (28-30đ)</t>
        </is>
      </c>
      <c r="J1662" s="62" t="n">
        <v>28</v>
      </c>
      <c r="K1662" s="9" t="inlineStr">
        <is>
          <t>Bernese Mountain Dog</t>
        </is>
      </c>
      <c r="L1662" s="62" t="n">
        <v>5</v>
      </c>
      <c r="M1662" s="62" t="n">
        <v>0</v>
      </c>
      <c r="N1662" s="9" t="inlineStr">
        <is>
          <t>Amazon link not found</t>
        </is>
      </c>
      <c r="O1662" s="62">
        <f>IF(N1662="Selling pet toys + Artificial grass/Pet toilets (TARGET)",15,IF(N1662="Selling artificial grass/pet toilets (TARGET)",10,IF(N1662="Selling pet toys",7,IF(N1662="There's an Amazon link, but no target sales.",3,0))))</f>
        <v/>
      </c>
      <c r="P1662" s="67">
        <f>H1662+J1662+L1662+M1662+O1662</f>
        <v/>
      </c>
      <c r="Q1662" s="68">
        <f>IF(OR(H1662=0,P1662&lt;30),"Tier D (Đóng băng)",IF(P1662&gt;=85,"Tier S (Kim Cương: 85-100đ)",IF(P1662&gt;=70,"Tier A (Vàng: 70-84đ)",IF(P1662&gt;=61,"Tier B+ / Cấp A (Hot Lead: 61-69đ)",IF(P1662&gt;=50,"Tier B (Bạc: 50-60đ)","Tier C (Đồng: 30-49đ)")))))</f>
        <v/>
      </c>
      <c r="R1662" s="9" t="inlineStr">
        <is>
          <t>Trọn gói Take-Home Starter Kit V2/V3 (Cỏ nhân tạo + Khay Potty + Đồ chơi Teething/Snuggle)</t>
        </is>
      </c>
      <c r="S1662" s="9" t="inlineStr">
        <is>
          <t>Đóng băng tương tác (&gt;30 ngày): Lưu trữ chờ kích hoạt lại, không tốn tài nguyên Sales</t>
        </is>
      </c>
    </row>
    <row r="1663">
      <c r="A1663" s="53" t="n">
        <v>1568</v>
      </c>
      <c r="B1663" s="12" t="inlineStr">
        <is>
          <t>Greg and Joanna’s Bernese Mountian Dogs</t>
        </is>
      </c>
      <c r="C1663" s="54" t="inlineStr">
        <is>
          <t>https://www.facebook.com/lehmanbernesemountaindogs</t>
        </is>
      </c>
      <c r="D1663" s="6" t="inlineStr">
        <is>
          <t>Cần quét Bio Fanpage</t>
        </is>
      </c>
      <c r="E1663" s="53" t="inlineStr">
        <is>
          <t>05/09/2026 04:32:40</t>
        </is>
      </c>
      <c r="F1663" s="53" t="inlineStr">
        <is>
          <t>1 tháng trước</t>
        </is>
      </c>
      <c r="G1663" s="55" t="n">
        <v>30</v>
      </c>
      <c r="H1663" s="56" t="n">
        <v>0</v>
      </c>
      <c r="I1663" s="6" t="inlineStr">
        <is>
          <t>Dog Breeder / Trại chó chuyên nghiệp (28-30đ)</t>
        </is>
      </c>
      <c r="J1663" s="56" t="n">
        <v>28</v>
      </c>
      <c r="K1663" s="6" t="inlineStr">
        <is>
          <t>Bernese Mountain Dog</t>
        </is>
      </c>
      <c r="L1663" s="56" t="n">
        <v>5</v>
      </c>
      <c r="M1663" s="56" t="n">
        <v>0</v>
      </c>
      <c r="N1663" s="6" t="inlineStr">
        <is>
          <t>Amazon link not found</t>
        </is>
      </c>
      <c r="O1663" s="56">
        <f>IF(N1663="Selling pet toys + Artificial grass/Pet toilets (TARGET)",15,IF(N1663="Selling artificial grass/pet toilets (TARGET)",10,IF(N1663="Selling pet toys",7,IF(N1663="There's an Amazon link, but no target sales.",3,0))))</f>
        <v/>
      </c>
      <c r="P1663" s="65">
        <f>H1663+J1663+L1663+M1663+O1663</f>
        <v/>
      </c>
      <c r="Q1663" s="68">
        <f>IF(OR(H1663=0,P1663&lt;30),"Tier D (Đóng băng)",IF(P1663&gt;=85,"Tier S (Kim Cương: 85-100đ)",IF(P1663&gt;=70,"Tier A (Vàng: 70-84đ)",IF(P1663&gt;=61,"Tier B+ / Cấp A (Hot Lead: 61-69đ)",IF(P1663&gt;=50,"Tier B (Bạc: 50-60đ)","Tier C (Đồng: 30-49đ)")))))</f>
        <v/>
      </c>
      <c r="R1663" s="6" t="inlineStr">
        <is>
          <t>Trọn gói Take-Home Starter Kit V2/V3 (Cỏ nhân tạo + Khay Potty + Đồ chơi Teething/Snuggle)</t>
        </is>
      </c>
      <c r="S1663" s="6" t="inlineStr">
        <is>
          <t>Đóng băng tương tác (&gt;30 ngày): Lưu trữ chờ kích hoạt lại, không tốn tài nguyên Sales</t>
        </is>
      </c>
    </row>
    <row r="1664">
      <c r="A1664" s="59" t="n">
        <v>412</v>
      </c>
      <c r="B1664" s="15" t="inlineStr">
        <is>
          <t>American Shetland Sheepdog Association</t>
        </is>
      </c>
      <c r="C1664" s="60" t="inlineStr">
        <is>
          <t>https://www.facebook.com/AmSheltieAssn</t>
        </is>
      </c>
      <c r="D1664" s="9" t="inlineStr">
        <is>
          <t>Cần quét Bio Fanpage</t>
        </is>
      </c>
      <c r="E1664" s="59" t="inlineStr">
        <is>
          <t>30/08/2026 00:41:09</t>
        </is>
      </c>
      <c r="F1664" s="59" t="inlineStr">
        <is>
          <t>1 tháng trước</t>
        </is>
      </c>
      <c r="G1664" s="61" t="n">
        <v>30</v>
      </c>
      <c r="H1664" s="62" t="n">
        <v>0</v>
      </c>
      <c r="I1664" s="9" t="inlineStr">
        <is>
          <t>Dog Breeder / Trại nhân giống (28-30đ)</t>
        </is>
      </c>
      <c r="J1664" s="62" t="n">
        <v>28</v>
      </c>
      <c r="K1664" s="9" t="inlineStr">
        <is>
          <t>Australian Shepherd / Herding</t>
        </is>
      </c>
      <c r="L1664" s="62" t="n">
        <v>5</v>
      </c>
      <c r="M1664" s="62" t="n">
        <v>0</v>
      </c>
      <c r="N1664" s="9" t="inlineStr">
        <is>
          <t>Amazon link not found</t>
        </is>
      </c>
      <c r="O1664" s="62">
        <f>IF(N1664="Selling pet toys + Artificial grass/Pet toilets (TARGET)",15,IF(N1664="Selling artificial grass/pet toilets (TARGET)",10,IF(N1664="Selling pet toys",7,IF(N1664="There's an Amazon link, but no target sales.",3,0))))</f>
        <v/>
      </c>
      <c r="P1664" s="67">
        <f>H1664+J1664+L1664+M1664+O1664</f>
        <v/>
      </c>
      <c r="Q1664" s="68">
        <f>IF(OR(H1664=0,P1664&lt;30),"Tier D (Đóng băng)",IF(P1664&gt;=85,"Tier S (Kim Cương: 85-100đ)",IF(P1664&gt;=70,"Tier A (Vàng: 70-84đ)",IF(P1664&gt;=61,"Tier B+ / Cấp A (Hot Lead: 61-69đ)",IF(P1664&gt;=50,"Tier B (Bạc: 50-60đ)","Tier C (Đồng: 30-49đ)")))))</f>
        <v/>
      </c>
      <c r="R1664" s="9" t="inlineStr">
        <is>
          <t>Trọn gói Take-Home Starter Kit V2/V3 (Cỏ nhân tạo + Khay Potty + Đồ chơi cún con)</t>
        </is>
      </c>
      <c r="S1664" s="9" t="inlineStr">
        <is>
          <t>Đóng băng tương tác (&gt;30 ngày): Lưu trữ chờ kích hoạt lại, không tốn tài nguyên Sales</t>
        </is>
      </c>
    </row>
    <row r="1665">
      <c r="A1665" s="53" t="n">
        <v>1991</v>
      </c>
      <c r="B1665" s="12" t="inlineStr">
        <is>
          <t>Lavish Longdogz Miniature Dachshunds</t>
        </is>
      </c>
      <c r="C1665" s="54" t="inlineStr">
        <is>
          <t>https://www.facebook.com/profile.php?id=100089425025943</t>
        </is>
      </c>
      <c r="D1665" s="6" t="inlineStr">
        <is>
          <t>Cần quét Bio Fanpage</t>
        </is>
      </c>
      <c r="E1665" s="53" t="inlineStr">
        <is>
          <t>28/08/2026 18:16:16</t>
        </is>
      </c>
      <c r="F1665" s="53" t="inlineStr">
        <is>
          <t>1 tháng trước</t>
        </is>
      </c>
      <c r="G1665" s="55" t="n">
        <v>30</v>
      </c>
      <c r="H1665" s="56" t="n">
        <v>0</v>
      </c>
      <c r="I1665" s="6" t="inlineStr">
        <is>
          <t>Dog Breeder / Trại chó chuyên nghiệp (28-30đ)</t>
        </is>
      </c>
      <c r="J1665" s="56" t="n">
        <v>28</v>
      </c>
      <c r="K1665" s="6" t="inlineStr">
        <is>
          <t>Dachshund</t>
        </is>
      </c>
      <c r="L1665" s="56" t="n">
        <v>5</v>
      </c>
      <c r="M1665" s="56" t="n">
        <v>0</v>
      </c>
      <c r="N1665" s="6" t="inlineStr">
        <is>
          <t>Amazon link not found</t>
        </is>
      </c>
      <c r="O1665" s="56">
        <f>IF(N1665="Selling pet toys + Artificial grass/Pet toilets (TARGET)",15,IF(N1665="Selling artificial grass/pet toilets (TARGET)",10,IF(N1665="Selling pet toys",7,IF(N1665="There's an Amazon link, but no target sales.",3,0))))</f>
        <v/>
      </c>
      <c r="P1665" s="65">
        <f>H1665+J1665+L1665+M1665+O1665</f>
        <v/>
      </c>
      <c r="Q1665" s="68">
        <f>IF(OR(H1665=0,P1665&lt;30),"Tier D (Đóng băng)",IF(P1665&gt;=85,"Tier S (Kim Cương: 85-100đ)",IF(P1665&gt;=70,"Tier A (Vàng: 70-84đ)",IF(P1665&gt;=61,"Tier B+ / Cấp A (Hot Lead: 61-69đ)",IF(P1665&gt;=50,"Tier B (Bạc: 50-60đ)","Tier C (Đồng: 30-49đ)")))))</f>
        <v/>
      </c>
      <c r="R1665" s="6" t="inlineStr">
        <is>
          <t>Trọn gói Take-Home Starter Kit V2/V3 (Cỏ nhân tạo + Khay Potty + Đồ chơi Teething/Snuggle)</t>
        </is>
      </c>
      <c r="S1665" s="6" t="inlineStr">
        <is>
          <t>Đóng băng tương tác (&gt;30 ngày): Lưu trữ chờ kích hoạt lại, không tốn tài nguyên Sales</t>
        </is>
      </c>
    </row>
    <row r="1666">
      <c r="A1666" s="59" t="n">
        <v>2712</v>
      </c>
      <c r="B1666" s="15" t="inlineStr">
        <is>
          <t>Red Ranch Dogs</t>
        </is>
      </c>
      <c r="C1666" s="60" t="inlineStr">
        <is>
          <t>https://www.facebook.com/RedRanchDogs</t>
        </is>
      </c>
      <c r="D1666" s="9" t="inlineStr">
        <is>
          <t>Cần quét Bio Fanpage</t>
        </is>
      </c>
      <c r="E1666" s="59" t="inlineStr">
        <is>
          <t>22/08/2026 21:20:13</t>
        </is>
      </c>
      <c r="F1666" s="59" t="inlineStr">
        <is>
          <t>1 tháng trước</t>
        </is>
      </c>
      <c r="G1666" s="61" t="n">
        <v>30</v>
      </c>
      <c r="H1666" s="62" t="n">
        <v>0</v>
      </c>
      <c r="I1666" s="9" t="inlineStr">
        <is>
          <t>Dog Breeder / Trại nhân giống (28-30đ)</t>
        </is>
      </c>
      <c r="J1666" s="62" t="n">
        <v>28</v>
      </c>
      <c r="K1666" s="9" t="inlineStr">
        <is>
          <t>Chưa rõ giống (Cần quét Bio)</t>
        </is>
      </c>
      <c r="L1666" s="62" t="n">
        <v>0</v>
      </c>
      <c r="M1666" s="62" t="n">
        <v>5</v>
      </c>
      <c r="N1666" s="9" t="inlineStr">
        <is>
          <t>Amazon link not found</t>
        </is>
      </c>
      <c r="O1666" s="62">
        <f>IF(N1666="Selling pet toys + Artificial grass/Pet toilets (TARGET)",15,IF(N1666="Selling artificial grass/pet toilets (TARGET)",10,IF(N1666="Selling pet toys",7,IF(N1666="There's an Amazon link, but no target sales.",3,0))))</f>
        <v/>
      </c>
      <c r="P1666" s="67">
        <f>H1666+J1666+L1666+M1666+O1666</f>
        <v/>
      </c>
      <c r="Q1666" s="68">
        <f>IF(OR(H1666=0,P1666&lt;30),"Tier D (Đóng băng)",IF(P1666&gt;=85,"Tier S (Kim Cương: 85-100đ)",IF(P1666&gt;=70,"Tier A (Vàng: 70-84đ)",IF(P1666&gt;=61,"Tier B+ / Cấp A (Hot Lead: 61-69đ)",IF(P1666&gt;=50,"Tier B (Bạc: 50-60đ)","Tier C (Đồng: 30-49đ)")))))</f>
        <v/>
      </c>
      <c r="R1666" s="9" t="inlineStr">
        <is>
          <t>Trọn gói Take-Home Starter Kit V2/V3 (Cỏ nhân tạo + Khay Potty + Đồ chơi cún con)</t>
        </is>
      </c>
      <c r="S1666" s="9" t="inlineStr">
        <is>
          <t>Đóng băng tương tác (&gt;30 ngày): Lưu trữ chờ kích hoạt lại, không tốn tài nguyên Sales</t>
        </is>
      </c>
    </row>
    <row r="1667">
      <c r="A1667" s="53" t="n">
        <v>1959</v>
      </c>
      <c r="B1667" s="12" t="inlineStr">
        <is>
          <t>Labernois Molly puppy</t>
        </is>
      </c>
      <c r="C1667" s="54" t="inlineStr">
        <is>
          <t>https://www.facebook.com/profile.php?id=100063694713232</t>
        </is>
      </c>
      <c r="D1667" s="6" t="inlineStr">
        <is>
          <t>Cần quét Bio Fanpage</t>
        </is>
      </c>
      <c r="E1667" s="53" t="inlineStr">
        <is>
          <t>20/08/2026 00:28:09</t>
        </is>
      </c>
      <c r="F1667" s="53" t="inlineStr">
        <is>
          <t>1 tháng trước</t>
        </is>
      </c>
      <c r="G1667" s="55" t="n">
        <v>30</v>
      </c>
      <c r="H1667" s="56" t="n">
        <v>0</v>
      </c>
      <c r="I1667" s="6" t="inlineStr">
        <is>
          <t>Dog Breeder / Trại chó chuyên nghiệp (28-30đ)</t>
        </is>
      </c>
      <c r="J1667" s="56" t="n">
        <v>28</v>
      </c>
      <c r="K1667" s="6" t="inlineStr">
        <is>
          <t>Chưa rõ giống (Cần quét Bio)</t>
        </is>
      </c>
      <c r="L1667" s="56" t="n">
        <v>0</v>
      </c>
      <c r="M1667" s="56" t="n">
        <v>5</v>
      </c>
      <c r="N1667" s="6" t="inlineStr">
        <is>
          <t>Amazon link not found</t>
        </is>
      </c>
      <c r="O1667" s="56">
        <f>IF(N1667="Selling pet toys + Artificial grass/Pet toilets (TARGET)",15,IF(N1667="Selling artificial grass/pet toilets (TARGET)",10,IF(N1667="Selling pet toys",7,IF(N1667="There's an Amazon link, but no target sales.",3,0))))</f>
        <v/>
      </c>
      <c r="P1667" s="65">
        <f>H1667+J1667+L1667+M1667+O1667</f>
        <v/>
      </c>
      <c r="Q1667" s="68">
        <f>IF(OR(H1667=0,P1667&lt;30),"Tier D (Đóng băng)",IF(P1667&gt;=85,"Tier S (Kim Cương: 85-100đ)",IF(P1667&gt;=70,"Tier A (Vàng: 70-84đ)",IF(P1667&gt;=61,"Tier B+ / Cấp A (Hot Lead: 61-69đ)",IF(P1667&gt;=50,"Tier B (Bạc: 50-60đ)","Tier C (Đồng: 30-49đ)")))))</f>
        <v/>
      </c>
      <c r="R1667" s="6" t="inlineStr">
        <is>
          <t>Trọn gói Take-Home Starter Kit V2/V3 (Cỏ nhân tạo + Khay Potty + Đồ chơi Teething/Snuggle)</t>
        </is>
      </c>
      <c r="S1667" s="6" t="inlineStr">
        <is>
          <t>Đóng băng tương tác (&gt;30 ngày): Lưu trữ chờ kích hoạt lại, không tốn tài nguyên Sales</t>
        </is>
      </c>
    </row>
    <row r="1668">
      <c r="A1668" s="59" t="n">
        <v>2873</v>
      </c>
      <c r="B1668" s="15" t="inlineStr">
        <is>
          <t>Shaggy Beauty Old English Sheepdogs</t>
        </is>
      </c>
      <c r="C1668" s="60" t="inlineStr">
        <is>
          <t>https://www.facebook.com/ShaggyBeautyOldEnglishSheepdogs</t>
        </is>
      </c>
      <c r="D1668" s="9" t="inlineStr">
        <is>
          <t>Cần quét Bio Fanpage</t>
        </is>
      </c>
      <c r="E1668" s="59" t="inlineStr">
        <is>
          <t>12/08/2026 01:42:46</t>
        </is>
      </c>
      <c r="F1668" s="59" t="inlineStr">
        <is>
          <t>2 tháng trước</t>
        </is>
      </c>
      <c r="G1668" s="61" t="n">
        <v>60</v>
      </c>
      <c r="H1668" s="62" t="n">
        <v>0</v>
      </c>
      <c r="I1668" s="9" t="inlineStr">
        <is>
          <t>Dog Breeder / Trại nhân giống (28-30đ)</t>
        </is>
      </c>
      <c r="J1668" s="62" t="n">
        <v>28</v>
      </c>
      <c r="K1668" s="9" t="inlineStr">
        <is>
          <t>Australian Shepherd / Herding</t>
        </is>
      </c>
      <c r="L1668" s="62" t="n">
        <v>5</v>
      </c>
      <c r="M1668" s="62" t="n">
        <v>0</v>
      </c>
      <c r="N1668" s="9" t="inlineStr">
        <is>
          <t>Amazon link not found</t>
        </is>
      </c>
      <c r="O1668" s="62">
        <f>IF(N1668="Selling pet toys + Artificial grass/Pet toilets (TARGET)",15,IF(N1668="Selling artificial grass/pet toilets (TARGET)",10,IF(N1668="Selling pet toys",7,IF(N1668="There's an Amazon link, but no target sales.",3,0))))</f>
        <v/>
      </c>
      <c r="P1668" s="67">
        <f>H1668+J1668+L1668+M1668+O1668</f>
        <v/>
      </c>
      <c r="Q1668" s="68">
        <f>IF(OR(H1668=0,P1668&lt;30),"Tier D (Đóng băng)",IF(P1668&gt;=85,"Tier S (Kim Cương: 85-100đ)",IF(P1668&gt;=70,"Tier A (Vàng: 70-84đ)",IF(P1668&gt;=61,"Tier B+ / Cấp A (Hot Lead: 61-69đ)",IF(P1668&gt;=50,"Tier B (Bạc: 50-60đ)","Tier C (Đồng: 30-49đ)")))))</f>
        <v/>
      </c>
      <c r="R1668" s="9" t="inlineStr">
        <is>
          <t>Trọn gói Take-Home Starter Kit V2/V3 (Cỏ nhân tạo + Khay Potty + Đồ chơi cún con)</t>
        </is>
      </c>
      <c r="S1668" s="9" t="inlineStr">
        <is>
          <t>Đóng băng tương tác (&gt;30 ngày): Lưu trữ chờ kích hoạt lại, không tốn tài nguyên Sales</t>
        </is>
      </c>
    </row>
    <row r="1669">
      <c r="A1669" s="53" t="n">
        <v>1020</v>
      </c>
      <c r="B1669" s="12" t="inlineStr">
        <is>
          <t>Delagrea Bernese Mountain Dogs</t>
        </is>
      </c>
      <c r="C1669" s="54" t="inlineStr">
        <is>
          <t>https://www.facebook.com/profile.php?id=100057320033767</t>
        </is>
      </c>
      <c r="D1669" s="6" t="inlineStr">
        <is>
          <t>Cần quét Bio Fanpage</t>
        </is>
      </c>
      <c r="E1669" s="53" t="inlineStr">
        <is>
          <t>30/07/2026 02:13:58</t>
        </is>
      </c>
      <c r="F1669" s="53" t="inlineStr">
        <is>
          <t>2 tháng trước</t>
        </is>
      </c>
      <c r="G1669" s="55" t="n">
        <v>60</v>
      </c>
      <c r="H1669" s="56" t="n">
        <v>0</v>
      </c>
      <c r="I1669" s="6" t="inlineStr">
        <is>
          <t>Dog Breeder / Trại chó chuyên nghiệp (28-30đ)</t>
        </is>
      </c>
      <c r="J1669" s="56" t="n">
        <v>28</v>
      </c>
      <c r="K1669" s="6" t="inlineStr">
        <is>
          <t>Bernese Mountain Dog</t>
        </is>
      </c>
      <c r="L1669" s="56" t="n">
        <v>5</v>
      </c>
      <c r="M1669" s="56" t="n">
        <v>0</v>
      </c>
      <c r="N1669" s="6" t="inlineStr">
        <is>
          <t>Amazon link not found</t>
        </is>
      </c>
      <c r="O1669" s="56">
        <f>IF(N1669="Selling pet toys + Artificial grass/Pet toilets (TARGET)",15,IF(N1669="Selling artificial grass/pet toilets (TARGET)",10,IF(N1669="Selling pet toys",7,IF(N1669="There's an Amazon link, but no target sales.",3,0))))</f>
        <v/>
      </c>
      <c r="P1669" s="65">
        <f>H1669+J1669+L1669+M1669+O1669</f>
        <v/>
      </c>
      <c r="Q1669" s="68">
        <f>IF(OR(H1669=0,P1669&lt;30),"Tier D (Đóng băng)",IF(P1669&gt;=85,"Tier S (Kim Cương: 85-100đ)",IF(P1669&gt;=70,"Tier A (Vàng: 70-84đ)",IF(P1669&gt;=61,"Tier B+ / Cấp A (Hot Lead: 61-69đ)",IF(P1669&gt;=50,"Tier B (Bạc: 50-60đ)","Tier C (Đồng: 30-49đ)")))))</f>
        <v/>
      </c>
      <c r="R1669" s="6" t="inlineStr">
        <is>
          <t>Trọn gói Take-Home Starter Kit V2/V3 (Cỏ nhân tạo + Khay Potty + Đồ chơi Teething/Snuggle)</t>
        </is>
      </c>
      <c r="S1669" s="6" t="inlineStr">
        <is>
          <t>Đóng băng tương tác (&gt;30 ngày): Lưu trữ chờ kích hoạt lại, không tốn tài nguyên Sales</t>
        </is>
      </c>
    </row>
    <row r="1670">
      <c r="A1670" s="59" t="n">
        <v>2361</v>
      </c>
      <c r="B1670" s="15" t="inlineStr">
        <is>
          <t>Olivia The Puppy Princess</t>
        </is>
      </c>
      <c r="C1670" s="60" t="inlineStr">
        <is>
          <t>https://www.facebook.com/oliviathepuppyprincess</t>
        </is>
      </c>
      <c r="D1670" s="9" t="inlineStr">
        <is>
          <t>Cần quét Bio Fanpage</t>
        </is>
      </c>
      <c r="E1670" s="59" t="inlineStr">
        <is>
          <t>25/07/2026 22:24:33</t>
        </is>
      </c>
      <c r="F1670" s="59" t="inlineStr">
        <is>
          <t>2 tháng trước</t>
        </is>
      </c>
      <c r="G1670" s="61" t="n">
        <v>60</v>
      </c>
      <c r="H1670" s="62" t="n">
        <v>0</v>
      </c>
      <c r="I1670" s="9" t="inlineStr">
        <is>
          <t>Dog Breeder / Trại chó chuyên nghiệp (28-30đ)</t>
        </is>
      </c>
      <c r="J1670" s="62" t="n">
        <v>28</v>
      </c>
      <c r="K1670" s="9" t="inlineStr">
        <is>
          <t>Chưa rõ giống (Cần quét Bio)</t>
        </is>
      </c>
      <c r="L1670" s="62" t="n">
        <v>0</v>
      </c>
      <c r="M1670" s="62" t="n">
        <v>5</v>
      </c>
      <c r="N1670" s="9" t="inlineStr">
        <is>
          <t>Amazon link not found</t>
        </is>
      </c>
      <c r="O1670" s="62">
        <f>IF(N1670="Selling pet toys + Artificial grass/Pet toilets (TARGET)",15,IF(N1670="Selling artificial grass/pet toilets (TARGET)",10,IF(N1670="Selling pet toys",7,IF(N1670="There's an Amazon link, but no target sales.",3,0))))</f>
        <v/>
      </c>
      <c r="P1670" s="67">
        <f>H1670+J1670+L1670+M1670+O1670</f>
        <v/>
      </c>
      <c r="Q1670" s="68">
        <f>IF(OR(H1670=0,P1670&lt;30),"Tier D (Đóng băng)",IF(P1670&gt;=85,"Tier S (Kim Cương: 85-100đ)",IF(P1670&gt;=70,"Tier A (Vàng: 70-84đ)",IF(P1670&gt;=61,"Tier B+ / Cấp A (Hot Lead: 61-69đ)",IF(P1670&gt;=50,"Tier B (Bạc: 50-60đ)","Tier C (Đồng: 30-49đ)")))))</f>
        <v/>
      </c>
      <c r="R1670" s="9" t="inlineStr">
        <is>
          <t>Trọn gói Take-Home Starter Kit V2/V3 (Cỏ nhân tạo + Khay Potty + Đồ chơi Teething/Snuggle)</t>
        </is>
      </c>
      <c r="S1670" s="9" t="inlineStr">
        <is>
          <t>Đóng băng tương tác (&gt;30 ngày): Lưu trữ chờ kích hoạt lại, không tốn tài nguyên Sales</t>
        </is>
      </c>
    </row>
    <row r="1671">
      <c r="A1671" s="53" t="n">
        <v>3151</v>
      </c>
      <c r="B1671" s="12" t="inlineStr">
        <is>
          <t>The Pet Shipper LLC</t>
        </is>
      </c>
      <c r="C1671" s="54" t="inlineStr">
        <is>
          <t>https://www.facebook.com/ThePetShipper</t>
        </is>
      </c>
      <c r="D1671" s="6" t="inlineStr">
        <is>
          <t>Cần quét Bio Fanpage</t>
        </is>
      </c>
      <c r="E1671" s="53" t="inlineStr">
        <is>
          <t>17/07/2026 03:48:52</t>
        </is>
      </c>
      <c r="F1671" s="53" t="inlineStr">
        <is>
          <t>2 tháng trước</t>
        </is>
      </c>
      <c r="G1671" s="55" t="n">
        <v>60</v>
      </c>
      <c r="H1671" s="56" t="n">
        <v>0</v>
      </c>
      <c r="I1671" s="6" t="inlineStr">
        <is>
          <t>Dog Breeder / Trại nhân giống (28-30đ)</t>
        </is>
      </c>
      <c r="J1671" s="56" t="n">
        <v>28</v>
      </c>
      <c r="K1671" s="6" t="inlineStr">
        <is>
          <t>Chưa rõ giống (Cần quét Bio)</t>
        </is>
      </c>
      <c r="L1671" s="56" t="n">
        <v>0</v>
      </c>
      <c r="M1671" s="56" t="n">
        <v>5</v>
      </c>
      <c r="N1671" s="6" t="inlineStr">
        <is>
          <t>Amazon link not found</t>
        </is>
      </c>
      <c r="O1671" s="56">
        <f>IF(N1671="Selling pet toys + Artificial grass/Pet toilets (TARGET)",15,IF(N1671="Selling artificial grass/pet toilets (TARGET)",10,IF(N1671="Selling pet toys",7,IF(N1671="There's an Amazon link, but no target sales.",3,0))))</f>
        <v/>
      </c>
      <c r="P1671" s="65">
        <f>H1671+J1671+L1671+M1671+O1671</f>
        <v/>
      </c>
      <c r="Q1671" s="68">
        <f>IF(OR(H1671=0,P1671&lt;30),"Tier D (Đóng băng)",IF(P1671&gt;=85,"Tier S (Kim Cương: 85-100đ)",IF(P1671&gt;=70,"Tier A (Vàng: 70-84đ)",IF(P1671&gt;=61,"Tier B+ / Cấp A (Hot Lead: 61-69đ)",IF(P1671&gt;=50,"Tier B (Bạc: 50-60đ)","Tier C (Đồng: 30-49đ)")))))</f>
        <v/>
      </c>
      <c r="R1671" s="6" t="inlineStr">
        <is>
          <t>Trọn gói Take-Home Starter Kit V2/V3 (Cỏ nhân tạo + Khay Potty + Đồ chơi cún con)</t>
        </is>
      </c>
      <c r="S1671" s="6" t="inlineStr">
        <is>
          <t>Đóng băng tương tác (&gt;30 ngày): Lưu trữ chờ kích hoạt lại, không tốn tài nguyên Sales</t>
        </is>
      </c>
    </row>
    <row r="1672">
      <c r="A1672" s="59" t="n">
        <v>1476</v>
      </c>
      <c r="B1672" s="15" t="inlineStr">
        <is>
          <t>Funky Dogs of Windsor &amp; Pretty Chaos Cockers</t>
        </is>
      </c>
      <c r="C1672" s="60" t="inlineStr">
        <is>
          <t>https://www.facebook.com/funkydogsofwindsor</t>
        </is>
      </c>
      <c r="D1672" s="9" t="inlineStr">
        <is>
          <t>Cần quét Bio Fanpage</t>
        </is>
      </c>
      <c r="E1672" s="59" t="inlineStr">
        <is>
          <t>12/07/2026 03:50:13</t>
        </is>
      </c>
      <c r="F1672" s="59" t="inlineStr">
        <is>
          <t>3 tháng trước</t>
        </is>
      </c>
      <c r="G1672" s="61" t="n">
        <v>90</v>
      </c>
      <c r="H1672" s="62" t="n">
        <v>0</v>
      </c>
      <c r="I1672" s="9" t="inlineStr">
        <is>
          <t>Dog Breeder / Trại chó chuyên nghiệp (28-30đ)</t>
        </is>
      </c>
      <c r="J1672" s="62" t="n">
        <v>28</v>
      </c>
      <c r="K1672" s="9" t="inlineStr">
        <is>
          <t>Spaniel / Gun Dog / Retriever</t>
        </is>
      </c>
      <c r="L1672" s="62" t="n">
        <v>5</v>
      </c>
      <c r="M1672" s="62" t="n">
        <v>0</v>
      </c>
      <c r="N1672" s="9" t="inlineStr">
        <is>
          <t>Amazon link not found</t>
        </is>
      </c>
      <c r="O1672" s="62">
        <f>IF(N1672="Selling pet toys + Artificial grass/Pet toilets (TARGET)",15,IF(N1672="Selling artificial grass/pet toilets (TARGET)",10,IF(N1672="Selling pet toys",7,IF(N1672="There's an Amazon link, but no target sales.",3,0))))</f>
        <v/>
      </c>
      <c r="P1672" s="67">
        <f>H1672+J1672+L1672+M1672+O1672</f>
        <v/>
      </c>
      <c r="Q1672" s="68">
        <f>IF(OR(H1672=0,P1672&lt;30),"Tier D (Đóng băng)",IF(P1672&gt;=85,"Tier S (Kim Cương: 85-100đ)",IF(P1672&gt;=70,"Tier A (Vàng: 70-84đ)",IF(P1672&gt;=61,"Tier B+ / Cấp A (Hot Lead: 61-69đ)",IF(P1672&gt;=50,"Tier B (Bạc: 50-60đ)","Tier C (Đồng: 30-49đ)")))))</f>
        <v/>
      </c>
      <c r="R1672" s="9" t="inlineStr">
        <is>
          <t>Trọn gói Take-Home Starter Kit V2/V3 (Cỏ nhân tạo + Khay Potty + Đồ chơi Teething/Snuggle)</t>
        </is>
      </c>
      <c r="S1672" s="9" t="inlineStr">
        <is>
          <t>Đóng băng tương tác (&gt;30 ngày): Lưu trữ chờ kích hoạt lại, không tốn tài nguyên Sales</t>
        </is>
      </c>
    </row>
    <row r="1673">
      <c r="A1673" s="53" t="n">
        <v>2516</v>
      </c>
      <c r="B1673" s="12" t="inlineStr">
        <is>
          <t>PetLab Co.</t>
        </is>
      </c>
      <c r="C1673" s="54" t="inlineStr">
        <is>
          <t>https://www.facebook.com/thepetlabco</t>
        </is>
      </c>
      <c r="D1673" s="6" t="inlineStr">
        <is>
          <t>Cần quét Bio Fanpage</t>
        </is>
      </c>
      <c r="E1673" s="53" t="inlineStr">
        <is>
          <t>08/07/2026 18:01:01</t>
        </is>
      </c>
      <c r="F1673" s="53" t="inlineStr">
        <is>
          <t>3 tháng trước</t>
        </is>
      </c>
      <c r="G1673" s="55" t="n">
        <v>90</v>
      </c>
      <c r="H1673" s="56" t="n">
        <v>0</v>
      </c>
      <c r="I1673" s="6" t="inlineStr">
        <is>
          <t>Dog Breeder / Trại nhân giống (28-30đ)</t>
        </is>
      </c>
      <c r="J1673" s="56" t="n">
        <v>28</v>
      </c>
      <c r="K1673" s="6" t="inlineStr">
        <is>
          <t>Chưa rõ giống (Cần quét Bio)</t>
        </is>
      </c>
      <c r="L1673" s="56" t="n">
        <v>0</v>
      </c>
      <c r="M1673" s="56" t="n">
        <v>5</v>
      </c>
      <c r="N1673" s="6" t="inlineStr">
        <is>
          <t>Amazon link not found</t>
        </is>
      </c>
      <c r="O1673" s="56">
        <f>IF(N1673="Selling pet toys + Artificial grass/Pet toilets (TARGET)",15,IF(N1673="Selling artificial grass/pet toilets (TARGET)",10,IF(N1673="Selling pet toys",7,IF(N1673="There's an Amazon link, but no target sales.",3,0))))</f>
        <v/>
      </c>
      <c r="P1673" s="65">
        <f>H1673+J1673+L1673+M1673+O1673</f>
        <v/>
      </c>
      <c r="Q1673" s="68">
        <f>IF(OR(H1673=0,P1673&lt;30),"Tier D (Đóng băng)",IF(P1673&gt;=85,"Tier S (Kim Cương: 85-100đ)",IF(P1673&gt;=70,"Tier A (Vàng: 70-84đ)",IF(P1673&gt;=61,"Tier B+ / Cấp A (Hot Lead: 61-69đ)",IF(P1673&gt;=50,"Tier B (Bạc: 50-60đ)","Tier C (Đồng: 30-49đ)")))))</f>
        <v/>
      </c>
      <c r="R1673" s="6" t="inlineStr">
        <is>
          <t>Trọn gói Take-Home Starter Kit V2/V3 (Cỏ nhân tạo + Khay Potty + Đồ chơi cún con)</t>
        </is>
      </c>
      <c r="S1673" s="6" t="inlineStr">
        <is>
          <t>Đóng băng tương tác (&gt;30 ngày): Lưu trữ chờ kích hoạt lại, không tốn tài nguyên Sales</t>
        </is>
      </c>
    </row>
    <row r="1674">
      <c r="A1674" s="59" t="n">
        <v>2359</v>
      </c>
      <c r="B1674" s="15" t="inlineStr">
        <is>
          <t>Oliver &amp; Hound</t>
        </is>
      </c>
      <c r="C1674" s="60" t="inlineStr">
        <is>
          <t>https://www.facebook.com/profile.php?id=61571455807094</t>
        </is>
      </c>
      <c r="D1674" s="9" t="inlineStr">
        <is>
          <t>Cần quét Bio Fanpage</t>
        </is>
      </c>
      <c r="E1674" s="59" t="inlineStr">
        <is>
          <t>29/06/2026 15:32:51</t>
        </is>
      </c>
      <c r="F1674" s="59" t="inlineStr">
        <is>
          <t>3 tháng trước</t>
        </is>
      </c>
      <c r="G1674" s="61" t="n">
        <v>90</v>
      </c>
      <c r="H1674" s="62" t="n">
        <v>0</v>
      </c>
      <c r="I1674" s="9" t="inlineStr">
        <is>
          <t>Dog Breeder / Trại nhân giống (28-30đ)</t>
        </is>
      </c>
      <c r="J1674" s="62" t="n">
        <v>28</v>
      </c>
      <c r="K1674" s="9" t="inlineStr">
        <is>
          <t>Hound / Beagle / Basset</t>
        </is>
      </c>
      <c r="L1674" s="62" t="n">
        <v>5</v>
      </c>
      <c r="M1674" s="62" t="n">
        <v>0</v>
      </c>
      <c r="N1674" s="9" t="inlineStr">
        <is>
          <t>Amazon link not found</t>
        </is>
      </c>
      <c r="O1674" s="62">
        <f>IF(N1674="Selling pet toys + Artificial grass/Pet toilets (TARGET)",15,IF(N1674="Selling artificial grass/pet toilets (TARGET)",10,IF(N1674="Selling pet toys",7,IF(N1674="There's an Amazon link, but no target sales.",3,0))))</f>
        <v/>
      </c>
      <c r="P1674" s="67">
        <f>H1674+J1674+L1674+M1674+O1674</f>
        <v/>
      </c>
      <c r="Q1674" s="68">
        <f>IF(OR(H1674=0,P1674&lt;30),"Tier D (Đóng băng)",IF(P1674&gt;=85,"Tier S (Kim Cương: 85-100đ)",IF(P1674&gt;=70,"Tier A (Vàng: 70-84đ)",IF(P1674&gt;=61,"Tier B+ / Cấp A (Hot Lead: 61-69đ)",IF(P1674&gt;=50,"Tier B (Bạc: 50-60đ)","Tier C (Đồng: 30-49đ)")))))</f>
        <v/>
      </c>
      <c r="R1674" s="9" t="inlineStr">
        <is>
          <t>Trọn gói Take-Home Starter Kit V2/V3 (Cỏ nhân tạo + Khay Potty + Đồ chơi cún con)</t>
        </is>
      </c>
      <c r="S1674" s="9" t="inlineStr">
        <is>
          <t>Đóng băng tương tác (&gt;30 ngày): Lưu trữ chờ kích hoạt lại, không tốn tài nguyên Sales</t>
        </is>
      </c>
    </row>
    <row r="1675">
      <c r="A1675" s="53" t="n">
        <v>3364</v>
      </c>
      <c r="B1675" s="12" t="inlineStr">
        <is>
          <t>Wallaby Way Australian Cobberdogs</t>
        </is>
      </c>
      <c r="C1675" s="54" t="inlineStr">
        <is>
          <t>https://www.facebook.com/wallabywaycobberdogs</t>
        </is>
      </c>
      <c r="D1675" s="6" t="inlineStr">
        <is>
          <t>Cần quét Bio Fanpage</t>
        </is>
      </c>
      <c r="E1675" s="53" t="inlineStr">
        <is>
          <t>26/06/2026 14:37:42</t>
        </is>
      </c>
      <c r="F1675" s="53" t="inlineStr">
        <is>
          <t>3 tháng trước</t>
        </is>
      </c>
      <c r="G1675" s="55" t="n">
        <v>90</v>
      </c>
      <c r="H1675" s="56" t="n">
        <v>0</v>
      </c>
      <c r="I1675" s="6" t="inlineStr">
        <is>
          <t>Dog Breeder / Trại nhân giống (28-30đ)</t>
        </is>
      </c>
      <c r="J1675" s="56" t="n">
        <v>28</v>
      </c>
      <c r="K1675" s="6" t="inlineStr">
        <is>
          <t>Australian Shepherd / Herding</t>
        </is>
      </c>
      <c r="L1675" s="56" t="n">
        <v>5</v>
      </c>
      <c r="M1675" s="56" t="n">
        <v>0</v>
      </c>
      <c r="N1675" s="6" t="inlineStr">
        <is>
          <t>Amazon link not found</t>
        </is>
      </c>
      <c r="O1675" s="56">
        <f>IF(N1675="Selling pet toys + Artificial grass/Pet toilets (TARGET)",15,IF(N1675="Selling artificial grass/pet toilets (TARGET)",10,IF(N1675="Selling pet toys",7,IF(N1675="There's an Amazon link, but no target sales.",3,0))))</f>
        <v/>
      </c>
      <c r="P1675" s="65">
        <f>H1675+J1675+L1675+M1675+O1675</f>
        <v/>
      </c>
      <c r="Q1675" s="68">
        <f>IF(OR(H1675=0,P1675&lt;30),"Tier D (Đóng băng)",IF(P1675&gt;=85,"Tier S (Kim Cương: 85-100đ)",IF(P1675&gt;=70,"Tier A (Vàng: 70-84đ)",IF(P1675&gt;=61,"Tier B+ / Cấp A (Hot Lead: 61-69đ)",IF(P1675&gt;=50,"Tier B (Bạc: 50-60đ)","Tier C (Đồng: 30-49đ)")))))</f>
        <v/>
      </c>
      <c r="R1675" s="6" t="inlineStr">
        <is>
          <t>Trọn gói Take-Home Starter Kit V2/V3 (Cỏ nhân tạo + Khay Potty + Đồ chơi cún con)</t>
        </is>
      </c>
      <c r="S1675" s="6" t="inlineStr">
        <is>
          <t>Đóng băng tương tác (&gt;30 ngày): Lưu trữ chờ kích hoạt lại, không tốn tài nguyên Sales</t>
        </is>
      </c>
    </row>
    <row r="1676">
      <c r="A1676" s="59" t="n">
        <v>527</v>
      </c>
      <c r="B1676" s="15" t="inlineStr">
        <is>
          <t>Arthur PUG</t>
        </is>
      </c>
      <c r="C1676" s="60" t="inlineStr">
        <is>
          <t>https://www.facebook.com/profile.php?id=61578261784965</t>
        </is>
      </c>
      <c r="D1676" s="9" t="inlineStr">
        <is>
          <t>Cần quét Bio Fanpage</t>
        </is>
      </c>
      <c r="E1676" s="59" t="inlineStr">
        <is>
          <t>18/06/2026 12:45:45</t>
        </is>
      </c>
      <c r="F1676" s="59" t="inlineStr">
        <is>
          <t>3 tháng trước</t>
        </is>
      </c>
      <c r="G1676" s="61" t="n">
        <v>90</v>
      </c>
      <c r="H1676" s="62" t="n">
        <v>0</v>
      </c>
      <c r="I1676" s="9" t="inlineStr">
        <is>
          <t>Dog Breeder / Trại nhân giống (28-30đ)</t>
        </is>
      </c>
      <c r="J1676" s="62" t="n">
        <v>28</v>
      </c>
      <c r="K1676" s="9" t="inlineStr">
        <is>
          <t>Pug</t>
        </is>
      </c>
      <c r="L1676" s="62" t="n">
        <v>5</v>
      </c>
      <c r="M1676" s="62" t="n">
        <v>0</v>
      </c>
      <c r="N1676" s="9" t="inlineStr">
        <is>
          <t>Amazon link not found</t>
        </is>
      </c>
      <c r="O1676" s="62">
        <f>IF(N1676="Selling pet toys + Artificial grass/Pet toilets (TARGET)",15,IF(N1676="Selling artificial grass/pet toilets (TARGET)",10,IF(N1676="Selling pet toys",7,IF(N1676="There's an Amazon link, but no target sales.",3,0))))</f>
        <v/>
      </c>
      <c r="P1676" s="67">
        <f>H1676+J1676+L1676+M1676+O1676</f>
        <v/>
      </c>
      <c r="Q1676" s="68">
        <f>IF(OR(H1676=0,P1676&lt;30),"Tier D (Đóng băng)",IF(P1676&gt;=85,"Tier S (Kim Cương: 85-100đ)",IF(P1676&gt;=70,"Tier A (Vàng: 70-84đ)",IF(P1676&gt;=61,"Tier B+ / Cấp A (Hot Lead: 61-69đ)",IF(P1676&gt;=50,"Tier B (Bạc: 50-60đ)","Tier C (Đồng: 30-49đ)")))))</f>
        <v/>
      </c>
      <c r="R1676" s="9" t="inlineStr">
        <is>
          <t>Trọn gói Take-Home Starter Kit V2/V3 (Cỏ nhân tạo + Khay Potty + Đồ chơi cún con)</t>
        </is>
      </c>
      <c r="S1676" s="9" t="inlineStr">
        <is>
          <t>Đóng băng tương tác (&gt;30 ngày): Lưu trữ chờ kích hoạt lại, không tốn tài nguyên Sales</t>
        </is>
      </c>
    </row>
    <row r="1677">
      <c r="A1677" s="53" t="n">
        <v>532</v>
      </c>
      <c r="B1677" s="12" t="inlineStr">
        <is>
          <t>Aschers Champion Shih Tzu and Pets</t>
        </is>
      </c>
      <c r="C1677" s="54" t="inlineStr">
        <is>
          <t>https://www.facebook.com/profile.php?id=100057037586740</t>
        </is>
      </c>
      <c r="D1677" s="6" t="inlineStr">
        <is>
          <t>Cần quét Bio Fanpage</t>
        </is>
      </c>
      <c r="E1677" s="53" t="inlineStr">
        <is>
          <t>10/06/2026 06:27:08</t>
        </is>
      </c>
      <c r="F1677" s="53" t="inlineStr">
        <is>
          <t>4 tháng trước</t>
        </is>
      </c>
      <c r="G1677" s="55" t="n">
        <v>120</v>
      </c>
      <c r="H1677" s="56" t="n">
        <v>0</v>
      </c>
      <c r="I1677" s="6" t="inlineStr">
        <is>
          <t>Dog Breeder / Trại nhân giống (28-30đ)</t>
        </is>
      </c>
      <c r="J1677" s="56" t="n">
        <v>28</v>
      </c>
      <c r="K1677" s="6" t="inlineStr">
        <is>
          <t>Chihuahua / Toy Companion</t>
        </is>
      </c>
      <c r="L1677" s="56" t="n">
        <v>5</v>
      </c>
      <c r="M1677" s="56" t="n">
        <v>0</v>
      </c>
      <c r="N1677" s="6" t="inlineStr">
        <is>
          <t>Amazon link not found</t>
        </is>
      </c>
      <c r="O1677" s="56">
        <f>IF(N1677="Selling pet toys + Artificial grass/Pet toilets (TARGET)",15,IF(N1677="Selling artificial grass/pet toilets (TARGET)",10,IF(N1677="Selling pet toys",7,IF(N1677="There's an Amazon link, but no target sales.",3,0))))</f>
        <v/>
      </c>
      <c r="P1677" s="65">
        <f>H1677+J1677+L1677+M1677+O1677</f>
        <v/>
      </c>
      <c r="Q1677" s="68">
        <f>IF(OR(H1677=0,P1677&lt;30),"Tier D (Đóng băng)",IF(P1677&gt;=85,"Tier S (Kim Cương: 85-100đ)",IF(P1677&gt;=70,"Tier A (Vàng: 70-84đ)",IF(P1677&gt;=61,"Tier B+ / Cấp A (Hot Lead: 61-69đ)",IF(P1677&gt;=50,"Tier B (Bạc: 50-60đ)","Tier C (Đồng: 30-49đ)")))))</f>
        <v/>
      </c>
      <c r="R1677" s="6" t="inlineStr">
        <is>
          <t>Trọn gói Take-Home Starter Kit V2/V3 (Cỏ nhân tạo + Khay Potty + Đồ chơi cún con)</t>
        </is>
      </c>
      <c r="S1677" s="6" t="inlineStr">
        <is>
          <t>Đóng băng tương tác (&gt;30 ngày): Lưu trữ chờ kích hoạt lại, không tốn tài nguyên Sales</t>
        </is>
      </c>
    </row>
    <row r="1678">
      <c r="A1678" s="59" t="n">
        <v>1654</v>
      </c>
      <c r="B1678" s="15" t="inlineStr">
        <is>
          <t>Higgins Tiny Dog Farm</t>
        </is>
      </c>
      <c r="C1678" s="60" t="inlineStr">
        <is>
          <t>https://www.facebook.com/profile.php?id=61587185803536</t>
        </is>
      </c>
      <c r="D1678" s="9" t="inlineStr">
        <is>
          <t>Cần quét Bio Fanpage</t>
        </is>
      </c>
      <c r="E1678" s="59" t="inlineStr">
        <is>
          <t>24/05/2026 19:02:00</t>
        </is>
      </c>
      <c r="F1678" s="59" t="inlineStr">
        <is>
          <t>4 tháng trước</t>
        </is>
      </c>
      <c r="G1678" s="61" t="n">
        <v>120</v>
      </c>
      <c r="H1678" s="62" t="n">
        <v>0</v>
      </c>
      <c r="I1678" s="9" t="inlineStr">
        <is>
          <t>Dog Breeder / Trại nhân giống (28-30đ)</t>
        </is>
      </c>
      <c r="J1678" s="62" t="n">
        <v>28</v>
      </c>
      <c r="K1678" s="9" t="inlineStr">
        <is>
          <t>Chưa rõ giống (Cần quét Bio)</t>
        </is>
      </c>
      <c r="L1678" s="62" t="n">
        <v>0</v>
      </c>
      <c r="M1678" s="62" t="n">
        <v>5</v>
      </c>
      <c r="N1678" s="9" t="inlineStr">
        <is>
          <t>Amazon link not found</t>
        </is>
      </c>
      <c r="O1678" s="62">
        <f>IF(N1678="Selling pet toys + Artificial grass/Pet toilets (TARGET)",15,IF(N1678="Selling artificial grass/pet toilets (TARGET)",10,IF(N1678="Selling pet toys",7,IF(N1678="There's an Amazon link, but no target sales.",3,0))))</f>
        <v/>
      </c>
      <c r="P1678" s="67">
        <f>H1678+J1678+L1678+M1678+O1678</f>
        <v/>
      </c>
      <c r="Q1678" s="68">
        <f>IF(OR(H1678=0,P1678&lt;30),"Tier D (Đóng băng)",IF(P1678&gt;=85,"Tier S (Kim Cương: 85-100đ)",IF(P1678&gt;=70,"Tier A (Vàng: 70-84đ)",IF(P1678&gt;=61,"Tier B+ / Cấp A (Hot Lead: 61-69đ)",IF(P1678&gt;=50,"Tier B (Bạc: 50-60đ)","Tier C (Đồng: 30-49đ)")))))</f>
        <v/>
      </c>
      <c r="R1678" s="9" t="inlineStr">
        <is>
          <t>Trọn gói Take-Home Starter Kit V2/V3 (Cỏ nhân tạo + Khay Potty + Đồ chơi cún con)</t>
        </is>
      </c>
      <c r="S1678" s="9" t="inlineStr">
        <is>
          <t>Đóng băng tương tác (&gt;30 ngày): Lưu trữ chờ kích hoạt lại, không tốn tài nguyên Sales</t>
        </is>
      </c>
    </row>
    <row r="1679">
      <c r="A1679" s="53" t="n">
        <v>1926</v>
      </c>
      <c r="B1679" s="12" t="inlineStr">
        <is>
          <t>Kilworth Irish Wolfhounds</t>
        </is>
      </c>
      <c r="C1679" s="54" t="inlineStr">
        <is>
          <t>https://www.facebook.com/profile.php?id=100091325905847</t>
        </is>
      </c>
      <c r="D1679" s="6" t="inlineStr">
        <is>
          <t>Cần quét Bio Fanpage</t>
        </is>
      </c>
      <c r="E1679" s="53" t="inlineStr">
        <is>
          <t>13/03/2026 14:17:53</t>
        </is>
      </c>
      <c r="F1679" s="53" t="inlineStr">
        <is>
          <t>7 tháng trước</t>
        </is>
      </c>
      <c r="G1679" s="55" t="n">
        <v>210</v>
      </c>
      <c r="H1679" s="56" t="n">
        <v>0</v>
      </c>
      <c r="I1679" s="6" t="inlineStr">
        <is>
          <t>Dog Breeder / Trại nhân giống (28-30đ)</t>
        </is>
      </c>
      <c r="J1679" s="56" t="n">
        <v>28</v>
      </c>
      <c r="K1679" s="6" t="inlineStr">
        <is>
          <t>Hound / Beagle / Basset</t>
        </is>
      </c>
      <c r="L1679" s="56" t="n">
        <v>5</v>
      </c>
      <c r="M1679" s="56" t="n">
        <v>0</v>
      </c>
      <c r="N1679" s="6" t="inlineStr">
        <is>
          <t>Amazon link not found</t>
        </is>
      </c>
      <c r="O1679" s="56">
        <f>IF(N1679="Selling pet toys + Artificial grass/Pet toilets (TARGET)",15,IF(N1679="Selling artificial grass/pet toilets (TARGET)",10,IF(N1679="Selling pet toys",7,IF(N1679="There's an Amazon link, but no target sales.",3,0))))</f>
        <v/>
      </c>
      <c r="P1679" s="65">
        <f>H1679+J1679+L1679+M1679+O1679</f>
        <v/>
      </c>
      <c r="Q1679" s="68">
        <f>IF(OR(H1679=0,P1679&lt;30),"Tier D (Đóng băng)",IF(P1679&gt;=85,"Tier S (Kim Cương: 85-100đ)",IF(P1679&gt;=70,"Tier A (Vàng: 70-84đ)",IF(P1679&gt;=61,"Tier B+ / Cấp A (Hot Lead: 61-69đ)",IF(P1679&gt;=50,"Tier B (Bạc: 50-60đ)","Tier C (Đồng: 30-49đ)")))))</f>
        <v/>
      </c>
      <c r="R1679" s="6" t="inlineStr">
        <is>
          <t>Trọn gói Take-Home Starter Kit V2/V3 (Cỏ nhân tạo + Khay Potty + Đồ chơi cún con)</t>
        </is>
      </c>
      <c r="S1679" s="6" t="inlineStr">
        <is>
          <t>Đóng băng tương tác (&gt;30 ngày): Lưu trữ chờ kích hoạt lại, không tốn tài nguyên Sales</t>
        </is>
      </c>
    </row>
    <row r="1680">
      <c r="A1680" s="59" t="n">
        <v>2840</v>
      </c>
      <c r="B1680" s="15" t="inlineStr">
        <is>
          <t>Scenery- Bernese Mountain Dogs</t>
        </is>
      </c>
      <c r="C1680" s="60" t="inlineStr">
        <is>
          <t>https://www.facebook.com/profile.php?id=100066518446392</t>
        </is>
      </c>
      <c r="D1680" s="9" t="inlineStr">
        <is>
          <t>Cần quét Bio Fanpage</t>
        </is>
      </c>
      <c r="E1680" s="59" t="inlineStr">
        <is>
          <t>12/03/2026 04:38:00</t>
        </is>
      </c>
      <c r="F1680" s="59" t="inlineStr">
        <is>
          <t>7 tháng trước</t>
        </is>
      </c>
      <c r="G1680" s="61" t="n">
        <v>210</v>
      </c>
      <c r="H1680" s="62" t="n">
        <v>0</v>
      </c>
      <c r="I1680" s="9" t="inlineStr">
        <is>
          <t>Dog Breeder / Trại chó chuyên nghiệp (28-30đ)</t>
        </is>
      </c>
      <c r="J1680" s="62" t="n">
        <v>28</v>
      </c>
      <c r="K1680" s="9" t="inlineStr">
        <is>
          <t>Bernese Mountain Dog</t>
        </is>
      </c>
      <c r="L1680" s="62" t="n">
        <v>5</v>
      </c>
      <c r="M1680" s="62" t="n">
        <v>0</v>
      </c>
      <c r="N1680" s="9" t="inlineStr">
        <is>
          <t>Amazon link not found</t>
        </is>
      </c>
      <c r="O1680" s="62">
        <f>IF(N1680="Selling pet toys + Artificial grass/Pet toilets (TARGET)",15,IF(N1680="Selling artificial grass/pet toilets (TARGET)",10,IF(N1680="Selling pet toys",7,IF(N1680="There's an Amazon link, but no target sales.",3,0))))</f>
        <v/>
      </c>
      <c r="P1680" s="67">
        <f>H1680+J1680+L1680+M1680+O1680</f>
        <v/>
      </c>
      <c r="Q1680" s="68">
        <f>IF(OR(H1680=0,P1680&lt;30),"Tier D (Đóng băng)",IF(P1680&gt;=85,"Tier S (Kim Cương: 85-100đ)",IF(P1680&gt;=70,"Tier A (Vàng: 70-84đ)",IF(P1680&gt;=61,"Tier B+ / Cấp A (Hot Lead: 61-69đ)",IF(P1680&gt;=50,"Tier B (Bạc: 50-60đ)","Tier C (Đồng: 30-49đ)")))))</f>
        <v/>
      </c>
      <c r="R1680" s="9" t="inlineStr">
        <is>
          <t>Trọn gói Take-Home Starter Kit V2/V3 (Cỏ nhân tạo + Khay Potty + Đồ chơi Teething/Snuggle)</t>
        </is>
      </c>
      <c r="S1680" s="9" t="inlineStr">
        <is>
          <t>Đóng băng tương tác (&gt;30 ngày): Lưu trữ chờ kích hoạt lại, không tốn tài nguyên Sales</t>
        </is>
      </c>
    </row>
    <row r="1681">
      <c r="A1681" s="53" t="n">
        <v>2315</v>
      </c>
      <c r="B1681" s="12" t="inlineStr">
        <is>
          <t>North Star's Bernese Mountain Dogs</t>
        </is>
      </c>
      <c r="C1681" s="54" t="inlineStr">
        <is>
          <t>https://www.facebook.com/northstarbmd</t>
        </is>
      </c>
      <c r="D1681" s="6" t="inlineStr">
        <is>
          <t>Cần quét Bio Fanpage</t>
        </is>
      </c>
      <c r="E1681" s="53" t="inlineStr">
        <is>
          <t>06/03/2026 04:39:32</t>
        </is>
      </c>
      <c r="F1681" s="53" t="inlineStr">
        <is>
          <t>7 tháng trước</t>
        </is>
      </c>
      <c r="G1681" s="55" t="n">
        <v>210</v>
      </c>
      <c r="H1681" s="56" t="n">
        <v>0</v>
      </c>
      <c r="I1681" s="6" t="inlineStr">
        <is>
          <t>Dog Breeder / Trại chó chuyên nghiệp (28-30đ)</t>
        </is>
      </c>
      <c r="J1681" s="56" t="n">
        <v>28</v>
      </c>
      <c r="K1681" s="6" t="inlineStr">
        <is>
          <t>Bernese Mountain Dog</t>
        </is>
      </c>
      <c r="L1681" s="56" t="n">
        <v>5</v>
      </c>
      <c r="M1681" s="56" t="n">
        <v>0</v>
      </c>
      <c r="N1681" s="6" t="inlineStr">
        <is>
          <t>Amazon link not found</t>
        </is>
      </c>
      <c r="O1681" s="56">
        <f>IF(N1681="Selling pet toys + Artificial grass/Pet toilets (TARGET)",15,IF(N1681="Selling artificial grass/pet toilets (TARGET)",10,IF(N1681="Selling pet toys",7,IF(N1681="There's an Amazon link, but no target sales.",3,0))))</f>
        <v/>
      </c>
      <c r="P1681" s="65">
        <f>H1681+J1681+L1681+M1681+O1681</f>
        <v/>
      </c>
      <c r="Q1681" s="68">
        <f>IF(OR(H1681=0,P1681&lt;30),"Tier D (Đóng băng)",IF(P1681&gt;=85,"Tier S (Kim Cương: 85-100đ)",IF(P1681&gt;=70,"Tier A (Vàng: 70-84đ)",IF(P1681&gt;=61,"Tier B+ / Cấp A (Hot Lead: 61-69đ)",IF(P1681&gt;=50,"Tier B (Bạc: 50-60đ)","Tier C (Đồng: 30-49đ)")))))</f>
        <v/>
      </c>
      <c r="R1681" s="6" t="inlineStr">
        <is>
          <t>Trọn gói Take-Home Starter Kit V2/V3 (Cỏ nhân tạo + Khay Potty + Đồ chơi Teething/Snuggle)</t>
        </is>
      </c>
      <c r="S1681" s="6" t="inlineStr">
        <is>
          <t>Đóng băng tương tác (&gt;30 ngày): Lưu trữ chờ kích hoạt lại, không tốn tài nguyên Sales</t>
        </is>
      </c>
    </row>
    <row r="1682">
      <c r="A1682" s="59" t="n">
        <v>362</v>
      </c>
      <c r="B1682" s="15" t="inlineStr">
        <is>
          <t>Alaskan Malamute Dog : Leo</t>
        </is>
      </c>
      <c r="C1682" s="60" t="inlineStr">
        <is>
          <t>https://www.facebook.com/profile.php?id=61588276973531</t>
        </is>
      </c>
      <c r="D1682" s="9" t="inlineStr">
        <is>
          <t>Cần quét Bio Fanpage</t>
        </is>
      </c>
      <c r="E1682" s="59" t="inlineStr">
        <is>
          <t>13/02/2026 23:36:02</t>
        </is>
      </c>
      <c r="F1682" s="59" t="inlineStr">
        <is>
          <t>8 tháng trước</t>
        </is>
      </c>
      <c r="G1682" s="61" t="n">
        <v>240</v>
      </c>
      <c r="H1682" s="62" t="n">
        <v>0</v>
      </c>
      <c r="I1682" s="9" t="inlineStr">
        <is>
          <t>Dog Breeder / Trại nhân giống (28-30đ)</t>
        </is>
      </c>
      <c r="J1682" s="62" t="n">
        <v>28</v>
      </c>
      <c r="K1682" s="9" t="inlineStr">
        <is>
          <t>Husky / Malamute / Samoyed / Spitz</t>
        </is>
      </c>
      <c r="L1682" s="62" t="n">
        <v>5</v>
      </c>
      <c r="M1682" s="62" t="n">
        <v>0</v>
      </c>
      <c r="N1682" s="9" t="inlineStr">
        <is>
          <t>Amazon link not found</t>
        </is>
      </c>
      <c r="O1682" s="62">
        <f>IF(N1682="Selling pet toys + Artificial grass/Pet toilets (TARGET)",15,IF(N1682="Selling artificial grass/pet toilets (TARGET)",10,IF(N1682="Selling pet toys",7,IF(N1682="There's an Amazon link, but no target sales.",3,0))))</f>
        <v/>
      </c>
      <c r="P1682" s="67">
        <f>H1682+J1682+L1682+M1682+O1682</f>
        <v/>
      </c>
      <c r="Q1682" s="68">
        <f>IF(OR(H1682=0,P1682&lt;30),"Tier D (Đóng băng)",IF(P1682&gt;=85,"Tier S (Kim Cương: 85-100đ)",IF(P1682&gt;=70,"Tier A (Vàng: 70-84đ)",IF(P1682&gt;=61,"Tier B+ / Cấp A (Hot Lead: 61-69đ)",IF(P1682&gt;=50,"Tier B (Bạc: 50-60đ)","Tier C (Đồng: 30-49đ)")))))</f>
        <v/>
      </c>
      <c r="R1682" s="9" t="inlineStr">
        <is>
          <t>Trọn gói Take-Home Starter Kit V2/V3 (Cỏ nhân tạo + Khay Potty + Đồ chơi cún con)</t>
        </is>
      </c>
      <c r="S1682" s="9" t="inlineStr">
        <is>
          <t>Đóng băng tương tác (&gt;30 ngày): Lưu trữ chờ kích hoạt lại, không tốn tài nguyên Sales</t>
        </is>
      </c>
    </row>
    <row r="1683">
      <c r="A1683" s="53" t="n">
        <v>3199</v>
      </c>
      <c r="B1683" s="12" t="inlineStr">
        <is>
          <t>Toby Dogs: Bernese Mountain Dogs</t>
        </is>
      </c>
      <c r="C1683" s="54" t="inlineStr">
        <is>
          <t>https://www.facebook.com/profile.php?id=100067997065392</t>
        </is>
      </c>
      <c r="D1683" s="6" t="inlineStr">
        <is>
          <t>Cần quét Bio Fanpage</t>
        </is>
      </c>
      <c r="E1683" s="53" t="inlineStr">
        <is>
          <t>28/01/2026 03:57:44</t>
        </is>
      </c>
      <c r="F1683" s="53" t="inlineStr">
        <is>
          <t>8 tháng trước</t>
        </is>
      </c>
      <c r="G1683" s="55" t="n">
        <v>240</v>
      </c>
      <c r="H1683" s="56" t="n">
        <v>0</v>
      </c>
      <c r="I1683" s="6" t="inlineStr">
        <is>
          <t>Dog Breeder / Trại chó chuyên nghiệp (28-30đ)</t>
        </is>
      </c>
      <c r="J1683" s="56" t="n">
        <v>28</v>
      </c>
      <c r="K1683" s="6" t="inlineStr">
        <is>
          <t>Bernese Mountain Dog</t>
        </is>
      </c>
      <c r="L1683" s="56" t="n">
        <v>5</v>
      </c>
      <c r="M1683" s="56" t="n">
        <v>0</v>
      </c>
      <c r="N1683" s="6" t="inlineStr">
        <is>
          <t>Amazon link not found</t>
        </is>
      </c>
      <c r="O1683" s="56">
        <f>IF(N1683="Selling pet toys + Artificial grass/Pet toilets (TARGET)",15,IF(N1683="Selling artificial grass/pet toilets (TARGET)",10,IF(N1683="Selling pet toys",7,IF(N1683="There's an Amazon link, but no target sales.",3,0))))</f>
        <v/>
      </c>
      <c r="P1683" s="65">
        <f>H1683+J1683+L1683+M1683+O1683</f>
        <v/>
      </c>
      <c r="Q1683" s="68">
        <f>IF(OR(H1683=0,P1683&lt;30),"Tier D (Đóng băng)",IF(P1683&gt;=85,"Tier S (Kim Cương: 85-100đ)",IF(P1683&gt;=70,"Tier A (Vàng: 70-84đ)",IF(P1683&gt;=61,"Tier B+ / Cấp A (Hot Lead: 61-69đ)",IF(P1683&gt;=50,"Tier B (Bạc: 50-60đ)","Tier C (Đồng: 30-49đ)")))))</f>
        <v/>
      </c>
      <c r="R1683" s="6" t="inlineStr">
        <is>
          <t>Trọn gói Take-Home Starter Kit V2/V3 (Cỏ nhân tạo + Khay Potty + Đồ chơi Teething/Snuggle)</t>
        </is>
      </c>
      <c r="S1683" s="6" t="inlineStr">
        <is>
          <t>Đóng băng tương tác (&gt;30 ngày): Lưu trữ chờ kích hoạt lại, không tốn tài nguyên Sales</t>
        </is>
      </c>
    </row>
    <row r="1684">
      <c r="A1684" s="59" t="n">
        <v>2360</v>
      </c>
      <c r="B1684" s="15" t="inlineStr">
        <is>
          <t>Olivia The Blue Hound</t>
        </is>
      </c>
      <c r="C1684" s="60" t="inlineStr">
        <is>
          <t>https://www.facebook.com/OliviaTheBlueHound</t>
        </is>
      </c>
      <c r="D1684" s="9" t="inlineStr">
        <is>
          <t>Cần quét Bio Fanpage</t>
        </is>
      </c>
      <c r="E1684" s="59" t="inlineStr">
        <is>
          <t>26/01/2026 04:53:59</t>
        </is>
      </c>
      <c r="F1684" s="59" t="inlineStr">
        <is>
          <t>8 tháng trước</t>
        </is>
      </c>
      <c r="G1684" s="61" t="n">
        <v>240</v>
      </c>
      <c r="H1684" s="62" t="n">
        <v>0</v>
      </c>
      <c r="I1684" s="9" t="inlineStr">
        <is>
          <t>Dog Breeder / Trại nhân giống (28-30đ)</t>
        </is>
      </c>
      <c r="J1684" s="62" t="n">
        <v>28</v>
      </c>
      <c r="K1684" s="9" t="inlineStr">
        <is>
          <t>Hound / Beagle / Basset</t>
        </is>
      </c>
      <c r="L1684" s="62" t="n">
        <v>5</v>
      </c>
      <c r="M1684" s="62" t="n">
        <v>0</v>
      </c>
      <c r="N1684" s="9" t="inlineStr">
        <is>
          <t>Amazon link not found</t>
        </is>
      </c>
      <c r="O1684" s="62">
        <f>IF(N1684="Selling pet toys + Artificial grass/Pet toilets (TARGET)",15,IF(N1684="Selling artificial grass/pet toilets (TARGET)",10,IF(N1684="Selling pet toys",7,IF(N1684="There's an Amazon link, but no target sales.",3,0))))</f>
        <v/>
      </c>
      <c r="P1684" s="67">
        <f>H1684+J1684+L1684+M1684+O1684</f>
        <v/>
      </c>
      <c r="Q1684" s="68">
        <f>IF(OR(H1684=0,P1684&lt;30),"Tier D (Đóng băng)",IF(P1684&gt;=85,"Tier S (Kim Cương: 85-100đ)",IF(P1684&gt;=70,"Tier A (Vàng: 70-84đ)",IF(P1684&gt;=61,"Tier B+ / Cấp A (Hot Lead: 61-69đ)",IF(P1684&gt;=50,"Tier B (Bạc: 50-60đ)","Tier C (Đồng: 30-49đ)")))))</f>
        <v/>
      </c>
      <c r="R1684" s="9" t="inlineStr">
        <is>
          <t>Trọn gói Take-Home Starter Kit V2/V3 (Cỏ nhân tạo + Khay Potty + Đồ chơi cún con)</t>
        </is>
      </c>
      <c r="S1684" s="9" t="inlineStr">
        <is>
          <t>Đóng băng tương tác (&gt;30 ngày): Lưu trữ chờ kích hoạt lại, không tốn tài nguyên Sales</t>
        </is>
      </c>
    </row>
    <row r="1685">
      <c r="A1685" s="53" t="n">
        <v>1595</v>
      </c>
      <c r="B1685" s="12" t="inlineStr">
        <is>
          <t>Hampton Roads Bernese Mountain Dog Friends</t>
        </is>
      </c>
      <c r="C1685" s="54" t="inlineStr">
        <is>
          <t>https://www.facebook.com/HRBMDF</t>
        </is>
      </c>
      <c r="D1685" s="6" t="inlineStr">
        <is>
          <t>Cần quét Bio Fanpage</t>
        </is>
      </c>
      <c r="E1685" s="53" t="inlineStr">
        <is>
          <t>09/01/2026 23:47:05</t>
        </is>
      </c>
      <c r="F1685" s="53" t="inlineStr">
        <is>
          <t>9 tháng trước</t>
        </is>
      </c>
      <c r="G1685" s="55" t="n">
        <v>270</v>
      </c>
      <c r="H1685" s="56" t="n">
        <v>0</v>
      </c>
      <c r="I1685" s="6" t="inlineStr">
        <is>
          <t>Dog Breeder / Trại chó chuyên nghiệp (28-30đ)</t>
        </is>
      </c>
      <c r="J1685" s="56" t="n">
        <v>28</v>
      </c>
      <c r="K1685" s="6" t="inlineStr">
        <is>
          <t>Bernese Mountain Dog</t>
        </is>
      </c>
      <c r="L1685" s="56" t="n">
        <v>5</v>
      </c>
      <c r="M1685" s="56" t="n">
        <v>0</v>
      </c>
      <c r="N1685" s="6" t="inlineStr">
        <is>
          <t>Amazon link not found</t>
        </is>
      </c>
      <c r="O1685" s="56">
        <f>IF(N1685="Selling pet toys + Artificial grass/Pet toilets (TARGET)",15,IF(N1685="Selling artificial grass/pet toilets (TARGET)",10,IF(N1685="Selling pet toys",7,IF(N1685="There's an Amazon link, but no target sales.",3,0))))</f>
        <v/>
      </c>
      <c r="P1685" s="65">
        <f>H1685+J1685+L1685+M1685+O1685</f>
        <v/>
      </c>
      <c r="Q1685" s="68">
        <f>IF(OR(H1685=0,P1685&lt;30),"Tier D (Đóng băng)",IF(P1685&gt;=85,"Tier S (Kim Cương: 85-100đ)",IF(P1685&gt;=70,"Tier A (Vàng: 70-84đ)",IF(P1685&gt;=61,"Tier B+ / Cấp A (Hot Lead: 61-69đ)",IF(P1685&gt;=50,"Tier B (Bạc: 50-60đ)","Tier C (Đồng: 30-49đ)")))))</f>
        <v/>
      </c>
      <c r="R1685" s="6" t="inlineStr">
        <is>
          <t>Trọn gói Take-Home Starter Kit V2/V3 (Cỏ nhân tạo + Khay Potty + Đồ chơi Teething/Snuggle)</t>
        </is>
      </c>
      <c r="S1685" s="6" t="inlineStr">
        <is>
          <t>Đóng băng tương tác (&gt;30 ngày): Lưu trữ chờ kích hoạt lại, không tốn tài nguyên Sales</t>
        </is>
      </c>
    </row>
    <row r="1686">
      <c r="A1686" s="59" t="n">
        <v>1653</v>
      </c>
      <c r="B1686" s="15" t="inlineStr">
        <is>
          <t>Hickory Bernese Mountain Dogs</t>
        </is>
      </c>
      <c r="C1686" s="60" t="inlineStr">
        <is>
          <t>https://www.facebook.com/HickoryBerneseMountainDogs</t>
        </is>
      </c>
      <c r="D1686" s="9" t="inlineStr">
        <is>
          <t>Cần quét Bio Fanpage</t>
        </is>
      </c>
      <c r="E1686" s="59" t="inlineStr">
        <is>
          <t>04/01/2026 10:32:43</t>
        </is>
      </c>
      <c r="F1686" s="59" t="inlineStr">
        <is>
          <t>9 tháng trước</t>
        </is>
      </c>
      <c r="G1686" s="61" t="n">
        <v>270</v>
      </c>
      <c r="H1686" s="62" t="n">
        <v>0</v>
      </c>
      <c r="I1686" s="9" t="inlineStr">
        <is>
          <t>Dog Breeder / Trại chó chuyên nghiệp (28-30đ)</t>
        </is>
      </c>
      <c r="J1686" s="62" t="n">
        <v>28</v>
      </c>
      <c r="K1686" s="9" t="inlineStr">
        <is>
          <t>Bernese Mountain Dog</t>
        </is>
      </c>
      <c r="L1686" s="62" t="n">
        <v>5</v>
      </c>
      <c r="M1686" s="62" t="n">
        <v>0</v>
      </c>
      <c r="N1686" s="9" t="inlineStr">
        <is>
          <t>Amazon link not found</t>
        </is>
      </c>
      <c r="O1686" s="62">
        <f>IF(N1686="Selling pet toys + Artificial grass/Pet toilets (TARGET)",15,IF(N1686="Selling artificial grass/pet toilets (TARGET)",10,IF(N1686="Selling pet toys",7,IF(N1686="There's an Amazon link, but no target sales.",3,0))))</f>
        <v/>
      </c>
      <c r="P1686" s="67">
        <f>H1686+J1686+L1686+M1686+O1686</f>
        <v/>
      </c>
      <c r="Q1686" s="68">
        <f>IF(OR(H1686=0,P1686&lt;30),"Tier D (Đóng băng)",IF(P1686&gt;=85,"Tier S (Kim Cương: 85-100đ)",IF(P1686&gt;=70,"Tier A (Vàng: 70-84đ)",IF(P1686&gt;=61,"Tier B+ / Cấp A (Hot Lead: 61-69đ)",IF(P1686&gt;=50,"Tier B (Bạc: 50-60đ)","Tier C (Đồng: 30-49đ)")))))</f>
        <v/>
      </c>
      <c r="R1686" s="9" t="inlineStr">
        <is>
          <t>Trọn gói Take-Home Starter Kit V2/V3 (Cỏ nhân tạo + Khay Potty + Đồ chơi Teething/Snuggle)</t>
        </is>
      </c>
      <c r="S1686" s="9" t="inlineStr">
        <is>
          <t>Đóng băng tương tác (&gt;30 ngày): Lưu trữ chờ kích hoạt lại, không tốn tài nguyên Sales</t>
        </is>
      </c>
    </row>
    <row r="1687">
      <c r="A1687" s="53" t="n">
        <v>578</v>
      </c>
      <c r="B1687" s="12" t="inlineStr">
        <is>
          <t>Balihara Ranch and Ballyhara's - Swiss Mtn. Dogs</t>
        </is>
      </c>
      <c r="C1687" s="54" t="inlineStr">
        <is>
          <t>https://www.facebook.com/profile.php?id=100066792144987</t>
        </is>
      </c>
      <c r="D1687" s="6" t="inlineStr">
        <is>
          <t>Cần quét Bio Fanpage</t>
        </is>
      </c>
      <c r="E1687" s="53" t="inlineStr">
        <is>
          <t>25/12/2025 10:37:38</t>
        </is>
      </c>
      <c r="F1687" s="53" t="inlineStr">
        <is>
          <t>9 tháng trước</t>
        </is>
      </c>
      <c r="G1687" s="55" t="n">
        <v>270</v>
      </c>
      <c r="H1687" s="56" t="n">
        <v>0</v>
      </c>
      <c r="I1687" s="6" t="inlineStr">
        <is>
          <t>Dog Breeder / Trại nhân giống (28-30đ)</t>
        </is>
      </c>
      <c r="J1687" s="56" t="n">
        <v>28</v>
      </c>
      <c r="K1687" s="6" t="inlineStr">
        <is>
          <t>Chưa rõ giống (Cần quét Bio)</t>
        </is>
      </c>
      <c r="L1687" s="56" t="n">
        <v>0</v>
      </c>
      <c r="M1687" s="56" t="n">
        <v>5</v>
      </c>
      <c r="N1687" s="6" t="inlineStr">
        <is>
          <t>Amazon link not found</t>
        </is>
      </c>
      <c r="O1687" s="56">
        <f>IF(N1687="Selling pet toys + Artificial grass/Pet toilets (TARGET)",15,IF(N1687="Selling artificial grass/pet toilets (TARGET)",10,IF(N1687="Selling pet toys",7,IF(N1687="There's an Amazon link, but no target sales.",3,0))))</f>
        <v/>
      </c>
      <c r="P1687" s="65">
        <f>H1687+J1687+L1687+M1687+O1687</f>
        <v/>
      </c>
      <c r="Q1687" s="68">
        <f>IF(OR(H1687=0,P1687&lt;30),"Tier D (Đóng băng)",IF(P1687&gt;=85,"Tier S (Kim Cương: 85-100đ)",IF(P1687&gt;=70,"Tier A (Vàng: 70-84đ)",IF(P1687&gt;=61,"Tier B+ / Cấp A (Hot Lead: 61-69đ)",IF(P1687&gt;=50,"Tier B (Bạc: 50-60đ)","Tier C (Đồng: 30-49đ)")))))</f>
        <v/>
      </c>
      <c r="R1687" s="6" t="inlineStr">
        <is>
          <t>Trọn gói Take-Home Starter Kit V2/V3 (Cỏ nhân tạo + Khay Potty + Đồ chơi cún con)</t>
        </is>
      </c>
      <c r="S1687" s="6" t="inlineStr">
        <is>
          <t>Đóng băng tương tác (&gt;30 ngày): Lưu trữ chờ kích hoạt lại, không tốn tài nguyên Sales</t>
        </is>
      </c>
    </row>
    <row r="1688">
      <c r="A1688" s="59" t="n">
        <v>2376</v>
      </c>
      <c r="B1688" s="15" t="inlineStr">
        <is>
          <t>Our bernese mountain dog  (Our Maine Coon cats)</t>
        </is>
      </c>
      <c r="C1688" s="60" t="inlineStr">
        <is>
          <t>https://www.facebook.com/profile.php?id=100077443095389</t>
        </is>
      </c>
      <c r="D1688" s="9" t="inlineStr">
        <is>
          <t>Cần quét Bio Fanpage</t>
        </is>
      </c>
      <c r="E1688" s="59" t="inlineStr">
        <is>
          <t>24/10/2025 23:54:31</t>
        </is>
      </c>
      <c r="F1688" s="59" t="inlineStr">
        <is>
          <t>11 tháng trước</t>
        </is>
      </c>
      <c r="G1688" s="61" t="n">
        <v>330</v>
      </c>
      <c r="H1688" s="62" t="n">
        <v>0</v>
      </c>
      <c r="I1688" s="9" t="inlineStr">
        <is>
          <t>Dog Breeder / Trại chó chuyên nghiệp (28-30đ)</t>
        </is>
      </c>
      <c r="J1688" s="62" t="n">
        <v>28</v>
      </c>
      <c r="K1688" s="9" t="inlineStr">
        <is>
          <t>Bernese Mountain Dog</t>
        </is>
      </c>
      <c r="L1688" s="62" t="n">
        <v>5</v>
      </c>
      <c r="M1688" s="62" t="n">
        <v>0</v>
      </c>
      <c r="N1688" s="9" t="inlineStr">
        <is>
          <t>Amazon link not found</t>
        </is>
      </c>
      <c r="O1688" s="62">
        <f>IF(N1688="Selling pet toys + Artificial grass/Pet toilets (TARGET)",15,IF(N1688="Selling artificial grass/pet toilets (TARGET)",10,IF(N1688="Selling pet toys",7,IF(N1688="There's an Amazon link, but no target sales.",3,0))))</f>
        <v/>
      </c>
      <c r="P1688" s="67">
        <f>H1688+J1688+L1688+M1688+O1688</f>
        <v/>
      </c>
      <c r="Q1688" s="68">
        <f>IF(OR(H1688=0,P1688&lt;30),"Tier D (Đóng băng)",IF(P1688&gt;=85,"Tier S (Kim Cương: 85-100đ)",IF(P1688&gt;=70,"Tier A (Vàng: 70-84đ)",IF(P1688&gt;=61,"Tier B+ / Cấp A (Hot Lead: 61-69đ)",IF(P1688&gt;=50,"Tier B (Bạc: 50-60đ)","Tier C (Đồng: 30-49đ)")))))</f>
        <v/>
      </c>
      <c r="R1688" s="9" t="inlineStr">
        <is>
          <t>Trọn gói Take-Home Starter Kit V2/V3 (Cỏ nhân tạo + Khay Potty + Đồ chơi Teething/Snuggle)</t>
        </is>
      </c>
      <c r="S1688" s="9" t="inlineStr">
        <is>
          <t>Đóng băng tương tác (&gt;30 ngày): Lưu trữ chờ kích hoạt lại, không tốn tài nguyên Sales</t>
        </is>
      </c>
    </row>
    <row r="1689">
      <c r="A1689" s="53" t="n">
        <v>1213</v>
      </c>
      <c r="B1689" s="12" t="inlineStr">
        <is>
          <t>Double G Dog Ranch</t>
        </is>
      </c>
      <c r="C1689" s="54" t="inlineStr">
        <is>
          <t>https://www.facebook.com/DoubleGDogs</t>
        </is>
      </c>
      <c r="D1689" s="6" t="inlineStr">
        <is>
          <t>Cần quét Bio Fanpage</t>
        </is>
      </c>
      <c r="E1689" s="53" t="inlineStr">
        <is>
          <t>03/09/2025 01:19:07</t>
        </is>
      </c>
      <c r="F1689" s="53" t="inlineStr">
        <is>
          <t>1 năm trước</t>
        </is>
      </c>
      <c r="G1689" s="55" t="n">
        <v>365</v>
      </c>
      <c r="H1689" s="56" t="n">
        <v>0</v>
      </c>
      <c r="I1689" s="6" t="inlineStr">
        <is>
          <t>Dog Breeder / Trại nhân giống (28-30đ)</t>
        </is>
      </c>
      <c r="J1689" s="56" t="n">
        <v>28</v>
      </c>
      <c r="K1689" s="6" t="inlineStr">
        <is>
          <t>Chưa rõ giống (Cần quét Bio)</t>
        </is>
      </c>
      <c r="L1689" s="56" t="n">
        <v>0</v>
      </c>
      <c r="M1689" s="56" t="n">
        <v>5</v>
      </c>
      <c r="N1689" s="6" t="inlineStr">
        <is>
          <t>Amazon link not found</t>
        </is>
      </c>
      <c r="O1689" s="56">
        <f>IF(N1689="Selling pet toys + Artificial grass/Pet toilets (TARGET)",15,IF(N1689="Selling artificial grass/pet toilets (TARGET)",10,IF(N1689="Selling pet toys",7,IF(N1689="There's an Amazon link, but no target sales.",3,0))))</f>
        <v/>
      </c>
      <c r="P1689" s="65">
        <f>H1689+J1689+L1689+M1689+O1689</f>
        <v/>
      </c>
      <c r="Q1689" s="68">
        <f>IF(OR(H1689=0,P1689&lt;30),"Tier D (Đóng băng)",IF(P1689&gt;=85,"Tier S (Kim Cương: 85-100đ)",IF(P1689&gt;=70,"Tier A (Vàng: 70-84đ)",IF(P1689&gt;=61,"Tier B+ / Cấp A (Hot Lead: 61-69đ)",IF(P1689&gt;=50,"Tier B (Bạc: 50-60đ)","Tier C (Đồng: 30-49đ)")))))</f>
        <v/>
      </c>
      <c r="R1689" s="6" t="inlineStr">
        <is>
          <t>Trọn gói Take-Home Starter Kit V2/V3 (Cỏ nhân tạo + Khay Potty + Đồ chơi cún con)</t>
        </is>
      </c>
      <c r="S1689" s="6" t="inlineStr">
        <is>
          <t>Đóng băng tương tác (&gt;30 ngày): Lưu trữ chờ kích hoạt lại, không tốn tài nguyên Sales</t>
        </is>
      </c>
    </row>
    <row r="1690">
      <c r="A1690" s="59" t="n">
        <v>2785</v>
      </c>
      <c r="B1690" s="15" t="inlineStr">
        <is>
          <t>Royal Hound Transylvania</t>
        </is>
      </c>
      <c r="C1690" s="60" t="inlineStr">
        <is>
          <t>https://www.facebook.com/profile.php?id=100067132381515</t>
        </is>
      </c>
      <c r="D1690" s="9" t="inlineStr">
        <is>
          <t>Cần quét Bio Fanpage</t>
        </is>
      </c>
      <c r="E1690" s="59" t="inlineStr">
        <is>
          <t>17/07/2025 19:39:09</t>
        </is>
      </c>
      <c r="F1690" s="59" t="inlineStr">
        <is>
          <t>1 năm trước</t>
        </is>
      </c>
      <c r="G1690" s="61" t="n">
        <v>365</v>
      </c>
      <c r="H1690" s="62" t="n">
        <v>0</v>
      </c>
      <c r="I1690" s="9" t="inlineStr">
        <is>
          <t>Dog Breeder / Trại nhân giống (28-30đ)</t>
        </is>
      </c>
      <c r="J1690" s="62" t="n">
        <v>28</v>
      </c>
      <c r="K1690" s="9" t="inlineStr">
        <is>
          <t>Hound / Beagle / Basset</t>
        </is>
      </c>
      <c r="L1690" s="62" t="n">
        <v>5</v>
      </c>
      <c r="M1690" s="62" t="n">
        <v>0</v>
      </c>
      <c r="N1690" s="9" t="inlineStr">
        <is>
          <t>Amazon link not found</t>
        </is>
      </c>
      <c r="O1690" s="62">
        <f>IF(N1690="Selling pet toys + Artificial grass/Pet toilets (TARGET)",15,IF(N1690="Selling artificial grass/pet toilets (TARGET)",10,IF(N1690="Selling pet toys",7,IF(N1690="There's an Amazon link, but no target sales.",3,0))))</f>
        <v/>
      </c>
      <c r="P1690" s="67">
        <f>H1690+J1690+L1690+M1690+O1690</f>
        <v/>
      </c>
      <c r="Q1690" s="68">
        <f>IF(OR(H1690=0,P1690&lt;30),"Tier D (Đóng băng)",IF(P1690&gt;=85,"Tier S (Kim Cương: 85-100đ)",IF(P1690&gt;=70,"Tier A (Vàng: 70-84đ)",IF(P1690&gt;=61,"Tier B+ / Cấp A (Hot Lead: 61-69đ)",IF(P1690&gt;=50,"Tier B (Bạc: 50-60đ)","Tier C (Đồng: 30-49đ)")))))</f>
        <v/>
      </c>
      <c r="R1690" s="9" t="inlineStr">
        <is>
          <t>Trọn gói Take-Home Starter Kit V2/V3 (Cỏ nhân tạo + Khay Potty + Đồ chơi cún con)</t>
        </is>
      </c>
      <c r="S1690" s="9" t="inlineStr">
        <is>
          <t>Đóng băng tương tác (&gt;30 ngày): Lưu trữ chờ kích hoạt lại, không tốn tài nguyên Sales</t>
        </is>
      </c>
    </row>
    <row r="1691">
      <c r="A1691" s="53" t="n">
        <v>652</v>
      </c>
      <c r="B1691" s="12" t="inlineStr">
        <is>
          <t>Bernois Puppy Haven</t>
        </is>
      </c>
      <c r="C1691" s="54" t="inlineStr">
        <is>
          <t>https://www.facebook.com/profile.php?id=61574683565110</t>
        </is>
      </c>
      <c r="D1691" s="6" t="inlineStr">
        <is>
          <t>Cần quét Bio Fanpage</t>
        </is>
      </c>
      <c r="E1691" s="53" t="inlineStr">
        <is>
          <t>24/06/2025 23:22:50</t>
        </is>
      </c>
      <c r="F1691" s="53" t="inlineStr">
        <is>
          <t>1 năm trước</t>
        </is>
      </c>
      <c r="G1691" s="55" t="n">
        <v>365</v>
      </c>
      <c r="H1691" s="56" t="n">
        <v>0</v>
      </c>
      <c r="I1691" s="6" t="inlineStr">
        <is>
          <t>Dog Breeder / Trại chó chuyên nghiệp (28-30đ)</t>
        </is>
      </c>
      <c r="J1691" s="56" t="n">
        <v>28</v>
      </c>
      <c r="K1691" s="6" t="inlineStr">
        <is>
          <t>Chưa rõ giống (Cần quét Bio)</t>
        </is>
      </c>
      <c r="L1691" s="56" t="n">
        <v>0</v>
      </c>
      <c r="M1691" s="56" t="n">
        <v>5</v>
      </c>
      <c r="N1691" s="6" t="inlineStr">
        <is>
          <t>Amazon link not found</t>
        </is>
      </c>
      <c r="O1691" s="56">
        <f>IF(N1691="Selling pet toys + Artificial grass/Pet toilets (TARGET)",15,IF(N1691="Selling artificial grass/pet toilets (TARGET)",10,IF(N1691="Selling pet toys",7,IF(N1691="There's an Amazon link, but no target sales.",3,0))))</f>
        <v/>
      </c>
      <c r="P1691" s="65">
        <f>H1691+J1691+L1691+M1691+O1691</f>
        <v/>
      </c>
      <c r="Q1691" s="68">
        <f>IF(OR(H1691=0,P1691&lt;30),"Tier D (Đóng băng)",IF(P1691&gt;=85,"Tier S (Kim Cương: 85-100đ)",IF(P1691&gt;=70,"Tier A (Vàng: 70-84đ)",IF(P1691&gt;=61,"Tier B+ / Cấp A (Hot Lead: 61-69đ)",IF(P1691&gt;=50,"Tier B (Bạc: 50-60đ)","Tier C (Đồng: 30-49đ)")))))</f>
        <v/>
      </c>
      <c r="R1691" s="6" t="inlineStr">
        <is>
          <t>Trọn gói Take-Home Starter Kit V2/V3 (Cỏ nhân tạo + Khay Potty + Đồ chơi Teething/Snuggle)</t>
        </is>
      </c>
      <c r="S1691" s="6" t="inlineStr">
        <is>
          <t>Đóng băng tương tác (&gt;30 ngày): Lưu trữ chờ kích hoạt lại, không tốn tài nguyên Sales</t>
        </is>
      </c>
    </row>
    <row r="1692">
      <c r="A1692" s="59" t="n">
        <v>3154</v>
      </c>
      <c r="B1692" s="15" t="inlineStr">
        <is>
          <t>The Puppy Gym</t>
        </is>
      </c>
      <c r="C1692" s="60" t="inlineStr">
        <is>
          <t>https://www.facebook.com/thepuppygym</t>
        </is>
      </c>
      <c r="D1692" s="9" t="inlineStr">
        <is>
          <t>Cần quét Bio Fanpage</t>
        </is>
      </c>
      <c r="E1692" s="59" t="inlineStr">
        <is>
          <t>27/05/2025 07:11:51</t>
        </is>
      </c>
      <c r="F1692" s="59" t="inlineStr">
        <is>
          <t>1 năm trước</t>
        </is>
      </c>
      <c r="G1692" s="61" t="n">
        <v>365</v>
      </c>
      <c r="H1692" s="62" t="n">
        <v>0</v>
      </c>
      <c r="I1692" s="9" t="inlineStr">
        <is>
          <t>Dog Breeder / Trại chó chuyên nghiệp (28-30đ)</t>
        </is>
      </c>
      <c r="J1692" s="62" t="n">
        <v>28</v>
      </c>
      <c r="K1692" s="9" t="inlineStr">
        <is>
          <t>Chưa rõ giống (Cần quét Bio)</t>
        </is>
      </c>
      <c r="L1692" s="62" t="n">
        <v>0</v>
      </c>
      <c r="M1692" s="62" t="n">
        <v>5</v>
      </c>
      <c r="N1692" s="9" t="inlineStr">
        <is>
          <t>Amazon link not found</t>
        </is>
      </c>
      <c r="O1692" s="62">
        <f>IF(N1692="Selling pet toys + Artificial grass/Pet toilets (TARGET)",15,IF(N1692="Selling artificial grass/pet toilets (TARGET)",10,IF(N1692="Selling pet toys",7,IF(N1692="There's an Amazon link, but no target sales.",3,0))))</f>
        <v/>
      </c>
      <c r="P1692" s="67">
        <f>H1692+J1692+L1692+M1692+O1692</f>
        <v/>
      </c>
      <c r="Q1692" s="68">
        <f>IF(OR(H1692=0,P1692&lt;30),"Tier D (Đóng băng)",IF(P1692&gt;=85,"Tier S (Kim Cương: 85-100đ)",IF(P1692&gt;=70,"Tier A (Vàng: 70-84đ)",IF(P1692&gt;=61,"Tier B+ / Cấp A (Hot Lead: 61-69đ)",IF(P1692&gt;=50,"Tier B (Bạc: 50-60đ)","Tier C (Đồng: 30-49đ)")))))</f>
        <v/>
      </c>
      <c r="R1692" s="9" t="inlineStr">
        <is>
          <t>Trọn gói Take-Home Starter Kit V2/V3 (Cỏ nhân tạo + Khay Potty + Đồ chơi Teething/Snuggle)</t>
        </is>
      </c>
      <c r="S1692" s="9" t="inlineStr">
        <is>
          <t>Đóng băng tương tác (&gt;30 ngày): Lưu trữ chờ kích hoạt lại, không tốn tài nguyên Sales</t>
        </is>
      </c>
    </row>
    <row r="1693">
      <c r="A1693" s="53" t="n">
        <v>1584</v>
      </c>
      <c r="B1693" s="12" t="inlineStr">
        <is>
          <t>Gundogsuk</t>
        </is>
      </c>
      <c r="C1693" s="54" t="inlineStr">
        <is>
          <t>https://www.facebook.com/GundogsUK</t>
        </is>
      </c>
      <c r="D1693" s="6" t="inlineStr">
        <is>
          <t>Cần quét Bio Fanpage</t>
        </is>
      </c>
      <c r="E1693" s="53" t="inlineStr">
        <is>
          <t>29/04/2025 05:22:27</t>
        </is>
      </c>
      <c r="F1693" s="53" t="inlineStr">
        <is>
          <t>1 năm trước</t>
        </is>
      </c>
      <c r="G1693" s="55" t="n">
        <v>365</v>
      </c>
      <c r="H1693" s="56" t="n">
        <v>0</v>
      </c>
      <c r="I1693" s="6" t="inlineStr">
        <is>
          <t>Dog Breeder / Trại nhân giống (28-30đ)</t>
        </is>
      </c>
      <c r="J1693" s="56" t="n">
        <v>28</v>
      </c>
      <c r="K1693" s="6" t="inlineStr">
        <is>
          <t>Spaniel / Gun Dog / Retriever</t>
        </is>
      </c>
      <c r="L1693" s="56" t="n">
        <v>5</v>
      </c>
      <c r="M1693" s="56" t="n">
        <v>0</v>
      </c>
      <c r="N1693" s="6" t="inlineStr">
        <is>
          <t>Amazon link not found</t>
        </is>
      </c>
      <c r="O1693" s="56">
        <f>IF(N1693="Selling pet toys + Artificial grass/Pet toilets (TARGET)",15,IF(N1693="Selling artificial grass/pet toilets (TARGET)",10,IF(N1693="Selling pet toys",7,IF(N1693="There's an Amazon link, but no target sales.",3,0))))</f>
        <v/>
      </c>
      <c r="P1693" s="65">
        <f>H1693+J1693+L1693+M1693+O1693</f>
        <v/>
      </c>
      <c r="Q1693" s="68">
        <f>IF(OR(H1693=0,P1693&lt;30),"Tier D (Đóng băng)",IF(P1693&gt;=85,"Tier S (Kim Cương: 85-100đ)",IF(P1693&gt;=70,"Tier A (Vàng: 70-84đ)",IF(P1693&gt;=61,"Tier B+ / Cấp A (Hot Lead: 61-69đ)",IF(P1693&gt;=50,"Tier B (Bạc: 50-60đ)","Tier C (Đồng: 30-49đ)")))))</f>
        <v/>
      </c>
      <c r="R1693" s="6" t="inlineStr">
        <is>
          <t>Trọn gói Take-Home Starter Kit V2/V3 (Cỏ nhân tạo + Khay Potty + Đồ chơi cún con)</t>
        </is>
      </c>
      <c r="S1693" s="6" t="inlineStr">
        <is>
          <t>Đóng băng tương tác (&gt;30 ngày): Lưu trữ chờ kích hoạt lại, không tốn tài nguyên Sales</t>
        </is>
      </c>
    </row>
    <row r="1694">
      <c r="A1694" s="59" t="n">
        <v>2103</v>
      </c>
      <c r="B1694" s="15" t="inlineStr">
        <is>
          <t>MahaRaja Bernese Mountain Dogs</t>
        </is>
      </c>
      <c r="C1694" s="60" t="inlineStr">
        <is>
          <t>https://www.facebook.com/profile.php?id=100057547055889</t>
        </is>
      </c>
      <c r="D1694" s="9" t="inlineStr">
        <is>
          <t>Cần quét Bio Fanpage</t>
        </is>
      </c>
      <c r="E1694" s="59" t="inlineStr">
        <is>
          <t>16/12/2024 05:08:37</t>
        </is>
      </c>
      <c r="F1694" s="59" t="inlineStr">
        <is>
          <t>1 năm trước</t>
        </is>
      </c>
      <c r="G1694" s="61" t="n">
        <v>365</v>
      </c>
      <c r="H1694" s="62" t="n">
        <v>0</v>
      </c>
      <c r="I1694" s="9" t="inlineStr">
        <is>
          <t>Dog Breeder / Trại chó chuyên nghiệp (28-30đ)</t>
        </is>
      </c>
      <c r="J1694" s="62" t="n">
        <v>28</v>
      </c>
      <c r="K1694" s="9" t="inlineStr">
        <is>
          <t>Bernese Mountain Dog</t>
        </is>
      </c>
      <c r="L1694" s="62" t="n">
        <v>5</v>
      </c>
      <c r="M1694" s="62" t="n">
        <v>0</v>
      </c>
      <c r="N1694" s="9" t="inlineStr">
        <is>
          <t>Amazon link not found</t>
        </is>
      </c>
      <c r="O1694" s="62">
        <f>IF(N1694="Selling pet toys + Artificial grass/Pet toilets (TARGET)",15,IF(N1694="Selling artificial grass/pet toilets (TARGET)",10,IF(N1694="Selling pet toys",7,IF(N1694="There's an Amazon link, but no target sales.",3,0))))</f>
        <v/>
      </c>
      <c r="P1694" s="67">
        <f>H1694+J1694+L1694+M1694+O1694</f>
        <v/>
      </c>
      <c r="Q1694" s="68">
        <f>IF(OR(H1694=0,P1694&lt;30),"Tier D (Đóng băng)",IF(P1694&gt;=85,"Tier S (Kim Cương: 85-100đ)",IF(P1694&gt;=70,"Tier A (Vàng: 70-84đ)",IF(P1694&gt;=61,"Tier B+ / Cấp A (Hot Lead: 61-69đ)",IF(P1694&gt;=50,"Tier B (Bạc: 50-60đ)","Tier C (Đồng: 30-49đ)")))))</f>
        <v/>
      </c>
      <c r="R1694" s="9" t="inlineStr">
        <is>
          <t>Trọn gói Take-Home Starter Kit V2/V3 (Cỏ nhân tạo + Khay Potty + Đồ chơi Teething/Snuggle)</t>
        </is>
      </c>
      <c r="S1694" s="9" t="inlineStr">
        <is>
          <t>Đóng băng tương tác (&gt;30 ngày): Lưu trữ chờ kích hoạt lại, không tốn tài nguyên Sales</t>
        </is>
      </c>
    </row>
    <row r="1695">
      <c r="A1695" s="53" t="n">
        <v>3399</v>
      </c>
      <c r="B1695" s="12" t="inlineStr">
        <is>
          <t>Whippet Review</t>
        </is>
      </c>
      <c r="C1695" s="54" t="inlineStr">
        <is>
          <t>https://www.facebook.com/whippetreview</t>
        </is>
      </c>
      <c r="D1695" s="6" t="inlineStr">
        <is>
          <t>Cần quét Bio Fanpage</t>
        </is>
      </c>
      <c r="E1695" s="53" t="inlineStr">
        <is>
          <t>03/11/2024 09:49:45</t>
        </is>
      </c>
      <c r="F1695" s="53" t="inlineStr">
        <is>
          <t>1 năm trước</t>
        </is>
      </c>
      <c r="G1695" s="55" t="n">
        <v>365</v>
      </c>
      <c r="H1695" s="56" t="n">
        <v>0</v>
      </c>
      <c r="I1695" s="6" t="inlineStr">
        <is>
          <t>Dog Breeder / Trại nhân giống (28-30đ)</t>
        </is>
      </c>
      <c r="J1695" s="56" t="n">
        <v>28</v>
      </c>
      <c r="K1695" s="6" t="inlineStr">
        <is>
          <t>Hound / Beagle / Basset</t>
        </is>
      </c>
      <c r="L1695" s="56" t="n">
        <v>5</v>
      </c>
      <c r="M1695" s="56" t="n">
        <v>0</v>
      </c>
      <c r="N1695" s="6" t="inlineStr">
        <is>
          <t>Amazon link not found</t>
        </is>
      </c>
      <c r="O1695" s="56">
        <f>IF(N1695="Selling pet toys + Artificial grass/Pet toilets (TARGET)",15,IF(N1695="Selling artificial grass/pet toilets (TARGET)",10,IF(N1695="Selling pet toys",7,IF(N1695="There's an Amazon link, but no target sales.",3,0))))</f>
        <v/>
      </c>
      <c r="P1695" s="65">
        <f>H1695+J1695+L1695+M1695+O1695</f>
        <v/>
      </c>
      <c r="Q1695" s="68">
        <f>IF(OR(H1695=0,P1695&lt;30),"Tier D (Đóng băng)",IF(P1695&gt;=85,"Tier S (Kim Cương: 85-100đ)",IF(P1695&gt;=70,"Tier A (Vàng: 70-84đ)",IF(P1695&gt;=61,"Tier B+ / Cấp A (Hot Lead: 61-69đ)",IF(P1695&gt;=50,"Tier B (Bạc: 50-60đ)","Tier C (Đồng: 30-49đ)")))))</f>
        <v/>
      </c>
      <c r="R1695" s="6" t="inlineStr">
        <is>
          <t>Trọn gói Take-Home Starter Kit V2/V3 (Cỏ nhân tạo + Khay Potty + Đồ chơi cún con)</t>
        </is>
      </c>
      <c r="S1695" s="6" t="inlineStr">
        <is>
          <t>Đóng băng tương tác (&gt;30 ngày): Lưu trữ chờ kích hoạt lại, không tốn tài nguyên Sales</t>
        </is>
      </c>
    </row>
    <row r="1696">
      <c r="A1696" s="59" t="n">
        <v>989</v>
      </c>
      <c r="B1696" s="15" t="inlineStr">
        <is>
          <t>Dachshund Dogs</t>
        </is>
      </c>
      <c r="C1696" s="60" t="inlineStr">
        <is>
          <t>https://www.facebook.com/Smith7883</t>
        </is>
      </c>
      <c r="D1696" s="9" t="inlineStr">
        <is>
          <t>Cần quét Bio Fanpage</t>
        </is>
      </c>
      <c r="E1696" s="59" t="inlineStr">
        <is>
          <t>31/10/2024 16:45:30</t>
        </is>
      </c>
      <c r="F1696" s="59" t="inlineStr">
        <is>
          <t>1 năm trước</t>
        </is>
      </c>
      <c r="G1696" s="61" t="n">
        <v>365</v>
      </c>
      <c r="H1696" s="62" t="n">
        <v>0</v>
      </c>
      <c r="I1696" s="9" t="inlineStr">
        <is>
          <t>Dog Breeder / Trại nhân giống (28-30đ)</t>
        </is>
      </c>
      <c r="J1696" s="62" t="n">
        <v>28</v>
      </c>
      <c r="K1696" s="9" t="inlineStr">
        <is>
          <t>Dachshund</t>
        </is>
      </c>
      <c r="L1696" s="62" t="n">
        <v>5</v>
      </c>
      <c r="M1696" s="62" t="n">
        <v>0</v>
      </c>
      <c r="N1696" s="9" t="inlineStr">
        <is>
          <t>Amazon link not found</t>
        </is>
      </c>
      <c r="O1696" s="62">
        <f>IF(N1696="Selling pet toys + Artificial grass/Pet toilets (TARGET)",15,IF(N1696="Selling artificial grass/pet toilets (TARGET)",10,IF(N1696="Selling pet toys",7,IF(N1696="There's an Amazon link, but no target sales.",3,0))))</f>
        <v/>
      </c>
      <c r="P1696" s="67">
        <f>H1696+J1696+L1696+M1696+O1696</f>
        <v/>
      </c>
      <c r="Q1696" s="68">
        <f>IF(OR(H1696=0,P1696&lt;30),"Tier D (Đóng băng)",IF(P1696&gt;=85,"Tier S (Kim Cương: 85-100đ)",IF(P1696&gt;=70,"Tier A (Vàng: 70-84đ)",IF(P1696&gt;=61,"Tier B+ / Cấp A (Hot Lead: 61-69đ)",IF(P1696&gt;=50,"Tier B (Bạc: 50-60đ)","Tier C (Đồng: 30-49đ)")))))</f>
        <v/>
      </c>
      <c r="R1696" s="9" t="inlineStr">
        <is>
          <t>Trọn gói Take-Home Starter Kit V2/V3 (Cỏ nhân tạo + Khay Potty + Đồ chơi cún con)</t>
        </is>
      </c>
      <c r="S1696" s="9" t="inlineStr">
        <is>
          <t>Đóng băng tương tác (&gt;30 ngày): Lưu trữ chờ kích hoạt lại, không tốn tài nguyên Sales</t>
        </is>
      </c>
    </row>
    <row r="1697">
      <c r="A1697" s="53" t="n">
        <v>1840</v>
      </c>
      <c r="B1697" s="12" t="inlineStr">
        <is>
          <t>KalnuSuo BerneseMountaindogs</t>
        </is>
      </c>
      <c r="C1697" s="54" t="inlineStr">
        <is>
          <t>https://www.facebook.com/kalnusuo.bernesemountainkennel</t>
        </is>
      </c>
      <c r="D1697" s="6" t="inlineStr">
        <is>
          <t>Cần quét Bio Fanpage</t>
        </is>
      </c>
      <c r="E1697" s="53" t="inlineStr">
        <is>
          <t>05/10/2024 03:25:36</t>
        </is>
      </c>
      <c r="F1697" s="53" t="inlineStr">
        <is>
          <t>2 năm trước</t>
        </is>
      </c>
      <c r="G1697" s="55" t="n">
        <v>730</v>
      </c>
      <c r="H1697" s="56" t="n">
        <v>0</v>
      </c>
      <c r="I1697" s="6" t="inlineStr">
        <is>
          <t>Dog Breeder / Trại nhân giống (28-30đ)</t>
        </is>
      </c>
      <c r="J1697" s="56" t="n">
        <v>28</v>
      </c>
      <c r="K1697" s="6" t="inlineStr">
        <is>
          <t>Bernese Mountain Dog</t>
        </is>
      </c>
      <c r="L1697" s="56" t="n">
        <v>5</v>
      </c>
      <c r="M1697" s="56" t="n">
        <v>0</v>
      </c>
      <c r="N1697" s="6" t="inlineStr">
        <is>
          <t>Amazon link not found</t>
        </is>
      </c>
      <c r="O1697" s="56">
        <f>IF(N1697="Selling pet toys + Artificial grass/Pet toilets (TARGET)",15,IF(N1697="Selling artificial grass/pet toilets (TARGET)",10,IF(N1697="Selling pet toys",7,IF(N1697="There's an Amazon link, but no target sales.",3,0))))</f>
        <v/>
      </c>
      <c r="P1697" s="65">
        <f>H1697+J1697+L1697+M1697+O1697</f>
        <v/>
      </c>
      <c r="Q1697" s="68">
        <f>IF(OR(H1697=0,P1697&lt;30),"Tier D (Đóng băng)",IF(P1697&gt;=85,"Tier S (Kim Cương: 85-100đ)",IF(P1697&gt;=70,"Tier A (Vàng: 70-84đ)",IF(P1697&gt;=61,"Tier B+ / Cấp A (Hot Lead: 61-69đ)",IF(P1697&gt;=50,"Tier B (Bạc: 50-60đ)","Tier C (Đồng: 30-49đ)")))))</f>
        <v/>
      </c>
      <c r="R1697" s="6" t="inlineStr">
        <is>
          <t>Trọn gói Take-Home Starter Kit V2/V3 (Cỏ nhân tạo + Khay Potty + Đồ chơi cún con)</t>
        </is>
      </c>
      <c r="S1697" s="6" t="inlineStr">
        <is>
          <t>Đóng băng tương tác (&gt;30 ngày): Lưu trữ chờ kích hoạt lại, không tốn tài nguyên Sales</t>
        </is>
      </c>
    </row>
    <row r="1698">
      <c r="A1698" s="59" t="n">
        <v>3287</v>
      </c>
      <c r="B1698" s="15" t="inlineStr">
        <is>
          <t>Vascia Bloodhound</t>
        </is>
      </c>
      <c r="C1698" s="60" t="inlineStr">
        <is>
          <t>https://www.facebook.com/vasciabloodhound</t>
        </is>
      </c>
      <c r="D1698" s="9" t="inlineStr">
        <is>
          <t>Cần quét Bio Fanpage</t>
        </is>
      </c>
      <c r="E1698" s="59" t="inlineStr">
        <is>
          <t>13/06/2024 21:35:22</t>
        </is>
      </c>
      <c r="F1698" s="59" t="inlineStr">
        <is>
          <t>2 năm trước</t>
        </is>
      </c>
      <c r="G1698" s="61" t="n">
        <v>730</v>
      </c>
      <c r="H1698" s="62" t="n">
        <v>0</v>
      </c>
      <c r="I1698" s="9" t="inlineStr">
        <is>
          <t>Dog Breeder / Trại nhân giống (28-30đ)</t>
        </is>
      </c>
      <c r="J1698" s="62" t="n">
        <v>28</v>
      </c>
      <c r="K1698" s="9" t="inlineStr">
        <is>
          <t>Hound / Beagle / Basset</t>
        </is>
      </c>
      <c r="L1698" s="62" t="n">
        <v>5</v>
      </c>
      <c r="M1698" s="62" t="n">
        <v>0</v>
      </c>
      <c r="N1698" s="9" t="inlineStr">
        <is>
          <t>Amazon link not found</t>
        </is>
      </c>
      <c r="O1698" s="62">
        <f>IF(N1698="Selling pet toys + Artificial grass/Pet toilets (TARGET)",15,IF(N1698="Selling artificial grass/pet toilets (TARGET)",10,IF(N1698="Selling pet toys",7,IF(N1698="There's an Amazon link, but no target sales.",3,0))))</f>
        <v/>
      </c>
      <c r="P1698" s="67">
        <f>H1698+J1698+L1698+M1698+O1698</f>
        <v/>
      </c>
      <c r="Q1698" s="68">
        <f>IF(OR(H1698=0,P1698&lt;30),"Tier D (Đóng băng)",IF(P1698&gt;=85,"Tier S (Kim Cương: 85-100đ)",IF(P1698&gt;=70,"Tier A (Vàng: 70-84đ)",IF(P1698&gt;=61,"Tier B+ / Cấp A (Hot Lead: 61-69đ)",IF(P1698&gt;=50,"Tier B (Bạc: 50-60đ)","Tier C (Đồng: 30-49đ)")))))</f>
        <v/>
      </c>
      <c r="R1698" s="9" t="inlineStr">
        <is>
          <t>Trọn gói Take-Home Starter Kit V2/V3 (Cỏ nhân tạo + Khay Potty + Đồ chơi cún con)</t>
        </is>
      </c>
      <c r="S1698" s="9" t="inlineStr">
        <is>
          <t>Đóng băng tương tác (&gt;30 ngày): Lưu trữ chờ kích hoạt lại, không tốn tài nguyên Sales</t>
        </is>
      </c>
    </row>
    <row r="1699">
      <c r="A1699" s="53" t="n">
        <v>2898</v>
      </c>
      <c r="B1699" s="12" t="inlineStr">
        <is>
          <t>Silly Beagle Dog</t>
        </is>
      </c>
      <c r="C1699" s="54" t="inlineStr">
        <is>
          <t>https://www.facebook.com/sillybeagledog</t>
        </is>
      </c>
      <c r="D1699" s="6" t="inlineStr">
        <is>
          <t>Cần quét Bio Fanpage</t>
        </is>
      </c>
      <c r="E1699" s="53" t="inlineStr">
        <is>
          <t>14/04/2024 22:31:51</t>
        </is>
      </c>
      <c r="F1699" s="53" t="inlineStr">
        <is>
          <t>2 năm trước</t>
        </is>
      </c>
      <c r="G1699" s="55" t="n">
        <v>730</v>
      </c>
      <c r="H1699" s="56" t="n">
        <v>0</v>
      </c>
      <c r="I1699" s="6" t="inlineStr">
        <is>
          <t>Dog Breeder / Trại nhân giống (28-30đ)</t>
        </is>
      </c>
      <c r="J1699" s="56" t="n">
        <v>28</v>
      </c>
      <c r="K1699" s="6" t="inlineStr">
        <is>
          <t>Hound / Beagle / Basset</t>
        </is>
      </c>
      <c r="L1699" s="56" t="n">
        <v>5</v>
      </c>
      <c r="M1699" s="56" t="n">
        <v>0</v>
      </c>
      <c r="N1699" s="6" t="inlineStr">
        <is>
          <t>Amazon link not found</t>
        </is>
      </c>
      <c r="O1699" s="56">
        <f>IF(N1699="Selling pet toys + Artificial grass/Pet toilets (TARGET)",15,IF(N1699="Selling artificial grass/pet toilets (TARGET)",10,IF(N1699="Selling pet toys",7,IF(N1699="There's an Amazon link, but no target sales.",3,0))))</f>
        <v/>
      </c>
      <c r="P1699" s="65">
        <f>H1699+J1699+L1699+M1699+O1699</f>
        <v/>
      </c>
      <c r="Q1699" s="68">
        <f>IF(OR(H1699=0,P1699&lt;30),"Tier D (Đóng băng)",IF(P1699&gt;=85,"Tier S (Kim Cương: 85-100đ)",IF(P1699&gt;=70,"Tier A (Vàng: 70-84đ)",IF(P1699&gt;=61,"Tier B+ / Cấp A (Hot Lead: 61-69đ)",IF(P1699&gt;=50,"Tier B (Bạc: 50-60đ)","Tier C (Đồng: 30-49đ)")))))</f>
        <v/>
      </c>
      <c r="R1699" s="6" t="inlineStr">
        <is>
          <t>Trọn gói Take-Home Starter Kit V2/V3 (Cỏ nhân tạo + Khay Potty + Đồ chơi cún con)</t>
        </is>
      </c>
      <c r="S1699" s="6" t="inlineStr">
        <is>
          <t>Đóng băng tương tác (&gt;30 ngày): Lưu trữ chờ kích hoạt lại, không tốn tài nguyên Sales</t>
        </is>
      </c>
    </row>
    <row r="1700">
      <c r="A1700" s="59" t="n">
        <v>2021</v>
      </c>
      <c r="B1700" s="15" t="inlineStr">
        <is>
          <t>Lilly the Bernese Mountain Dog</t>
        </is>
      </c>
      <c r="C1700" s="60" t="inlineStr">
        <is>
          <t>https://www.facebook.com/LillyTheBerneseMountainDog</t>
        </is>
      </c>
      <c r="D1700" s="9" t="inlineStr">
        <is>
          <t>Cần quét Bio Fanpage</t>
        </is>
      </c>
      <c r="E1700" s="59" t="inlineStr">
        <is>
          <t>11/03/2024 06:14:28</t>
        </is>
      </c>
      <c r="F1700" s="59" t="inlineStr">
        <is>
          <t>2 năm trước</t>
        </is>
      </c>
      <c r="G1700" s="61" t="n">
        <v>730</v>
      </c>
      <c r="H1700" s="62" t="n">
        <v>0</v>
      </c>
      <c r="I1700" s="9" t="inlineStr">
        <is>
          <t>Dog Breeder / Trại chó chuyên nghiệp (28-30đ)</t>
        </is>
      </c>
      <c r="J1700" s="62" t="n">
        <v>28</v>
      </c>
      <c r="K1700" s="9" t="inlineStr">
        <is>
          <t>Bernese Mountain Dog</t>
        </is>
      </c>
      <c r="L1700" s="62" t="n">
        <v>5</v>
      </c>
      <c r="M1700" s="62" t="n">
        <v>0</v>
      </c>
      <c r="N1700" s="9" t="inlineStr">
        <is>
          <t>Amazon link not found</t>
        </is>
      </c>
      <c r="O1700" s="62">
        <f>IF(N1700="Selling pet toys + Artificial grass/Pet toilets (TARGET)",15,IF(N1700="Selling artificial grass/pet toilets (TARGET)",10,IF(N1700="Selling pet toys",7,IF(N1700="There's an Amazon link, but no target sales.",3,0))))</f>
        <v/>
      </c>
      <c r="P1700" s="67">
        <f>H1700+J1700+L1700+M1700+O1700</f>
        <v/>
      </c>
      <c r="Q1700" s="68">
        <f>IF(OR(H1700=0,P1700&lt;30),"Tier D (Đóng băng)",IF(P1700&gt;=85,"Tier S (Kim Cương: 85-100đ)",IF(P1700&gt;=70,"Tier A (Vàng: 70-84đ)",IF(P1700&gt;=61,"Tier B+ / Cấp A (Hot Lead: 61-69đ)",IF(P1700&gt;=50,"Tier B (Bạc: 50-60đ)","Tier C (Đồng: 30-49đ)")))))</f>
        <v/>
      </c>
      <c r="R1700" s="9" t="inlineStr">
        <is>
          <t>Trọn gói Take-Home Starter Kit V2/V3 (Cỏ nhân tạo + Khay Potty + Đồ chơi Teething/Snuggle)</t>
        </is>
      </c>
      <c r="S1700" s="9" t="inlineStr">
        <is>
          <t>Đóng băng tương tác (&gt;30 ngày): Lưu trữ chờ kích hoạt lại, không tốn tài nguyên Sales</t>
        </is>
      </c>
    </row>
    <row r="1701">
      <c r="A1701" s="53" t="n">
        <v>2723</v>
      </c>
      <c r="B1701" s="12" t="inlineStr">
        <is>
          <t>Remington-Clyde Bernese Mountain Dogs of Doylestown</t>
        </is>
      </c>
      <c r="C1701" s="54" t="inlineStr">
        <is>
          <t>https://www.facebook.com/RCBMD</t>
        </is>
      </c>
      <c r="D1701" s="6" t="inlineStr">
        <is>
          <t>Cần quét Bio Fanpage</t>
        </is>
      </c>
      <c r="E1701" s="53" t="inlineStr">
        <is>
          <t>18/02/2024 19:01:11</t>
        </is>
      </c>
      <c r="F1701" s="53" t="inlineStr">
        <is>
          <t>2 năm trước</t>
        </is>
      </c>
      <c r="G1701" s="55" t="n">
        <v>730</v>
      </c>
      <c r="H1701" s="56" t="n">
        <v>0</v>
      </c>
      <c r="I1701" s="6" t="inlineStr">
        <is>
          <t>Dog Breeder / Trại chó chuyên nghiệp (28-30đ)</t>
        </is>
      </c>
      <c r="J1701" s="56" t="n">
        <v>28</v>
      </c>
      <c r="K1701" s="6" t="inlineStr">
        <is>
          <t>Bernese Mountain Dog</t>
        </is>
      </c>
      <c r="L1701" s="56" t="n">
        <v>5</v>
      </c>
      <c r="M1701" s="56" t="n">
        <v>0</v>
      </c>
      <c r="N1701" s="6" t="inlineStr">
        <is>
          <t>Amazon link not found</t>
        </is>
      </c>
      <c r="O1701" s="56">
        <f>IF(N1701="Selling pet toys + Artificial grass/Pet toilets (TARGET)",15,IF(N1701="Selling artificial grass/pet toilets (TARGET)",10,IF(N1701="Selling pet toys",7,IF(N1701="There's an Amazon link, but no target sales.",3,0))))</f>
        <v/>
      </c>
      <c r="P1701" s="65">
        <f>H1701+J1701+L1701+M1701+O1701</f>
        <v/>
      </c>
      <c r="Q1701" s="68">
        <f>IF(OR(H1701=0,P1701&lt;30),"Tier D (Đóng băng)",IF(P1701&gt;=85,"Tier S (Kim Cương: 85-100đ)",IF(P1701&gt;=70,"Tier A (Vàng: 70-84đ)",IF(P1701&gt;=61,"Tier B+ / Cấp A (Hot Lead: 61-69đ)",IF(P1701&gt;=50,"Tier B (Bạc: 50-60đ)","Tier C (Đồng: 30-49đ)")))))</f>
        <v/>
      </c>
      <c r="R1701" s="6" t="inlineStr">
        <is>
          <t>Trọn gói Take-Home Starter Kit V2/V3 (Cỏ nhân tạo + Khay Potty + Đồ chơi Teething/Snuggle)</t>
        </is>
      </c>
      <c r="S1701" s="6" t="inlineStr">
        <is>
          <t>Đóng băng tương tác (&gt;30 ngày): Lưu trữ chờ kích hoạt lại, không tốn tài nguyên Sales</t>
        </is>
      </c>
    </row>
    <row r="1702">
      <c r="A1702" s="59" t="n">
        <v>2928</v>
      </c>
      <c r="B1702" s="15" t="inlineStr">
        <is>
          <t>So.ME Bernese Mountain Dogs</t>
        </is>
      </c>
      <c r="C1702" s="60" t="inlineStr">
        <is>
          <t>https://www.facebook.com/profile.php?id=100063651274445</t>
        </is>
      </c>
      <c r="D1702" s="9" t="inlineStr">
        <is>
          <t>Cần quét Bio Fanpage</t>
        </is>
      </c>
      <c r="E1702" s="59" t="inlineStr">
        <is>
          <t>07/11/2023 03:49:04</t>
        </is>
      </c>
      <c r="F1702" s="59" t="inlineStr">
        <is>
          <t>2 năm trước</t>
        </is>
      </c>
      <c r="G1702" s="61" t="n">
        <v>730</v>
      </c>
      <c r="H1702" s="62" t="n">
        <v>0</v>
      </c>
      <c r="I1702" s="9" t="inlineStr">
        <is>
          <t>Dog Breeder / Trại chó chuyên nghiệp (28-30đ)</t>
        </is>
      </c>
      <c r="J1702" s="62" t="n">
        <v>28</v>
      </c>
      <c r="K1702" s="9" t="inlineStr">
        <is>
          <t>Bernese Mountain Dog</t>
        </is>
      </c>
      <c r="L1702" s="62" t="n">
        <v>5</v>
      </c>
      <c r="M1702" s="62" t="n">
        <v>0</v>
      </c>
      <c r="N1702" s="9" t="inlineStr">
        <is>
          <t>Amazon link not found</t>
        </is>
      </c>
      <c r="O1702" s="62">
        <f>IF(N1702="Selling pet toys + Artificial grass/Pet toilets (TARGET)",15,IF(N1702="Selling artificial grass/pet toilets (TARGET)",10,IF(N1702="Selling pet toys",7,IF(N1702="There's an Amazon link, but no target sales.",3,0))))</f>
        <v/>
      </c>
      <c r="P1702" s="67">
        <f>H1702+J1702+L1702+M1702+O1702</f>
        <v/>
      </c>
      <c r="Q1702" s="68">
        <f>IF(OR(H1702=0,P1702&lt;30),"Tier D (Đóng băng)",IF(P1702&gt;=85,"Tier S (Kim Cương: 85-100đ)",IF(P1702&gt;=70,"Tier A (Vàng: 70-84đ)",IF(P1702&gt;=61,"Tier B+ / Cấp A (Hot Lead: 61-69đ)",IF(P1702&gt;=50,"Tier B (Bạc: 50-60đ)","Tier C (Đồng: 30-49đ)")))))</f>
        <v/>
      </c>
      <c r="R1702" s="9" t="inlineStr">
        <is>
          <t>Trọn gói Take-Home Starter Kit V2/V3 (Cỏ nhân tạo + Khay Potty + Đồ chơi Teething/Snuggle)</t>
        </is>
      </c>
      <c r="S1702" s="9" t="inlineStr">
        <is>
          <t>Đóng băng tương tác (&gt;30 ngày): Lưu trữ chờ kích hoạt lại, không tốn tài nguyên Sales</t>
        </is>
      </c>
    </row>
    <row r="1703">
      <c r="A1703" s="53" t="n">
        <v>625</v>
      </c>
      <c r="B1703" s="12" t="inlineStr">
        <is>
          <t>Bella Vita Bernese Mountain Dogs</t>
        </is>
      </c>
      <c r="C1703" s="54" t="inlineStr">
        <is>
          <t>https://www.facebook.com/bellavitabmd</t>
        </is>
      </c>
      <c r="D1703" s="6" t="inlineStr">
        <is>
          <t>Cần quét Bio Fanpage</t>
        </is>
      </c>
      <c r="E1703" s="53" t="inlineStr">
        <is>
          <t>21/09/2023 09:57:16</t>
        </is>
      </c>
      <c r="F1703" s="53" t="inlineStr">
        <is>
          <t>3 năm trước</t>
        </is>
      </c>
      <c r="G1703" s="55" t="n">
        <v>1095</v>
      </c>
      <c r="H1703" s="56" t="n">
        <v>0</v>
      </c>
      <c r="I1703" s="6" t="inlineStr">
        <is>
          <t>Dog Breeder / Trại chó chuyên nghiệp (28-30đ)</t>
        </is>
      </c>
      <c r="J1703" s="56" t="n">
        <v>28</v>
      </c>
      <c r="K1703" s="6" t="inlineStr">
        <is>
          <t>Bernese Mountain Dog</t>
        </is>
      </c>
      <c r="L1703" s="56" t="n">
        <v>5</v>
      </c>
      <c r="M1703" s="56" t="n">
        <v>0</v>
      </c>
      <c r="N1703" s="6" t="inlineStr">
        <is>
          <t>Amazon link not found</t>
        </is>
      </c>
      <c r="O1703" s="56">
        <f>IF(N1703="Selling pet toys + Artificial grass/Pet toilets (TARGET)",15,IF(N1703="Selling artificial grass/pet toilets (TARGET)",10,IF(N1703="Selling pet toys",7,IF(N1703="There's an Amazon link, but no target sales.",3,0))))</f>
        <v/>
      </c>
      <c r="P1703" s="65">
        <f>H1703+J1703+L1703+M1703+O1703</f>
        <v/>
      </c>
      <c r="Q1703" s="68">
        <f>IF(OR(H1703=0,P1703&lt;30),"Tier D (Đóng băng)",IF(P1703&gt;=85,"Tier S (Kim Cương: 85-100đ)",IF(P1703&gt;=70,"Tier A (Vàng: 70-84đ)",IF(P1703&gt;=61,"Tier B+ / Cấp A (Hot Lead: 61-69đ)",IF(P1703&gt;=50,"Tier B (Bạc: 50-60đ)","Tier C (Đồng: 30-49đ)")))))</f>
        <v/>
      </c>
      <c r="R1703" s="6" t="inlineStr">
        <is>
          <t>Trọn gói Take-Home Starter Kit V2/V3 (Cỏ nhân tạo + Khay Potty + Đồ chơi Teething/Snuggle)</t>
        </is>
      </c>
      <c r="S1703" s="6" t="inlineStr">
        <is>
          <t>Đóng băng tương tác (&gt;30 ngày): Lưu trữ chờ kích hoạt lại, không tốn tài nguyên Sales</t>
        </is>
      </c>
    </row>
    <row r="1704">
      <c r="A1704" s="59" t="n">
        <v>2174</v>
      </c>
      <c r="B1704" s="15" t="inlineStr">
        <is>
          <t>Midland Bernese Mountain Dogs</t>
        </is>
      </c>
      <c r="C1704" s="60" t="inlineStr">
        <is>
          <t>https://www.facebook.com/profile.php?id=100031026622639</t>
        </is>
      </c>
      <c r="D1704" s="9" t="inlineStr">
        <is>
          <t>Cần quét Bio Fanpage</t>
        </is>
      </c>
      <c r="E1704" s="59" t="inlineStr">
        <is>
          <t>28/08/2023 11:16:50</t>
        </is>
      </c>
      <c r="F1704" s="59" t="inlineStr">
        <is>
          <t>3 năm trước</t>
        </is>
      </c>
      <c r="G1704" s="61" t="n">
        <v>1095</v>
      </c>
      <c r="H1704" s="62" t="n">
        <v>0</v>
      </c>
      <c r="I1704" s="9" t="inlineStr">
        <is>
          <t>Dog Breeder / Trại chó chuyên nghiệp (28-30đ)</t>
        </is>
      </c>
      <c r="J1704" s="62" t="n">
        <v>28</v>
      </c>
      <c r="K1704" s="9" t="inlineStr">
        <is>
          <t>Bernese Mountain Dog</t>
        </is>
      </c>
      <c r="L1704" s="62" t="n">
        <v>5</v>
      </c>
      <c r="M1704" s="62" t="n">
        <v>0</v>
      </c>
      <c r="N1704" s="9" t="inlineStr">
        <is>
          <t>Amazon link not found</t>
        </is>
      </c>
      <c r="O1704" s="62">
        <f>IF(N1704="Selling pet toys + Artificial grass/Pet toilets (TARGET)",15,IF(N1704="Selling artificial grass/pet toilets (TARGET)",10,IF(N1704="Selling pet toys",7,IF(N1704="There's an Amazon link, but no target sales.",3,0))))</f>
        <v/>
      </c>
      <c r="P1704" s="67">
        <f>H1704+J1704+L1704+M1704+O1704</f>
        <v/>
      </c>
      <c r="Q1704" s="68">
        <f>IF(OR(H1704=0,P1704&lt;30),"Tier D (Đóng băng)",IF(P1704&gt;=85,"Tier S (Kim Cương: 85-100đ)",IF(P1704&gt;=70,"Tier A (Vàng: 70-84đ)",IF(P1704&gt;=61,"Tier B+ / Cấp A (Hot Lead: 61-69đ)",IF(P1704&gt;=50,"Tier B (Bạc: 50-60đ)","Tier C (Đồng: 30-49đ)")))))</f>
        <v/>
      </c>
      <c r="R1704" s="9" t="inlineStr">
        <is>
          <t>Trọn gói Take-Home Starter Kit V2/V3 (Cỏ nhân tạo + Khay Potty + Đồ chơi Teething/Snuggle)</t>
        </is>
      </c>
      <c r="S1704" s="9" t="inlineStr">
        <is>
          <t>Đóng băng tương tác (&gt;30 ngày): Lưu trữ chờ kích hoạt lại, không tốn tài nguyên Sales</t>
        </is>
      </c>
    </row>
    <row r="1705">
      <c r="A1705" s="53" t="n">
        <v>2957</v>
      </c>
      <c r="B1705" s="12" t="inlineStr">
        <is>
          <t>Southpaw Bernese Mtndogs</t>
        </is>
      </c>
      <c r="C1705" s="54" t="inlineStr">
        <is>
          <t>https://www.facebook.com/profile.php?id=100066305601937</t>
        </is>
      </c>
      <c r="D1705" s="6" t="inlineStr">
        <is>
          <t>Cần quét Bio Fanpage</t>
        </is>
      </c>
      <c r="E1705" s="53" t="inlineStr">
        <is>
          <t>06/06/2023 22:53:16</t>
        </is>
      </c>
      <c r="F1705" s="53" t="inlineStr">
        <is>
          <t>3 năm trước</t>
        </is>
      </c>
      <c r="G1705" s="55" t="n">
        <v>1095</v>
      </c>
      <c r="H1705" s="56" t="n">
        <v>0</v>
      </c>
      <c r="I1705" s="6" t="inlineStr">
        <is>
          <t>Dog Breeder / Trại chó chuyên nghiệp (28-30đ)</t>
        </is>
      </c>
      <c r="J1705" s="56" t="n">
        <v>28</v>
      </c>
      <c r="K1705" s="6" t="inlineStr">
        <is>
          <t>Bernese Mountain Dog</t>
        </is>
      </c>
      <c r="L1705" s="56" t="n">
        <v>5</v>
      </c>
      <c r="M1705" s="56" t="n">
        <v>0</v>
      </c>
      <c r="N1705" s="6" t="inlineStr">
        <is>
          <t>Amazon link not found</t>
        </is>
      </c>
      <c r="O1705" s="56">
        <f>IF(N1705="Selling pet toys + Artificial grass/Pet toilets (TARGET)",15,IF(N1705="Selling artificial grass/pet toilets (TARGET)",10,IF(N1705="Selling pet toys",7,IF(N1705="There's an Amazon link, but no target sales.",3,0))))</f>
        <v/>
      </c>
      <c r="P1705" s="65">
        <f>H1705+J1705+L1705+M1705+O1705</f>
        <v/>
      </c>
      <c r="Q1705" s="68">
        <f>IF(OR(H1705=0,P1705&lt;30),"Tier D (Đóng băng)",IF(P1705&gt;=85,"Tier S (Kim Cương: 85-100đ)",IF(P1705&gt;=70,"Tier A (Vàng: 70-84đ)",IF(P1705&gt;=61,"Tier B+ / Cấp A (Hot Lead: 61-69đ)",IF(P1705&gt;=50,"Tier B (Bạc: 50-60đ)","Tier C (Đồng: 30-49đ)")))))</f>
        <v/>
      </c>
      <c r="R1705" s="6" t="inlineStr">
        <is>
          <t>Trọn gói Take-Home Starter Kit V2/V3 (Cỏ nhân tạo + Khay Potty + Đồ chơi Teething/Snuggle)</t>
        </is>
      </c>
      <c r="S1705" s="6" t="inlineStr">
        <is>
          <t>Đóng băng tương tác (&gt;30 ngày): Lưu trữ chờ kích hoạt lại, không tốn tài nguyên Sales</t>
        </is>
      </c>
    </row>
    <row r="1706">
      <c r="A1706" s="59" t="n">
        <v>2662</v>
      </c>
      <c r="B1706" s="15" t="inlineStr">
        <is>
          <t>Puppy Leaks</t>
        </is>
      </c>
      <c r="C1706" s="60" t="inlineStr">
        <is>
          <t>https://www.facebook.com/doggieleaks</t>
        </is>
      </c>
      <c r="D1706" s="9" t="inlineStr">
        <is>
          <t>Cần quét Bio Fanpage</t>
        </is>
      </c>
      <c r="E1706" s="59" t="inlineStr">
        <is>
          <t>31/05/2023 01:59:50</t>
        </is>
      </c>
      <c r="F1706" s="59" t="inlineStr">
        <is>
          <t>3 năm trước</t>
        </is>
      </c>
      <c r="G1706" s="61" t="n">
        <v>1095</v>
      </c>
      <c r="H1706" s="62" t="n">
        <v>0</v>
      </c>
      <c r="I1706" s="9" t="inlineStr">
        <is>
          <t>Dog Breeder / Trại chó chuyên nghiệp (28-30đ)</t>
        </is>
      </c>
      <c r="J1706" s="62" t="n">
        <v>28</v>
      </c>
      <c r="K1706" s="9" t="inlineStr">
        <is>
          <t>Chưa rõ giống (Cần quét Bio)</t>
        </is>
      </c>
      <c r="L1706" s="62" t="n">
        <v>0</v>
      </c>
      <c r="M1706" s="62" t="n">
        <v>5</v>
      </c>
      <c r="N1706" s="9" t="inlineStr">
        <is>
          <t>Amazon link not found</t>
        </is>
      </c>
      <c r="O1706" s="62">
        <f>IF(N1706="Selling pet toys + Artificial grass/Pet toilets (TARGET)",15,IF(N1706="Selling artificial grass/pet toilets (TARGET)",10,IF(N1706="Selling pet toys",7,IF(N1706="There's an Amazon link, but no target sales.",3,0))))</f>
        <v/>
      </c>
      <c r="P1706" s="67">
        <f>H1706+J1706+L1706+M1706+O1706</f>
        <v/>
      </c>
      <c r="Q1706" s="68">
        <f>IF(OR(H1706=0,P1706&lt;30),"Tier D (Đóng băng)",IF(P1706&gt;=85,"Tier S (Kim Cương: 85-100đ)",IF(P1706&gt;=70,"Tier A (Vàng: 70-84đ)",IF(P1706&gt;=61,"Tier B+ / Cấp A (Hot Lead: 61-69đ)",IF(P1706&gt;=50,"Tier B (Bạc: 50-60đ)","Tier C (Đồng: 30-49đ)")))))</f>
        <v/>
      </c>
      <c r="R1706" s="9" t="inlineStr">
        <is>
          <t>Trọn gói Take-Home Starter Kit V2/V3 (Cỏ nhân tạo + Khay Potty + Đồ chơi Teething/Snuggle)</t>
        </is>
      </c>
      <c r="S1706" s="9" t="inlineStr">
        <is>
          <t>Đóng băng tương tác (&gt;30 ngày): Lưu trữ chờ kích hoạt lại, không tốn tài nguyên Sales</t>
        </is>
      </c>
    </row>
    <row r="1707">
      <c r="A1707" s="53" t="n">
        <v>2200</v>
      </c>
      <c r="B1707" s="12" t="inlineStr">
        <is>
          <t>MK Bernese Mountain Dogs</t>
        </is>
      </c>
      <c r="C1707" s="54" t="inlineStr">
        <is>
          <t>https://www.facebook.com/profile.php?id=100088441307380</t>
        </is>
      </c>
      <c r="D1707" s="6" t="inlineStr">
        <is>
          <t>Cần quét Bio Fanpage</t>
        </is>
      </c>
      <c r="E1707" s="53" t="inlineStr">
        <is>
          <t>20/12/2022 08:11:08</t>
        </is>
      </c>
      <c r="F1707" s="53" t="inlineStr">
        <is>
          <t>3 năm trước</t>
        </is>
      </c>
      <c r="G1707" s="55" t="n">
        <v>1095</v>
      </c>
      <c r="H1707" s="56" t="n">
        <v>0</v>
      </c>
      <c r="I1707" s="6" t="inlineStr">
        <is>
          <t>Dog Breeder / Trại chó chuyên nghiệp (28-30đ)</t>
        </is>
      </c>
      <c r="J1707" s="56" t="n">
        <v>28</v>
      </c>
      <c r="K1707" s="6" t="inlineStr">
        <is>
          <t>Bernese Mountain Dog</t>
        </is>
      </c>
      <c r="L1707" s="56" t="n">
        <v>5</v>
      </c>
      <c r="M1707" s="56" t="n">
        <v>0</v>
      </c>
      <c r="N1707" s="6" t="inlineStr">
        <is>
          <t>Amazon link not found</t>
        </is>
      </c>
      <c r="O1707" s="56">
        <f>IF(N1707="Selling pet toys + Artificial grass/Pet toilets (TARGET)",15,IF(N1707="Selling artificial grass/pet toilets (TARGET)",10,IF(N1707="Selling pet toys",7,IF(N1707="There's an Amazon link, but no target sales.",3,0))))</f>
        <v/>
      </c>
      <c r="P1707" s="65">
        <f>H1707+J1707+L1707+M1707+O1707</f>
        <v/>
      </c>
      <c r="Q1707" s="68">
        <f>IF(OR(H1707=0,P1707&lt;30),"Tier D (Đóng băng)",IF(P1707&gt;=85,"Tier S (Kim Cương: 85-100đ)",IF(P1707&gt;=70,"Tier A (Vàng: 70-84đ)",IF(P1707&gt;=61,"Tier B+ / Cấp A (Hot Lead: 61-69đ)",IF(P1707&gt;=50,"Tier B (Bạc: 50-60đ)","Tier C (Đồng: 30-49đ)")))))</f>
        <v/>
      </c>
      <c r="R1707" s="6" t="inlineStr">
        <is>
          <t>Trọn gói Take-Home Starter Kit V2/V3 (Cỏ nhân tạo + Khay Potty + Đồ chơi Teething/Snuggle)</t>
        </is>
      </c>
      <c r="S1707" s="6" t="inlineStr">
        <is>
          <t>Đóng băng tương tác (&gt;30 ngày): Lưu trữ chờ kích hoạt lại, không tốn tài nguyên Sales</t>
        </is>
      </c>
    </row>
    <row r="1708">
      <c r="A1708" s="59" t="n">
        <v>3045</v>
      </c>
      <c r="B1708" s="15" t="inlineStr">
        <is>
          <t>Swiss Gold Bernese Mountain Dogs</t>
        </is>
      </c>
      <c r="C1708" s="60" t="inlineStr">
        <is>
          <t>https://www.facebook.com/MadMaplesMyGirlVada</t>
        </is>
      </c>
      <c r="D1708" s="9" t="inlineStr">
        <is>
          <t>Cần quét Bio Fanpage</t>
        </is>
      </c>
      <c r="E1708" s="59" t="inlineStr">
        <is>
          <t>26/05/2022 03:42:41</t>
        </is>
      </c>
      <c r="F1708" s="59" t="inlineStr">
        <is>
          <t>4 năm trước</t>
        </is>
      </c>
      <c r="G1708" s="61" t="n">
        <v>1460</v>
      </c>
      <c r="H1708" s="62" t="n">
        <v>0</v>
      </c>
      <c r="I1708" s="9" t="inlineStr">
        <is>
          <t>Dog Breeder / Trại chó chuyên nghiệp (28-30đ)</t>
        </is>
      </c>
      <c r="J1708" s="62" t="n">
        <v>28</v>
      </c>
      <c r="K1708" s="9" t="inlineStr">
        <is>
          <t>Bernese Mountain Dog</t>
        </is>
      </c>
      <c r="L1708" s="62" t="n">
        <v>5</v>
      </c>
      <c r="M1708" s="62" t="n">
        <v>0</v>
      </c>
      <c r="N1708" s="9" t="inlineStr">
        <is>
          <t>Amazon link not found</t>
        </is>
      </c>
      <c r="O1708" s="62">
        <f>IF(N1708="Selling pet toys + Artificial grass/Pet toilets (TARGET)",15,IF(N1708="Selling artificial grass/pet toilets (TARGET)",10,IF(N1708="Selling pet toys",7,IF(N1708="There's an Amazon link, but no target sales.",3,0))))</f>
        <v/>
      </c>
      <c r="P1708" s="67">
        <f>H1708+J1708+L1708+M1708+O1708</f>
        <v/>
      </c>
      <c r="Q1708" s="68">
        <f>IF(OR(H1708=0,P1708&lt;30),"Tier D (Đóng băng)",IF(P1708&gt;=85,"Tier S (Kim Cương: 85-100đ)",IF(P1708&gt;=70,"Tier A (Vàng: 70-84đ)",IF(P1708&gt;=61,"Tier B+ / Cấp A (Hot Lead: 61-69đ)",IF(P1708&gt;=50,"Tier B (Bạc: 50-60đ)","Tier C (Đồng: 30-49đ)")))))</f>
        <v/>
      </c>
      <c r="R1708" s="9" t="inlineStr">
        <is>
          <t>Trọn gói Take-Home Starter Kit V2/V3 (Cỏ nhân tạo + Khay Potty + Đồ chơi Teething/Snuggle)</t>
        </is>
      </c>
      <c r="S1708" s="9" t="inlineStr">
        <is>
          <t>Đóng băng tương tác (&gt;30 ngày): Lưu trữ chờ kích hoạt lại, không tốn tài nguyên Sales</t>
        </is>
      </c>
    </row>
    <row r="1709">
      <c r="A1709" s="53" t="n">
        <v>1046</v>
      </c>
      <c r="B1709" s="12" t="inlineStr">
        <is>
          <t>Dog Alley Farm LLC</t>
        </is>
      </c>
      <c r="C1709" s="54" t="inlineStr">
        <is>
          <t>https://www.facebook.com/dogalleyfarmllc</t>
        </is>
      </c>
      <c r="D1709" s="6" t="inlineStr">
        <is>
          <t>Cần quét Bio Fanpage</t>
        </is>
      </c>
      <c r="E1709" s="53" t="inlineStr">
        <is>
          <t>25/05/2022 20:35:42</t>
        </is>
      </c>
      <c r="F1709" s="53" t="inlineStr">
        <is>
          <t>4 năm trước</t>
        </is>
      </c>
      <c r="G1709" s="55" t="n">
        <v>1460</v>
      </c>
      <c r="H1709" s="56" t="n">
        <v>0</v>
      </c>
      <c r="I1709" s="6" t="inlineStr">
        <is>
          <t>Dog Breeder / Trại nhân giống (28-30đ)</t>
        </is>
      </c>
      <c r="J1709" s="56" t="n">
        <v>28</v>
      </c>
      <c r="K1709" s="6" t="inlineStr">
        <is>
          <t>Chưa rõ giống (Cần quét Bio)</t>
        </is>
      </c>
      <c r="L1709" s="56" t="n">
        <v>0</v>
      </c>
      <c r="M1709" s="56" t="n">
        <v>5</v>
      </c>
      <c r="N1709" s="6" t="inlineStr">
        <is>
          <t>Amazon link not found</t>
        </is>
      </c>
      <c r="O1709" s="56">
        <f>IF(N1709="Selling pet toys + Artificial grass/Pet toilets (TARGET)",15,IF(N1709="Selling artificial grass/pet toilets (TARGET)",10,IF(N1709="Selling pet toys",7,IF(N1709="There's an Amazon link, but no target sales.",3,0))))</f>
        <v/>
      </c>
      <c r="P1709" s="65">
        <f>H1709+J1709+L1709+M1709+O1709</f>
        <v/>
      </c>
      <c r="Q1709" s="68">
        <f>IF(OR(H1709=0,P1709&lt;30),"Tier D (Đóng băng)",IF(P1709&gt;=85,"Tier S (Kim Cương: 85-100đ)",IF(P1709&gt;=70,"Tier A (Vàng: 70-84đ)",IF(P1709&gt;=61,"Tier B+ / Cấp A (Hot Lead: 61-69đ)",IF(P1709&gt;=50,"Tier B (Bạc: 50-60đ)","Tier C (Đồng: 30-49đ)")))))</f>
        <v/>
      </c>
      <c r="R1709" s="6" t="inlineStr">
        <is>
          <t>Trọn gói Take-Home Starter Kit V2/V3 (Cỏ nhân tạo + Khay Potty + Đồ chơi cún con)</t>
        </is>
      </c>
      <c r="S1709" s="6" t="inlineStr">
        <is>
          <t>Đóng băng tương tác (&gt;30 ngày): Lưu trữ chờ kích hoạt lại, không tốn tài nguyên Sales</t>
        </is>
      </c>
    </row>
    <row r="1710">
      <c r="A1710" s="59" t="n">
        <v>425</v>
      </c>
      <c r="B1710" s="15" t="inlineStr">
        <is>
          <t>Anastasia Bernese Mountain Dogs</t>
        </is>
      </c>
      <c r="C1710" s="60" t="inlineStr">
        <is>
          <t>https://www.facebook.com/1BerneseMountainDog</t>
        </is>
      </c>
      <c r="D1710" s="9" t="inlineStr">
        <is>
          <t>Cần quét Bio Fanpage</t>
        </is>
      </c>
      <c r="E1710" s="59" t="inlineStr">
        <is>
          <t>09/04/2022 00:53:00</t>
        </is>
      </c>
      <c r="F1710" s="59" t="inlineStr">
        <is>
          <t>4 năm trước</t>
        </is>
      </c>
      <c r="G1710" s="61" t="n">
        <v>1460</v>
      </c>
      <c r="H1710" s="62" t="n">
        <v>0</v>
      </c>
      <c r="I1710" s="9" t="inlineStr">
        <is>
          <t>Dog Breeder / Trại chó chuyên nghiệp (28-30đ)</t>
        </is>
      </c>
      <c r="J1710" s="62" t="n">
        <v>28</v>
      </c>
      <c r="K1710" s="9" t="inlineStr">
        <is>
          <t>Bernese Mountain Dog</t>
        </is>
      </c>
      <c r="L1710" s="62" t="n">
        <v>5</v>
      </c>
      <c r="M1710" s="62" t="n">
        <v>0</v>
      </c>
      <c r="N1710" s="9" t="inlineStr">
        <is>
          <t>Amazon link not found</t>
        </is>
      </c>
      <c r="O1710" s="62">
        <f>IF(N1710="Selling pet toys + Artificial grass/Pet toilets (TARGET)",15,IF(N1710="Selling artificial grass/pet toilets (TARGET)",10,IF(N1710="Selling pet toys",7,IF(N1710="There's an Amazon link, but no target sales.",3,0))))</f>
        <v/>
      </c>
      <c r="P1710" s="67">
        <f>H1710+J1710+L1710+M1710+O1710</f>
        <v/>
      </c>
      <c r="Q1710" s="68">
        <f>IF(OR(H1710=0,P1710&lt;30),"Tier D (Đóng băng)",IF(P1710&gt;=85,"Tier S (Kim Cương: 85-100đ)",IF(P1710&gt;=70,"Tier A (Vàng: 70-84đ)",IF(P1710&gt;=61,"Tier B+ / Cấp A (Hot Lead: 61-69đ)",IF(P1710&gt;=50,"Tier B (Bạc: 50-60đ)","Tier C (Đồng: 30-49đ)")))))</f>
        <v/>
      </c>
      <c r="R1710" s="9" t="inlineStr">
        <is>
          <t>Trọn gói Take-Home Starter Kit V2/V3 (Cỏ nhân tạo + Khay Potty + Đồ chơi Teething/Snuggle)</t>
        </is>
      </c>
      <c r="S1710" s="9" t="inlineStr">
        <is>
          <t>Đóng băng tương tác (&gt;30 ngày): Lưu trữ chờ kích hoạt lại, không tốn tài nguyên Sales</t>
        </is>
      </c>
    </row>
    <row r="1711">
      <c r="A1711" s="53" t="n">
        <v>2876</v>
      </c>
      <c r="B1711" s="12" t="inlineStr">
        <is>
          <t>Shasta Bernese Mtn Dogs</t>
        </is>
      </c>
      <c r="C1711" s="54" t="inlineStr">
        <is>
          <t>https://www.facebook.com/profile.php?id=100064833754105</t>
        </is>
      </c>
      <c r="D1711" s="6" t="inlineStr">
        <is>
          <t>Cần quét Bio Fanpage</t>
        </is>
      </c>
      <c r="E1711" s="53" t="inlineStr">
        <is>
          <t>03/02/2022 06:10:27</t>
        </is>
      </c>
      <c r="F1711" s="53" t="inlineStr">
        <is>
          <t>4 năm trước</t>
        </is>
      </c>
      <c r="G1711" s="55" t="n">
        <v>1460</v>
      </c>
      <c r="H1711" s="56" t="n">
        <v>0</v>
      </c>
      <c r="I1711" s="6" t="inlineStr">
        <is>
          <t>Dog Breeder / Trại chó chuyên nghiệp (28-30đ)</t>
        </is>
      </c>
      <c r="J1711" s="56" t="n">
        <v>28</v>
      </c>
      <c r="K1711" s="6" t="inlineStr">
        <is>
          <t>Bernese Mountain Dog</t>
        </is>
      </c>
      <c r="L1711" s="56" t="n">
        <v>5</v>
      </c>
      <c r="M1711" s="56" t="n">
        <v>0</v>
      </c>
      <c r="N1711" s="6" t="inlineStr">
        <is>
          <t>Amazon link not found</t>
        </is>
      </c>
      <c r="O1711" s="56">
        <f>IF(N1711="Selling pet toys + Artificial grass/Pet toilets (TARGET)",15,IF(N1711="Selling artificial grass/pet toilets (TARGET)",10,IF(N1711="Selling pet toys",7,IF(N1711="There's an Amazon link, but no target sales.",3,0))))</f>
        <v/>
      </c>
      <c r="P1711" s="65">
        <f>H1711+J1711+L1711+M1711+O1711</f>
        <v/>
      </c>
      <c r="Q1711" s="68">
        <f>IF(OR(H1711=0,P1711&lt;30),"Tier D (Đóng băng)",IF(P1711&gt;=85,"Tier S (Kim Cương: 85-100đ)",IF(P1711&gt;=70,"Tier A (Vàng: 70-84đ)",IF(P1711&gt;=61,"Tier B+ / Cấp A (Hot Lead: 61-69đ)",IF(P1711&gt;=50,"Tier B (Bạc: 50-60đ)","Tier C (Đồng: 30-49đ)")))))</f>
        <v/>
      </c>
      <c r="R1711" s="6" t="inlineStr">
        <is>
          <t>Trọn gói Take-Home Starter Kit V2/V3 (Cỏ nhân tạo + Khay Potty + Đồ chơi Teething/Snuggle)</t>
        </is>
      </c>
      <c r="S1711" s="6" t="inlineStr">
        <is>
          <t>Đóng băng tương tác (&gt;30 ngày): Lưu trữ chờ kích hoạt lại, không tốn tài nguyên Sales</t>
        </is>
      </c>
    </row>
    <row r="1712">
      <c r="A1712" s="59" t="n">
        <v>2047</v>
      </c>
      <c r="B1712" s="15" t="inlineStr">
        <is>
          <t>Lola Daisy Dachshund - Sausage dog</t>
        </is>
      </c>
      <c r="C1712" s="60" t="inlineStr">
        <is>
          <t>https://www.facebook.com/profile.php?id=100063560447648</t>
        </is>
      </c>
      <c r="D1712" s="9" t="inlineStr">
        <is>
          <t>Cần quét Bio Fanpage</t>
        </is>
      </c>
      <c r="E1712" s="59" t="inlineStr">
        <is>
          <t>03/02/2022 03:12:55</t>
        </is>
      </c>
      <c r="F1712" s="59" t="inlineStr">
        <is>
          <t>4 năm trước</t>
        </is>
      </c>
      <c r="G1712" s="61" t="n">
        <v>1460</v>
      </c>
      <c r="H1712" s="62" t="n">
        <v>0</v>
      </c>
      <c r="I1712" s="9" t="inlineStr">
        <is>
          <t>Dog Breeder / Trại nhân giống (28-30đ)</t>
        </is>
      </c>
      <c r="J1712" s="62" t="n">
        <v>28</v>
      </c>
      <c r="K1712" s="9" t="inlineStr">
        <is>
          <t>Dachshund</t>
        </is>
      </c>
      <c r="L1712" s="62" t="n">
        <v>5</v>
      </c>
      <c r="M1712" s="62" t="n">
        <v>0</v>
      </c>
      <c r="N1712" s="9" t="inlineStr">
        <is>
          <t>Amazon link not found</t>
        </is>
      </c>
      <c r="O1712" s="62">
        <f>IF(N1712="Selling pet toys + Artificial grass/Pet toilets (TARGET)",15,IF(N1712="Selling artificial grass/pet toilets (TARGET)",10,IF(N1712="Selling pet toys",7,IF(N1712="There's an Amazon link, but no target sales.",3,0))))</f>
        <v/>
      </c>
      <c r="P1712" s="67">
        <f>H1712+J1712+L1712+M1712+O1712</f>
        <v/>
      </c>
      <c r="Q1712" s="68">
        <f>IF(OR(H1712=0,P1712&lt;30),"Tier D (Đóng băng)",IF(P1712&gt;=85,"Tier S (Kim Cương: 85-100đ)",IF(P1712&gt;=70,"Tier A (Vàng: 70-84đ)",IF(P1712&gt;=61,"Tier B+ / Cấp A (Hot Lead: 61-69đ)",IF(P1712&gt;=50,"Tier B (Bạc: 50-60đ)","Tier C (Đồng: 30-49đ)")))))</f>
        <v/>
      </c>
      <c r="R1712" s="9" t="inlineStr">
        <is>
          <t>Trọn gói Take-Home Starter Kit V2/V3 (Cỏ nhân tạo + Khay Potty + Đồ chơi cún con)</t>
        </is>
      </c>
      <c r="S1712" s="9" t="inlineStr">
        <is>
          <t>Đóng băng tương tác (&gt;30 ngày): Lưu trữ chờ kích hoạt lại, không tốn tài nguyên Sales</t>
        </is>
      </c>
    </row>
    <row r="1713">
      <c r="A1713" s="53" t="n">
        <v>636</v>
      </c>
      <c r="B1713" s="12" t="inlineStr">
        <is>
          <t>Bernese Mountain Dog</t>
        </is>
      </c>
      <c r="C1713" s="54" t="inlineStr">
        <is>
          <t>https://www.facebook.com/profile.php?id=100070255400533</t>
        </is>
      </c>
      <c r="D1713" s="6" t="inlineStr">
        <is>
          <t>Cần quét Bio Fanpage</t>
        </is>
      </c>
      <c r="E1713" s="53" t="inlineStr">
        <is>
          <t>29/10/2021 09:25:14</t>
        </is>
      </c>
      <c r="F1713" s="53" t="inlineStr">
        <is>
          <t>4 năm trước</t>
        </is>
      </c>
      <c r="G1713" s="55" t="n">
        <v>1460</v>
      </c>
      <c r="H1713" s="56" t="n">
        <v>0</v>
      </c>
      <c r="I1713" s="6" t="inlineStr">
        <is>
          <t>Dog Breeder / Trại chó chuyên nghiệp (28-30đ)</t>
        </is>
      </c>
      <c r="J1713" s="56" t="n">
        <v>28</v>
      </c>
      <c r="K1713" s="6" t="inlineStr">
        <is>
          <t>Bernese Mountain Dog</t>
        </is>
      </c>
      <c r="L1713" s="56" t="n">
        <v>5</v>
      </c>
      <c r="M1713" s="56" t="n">
        <v>0</v>
      </c>
      <c r="N1713" s="6" t="inlineStr">
        <is>
          <t>Amazon link not found</t>
        </is>
      </c>
      <c r="O1713" s="56">
        <f>IF(N1713="Selling pet toys + Artificial grass/Pet toilets (TARGET)",15,IF(N1713="Selling artificial grass/pet toilets (TARGET)",10,IF(N1713="Selling pet toys",7,IF(N1713="There's an Amazon link, but no target sales.",3,0))))</f>
        <v/>
      </c>
      <c r="P1713" s="65">
        <f>H1713+J1713+L1713+M1713+O1713</f>
        <v/>
      </c>
      <c r="Q1713" s="68">
        <f>IF(OR(H1713=0,P1713&lt;30),"Tier D (Đóng băng)",IF(P1713&gt;=85,"Tier S (Kim Cương: 85-100đ)",IF(P1713&gt;=70,"Tier A (Vàng: 70-84đ)",IF(P1713&gt;=61,"Tier B+ / Cấp A (Hot Lead: 61-69đ)",IF(P1713&gt;=50,"Tier B (Bạc: 50-60đ)","Tier C (Đồng: 30-49đ)")))))</f>
        <v/>
      </c>
      <c r="R1713" s="6" t="inlineStr">
        <is>
          <t>Trọn gói Take-Home Starter Kit V2/V3 (Cỏ nhân tạo + Khay Potty + Đồ chơi Teething/Snuggle)</t>
        </is>
      </c>
      <c r="S1713" s="6" t="inlineStr">
        <is>
          <t>Đóng băng tương tác (&gt;30 ngày): Lưu trữ chờ kích hoạt lại, không tốn tài nguyên Sales</t>
        </is>
      </c>
    </row>
    <row r="1714">
      <c r="A1714" s="59" t="n">
        <v>314</v>
      </c>
      <c r="B1714" s="15" t="inlineStr">
        <is>
          <t>A Big Dog Tactical LLC</t>
        </is>
      </c>
      <c r="C1714" s="60" t="inlineStr">
        <is>
          <t>https://www.facebook.com/ABigDogTacticalLlc</t>
        </is>
      </c>
      <c r="D1714" s="9" t="inlineStr">
        <is>
          <t>Cần quét Bio Fanpage</t>
        </is>
      </c>
      <c r="E1714" s="59" t="inlineStr">
        <is>
          <t>08/10/2021 08:41:25</t>
        </is>
      </c>
      <c r="F1714" s="59" t="inlineStr">
        <is>
          <t>5 năm trước</t>
        </is>
      </c>
      <c r="G1714" s="61" t="n">
        <v>1825</v>
      </c>
      <c r="H1714" s="62" t="n">
        <v>0</v>
      </c>
      <c r="I1714" s="9" t="inlineStr">
        <is>
          <t>Dog Breeder / Trại nhân giống (28-30đ)</t>
        </is>
      </c>
      <c r="J1714" s="62" t="n">
        <v>28</v>
      </c>
      <c r="K1714" s="9" t="inlineStr">
        <is>
          <t>Chưa rõ giống (Cần quét Bio)</t>
        </is>
      </c>
      <c r="L1714" s="62" t="n">
        <v>0</v>
      </c>
      <c r="M1714" s="62" t="n">
        <v>5</v>
      </c>
      <c r="N1714" s="9" t="inlineStr">
        <is>
          <t>Amazon link not found</t>
        </is>
      </c>
      <c r="O1714" s="62">
        <f>IF(N1714="Selling pet toys + Artificial grass/Pet toilets (TARGET)",15,IF(N1714="Selling artificial grass/pet toilets (TARGET)",10,IF(N1714="Selling pet toys",7,IF(N1714="There's an Amazon link, but no target sales.",3,0))))</f>
        <v/>
      </c>
      <c r="P1714" s="67">
        <f>H1714+J1714+L1714+M1714+O1714</f>
        <v/>
      </c>
      <c r="Q1714" s="68">
        <f>IF(OR(H1714=0,P1714&lt;30),"Tier D (Đóng băng)",IF(P1714&gt;=85,"Tier S (Kim Cương: 85-100đ)",IF(P1714&gt;=70,"Tier A (Vàng: 70-84đ)",IF(P1714&gt;=61,"Tier B+ / Cấp A (Hot Lead: 61-69đ)",IF(P1714&gt;=50,"Tier B (Bạc: 50-60đ)","Tier C (Đồng: 30-49đ)")))))</f>
        <v/>
      </c>
      <c r="R1714" s="9" t="inlineStr">
        <is>
          <t>Trọn gói Take-Home Starter Kit V2/V3 (Cỏ nhân tạo + Khay Potty + Đồ chơi cún con)</t>
        </is>
      </c>
      <c r="S1714" s="9" t="inlineStr">
        <is>
          <t>Đóng băng tương tác (&gt;30 ngày): Lưu trữ chờ kích hoạt lại, không tốn tài nguyên Sales</t>
        </is>
      </c>
    </row>
    <row r="1715">
      <c r="A1715" s="53" t="n">
        <v>2254</v>
      </c>
      <c r="B1715" s="12" t="inlineStr">
        <is>
          <t>Nashems Bernese Mountain Dogs</t>
        </is>
      </c>
      <c r="C1715" s="54" t="inlineStr">
        <is>
          <t>https://www.facebook.com/nashemsbernese</t>
        </is>
      </c>
      <c r="D1715" s="6" t="inlineStr">
        <is>
          <t>Cần quét Bio Fanpage</t>
        </is>
      </c>
      <c r="E1715" s="53" t="inlineStr">
        <is>
          <t>19/08/2020 05:36:58</t>
        </is>
      </c>
      <c r="F1715" s="53" t="inlineStr">
        <is>
          <t>6 năm trước</t>
        </is>
      </c>
      <c r="G1715" s="55" t="n">
        <v>2190</v>
      </c>
      <c r="H1715" s="56" t="n">
        <v>0</v>
      </c>
      <c r="I1715" s="6" t="inlineStr">
        <is>
          <t>Dog Breeder / Trại chó chuyên nghiệp (28-30đ)</t>
        </is>
      </c>
      <c r="J1715" s="56" t="n">
        <v>28</v>
      </c>
      <c r="K1715" s="6" t="inlineStr">
        <is>
          <t>Bernese Mountain Dog</t>
        </is>
      </c>
      <c r="L1715" s="56" t="n">
        <v>5</v>
      </c>
      <c r="M1715" s="56" t="n">
        <v>0</v>
      </c>
      <c r="N1715" s="6" t="inlineStr">
        <is>
          <t>Amazon link not found</t>
        </is>
      </c>
      <c r="O1715" s="56">
        <f>IF(N1715="Selling pet toys + Artificial grass/Pet toilets (TARGET)",15,IF(N1715="Selling artificial grass/pet toilets (TARGET)",10,IF(N1715="Selling pet toys",7,IF(N1715="There's an Amazon link, but no target sales.",3,0))))</f>
        <v/>
      </c>
      <c r="P1715" s="65">
        <f>H1715+J1715+L1715+M1715+O1715</f>
        <v/>
      </c>
      <c r="Q1715" s="68">
        <f>IF(OR(H1715=0,P1715&lt;30),"Tier D (Đóng băng)",IF(P1715&gt;=85,"Tier S (Kim Cương: 85-100đ)",IF(P1715&gt;=70,"Tier A (Vàng: 70-84đ)",IF(P1715&gt;=61,"Tier B+ / Cấp A (Hot Lead: 61-69đ)",IF(P1715&gt;=50,"Tier B (Bạc: 50-60đ)","Tier C (Đồng: 30-49đ)")))))</f>
        <v/>
      </c>
      <c r="R1715" s="6" t="inlineStr">
        <is>
          <t>Trọn gói Take-Home Starter Kit V2/V3 (Cỏ nhân tạo + Khay Potty + Đồ chơi Teething/Snuggle)</t>
        </is>
      </c>
      <c r="S1715" s="6" t="inlineStr">
        <is>
          <t>Đóng băng tương tác (&gt;30 ngày): Lưu trữ chờ kích hoạt lại, không tốn tài nguyên Sales</t>
        </is>
      </c>
    </row>
    <row r="1716">
      <c r="A1716" s="59" t="n">
        <v>395</v>
      </c>
      <c r="B1716" s="15" t="inlineStr">
        <is>
          <t>Alpenschatz Bernese Mountain Dogs</t>
        </is>
      </c>
      <c r="C1716" s="60" t="inlineStr">
        <is>
          <t>https://www.facebook.com/profile.php?id=100063782467252</t>
        </is>
      </c>
      <c r="D1716" s="9" t="inlineStr">
        <is>
          <t>Cần quét Bio Fanpage</t>
        </is>
      </c>
      <c r="E1716" s="59" t="inlineStr">
        <is>
          <t>15/10/2019 01:37:41</t>
        </is>
      </c>
      <c r="F1716" s="59" t="inlineStr">
        <is>
          <t>7 years trước</t>
        </is>
      </c>
      <c r="G1716" s="61" t="n">
        <v>2555</v>
      </c>
      <c r="H1716" s="62" t="n">
        <v>0</v>
      </c>
      <c r="I1716" s="9" t="inlineStr">
        <is>
          <t>Dog Breeder / Trại chó chuyên nghiệp (28-30đ)</t>
        </is>
      </c>
      <c r="J1716" s="62" t="n">
        <v>28</v>
      </c>
      <c r="K1716" s="9" t="inlineStr">
        <is>
          <t>Bernese Mountain Dog</t>
        </is>
      </c>
      <c r="L1716" s="62" t="n">
        <v>5</v>
      </c>
      <c r="M1716" s="62" t="n">
        <v>0</v>
      </c>
      <c r="N1716" s="9" t="inlineStr">
        <is>
          <t>Amazon link not found</t>
        </is>
      </c>
      <c r="O1716" s="62">
        <f>IF(N1716="Selling pet toys + Artificial grass/Pet toilets (TARGET)",15,IF(N1716="Selling artificial grass/pet toilets (TARGET)",10,IF(N1716="Selling pet toys",7,IF(N1716="There's an Amazon link, but no target sales.",3,0))))</f>
        <v/>
      </c>
      <c r="P1716" s="67">
        <f>H1716+J1716+L1716+M1716+O1716</f>
        <v/>
      </c>
      <c r="Q1716" s="68">
        <f>IF(OR(H1716=0,P1716&lt;30),"Tier D (Đóng băng)",IF(P1716&gt;=85,"Tier S (Kim Cương: 85-100đ)",IF(P1716&gt;=70,"Tier A (Vàng: 70-84đ)",IF(P1716&gt;=61,"Tier B+ / Cấp A (Hot Lead: 61-69đ)",IF(P1716&gt;=50,"Tier B (Bạc: 50-60đ)","Tier C (Đồng: 30-49đ)")))))</f>
        <v/>
      </c>
      <c r="R1716" s="9" t="inlineStr">
        <is>
          <t>Trọn gói Take-Home Starter Kit V2/V3 (Cỏ nhân tạo + Khay Potty + Đồ chơi Teething/Snuggle)</t>
        </is>
      </c>
      <c r="S1716" s="9" t="inlineStr">
        <is>
          <t>Đóng băng tương tác (&gt;30 ngày): Lưu trữ chờ kích hoạt lại, không tốn tài nguyên Sales</t>
        </is>
      </c>
    </row>
    <row r="1717">
      <c r="A1717" s="53" t="n">
        <v>1261</v>
      </c>
      <c r="B1717" s="12" t="inlineStr">
        <is>
          <t>Eastern Washington Bernese Mountain Dogs</t>
        </is>
      </c>
      <c r="C1717" s="54" t="inlineStr">
        <is>
          <t>https://www.facebook.com/profile.php?id=100054528576133</t>
        </is>
      </c>
      <c r="D1717" s="6" t="inlineStr">
        <is>
          <t>Cần quét Bio Fanpage</t>
        </is>
      </c>
      <c r="E1717" s="53" t="inlineStr">
        <is>
          <t>30/03/2019 20:25:00</t>
        </is>
      </c>
      <c r="F1717" s="53" t="inlineStr">
        <is>
          <t>30 Tháng 3, 2019 lúc 20:25</t>
        </is>
      </c>
      <c r="G1717" s="55" t="n">
        <v>365</v>
      </c>
      <c r="H1717" s="56" t="n">
        <v>0</v>
      </c>
      <c r="I1717" s="6" t="inlineStr">
        <is>
          <t>Dog Breeder / Trại chó chuyên nghiệp (28-30đ)</t>
        </is>
      </c>
      <c r="J1717" s="56" t="n">
        <v>28</v>
      </c>
      <c r="K1717" s="6" t="inlineStr">
        <is>
          <t>Bernese Mountain Dog</t>
        </is>
      </c>
      <c r="L1717" s="56" t="n">
        <v>5</v>
      </c>
      <c r="M1717" s="56" t="n">
        <v>0</v>
      </c>
      <c r="N1717" s="6" t="inlineStr">
        <is>
          <t>Amazon link not found</t>
        </is>
      </c>
      <c r="O1717" s="56">
        <f>IF(N1717="Selling pet toys + Artificial grass/Pet toilets (TARGET)",15,IF(N1717="Selling artificial grass/pet toilets (TARGET)",10,IF(N1717="Selling pet toys",7,IF(N1717="There's an Amazon link, but no target sales.",3,0))))</f>
        <v/>
      </c>
      <c r="P1717" s="65">
        <f>H1717+J1717+L1717+M1717+O1717</f>
        <v/>
      </c>
      <c r="Q1717" s="68">
        <f>IF(OR(H1717=0,P1717&lt;30),"Tier D (Đóng băng)",IF(P1717&gt;=85,"Tier S (Kim Cương: 85-100đ)",IF(P1717&gt;=70,"Tier A (Vàng: 70-84đ)",IF(P1717&gt;=61,"Tier B+ / Cấp A (Hot Lead: 61-69đ)",IF(P1717&gt;=50,"Tier B (Bạc: 50-60đ)","Tier C (Đồng: 30-49đ)")))))</f>
        <v/>
      </c>
      <c r="R1717" s="6" t="inlineStr">
        <is>
          <t>Trọn gói Take-Home Starter Kit V2/V3 (Cỏ nhân tạo + Khay Potty + Đồ chơi Teething/Snuggle)</t>
        </is>
      </c>
      <c r="S1717" s="6" t="inlineStr">
        <is>
          <t>Đóng băng tương tác (&gt;30 ngày): Lưu trữ chờ kích hoạt lại, không tốn tài nguyên Sales</t>
        </is>
      </c>
    </row>
    <row r="1718">
      <c r="A1718" s="59" t="n">
        <v>2100</v>
      </c>
      <c r="B1718" s="15" t="inlineStr">
        <is>
          <t>Magic Bernese Mountain Dogs - Magic Berners</t>
        </is>
      </c>
      <c r="C1718" s="60" t="inlineStr">
        <is>
          <t>https://www.facebook.com/magicberners</t>
        </is>
      </c>
      <c r="D1718" s="9" t="inlineStr">
        <is>
          <t>Cần quét Bio Fanpage</t>
        </is>
      </c>
      <c r="E1718" s="59" t="inlineStr">
        <is>
          <t>24/03/2016 05:12:00</t>
        </is>
      </c>
      <c r="F1718" s="59" t="inlineStr">
        <is>
          <t>24 Tháng 3, 2016 lúc 05:12</t>
        </is>
      </c>
      <c r="G1718" s="61" t="n">
        <v>365</v>
      </c>
      <c r="H1718" s="62" t="n">
        <v>0</v>
      </c>
      <c r="I1718" s="9" t="inlineStr">
        <is>
          <t>Dog Breeder / Trại chó chuyên nghiệp (28-30đ)</t>
        </is>
      </c>
      <c r="J1718" s="62" t="n">
        <v>28</v>
      </c>
      <c r="K1718" s="9" t="inlineStr">
        <is>
          <t>Bernese Mountain Dog</t>
        </is>
      </c>
      <c r="L1718" s="62" t="n">
        <v>5</v>
      </c>
      <c r="M1718" s="62" t="n">
        <v>0</v>
      </c>
      <c r="N1718" s="9" t="inlineStr">
        <is>
          <t>Amazon link not found</t>
        </is>
      </c>
      <c r="O1718" s="62">
        <f>IF(N1718="Selling pet toys + Artificial grass/Pet toilets (TARGET)",15,IF(N1718="Selling artificial grass/pet toilets (TARGET)",10,IF(N1718="Selling pet toys",7,IF(N1718="There's an Amazon link, but no target sales.",3,0))))</f>
        <v/>
      </c>
      <c r="P1718" s="67">
        <f>H1718+J1718+L1718+M1718+O1718</f>
        <v/>
      </c>
      <c r="Q1718" s="68">
        <f>IF(OR(H1718=0,P1718&lt;30),"Tier D (Đóng băng)",IF(P1718&gt;=85,"Tier S (Kim Cương: 85-100đ)",IF(P1718&gt;=70,"Tier A (Vàng: 70-84đ)",IF(P1718&gt;=61,"Tier B+ / Cấp A (Hot Lead: 61-69đ)",IF(P1718&gt;=50,"Tier B (Bạc: 50-60đ)","Tier C (Đồng: 30-49đ)")))))</f>
        <v/>
      </c>
      <c r="R1718" s="9" t="inlineStr">
        <is>
          <t>Trọn gói Take-Home Starter Kit V2/V3 (Cỏ nhân tạo + Khay Potty + Đồ chơi Teething/Snuggle)</t>
        </is>
      </c>
      <c r="S1718" s="9" t="inlineStr">
        <is>
          <t>Đóng băng tương tác (&gt;30 ngày): Lưu trữ chờ kích hoạt lại, không tốn tài nguyên Sales</t>
        </is>
      </c>
    </row>
    <row r="1719">
      <c r="A1719" s="53" t="n">
        <v>3074</v>
      </c>
      <c r="B1719" s="12" t="inlineStr">
        <is>
          <t>Tegans Australian Cobberdogs</t>
        </is>
      </c>
      <c r="C1719" s="54" t="inlineStr">
        <is>
          <t>https://www.facebook.com/AUSTRALIAN.COBBER.DOGS</t>
        </is>
      </c>
      <c r="D1719" s="6" t="inlineStr">
        <is>
          <t>Cần quét Bio Fanpage</t>
        </is>
      </c>
      <c r="E1719" s="53" t="inlineStr">
        <is>
          <t>25/02/2016 20:55:00</t>
        </is>
      </c>
      <c r="F1719" s="53" t="inlineStr">
        <is>
          <t>25 Tháng 2, 2016 lúc 20:55</t>
        </is>
      </c>
      <c r="G1719" s="55" t="n">
        <v>365</v>
      </c>
      <c r="H1719" s="56" t="n">
        <v>0</v>
      </c>
      <c r="I1719" s="6" t="inlineStr">
        <is>
          <t>Dog Breeder / Trại nhân giống (28-30đ)</t>
        </is>
      </c>
      <c r="J1719" s="56" t="n">
        <v>28</v>
      </c>
      <c r="K1719" s="6" t="inlineStr">
        <is>
          <t>Australian Shepherd / Herding</t>
        </is>
      </c>
      <c r="L1719" s="56" t="n">
        <v>5</v>
      </c>
      <c r="M1719" s="56" t="n">
        <v>0</v>
      </c>
      <c r="N1719" s="6" t="inlineStr">
        <is>
          <t>Amazon link not found</t>
        </is>
      </c>
      <c r="O1719" s="56">
        <f>IF(N1719="Selling pet toys + Artificial grass/Pet toilets (TARGET)",15,IF(N1719="Selling artificial grass/pet toilets (TARGET)",10,IF(N1719="Selling pet toys",7,IF(N1719="There's an Amazon link, but no target sales.",3,0))))</f>
        <v/>
      </c>
      <c r="P1719" s="65">
        <f>H1719+J1719+L1719+M1719+O1719</f>
        <v/>
      </c>
      <c r="Q1719" s="68">
        <f>IF(OR(H1719=0,P1719&lt;30),"Tier D (Đóng băng)",IF(P1719&gt;=85,"Tier S (Kim Cương: 85-100đ)",IF(P1719&gt;=70,"Tier A (Vàng: 70-84đ)",IF(P1719&gt;=61,"Tier B+ / Cấp A (Hot Lead: 61-69đ)",IF(P1719&gt;=50,"Tier B (Bạc: 50-60đ)","Tier C (Đồng: 30-49đ)")))))</f>
        <v/>
      </c>
      <c r="R1719" s="6" t="inlineStr">
        <is>
          <t>Trọn gói Take-Home Starter Kit V2/V3 (Cỏ nhân tạo + Khay Potty + Đồ chơi cún con)</t>
        </is>
      </c>
      <c r="S1719" s="6" t="inlineStr">
        <is>
          <t>Đóng băng tương tác (&gt;30 ngày): Lưu trữ chờ kích hoạt lại, không tốn tài nguyên Sales</t>
        </is>
      </c>
    </row>
    <row r="1720">
      <c r="A1720" s="59" t="n">
        <v>2432</v>
      </c>
      <c r="B1720" s="15" t="inlineStr">
        <is>
          <t>Perfect Puppy Care</t>
        </is>
      </c>
      <c r="C1720" s="60" t="inlineStr">
        <is>
          <t>https://www.facebook.com/Perfect.Puppy.Care</t>
        </is>
      </c>
      <c r="D1720" s="9" t="inlineStr">
        <is>
          <t>Cần quét Bio Fanpage</t>
        </is>
      </c>
      <c r="E1720" s="59" t="inlineStr">
        <is>
          <t>09/09/2013 18:08:00</t>
        </is>
      </c>
      <c r="F1720" s="59" t="inlineStr">
        <is>
          <t>9 Tháng 9, 2013 lúc 18:08</t>
        </is>
      </c>
      <c r="G1720" s="61" t="n">
        <v>365</v>
      </c>
      <c r="H1720" s="62" t="n">
        <v>0</v>
      </c>
      <c r="I1720" s="9" t="inlineStr">
        <is>
          <t>Dog Breeder / Trại chó chuyên nghiệp (28-30đ)</t>
        </is>
      </c>
      <c r="J1720" s="62" t="n">
        <v>28</v>
      </c>
      <c r="K1720" s="9" t="inlineStr">
        <is>
          <t>Chưa rõ giống (Cần quét Bio)</t>
        </is>
      </c>
      <c r="L1720" s="62" t="n">
        <v>0</v>
      </c>
      <c r="M1720" s="62" t="n">
        <v>5</v>
      </c>
      <c r="N1720" s="9" t="inlineStr">
        <is>
          <t>Amazon link not found</t>
        </is>
      </c>
      <c r="O1720" s="62">
        <f>IF(N1720="Selling pet toys + Artificial grass/Pet toilets (TARGET)",15,IF(N1720="Selling artificial grass/pet toilets (TARGET)",10,IF(N1720="Selling pet toys",7,IF(N1720="There's an Amazon link, but no target sales.",3,0))))</f>
        <v/>
      </c>
      <c r="P1720" s="67">
        <f>H1720+J1720+L1720+M1720+O1720</f>
        <v/>
      </c>
      <c r="Q1720" s="68">
        <f>IF(OR(H1720=0,P1720&lt;30),"Tier D (Đóng băng)",IF(P1720&gt;=85,"Tier S (Kim Cương: 85-100đ)",IF(P1720&gt;=70,"Tier A (Vàng: 70-84đ)",IF(P1720&gt;=61,"Tier B+ / Cấp A (Hot Lead: 61-69đ)",IF(P1720&gt;=50,"Tier B (Bạc: 50-60đ)","Tier C (Đồng: 30-49đ)")))))</f>
        <v/>
      </c>
      <c r="R1720" s="9" t="inlineStr">
        <is>
          <t>Trọn gói Take-Home Starter Kit V2/V3 (Cỏ nhân tạo + Khay Potty + Đồ chơi Teething/Snuggle)</t>
        </is>
      </c>
      <c r="S1720" s="9" t="inlineStr">
        <is>
          <t>Đóng băng tương tác (&gt;30 ngày): Lưu trữ chờ kích hoạt lại, không tốn tài nguyên Sales</t>
        </is>
      </c>
    </row>
    <row r="1721">
      <c r="A1721" s="53" t="n">
        <v>261</v>
      </c>
      <c r="B1721" s="12" t="inlineStr">
        <is>
          <t>SFSamoyedRescue</t>
        </is>
      </c>
      <c r="C1721" s="54" t="inlineStr">
        <is>
          <t>https://www.facebook.com/SFSamoyedRescue</t>
        </is>
      </c>
      <c r="D1721" s="6" t="inlineStr">
        <is>
          <t>Cần quét Bio Fanpage</t>
        </is>
      </c>
      <c r="E1721" s="53" t="inlineStr">
        <is>
          <t>Không tìm thấy bài viết</t>
        </is>
      </c>
      <c r="F1721" s="53" t="inlineStr">
        <is>
          <t>Không có bài</t>
        </is>
      </c>
      <c r="G1721" s="55" t="n">
        <v>999</v>
      </c>
      <c r="H1721" s="56" t="n">
        <v>0</v>
      </c>
      <c r="I1721" s="6" t="inlineStr">
        <is>
          <t>Dog Breeder / Trại nhân giống (28-30đ)</t>
        </is>
      </c>
      <c r="J1721" s="56" t="n">
        <v>28</v>
      </c>
      <c r="K1721" s="6" t="inlineStr">
        <is>
          <t>Husky / Malamute / Samoyed / Spitz</t>
        </is>
      </c>
      <c r="L1721" s="56" t="n">
        <v>5</v>
      </c>
      <c r="M1721" s="56" t="n">
        <v>0</v>
      </c>
      <c r="N1721" s="6" t="inlineStr">
        <is>
          <t>Amazon link not found</t>
        </is>
      </c>
      <c r="O1721" s="56">
        <f>IF(N1721="Selling pet toys + Artificial grass/Pet toilets (TARGET)",15,IF(N1721="Selling artificial grass/pet toilets (TARGET)",10,IF(N1721="Selling pet toys",7,IF(N1721="There's an Amazon link, but no target sales.",3,0))))</f>
        <v/>
      </c>
      <c r="P1721" s="65">
        <f>H1721+J1721+L1721+M1721+O1721</f>
        <v/>
      </c>
      <c r="Q1721" s="68">
        <f>IF(OR(H1721=0,P1721&lt;30),"Tier D (Đóng băng)",IF(P1721&gt;=85,"Tier S (Kim Cương: 85-100đ)",IF(P1721&gt;=70,"Tier A (Vàng: 70-84đ)",IF(P1721&gt;=61,"Tier B+ / Cấp A (Hot Lead: 61-69đ)",IF(P1721&gt;=50,"Tier B (Bạc: 50-60đ)","Tier C (Đồng: 30-49đ)")))))</f>
        <v/>
      </c>
      <c r="R1721" s="6" t="inlineStr">
        <is>
          <t>Trọn gói Take-Home Starter Kit V2/V3 (Cỏ nhân tạo + Khay Potty + Đồ chơi cún con)</t>
        </is>
      </c>
      <c r="S1721" s="6" t="inlineStr">
        <is>
          <t>Đóng băng tương tác (&gt;30 ngày): Lưu trữ chờ kích hoạt lại, không tốn tài nguyên Sales</t>
        </is>
      </c>
    </row>
    <row r="1722">
      <c r="A1722" s="59" t="n">
        <v>583</v>
      </c>
      <c r="B1722" s="15" t="inlineStr">
        <is>
          <t>Bandog Gladiadores</t>
        </is>
      </c>
      <c r="C1722" s="60" t="inlineStr">
        <is>
          <t>https://www.facebook.com/BandogdelosGladiadores</t>
        </is>
      </c>
      <c r="D1722" s="9" t="inlineStr">
        <is>
          <t>Cần quét Bio Fanpage</t>
        </is>
      </c>
      <c r="E1722" s="59" t="inlineStr">
        <is>
          <t>Không tìm thấy bài viết</t>
        </is>
      </c>
      <c r="F1722" s="59" t="inlineStr">
        <is>
          <t>Không có bài</t>
        </is>
      </c>
      <c r="G1722" s="61" t="n">
        <v>999</v>
      </c>
      <c r="H1722" s="62" t="n">
        <v>0</v>
      </c>
      <c r="I1722" s="9" t="inlineStr">
        <is>
          <t>Dog Breeder / Trại nhân giống (28-30đ)</t>
        </is>
      </c>
      <c r="J1722" s="62" t="n">
        <v>28</v>
      </c>
      <c r="K1722" s="9" t="inlineStr">
        <is>
          <t>Cane Corso / Mastiff</t>
        </is>
      </c>
      <c r="L1722" s="62" t="n">
        <v>5</v>
      </c>
      <c r="M1722" s="62" t="n">
        <v>0</v>
      </c>
      <c r="N1722" s="9" t="inlineStr">
        <is>
          <t>Amazon link not found</t>
        </is>
      </c>
      <c r="O1722" s="62">
        <f>IF(N1722="Selling pet toys + Artificial grass/Pet toilets (TARGET)",15,IF(N1722="Selling artificial grass/pet toilets (TARGET)",10,IF(N1722="Selling pet toys",7,IF(N1722="There's an Amazon link, but no target sales.",3,0))))</f>
        <v/>
      </c>
      <c r="P1722" s="67">
        <f>H1722+J1722+L1722+M1722+O1722</f>
        <v/>
      </c>
      <c r="Q1722" s="68">
        <f>IF(OR(H1722=0,P1722&lt;30),"Tier D (Đóng băng)",IF(P1722&gt;=85,"Tier S (Kim Cương: 85-100đ)",IF(P1722&gt;=70,"Tier A (Vàng: 70-84đ)",IF(P1722&gt;=61,"Tier B+ / Cấp A (Hot Lead: 61-69đ)",IF(P1722&gt;=50,"Tier B (Bạc: 50-60đ)","Tier C (Đồng: 30-49đ)")))))</f>
        <v/>
      </c>
      <c r="R1722" s="9" t="inlineStr">
        <is>
          <t>Trọn gói Take-Home Starter Kit V2/V3 (Cỏ nhân tạo + Khay Potty + Đồ chơi cún con)</t>
        </is>
      </c>
      <c r="S1722" s="9" t="inlineStr">
        <is>
          <t>Đóng băng tương tác (&gt;30 ngày): Lưu trữ chờ kích hoạt lại, không tốn tài nguyên Sales</t>
        </is>
      </c>
    </row>
    <row r="1723">
      <c r="A1723" s="53" t="n">
        <v>635</v>
      </c>
      <c r="B1723" s="12" t="inlineStr">
        <is>
          <t>Bernese Mountain Dog</t>
        </is>
      </c>
      <c r="C1723" s="54" t="inlineStr">
        <is>
          <t>https://www.facebook.com/bernesemountaindogpage</t>
        </is>
      </c>
      <c r="D1723" s="6" t="inlineStr">
        <is>
          <t>Cần quét Bio Fanpage</t>
        </is>
      </c>
      <c r="E1723" s="53" t="inlineStr">
        <is>
          <t>Không tìm thấy bài viết</t>
        </is>
      </c>
      <c r="F1723" s="53" t="inlineStr">
        <is>
          <t>Không có bài</t>
        </is>
      </c>
      <c r="G1723" s="55" t="n">
        <v>999</v>
      </c>
      <c r="H1723" s="56" t="n">
        <v>0</v>
      </c>
      <c r="I1723" s="6" t="inlineStr">
        <is>
          <t>Dog Breeder / Trại chó chuyên nghiệp (28-30đ)</t>
        </is>
      </c>
      <c r="J1723" s="56" t="n">
        <v>28</v>
      </c>
      <c r="K1723" s="6" t="inlineStr">
        <is>
          <t>Bernese Mountain Dog</t>
        </is>
      </c>
      <c r="L1723" s="56" t="n">
        <v>5</v>
      </c>
      <c r="M1723" s="56" t="n">
        <v>0</v>
      </c>
      <c r="N1723" s="6" t="inlineStr">
        <is>
          <t>Amazon link not found</t>
        </is>
      </c>
      <c r="O1723" s="56">
        <f>IF(N1723="Selling pet toys + Artificial grass/Pet toilets (TARGET)",15,IF(N1723="Selling artificial grass/pet toilets (TARGET)",10,IF(N1723="Selling pet toys",7,IF(N1723="There's an Amazon link, but no target sales.",3,0))))</f>
        <v/>
      </c>
      <c r="P1723" s="65">
        <f>H1723+J1723+L1723+M1723+O1723</f>
        <v/>
      </c>
      <c r="Q1723" s="68">
        <f>IF(OR(H1723=0,P1723&lt;30),"Tier D (Đóng băng)",IF(P1723&gt;=85,"Tier S (Kim Cương: 85-100đ)",IF(P1723&gt;=70,"Tier A (Vàng: 70-84đ)",IF(P1723&gt;=61,"Tier B+ / Cấp A (Hot Lead: 61-69đ)",IF(P1723&gt;=50,"Tier B (Bạc: 50-60đ)","Tier C (Đồng: 30-49đ)")))))</f>
        <v/>
      </c>
      <c r="R1723" s="6" t="inlineStr">
        <is>
          <t>Trọn gói Take-Home Starter Kit V2/V3 (Cỏ nhân tạo + Khay Potty + Đồ chơi Teething/Snuggle)</t>
        </is>
      </c>
      <c r="S1723" s="6" t="inlineStr">
        <is>
          <t>Đóng băng tương tác (&gt;30 ngày): Lưu trữ chờ kích hoạt lại, không tốn tài nguyên Sales</t>
        </is>
      </c>
    </row>
    <row r="1724">
      <c r="A1724" s="59" t="n">
        <v>650</v>
      </c>
      <c r="B1724" s="15" t="inlineStr">
        <is>
          <t>Bernese Mountain Dogs of Logan, Utah</t>
        </is>
      </c>
      <c r="C1724" s="60" t="inlineStr">
        <is>
          <t>https://www.facebook.com/profile.php?id=100081464883636</t>
        </is>
      </c>
      <c r="D1724" s="9" t="inlineStr">
        <is>
          <t>Cần quét Bio Fanpage</t>
        </is>
      </c>
      <c r="E1724" s="59" t="inlineStr">
        <is>
          <t>Không tìm thấy bài viết</t>
        </is>
      </c>
      <c r="F1724" s="59" t="inlineStr">
        <is>
          <t>Không có bài</t>
        </is>
      </c>
      <c r="G1724" s="61" t="n">
        <v>999</v>
      </c>
      <c r="H1724" s="62" t="n">
        <v>0</v>
      </c>
      <c r="I1724" s="9" t="inlineStr">
        <is>
          <t>Dog Breeder / Trại chó chuyên nghiệp (28-30đ)</t>
        </is>
      </c>
      <c r="J1724" s="62" t="n">
        <v>28</v>
      </c>
      <c r="K1724" s="9" t="inlineStr">
        <is>
          <t>Bernese Mountain Dog</t>
        </is>
      </c>
      <c r="L1724" s="62" t="n">
        <v>5</v>
      </c>
      <c r="M1724" s="62" t="n">
        <v>0</v>
      </c>
      <c r="N1724" s="9" t="inlineStr">
        <is>
          <t>Amazon link not found</t>
        </is>
      </c>
      <c r="O1724" s="62">
        <f>IF(N1724="Selling pet toys + Artificial grass/Pet toilets (TARGET)",15,IF(N1724="Selling artificial grass/pet toilets (TARGET)",10,IF(N1724="Selling pet toys",7,IF(N1724="There's an Amazon link, but no target sales.",3,0))))</f>
        <v/>
      </c>
      <c r="P1724" s="67">
        <f>H1724+J1724+L1724+M1724+O1724</f>
        <v/>
      </c>
      <c r="Q1724" s="68">
        <f>IF(OR(H1724=0,P1724&lt;30),"Tier D (Đóng băng)",IF(P1724&gt;=85,"Tier S (Kim Cương: 85-100đ)",IF(P1724&gt;=70,"Tier A (Vàng: 70-84đ)",IF(P1724&gt;=61,"Tier B+ / Cấp A (Hot Lead: 61-69đ)",IF(P1724&gt;=50,"Tier B (Bạc: 50-60đ)","Tier C (Đồng: 30-49đ)")))))</f>
        <v/>
      </c>
      <c r="R1724" s="9" t="inlineStr">
        <is>
          <t>Trọn gói Take-Home Starter Kit V2/V3 (Cỏ nhân tạo + Khay Potty + Đồ chơi Teething/Snuggle)</t>
        </is>
      </c>
      <c r="S1724" s="9" t="inlineStr">
        <is>
          <t>Đóng băng tương tác (&gt;30 ngày): Lưu trữ chờ kích hoạt lại, không tốn tài nguyên Sales</t>
        </is>
      </c>
    </row>
    <row r="1725">
      <c r="A1725" s="53" t="n">
        <v>1657</v>
      </c>
      <c r="B1725" s="12" t="inlineStr">
        <is>
          <t>Highpower Corsokennels</t>
        </is>
      </c>
      <c r="C1725" s="54" t="inlineStr">
        <is>
          <t>https://www.facebook.com/profile.php?id=100067538316333</t>
        </is>
      </c>
      <c r="D1725" s="6" t="inlineStr">
        <is>
          <t>Cần quét Bio Fanpage</t>
        </is>
      </c>
      <c r="E1725" s="53" t="inlineStr">
        <is>
          <t>Không tìm thấy bài viết</t>
        </is>
      </c>
      <c r="F1725" s="53" t="inlineStr">
        <is>
          <t>Không có bài</t>
        </is>
      </c>
      <c r="G1725" s="55" t="n">
        <v>999</v>
      </c>
      <c r="H1725" s="56" t="n">
        <v>0</v>
      </c>
      <c r="I1725" s="6" t="inlineStr">
        <is>
          <t>Dog Breeder / Trại nhân giống (28-30đ)</t>
        </is>
      </c>
      <c r="J1725" s="56" t="n">
        <v>28</v>
      </c>
      <c r="K1725" s="6" t="inlineStr">
        <is>
          <t>Cane Corso / Mastiff</t>
        </is>
      </c>
      <c r="L1725" s="56" t="n">
        <v>5</v>
      </c>
      <c r="M1725" s="56" t="n">
        <v>0</v>
      </c>
      <c r="N1725" s="6" t="inlineStr">
        <is>
          <t>Amazon link not found</t>
        </is>
      </c>
      <c r="O1725" s="56">
        <f>IF(N1725="Selling pet toys + Artificial grass/Pet toilets (TARGET)",15,IF(N1725="Selling artificial grass/pet toilets (TARGET)",10,IF(N1725="Selling pet toys",7,IF(N1725="There's an Amazon link, but no target sales.",3,0))))</f>
        <v/>
      </c>
      <c r="P1725" s="65">
        <f>H1725+J1725+L1725+M1725+O1725</f>
        <v/>
      </c>
      <c r="Q1725" s="68">
        <f>IF(OR(H1725=0,P1725&lt;30),"Tier D (Đóng băng)",IF(P1725&gt;=85,"Tier S (Kim Cương: 85-100đ)",IF(P1725&gt;=70,"Tier A (Vàng: 70-84đ)",IF(P1725&gt;=61,"Tier B+ / Cấp A (Hot Lead: 61-69đ)",IF(P1725&gt;=50,"Tier B (Bạc: 50-60đ)","Tier C (Đồng: 30-49đ)")))))</f>
        <v/>
      </c>
      <c r="R1725" s="6" t="inlineStr">
        <is>
          <t>Trọn gói Take-Home Starter Kit V2/V3 (Cỏ nhân tạo + Khay Potty + Đồ chơi cún con)</t>
        </is>
      </c>
      <c r="S1725" s="6" t="inlineStr">
        <is>
          <t>Đóng băng tương tác (&gt;30 ngày): Lưu trữ chờ kích hoạt lại, không tốn tài nguyên Sales</t>
        </is>
      </c>
    </row>
    <row r="1726">
      <c r="A1726" s="59" t="n">
        <v>1706</v>
      </c>
      <c r="B1726" s="15" t="inlineStr">
        <is>
          <t>I love Bernese Mountain dogs!!!!</t>
        </is>
      </c>
      <c r="C1726" s="60" t="inlineStr">
        <is>
          <t>https://www.facebook.com/profile.php?id=100069745567009</t>
        </is>
      </c>
      <c r="D1726" s="9" t="inlineStr">
        <is>
          <t>Cần quét Bio Fanpage</t>
        </is>
      </c>
      <c r="E1726" s="59" t="inlineStr">
        <is>
          <t>Không tìm thấy bài viết</t>
        </is>
      </c>
      <c r="F1726" s="59" t="inlineStr">
        <is>
          <t>Không có bài</t>
        </is>
      </c>
      <c r="G1726" s="61" t="n">
        <v>999</v>
      </c>
      <c r="H1726" s="62" t="n">
        <v>0</v>
      </c>
      <c r="I1726" s="9" t="inlineStr">
        <is>
          <t>Dog Breeder / Trại chó chuyên nghiệp (28-30đ)</t>
        </is>
      </c>
      <c r="J1726" s="62" t="n">
        <v>28</v>
      </c>
      <c r="K1726" s="9" t="inlineStr">
        <is>
          <t>Bernese Mountain Dog</t>
        </is>
      </c>
      <c r="L1726" s="62" t="n">
        <v>5</v>
      </c>
      <c r="M1726" s="62" t="n">
        <v>0</v>
      </c>
      <c r="N1726" s="9" t="inlineStr">
        <is>
          <t>Amazon link not found</t>
        </is>
      </c>
      <c r="O1726" s="62">
        <f>IF(N1726="Selling pet toys + Artificial grass/Pet toilets (TARGET)",15,IF(N1726="Selling artificial grass/pet toilets (TARGET)",10,IF(N1726="Selling pet toys",7,IF(N1726="There's an Amazon link, but no target sales.",3,0))))</f>
        <v/>
      </c>
      <c r="P1726" s="67">
        <f>H1726+J1726+L1726+M1726+O1726</f>
        <v/>
      </c>
      <c r="Q1726" s="68">
        <f>IF(OR(H1726=0,P1726&lt;30),"Tier D (Đóng băng)",IF(P1726&gt;=85,"Tier S (Kim Cương: 85-100đ)",IF(P1726&gt;=70,"Tier A (Vàng: 70-84đ)",IF(P1726&gt;=61,"Tier B+ / Cấp A (Hot Lead: 61-69đ)",IF(P1726&gt;=50,"Tier B (Bạc: 50-60đ)","Tier C (Đồng: 30-49đ)")))))</f>
        <v/>
      </c>
      <c r="R1726" s="9" t="inlineStr">
        <is>
          <t>Trọn gói Take-Home Starter Kit V2/V3 (Cỏ nhân tạo + Khay Potty + Đồ chơi Teething/Snuggle)</t>
        </is>
      </c>
      <c r="S1726" s="9" t="inlineStr">
        <is>
          <t>Đóng băng tương tác (&gt;30 ngày): Lưu trữ chờ kích hoạt lại, không tốn tài nguyên Sales</t>
        </is>
      </c>
    </row>
    <row r="1727">
      <c r="A1727" s="53" t="n">
        <v>1693</v>
      </c>
      <c r="B1727" s="12" t="inlineStr">
        <is>
          <t>Houston K9 Academy, LLC</t>
        </is>
      </c>
      <c r="C1727" s="54" t="inlineStr">
        <is>
          <t>https://www.facebook.com/houstonk9academy</t>
        </is>
      </c>
      <c r="D1727" s="6" t="inlineStr">
        <is>
          <t>Cần quét Bio Fanpage</t>
        </is>
      </c>
      <c r="E1727" s="53" t="inlineStr">
        <is>
          <t>22/08/2026 01:22:33</t>
        </is>
      </c>
      <c r="F1727" s="53" t="inlineStr">
        <is>
          <t>1 tháng trước</t>
        </is>
      </c>
      <c r="G1727" s="55" t="n">
        <v>30</v>
      </c>
      <c r="H1727" s="56" t="n">
        <v>0</v>
      </c>
      <c r="I1727" s="6" t="inlineStr">
        <is>
          <t>Pet Boarding / Huấn luyện K9 &amp; Dịch vụ (20-22đ)</t>
        </is>
      </c>
      <c r="J1727" s="56" t="n">
        <v>22</v>
      </c>
      <c r="K1727" s="6" t="inlineStr">
        <is>
          <t>Chưa rõ giống (Cần quét Bio)</t>
        </is>
      </c>
      <c r="L1727" s="56" t="n">
        <v>0</v>
      </c>
      <c r="M1727" s="56" t="n">
        <v>10</v>
      </c>
      <c r="N1727" s="6" t="inlineStr">
        <is>
          <t>Amazon link not found</t>
        </is>
      </c>
      <c r="O1727" s="56">
        <f>IF(N1727="Selling pet toys + Artificial grass/Pet toilets (TARGET)",15,IF(N1727="Selling artificial grass/pet toilets (TARGET)",10,IF(N1727="Selling pet toys",7,IF(N1727="There's an Amazon link, but no target sales.",3,0))))</f>
        <v/>
      </c>
      <c r="P1727" s="65">
        <f>H1727+J1727+L1727+M1727+O1727</f>
        <v/>
      </c>
      <c r="Q1727" s="68">
        <f>IF(OR(H1727=0,P1727&lt;30),"Tier D (Đóng băng)",IF(P1727&gt;=85,"Tier S (Kim Cương: 85-100đ)",IF(P1727&gt;=70,"Tier A (Vàng: 70-84đ)",IF(P1727&gt;=61,"Tier B+ / Cấp A (Hot Lead: 61-69đ)",IF(P1727&gt;=50,"Tier B (Bạc: 50-60đ)","Tier C (Đồng: 30-49đ)")))))</f>
        <v/>
      </c>
      <c r="R1727" s="6" t="inlineStr">
        <is>
          <t>Cỏ nhân tạo sân chơi/huấn luyện (Dog Turf) + Đồ chơi nhai chịu lực (KONG/Chew Toys)</t>
        </is>
      </c>
      <c r="S1727" s="6" t="inlineStr">
        <is>
          <t>Đóng băng tương tác (&gt;30 ngày): Lưu trữ chờ kích hoạt lại, không tốn tài nguyên Sales</t>
        </is>
      </c>
    </row>
    <row r="1728">
      <c r="A1728" s="59" t="n">
        <v>2800</v>
      </c>
      <c r="B1728" s="15" t="inlineStr">
        <is>
          <t>Ryan's Lawn Care Service LLC</t>
        </is>
      </c>
      <c r="C1728" s="60" t="inlineStr">
        <is>
          <t>https://www.facebook.com/Ryanslawncareservicellc</t>
        </is>
      </c>
      <c r="D1728" s="9" t="inlineStr">
        <is>
          <t>Cần quét Bio Fanpage</t>
        </is>
      </c>
      <c r="E1728" s="59" t="inlineStr">
        <is>
          <t>13/03/2025 10:43:06</t>
        </is>
      </c>
      <c r="F1728" s="59" t="inlineStr">
        <is>
          <t>1 năm trước</t>
        </is>
      </c>
      <c r="G1728" s="61" t="n">
        <v>365</v>
      </c>
      <c r="H1728" s="62" t="n">
        <v>0</v>
      </c>
      <c r="I1728" s="9" t="inlineStr">
        <is>
          <t>Pet Boarding / Huấn luyện K9 &amp; Dịch vụ (20-22đ)</t>
        </is>
      </c>
      <c r="J1728" s="62" t="n">
        <v>22</v>
      </c>
      <c r="K1728" s="9" t="inlineStr">
        <is>
          <t>Chưa rõ giống (Cần quét Bio)</t>
        </is>
      </c>
      <c r="L1728" s="62" t="n">
        <v>0</v>
      </c>
      <c r="M1728" s="62" t="n">
        <v>10</v>
      </c>
      <c r="N1728" s="9" t="inlineStr">
        <is>
          <t>Amazon link not found</t>
        </is>
      </c>
      <c r="O1728" s="62">
        <f>IF(N1728="Selling pet toys + Artificial grass/Pet toilets (TARGET)",15,IF(N1728="Selling artificial grass/pet toilets (TARGET)",10,IF(N1728="Selling pet toys",7,IF(N1728="There's an Amazon link, but no target sales.",3,0))))</f>
        <v/>
      </c>
      <c r="P1728" s="67">
        <f>H1728+J1728+L1728+M1728+O1728</f>
        <v/>
      </c>
      <c r="Q1728" s="68">
        <f>IF(OR(H1728=0,P1728&lt;30),"Tier D (Đóng băng)",IF(P1728&gt;=85,"Tier S (Kim Cương: 85-100đ)",IF(P1728&gt;=70,"Tier A (Vàng: 70-84đ)",IF(P1728&gt;=61,"Tier B+ / Cấp A (Hot Lead: 61-69đ)",IF(P1728&gt;=50,"Tier B (Bạc: 50-60đ)","Tier C (Đồng: 30-49đ)")))))</f>
        <v/>
      </c>
      <c r="R1728" s="9" t="inlineStr">
        <is>
          <t>Cỏ nhân tạo sân chơi/huấn luyện (Dog Turf) + Đồ chơi nhai chịu lực (KONG/Chew Toys)</t>
        </is>
      </c>
      <c r="S1728" s="9" t="inlineStr">
        <is>
          <t>Đóng băng tương tác (&gt;30 ngày): Lưu trữ chờ kích hoạt lại, không tốn tài nguyên Sales</t>
        </is>
      </c>
    </row>
    <row r="1729">
      <c r="A1729" s="53" t="n">
        <v>1525</v>
      </c>
      <c r="B1729" s="12" t="inlineStr">
        <is>
          <t>Golden retriever puppies for rehoming</t>
        </is>
      </c>
      <c r="C1729" s="54" t="inlineStr">
        <is>
          <t>https://www.facebook.com/profile.php?id=100076011995529</t>
        </is>
      </c>
      <c r="D1729" s="6" t="inlineStr">
        <is>
          <t>Cần quét Bio Fanpage</t>
        </is>
      </c>
      <c r="E1729" s="53" t="inlineStr">
        <is>
          <t>Không tìm thấy bài viết</t>
        </is>
      </c>
      <c r="F1729" s="53" t="inlineStr">
        <is>
          <t>Không có bài</t>
        </is>
      </c>
      <c r="G1729" s="55" t="n">
        <v>999</v>
      </c>
      <c r="H1729" s="56" t="n">
        <v>0</v>
      </c>
      <c r="I1729" s="6" t="inlineStr">
        <is>
          <t>Pet Rescue / Trạm cứu trợ (14-16đ)</t>
        </is>
      </c>
      <c r="J1729" s="56" t="n">
        <v>16</v>
      </c>
      <c r="K1729" s="6" t="inlineStr">
        <is>
          <t>Golden Retriever</t>
        </is>
      </c>
      <c r="L1729" s="56" t="n">
        <v>10</v>
      </c>
      <c r="M1729" s="56" t="n">
        <v>5</v>
      </c>
      <c r="N1729" s="6" t="inlineStr">
        <is>
          <t>Amazon link not found</t>
        </is>
      </c>
      <c r="O1729" s="56">
        <f>IF(N1729="Selling pet toys + Artificial grass/Pet toilets (TARGET)",15,IF(N1729="Selling artificial grass/pet toilets (TARGET)",10,IF(N1729="Selling pet toys",7,IF(N1729="There's an Amazon link, but no target sales.",3,0))))</f>
        <v/>
      </c>
      <c r="P1729" s="65">
        <f>H1729+J1729+L1729+M1729+O1729</f>
        <v/>
      </c>
      <c r="Q1729" s="68">
        <f>IF(OR(H1729=0,P1729&lt;30),"Tier D (Đóng băng)",IF(P1729&gt;=85,"Tier S (Kim Cương: 85-100đ)",IF(P1729&gt;=70,"Tier A (Vàng: 70-84đ)",IF(P1729&gt;=61,"Tier B+ / Cấp A (Hot Lead: 61-69đ)",IF(P1729&gt;=50,"Tier B (Bạc: 50-60đ)","Tier C (Đồng: 30-49đ)")))))</f>
        <v/>
      </c>
      <c r="R1729" s="6" t="inlineStr">
        <is>
          <t>Nhà vệ sinh &amp; Tã lót (Potty Tray / Pee Pads) + Cỏ nhân tạo lót chuồng</t>
        </is>
      </c>
      <c r="S1729" s="6" t="inlineStr">
        <is>
          <t>Đóng băng tương tác (&gt;30 ngày): Lưu trữ chờ kích hoạt lại, không tốn tài nguyên Sales</t>
        </is>
      </c>
    </row>
    <row r="1730">
      <c r="A1730" s="59" t="n">
        <v>2673</v>
      </c>
      <c r="B1730" s="15" t="inlineStr">
        <is>
          <t>PurrFurred Pet Styling</t>
        </is>
      </c>
      <c r="C1730" s="60" t="inlineStr">
        <is>
          <t>https://www.facebook.com/pps2006</t>
        </is>
      </c>
      <c r="D1730" s="9" t="inlineStr">
        <is>
          <t>Cần quét Bio Fanpage</t>
        </is>
      </c>
      <c r="E1730" s="59" t="inlineStr">
        <is>
          <t>09/10/2026 05:00:05</t>
        </is>
      </c>
      <c r="F1730" s="59" t="inlineStr">
        <is>
          <t>4 ngày trước</t>
        </is>
      </c>
      <c r="G1730" s="61" t="n">
        <v>4</v>
      </c>
      <c r="H1730" s="62" t="n">
        <v>20</v>
      </c>
      <c r="I1730" s="9" t="inlineStr">
        <is>
          <t>Pet Owner / Cộng đồng nuôi cún (10đ)</t>
        </is>
      </c>
      <c r="J1730" s="62" t="n">
        <v>10</v>
      </c>
      <c r="K1730" s="9" t="inlineStr">
        <is>
          <t>Chưa rõ giống (Cần quét Bio)</t>
        </is>
      </c>
      <c r="L1730" s="62" t="n">
        <v>0</v>
      </c>
      <c r="M1730" s="62" t="n">
        <v>0</v>
      </c>
      <c r="N1730" s="9" t="inlineStr">
        <is>
          <t>Amazon link not found</t>
        </is>
      </c>
      <c r="O1730" s="62">
        <f>IF(N1730="Selling pet toys + Artificial grass/Pet toilets (TARGET)",15,IF(N1730="Selling artificial grass/pet toilets (TARGET)",10,IF(N1730="Selling pet toys",7,IF(N1730="There's an Amazon link, but no target sales.",3,0))))</f>
        <v/>
      </c>
      <c r="P1730" s="67">
        <f>H1730+J1730+L1730+M1730+O1730</f>
        <v/>
      </c>
      <c r="Q1730" s="69">
        <f>IF(OR(H1730=0,P1730&lt;30),"Tier D (Đóng băng)",IF(P1730&gt;=85,"Tier S (Kim Cương: 85-100đ)",IF(P1730&gt;=70,"Tier A (Vàng: 70-84đ)",IF(P1730&gt;=61,"Tier B+ / Cấp A (Hot Lead: 61-69đ)",IF(P1730&gt;=50,"Tier B (Bạc: 50-60đ)","Tier C (Đồng: 30-49đ)")))))</f>
        <v/>
      </c>
      <c r="R1730" s="9" t="inlineStr">
        <is>
          <t>Khay vệ sinh chung cư (Indoor Potty) + Thảm cỏ ban công (Grass Patch) + Đồ chơi</t>
        </is>
      </c>
      <c r="S1730" s="9" t="inlineStr">
        <is>
          <t>Cấp C Chi phí thấp: Nhắn tin trực tiếp qua Fanpage Facebook/Instagram + Nuôi dưỡng nội dung</t>
        </is>
      </c>
    </row>
    <row r="1731">
      <c r="A1731" s="53" t="n">
        <v>2145</v>
      </c>
      <c r="B1731" s="12" t="inlineStr">
        <is>
          <t>McCann Professional Dog Trainers</t>
        </is>
      </c>
      <c r="C1731" s="54" t="inlineStr">
        <is>
          <t>https://www.facebook.com/mccanndogs</t>
        </is>
      </c>
      <c r="D1731" s="6" t="inlineStr">
        <is>
          <t>Cần quét Bio Fanpage</t>
        </is>
      </c>
      <c r="E1731" s="53" t="inlineStr">
        <is>
          <t>09/10/2026 02:17:14</t>
        </is>
      </c>
      <c r="F1731" s="53" t="inlineStr">
        <is>
          <t>4 ngày trước</t>
        </is>
      </c>
      <c r="G1731" s="55" t="n">
        <v>4</v>
      </c>
      <c r="H1731" s="56" t="n">
        <v>20</v>
      </c>
      <c r="I1731" s="6" t="inlineStr">
        <is>
          <t>Pet Owner / Cộng đồng nuôi cún (10đ)</t>
        </is>
      </c>
      <c r="J1731" s="56" t="n">
        <v>10</v>
      </c>
      <c r="K1731" s="6" t="inlineStr">
        <is>
          <t>Chưa rõ giống (Cần quét Bio)</t>
        </is>
      </c>
      <c r="L1731" s="56" t="n">
        <v>0</v>
      </c>
      <c r="M1731" s="56" t="n">
        <v>0</v>
      </c>
      <c r="N1731" s="6" t="inlineStr">
        <is>
          <t>Amazon link not found</t>
        </is>
      </c>
      <c r="O1731" s="56">
        <f>IF(N1731="Selling pet toys + Artificial grass/Pet toilets (TARGET)",15,IF(N1731="Selling artificial grass/pet toilets (TARGET)",10,IF(N1731="Selling pet toys",7,IF(N1731="There's an Amazon link, but no target sales.",3,0))))</f>
        <v/>
      </c>
      <c r="P1731" s="65">
        <f>H1731+J1731+L1731+M1731+O1731</f>
        <v/>
      </c>
      <c r="Q1731" s="69">
        <f>IF(OR(H1731=0,P1731&lt;30),"Tier D (Đóng băng)",IF(P1731&gt;=85,"Tier S (Kim Cương: 85-100đ)",IF(P1731&gt;=70,"Tier A (Vàng: 70-84đ)",IF(P1731&gt;=61,"Tier B+ / Cấp A (Hot Lead: 61-69đ)",IF(P1731&gt;=50,"Tier B (Bạc: 50-60đ)","Tier C (Đồng: 30-49đ)")))))</f>
        <v/>
      </c>
      <c r="R1731" s="6" t="inlineStr">
        <is>
          <t>Khay vệ sinh chung cư (Indoor Potty) + Thảm cỏ ban công (Grass Patch) + Đồ chơi</t>
        </is>
      </c>
      <c r="S1731" s="6" t="inlineStr">
        <is>
          <t>Cấp C Chi phí thấp: Nhắn tin trực tiếp qua Fanpage Facebook/Instagram + Nuôi dưỡng nội dung</t>
        </is>
      </c>
    </row>
    <row r="1732">
      <c r="A1732" s="59" t="n">
        <v>2272</v>
      </c>
      <c r="B1732" s="15" t="inlineStr">
        <is>
          <t>Naturediet Pet Foods</t>
        </is>
      </c>
      <c r="C1732" s="60" t="inlineStr">
        <is>
          <t>https://www.facebook.com/naturedietpets</t>
        </is>
      </c>
      <c r="D1732" s="9" t="inlineStr">
        <is>
          <t>Cần quét Bio Fanpage</t>
        </is>
      </c>
      <c r="E1732" s="59" t="inlineStr">
        <is>
          <t>09/10/2026 01:03:09</t>
        </is>
      </c>
      <c r="F1732" s="59" t="inlineStr">
        <is>
          <t>4 ngày trước</t>
        </is>
      </c>
      <c r="G1732" s="61" t="n">
        <v>4</v>
      </c>
      <c r="H1732" s="62" t="n">
        <v>20</v>
      </c>
      <c r="I1732" s="9" t="inlineStr">
        <is>
          <t>Pet Owner / Cộng đồng nuôi cún (10đ)</t>
        </is>
      </c>
      <c r="J1732" s="62" t="n">
        <v>10</v>
      </c>
      <c r="K1732" s="9" t="inlineStr">
        <is>
          <t>Chưa rõ giống (Cần quét Bio)</t>
        </is>
      </c>
      <c r="L1732" s="62" t="n">
        <v>0</v>
      </c>
      <c r="M1732" s="62" t="n">
        <v>0</v>
      </c>
      <c r="N1732" s="9" t="inlineStr">
        <is>
          <t>Amazon link not found</t>
        </is>
      </c>
      <c r="O1732" s="62">
        <f>IF(N1732="Selling pet toys + Artificial grass/Pet toilets (TARGET)",15,IF(N1732="Selling artificial grass/pet toilets (TARGET)",10,IF(N1732="Selling pet toys",7,IF(N1732="There's an Amazon link, but no target sales.",3,0))))</f>
        <v/>
      </c>
      <c r="P1732" s="67">
        <f>H1732+J1732+L1732+M1732+O1732</f>
        <v/>
      </c>
      <c r="Q1732" s="69">
        <f>IF(OR(H1732=0,P1732&lt;30),"Tier D (Đóng băng)",IF(P1732&gt;=85,"Tier S (Kim Cương: 85-100đ)",IF(P1732&gt;=70,"Tier A (Vàng: 70-84đ)",IF(P1732&gt;=61,"Tier B+ / Cấp A (Hot Lead: 61-69đ)",IF(P1732&gt;=50,"Tier B (Bạc: 50-60đ)","Tier C (Đồng: 30-49đ)")))))</f>
        <v/>
      </c>
      <c r="R1732" s="9" t="inlineStr">
        <is>
          <t>Khay vệ sinh chung cư (Indoor Potty) + Thảm cỏ ban công (Grass Patch) + Đồ chơi</t>
        </is>
      </c>
      <c r="S1732" s="9" t="inlineStr">
        <is>
          <t>Cấp C Chi phí thấp: Nhắn tin trực tiếp qua Fanpage Facebook/Instagram + Nuôi dưỡng nội dung</t>
        </is>
      </c>
    </row>
    <row r="1733">
      <c r="A1733" s="53" t="n">
        <v>2266</v>
      </c>
      <c r="B1733" s="12" t="inlineStr">
        <is>
          <t>Natural Balance Pet Foods</t>
        </is>
      </c>
      <c r="C1733" s="54" t="inlineStr">
        <is>
          <t>https://www.facebook.com/naturalbalance</t>
        </is>
      </c>
      <c r="D1733" s="6" t="inlineStr">
        <is>
          <t>Cần quét Bio Fanpage</t>
        </is>
      </c>
      <c r="E1733" s="53" t="inlineStr">
        <is>
          <t>09/10/2026 00:06:09</t>
        </is>
      </c>
      <c r="F1733" s="53" t="inlineStr">
        <is>
          <t>4 ngày trước</t>
        </is>
      </c>
      <c r="G1733" s="55" t="n">
        <v>4</v>
      </c>
      <c r="H1733" s="56" t="n">
        <v>20</v>
      </c>
      <c r="I1733" s="6" t="inlineStr">
        <is>
          <t>Pet Owner / Cộng đồng nuôi cún (10đ)</t>
        </is>
      </c>
      <c r="J1733" s="56" t="n">
        <v>10</v>
      </c>
      <c r="K1733" s="6" t="inlineStr">
        <is>
          <t>Chưa rõ giống (Cần quét Bio)</t>
        </is>
      </c>
      <c r="L1733" s="56" t="n">
        <v>0</v>
      </c>
      <c r="M1733" s="56" t="n">
        <v>0</v>
      </c>
      <c r="N1733" s="6" t="inlineStr">
        <is>
          <t>Amazon link not found</t>
        </is>
      </c>
      <c r="O1733" s="56">
        <f>IF(N1733="Selling pet toys + Artificial grass/Pet toilets (TARGET)",15,IF(N1733="Selling artificial grass/pet toilets (TARGET)",10,IF(N1733="Selling pet toys",7,IF(N1733="There's an Amazon link, but no target sales.",3,0))))</f>
        <v/>
      </c>
      <c r="P1733" s="65">
        <f>H1733+J1733+L1733+M1733+O1733</f>
        <v/>
      </c>
      <c r="Q1733" s="69">
        <f>IF(OR(H1733=0,P1733&lt;30),"Tier D (Đóng băng)",IF(P1733&gt;=85,"Tier S (Kim Cương: 85-100đ)",IF(P1733&gt;=70,"Tier A (Vàng: 70-84đ)",IF(P1733&gt;=61,"Tier B+ / Cấp A (Hot Lead: 61-69đ)",IF(P1733&gt;=50,"Tier B (Bạc: 50-60đ)","Tier C (Đồng: 30-49đ)")))))</f>
        <v/>
      </c>
      <c r="R1733" s="6" t="inlineStr">
        <is>
          <t>Khay vệ sinh chung cư (Indoor Potty) + Thảm cỏ ban công (Grass Patch) + Đồ chơi</t>
        </is>
      </c>
      <c r="S1733" s="6" t="inlineStr">
        <is>
          <t>Cấp C Chi phí thấp: Nhắn tin trực tiếp qua Fanpage Facebook/Instagram + Nuôi dưỡng nội dung</t>
        </is>
      </c>
    </row>
    <row r="1734">
      <c r="A1734" s="59" t="n">
        <v>1760</v>
      </c>
      <c r="B1734" s="15" t="inlineStr">
        <is>
          <t>Jessica Petzelt Meyer</t>
        </is>
      </c>
      <c r="C1734" s="60" t="inlineStr">
        <is>
          <t>https://www.facebook.com/jessmeyer66</t>
        </is>
      </c>
      <c r="D1734" s="9" t="inlineStr">
        <is>
          <t>Cần quét Bio Fanpage</t>
        </is>
      </c>
      <c r="E1734" s="59" t="inlineStr">
        <is>
          <t>08/10/2026 23:53:42</t>
        </is>
      </c>
      <c r="F1734" s="59" t="inlineStr">
        <is>
          <t>4 ngày trước</t>
        </is>
      </c>
      <c r="G1734" s="61" t="n">
        <v>4</v>
      </c>
      <c r="H1734" s="62" t="n">
        <v>20</v>
      </c>
      <c r="I1734" s="9" t="inlineStr">
        <is>
          <t>Pet Owner / Cộng đồng nuôi cún (10đ)</t>
        </is>
      </c>
      <c r="J1734" s="62" t="n">
        <v>10</v>
      </c>
      <c r="K1734" s="9" t="inlineStr">
        <is>
          <t>Chưa rõ giống (Cần quét Bio)</t>
        </is>
      </c>
      <c r="L1734" s="62" t="n">
        <v>0</v>
      </c>
      <c r="M1734" s="62" t="n">
        <v>0</v>
      </c>
      <c r="N1734" s="9" t="inlineStr">
        <is>
          <t>Amazon link not found</t>
        </is>
      </c>
      <c r="O1734" s="62">
        <f>IF(N1734="Selling pet toys + Artificial grass/Pet toilets (TARGET)",15,IF(N1734="Selling artificial grass/pet toilets (TARGET)",10,IF(N1734="Selling pet toys",7,IF(N1734="There's an Amazon link, but no target sales.",3,0))))</f>
        <v/>
      </c>
      <c r="P1734" s="67">
        <f>H1734+J1734+L1734+M1734+O1734</f>
        <v/>
      </c>
      <c r="Q1734" s="69">
        <f>IF(OR(H1734=0,P1734&lt;30),"Tier D (Đóng băng)",IF(P1734&gt;=85,"Tier S (Kim Cương: 85-100đ)",IF(P1734&gt;=70,"Tier A (Vàng: 70-84đ)",IF(P1734&gt;=61,"Tier B+ / Cấp A (Hot Lead: 61-69đ)",IF(P1734&gt;=50,"Tier B (Bạc: 50-60đ)","Tier C (Đồng: 30-49đ)")))))</f>
        <v/>
      </c>
      <c r="R1734" s="9" t="inlineStr">
        <is>
          <t>Khay vệ sinh chung cư (Indoor Potty) + Thảm cỏ ban công (Grass Patch) + Đồ chơi</t>
        </is>
      </c>
      <c r="S1734" s="9" t="inlineStr">
        <is>
          <t>Cấp C Chi phí thấp: Nhắn tin trực tiếp qua Fanpage Facebook/Instagram + Nuôi dưỡng nội dung</t>
        </is>
      </c>
    </row>
    <row r="1735">
      <c r="A1735" s="53" t="n">
        <v>3404</v>
      </c>
      <c r="B1735" s="12" t="inlineStr">
        <is>
          <t>White Wolf Dog Sled Trips</t>
        </is>
      </c>
      <c r="C1735" s="54" t="inlineStr">
        <is>
          <t>https://www.facebook.com/profile.php?id=100063510404556</t>
        </is>
      </c>
      <c r="D1735" s="6" t="inlineStr">
        <is>
          <t>Cần quét Bio Fanpage</t>
        </is>
      </c>
      <c r="E1735" s="53" t="inlineStr">
        <is>
          <t>08/10/2026 23:39:45</t>
        </is>
      </c>
      <c r="F1735" s="53" t="inlineStr">
        <is>
          <t>4 ngày trước</t>
        </is>
      </c>
      <c r="G1735" s="55" t="n">
        <v>4</v>
      </c>
      <c r="H1735" s="56" t="n">
        <v>20</v>
      </c>
      <c r="I1735" s="6" t="inlineStr">
        <is>
          <t>Pet Owner / Cộng đồng nuôi cún (10đ)</t>
        </is>
      </c>
      <c r="J1735" s="56" t="n">
        <v>10</v>
      </c>
      <c r="K1735" s="6" t="inlineStr">
        <is>
          <t>Chưa rõ giống (Cần quét Bio)</t>
        </is>
      </c>
      <c r="L1735" s="56" t="n">
        <v>0</v>
      </c>
      <c r="M1735" s="56" t="n">
        <v>0</v>
      </c>
      <c r="N1735" s="6" t="inlineStr">
        <is>
          <t>Amazon link not found</t>
        </is>
      </c>
      <c r="O1735" s="56">
        <f>IF(N1735="Selling pet toys + Artificial grass/Pet toilets (TARGET)",15,IF(N1735="Selling artificial grass/pet toilets (TARGET)",10,IF(N1735="Selling pet toys",7,IF(N1735="There's an Amazon link, but no target sales.",3,0))))</f>
        <v/>
      </c>
      <c r="P1735" s="65">
        <f>H1735+J1735+L1735+M1735+O1735</f>
        <v/>
      </c>
      <c r="Q1735" s="69">
        <f>IF(OR(H1735=0,P1735&lt;30),"Tier D (Đóng băng)",IF(P1735&gt;=85,"Tier S (Kim Cương: 85-100đ)",IF(P1735&gt;=70,"Tier A (Vàng: 70-84đ)",IF(P1735&gt;=61,"Tier B+ / Cấp A (Hot Lead: 61-69đ)",IF(P1735&gt;=50,"Tier B (Bạc: 50-60đ)","Tier C (Đồng: 30-49đ)")))))</f>
        <v/>
      </c>
      <c r="R1735" s="6" t="inlineStr">
        <is>
          <t>Khay vệ sinh chung cư (Indoor Potty) + Thảm cỏ ban công (Grass Patch) + Đồ chơi</t>
        </is>
      </c>
      <c r="S1735" s="6" t="inlineStr">
        <is>
          <t>Cấp C Chi phí thấp: Nhắn tin trực tiếp qua Fanpage Facebook/Instagram + Nuôi dưỡng nội dung</t>
        </is>
      </c>
    </row>
    <row r="1736">
      <c r="A1736" s="59" t="n">
        <v>3103</v>
      </c>
      <c r="B1736" s="15" t="inlineStr">
        <is>
          <t>The Dog House</t>
        </is>
      </c>
      <c r="C1736" s="60" t="inlineStr">
        <is>
          <t>https://www.facebook.com/TheDogHousePage</t>
        </is>
      </c>
      <c r="D1736" s="9" t="inlineStr">
        <is>
          <t>Cần quét Bio Fanpage</t>
        </is>
      </c>
      <c r="E1736" s="59" t="inlineStr">
        <is>
          <t>08/10/2026 23:39:12</t>
        </is>
      </c>
      <c r="F1736" s="59" t="inlineStr">
        <is>
          <t>4 ngày trước</t>
        </is>
      </c>
      <c r="G1736" s="61" t="n">
        <v>4</v>
      </c>
      <c r="H1736" s="62" t="n">
        <v>20</v>
      </c>
      <c r="I1736" s="9" t="inlineStr">
        <is>
          <t>Pet Owner / Kênh cá nhân thú cưng (10đ)</t>
        </is>
      </c>
      <c r="J1736" s="62" t="n">
        <v>10</v>
      </c>
      <c r="K1736" s="9" t="inlineStr">
        <is>
          <t>Chưa rõ giống (Cần quét Bio)</t>
        </is>
      </c>
      <c r="L1736" s="62" t="n">
        <v>0</v>
      </c>
      <c r="M1736" s="62" t="n">
        <v>0</v>
      </c>
      <c r="N1736" s="9" t="inlineStr">
        <is>
          <t>Amazon link not found</t>
        </is>
      </c>
      <c r="O1736" s="62">
        <f>IF(N1736="Selling pet toys + Artificial grass/Pet toilets (TARGET)",15,IF(N1736="Selling artificial grass/pet toilets (TARGET)",10,IF(N1736="Selling pet toys",7,IF(N1736="There's an Amazon link, but no target sales.",3,0))))</f>
        <v/>
      </c>
      <c r="P1736" s="67">
        <f>H1736+J1736+L1736+M1736+O1736</f>
        <v/>
      </c>
      <c r="Q1736" s="69">
        <f>IF(OR(H1736=0,P1736&lt;30),"Tier D (Đóng băng)",IF(P1736&gt;=85,"Tier S (Kim Cương: 85-100đ)",IF(P1736&gt;=70,"Tier A (Vàng: 70-84đ)",IF(P1736&gt;=61,"Tier B+ / Cấp A (Hot Lead: 61-69đ)",IF(P1736&gt;=50,"Tier B (Bạc: 50-60đ)","Tier C (Đồng: 30-49đ)")))))</f>
        <v/>
      </c>
      <c r="R1736" s="9" t="inlineStr">
        <is>
          <t>Khay vệ sinh trong nhà (Indoor Dog Potty) + Đồ chơi thú cưng lẻ</t>
        </is>
      </c>
      <c r="S1736" s="9" t="inlineStr">
        <is>
          <t>Cấp C Chi phí thấp: Nhắn tin trực tiếp qua Fanpage Facebook/Instagram + Nuôi dưỡng nội dung</t>
        </is>
      </c>
    </row>
    <row r="1737">
      <c r="A1737" s="53" t="n">
        <v>2265</v>
      </c>
      <c r="B1737" s="12" t="inlineStr">
        <is>
          <t>Native Pet</t>
        </is>
      </c>
      <c r="C1737" s="54" t="inlineStr">
        <is>
          <t>https://www.facebook.com/nativepet</t>
        </is>
      </c>
      <c r="D1737" s="6" t="inlineStr">
        <is>
          <t>Cần quét Bio Fanpage</t>
        </is>
      </c>
      <c r="E1737" s="53" t="inlineStr">
        <is>
          <t>08/10/2026 23:38:45</t>
        </is>
      </c>
      <c r="F1737" s="53" t="inlineStr">
        <is>
          <t>4 ngày trước</t>
        </is>
      </c>
      <c r="G1737" s="55" t="n">
        <v>4</v>
      </c>
      <c r="H1737" s="56" t="n">
        <v>20</v>
      </c>
      <c r="I1737" s="6" t="inlineStr">
        <is>
          <t>Pet Owner / Cộng đồng nuôi cún (10đ)</t>
        </is>
      </c>
      <c r="J1737" s="56" t="n">
        <v>10</v>
      </c>
      <c r="K1737" s="6" t="inlineStr">
        <is>
          <t>Chưa rõ giống (Cần quét Bio)</t>
        </is>
      </c>
      <c r="L1737" s="56" t="n">
        <v>0</v>
      </c>
      <c r="M1737" s="56" t="n">
        <v>0</v>
      </c>
      <c r="N1737" s="6" t="inlineStr">
        <is>
          <t>Amazon link not found</t>
        </is>
      </c>
      <c r="O1737" s="56">
        <f>IF(N1737="Selling pet toys + Artificial grass/Pet toilets (TARGET)",15,IF(N1737="Selling artificial grass/pet toilets (TARGET)",10,IF(N1737="Selling pet toys",7,IF(N1737="There's an Amazon link, but no target sales.",3,0))))</f>
        <v/>
      </c>
      <c r="P1737" s="65">
        <f>H1737+J1737+L1737+M1737+O1737</f>
        <v/>
      </c>
      <c r="Q1737" s="69">
        <f>IF(OR(H1737=0,P1737&lt;30),"Tier D (Đóng băng)",IF(P1737&gt;=85,"Tier S (Kim Cương: 85-100đ)",IF(P1737&gt;=70,"Tier A (Vàng: 70-84đ)",IF(P1737&gt;=61,"Tier B+ / Cấp A (Hot Lead: 61-69đ)",IF(P1737&gt;=50,"Tier B (Bạc: 50-60đ)","Tier C (Đồng: 30-49đ)")))))</f>
        <v/>
      </c>
      <c r="R1737" s="6" t="inlineStr">
        <is>
          <t>Khay vệ sinh chung cư (Indoor Potty) + Thảm cỏ ban công (Grass Patch) + Đồ chơi</t>
        </is>
      </c>
      <c r="S1737" s="6" t="inlineStr">
        <is>
          <t>Cấp C Chi phí thấp: Nhắn tin trực tiếp qua Fanpage Facebook/Instagram + Nuôi dưỡng nội dung</t>
        </is>
      </c>
    </row>
    <row r="1738">
      <c r="A1738" s="59" t="n">
        <v>147</v>
      </c>
      <c r="B1738" s="15" t="inlineStr">
        <is>
          <t>cityofdogs</t>
        </is>
      </c>
      <c r="C1738" s="60" t="inlineStr">
        <is>
          <t>https://www.facebook.com/cityofdogs</t>
        </is>
      </c>
      <c r="D1738" s="9" t="inlineStr">
        <is>
          <t>Cần quét Bio Fanpage</t>
        </is>
      </c>
      <c r="E1738" s="59" t="inlineStr">
        <is>
          <t>08/10/2026 23:30:02</t>
        </is>
      </c>
      <c r="F1738" s="59" t="inlineStr">
        <is>
          <t>4 ngày trước</t>
        </is>
      </c>
      <c r="G1738" s="61" t="n">
        <v>4</v>
      </c>
      <c r="H1738" s="62" t="n">
        <v>20</v>
      </c>
      <c r="I1738" s="9" t="inlineStr">
        <is>
          <t>Pet Owner / Cộng đồng nuôi cún (10đ)</t>
        </is>
      </c>
      <c r="J1738" s="62" t="n">
        <v>10</v>
      </c>
      <c r="K1738" s="9" t="inlineStr">
        <is>
          <t>Chưa rõ giống (Cần quét Bio)</t>
        </is>
      </c>
      <c r="L1738" s="62" t="n">
        <v>0</v>
      </c>
      <c r="M1738" s="62" t="n">
        <v>0</v>
      </c>
      <c r="N1738" s="9" t="inlineStr">
        <is>
          <t>Amazon link not found</t>
        </is>
      </c>
      <c r="O1738" s="62">
        <f>IF(N1738="Selling pet toys + Artificial grass/Pet toilets (TARGET)",15,IF(N1738="Selling artificial grass/pet toilets (TARGET)",10,IF(N1738="Selling pet toys",7,IF(N1738="There's an Amazon link, but no target sales.",3,0))))</f>
        <v/>
      </c>
      <c r="P1738" s="67">
        <f>H1738+J1738+L1738+M1738+O1738</f>
        <v/>
      </c>
      <c r="Q1738" s="69">
        <f>IF(OR(H1738=0,P1738&lt;30),"Tier D (Đóng băng)",IF(P1738&gt;=85,"Tier S (Kim Cương: 85-100đ)",IF(P1738&gt;=70,"Tier A (Vàng: 70-84đ)",IF(P1738&gt;=61,"Tier B+ / Cấp A (Hot Lead: 61-69đ)",IF(P1738&gt;=50,"Tier B (Bạc: 50-60đ)","Tier C (Đồng: 30-49đ)")))))</f>
        <v/>
      </c>
      <c r="R1738" s="9" t="inlineStr">
        <is>
          <t>Khay vệ sinh chung cư (Indoor Potty) + Thảm cỏ ban công (Grass Patch) + Đồ chơi</t>
        </is>
      </c>
      <c r="S1738" s="9" t="inlineStr">
        <is>
          <t>Cấp C Chi phí thấp: Nhắn tin trực tiếp qua Fanpage Facebook/Instagram + Nuôi dưỡng nội dung</t>
        </is>
      </c>
    </row>
    <row r="1739">
      <c r="A1739" s="53" t="n">
        <v>74</v>
      </c>
      <c r="B1739" s="12" t="inlineStr">
        <is>
          <t>Pets Add Life (PAL)</t>
        </is>
      </c>
      <c r="C1739" s="54" t="inlineStr">
        <is>
          <t>https://www.facebook.com/PetsAddLife</t>
        </is>
      </c>
      <c r="D1739" s="6" t="inlineStr">
        <is>
          <t>Cần quét Bio Fanpage</t>
        </is>
      </c>
      <c r="E1739" s="53" t="inlineStr">
        <is>
          <t>08/10/2026 23:26:32</t>
        </is>
      </c>
      <c r="F1739" s="53" t="inlineStr">
        <is>
          <t>4 ngày trước</t>
        </is>
      </c>
      <c r="G1739" s="55" t="n">
        <v>4</v>
      </c>
      <c r="H1739" s="56" t="n">
        <v>20</v>
      </c>
      <c r="I1739" s="6" t="inlineStr">
        <is>
          <t>Pet Owner / Kênh cá nhân thú cưng (10đ)</t>
        </is>
      </c>
      <c r="J1739" s="56" t="n">
        <v>10</v>
      </c>
      <c r="K1739" s="6" t="inlineStr">
        <is>
          <t>Chưa rõ giống (Cần quét Bio)</t>
        </is>
      </c>
      <c r="L1739" s="56" t="n">
        <v>0</v>
      </c>
      <c r="M1739" s="56" t="n">
        <v>0</v>
      </c>
      <c r="N1739" s="6" t="inlineStr">
        <is>
          <t>Amazon link not found</t>
        </is>
      </c>
      <c r="O1739" s="56">
        <f>IF(N1739="Selling pet toys + Artificial grass/Pet toilets (TARGET)",15,IF(N1739="Selling artificial grass/pet toilets (TARGET)",10,IF(N1739="Selling pet toys",7,IF(N1739="There's an Amazon link, but no target sales.",3,0))))</f>
        <v/>
      </c>
      <c r="P1739" s="65">
        <f>H1739+J1739+L1739+M1739+O1739</f>
        <v/>
      </c>
      <c r="Q1739" s="69">
        <f>IF(OR(H1739=0,P1739&lt;30),"Tier D (Đóng băng)",IF(P1739&gt;=85,"Tier S (Kim Cương: 85-100đ)",IF(P1739&gt;=70,"Tier A (Vàng: 70-84đ)",IF(P1739&gt;=61,"Tier B+ / Cấp A (Hot Lead: 61-69đ)",IF(P1739&gt;=50,"Tier B (Bạc: 50-60đ)","Tier C (Đồng: 30-49đ)")))))</f>
        <v/>
      </c>
      <c r="R1739" s="6" t="inlineStr">
        <is>
          <t>Khay vệ sinh trong nhà (Indoor Dog Potty) + Đồ chơi thú cưng lẻ</t>
        </is>
      </c>
      <c r="S1739" s="6" t="inlineStr">
        <is>
          <t>Cấp C Chi phí thấp: Nhắn tin trực tiếp qua Fanpage Facebook/Instagram + Nuôi dưỡng nội dung</t>
        </is>
      </c>
    </row>
    <row r="1740">
      <c r="A1740" s="59" t="n">
        <v>1491</v>
      </c>
      <c r="B1740" s="15" t="inlineStr">
        <is>
          <t>Geneva Dog Show</t>
        </is>
      </c>
      <c r="C1740" s="60" t="inlineStr">
        <is>
          <t>https://www.facebook.com/expositioncaninegeneve</t>
        </is>
      </c>
      <c r="D1740" s="9" t="inlineStr">
        <is>
          <t>Cần quét Bio Fanpage</t>
        </is>
      </c>
      <c r="E1740" s="59" t="inlineStr">
        <is>
          <t>08/10/2026 23:04:54</t>
        </is>
      </c>
      <c r="F1740" s="59" t="inlineStr">
        <is>
          <t>4 ngày trước</t>
        </is>
      </c>
      <c r="G1740" s="61" t="n">
        <v>4</v>
      </c>
      <c r="H1740" s="62" t="n">
        <v>20</v>
      </c>
      <c r="I1740" s="9" t="inlineStr">
        <is>
          <t>Pet Owner / Cộng đồng nuôi cún (10đ)</t>
        </is>
      </c>
      <c r="J1740" s="62" t="n">
        <v>10</v>
      </c>
      <c r="K1740" s="9" t="inlineStr">
        <is>
          <t>Chưa rõ giống (Cần quét Bio)</t>
        </is>
      </c>
      <c r="L1740" s="62" t="n">
        <v>0</v>
      </c>
      <c r="M1740" s="62" t="n">
        <v>0</v>
      </c>
      <c r="N1740" s="9" t="inlineStr">
        <is>
          <t>Amazon link not found</t>
        </is>
      </c>
      <c r="O1740" s="62">
        <f>IF(N1740="Selling pet toys + Artificial grass/Pet toilets (TARGET)",15,IF(N1740="Selling artificial grass/pet toilets (TARGET)",10,IF(N1740="Selling pet toys",7,IF(N1740="There's an Amazon link, but no target sales.",3,0))))</f>
        <v/>
      </c>
      <c r="P1740" s="67">
        <f>H1740+J1740+L1740+M1740+O1740</f>
        <v/>
      </c>
      <c r="Q1740" s="69">
        <f>IF(OR(H1740=0,P1740&lt;30),"Tier D (Đóng băng)",IF(P1740&gt;=85,"Tier S (Kim Cương: 85-100đ)",IF(P1740&gt;=70,"Tier A (Vàng: 70-84đ)",IF(P1740&gt;=61,"Tier B+ / Cấp A (Hot Lead: 61-69đ)",IF(P1740&gt;=50,"Tier B (Bạc: 50-60đ)","Tier C (Đồng: 30-49đ)")))))</f>
        <v/>
      </c>
      <c r="R1740" s="9" t="inlineStr">
        <is>
          <t>Khay vệ sinh chung cư (Indoor Potty) + Thảm cỏ ban công (Grass Patch) + Đồ chơi</t>
        </is>
      </c>
      <c r="S1740" s="9" t="inlineStr">
        <is>
          <t>Cấp C Chi phí thấp: Nhắn tin trực tiếp qua Fanpage Facebook/Instagram + Nuôi dưỡng nội dung</t>
        </is>
      </c>
    </row>
    <row r="1741">
      <c r="A1741" s="53" t="n">
        <v>1030</v>
      </c>
      <c r="B1741" s="12" t="inlineStr">
        <is>
          <t>Diamond Bird Dogs</t>
        </is>
      </c>
      <c r="C1741" s="54" t="inlineStr">
        <is>
          <t>https://www.facebook.com/DiamondBirdDogs</t>
        </is>
      </c>
      <c r="D1741" s="6" t="inlineStr">
        <is>
          <t>Cần quét Bio Fanpage</t>
        </is>
      </c>
      <c r="E1741" s="53" t="inlineStr">
        <is>
          <t>08/10/2026 22:36:35</t>
        </is>
      </c>
      <c r="F1741" s="53" t="inlineStr">
        <is>
          <t>4 ngày trước</t>
        </is>
      </c>
      <c r="G1741" s="55" t="n">
        <v>4</v>
      </c>
      <c r="H1741" s="56" t="n">
        <v>20</v>
      </c>
      <c r="I1741" s="6" t="inlineStr">
        <is>
          <t>Pet Owner / Cộng đồng nuôi cún (10đ)</t>
        </is>
      </c>
      <c r="J1741" s="56" t="n">
        <v>10</v>
      </c>
      <c r="K1741" s="6" t="inlineStr">
        <is>
          <t>Chưa rõ giống (Cần quét Bio)</t>
        </is>
      </c>
      <c r="L1741" s="56" t="n">
        <v>0</v>
      </c>
      <c r="M1741" s="56" t="n">
        <v>0</v>
      </c>
      <c r="N1741" s="6" t="inlineStr">
        <is>
          <t>Amazon link not found</t>
        </is>
      </c>
      <c r="O1741" s="56">
        <f>IF(N1741="Selling pet toys + Artificial grass/Pet toilets (TARGET)",15,IF(N1741="Selling artificial grass/pet toilets (TARGET)",10,IF(N1741="Selling pet toys",7,IF(N1741="There's an Amazon link, but no target sales.",3,0))))</f>
        <v/>
      </c>
      <c r="P1741" s="65">
        <f>H1741+J1741+L1741+M1741+O1741</f>
        <v/>
      </c>
      <c r="Q1741" s="69">
        <f>IF(OR(H1741=0,P1741&lt;30),"Tier D (Đóng băng)",IF(P1741&gt;=85,"Tier S (Kim Cương: 85-100đ)",IF(P1741&gt;=70,"Tier A (Vàng: 70-84đ)",IF(P1741&gt;=61,"Tier B+ / Cấp A (Hot Lead: 61-69đ)",IF(P1741&gt;=50,"Tier B (Bạc: 50-60đ)","Tier C (Đồng: 30-49đ)")))))</f>
        <v/>
      </c>
      <c r="R1741" s="6" t="inlineStr">
        <is>
          <t>Khay vệ sinh chung cư (Indoor Potty) + Thảm cỏ ban công (Grass Patch) + Đồ chơi</t>
        </is>
      </c>
      <c r="S1741" s="6" t="inlineStr">
        <is>
          <t>Cấp C Chi phí thấp: Nhắn tin trực tiếp qua Fanpage Facebook/Instagram + Nuôi dưỡng nội dung</t>
        </is>
      </c>
    </row>
    <row r="1742">
      <c r="A1742" s="59" t="n">
        <v>337</v>
      </c>
      <c r="B1742" s="15" t="inlineStr">
        <is>
          <t>Active Dog Essentials</t>
        </is>
      </c>
      <c r="C1742" s="60" t="inlineStr">
        <is>
          <t>https://www.facebook.com/profile.php?id=61571568916153</t>
        </is>
      </c>
      <c r="D1742" s="9" t="inlineStr">
        <is>
          <t>Cần quét Bio Fanpage</t>
        </is>
      </c>
      <c r="E1742" s="59" t="inlineStr">
        <is>
          <t>08/10/2026 22:36:25</t>
        </is>
      </c>
      <c r="F1742" s="59" t="inlineStr">
        <is>
          <t>4 ngày trước</t>
        </is>
      </c>
      <c r="G1742" s="61" t="n">
        <v>4</v>
      </c>
      <c r="H1742" s="62" t="n">
        <v>20</v>
      </c>
      <c r="I1742" s="9" t="inlineStr">
        <is>
          <t>Pet Owner / Cộng đồng nuôi cún (10đ)</t>
        </is>
      </c>
      <c r="J1742" s="62" t="n">
        <v>10</v>
      </c>
      <c r="K1742" s="9" t="inlineStr">
        <is>
          <t>Chưa rõ giống (Cần quét Bio)</t>
        </is>
      </c>
      <c r="L1742" s="62" t="n">
        <v>0</v>
      </c>
      <c r="M1742" s="62" t="n">
        <v>0</v>
      </c>
      <c r="N1742" s="9" t="inlineStr">
        <is>
          <t>Amazon link not found</t>
        </is>
      </c>
      <c r="O1742" s="62">
        <f>IF(N1742="Selling pet toys + Artificial grass/Pet toilets (TARGET)",15,IF(N1742="Selling artificial grass/pet toilets (TARGET)",10,IF(N1742="Selling pet toys",7,IF(N1742="There's an Amazon link, but no target sales.",3,0))))</f>
        <v/>
      </c>
      <c r="P1742" s="67">
        <f>H1742+J1742+L1742+M1742+O1742</f>
        <v/>
      </c>
      <c r="Q1742" s="69">
        <f>IF(OR(H1742=0,P1742&lt;30),"Tier D (Đóng băng)",IF(P1742&gt;=85,"Tier S (Kim Cương: 85-100đ)",IF(P1742&gt;=70,"Tier A (Vàng: 70-84đ)",IF(P1742&gt;=61,"Tier B+ / Cấp A (Hot Lead: 61-69đ)",IF(P1742&gt;=50,"Tier B (Bạc: 50-60đ)","Tier C (Đồng: 30-49đ)")))))</f>
        <v/>
      </c>
      <c r="R1742" s="9" t="inlineStr">
        <is>
          <t>Khay vệ sinh chung cư (Indoor Potty) + Thảm cỏ ban công (Grass Patch) + Đồ chơi</t>
        </is>
      </c>
      <c r="S1742" s="9" t="inlineStr">
        <is>
          <t>Cấp C Chi phí thấp: Nhắn tin trực tiếp qua Fanpage Facebook/Instagram + Nuôi dưỡng nội dung</t>
        </is>
      </c>
    </row>
    <row r="1743">
      <c r="A1743" s="53" t="n">
        <v>1667</v>
      </c>
      <c r="B1743" s="12" t="inlineStr">
        <is>
          <t>Holy Cow Tack, Feed &amp; Pet</t>
        </is>
      </c>
      <c r="C1743" s="54" t="inlineStr">
        <is>
          <t>https://www.facebook.com/holycowtfp</t>
        </is>
      </c>
      <c r="D1743" s="6" t="inlineStr">
        <is>
          <t>Cần quét Bio Fanpage</t>
        </is>
      </c>
      <c r="E1743" s="53" t="inlineStr">
        <is>
          <t>08/10/2026 22:16:00</t>
        </is>
      </c>
      <c r="F1743" s="53" t="inlineStr">
        <is>
          <t>4 ngày trước</t>
        </is>
      </c>
      <c r="G1743" s="55" t="n">
        <v>4</v>
      </c>
      <c r="H1743" s="56" t="n">
        <v>20</v>
      </c>
      <c r="I1743" s="6" t="inlineStr">
        <is>
          <t>Pet Owner / Cộng đồng nuôi cún (10đ)</t>
        </is>
      </c>
      <c r="J1743" s="56" t="n">
        <v>10</v>
      </c>
      <c r="K1743" s="6" t="inlineStr">
        <is>
          <t>Chưa rõ giống (Cần quét Bio)</t>
        </is>
      </c>
      <c r="L1743" s="56" t="n">
        <v>0</v>
      </c>
      <c r="M1743" s="56" t="n">
        <v>0</v>
      </c>
      <c r="N1743" s="6" t="inlineStr">
        <is>
          <t>Amazon link not found</t>
        </is>
      </c>
      <c r="O1743" s="56">
        <f>IF(N1743="Selling pet toys + Artificial grass/Pet toilets (TARGET)",15,IF(N1743="Selling artificial grass/pet toilets (TARGET)",10,IF(N1743="Selling pet toys",7,IF(N1743="There's an Amazon link, but no target sales.",3,0))))</f>
        <v/>
      </c>
      <c r="P1743" s="65">
        <f>H1743+J1743+L1743+M1743+O1743</f>
        <v/>
      </c>
      <c r="Q1743" s="69">
        <f>IF(OR(H1743=0,P1743&lt;30),"Tier D (Đóng băng)",IF(P1743&gt;=85,"Tier S (Kim Cương: 85-100đ)",IF(P1743&gt;=70,"Tier A (Vàng: 70-84đ)",IF(P1743&gt;=61,"Tier B+ / Cấp A (Hot Lead: 61-69đ)",IF(P1743&gt;=50,"Tier B (Bạc: 50-60đ)","Tier C (Đồng: 30-49đ)")))))</f>
        <v/>
      </c>
      <c r="R1743" s="6" t="inlineStr">
        <is>
          <t>Khay vệ sinh chung cư (Indoor Potty) + Thảm cỏ ban công (Grass Patch) + Đồ chơi</t>
        </is>
      </c>
      <c r="S1743" s="6" t="inlineStr">
        <is>
          <t>Cấp C Chi phí thấp: Nhắn tin trực tiếp qua Fanpage Facebook/Instagram + Nuôi dưỡng nội dung</t>
        </is>
      </c>
    </row>
    <row r="1744">
      <c r="A1744" s="59" t="n">
        <v>1059</v>
      </c>
      <c r="B1744" s="15" t="inlineStr">
        <is>
          <t>Dog Food Advisor</t>
        </is>
      </c>
      <c r="C1744" s="60" t="inlineStr">
        <is>
          <t>https://www.facebook.com/dogfoodadvisor</t>
        </is>
      </c>
      <c r="D1744" s="9" t="inlineStr">
        <is>
          <t>Cần quét Bio Fanpage</t>
        </is>
      </c>
      <c r="E1744" s="59" t="inlineStr">
        <is>
          <t>08/10/2026 22:04:24</t>
        </is>
      </c>
      <c r="F1744" s="59" t="inlineStr">
        <is>
          <t>4 ngày trước</t>
        </is>
      </c>
      <c r="G1744" s="61" t="n">
        <v>4</v>
      </c>
      <c r="H1744" s="62" t="n">
        <v>20</v>
      </c>
      <c r="I1744" s="9" t="inlineStr">
        <is>
          <t>Pet Owner / Cộng đồng nuôi cún (10đ)</t>
        </is>
      </c>
      <c r="J1744" s="62" t="n">
        <v>10</v>
      </c>
      <c r="K1744" s="9" t="inlineStr">
        <is>
          <t>Chưa rõ giống (Cần quét Bio)</t>
        </is>
      </c>
      <c r="L1744" s="62" t="n">
        <v>0</v>
      </c>
      <c r="M1744" s="62" t="n">
        <v>0</v>
      </c>
      <c r="N1744" s="9" t="inlineStr">
        <is>
          <t>Amazon link not found</t>
        </is>
      </c>
      <c r="O1744" s="62">
        <f>IF(N1744="Selling pet toys + Artificial grass/Pet toilets (TARGET)",15,IF(N1744="Selling artificial grass/pet toilets (TARGET)",10,IF(N1744="Selling pet toys",7,IF(N1744="There's an Amazon link, but no target sales.",3,0))))</f>
        <v/>
      </c>
      <c r="P1744" s="67">
        <f>H1744+J1744+L1744+M1744+O1744</f>
        <v/>
      </c>
      <c r="Q1744" s="69">
        <f>IF(OR(H1744=0,P1744&lt;30),"Tier D (Đóng băng)",IF(P1744&gt;=85,"Tier S (Kim Cương: 85-100đ)",IF(P1744&gt;=70,"Tier A (Vàng: 70-84đ)",IF(P1744&gt;=61,"Tier B+ / Cấp A (Hot Lead: 61-69đ)",IF(P1744&gt;=50,"Tier B (Bạc: 50-60đ)","Tier C (Đồng: 30-49đ)")))))</f>
        <v/>
      </c>
      <c r="R1744" s="9" t="inlineStr">
        <is>
          <t>Khay vệ sinh chung cư (Indoor Potty) + Thảm cỏ ban công (Grass Patch) + Đồ chơi</t>
        </is>
      </c>
      <c r="S1744" s="9" t="inlineStr">
        <is>
          <t>Cấp C Chi phí thấp: Nhắn tin trực tiếp qua Fanpage Facebook/Instagram + Nuôi dưỡng nội dung</t>
        </is>
      </c>
    </row>
    <row r="1745">
      <c r="A1745" s="53" t="n">
        <v>92</v>
      </c>
      <c r="B1745" s="12" t="inlineStr">
        <is>
          <t>Adrian Stoica - dog coach</t>
        </is>
      </c>
      <c r="C1745" s="54" t="inlineStr">
        <is>
          <t>https://www.facebook.com/adrianstoica.dogcoach</t>
        </is>
      </c>
      <c r="D1745" s="6" t="inlineStr">
        <is>
          <t>Cần quét Bio Fanpage</t>
        </is>
      </c>
      <c r="E1745" s="53" t="inlineStr">
        <is>
          <t>08/10/2026 21:02:26</t>
        </is>
      </c>
      <c r="F1745" s="53" t="inlineStr">
        <is>
          <t>4 ngày trước</t>
        </is>
      </c>
      <c r="G1745" s="55" t="n">
        <v>4</v>
      </c>
      <c r="H1745" s="56" t="n">
        <v>20</v>
      </c>
      <c r="I1745" s="6" t="inlineStr">
        <is>
          <t>Pet Owner / Cộng đồng nuôi cún (10đ)</t>
        </is>
      </c>
      <c r="J1745" s="56" t="n">
        <v>10</v>
      </c>
      <c r="K1745" s="6" t="inlineStr">
        <is>
          <t>Chưa rõ giống (Cần quét Bio)</t>
        </is>
      </c>
      <c r="L1745" s="56" t="n">
        <v>0</v>
      </c>
      <c r="M1745" s="56" t="n">
        <v>0</v>
      </c>
      <c r="N1745" s="6" t="inlineStr">
        <is>
          <t>Amazon link not found</t>
        </is>
      </c>
      <c r="O1745" s="56">
        <f>IF(N1745="Selling pet toys + Artificial grass/Pet toilets (TARGET)",15,IF(N1745="Selling artificial grass/pet toilets (TARGET)",10,IF(N1745="Selling pet toys",7,IF(N1745="There's an Amazon link, but no target sales.",3,0))))</f>
        <v/>
      </c>
      <c r="P1745" s="65">
        <f>H1745+J1745+L1745+M1745+O1745</f>
        <v/>
      </c>
      <c r="Q1745" s="69">
        <f>IF(OR(H1745=0,P1745&lt;30),"Tier D (Đóng băng)",IF(P1745&gt;=85,"Tier S (Kim Cương: 85-100đ)",IF(P1745&gt;=70,"Tier A (Vàng: 70-84đ)",IF(P1745&gt;=61,"Tier B+ / Cấp A (Hot Lead: 61-69đ)",IF(P1745&gt;=50,"Tier B (Bạc: 50-60đ)","Tier C (Đồng: 30-49đ)")))))</f>
        <v/>
      </c>
      <c r="R1745" s="6" t="inlineStr">
        <is>
          <t>Khay vệ sinh chung cư (Indoor Potty) + Thảm cỏ ban công (Grass Patch) + Đồ chơi</t>
        </is>
      </c>
      <c r="S1745" s="6" t="inlineStr">
        <is>
          <t>Cấp C Chi phí thấp: Nhắn tin trực tiếp qua Fanpage Facebook/Instagram + Nuôi dưỡng nội dung</t>
        </is>
      </c>
    </row>
    <row r="1746">
      <c r="A1746" s="59" t="n">
        <v>1295</v>
      </c>
      <c r="B1746" s="15" t="inlineStr">
        <is>
          <t>Equiderma &amp; Barn Dog</t>
        </is>
      </c>
      <c r="C1746" s="60" t="inlineStr">
        <is>
          <t>https://www.facebook.com/Equiderma</t>
        </is>
      </c>
      <c r="D1746" s="9" t="inlineStr">
        <is>
          <t>Cần quét Bio Fanpage</t>
        </is>
      </c>
      <c r="E1746" s="59" t="inlineStr">
        <is>
          <t>08/10/2026 20:32:47</t>
        </is>
      </c>
      <c r="F1746" s="59" t="inlineStr">
        <is>
          <t>4 ngày trước</t>
        </is>
      </c>
      <c r="G1746" s="61" t="n">
        <v>4</v>
      </c>
      <c r="H1746" s="62" t="n">
        <v>20</v>
      </c>
      <c r="I1746" s="9" t="inlineStr">
        <is>
          <t>Pet Owner / Cộng đồng nuôi cún (10đ)</t>
        </is>
      </c>
      <c r="J1746" s="62" t="n">
        <v>10</v>
      </c>
      <c r="K1746" s="9" t="inlineStr">
        <is>
          <t>Chưa rõ giống (Cần quét Bio)</t>
        </is>
      </c>
      <c r="L1746" s="62" t="n">
        <v>0</v>
      </c>
      <c r="M1746" s="62" t="n">
        <v>0</v>
      </c>
      <c r="N1746" s="9" t="inlineStr">
        <is>
          <t>Amazon link not found</t>
        </is>
      </c>
      <c r="O1746" s="62">
        <f>IF(N1746="Selling pet toys + Artificial grass/Pet toilets (TARGET)",15,IF(N1746="Selling artificial grass/pet toilets (TARGET)",10,IF(N1746="Selling pet toys",7,IF(N1746="There's an Amazon link, but no target sales.",3,0))))</f>
        <v/>
      </c>
      <c r="P1746" s="67">
        <f>H1746+J1746+L1746+M1746+O1746</f>
        <v/>
      </c>
      <c r="Q1746" s="69">
        <f>IF(OR(H1746=0,P1746&lt;30),"Tier D (Đóng băng)",IF(P1746&gt;=85,"Tier S (Kim Cương: 85-100đ)",IF(P1746&gt;=70,"Tier A (Vàng: 70-84đ)",IF(P1746&gt;=61,"Tier B+ / Cấp A (Hot Lead: 61-69đ)",IF(P1746&gt;=50,"Tier B (Bạc: 50-60đ)","Tier C (Đồng: 30-49đ)")))))</f>
        <v/>
      </c>
      <c r="R1746" s="9" t="inlineStr">
        <is>
          <t>Khay vệ sinh chung cư (Indoor Potty) + Thảm cỏ ban công (Grass Patch) + Đồ chơi</t>
        </is>
      </c>
      <c r="S1746" s="9" t="inlineStr">
        <is>
          <t>Cấp C Chi phí thấp: Nhắn tin trực tiếp qua Fanpage Facebook/Instagram + Nuôi dưỡng nội dung</t>
        </is>
      </c>
    </row>
    <row r="1747">
      <c r="A1747" s="53" t="n">
        <v>2450</v>
      </c>
      <c r="B1747" s="12" t="inlineStr">
        <is>
          <t>Pet Food Warehouse</t>
        </is>
      </c>
      <c r="C1747" s="54" t="inlineStr">
        <is>
          <t>https://www.facebook.com/PetFoodWarehouse</t>
        </is>
      </c>
      <c r="D1747" s="6" t="inlineStr">
        <is>
          <t>Cần quét Bio Fanpage</t>
        </is>
      </c>
      <c r="E1747" s="53" t="inlineStr">
        <is>
          <t>08/10/2026 20:18:32</t>
        </is>
      </c>
      <c r="F1747" s="53" t="inlineStr">
        <is>
          <t>4 ngày trước</t>
        </is>
      </c>
      <c r="G1747" s="55" t="n">
        <v>4</v>
      </c>
      <c r="H1747" s="56" t="n">
        <v>20</v>
      </c>
      <c r="I1747" s="6" t="inlineStr">
        <is>
          <t>Pet Owner / Cộng đồng nuôi cún (10đ)</t>
        </is>
      </c>
      <c r="J1747" s="56" t="n">
        <v>10</v>
      </c>
      <c r="K1747" s="6" t="inlineStr">
        <is>
          <t>Chưa rõ giống (Cần quét Bio)</t>
        </is>
      </c>
      <c r="L1747" s="56" t="n">
        <v>0</v>
      </c>
      <c r="M1747" s="56" t="n">
        <v>0</v>
      </c>
      <c r="N1747" s="6" t="inlineStr">
        <is>
          <t>Amazon link not found</t>
        </is>
      </c>
      <c r="O1747" s="56">
        <f>IF(N1747="Selling pet toys + Artificial grass/Pet toilets (TARGET)",15,IF(N1747="Selling artificial grass/pet toilets (TARGET)",10,IF(N1747="Selling pet toys",7,IF(N1747="There's an Amazon link, but no target sales.",3,0))))</f>
        <v/>
      </c>
      <c r="P1747" s="65">
        <f>H1747+J1747+L1747+M1747+O1747</f>
        <v/>
      </c>
      <c r="Q1747" s="69">
        <f>IF(OR(H1747=0,P1747&lt;30),"Tier D (Đóng băng)",IF(P1747&gt;=85,"Tier S (Kim Cương: 85-100đ)",IF(P1747&gt;=70,"Tier A (Vàng: 70-84đ)",IF(P1747&gt;=61,"Tier B+ / Cấp A (Hot Lead: 61-69đ)",IF(P1747&gt;=50,"Tier B (Bạc: 50-60đ)","Tier C (Đồng: 30-49đ)")))))</f>
        <v/>
      </c>
      <c r="R1747" s="6" t="inlineStr">
        <is>
          <t>Khay vệ sinh chung cư (Indoor Potty) + Thảm cỏ ban công (Grass Patch) + Đồ chơi</t>
        </is>
      </c>
      <c r="S1747" s="6" t="inlineStr">
        <is>
          <t>Cấp C Chi phí thấp: Nhắn tin trực tiếp qua Fanpage Facebook/Instagram + Nuôi dưỡng nội dung</t>
        </is>
      </c>
    </row>
    <row r="1748">
      <c r="A1748" s="59" t="n">
        <v>2490</v>
      </c>
      <c r="B1748" s="15" t="inlineStr">
        <is>
          <t>Peter Carr</t>
        </is>
      </c>
      <c r="C1748" s="60" t="inlineStr">
        <is>
          <t>https://www.facebook.com/profile.php?id=100018432656717</t>
        </is>
      </c>
      <c r="D1748" s="9" t="inlineStr">
        <is>
          <t>Cần quét Bio Fanpage</t>
        </is>
      </c>
      <c r="E1748" s="59" t="inlineStr">
        <is>
          <t>08/10/2026 18:09:47</t>
        </is>
      </c>
      <c r="F1748" s="59" t="inlineStr">
        <is>
          <t>4 ngày trước</t>
        </is>
      </c>
      <c r="G1748" s="61" t="n">
        <v>4</v>
      </c>
      <c r="H1748" s="62" t="n">
        <v>20</v>
      </c>
      <c r="I1748" s="9" t="inlineStr">
        <is>
          <t>Pet Owner / Cộng đồng nuôi cún (10đ)</t>
        </is>
      </c>
      <c r="J1748" s="62" t="n">
        <v>10</v>
      </c>
      <c r="K1748" s="9" t="inlineStr">
        <is>
          <t>Chưa rõ giống (Cần quét Bio)</t>
        </is>
      </c>
      <c r="L1748" s="62" t="n">
        <v>0</v>
      </c>
      <c r="M1748" s="62" t="n">
        <v>0</v>
      </c>
      <c r="N1748" s="9" t="inlineStr">
        <is>
          <t>Amazon link not found</t>
        </is>
      </c>
      <c r="O1748" s="62">
        <f>IF(N1748="Selling pet toys + Artificial grass/Pet toilets (TARGET)",15,IF(N1748="Selling artificial grass/pet toilets (TARGET)",10,IF(N1748="Selling pet toys",7,IF(N1748="There's an Amazon link, but no target sales.",3,0))))</f>
        <v/>
      </c>
      <c r="P1748" s="67">
        <f>H1748+J1748+L1748+M1748+O1748</f>
        <v/>
      </c>
      <c r="Q1748" s="69">
        <f>IF(OR(H1748=0,P1748&lt;30),"Tier D (Đóng băng)",IF(P1748&gt;=85,"Tier S (Kim Cương: 85-100đ)",IF(P1748&gt;=70,"Tier A (Vàng: 70-84đ)",IF(P1748&gt;=61,"Tier B+ / Cấp A (Hot Lead: 61-69đ)",IF(P1748&gt;=50,"Tier B (Bạc: 50-60đ)","Tier C (Đồng: 30-49đ)")))))</f>
        <v/>
      </c>
      <c r="R1748" s="9" t="inlineStr">
        <is>
          <t>Khay vệ sinh chung cư (Indoor Potty) + Thảm cỏ ban công (Grass Patch) + Đồ chơi</t>
        </is>
      </c>
      <c r="S1748" s="9" t="inlineStr">
        <is>
          <t>Cấp C Chi phí thấp: Nhắn tin trực tiếp qua Fanpage Facebook/Instagram + Nuôi dưỡng nội dung</t>
        </is>
      </c>
    </row>
    <row r="1749">
      <c r="A1749" s="53" t="n">
        <v>2457</v>
      </c>
      <c r="B1749" s="12" t="inlineStr">
        <is>
          <t>Pet Munchies 100% Natural Pet Treats</t>
        </is>
      </c>
      <c r="C1749" s="54" t="inlineStr">
        <is>
          <t>https://www.facebook.com/PetMunchies</t>
        </is>
      </c>
      <c r="D1749" s="6" t="inlineStr">
        <is>
          <t>Cần quét Bio Fanpage</t>
        </is>
      </c>
      <c r="E1749" s="53" t="inlineStr">
        <is>
          <t>08/10/2026 17:27:14</t>
        </is>
      </c>
      <c r="F1749" s="53" t="inlineStr">
        <is>
          <t>4 ngày trước</t>
        </is>
      </c>
      <c r="G1749" s="55" t="n">
        <v>4</v>
      </c>
      <c r="H1749" s="56" t="n">
        <v>20</v>
      </c>
      <c r="I1749" s="6" t="inlineStr">
        <is>
          <t>Pet Owner / Cộng đồng nuôi cún (10đ)</t>
        </is>
      </c>
      <c r="J1749" s="56" t="n">
        <v>10</v>
      </c>
      <c r="K1749" s="6" t="inlineStr">
        <is>
          <t>Chưa rõ giống (Cần quét Bio)</t>
        </is>
      </c>
      <c r="L1749" s="56" t="n">
        <v>0</v>
      </c>
      <c r="M1749" s="56" t="n">
        <v>0</v>
      </c>
      <c r="N1749" s="6" t="inlineStr">
        <is>
          <t>Amazon link not found</t>
        </is>
      </c>
      <c r="O1749" s="56">
        <f>IF(N1749="Selling pet toys + Artificial grass/Pet toilets (TARGET)",15,IF(N1749="Selling artificial grass/pet toilets (TARGET)",10,IF(N1749="Selling pet toys",7,IF(N1749="There's an Amazon link, but no target sales.",3,0))))</f>
        <v/>
      </c>
      <c r="P1749" s="65">
        <f>H1749+J1749+L1749+M1749+O1749</f>
        <v/>
      </c>
      <c r="Q1749" s="69">
        <f>IF(OR(H1749=0,P1749&lt;30),"Tier D (Đóng băng)",IF(P1749&gt;=85,"Tier S (Kim Cương: 85-100đ)",IF(P1749&gt;=70,"Tier A (Vàng: 70-84đ)",IF(P1749&gt;=61,"Tier B+ / Cấp A (Hot Lead: 61-69đ)",IF(P1749&gt;=50,"Tier B (Bạc: 50-60đ)","Tier C (Đồng: 30-49đ)")))))</f>
        <v/>
      </c>
      <c r="R1749" s="6" t="inlineStr">
        <is>
          <t>Khay vệ sinh chung cư (Indoor Potty) + Thảm cỏ ban công (Grass Patch) + Đồ chơi</t>
        </is>
      </c>
      <c r="S1749" s="6" t="inlineStr">
        <is>
          <t>Cấp C Chi phí thấp: Nhắn tin trực tiếp qua Fanpage Facebook/Instagram + Nuôi dưỡng nội dung</t>
        </is>
      </c>
    </row>
    <row r="1750">
      <c r="A1750" s="59" t="n">
        <v>2434</v>
      </c>
      <c r="B1750" s="15" t="inlineStr">
        <is>
          <t>PerrosdeBusqueda&amp;IsaylosDogs</t>
        </is>
      </c>
      <c r="C1750" s="60" t="inlineStr">
        <is>
          <t>https://www.facebook.com/perrosdebusqueda</t>
        </is>
      </c>
      <c r="D1750" s="9" t="inlineStr">
        <is>
          <t>Cần quét Bio Fanpage</t>
        </is>
      </c>
      <c r="E1750" s="59" t="inlineStr">
        <is>
          <t>08/10/2026 16:39:40</t>
        </is>
      </c>
      <c r="F1750" s="59" t="inlineStr">
        <is>
          <t>4 ngày trước</t>
        </is>
      </c>
      <c r="G1750" s="61" t="n">
        <v>4</v>
      </c>
      <c r="H1750" s="62" t="n">
        <v>20</v>
      </c>
      <c r="I1750" s="9" t="inlineStr">
        <is>
          <t>Pet Owner / Cộng đồng nuôi cún (10đ)</t>
        </is>
      </c>
      <c r="J1750" s="62" t="n">
        <v>10</v>
      </c>
      <c r="K1750" s="9" t="inlineStr">
        <is>
          <t>Chưa rõ giống (Cần quét Bio)</t>
        </is>
      </c>
      <c r="L1750" s="62" t="n">
        <v>0</v>
      </c>
      <c r="M1750" s="62" t="n">
        <v>0</v>
      </c>
      <c r="N1750" s="9" t="inlineStr">
        <is>
          <t>Amazon link not found</t>
        </is>
      </c>
      <c r="O1750" s="62">
        <f>IF(N1750="Selling pet toys + Artificial grass/Pet toilets (TARGET)",15,IF(N1750="Selling artificial grass/pet toilets (TARGET)",10,IF(N1750="Selling pet toys",7,IF(N1750="There's an Amazon link, but no target sales.",3,0))))</f>
        <v/>
      </c>
      <c r="P1750" s="67">
        <f>H1750+J1750+L1750+M1750+O1750</f>
        <v/>
      </c>
      <c r="Q1750" s="69">
        <f>IF(OR(H1750=0,P1750&lt;30),"Tier D (Đóng băng)",IF(P1750&gt;=85,"Tier S (Kim Cương: 85-100đ)",IF(P1750&gt;=70,"Tier A (Vàng: 70-84đ)",IF(P1750&gt;=61,"Tier B+ / Cấp A (Hot Lead: 61-69đ)",IF(P1750&gt;=50,"Tier B (Bạc: 50-60đ)","Tier C (Đồng: 30-49đ)")))))</f>
        <v/>
      </c>
      <c r="R1750" s="9" t="inlineStr">
        <is>
          <t>Khay vệ sinh chung cư (Indoor Potty) + Thảm cỏ ban công (Grass Patch) + Đồ chơi</t>
        </is>
      </c>
      <c r="S1750" s="9" t="inlineStr">
        <is>
          <t>Cấp C Chi phí thấp: Nhắn tin trực tiếp qua Fanpage Facebook/Instagram + Nuôi dưỡng nội dung</t>
        </is>
      </c>
    </row>
    <row r="1751">
      <c r="A1751" s="53" t="n">
        <v>1164</v>
      </c>
      <c r="B1751" s="12" t="inlineStr">
        <is>
          <t>Dogs Day Out in Mawson Lakes by Lions Club</t>
        </is>
      </c>
      <c r="C1751" s="54" t="inlineStr">
        <is>
          <t>https://www.facebook.com/DogsDayOutMawsonLakes</t>
        </is>
      </c>
      <c r="D1751" s="6" t="inlineStr">
        <is>
          <t>Cần quét Bio Fanpage</t>
        </is>
      </c>
      <c r="E1751" s="53" t="inlineStr">
        <is>
          <t>08/10/2026 13:33:53</t>
        </is>
      </c>
      <c r="F1751" s="53" t="inlineStr">
        <is>
          <t>4 ngày trước</t>
        </is>
      </c>
      <c r="G1751" s="55" t="n">
        <v>4</v>
      </c>
      <c r="H1751" s="56" t="n">
        <v>20</v>
      </c>
      <c r="I1751" s="6" t="inlineStr">
        <is>
          <t>Pet Owner / Cộng đồng nuôi cún (10đ)</t>
        </is>
      </c>
      <c r="J1751" s="56" t="n">
        <v>10</v>
      </c>
      <c r="K1751" s="6" t="inlineStr">
        <is>
          <t>Chưa rõ giống (Cần quét Bio)</t>
        </is>
      </c>
      <c r="L1751" s="56" t="n">
        <v>0</v>
      </c>
      <c r="M1751" s="56" t="n">
        <v>0</v>
      </c>
      <c r="N1751" s="6" t="inlineStr">
        <is>
          <t>Amazon link not found</t>
        </is>
      </c>
      <c r="O1751" s="56">
        <f>IF(N1751="Selling pet toys + Artificial grass/Pet toilets (TARGET)",15,IF(N1751="Selling artificial grass/pet toilets (TARGET)",10,IF(N1751="Selling pet toys",7,IF(N1751="There's an Amazon link, but no target sales.",3,0))))</f>
        <v/>
      </c>
      <c r="P1751" s="65">
        <f>H1751+J1751+L1751+M1751+O1751</f>
        <v/>
      </c>
      <c r="Q1751" s="69">
        <f>IF(OR(H1751=0,P1751&lt;30),"Tier D (Đóng băng)",IF(P1751&gt;=85,"Tier S (Kim Cương: 85-100đ)",IF(P1751&gt;=70,"Tier A (Vàng: 70-84đ)",IF(P1751&gt;=61,"Tier B+ / Cấp A (Hot Lead: 61-69đ)",IF(P1751&gt;=50,"Tier B (Bạc: 50-60đ)","Tier C (Đồng: 30-49đ)")))))</f>
        <v/>
      </c>
      <c r="R1751" s="6" t="inlineStr">
        <is>
          <t>Khay vệ sinh chung cư (Indoor Potty) + Thảm cỏ ban công (Grass Patch) + Đồ chơi</t>
        </is>
      </c>
      <c r="S1751" s="6" t="inlineStr">
        <is>
          <t>Cấp C Chi phí thấp: Nhắn tin trực tiếp qua Fanpage Facebook/Instagram + Nuôi dưỡng nội dung</t>
        </is>
      </c>
    </row>
    <row r="1752">
      <c r="A1752" s="59" t="n">
        <v>1181</v>
      </c>
      <c r="B1752" s="15" t="inlineStr">
        <is>
          <t>DogsShutter</t>
        </is>
      </c>
      <c r="C1752" s="60" t="inlineStr">
        <is>
          <t>https://www.facebook.com/DogsShutter</t>
        </is>
      </c>
      <c r="D1752" s="9" t="inlineStr">
        <is>
          <t>Cần quét Bio Fanpage</t>
        </is>
      </c>
      <c r="E1752" s="59" t="inlineStr">
        <is>
          <t>08/10/2026 12:30:02</t>
        </is>
      </c>
      <c r="F1752" s="59" t="inlineStr">
        <is>
          <t>4 ngày trước</t>
        </is>
      </c>
      <c r="G1752" s="61" t="n">
        <v>4</v>
      </c>
      <c r="H1752" s="62" t="n">
        <v>20</v>
      </c>
      <c r="I1752" s="9" t="inlineStr">
        <is>
          <t>Pet Owner / Cộng đồng nuôi cún (10đ)</t>
        </is>
      </c>
      <c r="J1752" s="62" t="n">
        <v>10</v>
      </c>
      <c r="K1752" s="9" t="inlineStr">
        <is>
          <t>Chưa rõ giống (Cần quét Bio)</t>
        </is>
      </c>
      <c r="L1752" s="62" t="n">
        <v>0</v>
      </c>
      <c r="M1752" s="62" t="n">
        <v>0</v>
      </c>
      <c r="N1752" s="9" t="inlineStr">
        <is>
          <t>Amazon link not found</t>
        </is>
      </c>
      <c r="O1752" s="62">
        <f>IF(N1752="Selling pet toys + Artificial grass/Pet toilets (TARGET)",15,IF(N1752="Selling artificial grass/pet toilets (TARGET)",10,IF(N1752="Selling pet toys",7,IF(N1752="There's an Amazon link, but no target sales.",3,0))))</f>
        <v/>
      </c>
      <c r="P1752" s="67">
        <f>H1752+J1752+L1752+M1752+O1752</f>
        <v/>
      </c>
      <c r="Q1752" s="69">
        <f>IF(OR(H1752=0,P1752&lt;30),"Tier D (Đóng băng)",IF(P1752&gt;=85,"Tier S (Kim Cương: 85-100đ)",IF(P1752&gt;=70,"Tier A (Vàng: 70-84đ)",IF(P1752&gt;=61,"Tier B+ / Cấp A (Hot Lead: 61-69đ)",IF(P1752&gt;=50,"Tier B (Bạc: 50-60đ)","Tier C (Đồng: 30-49đ)")))))</f>
        <v/>
      </c>
      <c r="R1752" s="9" t="inlineStr">
        <is>
          <t>Khay vệ sinh chung cư (Indoor Potty) + Thảm cỏ ban công (Grass Patch) + Đồ chơi</t>
        </is>
      </c>
      <c r="S1752" s="9" t="inlineStr">
        <is>
          <t>Cấp C Chi phí thấp: Nhắn tin trực tiếp qua Fanpage Facebook/Instagram + Nuôi dưỡng nội dung</t>
        </is>
      </c>
    </row>
    <row r="1753">
      <c r="A1753" s="53" t="n">
        <v>935</v>
      </c>
      <c r="B1753" s="12" t="inlineStr">
        <is>
          <t>connectivek9</t>
        </is>
      </c>
      <c r="C1753" s="54" t="inlineStr">
        <is>
          <t>https://www.facebook.com/connectivek9</t>
        </is>
      </c>
      <c r="D1753" s="6" t="inlineStr">
        <is>
          <t>Cần quét Bio Fanpage</t>
        </is>
      </c>
      <c r="E1753" s="53" t="inlineStr">
        <is>
          <t>08/10/2026 06:29:35</t>
        </is>
      </c>
      <c r="F1753" s="53" t="inlineStr">
        <is>
          <t>4 ngày trước</t>
        </is>
      </c>
      <c r="G1753" s="55" t="n">
        <v>4</v>
      </c>
      <c r="H1753" s="56" t="n">
        <v>20</v>
      </c>
      <c r="I1753" s="6" t="inlineStr">
        <is>
          <t>Pet Owner / Cộng đồng nuôi cún (10đ)</t>
        </is>
      </c>
      <c r="J1753" s="56" t="n">
        <v>10</v>
      </c>
      <c r="K1753" s="6" t="inlineStr">
        <is>
          <t>Chưa rõ giống (Cần quét Bio)</t>
        </is>
      </c>
      <c r="L1753" s="56" t="n">
        <v>0</v>
      </c>
      <c r="M1753" s="56" t="n">
        <v>0</v>
      </c>
      <c r="N1753" s="6" t="inlineStr">
        <is>
          <t>Amazon link not found</t>
        </is>
      </c>
      <c r="O1753" s="56">
        <f>IF(N1753="Selling pet toys + Artificial grass/Pet toilets (TARGET)",15,IF(N1753="Selling artificial grass/pet toilets (TARGET)",10,IF(N1753="Selling pet toys",7,IF(N1753="There's an Amazon link, but no target sales.",3,0))))</f>
        <v/>
      </c>
      <c r="P1753" s="65">
        <f>H1753+J1753+L1753+M1753+O1753</f>
        <v/>
      </c>
      <c r="Q1753" s="69">
        <f>IF(OR(H1753=0,P1753&lt;30),"Tier D (Đóng băng)",IF(P1753&gt;=85,"Tier S (Kim Cương: 85-100đ)",IF(P1753&gt;=70,"Tier A (Vàng: 70-84đ)",IF(P1753&gt;=61,"Tier B+ / Cấp A (Hot Lead: 61-69đ)",IF(P1753&gt;=50,"Tier B (Bạc: 50-60đ)","Tier C (Đồng: 30-49đ)")))))</f>
        <v/>
      </c>
      <c r="R1753" s="6" t="inlineStr">
        <is>
          <t>Khay vệ sinh chung cư (Indoor Potty) + Thảm cỏ ban công (Grass Patch) + Đồ chơi</t>
        </is>
      </c>
      <c r="S1753" s="6" t="inlineStr">
        <is>
          <t>Cấp C Chi phí thấp: Nhắn tin trực tiếp qua Fanpage Facebook/Instagram + Nuôi dưỡng nội dung</t>
        </is>
      </c>
    </row>
    <row r="1754">
      <c r="A1754" s="59" t="n">
        <v>3235</v>
      </c>
      <c r="B1754" s="15" t="inlineStr">
        <is>
          <t>Tripdog Photography</t>
        </is>
      </c>
      <c r="C1754" s="60" t="inlineStr">
        <is>
          <t>https://www.facebook.com/tripdogphotography</t>
        </is>
      </c>
      <c r="D1754" s="9" t="inlineStr">
        <is>
          <t>Cần quét Bio Fanpage</t>
        </is>
      </c>
      <c r="E1754" s="59" t="inlineStr">
        <is>
          <t>08/10/2026 04:43:50</t>
        </is>
      </c>
      <c r="F1754" s="59" t="inlineStr">
        <is>
          <t>5 ngày trước</t>
        </is>
      </c>
      <c r="G1754" s="61" t="n">
        <v>5</v>
      </c>
      <c r="H1754" s="62" t="n">
        <v>20</v>
      </c>
      <c r="I1754" s="9" t="inlineStr">
        <is>
          <t>Pet Owner / Cộng đồng nuôi cún (10đ)</t>
        </is>
      </c>
      <c r="J1754" s="62" t="n">
        <v>10</v>
      </c>
      <c r="K1754" s="9" t="inlineStr">
        <is>
          <t>Chưa rõ giống (Cần quét Bio)</t>
        </is>
      </c>
      <c r="L1754" s="62" t="n">
        <v>0</v>
      </c>
      <c r="M1754" s="62" t="n">
        <v>0</v>
      </c>
      <c r="N1754" s="9" t="inlineStr">
        <is>
          <t>Amazon link not found</t>
        </is>
      </c>
      <c r="O1754" s="62">
        <f>IF(N1754="Selling pet toys + Artificial grass/Pet toilets (TARGET)",15,IF(N1754="Selling artificial grass/pet toilets (TARGET)",10,IF(N1754="Selling pet toys",7,IF(N1754="There's an Amazon link, but no target sales.",3,0))))</f>
        <v/>
      </c>
      <c r="P1754" s="67">
        <f>H1754+J1754+L1754+M1754+O1754</f>
        <v/>
      </c>
      <c r="Q1754" s="69">
        <f>IF(OR(H1754=0,P1754&lt;30),"Tier D (Đóng băng)",IF(P1754&gt;=85,"Tier S (Kim Cương: 85-100đ)",IF(P1754&gt;=70,"Tier A (Vàng: 70-84đ)",IF(P1754&gt;=61,"Tier B+ / Cấp A (Hot Lead: 61-69đ)",IF(P1754&gt;=50,"Tier B (Bạc: 50-60đ)","Tier C (Đồng: 30-49đ)")))))</f>
        <v/>
      </c>
      <c r="R1754" s="9" t="inlineStr">
        <is>
          <t>Khay vệ sinh chung cư (Indoor Potty) + Thảm cỏ ban công (Grass Patch) + Đồ chơi</t>
        </is>
      </c>
      <c r="S1754" s="9" t="inlineStr">
        <is>
          <t>Cấp C Chi phí thấp: Nhắn tin trực tiếp qua Fanpage Facebook/Instagram + Nuôi dưỡng nội dung</t>
        </is>
      </c>
    </row>
    <row r="1755">
      <c r="A1755" s="53" t="n">
        <v>3100</v>
      </c>
      <c r="B1755" s="12" t="inlineStr">
        <is>
          <t>The Dog Aging Institute</t>
        </is>
      </c>
      <c r="C1755" s="54" t="inlineStr">
        <is>
          <t>https://www.facebook.com/dogaginginstitute</t>
        </is>
      </c>
      <c r="D1755" s="6" t="inlineStr">
        <is>
          <t>Cần quét Bio Fanpage</t>
        </is>
      </c>
      <c r="E1755" s="53" t="inlineStr">
        <is>
          <t>08/10/2026 04:29:29</t>
        </is>
      </c>
      <c r="F1755" s="53" t="inlineStr">
        <is>
          <t>5 ngày trước</t>
        </is>
      </c>
      <c r="G1755" s="55" t="n">
        <v>5</v>
      </c>
      <c r="H1755" s="56" t="n">
        <v>20</v>
      </c>
      <c r="I1755" s="6" t="inlineStr">
        <is>
          <t>Pet Owner / Kênh cá nhân thú cưng (10đ)</t>
        </is>
      </c>
      <c r="J1755" s="56" t="n">
        <v>10</v>
      </c>
      <c r="K1755" s="6" t="inlineStr">
        <is>
          <t>Chưa rõ giống (Cần quét Bio)</t>
        </is>
      </c>
      <c r="L1755" s="56" t="n">
        <v>0</v>
      </c>
      <c r="M1755" s="56" t="n">
        <v>0</v>
      </c>
      <c r="N1755" s="6" t="inlineStr">
        <is>
          <t>Amazon link not found</t>
        </is>
      </c>
      <c r="O1755" s="56">
        <f>IF(N1755="Selling pet toys + Artificial grass/Pet toilets (TARGET)",15,IF(N1755="Selling artificial grass/pet toilets (TARGET)",10,IF(N1755="Selling pet toys",7,IF(N1755="There's an Amazon link, but no target sales.",3,0))))</f>
        <v/>
      </c>
      <c r="P1755" s="65">
        <f>H1755+J1755+L1755+M1755+O1755</f>
        <v/>
      </c>
      <c r="Q1755" s="69">
        <f>IF(OR(H1755=0,P1755&lt;30),"Tier D (Đóng băng)",IF(P1755&gt;=85,"Tier S (Kim Cương: 85-100đ)",IF(P1755&gt;=70,"Tier A (Vàng: 70-84đ)",IF(P1755&gt;=61,"Tier B+ / Cấp A (Hot Lead: 61-69đ)",IF(P1755&gt;=50,"Tier B (Bạc: 50-60đ)","Tier C (Đồng: 30-49đ)")))))</f>
        <v/>
      </c>
      <c r="R1755" s="6" t="inlineStr">
        <is>
          <t>Khay vệ sinh trong nhà (Indoor Dog Potty) + Đồ chơi thú cưng lẻ</t>
        </is>
      </c>
      <c r="S1755" s="6" t="inlineStr">
        <is>
          <t>Cấp C Chi phí thấp: Nhắn tin trực tiếp qua Fanpage Facebook/Instagram + Nuôi dưỡng nội dung</t>
        </is>
      </c>
    </row>
    <row r="1756">
      <c r="A1756" s="59" t="n">
        <v>228</v>
      </c>
      <c r="B1756" s="15" t="inlineStr">
        <is>
          <t>Museum of the Dog</t>
        </is>
      </c>
      <c r="C1756" s="60" t="inlineStr">
        <is>
          <t>https://www.facebook.com/akcmuseumofthedog</t>
        </is>
      </c>
      <c r="D1756" s="9" t="inlineStr">
        <is>
          <t>Cần quét Bio Fanpage</t>
        </is>
      </c>
      <c r="E1756" s="59" t="inlineStr">
        <is>
          <t>08/10/2026 04:01:50</t>
        </is>
      </c>
      <c r="F1756" s="59" t="inlineStr">
        <is>
          <t>4 ngày trước</t>
        </is>
      </c>
      <c r="G1756" s="61" t="n">
        <v>4</v>
      </c>
      <c r="H1756" s="62" t="n">
        <v>20</v>
      </c>
      <c r="I1756" s="9" t="inlineStr">
        <is>
          <t>Pet Owner / Kênh cá nhân thú cưng (10đ)</t>
        </is>
      </c>
      <c r="J1756" s="62" t="n">
        <v>10</v>
      </c>
      <c r="K1756" s="9" t="inlineStr">
        <is>
          <t>Chưa rõ giống (Cần quét Bio)</t>
        </is>
      </c>
      <c r="L1756" s="62" t="n">
        <v>0</v>
      </c>
      <c r="M1756" s="62" t="n">
        <v>0</v>
      </c>
      <c r="N1756" s="9" t="inlineStr">
        <is>
          <t>Amazon link not found</t>
        </is>
      </c>
      <c r="O1756" s="62">
        <f>IF(N1756="Selling pet toys + Artificial grass/Pet toilets (TARGET)",15,IF(N1756="Selling artificial grass/pet toilets (TARGET)",10,IF(N1756="Selling pet toys",7,IF(N1756="There's an Amazon link, but no target sales.",3,0))))</f>
        <v/>
      </c>
      <c r="P1756" s="67">
        <f>H1756+J1756+L1756+M1756+O1756</f>
        <v/>
      </c>
      <c r="Q1756" s="69">
        <f>IF(OR(H1756=0,P1756&lt;30),"Tier D (Đóng băng)",IF(P1756&gt;=85,"Tier S (Kim Cương: 85-100đ)",IF(P1756&gt;=70,"Tier A (Vàng: 70-84đ)",IF(P1756&gt;=61,"Tier B+ / Cấp A (Hot Lead: 61-69đ)",IF(P1756&gt;=50,"Tier B (Bạc: 50-60đ)","Tier C (Đồng: 30-49đ)")))))</f>
        <v/>
      </c>
      <c r="R1756" s="9" t="inlineStr">
        <is>
          <t>Khay vệ sinh trong nhà (Indoor Dog Potty) + Đồ chơi thú cưng lẻ</t>
        </is>
      </c>
      <c r="S1756" s="9" t="inlineStr">
        <is>
          <t>Cấp C Chi phí thấp: Nhắn tin trực tiếp qua Fanpage Facebook/Instagram + Nuôi dưỡng nội dung</t>
        </is>
      </c>
    </row>
    <row r="1757">
      <c r="A1757" s="53" t="n">
        <v>1849</v>
      </c>
      <c r="B1757" s="12" t="inlineStr">
        <is>
          <t>Kat's Pet Transport Service</t>
        </is>
      </c>
      <c r="C1757" s="54" t="inlineStr">
        <is>
          <t>https://www.facebook.com/profile.php?id=100076068285620</t>
        </is>
      </c>
      <c r="D1757" s="6" t="inlineStr">
        <is>
          <t>Cần quét Bio Fanpage</t>
        </is>
      </c>
      <c r="E1757" s="53" t="inlineStr">
        <is>
          <t>08/10/2026 03:51:10</t>
        </is>
      </c>
      <c r="F1757" s="53" t="inlineStr">
        <is>
          <t>5 ngày trước</t>
        </is>
      </c>
      <c r="G1757" s="55" t="n">
        <v>5</v>
      </c>
      <c r="H1757" s="56" t="n">
        <v>20</v>
      </c>
      <c r="I1757" s="6" t="inlineStr">
        <is>
          <t>Pet Owner / Cộng đồng nuôi cún (10đ)</t>
        </is>
      </c>
      <c r="J1757" s="56" t="n">
        <v>10</v>
      </c>
      <c r="K1757" s="6" t="inlineStr">
        <is>
          <t>Chưa rõ giống (Cần quét Bio)</t>
        </is>
      </c>
      <c r="L1757" s="56" t="n">
        <v>0</v>
      </c>
      <c r="M1757" s="56" t="n">
        <v>0</v>
      </c>
      <c r="N1757" s="6" t="inlineStr">
        <is>
          <t>Amazon link not found</t>
        </is>
      </c>
      <c r="O1757" s="56">
        <f>IF(N1757="Selling pet toys + Artificial grass/Pet toilets (TARGET)",15,IF(N1757="Selling artificial grass/pet toilets (TARGET)",10,IF(N1757="Selling pet toys",7,IF(N1757="There's an Amazon link, but no target sales.",3,0))))</f>
        <v/>
      </c>
      <c r="P1757" s="65">
        <f>H1757+J1757+L1757+M1757+O1757</f>
        <v/>
      </c>
      <c r="Q1757" s="69">
        <f>IF(OR(H1757=0,P1757&lt;30),"Tier D (Đóng băng)",IF(P1757&gt;=85,"Tier S (Kim Cương: 85-100đ)",IF(P1757&gt;=70,"Tier A (Vàng: 70-84đ)",IF(P1757&gt;=61,"Tier B+ / Cấp A (Hot Lead: 61-69đ)",IF(P1757&gt;=50,"Tier B (Bạc: 50-60đ)","Tier C (Đồng: 30-49đ)")))))</f>
        <v/>
      </c>
      <c r="R1757" s="6" t="inlineStr">
        <is>
          <t>Khay vệ sinh chung cư (Indoor Potty) + Thảm cỏ ban công (Grass Patch) + Đồ chơi</t>
        </is>
      </c>
      <c r="S1757" s="6" t="inlineStr">
        <is>
          <t>Cấp C Chi phí thấp: Nhắn tin trực tiếp qua Fanpage Facebook/Instagram + Nuôi dưỡng nội dung</t>
        </is>
      </c>
    </row>
    <row r="1758">
      <c r="A1758" s="59" t="n">
        <v>2924</v>
      </c>
      <c r="B1758" s="15" t="inlineStr">
        <is>
          <t>SnoggyDogs</t>
        </is>
      </c>
      <c r="C1758" s="60" t="inlineStr">
        <is>
          <t>https://www.facebook.com/snoggydogs</t>
        </is>
      </c>
      <c r="D1758" s="9" t="inlineStr">
        <is>
          <t>Cần quét Bio Fanpage</t>
        </is>
      </c>
      <c r="E1758" s="59" t="inlineStr">
        <is>
          <t>08/10/2026 03:49:13</t>
        </is>
      </c>
      <c r="F1758" s="59" t="inlineStr">
        <is>
          <t>5 ngày trước</t>
        </is>
      </c>
      <c r="G1758" s="61" t="n">
        <v>5</v>
      </c>
      <c r="H1758" s="62" t="n">
        <v>20</v>
      </c>
      <c r="I1758" s="9" t="inlineStr">
        <is>
          <t>Pet Owner / Cộng đồng nuôi cún (10đ)</t>
        </is>
      </c>
      <c r="J1758" s="62" t="n">
        <v>10</v>
      </c>
      <c r="K1758" s="9" t="inlineStr">
        <is>
          <t>Chưa rõ giống (Cần quét Bio)</t>
        </is>
      </c>
      <c r="L1758" s="62" t="n">
        <v>0</v>
      </c>
      <c r="M1758" s="62" t="n">
        <v>0</v>
      </c>
      <c r="N1758" s="9" t="inlineStr">
        <is>
          <t>Amazon link not found</t>
        </is>
      </c>
      <c r="O1758" s="62">
        <f>IF(N1758="Selling pet toys + Artificial grass/Pet toilets (TARGET)",15,IF(N1758="Selling artificial grass/pet toilets (TARGET)",10,IF(N1758="Selling pet toys",7,IF(N1758="There's an Amazon link, but no target sales.",3,0))))</f>
        <v/>
      </c>
      <c r="P1758" s="67">
        <f>H1758+J1758+L1758+M1758+O1758</f>
        <v/>
      </c>
      <c r="Q1758" s="69">
        <f>IF(OR(H1758=0,P1758&lt;30),"Tier D (Đóng băng)",IF(P1758&gt;=85,"Tier S (Kim Cương: 85-100đ)",IF(P1758&gt;=70,"Tier A (Vàng: 70-84đ)",IF(P1758&gt;=61,"Tier B+ / Cấp A (Hot Lead: 61-69đ)",IF(P1758&gt;=50,"Tier B (Bạc: 50-60đ)","Tier C (Đồng: 30-49đ)")))))</f>
        <v/>
      </c>
      <c r="R1758" s="9" t="inlineStr">
        <is>
          <t>Khay vệ sinh chung cư (Indoor Potty) + Thảm cỏ ban công (Grass Patch) + Đồ chơi</t>
        </is>
      </c>
      <c r="S1758" s="9" t="inlineStr">
        <is>
          <t>Cấp C Chi phí thấp: Nhắn tin trực tiếp qua Fanpage Facebook/Instagram + Nuôi dưỡng nội dung</t>
        </is>
      </c>
    </row>
    <row r="1759">
      <c r="A1759" s="53" t="n">
        <v>2341</v>
      </c>
      <c r="B1759" s="12" t="inlineStr">
        <is>
          <t>Oglala Pet Project (OPP)</t>
        </is>
      </c>
      <c r="C1759" s="54" t="inlineStr">
        <is>
          <t>https://www.facebook.com/OglalaPetProject</t>
        </is>
      </c>
      <c r="D1759" s="6" t="inlineStr">
        <is>
          <t>Cần quét Bio Fanpage</t>
        </is>
      </c>
      <c r="E1759" s="53" t="inlineStr">
        <is>
          <t>08/10/2026 03:02:35</t>
        </is>
      </c>
      <c r="F1759" s="53" t="inlineStr">
        <is>
          <t>5 ngày trước</t>
        </is>
      </c>
      <c r="G1759" s="55" t="n">
        <v>5</v>
      </c>
      <c r="H1759" s="56" t="n">
        <v>20</v>
      </c>
      <c r="I1759" s="6" t="inlineStr">
        <is>
          <t>Pet Owner / Cộng đồng nuôi cún (10đ)</t>
        </is>
      </c>
      <c r="J1759" s="56" t="n">
        <v>10</v>
      </c>
      <c r="K1759" s="6" t="inlineStr">
        <is>
          <t>Chưa rõ giống (Cần quét Bio)</t>
        </is>
      </c>
      <c r="L1759" s="56" t="n">
        <v>0</v>
      </c>
      <c r="M1759" s="56" t="n">
        <v>0</v>
      </c>
      <c r="N1759" s="6" t="inlineStr">
        <is>
          <t>Amazon link not found</t>
        </is>
      </c>
      <c r="O1759" s="56">
        <f>IF(N1759="Selling pet toys + Artificial grass/Pet toilets (TARGET)",15,IF(N1759="Selling artificial grass/pet toilets (TARGET)",10,IF(N1759="Selling pet toys",7,IF(N1759="There's an Amazon link, but no target sales.",3,0))))</f>
        <v/>
      </c>
      <c r="P1759" s="65">
        <f>H1759+J1759+L1759+M1759+O1759</f>
        <v/>
      </c>
      <c r="Q1759" s="69">
        <f>IF(OR(H1759=0,P1759&lt;30),"Tier D (Đóng băng)",IF(P1759&gt;=85,"Tier S (Kim Cương: 85-100đ)",IF(P1759&gt;=70,"Tier A (Vàng: 70-84đ)",IF(P1759&gt;=61,"Tier B+ / Cấp A (Hot Lead: 61-69đ)",IF(P1759&gt;=50,"Tier B (Bạc: 50-60đ)","Tier C (Đồng: 30-49đ)")))))</f>
        <v/>
      </c>
      <c r="R1759" s="6" t="inlineStr">
        <is>
          <t>Khay vệ sinh chung cư (Indoor Potty) + Thảm cỏ ban công (Grass Patch) + Đồ chơi</t>
        </is>
      </c>
      <c r="S1759" s="6" t="inlineStr">
        <is>
          <t>Cấp C Chi phí thấp: Nhắn tin trực tiếp qua Fanpage Facebook/Instagram + Nuôi dưỡng nội dung</t>
        </is>
      </c>
    </row>
    <row r="1760">
      <c r="A1760" s="59" t="n">
        <v>224</v>
      </c>
      <c r="B1760" s="15" t="inlineStr">
        <is>
          <t>Moose the Mountain Dog</t>
        </is>
      </c>
      <c r="C1760" s="60" t="inlineStr">
        <is>
          <t>https://www.facebook.com/moosemountaindog</t>
        </is>
      </c>
      <c r="D1760" s="9" t="inlineStr">
        <is>
          <t>Cần quét Bio Fanpage</t>
        </is>
      </c>
      <c r="E1760" s="59" t="inlineStr">
        <is>
          <t>08/10/2026 02:32:36</t>
        </is>
      </c>
      <c r="F1760" s="59" t="inlineStr">
        <is>
          <t>4 ngày trước</t>
        </is>
      </c>
      <c r="G1760" s="61" t="n">
        <v>4</v>
      </c>
      <c r="H1760" s="62" t="n">
        <v>20</v>
      </c>
      <c r="I1760" s="9" t="inlineStr">
        <is>
          <t>Pet Owner / Cộng đồng nuôi cún (10đ)</t>
        </is>
      </c>
      <c r="J1760" s="62" t="n">
        <v>10</v>
      </c>
      <c r="K1760" s="9" t="inlineStr">
        <is>
          <t>Chưa rõ giống (Cần quét Bio)</t>
        </is>
      </c>
      <c r="L1760" s="62" t="n">
        <v>0</v>
      </c>
      <c r="M1760" s="62" t="n">
        <v>0</v>
      </c>
      <c r="N1760" s="9" t="inlineStr">
        <is>
          <t>Amazon link not found</t>
        </is>
      </c>
      <c r="O1760" s="62">
        <f>IF(N1760="Selling pet toys + Artificial grass/Pet toilets (TARGET)",15,IF(N1760="Selling artificial grass/pet toilets (TARGET)",10,IF(N1760="Selling pet toys",7,IF(N1760="There's an Amazon link, but no target sales.",3,0))))</f>
        <v/>
      </c>
      <c r="P1760" s="67">
        <f>H1760+J1760+L1760+M1760+O1760</f>
        <v/>
      </c>
      <c r="Q1760" s="69">
        <f>IF(OR(H1760=0,P1760&lt;30),"Tier D (Đóng băng)",IF(P1760&gt;=85,"Tier S (Kim Cương: 85-100đ)",IF(P1760&gt;=70,"Tier A (Vàng: 70-84đ)",IF(P1760&gt;=61,"Tier B+ / Cấp A (Hot Lead: 61-69đ)",IF(P1760&gt;=50,"Tier B (Bạc: 50-60đ)","Tier C (Đồng: 30-49đ)")))))</f>
        <v/>
      </c>
      <c r="R1760" s="9" t="inlineStr">
        <is>
          <t>Khay vệ sinh chung cư (Indoor Potty) + Thảm cỏ ban công (Grass Patch) + Đồ chơi</t>
        </is>
      </c>
      <c r="S1760" s="9" t="inlineStr">
        <is>
          <t>Cấp C Chi phí thấp: Nhắn tin trực tiếp qua Fanpage Facebook/Instagram + Nuôi dưỡng nội dung</t>
        </is>
      </c>
    </row>
    <row r="1761">
      <c r="A1761" s="53" t="n">
        <v>879</v>
      </c>
      <c r="B1761" s="12" t="inlineStr">
        <is>
          <t>Charley's Angels Pet Initiative</t>
        </is>
      </c>
      <c r="C1761" s="54" t="inlineStr">
        <is>
          <t>https://www.facebook.com/charleysangelspet</t>
        </is>
      </c>
      <c r="D1761" s="6" t="inlineStr">
        <is>
          <t>Cần quét Bio Fanpage</t>
        </is>
      </c>
      <c r="E1761" s="53" t="inlineStr">
        <is>
          <t>08/10/2026 01:08:40</t>
        </is>
      </c>
      <c r="F1761" s="53" t="inlineStr">
        <is>
          <t>5 ngày trước</t>
        </is>
      </c>
      <c r="G1761" s="55" t="n">
        <v>5</v>
      </c>
      <c r="H1761" s="56" t="n">
        <v>20</v>
      </c>
      <c r="I1761" s="6" t="inlineStr">
        <is>
          <t>Pet Owner / Cộng đồng nuôi cún (10đ)</t>
        </is>
      </c>
      <c r="J1761" s="56" t="n">
        <v>10</v>
      </c>
      <c r="K1761" s="6" t="inlineStr">
        <is>
          <t>Chưa rõ giống (Cần quét Bio)</t>
        </is>
      </c>
      <c r="L1761" s="56" t="n">
        <v>0</v>
      </c>
      <c r="M1761" s="56" t="n">
        <v>0</v>
      </c>
      <c r="N1761" s="6" t="inlineStr">
        <is>
          <t>Amazon link not found</t>
        </is>
      </c>
      <c r="O1761" s="56">
        <f>IF(N1761="Selling pet toys + Artificial grass/Pet toilets (TARGET)",15,IF(N1761="Selling artificial grass/pet toilets (TARGET)",10,IF(N1761="Selling pet toys",7,IF(N1761="There's an Amazon link, but no target sales.",3,0))))</f>
        <v/>
      </c>
      <c r="P1761" s="65">
        <f>H1761+J1761+L1761+M1761+O1761</f>
        <v/>
      </c>
      <c r="Q1761" s="69">
        <f>IF(OR(H1761=0,P1761&lt;30),"Tier D (Đóng băng)",IF(P1761&gt;=85,"Tier S (Kim Cương: 85-100đ)",IF(P1761&gt;=70,"Tier A (Vàng: 70-84đ)",IF(P1761&gt;=61,"Tier B+ / Cấp A (Hot Lead: 61-69đ)",IF(P1761&gt;=50,"Tier B (Bạc: 50-60đ)","Tier C (Đồng: 30-49đ)")))))</f>
        <v/>
      </c>
      <c r="R1761" s="6" t="inlineStr">
        <is>
          <t>Khay vệ sinh chung cư (Indoor Potty) + Thảm cỏ ban công (Grass Patch) + Đồ chơi</t>
        </is>
      </c>
      <c r="S1761" s="6" t="inlineStr">
        <is>
          <t>Cấp C Chi phí thấp: Nhắn tin trực tiếp qua Fanpage Facebook/Instagram + Nuôi dưỡng nội dung</t>
        </is>
      </c>
    </row>
    <row r="1762">
      <c r="A1762" s="59" t="n">
        <v>1785</v>
      </c>
      <c r="B1762" s="15" t="inlineStr">
        <is>
          <t>Jubilee The Blind Dog</t>
        </is>
      </c>
      <c r="C1762" s="60" t="inlineStr">
        <is>
          <t>https://www.facebook.com/profile.php?id=61552970423091</t>
        </is>
      </c>
      <c r="D1762" s="9" t="inlineStr">
        <is>
          <t>Cần quét Bio Fanpage</t>
        </is>
      </c>
      <c r="E1762" s="59" t="inlineStr">
        <is>
          <t>08/10/2026 00:17:24</t>
        </is>
      </c>
      <c r="F1762" s="59" t="inlineStr">
        <is>
          <t>5 ngày trước</t>
        </is>
      </c>
      <c r="G1762" s="61" t="n">
        <v>5</v>
      </c>
      <c r="H1762" s="62" t="n">
        <v>20</v>
      </c>
      <c r="I1762" s="9" t="inlineStr">
        <is>
          <t>Pet Owner / Cộng đồng nuôi cún (10đ)</t>
        </is>
      </c>
      <c r="J1762" s="62" t="n">
        <v>10</v>
      </c>
      <c r="K1762" s="9" t="inlineStr">
        <is>
          <t>Chưa rõ giống (Cần quét Bio)</t>
        </is>
      </c>
      <c r="L1762" s="62" t="n">
        <v>0</v>
      </c>
      <c r="M1762" s="62" t="n">
        <v>0</v>
      </c>
      <c r="N1762" s="9" t="inlineStr">
        <is>
          <t>Amazon link not found</t>
        </is>
      </c>
      <c r="O1762" s="62">
        <f>IF(N1762="Selling pet toys + Artificial grass/Pet toilets (TARGET)",15,IF(N1762="Selling artificial grass/pet toilets (TARGET)",10,IF(N1762="Selling pet toys",7,IF(N1762="There's an Amazon link, but no target sales.",3,0))))</f>
        <v/>
      </c>
      <c r="P1762" s="67">
        <f>H1762+J1762+L1762+M1762+O1762</f>
        <v/>
      </c>
      <c r="Q1762" s="69">
        <f>IF(OR(H1762=0,P1762&lt;30),"Tier D (Đóng băng)",IF(P1762&gt;=85,"Tier S (Kim Cương: 85-100đ)",IF(P1762&gt;=70,"Tier A (Vàng: 70-84đ)",IF(P1762&gt;=61,"Tier B+ / Cấp A (Hot Lead: 61-69đ)",IF(P1762&gt;=50,"Tier B (Bạc: 50-60đ)","Tier C (Đồng: 30-49đ)")))))</f>
        <v/>
      </c>
      <c r="R1762" s="9" t="inlineStr">
        <is>
          <t>Khay vệ sinh chung cư (Indoor Potty) + Thảm cỏ ban công (Grass Patch) + Đồ chơi</t>
        </is>
      </c>
      <c r="S1762" s="9" t="inlineStr">
        <is>
          <t>Cấp C Chi phí thấp: Nhắn tin trực tiếp qua Fanpage Facebook/Instagram + Nuôi dưỡng nội dung</t>
        </is>
      </c>
    </row>
    <row r="1763">
      <c r="A1763" s="53" t="n">
        <v>2517</v>
      </c>
      <c r="B1763" s="12" t="inlineStr">
        <is>
          <t>Petland</t>
        </is>
      </c>
      <c r="C1763" s="54" t="inlineStr">
        <is>
          <t>https://www.facebook.com/petlandaps</t>
        </is>
      </c>
      <c r="D1763" s="6" t="inlineStr">
        <is>
          <t>Cần quét Bio Fanpage</t>
        </is>
      </c>
      <c r="E1763" s="53" t="inlineStr">
        <is>
          <t>07/10/2026 20:30:08</t>
        </is>
      </c>
      <c r="F1763" s="53" t="inlineStr">
        <is>
          <t>5 ngày trước</t>
        </is>
      </c>
      <c r="G1763" s="55" t="n">
        <v>5</v>
      </c>
      <c r="H1763" s="56" t="n">
        <v>20</v>
      </c>
      <c r="I1763" s="6" t="inlineStr">
        <is>
          <t>Pet Owner / Cộng đồng nuôi cún (10đ)</t>
        </is>
      </c>
      <c r="J1763" s="56" t="n">
        <v>10</v>
      </c>
      <c r="K1763" s="6" t="inlineStr">
        <is>
          <t>Chưa rõ giống (Cần quét Bio)</t>
        </is>
      </c>
      <c r="L1763" s="56" t="n">
        <v>0</v>
      </c>
      <c r="M1763" s="56" t="n">
        <v>0</v>
      </c>
      <c r="N1763" s="6" t="inlineStr">
        <is>
          <t>Amazon link not found</t>
        </is>
      </c>
      <c r="O1763" s="56">
        <f>IF(N1763="Selling pet toys + Artificial grass/Pet toilets (TARGET)",15,IF(N1763="Selling artificial grass/pet toilets (TARGET)",10,IF(N1763="Selling pet toys",7,IF(N1763="There's an Amazon link, but no target sales.",3,0))))</f>
        <v/>
      </c>
      <c r="P1763" s="65">
        <f>H1763+J1763+L1763+M1763+O1763</f>
        <v/>
      </c>
      <c r="Q1763" s="69">
        <f>IF(OR(H1763=0,P1763&lt;30),"Tier D (Đóng băng)",IF(P1763&gt;=85,"Tier S (Kim Cương: 85-100đ)",IF(P1763&gt;=70,"Tier A (Vàng: 70-84đ)",IF(P1763&gt;=61,"Tier B+ / Cấp A (Hot Lead: 61-69đ)",IF(P1763&gt;=50,"Tier B (Bạc: 50-60đ)","Tier C (Đồng: 30-49đ)")))))</f>
        <v/>
      </c>
      <c r="R1763" s="6" t="inlineStr">
        <is>
          <t>Khay vệ sinh chung cư (Indoor Potty) + Thảm cỏ ban công (Grass Patch) + Đồ chơi</t>
        </is>
      </c>
      <c r="S1763" s="6" t="inlineStr">
        <is>
          <t>Cấp C Chi phí thấp: Nhắn tin trực tiếp qua Fanpage Facebook/Instagram + Nuôi dưỡng nội dung</t>
        </is>
      </c>
    </row>
    <row r="1764">
      <c r="A1764" s="59" t="n">
        <v>779</v>
      </c>
      <c r="B1764" s="15" t="inlineStr">
        <is>
          <t>Bucharest DOG SHOWS</t>
        </is>
      </c>
      <c r="C1764" s="60" t="inlineStr">
        <is>
          <t>https://www.facebook.com/bucharestdogshows</t>
        </is>
      </c>
      <c r="D1764" s="9" t="inlineStr">
        <is>
          <t>Cần quét Bio Fanpage</t>
        </is>
      </c>
      <c r="E1764" s="59" t="inlineStr">
        <is>
          <t>07/10/2026 18:59:24</t>
        </is>
      </c>
      <c r="F1764" s="59" t="inlineStr">
        <is>
          <t>5 ngày trước</t>
        </is>
      </c>
      <c r="G1764" s="61" t="n">
        <v>5</v>
      </c>
      <c r="H1764" s="62" t="n">
        <v>20</v>
      </c>
      <c r="I1764" s="9" t="inlineStr">
        <is>
          <t>Pet Owner / Cộng đồng nuôi cún (10đ)</t>
        </is>
      </c>
      <c r="J1764" s="62" t="n">
        <v>10</v>
      </c>
      <c r="K1764" s="9" t="inlineStr">
        <is>
          <t>Chưa rõ giống (Cần quét Bio)</t>
        </is>
      </c>
      <c r="L1764" s="62" t="n">
        <v>0</v>
      </c>
      <c r="M1764" s="62" t="n">
        <v>0</v>
      </c>
      <c r="N1764" s="9" t="inlineStr">
        <is>
          <t>Amazon link not found</t>
        </is>
      </c>
      <c r="O1764" s="62">
        <f>IF(N1764="Selling pet toys + Artificial grass/Pet toilets (TARGET)",15,IF(N1764="Selling artificial grass/pet toilets (TARGET)",10,IF(N1764="Selling pet toys",7,IF(N1764="There's an Amazon link, but no target sales.",3,0))))</f>
        <v/>
      </c>
      <c r="P1764" s="67">
        <f>H1764+J1764+L1764+M1764+O1764</f>
        <v/>
      </c>
      <c r="Q1764" s="69">
        <f>IF(OR(H1764=0,P1764&lt;30),"Tier D (Đóng băng)",IF(P1764&gt;=85,"Tier S (Kim Cương: 85-100đ)",IF(P1764&gt;=70,"Tier A (Vàng: 70-84đ)",IF(P1764&gt;=61,"Tier B+ / Cấp A (Hot Lead: 61-69đ)",IF(P1764&gt;=50,"Tier B (Bạc: 50-60đ)","Tier C (Đồng: 30-49đ)")))))</f>
        <v/>
      </c>
      <c r="R1764" s="9" t="inlineStr">
        <is>
          <t>Khay vệ sinh chung cư (Indoor Potty) + Thảm cỏ ban công (Grass Patch) + Đồ chơi</t>
        </is>
      </c>
      <c r="S1764" s="9" t="inlineStr">
        <is>
          <t>Cấp C Chi phí thấp: Nhắn tin trực tiếp qua Fanpage Facebook/Instagram + Nuôi dưỡng nội dung</t>
        </is>
      </c>
    </row>
    <row r="1765">
      <c r="A1765" s="53" t="n">
        <v>1192</v>
      </c>
      <c r="B1765" s="12" t="inlineStr">
        <is>
          <t>DogshowLive TH</t>
        </is>
      </c>
      <c r="C1765" s="54" t="inlineStr">
        <is>
          <t>https://www.facebook.com/Dogshowlive</t>
        </is>
      </c>
      <c r="D1765" s="6" t="inlineStr">
        <is>
          <t>Cần quét Bio Fanpage</t>
        </is>
      </c>
      <c r="E1765" s="53" t="inlineStr">
        <is>
          <t>07/10/2026 18:14:07</t>
        </is>
      </c>
      <c r="F1765" s="53" t="inlineStr">
        <is>
          <t>5 ngày trước</t>
        </is>
      </c>
      <c r="G1765" s="55" t="n">
        <v>5</v>
      </c>
      <c r="H1765" s="56" t="n">
        <v>20</v>
      </c>
      <c r="I1765" s="6" t="inlineStr">
        <is>
          <t>Pet Owner / Cộng đồng nuôi cún (10đ)</t>
        </is>
      </c>
      <c r="J1765" s="56" t="n">
        <v>10</v>
      </c>
      <c r="K1765" s="6" t="inlineStr">
        <is>
          <t>Chưa rõ giống (Cần quét Bio)</t>
        </is>
      </c>
      <c r="L1765" s="56" t="n">
        <v>0</v>
      </c>
      <c r="M1765" s="56" t="n">
        <v>0</v>
      </c>
      <c r="N1765" s="6" t="inlineStr">
        <is>
          <t>Amazon link not found</t>
        </is>
      </c>
      <c r="O1765" s="56">
        <f>IF(N1765="Selling pet toys + Artificial grass/Pet toilets (TARGET)",15,IF(N1765="Selling artificial grass/pet toilets (TARGET)",10,IF(N1765="Selling pet toys",7,IF(N1765="There's an Amazon link, but no target sales.",3,0))))</f>
        <v/>
      </c>
      <c r="P1765" s="65">
        <f>H1765+J1765+L1765+M1765+O1765</f>
        <v/>
      </c>
      <c r="Q1765" s="69">
        <f>IF(OR(H1765=0,P1765&lt;30),"Tier D (Đóng băng)",IF(P1765&gt;=85,"Tier S (Kim Cương: 85-100đ)",IF(P1765&gt;=70,"Tier A (Vàng: 70-84đ)",IF(P1765&gt;=61,"Tier B+ / Cấp A (Hot Lead: 61-69đ)",IF(P1765&gt;=50,"Tier B (Bạc: 50-60đ)","Tier C (Đồng: 30-49đ)")))))</f>
        <v/>
      </c>
      <c r="R1765" s="6" t="inlineStr">
        <is>
          <t>Khay vệ sinh chung cư (Indoor Potty) + Thảm cỏ ban công (Grass Patch) + Đồ chơi</t>
        </is>
      </c>
      <c r="S1765" s="6" t="inlineStr">
        <is>
          <t>Cấp C Chi phí thấp: Nhắn tin trực tiếp qua Fanpage Facebook/Instagram + Nuôi dưỡng nội dung</t>
        </is>
      </c>
    </row>
    <row r="1766">
      <c r="A1766" s="59" t="n">
        <v>2508</v>
      </c>
      <c r="B1766" s="15" t="inlineStr">
        <is>
          <t>PetGuru</t>
        </is>
      </c>
      <c r="C1766" s="60" t="inlineStr">
        <is>
          <t>https://www.facebook.com/petguru.ro</t>
        </is>
      </c>
      <c r="D1766" s="9" t="inlineStr">
        <is>
          <t>Cần quét Bio Fanpage</t>
        </is>
      </c>
      <c r="E1766" s="59" t="inlineStr">
        <is>
          <t>07/10/2026 16:28:01</t>
        </is>
      </c>
      <c r="F1766" s="59" t="inlineStr">
        <is>
          <t>5 ngày trước</t>
        </is>
      </c>
      <c r="G1766" s="61" t="n">
        <v>5</v>
      </c>
      <c r="H1766" s="62" t="n">
        <v>20</v>
      </c>
      <c r="I1766" s="9" t="inlineStr">
        <is>
          <t>Pet Owner / Cộng đồng nuôi cún (10đ)</t>
        </is>
      </c>
      <c r="J1766" s="62" t="n">
        <v>10</v>
      </c>
      <c r="K1766" s="9" t="inlineStr">
        <is>
          <t>Chưa rõ giống (Cần quét Bio)</t>
        </is>
      </c>
      <c r="L1766" s="62" t="n">
        <v>0</v>
      </c>
      <c r="M1766" s="62" t="n">
        <v>0</v>
      </c>
      <c r="N1766" s="9" t="inlineStr">
        <is>
          <t>Amazon link not found</t>
        </is>
      </c>
      <c r="O1766" s="62">
        <f>IF(N1766="Selling pet toys + Artificial grass/Pet toilets (TARGET)",15,IF(N1766="Selling artificial grass/pet toilets (TARGET)",10,IF(N1766="Selling pet toys",7,IF(N1766="There's an Amazon link, but no target sales.",3,0))))</f>
        <v/>
      </c>
      <c r="P1766" s="67">
        <f>H1766+J1766+L1766+M1766+O1766</f>
        <v/>
      </c>
      <c r="Q1766" s="69">
        <f>IF(OR(H1766=0,P1766&lt;30),"Tier D (Đóng băng)",IF(P1766&gt;=85,"Tier S (Kim Cương: 85-100đ)",IF(P1766&gt;=70,"Tier A (Vàng: 70-84đ)",IF(P1766&gt;=61,"Tier B+ / Cấp A (Hot Lead: 61-69đ)",IF(P1766&gt;=50,"Tier B (Bạc: 50-60đ)","Tier C (Đồng: 30-49đ)")))))</f>
        <v/>
      </c>
      <c r="R1766" s="9" t="inlineStr">
        <is>
          <t>Khay vệ sinh chung cư (Indoor Potty) + Thảm cỏ ban công (Grass Patch) + Đồ chơi</t>
        </is>
      </c>
      <c r="S1766" s="9" t="inlineStr">
        <is>
          <t>Cấp C Chi phí thấp: Nhắn tin trực tiếp qua Fanpage Facebook/Instagram + Nuôi dưỡng nội dung</t>
        </is>
      </c>
    </row>
    <row r="1767">
      <c r="A1767" s="53" t="n">
        <v>1167</v>
      </c>
      <c r="B1767" s="12" t="inlineStr">
        <is>
          <t>Dogs Disclosed</t>
        </is>
      </c>
      <c r="C1767" s="54" t="inlineStr">
        <is>
          <t>https://www.facebook.com/dogsdisclosed</t>
        </is>
      </c>
      <c r="D1767" s="6" t="inlineStr">
        <is>
          <t>Cần quét Bio Fanpage</t>
        </is>
      </c>
      <c r="E1767" s="53" t="inlineStr">
        <is>
          <t>07/10/2026 16:13:24</t>
        </is>
      </c>
      <c r="F1767" s="53" t="inlineStr">
        <is>
          <t>5 ngày trước</t>
        </is>
      </c>
      <c r="G1767" s="55" t="n">
        <v>5</v>
      </c>
      <c r="H1767" s="56" t="n">
        <v>20</v>
      </c>
      <c r="I1767" s="6" t="inlineStr">
        <is>
          <t>Pet Owner / Cộng đồng nuôi cún (10đ)</t>
        </is>
      </c>
      <c r="J1767" s="56" t="n">
        <v>10</v>
      </c>
      <c r="K1767" s="6" t="inlineStr">
        <is>
          <t>Chưa rõ giống (Cần quét Bio)</t>
        </is>
      </c>
      <c r="L1767" s="56" t="n">
        <v>0</v>
      </c>
      <c r="M1767" s="56" t="n">
        <v>0</v>
      </c>
      <c r="N1767" s="6" t="inlineStr">
        <is>
          <t>Amazon link not found</t>
        </is>
      </c>
      <c r="O1767" s="56">
        <f>IF(N1767="Selling pet toys + Artificial grass/Pet toilets (TARGET)",15,IF(N1767="Selling artificial grass/pet toilets (TARGET)",10,IF(N1767="Selling pet toys",7,IF(N1767="There's an Amazon link, but no target sales.",3,0))))</f>
        <v/>
      </c>
      <c r="P1767" s="65">
        <f>H1767+J1767+L1767+M1767+O1767</f>
        <v/>
      </c>
      <c r="Q1767" s="69">
        <f>IF(OR(H1767=0,P1767&lt;30),"Tier D (Đóng băng)",IF(P1767&gt;=85,"Tier S (Kim Cương: 85-100đ)",IF(P1767&gt;=70,"Tier A (Vàng: 70-84đ)",IF(P1767&gt;=61,"Tier B+ / Cấp A (Hot Lead: 61-69đ)",IF(P1767&gt;=50,"Tier B (Bạc: 50-60đ)","Tier C (Đồng: 30-49đ)")))))</f>
        <v/>
      </c>
      <c r="R1767" s="6" t="inlineStr">
        <is>
          <t>Khay vệ sinh chung cư (Indoor Potty) + Thảm cỏ ban công (Grass Patch) + Đồ chơi</t>
        </is>
      </c>
      <c r="S1767" s="6" t="inlineStr">
        <is>
          <t>Cấp C Chi phí thấp: Nhắn tin trực tiếp qua Fanpage Facebook/Instagram + Nuôi dưỡng nội dung</t>
        </is>
      </c>
    </row>
    <row r="1768">
      <c r="A1768" s="59" t="n">
        <v>677</v>
      </c>
      <c r="B1768" s="15" t="inlineStr">
        <is>
          <t>BIOFEED Tasty Life Pet Food</t>
        </is>
      </c>
      <c r="C1768" s="60" t="inlineStr">
        <is>
          <t>https://www.facebook.com/tastylife.petfood</t>
        </is>
      </c>
      <c r="D1768" s="9" t="inlineStr">
        <is>
          <t>Cần quét Bio Fanpage</t>
        </is>
      </c>
      <c r="E1768" s="59" t="inlineStr">
        <is>
          <t>07/10/2026 15:01:24</t>
        </is>
      </c>
      <c r="F1768" s="59" t="inlineStr">
        <is>
          <t>5 ngày trước</t>
        </is>
      </c>
      <c r="G1768" s="61" t="n">
        <v>5</v>
      </c>
      <c r="H1768" s="62" t="n">
        <v>20</v>
      </c>
      <c r="I1768" s="9" t="inlineStr">
        <is>
          <t>Pet Owner / Kênh cá nhân thú cưng (10đ)</t>
        </is>
      </c>
      <c r="J1768" s="62" t="n">
        <v>10</v>
      </c>
      <c r="K1768" s="9" t="inlineStr">
        <is>
          <t>Chưa rõ giống (Cần quét Bio)</t>
        </is>
      </c>
      <c r="L1768" s="62" t="n">
        <v>0</v>
      </c>
      <c r="M1768" s="62" t="n">
        <v>0</v>
      </c>
      <c r="N1768" s="9" t="inlineStr">
        <is>
          <t>Amazon link not found</t>
        </is>
      </c>
      <c r="O1768" s="62">
        <f>IF(N1768="Selling pet toys + Artificial grass/Pet toilets (TARGET)",15,IF(N1768="Selling artificial grass/pet toilets (TARGET)",10,IF(N1768="Selling pet toys",7,IF(N1768="There's an Amazon link, but no target sales.",3,0))))</f>
        <v/>
      </c>
      <c r="P1768" s="67">
        <f>H1768+J1768+L1768+M1768+O1768</f>
        <v/>
      </c>
      <c r="Q1768" s="69">
        <f>IF(OR(H1768=0,P1768&lt;30),"Tier D (Đóng băng)",IF(P1768&gt;=85,"Tier S (Kim Cương: 85-100đ)",IF(P1768&gt;=70,"Tier A (Vàng: 70-84đ)",IF(P1768&gt;=61,"Tier B+ / Cấp A (Hot Lead: 61-69đ)",IF(P1768&gt;=50,"Tier B (Bạc: 50-60đ)","Tier C (Đồng: 30-49đ)")))))</f>
        <v/>
      </c>
      <c r="R1768" s="9" t="inlineStr">
        <is>
          <t>Khay vệ sinh trong nhà (Indoor Dog Potty) + Đồ chơi thú cưng lẻ</t>
        </is>
      </c>
      <c r="S1768" s="9" t="inlineStr">
        <is>
          <t>Cấp C Chi phí thấp: Nhắn tin trực tiếp qua Fanpage Facebook/Instagram + Nuôi dưỡng nội dung</t>
        </is>
      </c>
    </row>
    <row r="1769">
      <c r="A1769" s="53" t="n">
        <v>3214</v>
      </c>
      <c r="B1769" s="12" t="inlineStr">
        <is>
          <t>Topdogxlbullies</t>
        </is>
      </c>
      <c r="C1769" s="54" t="inlineStr">
        <is>
          <t>https://www.facebook.com/TopDogXLBullies</t>
        </is>
      </c>
      <c r="D1769" s="6" t="inlineStr">
        <is>
          <t>Cần quét Bio Fanpage</t>
        </is>
      </c>
      <c r="E1769" s="53" t="inlineStr">
        <is>
          <t>07/10/2026 14:55:39</t>
        </is>
      </c>
      <c r="F1769" s="53" t="inlineStr">
        <is>
          <t>5 ngày trước</t>
        </is>
      </c>
      <c r="G1769" s="55" t="n">
        <v>5</v>
      </c>
      <c r="H1769" s="56" t="n">
        <v>20</v>
      </c>
      <c r="I1769" s="6" t="inlineStr">
        <is>
          <t>Pet Owner / Cộng đồng nuôi cún (10đ)</t>
        </is>
      </c>
      <c r="J1769" s="56" t="n">
        <v>10</v>
      </c>
      <c r="K1769" s="6" t="inlineStr">
        <is>
          <t>Chưa rõ giống (Cần quét Bio)</t>
        </is>
      </c>
      <c r="L1769" s="56" t="n">
        <v>0</v>
      </c>
      <c r="M1769" s="56" t="n">
        <v>0</v>
      </c>
      <c r="N1769" s="6" t="inlineStr">
        <is>
          <t>Amazon link not found</t>
        </is>
      </c>
      <c r="O1769" s="56">
        <f>IF(N1769="Selling pet toys + Artificial grass/Pet toilets (TARGET)",15,IF(N1769="Selling artificial grass/pet toilets (TARGET)",10,IF(N1769="Selling pet toys",7,IF(N1769="There's an Amazon link, but no target sales.",3,0))))</f>
        <v/>
      </c>
      <c r="P1769" s="65">
        <f>H1769+J1769+L1769+M1769+O1769</f>
        <v/>
      </c>
      <c r="Q1769" s="69">
        <f>IF(OR(H1769=0,P1769&lt;30),"Tier D (Đóng băng)",IF(P1769&gt;=85,"Tier S (Kim Cương: 85-100đ)",IF(P1769&gt;=70,"Tier A (Vàng: 70-84đ)",IF(P1769&gt;=61,"Tier B+ / Cấp A (Hot Lead: 61-69đ)",IF(P1769&gt;=50,"Tier B (Bạc: 50-60đ)","Tier C (Đồng: 30-49đ)")))))</f>
        <v/>
      </c>
      <c r="R1769" s="6" t="inlineStr">
        <is>
          <t>Khay vệ sinh chung cư (Indoor Potty) + Thảm cỏ ban công (Grass Patch) + Đồ chơi</t>
        </is>
      </c>
      <c r="S1769" s="6" t="inlineStr">
        <is>
          <t>Cấp C Chi phí thấp: Nhắn tin trực tiếp qua Fanpage Facebook/Instagram + Nuôi dưỡng nội dung</t>
        </is>
      </c>
    </row>
    <row r="1770">
      <c r="A1770" s="59" t="n">
        <v>1661</v>
      </c>
      <c r="B1770" s="15" t="inlineStr">
        <is>
          <t>HITT DOG - szkolenie psów</t>
        </is>
      </c>
      <c r="C1770" s="60" t="inlineStr">
        <is>
          <t>https://www.facebook.com/hittdog</t>
        </is>
      </c>
      <c r="D1770" s="9" t="inlineStr">
        <is>
          <t>Cần quét Bio Fanpage</t>
        </is>
      </c>
      <c r="E1770" s="59" t="inlineStr">
        <is>
          <t>07/10/2026 14:12:47</t>
        </is>
      </c>
      <c r="F1770" s="59" t="inlineStr">
        <is>
          <t>5 ngày trước</t>
        </is>
      </c>
      <c r="G1770" s="61" t="n">
        <v>5</v>
      </c>
      <c r="H1770" s="62" t="n">
        <v>20</v>
      </c>
      <c r="I1770" s="9" t="inlineStr">
        <is>
          <t>Pet Owner / Cộng đồng nuôi cún (10đ)</t>
        </is>
      </c>
      <c r="J1770" s="62" t="n">
        <v>10</v>
      </c>
      <c r="K1770" s="9" t="inlineStr">
        <is>
          <t>Chưa rõ giống (Cần quét Bio)</t>
        </is>
      </c>
      <c r="L1770" s="62" t="n">
        <v>0</v>
      </c>
      <c r="M1770" s="62" t="n">
        <v>0</v>
      </c>
      <c r="N1770" s="9" t="inlineStr">
        <is>
          <t>Amazon link not found</t>
        </is>
      </c>
      <c r="O1770" s="62">
        <f>IF(N1770="Selling pet toys + Artificial grass/Pet toilets (TARGET)",15,IF(N1770="Selling artificial grass/pet toilets (TARGET)",10,IF(N1770="Selling pet toys",7,IF(N1770="There's an Amazon link, but no target sales.",3,0))))</f>
        <v/>
      </c>
      <c r="P1770" s="67">
        <f>H1770+J1770+L1770+M1770+O1770</f>
        <v/>
      </c>
      <c r="Q1770" s="69">
        <f>IF(OR(H1770=0,P1770&lt;30),"Tier D (Đóng băng)",IF(P1770&gt;=85,"Tier S (Kim Cương: 85-100đ)",IF(P1770&gt;=70,"Tier A (Vàng: 70-84đ)",IF(P1770&gt;=61,"Tier B+ / Cấp A (Hot Lead: 61-69đ)",IF(P1770&gt;=50,"Tier B (Bạc: 50-60đ)","Tier C (Đồng: 30-49đ)")))))</f>
        <v/>
      </c>
      <c r="R1770" s="9" t="inlineStr">
        <is>
          <t>Khay vệ sinh chung cư (Indoor Potty) + Thảm cỏ ban công (Grass Patch) + Đồ chơi</t>
        </is>
      </c>
      <c r="S1770" s="9" t="inlineStr">
        <is>
          <t>Cấp C Chi phí thấp: Nhắn tin trực tiếp qua Fanpage Facebook/Instagram + Nuôi dưỡng nội dung</t>
        </is>
      </c>
    </row>
    <row r="1771">
      <c r="A1771" s="53" t="n">
        <v>2251</v>
      </c>
      <c r="B1771" s="12" t="inlineStr">
        <is>
          <t>Nadzeya Deliverypets Nadshell</t>
        </is>
      </c>
      <c r="C1771" s="54" t="inlineStr">
        <is>
          <t>https://www.facebook.com/kennelnadshell</t>
        </is>
      </c>
      <c r="D1771" s="6" t="inlineStr">
        <is>
          <t>Cần quét Bio Fanpage</t>
        </is>
      </c>
      <c r="E1771" s="53" t="inlineStr">
        <is>
          <t>07/10/2026 11:11:59</t>
        </is>
      </c>
      <c r="F1771" s="53" t="inlineStr">
        <is>
          <t>5 ngày trước</t>
        </is>
      </c>
      <c r="G1771" s="55" t="n">
        <v>5</v>
      </c>
      <c r="H1771" s="56" t="n">
        <v>20</v>
      </c>
      <c r="I1771" s="6" t="inlineStr">
        <is>
          <t>Pet Owner / Cộng đồng nuôi cún (10đ)</t>
        </is>
      </c>
      <c r="J1771" s="56" t="n">
        <v>10</v>
      </c>
      <c r="K1771" s="6" t="inlineStr">
        <is>
          <t>Chưa rõ giống (Cần quét Bio)</t>
        </is>
      </c>
      <c r="L1771" s="56" t="n">
        <v>0</v>
      </c>
      <c r="M1771" s="56" t="n">
        <v>0</v>
      </c>
      <c r="N1771" s="6" t="inlineStr">
        <is>
          <t>Amazon link not found</t>
        </is>
      </c>
      <c r="O1771" s="56">
        <f>IF(N1771="Selling pet toys + Artificial grass/Pet toilets (TARGET)",15,IF(N1771="Selling artificial grass/pet toilets (TARGET)",10,IF(N1771="Selling pet toys",7,IF(N1771="There's an Amazon link, but no target sales.",3,0))))</f>
        <v/>
      </c>
      <c r="P1771" s="65">
        <f>H1771+J1771+L1771+M1771+O1771</f>
        <v/>
      </c>
      <c r="Q1771" s="69">
        <f>IF(OR(H1771=0,P1771&lt;30),"Tier D (Đóng băng)",IF(P1771&gt;=85,"Tier S (Kim Cương: 85-100đ)",IF(P1771&gt;=70,"Tier A (Vàng: 70-84đ)",IF(P1771&gt;=61,"Tier B+ / Cấp A (Hot Lead: 61-69đ)",IF(P1771&gt;=50,"Tier B (Bạc: 50-60đ)","Tier C (Đồng: 30-49đ)")))))</f>
        <v/>
      </c>
      <c r="R1771" s="6" t="inlineStr">
        <is>
          <t>Khay vệ sinh chung cư (Indoor Potty) + Thảm cỏ ban công (Grass Patch) + Đồ chơi</t>
        </is>
      </c>
      <c r="S1771" s="6" t="inlineStr">
        <is>
          <t>Cấp C Chi phí thấp: Nhắn tin trực tiếp qua Fanpage Facebook/Instagram + Nuôi dưỡng nội dung</t>
        </is>
      </c>
    </row>
    <row r="1772">
      <c r="A1772" s="59" t="n">
        <v>2914</v>
      </c>
      <c r="B1772" s="15" t="inlineStr">
        <is>
          <t>Skipthedogtrainer</t>
        </is>
      </c>
      <c r="C1772" s="60" t="inlineStr">
        <is>
          <t>https://www.facebook.com/skipthedogtrainer</t>
        </is>
      </c>
      <c r="D1772" s="9" t="inlineStr">
        <is>
          <t>Cần quét Bio Fanpage</t>
        </is>
      </c>
      <c r="E1772" s="59" t="inlineStr">
        <is>
          <t>07/10/2026 08:31:22</t>
        </is>
      </c>
      <c r="F1772" s="59" t="inlineStr">
        <is>
          <t>5 ngày trước</t>
        </is>
      </c>
      <c r="G1772" s="61" t="n">
        <v>5</v>
      </c>
      <c r="H1772" s="62" t="n">
        <v>20</v>
      </c>
      <c r="I1772" s="9" t="inlineStr">
        <is>
          <t>Pet Owner / Cộng đồng nuôi cún (10đ)</t>
        </is>
      </c>
      <c r="J1772" s="62" t="n">
        <v>10</v>
      </c>
      <c r="K1772" s="9" t="inlineStr">
        <is>
          <t>Chưa rõ giống (Cần quét Bio)</t>
        </is>
      </c>
      <c r="L1772" s="62" t="n">
        <v>0</v>
      </c>
      <c r="M1772" s="62" t="n">
        <v>0</v>
      </c>
      <c r="N1772" s="9" t="inlineStr">
        <is>
          <t>Amazon link not found</t>
        </is>
      </c>
      <c r="O1772" s="62">
        <f>IF(N1772="Selling pet toys + Artificial grass/Pet toilets (TARGET)",15,IF(N1772="Selling artificial grass/pet toilets (TARGET)",10,IF(N1772="Selling pet toys",7,IF(N1772="There's an Amazon link, but no target sales.",3,0))))</f>
        <v/>
      </c>
      <c r="P1772" s="67">
        <f>H1772+J1772+L1772+M1772+O1772</f>
        <v/>
      </c>
      <c r="Q1772" s="69">
        <f>IF(OR(H1772=0,P1772&lt;30),"Tier D (Đóng băng)",IF(P1772&gt;=85,"Tier S (Kim Cương: 85-100đ)",IF(P1772&gt;=70,"Tier A (Vàng: 70-84đ)",IF(P1772&gt;=61,"Tier B+ / Cấp A (Hot Lead: 61-69đ)",IF(P1772&gt;=50,"Tier B (Bạc: 50-60đ)","Tier C (Đồng: 30-49đ)")))))</f>
        <v/>
      </c>
      <c r="R1772" s="9" t="inlineStr">
        <is>
          <t>Khay vệ sinh chung cư (Indoor Potty) + Thảm cỏ ban công (Grass Patch) + Đồ chơi</t>
        </is>
      </c>
      <c r="S1772" s="9" t="inlineStr">
        <is>
          <t>Cấp C Chi phí thấp: Nhắn tin trực tiếp qua Fanpage Facebook/Instagram + Nuôi dưỡng nội dung</t>
        </is>
      </c>
    </row>
    <row r="1773">
      <c r="A1773" s="53" t="n">
        <v>1610</v>
      </c>
      <c r="B1773" s="12" t="inlineStr">
        <is>
          <t>Happy Tails Pet Cafe - San Pablo</t>
        </is>
      </c>
      <c r="C1773" s="54" t="inlineStr">
        <is>
          <t>https://www.facebook.com/happytails.spc</t>
        </is>
      </c>
      <c r="D1773" s="6" t="inlineStr">
        <is>
          <t>Cần quét Bio Fanpage</t>
        </is>
      </c>
      <c r="E1773" s="53" t="inlineStr">
        <is>
          <t>07/10/2026 07:36:26</t>
        </is>
      </c>
      <c r="F1773" s="53" t="inlineStr">
        <is>
          <t>5 ngày trước</t>
        </is>
      </c>
      <c r="G1773" s="55" t="n">
        <v>5</v>
      </c>
      <c r="H1773" s="56" t="n">
        <v>20</v>
      </c>
      <c r="I1773" s="6" t="inlineStr">
        <is>
          <t>Pet Owner / Cộng đồng nuôi cún (10đ)</t>
        </is>
      </c>
      <c r="J1773" s="56" t="n">
        <v>10</v>
      </c>
      <c r="K1773" s="6" t="inlineStr">
        <is>
          <t>Chưa rõ giống (Cần quét Bio)</t>
        </is>
      </c>
      <c r="L1773" s="56" t="n">
        <v>0</v>
      </c>
      <c r="M1773" s="56" t="n">
        <v>0</v>
      </c>
      <c r="N1773" s="6" t="inlineStr">
        <is>
          <t>Amazon link not found</t>
        </is>
      </c>
      <c r="O1773" s="56">
        <f>IF(N1773="Selling pet toys + Artificial grass/Pet toilets (TARGET)",15,IF(N1773="Selling artificial grass/pet toilets (TARGET)",10,IF(N1773="Selling pet toys",7,IF(N1773="There's an Amazon link, but no target sales.",3,0))))</f>
        <v/>
      </c>
      <c r="P1773" s="65">
        <f>H1773+J1773+L1773+M1773+O1773</f>
        <v/>
      </c>
      <c r="Q1773" s="69">
        <f>IF(OR(H1773=0,P1773&lt;30),"Tier D (Đóng băng)",IF(P1773&gt;=85,"Tier S (Kim Cương: 85-100đ)",IF(P1773&gt;=70,"Tier A (Vàng: 70-84đ)",IF(P1773&gt;=61,"Tier B+ / Cấp A (Hot Lead: 61-69đ)",IF(P1773&gt;=50,"Tier B (Bạc: 50-60đ)","Tier C (Đồng: 30-49đ)")))))</f>
        <v/>
      </c>
      <c r="R1773" s="6" t="inlineStr">
        <is>
          <t>Khay vệ sinh chung cư (Indoor Potty) + Thảm cỏ ban công (Grass Patch) + Đồ chơi</t>
        </is>
      </c>
      <c r="S1773" s="6" t="inlineStr">
        <is>
          <t>Cấp C Chi phí thấp: Nhắn tin trực tiếp qua Fanpage Facebook/Instagram + Nuôi dưỡng nội dung</t>
        </is>
      </c>
    </row>
    <row r="1774">
      <c r="A1774" s="59" t="n">
        <v>2695</v>
      </c>
      <c r="B1774" s="15" t="inlineStr">
        <is>
          <t>Rau Dog Shows</t>
        </is>
      </c>
      <c r="C1774" s="60" t="inlineStr">
        <is>
          <t>https://www.facebook.com/raudogshows</t>
        </is>
      </c>
      <c r="D1774" s="9" t="inlineStr">
        <is>
          <t>Cần quét Bio Fanpage</t>
        </is>
      </c>
      <c r="E1774" s="59" t="inlineStr">
        <is>
          <t>07/10/2026 07:22:46</t>
        </is>
      </c>
      <c r="F1774" s="59" t="inlineStr">
        <is>
          <t>5 ngày trước</t>
        </is>
      </c>
      <c r="G1774" s="61" t="n">
        <v>5</v>
      </c>
      <c r="H1774" s="62" t="n">
        <v>20</v>
      </c>
      <c r="I1774" s="9" t="inlineStr">
        <is>
          <t>Pet Owner / Cộng đồng nuôi cún (10đ)</t>
        </is>
      </c>
      <c r="J1774" s="62" t="n">
        <v>10</v>
      </c>
      <c r="K1774" s="9" t="inlineStr">
        <is>
          <t>Chưa rõ giống (Cần quét Bio)</t>
        </is>
      </c>
      <c r="L1774" s="62" t="n">
        <v>0</v>
      </c>
      <c r="M1774" s="62" t="n">
        <v>0</v>
      </c>
      <c r="N1774" s="9" t="inlineStr">
        <is>
          <t>Amazon link not found</t>
        </is>
      </c>
      <c r="O1774" s="62">
        <f>IF(N1774="Selling pet toys + Artificial grass/Pet toilets (TARGET)",15,IF(N1774="Selling artificial grass/pet toilets (TARGET)",10,IF(N1774="Selling pet toys",7,IF(N1774="There's an Amazon link, but no target sales.",3,0))))</f>
        <v/>
      </c>
      <c r="P1774" s="67">
        <f>H1774+J1774+L1774+M1774+O1774</f>
        <v/>
      </c>
      <c r="Q1774" s="69">
        <f>IF(OR(H1774=0,P1774&lt;30),"Tier D (Đóng băng)",IF(P1774&gt;=85,"Tier S (Kim Cương: 85-100đ)",IF(P1774&gt;=70,"Tier A (Vàng: 70-84đ)",IF(P1774&gt;=61,"Tier B+ / Cấp A (Hot Lead: 61-69đ)",IF(P1774&gt;=50,"Tier B (Bạc: 50-60đ)","Tier C (Đồng: 30-49đ)")))))</f>
        <v/>
      </c>
      <c r="R1774" s="9" t="inlineStr">
        <is>
          <t>Khay vệ sinh chung cư (Indoor Potty) + Thảm cỏ ban công (Grass Patch) + Đồ chơi</t>
        </is>
      </c>
      <c r="S1774" s="9" t="inlineStr">
        <is>
          <t>Cấp C Chi phí thấp: Nhắn tin trực tiếp qua Fanpage Facebook/Instagram + Nuôi dưỡng nội dung</t>
        </is>
      </c>
    </row>
    <row r="1775">
      <c r="A1775" s="53" t="n">
        <v>1183</v>
      </c>
      <c r="B1775" s="12" t="inlineStr">
        <is>
          <t>Dogs TV</t>
        </is>
      </c>
      <c r="C1775" s="54" t="inlineStr">
        <is>
          <t>https://www.facebook.com/dogstv9</t>
        </is>
      </c>
      <c r="D1775" s="6" t="inlineStr">
        <is>
          <t>Cần quét Bio Fanpage</t>
        </is>
      </c>
      <c r="E1775" s="53" t="inlineStr">
        <is>
          <t>07/10/2026 07:01:00</t>
        </is>
      </c>
      <c r="F1775" s="53" t="inlineStr">
        <is>
          <t>5 ngày trước</t>
        </is>
      </c>
      <c r="G1775" s="55" t="n">
        <v>5</v>
      </c>
      <c r="H1775" s="56" t="n">
        <v>20</v>
      </c>
      <c r="I1775" s="6" t="inlineStr">
        <is>
          <t>Pet Owner / Cộng đồng nuôi cún (10đ)</t>
        </is>
      </c>
      <c r="J1775" s="56" t="n">
        <v>10</v>
      </c>
      <c r="K1775" s="6" t="inlineStr">
        <is>
          <t>Chưa rõ giống (Cần quét Bio)</t>
        </is>
      </c>
      <c r="L1775" s="56" t="n">
        <v>0</v>
      </c>
      <c r="M1775" s="56" t="n">
        <v>0</v>
      </c>
      <c r="N1775" s="6" t="inlineStr">
        <is>
          <t>Amazon link not found</t>
        </is>
      </c>
      <c r="O1775" s="56">
        <f>IF(N1775="Selling pet toys + Artificial grass/Pet toilets (TARGET)",15,IF(N1775="Selling artificial grass/pet toilets (TARGET)",10,IF(N1775="Selling pet toys",7,IF(N1775="There's an Amazon link, but no target sales.",3,0))))</f>
        <v/>
      </c>
      <c r="P1775" s="65">
        <f>H1775+J1775+L1775+M1775+O1775</f>
        <v/>
      </c>
      <c r="Q1775" s="69">
        <f>IF(OR(H1775=0,P1775&lt;30),"Tier D (Đóng băng)",IF(P1775&gt;=85,"Tier S (Kim Cương: 85-100đ)",IF(P1775&gt;=70,"Tier A (Vàng: 70-84đ)",IF(P1775&gt;=61,"Tier B+ / Cấp A (Hot Lead: 61-69đ)",IF(P1775&gt;=50,"Tier B (Bạc: 50-60đ)","Tier C (Đồng: 30-49đ)")))))</f>
        <v/>
      </c>
      <c r="R1775" s="6" t="inlineStr">
        <is>
          <t>Khay vệ sinh chung cư (Indoor Potty) + Thảm cỏ ban công (Grass Patch) + Đồ chơi</t>
        </is>
      </c>
      <c r="S1775" s="6" t="inlineStr">
        <is>
          <t>Cấp C Chi phí thấp: Nhắn tin trực tiếp qua Fanpage Facebook/Instagram + Nuôi dưỡng nội dung</t>
        </is>
      </c>
    </row>
    <row r="1776">
      <c r="A1776" s="59" t="n">
        <v>2870</v>
      </c>
      <c r="B1776" s="15" t="inlineStr">
        <is>
          <t>Sexy Beast Dog Collars</t>
        </is>
      </c>
      <c r="C1776" s="60" t="inlineStr">
        <is>
          <t>https://www.facebook.com/SexyBeastK9</t>
        </is>
      </c>
      <c r="D1776" s="9" t="inlineStr">
        <is>
          <t>Cần quét Bio Fanpage</t>
        </is>
      </c>
      <c r="E1776" s="59" t="inlineStr">
        <is>
          <t>07/10/2026 06:34:38</t>
        </is>
      </c>
      <c r="F1776" s="59" t="inlineStr">
        <is>
          <t>5 ngày trước</t>
        </is>
      </c>
      <c r="G1776" s="61" t="n">
        <v>5</v>
      </c>
      <c r="H1776" s="62" t="n">
        <v>20</v>
      </c>
      <c r="I1776" s="9" t="inlineStr">
        <is>
          <t>Pet Owner / Cộng đồng nuôi cún (10đ)</t>
        </is>
      </c>
      <c r="J1776" s="62" t="n">
        <v>10</v>
      </c>
      <c r="K1776" s="9" t="inlineStr">
        <is>
          <t>Chưa rõ giống (Cần quét Bio)</t>
        </is>
      </c>
      <c r="L1776" s="62" t="n">
        <v>0</v>
      </c>
      <c r="M1776" s="62" t="n">
        <v>0</v>
      </c>
      <c r="N1776" s="9" t="inlineStr">
        <is>
          <t>Amazon link not found</t>
        </is>
      </c>
      <c r="O1776" s="62">
        <f>IF(N1776="Selling pet toys + Artificial grass/Pet toilets (TARGET)",15,IF(N1776="Selling artificial grass/pet toilets (TARGET)",10,IF(N1776="Selling pet toys",7,IF(N1776="There's an Amazon link, but no target sales.",3,0))))</f>
        <v/>
      </c>
      <c r="P1776" s="67">
        <f>H1776+J1776+L1776+M1776+O1776</f>
        <v/>
      </c>
      <c r="Q1776" s="69">
        <f>IF(OR(H1776=0,P1776&lt;30),"Tier D (Đóng băng)",IF(P1776&gt;=85,"Tier S (Kim Cương: 85-100đ)",IF(P1776&gt;=70,"Tier A (Vàng: 70-84đ)",IF(P1776&gt;=61,"Tier B+ / Cấp A (Hot Lead: 61-69đ)",IF(P1776&gt;=50,"Tier B (Bạc: 50-60đ)","Tier C (Đồng: 30-49đ)")))))</f>
        <v/>
      </c>
      <c r="R1776" s="9" t="inlineStr">
        <is>
          <t>Khay vệ sinh chung cư (Indoor Potty) + Thảm cỏ ban công (Grass Patch) + Đồ chơi</t>
        </is>
      </c>
      <c r="S1776" s="9" t="inlineStr">
        <is>
          <t>Cấp C Chi phí thấp: Nhắn tin trực tiếp qua Fanpage Facebook/Instagram + Nuôi dưỡng nội dung</t>
        </is>
      </c>
    </row>
    <row r="1777">
      <c r="A1777" s="53" t="n">
        <v>3152</v>
      </c>
      <c r="B1777" s="12" t="inlineStr">
        <is>
          <t>The Public Pet</t>
        </is>
      </c>
      <c r="C1777" s="54" t="inlineStr">
        <is>
          <t>https://www.facebook.com/thepublicpet</t>
        </is>
      </c>
      <c r="D1777" s="6" t="inlineStr">
        <is>
          <t>Cần quét Bio Fanpage</t>
        </is>
      </c>
      <c r="E1777" s="53" t="inlineStr">
        <is>
          <t>07/10/2026 06:25:15</t>
        </is>
      </c>
      <c r="F1777" s="53" t="inlineStr">
        <is>
          <t>6 ngày trước</t>
        </is>
      </c>
      <c r="G1777" s="55" t="n">
        <v>6</v>
      </c>
      <c r="H1777" s="56" t="n">
        <v>20</v>
      </c>
      <c r="I1777" s="6" t="inlineStr">
        <is>
          <t>Pet Owner / Cộng đồng nuôi cún (10đ)</t>
        </is>
      </c>
      <c r="J1777" s="56" t="n">
        <v>10</v>
      </c>
      <c r="K1777" s="6" t="inlineStr">
        <is>
          <t>Chưa rõ giống (Cần quét Bio)</t>
        </is>
      </c>
      <c r="L1777" s="56" t="n">
        <v>0</v>
      </c>
      <c r="M1777" s="56" t="n">
        <v>0</v>
      </c>
      <c r="N1777" s="6" t="inlineStr">
        <is>
          <t>Amazon link not found</t>
        </is>
      </c>
      <c r="O1777" s="56">
        <f>IF(N1777="Selling pet toys + Artificial grass/Pet toilets (TARGET)",15,IF(N1777="Selling artificial grass/pet toilets (TARGET)",10,IF(N1777="Selling pet toys",7,IF(N1777="There's an Amazon link, but no target sales.",3,0))))</f>
        <v/>
      </c>
      <c r="P1777" s="65">
        <f>H1777+J1777+L1777+M1777+O1777</f>
        <v/>
      </c>
      <c r="Q1777" s="69">
        <f>IF(OR(H1777=0,P1777&lt;30),"Tier D (Đóng băng)",IF(P1777&gt;=85,"Tier S (Kim Cương: 85-100đ)",IF(P1777&gt;=70,"Tier A (Vàng: 70-84đ)",IF(P1777&gt;=61,"Tier B+ / Cấp A (Hot Lead: 61-69đ)",IF(P1777&gt;=50,"Tier B (Bạc: 50-60đ)","Tier C (Đồng: 30-49đ)")))))</f>
        <v/>
      </c>
      <c r="R1777" s="6" t="inlineStr">
        <is>
          <t>Khay vệ sinh chung cư (Indoor Potty) + Thảm cỏ ban công (Grass Patch) + Đồ chơi</t>
        </is>
      </c>
      <c r="S1777" s="6" t="inlineStr">
        <is>
          <t>Cấp C Chi phí thấp: Nhắn tin trực tiếp qua Fanpage Facebook/Instagram + Nuôi dưỡng nội dung</t>
        </is>
      </c>
    </row>
    <row r="1778">
      <c r="A1778" s="59" t="n">
        <v>655</v>
      </c>
      <c r="B1778" s="15" t="inlineStr">
        <is>
          <t>Beskidzkie Centrum Sportu i Dogoterapii</t>
        </is>
      </c>
      <c r="C1778" s="60" t="inlineStr">
        <is>
          <t>https://www.facebook.com/profile.php?id=100070135980077</t>
        </is>
      </c>
      <c r="D1778" s="9" t="inlineStr">
        <is>
          <t>Cần quét Bio Fanpage</t>
        </is>
      </c>
      <c r="E1778" s="59" t="inlineStr">
        <is>
          <t>07/10/2026 06:05:43</t>
        </is>
      </c>
      <c r="F1778" s="59" t="inlineStr">
        <is>
          <t>5 ngày trước</t>
        </is>
      </c>
      <c r="G1778" s="61" t="n">
        <v>5</v>
      </c>
      <c r="H1778" s="62" t="n">
        <v>20</v>
      </c>
      <c r="I1778" s="9" t="inlineStr">
        <is>
          <t>Pet Owner / Cộng đồng nuôi cún (10đ)</t>
        </is>
      </c>
      <c r="J1778" s="62" t="n">
        <v>10</v>
      </c>
      <c r="K1778" s="9" t="inlineStr">
        <is>
          <t>Chưa rõ giống (Cần quét Bio)</t>
        </is>
      </c>
      <c r="L1778" s="62" t="n">
        <v>0</v>
      </c>
      <c r="M1778" s="62" t="n">
        <v>0</v>
      </c>
      <c r="N1778" s="9" t="inlineStr">
        <is>
          <t>Amazon link not found</t>
        </is>
      </c>
      <c r="O1778" s="62">
        <f>IF(N1778="Selling pet toys + Artificial grass/Pet toilets (TARGET)",15,IF(N1778="Selling artificial grass/pet toilets (TARGET)",10,IF(N1778="Selling pet toys",7,IF(N1778="There's an Amazon link, but no target sales.",3,0))))</f>
        <v/>
      </c>
      <c r="P1778" s="67">
        <f>H1778+J1778+L1778+M1778+O1778</f>
        <v/>
      </c>
      <c r="Q1778" s="69">
        <f>IF(OR(H1778=0,P1778&lt;30),"Tier D (Đóng băng)",IF(P1778&gt;=85,"Tier S (Kim Cương: 85-100đ)",IF(P1778&gt;=70,"Tier A (Vàng: 70-84đ)",IF(P1778&gt;=61,"Tier B+ / Cấp A (Hot Lead: 61-69đ)",IF(P1778&gt;=50,"Tier B (Bạc: 50-60đ)","Tier C (Đồng: 30-49đ)")))))</f>
        <v/>
      </c>
      <c r="R1778" s="9" t="inlineStr">
        <is>
          <t>Khay vệ sinh chung cư (Indoor Potty) + Thảm cỏ ban công (Grass Patch) + Đồ chơi</t>
        </is>
      </c>
      <c r="S1778" s="9" t="inlineStr">
        <is>
          <t>Cấp C Chi phí thấp: Nhắn tin trực tiếp qua Fanpage Facebook/Instagram + Nuôi dưỡng nội dung</t>
        </is>
      </c>
    </row>
    <row r="1779">
      <c r="A1779" s="53" t="n">
        <v>792</v>
      </c>
      <c r="B1779" s="12" t="inlineStr">
        <is>
          <t>Bulles Dogs Chandelles Candles</t>
        </is>
      </c>
      <c r="C1779" s="54" t="inlineStr">
        <is>
          <t>https://www.facebook.com/profile.php?id=61586336013637</t>
        </is>
      </c>
      <c r="D1779" s="6" t="inlineStr">
        <is>
          <t>Cần quét Bio Fanpage</t>
        </is>
      </c>
      <c r="E1779" s="53" t="inlineStr">
        <is>
          <t>07/10/2026 05:03:07</t>
        </is>
      </c>
      <c r="F1779" s="53" t="inlineStr">
        <is>
          <t>5 ngày trước</t>
        </is>
      </c>
      <c r="G1779" s="55" t="n">
        <v>5</v>
      </c>
      <c r="H1779" s="56" t="n">
        <v>20</v>
      </c>
      <c r="I1779" s="6" t="inlineStr">
        <is>
          <t>Pet Owner / Cộng đồng nuôi cún (10đ)</t>
        </is>
      </c>
      <c r="J1779" s="56" t="n">
        <v>10</v>
      </c>
      <c r="K1779" s="6" t="inlineStr">
        <is>
          <t>Chưa rõ giống (Cần quét Bio)</t>
        </is>
      </c>
      <c r="L1779" s="56" t="n">
        <v>0</v>
      </c>
      <c r="M1779" s="56" t="n">
        <v>0</v>
      </c>
      <c r="N1779" s="6" t="inlineStr">
        <is>
          <t>Amazon link not found</t>
        </is>
      </c>
      <c r="O1779" s="56">
        <f>IF(N1779="Selling pet toys + Artificial grass/Pet toilets (TARGET)",15,IF(N1779="Selling artificial grass/pet toilets (TARGET)",10,IF(N1779="Selling pet toys",7,IF(N1779="There's an Amazon link, but no target sales.",3,0))))</f>
        <v/>
      </c>
      <c r="P1779" s="65">
        <f>H1779+J1779+L1779+M1779+O1779</f>
        <v/>
      </c>
      <c r="Q1779" s="69">
        <f>IF(OR(H1779=0,P1779&lt;30),"Tier D (Đóng băng)",IF(P1779&gt;=85,"Tier S (Kim Cương: 85-100đ)",IF(P1779&gt;=70,"Tier A (Vàng: 70-84đ)",IF(P1779&gt;=61,"Tier B+ / Cấp A (Hot Lead: 61-69đ)",IF(P1779&gt;=50,"Tier B (Bạc: 50-60đ)","Tier C (Đồng: 30-49đ)")))))</f>
        <v/>
      </c>
      <c r="R1779" s="6" t="inlineStr">
        <is>
          <t>Khay vệ sinh chung cư (Indoor Potty) + Thảm cỏ ban công (Grass Patch) + Đồ chơi</t>
        </is>
      </c>
      <c r="S1779" s="6" t="inlineStr">
        <is>
          <t>Cấp C Chi phí thấp: Nhắn tin trực tiếp qua Fanpage Facebook/Instagram + Nuôi dưỡng nội dung</t>
        </is>
      </c>
    </row>
    <row r="1780">
      <c r="A1780" s="59" t="n">
        <v>2760</v>
      </c>
      <c r="B1780" s="15" t="inlineStr">
        <is>
          <t>Roadies &amp; Rescues</t>
        </is>
      </c>
      <c r="C1780" s="60" t="inlineStr">
        <is>
          <t>https://www.facebook.com/RoadiesAndRescues</t>
        </is>
      </c>
      <c r="D1780" s="9" t="inlineStr">
        <is>
          <t>Cần quét Bio Fanpage</t>
        </is>
      </c>
      <c r="E1780" s="59" t="inlineStr">
        <is>
          <t>07/10/2026 03:10:46</t>
        </is>
      </c>
      <c r="F1780" s="59" t="inlineStr">
        <is>
          <t>6 ngày trước</t>
        </is>
      </c>
      <c r="G1780" s="61" t="n">
        <v>6</v>
      </c>
      <c r="H1780" s="62" t="n">
        <v>20</v>
      </c>
      <c r="I1780" s="9" t="inlineStr">
        <is>
          <t>Pet Owner / Cộng đồng nuôi cún (10đ)</t>
        </is>
      </c>
      <c r="J1780" s="62" t="n">
        <v>10</v>
      </c>
      <c r="K1780" s="9" t="inlineStr">
        <is>
          <t>Chưa rõ giống (Cần quét Bio)</t>
        </is>
      </c>
      <c r="L1780" s="62" t="n">
        <v>0</v>
      </c>
      <c r="M1780" s="62" t="n">
        <v>0</v>
      </c>
      <c r="N1780" s="9" t="inlineStr">
        <is>
          <t>Amazon link not found</t>
        </is>
      </c>
      <c r="O1780" s="62">
        <f>IF(N1780="Selling pet toys + Artificial grass/Pet toilets (TARGET)",15,IF(N1780="Selling artificial grass/pet toilets (TARGET)",10,IF(N1780="Selling pet toys",7,IF(N1780="There's an Amazon link, but no target sales.",3,0))))</f>
        <v/>
      </c>
      <c r="P1780" s="67">
        <f>H1780+J1780+L1780+M1780+O1780</f>
        <v/>
      </c>
      <c r="Q1780" s="69">
        <f>IF(OR(H1780=0,P1780&lt;30),"Tier D (Đóng băng)",IF(P1780&gt;=85,"Tier S (Kim Cương: 85-100đ)",IF(P1780&gt;=70,"Tier A (Vàng: 70-84đ)",IF(P1780&gt;=61,"Tier B+ / Cấp A (Hot Lead: 61-69đ)",IF(P1780&gt;=50,"Tier B (Bạc: 50-60đ)","Tier C (Đồng: 30-49đ)")))))</f>
        <v/>
      </c>
      <c r="R1780" s="9" t="inlineStr">
        <is>
          <t>Khay vệ sinh chung cư (Indoor Potty) + Thảm cỏ ban công (Grass Patch) + Đồ chơi</t>
        </is>
      </c>
      <c r="S1780" s="9" t="inlineStr">
        <is>
          <t>Cấp C Chi phí thấp: Nhắn tin trực tiếp qua Fanpage Facebook/Instagram + Nuôi dưỡng nội dung</t>
        </is>
      </c>
    </row>
    <row r="1781">
      <c r="A1781" s="53" t="n">
        <v>847</v>
      </c>
      <c r="B1781" s="12" t="inlineStr">
        <is>
          <t>Carolina Bibiloni - DOG SHOW PHOTO</t>
        </is>
      </c>
      <c r="C1781" s="54" t="inlineStr">
        <is>
          <t>https://www.facebook.com/dogshowph</t>
        </is>
      </c>
      <c r="D1781" s="6" t="inlineStr">
        <is>
          <t>Cần quét Bio Fanpage</t>
        </is>
      </c>
      <c r="E1781" s="53" t="inlineStr">
        <is>
          <t>07/10/2026 02:52:42</t>
        </is>
      </c>
      <c r="F1781" s="53" t="inlineStr">
        <is>
          <t>5 ngày trước</t>
        </is>
      </c>
      <c r="G1781" s="55" t="n">
        <v>5</v>
      </c>
      <c r="H1781" s="56" t="n">
        <v>20</v>
      </c>
      <c r="I1781" s="6" t="inlineStr">
        <is>
          <t>Pet Owner / Cộng đồng nuôi cún (10đ)</t>
        </is>
      </c>
      <c r="J1781" s="56" t="n">
        <v>10</v>
      </c>
      <c r="K1781" s="6" t="inlineStr">
        <is>
          <t>Chưa rõ giống (Cần quét Bio)</t>
        </is>
      </c>
      <c r="L1781" s="56" t="n">
        <v>0</v>
      </c>
      <c r="M1781" s="56" t="n">
        <v>0</v>
      </c>
      <c r="N1781" s="6" t="inlineStr">
        <is>
          <t>Amazon link not found</t>
        </is>
      </c>
      <c r="O1781" s="56">
        <f>IF(N1781="Selling pet toys + Artificial grass/Pet toilets (TARGET)",15,IF(N1781="Selling artificial grass/pet toilets (TARGET)",10,IF(N1781="Selling pet toys",7,IF(N1781="There's an Amazon link, but no target sales.",3,0))))</f>
        <v/>
      </c>
      <c r="P1781" s="65">
        <f>H1781+J1781+L1781+M1781+O1781</f>
        <v/>
      </c>
      <c r="Q1781" s="69">
        <f>IF(OR(H1781=0,P1781&lt;30),"Tier D (Đóng băng)",IF(P1781&gt;=85,"Tier S (Kim Cương: 85-100đ)",IF(P1781&gt;=70,"Tier A (Vàng: 70-84đ)",IF(P1781&gt;=61,"Tier B+ / Cấp A (Hot Lead: 61-69đ)",IF(P1781&gt;=50,"Tier B (Bạc: 50-60đ)","Tier C (Đồng: 30-49đ)")))))</f>
        <v/>
      </c>
      <c r="R1781" s="6" t="inlineStr">
        <is>
          <t>Khay vệ sinh chung cư (Indoor Potty) + Thảm cỏ ban công (Grass Patch) + Đồ chơi</t>
        </is>
      </c>
      <c r="S1781" s="6" t="inlineStr">
        <is>
          <t>Cấp C Chi phí thấp: Nhắn tin trực tiếp qua Fanpage Facebook/Instagram + Nuôi dưỡng nội dung</t>
        </is>
      </c>
    </row>
    <row r="1782">
      <c r="A1782" s="59" t="n">
        <v>1799</v>
      </c>
      <c r="B1782" s="15" t="inlineStr">
        <is>
          <t>K7 Stock Dogs</t>
        </is>
      </c>
      <c r="C1782" s="60" t="inlineStr">
        <is>
          <t>https://www.facebook.com/K7Stockdogs</t>
        </is>
      </c>
      <c r="D1782" s="9" t="inlineStr">
        <is>
          <t>Cần quét Bio Fanpage</t>
        </is>
      </c>
      <c r="E1782" s="59" t="inlineStr">
        <is>
          <t>07/10/2026 02:22:20</t>
        </is>
      </c>
      <c r="F1782" s="59" t="inlineStr">
        <is>
          <t>6 ngày trước</t>
        </is>
      </c>
      <c r="G1782" s="61" t="n">
        <v>6</v>
      </c>
      <c r="H1782" s="62" t="n">
        <v>20</v>
      </c>
      <c r="I1782" s="9" t="inlineStr">
        <is>
          <t>Pet Owner / Cộng đồng nuôi cún (10đ)</t>
        </is>
      </c>
      <c r="J1782" s="62" t="n">
        <v>10</v>
      </c>
      <c r="K1782" s="9" t="inlineStr">
        <is>
          <t>Chưa rõ giống (Cần quét Bio)</t>
        </is>
      </c>
      <c r="L1782" s="62" t="n">
        <v>0</v>
      </c>
      <c r="M1782" s="62" t="n">
        <v>0</v>
      </c>
      <c r="N1782" s="9" t="inlineStr">
        <is>
          <t>Amazon link not found</t>
        </is>
      </c>
      <c r="O1782" s="62">
        <f>IF(N1782="Selling pet toys + Artificial grass/Pet toilets (TARGET)",15,IF(N1782="Selling artificial grass/pet toilets (TARGET)",10,IF(N1782="Selling pet toys",7,IF(N1782="There's an Amazon link, but no target sales.",3,0))))</f>
        <v/>
      </c>
      <c r="P1782" s="67">
        <f>H1782+J1782+L1782+M1782+O1782</f>
        <v/>
      </c>
      <c r="Q1782" s="69">
        <f>IF(OR(H1782=0,P1782&lt;30),"Tier D (Đóng băng)",IF(P1782&gt;=85,"Tier S (Kim Cương: 85-100đ)",IF(P1782&gt;=70,"Tier A (Vàng: 70-84đ)",IF(P1782&gt;=61,"Tier B+ / Cấp A (Hot Lead: 61-69đ)",IF(P1782&gt;=50,"Tier B (Bạc: 50-60đ)","Tier C (Đồng: 30-49đ)")))))</f>
        <v/>
      </c>
      <c r="R1782" s="9" t="inlineStr">
        <is>
          <t>Khay vệ sinh chung cư (Indoor Potty) + Thảm cỏ ban công (Grass Patch) + Đồ chơi</t>
        </is>
      </c>
      <c r="S1782" s="9" t="inlineStr">
        <is>
          <t>Cấp C Chi phí thấp: Nhắn tin trực tiếp qua Fanpage Facebook/Instagram + Nuôi dưỡng nội dung</t>
        </is>
      </c>
    </row>
    <row r="1783">
      <c r="A1783" s="53" t="n">
        <v>2783</v>
      </c>
      <c r="B1783" s="12" t="inlineStr">
        <is>
          <t>Roughnecks MC -Puget Sound</t>
        </is>
      </c>
      <c r="C1783" s="54" t="inlineStr">
        <is>
          <t>https://www.facebook.com/profile.php?id=61579853403450</t>
        </is>
      </c>
      <c r="D1783" s="6" t="inlineStr">
        <is>
          <t>Cần quét Bio Fanpage</t>
        </is>
      </c>
      <c r="E1783" s="53" t="inlineStr">
        <is>
          <t>07/10/2026 02:20:31</t>
        </is>
      </c>
      <c r="F1783" s="53" t="inlineStr">
        <is>
          <t>6 ngày trước</t>
        </is>
      </c>
      <c r="G1783" s="55" t="n">
        <v>6</v>
      </c>
      <c r="H1783" s="56" t="n">
        <v>20</v>
      </c>
      <c r="I1783" s="6" t="inlineStr">
        <is>
          <t>Pet Owner / Cộng đồng nuôi cún (10đ)</t>
        </is>
      </c>
      <c r="J1783" s="56" t="n">
        <v>10</v>
      </c>
      <c r="K1783" s="6" t="inlineStr">
        <is>
          <t>Chưa rõ giống (Cần quét Bio)</t>
        </is>
      </c>
      <c r="L1783" s="56" t="n">
        <v>0</v>
      </c>
      <c r="M1783" s="56" t="n">
        <v>0</v>
      </c>
      <c r="N1783" s="6" t="inlineStr">
        <is>
          <t>Amazon link not found</t>
        </is>
      </c>
      <c r="O1783" s="56">
        <f>IF(N1783="Selling pet toys + Artificial grass/Pet toilets (TARGET)",15,IF(N1783="Selling artificial grass/pet toilets (TARGET)",10,IF(N1783="Selling pet toys",7,IF(N1783="There's an Amazon link, but no target sales.",3,0))))</f>
        <v/>
      </c>
      <c r="P1783" s="65">
        <f>H1783+J1783+L1783+M1783+O1783</f>
        <v/>
      </c>
      <c r="Q1783" s="69">
        <f>IF(OR(H1783=0,P1783&lt;30),"Tier D (Đóng băng)",IF(P1783&gt;=85,"Tier S (Kim Cương: 85-100đ)",IF(P1783&gt;=70,"Tier A (Vàng: 70-84đ)",IF(P1783&gt;=61,"Tier B+ / Cấp A (Hot Lead: 61-69đ)",IF(P1783&gt;=50,"Tier B (Bạc: 50-60đ)","Tier C (Đồng: 30-49đ)")))))</f>
        <v/>
      </c>
      <c r="R1783" s="6" t="inlineStr">
        <is>
          <t>Khay vệ sinh chung cư (Indoor Potty) + Thảm cỏ ban công (Grass Patch) + Đồ chơi</t>
        </is>
      </c>
      <c r="S1783" s="6" t="inlineStr">
        <is>
          <t>Cấp C Chi phí thấp: Nhắn tin trực tiếp qua Fanpage Facebook/Instagram + Nuôi dưỡng nội dung</t>
        </is>
      </c>
    </row>
    <row r="1784">
      <c r="A1784" s="59" t="n">
        <v>95</v>
      </c>
      <c r="B1784" s="15" t="inlineStr">
        <is>
          <t>Amazdog</t>
        </is>
      </c>
      <c r="C1784" s="60" t="inlineStr">
        <is>
          <t>https://www.facebook.com/amazdog</t>
        </is>
      </c>
      <c r="D1784" s="9" t="inlineStr">
        <is>
          <t>Cần quét Bio Fanpage</t>
        </is>
      </c>
      <c r="E1784" s="59" t="inlineStr">
        <is>
          <t>07/10/2026 01:06:01</t>
        </is>
      </c>
      <c r="F1784" s="59" t="inlineStr">
        <is>
          <t>5 ngày trước</t>
        </is>
      </c>
      <c r="G1784" s="61" t="n">
        <v>5</v>
      </c>
      <c r="H1784" s="62" t="n">
        <v>20</v>
      </c>
      <c r="I1784" s="9" t="inlineStr">
        <is>
          <t>Pet Owner / Cộng đồng nuôi cún (10đ)</t>
        </is>
      </c>
      <c r="J1784" s="62" t="n">
        <v>10</v>
      </c>
      <c r="K1784" s="9" t="inlineStr">
        <is>
          <t>Chưa rõ giống (Cần quét Bio)</t>
        </is>
      </c>
      <c r="L1784" s="62" t="n">
        <v>0</v>
      </c>
      <c r="M1784" s="62" t="n">
        <v>0</v>
      </c>
      <c r="N1784" s="9" t="inlineStr">
        <is>
          <t>Amazon link not found</t>
        </is>
      </c>
      <c r="O1784" s="62">
        <f>IF(N1784="Selling pet toys + Artificial grass/Pet toilets (TARGET)",15,IF(N1784="Selling artificial grass/pet toilets (TARGET)",10,IF(N1784="Selling pet toys",7,IF(N1784="There's an Amazon link, but no target sales.",3,0))))</f>
        <v/>
      </c>
      <c r="P1784" s="67">
        <f>H1784+J1784+L1784+M1784+O1784</f>
        <v/>
      </c>
      <c r="Q1784" s="69">
        <f>IF(OR(H1784=0,P1784&lt;30),"Tier D (Đóng băng)",IF(P1784&gt;=85,"Tier S (Kim Cương: 85-100đ)",IF(P1784&gt;=70,"Tier A (Vàng: 70-84đ)",IF(P1784&gt;=61,"Tier B+ / Cấp A (Hot Lead: 61-69đ)",IF(P1784&gt;=50,"Tier B (Bạc: 50-60đ)","Tier C (Đồng: 30-49đ)")))))</f>
        <v/>
      </c>
      <c r="R1784" s="9" t="inlineStr">
        <is>
          <t>Khay vệ sinh chung cư (Indoor Potty) + Thảm cỏ ban công (Grass Patch) + Đồ chơi</t>
        </is>
      </c>
      <c r="S1784" s="9" t="inlineStr">
        <is>
          <t>Cấp C Chi phí thấp: Nhắn tin trực tiếp qua Fanpage Facebook/Instagram + Nuôi dưỡng nội dung</t>
        </is>
      </c>
    </row>
    <row r="1785">
      <c r="A1785" s="53" t="n">
        <v>284</v>
      </c>
      <c r="B1785" s="12" t="inlineStr">
        <is>
          <t>Truth About Pet Food</t>
        </is>
      </c>
      <c r="C1785" s="54" t="inlineStr">
        <is>
          <t>https://www.facebook.com/TruthaboutPetFood</t>
        </is>
      </c>
      <c r="D1785" s="6" t="inlineStr">
        <is>
          <t>Cần quét Bio Fanpage</t>
        </is>
      </c>
      <c r="E1785" s="53" t="inlineStr">
        <is>
          <t>06/10/2026 22:52:03</t>
        </is>
      </c>
      <c r="F1785" s="53" t="inlineStr">
        <is>
          <t>6 ngày trước</t>
        </is>
      </c>
      <c r="G1785" s="55" t="n">
        <v>6</v>
      </c>
      <c r="H1785" s="56" t="n">
        <v>20</v>
      </c>
      <c r="I1785" s="6" t="inlineStr">
        <is>
          <t>Pet Owner / Cộng đồng nuôi cún (10đ)</t>
        </is>
      </c>
      <c r="J1785" s="56" t="n">
        <v>10</v>
      </c>
      <c r="K1785" s="6" t="inlineStr">
        <is>
          <t>Chưa rõ giống (Cần quét Bio)</t>
        </is>
      </c>
      <c r="L1785" s="56" t="n">
        <v>0</v>
      </c>
      <c r="M1785" s="56" t="n">
        <v>0</v>
      </c>
      <c r="N1785" s="6" t="inlineStr">
        <is>
          <t>Amazon link not found</t>
        </is>
      </c>
      <c r="O1785" s="56">
        <f>IF(N1785="Selling pet toys + Artificial grass/Pet toilets (TARGET)",15,IF(N1785="Selling artificial grass/pet toilets (TARGET)",10,IF(N1785="Selling pet toys",7,IF(N1785="There's an Amazon link, but no target sales.",3,0))))</f>
        <v/>
      </c>
      <c r="P1785" s="65">
        <f>H1785+J1785+L1785+M1785+O1785</f>
        <v/>
      </c>
      <c r="Q1785" s="69">
        <f>IF(OR(H1785=0,P1785&lt;30),"Tier D (Đóng băng)",IF(P1785&gt;=85,"Tier S (Kim Cương: 85-100đ)",IF(P1785&gt;=70,"Tier A (Vàng: 70-84đ)",IF(P1785&gt;=61,"Tier B+ / Cấp A (Hot Lead: 61-69đ)",IF(P1785&gt;=50,"Tier B (Bạc: 50-60đ)","Tier C (Đồng: 30-49đ)")))))</f>
        <v/>
      </c>
      <c r="R1785" s="6" t="inlineStr">
        <is>
          <t>Khay vệ sinh chung cư (Indoor Potty) + Thảm cỏ ban công (Grass Patch) + Đồ chơi</t>
        </is>
      </c>
      <c r="S1785" s="6" t="inlineStr">
        <is>
          <t>Cấp C Chi phí thấp: Nhắn tin trực tiếp qua Fanpage Facebook/Instagram + Nuôi dưỡng nội dung</t>
        </is>
      </c>
    </row>
    <row r="1786">
      <c r="A1786" s="59" t="n">
        <v>2735</v>
      </c>
      <c r="B1786" s="15" t="inlineStr">
        <is>
          <t>RescueBeacon</t>
        </is>
      </c>
      <c r="C1786" s="60" t="inlineStr">
        <is>
          <t>https://www.facebook.com/rescuebeaconorg</t>
        </is>
      </c>
      <c r="D1786" s="9" t="inlineStr">
        <is>
          <t>Cần quét Bio Fanpage</t>
        </is>
      </c>
      <c r="E1786" s="59" t="inlineStr">
        <is>
          <t>06/10/2026 21:31:22</t>
        </is>
      </c>
      <c r="F1786" s="59" t="inlineStr">
        <is>
          <t>6 ngày trước</t>
        </is>
      </c>
      <c r="G1786" s="61" t="n">
        <v>6</v>
      </c>
      <c r="H1786" s="62" t="n">
        <v>20</v>
      </c>
      <c r="I1786" s="9" t="inlineStr">
        <is>
          <t>Pet Owner / Cộng đồng nuôi cún (10đ)</t>
        </is>
      </c>
      <c r="J1786" s="62" t="n">
        <v>10</v>
      </c>
      <c r="K1786" s="9" t="inlineStr">
        <is>
          <t>Chưa rõ giống (Cần quét Bio)</t>
        </is>
      </c>
      <c r="L1786" s="62" t="n">
        <v>0</v>
      </c>
      <c r="M1786" s="62" t="n">
        <v>0</v>
      </c>
      <c r="N1786" s="9" t="inlineStr">
        <is>
          <t>Amazon link not found</t>
        </is>
      </c>
      <c r="O1786" s="62">
        <f>IF(N1786="Selling pet toys + Artificial grass/Pet toilets (TARGET)",15,IF(N1786="Selling artificial grass/pet toilets (TARGET)",10,IF(N1786="Selling pet toys",7,IF(N1786="There's an Amazon link, but no target sales.",3,0))))</f>
        <v/>
      </c>
      <c r="P1786" s="67">
        <f>H1786+J1786+L1786+M1786+O1786</f>
        <v/>
      </c>
      <c r="Q1786" s="69">
        <f>IF(OR(H1786=0,P1786&lt;30),"Tier D (Đóng băng)",IF(P1786&gt;=85,"Tier S (Kim Cương: 85-100đ)",IF(P1786&gt;=70,"Tier A (Vàng: 70-84đ)",IF(P1786&gt;=61,"Tier B+ / Cấp A (Hot Lead: 61-69đ)",IF(P1786&gt;=50,"Tier B (Bạc: 50-60đ)","Tier C (Đồng: 30-49đ)")))))</f>
        <v/>
      </c>
      <c r="R1786" s="9" t="inlineStr">
        <is>
          <t>Khay vệ sinh chung cư (Indoor Potty) + Thảm cỏ ban công (Grass Patch) + Đồ chơi</t>
        </is>
      </c>
      <c r="S1786" s="9" t="inlineStr">
        <is>
          <t>Cấp C Chi phí thấp: Nhắn tin trực tiếp qua Fanpage Facebook/Instagram + Nuôi dưỡng nội dung</t>
        </is>
      </c>
    </row>
    <row r="1787">
      <c r="A1787" s="53" t="n">
        <v>3356</v>
      </c>
      <c r="B1787" s="12" t="inlineStr">
        <is>
          <t>Vípets Peluquería Canina</t>
        </is>
      </c>
      <c r="C1787" s="54" t="inlineStr">
        <is>
          <t>https://www.facebook.com/profile.php?id=61582927860179</t>
        </is>
      </c>
      <c r="D1787" s="6" t="inlineStr">
        <is>
          <t>Cần quét Bio Fanpage</t>
        </is>
      </c>
      <c r="E1787" s="53" t="inlineStr">
        <is>
          <t>06/10/2026 19:50:24</t>
        </is>
      </c>
      <c r="F1787" s="53" t="inlineStr">
        <is>
          <t>6 ngày trước</t>
        </is>
      </c>
      <c r="G1787" s="55" t="n">
        <v>6</v>
      </c>
      <c r="H1787" s="56" t="n">
        <v>20</v>
      </c>
      <c r="I1787" s="6" t="inlineStr">
        <is>
          <t>Pet Owner / Cộng đồng nuôi cún (10đ)</t>
        </is>
      </c>
      <c r="J1787" s="56" t="n">
        <v>10</v>
      </c>
      <c r="K1787" s="6" t="inlineStr">
        <is>
          <t>Chưa rõ giống (Cần quét Bio)</t>
        </is>
      </c>
      <c r="L1787" s="56" t="n">
        <v>0</v>
      </c>
      <c r="M1787" s="56" t="n">
        <v>0</v>
      </c>
      <c r="N1787" s="6" t="inlineStr">
        <is>
          <t>Amazon link not found</t>
        </is>
      </c>
      <c r="O1787" s="56">
        <f>IF(N1787="Selling pet toys + Artificial grass/Pet toilets (TARGET)",15,IF(N1787="Selling artificial grass/pet toilets (TARGET)",10,IF(N1787="Selling pet toys",7,IF(N1787="There's an Amazon link, but no target sales.",3,0))))</f>
        <v/>
      </c>
      <c r="P1787" s="65">
        <f>H1787+J1787+L1787+M1787+O1787</f>
        <v/>
      </c>
      <c r="Q1787" s="69">
        <f>IF(OR(H1787=0,P1787&lt;30),"Tier D (Đóng băng)",IF(P1787&gt;=85,"Tier S (Kim Cương: 85-100đ)",IF(P1787&gt;=70,"Tier A (Vàng: 70-84đ)",IF(P1787&gt;=61,"Tier B+ / Cấp A (Hot Lead: 61-69đ)",IF(P1787&gt;=50,"Tier B (Bạc: 50-60đ)","Tier C (Đồng: 30-49đ)")))))</f>
        <v/>
      </c>
      <c r="R1787" s="6" t="inlineStr">
        <is>
          <t>Khay vệ sinh chung cư (Indoor Potty) + Thảm cỏ ban công (Grass Patch) + Đồ chơi</t>
        </is>
      </c>
      <c r="S1787" s="6" t="inlineStr">
        <is>
          <t>Cấp C Chi phí thấp: Nhắn tin trực tiếp qua Fanpage Facebook/Instagram + Nuôi dưỡng nội dung</t>
        </is>
      </c>
    </row>
    <row r="1788">
      <c r="A1788" s="59" t="n">
        <v>145</v>
      </c>
      <c r="B1788" s="15" t="inlineStr">
        <is>
          <t>DOG HOUSE ASD Centro Cinofilo</t>
        </is>
      </c>
      <c r="C1788" s="60" t="inlineStr">
        <is>
          <t>https://www.facebook.com/dog.house.asd</t>
        </is>
      </c>
      <c r="D1788" s="9" t="inlineStr">
        <is>
          <t>Cần quét Bio Fanpage</t>
        </is>
      </c>
      <c r="E1788" s="59" t="inlineStr">
        <is>
          <t>06/10/2026 19:21:09</t>
        </is>
      </c>
      <c r="F1788" s="59" t="inlineStr">
        <is>
          <t>6 ngày trước</t>
        </is>
      </c>
      <c r="G1788" s="61" t="n">
        <v>6</v>
      </c>
      <c r="H1788" s="62" t="n">
        <v>20</v>
      </c>
      <c r="I1788" s="9" t="inlineStr">
        <is>
          <t>Pet Owner / Cộng đồng nuôi cún (10đ)</t>
        </is>
      </c>
      <c r="J1788" s="62" t="n">
        <v>10</v>
      </c>
      <c r="K1788" s="9" t="inlineStr">
        <is>
          <t>Chưa rõ giống (Cần quét Bio)</t>
        </is>
      </c>
      <c r="L1788" s="62" t="n">
        <v>0</v>
      </c>
      <c r="M1788" s="62" t="n">
        <v>0</v>
      </c>
      <c r="N1788" s="9" t="inlineStr">
        <is>
          <t>Amazon link not found</t>
        </is>
      </c>
      <c r="O1788" s="62">
        <f>IF(N1788="Selling pet toys + Artificial grass/Pet toilets (TARGET)",15,IF(N1788="Selling artificial grass/pet toilets (TARGET)",10,IF(N1788="Selling pet toys",7,IF(N1788="There's an Amazon link, but no target sales.",3,0))))</f>
        <v/>
      </c>
      <c r="P1788" s="67">
        <f>H1788+J1788+L1788+M1788+O1788</f>
        <v/>
      </c>
      <c r="Q1788" s="69">
        <f>IF(OR(H1788=0,P1788&lt;30),"Tier D (Đóng băng)",IF(P1788&gt;=85,"Tier S (Kim Cương: 85-100đ)",IF(P1788&gt;=70,"Tier A (Vàng: 70-84đ)",IF(P1788&gt;=61,"Tier B+ / Cấp A (Hot Lead: 61-69đ)",IF(P1788&gt;=50,"Tier B (Bạc: 50-60đ)","Tier C (Đồng: 30-49đ)")))))</f>
        <v/>
      </c>
      <c r="R1788" s="9" t="inlineStr">
        <is>
          <t>Khay vệ sinh chung cư (Indoor Potty) + Thảm cỏ ban công (Grass Patch) + Đồ chơi</t>
        </is>
      </c>
      <c r="S1788" s="9" t="inlineStr">
        <is>
          <t>Cấp C Chi phí thấp: Nhắn tin trực tiếp qua Fanpage Facebook/Instagram + Nuôi dưỡng nội dung</t>
        </is>
      </c>
    </row>
    <row r="1789">
      <c r="A1789" s="53" t="n">
        <v>3320</v>
      </c>
      <c r="B1789" s="12" t="inlineStr">
        <is>
          <t>VICTOR Super Premium Pet Food</t>
        </is>
      </c>
      <c r="C1789" s="54" t="inlineStr">
        <is>
          <t>https://www.facebook.com/victorpetfood</t>
        </is>
      </c>
      <c r="D1789" s="6" t="inlineStr">
        <is>
          <t>Cần quét Bio Fanpage</t>
        </is>
      </c>
      <c r="E1789" s="53" t="inlineStr">
        <is>
          <t>06/10/2026 19:16:39</t>
        </is>
      </c>
      <c r="F1789" s="53" t="inlineStr">
        <is>
          <t>6 ngày trước</t>
        </is>
      </c>
      <c r="G1789" s="55" t="n">
        <v>6</v>
      </c>
      <c r="H1789" s="56" t="n">
        <v>20</v>
      </c>
      <c r="I1789" s="6" t="inlineStr">
        <is>
          <t>Pet Owner / Cộng đồng nuôi cún (10đ)</t>
        </is>
      </c>
      <c r="J1789" s="56" t="n">
        <v>10</v>
      </c>
      <c r="K1789" s="6" t="inlineStr">
        <is>
          <t>Chưa rõ giống (Cần quét Bio)</t>
        </is>
      </c>
      <c r="L1789" s="56" t="n">
        <v>0</v>
      </c>
      <c r="M1789" s="56" t="n">
        <v>0</v>
      </c>
      <c r="N1789" s="6" t="inlineStr">
        <is>
          <t>Amazon link not found</t>
        </is>
      </c>
      <c r="O1789" s="56">
        <f>IF(N1789="Selling pet toys + Artificial grass/Pet toilets (TARGET)",15,IF(N1789="Selling artificial grass/pet toilets (TARGET)",10,IF(N1789="Selling pet toys",7,IF(N1789="There's an Amazon link, but no target sales.",3,0))))</f>
        <v/>
      </c>
      <c r="P1789" s="65">
        <f>H1789+J1789+L1789+M1789+O1789</f>
        <v/>
      </c>
      <c r="Q1789" s="69">
        <f>IF(OR(H1789=0,P1789&lt;30),"Tier D (Đóng băng)",IF(P1789&gt;=85,"Tier S (Kim Cương: 85-100đ)",IF(P1789&gt;=70,"Tier A (Vàng: 70-84đ)",IF(P1789&gt;=61,"Tier B+ / Cấp A (Hot Lead: 61-69đ)",IF(P1789&gt;=50,"Tier B (Bạc: 50-60đ)","Tier C (Đồng: 30-49đ)")))))</f>
        <v/>
      </c>
      <c r="R1789" s="6" t="inlineStr">
        <is>
          <t>Khay vệ sinh chung cư (Indoor Potty) + Thảm cỏ ban công (Grass Patch) + Đồ chơi</t>
        </is>
      </c>
      <c r="S1789" s="6" t="inlineStr">
        <is>
          <t>Cấp C Chi phí thấp: Nhắn tin trực tiếp qua Fanpage Facebook/Instagram + Nuôi dưỡng nội dung</t>
        </is>
      </c>
    </row>
    <row r="1790">
      <c r="A1790" s="59" t="n">
        <v>592</v>
      </c>
      <c r="B1790" s="15" t="inlineStr">
        <is>
          <t>Barkery Deluxe Dog Treats</t>
        </is>
      </c>
      <c r="C1790" s="60" t="inlineStr">
        <is>
          <t>https://www.facebook.com/barkerydogtreats</t>
        </is>
      </c>
      <c r="D1790" s="9" t="inlineStr">
        <is>
          <t>Cần quét Bio Fanpage</t>
        </is>
      </c>
      <c r="E1790" s="59" t="inlineStr">
        <is>
          <t>06/10/2026 16:37:39</t>
        </is>
      </c>
      <c r="F1790" s="59" t="inlineStr">
        <is>
          <t>6 ngày trước</t>
        </is>
      </c>
      <c r="G1790" s="61" t="n">
        <v>6</v>
      </c>
      <c r="H1790" s="62" t="n">
        <v>20</v>
      </c>
      <c r="I1790" s="9" t="inlineStr">
        <is>
          <t>Pet Owner / Cộng đồng nuôi cún (10đ)</t>
        </is>
      </c>
      <c r="J1790" s="62" t="n">
        <v>10</v>
      </c>
      <c r="K1790" s="9" t="inlineStr">
        <is>
          <t>Chưa rõ giống (Cần quét Bio)</t>
        </is>
      </c>
      <c r="L1790" s="62" t="n">
        <v>0</v>
      </c>
      <c r="M1790" s="62" t="n">
        <v>0</v>
      </c>
      <c r="N1790" s="9" t="inlineStr">
        <is>
          <t>Amazon link not found</t>
        </is>
      </c>
      <c r="O1790" s="62">
        <f>IF(N1790="Selling pet toys + Artificial grass/Pet toilets (TARGET)",15,IF(N1790="Selling artificial grass/pet toilets (TARGET)",10,IF(N1790="Selling pet toys",7,IF(N1790="There's an Amazon link, but no target sales.",3,0))))</f>
        <v/>
      </c>
      <c r="P1790" s="67">
        <f>H1790+J1790+L1790+M1790+O1790</f>
        <v/>
      </c>
      <c r="Q1790" s="69">
        <f>IF(OR(H1790=0,P1790&lt;30),"Tier D (Đóng băng)",IF(P1790&gt;=85,"Tier S (Kim Cương: 85-100đ)",IF(P1790&gt;=70,"Tier A (Vàng: 70-84đ)",IF(P1790&gt;=61,"Tier B+ / Cấp A (Hot Lead: 61-69đ)",IF(P1790&gt;=50,"Tier B (Bạc: 50-60đ)","Tier C (Đồng: 30-49đ)")))))</f>
        <v/>
      </c>
      <c r="R1790" s="9" t="inlineStr">
        <is>
          <t>Khay vệ sinh chung cư (Indoor Potty) + Thảm cỏ ban công (Grass Patch) + Đồ chơi</t>
        </is>
      </c>
      <c r="S1790" s="9" t="inlineStr">
        <is>
          <t>Cấp C Chi phí thấp: Nhắn tin trực tiếp qua Fanpage Facebook/Instagram + Nuôi dưỡng nội dung</t>
        </is>
      </c>
    </row>
    <row r="1791">
      <c r="A1791" s="53" t="n">
        <v>2473</v>
      </c>
      <c r="B1791" s="12" t="inlineStr">
        <is>
          <t>Pettour.eu</t>
        </is>
      </c>
      <c r="C1791" s="54" t="inlineStr">
        <is>
          <t>https://www.facebook.com/Pettour.eu</t>
        </is>
      </c>
      <c r="D1791" s="6" t="inlineStr">
        <is>
          <t>Cần quét Bio Fanpage</t>
        </is>
      </c>
      <c r="E1791" s="53" t="inlineStr">
        <is>
          <t>06/10/2026 16:03:55</t>
        </is>
      </c>
      <c r="F1791" s="53" t="inlineStr">
        <is>
          <t>6 ngày trước</t>
        </is>
      </c>
      <c r="G1791" s="55" t="n">
        <v>6</v>
      </c>
      <c r="H1791" s="56" t="n">
        <v>20</v>
      </c>
      <c r="I1791" s="6" t="inlineStr">
        <is>
          <t>Pet Owner / Cộng đồng nuôi cún (10đ)</t>
        </is>
      </c>
      <c r="J1791" s="56" t="n">
        <v>10</v>
      </c>
      <c r="K1791" s="6" t="inlineStr">
        <is>
          <t>Chưa rõ giống (Cần quét Bio)</t>
        </is>
      </c>
      <c r="L1791" s="56" t="n">
        <v>0</v>
      </c>
      <c r="M1791" s="56" t="n">
        <v>0</v>
      </c>
      <c r="N1791" s="6" t="inlineStr">
        <is>
          <t>Amazon link not found</t>
        </is>
      </c>
      <c r="O1791" s="56">
        <f>IF(N1791="Selling pet toys + Artificial grass/Pet toilets (TARGET)",15,IF(N1791="Selling artificial grass/pet toilets (TARGET)",10,IF(N1791="Selling pet toys",7,IF(N1791="There's an Amazon link, but no target sales.",3,0))))</f>
        <v/>
      </c>
      <c r="P1791" s="65">
        <f>H1791+J1791+L1791+M1791+O1791</f>
        <v/>
      </c>
      <c r="Q1791" s="69">
        <f>IF(OR(H1791=0,P1791&lt;30),"Tier D (Đóng băng)",IF(P1791&gt;=85,"Tier S (Kim Cương: 85-100đ)",IF(P1791&gt;=70,"Tier A (Vàng: 70-84đ)",IF(P1791&gt;=61,"Tier B+ / Cấp A (Hot Lead: 61-69đ)",IF(P1791&gt;=50,"Tier B (Bạc: 50-60đ)","Tier C (Đồng: 30-49đ)")))))</f>
        <v/>
      </c>
      <c r="R1791" s="6" t="inlineStr">
        <is>
          <t>Khay vệ sinh chung cư (Indoor Potty) + Thảm cỏ ban công (Grass Patch) + Đồ chơi</t>
        </is>
      </c>
      <c r="S1791" s="6" t="inlineStr">
        <is>
          <t>Cấp C Chi phí thấp: Nhắn tin trực tiếp qua Fanpage Facebook/Instagram + Nuôi dưỡng nội dung</t>
        </is>
      </c>
    </row>
    <row r="1792">
      <c r="A1792" s="59" t="n">
        <v>111</v>
      </c>
      <c r="B1792" s="15" t="inlineStr">
        <is>
          <t>Bay City Pet Travel</t>
        </is>
      </c>
      <c r="C1792" s="60" t="inlineStr">
        <is>
          <t>https://www.facebook.com/BayCityPetTravel</t>
        </is>
      </c>
      <c r="D1792" s="9" t="inlineStr">
        <is>
          <t>Cần quét Bio Fanpage</t>
        </is>
      </c>
      <c r="E1792" s="59" t="inlineStr">
        <is>
          <t>06/10/2026 16:00:17</t>
        </is>
      </c>
      <c r="F1792" s="59" t="inlineStr">
        <is>
          <t>6 ngày trước</t>
        </is>
      </c>
      <c r="G1792" s="61" t="n">
        <v>6</v>
      </c>
      <c r="H1792" s="62" t="n">
        <v>20</v>
      </c>
      <c r="I1792" s="9" t="inlineStr">
        <is>
          <t>Pet Owner / Cộng đồng nuôi cún (10đ)</t>
        </is>
      </c>
      <c r="J1792" s="62" t="n">
        <v>10</v>
      </c>
      <c r="K1792" s="9" t="inlineStr">
        <is>
          <t>Chưa rõ giống (Cần quét Bio)</t>
        </is>
      </c>
      <c r="L1792" s="62" t="n">
        <v>0</v>
      </c>
      <c r="M1792" s="62" t="n">
        <v>0</v>
      </c>
      <c r="N1792" s="9" t="inlineStr">
        <is>
          <t>Amazon link not found</t>
        </is>
      </c>
      <c r="O1792" s="62">
        <f>IF(N1792="Selling pet toys + Artificial grass/Pet toilets (TARGET)",15,IF(N1792="Selling artificial grass/pet toilets (TARGET)",10,IF(N1792="Selling pet toys",7,IF(N1792="There's an Amazon link, but no target sales.",3,0))))</f>
        <v/>
      </c>
      <c r="P1792" s="67">
        <f>H1792+J1792+L1792+M1792+O1792</f>
        <v/>
      </c>
      <c r="Q1792" s="69">
        <f>IF(OR(H1792=0,P1792&lt;30),"Tier D (Đóng băng)",IF(P1792&gt;=85,"Tier S (Kim Cương: 85-100đ)",IF(P1792&gt;=70,"Tier A (Vàng: 70-84đ)",IF(P1792&gt;=61,"Tier B+ / Cấp A (Hot Lead: 61-69đ)",IF(P1792&gt;=50,"Tier B (Bạc: 50-60đ)","Tier C (Đồng: 30-49đ)")))))</f>
        <v/>
      </c>
      <c r="R1792" s="9" t="inlineStr">
        <is>
          <t>Khay vệ sinh chung cư (Indoor Potty) + Thảm cỏ ban công (Grass Patch) + Đồ chơi</t>
        </is>
      </c>
      <c r="S1792" s="9" t="inlineStr">
        <is>
          <t>Cấp C Chi phí thấp: Nhắn tin trực tiếp qua Fanpage Facebook/Instagram + Nuôi dưỡng nội dung</t>
        </is>
      </c>
    </row>
    <row r="1793">
      <c r="A1793" s="53" t="n">
        <v>1101</v>
      </c>
      <c r="B1793" s="12" t="inlineStr">
        <is>
          <t>Dog Tails King Island -Lionsgate</t>
        </is>
      </c>
      <c r="C1793" s="54" t="inlineStr">
        <is>
          <t>https://www.facebook.com/dogtailski</t>
        </is>
      </c>
      <c r="D1793" s="6" t="inlineStr">
        <is>
          <t>Cần quét Bio Fanpage</t>
        </is>
      </c>
      <c r="E1793" s="53" t="inlineStr">
        <is>
          <t>06/10/2026 10:43:31</t>
        </is>
      </c>
      <c r="F1793" s="53" t="inlineStr">
        <is>
          <t>6 ngày trước</t>
        </is>
      </c>
      <c r="G1793" s="55" t="n">
        <v>6</v>
      </c>
      <c r="H1793" s="56" t="n">
        <v>20</v>
      </c>
      <c r="I1793" s="6" t="inlineStr">
        <is>
          <t>Pet Owner / Cộng đồng nuôi cún (10đ)</t>
        </is>
      </c>
      <c r="J1793" s="56" t="n">
        <v>10</v>
      </c>
      <c r="K1793" s="6" t="inlineStr">
        <is>
          <t>Chưa rõ giống (Cần quét Bio)</t>
        </is>
      </c>
      <c r="L1793" s="56" t="n">
        <v>0</v>
      </c>
      <c r="M1793" s="56" t="n">
        <v>0</v>
      </c>
      <c r="N1793" s="6" t="inlineStr">
        <is>
          <t>Amazon link not found</t>
        </is>
      </c>
      <c r="O1793" s="56">
        <f>IF(N1793="Selling pet toys + Artificial grass/Pet toilets (TARGET)",15,IF(N1793="Selling artificial grass/pet toilets (TARGET)",10,IF(N1793="Selling pet toys",7,IF(N1793="There's an Amazon link, but no target sales.",3,0))))</f>
        <v/>
      </c>
      <c r="P1793" s="65">
        <f>H1793+J1793+L1793+M1793+O1793</f>
        <v/>
      </c>
      <c r="Q1793" s="69">
        <f>IF(OR(H1793=0,P1793&lt;30),"Tier D (Đóng băng)",IF(P1793&gt;=85,"Tier S (Kim Cương: 85-100đ)",IF(P1793&gt;=70,"Tier A (Vàng: 70-84đ)",IF(P1793&gt;=61,"Tier B+ / Cấp A (Hot Lead: 61-69đ)",IF(P1793&gt;=50,"Tier B (Bạc: 50-60đ)","Tier C (Đồng: 30-49đ)")))))</f>
        <v/>
      </c>
      <c r="R1793" s="6" t="inlineStr">
        <is>
          <t>Khay vệ sinh chung cư (Indoor Potty) + Thảm cỏ ban công (Grass Patch) + Đồ chơi</t>
        </is>
      </c>
      <c r="S1793" s="6" t="inlineStr">
        <is>
          <t>Cấp C Chi phí thấp: Nhắn tin trực tiếp qua Fanpage Facebook/Instagram + Nuôi dưỡng nội dung</t>
        </is>
      </c>
    </row>
    <row r="1794">
      <c r="A1794" s="59" t="n">
        <v>2019</v>
      </c>
      <c r="B1794" s="15" t="inlineStr">
        <is>
          <t>Lila Rue The Salty Dog Mayor</t>
        </is>
      </c>
      <c r="C1794" s="60" t="inlineStr">
        <is>
          <t>https://www.facebook.com/profile.php?id=61586618194885</t>
        </is>
      </c>
      <c r="D1794" s="9" t="inlineStr">
        <is>
          <t>Cần quét Bio Fanpage</t>
        </is>
      </c>
      <c r="E1794" s="59" t="inlineStr">
        <is>
          <t>06/10/2026 09:36:31</t>
        </is>
      </c>
      <c r="F1794" s="59" t="inlineStr">
        <is>
          <t>6 ngày trước</t>
        </is>
      </c>
      <c r="G1794" s="61" t="n">
        <v>6</v>
      </c>
      <c r="H1794" s="62" t="n">
        <v>20</v>
      </c>
      <c r="I1794" s="9" t="inlineStr">
        <is>
          <t>Pet Owner / Cộng đồng nuôi cún (10đ)</t>
        </is>
      </c>
      <c r="J1794" s="62" t="n">
        <v>10</v>
      </c>
      <c r="K1794" s="9" t="inlineStr">
        <is>
          <t>Chưa rõ giống (Cần quét Bio)</t>
        </is>
      </c>
      <c r="L1794" s="62" t="n">
        <v>0</v>
      </c>
      <c r="M1794" s="62" t="n">
        <v>0</v>
      </c>
      <c r="N1794" s="9" t="inlineStr">
        <is>
          <t>Amazon link not found</t>
        </is>
      </c>
      <c r="O1794" s="62">
        <f>IF(N1794="Selling pet toys + Artificial grass/Pet toilets (TARGET)",15,IF(N1794="Selling artificial grass/pet toilets (TARGET)",10,IF(N1794="Selling pet toys",7,IF(N1794="There's an Amazon link, but no target sales.",3,0))))</f>
        <v/>
      </c>
      <c r="P1794" s="67">
        <f>H1794+J1794+L1794+M1794+O1794</f>
        <v/>
      </c>
      <c r="Q1794" s="69">
        <f>IF(OR(H1794=0,P1794&lt;30),"Tier D (Đóng băng)",IF(P1794&gt;=85,"Tier S (Kim Cương: 85-100đ)",IF(P1794&gt;=70,"Tier A (Vàng: 70-84đ)",IF(P1794&gt;=61,"Tier B+ / Cấp A (Hot Lead: 61-69đ)",IF(P1794&gt;=50,"Tier B (Bạc: 50-60đ)","Tier C (Đồng: 30-49đ)")))))</f>
        <v/>
      </c>
      <c r="R1794" s="9" t="inlineStr">
        <is>
          <t>Khay vệ sinh chung cư (Indoor Potty) + Thảm cỏ ban công (Grass Patch) + Đồ chơi</t>
        </is>
      </c>
      <c r="S1794" s="9" t="inlineStr">
        <is>
          <t>Cấp C Chi phí thấp: Nhắn tin trực tiếp qua Fanpage Facebook/Instagram + Nuôi dưỡng nội dung</t>
        </is>
      </c>
    </row>
    <row r="1795">
      <c r="A1795" s="53" t="n">
        <v>539</v>
      </c>
      <c r="B1795" s="12" t="inlineStr">
        <is>
          <t>Asociación por la Integración, el Respeto y Equidad</t>
        </is>
      </c>
      <c r="C1795" s="54" t="inlineStr">
        <is>
          <t>https://www.facebook.com/aireqro</t>
        </is>
      </c>
      <c r="D1795" s="6" t="inlineStr">
        <is>
          <t>Cần quét Bio Fanpage</t>
        </is>
      </c>
      <c r="E1795" s="53" t="inlineStr">
        <is>
          <t>06/10/2026 08:49:26</t>
        </is>
      </c>
      <c r="F1795" s="53" t="inlineStr">
        <is>
          <t>6 ngày trước</t>
        </is>
      </c>
      <c r="G1795" s="55" t="n">
        <v>6</v>
      </c>
      <c r="H1795" s="56" t="n">
        <v>20</v>
      </c>
      <c r="I1795" s="6" t="inlineStr">
        <is>
          <t>Pet Owner / Cộng đồng nuôi cún (10đ)</t>
        </is>
      </c>
      <c r="J1795" s="56" t="n">
        <v>10</v>
      </c>
      <c r="K1795" s="6" t="inlineStr">
        <is>
          <t>Chưa rõ giống (Cần quét Bio)</t>
        </is>
      </c>
      <c r="L1795" s="56" t="n">
        <v>0</v>
      </c>
      <c r="M1795" s="56" t="n">
        <v>0</v>
      </c>
      <c r="N1795" s="6" t="inlineStr">
        <is>
          <t>Amazon link not found</t>
        </is>
      </c>
      <c r="O1795" s="56">
        <f>IF(N1795="Selling pet toys + Artificial grass/Pet toilets (TARGET)",15,IF(N1795="Selling artificial grass/pet toilets (TARGET)",10,IF(N1795="Selling pet toys",7,IF(N1795="There's an Amazon link, but no target sales.",3,0))))</f>
        <v/>
      </c>
      <c r="P1795" s="65">
        <f>H1795+J1795+L1795+M1795+O1795</f>
        <v/>
      </c>
      <c r="Q1795" s="69">
        <f>IF(OR(H1795=0,P1795&lt;30),"Tier D (Đóng băng)",IF(P1795&gt;=85,"Tier S (Kim Cương: 85-100đ)",IF(P1795&gt;=70,"Tier A (Vàng: 70-84đ)",IF(P1795&gt;=61,"Tier B+ / Cấp A (Hot Lead: 61-69đ)",IF(P1795&gt;=50,"Tier B (Bạc: 50-60đ)","Tier C (Đồng: 30-49đ)")))))</f>
        <v/>
      </c>
      <c r="R1795" s="6" t="inlineStr">
        <is>
          <t>Khay vệ sinh chung cư (Indoor Potty) + Thảm cỏ ban công (Grass Patch) + Đồ chơi</t>
        </is>
      </c>
      <c r="S1795" s="6" t="inlineStr">
        <is>
          <t>Cấp C Chi phí thấp: Nhắn tin trực tiếp qua Fanpage Facebook/Instagram + Nuôi dưỡng nội dung</t>
        </is>
      </c>
    </row>
    <row r="1796">
      <c r="A1796" s="59" t="n">
        <v>758</v>
      </c>
      <c r="B1796" s="15" t="inlineStr">
        <is>
          <t>Brigadoon Service Dogs</t>
        </is>
      </c>
      <c r="C1796" s="60" t="inlineStr">
        <is>
          <t>https://www.facebook.com/BrigadoonServiceDogs</t>
        </is>
      </c>
      <c r="D1796" s="9" t="inlineStr">
        <is>
          <t>Cần quét Bio Fanpage</t>
        </is>
      </c>
      <c r="E1796" s="59" t="inlineStr">
        <is>
          <t>06/10/2026 01:56:48</t>
        </is>
      </c>
      <c r="F1796" s="59" t="inlineStr">
        <is>
          <t>1 tuần trước</t>
        </is>
      </c>
      <c r="G1796" s="61" t="n">
        <v>7</v>
      </c>
      <c r="H1796" s="62" t="n">
        <v>20</v>
      </c>
      <c r="I1796" s="9" t="inlineStr">
        <is>
          <t>Pet Owner / Cộng đồng nuôi cún (10đ)</t>
        </is>
      </c>
      <c r="J1796" s="62" t="n">
        <v>10</v>
      </c>
      <c r="K1796" s="9" t="inlineStr">
        <is>
          <t>Chưa rõ giống (Cần quét Bio)</t>
        </is>
      </c>
      <c r="L1796" s="62" t="n">
        <v>0</v>
      </c>
      <c r="M1796" s="62" t="n">
        <v>0</v>
      </c>
      <c r="N1796" s="9" t="inlineStr">
        <is>
          <t>Amazon link not found</t>
        </is>
      </c>
      <c r="O1796" s="62">
        <f>IF(N1796="Selling pet toys + Artificial grass/Pet toilets (TARGET)",15,IF(N1796="Selling artificial grass/pet toilets (TARGET)",10,IF(N1796="Selling pet toys",7,IF(N1796="There's an Amazon link, but no target sales.",3,0))))</f>
        <v/>
      </c>
      <c r="P1796" s="67">
        <f>H1796+J1796+L1796+M1796+O1796</f>
        <v/>
      </c>
      <c r="Q1796" s="69">
        <f>IF(OR(H1796=0,P1796&lt;30),"Tier D (Đóng băng)",IF(P1796&gt;=85,"Tier S (Kim Cương: 85-100đ)",IF(P1796&gt;=70,"Tier A (Vàng: 70-84đ)",IF(P1796&gt;=61,"Tier B+ / Cấp A (Hot Lead: 61-69đ)",IF(P1796&gt;=50,"Tier B (Bạc: 50-60đ)","Tier C (Đồng: 30-49đ)")))))</f>
        <v/>
      </c>
      <c r="R1796" s="9" t="inlineStr">
        <is>
          <t>Khay vệ sinh chung cư (Indoor Potty) + Thảm cỏ ban công (Grass Patch) + Đồ chơi</t>
        </is>
      </c>
      <c r="S1796" s="9" t="inlineStr">
        <is>
          <t>Cấp C Chi phí thấp: Nhắn tin trực tiếp qua Fanpage Facebook/Instagram + Nuôi dưỡng nội dung</t>
        </is>
      </c>
    </row>
    <row r="1797">
      <c r="A1797" s="53" t="n">
        <v>1293</v>
      </c>
      <c r="B1797" s="12" t="inlineStr">
        <is>
          <t>Enzyme Diane-for dogs with EPI</t>
        </is>
      </c>
      <c r="C1797" s="54" t="inlineStr">
        <is>
          <t>https://www.facebook.com/profile.php?id=100048569958700</t>
        </is>
      </c>
      <c r="D1797" s="6" t="inlineStr">
        <is>
          <t>Cần quét Bio Fanpage</t>
        </is>
      </c>
      <c r="E1797" s="53" t="inlineStr">
        <is>
          <t>05/10/2026 23:25:08</t>
        </is>
      </c>
      <c r="F1797" s="53" t="inlineStr">
        <is>
          <t>1 tuần trước</t>
        </is>
      </c>
      <c r="G1797" s="55" t="n">
        <v>7</v>
      </c>
      <c r="H1797" s="56" t="n">
        <v>20</v>
      </c>
      <c r="I1797" s="6" t="inlineStr">
        <is>
          <t>Pet Owner / Cộng đồng nuôi cún (10đ)</t>
        </is>
      </c>
      <c r="J1797" s="56" t="n">
        <v>10</v>
      </c>
      <c r="K1797" s="6" t="inlineStr">
        <is>
          <t>Chưa rõ giống (Cần quét Bio)</t>
        </is>
      </c>
      <c r="L1797" s="56" t="n">
        <v>0</v>
      </c>
      <c r="M1797" s="56" t="n">
        <v>0</v>
      </c>
      <c r="N1797" s="6" t="inlineStr">
        <is>
          <t>Amazon link not found</t>
        </is>
      </c>
      <c r="O1797" s="56">
        <f>IF(N1797="Selling pet toys + Artificial grass/Pet toilets (TARGET)",15,IF(N1797="Selling artificial grass/pet toilets (TARGET)",10,IF(N1797="Selling pet toys",7,IF(N1797="There's an Amazon link, but no target sales.",3,0))))</f>
        <v/>
      </c>
      <c r="P1797" s="65">
        <f>H1797+J1797+L1797+M1797+O1797</f>
        <v/>
      </c>
      <c r="Q1797" s="69">
        <f>IF(OR(H1797=0,P1797&lt;30),"Tier D (Đóng băng)",IF(P1797&gt;=85,"Tier S (Kim Cương: 85-100đ)",IF(P1797&gt;=70,"Tier A (Vàng: 70-84đ)",IF(P1797&gt;=61,"Tier B+ / Cấp A (Hot Lead: 61-69đ)",IF(P1797&gt;=50,"Tier B (Bạc: 50-60đ)","Tier C (Đồng: 30-49đ)")))))</f>
        <v/>
      </c>
      <c r="R1797" s="6" t="inlineStr">
        <is>
          <t>Khay vệ sinh chung cư (Indoor Potty) + Thảm cỏ ban công (Grass Patch) + Đồ chơi</t>
        </is>
      </c>
      <c r="S1797" s="6" t="inlineStr">
        <is>
          <t>Cấp C Chi phí thấp: Nhắn tin trực tiếp qua Fanpage Facebook/Instagram + Nuôi dưỡng nội dung</t>
        </is>
      </c>
    </row>
    <row r="1798">
      <c r="A1798" s="59" t="n">
        <v>1147</v>
      </c>
      <c r="B1798" s="15" t="inlineStr">
        <is>
          <t>DogNostics Education</t>
        </is>
      </c>
      <c r="C1798" s="60" t="inlineStr">
        <is>
          <t>https://www.facebook.com/DogNosticseducation</t>
        </is>
      </c>
      <c r="D1798" s="9" t="inlineStr">
        <is>
          <t>Cần quét Bio Fanpage</t>
        </is>
      </c>
      <c r="E1798" s="59" t="inlineStr">
        <is>
          <t>05/10/2026 22:22:02</t>
        </is>
      </c>
      <c r="F1798" s="59" t="inlineStr">
        <is>
          <t>1 tuần trước</t>
        </is>
      </c>
      <c r="G1798" s="61" t="n">
        <v>7</v>
      </c>
      <c r="H1798" s="62" t="n">
        <v>20</v>
      </c>
      <c r="I1798" s="9" t="inlineStr">
        <is>
          <t>Pet Owner / Cộng đồng nuôi cún (10đ)</t>
        </is>
      </c>
      <c r="J1798" s="62" t="n">
        <v>10</v>
      </c>
      <c r="K1798" s="9" t="inlineStr">
        <is>
          <t>Chưa rõ giống (Cần quét Bio)</t>
        </is>
      </c>
      <c r="L1798" s="62" t="n">
        <v>0</v>
      </c>
      <c r="M1798" s="62" t="n">
        <v>0</v>
      </c>
      <c r="N1798" s="9" t="inlineStr">
        <is>
          <t>Amazon link not found</t>
        </is>
      </c>
      <c r="O1798" s="62">
        <f>IF(N1798="Selling pet toys + Artificial grass/Pet toilets (TARGET)",15,IF(N1798="Selling artificial grass/pet toilets (TARGET)",10,IF(N1798="Selling pet toys",7,IF(N1798="There's an Amazon link, but no target sales.",3,0))))</f>
        <v/>
      </c>
      <c r="P1798" s="67">
        <f>H1798+J1798+L1798+M1798+O1798</f>
        <v/>
      </c>
      <c r="Q1798" s="69">
        <f>IF(OR(H1798=0,P1798&lt;30),"Tier D (Đóng băng)",IF(P1798&gt;=85,"Tier S (Kim Cương: 85-100đ)",IF(P1798&gt;=70,"Tier A (Vàng: 70-84đ)",IF(P1798&gt;=61,"Tier B+ / Cấp A (Hot Lead: 61-69đ)",IF(P1798&gt;=50,"Tier B (Bạc: 50-60đ)","Tier C (Đồng: 30-49đ)")))))</f>
        <v/>
      </c>
      <c r="R1798" s="9" t="inlineStr">
        <is>
          <t>Khay vệ sinh chung cư (Indoor Potty) + Thảm cỏ ban công (Grass Patch) + Đồ chơi</t>
        </is>
      </c>
      <c r="S1798" s="9" t="inlineStr">
        <is>
          <t>Cấp C Chi phí thấp: Nhắn tin trực tiếp qua Fanpage Facebook/Instagram + Nuôi dưỡng nội dung</t>
        </is>
      </c>
    </row>
    <row r="1799">
      <c r="A1799" s="53" t="n">
        <v>1254</v>
      </c>
      <c r="B1799" s="12" t="inlineStr">
        <is>
          <t>Dynamic Dogs</t>
        </is>
      </c>
      <c r="C1799" s="54" t="inlineStr">
        <is>
          <t>https://www.facebook.com/DynamicDogUK</t>
        </is>
      </c>
      <c r="D1799" s="6" t="inlineStr">
        <is>
          <t>Cần quét Bio Fanpage</t>
        </is>
      </c>
      <c r="E1799" s="53" t="inlineStr">
        <is>
          <t>05/10/2026 21:20:13</t>
        </is>
      </c>
      <c r="F1799" s="53" t="inlineStr">
        <is>
          <t>1 tuần trước</t>
        </is>
      </c>
      <c r="G1799" s="55" t="n">
        <v>7</v>
      </c>
      <c r="H1799" s="56" t="n">
        <v>20</v>
      </c>
      <c r="I1799" s="6" t="inlineStr">
        <is>
          <t>Pet Owner / Cộng đồng nuôi cún (10đ)</t>
        </is>
      </c>
      <c r="J1799" s="56" t="n">
        <v>10</v>
      </c>
      <c r="K1799" s="6" t="inlineStr">
        <is>
          <t>Chưa rõ giống (Cần quét Bio)</t>
        </is>
      </c>
      <c r="L1799" s="56" t="n">
        <v>0</v>
      </c>
      <c r="M1799" s="56" t="n">
        <v>0</v>
      </c>
      <c r="N1799" s="6" t="inlineStr">
        <is>
          <t>Amazon link not found</t>
        </is>
      </c>
      <c r="O1799" s="56">
        <f>IF(N1799="Selling pet toys + Artificial grass/Pet toilets (TARGET)",15,IF(N1799="Selling artificial grass/pet toilets (TARGET)",10,IF(N1799="Selling pet toys",7,IF(N1799="There's an Amazon link, but no target sales.",3,0))))</f>
        <v/>
      </c>
      <c r="P1799" s="65">
        <f>H1799+J1799+L1799+M1799+O1799</f>
        <v/>
      </c>
      <c r="Q1799" s="69">
        <f>IF(OR(H1799=0,P1799&lt;30),"Tier D (Đóng băng)",IF(P1799&gt;=85,"Tier S (Kim Cương: 85-100đ)",IF(P1799&gt;=70,"Tier A (Vàng: 70-84đ)",IF(P1799&gt;=61,"Tier B+ / Cấp A (Hot Lead: 61-69đ)",IF(P1799&gt;=50,"Tier B (Bạc: 50-60đ)","Tier C (Đồng: 30-49đ)")))))</f>
        <v/>
      </c>
      <c r="R1799" s="6" t="inlineStr">
        <is>
          <t>Khay vệ sinh chung cư (Indoor Potty) + Thảm cỏ ban công (Grass Patch) + Đồ chơi</t>
        </is>
      </c>
      <c r="S1799" s="6" t="inlineStr">
        <is>
          <t>Cấp C Chi phí thấp: Nhắn tin trực tiếp qua Fanpage Facebook/Instagram + Nuôi dưỡng nội dung</t>
        </is>
      </c>
    </row>
    <row r="1800">
      <c r="A1800" s="59" t="n">
        <v>254</v>
      </c>
      <c r="B1800" s="15" t="inlineStr">
        <is>
          <t>Roberta Boscolo - Dog Talent centro cinofilo</t>
        </is>
      </c>
      <c r="C1800" s="60" t="inlineStr">
        <is>
          <t>https://www.facebook.com/dogtalentchioggia</t>
        </is>
      </c>
      <c r="D1800" s="9" t="inlineStr">
        <is>
          <t>Cần quét Bio Fanpage</t>
        </is>
      </c>
      <c r="E1800" s="59" t="inlineStr">
        <is>
          <t>05/10/2026 21:13:55</t>
        </is>
      </c>
      <c r="F1800" s="59" t="inlineStr">
        <is>
          <t>1 tuần trước</t>
        </is>
      </c>
      <c r="G1800" s="61" t="n">
        <v>7</v>
      </c>
      <c r="H1800" s="62" t="n">
        <v>20</v>
      </c>
      <c r="I1800" s="9" t="inlineStr">
        <is>
          <t>Pet Owner / Kênh cá nhân thú cưng (10đ)</t>
        </is>
      </c>
      <c r="J1800" s="62" t="n">
        <v>10</v>
      </c>
      <c r="K1800" s="9" t="inlineStr">
        <is>
          <t>Chưa rõ giống (Cần quét Bio)</t>
        </is>
      </c>
      <c r="L1800" s="62" t="n">
        <v>0</v>
      </c>
      <c r="M1800" s="62" t="n">
        <v>0</v>
      </c>
      <c r="N1800" s="9" t="inlineStr">
        <is>
          <t>Amazon link not found</t>
        </is>
      </c>
      <c r="O1800" s="62">
        <f>IF(N1800="Selling pet toys + Artificial grass/Pet toilets (TARGET)",15,IF(N1800="Selling artificial grass/pet toilets (TARGET)",10,IF(N1800="Selling pet toys",7,IF(N1800="There's an Amazon link, but no target sales.",3,0))))</f>
        <v/>
      </c>
      <c r="P1800" s="67">
        <f>H1800+J1800+L1800+M1800+O1800</f>
        <v/>
      </c>
      <c r="Q1800" s="69">
        <f>IF(OR(H1800=0,P1800&lt;30),"Tier D (Đóng băng)",IF(P1800&gt;=85,"Tier S (Kim Cương: 85-100đ)",IF(P1800&gt;=70,"Tier A (Vàng: 70-84đ)",IF(P1800&gt;=61,"Tier B+ / Cấp A (Hot Lead: 61-69đ)",IF(P1800&gt;=50,"Tier B (Bạc: 50-60đ)","Tier C (Đồng: 30-49đ)")))))</f>
        <v/>
      </c>
      <c r="R1800" s="9" t="inlineStr">
        <is>
          <t>Khay vệ sinh trong nhà (Indoor Dog Potty) + Đồ chơi thú cưng lẻ</t>
        </is>
      </c>
      <c r="S1800" s="9" t="inlineStr">
        <is>
          <t>Cấp C Chi phí thấp: Nhắn tin trực tiếp qua Fanpage Facebook/Instagram + Nuôi dưỡng nội dung</t>
        </is>
      </c>
    </row>
    <row r="1801">
      <c r="A1801" s="53" t="n">
        <v>2438</v>
      </c>
      <c r="B1801" s="12" t="inlineStr">
        <is>
          <t>Pet Alert Castilla y León</t>
        </is>
      </c>
      <c r="C1801" s="54" t="inlineStr">
        <is>
          <t>https://www.facebook.com/Pet.Alert.Castilla.Leon</t>
        </is>
      </c>
      <c r="D1801" s="6" t="inlineStr">
        <is>
          <t>Cần quét Bio Fanpage</t>
        </is>
      </c>
      <c r="E1801" s="53" t="inlineStr">
        <is>
          <t>05/10/2026 18:56:56</t>
        </is>
      </c>
      <c r="F1801" s="53" t="inlineStr">
        <is>
          <t>1 tuần trước</t>
        </is>
      </c>
      <c r="G1801" s="55" t="n">
        <v>7</v>
      </c>
      <c r="H1801" s="56" t="n">
        <v>20</v>
      </c>
      <c r="I1801" s="6" t="inlineStr">
        <is>
          <t>Pet Owner / Cộng đồng nuôi cún (10đ)</t>
        </is>
      </c>
      <c r="J1801" s="56" t="n">
        <v>10</v>
      </c>
      <c r="K1801" s="6" t="inlineStr">
        <is>
          <t>Chưa rõ giống (Cần quét Bio)</t>
        </is>
      </c>
      <c r="L1801" s="56" t="n">
        <v>0</v>
      </c>
      <c r="M1801" s="56" t="n">
        <v>0</v>
      </c>
      <c r="N1801" s="6" t="inlineStr">
        <is>
          <t>Amazon link not found</t>
        </is>
      </c>
      <c r="O1801" s="56">
        <f>IF(N1801="Selling pet toys + Artificial grass/Pet toilets (TARGET)",15,IF(N1801="Selling artificial grass/pet toilets (TARGET)",10,IF(N1801="Selling pet toys",7,IF(N1801="There's an Amazon link, but no target sales.",3,0))))</f>
        <v/>
      </c>
      <c r="P1801" s="65">
        <f>H1801+J1801+L1801+M1801+O1801</f>
        <v/>
      </c>
      <c r="Q1801" s="69">
        <f>IF(OR(H1801=0,P1801&lt;30),"Tier D (Đóng băng)",IF(P1801&gt;=85,"Tier S (Kim Cương: 85-100đ)",IF(P1801&gt;=70,"Tier A (Vàng: 70-84đ)",IF(P1801&gt;=61,"Tier B+ / Cấp A (Hot Lead: 61-69đ)",IF(P1801&gt;=50,"Tier B (Bạc: 50-60đ)","Tier C (Đồng: 30-49đ)")))))</f>
        <v/>
      </c>
      <c r="R1801" s="6" t="inlineStr">
        <is>
          <t>Khay vệ sinh chung cư (Indoor Potty) + Thảm cỏ ban công (Grass Patch) + Đồ chơi</t>
        </is>
      </c>
      <c r="S1801" s="6" t="inlineStr">
        <is>
          <t>Cấp C Chi phí thấp: Nhắn tin trực tiếp qua Fanpage Facebook/Instagram + Nuôi dưỡng nội dung</t>
        </is>
      </c>
    </row>
    <row r="1802">
      <c r="A1802" s="59" t="n">
        <v>1091</v>
      </c>
      <c r="B1802" s="15" t="inlineStr">
        <is>
          <t>Dog Memes Galore</t>
        </is>
      </c>
      <c r="C1802" s="60" t="inlineStr">
        <is>
          <t>https://www.facebook.com/DogMemesGalore</t>
        </is>
      </c>
      <c r="D1802" s="9" t="inlineStr">
        <is>
          <t>Cần quét Bio Fanpage</t>
        </is>
      </c>
      <c r="E1802" s="59" t="inlineStr">
        <is>
          <t>05/10/2026 18:32:12</t>
        </is>
      </c>
      <c r="F1802" s="59" t="inlineStr">
        <is>
          <t>1 tuần trước</t>
        </is>
      </c>
      <c r="G1802" s="61" t="n">
        <v>7</v>
      </c>
      <c r="H1802" s="62" t="n">
        <v>20</v>
      </c>
      <c r="I1802" s="9" t="inlineStr">
        <is>
          <t>Pet Owner / Cộng đồng nuôi cún (10đ)</t>
        </is>
      </c>
      <c r="J1802" s="62" t="n">
        <v>10</v>
      </c>
      <c r="K1802" s="9" t="inlineStr">
        <is>
          <t>Chưa rõ giống (Cần quét Bio)</t>
        </is>
      </c>
      <c r="L1802" s="62" t="n">
        <v>0</v>
      </c>
      <c r="M1802" s="62" t="n">
        <v>0</v>
      </c>
      <c r="N1802" s="9" t="inlineStr">
        <is>
          <t>Amazon link not found</t>
        </is>
      </c>
      <c r="O1802" s="62">
        <f>IF(N1802="Selling pet toys + Artificial grass/Pet toilets (TARGET)",15,IF(N1802="Selling artificial grass/pet toilets (TARGET)",10,IF(N1802="Selling pet toys",7,IF(N1802="There's an Amazon link, but no target sales.",3,0))))</f>
        <v/>
      </c>
      <c r="P1802" s="67">
        <f>H1802+J1802+L1802+M1802+O1802</f>
        <v/>
      </c>
      <c r="Q1802" s="69">
        <f>IF(OR(H1802=0,P1802&lt;30),"Tier D (Đóng băng)",IF(P1802&gt;=85,"Tier S (Kim Cương: 85-100đ)",IF(P1802&gt;=70,"Tier A (Vàng: 70-84đ)",IF(P1802&gt;=61,"Tier B+ / Cấp A (Hot Lead: 61-69đ)",IF(P1802&gt;=50,"Tier B (Bạc: 50-60đ)","Tier C (Đồng: 30-49đ)")))))</f>
        <v/>
      </c>
      <c r="R1802" s="9" t="inlineStr">
        <is>
          <t>Khay vệ sinh chung cư (Indoor Potty) + Thảm cỏ ban công (Grass Patch) + Đồ chơi</t>
        </is>
      </c>
      <c r="S1802" s="9" t="inlineStr">
        <is>
          <t>Cấp C Chi phí thấp: Nhắn tin trực tiếp qua Fanpage Facebook/Instagram + Nuôi dưỡng nội dung</t>
        </is>
      </c>
    </row>
    <row r="1803">
      <c r="A1803" s="53" t="n">
        <v>2964</v>
      </c>
      <c r="B1803" s="12" t="inlineStr">
        <is>
          <t>Spinifex DogShow Photography</t>
        </is>
      </c>
      <c r="C1803" s="54" t="inlineStr">
        <is>
          <t>https://www.facebook.com/SpinifexDogShowPhotography</t>
        </is>
      </c>
      <c r="D1803" s="6" t="inlineStr">
        <is>
          <t>Cần quét Bio Fanpage</t>
        </is>
      </c>
      <c r="E1803" s="53" t="inlineStr">
        <is>
          <t>05/10/2026 16:00:00</t>
        </is>
      </c>
      <c r="F1803" s="53" t="inlineStr">
        <is>
          <t>1 tuần trước</t>
        </is>
      </c>
      <c r="G1803" s="55" t="n">
        <v>7</v>
      </c>
      <c r="H1803" s="56" t="n">
        <v>20</v>
      </c>
      <c r="I1803" s="6" t="inlineStr">
        <is>
          <t>Pet Owner / Cộng đồng nuôi cún (10đ)</t>
        </is>
      </c>
      <c r="J1803" s="56" t="n">
        <v>10</v>
      </c>
      <c r="K1803" s="6" t="inlineStr">
        <is>
          <t>Chưa rõ giống (Cần quét Bio)</t>
        </is>
      </c>
      <c r="L1803" s="56" t="n">
        <v>0</v>
      </c>
      <c r="M1803" s="56" t="n">
        <v>0</v>
      </c>
      <c r="N1803" s="6" t="inlineStr">
        <is>
          <t>Amazon link not found</t>
        </is>
      </c>
      <c r="O1803" s="56">
        <f>IF(N1803="Selling pet toys + Artificial grass/Pet toilets (TARGET)",15,IF(N1803="Selling artificial grass/pet toilets (TARGET)",10,IF(N1803="Selling pet toys",7,IF(N1803="There's an Amazon link, but no target sales.",3,0))))</f>
        <v/>
      </c>
      <c r="P1803" s="65">
        <f>H1803+J1803+L1803+M1803+O1803</f>
        <v/>
      </c>
      <c r="Q1803" s="69">
        <f>IF(OR(H1803=0,P1803&lt;30),"Tier D (Đóng băng)",IF(P1803&gt;=85,"Tier S (Kim Cương: 85-100đ)",IF(P1803&gt;=70,"Tier A (Vàng: 70-84đ)",IF(P1803&gt;=61,"Tier B+ / Cấp A (Hot Lead: 61-69đ)",IF(P1803&gt;=50,"Tier B (Bạc: 50-60đ)","Tier C (Đồng: 30-49đ)")))))</f>
        <v/>
      </c>
      <c r="R1803" s="6" t="inlineStr">
        <is>
          <t>Khay vệ sinh chung cư (Indoor Potty) + Thảm cỏ ban công (Grass Patch) + Đồ chơi</t>
        </is>
      </c>
      <c r="S1803" s="6" t="inlineStr">
        <is>
          <t>Cấp C Chi phí thấp: Nhắn tin trực tiếp qua Fanpage Facebook/Instagram + Nuôi dưỡng nội dung</t>
        </is>
      </c>
    </row>
    <row r="1804">
      <c r="A1804" s="59" t="n">
        <v>1925</v>
      </c>
      <c r="B1804" s="15" t="inlineStr">
        <is>
          <t>Khlot Peter</t>
        </is>
      </c>
      <c r="C1804" s="60" t="inlineStr">
        <is>
          <t>https://www.facebook.com/profile.php?id=61561026205790</t>
        </is>
      </c>
      <c r="D1804" s="9" t="inlineStr">
        <is>
          <t>Cần quét Bio Fanpage</t>
        </is>
      </c>
      <c r="E1804" s="59" t="inlineStr">
        <is>
          <t>05/10/2026 11:14:05</t>
        </is>
      </c>
      <c r="F1804" s="59" t="inlineStr">
        <is>
          <t>1 tuần trước</t>
        </is>
      </c>
      <c r="G1804" s="61" t="n">
        <v>7</v>
      </c>
      <c r="H1804" s="62" t="n">
        <v>20</v>
      </c>
      <c r="I1804" s="9" t="inlineStr">
        <is>
          <t>Pet Owner / Cộng đồng nuôi cún (10đ)</t>
        </is>
      </c>
      <c r="J1804" s="62" t="n">
        <v>10</v>
      </c>
      <c r="K1804" s="9" t="inlineStr">
        <is>
          <t>Chưa rõ giống (Cần quét Bio)</t>
        </is>
      </c>
      <c r="L1804" s="62" t="n">
        <v>0</v>
      </c>
      <c r="M1804" s="62" t="n">
        <v>0</v>
      </c>
      <c r="N1804" s="9" t="inlineStr">
        <is>
          <t>Amazon link not found</t>
        </is>
      </c>
      <c r="O1804" s="62">
        <f>IF(N1804="Selling pet toys + Artificial grass/Pet toilets (TARGET)",15,IF(N1804="Selling artificial grass/pet toilets (TARGET)",10,IF(N1804="Selling pet toys",7,IF(N1804="There's an Amazon link, but no target sales.",3,0))))</f>
        <v/>
      </c>
      <c r="P1804" s="67">
        <f>H1804+J1804+L1804+M1804+O1804</f>
        <v/>
      </c>
      <c r="Q1804" s="69">
        <f>IF(OR(H1804=0,P1804&lt;30),"Tier D (Đóng băng)",IF(P1804&gt;=85,"Tier S (Kim Cương: 85-100đ)",IF(P1804&gt;=70,"Tier A (Vàng: 70-84đ)",IF(P1804&gt;=61,"Tier B+ / Cấp A (Hot Lead: 61-69đ)",IF(P1804&gt;=50,"Tier B (Bạc: 50-60đ)","Tier C (Đồng: 30-49đ)")))))</f>
        <v/>
      </c>
      <c r="R1804" s="9" t="inlineStr">
        <is>
          <t>Khay vệ sinh chung cư (Indoor Potty) + Thảm cỏ ban công (Grass Patch) + Đồ chơi</t>
        </is>
      </c>
      <c r="S1804" s="9" t="inlineStr">
        <is>
          <t>Cấp C Chi phí thấp: Nhắn tin trực tiếp qua Fanpage Facebook/Instagram + Nuôi dưỡng nội dung</t>
        </is>
      </c>
    </row>
    <row r="1805">
      <c r="A1805" s="53" t="n">
        <v>2221</v>
      </c>
      <c r="B1805" s="12" t="inlineStr">
        <is>
          <t>Mountain States Stockdog Association</t>
        </is>
      </c>
      <c r="C1805" s="54" t="inlineStr">
        <is>
          <t>https://www.facebook.com/MountainStatesStockdog</t>
        </is>
      </c>
      <c r="D1805" s="6" t="inlineStr">
        <is>
          <t>Cần quét Bio Fanpage</t>
        </is>
      </c>
      <c r="E1805" s="53" t="inlineStr">
        <is>
          <t>05/10/2026 08:52:01</t>
        </is>
      </c>
      <c r="F1805" s="53" t="inlineStr">
        <is>
          <t>1 tuần trước</t>
        </is>
      </c>
      <c r="G1805" s="55" t="n">
        <v>7</v>
      </c>
      <c r="H1805" s="56" t="n">
        <v>20</v>
      </c>
      <c r="I1805" s="6" t="inlineStr">
        <is>
          <t>Pet Owner / Cộng đồng nuôi cún (10đ)</t>
        </is>
      </c>
      <c r="J1805" s="56" t="n">
        <v>10</v>
      </c>
      <c r="K1805" s="6" t="inlineStr">
        <is>
          <t>Chưa rõ giống (Cần quét Bio)</t>
        </is>
      </c>
      <c r="L1805" s="56" t="n">
        <v>0</v>
      </c>
      <c r="M1805" s="56" t="n">
        <v>0</v>
      </c>
      <c r="N1805" s="6" t="inlineStr">
        <is>
          <t>Amazon link not found</t>
        </is>
      </c>
      <c r="O1805" s="56">
        <f>IF(N1805="Selling pet toys + Artificial grass/Pet toilets (TARGET)",15,IF(N1805="Selling artificial grass/pet toilets (TARGET)",10,IF(N1805="Selling pet toys",7,IF(N1805="There's an Amazon link, but no target sales.",3,0))))</f>
        <v/>
      </c>
      <c r="P1805" s="65">
        <f>H1805+J1805+L1805+M1805+O1805</f>
        <v/>
      </c>
      <c r="Q1805" s="69">
        <f>IF(OR(H1805=0,P1805&lt;30),"Tier D (Đóng băng)",IF(P1805&gt;=85,"Tier S (Kim Cương: 85-100đ)",IF(P1805&gt;=70,"Tier A (Vàng: 70-84đ)",IF(P1805&gt;=61,"Tier B+ / Cấp A (Hot Lead: 61-69đ)",IF(P1805&gt;=50,"Tier B (Bạc: 50-60đ)","Tier C (Đồng: 30-49đ)")))))</f>
        <v/>
      </c>
      <c r="R1805" s="6" t="inlineStr">
        <is>
          <t>Khay vệ sinh chung cư (Indoor Potty) + Thảm cỏ ban công (Grass Patch) + Đồ chơi</t>
        </is>
      </c>
      <c r="S1805" s="6" t="inlineStr">
        <is>
          <t>Cấp C Chi phí thấp: Nhắn tin trực tiếp qua Fanpage Facebook/Instagram + Nuôi dưỡng nội dung</t>
        </is>
      </c>
    </row>
    <row r="1806">
      <c r="A1806" s="59" t="n">
        <v>2046</v>
      </c>
      <c r="B1806" s="15" t="inlineStr">
        <is>
          <t>Loki the Wolfdog</t>
        </is>
      </c>
      <c r="C1806" s="60" t="inlineStr">
        <is>
          <t>https://www.facebook.com/lokithewolfdog</t>
        </is>
      </c>
      <c r="D1806" s="9" t="inlineStr">
        <is>
          <t>Cần quét Bio Fanpage</t>
        </is>
      </c>
      <c r="E1806" s="59" t="inlineStr">
        <is>
          <t>05/10/2026 07:29:41</t>
        </is>
      </c>
      <c r="F1806" s="59" t="inlineStr">
        <is>
          <t>1 tuần trước</t>
        </is>
      </c>
      <c r="G1806" s="61" t="n">
        <v>7</v>
      </c>
      <c r="H1806" s="62" t="n">
        <v>20</v>
      </c>
      <c r="I1806" s="9" t="inlineStr">
        <is>
          <t>Pet Owner / Cộng đồng nuôi cún (10đ)</t>
        </is>
      </c>
      <c r="J1806" s="62" t="n">
        <v>10</v>
      </c>
      <c r="K1806" s="9" t="inlineStr">
        <is>
          <t>Chưa rõ giống (Cần quét Bio)</t>
        </is>
      </c>
      <c r="L1806" s="62" t="n">
        <v>0</v>
      </c>
      <c r="M1806" s="62" t="n">
        <v>0</v>
      </c>
      <c r="N1806" s="9" t="inlineStr">
        <is>
          <t>Amazon link not found</t>
        </is>
      </c>
      <c r="O1806" s="62">
        <f>IF(N1806="Selling pet toys + Artificial grass/Pet toilets (TARGET)",15,IF(N1806="Selling artificial grass/pet toilets (TARGET)",10,IF(N1806="Selling pet toys",7,IF(N1806="There's an Amazon link, but no target sales.",3,0))))</f>
        <v/>
      </c>
      <c r="P1806" s="67">
        <f>H1806+J1806+L1806+M1806+O1806</f>
        <v/>
      </c>
      <c r="Q1806" s="69">
        <f>IF(OR(H1806=0,P1806&lt;30),"Tier D (Đóng băng)",IF(P1806&gt;=85,"Tier S (Kim Cương: 85-100đ)",IF(P1806&gt;=70,"Tier A (Vàng: 70-84đ)",IF(P1806&gt;=61,"Tier B+ / Cấp A (Hot Lead: 61-69đ)",IF(P1806&gt;=50,"Tier B (Bạc: 50-60đ)","Tier C (Đồng: 30-49đ)")))))</f>
        <v/>
      </c>
      <c r="R1806" s="9" t="inlineStr">
        <is>
          <t>Khay vệ sinh chung cư (Indoor Potty) + Thảm cỏ ban công (Grass Patch) + Đồ chơi</t>
        </is>
      </c>
      <c r="S1806" s="9" t="inlineStr">
        <is>
          <t>Cấp C Chi phí thấp: Nhắn tin trực tiếp qua Fanpage Facebook/Instagram + Nuôi dưỡng nội dung</t>
        </is>
      </c>
    </row>
    <row r="1807">
      <c r="A1807" s="53" t="n">
        <v>2871</v>
      </c>
      <c r="B1807" s="12" t="inlineStr">
        <is>
          <t>Shadow Dog Art &amp; Design</t>
        </is>
      </c>
      <c r="C1807" s="54" t="inlineStr">
        <is>
          <t>https://www.facebook.com/ShadowDogDesign</t>
        </is>
      </c>
      <c r="D1807" s="6" t="inlineStr">
        <is>
          <t>Cần quét Bio Fanpage</t>
        </is>
      </c>
      <c r="E1807" s="53" t="inlineStr">
        <is>
          <t>05/10/2026 00:44:32</t>
        </is>
      </c>
      <c r="F1807" s="53" t="inlineStr">
        <is>
          <t>1 tuần trước</t>
        </is>
      </c>
      <c r="G1807" s="55" t="n">
        <v>7</v>
      </c>
      <c r="H1807" s="56" t="n">
        <v>20</v>
      </c>
      <c r="I1807" s="6" t="inlineStr">
        <is>
          <t>Pet Owner / Cộng đồng nuôi cún (10đ)</t>
        </is>
      </c>
      <c r="J1807" s="56" t="n">
        <v>10</v>
      </c>
      <c r="K1807" s="6" t="inlineStr">
        <is>
          <t>Chưa rõ giống (Cần quét Bio)</t>
        </is>
      </c>
      <c r="L1807" s="56" t="n">
        <v>0</v>
      </c>
      <c r="M1807" s="56" t="n">
        <v>0</v>
      </c>
      <c r="N1807" s="6" t="inlineStr">
        <is>
          <t>Amazon link not found</t>
        </is>
      </c>
      <c r="O1807" s="56">
        <f>IF(N1807="Selling pet toys + Artificial grass/Pet toilets (TARGET)",15,IF(N1807="Selling artificial grass/pet toilets (TARGET)",10,IF(N1807="Selling pet toys",7,IF(N1807="There's an Amazon link, but no target sales.",3,0))))</f>
        <v/>
      </c>
      <c r="P1807" s="65">
        <f>H1807+J1807+L1807+M1807+O1807</f>
        <v/>
      </c>
      <c r="Q1807" s="69">
        <f>IF(OR(H1807=0,P1807&lt;30),"Tier D (Đóng băng)",IF(P1807&gt;=85,"Tier S (Kim Cương: 85-100đ)",IF(P1807&gt;=70,"Tier A (Vàng: 70-84đ)",IF(P1807&gt;=61,"Tier B+ / Cấp A (Hot Lead: 61-69đ)",IF(P1807&gt;=50,"Tier B (Bạc: 50-60đ)","Tier C (Đồng: 30-49đ)")))))</f>
        <v/>
      </c>
      <c r="R1807" s="6" t="inlineStr">
        <is>
          <t>Khay vệ sinh chung cư (Indoor Potty) + Thảm cỏ ban công (Grass Patch) + Đồ chơi</t>
        </is>
      </c>
      <c r="S1807" s="6" t="inlineStr">
        <is>
          <t>Cấp C Chi phí thấp: Nhắn tin trực tiếp qua Fanpage Facebook/Instagram + Nuôi dưỡng nội dung</t>
        </is>
      </c>
    </row>
    <row r="1808">
      <c r="A1808" s="59" t="n">
        <v>2814</v>
      </c>
      <c r="B1808" s="15" t="inlineStr">
        <is>
          <t>Salon Pielęgnacji Psów My Dogs</t>
        </is>
      </c>
      <c r="C1808" s="60" t="inlineStr">
        <is>
          <t>https://www.facebook.com/profile.php?id=100057143212725</t>
        </is>
      </c>
      <c r="D1808" s="9" t="inlineStr">
        <is>
          <t>Cần quét Bio Fanpage</t>
        </is>
      </c>
      <c r="E1808" s="59" t="inlineStr">
        <is>
          <t>04/10/2026 20:29:01</t>
        </is>
      </c>
      <c r="F1808" s="59" t="inlineStr">
        <is>
          <t>1 tuần trước</t>
        </is>
      </c>
      <c r="G1808" s="61" t="n">
        <v>7</v>
      </c>
      <c r="H1808" s="62" t="n">
        <v>20</v>
      </c>
      <c r="I1808" s="9" t="inlineStr">
        <is>
          <t>Pet Owner / Cộng đồng nuôi cún (10đ)</t>
        </is>
      </c>
      <c r="J1808" s="62" t="n">
        <v>10</v>
      </c>
      <c r="K1808" s="9" t="inlineStr">
        <is>
          <t>Chưa rõ giống (Cần quét Bio)</t>
        </is>
      </c>
      <c r="L1808" s="62" t="n">
        <v>0</v>
      </c>
      <c r="M1808" s="62" t="n">
        <v>0</v>
      </c>
      <c r="N1808" s="9" t="inlineStr">
        <is>
          <t>Amazon link not found</t>
        </is>
      </c>
      <c r="O1808" s="62">
        <f>IF(N1808="Selling pet toys + Artificial grass/Pet toilets (TARGET)",15,IF(N1808="Selling artificial grass/pet toilets (TARGET)",10,IF(N1808="Selling pet toys",7,IF(N1808="There's an Amazon link, but no target sales.",3,0))))</f>
        <v/>
      </c>
      <c r="P1808" s="67">
        <f>H1808+J1808+L1808+M1808+O1808</f>
        <v/>
      </c>
      <c r="Q1808" s="69">
        <f>IF(OR(H1808=0,P1808&lt;30),"Tier D (Đóng băng)",IF(P1808&gt;=85,"Tier S (Kim Cương: 85-100đ)",IF(P1808&gt;=70,"Tier A (Vàng: 70-84đ)",IF(P1808&gt;=61,"Tier B+ / Cấp A (Hot Lead: 61-69đ)",IF(P1808&gt;=50,"Tier B (Bạc: 50-60đ)","Tier C (Đồng: 30-49đ)")))))</f>
        <v/>
      </c>
      <c r="R1808" s="9" t="inlineStr">
        <is>
          <t>Khay vệ sinh chung cư (Indoor Potty) + Thảm cỏ ban công (Grass Patch) + Đồ chơi</t>
        </is>
      </c>
      <c r="S1808" s="9" t="inlineStr">
        <is>
          <t>Cấp C Chi phí thấp: Nhắn tin trực tiếp qua Fanpage Facebook/Instagram + Nuôi dưỡng nội dung</t>
        </is>
      </c>
    </row>
    <row r="1809">
      <c r="A1809" s="53" t="n">
        <v>1702</v>
      </c>
      <c r="B1809" s="12" t="inlineStr">
        <is>
          <t>HUNT DOG</t>
        </is>
      </c>
      <c r="C1809" s="54" t="inlineStr">
        <is>
          <t>https://www.facebook.com/profile.php?id=61556373790195</t>
        </is>
      </c>
      <c r="D1809" s="6" t="inlineStr">
        <is>
          <t>Cần quét Bio Fanpage</t>
        </is>
      </c>
      <c r="E1809" s="53" t="inlineStr">
        <is>
          <t>04/10/2026 18:31:13</t>
        </is>
      </c>
      <c r="F1809" s="53" t="inlineStr">
        <is>
          <t>1 tuần trước</t>
        </is>
      </c>
      <c r="G1809" s="55" t="n">
        <v>7</v>
      </c>
      <c r="H1809" s="56" t="n">
        <v>20</v>
      </c>
      <c r="I1809" s="6" t="inlineStr">
        <is>
          <t>Pet Owner / Cộng đồng nuôi cún (10đ)</t>
        </is>
      </c>
      <c r="J1809" s="56" t="n">
        <v>10</v>
      </c>
      <c r="K1809" s="6" t="inlineStr">
        <is>
          <t>Chưa rõ giống (Cần quét Bio)</t>
        </is>
      </c>
      <c r="L1809" s="56" t="n">
        <v>0</v>
      </c>
      <c r="M1809" s="56" t="n">
        <v>0</v>
      </c>
      <c r="N1809" s="6" t="inlineStr">
        <is>
          <t>Amazon link not found</t>
        </is>
      </c>
      <c r="O1809" s="56">
        <f>IF(N1809="Selling pet toys + Artificial grass/Pet toilets (TARGET)",15,IF(N1809="Selling artificial grass/pet toilets (TARGET)",10,IF(N1809="Selling pet toys",7,IF(N1809="There's an Amazon link, but no target sales.",3,0))))</f>
        <v/>
      </c>
      <c r="P1809" s="65">
        <f>H1809+J1809+L1809+M1809+O1809</f>
        <v/>
      </c>
      <c r="Q1809" s="69">
        <f>IF(OR(H1809=0,P1809&lt;30),"Tier D (Đóng băng)",IF(P1809&gt;=85,"Tier S (Kim Cương: 85-100đ)",IF(P1809&gt;=70,"Tier A (Vàng: 70-84đ)",IF(P1809&gt;=61,"Tier B+ / Cấp A (Hot Lead: 61-69đ)",IF(P1809&gt;=50,"Tier B (Bạc: 50-60đ)","Tier C (Đồng: 30-49đ)")))))</f>
        <v/>
      </c>
      <c r="R1809" s="6" t="inlineStr">
        <is>
          <t>Khay vệ sinh chung cư (Indoor Potty) + Thảm cỏ ban công (Grass Patch) + Đồ chơi</t>
        </is>
      </c>
      <c r="S1809" s="6" t="inlineStr">
        <is>
          <t>Cấp C Chi phí thấp: Nhắn tin trực tiếp qua Fanpage Facebook/Instagram + Nuôi dưỡng nội dung</t>
        </is>
      </c>
    </row>
    <row r="1810">
      <c r="A1810" s="59" t="n">
        <v>1120</v>
      </c>
      <c r="B1810" s="15" t="inlineStr">
        <is>
          <t>Doggie Adventures UAE</t>
        </is>
      </c>
      <c r="C1810" s="60" t="inlineStr">
        <is>
          <t>https://www.facebook.com/DoggieAdventuresInDubai</t>
        </is>
      </c>
      <c r="D1810" s="9" t="inlineStr">
        <is>
          <t>Cần quét Bio Fanpage</t>
        </is>
      </c>
      <c r="E1810" s="59" t="inlineStr">
        <is>
          <t>04/10/2026 15:28:37</t>
        </is>
      </c>
      <c r="F1810" s="59" t="inlineStr">
        <is>
          <t>1 tuần trước</t>
        </is>
      </c>
      <c r="G1810" s="61" t="n">
        <v>7</v>
      </c>
      <c r="H1810" s="62" t="n">
        <v>20</v>
      </c>
      <c r="I1810" s="9" t="inlineStr">
        <is>
          <t>Pet Owner / Kênh cá nhân thú cưng (10đ)</t>
        </is>
      </c>
      <c r="J1810" s="62" t="n">
        <v>10</v>
      </c>
      <c r="K1810" s="9" t="inlineStr">
        <is>
          <t>Chưa rõ giống (Cần quét Bio)</t>
        </is>
      </c>
      <c r="L1810" s="62" t="n">
        <v>0</v>
      </c>
      <c r="M1810" s="62" t="n">
        <v>0</v>
      </c>
      <c r="N1810" s="9" t="inlineStr">
        <is>
          <t>Amazon link not found</t>
        </is>
      </c>
      <c r="O1810" s="62">
        <f>IF(N1810="Selling pet toys + Artificial grass/Pet toilets (TARGET)",15,IF(N1810="Selling artificial grass/pet toilets (TARGET)",10,IF(N1810="Selling pet toys",7,IF(N1810="There's an Amazon link, but no target sales.",3,0))))</f>
        <v/>
      </c>
      <c r="P1810" s="67">
        <f>H1810+J1810+L1810+M1810+O1810</f>
        <v/>
      </c>
      <c r="Q1810" s="69">
        <f>IF(OR(H1810=0,P1810&lt;30),"Tier D (Đóng băng)",IF(P1810&gt;=85,"Tier S (Kim Cương: 85-100đ)",IF(P1810&gt;=70,"Tier A (Vàng: 70-84đ)",IF(P1810&gt;=61,"Tier B+ / Cấp A (Hot Lead: 61-69đ)",IF(P1810&gt;=50,"Tier B (Bạc: 50-60đ)","Tier C (Đồng: 30-49đ)")))))</f>
        <v/>
      </c>
      <c r="R1810" s="9" t="inlineStr">
        <is>
          <t>Khay vệ sinh trong nhà (Indoor Dog Potty) + Đồ chơi thú cưng lẻ</t>
        </is>
      </c>
      <c r="S1810" s="9" t="inlineStr">
        <is>
          <t>Cấp C Chi phí thấp: Nhắn tin trực tiếp qua Fanpage Facebook/Instagram + Nuôi dưỡng nội dung</t>
        </is>
      </c>
    </row>
    <row r="1811">
      <c r="A1811" s="53" t="n">
        <v>2491</v>
      </c>
      <c r="B1811" s="12" t="inlineStr">
        <is>
          <t>Peter Chinh</t>
        </is>
      </c>
      <c r="C1811" s="54" t="inlineStr">
        <is>
          <t>https://www.facebook.com/chinh.phan.5855</t>
        </is>
      </c>
      <c r="D1811" s="6" t="inlineStr">
        <is>
          <t>Cần quét Bio Fanpage</t>
        </is>
      </c>
      <c r="E1811" s="53" t="inlineStr">
        <is>
          <t>04/10/2026 08:31:15</t>
        </is>
      </c>
      <c r="F1811" s="53" t="inlineStr">
        <is>
          <t>1 tuần trước</t>
        </is>
      </c>
      <c r="G1811" s="55" t="n">
        <v>7</v>
      </c>
      <c r="H1811" s="56" t="n">
        <v>20</v>
      </c>
      <c r="I1811" s="6" t="inlineStr">
        <is>
          <t>Pet Owner / Cộng đồng nuôi cún (10đ)</t>
        </is>
      </c>
      <c r="J1811" s="56" t="n">
        <v>10</v>
      </c>
      <c r="K1811" s="6" t="inlineStr">
        <is>
          <t>Chưa rõ giống (Cần quét Bio)</t>
        </is>
      </c>
      <c r="L1811" s="56" t="n">
        <v>0</v>
      </c>
      <c r="M1811" s="56" t="n">
        <v>0</v>
      </c>
      <c r="N1811" s="6" t="inlineStr">
        <is>
          <t>Amazon link not found</t>
        </is>
      </c>
      <c r="O1811" s="56">
        <f>IF(N1811="Selling pet toys + Artificial grass/Pet toilets (TARGET)",15,IF(N1811="Selling artificial grass/pet toilets (TARGET)",10,IF(N1811="Selling pet toys",7,IF(N1811="There's an Amazon link, but no target sales.",3,0))))</f>
        <v/>
      </c>
      <c r="P1811" s="65">
        <f>H1811+J1811+L1811+M1811+O1811</f>
        <v/>
      </c>
      <c r="Q1811" s="69">
        <f>IF(OR(H1811=0,P1811&lt;30),"Tier D (Đóng băng)",IF(P1811&gt;=85,"Tier S (Kim Cương: 85-100đ)",IF(P1811&gt;=70,"Tier A (Vàng: 70-84đ)",IF(P1811&gt;=61,"Tier B+ / Cấp A (Hot Lead: 61-69đ)",IF(P1811&gt;=50,"Tier B (Bạc: 50-60đ)","Tier C (Đồng: 30-49đ)")))))</f>
        <v/>
      </c>
      <c r="R1811" s="6" t="inlineStr">
        <is>
          <t>Khay vệ sinh chung cư (Indoor Potty) + Thảm cỏ ban công (Grass Patch) + Đồ chơi</t>
        </is>
      </c>
      <c r="S1811" s="6" t="inlineStr">
        <is>
          <t>Cấp C Chi phí thấp: Nhắn tin trực tiếp qua Fanpage Facebook/Instagram + Nuôi dưỡng nội dung</t>
        </is>
      </c>
    </row>
    <row r="1812">
      <c r="A1812" s="59" t="n">
        <v>244</v>
      </c>
      <c r="B1812" s="15" t="inlineStr">
        <is>
          <t>Petru Muntean</t>
        </is>
      </c>
      <c r="C1812" s="60" t="inlineStr">
        <is>
          <t>https://www.facebook.com/petru.muntean1</t>
        </is>
      </c>
      <c r="D1812" s="9" t="inlineStr">
        <is>
          <t>Cần quét Bio Fanpage</t>
        </is>
      </c>
      <c r="E1812" s="59" t="inlineStr">
        <is>
          <t>04/10/2026 03:36:12</t>
        </is>
      </c>
      <c r="F1812" s="59" t="inlineStr">
        <is>
          <t>1 tuần trước</t>
        </is>
      </c>
      <c r="G1812" s="61" t="n">
        <v>7</v>
      </c>
      <c r="H1812" s="62" t="n">
        <v>20</v>
      </c>
      <c r="I1812" s="9" t="inlineStr">
        <is>
          <t>Pet Owner / Cộng đồng nuôi cún (10đ)</t>
        </is>
      </c>
      <c r="J1812" s="62" t="n">
        <v>10</v>
      </c>
      <c r="K1812" s="9" t="inlineStr">
        <is>
          <t>Chưa rõ giống (Cần quét Bio)</t>
        </is>
      </c>
      <c r="L1812" s="62" t="n">
        <v>0</v>
      </c>
      <c r="M1812" s="62" t="n">
        <v>0</v>
      </c>
      <c r="N1812" s="9" t="inlineStr">
        <is>
          <t>Amazon link not found</t>
        </is>
      </c>
      <c r="O1812" s="62">
        <f>IF(N1812="Selling pet toys + Artificial grass/Pet toilets (TARGET)",15,IF(N1812="Selling artificial grass/pet toilets (TARGET)",10,IF(N1812="Selling pet toys",7,IF(N1812="There's an Amazon link, but no target sales.",3,0))))</f>
        <v/>
      </c>
      <c r="P1812" s="67">
        <f>H1812+J1812+L1812+M1812+O1812</f>
        <v/>
      </c>
      <c r="Q1812" s="69">
        <f>IF(OR(H1812=0,P1812&lt;30),"Tier D (Đóng băng)",IF(P1812&gt;=85,"Tier S (Kim Cương: 85-100đ)",IF(P1812&gt;=70,"Tier A (Vàng: 70-84đ)",IF(P1812&gt;=61,"Tier B+ / Cấp A (Hot Lead: 61-69đ)",IF(P1812&gt;=50,"Tier B (Bạc: 50-60đ)","Tier C (Đồng: 30-49đ)")))))</f>
        <v/>
      </c>
      <c r="R1812" s="9" t="inlineStr">
        <is>
          <t>Khay vệ sinh chung cư (Indoor Potty) + Thảm cỏ ban công (Grass Patch) + Đồ chơi</t>
        </is>
      </c>
      <c r="S1812" s="9" t="inlineStr">
        <is>
          <t>Cấp C Chi phí thấp: Nhắn tin trực tiếp qua Fanpage Facebook/Instagram + Nuôi dưỡng nội dung</t>
        </is>
      </c>
    </row>
    <row r="1813">
      <c r="A1813" s="53" t="n">
        <v>1432</v>
      </c>
      <c r="B1813" s="12" t="inlineStr">
        <is>
          <t>Free Spirit Dogs</t>
        </is>
      </c>
      <c r="C1813" s="54" t="inlineStr">
        <is>
          <t>https://www.facebook.com/freespiritdogs</t>
        </is>
      </c>
      <c r="D1813" s="6" t="inlineStr">
        <is>
          <t>Cần quét Bio Fanpage</t>
        </is>
      </c>
      <c r="E1813" s="53" t="inlineStr">
        <is>
          <t>04/10/2026 03:35:47</t>
        </is>
      </c>
      <c r="F1813" s="53" t="inlineStr">
        <is>
          <t>1 tuần trước</t>
        </is>
      </c>
      <c r="G1813" s="55" t="n">
        <v>7</v>
      </c>
      <c r="H1813" s="56" t="n">
        <v>20</v>
      </c>
      <c r="I1813" s="6" t="inlineStr">
        <is>
          <t>Pet Owner / Cộng đồng nuôi cún (10đ)</t>
        </is>
      </c>
      <c r="J1813" s="56" t="n">
        <v>10</v>
      </c>
      <c r="K1813" s="6" t="inlineStr">
        <is>
          <t>Chưa rõ giống (Cần quét Bio)</t>
        </is>
      </c>
      <c r="L1813" s="56" t="n">
        <v>0</v>
      </c>
      <c r="M1813" s="56" t="n">
        <v>0</v>
      </c>
      <c r="N1813" s="6" t="inlineStr">
        <is>
          <t>Amazon link not found</t>
        </is>
      </c>
      <c r="O1813" s="56">
        <f>IF(N1813="Selling pet toys + Artificial grass/Pet toilets (TARGET)",15,IF(N1813="Selling artificial grass/pet toilets (TARGET)",10,IF(N1813="Selling pet toys",7,IF(N1813="There's an Amazon link, but no target sales.",3,0))))</f>
        <v/>
      </c>
      <c r="P1813" s="65">
        <f>H1813+J1813+L1813+M1813+O1813</f>
        <v/>
      </c>
      <c r="Q1813" s="69">
        <f>IF(OR(H1813=0,P1813&lt;30),"Tier D (Đóng băng)",IF(P1813&gt;=85,"Tier S (Kim Cương: 85-100đ)",IF(P1813&gt;=70,"Tier A (Vàng: 70-84đ)",IF(P1813&gt;=61,"Tier B+ / Cấp A (Hot Lead: 61-69đ)",IF(P1813&gt;=50,"Tier B (Bạc: 50-60đ)","Tier C (Đồng: 30-49đ)")))))</f>
        <v/>
      </c>
      <c r="R1813" s="6" t="inlineStr">
        <is>
          <t>Khay vệ sinh chung cư (Indoor Potty) + Thảm cỏ ban công (Grass Patch) + Đồ chơi</t>
        </is>
      </c>
      <c r="S1813" s="6" t="inlineStr">
        <is>
          <t>Cấp C Chi phí thấp: Nhắn tin trực tiếp qua Fanpage Facebook/Instagram + Nuôi dưỡng nội dung</t>
        </is>
      </c>
    </row>
    <row r="1814">
      <c r="A1814" s="59" t="n">
        <v>152</v>
      </c>
      <c r="B1814" s="15" t="inlineStr">
        <is>
          <t>Dog's Move Extreme</t>
        </is>
      </c>
      <c r="C1814" s="60" t="inlineStr">
        <is>
          <t>https://www.facebook.com/DogsMoveExtreme</t>
        </is>
      </c>
      <c r="D1814" s="9" t="inlineStr">
        <is>
          <t>Cần quét Bio Fanpage</t>
        </is>
      </c>
      <c r="E1814" s="59" t="inlineStr">
        <is>
          <t>04/10/2026 03:27:49</t>
        </is>
      </c>
      <c r="F1814" s="59" t="inlineStr">
        <is>
          <t>1 tuần trước</t>
        </is>
      </c>
      <c r="G1814" s="61" t="n">
        <v>7</v>
      </c>
      <c r="H1814" s="62" t="n">
        <v>20</v>
      </c>
      <c r="I1814" s="9" t="inlineStr">
        <is>
          <t>Pet Owner / Cộng đồng nuôi cún (10đ)</t>
        </is>
      </c>
      <c r="J1814" s="62" t="n">
        <v>10</v>
      </c>
      <c r="K1814" s="9" t="inlineStr">
        <is>
          <t>Chưa rõ giống (Cần quét Bio)</t>
        </is>
      </c>
      <c r="L1814" s="62" t="n">
        <v>0</v>
      </c>
      <c r="M1814" s="62" t="n">
        <v>0</v>
      </c>
      <c r="N1814" s="9" t="inlineStr">
        <is>
          <t>Amazon link not found</t>
        </is>
      </c>
      <c r="O1814" s="62">
        <f>IF(N1814="Selling pet toys + Artificial grass/Pet toilets (TARGET)",15,IF(N1814="Selling artificial grass/pet toilets (TARGET)",10,IF(N1814="Selling pet toys",7,IF(N1814="There's an Amazon link, but no target sales.",3,0))))</f>
        <v/>
      </c>
      <c r="P1814" s="67">
        <f>H1814+J1814+L1814+M1814+O1814</f>
        <v/>
      </c>
      <c r="Q1814" s="69">
        <f>IF(OR(H1814=0,P1814&lt;30),"Tier D (Đóng băng)",IF(P1814&gt;=85,"Tier S (Kim Cương: 85-100đ)",IF(P1814&gt;=70,"Tier A (Vàng: 70-84đ)",IF(P1814&gt;=61,"Tier B+ / Cấp A (Hot Lead: 61-69đ)",IF(P1814&gt;=50,"Tier B (Bạc: 50-60đ)","Tier C (Đồng: 30-49đ)")))))</f>
        <v/>
      </c>
      <c r="R1814" s="9" t="inlineStr">
        <is>
          <t>Khay vệ sinh chung cư (Indoor Potty) + Thảm cỏ ban công (Grass Patch) + Đồ chơi</t>
        </is>
      </c>
      <c r="S1814" s="9" t="inlineStr">
        <is>
          <t>Cấp C Chi phí thấp: Nhắn tin trực tiếp qua Fanpage Facebook/Instagram + Nuôi dưỡng nội dung</t>
        </is>
      </c>
    </row>
    <row r="1815">
      <c r="A1815" s="53" t="n">
        <v>2166</v>
      </c>
      <c r="B1815" s="12" t="inlineStr">
        <is>
          <t>Mexicali Pet Friendly</t>
        </is>
      </c>
      <c r="C1815" s="54" t="inlineStr">
        <is>
          <t>https://www.facebook.com/mxlpetfriendly</t>
        </is>
      </c>
      <c r="D1815" s="6" t="inlineStr">
        <is>
          <t>Cần quét Bio Fanpage</t>
        </is>
      </c>
      <c r="E1815" s="53" t="inlineStr">
        <is>
          <t>04/10/2026 02:02:07</t>
        </is>
      </c>
      <c r="F1815" s="53" t="inlineStr">
        <is>
          <t>1 tuần trước</t>
        </is>
      </c>
      <c r="G1815" s="55" t="n">
        <v>7</v>
      </c>
      <c r="H1815" s="56" t="n">
        <v>20</v>
      </c>
      <c r="I1815" s="6" t="inlineStr">
        <is>
          <t>Pet Owner / Cộng đồng nuôi cún (10đ)</t>
        </is>
      </c>
      <c r="J1815" s="56" t="n">
        <v>10</v>
      </c>
      <c r="K1815" s="6" t="inlineStr">
        <is>
          <t>Chưa rõ giống (Cần quét Bio)</t>
        </is>
      </c>
      <c r="L1815" s="56" t="n">
        <v>0</v>
      </c>
      <c r="M1815" s="56" t="n">
        <v>0</v>
      </c>
      <c r="N1815" s="6" t="inlineStr">
        <is>
          <t>Amazon link not found</t>
        </is>
      </c>
      <c r="O1815" s="56">
        <f>IF(N1815="Selling pet toys + Artificial grass/Pet toilets (TARGET)",15,IF(N1815="Selling artificial grass/pet toilets (TARGET)",10,IF(N1815="Selling pet toys",7,IF(N1815="There's an Amazon link, but no target sales.",3,0))))</f>
        <v/>
      </c>
      <c r="P1815" s="65">
        <f>H1815+J1815+L1815+M1815+O1815</f>
        <v/>
      </c>
      <c r="Q1815" s="69">
        <f>IF(OR(H1815=0,P1815&lt;30),"Tier D (Đóng băng)",IF(P1815&gt;=85,"Tier S (Kim Cương: 85-100đ)",IF(P1815&gt;=70,"Tier A (Vàng: 70-84đ)",IF(P1815&gt;=61,"Tier B+ / Cấp A (Hot Lead: 61-69đ)",IF(P1815&gt;=50,"Tier B (Bạc: 50-60đ)","Tier C (Đồng: 30-49đ)")))))</f>
        <v/>
      </c>
      <c r="R1815" s="6" t="inlineStr">
        <is>
          <t>Khay vệ sinh chung cư (Indoor Potty) + Thảm cỏ ban công (Grass Patch) + Đồ chơi</t>
        </is>
      </c>
      <c r="S1815" s="6" t="inlineStr">
        <is>
          <t>Cấp C Chi phí thấp: Nhắn tin trực tiếp qua Fanpage Facebook/Instagram + Nuôi dưỡng nội dung</t>
        </is>
      </c>
    </row>
    <row r="1816">
      <c r="A1816" s="59" t="n">
        <v>194</v>
      </c>
      <c r="B1816" s="15" t="inlineStr">
        <is>
          <t>International Sheep Dog Society</t>
        </is>
      </c>
      <c r="C1816" s="60" t="inlineStr">
        <is>
          <t>https://www.facebook.com/TheISDS</t>
        </is>
      </c>
      <c r="D1816" s="9" t="inlineStr">
        <is>
          <t>Cần quét Bio Fanpage</t>
        </is>
      </c>
      <c r="E1816" s="59" t="inlineStr">
        <is>
          <t>04/10/2026 00:06:26</t>
        </is>
      </c>
      <c r="F1816" s="59" t="inlineStr">
        <is>
          <t>1 tuần trước</t>
        </is>
      </c>
      <c r="G1816" s="61" t="n">
        <v>7</v>
      </c>
      <c r="H1816" s="62" t="n">
        <v>20</v>
      </c>
      <c r="I1816" s="9" t="inlineStr">
        <is>
          <t>Pet Owner / Cộng đồng nuôi cún (10đ)</t>
        </is>
      </c>
      <c r="J1816" s="62" t="n">
        <v>10</v>
      </c>
      <c r="K1816" s="9" t="inlineStr">
        <is>
          <t>Chưa rõ giống (Cần quét Bio)</t>
        </is>
      </c>
      <c r="L1816" s="62" t="n">
        <v>0</v>
      </c>
      <c r="M1816" s="62" t="n">
        <v>0</v>
      </c>
      <c r="N1816" s="9" t="inlineStr">
        <is>
          <t>Amazon link not found</t>
        </is>
      </c>
      <c r="O1816" s="62">
        <f>IF(N1816="Selling pet toys + Artificial grass/Pet toilets (TARGET)",15,IF(N1816="Selling artificial grass/pet toilets (TARGET)",10,IF(N1816="Selling pet toys",7,IF(N1816="There's an Amazon link, but no target sales.",3,0))))</f>
        <v/>
      </c>
      <c r="P1816" s="67">
        <f>H1816+J1816+L1816+M1816+O1816</f>
        <v/>
      </c>
      <c r="Q1816" s="69">
        <f>IF(OR(H1816=0,P1816&lt;30),"Tier D (Đóng băng)",IF(P1816&gt;=85,"Tier S (Kim Cương: 85-100đ)",IF(P1816&gt;=70,"Tier A (Vàng: 70-84đ)",IF(P1816&gt;=61,"Tier B+ / Cấp A (Hot Lead: 61-69đ)",IF(P1816&gt;=50,"Tier B (Bạc: 50-60đ)","Tier C (Đồng: 30-49đ)")))))</f>
        <v/>
      </c>
      <c r="R1816" s="9" t="inlineStr">
        <is>
          <t>Khay vệ sinh chung cư (Indoor Potty) + Thảm cỏ ban công (Grass Patch) + Đồ chơi</t>
        </is>
      </c>
      <c r="S1816" s="9" t="inlineStr">
        <is>
          <t>Cấp C Chi phí thấp: Nhắn tin trực tiếp qua Fanpage Facebook/Instagram + Nuôi dưỡng nội dung</t>
        </is>
      </c>
    </row>
    <row r="1817">
      <c r="A1817" s="53" t="n">
        <v>2489</v>
      </c>
      <c r="B1817" s="12" t="inlineStr">
        <is>
          <t>Peter Beckett/the Voice of Player</t>
        </is>
      </c>
      <c r="C1817" s="54" t="inlineStr">
        <is>
          <t>https://www.facebook.com/peterbeckett.player</t>
        </is>
      </c>
      <c r="D1817" s="6" t="inlineStr">
        <is>
          <t>Cần quét Bio Fanpage</t>
        </is>
      </c>
      <c r="E1817" s="53" t="inlineStr">
        <is>
          <t>03/10/2026 21:56:05</t>
        </is>
      </c>
      <c r="F1817" s="53" t="inlineStr">
        <is>
          <t>1 tuần trước</t>
        </is>
      </c>
      <c r="G1817" s="55" t="n">
        <v>7</v>
      </c>
      <c r="H1817" s="56" t="n">
        <v>20</v>
      </c>
      <c r="I1817" s="6" t="inlineStr">
        <is>
          <t>Pet Owner / Cộng đồng nuôi cún (10đ)</t>
        </is>
      </c>
      <c r="J1817" s="56" t="n">
        <v>10</v>
      </c>
      <c r="K1817" s="6" t="inlineStr">
        <is>
          <t>Chưa rõ giống (Cần quét Bio)</t>
        </is>
      </c>
      <c r="L1817" s="56" t="n">
        <v>0</v>
      </c>
      <c r="M1817" s="56" t="n">
        <v>0</v>
      </c>
      <c r="N1817" s="6" t="inlineStr">
        <is>
          <t>Amazon link not found</t>
        </is>
      </c>
      <c r="O1817" s="56">
        <f>IF(N1817="Selling pet toys + Artificial grass/Pet toilets (TARGET)",15,IF(N1817="Selling artificial grass/pet toilets (TARGET)",10,IF(N1817="Selling pet toys",7,IF(N1817="There's an Amazon link, but no target sales.",3,0))))</f>
        <v/>
      </c>
      <c r="P1817" s="65">
        <f>H1817+J1817+L1817+M1817+O1817</f>
        <v/>
      </c>
      <c r="Q1817" s="69">
        <f>IF(OR(H1817=0,P1817&lt;30),"Tier D (Đóng băng)",IF(P1817&gt;=85,"Tier S (Kim Cương: 85-100đ)",IF(P1817&gt;=70,"Tier A (Vàng: 70-84đ)",IF(P1817&gt;=61,"Tier B+ / Cấp A (Hot Lead: 61-69đ)",IF(P1817&gt;=50,"Tier B (Bạc: 50-60đ)","Tier C (Đồng: 30-49đ)")))))</f>
        <v/>
      </c>
      <c r="R1817" s="6" t="inlineStr">
        <is>
          <t>Khay vệ sinh chung cư (Indoor Potty) + Thảm cỏ ban công (Grass Patch) + Đồ chơi</t>
        </is>
      </c>
      <c r="S1817" s="6" t="inlineStr">
        <is>
          <t>Cấp C Chi phí thấp: Nhắn tin trực tiếp qua Fanpage Facebook/Instagram + Nuôi dưỡng nội dung</t>
        </is>
      </c>
    </row>
    <row r="1818">
      <c r="A1818" s="59" t="n">
        <v>2276</v>
      </c>
      <c r="B1818" s="15" t="inlineStr">
        <is>
          <t>NCJ Carpet Care</t>
        </is>
      </c>
      <c r="C1818" s="60" t="inlineStr">
        <is>
          <t>https://www.facebook.com/NCJCarpetCare</t>
        </is>
      </c>
      <c r="D1818" s="9" t="inlineStr">
        <is>
          <t>Cần quét Bio Fanpage</t>
        </is>
      </c>
      <c r="E1818" s="59" t="inlineStr">
        <is>
          <t>03/10/2026 19:16:01</t>
        </is>
      </c>
      <c r="F1818" s="59" t="inlineStr">
        <is>
          <t>1 tuần trước</t>
        </is>
      </c>
      <c r="G1818" s="61" t="n">
        <v>7</v>
      </c>
      <c r="H1818" s="62" t="n">
        <v>20</v>
      </c>
      <c r="I1818" s="9" t="inlineStr">
        <is>
          <t>Pet Owner / Cộng đồng nuôi cún (10đ)</t>
        </is>
      </c>
      <c r="J1818" s="62" t="n">
        <v>10</v>
      </c>
      <c r="K1818" s="9" t="inlineStr">
        <is>
          <t>Chưa rõ giống (Cần quét Bio)</t>
        </is>
      </c>
      <c r="L1818" s="62" t="n">
        <v>0</v>
      </c>
      <c r="M1818" s="62" t="n">
        <v>0</v>
      </c>
      <c r="N1818" s="9" t="inlineStr">
        <is>
          <t>Amazon link not found</t>
        </is>
      </c>
      <c r="O1818" s="62">
        <f>IF(N1818="Selling pet toys + Artificial grass/Pet toilets (TARGET)",15,IF(N1818="Selling artificial grass/pet toilets (TARGET)",10,IF(N1818="Selling pet toys",7,IF(N1818="There's an Amazon link, but no target sales.",3,0))))</f>
        <v/>
      </c>
      <c r="P1818" s="67">
        <f>H1818+J1818+L1818+M1818+O1818</f>
        <v/>
      </c>
      <c r="Q1818" s="69">
        <f>IF(OR(H1818=0,P1818&lt;30),"Tier D (Đóng băng)",IF(P1818&gt;=85,"Tier S (Kim Cương: 85-100đ)",IF(P1818&gt;=70,"Tier A (Vàng: 70-84đ)",IF(P1818&gt;=61,"Tier B+ / Cấp A (Hot Lead: 61-69đ)",IF(P1818&gt;=50,"Tier B (Bạc: 50-60đ)","Tier C (Đồng: 30-49đ)")))))</f>
        <v/>
      </c>
      <c r="R1818" s="9" t="inlineStr">
        <is>
          <t>Khay vệ sinh chung cư (Indoor Potty) + Thảm cỏ ban công (Grass Patch) + Đồ chơi</t>
        </is>
      </c>
      <c r="S1818" s="9" t="inlineStr">
        <is>
          <t>Cấp C Chi phí thấp: Nhắn tin trực tiếp qua Fanpage Facebook/Instagram + Nuôi dưỡng nội dung</t>
        </is>
      </c>
    </row>
    <row r="1819">
      <c r="A1819" s="53" t="n">
        <v>775</v>
      </c>
      <c r="B1819" s="12" t="inlineStr">
        <is>
          <t>BS DOGS</t>
        </is>
      </c>
      <c r="C1819" s="54" t="inlineStr">
        <is>
          <t>https://www.facebook.com/profile.php?id=100086026507743</t>
        </is>
      </c>
      <c r="D1819" s="6" t="inlineStr">
        <is>
          <t>Cần quét Bio Fanpage</t>
        </is>
      </c>
      <c r="E1819" s="53" t="inlineStr">
        <is>
          <t>03/10/2026 10:16:22</t>
        </is>
      </c>
      <c r="F1819" s="53" t="inlineStr">
        <is>
          <t>1 tuần trước</t>
        </is>
      </c>
      <c r="G1819" s="55" t="n">
        <v>7</v>
      </c>
      <c r="H1819" s="56" t="n">
        <v>20</v>
      </c>
      <c r="I1819" s="6" t="inlineStr">
        <is>
          <t>Pet Owner / Cộng đồng nuôi cún (10đ)</t>
        </is>
      </c>
      <c r="J1819" s="56" t="n">
        <v>10</v>
      </c>
      <c r="K1819" s="6" t="inlineStr">
        <is>
          <t>Chưa rõ giống (Cần quét Bio)</t>
        </is>
      </c>
      <c r="L1819" s="56" t="n">
        <v>0</v>
      </c>
      <c r="M1819" s="56" t="n">
        <v>0</v>
      </c>
      <c r="N1819" s="6" t="inlineStr">
        <is>
          <t>Amazon link not found</t>
        </is>
      </c>
      <c r="O1819" s="56">
        <f>IF(N1819="Selling pet toys + Artificial grass/Pet toilets (TARGET)",15,IF(N1819="Selling artificial grass/pet toilets (TARGET)",10,IF(N1819="Selling pet toys",7,IF(N1819="There's an Amazon link, but no target sales.",3,0))))</f>
        <v/>
      </c>
      <c r="P1819" s="65">
        <f>H1819+J1819+L1819+M1819+O1819</f>
        <v/>
      </c>
      <c r="Q1819" s="69">
        <f>IF(OR(H1819=0,P1819&lt;30),"Tier D (Đóng băng)",IF(P1819&gt;=85,"Tier S (Kim Cương: 85-100đ)",IF(P1819&gt;=70,"Tier A (Vàng: 70-84đ)",IF(P1819&gt;=61,"Tier B+ / Cấp A (Hot Lead: 61-69đ)",IF(P1819&gt;=50,"Tier B (Bạc: 50-60đ)","Tier C (Đồng: 30-49đ)")))))</f>
        <v/>
      </c>
      <c r="R1819" s="6" t="inlineStr">
        <is>
          <t>Khay vệ sinh chung cư (Indoor Potty) + Thảm cỏ ban công (Grass Patch) + Đồ chơi</t>
        </is>
      </c>
      <c r="S1819" s="6" t="inlineStr">
        <is>
          <t>Cấp C Chi phí thấp: Nhắn tin trực tiếp qua Fanpage Facebook/Instagram + Nuôi dưỡng nội dung</t>
        </is>
      </c>
    </row>
    <row r="1820">
      <c r="A1820" s="59" t="n">
        <v>620</v>
      </c>
      <c r="B1820" s="15" t="inlineStr">
        <is>
          <t>Bedell's Riverdog Run</t>
        </is>
      </c>
      <c r="C1820" s="60" t="inlineStr">
        <is>
          <t>https://www.facebook.com/riverdogrun</t>
        </is>
      </c>
      <c r="D1820" s="9" t="inlineStr">
        <is>
          <t>Cần quét Bio Fanpage</t>
        </is>
      </c>
      <c r="E1820" s="59" t="inlineStr">
        <is>
          <t>03/10/2026 06:15:24</t>
        </is>
      </c>
      <c r="F1820" s="59" t="inlineStr">
        <is>
          <t>1 tuần trước</t>
        </is>
      </c>
      <c r="G1820" s="61" t="n">
        <v>7</v>
      </c>
      <c r="H1820" s="62" t="n">
        <v>20</v>
      </c>
      <c r="I1820" s="9" t="inlineStr">
        <is>
          <t>Pet Owner / Cộng đồng nuôi cún (10đ)</t>
        </is>
      </c>
      <c r="J1820" s="62" t="n">
        <v>10</v>
      </c>
      <c r="K1820" s="9" t="inlineStr">
        <is>
          <t>Chưa rõ giống (Cần quét Bio)</t>
        </is>
      </c>
      <c r="L1820" s="62" t="n">
        <v>0</v>
      </c>
      <c r="M1820" s="62" t="n">
        <v>0</v>
      </c>
      <c r="N1820" s="9" t="inlineStr">
        <is>
          <t>Amazon link not found</t>
        </is>
      </c>
      <c r="O1820" s="62">
        <f>IF(N1820="Selling pet toys + Artificial grass/Pet toilets (TARGET)",15,IF(N1820="Selling artificial grass/pet toilets (TARGET)",10,IF(N1820="Selling pet toys",7,IF(N1820="There's an Amazon link, but no target sales.",3,0))))</f>
        <v/>
      </c>
      <c r="P1820" s="67">
        <f>H1820+J1820+L1820+M1820+O1820</f>
        <v/>
      </c>
      <c r="Q1820" s="69">
        <f>IF(OR(H1820=0,P1820&lt;30),"Tier D (Đóng băng)",IF(P1820&gt;=85,"Tier S (Kim Cương: 85-100đ)",IF(P1820&gt;=70,"Tier A (Vàng: 70-84đ)",IF(P1820&gt;=61,"Tier B+ / Cấp A (Hot Lead: 61-69đ)",IF(P1820&gt;=50,"Tier B (Bạc: 50-60đ)","Tier C (Đồng: 30-49đ)")))))</f>
        <v/>
      </c>
      <c r="R1820" s="9" t="inlineStr">
        <is>
          <t>Khay vệ sinh chung cư (Indoor Potty) + Thảm cỏ ban công (Grass Patch) + Đồ chơi</t>
        </is>
      </c>
      <c r="S1820" s="9" t="inlineStr">
        <is>
          <t>Cấp C Chi phí thấp: Nhắn tin trực tiếp qua Fanpage Facebook/Instagram + Nuôi dưỡng nội dung</t>
        </is>
      </c>
    </row>
    <row r="1821">
      <c r="A1821" s="53" t="n">
        <v>1391</v>
      </c>
      <c r="B1821" s="12" t="inlineStr">
        <is>
          <t>Fit Dog Photography</t>
        </is>
      </c>
      <c r="C1821" s="54" t="inlineStr">
        <is>
          <t>https://www.facebook.com/profile.php?id=61552692923727</t>
        </is>
      </c>
      <c r="D1821" s="6" t="inlineStr">
        <is>
          <t>Cần quét Bio Fanpage</t>
        </is>
      </c>
      <c r="E1821" s="53" t="inlineStr">
        <is>
          <t>03/10/2026 02:25:01</t>
        </is>
      </c>
      <c r="F1821" s="53" t="inlineStr">
        <is>
          <t>1 tuần trước</t>
        </is>
      </c>
      <c r="G1821" s="55" t="n">
        <v>7</v>
      </c>
      <c r="H1821" s="56" t="n">
        <v>20</v>
      </c>
      <c r="I1821" s="6" t="inlineStr">
        <is>
          <t>Pet Owner / Cộng đồng nuôi cún (10đ)</t>
        </is>
      </c>
      <c r="J1821" s="56" t="n">
        <v>10</v>
      </c>
      <c r="K1821" s="6" t="inlineStr">
        <is>
          <t>Chưa rõ giống (Cần quét Bio)</t>
        </is>
      </c>
      <c r="L1821" s="56" t="n">
        <v>0</v>
      </c>
      <c r="M1821" s="56" t="n">
        <v>0</v>
      </c>
      <c r="N1821" s="6" t="inlineStr">
        <is>
          <t>Amazon link not found</t>
        </is>
      </c>
      <c r="O1821" s="56">
        <f>IF(N1821="Selling pet toys + Artificial grass/Pet toilets (TARGET)",15,IF(N1821="Selling artificial grass/pet toilets (TARGET)",10,IF(N1821="Selling pet toys",7,IF(N1821="There's an Amazon link, but no target sales.",3,0))))</f>
        <v/>
      </c>
      <c r="P1821" s="65">
        <f>H1821+J1821+L1821+M1821+O1821</f>
        <v/>
      </c>
      <c r="Q1821" s="69">
        <f>IF(OR(H1821=0,P1821&lt;30),"Tier D (Đóng băng)",IF(P1821&gt;=85,"Tier S (Kim Cương: 85-100đ)",IF(P1821&gt;=70,"Tier A (Vàng: 70-84đ)",IF(P1821&gt;=61,"Tier B+ / Cấp A (Hot Lead: 61-69đ)",IF(P1821&gt;=50,"Tier B (Bạc: 50-60đ)","Tier C (Đồng: 30-49đ)")))))</f>
        <v/>
      </c>
      <c r="R1821" s="6" t="inlineStr">
        <is>
          <t>Khay vệ sinh chung cư (Indoor Potty) + Thảm cỏ ban công (Grass Patch) + Đồ chơi</t>
        </is>
      </c>
      <c r="S1821" s="6" t="inlineStr">
        <is>
          <t>Cấp C Chi phí thấp: Nhắn tin trực tiếp qua Fanpage Facebook/Instagram + Nuôi dưỡng nội dung</t>
        </is>
      </c>
    </row>
    <row r="1822">
      <c r="A1822" s="59" t="n">
        <v>2544</v>
      </c>
      <c r="B1822" s="15" t="inlineStr">
        <is>
          <t>Petsense Tahlequah (1909 South Muskogee Ave Tahlequah, OK)</t>
        </is>
      </c>
      <c r="C1822" s="60" t="inlineStr">
        <is>
          <t>https://www.facebook.com/PetsenseRome</t>
        </is>
      </c>
      <c r="D1822" s="9" t="inlineStr">
        <is>
          <t>Cần quét Bio Fanpage</t>
        </is>
      </c>
      <c r="E1822" s="59" t="inlineStr">
        <is>
          <t>02/10/2026 23:21:45</t>
        </is>
      </c>
      <c r="F1822" s="59" t="inlineStr">
        <is>
          <t>1 tuần trước</t>
        </is>
      </c>
      <c r="G1822" s="61" t="n">
        <v>7</v>
      </c>
      <c r="H1822" s="62" t="n">
        <v>20</v>
      </c>
      <c r="I1822" s="9" t="inlineStr">
        <is>
          <t>Pet Owner / Cộng đồng nuôi cún (10đ)</t>
        </is>
      </c>
      <c r="J1822" s="62" t="n">
        <v>10</v>
      </c>
      <c r="K1822" s="9" t="inlineStr">
        <is>
          <t>Chưa rõ giống (Cần quét Bio)</t>
        </is>
      </c>
      <c r="L1822" s="62" t="n">
        <v>0</v>
      </c>
      <c r="M1822" s="62" t="n">
        <v>0</v>
      </c>
      <c r="N1822" s="9" t="inlineStr">
        <is>
          <t>Amazon link not found</t>
        </is>
      </c>
      <c r="O1822" s="62">
        <f>IF(N1822="Selling pet toys + Artificial grass/Pet toilets (TARGET)",15,IF(N1822="Selling artificial grass/pet toilets (TARGET)",10,IF(N1822="Selling pet toys",7,IF(N1822="There's an Amazon link, but no target sales.",3,0))))</f>
        <v/>
      </c>
      <c r="P1822" s="67">
        <f>H1822+J1822+L1822+M1822+O1822</f>
        <v/>
      </c>
      <c r="Q1822" s="69">
        <f>IF(OR(H1822=0,P1822&lt;30),"Tier D (Đóng băng)",IF(P1822&gt;=85,"Tier S (Kim Cương: 85-100đ)",IF(P1822&gt;=70,"Tier A (Vàng: 70-84đ)",IF(P1822&gt;=61,"Tier B+ / Cấp A (Hot Lead: 61-69đ)",IF(P1822&gt;=50,"Tier B (Bạc: 50-60đ)","Tier C (Đồng: 30-49đ)")))))</f>
        <v/>
      </c>
      <c r="R1822" s="9" t="inlineStr">
        <is>
          <t>Khay vệ sinh chung cư (Indoor Potty) + Thảm cỏ ban công (Grass Patch) + Đồ chơi</t>
        </is>
      </c>
      <c r="S1822" s="9" t="inlineStr">
        <is>
          <t>Cấp C Chi phí thấp: Nhắn tin trực tiếp qua Fanpage Facebook/Instagram + Nuôi dưỡng nội dung</t>
        </is>
      </c>
    </row>
    <row r="1823">
      <c r="A1823" s="53" t="n">
        <v>2543</v>
      </c>
      <c r="B1823" s="12" t="inlineStr">
        <is>
          <t>Petsense Hobbs (3826 N. Lovington Highway Hobbs, NM)</t>
        </is>
      </c>
      <c r="C1823" s="54" t="inlineStr">
        <is>
          <t>https://www.facebook.com/PetsenseHobbs</t>
        </is>
      </c>
      <c r="D1823" s="6" t="inlineStr">
        <is>
          <t>Cần quét Bio Fanpage</t>
        </is>
      </c>
      <c r="E1823" s="53" t="inlineStr">
        <is>
          <t>02/10/2026 23:17:01</t>
        </is>
      </c>
      <c r="F1823" s="53" t="inlineStr">
        <is>
          <t>1 tuần trước</t>
        </is>
      </c>
      <c r="G1823" s="55" t="n">
        <v>7</v>
      </c>
      <c r="H1823" s="56" t="n">
        <v>20</v>
      </c>
      <c r="I1823" s="6" t="inlineStr">
        <is>
          <t>Pet Owner / Cộng đồng nuôi cún (10đ)</t>
        </is>
      </c>
      <c r="J1823" s="56" t="n">
        <v>10</v>
      </c>
      <c r="K1823" s="6" t="inlineStr">
        <is>
          <t>Chưa rõ giống (Cần quét Bio)</t>
        </is>
      </c>
      <c r="L1823" s="56" t="n">
        <v>0</v>
      </c>
      <c r="M1823" s="56" t="n">
        <v>0</v>
      </c>
      <c r="N1823" s="6" t="inlineStr">
        <is>
          <t>Amazon link not found</t>
        </is>
      </c>
      <c r="O1823" s="56">
        <f>IF(N1823="Selling pet toys + Artificial grass/Pet toilets (TARGET)",15,IF(N1823="Selling artificial grass/pet toilets (TARGET)",10,IF(N1823="Selling pet toys",7,IF(N1823="There's an Amazon link, but no target sales.",3,0))))</f>
        <v/>
      </c>
      <c r="P1823" s="65">
        <f>H1823+J1823+L1823+M1823+O1823</f>
        <v/>
      </c>
      <c r="Q1823" s="69">
        <f>IF(OR(H1823=0,P1823&lt;30),"Tier D (Đóng băng)",IF(P1823&gt;=85,"Tier S (Kim Cương: 85-100đ)",IF(P1823&gt;=70,"Tier A (Vàng: 70-84đ)",IF(P1823&gt;=61,"Tier B+ / Cấp A (Hot Lead: 61-69đ)",IF(P1823&gt;=50,"Tier B (Bạc: 50-60đ)","Tier C (Đồng: 30-49đ)")))))</f>
        <v/>
      </c>
      <c r="R1823" s="6" t="inlineStr">
        <is>
          <t>Khay vệ sinh chung cư (Indoor Potty) + Thảm cỏ ban công (Grass Patch) + Đồ chơi</t>
        </is>
      </c>
      <c r="S1823" s="6" t="inlineStr">
        <is>
          <t>Cấp C Chi phí thấp: Nhắn tin trực tiếp qua Fanpage Facebook/Instagram + Nuôi dưỡng nội dung</t>
        </is>
      </c>
    </row>
    <row r="1824">
      <c r="A1824" s="59" t="n">
        <v>1119</v>
      </c>
      <c r="B1824" s="15" t="inlineStr">
        <is>
          <t>Dogfitness.cz</t>
        </is>
      </c>
      <c r="C1824" s="60" t="inlineStr">
        <is>
          <t>https://www.facebook.com/dogfitnesscz</t>
        </is>
      </c>
      <c r="D1824" s="9" t="inlineStr">
        <is>
          <t>Cần quét Bio Fanpage</t>
        </is>
      </c>
      <c r="E1824" s="59" t="inlineStr">
        <is>
          <t>02/10/2026 22:33:15</t>
        </is>
      </c>
      <c r="F1824" s="59" t="inlineStr">
        <is>
          <t>1 tuần trước</t>
        </is>
      </c>
      <c r="G1824" s="61" t="n">
        <v>7</v>
      </c>
      <c r="H1824" s="62" t="n">
        <v>20</v>
      </c>
      <c r="I1824" s="9" t="inlineStr">
        <is>
          <t>Pet Owner / Cộng đồng nuôi cún (10đ)</t>
        </is>
      </c>
      <c r="J1824" s="62" t="n">
        <v>10</v>
      </c>
      <c r="K1824" s="9" t="inlineStr">
        <is>
          <t>Chưa rõ giống (Cần quét Bio)</t>
        </is>
      </c>
      <c r="L1824" s="62" t="n">
        <v>0</v>
      </c>
      <c r="M1824" s="62" t="n">
        <v>0</v>
      </c>
      <c r="N1824" s="9" t="inlineStr">
        <is>
          <t>Amazon link not found</t>
        </is>
      </c>
      <c r="O1824" s="62">
        <f>IF(N1824="Selling pet toys + Artificial grass/Pet toilets (TARGET)",15,IF(N1824="Selling artificial grass/pet toilets (TARGET)",10,IF(N1824="Selling pet toys",7,IF(N1824="There's an Amazon link, but no target sales.",3,0))))</f>
        <v/>
      </c>
      <c r="P1824" s="67">
        <f>H1824+J1824+L1824+M1824+O1824</f>
        <v/>
      </c>
      <c r="Q1824" s="69">
        <f>IF(OR(H1824=0,P1824&lt;30),"Tier D (Đóng băng)",IF(P1824&gt;=85,"Tier S (Kim Cương: 85-100đ)",IF(P1824&gt;=70,"Tier A (Vàng: 70-84đ)",IF(P1824&gt;=61,"Tier B+ / Cấp A (Hot Lead: 61-69đ)",IF(P1824&gt;=50,"Tier B (Bạc: 50-60đ)","Tier C (Đồng: 30-49đ)")))))</f>
        <v/>
      </c>
      <c r="R1824" s="9" t="inlineStr">
        <is>
          <t>Khay vệ sinh chung cư (Indoor Potty) + Thảm cỏ ban công (Grass Patch) + Đồ chơi</t>
        </is>
      </c>
      <c r="S1824" s="9" t="inlineStr">
        <is>
          <t>Cấp C Chi phí thấp: Nhắn tin trực tiếp qua Fanpage Facebook/Instagram + Nuôi dưỡng nội dung</t>
        </is>
      </c>
    </row>
    <row r="1825">
      <c r="A1825" s="53" t="n">
        <v>1148</v>
      </c>
      <c r="B1825" s="12" t="inlineStr">
        <is>
          <t>Dogo Argentino</t>
        </is>
      </c>
      <c r="C1825" s="54" t="inlineStr">
        <is>
          <t>https://www.facebook.com/dogoargentinoindiapunjab</t>
        </is>
      </c>
      <c r="D1825" s="6" t="inlineStr">
        <is>
          <t>Cần quét Bio Fanpage</t>
        </is>
      </c>
      <c r="E1825" s="53" t="inlineStr">
        <is>
          <t>02/10/2026 21:53:03</t>
        </is>
      </c>
      <c r="F1825" s="53" t="inlineStr">
        <is>
          <t>1 tuần trước</t>
        </is>
      </c>
      <c r="G1825" s="55" t="n">
        <v>7</v>
      </c>
      <c r="H1825" s="56" t="n">
        <v>20</v>
      </c>
      <c r="I1825" s="6" t="inlineStr">
        <is>
          <t>Pet Owner / Cộng đồng nuôi cún (10đ)</t>
        </is>
      </c>
      <c r="J1825" s="56" t="n">
        <v>10</v>
      </c>
      <c r="K1825" s="6" t="inlineStr">
        <is>
          <t>Chưa rõ giống (Cần quét Bio)</t>
        </is>
      </c>
      <c r="L1825" s="56" t="n">
        <v>0</v>
      </c>
      <c r="M1825" s="56" t="n">
        <v>0</v>
      </c>
      <c r="N1825" s="6" t="inlineStr">
        <is>
          <t>Amazon link not found</t>
        </is>
      </c>
      <c r="O1825" s="56">
        <f>IF(N1825="Selling pet toys + Artificial grass/Pet toilets (TARGET)",15,IF(N1825="Selling artificial grass/pet toilets (TARGET)",10,IF(N1825="Selling pet toys",7,IF(N1825="There's an Amazon link, but no target sales.",3,0))))</f>
        <v/>
      </c>
      <c r="P1825" s="65">
        <f>H1825+J1825+L1825+M1825+O1825</f>
        <v/>
      </c>
      <c r="Q1825" s="69">
        <f>IF(OR(H1825=0,P1825&lt;30),"Tier D (Đóng băng)",IF(P1825&gt;=85,"Tier S (Kim Cương: 85-100đ)",IF(P1825&gt;=70,"Tier A (Vàng: 70-84đ)",IF(P1825&gt;=61,"Tier B+ / Cấp A (Hot Lead: 61-69đ)",IF(P1825&gt;=50,"Tier B (Bạc: 50-60đ)","Tier C (Đồng: 30-49đ)")))))</f>
        <v/>
      </c>
      <c r="R1825" s="6" t="inlineStr">
        <is>
          <t>Khay vệ sinh chung cư (Indoor Potty) + Thảm cỏ ban công (Grass Patch) + Đồ chơi</t>
        </is>
      </c>
      <c r="S1825" s="6" t="inlineStr">
        <is>
          <t>Cấp C Chi phí thấp: Nhắn tin trực tiếp qua Fanpage Facebook/Instagram + Nuôi dưỡng nội dung</t>
        </is>
      </c>
    </row>
    <row r="1826">
      <c r="A1826" s="59" t="n">
        <v>1180</v>
      </c>
      <c r="B1826" s="15" t="inlineStr">
        <is>
          <t>Dogs SA</t>
        </is>
      </c>
      <c r="C1826" s="60" t="inlineStr">
        <is>
          <t>https://www.facebook.com/dogssa</t>
        </is>
      </c>
      <c r="D1826" s="9" t="inlineStr">
        <is>
          <t>Cần quét Bio Fanpage</t>
        </is>
      </c>
      <c r="E1826" s="59" t="inlineStr">
        <is>
          <t>02/10/2026 08:07:24</t>
        </is>
      </c>
      <c r="F1826" s="59" t="inlineStr">
        <is>
          <t>1 tuần trước</t>
        </is>
      </c>
      <c r="G1826" s="61" t="n">
        <v>7</v>
      </c>
      <c r="H1826" s="62" t="n">
        <v>20</v>
      </c>
      <c r="I1826" s="9" t="inlineStr">
        <is>
          <t>Pet Owner / Cộng đồng nuôi cún (10đ)</t>
        </is>
      </c>
      <c r="J1826" s="62" t="n">
        <v>10</v>
      </c>
      <c r="K1826" s="9" t="inlineStr">
        <is>
          <t>Chưa rõ giống (Cần quét Bio)</t>
        </is>
      </c>
      <c r="L1826" s="62" t="n">
        <v>0</v>
      </c>
      <c r="M1826" s="62" t="n">
        <v>0</v>
      </c>
      <c r="N1826" s="9" t="inlineStr">
        <is>
          <t>Amazon link not found</t>
        </is>
      </c>
      <c r="O1826" s="62">
        <f>IF(N1826="Selling pet toys + Artificial grass/Pet toilets (TARGET)",15,IF(N1826="Selling artificial grass/pet toilets (TARGET)",10,IF(N1826="Selling pet toys",7,IF(N1826="There's an Amazon link, but no target sales.",3,0))))</f>
        <v/>
      </c>
      <c r="P1826" s="67">
        <f>H1826+J1826+L1826+M1826+O1826</f>
        <v/>
      </c>
      <c r="Q1826" s="69">
        <f>IF(OR(H1826=0,P1826&lt;30),"Tier D (Đóng băng)",IF(P1826&gt;=85,"Tier S (Kim Cương: 85-100đ)",IF(P1826&gt;=70,"Tier A (Vàng: 70-84đ)",IF(P1826&gt;=61,"Tier B+ / Cấp A (Hot Lead: 61-69đ)",IF(P1826&gt;=50,"Tier B (Bạc: 50-60đ)","Tier C (Đồng: 30-49đ)")))))</f>
        <v/>
      </c>
      <c r="R1826" s="9" t="inlineStr">
        <is>
          <t>Khay vệ sinh chung cư (Indoor Potty) + Thảm cỏ ban công (Grass Patch) + Đồ chơi</t>
        </is>
      </c>
      <c r="S1826" s="9" t="inlineStr">
        <is>
          <t>Cấp C Chi phí thấp: Nhắn tin trực tiếp qua Fanpage Facebook/Instagram + Nuôi dưỡng nội dung</t>
        </is>
      </c>
    </row>
    <row r="1827">
      <c r="A1827" s="53" t="n">
        <v>1312</v>
      </c>
      <c r="B1827" s="12" t="inlineStr">
        <is>
          <t>EzyDog Taiwan</t>
        </is>
      </c>
      <c r="C1827" s="54" t="inlineStr">
        <is>
          <t>https://www.facebook.com/EzyDogTaiwan</t>
        </is>
      </c>
      <c r="D1827" s="6" t="inlineStr">
        <is>
          <t>Cần quét Bio Fanpage</t>
        </is>
      </c>
      <c r="E1827" s="53" t="inlineStr">
        <is>
          <t>02/10/2026 08:02:14</t>
        </is>
      </c>
      <c r="F1827" s="53" t="inlineStr">
        <is>
          <t>1 tuần trước</t>
        </is>
      </c>
      <c r="G1827" s="55" t="n">
        <v>7</v>
      </c>
      <c r="H1827" s="56" t="n">
        <v>20</v>
      </c>
      <c r="I1827" s="6" t="inlineStr">
        <is>
          <t>Pet Owner / Cộng đồng nuôi cún (10đ)</t>
        </is>
      </c>
      <c r="J1827" s="56" t="n">
        <v>10</v>
      </c>
      <c r="K1827" s="6" t="inlineStr">
        <is>
          <t>Chưa rõ giống (Cần quét Bio)</t>
        </is>
      </c>
      <c r="L1827" s="56" t="n">
        <v>0</v>
      </c>
      <c r="M1827" s="56" t="n">
        <v>0</v>
      </c>
      <c r="N1827" s="6" t="inlineStr">
        <is>
          <t>Amazon link not found</t>
        </is>
      </c>
      <c r="O1827" s="56">
        <f>IF(N1827="Selling pet toys + Artificial grass/Pet toilets (TARGET)",15,IF(N1827="Selling artificial grass/pet toilets (TARGET)",10,IF(N1827="Selling pet toys",7,IF(N1827="There's an Amazon link, but no target sales.",3,0))))</f>
        <v/>
      </c>
      <c r="P1827" s="65">
        <f>H1827+J1827+L1827+M1827+O1827</f>
        <v/>
      </c>
      <c r="Q1827" s="69">
        <f>IF(OR(H1827=0,P1827&lt;30),"Tier D (Đóng băng)",IF(P1827&gt;=85,"Tier S (Kim Cương: 85-100đ)",IF(P1827&gt;=70,"Tier A (Vàng: 70-84đ)",IF(P1827&gt;=61,"Tier B+ / Cấp A (Hot Lead: 61-69đ)",IF(P1827&gt;=50,"Tier B (Bạc: 50-60đ)","Tier C (Đồng: 30-49đ)")))))</f>
        <v/>
      </c>
      <c r="R1827" s="6" t="inlineStr">
        <is>
          <t>Khay vệ sinh chung cư (Indoor Potty) + Thảm cỏ ban công (Grass Patch) + Đồ chơi</t>
        </is>
      </c>
      <c r="S1827" s="6" t="inlineStr">
        <is>
          <t>Cấp C Chi phí thấp: Nhắn tin trực tiếp qua Fanpage Facebook/Instagram + Nuôi dưỡng nội dung</t>
        </is>
      </c>
    </row>
    <row r="1828">
      <c r="A1828" s="59" t="n">
        <v>1547</v>
      </c>
      <c r="B1828" s="15" t="inlineStr">
        <is>
          <t>Great American Dog &amp; Cat Show</t>
        </is>
      </c>
      <c r="C1828" s="60" t="inlineStr">
        <is>
          <t>https://www.facebook.com/greatamericandogshow</t>
        </is>
      </c>
      <c r="D1828" s="9" t="inlineStr">
        <is>
          <t>Cần quét Bio Fanpage</t>
        </is>
      </c>
      <c r="E1828" s="59" t="inlineStr">
        <is>
          <t>02/10/2026 07:45:04</t>
        </is>
      </c>
      <c r="F1828" s="59" t="inlineStr">
        <is>
          <t>1 tuần trước</t>
        </is>
      </c>
      <c r="G1828" s="61" t="n">
        <v>7</v>
      </c>
      <c r="H1828" s="62" t="n">
        <v>20</v>
      </c>
      <c r="I1828" s="9" t="inlineStr">
        <is>
          <t>Pet Owner / Cộng đồng nuôi cún (10đ)</t>
        </is>
      </c>
      <c r="J1828" s="62" t="n">
        <v>10</v>
      </c>
      <c r="K1828" s="9" t="inlineStr">
        <is>
          <t>Chưa rõ giống (Cần quét Bio)</t>
        </is>
      </c>
      <c r="L1828" s="62" t="n">
        <v>0</v>
      </c>
      <c r="M1828" s="62" t="n">
        <v>0</v>
      </c>
      <c r="N1828" s="9" t="inlineStr">
        <is>
          <t>Amazon link not found</t>
        </is>
      </c>
      <c r="O1828" s="62">
        <f>IF(N1828="Selling pet toys + Artificial grass/Pet toilets (TARGET)",15,IF(N1828="Selling artificial grass/pet toilets (TARGET)",10,IF(N1828="Selling pet toys",7,IF(N1828="There's an Amazon link, but no target sales.",3,0))))</f>
        <v/>
      </c>
      <c r="P1828" s="67">
        <f>H1828+J1828+L1828+M1828+O1828</f>
        <v/>
      </c>
      <c r="Q1828" s="69">
        <f>IF(OR(H1828=0,P1828&lt;30),"Tier D (Đóng băng)",IF(P1828&gt;=85,"Tier S (Kim Cương: 85-100đ)",IF(P1828&gt;=70,"Tier A (Vàng: 70-84đ)",IF(P1828&gt;=61,"Tier B+ / Cấp A (Hot Lead: 61-69đ)",IF(P1828&gt;=50,"Tier B (Bạc: 50-60đ)","Tier C (Đồng: 30-49đ)")))))</f>
        <v/>
      </c>
      <c r="R1828" s="9" t="inlineStr">
        <is>
          <t>Khay vệ sinh chung cư (Indoor Potty) + Thảm cỏ ban công (Grass Patch) + Đồ chơi</t>
        </is>
      </c>
      <c r="S1828" s="9" t="inlineStr">
        <is>
          <t>Cấp C Chi phí thấp: Nhắn tin trực tiếp qua Fanpage Facebook/Instagram + Nuôi dưỡng nội dung</t>
        </is>
      </c>
    </row>
    <row r="1829">
      <c r="A1829" s="53" t="n">
        <v>1407</v>
      </c>
      <c r="B1829" s="12" t="inlineStr">
        <is>
          <t>FluentPet</t>
        </is>
      </c>
      <c r="C1829" s="54" t="inlineStr">
        <is>
          <t>https://www.facebook.com/FluentPet</t>
        </is>
      </c>
      <c r="D1829" s="6" t="inlineStr">
        <is>
          <t>Cần quét Bio Fanpage</t>
        </is>
      </c>
      <c r="E1829" s="53" t="inlineStr">
        <is>
          <t>02/10/2026 04:50:52</t>
        </is>
      </c>
      <c r="F1829" s="53" t="inlineStr">
        <is>
          <t>1 tuần trước</t>
        </is>
      </c>
      <c r="G1829" s="55" t="n">
        <v>7</v>
      </c>
      <c r="H1829" s="56" t="n">
        <v>20</v>
      </c>
      <c r="I1829" s="6" t="inlineStr">
        <is>
          <t>Pet Owner / Cộng đồng nuôi cún (10đ)</t>
        </is>
      </c>
      <c r="J1829" s="56" t="n">
        <v>10</v>
      </c>
      <c r="K1829" s="6" t="inlineStr">
        <is>
          <t>Chưa rõ giống (Cần quét Bio)</t>
        </is>
      </c>
      <c r="L1829" s="56" t="n">
        <v>0</v>
      </c>
      <c r="M1829" s="56" t="n">
        <v>0</v>
      </c>
      <c r="N1829" s="6" t="inlineStr">
        <is>
          <t>Amazon link not found</t>
        </is>
      </c>
      <c r="O1829" s="56">
        <f>IF(N1829="Selling pet toys + Artificial grass/Pet toilets (TARGET)",15,IF(N1829="Selling artificial grass/pet toilets (TARGET)",10,IF(N1829="Selling pet toys",7,IF(N1829="There's an Amazon link, but no target sales.",3,0))))</f>
        <v/>
      </c>
      <c r="P1829" s="65">
        <f>H1829+J1829+L1829+M1829+O1829</f>
        <v/>
      </c>
      <c r="Q1829" s="69">
        <f>IF(OR(H1829=0,P1829&lt;30),"Tier D (Đóng băng)",IF(P1829&gt;=85,"Tier S (Kim Cương: 85-100đ)",IF(P1829&gt;=70,"Tier A (Vàng: 70-84đ)",IF(P1829&gt;=61,"Tier B+ / Cấp A (Hot Lead: 61-69đ)",IF(P1829&gt;=50,"Tier B (Bạc: 50-60đ)","Tier C (Đồng: 30-49đ)")))))</f>
        <v/>
      </c>
      <c r="R1829" s="6" t="inlineStr">
        <is>
          <t>Khay vệ sinh chung cư (Indoor Potty) + Thảm cỏ ban công (Grass Patch) + Đồ chơi</t>
        </is>
      </c>
      <c r="S1829" s="6" t="inlineStr">
        <is>
          <t>Cấp C Chi phí thấp: Nhắn tin trực tiếp qua Fanpage Facebook/Instagram + Nuôi dưỡng nội dung</t>
        </is>
      </c>
    </row>
    <row r="1830">
      <c r="A1830" s="59" t="n">
        <v>3072</v>
      </c>
      <c r="B1830" s="15" t="inlineStr">
        <is>
          <t>Ted's Hot Dogs</t>
        </is>
      </c>
      <c r="C1830" s="60" t="inlineStr">
        <is>
          <t>https://www.facebook.com/TedsHotDogs</t>
        </is>
      </c>
      <c r="D1830" s="9" t="inlineStr">
        <is>
          <t>Cần quét Bio Fanpage</t>
        </is>
      </c>
      <c r="E1830" s="59" t="inlineStr">
        <is>
          <t>01/10/2026 23:32:01</t>
        </is>
      </c>
      <c r="F1830" s="59" t="inlineStr">
        <is>
          <t>1 tuần trước</t>
        </is>
      </c>
      <c r="G1830" s="61" t="n">
        <v>7</v>
      </c>
      <c r="H1830" s="62" t="n">
        <v>20</v>
      </c>
      <c r="I1830" s="9" t="inlineStr">
        <is>
          <t>Pet Owner / Cộng đồng nuôi cún (10đ)</t>
        </is>
      </c>
      <c r="J1830" s="62" t="n">
        <v>10</v>
      </c>
      <c r="K1830" s="9" t="inlineStr">
        <is>
          <t>Chưa rõ giống (Cần quét Bio)</t>
        </is>
      </c>
      <c r="L1830" s="62" t="n">
        <v>0</v>
      </c>
      <c r="M1830" s="62" t="n">
        <v>0</v>
      </c>
      <c r="N1830" s="9" t="inlineStr">
        <is>
          <t>Amazon link not found</t>
        </is>
      </c>
      <c r="O1830" s="62">
        <f>IF(N1830="Selling pet toys + Artificial grass/Pet toilets (TARGET)",15,IF(N1830="Selling artificial grass/pet toilets (TARGET)",10,IF(N1830="Selling pet toys",7,IF(N1830="There's an Amazon link, but no target sales.",3,0))))</f>
        <v/>
      </c>
      <c r="P1830" s="67">
        <f>H1830+J1830+L1830+M1830+O1830</f>
        <v/>
      </c>
      <c r="Q1830" s="69">
        <f>IF(OR(H1830=0,P1830&lt;30),"Tier D (Đóng băng)",IF(P1830&gt;=85,"Tier S (Kim Cương: 85-100đ)",IF(P1830&gt;=70,"Tier A (Vàng: 70-84đ)",IF(P1830&gt;=61,"Tier B+ / Cấp A (Hot Lead: 61-69đ)",IF(P1830&gt;=50,"Tier B (Bạc: 50-60đ)","Tier C (Đồng: 30-49đ)")))))</f>
        <v/>
      </c>
      <c r="R1830" s="9" t="inlineStr">
        <is>
          <t>Khay vệ sinh chung cư (Indoor Potty) + Thảm cỏ ban công (Grass Patch) + Đồ chơi</t>
        </is>
      </c>
      <c r="S1830" s="9" t="inlineStr">
        <is>
          <t>Cấp C Chi phí thấp: Nhắn tin trực tiếp qua Fanpage Facebook/Instagram + Nuôi dưỡng nội dung</t>
        </is>
      </c>
    </row>
    <row r="1831">
      <c r="A1831" s="53" t="n">
        <v>1210</v>
      </c>
      <c r="B1831" s="12" t="inlineStr">
        <is>
          <t>Dog’s Crush Toys</t>
        </is>
      </c>
      <c r="C1831" s="54" t="inlineStr">
        <is>
          <t>https://www.facebook.com/profile.php?id=61558993335763</t>
        </is>
      </c>
      <c r="D1831" s="6" t="inlineStr">
        <is>
          <t>Cần quét Bio Fanpage</t>
        </is>
      </c>
      <c r="E1831" s="53" t="inlineStr">
        <is>
          <t>01/10/2026 22:45:55</t>
        </is>
      </c>
      <c r="F1831" s="53" t="inlineStr">
        <is>
          <t>1 tuần trước</t>
        </is>
      </c>
      <c r="G1831" s="55" t="n">
        <v>7</v>
      </c>
      <c r="H1831" s="56" t="n">
        <v>20</v>
      </c>
      <c r="I1831" s="6" t="inlineStr">
        <is>
          <t>Pet Owner / Cộng đồng nuôi cún (10đ)</t>
        </is>
      </c>
      <c r="J1831" s="56" t="n">
        <v>10</v>
      </c>
      <c r="K1831" s="6" t="inlineStr">
        <is>
          <t>Chưa rõ giống (Cần quét Bio)</t>
        </is>
      </c>
      <c r="L1831" s="56" t="n">
        <v>0</v>
      </c>
      <c r="M1831" s="56" t="n">
        <v>0</v>
      </c>
      <c r="N1831" s="6" t="inlineStr">
        <is>
          <t>Amazon link not found</t>
        </is>
      </c>
      <c r="O1831" s="56">
        <f>IF(N1831="Selling pet toys + Artificial grass/Pet toilets (TARGET)",15,IF(N1831="Selling artificial grass/pet toilets (TARGET)",10,IF(N1831="Selling pet toys",7,IF(N1831="There's an Amazon link, but no target sales.",3,0))))</f>
        <v/>
      </c>
      <c r="P1831" s="65">
        <f>H1831+J1831+L1831+M1831+O1831</f>
        <v/>
      </c>
      <c r="Q1831" s="69">
        <f>IF(OR(H1831=0,P1831&lt;30),"Tier D (Đóng băng)",IF(P1831&gt;=85,"Tier S (Kim Cương: 85-100đ)",IF(P1831&gt;=70,"Tier A (Vàng: 70-84đ)",IF(P1831&gt;=61,"Tier B+ / Cấp A (Hot Lead: 61-69đ)",IF(P1831&gt;=50,"Tier B (Bạc: 50-60đ)","Tier C (Đồng: 30-49đ)")))))</f>
        <v/>
      </c>
      <c r="R1831" s="6" t="inlineStr">
        <is>
          <t>Khay vệ sinh chung cư (Indoor Potty) + Thảm cỏ ban công (Grass Patch) + Đồ chơi</t>
        </is>
      </c>
      <c r="S1831" s="6" t="inlineStr">
        <is>
          <t>Cấp C Chi phí thấp: Nhắn tin trực tiếp qua Fanpage Facebook/Instagram + Nuôi dưỡng nội dung</t>
        </is>
      </c>
    </row>
    <row r="1832">
      <c r="A1832" s="59" t="n">
        <v>1701</v>
      </c>
      <c r="B1832" s="15" t="inlineStr">
        <is>
          <t>Hungry Mate Raw Pet Food Dubbo</t>
        </is>
      </c>
      <c r="C1832" s="60" t="inlineStr">
        <is>
          <t>https://www.facebook.com/profile.php?id=61550704602823</t>
        </is>
      </c>
      <c r="D1832" s="9" t="inlineStr">
        <is>
          <t>Cần quét Bio Fanpage</t>
        </is>
      </c>
      <c r="E1832" s="59" t="inlineStr">
        <is>
          <t>01/10/2026 11:23:35</t>
        </is>
      </c>
      <c r="F1832" s="59" t="inlineStr">
        <is>
          <t>1 tuần trước</t>
        </is>
      </c>
      <c r="G1832" s="61" t="n">
        <v>7</v>
      </c>
      <c r="H1832" s="62" t="n">
        <v>20</v>
      </c>
      <c r="I1832" s="9" t="inlineStr">
        <is>
          <t>Pet Owner / Cộng đồng nuôi cún (10đ)</t>
        </is>
      </c>
      <c r="J1832" s="62" t="n">
        <v>10</v>
      </c>
      <c r="K1832" s="9" t="inlineStr">
        <is>
          <t>Chưa rõ giống (Cần quét Bio)</t>
        </is>
      </c>
      <c r="L1832" s="62" t="n">
        <v>0</v>
      </c>
      <c r="M1832" s="62" t="n">
        <v>0</v>
      </c>
      <c r="N1832" s="9" t="inlineStr">
        <is>
          <t>Amazon link not found</t>
        </is>
      </c>
      <c r="O1832" s="62">
        <f>IF(N1832="Selling pet toys + Artificial grass/Pet toilets (TARGET)",15,IF(N1832="Selling artificial grass/pet toilets (TARGET)",10,IF(N1832="Selling pet toys",7,IF(N1832="There's an Amazon link, but no target sales.",3,0))))</f>
        <v/>
      </c>
      <c r="P1832" s="67">
        <f>H1832+J1832+L1832+M1832+O1832</f>
        <v/>
      </c>
      <c r="Q1832" s="69">
        <f>IF(OR(H1832=0,P1832&lt;30),"Tier D (Đóng băng)",IF(P1832&gt;=85,"Tier S (Kim Cương: 85-100đ)",IF(P1832&gt;=70,"Tier A (Vàng: 70-84đ)",IF(P1832&gt;=61,"Tier B+ / Cấp A (Hot Lead: 61-69đ)",IF(P1832&gt;=50,"Tier B (Bạc: 50-60đ)","Tier C (Đồng: 30-49đ)")))))</f>
        <v/>
      </c>
      <c r="R1832" s="9" t="inlineStr">
        <is>
          <t>Khay vệ sinh chung cư (Indoor Potty) + Thảm cỏ ban công (Grass Patch) + Đồ chơi</t>
        </is>
      </c>
      <c r="S1832" s="9" t="inlineStr">
        <is>
          <t>Cấp C Chi phí thấp: Nhắn tin trực tiếp qua Fanpage Facebook/Instagram + Nuôi dưỡng nội dung</t>
        </is>
      </c>
    </row>
    <row r="1833">
      <c r="A1833" s="53" t="n">
        <v>593</v>
      </c>
      <c r="B1833" s="12" t="inlineStr">
        <is>
          <t>Barking Dog Images</t>
        </is>
      </c>
      <c r="C1833" s="54" t="inlineStr">
        <is>
          <t>https://www.facebook.com/barkingdogimages</t>
        </is>
      </c>
      <c r="D1833" s="6" t="inlineStr">
        <is>
          <t>Cần quét Bio Fanpage</t>
        </is>
      </c>
      <c r="E1833" s="53" t="inlineStr">
        <is>
          <t>01/10/2026 05:27:38</t>
        </is>
      </c>
      <c r="F1833" s="53" t="inlineStr">
        <is>
          <t>1 tuần trước</t>
        </is>
      </c>
      <c r="G1833" s="55" t="n">
        <v>7</v>
      </c>
      <c r="H1833" s="56" t="n">
        <v>20</v>
      </c>
      <c r="I1833" s="6" t="inlineStr">
        <is>
          <t>Pet Owner / Cộng đồng nuôi cún (10đ)</t>
        </is>
      </c>
      <c r="J1833" s="56" t="n">
        <v>10</v>
      </c>
      <c r="K1833" s="6" t="inlineStr">
        <is>
          <t>Chưa rõ giống (Cần quét Bio)</t>
        </is>
      </c>
      <c r="L1833" s="56" t="n">
        <v>0</v>
      </c>
      <c r="M1833" s="56" t="n">
        <v>0</v>
      </c>
      <c r="N1833" s="6" t="inlineStr">
        <is>
          <t>Amazon link not found</t>
        </is>
      </c>
      <c r="O1833" s="56">
        <f>IF(N1833="Selling pet toys + Artificial grass/Pet toilets (TARGET)",15,IF(N1833="Selling artificial grass/pet toilets (TARGET)",10,IF(N1833="Selling pet toys",7,IF(N1833="There's an Amazon link, but no target sales.",3,0))))</f>
        <v/>
      </c>
      <c r="P1833" s="65">
        <f>H1833+J1833+L1833+M1833+O1833</f>
        <v/>
      </c>
      <c r="Q1833" s="69">
        <f>IF(OR(H1833=0,P1833&lt;30),"Tier D (Đóng băng)",IF(P1833&gt;=85,"Tier S (Kim Cương: 85-100đ)",IF(P1833&gt;=70,"Tier A (Vàng: 70-84đ)",IF(P1833&gt;=61,"Tier B+ / Cấp A (Hot Lead: 61-69đ)",IF(P1833&gt;=50,"Tier B (Bạc: 50-60đ)","Tier C (Đồng: 30-49đ)")))))</f>
        <v/>
      </c>
      <c r="R1833" s="6" t="inlineStr">
        <is>
          <t>Khay vệ sinh chung cư (Indoor Potty) + Thảm cỏ ban công (Grass Patch) + Đồ chơi</t>
        </is>
      </c>
      <c r="S1833" s="6" t="inlineStr">
        <is>
          <t>Cấp C Chi phí thấp: Nhắn tin trực tiếp qua Fanpage Facebook/Instagram + Nuôi dưỡng nội dung</t>
        </is>
      </c>
    </row>
    <row r="1834">
      <c r="A1834" s="59" t="n">
        <v>2788</v>
      </c>
      <c r="B1834" s="15" t="inlineStr">
        <is>
          <t>RUCK9</t>
        </is>
      </c>
      <c r="C1834" s="60" t="inlineStr">
        <is>
          <t>https://www.facebook.com/profile.php?id=100067421134182</t>
        </is>
      </c>
      <c r="D1834" s="9" t="inlineStr">
        <is>
          <t>Cần quét Bio Fanpage</t>
        </is>
      </c>
      <c r="E1834" s="59" t="inlineStr">
        <is>
          <t>01/10/2026 03:08:10</t>
        </is>
      </c>
      <c r="F1834" s="59" t="inlineStr">
        <is>
          <t>1 tuần trước</t>
        </is>
      </c>
      <c r="G1834" s="61" t="n">
        <v>7</v>
      </c>
      <c r="H1834" s="62" t="n">
        <v>20</v>
      </c>
      <c r="I1834" s="9" t="inlineStr">
        <is>
          <t>Pet Owner / Cộng đồng nuôi cún (10đ)</t>
        </is>
      </c>
      <c r="J1834" s="62" t="n">
        <v>10</v>
      </c>
      <c r="K1834" s="9" t="inlineStr">
        <is>
          <t>Chưa rõ giống (Cần quét Bio)</t>
        </is>
      </c>
      <c r="L1834" s="62" t="n">
        <v>0</v>
      </c>
      <c r="M1834" s="62" t="n">
        <v>0</v>
      </c>
      <c r="N1834" s="9" t="inlineStr">
        <is>
          <t>Amazon link not found</t>
        </is>
      </c>
      <c r="O1834" s="62">
        <f>IF(N1834="Selling pet toys + Artificial grass/Pet toilets (TARGET)",15,IF(N1834="Selling artificial grass/pet toilets (TARGET)",10,IF(N1834="Selling pet toys",7,IF(N1834="There's an Amazon link, but no target sales.",3,0))))</f>
        <v/>
      </c>
      <c r="P1834" s="67">
        <f>H1834+J1834+L1834+M1834+O1834</f>
        <v/>
      </c>
      <c r="Q1834" s="69">
        <f>IF(OR(H1834=0,P1834&lt;30),"Tier D (Đóng băng)",IF(P1834&gt;=85,"Tier S (Kim Cương: 85-100đ)",IF(P1834&gt;=70,"Tier A (Vàng: 70-84đ)",IF(P1834&gt;=61,"Tier B+ / Cấp A (Hot Lead: 61-69đ)",IF(P1834&gt;=50,"Tier B (Bạc: 50-60đ)","Tier C (Đồng: 30-49đ)")))))</f>
        <v/>
      </c>
      <c r="R1834" s="9" t="inlineStr">
        <is>
          <t>Khay vệ sinh chung cư (Indoor Potty) + Thảm cỏ ban công (Grass Patch) + Đồ chơi</t>
        </is>
      </c>
      <c r="S1834" s="9" t="inlineStr">
        <is>
          <t>Cấp C Chi phí thấp: Nhắn tin trực tiếp qua Fanpage Facebook/Instagram + Nuôi dưỡng nội dung</t>
        </is>
      </c>
    </row>
    <row r="1835">
      <c r="A1835" s="53" t="n">
        <v>1400</v>
      </c>
      <c r="B1835" s="12" t="inlineStr">
        <is>
          <t>Flexipets</t>
        </is>
      </c>
      <c r="C1835" s="54" t="inlineStr">
        <is>
          <t>https://www.facebook.com/flexipets.es</t>
        </is>
      </c>
      <c r="D1835" s="6" t="inlineStr">
        <is>
          <t>Cần quét Bio Fanpage</t>
        </is>
      </c>
      <c r="E1835" s="53" t="inlineStr">
        <is>
          <t>30/09/2026 23:44:39</t>
        </is>
      </c>
      <c r="F1835" s="53" t="inlineStr">
        <is>
          <t>1 tuần trước</t>
        </is>
      </c>
      <c r="G1835" s="55" t="n">
        <v>7</v>
      </c>
      <c r="H1835" s="56" t="n">
        <v>20</v>
      </c>
      <c r="I1835" s="6" t="inlineStr">
        <is>
          <t>Pet Owner / Cộng đồng nuôi cún (10đ)</t>
        </is>
      </c>
      <c r="J1835" s="56" t="n">
        <v>10</v>
      </c>
      <c r="K1835" s="6" t="inlineStr">
        <is>
          <t>Chưa rõ giống (Cần quét Bio)</t>
        </is>
      </c>
      <c r="L1835" s="56" t="n">
        <v>0</v>
      </c>
      <c r="M1835" s="56" t="n">
        <v>0</v>
      </c>
      <c r="N1835" s="6" t="inlineStr">
        <is>
          <t>Amazon link not found</t>
        </is>
      </c>
      <c r="O1835" s="56">
        <f>IF(N1835="Selling pet toys + Artificial grass/Pet toilets (TARGET)",15,IF(N1835="Selling artificial grass/pet toilets (TARGET)",10,IF(N1835="Selling pet toys",7,IF(N1835="There's an Amazon link, but no target sales.",3,0))))</f>
        <v/>
      </c>
      <c r="P1835" s="65">
        <f>H1835+J1835+L1835+M1835+O1835</f>
        <v/>
      </c>
      <c r="Q1835" s="69">
        <f>IF(OR(H1835=0,P1835&lt;30),"Tier D (Đóng băng)",IF(P1835&gt;=85,"Tier S (Kim Cương: 85-100đ)",IF(P1835&gt;=70,"Tier A (Vàng: 70-84đ)",IF(P1835&gt;=61,"Tier B+ / Cấp A (Hot Lead: 61-69đ)",IF(P1835&gt;=50,"Tier B (Bạc: 50-60đ)","Tier C (Đồng: 30-49đ)")))))</f>
        <v/>
      </c>
      <c r="R1835" s="6" t="inlineStr">
        <is>
          <t>Khay vệ sinh chung cư (Indoor Potty) + Thảm cỏ ban công (Grass Patch) + Đồ chơi</t>
        </is>
      </c>
      <c r="S1835" s="6" t="inlineStr">
        <is>
          <t>Cấp C Chi phí thấp: Nhắn tin trực tiếp qua Fanpage Facebook/Instagram + Nuôi dưỡng nội dung</t>
        </is>
      </c>
    </row>
    <row r="1836">
      <c r="A1836" s="59" t="n">
        <v>1399</v>
      </c>
      <c r="B1836" s="15" t="inlineStr">
        <is>
          <t>FlatOut Dogs</t>
        </is>
      </c>
      <c r="C1836" s="60" t="inlineStr">
        <is>
          <t>https://www.facebook.com/FlatOutDogs</t>
        </is>
      </c>
      <c r="D1836" s="9" t="inlineStr">
        <is>
          <t>Cần quét Bio Fanpage</t>
        </is>
      </c>
      <c r="E1836" s="59" t="inlineStr">
        <is>
          <t>30/09/2026 20:42:30</t>
        </is>
      </c>
      <c r="F1836" s="59" t="inlineStr">
        <is>
          <t>1 tuần trước</t>
        </is>
      </c>
      <c r="G1836" s="61" t="n">
        <v>7</v>
      </c>
      <c r="H1836" s="62" t="n">
        <v>20</v>
      </c>
      <c r="I1836" s="9" t="inlineStr">
        <is>
          <t>Pet Owner / Cộng đồng nuôi cún (10đ)</t>
        </is>
      </c>
      <c r="J1836" s="62" t="n">
        <v>10</v>
      </c>
      <c r="K1836" s="9" t="inlineStr">
        <is>
          <t>Chưa rõ giống (Cần quét Bio)</t>
        </is>
      </c>
      <c r="L1836" s="62" t="n">
        <v>0</v>
      </c>
      <c r="M1836" s="62" t="n">
        <v>0</v>
      </c>
      <c r="N1836" s="9" t="inlineStr">
        <is>
          <t>Amazon link not found</t>
        </is>
      </c>
      <c r="O1836" s="62">
        <f>IF(N1836="Selling pet toys + Artificial grass/Pet toilets (TARGET)",15,IF(N1836="Selling artificial grass/pet toilets (TARGET)",10,IF(N1836="Selling pet toys",7,IF(N1836="There's an Amazon link, but no target sales.",3,0))))</f>
        <v/>
      </c>
      <c r="P1836" s="67">
        <f>H1836+J1836+L1836+M1836+O1836</f>
        <v/>
      </c>
      <c r="Q1836" s="69">
        <f>IF(OR(H1836=0,P1836&lt;30),"Tier D (Đóng băng)",IF(P1836&gt;=85,"Tier S (Kim Cương: 85-100đ)",IF(P1836&gt;=70,"Tier A (Vàng: 70-84đ)",IF(P1836&gt;=61,"Tier B+ / Cấp A (Hot Lead: 61-69đ)",IF(P1836&gt;=50,"Tier B (Bạc: 50-60đ)","Tier C (Đồng: 30-49đ)")))))</f>
        <v/>
      </c>
      <c r="R1836" s="9" t="inlineStr">
        <is>
          <t>Khay vệ sinh chung cư (Indoor Potty) + Thảm cỏ ban công (Grass Patch) + Đồ chơi</t>
        </is>
      </c>
      <c r="S1836" s="9" t="inlineStr">
        <is>
          <t>Cấp C Chi phí thấp: Nhắn tin trực tiếp qua Fanpage Facebook/Instagram + Nuôi dưỡng nội dung</t>
        </is>
      </c>
    </row>
    <row r="1837">
      <c r="A1837" s="53" t="n">
        <v>3053</v>
      </c>
      <c r="B1837" s="12" t="inlineStr">
        <is>
          <t>Tallyhobulldogs</t>
        </is>
      </c>
      <c r="C1837" s="54" t="inlineStr">
        <is>
          <t>https://www.facebook.com/profile.php?id=100057197540716</t>
        </is>
      </c>
      <c r="D1837" s="6" t="inlineStr">
        <is>
          <t>Cần quét Bio Fanpage</t>
        </is>
      </c>
      <c r="E1837" s="53" t="inlineStr">
        <is>
          <t>30/09/2026 20:03:53</t>
        </is>
      </c>
      <c r="F1837" s="53" t="inlineStr">
        <is>
          <t>1 tuần trước</t>
        </is>
      </c>
      <c r="G1837" s="55" t="n">
        <v>7</v>
      </c>
      <c r="H1837" s="56" t="n">
        <v>20</v>
      </c>
      <c r="I1837" s="6" t="inlineStr">
        <is>
          <t>Pet Owner / Cộng đồng nuôi cún (10đ)</t>
        </is>
      </c>
      <c r="J1837" s="56" t="n">
        <v>10</v>
      </c>
      <c r="K1837" s="6" t="inlineStr">
        <is>
          <t>Chưa rõ giống (Cần quét Bio)</t>
        </is>
      </c>
      <c r="L1837" s="56" t="n">
        <v>0</v>
      </c>
      <c r="M1837" s="56" t="n">
        <v>0</v>
      </c>
      <c r="N1837" s="6" t="inlineStr">
        <is>
          <t>Amazon link not found</t>
        </is>
      </c>
      <c r="O1837" s="56">
        <f>IF(N1837="Selling pet toys + Artificial grass/Pet toilets (TARGET)",15,IF(N1837="Selling artificial grass/pet toilets (TARGET)",10,IF(N1837="Selling pet toys",7,IF(N1837="There's an Amazon link, but no target sales.",3,0))))</f>
        <v/>
      </c>
      <c r="P1837" s="65">
        <f>H1837+J1837+L1837+M1837+O1837</f>
        <v/>
      </c>
      <c r="Q1837" s="69">
        <f>IF(OR(H1837=0,P1837&lt;30),"Tier D (Đóng băng)",IF(P1837&gt;=85,"Tier S (Kim Cương: 85-100đ)",IF(P1837&gt;=70,"Tier A (Vàng: 70-84đ)",IF(P1837&gt;=61,"Tier B+ / Cấp A (Hot Lead: 61-69đ)",IF(P1837&gt;=50,"Tier B (Bạc: 50-60đ)","Tier C (Đồng: 30-49đ)")))))</f>
        <v/>
      </c>
      <c r="R1837" s="6" t="inlineStr">
        <is>
          <t>Khay vệ sinh chung cư (Indoor Potty) + Thảm cỏ ban công (Grass Patch) + Đồ chơi</t>
        </is>
      </c>
      <c r="S1837" s="6" t="inlineStr">
        <is>
          <t>Cấp C Chi phí thấp: Nhắn tin trực tiếp qua Fanpage Facebook/Instagram + Nuôi dưỡng nội dung</t>
        </is>
      </c>
    </row>
    <row r="1838">
      <c r="A1838" s="59" t="n">
        <v>3459</v>
      </c>
      <c r="B1838" s="15" t="inlineStr">
        <is>
          <t>YANPets.ONVTB</t>
        </is>
      </c>
      <c r="C1838" s="60" t="inlineStr">
        <is>
          <t>https://www.facebook.com/YANPets.ONVTB</t>
        </is>
      </c>
      <c r="D1838" s="9" t="inlineStr">
        <is>
          <t>Cần quét Bio Fanpage</t>
        </is>
      </c>
      <c r="E1838" s="59" t="inlineStr">
        <is>
          <t>30/09/2026 18:00:09</t>
        </is>
      </c>
      <c r="F1838" s="59" t="inlineStr">
        <is>
          <t>1 tuần trước</t>
        </is>
      </c>
      <c r="G1838" s="61" t="n">
        <v>7</v>
      </c>
      <c r="H1838" s="62" t="n">
        <v>20</v>
      </c>
      <c r="I1838" s="9" t="inlineStr">
        <is>
          <t>Pet Owner / Cộng đồng nuôi cún (10đ)</t>
        </is>
      </c>
      <c r="J1838" s="62" t="n">
        <v>10</v>
      </c>
      <c r="K1838" s="9" t="inlineStr">
        <is>
          <t>Chưa rõ giống (Cần quét Bio)</t>
        </is>
      </c>
      <c r="L1838" s="62" t="n">
        <v>0</v>
      </c>
      <c r="M1838" s="62" t="n">
        <v>0</v>
      </c>
      <c r="N1838" s="9" t="inlineStr">
        <is>
          <t>Amazon link not found</t>
        </is>
      </c>
      <c r="O1838" s="62">
        <f>IF(N1838="Selling pet toys + Artificial grass/Pet toilets (TARGET)",15,IF(N1838="Selling artificial grass/pet toilets (TARGET)",10,IF(N1838="Selling pet toys",7,IF(N1838="There's an Amazon link, but no target sales.",3,0))))</f>
        <v/>
      </c>
      <c r="P1838" s="67">
        <f>H1838+J1838+L1838+M1838+O1838</f>
        <v/>
      </c>
      <c r="Q1838" s="69">
        <f>IF(OR(H1838=0,P1838&lt;30),"Tier D (Đóng băng)",IF(P1838&gt;=85,"Tier S (Kim Cương: 85-100đ)",IF(P1838&gt;=70,"Tier A (Vàng: 70-84đ)",IF(P1838&gt;=61,"Tier B+ / Cấp A (Hot Lead: 61-69đ)",IF(P1838&gt;=50,"Tier B (Bạc: 50-60đ)","Tier C (Đồng: 30-49đ)")))))</f>
        <v/>
      </c>
      <c r="R1838" s="9" t="inlineStr">
        <is>
          <t>Khay vệ sinh chung cư (Indoor Potty) + Thảm cỏ ban công (Grass Patch) + Đồ chơi</t>
        </is>
      </c>
      <c r="S1838" s="9" t="inlineStr">
        <is>
          <t>Cấp C Chi phí thấp: Nhắn tin trực tiếp qua Fanpage Facebook/Instagram + Nuôi dưỡng nội dung</t>
        </is>
      </c>
    </row>
    <row r="1839">
      <c r="A1839" s="53" t="n">
        <v>541</v>
      </c>
      <c r="B1839" s="12" t="inlineStr">
        <is>
          <t>ASPETGA Santa Pola Gran Alacant</t>
        </is>
      </c>
      <c r="C1839" s="54" t="inlineStr">
        <is>
          <t>https://www.facebook.com/ASPETGA</t>
        </is>
      </c>
      <c r="D1839" s="6" t="inlineStr">
        <is>
          <t>Cần quét Bio Fanpage</t>
        </is>
      </c>
      <c r="E1839" s="53" t="inlineStr">
        <is>
          <t>30/09/2026 16:36:33</t>
        </is>
      </c>
      <c r="F1839" s="53" t="inlineStr">
        <is>
          <t>1 tuần trước</t>
        </is>
      </c>
      <c r="G1839" s="55" t="n">
        <v>7</v>
      </c>
      <c r="H1839" s="56" t="n">
        <v>20</v>
      </c>
      <c r="I1839" s="6" t="inlineStr">
        <is>
          <t>Pet Owner / Cộng đồng nuôi cún (10đ)</t>
        </is>
      </c>
      <c r="J1839" s="56" t="n">
        <v>10</v>
      </c>
      <c r="K1839" s="6" t="inlineStr">
        <is>
          <t>Chưa rõ giống (Cần quét Bio)</t>
        </is>
      </c>
      <c r="L1839" s="56" t="n">
        <v>0</v>
      </c>
      <c r="M1839" s="56" t="n">
        <v>0</v>
      </c>
      <c r="N1839" s="6" t="inlineStr">
        <is>
          <t>Amazon link not found</t>
        </is>
      </c>
      <c r="O1839" s="56">
        <f>IF(N1839="Selling pet toys + Artificial grass/Pet toilets (TARGET)",15,IF(N1839="Selling artificial grass/pet toilets (TARGET)",10,IF(N1839="Selling pet toys",7,IF(N1839="There's an Amazon link, but no target sales.",3,0))))</f>
        <v/>
      </c>
      <c r="P1839" s="65">
        <f>H1839+J1839+L1839+M1839+O1839</f>
        <v/>
      </c>
      <c r="Q1839" s="69">
        <f>IF(OR(H1839=0,P1839&lt;30),"Tier D (Đóng băng)",IF(P1839&gt;=85,"Tier S (Kim Cương: 85-100đ)",IF(P1839&gt;=70,"Tier A (Vàng: 70-84đ)",IF(P1839&gt;=61,"Tier B+ / Cấp A (Hot Lead: 61-69đ)",IF(P1839&gt;=50,"Tier B (Bạc: 50-60đ)","Tier C (Đồng: 30-49đ)")))))</f>
        <v/>
      </c>
      <c r="R1839" s="6" t="inlineStr">
        <is>
          <t>Khay vệ sinh chung cư (Indoor Potty) + Thảm cỏ ban công (Grass Patch) + Đồ chơi</t>
        </is>
      </c>
      <c r="S1839" s="6" t="inlineStr">
        <is>
          <t>Cấp C Chi phí thấp: Nhắn tin trực tiếp qua Fanpage Facebook/Instagram + Nuôi dưỡng nội dung</t>
        </is>
      </c>
    </row>
    <row r="1840">
      <c r="A1840" s="59" t="n">
        <v>1257</v>
      </c>
      <c r="B1840" s="15" t="inlineStr">
        <is>
          <t>Dynamo Dogsports</t>
        </is>
      </c>
      <c r="C1840" s="60" t="inlineStr">
        <is>
          <t>https://www.facebook.com/DynamoDogsports</t>
        </is>
      </c>
      <c r="D1840" s="9" t="inlineStr">
        <is>
          <t>Cần quét Bio Fanpage</t>
        </is>
      </c>
      <c r="E1840" s="59" t="inlineStr">
        <is>
          <t>29/09/2026 23:58:23</t>
        </is>
      </c>
      <c r="F1840" s="59" t="inlineStr">
        <is>
          <t>1 tuần trước</t>
        </is>
      </c>
      <c r="G1840" s="61" t="n">
        <v>7</v>
      </c>
      <c r="H1840" s="62" t="n">
        <v>20</v>
      </c>
      <c r="I1840" s="9" t="inlineStr">
        <is>
          <t>Pet Owner / Cộng đồng nuôi cún (10đ)</t>
        </is>
      </c>
      <c r="J1840" s="62" t="n">
        <v>10</v>
      </c>
      <c r="K1840" s="9" t="inlineStr">
        <is>
          <t>Chưa rõ giống (Cần quét Bio)</t>
        </is>
      </c>
      <c r="L1840" s="62" t="n">
        <v>0</v>
      </c>
      <c r="M1840" s="62" t="n">
        <v>0</v>
      </c>
      <c r="N1840" s="9" t="inlineStr">
        <is>
          <t>Amazon link not found</t>
        </is>
      </c>
      <c r="O1840" s="62">
        <f>IF(N1840="Selling pet toys + Artificial grass/Pet toilets (TARGET)",15,IF(N1840="Selling artificial grass/pet toilets (TARGET)",10,IF(N1840="Selling pet toys",7,IF(N1840="There's an Amazon link, but no target sales.",3,0))))</f>
        <v/>
      </c>
      <c r="P1840" s="67">
        <f>H1840+J1840+L1840+M1840+O1840</f>
        <v/>
      </c>
      <c r="Q1840" s="69">
        <f>IF(OR(H1840=0,P1840&lt;30),"Tier D (Đóng băng)",IF(P1840&gt;=85,"Tier S (Kim Cương: 85-100đ)",IF(P1840&gt;=70,"Tier A (Vàng: 70-84đ)",IF(P1840&gt;=61,"Tier B+ / Cấp A (Hot Lead: 61-69đ)",IF(P1840&gt;=50,"Tier B (Bạc: 50-60đ)","Tier C (Đồng: 30-49đ)")))))</f>
        <v/>
      </c>
      <c r="R1840" s="9" t="inlineStr">
        <is>
          <t>Khay vệ sinh chung cư (Indoor Potty) + Thảm cỏ ban công (Grass Patch) + Đồ chơi</t>
        </is>
      </c>
      <c r="S1840" s="9" t="inlineStr">
        <is>
          <t>Cấp C Chi phí thấp: Nhắn tin trực tiếp qua Fanpage Facebook/Instagram + Nuôi dưỡng nội dung</t>
        </is>
      </c>
    </row>
    <row r="1841">
      <c r="A1841" s="53" t="n">
        <v>2448</v>
      </c>
      <c r="B1841" s="12" t="inlineStr">
        <is>
          <t>PET Food and Fun</t>
        </is>
      </c>
      <c r="C1841" s="54" t="inlineStr">
        <is>
          <t>https://www.facebook.com/PetFoodAndFun</t>
        </is>
      </c>
      <c r="D1841" s="6" t="inlineStr">
        <is>
          <t>Cần quét Bio Fanpage</t>
        </is>
      </c>
      <c r="E1841" s="53" t="inlineStr">
        <is>
          <t>29/09/2026 20:58:12</t>
        </is>
      </c>
      <c r="F1841" s="53" t="inlineStr">
        <is>
          <t>1 tuần trước</t>
        </is>
      </c>
      <c r="G1841" s="55" t="n">
        <v>7</v>
      </c>
      <c r="H1841" s="56" t="n">
        <v>20</v>
      </c>
      <c r="I1841" s="6" t="inlineStr">
        <is>
          <t>Pet Owner / Cộng đồng nuôi cún (10đ)</t>
        </is>
      </c>
      <c r="J1841" s="56" t="n">
        <v>10</v>
      </c>
      <c r="K1841" s="6" t="inlineStr">
        <is>
          <t>Chưa rõ giống (Cần quét Bio)</t>
        </is>
      </c>
      <c r="L1841" s="56" t="n">
        <v>0</v>
      </c>
      <c r="M1841" s="56" t="n">
        <v>0</v>
      </c>
      <c r="N1841" s="6" t="inlineStr">
        <is>
          <t>Amazon link not found</t>
        </is>
      </c>
      <c r="O1841" s="56">
        <f>IF(N1841="Selling pet toys + Artificial grass/Pet toilets (TARGET)",15,IF(N1841="Selling artificial grass/pet toilets (TARGET)",10,IF(N1841="Selling pet toys",7,IF(N1841="There's an Amazon link, but no target sales.",3,0))))</f>
        <v/>
      </c>
      <c r="P1841" s="65">
        <f>H1841+J1841+L1841+M1841+O1841</f>
        <v/>
      </c>
      <c r="Q1841" s="69">
        <f>IF(OR(H1841=0,P1841&lt;30),"Tier D (Đóng băng)",IF(P1841&gt;=85,"Tier S (Kim Cương: 85-100đ)",IF(P1841&gt;=70,"Tier A (Vàng: 70-84đ)",IF(P1841&gt;=61,"Tier B+ / Cấp A (Hot Lead: 61-69đ)",IF(P1841&gt;=50,"Tier B (Bạc: 50-60đ)","Tier C (Đồng: 30-49đ)")))))</f>
        <v/>
      </c>
      <c r="R1841" s="6" t="inlineStr">
        <is>
          <t>Khay vệ sinh chung cư (Indoor Potty) + Thảm cỏ ban công (Grass Patch) + Đồ chơi</t>
        </is>
      </c>
      <c r="S1841" s="6" t="inlineStr">
        <is>
          <t>Cấp C Chi phí thấp: Nhắn tin trực tiếp qua Fanpage Facebook/Instagram + Nuôi dưỡng nội dung</t>
        </is>
      </c>
    </row>
    <row r="1842">
      <c r="A1842" s="59" t="n">
        <v>3011</v>
      </c>
      <c r="B1842" s="15" t="inlineStr">
        <is>
          <t>Stunt Dog Show Productions</t>
        </is>
      </c>
      <c r="C1842" s="60" t="inlineStr">
        <is>
          <t>https://www.facebook.com/Stuntdogshow</t>
        </is>
      </c>
      <c r="D1842" s="9" t="inlineStr">
        <is>
          <t>Cần quét Bio Fanpage</t>
        </is>
      </c>
      <c r="E1842" s="59" t="inlineStr">
        <is>
          <t>29/09/2026 20:26:19</t>
        </is>
      </c>
      <c r="F1842" s="59" t="inlineStr">
        <is>
          <t>1 tuần trước</t>
        </is>
      </c>
      <c r="G1842" s="61" t="n">
        <v>7</v>
      </c>
      <c r="H1842" s="62" t="n">
        <v>20</v>
      </c>
      <c r="I1842" s="9" t="inlineStr">
        <is>
          <t>Pet Owner / Cộng đồng nuôi cún (10đ)</t>
        </is>
      </c>
      <c r="J1842" s="62" t="n">
        <v>10</v>
      </c>
      <c r="K1842" s="9" t="inlineStr">
        <is>
          <t>Chưa rõ giống (Cần quét Bio)</t>
        </is>
      </c>
      <c r="L1842" s="62" t="n">
        <v>0</v>
      </c>
      <c r="M1842" s="62" t="n">
        <v>0</v>
      </c>
      <c r="N1842" s="9" t="inlineStr">
        <is>
          <t>Amazon link not found</t>
        </is>
      </c>
      <c r="O1842" s="62">
        <f>IF(N1842="Selling pet toys + Artificial grass/Pet toilets (TARGET)",15,IF(N1842="Selling artificial grass/pet toilets (TARGET)",10,IF(N1842="Selling pet toys",7,IF(N1842="There's an Amazon link, but no target sales.",3,0))))</f>
        <v/>
      </c>
      <c r="P1842" s="67">
        <f>H1842+J1842+L1842+M1842+O1842</f>
        <v/>
      </c>
      <c r="Q1842" s="69">
        <f>IF(OR(H1842=0,P1842&lt;30),"Tier D (Đóng băng)",IF(P1842&gt;=85,"Tier S (Kim Cương: 85-100đ)",IF(P1842&gt;=70,"Tier A (Vàng: 70-84đ)",IF(P1842&gt;=61,"Tier B+ / Cấp A (Hot Lead: 61-69đ)",IF(P1842&gt;=50,"Tier B (Bạc: 50-60đ)","Tier C (Đồng: 30-49đ)")))))</f>
        <v/>
      </c>
      <c r="R1842" s="9" t="inlineStr">
        <is>
          <t>Khay vệ sinh chung cư (Indoor Potty) + Thảm cỏ ban công (Grass Patch) + Đồ chơi</t>
        </is>
      </c>
      <c r="S1842" s="9" t="inlineStr">
        <is>
          <t>Cấp C Chi phí thấp: Nhắn tin trực tiếp qua Fanpage Facebook/Instagram + Nuôi dưỡng nội dung</t>
        </is>
      </c>
    </row>
    <row r="1843">
      <c r="A1843" s="53" t="n">
        <v>2749</v>
      </c>
      <c r="B1843" s="12" t="inlineStr">
        <is>
          <t>Ringówki / Show leads for dogs</t>
        </is>
      </c>
      <c r="C1843" s="54" t="inlineStr">
        <is>
          <t>https://www.facebook.com/profile.php?id=61577597588097</t>
        </is>
      </c>
      <c r="D1843" s="6" t="inlineStr">
        <is>
          <t>Cần quét Bio Fanpage</t>
        </is>
      </c>
      <c r="E1843" s="53" t="inlineStr">
        <is>
          <t>29/09/2026 20:12:28</t>
        </is>
      </c>
      <c r="F1843" s="53" t="inlineStr">
        <is>
          <t>1 tuần trước</t>
        </is>
      </c>
      <c r="G1843" s="55" t="n">
        <v>7</v>
      </c>
      <c r="H1843" s="56" t="n">
        <v>20</v>
      </c>
      <c r="I1843" s="6" t="inlineStr">
        <is>
          <t>Pet Owner / Cộng đồng nuôi cún (10đ)</t>
        </is>
      </c>
      <c r="J1843" s="56" t="n">
        <v>10</v>
      </c>
      <c r="K1843" s="6" t="inlineStr">
        <is>
          <t>Chưa rõ giống (Cần quét Bio)</t>
        </is>
      </c>
      <c r="L1843" s="56" t="n">
        <v>0</v>
      </c>
      <c r="M1843" s="56" t="n">
        <v>0</v>
      </c>
      <c r="N1843" s="6" t="inlineStr">
        <is>
          <t>Amazon link not found</t>
        </is>
      </c>
      <c r="O1843" s="56">
        <f>IF(N1843="Selling pet toys + Artificial grass/Pet toilets (TARGET)",15,IF(N1843="Selling artificial grass/pet toilets (TARGET)",10,IF(N1843="Selling pet toys",7,IF(N1843="There's an Amazon link, but no target sales.",3,0))))</f>
        <v/>
      </c>
      <c r="P1843" s="65">
        <f>H1843+J1843+L1843+M1843+O1843</f>
        <v/>
      </c>
      <c r="Q1843" s="69">
        <f>IF(OR(H1843=0,P1843&lt;30),"Tier D (Đóng băng)",IF(P1843&gt;=85,"Tier S (Kim Cương: 85-100đ)",IF(P1843&gt;=70,"Tier A (Vàng: 70-84đ)",IF(P1843&gt;=61,"Tier B+ / Cấp A (Hot Lead: 61-69đ)",IF(P1843&gt;=50,"Tier B (Bạc: 50-60đ)","Tier C (Đồng: 30-49đ)")))))</f>
        <v/>
      </c>
      <c r="R1843" s="6" t="inlineStr">
        <is>
          <t>Khay vệ sinh chung cư (Indoor Potty) + Thảm cỏ ban công (Grass Patch) + Đồ chơi</t>
        </is>
      </c>
      <c r="S1843" s="6" t="inlineStr">
        <is>
          <t>Cấp C Chi phí thấp: Nhắn tin trực tiếp qua Fanpage Facebook/Instagram + Nuôi dưỡng nội dung</t>
        </is>
      </c>
    </row>
    <row r="1844">
      <c r="A1844" s="59" t="n">
        <v>2437</v>
      </c>
      <c r="B1844" s="15" t="inlineStr">
        <is>
          <t>allsantPETPCare</t>
        </is>
      </c>
      <c r="C1844" s="60" t="inlineStr">
        <is>
          <t>https://www.facebook.com/allsantPETPCare</t>
        </is>
      </c>
      <c r="D1844" s="9" t="inlineStr">
        <is>
          <t>Cần quét Bio Fanpage</t>
        </is>
      </c>
      <c r="E1844" s="59" t="inlineStr">
        <is>
          <t>29/09/2026 16:41:51</t>
        </is>
      </c>
      <c r="F1844" s="59" t="inlineStr">
        <is>
          <t>1 tuần trước</t>
        </is>
      </c>
      <c r="G1844" s="61" t="n">
        <v>7</v>
      </c>
      <c r="H1844" s="62" t="n">
        <v>20</v>
      </c>
      <c r="I1844" s="9" t="inlineStr">
        <is>
          <t>Pet Owner / Cộng đồng nuôi cún (10đ)</t>
        </is>
      </c>
      <c r="J1844" s="62" t="n">
        <v>10</v>
      </c>
      <c r="K1844" s="9" t="inlineStr">
        <is>
          <t>Chưa rõ giống (Cần quét Bio)</t>
        </is>
      </c>
      <c r="L1844" s="62" t="n">
        <v>0</v>
      </c>
      <c r="M1844" s="62" t="n">
        <v>0</v>
      </c>
      <c r="N1844" s="9" t="inlineStr">
        <is>
          <t>Amazon link not found</t>
        </is>
      </c>
      <c r="O1844" s="62">
        <f>IF(N1844="Selling pet toys + Artificial grass/Pet toilets (TARGET)",15,IF(N1844="Selling artificial grass/pet toilets (TARGET)",10,IF(N1844="Selling pet toys",7,IF(N1844="There's an Amazon link, but no target sales.",3,0))))</f>
        <v/>
      </c>
      <c r="P1844" s="67">
        <f>H1844+J1844+L1844+M1844+O1844</f>
        <v/>
      </c>
      <c r="Q1844" s="69">
        <f>IF(OR(H1844=0,P1844&lt;30),"Tier D (Đóng băng)",IF(P1844&gt;=85,"Tier S (Kim Cương: 85-100đ)",IF(P1844&gt;=70,"Tier A (Vàng: 70-84đ)",IF(P1844&gt;=61,"Tier B+ / Cấp A (Hot Lead: 61-69đ)",IF(P1844&gt;=50,"Tier B (Bạc: 50-60đ)","Tier C (Đồng: 30-49đ)")))))</f>
        <v/>
      </c>
      <c r="R1844" s="9" t="inlineStr">
        <is>
          <t>Khay vệ sinh chung cư (Indoor Potty) + Thảm cỏ ban công (Grass Patch) + Đồ chơi</t>
        </is>
      </c>
      <c r="S1844" s="9" t="inlineStr">
        <is>
          <t>Cấp C Chi phí thấp: Nhắn tin trực tiếp qua Fanpage Facebook/Instagram + Nuôi dưỡng nội dung</t>
        </is>
      </c>
    </row>
    <row r="1845">
      <c r="A1845" s="53" t="n">
        <v>2467</v>
      </c>
      <c r="B1845" s="12" t="inlineStr">
        <is>
          <t>PET Supermarket - Articoli per animali a Bagnolo Piemonte</t>
        </is>
      </c>
      <c r="C1845" s="54" t="inlineStr">
        <is>
          <t>https://www.facebook.com/Petsupermarketanimali</t>
        </is>
      </c>
      <c r="D1845" s="6" t="inlineStr">
        <is>
          <t>Cần quét Bio Fanpage</t>
        </is>
      </c>
      <c r="E1845" s="53" t="inlineStr">
        <is>
          <t>29/09/2026 15:04:33</t>
        </is>
      </c>
      <c r="F1845" s="53" t="inlineStr">
        <is>
          <t>1 tuần trước</t>
        </is>
      </c>
      <c r="G1845" s="55" t="n">
        <v>7</v>
      </c>
      <c r="H1845" s="56" t="n">
        <v>20</v>
      </c>
      <c r="I1845" s="6" t="inlineStr">
        <is>
          <t>Pet Owner / Cộng đồng nuôi cún (10đ)</t>
        </is>
      </c>
      <c r="J1845" s="56" t="n">
        <v>10</v>
      </c>
      <c r="K1845" s="6" t="inlineStr">
        <is>
          <t>Chưa rõ giống (Cần quét Bio)</t>
        </is>
      </c>
      <c r="L1845" s="56" t="n">
        <v>0</v>
      </c>
      <c r="M1845" s="56" t="n">
        <v>0</v>
      </c>
      <c r="N1845" s="6" t="inlineStr">
        <is>
          <t>Amazon link not found</t>
        </is>
      </c>
      <c r="O1845" s="56">
        <f>IF(N1845="Selling pet toys + Artificial grass/Pet toilets (TARGET)",15,IF(N1845="Selling artificial grass/pet toilets (TARGET)",10,IF(N1845="Selling pet toys",7,IF(N1845="There's an Amazon link, but no target sales.",3,0))))</f>
        <v/>
      </c>
      <c r="P1845" s="65">
        <f>H1845+J1845+L1845+M1845+O1845</f>
        <v/>
      </c>
      <c r="Q1845" s="69">
        <f>IF(OR(H1845=0,P1845&lt;30),"Tier D (Đóng băng)",IF(P1845&gt;=85,"Tier S (Kim Cương: 85-100đ)",IF(P1845&gt;=70,"Tier A (Vàng: 70-84đ)",IF(P1845&gt;=61,"Tier B+ / Cấp A (Hot Lead: 61-69đ)",IF(P1845&gt;=50,"Tier B (Bạc: 50-60đ)","Tier C (Đồng: 30-49đ)")))))</f>
        <v/>
      </c>
      <c r="R1845" s="6" t="inlineStr">
        <is>
          <t>Khay vệ sinh chung cư (Indoor Potty) + Thảm cỏ ban công (Grass Patch) + Đồ chơi</t>
        </is>
      </c>
      <c r="S1845" s="6" t="inlineStr">
        <is>
          <t>Cấp C Chi phí thấp: Nhắn tin trực tiếp qua Fanpage Facebook/Instagram + Nuôi dưỡng nội dung</t>
        </is>
      </c>
    </row>
    <row r="1846">
      <c r="A1846" s="59" t="n">
        <v>2486</v>
      </c>
      <c r="B1846" s="15" t="inlineStr">
        <is>
          <t>Pete's Photography</t>
        </is>
      </c>
      <c r="C1846" s="60" t="inlineStr">
        <is>
          <t>https://www.facebook.com/profile.php?id=100086550452656</t>
        </is>
      </c>
      <c r="D1846" s="9" t="inlineStr">
        <is>
          <t>Cần quét Bio Fanpage</t>
        </is>
      </c>
      <c r="E1846" s="59" t="inlineStr">
        <is>
          <t>29/09/2026 09:40:27</t>
        </is>
      </c>
      <c r="F1846" s="59" t="inlineStr">
        <is>
          <t>1 tuần trước</t>
        </is>
      </c>
      <c r="G1846" s="61" t="n">
        <v>7</v>
      </c>
      <c r="H1846" s="62" t="n">
        <v>20</v>
      </c>
      <c r="I1846" s="9" t="inlineStr">
        <is>
          <t>Pet Owner / Cộng đồng nuôi cún (10đ)</t>
        </is>
      </c>
      <c r="J1846" s="62" t="n">
        <v>10</v>
      </c>
      <c r="K1846" s="9" t="inlineStr">
        <is>
          <t>Chưa rõ giống (Cần quét Bio)</t>
        </is>
      </c>
      <c r="L1846" s="62" t="n">
        <v>0</v>
      </c>
      <c r="M1846" s="62" t="n">
        <v>0</v>
      </c>
      <c r="N1846" s="9" t="inlineStr">
        <is>
          <t>Amazon link not found</t>
        </is>
      </c>
      <c r="O1846" s="62">
        <f>IF(N1846="Selling pet toys + Artificial grass/Pet toilets (TARGET)",15,IF(N1846="Selling artificial grass/pet toilets (TARGET)",10,IF(N1846="Selling pet toys",7,IF(N1846="There's an Amazon link, but no target sales.",3,0))))</f>
        <v/>
      </c>
      <c r="P1846" s="67">
        <f>H1846+J1846+L1846+M1846+O1846</f>
        <v/>
      </c>
      <c r="Q1846" s="69">
        <f>IF(OR(H1846=0,P1846&lt;30),"Tier D (Đóng băng)",IF(P1846&gt;=85,"Tier S (Kim Cương: 85-100đ)",IF(P1846&gt;=70,"Tier A (Vàng: 70-84đ)",IF(P1846&gt;=61,"Tier B+ / Cấp A (Hot Lead: 61-69đ)",IF(P1846&gt;=50,"Tier B (Bạc: 50-60đ)","Tier C (Đồng: 30-49đ)")))))</f>
        <v/>
      </c>
      <c r="R1846" s="9" t="inlineStr">
        <is>
          <t>Khay vệ sinh chung cư (Indoor Potty) + Thảm cỏ ban công (Grass Patch) + Đồ chơi</t>
        </is>
      </c>
      <c r="S1846" s="9" t="inlineStr">
        <is>
          <t>Cấp C Chi phí thấp: Nhắn tin trực tiếp qua Fanpage Facebook/Instagram + Nuôi dưỡng nội dung</t>
        </is>
      </c>
    </row>
    <row r="1847">
      <c r="A1847" s="53" t="n">
        <v>612</v>
      </c>
      <c r="B1847" s="12" t="inlineStr">
        <is>
          <t>Bear The Dog Behaviourist</t>
        </is>
      </c>
      <c r="C1847" s="54" t="inlineStr">
        <is>
          <t>https://www.facebook.com/bearthedogbehaviourist</t>
        </is>
      </c>
      <c r="D1847" s="6" t="inlineStr">
        <is>
          <t>Cần quét Bio Fanpage</t>
        </is>
      </c>
      <c r="E1847" s="53" t="inlineStr">
        <is>
          <t>29/09/2026 08:31:52</t>
        </is>
      </c>
      <c r="F1847" s="53" t="inlineStr">
        <is>
          <t>1 tuần trước</t>
        </is>
      </c>
      <c r="G1847" s="55" t="n">
        <v>7</v>
      </c>
      <c r="H1847" s="56" t="n">
        <v>20</v>
      </c>
      <c r="I1847" s="6" t="inlineStr">
        <is>
          <t>Pet Owner / Kênh cá nhân thú cưng (10đ)</t>
        </is>
      </c>
      <c r="J1847" s="56" t="n">
        <v>10</v>
      </c>
      <c r="K1847" s="6" t="inlineStr">
        <is>
          <t>Chưa rõ giống (Cần quét Bio)</t>
        </is>
      </c>
      <c r="L1847" s="56" t="n">
        <v>0</v>
      </c>
      <c r="M1847" s="56" t="n">
        <v>0</v>
      </c>
      <c r="N1847" s="6" t="inlineStr">
        <is>
          <t>Amazon link not found</t>
        </is>
      </c>
      <c r="O1847" s="56">
        <f>IF(N1847="Selling pet toys + Artificial grass/Pet toilets (TARGET)",15,IF(N1847="Selling artificial grass/pet toilets (TARGET)",10,IF(N1847="Selling pet toys",7,IF(N1847="There's an Amazon link, but no target sales.",3,0))))</f>
        <v/>
      </c>
      <c r="P1847" s="65">
        <f>H1847+J1847+L1847+M1847+O1847</f>
        <v/>
      </c>
      <c r="Q1847" s="69">
        <f>IF(OR(H1847=0,P1847&lt;30),"Tier D (Đóng băng)",IF(P1847&gt;=85,"Tier S (Kim Cương: 85-100đ)",IF(P1847&gt;=70,"Tier A (Vàng: 70-84đ)",IF(P1847&gt;=61,"Tier B+ / Cấp A (Hot Lead: 61-69đ)",IF(P1847&gt;=50,"Tier B (Bạc: 50-60đ)","Tier C (Đồng: 30-49đ)")))))</f>
        <v/>
      </c>
      <c r="R1847" s="6" t="inlineStr">
        <is>
          <t>Khay vệ sinh trong nhà (Indoor Dog Potty) + Đồ chơi thú cưng lẻ</t>
        </is>
      </c>
      <c r="S1847" s="6" t="inlineStr">
        <is>
          <t>Cấp C Chi phí thấp: Nhắn tin trực tiếp qua Fanpage Facebook/Instagram + Nuôi dưỡng nội dung</t>
        </is>
      </c>
    </row>
    <row r="1848">
      <c r="A1848" s="59" t="n">
        <v>1232</v>
      </c>
      <c r="B1848" s="15" t="inlineStr">
        <is>
          <t>DRk9 Services</t>
        </is>
      </c>
      <c r="C1848" s="60" t="inlineStr">
        <is>
          <t>https://www.facebook.com/profile.php?id=61552552443943</t>
        </is>
      </c>
      <c r="D1848" s="9" t="inlineStr">
        <is>
          <t>Cần quét Bio Fanpage</t>
        </is>
      </c>
      <c r="E1848" s="59" t="inlineStr">
        <is>
          <t>28/09/2026 03:40:32</t>
        </is>
      </c>
      <c r="F1848" s="59" t="inlineStr">
        <is>
          <t>2 tuần trước</t>
        </is>
      </c>
      <c r="G1848" s="61" t="n">
        <v>14</v>
      </c>
      <c r="H1848" s="62" t="n">
        <v>15</v>
      </c>
      <c r="I1848" s="9" t="inlineStr">
        <is>
          <t>Pet Owner / Cộng đồng nuôi cún (10đ)</t>
        </is>
      </c>
      <c r="J1848" s="62" t="n">
        <v>10</v>
      </c>
      <c r="K1848" s="9" t="inlineStr">
        <is>
          <t>Chưa rõ giống (Cần quét Bio)</t>
        </is>
      </c>
      <c r="L1848" s="62" t="n">
        <v>0</v>
      </c>
      <c r="M1848" s="62" t="n">
        <v>5</v>
      </c>
      <c r="N1848" s="9" t="inlineStr">
        <is>
          <t>Amazon link not found</t>
        </is>
      </c>
      <c r="O1848" s="62">
        <f>IF(N1848="Selling pet toys + Artificial grass/Pet toilets (TARGET)",15,IF(N1848="Selling artificial grass/pet toilets (TARGET)",10,IF(N1848="Selling pet toys",7,IF(N1848="There's an Amazon link, but no target sales.",3,0))))</f>
        <v/>
      </c>
      <c r="P1848" s="67">
        <f>H1848+J1848+L1848+M1848+O1848</f>
        <v/>
      </c>
      <c r="Q1848" s="69">
        <f>IF(OR(H1848=0,P1848&lt;30),"Tier D (Đóng băng)",IF(P1848&gt;=85,"Tier S (Kim Cương: 85-100đ)",IF(P1848&gt;=70,"Tier A (Vàng: 70-84đ)",IF(P1848&gt;=61,"Tier B+ / Cấp A (Hot Lead: 61-69đ)",IF(P1848&gt;=50,"Tier B (Bạc: 50-60đ)","Tier C (Đồng: 30-49đ)")))))</f>
        <v/>
      </c>
      <c r="R1848" s="9" t="inlineStr">
        <is>
          <t>Khay vệ sinh chung cư (Indoor Potty) + Thảm cỏ ban công (Grass Patch) + Đồ chơi</t>
        </is>
      </c>
      <c r="S1848" s="9" t="inlineStr">
        <is>
          <t>Cấp C Chi phí thấp: Nhắn tin trực tiếp qua Fanpage Facebook/Instagram + Nuôi dưỡng nội dung</t>
        </is>
      </c>
    </row>
    <row r="1849">
      <c r="A1849" s="53" t="n">
        <v>2188</v>
      </c>
      <c r="B1849" s="12" t="inlineStr">
        <is>
          <t>Minh pet shop</t>
        </is>
      </c>
      <c r="C1849" s="54" t="inlineStr">
        <is>
          <t>https://www.facebook.com/Minhpetshop</t>
        </is>
      </c>
      <c r="D1849" s="6" t="inlineStr">
        <is>
          <t>Cần quét Bio Fanpage</t>
        </is>
      </c>
      <c r="E1849" s="53" t="inlineStr">
        <is>
          <t>26/09/2026 11:19:03</t>
        </is>
      </c>
      <c r="F1849" s="53" t="inlineStr">
        <is>
          <t>2 tuần trước</t>
        </is>
      </c>
      <c r="G1849" s="55" t="n">
        <v>14</v>
      </c>
      <c r="H1849" s="56" t="n">
        <v>15</v>
      </c>
      <c r="I1849" s="6" t="inlineStr">
        <is>
          <t>Pet Owner / Cộng đồng nuôi cún (10đ)</t>
        </is>
      </c>
      <c r="J1849" s="56" t="n">
        <v>10</v>
      </c>
      <c r="K1849" s="6" t="inlineStr">
        <is>
          <t>Chưa rõ giống (Cần quét Bio)</t>
        </is>
      </c>
      <c r="L1849" s="56" t="n">
        <v>0</v>
      </c>
      <c r="M1849" s="56" t="n">
        <v>5</v>
      </c>
      <c r="N1849" s="6" t="inlineStr">
        <is>
          <t>Amazon link not found</t>
        </is>
      </c>
      <c r="O1849" s="56">
        <f>IF(N1849="Selling pet toys + Artificial grass/Pet toilets (TARGET)",15,IF(N1849="Selling artificial grass/pet toilets (TARGET)",10,IF(N1849="Selling pet toys",7,IF(N1849="There's an Amazon link, but no target sales.",3,0))))</f>
        <v/>
      </c>
      <c r="P1849" s="65">
        <f>H1849+J1849+L1849+M1849+O1849</f>
        <v/>
      </c>
      <c r="Q1849" s="69">
        <f>IF(OR(H1849=0,P1849&lt;30),"Tier D (Đóng băng)",IF(P1849&gt;=85,"Tier S (Kim Cương: 85-100đ)",IF(P1849&gt;=70,"Tier A (Vàng: 70-84đ)",IF(P1849&gt;=61,"Tier B+ / Cấp A (Hot Lead: 61-69đ)",IF(P1849&gt;=50,"Tier B (Bạc: 50-60đ)","Tier C (Đồng: 30-49đ)")))))</f>
        <v/>
      </c>
      <c r="R1849" s="6" t="inlineStr">
        <is>
          <t>Khay vệ sinh chung cư (Indoor Potty) + Thảm cỏ ban công (Grass Patch) + Đồ chơi</t>
        </is>
      </c>
      <c r="S1849" s="6" t="inlineStr">
        <is>
          <t>Cấp C Chi phí thấp: Nhắn tin trực tiếp qua Fanpage Facebook/Instagram + Nuôi dưỡng nội dung</t>
        </is>
      </c>
    </row>
    <row r="1850">
      <c r="A1850" s="59" t="n">
        <v>1637</v>
      </c>
      <c r="B1850" s="15" t="inlineStr">
        <is>
          <t>Hearts of Gold Service Dog Program</t>
        </is>
      </c>
      <c r="C1850" s="60" t="inlineStr">
        <is>
          <t>https://www.facebook.com/HeartsofGoldSDWV</t>
        </is>
      </c>
      <c r="D1850" s="9" t="inlineStr">
        <is>
          <t>Cần quét Bio Fanpage</t>
        </is>
      </c>
      <c r="E1850" s="59" t="inlineStr">
        <is>
          <t>26/09/2026 00:00:04</t>
        </is>
      </c>
      <c r="F1850" s="59" t="inlineStr">
        <is>
          <t>2 tuần trước</t>
        </is>
      </c>
      <c r="G1850" s="61" t="n">
        <v>14</v>
      </c>
      <c r="H1850" s="62" t="n">
        <v>15</v>
      </c>
      <c r="I1850" s="9" t="inlineStr">
        <is>
          <t>Pet Owner / Cộng đồng nuôi cún (10đ)</t>
        </is>
      </c>
      <c r="J1850" s="62" t="n">
        <v>10</v>
      </c>
      <c r="K1850" s="9" t="inlineStr">
        <is>
          <t>Chưa rõ giống (Cần quét Bio)</t>
        </is>
      </c>
      <c r="L1850" s="62" t="n">
        <v>0</v>
      </c>
      <c r="M1850" s="62" t="n">
        <v>5</v>
      </c>
      <c r="N1850" s="9" t="inlineStr">
        <is>
          <t>Amazon link not found</t>
        </is>
      </c>
      <c r="O1850" s="62">
        <f>IF(N1850="Selling pet toys + Artificial grass/Pet toilets (TARGET)",15,IF(N1850="Selling artificial grass/pet toilets (TARGET)",10,IF(N1850="Selling pet toys",7,IF(N1850="There's an Amazon link, but no target sales.",3,0))))</f>
        <v/>
      </c>
      <c r="P1850" s="67">
        <f>H1850+J1850+L1850+M1850+O1850</f>
        <v/>
      </c>
      <c r="Q1850" s="69">
        <f>IF(OR(H1850=0,P1850&lt;30),"Tier D (Đóng băng)",IF(P1850&gt;=85,"Tier S (Kim Cương: 85-100đ)",IF(P1850&gt;=70,"Tier A (Vàng: 70-84đ)",IF(P1850&gt;=61,"Tier B+ / Cấp A (Hot Lead: 61-69đ)",IF(P1850&gt;=50,"Tier B (Bạc: 50-60đ)","Tier C (Đồng: 30-49đ)")))))</f>
        <v/>
      </c>
      <c r="R1850" s="9" t="inlineStr">
        <is>
          <t>Khay vệ sinh chung cư (Indoor Potty) + Thảm cỏ ban công (Grass Patch) + Đồ chơi</t>
        </is>
      </c>
      <c r="S1850" s="9" t="inlineStr">
        <is>
          <t>Cấp C Chi phí thấp: Nhắn tin trực tiếp qua Fanpage Facebook/Instagram + Nuôi dưỡng nội dung</t>
        </is>
      </c>
    </row>
    <row r="1851">
      <c r="A1851" s="53" t="n">
        <v>3134</v>
      </c>
      <c r="B1851" s="12" t="inlineStr">
        <is>
          <t>The K9 Back Pack, IVDD information and support</t>
        </is>
      </c>
      <c r="C1851" s="54" t="inlineStr">
        <is>
          <t>https://www.facebook.com/TheK9BackPack</t>
        </is>
      </c>
      <c r="D1851" s="6" t="inlineStr">
        <is>
          <t>Cần quét Bio Fanpage</t>
        </is>
      </c>
      <c r="E1851" s="53" t="inlineStr">
        <is>
          <t>18/09/2026 23:26:35</t>
        </is>
      </c>
      <c r="F1851" s="53" t="inlineStr">
        <is>
          <t>3 tuần trước</t>
        </is>
      </c>
      <c r="G1851" s="55" t="n">
        <v>21</v>
      </c>
      <c r="H1851" s="56" t="n">
        <v>8</v>
      </c>
      <c r="I1851" s="6" t="inlineStr">
        <is>
          <t>Pet Boarding / Huấn luyện K9 &amp; Dịch vụ (20-22đ)</t>
        </is>
      </c>
      <c r="J1851" s="56" t="n">
        <v>22</v>
      </c>
      <c r="K1851" s="6" t="inlineStr">
        <is>
          <t>Chưa rõ giống (Cần quét Bio)</t>
        </is>
      </c>
      <c r="L1851" s="56" t="n">
        <v>0</v>
      </c>
      <c r="M1851" s="56" t="n">
        <v>0</v>
      </c>
      <c r="N1851" s="6" t="inlineStr">
        <is>
          <t>Amazon link not found</t>
        </is>
      </c>
      <c r="O1851" s="56">
        <f>IF(N1851="Selling pet toys + Artificial grass/Pet toilets (TARGET)",15,IF(N1851="Selling artificial grass/pet toilets (TARGET)",10,IF(N1851="Selling pet toys",7,IF(N1851="There's an Amazon link, but no target sales.",3,0))))</f>
        <v/>
      </c>
      <c r="P1851" s="65">
        <f>H1851+J1851+L1851+M1851+O1851</f>
        <v/>
      </c>
      <c r="Q1851" s="69">
        <f>IF(OR(H1851=0,P1851&lt;30),"Tier D (Đóng băng)",IF(P1851&gt;=85,"Tier S (Kim Cương: 85-100đ)",IF(P1851&gt;=70,"Tier A (Vàng: 70-84đ)",IF(P1851&gt;=61,"Tier B+ / Cấp A (Hot Lead: 61-69đ)",IF(P1851&gt;=50,"Tier B (Bạc: 50-60đ)","Tier C (Đồng: 30-49đ)")))))</f>
        <v/>
      </c>
      <c r="R1851" s="6" t="inlineStr">
        <is>
          <t>Cỏ nhân tạo sân chơi/huấn luyện (Dog Turf) + Đồ chơi nhai chịu lực (KONG/Chew Toys)</t>
        </is>
      </c>
      <c r="S1851" s="6" t="inlineStr">
        <is>
          <t>Cấp C Chi phí thấp: Nhắn tin trực tiếp qua Fanpage Facebook/Instagram + Nuôi dưỡng nội dung</t>
        </is>
      </c>
    </row>
    <row r="1852">
      <c r="A1852" s="59" t="n">
        <v>1858</v>
      </c>
      <c r="B1852" s="15" t="inlineStr">
        <is>
          <t>KDS-K9 GmbH</t>
        </is>
      </c>
      <c r="C1852" s="60" t="inlineStr">
        <is>
          <t>https://www.facebook.com/KDSK9GmbH</t>
        </is>
      </c>
      <c r="D1852" s="9" t="inlineStr">
        <is>
          <t>Cần quét Bio Fanpage</t>
        </is>
      </c>
      <c r="E1852" s="59" t="inlineStr">
        <is>
          <t>18/09/2026 17:05:22</t>
        </is>
      </c>
      <c r="F1852" s="59" t="inlineStr">
        <is>
          <t>3 tuần trước</t>
        </is>
      </c>
      <c r="G1852" s="61" t="n">
        <v>21</v>
      </c>
      <c r="H1852" s="62" t="n">
        <v>8</v>
      </c>
      <c r="I1852" s="9" t="inlineStr">
        <is>
          <t>Pet Boarding / Huấn luyện K9 &amp; Dịch vụ (20-22đ)</t>
        </is>
      </c>
      <c r="J1852" s="62" t="n">
        <v>22</v>
      </c>
      <c r="K1852" s="9" t="inlineStr">
        <is>
          <t>Chưa rõ giống (Cần quét Bio)</t>
        </is>
      </c>
      <c r="L1852" s="62" t="n">
        <v>0</v>
      </c>
      <c r="M1852" s="62" t="n">
        <v>0</v>
      </c>
      <c r="N1852" s="9" t="inlineStr">
        <is>
          <t>Amazon link not found</t>
        </is>
      </c>
      <c r="O1852" s="62">
        <f>IF(N1852="Selling pet toys + Artificial grass/Pet toilets (TARGET)",15,IF(N1852="Selling artificial grass/pet toilets (TARGET)",10,IF(N1852="Selling pet toys",7,IF(N1852="There's an Amazon link, but no target sales.",3,0))))</f>
        <v/>
      </c>
      <c r="P1852" s="67">
        <f>H1852+J1852+L1852+M1852+O1852</f>
        <v/>
      </c>
      <c r="Q1852" s="69">
        <f>IF(OR(H1852=0,P1852&lt;30),"Tier D (Đóng băng)",IF(P1852&gt;=85,"Tier S (Kim Cương: 85-100đ)",IF(P1852&gt;=70,"Tier A (Vàng: 70-84đ)",IF(P1852&gt;=61,"Tier B+ / Cấp A (Hot Lead: 61-69đ)",IF(P1852&gt;=50,"Tier B (Bạc: 50-60đ)","Tier C (Đồng: 30-49đ)")))))</f>
        <v/>
      </c>
      <c r="R1852" s="9" t="inlineStr">
        <is>
          <t>Cỏ nhân tạo sân chơi/huấn luyện (Dog Turf) + Đồ chơi nhai chịu lực (KONG/Chew Toys)</t>
        </is>
      </c>
      <c r="S1852" s="9" t="inlineStr">
        <is>
          <t>Cấp C Chi phí thấp: Nhắn tin trực tiếp qua Fanpage Facebook/Instagram + Nuôi dưỡng nội dung</t>
        </is>
      </c>
    </row>
    <row r="1853">
      <c r="A1853" s="53" t="n">
        <v>1997</v>
      </c>
      <c r="B1853" s="12" t="inlineStr">
        <is>
          <t>Leadwise K9 - Professional Dog Training</t>
        </is>
      </c>
      <c r="C1853" s="54" t="inlineStr">
        <is>
          <t>https://www.facebook.com/profile.php?id=61581461515109</t>
        </is>
      </c>
      <c r="D1853" s="6" t="inlineStr">
        <is>
          <t>Cần quét Bio Fanpage</t>
        </is>
      </c>
      <c r="E1853" s="53" t="inlineStr">
        <is>
          <t>17/09/2026 13:45:23</t>
        </is>
      </c>
      <c r="F1853" s="53" t="inlineStr">
        <is>
          <t>3 tuần trước</t>
        </is>
      </c>
      <c r="G1853" s="55" t="n">
        <v>21</v>
      </c>
      <c r="H1853" s="56" t="n">
        <v>8</v>
      </c>
      <c r="I1853" s="6" t="inlineStr">
        <is>
          <t>Pet Boarding / Huấn luyện K9 &amp; Dịch vụ (20-22đ)</t>
        </is>
      </c>
      <c r="J1853" s="56" t="n">
        <v>22</v>
      </c>
      <c r="K1853" s="6" t="inlineStr">
        <is>
          <t>Chưa rõ giống (Cần quét Bio)</t>
        </is>
      </c>
      <c r="L1853" s="56" t="n">
        <v>0</v>
      </c>
      <c r="M1853" s="56" t="n">
        <v>0</v>
      </c>
      <c r="N1853" s="6" t="inlineStr">
        <is>
          <t>Amazon link not found</t>
        </is>
      </c>
      <c r="O1853" s="56">
        <f>IF(N1853="Selling pet toys + Artificial grass/Pet toilets (TARGET)",15,IF(N1853="Selling artificial grass/pet toilets (TARGET)",10,IF(N1853="Selling pet toys",7,IF(N1853="There's an Amazon link, but no target sales.",3,0))))</f>
        <v/>
      </c>
      <c r="P1853" s="65">
        <f>H1853+J1853+L1853+M1853+O1853</f>
        <v/>
      </c>
      <c r="Q1853" s="69">
        <f>IF(OR(H1853=0,P1853&lt;30),"Tier D (Đóng băng)",IF(P1853&gt;=85,"Tier S (Kim Cương: 85-100đ)",IF(P1853&gt;=70,"Tier A (Vàng: 70-84đ)",IF(P1853&gt;=61,"Tier B+ / Cấp A (Hot Lead: 61-69đ)",IF(P1853&gt;=50,"Tier B (Bạc: 50-60đ)","Tier C (Đồng: 30-49đ)")))))</f>
        <v/>
      </c>
      <c r="R1853" s="6" t="inlineStr">
        <is>
          <t>Cỏ nhân tạo sân chơi/huấn luyện (Dog Turf) + Đồ chơi nhai chịu lực (KONG/Chew Toys)</t>
        </is>
      </c>
      <c r="S1853" s="6" t="inlineStr">
        <is>
          <t>Cấp C Chi phí thấp: Nhắn tin trực tiếp qua Fanpage Facebook/Instagram + Nuôi dưỡng nội dung</t>
        </is>
      </c>
    </row>
    <row r="1854">
      <c r="A1854" s="59" t="n">
        <v>2680</v>
      </c>
      <c r="B1854" s="15" t="inlineStr">
        <is>
          <t>Queen Bullies Camp</t>
        </is>
      </c>
      <c r="C1854" s="60" t="inlineStr">
        <is>
          <t>https://www.facebook.com/queenbulliecamp</t>
        </is>
      </c>
      <c r="D1854" s="9" t="inlineStr">
        <is>
          <t>Cần quét Bio Fanpage</t>
        </is>
      </c>
      <c r="E1854" s="59" t="inlineStr">
        <is>
          <t>05/09/2026 00:46:27</t>
        </is>
      </c>
      <c r="F1854" s="59" t="inlineStr">
        <is>
          <t>1 tháng trước</t>
        </is>
      </c>
      <c r="G1854" s="61" t="n">
        <v>30</v>
      </c>
      <c r="H1854" s="62" t="n">
        <v>0</v>
      </c>
      <c r="I1854" s="9" t="inlineStr">
        <is>
          <t>Pet Boarding / Huấn luyện K9 &amp; Dịch vụ (20-22đ)</t>
        </is>
      </c>
      <c r="J1854" s="62" t="n">
        <v>20</v>
      </c>
      <c r="K1854" s="9" t="inlineStr">
        <is>
          <t>American Bully / Bully</t>
        </is>
      </c>
      <c r="L1854" s="62" t="n">
        <v>10</v>
      </c>
      <c r="M1854" s="62" t="n">
        <v>0</v>
      </c>
      <c r="N1854" s="9" t="inlineStr">
        <is>
          <t>Amazon link not found</t>
        </is>
      </c>
      <c r="O1854" s="62">
        <f>IF(N1854="Selling pet toys + Artificial grass/Pet toilets (TARGET)",15,IF(N1854="Selling artificial grass/pet toilets (TARGET)",10,IF(N1854="Selling pet toys",7,IF(N1854="There's an Amazon link, but no target sales.",3,0))))</f>
        <v/>
      </c>
      <c r="P1854" s="67">
        <f>H1854+J1854+L1854+M1854+O1854</f>
        <v/>
      </c>
      <c r="Q1854" s="68">
        <f>IF(OR(H1854=0,P1854&lt;30),"Tier D (Đóng băng)",IF(P1854&gt;=85,"Tier S (Kim Cương: 85-100đ)",IF(P1854&gt;=70,"Tier A (Vàng: 70-84đ)",IF(P1854&gt;=61,"Tier B+ / Cấp A (Hot Lead: 61-69đ)",IF(P1854&gt;=50,"Tier B (Bạc: 50-60đ)","Tier C (Đồng: 30-49đ)")))))</f>
        <v/>
      </c>
      <c r="R1854" s="9" t="inlineStr">
        <is>
          <t>Cỏ nhân tạo sân chơi/huấn luyện (Dog Turf) + Đồ chơi nhai chịu lực (KONG/Chew Toys)</t>
        </is>
      </c>
      <c r="S1854" s="9" t="inlineStr">
        <is>
          <t>Đóng băng tương tác (&gt;30 ngày): Lưu trữ chờ kích hoạt lại, không tốn tài nguyên Sales</t>
        </is>
      </c>
    </row>
    <row r="1855">
      <c r="A1855" s="53" t="n">
        <v>3330</v>
      </c>
      <c r="B1855" s="12" t="inlineStr">
        <is>
          <t>Virginia Task Force 2 Urban Search and Rescue Team</t>
        </is>
      </c>
      <c r="C1855" s="54" t="inlineStr">
        <is>
          <t>https://www.facebook.com/profile.php?id=100064944630376</t>
        </is>
      </c>
      <c r="D1855" s="6" t="inlineStr">
        <is>
          <t>Cần quét Bio Fanpage</t>
        </is>
      </c>
      <c r="E1855" s="53" t="inlineStr">
        <is>
          <t>24/09/2026 19:23:17</t>
        </is>
      </c>
      <c r="F1855" s="53" t="inlineStr">
        <is>
          <t>2 tuần trước</t>
        </is>
      </c>
      <c r="G1855" s="55" t="n">
        <v>14</v>
      </c>
      <c r="H1855" s="56" t="n">
        <v>15</v>
      </c>
      <c r="I1855" s="6" t="inlineStr">
        <is>
          <t>Pet Rescue / Trạm cứu trợ (14-16đ)</t>
        </is>
      </c>
      <c r="J1855" s="56" t="n">
        <v>14</v>
      </c>
      <c r="K1855" s="6" t="inlineStr">
        <is>
          <t>Chưa rõ giống (Cần quét Bio)</t>
        </is>
      </c>
      <c r="L1855" s="56" t="n">
        <v>0</v>
      </c>
      <c r="M1855" s="56" t="n">
        <v>0</v>
      </c>
      <c r="N1855" s="6" t="inlineStr">
        <is>
          <t>Amazon link not found</t>
        </is>
      </c>
      <c r="O1855" s="56">
        <f>IF(N1855="Selling pet toys + Artificial grass/Pet toilets (TARGET)",15,IF(N1855="Selling artificial grass/pet toilets (TARGET)",10,IF(N1855="Selling pet toys",7,IF(N1855="There's an Amazon link, but no target sales.",3,0))))</f>
        <v/>
      </c>
      <c r="P1855" s="65">
        <f>H1855+J1855+L1855+M1855+O1855</f>
        <v/>
      </c>
      <c r="Q1855" s="68">
        <f>IF(OR(H1855=0,P1855&lt;30),"Tier D (Đóng băng)",IF(P1855&gt;=85,"Tier S (Kim Cương: 85-100đ)",IF(P1855&gt;=70,"Tier A (Vàng: 70-84đ)",IF(P1855&gt;=61,"Tier B+ / Cấp A (Hot Lead: 61-69đ)",IF(P1855&gt;=50,"Tier B (Bạc: 50-60đ)","Tier C (Đồng: 30-49đ)")))))</f>
        <v/>
      </c>
      <c r="R1855" s="6" t="inlineStr">
        <is>
          <t>Nhà vệ sinh &amp; Tã lót (Potty Tray / Pee Pads) + Cỏ nhân tạo lót chuồng</t>
        </is>
      </c>
      <c r="S1855" s="6" t="inlineStr">
        <is>
          <t>Đóng băng tương tác (&gt;30 ngày): Lưu trữ chờ kích hoạt lại, không tốn tài nguyên Sales</t>
        </is>
      </c>
    </row>
    <row r="1856">
      <c r="A1856" s="59" t="n">
        <v>621</v>
      </c>
      <c r="B1856" s="15" t="inlineStr">
        <is>
          <t>Beginning to End Rescue and Sanctuary</t>
        </is>
      </c>
      <c r="C1856" s="60" t="inlineStr">
        <is>
          <t>https://www.facebook.com/b2erescue</t>
        </is>
      </c>
      <c r="D1856" s="9" t="inlineStr">
        <is>
          <t>Cần quét Bio Fanpage</t>
        </is>
      </c>
      <c r="E1856" s="59" t="inlineStr">
        <is>
          <t>23/09/2026 09:39:47</t>
        </is>
      </c>
      <c r="F1856" s="59" t="inlineStr">
        <is>
          <t>2 tuần trước</t>
        </is>
      </c>
      <c r="G1856" s="61" t="n">
        <v>14</v>
      </c>
      <c r="H1856" s="62" t="n">
        <v>15</v>
      </c>
      <c r="I1856" s="9" t="inlineStr">
        <is>
          <t>Pet Rescue / Trạm cứu trợ (14-16đ)</t>
        </is>
      </c>
      <c r="J1856" s="62" t="n">
        <v>14</v>
      </c>
      <c r="K1856" s="9" t="inlineStr">
        <is>
          <t>Chưa rõ giống (Cần quét Bio)</t>
        </is>
      </c>
      <c r="L1856" s="62" t="n">
        <v>0</v>
      </c>
      <c r="M1856" s="62" t="n">
        <v>0</v>
      </c>
      <c r="N1856" s="9" t="inlineStr">
        <is>
          <t>Amazon link not found</t>
        </is>
      </c>
      <c r="O1856" s="62">
        <f>IF(N1856="Selling pet toys + Artificial grass/Pet toilets (TARGET)",15,IF(N1856="Selling artificial grass/pet toilets (TARGET)",10,IF(N1856="Selling pet toys",7,IF(N1856="There's an Amazon link, but no target sales.",3,0))))</f>
        <v/>
      </c>
      <c r="P1856" s="67">
        <f>H1856+J1856+L1856+M1856+O1856</f>
        <v/>
      </c>
      <c r="Q1856" s="68">
        <f>IF(OR(H1856=0,P1856&lt;30),"Tier D (Đóng băng)",IF(P1856&gt;=85,"Tier S (Kim Cương: 85-100đ)",IF(P1856&gt;=70,"Tier A (Vàng: 70-84đ)",IF(P1856&gt;=61,"Tier B+ / Cấp A (Hot Lead: 61-69đ)",IF(P1856&gt;=50,"Tier B (Bạc: 50-60đ)","Tier C (Đồng: 30-49đ)")))))</f>
        <v/>
      </c>
      <c r="R1856" s="9" t="inlineStr">
        <is>
          <t>Nhà vệ sinh &amp; Tã lót (Potty Tray / Pee Pads) + Cỏ nhân tạo lót chuồng</t>
        </is>
      </c>
      <c r="S1856" s="9" t="inlineStr">
        <is>
          <t>Đóng băng tương tác (&gt;30 ngày): Lưu trữ chờ kích hoạt lại, không tốn tài nguyên Sales</t>
        </is>
      </c>
    </row>
    <row r="1857">
      <c r="A1857" s="53" t="n">
        <v>3127</v>
      </c>
      <c r="B1857" s="12" t="inlineStr">
        <is>
          <t>The Grayter Good Weimaraner Rescue</t>
        </is>
      </c>
      <c r="C1857" s="54" t="inlineStr">
        <is>
          <t>https://www.facebook.com/tggwr</t>
        </is>
      </c>
      <c r="D1857" s="6" t="inlineStr">
        <is>
          <t>Cần quét Bio Fanpage</t>
        </is>
      </c>
      <c r="E1857" s="53" t="inlineStr">
        <is>
          <t>22/09/2026 00:47:21</t>
        </is>
      </c>
      <c r="F1857" s="53" t="inlineStr">
        <is>
          <t>3 tuần trước</t>
        </is>
      </c>
      <c r="G1857" s="55" t="n">
        <v>21</v>
      </c>
      <c r="H1857" s="56" t="n">
        <v>8</v>
      </c>
      <c r="I1857" s="6" t="inlineStr">
        <is>
          <t>Pet Rescue / Trạm cứu trợ (14-16đ)</t>
        </is>
      </c>
      <c r="J1857" s="56" t="n">
        <v>16</v>
      </c>
      <c r="K1857" s="6" t="inlineStr">
        <is>
          <t>Spaniel / Gun Dog / Retriever</t>
        </is>
      </c>
      <c r="L1857" s="56" t="n">
        <v>5</v>
      </c>
      <c r="M1857" s="56" t="n">
        <v>0</v>
      </c>
      <c r="N1857" s="6" t="inlineStr">
        <is>
          <t>Amazon link not found</t>
        </is>
      </c>
      <c r="O1857" s="56">
        <f>IF(N1857="Selling pet toys + Artificial grass/Pet toilets (TARGET)",15,IF(N1857="Selling artificial grass/pet toilets (TARGET)",10,IF(N1857="Selling pet toys",7,IF(N1857="There's an Amazon link, but no target sales.",3,0))))</f>
        <v/>
      </c>
      <c r="P1857" s="65">
        <f>H1857+J1857+L1857+M1857+O1857</f>
        <v/>
      </c>
      <c r="Q1857" s="68">
        <f>IF(OR(H1857=0,P1857&lt;30),"Tier D (Đóng băng)",IF(P1857&gt;=85,"Tier S (Kim Cương: 85-100đ)",IF(P1857&gt;=70,"Tier A (Vàng: 70-84đ)",IF(P1857&gt;=61,"Tier B+ / Cấp A (Hot Lead: 61-69đ)",IF(P1857&gt;=50,"Tier B (Bạc: 50-60đ)","Tier C (Đồng: 30-49đ)")))))</f>
        <v/>
      </c>
      <c r="R1857" s="6" t="inlineStr">
        <is>
          <t>Nhà vệ sinh &amp; Tã lót (Potty Tray / Pee Pads) + Cỏ nhân tạo lót chuồng</t>
        </is>
      </c>
      <c r="S1857" s="6" t="inlineStr">
        <is>
          <t>Đóng băng tương tác (&gt;30 ngày): Lưu trữ chờ kích hoạt lại, không tốn tài nguyên Sales</t>
        </is>
      </c>
    </row>
    <row r="1858">
      <c r="A1858" s="59" t="n">
        <v>407</v>
      </c>
      <c r="B1858" s="15" t="inlineStr">
        <is>
          <t>American Boston Terrier Rescue &amp; Rehabilitation</t>
        </is>
      </c>
      <c r="C1858" s="60" t="inlineStr">
        <is>
          <t>https://www.facebook.com/AmericanBTRescueRehab</t>
        </is>
      </c>
      <c r="D1858" s="9" t="inlineStr">
        <is>
          <t>Cần quét Bio Fanpage</t>
        </is>
      </c>
      <c r="E1858" s="59" t="inlineStr">
        <is>
          <t>18/09/2026 23:10:12</t>
        </is>
      </c>
      <c r="F1858" s="59" t="inlineStr">
        <is>
          <t>3 tuần trước</t>
        </is>
      </c>
      <c r="G1858" s="61" t="n">
        <v>21</v>
      </c>
      <c r="H1858" s="62" t="n">
        <v>8</v>
      </c>
      <c r="I1858" s="9" t="inlineStr">
        <is>
          <t>Pet Rescue / Trạm cứu trợ (14-16đ)</t>
        </is>
      </c>
      <c r="J1858" s="62" t="n">
        <v>16</v>
      </c>
      <c r="K1858" s="9" t="inlineStr">
        <is>
          <t>Terrier (Jack Russell/Yorkie/Boston/Staffy)</t>
        </is>
      </c>
      <c r="L1858" s="62" t="n">
        <v>5</v>
      </c>
      <c r="M1858" s="62" t="n">
        <v>0</v>
      </c>
      <c r="N1858" s="9" t="inlineStr">
        <is>
          <t>Amazon link not found</t>
        </is>
      </c>
      <c r="O1858" s="62">
        <f>IF(N1858="Selling pet toys + Artificial grass/Pet toilets (TARGET)",15,IF(N1858="Selling artificial grass/pet toilets (TARGET)",10,IF(N1858="Selling pet toys",7,IF(N1858="There's an Amazon link, but no target sales.",3,0))))</f>
        <v/>
      </c>
      <c r="P1858" s="67">
        <f>H1858+J1858+L1858+M1858+O1858</f>
        <v/>
      </c>
      <c r="Q1858" s="68">
        <f>IF(OR(H1858=0,P1858&lt;30),"Tier D (Đóng băng)",IF(P1858&gt;=85,"Tier S (Kim Cương: 85-100đ)",IF(P1858&gt;=70,"Tier A (Vàng: 70-84đ)",IF(P1858&gt;=61,"Tier B+ / Cấp A (Hot Lead: 61-69đ)",IF(P1858&gt;=50,"Tier B (Bạc: 50-60đ)","Tier C (Đồng: 30-49đ)")))))</f>
        <v/>
      </c>
      <c r="R1858" s="9" t="inlineStr">
        <is>
          <t>Nhà vệ sinh &amp; Tã lót (Potty Tray / Pee Pads) + Cỏ nhân tạo lót chuồng</t>
        </is>
      </c>
      <c r="S1858" s="9" t="inlineStr">
        <is>
          <t>Đóng băng tương tác (&gt;30 ngày): Lưu trữ chờ kích hoạt lại, không tốn tài nguyên Sales</t>
        </is>
      </c>
    </row>
    <row r="1859">
      <c r="A1859" s="53" t="n">
        <v>1714</v>
      </c>
      <c r="B1859" s="12" t="inlineStr">
        <is>
          <t>I nanetti di Claudia-Chihuahua Rescue</t>
        </is>
      </c>
      <c r="C1859" s="54" t="inlineStr">
        <is>
          <t>https://www.facebook.com/profile.php?id=100077637526245</t>
        </is>
      </c>
      <c r="D1859" s="6" t="inlineStr">
        <is>
          <t>Cần quét Bio Fanpage</t>
        </is>
      </c>
      <c r="E1859" s="53" t="inlineStr">
        <is>
          <t>15/09/2026 11:35:33</t>
        </is>
      </c>
      <c r="F1859" s="53" t="inlineStr">
        <is>
          <t>3 tuần trước</t>
        </is>
      </c>
      <c r="G1859" s="55" t="n">
        <v>21</v>
      </c>
      <c r="H1859" s="56" t="n">
        <v>8</v>
      </c>
      <c r="I1859" s="6" t="inlineStr">
        <is>
          <t>Pet Rescue / Trạm cứu trợ (14-16đ)</t>
        </is>
      </c>
      <c r="J1859" s="56" t="n">
        <v>16</v>
      </c>
      <c r="K1859" s="6" t="inlineStr">
        <is>
          <t>Chihuahua / Toy Companion</t>
        </is>
      </c>
      <c r="L1859" s="56" t="n">
        <v>5</v>
      </c>
      <c r="M1859" s="56" t="n">
        <v>0</v>
      </c>
      <c r="N1859" s="6" t="inlineStr">
        <is>
          <t>Amazon link not found</t>
        </is>
      </c>
      <c r="O1859" s="56">
        <f>IF(N1859="Selling pet toys + Artificial grass/Pet toilets (TARGET)",15,IF(N1859="Selling artificial grass/pet toilets (TARGET)",10,IF(N1859="Selling pet toys",7,IF(N1859="There's an Amazon link, but no target sales.",3,0))))</f>
        <v/>
      </c>
      <c r="P1859" s="65">
        <f>H1859+J1859+L1859+M1859+O1859</f>
        <v/>
      </c>
      <c r="Q1859" s="68">
        <f>IF(OR(H1859=0,P1859&lt;30),"Tier D (Đóng băng)",IF(P1859&gt;=85,"Tier S (Kim Cương: 85-100đ)",IF(P1859&gt;=70,"Tier A (Vàng: 70-84đ)",IF(P1859&gt;=61,"Tier B+ / Cấp A (Hot Lead: 61-69đ)",IF(P1859&gt;=50,"Tier B (Bạc: 50-60đ)","Tier C (Đồng: 30-49đ)")))))</f>
        <v/>
      </c>
      <c r="R1859" s="6" t="inlineStr">
        <is>
          <t>Nhà vệ sinh &amp; Tã lót (Potty Tray / Pee Pads) + Cỏ nhân tạo lót chuồng</t>
        </is>
      </c>
      <c r="S1859" s="6" t="inlineStr">
        <is>
          <t>Đóng băng tương tác (&gt;30 ngày): Lưu trữ chờ kích hoạt lại, không tốn tài nguyên Sales</t>
        </is>
      </c>
    </row>
    <row r="1860">
      <c r="A1860" s="59" t="n">
        <v>1928</v>
      </c>
      <c r="B1860" s="15" t="inlineStr">
        <is>
          <t>Kims Exclusive Dog Grooming</t>
        </is>
      </c>
      <c r="C1860" s="60" t="inlineStr">
        <is>
          <t>https://www.facebook.com/Kimsexclusivedoggrooming</t>
        </is>
      </c>
      <c r="D1860" s="9" t="inlineStr">
        <is>
          <t>Cần quét Bio Fanpage</t>
        </is>
      </c>
      <c r="E1860" s="59" t="inlineStr">
        <is>
          <t>17/09/2026 12:54:10</t>
        </is>
      </c>
      <c r="F1860" s="59" t="inlineStr">
        <is>
          <t>3 tuần trước</t>
        </is>
      </c>
      <c r="G1860" s="61" t="n">
        <v>21</v>
      </c>
      <c r="H1860" s="62" t="n">
        <v>8</v>
      </c>
      <c r="I1860" s="9" t="inlineStr">
        <is>
          <t>Pet Boarding / Huấn luyện K9 &amp; Dịch vụ (20-22đ)</t>
        </is>
      </c>
      <c r="J1860" s="62" t="n">
        <v>20</v>
      </c>
      <c r="K1860" s="9" t="inlineStr">
        <is>
          <t>Chưa rõ giống (Cần quét Bio)</t>
        </is>
      </c>
      <c r="L1860" s="62" t="n">
        <v>0</v>
      </c>
      <c r="M1860" s="62" t="n">
        <v>0</v>
      </c>
      <c r="N1860" s="9" t="inlineStr">
        <is>
          <t>Amazon link not found</t>
        </is>
      </c>
      <c r="O1860" s="62">
        <f>IF(N1860="Selling pet toys + Artificial grass/Pet toilets (TARGET)",15,IF(N1860="Selling artificial grass/pet toilets (TARGET)",10,IF(N1860="Selling pet toys",7,IF(N1860="There's an Amazon link, but no target sales.",3,0))))</f>
        <v/>
      </c>
      <c r="P1860" s="67">
        <f>H1860+J1860+L1860+M1860+O1860</f>
        <v/>
      </c>
      <c r="Q1860" s="68">
        <f>IF(OR(H1860=0,P1860&lt;30),"Tier D (Đóng băng)",IF(P1860&gt;=85,"Tier S (Kim Cương: 85-100đ)",IF(P1860&gt;=70,"Tier A (Vàng: 70-84đ)",IF(P1860&gt;=61,"Tier B+ / Cấp A (Hot Lead: 61-69đ)",IF(P1860&gt;=50,"Tier B (Bạc: 50-60đ)","Tier C (Đồng: 30-49đ)")))))</f>
        <v/>
      </c>
      <c r="R1860" s="9" t="inlineStr">
        <is>
          <t>Cỏ nhân tạo sân chơi/huấn luyện (Dog Turf) + Đồ chơi nhai chịu lực (KONG/Chew Toys)</t>
        </is>
      </c>
      <c r="S1860" s="9" t="inlineStr">
        <is>
          <t>Đóng băng tương tác (&gt;30 ngày): Lưu trữ chờ kích hoạt lại, không tốn tài nguyên Sales</t>
        </is>
      </c>
    </row>
    <row r="1861">
      <c r="A1861" s="53" t="n">
        <v>394</v>
      </c>
      <c r="B1861" s="12" t="inlineStr">
        <is>
          <t>Alpenglow Mountain Dogs</t>
        </is>
      </c>
      <c r="C1861" s="54" t="inlineStr">
        <is>
          <t>https://www.facebook.com/profile.php?id=61558197670437</t>
        </is>
      </c>
      <c r="D1861" s="6" t="inlineStr">
        <is>
          <t>Cần quét Bio Fanpage</t>
        </is>
      </c>
      <c r="E1861" s="53" t="inlineStr">
        <is>
          <t>03/06/2026 04:03:44</t>
        </is>
      </c>
      <c r="F1861" s="53" t="inlineStr">
        <is>
          <t>4 tháng trước</t>
        </is>
      </c>
      <c r="G1861" s="55" t="n">
        <v>120</v>
      </c>
      <c r="H1861" s="56" t="n">
        <v>0</v>
      </c>
      <c r="I1861" s="6" t="inlineStr">
        <is>
          <t>Dog Breeder / Trại chó chuyên nghiệp (28-30đ)</t>
        </is>
      </c>
      <c r="J1861" s="56" t="n">
        <v>28</v>
      </c>
      <c r="K1861" s="6" t="inlineStr">
        <is>
          <t>Chưa rõ giống (Cần quét Bio)</t>
        </is>
      </c>
      <c r="L1861" s="56" t="n">
        <v>0</v>
      </c>
      <c r="M1861" s="56" t="n">
        <v>0</v>
      </c>
      <c r="N1861" s="6" t="inlineStr">
        <is>
          <t>Amazon link not found</t>
        </is>
      </c>
      <c r="O1861" s="56">
        <f>IF(N1861="Selling pet toys + Artificial grass/Pet toilets (TARGET)",15,IF(N1861="Selling artificial grass/pet toilets (TARGET)",10,IF(N1861="Selling pet toys",7,IF(N1861="There's an Amazon link, but no target sales.",3,0))))</f>
        <v/>
      </c>
      <c r="P1861" s="65">
        <f>H1861+J1861+L1861+M1861+O1861</f>
        <v/>
      </c>
      <c r="Q1861" s="68">
        <f>IF(OR(H1861=0,P1861&lt;30),"Tier D (Đóng băng)",IF(P1861&gt;=85,"Tier S (Kim Cương: 85-100đ)",IF(P1861&gt;=70,"Tier A (Vàng: 70-84đ)",IF(P1861&gt;=61,"Tier B+ / Cấp A (Hot Lead: 61-69đ)",IF(P1861&gt;=50,"Tier B (Bạc: 50-60đ)","Tier C (Đồng: 30-49đ)")))))</f>
        <v/>
      </c>
      <c r="R1861" s="6" t="inlineStr">
        <is>
          <t>Trọn gói Take-Home Starter Kit V2/V3 (Cỏ nhân tạo + Khay Potty + Đồ chơi Teething/Snuggle)</t>
        </is>
      </c>
      <c r="S1861" s="6" t="inlineStr">
        <is>
          <t>Đóng băng tương tác (&gt;30 ngày): Lưu trữ chờ kích hoạt lại, không tốn tài nguyên Sales</t>
        </is>
      </c>
    </row>
    <row r="1862">
      <c r="A1862" s="59" t="n">
        <v>1053</v>
      </c>
      <c r="B1862" s="15" t="inlineStr">
        <is>
          <t>Dog Breeding And Whelping Advice For Everyone Of All Breeds</t>
        </is>
      </c>
      <c r="C1862" s="60" t="inlineStr">
        <is>
          <t>https://www.facebook.com/profile.php?id=100068866504578</t>
        </is>
      </c>
      <c r="D1862" s="9" t="inlineStr">
        <is>
          <t>Cần quét Bio Fanpage</t>
        </is>
      </c>
      <c r="E1862" s="59" t="inlineStr">
        <is>
          <t>14/03/2020 22:10:30</t>
        </is>
      </c>
      <c r="F1862" s="59" t="inlineStr">
        <is>
          <t>6 năm trước</t>
        </is>
      </c>
      <c r="G1862" s="61" t="n">
        <v>2190</v>
      </c>
      <c r="H1862" s="62" t="n">
        <v>0</v>
      </c>
      <c r="I1862" s="9" t="inlineStr">
        <is>
          <t>Dog Breeder / Trại chó chuyên nghiệp (28-30đ)</t>
        </is>
      </c>
      <c r="J1862" s="62" t="n">
        <v>28</v>
      </c>
      <c r="K1862" s="9" t="inlineStr">
        <is>
          <t>Chưa rõ giống (Cần quét Bio)</t>
        </is>
      </c>
      <c r="L1862" s="62" t="n">
        <v>0</v>
      </c>
      <c r="M1862" s="62" t="n">
        <v>0</v>
      </c>
      <c r="N1862" s="9" t="inlineStr">
        <is>
          <t>Amazon link not found</t>
        </is>
      </c>
      <c r="O1862" s="62">
        <f>IF(N1862="Selling pet toys + Artificial grass/Pet toilets (TARGET)",15,IF(N1862="Selling artificial grass/pet toilets (TARGET)",10,IF(N1862="Selling pet toys",7,IF(N1862="There's an Amazon link, but no target sales.",3,0))))</f>
        <v/>
      </c>
      <c r="P1862" s="67">
        <f>H1862+J1862+L1862+M1862+O1862</f>
        <v/>
      </c>
      <c r="Q1862" s="68">
        <f>IF(OR(H1862=0,P1862&lt;30),"Tier D (Đóng băng)",IF(P1862&gt;=85,"Tier S (Kim Cương: 85-100đ)",IF(P1862&gt;=70,"Tier A (Vàng: 70-84đ)",IF(P1862&gt;=61,"Tier B+ / Cấp A (Hot Lead: 61-69đ)",IF(P1862&gt;=50,"Tier B (Bạc: 50-60đ)","Tier C (Đồng: 30-49đ)")))))</f>
        <v/>
      </c>
      <c r="R1862" s="9" t="inlineStr">
        <is>
          <t>Trọn gói Take-Home Starter Kit V2/V3 (Cỏ nhân tạo + Khay Potty + Đồ chơi Teething/Snuggle)</t>
        </is>
      </c>
      <c r="S1862" s="9" t="inlineStr">
        <is>
          <t>Đóng băng tương tác (&gt;30 ngày): Lưu trữ chờ kích hoạt lại, không tốn tài nguyên Sales</t>
        </is>
      </c>
    </row>
    <row r="1863">
      <c r="A1863" s="53" t="n">
        <v>305</v>
      </c>
      <c r="B1863" s="12" t="inlineStr">
        <is>
          <t>360 Lawn Care</t>
        </is>
      </c>
      <c r="C1863" s="54" t="inlineStr">
        <is>
          <t>https://www.facebook.com/profile.php?id=61571988235447</t>
        </is>
      </c>
      <c r="D1863" s="6" t="inlineStr">
        <is>
          <t>Cần quét Bio Fanpage</t>
        </is>
      </c>
      <c r="E1863" s="53" t="inlineStr">
        <is>
          <t>28/08/2026 22:31:26</t>
        </is>
      </c>
      <c r="F1863" s="53" t="inlineStr">
        <is>
          <t>1 tháng trước</t>
        </is>
      </c>
      <c r="G1863" s="55" t="n">
        <v>30</v>
      </c>
      <c r="H1863" s="56" t="n">
        <v>0</v>
      </c>
      <c r="I1863" s="6" t="inlineStr">
        <is>
          <t>Pet Boarding / Huấn luyện K9 &amp; Dịch vụ (20-22đ)</t>
        </is>
      </c>
      <c r="J1863" s="56" t="n">
        <v>22</v>
      </c>
      <c r="K1863" s="6" t="inlineStr">
        <is>
          <t>Chưa rõ giống (Cần quét Bio)</t>
        </is>
      </c>
      <c r="L1863" s="56" t="n">
        <v>0</v>
      </c>
      <c r="M1863" s="56" t="n">
        <v>5</v>
      </c>
      <c r="N1863" s="6" t="inlineStr">
        <is>
          <t>Amazon link not found</t>
        </is>
      </c>
      <c r="O1863" s="56">
        <f>IF(N1863="Selling pet toys + Artificial grass/Pet toilets (TARGET)",15,IF(N1863="Selling artificial grass/pet toilets (TARGET)",10,IF(N1863="Selling pet toys",7,IF(N1863="There's an Amazon link, but no target sales.",3,0))))</f>
        <v/>
      </c>
      <c r="P1863" s="65">
        <f>H1863+J1863+L1863+M1863+O1863</f>
        <v/>
      </c>
      <c r="Q1863" s="68">
        <f>IF(OR(H1863=0,P1863&lt;30),"Tier D (Đóng băng)",IF(P1863&gt;=85,"Tier S (Kim Cương: 85-100đ)",IF(P1863&gt;=70,"Tier A (Vàng: 70-84đ)",IF(P1863&gt;=61,"Tier B+ / Cấp A (Hot Lead: 61-69đ)",IF(P1863&gt;=50,"Tier B (Bạc: 50-60đ)","Tier C (Đồng: 30-49đ)")))))</f>
        <v/>
      </c>
      <c r="R1863" s="6" t="inlineStr">
        <is>
          <t>Cỏ nhân tạo sân chơi/huấn luyện (Dog Turf) + Đồ chơi nhai chịu lực (KONG/Chew Toys)</t>
        </is>
      </c>
      <c r="S1863" s="6" t="inlineStr">
        <is>
          <t>Đóng băng tương tác (&gt;30 ngày): Lưu trữ chờ kích hoạt lại, không tốn tài nguyên Sales</t>
        </is>
      </c>
    </row>
    <row r="1864">
      <c r="A1864" s="59" t="n">
        <v>2051</v>
      </c>
      <c r="B1864" s="15" t="inlineStr">
        <is>
          <t>Longhorn Lawn Care  (Joseph Freeman)</t>
        </is>
      </c>
      <c r="C1864" s="60" t="inlineStr">
        <is>
          <t>https://www.facebook.com/Longhornlawncareservices</t>
        </is>
      </c>
      <c r="D1864" s="9" t="inlineStr">
        <is>
          <t>Cần quét Bio Fanpage</t>
        </is>
      </c>
      <c r="E1864" s="59" t="inlineStr">
        <is>
          <t>15/08/2026 08:28:35</t>
        </is>
      </c>
      <c r="F1864" s="59" t="inlineStr">
        <is>
          <t>1 tháng trước</t>
        </is>
      </c>
      <c r="G1864" s="61" t="n">
        <v>30</v>
      </c>
      <c r="H1864" s="62" t="n">
        <v>0</v>
      </c>
      <c r="I1864" s="9" t="inlineStr">
        <is>
          <t>Pet Boarding / Huấn luyện K9 &amp; Dịch vụ (20-22đ)</t>
        </is>
      </c>
      <c r="J1864" s="62" t="n">
        <v>22</v>
      </c>
      <c r="K1864" s="9" t="inlineStr">
        <is>
          <t>Chưa rõ giống (Cần quét Bio)</t>
        </is>
      </c>
      <c r="L1864" s="62" t="n">
        <v>0</v>
      </c>
      <c r="M1864" s="62" t="n">
        <v>5</v>
      </c>
      <c r="N1864" s="9" t="inlineStr">
        <is>
          <t>Amazon link not found</t>
        </is>
      </c>
      <c r="O1864" s="62">
        <f>IF(N1864="Selling pet toys + Artificial grass/Pet toilets (TARGET)",15,IF(N1864="Selling artificial grass/pet toilets (TARGET)",10,IF(N1864="Selling pet toys",7,IF(N1864="There's an Amazon link, but no target sales.",3,0))))</f>
        <v/>
      </c>
      <c r="P1864" s="67">
        <f>H1864+J1864+L1864+M1864+O1864</f>
        <v/>
      </c>
      <c r="Q1864" s="68">
        <f>IF(OR(H1864=0,P1864&lt;30),"Tier D (Đóng băng)",IF(P1864&gt;=85,"Tier S (Kim Cương: 85-100đ)",IF(P1864&gt;=70,"Tier A (Vàng: 70-84đ)",IF(P1864&gt;=61,"Tier B+ / Cấp A (Hot Lead: 61-69đ)",IF(P1864&gt;=50,"Tier B (Bạc: 50-60đ)","Tier C (Đồng: 30-49đ)")))))</f>
        <v/>
      </c>
      <c r="R1864" s="9" t="inlineStr">
        <is>
          <t>Cỏ nhân tạo sân chơi/huấn luyện (Dog Turf) + Đồ chơi nhai chịu lực (KONG/Chew Toys)</t>
        </is>
      </c>
      <c r="S1864" s="9" t="inlineStr">
        <is>
          <t>Đóng băng tương tác (&gt;30 ngày): Lưu trữ chờ kích hoạt lại, không tốn tài nguyên Sales</t>
        </is>
      </c>
    </row>
    <row r="1865">
      <c r="A1865" s="53" t="n">
        <v>2287</v>
      </c>
      <c r="B1865" s="12" t="inlineStr">
        <is>
          <t>Newman Police K9 Association, Inc.</t>
        </is>
      </c>
      <c r="C1865" s="54" t="inlineStr">
        <is>
          <t>https://www.facebook.com/profile.php?id=100063821071215</t>
        </is>
      </c>
      <c r="D1865" s="6" t="inlineStr">
        <is>
          <t>Cần quét Bio Fanpage</t>
        </is>
      </c>
      <c r="E1865" s="53" t="inlineStr">
        <is>
          <t>29/07/2026 06:30:22</t>
        </is>
      </c>
      <c r="F1865" s="53" t="inlineStr">
        <is>
          <t>2 tháng trước</t>
        </is>
      </c>
      <c r="G1865" s="55" t="n">
        <v>60</v>
      </c>
      <c r="H1865" s="56" t="n">
        <v>0</v>
      </c>
      <c r="I1865" s="6" t="inlineStr">
        <is>
          <t>Pet Boarding / Huấn luyện K9 &amp; Dịch vụ (20-22đ)</t>
        </is>
      </c>
      <c r="J1865" s="56" t="n">
        <v>22</v>
      </c>
      <c r="K1865" s="6" t="inlineStr">
        <is>
          <t>Chưa rõ giống (Cần quét Bio)</t>
        </is>
      </c>
      <c r="L1865" s="56" t="n">
        <v>0</v>
      </c>
      <c r="M1865" s="56" t="n">
        <v>5</v>
      </c>
      <c r="N1865" s="6" t="inlineStr">
        <is>
          <t>Amazon link not found</t>
        </is>
      </c>
      <c r="O1865" s="56">
        <f>IF(N1865="Selling pet toys + Artificial grass/Pet toilets (TARGET)",15,IF(N1865="Selling artificial grass/pet toilets (TARGET)",10,IF(N1865="Selling pet toys",7,IF(N1865="There's an Amazon link, but no target sales.",3,0))))</f>
        <v/>
      </c>
      <c r="P1865" s="65">
        <f>H1865+J1865+L1865+M1865+O1865</f>
        <v/>
      </c>
      <c r="Q1865" s="68">
        <f>IF(OR(H1865=0,P1865&lt;30),"Tier D (Đóng băng)",IF(P1865&gt;=85,"Tier S (Kim Cương: 85-100đ)",IF(P1865&gt;=70,"Tier A (Vàng: 70-84đ)",IF(P1865&gt;=61,"Tier B+ / Cấp A (Hot Lead: 61-69đ)",IF(P1865&gt;=50,"Tier B (Bạc: 50-60đ)","Tier C (Đồng: 30-49đ)")))))</f>
        <v/>
      </c>
      <c r="R1865" s="6" t="inlineStr">
        <is>
          <t>Cỏ nhân tạo sân chơi/huấn luyện (Dog Turf) + Đồ chơi nhai chịu lực (KONG/Chew Toys)</t>
        </is>
      </c>
      <c r="S1865" s="6" t="inlineStr">
        <is>
          <t>Đóng băng tương tác (&gt;30 ngày): Lưu trữ chờ kích hoạt lại, không tốn tài nguyên Sales</t>
        </is>
      </c>
    </row>
    <row r="1866">
      <c r="A1866" s="59" t="n">
        <v>2636</v>
      </c>
      <c r="B1866" s="15" t="inlineStr">
        <is>
          <t>Progressive Canine Dog Training and Behavioral Services</t>
        </is>
      </c>
      <c r="C1866" s="60" t="inlineStr">
        <is>
          <t>https://www.facebook.com/progressivecanine</t>
        </is>
      </c>
      <c r="D1866" s="9" t="inlineStr">
        <is>
          <t>Cần quét Bio Fanpage</t>
        </is>
      </c>
      <c r="E1866" s="59" t="inlineStr">
        <is>
          <t>16/07/2026 07:43:42</t>
        </is>
      </c>
      <c r="F1866" s="59" t="inlineStr">
        <is>
          <t>2 tháng trước</t>
        </is>
      </c>
      <c r="G1866" s="61" t="n">
        <v>60</v>
      </c>
      <c r="H1866" s="62" t="n">
        <v>0</v>
      </c>
      <c r="I1866" s="9" t="inlineStr">
        <is>
          <t>Pet Boarding / Huấn luyện K9 &amp; Dịch vụ (20-22đ)</t>
        </is>
      </c>
      <c r="J1866" s="62" t="n">
        <v>22</v>
      </c>
      <c r="K1866" s="9" t="inlineStr">
        <is>
          <t>Chưa rõ giống (Cần quét Bio)</t>
        </is>
      </c>
      <c r="L1866" s="62" t="n">
        <v>0</v>
      </c>
      <c r="M1866" s="62" t="n">
        <v>5</v>
      </c>
      <c r="N1866" s="9" t="inlineStr">
        <is>
          <t>Amazon link not found</t>
        </is>
      </c>
      <c r="O1866" s="62">
        <f>IF(N1866="Selling pet toys + Artificial grass/Pet toilets (TARGET)",15,IF(N1866="Selling artificial grass/pet toilets (TARGET)",10,IF(N1866="Selling pet toys",7,IF(N1866="There's an Amazon link, but no target sales.",3,0))))</f>
        <v/>
      </c>
      <c r="P1866" s="67">
        <f>H1866+J1866+L1866+M1866+O1866</f>
        <v/>
      </c>
      <c r="Q1866" s="68">
        <f>IF(OR(H1866=0,P1866&lt;30),"Tier D (Đóng băng)",IF(P1866&gt;=85,"Tier S (Kim Cương: 85-100đ)",IF(P1866&gt;=70,"Tier A (Vàng: 70-84đ)",IF(P1866&gt;=61,"Tier B+ / Cấp A (Hot Lead: 61-69đ)",IF(P1866&gt;=50,"Tier B (Bạc: 50-60đ)","Tier C (Đồng: 30-49đ)")))))</f>
        <v/>
      </c>
      <c r="R1866" s="9" t="inlineStr">
        <is>
          <t>Cỏ nhân tạo sân chơi/huấn luyện (Dog Turf) + Đồ chơi nhai chịu lực (KONG/Chew Toys)</t>
        </is>
      </c>
      <c r="S1866" s="9" t="inlineStr">
        <is>
          <t>Đóng băng tương tác (&gt;30 ngày): Lưu trữ chờ kích hoạt lại, không tốn tài nguyên Sales</t>
        </is>
      </c>
    </row>
    <row r="1867">
      <c r="A1867" s="53" t="n">
        <v>2133</v>
      </c>
      <c r="B1867" s="12" t="inlineStr">
        <is>
          <t>Matt’s Elite lawn care and landscaping</t>
        </is>
      </c>
      <c r="C1867" s="54" t="inlineStr">
        <is>
          <t>https://www.facebook.com/profile.php?id=61560566367911</t>
        </is>
      </c>
      <c r="D1867" s="6" t="inlineStr">
        <is>
          <t>Cần quét Bio Fanpage</t>
        </is>
      </c>
      <c r="E1867" s="53" t="inlineStr">
        <is>
          <t>10/06/2026 22:06:09</t>
        </is>
      </c>
      <c r="F1867" s="53" t="inlineStr">
        <is>
          <t>4 tháng trước</t>
        </is>
      </c>
      <c r="G1867" s="55" t="n">
        <v>120</v>
      </c>
      <c r="H1867" s="56" t="n">
        <v>0</v>
      </c>
      <c r="I1867" s="6" t="inlineStr">
        <is>
          <t>Pet Boarding / Huấn luyện K9 &amp; Dịch vụ (20-22đ)</t>
        </is>
      </c>
      <c r="J1867" s="56" t="n">
        <v>22</v>
      </c>
      <c r="K1867" s="6" t="inlineStr">
        <is>
          <t>Chưa rõ giống (Cần quét Bio)</t>
        </is>
      </c>
      <c r="L1867" s="56" t="n">
        <v>0</v>
      </c>
      <c r="M1867" s="56" t="n">
        <v>5</v>
      </c>
      <c r="N1867" s="6" t="inlineStr">
        <is>
          <t>Amazon link not found</t>
        </is>
      </c>
      <c r="O1867" s="56">
        <f>IF(N1867="Selling pet toys + Artificial grass/Pet toilets (TARGET)",15,IF(N1867="Selling artificial grass/pet toilets (TARGET)",10,IF(N1867="Selling pet toys",7,IF(N1867="There's an Amazon link, but no target sales.",3,0))))</f>
        <v/>
      </c>
      <c r="P1867" s="65">
        <f>H1867+J1867+L1867+M1867+O1867</f>
        <v/>
      </c>
      <c r="Q1867" s="68">
        <f>IF(OR(H1867=0,P1867&lt;30),"Tier D (Đóng băng)",IF(P1867&gt;=85,"Tier S (Kim Cương: 85-100đ)",IF(P1867&gt;=70,"Tier A (Vàng: 70-84đ)",IF(P1867&gt;=61,"Tier B+ / Cấp A (Hot Lead: 61-69đ)",IF(P1867&gt;=50,"Tier B (Bạc: 50-60đ)","Tier C (Đồng: 30-49đ)")))))</f>
        <v/>
      </c>
      <c r="R1867" s="6" t="inlineStr">
        <is>
          <t>Cỏ nhân tạo sân chơi/huấn luyện (Dog Turf) + Đồ chơi nhai chịu lực (KONG/Chew Toys)</t>
        </is>
      </c>
      <c r="S1867" s="6" t="inlineStr">
        <is>
          <t>Đóng băng tương tác (&gt;30 ngày): Lưu trữ chờ kích hoạt lại, không tốn tài nguyên Sales</t>
        </is>
      </c>
    </row>
    <row r="1868">
      <c r="A1868" s="59" t="n">
        <v>1803</v>
      </c>
      <c r="B1868" s="15" t="inlineStr">
        <is>
          <t>K9 Courier services</t>
        </is>
      </c>
      <c r="C1868" s="60" t="inlineStr">
        <is>
          <t>https://www.facebook.com/profile.php?id=100085385078935</t>
        </is>
      </c>
      <c r="D1868" s="9" t="inlineStr">
        <is>
          <t>Cần quét Bio Fanpage</t>
        </is>
      </c>
      <c r="E1868" s="59" t="inlineStr">
        <is>
          <t>19/05/2026 04:58:09</t>
        </is>
      </c>
      <c r="F1868" s="59" t="inlineStr">
        <is>
          <t>4 tháng trước</t>
        </is>
      </c>
      <c r="G1868" s="61" t="n">
        <v>120</v>
      </c>
      <c r="H1868" s="62" t="n">
        <v>0</v>
      </c>
      <c r="I1868" s="9" t="inlineStr">
        <is>
          <t>Pet Boarding / Huấn luyện K9 &amp; Dịch vụ (20-22đ)</t>
        </is>
      </c>
      <c r="J1868" s="62" t="n">
        <v>22</v>
      </c>
      <c r="K1868" s="9" t="inlineStr">
        <is>
          <t>Chưa rõ giống (Cần quét Bio)</t>
        </is>
      </c>
      <c r="L1868" s="62" t="n">
        <v>0</v>
      </c>
      <c r="M1868" s="62" t="n">
        <v>5</v>
      </c>
      <c r="N1868" s="9" t="inlineStr">
        <is>
          <t>Amazon link not found</t>
        </is>
      </c>
      <c r="O1868" s="62">
        <f>IF(N1868="Selling pet toys + Artificial grass/Pet toilets (TARGET)",15,IF(N1868="Selling artificial grass/pet toilets (TARGET)",10,IF(N1868="Selling pet toys",7,IF(N1868="There's an Amazon link, but no target sales.",3,0))))</f>
        <v/>
      </c>
      <c r="P1868" s="67">
        <f>H1868+J1868+L1868+M1868+O1868</f>
        <v/>
      </c>
      <c r="Q1868" s="68">
        <f>IF(OR(H1868=0,P1868&lt;30),"Tier D (Đóng băng)",IF(P1868&gt;=85,"Tier S (Kim Cương: 85-100đ)",IF(P1868&gt;=70,"Tier A (Vàng: 70-84đ)",IF(P1868&gt;=61,"Tier B+ / Cấp A (Hot Lead: 61-69đ)",IF(P1868&gt;=50,"Tier B (Bạc: 50-60đ)","Tier C (Đồng: 30-49đ)")))))</f>
        <v/>
      </c>
      <c r="R1868" s="9" t="inlineStr">
        <is>
          <t>Cỏ nhân tạo sân chơi/huấn luyện (Dog Turf) + Đồ chơi nhai chịu lực (KONG/Chew Toys)</t>
        </is>
      </c>
      <c r="S1868" s="9" t="inlineStr">
        <is>
          <t>Đóng băng tương tác (&gt;30 ngày): Lưu trữ chờ kích hoạt lại, không tốn tài nguyên Sales</t>
        </is>
      </c>
    </row>
    <row r="1869">
      <c r="A1869" s="53" t="n">
        <v>2716</v>
      </c>
      <c r="B1869" s="12" t="inlineStr">
        <is>
          <t>ReeveCrew Gundog Training</t>
        </is>
      </c>
      <c r="C1869" s="54" t="inlineStr">
        <is>
          <t>https://www.facebook.com/ReeveCrewGundogs</t>
        </is>
      </c>
      <c r="D1869" s="6" t="inlineStr">
        <is>
          <t>Cần quét Bio Fanpage</t>
        </is>
      </c>
      <c r="E1869" s="53" t="inlineStr">
        <is>
          <t>15/10/2023 01:59:15</t>
        </is>
      </c>
      <c r="F1869" s="53" t="inlineStr">
        <is>
          <t>2 năm trước</t>
        </is>
      </c>
      <c r="G1869" s="55" t="n">
        <v>730</v>
      </c>
      <c r="H1869" s="56" t="n">
        <v>0</v>
      </c>
      <c r="I1869" s="6" t="inlineStr">
        <is>
          <t>Pet Boarding / Huấn luyện K9 &amp; Dịch vụ (20-22đ)</t>
        </is>
      </c>
      <c r="J1869" s="56" t="n">
        <v>22</v>
      </c>
      <c r="K1869" s="6" t="inlineStr">
        <is>
          <t>Spaniel / Gun Dog / Retriever</t>
        </is>
      </c>
      <c r="L1869" s="56" t="n">
        <v>5</v>
      </c>
      <c r="M1869" s="56" t="n">
        <v>0</v>
      </c>
      <c r="N1869" s="6" t="inlineStr">
        <is>
          <t>Amazon link not found</t>
        </is>
      </c>
      <c r="O1869" s="56">
        <f>IF(N1869="Selling pet toys + Artificial grass/Pet toilets (TARGET)",15,IF(N1869="Selling artificial grass/pet toilets (TARGET)",10,IF(N1869="Selling pet toys",7,IF(N1869="There's an Amazon link, but no target sales.",3,0))))</f>
        <v/>
      </c>
      <c r="P1869" s="65">
        <f>H1869+J1869+L1869+M1869+O1869</f>
        <v/>
      </c>
      <c r="Q1869" s="68">
        <f>IF(OR(H1869=0,P1869&lt;30),"Tier D (Đóng băng)",IF(P1869&gt;=85,"Tier S (Kim Cương: 85-100đ)",IF(P1869&gt;=70,"Tier A (Vàng: 70-84đ)",IF(P1869&gt;=61,"Tier B+ / Cấp A (Hot Lead: 61-69đ)",IF(P1869&gt;=50,"Tier B (Bạc: 50-60đ)","Tier C (Đồng: 30-49đ)")))))</f>
        <v/>
      </c>
      <c r="R1869" s="6" t="inlineStr">
        <is>
          <t>Cỏ nhân tạo sân chơi/huấn luyện (Dog Turf) + Đồ chơi nhai chịu lực (KONG/Chew Toys)</t>
        </is>
      </c>
      <c r="S1869" s="6" t="inlineStr">
        <is>
          <t>Đóng băng tương tác (&gt;30 ngày): Lưu trữ chờ kích hoạt lại, không tốn tài nguyên Sales</t>
        </is>
      </c>
    </row>
    <row r="1870">
      <c r="A1870" s="59" t="n">
        <v>3016</v>
      </c>
      <c r="B1870" s="15" t="inlineStr">
        <is>
          <t>Suffolk K9 Fertility Services</t>
        </is>
      </c>
      <c r="C1870" s="60" t="inlineStr">
        <is>
          <t>https://www.facebook.com/suffolkk9fertilityservices</t>
        </is>
      </c>
      <c r="D1870" s="9" t="inlineStr">
        <is>
          <t>Cần quét Bio Fanpage</t>
        </is>
      </c>
      <c r="E1870" s="59" t="inlineStr">
        <is>
          <t>21/07/2023 00:24:33</t>
        </is>
      </c>
      <c r="F1870" s="59" t="inlineStr">
        <is>
          <t>3 năm trước</t>
        </is>
      </c>
      <c r="G1870" s="61" t="n">
        <v>1095</v>
      </c>
      <c r="H1870" s="62" t="n">
        <v>0</v>
      </c>
      <c r="I1870" s="9" t="inlineStr">
        <is>
          <t>Pet Boarding / Huấn luyện K9 &amp; Dịch vụ (20-22đ)</t>
        </is>
      </c>
      <c r="J1870" s="62" t="n">
        <v>22</v>
      </c>
      <c r="K1870" s="9" t="inlineStr">
        <is>
          <t>Chưa rõ giống (Cần quét Bio)</t>
        </is>
      </c>
      <c r="L1870" s="62" t="n">
        <v>0</v>
      </c>
      <c r="M1870" s="62" t="n">
        <v>5</v>
      </c>
      <c r="N1870" s="9" t="inlineStr">
        <is>
          <t>Amazon link not found</t>
        </is>
      </c>
      <c r="O1870" s="62">
        <f>IF(N1870="Selling pet toys + Artificial grass/Pet toilets (TARGET)",15,IF(N1870="Selling artificial grass/pet toilets (TARGET)",10,IF(N1870="Selling pet toys",7,IF(N1870="There's an Amazon link, but no target sales.",3,0))))</f>
        <v/>
      </c>
      <c r="P1870" s="67">
        <f>H1870+J1870+L1870+M1870+O1870</f>
        <v/>
      </c>
      <c r="Q1870" s="68">
        <f>IF(OR(H1870=0,P1870&lt;30),"Tier D (Đóng băng)",IF(P1870&gt;=85,"Tier S (Kim Cương: 85-100đ)",IF(P1870&gt;=70,"Tier A (Vàng: 70-84đ)",IF(P1870&gt;=61,"Tier B+ / Cấp A (Hot Lead: 61-69đ)",IF(P1870&gt;=50,"Tier B (Bạc: 50-60đ)","Tier C (Đồng: 30-49đ)")))))</f>
        <v/>
      </c>
      <c r="R1870" s="9" t="inlineStr">
        <is>
          <t>Cỏ nhân tạo sân chơi/huấn luyện (Dog Turf) + Đồ chơi nhai chịu lực (KONG/Chew Toys)</t>
        </is>
      </c>
      <c r="S1870" s="9" t="inlineStr">
        <is>
          <t>Đóng băng tương tác (&gt;30 ngày): Lưu trữ chờ kích hoạt lại, không tốn tài nguyên Sales</t>
        </is>
      </c>
    </row>
    <row r="1871">
      <c r="A1871" s="53" t="n">
        <v>2751</v>
      </c>
      <c r="B1871" s="12" t="inlineStr">
        <is>
          <t>Rios &amp; sons lawn care services</t>
        </is>
      </c>
      <c r="C1871" s="54" t="inlineStr">
        <is>
          <t>https://www.facebook.com/profile.php?id=100057383803830</t>
        </is>
      </c>
      <c r="D1871" s="6" t="inlineStr">
        <is>
          <t>Cần quét Bio Fanpage</t>
        </is>
      </c>
      <c r="E1871" s="53" t="inlineStr">
        <is>
          <t>05/07/2023 22:11:00</t>
        </is>
      </c>
      <c r="F1871" s="53" t="inlineStr">
        <is>
          <t>3 năm trước</t>
        </is>
      </c>
      <c r="G1871" s="55" t="n">
        <v>1095</v>
      </c>
      <c r="H1871" s="56" t="n">
        <v>0</v>
      </c>
      <c r="I1871" s="6" t="inlineStr">
        <is>
          <t>Pet Boarding / Huấn luyện K9 &amp; Dịch vụ (20-22đ)</t>
        </is>
      </c>
      <c r="J1871" s="56" t="n">
        <v>22</v>
      </c>
      <c r="K1871" s="6" t="inlineStr">
        <is>
          <t>Chưa rõ giống (Cần quét Bio)</t>
        </is>
      </c>
      <c r="L1871" s="56" t="n">
        <v>0</v>
      </c>
      <c r="M1871" s="56" t="n">
        <v>5</v>
      </c>
      <c r="N1871" s="6" t="inlineStr">
        <is>
          <t>Amazon link not found</t>
        </is>
      </c>
      <c r="O1871" s="56">
        <f>IF(N1871="Selling pet toys + Artificial grass/Pet toilets (TARGET)",15,IF(N1871="Selling artificial grass/pet toilets (TARGET)",10,IF(N1871="Selling pet toys",7,IF(N1871="There's an Amazon link, but no target sales.",3,0))))</f>
        <v/>
      </c>
      <c r="P1871" s="65">
        <f>H1871+J1871+L1871+M1871+O1871</f>
        <v/>
      </c>
      <c r="Q1871" s="68">
        <f>IF(OR(H1871=0,P1871&lt;30),"Tier D (Đóng băng)",IF(P1871&gt;=85,"Tier S (Kim Cương: 85-100đ)",IF(P1871&gt;=70,"Tier A (Vàng: 70-84đ)",IF(P1871&gt;=61,"Tier B+ / Cấp A (Hot Lead: 61-69đ)",IF(P1871&gt;=50,"Tier B (Bạc: 50-60đ)","Tier C (Đồng: 30-49đ)")))))</f>
        <v/>
      </c>
      <c r="R1871" s="6" t="inlineStr">
        <is>
          <t>Cỏ nhân tạo sân chơi/huấn luyện (Dog Turf) + Đồ chơi nhai chịu lực (KONG/Chew Toys)</t>
        </is>
      </c>
      <c r="S1871" s="6" t="inlineStr">
        <is>
          <t>Đóng băng tương tác (&gt;30 ngày): Lưu trữ chờ kích hoạt lại, không tốn tài nguyên Sales</t>
        </is>
      </c>
    </row>
    <row r="1872">
      <c r="A1872" s="59" t="n">
        <v>1274</v>
      </c>
      <c r="B1872" s="15" t="inlineStr">
        <is>
          <t>ELITE PETS - Dog Training Center</t>
        </is>
      </c>
      <c r="C1872" s="60" t="inlineStr">
        <is>
          <t>https://www.facebook.com/profile.php?id=100063495911130</t>
        </is>
      </c>
      <c r="D1872" s="9" t="inlineStr">
        <is>
          <t>Cần quét Bio Fanpage</t>
        </is>
      </c>
      <c r="E1872" s="59" t="inlineStr">
        <is>
          <t>12/11/2022 12:13:13</t>
        </is>
      </c>
      <c r="F1872" s="59" t="inlineStr">
        <is>
          <t>3 năm trước</t>
        </is>
      </c>
      <c r="G1872" s="61" t="n">
        <v>1095</v>
      </c>
      <c r="H1872" s="62" t="n">
        <v>0</v>
      </c>
      <c r="I1872" s="9" t="inlineStr">
        <is>
          <t>Pet Boarding / Huấn luyện K9 &amp; Dịch vụ (20-22đ)</t>
        </is>
      </c>
      <c r="J1872" s="62" t="n">
        <v>22</v>
      </c>
      <c r="K1872" s="9" t="inlineStr">
        <is>
          <t>Chưa rõ giống (Cần quét Bio)</t>
        </is>
      </c>
      <c r="L1872" s="62" t="n">
        <v>0</v>
      </c>
      <c r="M1872" s="62" t="n">
        <v>5</v>
      </c>
      <c r="N1872" s="9" t="inlineStr">
        <is>
          <t>Amazon link not found</t>
        </is>
      </c>
      <c r="O1872" s="62">
        <f>IF(N1872="Selling pet toys + Artificial grass/Pet toilets (TARGET)",15,IF(N1872="Selling artificial grass/pet toilets (TARGET)",10,IF(N1872="Selling pet toys",7,IF(N1872="There's an Amazon link, but no target sales.",3,0))))</f>
        <v/>
      </c>
      <c r="P1872" s="67">
        <f>H1872+J1872+L1872+M1872+O1872</f>
        <v/>
      </c>
      <c r="Q1872" s="68">
        <f>IF(OR(H1872=0,P1872&lt;30),"Tier D (Đóng băng)",IF(P1872&gt;=85,"Tier S (Kim Cương: 85-100đ)",IF(P1872&gt;=70,"Tier A (Vàng: 70-84đ)",IF(P1872&gt;=61,"Tier B+ / Cấp A (Hot Lead: 61-69đ)",IF(P1872&gt;=50,"Tier B (Bạc: 50-60đ)","Tier C (Đồng: 30-49đ)")))))</f>
        <v/>
      </c>
      <c r="R1872" s="9" t="inlineStr">
        <is>
          <t>Cỏ nhân tạo sân chơi/huấn luyện (Dog Turf) + Đồ chơi nhai chịu lực (KONG/Chew Toys)</t>
        </is>
      </c>
      <c r="S1872" s="9" t="inlineStr">
        <is>
          <t>Đóng băng tương tác (&gt;30 ngày): Lưu trữ chờ kích hoạt lại, không tốn tài nguyên Sales</t>
        </is>
      </c>
    </row>
    <row r="1873">
      <c r="A1873" s="53" t="n">
        <v>913</v>
      </c>
      <c r="B1873" s="12" t="inlineStr">
        <is>
          <t>CloudTenn Pet Services</t>
        </is>
      </c>
      <c r="C1873" s="54" t="inlineStr">
        <is>
          <t>https://www.facebook.com/cloudtenndtc</t>
        </is>
      </c>
      <c r="D1873" s="6" t="inlineStr">
        <is>
          <t>Cần quét Bio Fanpage</t>
        </is>
      </c>
      <c r="E1873" s="53" t="inlineStr">
        <is>
          <t>31/12/2018 19:00:00</t>
        </is>
      </c>
      <c r="F1873" s="53" t="inlineStr">
        <is>
          <t>31 Tháng 12, 2018 lúc 19:00</t>
        </is>
      </c>
      <c r="G1873" s="55" t="n">
        <v>365</v>
      </c>
      <c r="H1873" s="56" t="n">
        <v>0</v>
      </c>
      <c r="I1873" s="6" t="inlineStr">
        <is>
          <t>Pet Boarding / Huấn luyện K9 &amp; Dịch vụ (20-22đ)</t>
        </is>
      </c>
      <c r="J1873" s="56" t="n">
        <v>22</v>
      </c>
      <c r="K1873" s="6" t="inlineStr">
        <is>
          <t>Chưa rõ giống (Cần quét Bio)</t>
        </is>
      </c>
      <c r="L1873" s="56" t="n">
        <v>0</v>
      </c>
      <c r="M1873" s="56" t="n">
        <v>5</v>
      </c>
      <c r="N1873" s="6" t="inlineStr">
        <is>
          <t>Amazon link not found</t>
        </is>
      </c>
      <c r="O1873" s="56">
        <f>IF(N1873="Selling pet toys + Artificial grass/Pet toilets (TARGET)",15,IF(N1873="Selling artificial grass/pet toilets (TARGET)",10,IF(N1873="Selling pet toys",7,IF(N1873="There's an Amazon link, but no target sales.",3,0))))</f>
        <v/>
      </c>
      <c r="P1873" s="65">
        <f>H1873+J1873+L1873+M1873+O1873</f>
        <v/>
      </c>
      <c r="Q1873" s="68">
        <f>IF(OR(H1873=0,P1873&lt;30),"Tier D (Đóng băng)",IF(P1873&gt;=85,"Tier S (Kim Cương: 85-100đ)",IF(P1873&gt;=70,"Tier A (Vàng: 70-84đ)",IF(P1873&gt;=61,"Tier B+ / Cấp A (Hot Lead: 61-69đ)",IF(P1873&gt;=50,"Tier B (Bạc: 50-60đ)","Tier C (Đồng: 30-49đ)")))))</f>
        <v/>
      </c>
      <c r="R1873" s="6" t="inlineStr">
        <is>
          <t>Cỏ nhân tạo sân chơi/huấn luyện (Dog Turf) + Đồ chơi nhai chịu lực (KONG/Chew Toys)</t>
        </is>
      </c>
      <c r="S1873" s="6" t="inlineStr">
        <is>
          <t>Đóng băng tương tác (&gt;30 ngày): Lưu trữ chờ kích hoạt lại, không tốn tài nguyên Sales</t>
        </is>
      </c>
    </row>
    <row r="1874">
      <c r="A1874" s="59" t="n">
        <v>1529</v>
      </c>
      <c r="B1874" s="15" t="inlineStr">
        <is>
          <t>GoldHeart Golden Retriever Rescue</t>
        </is>
      </c>
      <c r="C1874" s="60" t="inlineStr">
        <is>
          <t>https://www.facebook.com/GoldHeartGoldenRetriever</t>
        </is>
      </c>
      <c r="D1874" s="9" t="inlineStr">
        <is>
          <t>Cần quét Bio Fanpage</t>
        </is>
      </c>
      <c r="E1874" s="59" t="inlineStr">
        <is>
          <t>12/09/2026 02:33:56</t>
        </is>
      </c>
      <c r="F1874" s="59" t="inlineStr">
        <is>
          <t>1 tháng trước</t>
        </is>
      </c>
      <c r="G1874" s="61" t="n">
        <v>30</v>
      </c>
      <c r="H1874" s="62" t="n">
        <v>0</v>
      </c>
      <c r="I1874" s="9" t="inlineStr">
        <is>
          <t>Pet Rescue / Trạm cứu trợ (14-16đ)</t>
        </is>
      </c>
      <c r="J1874" s="62" t="n">
        <v>16</v>
      </c>
      <c r="K1874" s="9" t="inlineStr">
        <is>
          <t>Golden Retriever</t>
        </is>
      </c>
      <c r="L1874" s="62" t="n">
        <v>10</v>
      </c>
      <c r="M1874" s="62" t="n">
        <v>0</v>
      </c>
      <c r="N1874" s="9" t="inlineStr">
        <is>
          <t>Amazon link not found</t>
        </is>
      </c>
      <c r="O1874" s="62">
        <f>IF(N1874="Selling pet toys + Artificial grass/Pet toilets (TARGET)",15,IF(N1874="Selling artificial grass/pet toilets (TARGET)",10,IF(N1874="Selling pet toys",7,IF(N1874="There's an Amazon link, but no target sales.",3,0))))</f>
        <v/>
      </c>
      <c r="P1874" s="67">
        <f>H1874+J1874+L1874+M1874+O1874</f>
        <v/>
      </c>
      <c r="Q1874" s="68">
        <f>IF(OR(H1874=0,P1874&lt;30),"Tier D (Đóng băng)",IF(P1874&gt;=85,"Tier S (Kim Cương: 85-100đ)",IF(P1874&gt;=70,"Tier A (Vàng: 70-84đ)",IF(P1874&gt;=61,"Tier B+ / Cấp A (Hot Lead: 61-69đ)",IF(P1874&gt;=50,"Tier B (Bạc: 50-60đ)","Tier C (Đồng: 30-49đ)")))))</f>
        <v/>
      </c>
      <c r="R1874" s="9" t="inlineStr">
        <is>
          <t>Nhà vệ sinh &amp; Tã lót (Potty Tray / Pee Pads) + Cỏ nhân tạo lót chuồng</t>
        </is>
      </c>
      <c r="S1874" s="9" t="inlineStr">
        <is>
          <t>Đóng băng tương tác (&gt;30 ngày): Lưu trữ chờ kích hoạt lại, không tốn tài nguyên Sales</t>
        </is>
      </c>
    </row>
    <row r="1875">
      <c r="A1875" s="53" t="n">
        <v>929</v>
      </c>
      <c r="B1875" s="12" t="inlineStr">
        <is>
          <t>Collie Rescue, Inc. VA/MD</t>
        </is>
      </c>
      <c r="C1875" s="54" t="inlineStr">
        <is>
          <t>https://www.facebook.com/CollieRescueInc</t>
        </is>
      </c>
      <c r="D1875" s="6" t="inlineStr">
        <is>
          <t>Cần quét Bio Fanpage</t>
        </is>
      </c>
      <c r="E1875" s="53" t="inlineStr">
        <is>
          <t>08/09/2026 19:06:02</t>
        </is>
      </c>
      <c r="F1875" s="53" t="inlineStr">
        <is>
          <t>1 tháng trước</t>
        </is>
      </c>
      <c r="G1875" s="55" t="n">
        <v>30</v>
      </c>
      <c r="H1875" s="56" t="n">
        <v>0</v>
      </c>
      <c r="I1875" s="6" t="inlineStr">
        <is>
          <t>Pet Rescue / Trạm cứu trợ (14-16đ)</t>
        </is>
      </c>
      <c r="J1875" s="56" t="n">
        <v>16</v>
      </c>
      <c r="K1875" s="6" t="inlineStr">
        <is>
          <t>Australian Shepherd / Herding</t>
        </is>
      </c>
      <c r="L1875" s="56" t="n">
        <v>5</v>
      </c>
      <c r="M1875" s="56" t="n">
        <v>5</v>
      </c>
      <c r="N1875" s="6" t="inlineStr">
        <is>
          <t>Amazon link not found</t>
        </is>
      </c>
      <c r="O1875" s="56">
        <f>IF(N1875="Selling pet toys + Artificial grass/Pet toilets (TARGET)",15,IF(N1875="Selling artificial grass/pet toilets (TARGET)",10,IF(N1875="Selling pet toys",7,IF(N1875="There's an Amazon link, but no target sales.",3,0))))</f>
        <v/>
      </c>
      <c r="P1875" s="65">
        <f>H1875+J1875+L1875+M1875+O1875</f>
        <v/>
      </c>
      <c r="Q1875" s="68">
        <f>IF(OR(H1875=0,P1875&lt;30),"Tier D (Đóng băng)",IF(P1875&gt;=85,"Tier S (Kim Cương: 85-100đ)",IF(P1875&gt;=70,"Tier A (Vàng: 70-84đ)",IF(P1875&gt;=61,"Tier B+ / Cấp A (Hot Lead: 61-69đ)",IF(P1875&gt;=50,"Tier B (Bạc: 50-60đ)","Tier C (Đồng: 30-49đ)")))))</f>
        <v/>
      </c>
      <c r="R1875" s="6" t="inlineStr">
        <is>
          <t>Nhà vệ sinh &amp; Tã lót (Potty Tray / Pee Pads) + Cỏ nhân tạo lót chuồng</t>
        </is>
      </c>
      <c r="S1875" s="6" t="inlineStr">
        <is>
          <t>Đóng băng tương tác (&gt;30 ngày): Lưu trữ chờ kích hoạt lại, không tốn tài nguyên Sales</t>
        </is>
      </c>
    </row>
    <row r="1876">
      <c r="A1876" s="59" t="n">
        <v>342</v>
      </c>
      <c r="B1876" s="15" t="inlineStr">
        <is>
          <t>Adorable dachshund puppy for Adoption And Rehoming</t>
        </is>
      </c>
      <c r="C1876" s="60" t="inlineStr">
        <is>
          <t>https://www.facebook.com/profile.php?id=61592431477088</t>
        </is>
      </c>
      <c r="D1876" s="9" t="inlineStr">
        <is>
          <t>Cần quét Bio Fanpage</t>
        </is>
      </c>
      <c r="E1876" s="59" t="inlineStr">
        <is>
          <t>03/08/2026 06:25:01</t>
        </is>
      </c>
      <c r="F1876" s="59" t="inlineStr">
        <is>
          <t>2 tháng trước</t>
        </is>
      </c>
      <c r="G1876" s="61" t="n">
        <v>60</v>
      </c>
      <c r="H1876" s="62" t="n">
        <v>0</v>
      </c>
      <c r="I1876" s="9" t="inlineStr">
        <is>
          <t>Pet Rescue / Trạm cứu trợ (14-16đ)</t>
        </is>
      </c>
      <c r="J1876" s="62" t="n">
        <v>16</v>
      </c>
      <c r="K1876" s="9" t="inlineStr">
        <is>
          <t>Dachshund</t>
        </is>
      </c>
      <c r="L1876" s="62" t="n">
        <v>5</v>
      </c>
      <c r="M1876" s="62" t="n">
        <v>5</v>
      </c>
      <c r="N1876" s="9" t="inlineStr">
        <is>
          <t>Amazon link not found</t>
        </is>
      </c>
      <c r="O1876" s="62">
        <f>IF(N1876="Selling pet toys + Artificial grass/Pet toilets (TARGET)",15,IF(N1876="Selling artificial grass/pet toilets (TARGET)",10,IF(N1876="Selling pet toys",7,IF(N1876="There's an Amazon link, but no target sales.",3,0))))</f>
        <v/>
      </c>
      <c r="P1876" s="67">
        <f>H1876+J1876+L1876+M1876+O1876</f>
        <v/>
      </c>
      <c r="Q1876" s="68">
        <f>IF(OR(H1876=0,P1876&lt;30),"Tier D (Đóng băng)",IF(P1876&gt;=85,"Tier S (Kim Cương: 85-100đ)",IF(P1876&gt;=70,"Tier A (Vàng: 70-84đ)",IF(P1876&gt;=61,"Tier B+ / Cấp A (Hot Lead: 61-69đ)",IF(P1876&gt;=50,"Tier B (Bạc: 50-60đ)","Tier C (Đồng: 30-49đ)")))))</f>
        <v/>
      </c>
      <c r="R1876" s="9" t="inlineStr">
        <is>
          <t>Nhà vệ sinh &amp; Tã lót (Potty Tray / Pee Pads) + Cỏ nhân tạo lót chuồng</t>
        </is>
      </c>
      <c r="S1876" s="9" t="inlineStr">
        <is>
          <t>Đóng băng tương tác (&gt;30 ngày): Lưu trữ chờ kích hoạt lại, không tốn tài nguyên Sales</t>
        </is>
      </c>
    </row>
    <row r="1877">
      <c r="A1877" s="53" t="n">
        <v>2308</v>
      </c>
      <c r="B1877" s="12" t="inlineStr">
        <is>
          <t>Norcal Golden Retriever Rescue</t>
        </is>
      </c>
      <c r="C1877" s="54" t="inlineStr">
        <is>
          <t>https://www.facebook.com/ncgrr</t>
        </is>
      </c>
      <c r="D1877" s="6" t="inlineStr">
        <is>
          <t>Cần quét Bio Fanpage</t>
        </is>
      </c>
      <c r="E1877" s="53" t="inlineStr">
        <is>
          <t>26/06/2026 01:41:35</t>
        </is>
      </c>
      <c r="F1877" s="53" t="inlineStr">
        <is>
          <t>3 tháng trước</t>
        </is>
      </c>
      <c r="G1877" s="55" t="n">
        <v>90</v>
      </c>
      <c r="H1877" s="56" t="n">
        <v>0</v>
      </c>
      <c r="I1877" s="6" t="inlineStr">
        <is>
          <t>Pet Rescue / Trạm cứu trợ (14-16đ)</t>
        </is>
      </c>
      <c r="J1877" s="56" t="n">
        <v>16</v>
      </c>
      <c r="K1877" s="6" t="inlineStr">
        <is>
          <t>Golden Retriever</t>
        </is>
      </c>
      <c r="L1877" s="56" t="n">
        <v>10</v>
      </c>
      <c r="M1877" s="56" t="n">
        <v>0</v>
      </c>
      <c r="N1877" s="6" t="inlineStr">
        <is>
          <t>Amazon link not found</t>
        </is>
      </c>
      <c r="O1877" s="56">
        <f>IF(N1877="Selling pet toys + Artificial grass/Pet toilets (TARGET)",15,IF(N1877="Selling artificial grass/pet toilets (TARGET)",10,IF(N1877="Selling pet toys",7,IF(N1877="There's an Amazon link, but no target sales.",3,0))))</f>
        <v/>
      </c>
      <c r="P1877" s="65">
        <f>H1877+J1877+L1877+M1877+O1877</f>
        <v/>
      </c>
      <c r="Q1877" s="68">
        <f>IF(OR(H1877=0,P1877&lt;30),"Tier D (Đóng băng)",IF(P1877&gt;=85,"Tier S (Kim Cương: 85-100đ)",IF(P1877&gt;=70,"Tier A (Vàng: 70-84đ)",IF(P1877&gt;=61,"Tier B+ / Cấp A (Hot Lead: 61-69đ)",IF(P1877&gt;=50,"Tier B (Bạc: 50-60đ)","Tier C (Đồng: 30-49đ)")))))</f>
        <v/>
      </c>
      <c r="R1877" s="6" t="inlineStr">
        <is>
          <t>Nhà vệ sinh &amp; Tã lót (Potty Tray / Pee Pads) + Cỏ nhân tạo lót chuồng</t>
        </is>
      </c>
      <c r="S1877" s="6" t="inlineStr">
        <is>
          <t>Đóng băng tương tác (&gt;30 ngày): Lưu trữ chờ kích hoạt lại, không tốn tài nguyên Sales</t>
        </is>
      </c>
    </row>
    <row r="1878">
      <c r="A1878" s="59" t="n">
        <v>927</v>
      </c>
      <c r="B1878" s="15" t="inlineStr">
        <is>
          <t>Collie Rescue Foundation.Org</t>
        </is>
      </c>
      <c r="C1878" s="60" t="inlineStr">
        <is>
          <t>https://www.facebook.com/profile.php?id=100064519216743</t>
        </is>
      </c>
      <c r="D1878" s="9" t="inlineStr">
        <is>
          <t>Cần quét Bio Fanpage</t>
        </is>
      </c>
      <c r="E1878" s="59" t="inlineStr">
        <is>
          <t>04/03/2025 01:13:49</t>
        </is>
      </c>
      <c r="F1878" s="59" t="inlineStr">
        <is>
          <t>1 năm trước</t>
        </is>
      </c>
      <c r="G1878" s="61" t="n">
        <v>365</v>
      </c>
      <c r="H1878" s="62" t="n">
        <v>0</v>
      </c>
      <c r="I1878" s="9" t="inlineStr">
        <is>
          <t>Pet Rescue / Trạm cứu trợ (14-16đ)</t>
        </is>
      </c>
      <c r="J1878" s="62" t="n">
        <v>16</v>
      </c>
      <c r="K1878" s="9" t="inlineStr">
        <is>
          <t>Australian Shepherd / Herding</t>
        </is>
      </c>
      <c r="L1878" s="62" t="n">
        <v>5</v>
      </c>
      <c r="M1878" s="62" t="n">
        <v>5</v>
      </c>
      <c r="N1878" s="9" t="inlineStr">
        <is>
          <t>Amazon link not found</t>
        </is>
      </c>
      <c r="O1878" s="62">
        <f>IF(N1878="Selling pet toys + Artificial grass/Pet toilets (TARGET)",15,IF(N1878="Selling artificial grass/pet toilets (TARGET)",10,IF(N1878="Selling pet toys",7,IF(N1878="There's an Amazon link, but no target sales.",3,0))))</f>
        <v/>
      </c>
      <c r="P1878" s="67">
        <f>H1878+J1878+L1878+M1878+O1878</f>
        <v/>
      </c>
      <c r="Q1878" s="68">
        <f>IF(OR(H1878=0,P1878&lt;30),"Tier D (Đóng băng)",IF(P1878&gt;=85,"Tier S (Kim Cương: 85-100đ)",IF(P1878&gt;=70,"Tier A (Vàng: 70-84đ)",IF(P1878&gt;=61,"Tier B+ / Cấp A (Hot Lead: 61-69đ)",IF(P1878&gt;=50,"Tier B (Bạc: 50-60đ)","Tier C (Đồng: 30-49đ)")))))</f>
        <v/>
      </c>
      <c r="R1878" s="9" t="inlineStr">
        <is>
          <t>Nhà vệ sinh &amp; Tã lót (Potty Tray / Pee Pads) + Cỏ nhân tạo lót chuồng</t>
        </is>
      </c>
      <c r="S1878" s="9" t="inlineStr">
        <is>
          <t>Đóng băng tương tác (&gt;30 ngày): Lưu trữ chờ kích hoạt lại, không tốn tài nguyên Sales</t>
        </is>
      </c>
    </row>
    <row r="1879">
      <c r="A1879" s="53" t="n">
        <v>1029</v>
      </c>
      <c r="B1879" s="12" t="inlineStr">
        <is>
          <t>Deva Dawg Bulldog Rescue and Adoption</t>
        </is>
      </c>
      <c r="C1879" s="54" t="inlineStr">
        <is>
          <t>https://www.facebook.com/profile.php?id=100056817812897</t>
        </is>
      </c>
      <c r="D1879" s="6" t="inlineStr">
        <is>
          <t>Cần quét Bio Fanpage</t>
        </is>
      </c>
      <c r="E1879" s="53" t="inlineStr">
        <is>
          <t>21/08/2024 07:49:05</t>
        </is>
      </c>
      <c r="F1879" s="53" t="inlineStr">
        <is>
          <t>2 năm trước</t>
        </is>
      </c>
      <c r="G1879" s="55" t="n">
        <v>730</v>
      </c>
      <c r="H1879" s="56" t="n">
        <v>0</v>
      </c>
      <c r="I1879" s="6" t="inlineStr">
        <is>
          <t>Pet Rescue / Trạm cứu trợ (14-16đ)</t>
        </is>
      </c>
      <c r="J1879" s="56" t="n">
        <v>16</v>
      </c>
      <c r="K1879" s="6" t="inlineStr">
        <is>
          <t>English Bulldog</t>
        </is>
      </c>
      <c r="L1879" s="56" t="n">
        <v>10</v>
      </c>
      <c r="M1879" s="56" t="n">
        <v>0</v>
      </c>
      <c r="N1879" s="6" t="inlineStr">
        <is>
          <t>Amazon link not found</t>
        </is>
      </c>
      <c r="O1879" s="56">
        <f>IF(N1879="Selling pet toys + Artificial grass/Pet toilets (TARGET)",15,IF(N1879="Selling artificial grass/pet toilets (TARGET)",10,IF(N1879="Selling pet toys",7,IF(N1879="There's an Amazon link, but no target sales.",3,0))))</f>
        <v/>
      </c>
      <c r="P1879" s="65">
        <f>H1879+J1879+L1879+M1879+O1879</f>
        <v/>
      </c>
      <c r="Q1879" s="68">
        <f>IF(OR(H1879=0,P1879&lt;30),"Tier D (Đóng băng)",IF(P1879&gt;=85,"Tier S (Kim Cương: 85-100đ)",IF(P1879&gt;=70,"Tier A (Vàng: 70-84đ)",IF(P1879&gt;=61,"Tier B+ / Cấp A (Hot Lead: 61-69đ)",IF(P1879&gt;=50,"Tier B (Bạc: 50-60đ)","Tier C (Đồng: 30-49đ)")))))</f>
        <v/>
      </c>
      <c r="R1879" s="6" t="inlineStr">
        <is>
          <t>Nhà vệ sinh &amp; Tã lót (Potty Tray / Pee Pads) + Cỏ nhân tạo lót chuồng</t>
        </is>
      </c>
      <c r="S1879" s="6" t="inlineStr">
        <is>
          <t>Đóng băng tương tác (&gt;30 ngày): Lưu trữ chờ kích hoạt lại, không tốn tài nguyên Sales</t>
        </is>
      </c>
    </row>
    <row r="1880">
      <c r="A1880" s="59" t="n">
        <v>1443</v>
      </c>
      <c r="B1880" s="15" t="inlineStr">
        <is>
          <t>Frenchie bulldogs for adoption</t>
        </is>
      </c>
      <c r="C1880" s="60" t="inlineStr">
        <is>
          <t>https://www.facebook.com/profile.php?id=100095446124936</t>
        </is>
      </c>
      <c r="D1880" s="9" t="inlineStr">
        <is>
          <t>Cần quét Bio Fanpage</t>
        </is>
      </c>
      <c r="E1880" s="59" t="inlineStr">
        <is>
          <t>07/08/2023 01:13:11</t>
        </is>
      </c>
      <c r="F1880" s="59" t="inlineStr">
        <is>
          <t>3 năm trước</t>
        </is>
      </c>
      <c r="G1880" s="61" t="n">
        <v>1095</v>
      </c>
      <c r="H1880" s="62" t="n">
        <v>0</v>
      </c>
      <c r="I1880" s="9" t="inlineStr">
        <is>
          <t>Pet Rescue / Trạm cứu trợ (14-16đ)</t>
        </is>
      </c>
      <c r="J1880" s="62" t="n">
        <v>16</v>
      </c>
      <c r="K1880" s="9" t="inlineStr">
        <is>
          <t>French Bulldog</t>
        </is>
      </c>
      <c r="L1880" s="62" t="n">
        <v>10</v>
      </c>
      <c r="M1880" s="62" t="n">
        <v>0</v>
      </c>
      <c r="N1880" s="9" t="inlineStr">
        <is>
          <t>Amazon link not found</t>
        </is>
      </c>
      <c r="O1880" s="62">
        <f>IF(N1880="Selling pet toys + Artificial grass/Pet toilets (TARGET)",15,IF(N1880="Selling artificial grass/pet toilets (TARGET)",10,IF(N1880="Selling pet toys",7,IF(N1880="There's an Amazon link, but no target sales.",3,0))))</f>
        <v/>
      </c>
      <c r="P1880" s="67">
        <f>H1880+J1880+L1880+M1880+O1880</f>
        <v/>
      </c>
      <c r="Q1880" s="68">
        <f>IF(OR(H1880=0,P1880&lt;30),"Tier D (Đóng băng)",IF(P1880&gt;=85,"Tier S (Kim Cương: 85-100đ)",IF(P1880&gt;=70,"Tier A (Vàng: 70-84đ)",IF(P1880&gt;=61,"Tier B+ / Cấp A (Hot Lead: 61-69đ)",IF(P1880&gt;=50,"Tier B (Bạc: 50-60đ)","Tier C (Đồng: 30-49đ)")))))</f>
        <v/>
      </c>
      <c r="R1880" s="9" t="inlineStr">
        <is>
          <t>Nhà vệ sinh &amp; Tã lót (Potty Tray / Pee Pads) + Cỏ nhân tạo lót chuồng</t>
        </is>
      </c>
      <c r="S1880" s="9" t="inlineStr">
        <is>
          <t>Đóng băng tương tác (&gt;30 ngày): Lưu trữ chờ kích hoạt lại, không tốn tài nguyên Sales</t>
        </is>
      </c>
    </row>
    <row r="1881">
      <c r="A1881" s="53" t="n">
        <v>563</v>
      </c>
      <c r="B1881" s="12" t="inlineStr">
        <is>
          <t>Australian Shepherd Rescue</t>
        </is>
      </c>
      <c r="C1881" s="54" t="inlineStr">
        <is>
          <t>https://www.facebook.com/australianshepherd.rescueme.org</t>
        </is>
      </c>
      <c r="D1881" s="6" t="inlineStr">
        <is>
          <t>Cần quét Bio Fanpage</t>
        </is>
      </c>
      <c r="E1881" s="53" t="inlineStr">
        <is>
          <t>24/11/2018 10:22:00</t>
        </is>
      </c>
      <c r="F1881" s="53" t="inlineStr">
        <is>
          <t>24 Tháng 11, 2018 lúc 10:22</t>
        </is>
      </c>
      <c r="G1881" s="55" t="n">
        <v>365</v>
      </c>
      <c r="H1881" s="56" t="n">
        <v>0</v>
      </c>
      <c r="I1881" s="6" t="inlineStr">
        <is>
          <t>Pet Rescue / Trạm cứu trợ (14-16đ)</t>
        </is>
      </c>
      <c r="J1881" s="56" t="n">
        <v>16</v>
      </c>
      <c r="K1881" s="6" t="inlineStr">
        <is>
          <t>Australian Shepherd / Herding</t>
        </is>
      </c>
      <c r="L1881" s="56" t="n">
        <v>5</v>
      </c>
      <c r="M1881" s="56" t="n">
        <v>5</v>
      </c>
      <c r="N1881" s="6" t="inlineStr">
        <is>
          <t>Amazon link not found</t>
        </is>
      </c>
      <c r="O1881" s="56">
        <f>IF(N1881="Selling pet toys + Artificial grass/Pet toilets (TARGET)",15,IF(N1881="Selling artificial grass/pet toilets (TARGET)",10,IF(N1881="Selling pet toys",7,IF(N1881="There's an Amazon link, but no target sales.",3,0))))</f>
        <v/>
      </c>
      <c r="P1881" s="65">
        <f>H1881+J1881+L1881+M1881+O1881</f>
        <v/>
      </c>
      <c r="Q1881" s="68">
        <f>IF(OR(H1881=0,P1881&lt;30),"Tier D (Đóng băng)",IF(P1881&gt;=85,"Tier S (Kim Cương: 85-100đ)",IF(P1881&gt;=70,"Tier A (Vàng: 70-84đ)",IF(P1881&gt;=61,"Tier B+ / Cấp A (Hot Lead: 61-69đ)",IF(P1881&gt;=50,"Tier B (Bạc: 50-60đ)","Tier C (Đồng: 30-49đ)")))))</f>
        <v/>
      </c>
      <c r="R1881" s="6" t="inlineStr">
        <is>
          <t>Nhà vệ sinh &amp; Tã lót (Potty Tray / Pee Pads) + Cỏ nhân tạo lót chuồng</t>
        </is>
      </c>
      <c r="S1881" s="6" t="inlineStr">
        <is>
          <t>Đóng băng tương tác (&gt;30 ngày): Lưu trữ chờ kích hoạt lại, không tốn tài nguyên Sales</t>
        </is>
      </c>
    </row>
    <row r="1882">
      <c r="A1882" s="59" t="n">
        <v>1632</v>
      </c>
      <c r="B1882" s="15" t="inlineStr">
        <is>
          <t>Headrush Peterborough</t>
        </is>
      </c>
      <c r="C1882" s="60" t="inlineStr">
        <is>
          <t>https://www.facebook.com/headrush.ptbo</t>
        </is>
      </c>
      <c r="D1882" s="9" t="inlineStr">
        <is>
          <t>Cần quét Bio Fanpage</t>
        </is>
      </c>
      <c r="E1882" s="59" t="inlineStr">
        <is>
          <t>29/09/2026 02:50:29</t>
        </is>
      </c>
      <c r="F1882" s="59" t="inlineStr">
        <is>
          <t>2 tuần trước</t>
        </is>
      </c>
      <c r="G1882" s="61" t="n">
        <v>14</v>
      </c>
      <c r="H1882" s="62" t="n">
        <v>15</v>
      </c>
      <c r="I1882" s="9" t="inlineStr">
        <is>
          <t>Pet Owner / Cộng đồng nuôi cún (10đ)</t>
        </is>
      </c>
      <c r="J1882" s="62" t="n">
        <v>10</v>
      </c>
      <c r="K1882" s="9" t="inlineStr">
        <is>
          <t>Chưa rõ giống (Cần quét Bio)</t>
        </is>
      </c>
      <c r="L1882" s="62" t="n">
        <v>0</v>
      </c>
      <c r="M1882" s="62" t="n">
        <v>0</v>
      </c>
      <c r="N1882" s="9" t="inlineStr">
        <is>
          <t>Amazon link not found</t>
        </is>
      </c>
      <c r="O1882" s="62">
        <f>IF(N1882="Selling pet toys + Artificial grass/Pet toilets (TARGET)",15,IF(N1882="Selling artificial grass/pet toilets (TARGET)",10,IF(N1882="Selling pet toys",7,IF(N1882="There's an Amazon link, but no target sales.",3,0))))</f>
        <v/>
      </c>
      <c r="P1882" s="67">
        <f>H1882+J1882+L1882+M1882+O1882</f>
        <v/>
      </c>
      <c r="Q1882" s="68">
        <f>IF(OR(H1882=0,P1882&lt;30),"Tier D (Đóng băng)",IF(P1882&gt;=85,"Tier S (Kim Cương: 85-100đ)",IF(P1882&gt;=70,"Tier A (Vàng: 70-84đ)",IF(P1882&gt;=61,"Tier B+ / Cấp A (Hot Lead: 61-69đ)",IF(P1882&gt;=50,"Tier B (Bạc: 50-60đ)","Tier C (Đồng: 30-49đ)")))))</f>
        <v/>
      </c>
      <c r="R1882" s="9" t="inlineStr">
        <is>
          <t>Khay vệ sinh chung cư (Indoor Potty) + Thảm cỏ ban công (Grass Patch) + Đồ chơi</t>
        </is>
      </c>
      <c r="S1882" s="9" t="inlineStr">
        <is>
          <t>Đóng băng tương tác (&gt;30 ngày): Lưu trữ chờ kích hoạt lại, không tốn tài nguyên Sales</t>
        </is>
      </c>
    </row>
    <row r="1883">
      <c r="A1883" s="53" t="n">
        <v>1836</v>
      </c>
      <c r="B1883" s="12" t="inlineStr">
        <is>
          <t>Kainuun Kennelpiiri ry</t>
        </is>
      </c>
      <c r="C1883" s="54" t="inlineStr">
        <is>
          <t>https://www.facebook.com/kennelpiirikainuu</t>
        </is>
      </c>
      <c r="D1883" s="6" t="inlineStr">
        <is>
          <t>Cần quét Bio Fanpage</t>
        </is>
      </c>
      <c r="E1883" s="53" t="inlineStr">
        <is>
          <t>28/09/2026 20:17:01</t>
        </is>
      </c>
      <c r="F1883" s="53" t="inlineStr">
        <is>
          <t>2 tuần trước</t>
        </is>
      </c>
      <c r="G1883" s="55" t="n">
        <v>14</v>
      </c>
      <c r="H1883" s="56" t="n">
        <v>15</v>
      </c>
      <c r="I1883" s="6" t="inlineStr">
        <is>
          <t>Pet Owner / Cộng đồng nuôi cún (10đ)</t>
        </is>
      </c>
      <c r="J1883" s="56" t="n">
        <v>10</v>
      </c>
      <c r="K1883" s="6" t="inlineStr">
        <is>
          <t>Chưa rõ giống (Cần quét Bio)</t>
        </is>
      </c>
      <c r="L1883" s="56" t="n">
        <v>0</v>
      </c>
      <c r="M1883" s="56" t="n">
        <v>0</v>
      </c>
      <c r="N1883" s="6" t="inlineStr">
        <is>
          <t>Amazon link not found</t>
        </is>
      </c>
      <c r="O1883" s="56">
        <f>IF(N1883="Selling pet toys + Artificial grass/Pet toilets (TARGET)",15,IF(N1883="Selling artificial grass/pet toilets (TARGET)",10,IF(N1883="Selling pet toys",7,IF(N1883="There's an Amazon link, but no target sales.",3,0))))</f>
        <v/>
      </c>
      <c r="P1883" s="65">
        <f>H1883+J1883+L1883+M1883+O1883</f>
        <v/>
      </c>
      <c r="Q1883" s="68">
        <f>IF(OR(H1883=0,P1883&lt;30),"Tier D (Đóng băng)",IF(P1883&gt;=85,"Tier S (Kim Cương: 85-100đ)",IF(P1883&gt;=70,"Tier A (Vàng: 70-84đ)",IF(P1883&gt;=61,"Tier B+ / Cấp A (Hot Lead: 61-69đ)",IF(P1883&gt;=50,"Tier B (Bạc: 50-60đ)","Tier C (Đồng: 30-49đ)")))))</f>
        <v/>
      </c>
      <c r="R1883" s="6" t="inlineStr">
        <is>
          <t>Khay vệ sinh chung cư (Indoor Potty) + Thảm cỏ ban công (Grass Patch) + Đồ chơi</t>
        </is>
      </c>
      <c r="S1883" s="6" t="inlineStr">
        <is>
          <t>Đóng băng tương tác (&gt;30 ngày): Lưu trữ chờ kích hoạt lại, không tốn tài nguyên Sales</t>
        </is>
      </c>
    </row>
    <row r="1884">
      <c r="A1884" s="59" t="n">
        <v>3462</v>
      </c>
      <c r="B1884" s="15" t="inlineStr">
        <is>
          <t>Yellow Dog</t>
        </is>
      </c>
      <c r="C1884" s="60" t="inlineStr">
        <is>
          <t>https://www.facebook.com/profile.php?id=61592475463022</t>
        </is>
      </c>
      <c r="D1884" s="9" t="inlineStr">
        <is>
          <t>Cần quét Bio Fanpage</t>
        </is>
      </c>
      <c r="E1884" s="59" t="inlineStr">
        <is>
          <t>28/09/2026 02:50:19</t>
        </is>
      </c>
      <c r="F1884" s="59" t="inlineStr">
        <is>
          <t>2 tuần trước</t>
        </is>
      </c>
      <c r="G1884" s="61" t="n">
        <v>14</v>
      </c>
      <c r="H1884" s="62" t="n">
        <v>15</v>
      </c>
      <c r="I1884" s="9" t="inlineStr">
        <is>
          <t>Pet Owner / Cộng đồng nuôi cún (10đ)</t>
        </is>
      </c>
      <c r="J1884" s="62" t="n">
        <v>10</v>
      </c>
      <c r="K1884" s="9" t="inlineStr">
        <is>
          <t>Chưa rõ giống (Cần quét Bio)</t>
        </is>
      </c>
      <c r="L1884" s="62" t="n">
        <v>0</v>
      </c>
      <c r="M1884" s="62" t="n">
        <v>0</v>
      </c>
      <c r="N1884" s="9" t="inlineStr">
        <is>
          <t>Amazon link not found</t>
        </is>
      </c>
      <c r="O1884" s="62">
        <f>IF(N1884="Selling pet toys + Artificial grass/Pet toilets (TARGET)",15,IF(N1884="Selling artificial grass/pet toilets (TARGET)",10,IF(N1884="Selling pet toys",7,IF(N1884="There's an Amazon link, but no target sales.",3,0))))</f>
        <v/>
      </c>
      <c r="P1884" s="67">
        <f>H1884+J1884+L1884+M1884+O1884</f>
        <v/>
      </c>
      <c r="Q1884" s="68">
        <f>IF(OR(H1884=0,P1884&lt;30),"Tier D (Đóng băng)",IF(P1884&gt;=85,"Tier S (Kim Cương: 85-100đ)",IF(P1884&gt;=70,"Tier A (Vàng: 70-84đ)",IF(P1884&gt;=61,"Tier B+ / Cấp A (Hot Lead: 61-69đ)",IF(P1884&gt;=50,"Tier B (Bạc: 50-60đ)","Tier C (Đồng: 30-49đ)")))))</f>
        <v/>
      </c>
      <c r="R1884" s="9" t="inlineStr">
        <is>
          <t>Khay vệ sinh chung cư (Indoor Potty) + Thảm cỏ ban công (Grass Patch) + Đồ chơi</t>
        </is>
      </c>
      <c r="S1884" s="9" t="inlineStr">
        <is>
          <t>Đóng băng tương tác (&gt;30 ngày): Lưu trữ chờ kích hoạt lại, không tốn tài nguyên Sales</t>
        </is>
      </c>
    </row>
    <row r="1885">
      <c r="A1885" s="53" t="n">
        <v>1113</v>
      </c>
      <c r="B1885" s="12" t="inlineStr">
        <is>
          <t>Dogalize</t>
        </is>
      </c>
      <c r="C1885" s="54" t="inlineStr">
        <is>
          <t>https://www.facebook.com/dogalize</t>
        </is>
      </c>
      <c r="D1885" s="6" t="inlineStr">
        <is>
          <t>Cần quét Bio Fanpage</t>
        </is>
      </c>
      <c r="E1885" s="53" t="inlineStr">
        <is>
          <t>27/09/2026 11:47:25</t>
        </is>
      </c>
      <c r="F1885" s="53" t="inlineStr">
        <is>
          <t>2 tuần trước</t>
        </is>
      </c>
      <c r="G1885" s="55" t="n">
        <v>14</v>
      </c>
      <c r="H1885" s="56" t="n">
        <v>15</v>
      </c>
      <c r="I1885" s="6" t="inlineStr">
        <is>
          <t>Pet Owner / Cộng đồng nuôi cún (10đ)</t>
        </is>
      </c>
      <c r="J1885" s="56" t="n">
        <v>10</v>
      </c>
      <c r="K1885" s="6" t="inlineStr">
        <is>
          <t>Chưa rõ giống (Cần quét Bio)</t>
        </is>
      </c>
      <c r="L1885" s="56" t="n">
        <v>0</v>
      </c>
      <c r="M1885" s="56" t="n">
        <v>0</v>
      </c>
      <c r="N1885" s="6" t="inlineStr">
        <is>
          <t>Amazon link not found</t>
        </is>
      </c>
      <c r="O1885" s="56">
        <f>IF(N1885="Selling pet toys + Artificial grass/Pet toilets (TARGET)",15,IF(N1885="Selling artificial grass/pet toilets (TARGET)",10,IF(N1885="Selling pet toys",7,IF(N1885="There's an Amazon link, but no target sales.",3,0))))</f>
        <v/>
      </c>
      <c r="P1885" s="65">
        <f>H1885+J1885+L1885+M1885+O1885</f>
        <v/>
      </c>
      <c r="Q1885" s="68">
        <f>IF(OR(H1885=0,P1885&lt;30),"Tier D (Đóng băng)",IF(P1885&gt;=85,"Tier S (Kim Cương: 85-100đ)",IF(P1885&gt;=70,"Tier A (Vàng: 70-84đ)",IF(P1885&gt;=61,"Tier B+ / Cấp A (Hot Lead: 61-69đ)",IF(P1885&gt;=50,"Tier B (Bạc: 50-60đ)","Tier C (Đồng: 30-49đ)")))))</f>
        <v/>
      </c>
      <c r="R1885" s="6" t="inlineStr">
        <is>
          <t>Khay vệ sinh chung cư (Indoor Potty) + Thảm cỏ ban công (Grass Patch) + Đồ chơi</t>
        </is>
      </c>
      <c r="S1885" s="6" t="inlineStr">
        <is>
          <t>Đóng băng tương tác (&gt;30 ngày): Lưu trữ chờ kích hoạt lại, không tốn tài nguyên Sales</t>
        </is>
      </c>
    </row>
    <row r="1886">
      <c r="A1886" s="59" t="n">
        <v>1851</v>
      </c>
      <c r="B1886" s="15" t="inlineStr">
        <is>
          <t>Katimano.dogmom</t>
        </is>
      </c>
      <c r="C1886" s="60" t="inlineStr">
        <is>
          <t>https://www.facebook.com/profile.php?id=61591579802033</t>
        </is>
      </c>
      <c r="D1886" s="9" t="inlineStr">
        <is>
          <t>Cần quét Bio Fanpage</t>
        </is>
      </c>
      <c r="E1886" s="59" t="inlineStr">
        <is>
          <t>27/09/2026 07:46:56</t>
        </is>
      </c>
      <c r="F1886" s="59" t="inlineStr">
        <is>
          <t>2 tuần trước</t>
        </is>
      </c>
      <c r="G1886" s="61" t="n">
        <v>14</v>
      </c>
      <c r="H1886" s="62" t="n">
        <v>15</v>
      </c>
      <c r="I1886" s="9" t="inlineStr">
        <is>
          <t>Pet Owner / Cộng đồng nuôi cún (10đ)</t>
        </is>
      </c>
      <c r="J1886" s="62" t="n">
        <v>10</v>
      </c>
      <c r="K1886" s="9" t="inlineStr">
        <is>
          <t>Chưa rõ giống (Cần quét Bio)</t>
        </is>
      </c>
      <c r="L1886" s="62" t="n">
        <v>0</v>
      </c>
      <c r="M1886" s="62" t="n">
        <v>0</v>
      </c>
      <c r="N1886" s="9" t="inlineStr">
        <is>
          <t>Amazon link not found</t>
        </is>
      </c>
      <c r="O1886" s="62">
        <f>IF(N1886="Selling pet toys + Artificial grass/Pet toilets (TARGET)",15,IF(N1886="Selling artificial grass/pet toilets (TARGET)",10,IF(N1886="Selling pet toys",7,IF(N1886="There's an Amazon link, but no target sales.",3,0))))</f>
        <v/>
      </c>
      <c r="P1886" s="67">
        <f>H1886+J1886+L1886+M1886+O1886</f>
        <v/>
      </c>
      <c r="Q1886" s="68">
        <f>IF(OR(H1886=0,P1886&lt;30),"Tier D (Đóng băng)",IF(P1886&gt;=85,"Tier S (Kim Cương: 85-100đ)",IF(P1886&gt;=70,"Tier A (Vàng: 70-84đ)",IF(P1886&gt;=61,"Tier B+ / Cấp A (Hot Lead: 61-69đ)",IF(P1886&gt;=50,"Tier B (Bạc: 50-60đ)","Tier C (Đồng: 30-49đ)")))))</f>
        <v/>
      </c>
      <c r="R1886" s="9" t="inlineStr">
        <is>
          <t>Khay vệ sinh chung cư (Indoor Potty) + Thảm cỏ ban công (Grass Patch) + Đồ chơi</t>
        </is>
      </c>
      <c r="S1886" s="9" t="inlineStr">
        <is>
          <t>Đóng băng tương tác (&gt;30 ngày): Lưu trữ chờ kích hoạt lại, không tốn tài nguyên Sales</t>
        </is>
      </c>
    </row>
    <row r="1887">
      <c r="A1887" s="53" t="n">
        <v>3520</v>
      </c>
      <c r="B1887" s="12" t="inlineStr">
        <is>
          <t>�deliveripets_zul_kadar�</t>
        </is>
      </c>
      <c r="C1887" s="54" t="inlineStr">
        <is>
          <t>https://www.facebook.com/profile.php?id=100094536465951</t>
        </is>
      </c>
      <c r="D1887" s="6" t="inlineStr">
        <is>
          <t>Cần quét Bio Fanpage</t>
        </is>
      </c>
      <c r="E1887" s="53" t="inlineStr">
        <is>
          <t>26/09/2026 13:15:29</t>
        </is>
      </c>
      <c r="F1887" s="53" t="inlineStr">
        <is>
          <t>2 tuần trước</t>
        </is>
      </c>
      <c r="G1887" s="55" t="n">
        <v>14</v>
      </c>
      <c r="H1887" s="56" t="n">
        <v>15</v>
      </c>
      <c r="I1887" s="6" t="inlineStr">
        <is>
          <t>Pet Owner / Cộng đồng nuôi cún (10đ)</t>
        </is>
      </c>
      <c r="J1887" s="56" t="n">
        <v>10</v>
      </c>
      <c r="K1887" s="6" t="inlineStr">
        <is>
          <t>Chưa rõ giống (Cần quét Bio)</t>
        </is>
      </c>
      <c r="L1887" s="56" t="n">
        <v>0</v>
      </c>
      <c r="M1887" s="56" t="n">
        <v>0</v>
      </c>
      <c r="N1887" s="6" t="inlineStr">
        <is>
          <t>Amazon link not found</t>
        </is>
      </c>
      <c r="O1887" s="56">
        <f>IF(N1887="Selling pet toys + Artificial grass/Pet toilets (TARGET)",15,IF(N1887="Selling artificial grass/pet toilets (TARGET)",10,IF(N1887="Selling pet toys",7,IF(N1887="There's an Amazon link, but no target sales.",3,0))))</f>
        <v/>
      </c>
      <c r="P1887" s="65">
        <f>H1887+J1887+L1887+M1887+O1887</f>
        <v/>
      </c>
      <c r="Q1887" s="68">
        <f>IF(OR(H1887=0,P1887&lt;30),"Tier D (Đóng băng)",IF(P1887&gt;=85,"Tier S (Kim Cương: 85-100đ)",IF(P1887&gt;=70,"Tier A (Vàng: 70-84đ)",IF(P1887&gt;=61,"Tier B+ / Cấp A (Hot Lead: 61-69đ)",IF(P1887&gt;=50,"Tier B (Bạc: 50-60đ)","Tier C (Đồng: 30-49đ)")))))</f>
        <v/>
      </c>
      <c r="R1887" s="6" t="inlineStr">
        <is>
          <t>Khay vệ sinh chung cư (Indoor Potty) + Thảm cỏ ban công (Grass Patch) + Đồ chơi</t>
        </is>
      </c>
      <c r="S1887" s="6" t="inlineStr">
        <is>
          <t>Đóng băng tương tác (&gt;30 ngày): Lưu trữ chờ kích hoạt lại, không tốn tài nguyên Sales</t>
        </is>
      </c>
    </row>
    <row r="1888">
      <c r="A1888" s="59" t="n">
        <v>1410</v>
      </c>
      <c r="B1888" s="15" t="inlineStr">
        <is>
          <t>fly_yourpet</t>
        </is>
      </c>
      <c r="C1888" s="60" t="inlineStr">
        <is>
          <t>https://www.facebook.com/FLYYOURPET</t>
        </is>
      </c>
      <c r="D1888" s="9" t="inlineStr">
        <is>
          <t>Cần quét Bio Fanpage</t>
        </is>
      </c>
      <c r="E1888" s="59" t="inlineStr">
        <is>
          <t>26/09/2026 10:35:19</t>
        </is>
      </c>
      <c r="F1888" s="59" t="inlineStr">
        <is>
          <t>2 tuần trước</t>
        </is>
      </c>
      <c r="G1888" s="61" t="n">
        <v>14</v>
      </c>
      <c r="H1888" s="62" t="n">
        <v>15</v>
      </c>
      <c r="I1888" s="9" t="inlineStr">
        <is>
          <t>Pet Owner / Cộng đồng nuôi cún (10đ)</t>
        </is>
      </c>
      <c r="J1888" s="62" t="n">
        <v>10</v>
      </c>
      <c r="K1888" s="9" t="inlineStr">
        <is>
          <t>Chưa rõ giống (Cần quét Bio)</t>
        </is>
      </c>
      <c r="L1888" s="62" t="n">
        <v>0</v>
      </c>
      <c r="M1888" s="62" t="n">
        <v>0</v>
      </c>
      <c r="N1888" s="9" t="inlineStr">
        <is>
          <t>Amazon link not found</t>
        </is>
      </c>
      <c r="O1888" s="62">
        <f>IF(N1888="Selling pet toys + Artificial grass/Pet toilets (TARGET)",15,IF(N1888="Selling artificial grass/pet toilets (TARGET)",10,IF(N1888="Selling pet toys",7,IF(N1888="There's an Amazon link, but no target sales.",3,0))))</f>
        <v/>
      </c>
      <c r="P1888" s="67">
        <f>H1888+J1888+L1888+M1888+O1888</f>
        <v/>
      </c>
      <c r="Q1888" s="68">
        <f>IF(OR(H1888=0,P1888&lt;30),"Tier D (Đóng băng)",IF(P1888&gt;=85,"Tier S (Kim Cương: 85-100đ)",IF(P1888&gt;=70,"Tier A (Vàng: 70-84đ)",IF(P1888&gt;=61,"Tier B+ / Cấp A (Hot Lead: 61-69đ)",IF(P1888&gt;=50,"Tier B (Bạc: 50-60đ)","Tier C (Đồng: 30-49đ)")))))</f>
        <v/>
      </c>
      <c r="R1888" s="9" t="inlineStr">
        <is>
          <t>Khay vệ sinh chung cư (Indoor Potty) + Thảm cỏ ban công (Grass Patch) + Đồ chơi</t>
        </is>
      </c>
      <c r="S1888" s="9" t="inlineStr">
        <is>
          <t>Đóng băng tương tác (&gt;30 ngày): Lưu trữ chờ kích hoạt lại, không tốn tài nguyên Sales</t>
        </is>
      </c>
    </row>
    <row r="1889">
      <c r="A1889" s="53" t="n">
        <v>3027</v>
      </c>
      <c r="B1889" s="12" t="inlineStr">
        <is>
          <t>Surf Dog Ricochet</t>
        </is>
      </c>
      <c r="C1889" s="54" t="inlineStr">
        <is>
          <t>https://www.facebook.com/SurfDogRicochet</t>
        </is>
      </c>
      <c r="D1889" s="6" t="inlineStr">
        <is>
          <t>Cần quét Bio Fanpage</t>
        </is>
      </c>
      <c r="E1889" s="53" t="inlineStr">
        <is>
          <t>26/09/2026 09:04:11</t>
        </is>
      </c>
      <c r="F1889" s="53" t="inlineStr">
        <is>
          <t>2 tuần trước</t>
        </is>
      </c>
      <c r="G1889" s="55" t="n">
        <v>14</v>
      </c>
      <c r="H1889" s="56" t="n">
        <v>15</v>
      </c>
      <c r="I1889" s="6" t="inlineStr">
        <is>
          <t>Pet Owner / Cộng đồng nuôi cún (10đ)</t>
        </is>
      </c>
      <c r="J1889" s="56" t="n">
        <v>10</v>
      </c>
      <c r="K1889" s="6" t="inlineStr">
        <is>
          <t>Chưa rõ giống (Cần quét Bio)</t>
        </is>
      </c>
      <c r="L1889" s="56" t="n">
        <v>0</v>
      </c>
      <c r="M1889" s="56" t="n">
        <v>0</v>
      </c>
      <c r="N1889" s="6" t="inlineStr">
        <is>
          <t>Amazon link not found</t>
        </is>
      </c>
      <c r="O1889" s="56">
        <f>IF(N1889="Selling pet toys + Artificial grass/Pet toilets (TARGET)",15,IF(N1889="Selling artificial grass/pet toilets (TARGET)",10,IF(N1889="Selling pet toys",7,IF(N1889="There's an Amazon link, but no target sales.",3,0))))</f>
        <v/>
      </c>
      <c r="P1889" s="65">
        <f>H1889+J1889+L1889+M1889+O1889</f>
        <v/>
      </c>
      <c r="Q1889" s="68">
        <f>IF(OR(H1889=0,P1889&lt;30),"Tier D (Đóng băng)",IF(P1889&gt;=85,"Tier S (Kim Cương: 85-100đ)",IF(P1889&gt;=70,"Tier A (Vàng: 70-84đ)",IF(P1889&gt;=61,"Tier B+ / Cấp A (Hot Lead: 61-69đ)",IF(P1889&gt;=50,"Tier B (Bạc: 50-60đ)","Tier C (Đồng: 30-49đ)")))))</f>
        <v/>
      </c>
      <c r="R1889" s="6" t="inlineStr">
        <is>
          <t>Khay vệ sinh chung cư (Indoor Potty) + Thảm cỏ ban công (Grass Patch) + Đồ chơi</t>
        </is>
      </c>
      <c r="S1889" s="6" t="inlineStr">
        <is>
          <t>Đóng băng tương tác (&gt;30 ngày): Lưu trữ chờ kích hoạt lại, không tốn tài nguyên Sales</t>
        </is>
      </c>
    </row>
    <row r="1890">
      <c r="A1890" s="59" t="n">
        <v>1573</v>
      </c>
      <c r="B1890" s="15" t="inlineStr">
        <is>
          <t>Grundy's K9s</t>
        </is>
      </c>
      <c r="C1890" s="60" t="inlineStr">
        <is>
          <t>https://www.facebook.com/grundysk9</t>
        </is>
      </c>
      <c r="D1890" s="9" t="inlineStr">
        <is>
          <t>Cần quét Bio Fanpage</t>
        </is>
      </c>
      <c r="E1890" s="59" t="inlineStr">
        <is>
          <t>26/09/2026 06:55:57</t>
        </is>
      </c>
      <c r="F1890" s="59" t="inlineStr">
        <is>
          <t>2 tuần trước</t>
        </is>
      </c>
      <c r="G1890" s="61" t="n">
        <v>14</v>
      </c>
      <c r="H1890" s="62" t="n">
        <v>15</v>
      </c>
      <c r="I1890" s="9" t="inlineStr">
        <is>
          <t>Pet Owner / Cộng đồng nuôi cún (10đ)</t>
        </is>
      </c>
      <c r="J1890" s="62" t="n">
        <v>10</v>
      </c>
      <c r="K1890" s="9" t="inlineStr">
        <is>
          <t>Chưa rõ giống (Cần quét Bio)</t>
        </is>
      </c>
      <c r="L1890" s="62" t="n">
        <v>0</v>
      </c>
      <c r="M1890" s="62" t="n">
        <v>0</v>
      </c>
      <c r="N1890" s="9" t="inlineStr">
        <is>
          <t>Amazon link not found</t>
        </is>
      </c>
      <c r="O1890" s="62">
        <f>IF(N1890="Selling pet toys + Artificial grass/Pet toilets (TARGET)",15,IF(N1890="Selling artificial grass/pet toilets (TARGET)",10,IF(N1890="Selling pet toys",7,IF(N1890="There's an Amazon link, but no target sales.",3,0))))</f>
        <v/>
      </c>
      <c r="P1890" s="67">
        <f>H1890+J1890+L1890+M1890+O1890</f>
        <v/>
      </c>
      <c r="Q1890" s="68">
        <f>IF(OR(H1890=0,P1890&lt;30),"Tier D (Đóng băng)",IF(P1890&gt;=85,"Tier S (Kim Cương: 85-100đ)",IF(P1890&gt;=70,"Tier A (Vàng: 70-84đ)",IF(P1890&gt;=61,"Tier B+ / Cấp A (Hot Lead: 61-69đ)",IF(P1890&gt;=50,"Tier B (Bạc: 50-60đ)","Tier C (Đồng: 30-49đ)")))))</f>
        <v/>
      </c>
      <c r="R1890" s="9" t="inlineStr">
        <is>
          <t>Khay vệ sinh chung cư (Indoor Potty) + Thảm cỏ ban công (Grass Patch) + Đồ chơi</t>
        </is>
      </c>
      <c r="S1890" s="9" t="inlineStr">
        <is>
          <t>Đóng băng tương tác (&gt;30 ngày): Lưu trữ chờ kích hoạt lại, không tốn tài nguyên Sales</t>
        </is>
      </c>
    </row>
    <row r="1891">
      <c r="A1891" s="53" t="n">
        <v>2685</v>
      </c>
      <c r="B1891" s="12" t="inlineStr">
        <is>
          <t>Rachel the Dog Trainer For You</t>
        </is>
      </c>
      <c r="C1891" s="54" t="inlineStr">
        <is>
          <t>https://www.facebook.com/rachelthedogtrainerforyou</t>
        </is>
      </c>
      <c r="D1891" s="6" t="inlineStr">
        <is>
          <t>Cần quét Bio Fanpage</t>
        </is>
      </c>
      <c r="E1891" s="53" t="inlineStr">
        <is>
          <t>26/09/2026 04:39:43</t>
        </is>
      </c>
      <c r="F1891" s="53" t="inlineStr">
        <is>
          <t>2 tuần trước</t>
        </is>
      </c>
      <c r="G1891" s="55" t="n">
        <v>14</v>
      </c>
      <c r="H1891" s="56" t="n">
        <v>15</v>
      </c>
      <c r="I1891" s="6" t="inlineStr">
        <is>
          <t>Pet Owner / Kênh cá nhân thú cưng (10đ)</t>
        </is>
      </c>
      <c r="J1891" s="56" t="n">
        <v>10</v>
      </c>
      <c r="K1891" s="6" t="inlineStr">
        <is>
          <t>Chưa rõ giống (Cần quét Bio)</t>
        </is>
      </c>
      <c r="L1891" s="56" t="n">
        <v>0</v>
      </c>
      <c r="M1891" s="56" t="n">
        <v>0</v>
      </c>
      <c r="N1891" s="6" t="inlineStr">
        <is>
          <t>Amazon link not found</t>
        </is>
      </c>
      <c r="O1891" s="56">
        <f>IF(N1891="Selling pet toys + Artificial grass/Pet toilets (TARGET)",15,IF(N1891="Selling artificial grass/pet toilets (TARGET)",10,IF(N1891="Selling pet toys",7,IF(N1891="There's an Amazon link, but no target sales.",3,0))))</f>
        <v/>
      </c>
      <c r="P1891" s="65">
        <f>H1891+J1891+L1891+M1891+O1891</f>
        <v/>
      </c>
      <c r="Q1891" s="68">
        <f>IF(OR(H1891=0,P1891&lt;30),"Tier D (Đóng băng)",IF(P1891&gt;=85,"Tier S (Kim Cương: 85-100đ)",IF(P1891&gt;=70,"Tier A (Vàng: 70-84đ)",IF(P1891&gt;=61,"Tier B+ / Cấp A (Hot Lead: 61-69đ)",IF(P1891&gt;=50,"Tier B (Bạc: 50-60đ)","Tier C (Đồng: 30-49đ)")))))</f>
        <v/>
      </c>
      <c r="R1891" s="6" t="inlineStr">
        <is>
          <t>Khay vệ sinh trong nhà (Indoor Dog Potty) + Đồ chơi thú cưng lẻ</t>
        </is>
      </c>
      <c r="S1891" s="6" t="inlineStr">
        <is>
          <t>Đóng băng tương tác (&gt;30 ngày): Lưu trữ chờ kích hoạt lại, không tốn tài nguyên Sales</t>
        </is>
      </c>
    </row>
    <row r="1892">
      <c r="A1892" s="59" t="n">
        <v>1370</v>
      </c>
      <c r="B1892" s="15" t="inlineStr">
        <is>
          <t>Fetch Dogs</t>
        </is>
      </c>
      <c r="C1892" s="60" t="inlineStr">
        <is>
          <t>https://www.facebook.com/fetch.dogs.5</t>
        </is>
      </c>
      <c r="D1892" s="9" t="inlineStr">
        <is>
          <t>Cần quét Bio Fanpage</t>
        </is>
      </c>
      <c r="E1892" s="59" t="inlineStr">
        <is>
          <t>25/09/2026 21:46:09</t>
        </is>
      </c>
      <c r="F1892" s="59" t="inlineStr">
        <is>
          <t>2 tuần trước</t>
        </is>
      </c>
      <c r="G1892" s="61" t="n">
        <v>14</v>
      </c>
      <c r="H1892" s="62" t="n">
        <v>15</v>
      </c>
      <c r="I1892" s="9" t="inlineStr">
        <is>
          <t>Pet Owner / Cộng đồng nuôi cún (10đ)</t>
        </is>
      </c>
      <c r="J1892" s="62" t="n">
        <v>10</v>
      </c>
      <c r="K1892" s="9" t="inlineStr">
        <is>
          <t>Chưa rõ giống (Cần quét Bio)</t>
        </is>
      </c>
      <c r="L1892" s="62" t="n">
        <v>0</v>
      </c>
      <c r="M1892" s="62" t="n">
        <v>0</v>
      </c>
      <c r="N1892" s="9" t="inlineStr">
        <is>
          <t>Amazon link not found</t>
        </is>
      </c>
      <c r="O1892" s="62">
        <f>IF(N1892="Selling pet toys + Artificial grass/Pet toilets (TARGET)",15,IF(N1892="Selling artificial grass/pet toilets (TARGET)",10,IF(N1892="Selling pet toys",7,IF(N1892="There's an Amazon link, but no target sales.",3,0))))</f>
        <v/>
      </c>
      <c r="P1892" s="67">
        <f>H1892+J1892+L1892+M1892+O1892</f>
        <v/>
      </c>
      <c r="Q1892" s="68">
        <f>IF(OR(H1892=0,P1892&lt;30),"Tier D (Đóng băng)",IF(P1892&gt;=85,"Tier S (Kim Cương: 85-100đ)",IF(P1892&gt;=70,"Tier A (Vàng: 70-84đ)",IF(P1892&gt;=61,"Tier B+ / Cấp A (Hot Lead: 61-69đ)",IF(P1892&gt;=50,"Tier B (Bạc: 50-60đ)","Tier C (Đồng: 30-49đ)")))))</f>
        <v/>
      </c>
      <c r="R1892" s="9" t="inlineStr">
        <is>
          <t>Khay vệ sinh chung cư (Indoor Potty) + Thảm cỏ ban công (Grass Patch) + Đồ chơi</t>
        </is>
      </c>
      <c r="S1892" s="9" t="inlineStr">
        <is>
          <t>Đóng băng tương tác (&gt;30 ngày): Lưu trữ chờ kích hoạt lại, không tốn tài nguyên Sales</t>
        </is>
      </c>
    </row>
    <row r="1893">
      <c r="A1893" s="53" t="n">
        <v>1012</v>
      </c>
      <c r="B1893" s="12" t="inlineStr">
        <is>
          <t>Dean's Dogs</t>
        </is>
      </c>
      <c r="C1893" s="54" t="inlineStr">
        <is>
          <t>https://www.facebook.com/rescuedeansdogs</t>
        </is>
      </c>
      <c r="D1893" s="6" t="inlineStr">
        <is>
          <t>Cần quét Bio Fanpage</t>
        </is>
      </c>
      <c r="E1893" s="53" t="inlineStr">
        <is>
          <t>25/09/2026 18:43:13</t>
        </is>
      </c>
      <c r="F1893" s="53" t="inlineStr">
        <is>
          <t>2 tuần trước</t>
        </is>
      </c>
      <c r="G1893" s="55" t="n">
        <v>14</v>
      </c>
      <c r="H1893" s="56" t="n">
        <v>15</v>
      </c>
      <c r="I1893" s="6" t="inlineStr">
        <is>
          <t>Pet Owner / Cộng đồng nuôi cún (10đ)</t>
        </is>
      </c>
      <c r="J1893" s="56" t="n">
        <v>10</v>
      </c>
      <c r="K1893" s="6" t="inlineStr">
        <is>
          <t>Chưa rõ giống (Cần quét Bio)</t>
        </is>
      </c>
      <c r="L1893" s="56" t="n">
        <v>0</v>
      </c>
      <c r="M1893" s="56" t="n">
        <v>0</v>
      </c>
      <c r="N1893" s="6" t="inlineStr">
        <is>
          <t>Amazon link not found</t>
        </is>
      </c>
      <c r="O1893" s="56">
        <f>IF(N1893="Selling pet toys + Artificial grass/Pet toilets (TARGET)",15,IF(N1893="Selling artificial grass/pet toilets (TARGET)",10,IF(N1893="Selling pet toys",7,IF(N1893="There's an Amazon link, but no target sales.",3,0))))</f>
        <v/>
      </c>
      <c r="P1893" s="65">
        <f>H1893+J1893+L1893+M1893+O1893</f>
        <v/>
      </c>
      <c r="Q1893" s="68">
        <f>IF(OR(H1893=0,P1893&lt;30),"Tier D (Đóng băng)",IF(P1893&gt;=85,"Tier S (Kim Cương: 85-100đ)",IF(P1893&gt;=70,"Tier A (Vàng: 70-84đ)",IF(P1893&gt;=61,"Tier B+ / Cấp A (Hot Lead: 61-69đ)",IF(P1893&gt;=50,"Tier B (Bạc: 50-60đ)","Tier C (Đồng: 30-49đ)")))))</f>
        <v/>
      </c>
      <c r="R1893" s="6" t="inlineStr">
        <is>
          <t>Khay vệ sinh chung cư (Indoor Potty) + Thảm cỏ ban công (Grass Patch) + Đồ chơi</t>
        </is>
      </c>
      <c r="S1893" s="6" t="inlineStr">
        <is>
          <t>Đóng băng tương tác (&gt;30 ngày): Lưu trữ chờ kích hoạt lại, không tốn tài nguyên Sales</t>
        </is>
      </c>
    </row>
    <row r="1894">
      <c r="A1894" s="59" t="n">
        <v>1228</v>
      </c>
      <c r="B1894" s="15" t="inlineStr">
        <is>
          <t>Dracula Dog Show</t>
        </is>
      </c>
      <c r="C1894" s="60" t="inlineStr">
        <is>
          <t>https://www.facebook.com/profile.php?id=100064566284148</t>
        </is>
      </c>
      <c r="D1894" s="9" t="inlineStr">
        <is>
          <t>Cần quét Bio Fanpage</t>
        </is>
      </c>
      <c r="E1894" s="59" t="inlineStr">
        <is>
          <t>25/09/2026 13:36:59</t>
        </is>
      </c>
      <c r="F1894" s="59" t="inlineStr">
        <is>
          <t>2 tuần trước</t>
        </is>
      </c>
      <c r="G1894" s="61" t="n">
        <v>14</v>
      </c>
      <c r="H1894" s="62" t="n">
        <v>15</v>
      </c>
      <c r="I1894" s="9" t="inlineStr">
        <is>
          <t>Pet Owner / Cộng đồng nuôi cún (10đ)</t>
        </is>
      </c>
      <c r="J1894" s="62" t="n">
        <v>10</v>
      </c>
      <c r="K1894" s="9" t="inlineStr">
        <is>
          <t>Chưa rõ giống (Cần quét Bio)</t>
        </is>
      </c>
      <c r="L1894" s="62" t="n">
        <v>0</v>
      </c>
      <c r="M1894" s="62" t="n">
        <v>0</v>
      </c>
      <c r="N1894" s="9" t="inlineStr">
        <is>
          <t>Amazon link not found</t>
        </is>
      </c>
      <c r="O1894" s="62">
        <f>IF(N1894="Selling pet toys + Artificial grass/Pet toilets (TARGET)",15,IF(N1894="Selling artificial grass/pet toilets (TARGET)",10,IF(N1894="Selling pet toys",7,IF(N1894="There's an Amazon link, but no target sales.",3,0))))</f>
        <v/>
      </c>
      <c r="P1894" s="67">
        <f>H1894+J1894+L1894+M1894+O1894</f>
        <v/>
      </c>
      <c r="Q1894" s="68">
        <f>IF(OR(H1894=0,P1894&lt;30),"Tier D (Đóng băng)",IF(P1894&gt;=85,"Tier S (Kim Cương: 85-100đ)",IF(P1894&gt;=70,"Tier A (Vàng: 70-84đ)",IF(P1894&gt;=61,"Tier B+ / Cấp A (Hot Lead: 61-69đ)",IF(P1894&gt;=50,"Tier B (Bạc: 50-60đ)","Tier C (Đồng: 30-49đ)")))))</f>
        <v/>
      </c>
      <c r="R1894" s="9" t="inlineStr">
        <is>
          <t>Khay vệ sinh chung cư (Indoor Potty) + Thảm cỏ ban công (Grass Patch) + Đồ chơi</t>
        </is>
      </c>
      <c r="S1894" s="9" t="inlineStr">
        <is>
          <t>Đóng băng tương tác (&gt;30 ngày): Lưu trữ chờ kích hoạt lại, không tốn tài nguyên Sales</t>
        </is>
      </c>
    </row>
    <row r="1895">
      <c r="A1895" s="53" t="n">
        <v>1606</v>
      </c>
      <c r="B1895" s="12" t="inlineStr">
        <is>
          <t>Happy Dog League</t>
        </is>
      </c>
      <c r="C1895" s="54" t="inlineStr">
        <is>
          <t>https://www.facebook.com/happydogleague</t>
        </is>
      </c>
      <c r="D1895" s="6" t="inlineStr">
        <is>
          <t>Cần quét Bio Fanpage</t>
        </is>
      </c>
      <c r="E1895" s="53" t="inlineStr">
        <is>
          <t>25/09/2026 08:03:11</t>
        </is>
      </c>
      <c r="F1895" s="53" t="inlineStr">
        <is>
          <t>2 tuần trước</t>
        </is>
      </c>
      <c r="G1895" s="55" t="n">
        <v>14</v>
      </c>
      <c r="H1895" s="56" t="n">
        <v>15</v>
      </c>
      <c r="I1895" s="6" t="inlineStr">
        <is>
          <t>Pet Owner / Cộng đồng nuôi cún (10đ)</t>
        </is>
      </c>
      <c r="J1895" s="56" t="n">
        <v>10</v>
      </c>
      <c r="K1895" s="6" t="inlineStr">
        <is>
          <t>Chưa rõ giống (Cần quét Bio)</t>
        </is>
      </c>
      <c r="L1895" s="56" t="n">
        <v>0</v>
      </c>
      <c r="M1895" s="56" t="n">
        <v>0</v>
      </c>
      <c r="N1895" s="6" t="inlineStr">
        <is>
          <t>Amazon link not found</t>
        </is>
      </c>
      <c r="O1895" s="56">
        <f>IF(N1895="Selling pet toys + Artificial grass/Pet toilets (TARGET)",15,IF(N1895="Selling artificial grass/pet toilets (TARGET)",10,IF(N1895="Selling pet toys",7,IF(N1895="There's an Amazon link, but no target sales.",3,0))))</f>
        <v/>
      </c>
      <c r="P1895" s="65">
        <f>H1895+J1895+L1895+M1895+O1895</f>
        <v/>
      </c>
      <c r="Q1895" s="68">
        <f>IF(OR(H1895=0,P1895&lt;30),"Tier D (Đóng băng)",IF(P1895&gt;=85,"Tier S (Kim Cương: 85-100đ)",IF(P1895&gt;=70,"Tier A (Vàng: 70-84đ)",IF(P1895&gt;=61,"Tier B+ / Cấp A (Hot Lead: 61-69đ)",IF(P1895&gt;=50,"Tier B (Bạc: 50-60đ)","Tier C (Đồng: 30-49đ)")))))</f>
        <v/>
      </c>
      <c r="R1895" s="6" t="inlineStr">
        <is>
          <t>Khay vệ sinh chung cư (Indoor Potty) + Thảm cỏ ban công (Grass Patch) + Đồ chơi</t>
        </is>
      </c>
      <c r="S1895" s="6" t="inlineStr">
        <is>
          <t>Đóng băng tương tác (&gt;30 ngày): Lưu trữ chờ kích hoạt lại, không tốn tài nguyên Sales</t>
        </is>
      </c>
    </row>
    <row r="1896">
      <c r="A1896" s="59" t="n">
        <v>981</v>
      </c>
      <c r="B1896" s="15" t="inlineStr">
        <is>
          <t>Cute Dogs</t>
        </is>
      </c>
      <c r="C1896" s="60" t="inlineStr">
        <is>
          <t>https://www.facebook.com/cutenessdogs</t>
        </is>
      </c>
      <c r="D1896" s="9" t="inlineStr">
        <is>
          <t>Cần quét Bio Fanpage</t>
        </is>
      </c>
      <c r="E1896" s="59" t="inlineStr">
        <is>
          <t>25/09/2026 01:00:58</t>
        </is>
      </c>
      <c r="F1896" s="59" t="inlineStr">
        <is>
          <t>2 tuần trước</t>
        </is>
      </c>
      <c r="G1896" s="61" t="n">
        <v>14</v>
      </c>
      <c r="H1896" s="62" t="n">
        <v>15</v>
      </c>
      <c r="I1896" s="9" t="inlineStr">
        <is>
          <t>Pet Owner / Cộng đồng nuôi cún (10đ)</t>
        </is>
      </c>
      <c r="J1896" s="62" t="n">
        <v>10</v>
      </c>
      <c r="K1896" s="9" t="inlineStr">
        <is>
          <t>Chưa rõ giống (Cần quét Bio)</t>
        </is>
      </c>
      <c r="L1896" s="62" t="n">
        <v>0</v>
      </c>
      <c r="M1896" s="62" t="n">
        <v>0</v>
      </c>
      <c r="N1896" s="9" t="inlineStr">
        <is>
          <t>Amazon link not found</t>
        </is>
      </c>
      <c r="O1896" s="62">
        <f>IF(N1896="Selling pet toys + Artificial grass/Pet toilets (TARGET)",15,IF(N1896="Selling artificial grass/pet toilets (TARGET)",10,IF(N1896="Selling pet toys",7,IF(N1896="There's an Amazon link, but no target sales.",3,0))))</f>
        <v/>
      </c>
      <c r="P1896" s="67">
        <f>H1896+J1896+L1896+M1896+O1896</f>
        <v/>
      </c>
      <c r="Q1896" s="68">
        <f>IF(OR(H1896=0,P1896&lt;30),"Tier D (Đóng băng)",IF(P1896&gt;=85,"Tier S (Kim Cương: 85-100đ)",IF(P1896&gt;=70,"Tier A (Vàng: 70-84đ)",IF(P1896&gt;=61,"Tier B+ / Cấp A (Hot Lead: 61-69đ)",IF(P1896&gt;=50,"Tier B (Bạc: 50-60đ)","Tier C (Đồng: 30-49đ)")))))</f>
        <v/>
      </c>
      <c r="R1896" s="9" t="inlineStr">
        <is>
          <t>Khay vệ sinh chung cư (Indoor Potty) + Thảm cỏ ban công (Grass Patch) + Đồ chơi</t>
        </is>
      </c>
      <c r="S1896" s="9" t="inlineStr">
        <is>
          <t>Đóng băng tương tác (&gt;30 ngày): Lưu trữ chờ kích hoạt lại, không tốn tài nguyên Sales</t>
        </is>
      </c>
    </row>
    <row r="1897">
      <c r="A1897" s="53" t="n">
        <v>2211</v>
      </c>
      <c r="B1897" s="12" t="inlineStr">
        <is>
          <t>Morena Fecchio Mystarbulldogs</t>
        </is>
      </c>
      <c r="C1897" s="54" t="inlineStr">
        <is>
          <t>https://www.facebook.com/morena.fecchio</t>
        </is>
      </c>
      <c r="D1897" s="6" t="inlineStr">
        <is>
          <t>Cần quét Bio Fanpage</t>
        </is>
      </c>
      <c r="E1897" s="53" t="inlineStr">
        <is>
          <t>24/09/2026 21:20:10</t>
        </is>
      </c>
      <c r="F1897" s="53" t="inlineStr">
        <is>
          <t>2 tuần trước</t>
        </is>
      </c>
      <c r="G1897" s="55" t="n">
        <v>14</v>
      </c>
      <c r="H1897" s="56" t="n">
        <v>15</v>
      </c>
      <c r="I1897" s="6" t="inlineStr">
        <is>
          <t>Pet Owner / Cộng đồng nuôi cún (10đ)</t>
        </is>
      </c>
      <c r="J1897" s="56" t="n">
        <v>10</v>
      </c>
      <c r="K1897" s="6" t="inlineStr">
        <is>
          <t>Chưa rõ giống (Cần quét Bio)</t>
        </is>
      </c>
      <c r="L1897" s="56" t="n">
        <v>0</v>
      </c>
      <c r="M1897" s="56" t="n">
        <v>0</v>
      </c>
      <c r="N1897" s="6" t="inlineStr">
        <is>
          <t>Amazon link not found</t>
        </is>
      </c>
      <c r="O1897" s="56">
        <f>IF(N1897="Selling pet toys + Artificial grass/Pet toilets (TARGET)",15,IF(N1897="Selling artificial grass/pet toilets (TARGET)",10,IF(N1897="Selling pet toys",7,IF(N1897="There's an Amazon link, but no target sales.",3,0))))</f>
        <v/>
      </c>
      <c r="P1897" s="65">
        <f>H1897+J1897+L1897+M1897+O1897</f>
        <v/>
      </c>
      <c r="Q1897" s="68">
        <f>IF(OR(H1897=0,P1897&lt;30),"Tier D (Đóng băng)",IF(P1897&gt;=85,"Tier S (Kim Cương: 85-100đ)",IF(P1897&gt;=70,"Tier A (Vàng: 70-84đ)",IF(P1897&gt;=61,"Tier B+ / Cấp A (Hot Lead: 61-69đ)",IF(P1897&gt;=50,"Tier B (Bạc: 50-60đ)","Tier C (Đồng: 30-49đ)")))))</f>
        <v/>
      </c>
      <c r="R1897" s="6" t="inlineStr">
        <is>
          <t>Khay vệ sinh chung cư (Indoor Potty) + Thảm cỏ ban công (Grass Patch) + Đồ chơi</t>
        </is>
      </c>
      <c r="S1897" s="6" t="inlineStr">
        <is>
          <t>Đóng băng tương tác (&gt;30 ngày): Lưu trữ chờ kích hoạt lại, không tốn tài nguyên Sales</t>
        </is>
      </c>
    </row>
    <row r="1898">
      <c r="A1898" s="59" t="n">
        <v>3381</v>
      </c>
      <c r="B1898" s="15" t="inlineStr">
        <is>
          <t>Websters Natural Dog Food</t>
        </is>
      </c>
      <c r="C1898" s="60" t="inlineStr">
        <is>
          <t>https://www.facebook.com/webstersnaturaldogfood</t>
        </is>
      </c>
      <c r="D1898" s="9" t="inlineStr">
        <is>
          <t>Cần quét Bio Fanpage</t>
        </is>
      </c>
      <c r="E1898" s="59" t="inlineStr">
        <is>
          <t>24/09/2026 19:42:37</t>
        </is>
      </c>
      <c r="F1898" s="59" t="inlineStr">
        <is>
          <t>2 tuần trước</t>
        </is>
      </c>
      <c r="G1898" s="61" t="n">
        <v>14</v>
      </c>
      <c r="H1898" s="62" t="n">
        <v>15</v>
      </c>
      <c r="I1898" s="9" t="inlineStr">
        <is>
          <t>Pet Owner / Cộng đồng nuôi cún (10đ)</t>
        </is>
      </c>
      <c r="J1898" s="62" t="n">
        <v>10</v>
      </c>
      <c r="K1898" s="9" t="inlineStr">
        <is>
          <t>Chưa rõ giống (Cần quét Bio)</t>
        </is>
      </c>
      <c r="L1898" s="62" t="n">
        <v>0</v>
      </c>
      <c r="M1898" s="62" t="n">
        <v>0</v>
      </c>
      <c r="N1898" s="9" t="inlineStr">
        <is>
          <t>Amazon link not found</t>
        </is>
      </c>
      <c r="O1898" s="62">
        <f>IF(N1898="Selling pet toys + Artificial grass/Pet toilets (TARGET)",15,IF(N1898="Selling artificial grass/pet toilets (TARGET)",10,IF(N1898="Selling pet toys",7,IF(N1898="There's an Amazon link, but no target sales.",3,0))))</f>
        <v/>
      </c>
      <c r="P1898" s="67">
        <f>H1898+J1898+L1898+M1898+O1898</f>
        <v/>
      </c>
      <c r="Q1898" s="68">
        <f>IF(OR(H1898=0,P1898&lt;30),"Tier D (Đóng băng)",IF(P1898&gt;=85,"Tier S (Kim Cương: 85-100đ)",IF(P1898&gt;=70,"Tier A (Vàng: 70-84đ)",IF(P1898&gt;=61,"Tier B+ / Cấp A (Hot Lead: 61-69đ)",IF(P1898&gt;=50,"Tier B (Bạc: 50-60đ)","Tier C (Đồng: 30-49đ)")))))</f>
        <v/>
      </c>
      <c r="R1898" s="9" t="inlineStr">
        <is>
          <t>Khay vệ sinh chung cư (Indoor Potty) + Thảm cỏ ban công (Grass Patch) + Đồ chơi</t>
        </is>
      </c>
      <c r="S1898" s="9" t="inlineStr">
        <is>
          <t>Đóng băng tương tác (&gt;30 ngày): Lưu trữ chờ kích hoạt lại, không tốn tài nguyên Sales</t>
        </is>
      </c>
    </row>
    <row r="1899">
      <c r="A1899" s="53" t="n">
        <v>2312</v>
      </c>
      <c r="B1899" s="12" t="inlineStr">
        <is>
          <t>North Georgia All Breed Herding Dog Association</t>
        </is>
      </c>
      <c r="C1899" s="54" t="inlineStr">
        <is>
          <t>https://www.facebook.com/NGABHDA</t>
        </is>
      </c>
      <c r="D1899" s="6" t="inlineStr">
        <is>
          <t>Cần quét Bio Fanpage</t>
        </is>
      </c>
      <c r="E1899" s="53" t="inlineStr">
        <is>
          <t>24/09/2026 04:14:01</t>
        </is>
      </c>
      <c r="F1899" s="53" t="inlineStr">
        <is>
          <t>2 tuần trước</t>
        </is>
      </c>
      <c r="G1899" s="55" t="n">
        <v>14</v>
      </c>
      <c r="H1899" s="56" t="n">
        <v>15</v>
      </c>
      <c r="I1899" s="6" t="inlineStr">
        <is>
          <t>Pet Owner / Cộng đồng nuôi cún (10đ)</t>
        </is>
      </c>
      <c r="J1899" s="56" t="n">
        <v>10</v>
      </c>
      <c r="K1899" s="6" t="inlineStr">
        <is>
          <t>Chưa rõ giống (Cần quét Bio)</t>
        </is>
      </c>
      <c r="L1899" s="56" t="n">
        <v>0</v>
      </c>
      <c r="M1899" s="56" t="n">
        <v>0</v>
      </c>
      <c r="N1899" s="6" t="inlineStr">
        <is>
          <t>Amazon link not found</t>
        </is>
      </c>
      <c r="O1899" s="56">
        <f>IF(N1899="Selling pet toys + Artificial grass/Pet toilets (TARGET)",15,IF(N1899="Selling artificial grass/pet toilets (TARGET)",10,IF(N1899="Selling pet toys",7,IF(N1899="There's an Amazon link, but no target sales.",3,0))))</f>
        <v/>
      </c>
      <c r="P1899" s="65">
        <f>H1899+J1899+L1899+M1899+O1899</f>
        <v/>
      </c>
      <c r="Q1899" s="68">
        <f>IF(OR(H1899=0,P1899&lt;30),"Tier D (Đóng băng)",IF(P1899&gt;=85,"Tier S (Kim Cương: 85-100đ)",IF(P1899&gt;=70,"Tier A (Vàng: 70-84đ)",IF(P1899&gt;=61,"Tier B+ / Cấp A (Hot Lead: 61-69đ)",IF(P1899&gt;=50,"Tier B (Bạc: 50-60đ)","Tier C (Đồng: 30-49đ)")))))</f>
        <v/>
      </c>
      <c r="R1899" s="6" t="inlineStr">
        <is>
          <t>Khay vệ sinh chung cư (Indoor Potty) + Thảm cỏ ban công (Grass Patch) + Đồ chơi</t>
        </is>
      </c>
      <c r="S1899" s="6" t="inlineStr">
        <is>
          <t>Đóng băng tương tác (&gt;30 ngày): Lưu trữ chờ kích hoạt lại, không tốn tài nguyên Sales</t>
        </is>
      </c>
    </row>
    <row r="1900">
      <c r="A1900" s="59" t="n">
        <v>1308</v>
      </c>
      <c r="B1900" s="15" t="inlineStr">
        <is>
          <t>Exotic Pets- Billings, MT</t>
        </is>
      </c>
      <c r="C1900" s="60" t="inlineStr">
        <is>
          <t>https://www.facebook.com/BillingsBestPets</t>
        </is>
      </c>
      <c r="D1900" s="9" t="inlineStr">
        <is>
          <t>Cần quét Bio Fanpage</t>
        </is>
      </c>
      <c r="E1900" s="59" t="inlineStr">
        <is>
          <t>23/09/2026 00:58:24</t>
        </is>
      </c>
      <c r="F1900" s="59" t="inlineStr">
        <is>
          <t>2 tuần trước</t>
        </is>
      </c>
      <c r="G1900" s="61" t="n">
        <v>14</v>
      </c>
      <c r="H1900" s="62" t="n">
        <v>15</v>
      </c>
      <c r="I1900" s="9" t="inlineStr">
        <is>
          <t>Pet Owner / Cộng đồng nuôi cún (10đ)</t>
        </is>
      </c>
      <c r="J1900" s="62" t="n">
        <v>10</v>
      </c>
      <c r="K1900" s="9" t="inlineStr">
        <is>
          <t>Chưa rõ giống (Cần quét Bio)</t>
        </is>
      </c>
      <c r="L1900" s="62" t="n">
        <v>0</v>
      </c>
      <c r="M1900" s="62" t="n">
        <v>0</v>
      </c>
      <c r="N1900" s="9" t="inlineStr">
        <is>
          <t>Amazon link not found</t>
        </is>
      </c>
      <c r="O1900" s="62">
        <f>IF(N1900="Selling pet toys + Artificial grass/Pet toilets (TARGET)",15,IF(N1900="Selling artificial grass/pet toilets (TARGET)",10,IF(N1900="Selling pet toys",7,IF(N1900="There's an Amazon link, but no target sales.",3,0))))</f>
        <v/>
      </c>
      <c r="P1900" s="67">
        <f>H1900+J1900+L1900+M1900+O1900</f>
        <v/>
      </c>
      <c r="Q1900" s="68">
        <f>IF(OR(H1900=0,P1900&lt;30),"Tier D (Đóng băng)",IF(P1900&gt;=85,"Tier S (Kim Cương: 85-100đ)",IF(P1900&gt;=70,"Tier A (Vàng: 70-84đ)",IF(P1900&gt;=61,"Tier B+ / Cấp A (Hot Lead: 61-69đ)",IF(P1900&gt;=50,"Tier B (Bạc: 50-60đ)","Tier C (Đồng: 30-49đ)")))))</f>
        <v/>
      </c>
      <c r="R1900" s="9" t="inlineStr">
        <is>
          <t>Khay vệ sinh chung cư (Indoor Potty) + Thảm cỏ ban công (Grass Patch) + Đồ chơi</t>
        </is>
      </c>
      <c r="S1900" s="9" t="inlineStr">
        <is>
          <t>Đóng băng tương tác (&gt;30 ngày): Lưu trữ chờ kích hoạt lại, không tốn tài nguyên Sales</t>
        </is>
      </c>
    </row>
    <row r="1901">
      <c r="A1901" s="53" t="n">
        <v>2515</v>
      </c>
      <c r="B1901" s="12" t="inlineStr">
        <is>
          <t>PetKind</t>
        </is>
      </c>
      <c r="C1901" s="54" t="inlineStr">
        <is>
          <t>https://www.facebook.com/Petkind</t>
        </is>
      </c>
      <c r="D1901" s="6" t="inlineStr">
        <is>
          <t>Cần quét Bio Fanpage</t>
        </is>
      </c>
      <c r="E1901" s="53" t="inlineStr">
        <is>
          <t>23/09/2026 00:30:55</t>
        </is>
      </c>
      <c r="F1901" s="53" t="inlineStr">
        <is>
          <t>2 tuần trước</t>
        </is>
      </c>
      <c r="G1901" s="55" t="n">
        <v>14</v>
      </c>
      <c r="H1901" s="56" t="n">
        <v>15</v>
      </c>
      <c r="I1901" s="6" t="inlineStr">
        <is>
          <t>Pet Owner / Cộng đồng nuôi cún (10đ)</t>
        </is>
      </c>
      <c r="J1901" s="56" t="n">
        <v>10</v>
      </c>
      <c r="K1901" s="6" t="inlineStr">
        <is>
          <t>Chưa rõ giống (Cần quét Bio)</t>
        </is>
      </c>
      <c r="L1901" s="56" t="n">
        <v>0</v>
      </c>
      <c r="M1901" s="56" t="n">
        <v>0</v>
      </c>
      <c r="N1901" s="6" t="inlineStr">
        <is>
          <t>Amazon link not found</t>
        </is>
      </c>
      <c r="O1901" s="56">
        <f>IF(N1901="Selling pet toys + Artificial grass/Pet toilets (TARGET)",15,IF(N1901="Selling artificial grass/pet toilets (TARGET)",10,IF(N1901="Selling pet toys",7,IF(N1901="There's an Amazon link, but no target sales.",3,0))))</f>
        <v/>
      </c>
      <c r="P1901" s="65">
        <f>H1901+J1901+L1901+M1901+O1901</f>
        <v/>
      </c>
      <c r="Q1901" s="68">
        <f>IF(OR(H1901=0,P1901&lt;30),"Tier D (Đóng băng)",IF(P1901&gt;=85,"Tier S (Kim Cương: 85-100đ)",IF(P1901&gt;=70,"Tier A (Vàng: 70-84đ)",IF(P1901&gt;=61,"Tier B+ / Cấp A (Hot Lead: 61-69đ)",IF(P1901&gt;=50,"Tier B (Bạc: 50-60đ)","Tier C (Đồng: 30-49đ)")))))</f>
        <v/>
      </c>
      <c r="R1901" s="6" t="inlineStr">
        <is>
          <t>Khay vệ sinh chung cư (Indoor Potty) + Thảm cỏ ban công (Grass Patch) + Đồ chơi</t>
        </is>
      </c>
      <c r="S1901" s="6" t="inlineStr">
        <is>
          <t>Đóng băng tương tác (&gt;30 ngày): Lưu trữ chờ kích hoạt lại, không tốn tài nguyên Sales</t>
        </is>
      </c>
    </row>
    <row r="1902">
      <c r="A1902" s="59" t="n">
        <v>1146</v>
      </c>
      <c r="B1902" s="15" t="inlineStr">
        <is>
          <t>Dognerd - Animal Talent, Casting &amp; Training</t>
        </is>
      </c>
      <c r="C1902" s="60" t="inlineStr">
        <is>
          <t>https://www.facebook.com/dognerdtalent</t>
        </is>
      </c>
      <c r="D1902" s="9" t="inlineStr">
        <is>
          <t>Cần quét Bio Fanpage</t>
        </is>
      </c>
      <c r="E1902" s="59" t="inlineStr">
        <is>
          <t>22/09/2026 21:00:04</t>
        </is>
      </c>
      <c r="F1902" s="59" t="inlineStr">
        <is>
          <t>2 tuần trước</t>
        </is>
      </c>
      <c r="G1902" s="61" t="n">
        <v>14</v>
      </c>
      <c r="H1902" s="62" t="n">
        <v>15</v>
      </c>
      <c r="I1902" s="9" t="inlineStr">
        <is>
          <t>Pet Owner / Kênh cá nhân thú cưng (10đ)</t>
        </is>
      </c>
      <c r="J1902" s="62" t="n">
        <v>10</v>
      </c>
      <c r="K1902" s="9" t="inlineStr">
        <is>
          <t>Chưa rõ giống (Cần quét Bio)</t>
        </is>
      </c>
      <c r="L1902" s="62" t="n">
        <v>0</v>
      </c>
      <c r="M1902" s="62" t="n">
        <v>0</v>
      </c>
      <c r="N1902" s="9" t="inlineStr">
        <is>
          <t>Amazon link not found</t>
        </is>
      </c>
      <c r="O1902" s="62">
        <f>IF(N1902="Selling pet toys + Artificial grass/Pet toilets (TARGET)",15,IF(N1902="Selling artificial grass/pet toilets (TARGET)",10,IF(N1902="Selling pet toys",7,IF(N1902="There's an Amazon link, but no target sales.",3,0))))</f>
        <v/>
      </c>
      <c r="P1902" s="67">
        <f>H1902+J1902+L1902+M1902+O1902</f>
        <v/>
      </c>
      <c r="Q1902" s="68">
        <f>IF(OR(H1902=0,P1902&lt;30),"Tier D (Đóng băng)",IF(P1902&gt;=85,"Tier S (Kim Cương: 85-100đ)",IF(P1902&gt;=70,"Tier A (Vàng: 70-84đ)",IF(P1902&gt;=61,"Tier B+ / Cấp A (Hot Lead: 61-69đ)",IF(P1902&gt;=50,"Tier B (Bạc: 50-60đ)","Tier C (Đồng: 30-49đ)")))))</f>
        <v/>
      </c>
      <c r="R1902" s="9" t="inlineStr">
        <is>
          <t>Khay vệ sinh trong nhà (Indoor Dog Potty) + Đồ chơi thú cưng lẻ</t>
        </is>
      </c>
      <c r="S1902" s="9" t="inlineStr">
        <is>
          <t>Đóng băng tương tác (&gt;30 ngày): Lưu trữ chờ kích hoạt lại, không tốn tài nguyên Sales</t>
        </is>
      </c>
    </row>
    <row r="1903">
      <c r="A1903" s="53" t="n">
        <v>1131</v>
      </c>
      <c r="B1903" s="12" t="inlineStr">
        <is>
          <t>Doggy Playcare</t>
        </is>
      </c>
      <c r="C1903" s="54" t="inlineStr">
        <is>
          <t>https://www.facebook.com/doggyplaycare</t>
        </is>
      </c>
      <c r="D1903" s="6" t="inlineStr">
        <is>
          <t>Cần quét Bio Fanpage</t>
        </is>
      </c>
      <c r="E1903" s="53" t="inlineStr">
        <is>
          <t>22/09/2026 04:33:34</t>
        </is>
      </c>
      <c r="F1903" s="53" t="inlineStr">
        <is>
          <t>2 tuần trước</t>
        </is>
      </c>
      <c r="G1903" s="55" t="n">
        <v>14</v>
      </c>
      <c r="H1903" s="56" t="n">
        <v>15</v>
      </c>
      <c r="I1903" s="6" t="inlineStr">
        <is>
          <t>Pet Owner / Cộng đồng nuôi cún (10đ)</t>
        </is>
      </c>
      <c r="J1903" s="56" t="n">
        <v>10</v>
      </c>
      <c r="K1903" s="6" t="inlineStr">
        <is>
          <t>Chưa rõ giống (Cần quét Bio)</t>
        </is>
      </c>
      <c r="L1903" s="56" t="n">
        <v>0</v>
      </c>
      <c r="M1903" s="56" t="n">
        <v>0</v>
      </c>
      <c r="N1903" s="6" t="inlineStr">
        <is>
          <t>Amazon link not found</t>
        </is>
      </c>
      <c r="O1903" s="56">
        <f>IF(N1903="Selling pet toys + Artificial grass/Pet toilets (TARGET)",15,IF(N1903="Selling artificial grass/pet toilets (TARGET)",10,IF(N1903="Selling pet toys",7,IF(N1903="There's an Amazon link, but no target sales.",3,0))))</f>
        <v/>
      </c>
      <c r="P1903" s="65">
        <f>H1903+J1903+L1903+M1903+O1903</f>
        <v/>
      </c>
      <c r="Q1903" s="68">
        <f>IF(OR(H1903=0,P1903&lt;30),"Tier D (Đóng băng)",IF(P1903&gt;=85,"Tier S (Kim Cương: 85-100đ)",IF(P1903&gt;=70,"Tier A (Vàng: 70-84đ)",IF(P1903&gt;=61,"Tier B+ / Cấp A (Hot Lead: 61-69đ)",IF(P1903&gt;=50,"Tier B (Bạc: 50-60đ)","Tier C (Đồng: 30-49đ)")))))</f>
        <v/>
      </c>
      <c r="R1903" s="6" t="inlineStr">
        <is>
          <t>Khay vệ sinh chung cư (Indoor Potty) + Thảm cỏ ban công (Grass Patch) + Đồ chơi</t>
        </is>
      </c>
      <c r="S1903" s="6" t="inlineStr">
        <is>
          <t>Đóng băng tương tác (&gt;30 ngày): Lưu trữ chờ kích hoạt lại, không tốn tài nguyên Sales</t>
        </is>
      </c>
    </row>
    <row r="1904">
      <c r="A1904" s="59" t="n">
        <v>1859</v>
      </c>
      <c r="B1904" s="15" t="inlineStr">
        <is>
          <t>Kellandbrook Gundogs</t>
        </is>
      </c>
      <c r="C1904" s="60" t="inlineStr">
        <is>
          <t>https://www.facebook.com/kellandbrookGundogs</t>
        </is>
      </c>
      <c r="D1904" s="9" t="inlineStr">
        <is>
          <t>Cần quét Bio Fanpage</t>
        </is>
      </c>
      <c r="E1904" s="59" t="inlineStr">
        <is>
          <t>12/09/2026 14:09:52</t>
        </is>
      </c>
      <c r="F1904" s="59" t="inlineStr">
        <is>
          <t>1 tháng trước</t>
        </is>
      </c>
      <c r="G1904" s="61" t="n">
        <v>30</v>
      </c>
      <c r="H1904" s="62" t="n">
        <v>0</v>
      </c>
      <c r="I1904" s="9" t="inlineStr">
        <is>
          <t>Pet Boarding / Huấn luyện K9 &amp; Dịch vụ (20-22đ)</t>
        </is>
      </c>
      <c r="J1904" s="62" t="n">
        <v>20</v>
      </c>
      <c r="K1904" s="9" t="inlineStr">
        <is>
          <t>Spaniel / Gun Dog / Retriever</t>
        </is>
      </c>
      <c r="L1904" s="62" t="n">
        <v>5</v>
      </c>
      <c r="M1904" s="62" t="n">
        <v>0</v>
      </c>
      <c r="N1904" s="9" t="inlineStr">
        <is>
          <t>Amazon link not found</t>
        </is>
      </c>
      <c r="O1904" s="62">
        <f>IF(N1904="Selling pet toys + Artificial grass/Pet toilets (TARGET)",15,IF(N1904="Selling artificial grass/pet toilets (TARGET)",10,IF(N1904="Selling pet toys",7,IF(N1904="There's an Amazon link, but no target sales.",3,0))))</f>
        <v/>
      </c>
      <c r="P1904" s="67">
        <f>H1904+J1904+L1904+M1904+O1904</f>
        <v/>
      </c>
      <c r="Q1904" s="68">
        <f>IF(OR(H1904=0,P1904&lt;30),"Tier D (Đóng băng)",IF(P1904&gt;=85,"Tier S (Kim Cương: 85-100đ)",IF(P1904&gt;=70,"Tier A (Vàng: 70-84đ)",IF(P1904&gt;=61,"Tier B+ / Cấp A (Hot Lead: 61-69đ)",IF(P1904&gt;=50,"Tier B (Bạc: 50-60đ)","Tier C (Đồng: 30-49đ)")))))</f>
        <v/>
      </c>
      <c r="R1904" s="9" t="inlineStr">
        <is>
          <t>Cỏ nhân tạo sân chơi/huấn luyện (Dog Turf) + Đồ chơi nhai chịu lực (KONG/Chew Toys)</t>
        </is>
      </c>
      <c r="S1904" s="9" t="inlineStr">
        <is>
          <t>Đóng băng tương tác (&gt;30 ngày): Lưu trữ chờ kích hoạt lại, không tốn tài nguyên Sales</t>
        </is>
      </c>
    </row>
    <row r="1905">
      <c r="A1905" s="53" t="n">
        <v>300</v>
      </c>
      <c r="B1905" s="12" t="inlineStr">
        <is>
          <t>12 Gauge Gundogs</t>
        </is>
      </c>
      <c r="C1905" s="54" t="inlineStr">
        <is>
          <t>https://www.facebook.com/profile.php?id=100066815336208</t>
        </is>
      </c>
      <c r="D1905" s="6" t="inlineStr">
        <is>
          <t>Cần quét Bio Fanpage</t>
        </is>
      </c>
      <c r="E1905" s="53" t="inlineStr">
        <is>
          <t>12/09/2026 06:04:04</t>
        </is>
      </c>
      <c r="F1905" s="53" t="inlineStr">
        <is>
          <t>1 tháng trước</t>
        </is>
      </c>
      <c r="G1905" s="55" t="n">
        <v>30</v>
      </c>
      <c r="H1905" s="56" t="n">
        <v>0</v>
      </c>
      <c r="I1905" s="6" t="inlineStr">
        <is>
          <t>Pet Boarding / Huấn luyện K9 &amp; Dịch vụ (20-22đ)</t>
        </is>
      </c>
      <c r="J1905" s="56" t="n">
        <v>20</v>
      </c>
      <c r="K1905" s="6" t="inlineStr">
        <is>
          <t>Spaniel / Gun Dog / Retriever</t>
        </is>
      </c>
      <c r="L1905" s="56" t="n">
        <v>5</v>
      </c>
      <c r="M1905" s="56" t="n">
        <v>0</v>
      </c>
      <c r="N1905" s="6" t="inlineStr">
        <is>
          <t>Amazon link not found</t>
        </is>
      </c>
      <c r="O1905" s="56">
        <f>IF(N1905="Selling pet toys + Artificial grass/Pet toilets (TARGET)",15,IF(N1905="Selling artificial grass/pet toilets (TARGET)",10,IF(N1905="Selling pet toys",7,IF(N1905="There's an Amazon link, but no target sales.",3,0))))</f>
        <v/>
      </c>
      <c r="P1905" s="65">
        <f>H1905+J1905+L1905+M1905+O1905</f>
        <v/>
      </c>
      <c r="Q1905" s="68">
        <f>IF(OR(H1905=0,P1905&lt;30),"Tier D (Đóng băng)",IF(P1905&gt;=85,"Tier S (Kim Cương: 85-100đ)",IF(P1905&gt;=70,"Tier A (Vàng: 70-84đ)",IF(P1905&gt;=61,"Tier B+ / Cấp A (Hot Lead: 61-69đ)",IF(P1905&gt;=50,"Tier B (Bạc: 50-60đ)","Tier C (Đồng: 30-49đ)")))))</f>
        <v/>
      </c>
      <c r="R1905" s="6" t="inlineStr">
        <is>
          <t>Cỏ nhân tạo sân chơi/huấn luyện (Dog Turf) + Đồ chơi nhai chịu lực (KONG/Chew Toys)</t>
        </is>
      </c>
      <c r="S1905" s="6" t="inlineStr">
        <is>
          <t>Đóng băng tương tác (&gt;30 ngày): Lưu trữ chờ kích hoạt lại, không tốn tài nguyên Sales</t>
        </is>
      </c>
    </row>
    <row r="1906">
      <c r="A1906" s="59" t="n">
        <v>3375</v>
      </c>
      <c r="B1906" s="15" t="inlineStr">
        <is>
          <t>Wauniago Gundogs</t>
        </is>
      </c>
      <c r="C1906" s="60" t="inlineStr">
        <is>
          <t>https://www.facebook.com/mikequins1</t>
        </is>
      </c>
      <c r="D1906" s="9" t="inlineStr">
        <is>
          <t>Cần quét Bio Fanpage</t>
        </is>
      </c>
      <c r="E1906" s="59" t="inlineStr">
        <is>
          <t>16/08/2026 16:46:58</t>
        </is>
      </c>
      <c r="F1906" s="59" t="inlineStr">
        <is>
          <t>1 tháng trước</t>
        </is>
      </c>
      <c r="G1906" s="61" t="n">
        <v>30</v>
      </c>
      <c r="H1906" s="62" t="n">
        <v>0</v>
      </c>
      <c r="I1906" s="9" t="inlineStr">
        <is>
          <t>Pet Boarding / Huấn luyện K9 &amp; Dịch vụ (20-22đ)</t>
        </is>
      </c>
      <c r="J1906" s="62" t="n">
        <v>20</v>
      </c>
      <c r="K1906" s="9" t="inlineStr">
        <is>
          <t>Spaniel / Gun Dog / Retriever</t>
        </is>
      </c>
      <c r="L1906" s="62" t="n">
        <v>5</v>
      </c>
      <c r="M1906" s="62" t="n">
        <v>0</v>
      </c>
      <c r="N1906" s="9" t="inlineStr">
        <is>
          <t>Amazon link not found</t>
        </is>
      </c>
      <c r="O1906" s="62">
        <f>IF(N1906="Selling pet toys + Artificial grass/Pet toilets (TARGET)",15,IF(N1906="Selling artificial grass/pet toilets (TARGET)",10,IF(N1906="Selling pet toys",7,IF(N1906="There's an Amazon link, but no target sales.",3,0))))</f>
        <v/>
      </c>
      <c r="P1906" s="67">
        <f>H1906+J1906+L1906+M1906+O1906</f>
        <v/>
      </c>
      <c r="Q1906" s="68">
        <f>IF(OR(H1906=0,P1906&lt;30),"Tier D (Đóng băng)",IF(P1906&gt;=85,"Tier S (Kim Cương: 85-100đ)",IF(P1906&gt;=70,"Tier A (Vàng: 70-84đ)",IF(P1906&gt;=61,"Tier B+ / Cấp A (Hot Lead: 61-69đ)",IF(P1906&gt;=50,"Tier B (Bạc: 50-60đ)","Tier C (Đồng: 30-49đ)")))))</f>
        <v/>
      </c>
      <c r="R1906" s="9" t="inlineStr">
        <is>
          <t>Cỏ nhân tạo sân chơi/huấn luyện (Dog Turf) + Đồ chơi nhai chịu lực (KONG/Chew Toys)</t>
        </is>
      </c>
      <c r="S1906" s="9" t="inlineStr">
        <is>
          <t>Đóng băng tương tác (&gt;30 ngày): Lưu trữ chờ kích hoạt lại, không tốn tài nguyên Sales</t>
        </is>
      </c>
    </row>
    <row r="1907">
      <c r="A1907" s="53" t="n">
        <v>1485</v>
      </c>
      <c r="B1907" s="12" t="inlineStr">
        <is>
          <t>Galloway Gundog Association</t>
        </is>
      </c>
      <c r="C1907" s="54" t="inlineStr">
        <is>
          <t>https://www.facebook.com/gallowaygundogassociation</t>
        </is>
      </c>
      <c r="D1907" s="6" t="inlineStr">
        <is>
          <t>Cần quét Bio Fanpage</t>
        </is>
      </c>
      <c r="E1907" s="53" t="inlineStr">
        <is>
          <t>11/08/2026 00:43:54</t>
        </is>
      </c>
      <c r="F1907" s="53" t="inlineStr">
        <is>
          <t>2 tháng trước</t>
        </is>
      </c>
      <c r="G1907" s="55" t="n">
        <v>60</v>
      </c>
      <c r="H1907" s="56" t="n">
        <v>0</v>
      </c>
      <c r="I1907" s="6" t="inlineStr">
        <is>
          <t>Pet Boarding / Huấn luyện K9 &amp; Dịch vụ (20-22đ)</t>
        </is>
      </c>
      <c r="J1907" s="56" t="n">
        <v>20</v>
      </c>
      <c r="K1907" s="6" t="inlineStr">
        <is>
          <t>Spaniel / Gun Dog / Retriever</t>
        </is>
      </c>
      <c r="L1907" s="56" t="n">
        <v>5</v>
      </c>
      <c r="M1907" s="56" t="n">
        <v>0</v>
      </c>
      <c r="N1907" s="6" t="inlineStr">
        <is>
          <t>Amazon link not found</t>
        </is>
      </c>
      <c r="O1907" s="56">
        <f>IF(N1907="Selling pet toys + Artificial grass/Pet toilets (TARGET)",15,IF(N1907="Selling artificial grass/pet toilets (TARGET)",10,IF(N1907="Selling pet toys",7,IF(N1907="There's an Amazon link, but no target sales.",3,0))))</f>
        <v/>
      </c>
      <c r="P1907" s="65">
        <f>H1907+J1907+L1907+M1907+O1907</f>
        <v/>
      </c>
      <c r="Q1907" s="68">
        <f>IF(OR(H1907=0,P1907&lt;30),"Tier D (Đóng băng)",IF(P1907&gt;=85,"Tier S (Kim Cương: 85-100đ)",IF(P1907&gt;=70,"Tier A (Vàng: 70-84đ)",IF(P1907&gt;=61,"Tier B+ / Cấp A (Hot Lead: 61-69đ)",IF(P1907&gt;=50,"Tier B (Bạc: 50-60đ)","Tier C (Đồng: 30-49đ)")))))</f>
        <v/>
      </c>
      <c r="R1907" s="6" t="inlineStr">
        <is>
          <t>Cỏ nhân tạo sân chơi/huấn luyện (Dog Turf) + Đồ chơi nhai chịu lực (KONG/Chew Toys)</t>
        </is>
      </c>
      <c r="S1907" s="6" t="inlineStr">
        <is>
          <t>Đóng băng tương tác (&gt;30 ngày): Lưu trữ chờ kích hoạt lại, không tốn tài nguyên Sales</t>
        </is>
      </c>
    </row>
    <row r="1908">
      <c r="A1908" s="59" t="n">
        <v>3450</v>
      </c>
      <c r="B1908" s="15" t="inlineStr">
        <is>
          <t>Working Gundogs</t>
        </is>
      </c>
      <c r="C1908" s="60" t="inlineStr">
        <is>
          <t>https://www.facebook.com/workinggundog</t>
        </is>
      </c>
      <c r="D1908" s="9" t="inlineStr">
        <is>
          <t>Cần quét Bio Fanpage</t>
        </is>
      </c>
      <c r="E1908" s="59" t="inlineStr">
        <is>
          <t>27/07/2026 16:57:52</t>
        </is>
      </c>
      <c r="F1908" s="59" t="inlineStr">
        <is>
          <t>2 tháng trước</t>
        </is>
      </c>
      <c r="G1908" s="61" t="n">
        <v>60</v>
      </c>
      <c r="H1908" s="62" t="n">
        <v>0</v>
      </c>
      <c r="I1908" s="9" t="inlineStr">
        <is>
          <t>Pet Boarding / Huấn luyện K9 &amp; Dịch vụ (20-22đ)</t>
        </is>
      </c>
      <c r="J1908" s="62" t="n">
        <v>20</v>
      </c>
      <c r="K1908" s="9" t="inlineStr">
        <is>
          <t>Spaniel / Gun Dog / Retriever</t>
        </is>
      </c>
      <c r="L1908" s="62" t="n">
        <v>5</v>
      </c>
      <c r="M1908" s="62" t="n">
        <v>0</v>
      </c>
      <c r="N1908" s="9" t="inlineStr">
        <is>
          <t>Amazon link not found</t>
        </is>
      </c>
      <c r="O1908" s="62">
        <f>IF(N1908="Selling pet toys + Artificial grass/Pet toilets (TARGET)",15,IF(N1908="Selling artificial grass/pet toilets (TARGET)",10,IF(N1908="Selling pet toys",7,IF(N1908="There's an Amazon link, but no target sales.",3,0))))</f>
        <v/>
      </c>
      <c r="P1908" s="67">
        <f>H1908+J1908+L1908+M1908+O1908</f>
        <v/>
      </c>
      <c r="Q1908" s="68">
        <f>IF(OR(H1908=0,P1908&lt;30),"Tier D (Đóng băng)",IF(P1908&gt;=85,"Tier S (Kim Cương: 85-100đ)",IF(P1908&gt;=70,"Tier A (Vàng: 70-84đ)",IF(P1908&gt;=61,"Tier B+ / Cấp A (Hot Lead: 61-69đ)",IF(P1908&gt;=50,"Tier B (Bạc: 50-60đ)","Tier C (Đồng: 30-49đ)")))))</f>
        <v/>
      </c>
      <c r="R1908" s="9" t="inlineStr">
        <is>
          <t>Cỏ nhân tạo sân chơi/huấn luyện (Dog Turf) + Đồ chơi nhai chịu lực (KONG/Chew Toys)</t>
        </is>
      </c>
      <c r="S1908" s="9" t="inlineStr">
        <is>
          <t>Đóng băng tương tác (&gt;30 ngày): Lưu trữ chờ kích hoạt lại, không tốn tài nguyên Sales</t>
        </is>
      </c>
    </row>
    <row r="1909">
      <c r="A1909" s="53" t="n">
        <v>2758</v>
      </c>
      <c r="B1909" s="12" t="inlineStr">
        <is>
          <t>Riverggins Gundogs</t>
        </is>
      </c>
      <c r="C1909" s="54" t="inlineStr">
        <is>
          <t>https://www.facebook.com/rivergginsgundogs</t>
        </is>
      </c>
      <c r="D1909" s="6" t="inlineStr">
        <is>
          <t>Cần quét Bio Fanpage</t>
        </is>
      </c>
      <c r="E1909" s="53" t="inlineStr">
        <is>
          <t>25/03/2026 18:46:04</t>
        </is>
      </c>
      <c r="F1909" s="53" t="inlineStr">
        <is>
          <t>6 tháng trước</t>
        </is>
      </c>
      <c r="G1909" s="55" t="n">
        <v>180</v>
      </c>
      <c r="H1909" s="56" t="n">
        <v>0</v>
      </c>
      <c r="I1909" s="6" t="inlineStr">
        <is>
          <t>Pet Boarding / Huấn luyện K9 &amp; Dịch vụ (20-22đ)</t>
        </is>
      </c>
      <c r="J1909" s="56" t="n">
        <v>20</v>
      </c>
      <c r="K1909" s="6" t="inlineStr">
        <is>
          <t>Spaniel / Gun Dog / Retriever</t>
        </is>
      </c>
      <c r="L1909" s="56" t="n">
        <v>5</v>
      </c>
      <c r="M1909" s="56" t="n">
        <v>0</v>
      </c>
      <c r="N1909" s="6" t="inlineStr">
        <is>
          <t>Amazon link not found</t>
        </is>
      </c>
      <c r="O1909" s="56">
        <f>IF(N1909="Selling pet toys + Artificial grass/Pet toilets (TARGET)",15,IF(N1909="Selling artificial grass/pet toilets (TARGET)",10,IF(N1909="Selling pet toys",7,IF(N1909="There's an Amazon link, but no target sales.",3,0))))</f>
        <v/>
      </c>
      <c r="P1909" s="65">
        <f>H1909+J1909+L1909+M1909+O1909</f>
        <v/>
      </c>
      <c r="Q1909" s="68">
        <f>IF(OR(H1909=0,P1909&lt;30),"Tier D (Đóng băng)",IF(P1909&gt;=85,"Tier S (Kim Cương: 85-100đ)",IF(P1909&gt;=70,"Tier A (Vàng: 70-84đ)",IF(P1909&gt;=61,"Tier B+ / Cấp A (Hot Lead: 61-69đ)",IF(P1909&gt;=50,"Tier B (Bạc: 50-60đ)","Tier C (Đồng: 30-49đ)")))))</f>
        <v/>
      </c>
      <c r="R1909" s="6" t="inlineStr">
        <is>
          <t>Cỏ nhân tạo sân chơi/huấn luyện (Dog Turf) + Đồ chơi nhai chịu lực (KONG/Chew Toys)</t>
        </is>
      </c>
      <c r="S1909" s="6" t="inlineStr">
        <is>
          <t>Đóng băng tương tác (&gt;30 ngày): Lưu trữ chờ kích hoạt lại, không tốn tài nguyên Sales</t>
        </is>
      </c>
    </row>
    <row r="1910">
      <c r="A1910" s="59" t="n">
        <v>1616</v>
      </c>
      <c r="B1910" s="15" t="inlineStr">
        <is>
          <t>Harperrig Gundogs</t>
        </is>
      </c>
      <c r="C1910" s="60" t="inlineStr">
        <is>
          <t>https://www.facebook.com/HarperrigGundogs</t>
        </is>
      </c>
      <c r="D1910" s="9" t="inlineStr">
        <is>
          <t>Cần quét Bio Fanpage</t>
        </is>
      </c>
      <c r="E1910" s="59" t="inlineStr">
        <is>
          <t>28/11/2025 01:57:23</t>
        </is>
      </c>
      <c r="F1910" s="59" t="inlineStr">
        <is>
          <t>10 tháng trước</t>
        </is>
      </c>
      <c r="G1910" s="61" t="n">
        <v>300</v>
      </c>
      <c r="H1910" s="62" t="n">
        <v>0</v>
      </c>
      <c r="I1910" s="9" t="inlineStr">
        <is>
          <t>Pet Boarding / Huấn luyện K9 &amp; Dịch vụ (20-22đ)</t>
        </is>
      </c>
      <c r="J1910" s="62" t="n">
        <v>20</v>
      </c>
      <c r="K1910" s="9" t="inlineStr">
        <is>
          <t>Spaniel / Gun Dog / Retriever</t>
        </is>
      </c>
      <c r="L1910" s="62" t="n">
        <v>5</v>
      </c>
      <c r="M1910" s="62" t="n">
        <v>0</v>
      </c>
      <c r="N1910" s="9" t="inlineStr">
        <is>
          <t>Amazon link not found</t>
        </is>
      </c>
      <c r="O1910" s="62">
        <f>IF(N1910="Selling pet toys + Artificial grass/Pet toilets (TARGET)",15,IF(N1910="Selling artificial grass/pet toilets (TARGET)",10,IF(N1910="Selling pet toys",7,IF(N1910="There's an Amazon link, but no target sales.",3,0))))</f>
        <v/>
      </c>
      <c r="P1910" s="67">
        <f>H1910+J1910+L1910+M1910+O1910</f>
        <v/>
      </c>
      <c r="Q1910" s="68">
        <f>IF(OR(H1910=0,P1910&lt;30),"Tier D (Đóng băng)",IF(P1910&gt;=85,"Tier S (Kim Cương: 85-100đ)",IF(P1910&gt;=70,"Tier A (Vàng: 70-84đ)",IF(P1910&gt;=61,"Tier B+ / Cấp A (Hot Lead: 61-69đ)",IF(P1910&gt;=50,"Tier B (Bạc: 50-60đ)","Tier C (Đồng: 30-49đ)")))))</f>
        <v/>
      </c>
      <c r="R1910" s="9" t="inlineStr">
        <is>
          <t>Cỏ nhân tạo sân chơi/huấn luyện (Dog Turf) + Đồ chơi nhai chịu lực (KONG/Chew Toys)</t>
        </is>
      </c>
      <c r="S1910" s="9" t="inlineStr">
        <is>
          <t>Đóng băng tương tác (&gt;30 ngày): Lưu trữ chờ kích hoạt lại, không tốn tài nguyên Sales</t>
        </is>
      </c>
    </row>
    <row r="1911">
      <c r="A1911" s="53" t="n">
        <v>680</v>
      </c>
      <c r="B1911" s="12" t="inlineStr">
        <is>
          <t>Birdsgreen and Brindlebay Gundogs</t>
        </is>
      </c>
      <c r="C1911" s="54" t="inlineStr">
        <is>
          <t>https://www.facebook.com/birdsgreengundog</t>
        </is>
      </c>
      <c r="D1911" s="6" t="inlineStr">
        <is>
          <t>Cần quét Bio Fanpage</t>
        </is>
      </c>
      <c r="E1911" s="53" t="inlineStr">
        <is>
          <t>01/05/2025 15:23:04</t>
        </is>
      </c>
      <c r="F1911" s="53" t="inlineStr">
        <is>
          <t>1 năm trước</t>
        </is>
      </c>
      <c r="G1911" s="55" t="n">
        <v>365</v>
      </c>
      <c r="H1911" s="56" t="n">
        <v>0</v>
      </c>
      <c r="I1911" s="6" t="inlineStr">
        <is>
          <t>Pet Boarding / Huấn luyện K9 &amp; Dịch vụ (20-22đ)</t>
        </is>
      </c>
      <c r="J1911" s="56" t="n">
        <v>20</v>
      </c>
      <c r="K1911" s="6" t="inlineStr">
        <is>
          <t>Spaniel / Gun Dog / Retriever</t>
        </is>
      </c>
      <c r="L1911" s="56" t="n">
        <v>5</v>
      </c>
      <c r="M1911" s="56" t="n">
        <v>0</v>
      </c>
      <c r="N1911" s="6" t="inlineStr">
        <is>
          <t>Amazon link not found</t>
        </is>
      </c>
      <c r="O1911" s="56">
        <f>IF(N1911="Selling pet toys + Artificial grass/Pet toilets (TARGET)",15,IF(N1911="Selling artificial grass/pet toilets (TARGET)",10,IF(N1911="Selling pet toys",7,IF(N1911="There's an Amazon link, but no target sales.",3,0))))</f>
        <v/>
      </c>
      <c r="P1911" s="65">
        <f>H1911+J1911+L1911+M1911+O1911</f>
        <v/>
      </c>
      <c r="Q1911" s="68">
        <f>IF(OR(H1911=0,P1911&lt;30),"Tier D (Đóng băng)",IF(P1911&gt;=85,"Tier S (Kim Cương: 85-100đ)",IF(P1911&gt;=70,"Tier A (Vàng: 70-84đ)",IF(P1911&gt;=61,"Tier B+ / Cấp A (Hot Lead: 61-69đ)",IF(P1911&gt;=50,"Tier B (Bạc: 50-60đ)","Tier C (Đồng: 30-49đ)")))))</f>
        <v/>
      </c>
      <c r="R1911" s="6" t="inlineStr">
        <is>
          <t>Cỏ nhân tạo sân chơi/huấn luyện (Dog Turf) + Đồ chơi nhai chịu lực (KONG/Chew Toys)</t>
        </is>
      </c>
      <c r="S1911" s="6" t="inlineStr">
        <is>
          <t>Đóng băng tương tác (&gt;30 ngày): Lưu trữ chờ kích hoạt lại, không tốn tài nguyên Sales</t>
        </is>
      </c>
    </row>
    <row r="1912">
      <c r="A1912" s="59" t="n">
        <v>2291</v>
      </c>
      <c r="B1912" s="15" t="inlineStr">
        <is>
          <t>Ni Gundogs</t>
        </is>
      </c>
      <c r="C1912" s="60" t="inlineStr">
        <is>
          <t>https://www.facebook.com/nigundogs</t>
        </is>
      </c>
      <c r="D1912" s="9" t="inlineStr">
        <is>
          <t>Cần quét Bio Fanpage</t>
        </is>
      </c>
      <c r="E1912" s="59" t="inlineStr">
        <is>
          <t>04/07/2023 01:34:47</t>
        </is>
      </c>
      <c r="F1912" s="59" t="inlineStr">
        <is>
          <t>3 năm trước</t>
        </is>
      </c>
      <c r="G1912" s="61" t="n">
        <v>1095</v>
      </c>
      <c r="H1912" s="62" t="n">
        <v>0</v>
      </c>
      <c r="I1912" s="9" t="inlineStr">
        <is>
          <t>Pet Boarding / Huấn luyện K9 &amp; Dịch vụ (20-22đ)</t>
        </is>
      </c>
      <c r="J1912" s="62" t="n">
        <v>20</v>
      </c>
      <c r="K1912" s="9" t="inlineStr">
        <is>
          <t>Spaniel / Gun Dog / Retriever</t>
        </is>
      </c>
      <c r="L1912" s="62" t="n">
        <v>5</v>
      </c>
      <c r="M1912" s="62" t="n">
        <v>0</v>
      </c>
      <c r="N1912" s="9" t="inlineStr">
        <is>
          <t>Amazon link not found</t>
        </is>
      </c>
      <c r="O1912" s="62">
        <f>IF(N1912="Selling pet toys + Artificial grass/Pet toilets (TARGET)",15,IF(N1912="Selling artificial grass/pet toilets (TARGET)",10,IF(N1912="Selling pet toys",7,IF(N1912="There's an Amazon link, but no target sales.",3,0))))</f>
        <v/>
      </c>
      <c r="P1912" s="67">
        <f>H1912+J1912+L1912+M1912+O1912</f>
        <v/>
      </c>
      <c r="Q1912" s="68">
        <f>IF(OR(H1912=0,P1912&lt;30),"Tier D (Đóng băng)",IF(P1912&gt;=85,"Tier S (Kim Cương: 85-100đ)",IF(P1912&gt;=70,"Tier A (Vàng: 70-84đ)",IF(P1912&gt;=61,"Tier B+ / Cấp A (Hot Lead: 61-69đ)",IF(P1912&gt;=50,"Tier B (Bạc: 50-60đ)","Tier C (Đồng: 30-49đ)")))))</f>
        <v/>
      </c>
      <c r="R1912" s="9" t="inlineStr">
        <is>
          <t>Cỏ nhân tạo sân chơi/huấn luyện (Dog Turf) + Đồ chơi nhai chịu lực (KONG/Chew Toys)</t>
        </is>
      </c>
      <c r="S1912" s="9" t="inlineStr">
        <is>
          <t>Đóng băng tương tác (&gt;30 ngày): Lưu trữ chờ kích hoạt lại, không tốn tài nguyên Sales</t>
        </is>
      </c>
    </row>
    <row r="1913">
      <c r="A1913" s="53" t="n">
        <v>1236</v>
      </c>
      <c r="B1913" s="12" t="inlineStr">
        <is>
          <t>Drumgoose Gundogs</t>
        </is>
      </c>
      <c r="C1913" s="54" t="inlineStr">
        <is>
          <t>https://www.facebook.com/profile.php?id=100054356927851</t>
        </is>
      </c>
      <c r="D1913" s="6" t="inlineStr">
        <is>
          <t>Cần quét Bio Fanpage</t>
        </is>
      </c>
      <c r="E1913" s="53" t="inlineStr">
        <is>
          <t>13/05/2023 04:00:24</t>
        </is>
      </c>
      <c r="F1913" s="53" t="inlineStr">
        <is>
          <t>3 năm trước</t>
        </is>
      </c>
      <c r="G1913" s="55" t="n">
        <v>1095</v>
      </c>
      <c r="H1913" s="56" t="n">
        <v>0</v>
      </c>
      <c r="I1913" s="6" t="inlineStr">
        <is>
          <t>Pet Boarding / Huấn luyện K9 &amp; Dịch vụ (20-22đ)</t>
        </is>
      </c>
      <c r="J1913" s="56" t="n">
        <v>20</v>
      </c>
      <c r="K1913" s="6" t="inlineStr">
        <is>
          <t>Spaniel / Gun Dog / Retriever</t>
        </is>
      </c>
      <c r="L1913" s="56" t="n">
        <v>5</v>
      </c>
      <c r="M1913" s="56" t="n">
        <v>0</v>
      </c>
      <c r="N1913" s="6" t="inlineStr">
        <is>
          <t>Amazon link not found</t>
        </is>
      </c>
      <c r="O1913" s="56">
        <f>IF(N1913="Selling pet toys + Artificial grass/Pet toilets (TARGET)",15,IF(N1913="Selling artificial grass/pet toilets (TARGET)",10,IF(N1913="Selling pet toys",7,IF(N1913="There's an Amazon link, but no target sales.",3,0))))</f>
        <v/>
      </c>
      <c r="P1913" s="65">
        <f>H1913+J1913+L1913+M1913+O1913</f>
        <v/>
      </c>
      <c r="Q1913" s="68">
        <f>IF(OR(H1913=0,P1913&lt;30),"Tier D (Đóng băng)",IF(P1913&gt;=85,"Tier S (Kim Cương: 85-100đ)",IF(P1913&gt;=70,"Tier A (Vàng: 70-84đ)",IF(P1913&gt;=61,"Tier B+ / Cấp A (Hot Lead: 61-69đ)",IF(P1913&gt;=50,"Tier B (Bạc: 50-60đ)","Tier C (Đồng: 30-49đ)")))))</f>
        <v/>
      </c>
      <c r="R1913" s="6" t="inlineStr">
        <is>
          <t>Cỏ nhân tạo sân chơi/huấn luyện (Dog Turf) + Đồ chơi nhai chịu lực (KONG/Chew Toys)</t>
        </is>
      </c>
      <c r="S1913" s="6" t="inlineStr">
        <is>
          <t>Đóng băng tương tác (&gt;30 ngày): Lưu trữ chờ kích hoạt lại, không tốn tài nguyên Sales</t>
        </is>
      </c>
    </row>
    <row r="1914">
      <c r="A1914" s="59" t="n">
        <v>1582</v>
      </c>
      <c r="B1914" s="15" t="inlineStr">
        <is>
          <t>Gundog Designs</t>
        </is>
      </c>
      <c r="C1914" s="60" t="inlineStr">
        <is>
          <t>https://www.facebook.com/gundogdesigns</t>
        </is>
      </c>
      <c r="D1914" s="9" t="inlineStr">
        <is>
          <t>Cần quét Bio Fanpage</t>
        </is>
      </c>
      <c r="E1914" s="59" t="inlineStr">
        <is>
          <t>20/09/2015 02:12:00</t>
        </is>
      </c>
      <c r="F1914" s="59" t="inlineStr">
        <is>
          <t>20 Tháng 9, 2015 lúc 02:12</t>
        </is>
      </c>
      <c r="G1914" s="61" t="n">
        <v>365</v>
      </c>
      <c r="H1914" s="62" t="n">
        <v>0</v>
      </c>
      <c r="I1914" s="9" t="inlineStr">
        <is>
          <t>Pet Boarding / Huấn luyện K9 &amp; Dịch vụ (20-22đ)</t>
        </is>
      </c>
      <c r="J1914" s="62" t="n">
        <v>20</v>
      </c>
      <c r="K1914" s="9" t="inlineStr">
        <is>
          <t>Spaniel / Gun Dog / Retriever</t>
        </is>
      </c>
      <c r="L1914" s="62" t="n">
        <v>5</v>
      </c>
      <c r="M1914" s="62" t="n">
        <v>0</v>
      </c>
      <c r="N1914" s="9" t="inlineStr">
        <is>
          <t>Amazon link not found</t>
        </is>
      </c>
      <c r="O1914" s="62">
        <f>IF(N1914="Selling pet toys + Artificial grass/Pet toilets (TARGET)",15,IF(N1914="Selling artificial grass/pet toilets (TARGET)",10,IF(N1914="Selling pet toys",7,IF(N1914="There's an Amazon link, but no target sales.",3,0))))</f>
        <v/>
      </c>
      <c r="P1914" s="67">
        <f>H1914+J1914+L1914+M1914+O1914</f>
        <v/>
      </c>
      <c r="Q1914" s="68">
        <f>IF(OR(H1914=0,P1914&lt;30),"Tier D (Đóng băng)",IF(P1914&gt;=85,"Tier S (Kim Cương: 85-100đ)",IF(P1914&gt;=70,"Tier A (Vàng: 70-84đ)",IF(P1914&gt;=61,"Tier B+ / Cấp A (Hot Lead: 61-69đ)",IF(P1914&gt;=50,"Tier B (Bạc: 50-60đ)","Tier C (Đồng: 30-49đ)")))))</f>
        <v/>
      </c>
      <c r="R1914" s="9" t="inlineStr">
        <is>
          <t>Cỏ nhân tạo sân chơi/huấn luyện (Dog Turf) + Đồ chơi nhai chịu lực (KONG/Chew Toys)</t>
        </is>
      </c>
      <c r="S1914" s="9" t="inlineStr">
        <is>
          <t>Đóng băng tương tác (&gt;30 ngày): Lưu trữ chờ kích hoạt lại, không tốn tài nguyên Sales</t>
        </is>
      </c>
    </row>
    <row r="1915">
      <c r="A1915" s="53" t="n">
        <v>1486</v>
      </c>
      <c r="B1915" s="12" t="inlineStr">
        <is>
          <t>Galloway Gundogs</t>
        </is>
      </c>
      <c r="C1915" s="54" t="inlineStr">
        <is>
          <t>https://www.facebook.com/profile.php?id=100080037331394</t>
        </is>
      </c>
      <c r="D1915" s="6" t="inlineStr">
        <is>
          <t>Cần quét Bio Fanpage</t>
        </is>
      </c>
      <c r="E1915" s="53" t="inlineStr">
        <is>
          <t>07/08/2013 02:08:00</t>
        </is>
      </c>
      <c r="F1915" s="53" t="inlineStr">
        <is>
          <t>7 Tháng 8, 2013 lúc 02:08</t>
        </is>
      </c>
      <c r="G1915" s="55" t="n">
        <v>365</v>
      </c>
      <c r="H1915" s="56" t="n">
        <v>0</v>
      </c>
      <c r="I1915" s="6" t="inlineStr">
        <is>
          <t>Pet Boarding / Huấn luyện K9 &amp; Dịch vụ (20-22đ)</t>
        </is>
      </c>
      <c r="J1915" s="56" t="n">
        <v>20</v>
      </c>
      <c r="K1915" s="6" t="inlineStr">
        <is>
          <t>Spaniel / Gun Dog / Retriever</t>
        </is>
      </c>
      <c r="L1915" s="56" t="n">
        <v>5</v>
      </c>
      <c r="M1915" s="56" t="n">
        <v>0</v>
      </c>
      <c r="N1915" s="6" t="inlineStr">
        <is>
          <t>Amazon link not found</t>
        </is>
      </c>
      <c r="O1915" s="56">
        <f>IF(N1915="Selling pet toys + Artificial grass/Pet toilets (TARGET)",15,IF(N1915="Selling artificial grass/pet toilets (TARGET)",10,IF(N1915="Selling pet toys",7,IF(N1915="There's an Amazon link, but no target sales.",3,0))))</f>
        <v/>
      </c>
      <c r="P1915" s="65">
        <f>H1915+J1915+L1915+M1915+O1915</f>
        <v/>
      </c>
      <c r="Q1915" s="68">
        <f>IF(OR(H1915=0,P1915&lt;30),"Tier D (Đóng băng)",IF(P1915&gt;=85,"Tier S (Kim Cương: 85-100đ)",IF(P1915&gt;=70,"Tier A (Vàng: 70-84đ)",IF(P1915&gt;=61,"Tier B+ / Cấp A (Hot Lead: 61-69đ)",IF(P1915&gt;=50,"Tier B (Bạc: 50-60đ)","Tier C (Đồng: 30-49đ)")))))</f>
        <v/>
      </c>
      <c r="R1915" s="6" t="inlineStr">
        <is>
          <t>Cỏ nhân tạo sân chơi/huấn luyện (Dog Turf) + Đồ chơi nhai chịu lực (KONG/Chew Toys)</t>
        </is>
      </c>
      <c r="S1915" s="6" t="inlineStr">
        <is>
          <t>Đóng băng tương tác (&gt;30 ngày): Lưu trữ chờ kích hoạt lại, không tốn tài nguyên Sales</t>
        </is>
      </c>
    </row>
    <row r="1916">
      <c r="A1916" s="59" t="n">
        <v>2455</v>
      </c>
      <c r="B1916" s="15" t="inlineStr">
        <is>
          <t>Pet KORE</t>
        </is>
      </c>
      <c r="C1916" s="60" t="inlineStr">
        <is>
          <t>https://www.facebook.com/korespecialtyproducts</t>
        </is>
      </c>
      <c r="D1916" s="9" t="inlineStr">
        <is>
          <t>Cần quét Bio Fanpage</t>
        </is>
      </c>
      <c r="E1916" s="59" t="inlineStr">
        <is>
          <t>21/09/2026 23:01:50</t>
        </is>
      </c>
      <c r="F1916" s="59" t="inlineStr">
        <is>
          <t>3 tuần trước</t>
        </is>
      </c>
      <c r="G1916" s="61" t="n">
        <v>21</v>
      </c>
      <c r="H1916" s="62" t="n">
        <v>8</v>
      </c>
      <c r="I1916" s="9" t="inlineStr">
        <is>
          <t>Pet Owner / Cộng đồng nuôi cún (10đ)</t>
        </is>
      </c>
      <c r="J1916" s="62" t="n">
        <v>10</v>
      </c>
      <c r="K1916" s="9" t="inlineStr">
        <is>
          <t>Chưa rõ giống (Cần quét Bio)</t>
        </is>
      </c>
      <c r="L1916" s="62" t="n">
        <v>0</v>
      </c>
      <c r="M1916" s="62" t="n">
        <v>5</v>
      </c>
      <c r="N1916" s="9" t="inlineStr">
        <is>
          <t>Amazon link not found</t>
        </is>
      </c>
      <c r="O1916" s="62">
        <f>IF(N1916="Selling pet toys + Artificial grass/Pet toilets (TARGET)",15,IF(N1916="Selling artificial grass/pet toilets (TARGET)",10,IF(N1916="Selling pet toys",7,IF(N1916="There's an Amazon link, but no target sales.",3,0))))</f>
        <v/>
      </c>
      <c r="P1916" s="67">
        <f>H1916+J1916+L1916+M1916+O1916</f>
        <v/>
      </c>
      <c r="Q1916" s="68">
        <f>IF(OR(H1916=0,P1916&lt;30),"Tier D (Đóng băng)",IF(P1916&gt;=85,"Tier S (Kim Cương: 85-100đ)",IF(P1916&gt;=70,"Tier A (Vàng: 70-84đ)",IF(P1916&gt;=61,"Tier B+ / Cấp A (Hot Lead: 61-69đ)",IF(P1916&gt;=50,"Tier B (Bạc: 50-60đ)","Tier C (Đồng: 30-49đ)")))))</f>
        <v/>
      </c>
      <c r="R1916" s="9" t="inlineStr">
        <is>
          <t>Khay vệ sinh chung cư (Indoor Potty) + Thảm cỏ ban công (Grass Patch) + Đồ chơi</t>
        </is>
      </c>
      <c r="S1916" s="9" t="inlineStr">
        <is>
          <t>Đóng băng tương tác (&gt;30 ngày): Lưu trữ chờ kích hoạt lại, không tốn tài nguyên Sales</t>
        </is>
      </c>
    </row>
    <row r="1917">
      <c r="A1917" s="53" t="n">
        <v>1151</v>
      </c>
      <c r="B1917" s="12" t="inlineStr">
        <is>
          <t>dogpac.org</t>
        </is>
      </c>
      <c r="C1917" s="54" t="inlineStr">
        <is>
          <t>https://www.facebook.com/dogpac.org</t>
        </is>
      </c>
      <c r="D1917" s="6" t="inlineStr">
        <is>
          <t>https://dogpac.org</t>
        </is>
      </c>
      <c r="E1917" s="53" t="inlineStr">
        <is>
          <t>21/09/2026 01:37:56</t>
        </is>
      </c>
      <c r="F1917" s="53" t="inlineStr">
        <is>
          <t>3 tuần trước</t>
        </is>
      </c>
      <c r="G1917" s="55" t="n">
        <v>21</v>
      </c>
      <c r="H1917" s="56" t="n">
        <v>8</v>
      </c>
      <c r="I1917" s="6" t="inlineStr">
        <is>
          <t>Pet Owner / Cộng đồng nuôi cún (10đ)</t>
        </is>
      </c>
      <c r="J1917" s="56" t="n">
        <v>10</v>
      </c>
      <c r="K1917" s="6" t="inlineStr">
        <is>
          <t>Chưa rõ giống (Cần quét Bio)</t>
        </is>
      </c>
      <c r="L1917" s="56" t="n">
        <v>0</v>
      </c>
      <c r="M1917" s="56" t="n">
        <v>5</v>
      </c>
      <c r="N1917" s="6" t="inlineStr">
        <is>
          <t>Amazon link not found</t>
        </is>
      </c>
      <c r="O1917" s="56">
        <f>IF(N1917="Selling pet toys + Artificial grass/Pet toilets (TARGET)",15,IF(N1917="Selling artificial grass/pet toilets (TARGET)",10,IF(N1917="Selling pet toys",7,IF(N1917="There's an Amazon link, but no target sales.",3,0))))</f>
        <v/>
      </c>
      <c r="P1917" s="65">
        <f>H1917+J1917+L1917+M1917+O1917</f>
        <v/>
      </c>
      <c r="Q1917" s="68">
        <f>IF(OR(H1917=0,P1917&lt;30),"Tier D (Đóng băng)",IF(P1917&gt;=85,"Tier S (Kim Cương: 85-100đ)",IF(P1917&gt;=70,"Tier A (Vàng: 70-84đ)",IF(P1917&gt;=61,"Tier B+ / Cấp A (Hot Lead: 61-69đ)",IF(P1917&gt;=50,"Tier B (Bạc: 50-60đ)","Tier C (Đồng: 30-49đ)")))))</f>
        <v/>
      </c>
      <c r="R1917" s="6" t="inlineStr">
        <is>
          <t>Khay vệ sinh chung cư (Indoor Potty) + Thảm cỏ ban công (Grass Patch) + Đồ chơi</t>
        </is>
      </c>
      <c r="S1917" s="6" t="inlineStr">
        <is>
          <t>Đóng băng tương tác (&gt;30 ngày): Lưu trữ chờ kích hoạt lại, không tốn tài nguyên Sales</t>
        </is>
      </c>
    </row>
    <row r="1918">
      <c r="A1918" s="59" t="n">
        <v>3213</v>
      </c>
      <c r="B1918" s="15" t="inlineStr">
        <is>
          <t>Topdogbullies XXL</t>
        </is>
      </c>
      <c r="C1918" s="60" t="inlineStr">
        <is>
          <t>https://www.facebook.com/topdogbulliesofficial</t>
        </is>
      </c>
      <c r="D1918" s="9" t="inlineStr">
        <is>
          <t>Cần quét Bio Fanpage</t>
        </is>
      </c>
      <c r="E1918" s="59" t="inlineStr">
        <is>
          <t>20/09/2026 21:48:31</t>
        </is>
      </c>
      <c r="F1918" s="59" t="inlineStr">
        <is>
          <t>3 tuần trước</t>
        </is>
      </c>
      <c r="G1918" s="61" t="n">
        <v>21</v>
      </c>
      <c r="H1918" s="62" t="n">
        <v>8</v>
      </c>
      <c r="I1918" s="9" t="inlineStr">
        <is>
          <t>Pet Owner / Cộng đồng nuôi cún (10đ)</t>
        </is>
      </c>
      <c r="J1918" s="62" t="n">
        <v>10</v>
      </c>
      <c r="K1918" s="9" t="inlineStr">
        <is>
          <t>Chưa rõ giống (Cần quét Bio)</t>
        </is>
      </c>
      <c r="L1918" s="62" t="n">
        <v>0</v>
      </c>
      <c r="M1918" s="62" t="n">
        <v>5</v>
      </c>
      <c r="N1918" s="9" t="inlineStr">
        <is>
          <t>Amazon link not found</t>
        </is>
      </c>
      <c r="O1918" s="62">
        <f>IF(N1918="Selling pet toys + Artificial grass/Pet toilets (TARGET)",15,IF(N1918="Selling artificial grass/pet toilets (TARGET)",10,IF(N1918="Selling pet toys",7,IF(N1918="There's an Amazon link, but no target sales.",3,0))))</f>
        <v/>
      </c>
      <c r="P1918" s="67">
        <f>H1918+J1918+L1918+M1918+O1918</f>
        <v/>
      </c>
      <c r="Q1918" s="68">
        <f>IF(OR(H1918=0,P1918&lt;30),"Tier D (Đóng băng)",IF(P1918&gt;=85,"Tier S (Kim Cương: 85-100đ)",IF(P1918&gt;=70,"Tier A (Vàng: 70-84đ)",IF(P1918&gt;=61,"Tier B+ / Cấp A (Hot Lead: 61-69đ)",IF(P1918&gt;=50,"Tier B (Bạc: 50-60đ)","Tier C (Đồng: 30-49đ)")))))</f>
        <v/>
      </c>
      <c r="R1918" s="9" t="inlineStr">
        <is>
          <t>Khay vệ sinh chung cư (Indoor Potty) + Thảm cỏ ban công (Grass Patch) + Đồ chơi</t>
        </is>
      </c>
      <c r="S1918" s="9" t="inlineStr">
        <is>
          <t>Đóng băng tương tác (&gt;30 ngày): Lưu trữ chờ kích hoạt lại, không tốn tài nguyên Sales</t>
        </is>
      </c>
    </row>
    <row r="1919">
      <c r="A1919" s="53" t="n">
        <v>713</v>
      </c>
      <c r="B1919" s="12" t="inlineStr">
        <is>
          <t>Blueprint Pet Products</t>
        </is>
      </c>
      <c r="C1919" s="54" t="inlineStr">
        <is>
          <t>https://www.facebook.com/BlueprintPetProducts</t>
        </is>
      </c>
      <c r="D1919" s="6" t="inlineStr">
        <is>
          <t>Cần quét Bio Fanpage</t>
        </is>
      </c>
      <c r="E1919" s="53" t="inlineStr">
        <is>
          <t>17/09/2026 01:00:18</t>
        </is>
      </c>
      <c r="F1919" s="53" t="inlineStr">
        <is>
          <t>3 tuần trước</t>
        </is>
      </c>
      <c r="G1919" s="55" t="n">
        <v>21</v>
      </c>
      <c r="H1919" s="56" t="n">
        <v>8</v>
      </c>
      <c r="I1919" s="6" t="inlineStr">
        <is>
          <t>Pet Owner / Cộng đồng nuôi cún (10đ)</t>
        </is>
      </c>
      <c r="J1919" s="56" t="n">
        <v>10</v>
      </c>
      <c r="K1919" s="6" t="inlineStr">
        <is>
          <t>Chưa rõ giống (Cần quét Bio)</t>
        </is>
      </c>
      <c r="L1919" s="56" t="n">
        <v>0</v>
      </c>
      <c r="M1919" s="56" t="n">
        <v>5</v>
      </c>
      <c r="N1919" s="6" t="inlineStr">
        <is>
          <t>Amazon link not found</t>
        </is>
      </c>
      <c r="O1919" s="56">
        <f>IF(N1919="Selling pet toys + Artificial grass/Pet toilets (TARGET)",15,IF(N1919="Selling artificial grass/pet toilets (TARGET)",10,IF(N1919="Selling pet toys",7,IF(N1919="There's an Amazon link, but no target sales.",3,0))))</f>
        <v/>
      </c>
      <c r="P1919" s="65">
        <f>H1919+J1919+L1919+M1919+O1919</f>
        <v/>
      </c>
      <c r="Q1919" s="68">
        <f>IF(OR(H1919=0,P1919&lt;30),"Tier D (Đóng băng)",IF(P1919&gt;=85,"Tier S (Kim Cương: 85-100đ)",IF(P1919&gt;=70,"Tier A (Vàng: 70-84đ)",IF(P1919&gt;=61,"Tier B+ / Cấp A (Hot Lead: 61-69đ)",IF(P1919&gt;=50,"Tier B (Bạc: 50-60đ)","Tier C (Đồng: 30-49đ)")))))</f>
        <v/>
      </c>
      <c r="R1919" s="6" t="inlineStr">
        <is>
          <t>Khay vệ sinh chung cư (Indoor Potty) + Thảm cỏ ban công (Grass Patch) + Đồ chơi</t>
        </is>
      </c>
      <c r="S1919" s="6" t="inlineStr">
        <is>
          <t>Đóng băng tương tác (&gt;30 ngày): Lưu trữ chờ kích hoạt lại, không tốn tài nguyên Sales</t>
        </is>
      </c>
    </row>
    <row r="1920">
      <c r="A1920" s="59" t="n">
        <v>3170</v>
      </c>
      <c r="B1920" s="15" t="inlineStr">
        <is>
          <t>The Vet Shed - Online Pet Store</t>
        </is>
      </c>
      <c r="C1920" s="60" t="inlineStr">
        <is>
          <t>https://www.facebook.com/TheVetShed</t>
        </is>
      </c>
      <c r="D1920" s="9" t="inlineStr">
        <is>
          <t>Cần quét Bio Fanpage</t>
        </is>
      </c>
      <c r="E1920" s="59" t="inlineStr">
        <is>
          <t>14/09/2026 07:27:08</t>
        </is>
      </c>
      <c r="F1920" s="59" t="inlineStr">
        <is>
          <t>4 tuần trước</t>
        </is>
      </c>
      <c r="G1920" s="61" t="n">
        <v>28</v>
      </c>
      <c r="H1920" s="62" t="n">
        <v>8</v>
      </c>
      <c r="I1920" s="9" t="inlineStr">
        <is>
          <t>Pet Owner / Cộng đồng nuôi cún (10đ)</t>
        </is>
      </c>
      <c r="J1920" s="62" t="n">
        <v>10</v>
      </c>
      <c r="K1920" s="9" t="inlineStr">
        <is>
          <t>Chưa rõ giống (Cần quét Bio)</t>
        </is>
      </c>
      <c r="L1920" s="62" t="n">
        <v>0</v>
      </c>
      <c r="M1920" s="62" t="n">
        <v>5</v>
      </c>
      <c r="N1920" s="9" t="inlineStr">
        <is>
          <t>Amazon link not found</t>
        </is>
      </c>
      <c r="O1920" s="62">
        <f>IF(N1920="Selling pet toys + Artificial grass/Pet toilets (TARGET)",15,IF(N1920="Selling artificial grass/pet toilets (TARGET)",10,IF(N1920="Selling pet toys",7,IF(N1920="There's an Amazon link, but no target sales.",3,0))))</f>
        <v/>
      </c>
      <c r="P1920" s="67">
        <f>H1920+J1920+L1920+M1920+O1920</f>
        <v/>
      </c>
      <c r="Q1920" s="68">
        <f>IF(OR(H1920=0,P1920&lt;30),"Tier D (Đóng băng)",IF(P1920&gt;=85,"Tier S (Kim Cương: 85-100đ)",IF(P1920&gt;=70,"Tier A (Vàng: 70-84đ)",IF(P1920&gt;=61,"Tier B+ / Cấp A (Hot Lead: 61-69đ)",IF(P1920&gt;=50,"Tier B (Bạc: 50-60đ)","Tier C (Đồng: 30-49đ)")))))</f>
        <v/>
      </c>
      <c r="R1920" s="9" t="inlineStr">
        <is>
          <t>Khay vệ sinh chung cư (Indoor Potty) + Thảm cỏ ban công (Grass Patch) + Đồ chơi</t>
        </is>
      </c>
      <c r="S1920" s="9" t="inlineStr">
        <is>
          <t>Đóng băng tương tác (&gt;30 ngày): Lưu trữ chờ kích hoạt lại, không tốn tài nguyên Sales</t>
        </is>
      </c>
    </row>
    <row r="1921">
      <c r="A1921" s="53" t="n">
        <v>1378</v>
      </c>
      <c r="B1921" s="12" t="inlineStr">
        <is>
          <t>Figz Dog Rescue</t>
        </is>
      </c>
      <c r="C1921" s="54" t="inlineStr">
        <is>
          <t>https://www.facebook.com/profile.php?id=61573853487437</t>
        </is>
      </c>
      <c r="D1921" s="6" t="inlineStr">
        <is>
          <t>Cần quét Bio Fanpage</t>
        </is>
      </c>
      <c r="E1921" s="53" t="inlineStr">
        <is>
          <t>16/09/2026 23:37:43</t>
        </is>
      </c>
      <c r="F1921" s="53" t="inlineStr">
        <is>
          <t>3 tuần trước</t>
        </is>
      </c>
      <c r="G1921" s="55" t="n">
        <v>21</v>
      </c>
      <c r="H1921" s="56" t="n">
        <v>8</v>
      </c>
      <c r="I1921" s="6" t="inlineStr">
        <is>
          <t>Pet Rescue / Trạm cứu trợ (14-16đ)</t>
        </is>
      </c>
      <c r="J1921" s="56" t="n">
        <v>14</v>
      </c>
      <c r="K1921" s="6" t="inlineStr">
        <is>
          <t>Chưa rõ giống (Cần quét Bio)</t>
        </is>
      </c>
      <c r="L1921" s="56" t="n">
        <v>0</v>
      </c>
      <c r="M1921" s="56" t="n">
        <v>0</v>
      </c>
      <c r="N1921" s="6" t="inlineStr">
        <is>
          <t>Amazon link not found</t>
        </is>
      </c>
      <c r="O1921" s="56">
        <f>IF(N1921="Selling pet toys + Artificial grass/Pet toilets (TARGET)",15,IF(N1921="Selling artificial grass/pet toilets (TARGET)",10,IF(N1921="Selling pet toys",7,IF(N1921="There's an Amazon link, but no target sales.",3,0))))</f>
        <v/>
      </c>
      <c r="P1921" s="65">
        <f>H1921+J1921+L1921+M1921+O1921</f>
        <v/>
      </c>
      <c r="Q1921" s="68">
        <f>IF(OR(H1921=0,P1921&lt;30),"Tier D (Đóng băng)",IF(P1921&gt;=85,"Tier S (Kim Cương: 85-100đ)",IF(P1921&gt;=70,"Tier A (Vàng: 70-84đ)",IF(P1921&gt;=61,"Tier B+ / Cấp A (Hot Lead: 61-69đ)",IF(P1921&gt;=50,"Tier B (Bạc: 50-60đ)","Tier C (Đồng: 30-49đ)")))))</f>
        <v/>
      </c>
      <c r="R1921" s="6" t="inlineStr">
        <is>
          <t>Nhà vệ sinh &amp; Tã lót (Potty Tray / Pee Pads) + Cỏ nhân tạo lót chuồng</t>
        </is>
      </c>
      <c r="S1921" s="6" t="inlineStr">
        <is>
          <t>Đóng băng tương tác (&gt;30 ngày): Lưu trữ chờ kích hoạt lại, không tốn tài nguyên Sales</t>
        </is>
      </c>
    </row>
    <row r="1922">
      <c r="A1922" s="59" t="n">
        <v>1265</v>
      </c>
      <c r="B1922" s="15" t="inlineStr">
        <is>
          <t>Edit Dog Training</t>
        </is>
      </c>
      <c r="C1922" s="60" t="inlineStr">
        <is>
          <t>https://www.facebook.com/profile.php?id=61558832041142</t>
        </is>
      </c>
      <c r="D1922" s="9" t="inlineStr">
        <is>
          <t>Cần quét Bio Fanpage</t>
        </is>
      </c>
      <c r="E1922" s="59" t="inlineStr">
        <is>
          <t>11/09/2026 03:05:08</t>
        </is>
      </c>
      <c r="F1922" s="59" t="inlineStr">
        <is>
          <t>1 tháng trước</t>
        </is>
      </c>
      <c r="G1922" s="61" t="n">
        <v>30</v>
      </c>
      <c r="H1922" s="62" t="n">
        <v>0</v>
      </c>
      <c r="I1922" s="9" t="inlineStr">
        <is>
          <t>Pet Boarding / Huấn luyện K9 &amp; Dịch vụ (20-22đ)</t>
        </is>
      </c>
      <c r="J1922" s="62" t="n">
        <v>22</v>
      </c>
      <c r="K1922" s="9" t="inlineStr">
        <is>
          <t>Chưa rõ giống (Cần quét Bio)</t>
        </is>
      </c>
      <c r="L1922" s="62" t="n">
        <v>0</v>
      </c>
      <c r="M1922" s="62" t="n">
        <v>0</v>
      </c>
      <c r="N1922" s="9" t="inlineStr">
        <is>
          <t>Amazon link not found</t>
        </is>
      </c>
      <c r="O1922" s="62">
        <f>IF(N1922="Selling pet toys + Artificial grass/Pet toilets (TARGET)",15,IF(N1922="Selling artificial grass/pet toilets (TARGET)",10,IF(N1922="Selling pet toys",7,IF(N1922="There's an Amazon link, but no target sales.",3,0))))</f>
        <v/>
      </c>
      <c r="P1922" s="67">
        <f>H1922+J1922+L1922+M1922+O1922</f>
        <v/>
      </c>
      <c r="Q1922" s="68">
        <f>IF(OR(H1922=0,P1922&lt;30),"Tier D (Đóng băng)",IF(P1922&gt;=85,"Tier S (Kim Cương: 85-100đ)",IF(P1922&gt;=70,"Tier A (Vàng: 70-84đ)",IF(P1922&gt;=61,"Tier B+ / Cấp A (Hot Lead: 61-69đ)",IF(P1922&gt;=50,"Tier B (Bạc: 50-60đ)","Tier C (Đồng: 30-49đ)")))))</f>
        <v/>
      </c>
      <c r="R1922" s="9" t="inlineStr">
        <is>
          <t>Cỏ nhân tạo sân chơi/huấn luyện (Dog Turf) + Đồ chơi nhai chịu lực (KONG/Chew Toys)</t>
        </is>
      </c>
      <c r="S1922" s="9" t="inlineStr">
        <is>
          <t>Đóng băng tương tác (&gt;30 ngày): Lưu trữ chờ kích hoạt lại, không tốn tài nguyên Sales</t>
        </is>
      </c>
    </row>
    <row r="1923">
      <c r="A1923" s="53" t="n">
        <v>2968</v>
      </c>
      <c r="B1923" s="12" t="inlineStr">
        <is>
          <t>SpiritDog Training</t>
        </is>
      </c>
      <c r="C1923" s="54" t="inlineStr">
        <is>
          <t>https://www.facebook.com/SpiritDogTrain</t>
        </is>
      </c>
      <c r="D1923" s="6" t="inlineStr">
        <is>
          <t>Cần quét Bio Fanpage</t>
        </is>
      </c>
      <c r="E1923" s="53" t="inlineStr">
        <is>
          <t>04/09/2026 06:13:23</t>
        </is>
      </c>
      <c r="F1923" s="53" t="inlineStr">
        <is>
          <t>1 tháng trước</t>
        </is>
      </c>
      <c r="G1923" s="55" t="n">
        <v>30</v>
      </c>
      <c r="H1923" s="56" t="n">
        <v>0</v>
      </c>
      <c r="I1923" s="6" t="inlineStr">
        <is>
          <t>Pet Boarding / Huấn luyện K9 &amp; Dịch vụ (20-22đ)</t>
        </is>
      </c>
      <c r="J1923" s="56" t="n">
        <v>22</v>
      </c>
      <c r="K1923" s="6" t="inlineStr">
        <is>
          <t>Chưa rõ giống (Cần quét Bio)</t>
        </is>
      </c>
      <c r="L1923" s="56" t="n">
        <v>0</v>
      </c>
      <c r="M1923" s="56" t="n">
        <v>0</v>
      </c>
      <c r="N1923" s="6" t="inlineStr">
        <is>
          <t>Amazon link not found</t>
        </is>
      </c>
      <c r="O1923" s="56">
        <f>IF(N1923="Selling pet toys + Artificial grass/Pet toilets (TARGET)",15,IF(N1923="Selling artificial grass/pet toilets (TARGET)",10,IF(N1923="Selling pet toys",7,IF(N1923="There's an Amazon link, but no target sales.",3,0))))</f>
        <v/>
      </c>
      <c r="P1923" s="65">
        <f>H1923+J1923+L1923+M1923+O1923</f>
        <v/>
      </c>
      <c r="Q1923" s="68">
        <f>IF(OR(H1923=0,P1923&lt;30),"Tier D (Đóng băng)",IF(P1923&gt;=85,"Tier S (Kim Cương: 85-100đ)",IF(P1923&gt;=70,"Tier A (Vàng: 70-84đ)",IF(P1923&gt;=61,"Tier B+ / Cấp A (Hot Lead: 61-69đ)",IF(P1923&gt;=50,"Tier B (Bạc: 50-60đ)","Tier C (Đồng: 30-49đ)")))))</f>
        <v/>
      </c>
      <c r="R1923" s="6" t="inlineStr">
        <is>
          <t>Cỏ nhân tạo sân chơi/huấn luyện (Dog Turf) + Đồ chơi nhai chịu lực (KONG/Chew Toys)</t>
        </is>
      </c>
      <c r="S1923" s="6" t="inlineStr">
        <is>
          <t>Đóng băng tương tác (&gt;30 ngày): Lưu trữ chờ kích hoạt lại, không tốn tài nguyên Sales</t>
        </is>
      </c>
    </row>
    <row r="1924">
      <c r="A1924" s="59" t="n">
        <v>736</v>
      </c>
      <c r="B1924" s="15" t="inlineStr">
        <is>
          <t>Bosque River Dog Training</t>
        </is>
      </c>
      <c r="C1924" s="60" t="inlineStr">
        <is>
          <t>https://www.facebook.com/vombosqueriver</t>
        </is>
      </c>
      <c r="D1924" s="9" t="inlineStr">
        <is>
          <t>Cần quét Bio Fanpage</t>
        </is>
      </c>
      <c r="E1924" s="59" t="inlineStr">
        <is>
          <t>01/09/2026 09:36:56</t>
        </is>
      </c>
      <c r="F1924" s="59" t="inlineStr">
        <is>
          <t>1 tháng trước</t>
        </is>
      </c>
      <c r="G1924" s="61" t="n">
        <v>30</v>
      </c>
      <c r="H1924" s="62" t="n">
        <v>0</v>
      </c>
      <c r="I1924" s="9" t="inlineStr">
        <is>
          <t>Pet Boarding / Huấn luyện K9 &amp; Dịch vụ (20-22đ)</t>
        </is>
      </c>
      <c r="J1924" s="62" t="n">
        <v>22</v>
      </c>
      <c r="K1924" s="9" t="inlineStr">
        <is>
          <t>Chưa rõ giống (Cần quét Bio)</t>
        </is>
      </c>
      <c r="L1924" s="62" t="n">
        <v>0</v>
      </c>
      <c r="M1924" s="62" t="n">
        <v>0</v>
      </c>
      <c r="N1924" s="9" t="inlineStr">
        <is>
          <t>Amazon link not found</t>
        </is>
      </c>
      <c r="O1924" s="62">
        <f>IF(N1924="Selling pet toys + Artificial grass/Pet toilets (TARGET)",15,IF(N1924="Selling artificial grass/pet toilets (TARGET)",10,IF(N1924="Selling pet toys",7,IF(N1924="There's an Amazon link, but no target sales.",3,0))))</f>
        <v/>
      </c>
      <c r="P1924" s="67">
        <f>H1924+J1924+L1924+M1924+O1924</f>
        <v/>
      </c>
      <c r="Q1924" s="68">
        <f>IF(OR(H1924=0,P1924&lt;30),"Tier D (Đóng băng)",IF(P1924&gt;=85,"Tier S (Kim Cương: 85-100đ)",IF(P1924&gt;=70,"Tier A (Vàng: 70-84đ)",IF(P1924&gt;=61,"Tier B+ / Cấp A (Hot Lead: 61-69đ)",IF(P1924&gt;=50,"Tier B (Bạc: 50-60đ)","Tier C (Đồng: 30-49đ)")))))</f>
        <v/>
      </c>
      <c r="R1924" s="9" t="inlineStr">
        <is>
          <t>Cỏ nhân tạo sân chơi/huấn luyện (Dog Turf) + Đồ chơi nhai chịu lực (KONG/Chew Toys)</t>
        </is>
      </c>
      <c r="S1924" s="9" t="inlineStr">
        <is>
          <t>Đóng băng tương tác (&gt;30 ngày): Lưu trữ chờ kích hoạt lại, không tốn tài nguyên Sales</t>
        </is>
      </c>
    </row>
    <row r="1925">
      <c r="A1925" s="53" t="n">
        <v>3224</v>
      </c>
      <c r="B1925" s="12" t="inlineStr">
        <is>
          <t>Training dogs k9</t>
        </is>
      </c>
      <c r="C1925" s="54" t="inlineStr">
        <is>
          <t>https://www.facebook.com/9Paulok9</t>
        </is>
      </c>
      <c r="D1925" s="6" t="inlineStr">
        <is>
          <t>Cần quét Bio Fanpage</t>
        </is>
      </c>
      <c r="E1925" s="53" t="inlineStr">
        <is>
          <t>27/08/2026 22:24:34</t>
        </is>
      </c>
      <c r="F1925" s="53" t="inlineStr">
        <is>
          <t>1 tháng trước</t>
        </is>
      </c>
      <c r="G1925" s="55" t="n">
        <v>30</v>
      </c>
      <c r="H1925" s="56" t="n">
        <v>0</v>
      </c>
      <c r="I1925" s="6" t="inlineStr">
        <is>
          <t>Pet Boarding / Huấn luyện K9 &amp; Dịch vụ (20-22đ)</t>
        </is>
      </c>
      <c r="J1925" s="56" t="n">
        <v>22</v>
      </c>
      <c r="K1925" s="6" t="inlineStr">
        <is>
          <t>Chưa rõ giống (Cần quét Bio)</t>
        </is>
      </c>
      <c r="L1925" s="56" t="n">
        <v>0</v>
      </c>
      <c r="M1925" s="56" t="n">
        <v>0</v>
      </c>
      <c r="N1925" s="6" t="inlineStr">
        <is>
          <t>Amazon link not found</t>
        </is>
      </c>
      <c r="O1925" s="56">
        <f>IF(N1925="Selling pet toys + Artificial grass/Pet toilets (TARGET)",15,IF(N1925="Selling artificial grass/pet toilets (TARGET)",10,IF(N1925="Selling pet toys",7,IF(N1925="There's an Amazon link, but no target sales.",3,0))))</f>
        <v/>
      </c>
      <c r="P1925" s="65">
        <f>H1925+J1925+L1925+M1925+O1925</f>
        <v/>
      </c>
      <c r="Q1925" s="68">
        <f>IF(OR(H1925=0,P1925&lt;30),"Tier D (Đóng băng)",IF(P1925&gt;=85,"Tier S (Kim Cương: 85-100đ)",IF(P1925&gt;=70,"Tier A (Vàng: 70-84đ)",IF(P1925&gt;=61,"Tier B+ / Cấp A (Hot Lead: 61-69đ)",IF(P1925&gt;=50,"Tier B (Bạc: 50-60đ)","Tier C (Đồng: 30-49đ)")))))</f>
        <v/>
      </c>
      <c r="R1925" s="6" t="inlineStr">
        <is>
          <t>Cỏ nhân tạo sân chơi/huấn luyện (Dog Turf) + Đồ chơi nhai chịu lực (KONG/Chew Toys)</t>
        </is>
      </c>
      <c r="S1925" s="6" t="inlineStr">
        <is>
          <t>Đóng băng tương tác (&gt;30 ngày): Lưu trữ chờ kích hoạt lại, không tốn tài nguyên Sales</t>
        </is>
      </c>
    </row>
    <row r="1926">
      <c r="A1926" s="59" t="n">
        <v>1807</v>
      </c>
      <c r="B1926" s="15" t="inlineStr">
        <is>
          <t>K9 Hope Broker</t>
        </is>
      </c>
      <c r="C1926" s="60" t="inlineStr">
        <is>
          <t>https://www.facebook.com/K9HopeBroker</t>
        </is>
      </c>
      <c r="D1926" s="9" t="inlineStr">
        <is>
          <t>Cần quét Bio Fanpage</t>
        </is>
      </c>
      <c r="E1926" s="59" t="inlineStr">
        <is>
          <t>24/08/2026 11:24:32</t>
        </is>
      </c>
      <c r="F1926" s="59" t="inlineStr">
        <is>
          <t>1 tháng trước</t>
        </is>
      </c>
      <c r="G1926" s="61" t="n">
        <v>30</v>
      </c>
      <c r="H1926" s="62" t="n">
        <v>0</v>
      </c>
      <c r="I1926" s="9" t="inlineStr">
        <is>
          <t>Pet Boarding / Huấn luyện K9 &amp; Dịch vụ (20-22đ)</t>
        </is>
      </c>
      <c r="J1926" s="62" t="n">
        <v>22</v>
      </c>
      <c r="K1926" s="9" t="inlineStr">
        <is>
          <t>Chưa rõ giống (Cần quét Bio)</t>
        </is>
      </c>
      <c r="L1926" s="62" t="n">
        <v>0</v>
      </c>
      <c r="M1926" s="62" t="n">
        <v>0</v>
      </c>
      <c r="N1926" s="9" t="inlineStr">
        <is>
          <t>Amazon link not found</t>
        </is>
      </c>
      <c r="O1926" s="62">
        <f>IF(N1926="Selling pet toys + Artificial grass/Pet toilets (TARGET)",15,IF(N1926="Selling artificial grass/pet toilets (TARGET)",10,IF(N1926="Selling pet toys",7,IF(N1926="There's an Amazon link, but no target sales.",3,0))))</f>
        <v/>
      </c>
      <c r="P1926" s="67">
        <f>H1926+J1926+L1926+M1926+O1926</f>
        <v/>
      </c>
      <c r="Q1926" s="68">
        <f>IF(OR(H1926=0,P1926&lt;30),"Tier D (Đóng băng)",IF(P1926&gt;=85,"Tier S (Kim Cương: 85-100đ)",IF(P1926&gt;=70,"Tier A (Vàng: 70-84đ)",IF(P1926&gt;=61,"Tier B+ / Cấp A (Hot Lead: 61-69đ)",IF(P1926&gt;=50,"Tier B (Bạc: 50-60đ)","Tier C (Đồng: 30-49đ)")))))</f>
        <v/>
      </c>
      <c r="R1926" s="9" t="inlineStr">
        <is>
          <t>Cỏ nhân tạo sân chơi/huấn luyện (Dog Turf) + Đồ chơi nhai chịu lực (KONG/Chew Toys)</t>
        </is>
      </c>
      <c r="S1926" s="9" t="inlineStr">
        <is>
          <t>Đóng băng tương tác (&gt;30 ngày): Lưu trữ chờ kích hoạt lại, không tốn tài nguyên Sales</t>
        </is>
      </c>
    </row>
    <row r="1927">
      <c r="A1927" s="53" t="n">
        <v>2886</v>
      </c>
      <c r="B1927" s="12" t="inlineStr">
        <is>
          <t>Shoreline K9</t>
        </is>
      </c>
      <c r="C1927" s="54" t="inlineStr">
        <is>
          <t>https://www.facebook.com/shorelinek9</t>
        </is>
      </c>
      <c r="D1927" s="6" t="inlineStr">
        <is>
          <t>Cần quét Bio Fanpage</t>
        </is>
      </c>
      <c r="E1927" s="53" t="inlineStr">
        <is>
          <t>19/08/2026 01:50:10</t>
        </is>
      </c>
      <c r="F1927" s="53" t="inlineStr">
        <is>
          <t>1 tháng trước</t>
        </is>
      </c>
      <c r="G1927" s="55" t="n">
        <v>30</v>
      </c>
      <c r="H1927" s="56" t="n">
        <v>0</v>
      </c>
      <c r="I1927" s="6" t="inlineStr">
        <is>
          <t>Pet Boarding / Huấn luyện K9 &amp; Dịch vụ (20-22đ)</t>
        </is>
      </c>
      <c r="J1927" s="56" t="n">
        <v>22</v>
      </c>
      <c r="K1927" s="6" t="inlineStr">
        <is>
          <t>Chưa rõ giống (Cần quét Bio)</t>
        </is>
      </c>
      <c r="L1927" s="56" t="n">
        <v>0</v>
      </c>
      <c r="M1927" s="56" t="n">
        <v>0</v>
      </c>
      <c r="N1927" s="6" t="inlineStr">
        <is>
          <t>Amazon link not found</t>
        </is>
      </c>
      <c r="O1927" s="56">
        <f>IF(N1927="Selling pet toys + Artificial grass/Pet toilets (TARGET)",15,IF(N1927="Selling artificial grass/pet toilets (TARGET)",10,IF(N1927="Selling pet toys",7,IF(N1927="There's an Amazon link, but no target sales.",3,0))))</f>
        <v/>
      </c>
      <c r="P1927" s="65">
        <f>H1927+J1927+L1927+M1927+O1927</f>
        <v/>
      </c>
      <c r="Q1927" s="68">
        <f>IF(OR(H1927=0,P1927&lt;30),"Tier D (Đóng băng)",IF(P1927&gt;=85,"Tier S (Kim Cương: 85-100đ)",IF(P1927&gt;=70,"Tier A (Vàng: 70-84đ)",IF(P1927&gt;=61,"Tier B+ / Cấp A (Hot Lead: 61-69đ)",IF(P1927&gt;=50,"Tier B (Bạc: 50-60đ)","Tier C (Đồng: 30-49đ)")))))</f>
        <v/>
      </c>
      <c r="R1927" s="6" t="inlineStr">
        <is>
          <t>Cỏ nhân tạo sân chơi/huấn luyện (Dog Turf) + Đồ chơi nhai chịu lực (KONG/Chew Toys)</t>
        </is>
      </c>
      <c r="S1927" s="6" t="inlineStr">
        <is>
          <t>Đóng băng tương tác (&gt;30 ngày): Lưu trữ chờ kích hoạt lại, không tốn tài nguyên Sales</t>
        </is>
      </c>
    </row>
    <row r="1928">
      <c r="A1928" s="59" t="n">
        <v>944</v>
      </c>
      <c r="B1928" s="15" t="inlineStr">
        <is>
          <t>Cornerstone Dog Training</t>
        </is>
      </c>
      <c r="C1928" s="60" t="inlineStr">
        <is>
          <t>https://www.facebook.com/cornerstonedog</t>
        </is>
      </c>
      <c r="D1928" s="9" t="inlineStr">
        <is>
          <t>Cần quét Bio Fanpage</t>
        </is>
      </c>
      <c r="E1928" s="59" t="inlineStr">
        <is>
          <t>19/08/2026 00:59:38</t>
        </is>
      </c>
      <c r="F1928" s="59" t="inlineStr">
        <is>
          <t>1 tháng trước</t>
        </is>
      </c>
      <c r="G1928" s="61" t="n">
        <v>30</v>
      </c>
      <c r="H1928" s="62" t="n">
        <v>0</v>
      </c>
      <c r="I1928" s="9" t="inlineStr">
        <is>
          <t>Pet Boarding / Huấn luyện K9 &amp; Dịch vụ (20-22đ)</t>
        </is>
      </c>
      <c r="J1928" s="62" t="n">
        <v>22</v>
      </c>
      <c r="K1928" s="9" t="inlineStr">
        <is>
          <t>Chưa rõ giống (Cần quét Bio)</t>
        </is>
      </c>
      <c r="L1928" s="62" t="n">
        <v>0</v>
      </c>
      <c r="M1928" s="62" t="n">
        <v>0</v>
      </c>
      <c r="N1928" s="9" t="inlineStr">
        <is>
          <t>Amazon link not found</t>
        </is>
      </c>
      <c r="O1928" s="62">
        <f>IF(N1928="Selling pet toys + Artificial grass/Pet toilets (TARGET)",15,IF(N1928="Selling artificial grass/pet toilets (TARGET)",10,IF(N1928="Selling pet toys",7,IF(N1928="There's an Amazon link, but no target sales.",3,0))))</f>
        <v/>
      </c>
      <c r="P1928" s="67">
        <f>H1928+J1928+L1928+M1928+O1928</f>
        <v/>
      </c>
      <c r="Q1928" s="68">
        <f>IF(OR(H1928=0,P1928&lt;30),"Tier D (Đóng băng)",IF(P1928&gt;=85,"Tier S (Kim Cương: 85-100đ)",IF(P1928&gt;=70,"Tier A (Vàng: 70-84đ)",IF(P1928&gt;=61,"Tier B+ / Cấp A (Hot Lead: 61-69đ)",IF(P1928&gt;=50,"Tier B (Bạc: 50-60đ)","Tier C (Đồng: 30-49đ)")))))</f>
        <v/>
      </c>
      <c r="R1928" s="9" t="inlineStr">
        <is>
          <t>Cỏ nhân tạo sân chơi/huấn luyện (Dog Turf) + Đồ chơi nhai chịu lực (KONG/Chew Toys)</t>
        </is>
      </c>
      <c r="S1928" s="9" t="inlineStr">
        <is>
          <t>Đóng băng tương tác (&gt;30 ngày): Lưu trữ chờ kích hoạt lại, không tốn tài nguyên Sales</t>
        </is>
      </c>
    </row>
    <row r="1929">
      <c r="A1929" s="53" t="n">
        <v>2694</v>
      </c>
      <c r="B1929" s="12" t="inlineStr">
        <is>
          <t>Rapport Show Dog Training</t>
        </is>
      </c>
      <c r="C1929" s="54" t="inlineStr">
        <is>
          <t>https://www.facebook.com/RapportShowDogTraining</t>
        </is>
      </c>
      <c r="D1929" s="6" t="inlineStr">
        <is>
          <t>Cần quét Bio Fanpage</t>
        </is>
      </c>
      <c r="E1929" s="53" t="inlineStr">
        <is>
          <t>20/07/2026 00:36:17</t>
        </is>
      </c>
      <c r="F1929" s="53" t="inlineStr">
        <is>
          <t>2 tháng trước</t>
        </is>
      </c>
      <c r="G1929" s="55" t="n">
        <v>60</v>
      </c>
      <c r="H1929" s="56" t="n">
        <v>0</v>
      </c>
      <c r="I1929" s="6" t="inlineStr">
        <is>
          <t>Pet Boarding / Huấn luyện K9 &amp; Dịch vụ (20-22đ)</t>
        </is>
      </c>
      <c r="J1929" s="56" t="n">
        <v>22</v>
      </c>
      <c r="K1929" s="6" t="inlineStr">
        <is>
          <t>Chưa rõ giống (Cần quét Bio)</t>
        </is>
      </c>
      <c r="L1929" s="56" t="n">
        <v>0</v>
      </c>
      <c r="M1929" s="56" t="n">
        <v>0</v>
      </c>
      <c r="N1929" s="6" t="inlineStr">
        <is>
          <t>Amazon link not found</t>
        </is>
      </c>
      <c r="O1929" s="56">
        <f>IF(N1929="Selling pet toys + Artificial grass/Pet toilets (TARGET)",15,IF(N1929="Selling artificial grass/pet toilets (TARGET)",10,IF(N1929="Selling pet toys",7,IF(N1929="There's an Amazon link, but no target sales.",3,0))))</f>
        <v/>
      </c>
      <c r="P1929" s="65">
        <f>H1929+J1929+L1929+M1929+O1929</f>
        <v/>
      </c>
      <c r="Q1929" s="68">
        <f>IF(OR(H1929=0,P1929&lt;30),"Tier D (Đóng băng)",IF(P1929&gt;=85,"Tier S (Kim Cương: 85-100đ)",IF(P1929&gt;=70,"Tier A (Vàng: 70-84đ)",IF(P1929&gt;=61,"Tier B+ / Cấp A (Hot Lead: 61-69đ)",IF(P1929&gt;=50,"Tier B (Bạc: 50-60đ)","Tier C (Đồng: 30-49đ)")))))</f>
        <v/>
      </c>
      <c r="R1929" s="6" t="inlineStr">
        <is>
          <t>Cỏ nhân tạo sân chơi/huấn luyện (Dog Turf) + Đồ chơi nhai chịu lực (KONG/Chew Toys)</t>
        </is>
      </c>
      <c r="S1929" s="6" t="inlineStr">
        <is>
          <t>Đóng băng tương tác (&gt;30 ngày): Lưu trữ chờ kích hoạt lại, không tốn tài nguyên Sales</t>
        </is>
      </c>
    </row>
    <row r="1930">
      <c r="A1930" s="59" t="n">
        <v>1531</v>
      </c>
      <c r="B1930" s="15" t="inlineStr">
        <is>
          <t>Good Boy Pet Supplies</t>
        </is>
      </c>
      <c r="C1930" s="60" t="inlineStr">
        <is>
          <t>https://www.facebook.com/goodboypetsupplies</t>
        </is>
      </c>
      <c r="D1930" s="9" t="inlineStr">
        <is>
          <t>Cần quét Bio Fanpage</t>
        </is>
      </c>
      <c r="E1930" s="59" t="inlineStr">
        <is>
          <t>08/06/2026 07:06:32</t>
        </is>
      </c>
      <c r="F1930" s="59" t="inlineStr">
        <is>
          <t>4 tháng trước</t>
        </is>
      </c>
      <c r="G1930" s="61" t="n">
        <v>120</v>
      </c>
      <c r="H1930" s="62" t="n">
        <v>0</v>
      </c>
      <c r="I1930" s="9" t="inlineStr">
        <is>
          <t>Pet Owner / Cộng đồng nuôi cún (10đ)</t>
        </is>
      </c>
      <c r="J1930" s="62" t="n">
        <v>10</v>
      </c>
      <c r="K1930" s="9" t="inlineStr">
        <is>
          <t>Chưa rõ giống (Cần quét Bio)</t>
        </is>
      </c>
      <c r="L1930" s="62" t="n">
        <v>0</v>
      </c>
      <c r="M1930" s="62" t="n">
        <v>5</v>
      </c>
      <c r="N1930" s="9" t="inlineStr">
        <is>
          <t>Selling pet toys</t>
        </is>
      </c>
      <c r="O1930" s="62">
        <f>IF(N1930="Selling pet toys + Artificial grass/Pet toilets (TARGET)",15,IF(N1930="Selling artificial grass/pet toilets (TARGET)",10,IF(N1930="Selling pet toys",7,IF(N1930="There's an Amazon link, but no target sales.",3,0))))</f>
        <v/>
      </c>
      <c r="P1930" s="67">
        <f>H1930+J1930+L1930+M1930+O1930</f>
        <v/>
      </c>
      <c r="Q1930" s="68">
        <f>IF(OR(H1930=0,P1930&lt;30),"Tier D (Đóng băng)",IF(P1930&gt;=85,"Tier S (Kim Cương: 85-100đ)",IF(P1930&gt;=70,"Tier A (Vàng: 70-84đ)",IF(P1930&gt;=61,"Tier B+ / Cấp A (Hot Lead: 61-69đ)",IF(P1930&gt;=50,"Tier B (Bạc: 50-60đ)","Tier C (Đồng: 30-49đ)")))))</f>
        <v/>
      </c>
      <c r="R1930" s="9" t="inlineStr">
        <is>
          <t>Khay vệ sinh chung cư (Indoor Potty) + Thảm cỏ ban công (Grass Patch) + Đồ chơi</t>
        </is>
      </c>
      <c r="S1930" s="9" t="inlineStr">
        <is>
          <t>Đóng băng tương tác (&gt;30 ngày): Lưu trữ chờ kích hoạt lại, không tốn tài nguyên Sales</t>
        </is>
      </c>
    </row>
    <row r="1931">
      <c r="A1931" s="53" t="n">
        <v>1812</v>
      </c>
      <c r="B1931" s="12" t="inlineStr">
        <is>
          <t>K9 Kutz by John</t>
        </is>
      </c>
      <c r="C1931" s="54" t="inlineStr">
        <is>
          <t>https://www.facebook.com/profile.php?id=100080115960281</t>
        </is>
      </c>
      <c r="D1931" s="6" t="inlineStr">
        <is>
          <t>Cần quét Bio Fanpage</t>
        </is>
      </c>
      <c r="E1931" s="53" t="inlineStr">
        <is>
          <t>06/06/2026 01:08:30</t>
        </is>
      </c>
      <c r="F1931" s="53" t="inlineStr">
        <is>
          <t>4 tháng trước</t>
        </is>
      </c>
      <c r="G1931" s="55" t="n">
        <v>120</v>
      </c>
      <c r="H1931" s="56" t="n">
        <v>0</v>
      </c>
      <c r="I1931" s="6" t="inlineStr">
        <is>
          <t>Pet Boarding / Huấn luyện K9 &amp; Dịch vụ (20-22đ)</t>
        </is>
      </c>
      <c r="J1931" s="56" t="n">
        <v>22</v>
      </c>
      <c r="K1931" s="6" t="inlineStr">
        <is>
          <t>Chưa rõ giống (Cần quét Bio)</t>
        </is>
      </c>
      <c r="L1931" s="56" t="n">
        <v>0</v>
      </c>
      <c r="M1931" s="56" t="n">
        <v>0</v>
      </c>
      <c r="N1931" s="6" t="inlineStr">
        <is>
          <t>Amazon link not found</t>
        </is>
      </c>
      <c r="O1931" s="56">
        <f>IF(N1931="Selling pet toys + Artificial grass/Pet toilets (TARGET)",15,IF(N1931="Selling artificial grass/pet toilets (TARGET)",10,IF(N1931="Selling pet toys",7,IF(N1931="There's an Amazon link, but no target sales.",3,0))))</f>
        <v/>
      </c>
      <c r="P1931" s="65">
        <f>H1931+J1931+L1931+M1931+O1931</f>
        <v/>
      </c>
      <c r="Q1931" s="68">
        <f>IF(OR(H1931=0,P1931&lt;30),"Tier D (Đóng băng)",IF(P1931&gt;=85,"Tier S (Kim Cương: 85-100đ)",IF(P1931&gt;=70,"Tier A (Vàng: 70-84đ)",IF(P1931&gt;=61,"Tier B+ / Cấp A (Hot Lead: 61-69đ)",IF(P1931&gt;=50,"Tier B (Bạc: 50-60đ)","Tier C (Đồng: 30-49đ)")))))</f>
        <v/>
      </c>
      <c r="R1931" s="6" t="inlineStr">
        <is>
          <t>Cỏ nhân tạo sân chơi/huấn luyện (Dog Turf) + Đồ chơi nhai chịu lực (KONG/Chew Toys)</t>
        </is>
      </c>
      <c r="S1931" s="6" t="inlineStr">
        <is>
          <t>Đóng băng tương tác (&gt;30 ngày): Lưu trữ chờ kích hoạt lại, không tốn tài nguyên Sales</t>
        </is>
      </c>
    </row>
    <row r="1932">
      <c r="A1932" s="59" t="n">
        <v>1813</v>
      </c>
      <c r="B1932" s="15" t="inlineStr">
        <is>
          <t>K9 Muscle Therapy</t>
        </is>
      </c>
      <c r="C1932" s="60" t="inlineStr">
        <is>
          <t>https://www.facebook.com/K9MUSCLETHERAPY</t>
        </is>
      </c>
      <c r="D1932" s="9" t="inlineStr">
        <is>
          <t>Cần quét Bio Fanpage</t>
        </is>
      </c>
      <c r="E1932" s="59" t="inlineStr">
        <is>
          <t>27/05/2026 13:03:37</t>
        </is>
      </c>
      <c r="F1932" s="59" t="inlineStr">
        <is>
          <t>4 tháng trước</t>
        </is>
      </c>
      <c r="G1932" s="61" t="n">
        <v>120</v>
      </c>
      <c r="H1932" s="62" t="n">
        <v>0</v>
      </c>
      <c r="I1932" s="9" t="inlineStr">
        <is>
          <t>Pet Boarding / Huấn luyện K9 &amp; Dịch vụ (20-22đ)</t>
        </is>
      </c>
      <c r="J1932" s="62" t="n">
        <v>22</v>
      </c>
      <c r="K1932" s="9" t="inlineStr">
        <is>
          <t>Chưa rõ giống (Cần quét Bio)</t>
        </is>
      </c>
      <c r="L1932" s="62" t="n">
        <v>0</v>
      </c>
      <c r="M1932" s="62" t="n">
        <v>0</v>
      </c>
      <c r="N1932" s="9" t="inlineStr">
        <is>
          <t>Amazon link not found</t>
        </is>
      </c>
      <c r="O1932" s="62">
        <f>IF(N1932="Selling pet toys + Artificial grass/Pet toilets (TARGET)",15,IF(N1932="Selling artificial grass/pet toilets (TARGET)",10,IF(N1932="Selling pet toys",7,IF(N1932="There's an Amazon link, but no target sales.",3,0))))</f>
        <v/>
      </c>
      <c r="P1932" s="67">
        <f>H1932+J1932+L1932+M1932+O1932</f>
        <v/>
      </c>
      <c r="Q1932" s="68">
        <f>IF(OR(H1932=0,P1932&lt;30),"Tier D (Đóng băng)",IF(P1932&gt;=85,"Tier S (Kim Cương: 85-100đ)",IF(P1932&gt;=70,"Tier A (Vàng: 70-84đ)",IF(P1932&gt;=61,"Tier B+ / Cấp A (Hot Lead: 61-69đ)",IF(P1932&gt;=50,"Tier B (Bạc: 50-60đ)","Tier C (Đồng: 30-49đ)")))))</f>
        <v/>
      </c>
      <c r="R1932" s="9" t="inlineStr">
        <is>
          <t>Cỏ nhân tạo sân chơi/huấn luyện (Dog Turf) + Đồ chơi nhai chịu lực (KONG/Chew Toys)</t>
        </is>
      </c>
      <c r="S1932" s="9" t="inlineStr">
        <is>
          <t>Đóng băng tương tác (&gt;30 ngày): Lưu trữ chờ kích hoạt lại, không tốn tài nguyên Sales</t>
        </is>
      </c>
    </row>
    <row r="1933">
      <c r="A1933" s="53" t="n">
        <v>2603</v>
      </c>
      <c r="B1933" s="12" t="inlineStr">
        <is>
          <t>Positive K9 Training</t>
        </is>
      </c>
      <c r="C1933" s="54" t="inlineStr">
        <is>
          <t>https://www.facebook.com/PositiveK9Training</t>
        </is>
      </c>
      <c r="D1933" s="6" t="inlineStr">
        <is>
          <t>Cần quét Bio Fanpage</t>
        </is>
      </c>
      <c r="E1933" s="53" t="inlineStr">
        <is>
          <t>25/05/2026 08:12:54</t>
        </is>
      </c>
      <c r="F1933" s="53" t="inlineStr">
        <is>
          <t>4 tháng trước</t>
        </is>
      </c>
      <c r="G1933" s="55" t="n">
        <v>120</v>
      </c>
      <c r="H1933" s="56" t="n">
        <v>0</v>
      </c>
      <c r="I1933" s="6" t="inlineStr">
        <is>
          <t>Pet Boarding / Huấn luyện K9 &amp; Dịch vụ (20-22đ)</t>
        </is>
      </c>
      <c r="J1933" s="56" t="n">
        <v>22</v>
      </c>
      <c r="K1933" s="6" t="inlineStr">
        <is>
          <t>Chưa rõ giống (Cần quét Bio)</t>
        </is>
      </c>
      <c r="L1933" s="56" t="n">
        <v>0</v>
      </c>
      <c r="M1933" s="56" t="n">
        <v>0</v>
      </c>
      <c r="N1933" s="6" t="inlineStr">
        <is>
          <t>Amazon link not found</t>
        </is>
      </c>
      <c r="O1933" s="56">
        <f>IF(N1933="Selling pet toys + Artificial grass/Pet toilets (TARGET)",15,IF(N1933="Selling artificial grass/pet toilets (TARGET)",10,IF(N1933="Selling pet toys",7,IF(N1933="There's an Amazon link, but no target sales.",3,0))))</f>
        <v/>
      </c>
      <c r="P1933" s="65">
        <f>H1933+J1933+L1933+M1933+O1933</f>
        <v/>
      </c>
      <c r="Q1933" s="68">
        <f>IF(OR(H1933=0,P1933&lt;30),"Tier D (Đóng băng)",IF(P1933&gt;=85,"Tier S (Kim Cương: 85-100đ)",IF(P1933&gt;=70,"Tier A (Vàng: 70-84đ)",IF(P1933&gt;=61,"Tier B+ / Cấp A (Hot Lead: 61-69đ)",IF(P1933&gt;=50,"Tier B (Bạc: 50-60đ)","Tier C (Đồng: 30-49đ)")))))</f>
        <v/>
      </c>
      <c r="R1933" s="6" t="inlineStr">
        <is>
          <t>Cỏ nhân tạo sân chơi/huấn luyện (Dog Turf) + Đồ chơi nhai chịu lực (KONG/Chew Toys)</t>
        </is>
      </c>
      <c r="S1933" s="6" t="inlineStr">
        <is>
          <t>Đóng băng tương tác (&gt;30 ngày): Lưu trữ chờ kích hoạt lại, không tốn tài nguyên Sales</t>
        </is>
      </c>
    </row>
    <row r="1934">
      <c r="A1934" s="59" t="n">
        <v>429</v>
      </c>
      <c r="B1934" s="15" t="inlineStr">
        <is>
          <t>Andalucia K9</t>
        </is>
      </c>
      <c r="C1934" s="60" t="inlineStr">
        <is>
          <t>https://www.facebook.com/profile.php?id=100057745566272</t>
        </is>
      </c>
      <c r="D1934" s="9" t="inlineStr">
        <is>
          <t>Cần quét Bio Fanpage</t>
        </is>
      </c>
      <c r="E1934" s="59" t="inlineStr">
        <is>
          <t>25/05/2026 00:23:48</t>
        </is>
      </c>
      <c r="F1934" s="59" t="inlineStr">
        <is>
          <t>4 tháng trước</t>
        </is>
      </c>
      <c r="G1934" s="61" t="n">
        <v>120</v>
      </c>
      <c r="H1934" s="62" t="n">
        <v>0</v>
      </c>
      <c r="I1934" s="9" t="inlineStr">
        <is>
          <t>Pet Boarding / Huấn luyện K9 &amp; Dịch vụ (20-22đ)</t>
        </is>
      </c>
      <c r="J1934" s="62" t="n">
        <v>22</v>
      </c>
      <c r="K1934" s="9" t="inlineStr">
        <is>
          <t>Chưa rõ giống (Cần quét Bio)</t>
        </is>
      </c>
      <c r="L1934" s="62" t="n">
        <v>0</v>
      </c>
      <c r="M1934" s="62" t="n">
        <v>0</v>
      </c>
      <c r="N1934" s="9" t="inlineStr">
        <is>
          <t>Amazon link not found</t>
        </is>
      </c>
      <c r="O1934" s="62">
        <f>IF(N1934="Selling pet toys + Artificial grass/Pet toilets (TARGET)",15,IF(N1934="Selling artificial grass/pet toilets (TARGET)",10,IF(N1934="Selling pet toys",7,IF(N1934="There's an Amazon link, but no target sales.",3,0))))</f>
        <v/>
      </c>
      <c r="P1934" s="67">
        <f>H1934+J1934+L1934+M1934+O1934</f>
        <v/>
      </c>
      <c r="Q1934" s="68">
        <f>IF(OR(H1934=0,P1934&lt;30),"Tier D (Đóng băng)",IF(P1934&gt;=85,"Tier S (Kim Cương: 85-100đ)",IF(P1934&gt;=70,"Tier A (Vàng: 70-84đ)",IF(P1934&gt;=61,"Tier B+ / Cấp A (Hot Lead: 61-69đ)",IF(P1934&gt;=50,"Tier B (Bạc: 50-60đ)","Tier C (Đồng: 30-49đ)")))))</f>
        <v/>
      </c>
      <c r="R1934" s="9" t="inlineStr">
        <is>
          <t>Cỏ nhân tạo sân chơi/huấn luyện (Dog Turf) + Đồ chơi nhai chịu lực (KONG/Chew Toys)</t>
        </is>
      </c>
      <c r="S1934" s="9" t="inlineStr">
        <is>
          <t>Đóng băng tương tác (&gt;30 ngày): Lưu trữ chờ kích hoạt lại, không tốn tài nguyên Sales</t>
        </is>
      </c>
    </row>
    <row r="1935">
      <c r="A1935" s="53" t="n">
        <v>2362</v>
      </c>
      <c r="B1935" s="12" t="inlineStr">
        <is>
          <t>Olympus Dog Training</t>
        </is>
      </c>
      <c r="C1935" s="54" t="inlineStr">
        <is>
          <t>https://www.facebook.com/OlympusDogTraining</t>
        </is>
      </c>
      <c r="D1935" s="6" t="inlineStr">
        <is>
          <t>Cần quét Bio Fanpage</t>
        </is>
      </c>
      <c r="E1935" s="53" t="inlineStr">
        <is>
          <t>11/05/2026 08:53:59</t>
        </is>
      </c>
      <c r="F1935" s="53" t="inlineStr">
        <is>
          <t>5 tháng trước</t>
        </is>
      </c>
      <c r="G1935" s="55" t="n">
        <v>150</v>
      </c>
      <c r="H1935" s="56" t="n">
        <v>0</v>
      </c>
      <c r="I1935" s="6" t="inlineStr">
        <is>
          <t>Pet Boarding / Huấn luyện K9 &amp; Dịch vụ (20-22đ)</t>
        </is>
      </c>
      <c r="J1935" s="56" t="n">
        <v>22</v>
      </c>
      <c r="K1935" s="6" t="inlineStr">
        <is>
          <t>Chưa rõ giống (Cần quét Bio)</t>
        </is>
      </c>
      <c r="L1935" s="56" t="n">
        <v>0</v>
      </c>
      <c r="M1935" s="56" t="n">
        <v>0</v>
      </c>
      <c r="N1935" s="6" t="inlineStr">
        <is>
          <t>Amazon link not found</t>
        </is>
      </c>
      <c r="O1935" s="56">
        <f>IF(N1935="Selling pet toys + Artificial grass/Pet toilets (TARGET)",15,IF(N1935="Selling artificial grass/pet toilets (TARGET)",10,IF(N1935="Selling pet toys",7,IF(N1935="There's an Amazon link, but no target sales.",3,0))))</f>
        <v/>
      </c>
      <c r="P1935" s="65">
        <f>H1935+J1935+L1935+M1935+O1935</f>
        <v/>
      </c>
      <c r="Q1935" s="68">
        <f>IF(OR(H1935=0,P1935&lt;30),"Tier D (Đóng băng)",IF(P1935&gt;=85,"Tier S (Kim Cương: 85-100đ)",IF(P1935&gt;=70,"Tier A (Vàng: 70-84đ)",IF(P1935&gt;=61,"Tier B+ / Cấp A (Hot Lead: 61-69đ)",IF(P1935&gt;=50,"Tier B (Bạc: 50-60đ)","Tier C (Đồng: 30-49đ)")))))</f>
        <v/>
      </c>
      <c r="R1935" s="6" t="inlineStr">
        <is>
          <t>Cỏ nhân tạo sân chơi/huấn luyện (Dog Turf) + Đồ chơi nhai chịu lực (KONG/Chew Toys)</t>
        </is>
      </c>
      <c r="S1935" s="6" t="inlineStr">
        <is>
          <t>Đóng băng tương tác (&gt;30 ngày): Lưu trữ chờ kích hoạt lại, không tốn tài nguyên Sales</t>
        </is>
      </c>
    </row>
    <row r="1936">
      <c r="A1936" s="59" t="n">
        <v>2381</v>
      </c>
      <c r="B1936" s="15" t="inlineStr">
        <is>
          <t>Ourway Dog Training</t>
        </is>
      </c>
      <c r="C1936" s="60" t="inlineStr">
        <is>
          <t>https://www.facebook.com/Ourwaydogtraining</t>
        </is>
      </c>
      <c r="D1936" s="9" t="inlineStr">
        <is>
          <t>Cần quét Bio Fanpage</t>
        </is>
      </c>
      <c r="E1936" s="59" t="inlineStr">
        <is>
          <t>01/04/2026 15:06:00</t>
        </is>
      </c>
      <c r="F1936" s="59" t="inlineStr">
        <is>
          <t>6 tháng trước</t>
        </is>
      </c>
      <c r="G1936" s="61" t="n">
        <v>180</v>
      </c>
      <c r="H1936" s="62" t="n">
        <v>0</v>
      </c>
      <c r="I1936" s="9" t="inlineStr">
        <is>
          <t>Pet Boarding / Huấn luyện K9 &amp; Dịch vụ (20-22đ)</t>
        </is>
      </c>
      <c r="J1936" s="62" t="n">
        <v>22</v>
      </c>
      <c r="K1936" s="9" t="inlineStr">
        <is>
          <t>Chưa rõ giống (Cần quét Bio)</t>
        </is>
      </c>
      <c r="L1936" s="62" t="n">
        <v>0</v>
      </c>
      <c r="M1936" s="62" t="n">
        <v>0</v>
      </c>
      <c r="N1936" s="9" t="inlineStr">
        <is>
          <t>Amazon link not found</t>
        </is>
      </c>
      <c r="O1936" s="62">
        <f>IF(N1936="Selling pet toys + Artificial grass/Pet toilets (TARGET)",15,IF(N1936="Selling artificial grass/pet toilets (TARGET)",10,IF(N1936="Selling pet toys",7,IF(N1936="There's an Amazon link, but no target sales.",3,0))))</f>
        <v/>
      </c>
      <c r="P1936" s="67">
        <f>H1936+J1936+L1936+M1936+O1936</f>
        <v/>
      </c>
      <c r="Q1936" s="68">
        <f>IF(OR(H1936=0,P1936&lt;30),"Tier D (Đóng băng)",IF(P1936&gt;=85,"Tier S (Kim Cương: 85-100đ)",IF(P1936&gt;=70,"Tier A (Vàng: 70-84đ)",IF(P1936&gt;=61,"Tier B+ / Cấp A (Hot Lead: 61-69đ)",IF(P1936&gt;=50,"Tier B (Bạc: 50-60đ)","Tier C (Đồng: 30-49đ)")))))</f>
        <v/>
      </c>
      <c r="R1936" s="9" t="inlineStr">
        <is>
          <t>Cỏ nhân tạo sân chơi/huấn luyện (Dog Turf) + Đồ chơi nhai chịu lực (KONG/Chew Toys)</t>
        </is>
      </c>
      <c r="S1936" s="9" t="inlineStr">
        <is>
          <t>Đóng băng tương tác (&gt;30 ngày): Lưu trữ chờ kích hoạt lại, không tốn tài nguyên Sales</t>
        </is>
      </c>
    </row>
    <row r="1937">
      <c r="A1937" s="53" t="n">
        <v>2323</v>
      </c>
      <c r="B1937" s="12" t="inlineStr">
        <is>
          <t>Northway K9</t>
        </is>
      </c>
      <c r="C1937" s="54" t="inlineStr">
        <is>
          <t>https://www.facebook.com/NorthwayK9</t>
        </is>
      </c>
      <c r="D1937" s="6" t="inlineStr">
        <is>
          <t>Cần quét Bio Fanpage</t>
        </is>
      </c>
      <c r="E1937" s="53" t="inlineStr">
        <is>
          <t>25/03/2026 22:44:05</t>
        </is>
      </c>
      <c r="F1937" s="53" t="inlineStr">
        <is>
          <t>6 tháng trước</t>
        </is>
      </c>
      <c r="G1937" s="55" t="n">
        <v>180</v>
      </c>
      <c r="H1937" s="56" t="n">
        <v>0</v>
      </c>
      <c r="I1937" s="6" t="inlineStr">
        <is>
          <t>Pet Boarding / Huấn luyện K9 &amp; Dịch vụ (20-22đ)</t>
        </is>
      </c>
      <c r="J1937" s="56" t="n">
        <v>22</v>
      </c>
      <c r="K1937" s="6" t="inlineStr">
        <is>
          <t>Chưa rõ giống (Cần quét Bio)</t>
        </is>
      </c>
      <c r="L1937" s="56" t="n">
        <v>0</v>
      </c>
      <c r="M1937" s="56" t="n">
        <v>0</v>
      </c>
      <c r="N1937" s="6" t="inlineStr">
        <is>
          <t>Amazon link not found</t>
        </is>
      </c>
      <c r="O1937" s="56">
        <f>IF(N1937="Selling pet toys + Artificial grass/Pet toilets (TARGET)",15,IF(N1937="Selling artificial grass/pet toilets (TARGET)",10,IF(N1937="Selling pet toys",7,IF(N1937="There's an Amazon link, but no target sales.",3,0))))</f>
        <v/>
      </c>
      <c r="P1937" s="65">
        <f>H1937+J1937+L1937+M1937+O1937</f>
        <v/>
      </c>
      <c r="Q1937" s="68">
        <f>IF(OR(H1937=0,P1937&lt;30),"Tier D (Đóng băng)",IF(P1937&gt;=85,"Tier S (Kim Cương: 85-100đ)",IF(P1937&gt;=70,"Tier A (Vàng: 70-84đ)",IF(P1937&gt;=61,"Tier B+ / Cấp A (Hot Lead: 61-69đ)",IF(P1937&gt;=50,"Tier B (Bạc: 50-60đ)","Tier C (Đồng: 30-49đ)")))))</f>
        <v/>
      </c>
      <c r="R1937" s="6" t="inlineStr">
        <is>
          <t>Cỏ nhân tạo sân chơi/huấn luyện (Dog Turf) + Đồ chơi nhai chịu lực (KONG/Chew Toys)</t>
        </is>
      </c>
      <c r="S1937" s="6" t="inlineStr">
        <is>
          <t>Đóng băng tương tác (&gt;30 ngày): Lưu trữ chờ kích hoạt lại, không tốn tài nguyên Sales</t>
        </is>
      </c>
    </row>
    <row r="1938">
      <c r="A1938" s="59" t="n">
        <v>1380</v>
      </c>
      <c r="B1938" s="15" t="inlineStr">
        <is>
          <t>Find My K9 Match</t>
        </is>
      </c>
      <c r="C1938" s="60" t="inlineStr">
        <is>
          <t>https://www.facebook.com/FindMyK9Match</t>
        </is>
      </c>
      <c r="D1938" s="9" t="inlineStr">
        <is>
          <t>Cần quét Bio Fanpage</t>
        </is>
      </c>
      <c r="E1938" s="59" t="inlineStr">
        <is>
          <t>24/01/2026 00:52:16</t>
        </is>
      </c>
      <c r="F1938" s="59" t="inlineStr">
        <is>
          <t>8 tháng trước</t>
        </is>
      </c>
      <c r="G1938" s="61" t="n">
        <v>240</v>
      </c>
      <c r="H1938" s="62" t="n">
        <v>0</v>
      </c>
      <c r="I1938" s="9" t="inlineStr">
        <is>
          <t>Pet Boarding / Huấn luyện K9 &amp; Dịch vụ (20-22đ)</t>
        </is>
      </c>
      <c r="J1938" s="62" t="n">
        <v>22</v>
      </c>
      <c r="K1938" s="9" t="inlineStr">
        <is>
          <t>Chưa rõ giống (Cần quét Bio)</t>
        </is>
      </c>
      <c r="L1938" s="62" t="n">
        <v>0</v>
      </c>
      <c r="M1938" s="62" t="n">
        <v>0</v>
      </c>
      <c r="N1938" s="9" t="inlineStr">
        <is>
          <t>Amazon link not found</t>
        </is>
      </c>
      <c r="O1938" s="62">
        <f>IF(N1938="Selling pet toys + Artificial grass/Pet toilets (TARGET)",15,IF(N1938="Selling artificial grass/pet toilets (TARGET)",10,IF(N1938="Selling pet toys",7,IF(N1938="There's an Amazon link, but no target sales.",3,0))))</f>
        <v/>
      </c>
      <c r="P1938" s="67">
        <f>H1938+J1938+L1938+M1938+O1938</f>
        <v/>
      </c>
      <c r="Q1938" s="68">
        <f>IF(OR(H1938=0,P1938&lt;30),"Tier D (Đóng băng)",IF(P1938&gt;=85,"Tier S (Kim Cương: 85-100đ)",IF(P1938&gt;=70,"Tier A (Vàng: 70-84đ)",IF(P1938&gt;=61,"Tier B+ / Cấp A (Hot Lead: 61-69đ)",IF(P1938&gt;=50,"Tier B (Bạc: 50-60đ)","Tier C (Đồng: 30-49đ)")))))</f>
        <v/>
      </c>
      <c r="R1938" s="9" t="inlineStr">
        <is>
          <t>Cỏ nhân tạo sân chơi/huấn luyện (Dog Turf) + Đồ chơi nhai chịu lực (KONG/Chew Toys)</t>
        </is>
      </c>
      <c r="S1938" s="9" t="inlineStr">
        <is>
          <t>Đóng băng tương tác (&gt;30 ngày): Lưu trữ chờ kích hoạt lại, không tốn tài nguyên Sales</t>
        </is>
      </c>
    </row>
    <row r="1939">
      <c r="A1939" s="53" t="n">
        <v>518</v>
      </c>
      <c r="B1939" s="12" t="inlineStr">
        <is>
          <t>Arlandohys luxury boarding for dogs &amp; cats.AB05</t>
        </is>
      </c>
      <c r="C1939" s="54" t="inlineStr">
        <is>
          <t>https://www.facebook.com/profile.php?id=100063580721068</t>
        </is>
      </c>
      <c r="D1939" s="6" t="inlineStr">
        <is>
          <t>Cần quét Bio Fanpage</t>
        </is>
      </c>
      <c r="E1939" s="53" t="inlineStr">
        <is>
          <t>06/06/2025 00:42:16</t>
        </is>
      </c>
      <c r="F1939" s="53" t="inlineStr">
        <is>
          <t>1 năm trước</t>
        </is>
      </c>
      <c r="G1939" s="55" t="n">
        <v>365</v>
      </c>
      <c r="H1939" s="56" t="n">
        <v>0</v>
      </c>
      <c r="I1939" s="6" t="inlineStr">
        <is>
          <t>Pet Boarding / Huấn luyện K9 &amp; Dịch vụ (20-22đ)</t>
        </is>
      </c>
      <c r="J1939" s="56" t="n">
        <v>22</v>
      </c>
      <c r="K1939" s="6" t="inlineStr">
        <is>
          <t>Chưa rõ giống (Cần quét Bio)</t>
        </is>
      </c>
      <c r="L1939" s="56" t="n">
        <v>0</v>
      </c>
      <c r="M1939" s="56" t="n">
        <v>0</v>
      </c>
      <c r="N1939" s="6" t="inlineStr">
        <is>
          <t>Amazon link not found</t>
        </is>
      </c>
      <c r="O1939" s="56">
        <f>IF(N1939="Selling pet toys + Artificial grass/Pet toilets (TARGET)",15,IF(N1939="Selling artificial grass/pet toilets (TARGET)",10,IF(N1939="Selling pet toys",7,IF(N1939="There's an Amazon link, but no target sales.",3,0))))</f>
        <v/>
      </c>
      <c r="P1939" s="65">
        <f>H1939+J1939+L1939+M1939+O1939</f>
        <v/>
      </c>
      <c r="Q1939" s="68">
        <f>IF(OR(H1939=0,P1939&lt;30),"Tier D (Đóng băng)",IF(P1939&gt;=85,"Tier S (Kim Cương: 85-100đ)",IF(P1939&gt;=70,"Tier A (Vàng: 70-84đ)",IF(P1939&gt;=61,"Tier B+ / Cấp A (Hot Lead: 61-69đ)",IF(P1939&gt;=50,"Tier B (Bạc: 50-60đ)","Tier C (Đồng: 30-49đ)")))))</f>
        <v/>
      </c>
      <c r="R1939" s="6" t="inlineStr">
        <is>
          <t>Cỏ nhân tạo sân chơi/huấn luyện (Dog Turf) + Đồ chơi nhai chịu lực (KONG/Chew Toys)</t>
        </is>
      </c>
      <c r="S1939" s="6" t="inlineStr">
        <is>
          <t>Đóng băng tương tác (&gt;30 ngày): Lưu trữ chờ kích hoạt lại, không tốn tài nguyên Sales</t>
        </is>
      </c>
    </row>
    <row r="1940">
      <c r="A1940" s="59" t="n">
        <v>1808</v>
      </c>
      <c r="B1940" s="15" t="inlineStr">
        <is>
          <t>K9 Interior Buddies</t>
        </is>
      </c>
      <c r="C1940" s="60" t="inlineStr">
        <is>
          <t>https://www.facebook.com/forevercompanions</t>
        </is>
      </c>
      <c r="D1940" s="9" t="inlineStr">
        <is>
          <t>Cần quét Bio Fanpage</t>
        </is>
      </c>
      <c r="E1940" s="59" t="inlineStr">
        <is>
          <t>12/05/2025 22:58:18</t>
        </is>
      </c>
      <c r="F1940" s="59" t="inlineStr">
        <is>
          <t>1 năm trước</t>
        </is>
      </c>
      <c r="G1940" s="61" t="n">
        <v>365</v>
      </c>
      <c r="H1940" s="62" t="n">
        <v>0</v>
      </c>
      <c r="I1940" s="9" t="inlineStr">
        <is>
          <t>Pet Boarding / Huấn luyện K9 &amp; Dịch vụ (20-22đ)</t>
        </is>
      </c>
      <c r="J1940" s="62" t="n">
        <v>22</v>
      </c>
      <c r="K1940" s="9" t="inlineStr">
        <is>
          <t>Chưa rõ giống (Cần quét Bio)</t>
        </is>
      </c>
      <c r="L1940" s="62" t="n">
        <v>0</v>
      </c>
      <c r="M1940" s="62" t="n">
        <v>0</v>
      </c>
      <c r="N1940" s="9" t="inlineStr">
        <is>
          <t>Amazon link not found</t>
        </is>
      </c>
      <c r="O1940" s="62">
        <f>IF(N1940="Selling pet toys + Artificial grass/Pet toilets (TARGET)",15,IF(N1940="Selling artificial grass/pet toilets (TARGET)",10,IF(N1940="Selling pet toys",7,IF(N1940="There's an Amazon link, but no target sales.",3,0))))</f>
        <v/>
      </c>
      <c r="P1940" s="67">
        <f>H1940+J1940+L1940+M1940+O1940</f>
        <v/>
      </c>
      <c r="Q1940" s="68">
        <f>IF(OR(H1940=0,P1940&lt;30),"Tier D (Đóng băng)",IF(P1940&gt;=85,"Tier S (Kim Cương: 85-100đ)",IF(P1940&gt;=70,"Tier A (Vàng: 70-84đ)",IF(P1940&gt;=61,"Tier B+ / Cấp A (Hot Lead: 61-69đ)",IF(P1940&gt;=50,"Tier B (Bạc: 50-60đ)","Tier C (Đồng: 30-49đ)")))))</f>
        <v/>
      </c>
      <c r="R1940" s="9" t="inlineStr">
        <is>
          <t>Cỏ nhân tạo sân chơi/huấn luyện (Dog Turf) + Đồ chơi nhai chịu lực (KONG/Chew Toys)</t>
        </is>
      </c>
      <c r="S1940" s="9" t="inlineStr">
        <is>
          <t>Đóng băng tương tác (&gt;30 ngày): Lưu trữ chờ kích hoạt lại, không tốn tài nguyên Sales</t>
        </is>
      </c>
    </row>
    <row r="1941">
      <c r="A1941" s="53" t="n">
        <v>815</v>
      </c>
      <c r="B1941" s="12" t="inlineStr">
        <is>
          <t>Camp Canine Dog Daycare and Boarding</t>
        </is>
      </c>
      <c r="C1941" s="54" t="inlineStr">
        <is>
          <t>https://www.facebook.com/profile.php?id=61568139603942</t>
        </is>
      </c>
      <c r="D1941" s="6" t="inlineStr">
        <is>
          <t>Cần quét Bio Fanpage</t>
        </is>
      </c>
      <c r="E1941" s="53" t="inlineStr">
        <is>
          <t>15/02/2025 09:23:46</t>
        </is>
      </c>
      <c r="F1941" s="53" t="inlineStr">
        <is>
          <t>1 năm trước</t>
        </is>
      </c>
      <c r="G1941" s="55" t="n">
        <v>365</v>
      </c>
      <c r="H1941" s="56" t="n">
        <v>0</v>
      </c>
      <c r="I1941" s="6" t="inlineStr">
        <is>
          <t>Pet Boarding / Huấn luyện K9 &amp; Dịch vụ (20-22đ)</t>
        </is>
      </c>
      <c r="J1941" s="56" t="n">
        <v>22</v>
      </c>
      <c r="K1941" s="6" t="inlineStr">
        <is>
          <t>Chưa rõ giống (Cần quét Bio)</t>
        </is>
      </c>
      <c r="L1941" s="56" t="n">
        <v>0</v>
      </c>
      <c r="M1941" s="56" t="n">
        <v>0</v>
      </c>
      <c r="N1941" s="6" t="inlineStr">
        <is>
          <t>Amazon link not found</t>
        </is>
      </c>
      <c r="O1941" s="56">
        <f>IF(N1941="Selling pet toys + Artificial grass/Pet toilets (TARGET)",15,IF(N1941="Selling artificial grass/pet toilets (TARGET)",10,IF(N1941="Selling pet toys",7,IF(N1941="There's an Amazon link, but no target sales.",3,0))))</f>
        <v/>
      </c>
      <c r="P1941" s="65">
        <f>H1941+J1941+L1941+M1941+O1941</f>
        <v/>
      </c>
      <c r="Q1941" s="68">
        <f>IF(OR(H1941=0,P1941&lt;30),"Tier D (Đóng băng)",IF(P1941&gt;=85,"Tier S (Kim Cương: 85-100đ)",IF(P1941&gt;=70,"Tier A (Vàng: 70-84đ)",IF(P1941&gt;=61,"Tier B+ / Cấp A (Hot Lead: 61-69đ)",IF(P1941&gt;=50,"Tier B (Bạc: 50-60đ)","Tier C (Đồng: 30-49đ)")))))</f>
        <v/>
      </c>
      <c r="R1941" s="6" t="inlineStr">
        <is>
          <t>Cỏ nhân tạo sân chơi/huấn luyện (Dog Turf) + Đồ chơi nhai chịu lực (KONG/Chew Toys)</t>
        </is>
      </c>
      <c r="S1941" s="6" t="inlineStr">
        <is>
          <t>Đóng băng tương tác (&gt;30 ngày): Lưu trữ chờ kích hoạt lại, không tốn tài nguyên Sales</t>
        </is>
      </c>
    </row>
    <row r="1942">
      <c r="A1942" s="59" t="n">
        <v>1480</v>
      </c>
      <c r="B1942" s="15" t="inlineStr">
        <is>
          <t>G - force Fowl Dogs and Training</t>
        </is>
      </c>
      <c r="C1942" s="60" t="inlineStr">
        <is>
          <t>https://www.facebook.com/profile.php?id=100065207460117</t>
        </is>
      </c>
      <c r="D1942" s="9" t="inlineStr">
        <is>
          <t>Cần quét Bio Fanpage</t>
        </is>
      </c>
      <c r="E1942" s="59" t="inlineStr">
        <is>
          <t>09/09/2023 03:15:02</t>
        </is>
      </c>
      <c r="F1942" s="59" t="inlineStr">
        <is>
          <t>3 năm trước</t>
        </is>
      </c>
      <c r="G1942" s="61" t="n">
        <v>1095</v>
      </c>
      <c r="H1942" s="62" t="n">
        <v>0</v>
      </c>
      <c r="I1942" s="9" t="inlineStr">
        <is>
          <t>Pet Boarding / Huấn luyện K9 &amp; Dịch vụ (20-22đ)</t>
        </is>
      </c>
      <c r="J1942" s="62" t="n">
        <v>22</v>
      </c>
      <c r="K1942" s="9" t="inlineStr">
        <is>
          <t>Chưa rõ giống (Cần quét Bio)</t>
        </is>
      </c>
      <c r="L1942" s="62" t="n">
        <v>0</v>
      </c>
      <c r="M1942" s="62" t="n">
        <v>0</v>
      </c>
      <c r="N1942" s="9" t="inlineStr">
        <is>
          <t>Amazon link not found</t>
        </is>
      </c>
      <c r="O1942" s="62">
        <f>IF(N1942="Selling pet toys + Artificial grass/Pet toilets (TARGET)",15,IF(N1942="Selling artificial grass/pet toilets (TARGET)",10,IF(N1942="Selling pet toys",7,IF(N1942="There's an Amazon link, but no target sales.",3,0))))</f>
        <v/>
      </c>
      <c r="P1942" s="67">
        <f>H1942+J1942+L1942+M1942+O1942</f>
        <v/>
      </c>
      <c r="Q1942" s="68">
        <f>IF(OR(H1942=0,P1942&lt;30),"Tier D (Đóng băng)",IF(P1942&gt;=85,"Tier S (Kim Cương: 85-100đ)",IF(P1942&gt;=70,"Tier A (Vàng: 70-84đ)",IF(P1942&gt;=61,"Tier B+ / Cấp A (Hot Lead: 61-69đ)",IF(P1942&gt;=50,"Tier B (Bạc: 50-60đ)","Tier C (Đồng: 30-49đ)")))))</f>
        <v/>
      </c>
      <c r="R1942" s="9" t="inlineStr">
        <is>
          <t>Cỏ nhân tạo sân chơi/huấn luyện (Dog Turf) + Đồ chơi nhai chịu lực (KONG/Chew Toys)</t>
        </is>
      </c>
      <c r="S1942" s="9" t="inlineStr">
        <is>
          <t>Đóng băng tương tác (&gt;30 ngày): Lưu trữ chờ kích hoạt lại, không tốn tài nguyên Sales</t>
        </is>
      </c>
    </row>
    <row r="1943">
      <c r="A1943" s="53" t="n">
        <v>1193</v>
      </c>
      <c r="B1943" s="12" t="inlineStr">
        <is>
          <t>Dogsitting and Training</t>
        </is>
      </c>
      <c r="C1943" s="54" t="inlineStr">
        <is>
          <t>https://www.facebook.com/SchmidPascal</t>
        </is>
      </c>
      <c r="D1943" s="6" t="inlineStr">
        <is>
          <t>Cần quét Bio Fanpage</t>
        </is>
      </c>
      <c r="E1943" s="53" t="inlineStr">
        <is>
          <t>03/08/2022 19:25:00</t>
        </is>
      </c>
      <c r="F1943" s="53" t="inlineStr">
        <is>
          <t>4 năm trước</t>
        </is>
      </c>
      <c r="G1943" s="55" t="n">
        <v>1460</v>
      </c>
      <c r="H1943" s="56" t="n">
        <v>0</v>
      </c>
      <c r="I1943" s="6" t="inlineStr">
        <is>
          <t>Pet Boarding / Huấn luyện K9 &amp; Dịch vụ (20-22đ)</t>
        </is>
      </c>
      <c r="J1943" s="56" t="n">
        <v>22</v>
      </c>
      <c r="K1943" s="6" t="inlineStr">
        <is>
          <t>Chưa rõ giống (Cần quét Bio)</t>
        </is>
      </c>
      <c r="L1943" s="56" t="n">
        <v>0</v>
      </c>
      <c r="M1943" s="56" t="n">
        <v>0</v>
      </c>
      <c r="N1943" s="6" t="inlineStr">
        <is>
          <t>Amazon link not found</t>
        </is>
      </c>
      <c r="O1943" s="56">
        <f>IF(N1943="Selling pet toys + Artificial grass/Pet toilets (TARGET)",15,IF(N1943="Selling artificial grass/pet toilets (TARGET)",10,IF(N1943="Selling pet toys",7,IF(N1943="There's an Amazon link, but no target sales.",3,0))))</f>
        <v/>
      </c>
      <c r="P1943" s="65">
        <f>H1943+J1943+L1943+M1943+O1943</f>
        <v/>
      </c>
      <c r="Q1943" s="68">
        <f>IF(OR(H1943=0,P1943&lt;30),"Tier D (Đóng băng)",IF(P1943&gt;=85,"Tier S (Kim Cương: 85-100đ)",IF(P1943&gt;=70,"Tier A (Vàng: 70-84đ)",IF(P1943&gt;=61,"Tier B+ / Cấp A (Hot Lead: 61-69đ)",IF(P1943&gt;=50,"Tier B (Bạc: 50-60đ)","Tier C (Đồng: 30-49đ)")))))</f>
        <v/>
      </c>
      <c r="R1943" s="6" t="inlineStr">
        <is>
          <t>Cỏ nhân tạo sân chơi/huấn luyện (Dog Turf) + Đồ chơi nhai chịu lực (KONG/Chew Toys)</t>
        </is>
      </c>
      <c r="S1943" s="6" t="inlineStr">
        <is>
          <t>Đóng băng tương tác (&gt;30 ngày): Lưu trữ chờ kích hoạt lại, không tốn tài nguyên Sales</t>
        </is>
      </c>
    </row>
    <row r="1944">
      <c r="A1944" s="59" t="n">
        <v>2255</v>
      </c>
      <c r="B1944" s="15" t="inlineStr">
        <is>
          <t>Nashville Dog Training Club</t>
        </is>
      </c>
      <c r="C1944" s="60" t="inlineStr">
        <is>
          <t>https://www.facebook.com/profile.php?id=100036470209739</t>
        </is>
      </c>
      <c r="D1944" s="9" t="inlineStr">
        <is>
          <t>Cần quét Bio Fanpage</t>
        </is>
      </c>
      <c r="E1944" s="59" t="inlineStr">
        <is>
          <t>19/02/2022 22:07:39</t>
        </is>
      </c>
      <c r="F1944" s="59" t="inlineStr">
        <is>
          <t>4 năm trước</t>
        </is>
      </c>
      <c r="G1944" s="61" t="n">
        <v>1460</v>
      </c>
      <c r="H1944" s="62" t="n">
        <v>0</v>
      </c>
      <c r="I1944" s="9" t="inlineStr">
        <is>
          <t>Pet Boarding / Huấn luyện K9 &amp; Dịch vụ (20-22đ)</t>
        </is>
      </c>
      <c r="J1944" s="62" t="n">
        <v>22</v>
      </c>
      <c r="K1944" s="9" t="inlineStr">
        <is>
          <t>Chưa rõ giống (Cần quét Bio)</t>
        </is>
      </c>
      <c r="L1944" s="62" t="n">
        <v>0</v>
      </c>
      <c r="M1944" s="62" t="n">
        <v>0</v>
      </c>
      <c r="N1944" s="9" t="inlineStr">
        <is>
          <t>Amazon link not found</t>
        </is>
      </c>
      <c r="O1944" s="62">
        <f>IF(N1944="Selling pet toys + Artificial grass/Pet toilets (TARGET)",15,IF(N1944="Selling artificial grass/pet toilets (TARGET)",10,IF(N1944="Selling pet toys",7,IF(N1944="There's an Amazon link, but no target sales.",3,0))))</f>
        <v/>
      </c>
      <c r="P1944" s="67">
        <f>H1944+J1944+L1944+M1944+O1944</f>
        <v/>
      </c>
      <c r="Q1944" s="68">
        <f>IF(OR(H1944=0,P1944&lt;30),"Tier D (Đóng băng)",IF(P1944&gt;=85,"Tier S (Kim Cương: 85-100đ)",IF(P1944&gt;=70,"Tier A (Vàng: 70-84đ)",IF(P1944&gt;=61,"Tier B+ / Cấp A (Hot Lead: 61-69đ)",IF(P1944&gt;=50,"Tier B (Bạc: 50-60đ)","Tier C (Đồng: 30-49đ)")))))</f>
        <v/>
      </c>
      <c r="R1944" s="9" t="inlineStr">
        <is>
          <t>Cỏ nhân tạo sân chơi/huấn luyện (Dog Turf) + Đồ chơi nhai chịu lực (KONG/Chew Toys)</t>
        </is>
      </c>
      <c r="S1944" s="9" t="inlineStr">
        <is>
          <t>Đóng băng tương tác (&gt;30 ngày): Lưu trữ chờ kích hoạt lại, không tốn tài nguyên Sales</t>
        </is>
      </c>
    </row>
    <row r="1945">
      <c r="A1945" s="53" t="n">
        <v>4765</v>
      </c>
      <c r="B1945" s="12" t="inlineStr">
        <is>
          <t>Nicola Garrett - Dog Agility Training</t>
        </is>
      </c>
      <c r="C1945" s="54" t="inlineStr">
        <is>
          <t>https://www.facebook.com/NicolaGarrettDogAgilityTraining</t>
        </is>
      </c>
      <c r="D1945" s="6" t="inlineStr">
        <is>
          <t>Cần quét Bio Fanpage</t>
        </is>
      </c>
      <c r="E1945" s="53" t="inlineStr">
        <is>
          <t>24/03/2020 20:31:37</t>
        </is>
      </c>
      <c r="F1945" s="53" t="inlineStr">
        <is>
          <t>6 năm trước</t>
        </is>
      </c>
      <c r="G1945" s="55" t="n">
        <v>2190</v>
      </c>
      <c r="H1945" s="56" t="n">
        <v>0</v>
      </c>
      <c r="I1945" s="6" t="inlineStr">
        <is>
          <t>Pet Boarding / Huấn luyện K9 &amp; Dịch vụ (20-22đ)</t>
        </is>
      </c>
      <c r="J1945" s="56" t="n">
        <v>22</v>
      </c>
      <c r="K1945" s="6" t="inlineStr">
        <is>
          <t>Chưa rõ giống (Cần quét Bio)</t>
        </is>
      </c>
      <c r="L1945" s="56" t="n">
        <v>0</v>
      </c>
      <c r="M1945" s="56" t="n">
        <v>0</v>
      </c>
      <c r="N1945" s="6" t="inlineStr">
        <is>
          <t>Amazon link not found</t>
        </is>
      </c>
      <c r="O1945" s="56">
        <f>IF(N1945="Selling pet toys + Artificial grass/Pet toilets (TARGET)",15,IF(N1945="Selling artificial grass/pet toilets (TARGET)",10,IF(N1945="Selling pet toys",7,IF(N1945="There's an Amazon link, but no target sales.",3,0))))</f>
        <v/>
      </c>
      <c r="P1945" s="65">
        <f>H1945+J1945+L1945+M1945+O1945</f>
        <v/>
      </c>
      <c r="Q1945" s="68">
        <f>IF(OR(H1945=0,P1945&lt;30),"Tier D (Đóng băng)",IF(P1945&gt;=85,"Tier S (Kim Cương: 85-100đ)",IF(P1945&gt;=70,"Tier A (Vàng: 70-84đ)",IF(P1945&gt;=61,"Tier B+ / Cấp A (Hot Lead: 61-69đ)",IF(P1945&gt;=50,"Tier B (Bạc: 50-60đ)","Tier C (Đồng: 30-49đ)")))))</f>
        <v/>
      </c>
      <c r="R1945" s="6" t="inlineStr">
        <is>
          <t>Cỏ nhân tạo sân chơi/huấn luyện (Dog Turf) + Đồ chơi nhai chịu lực (KONG/Chew Toys)</t>
        </is>
      </c>
      <c r="S1945" s="6" t="inlineStr">
        <is>
          <t>Đóng băng tương tác (&gt;30 ngày): Lưu trữ chờ kích hoạt lại, không tốn tài nguyên Sales</t>
        </is>
      </c>
    </row>
    <row r="1946">
      <c r="A1946" s="59" t="n">
        <v>3576</v>
      </c>
      <c r="B1946" s="15" t="inlineStr">
        <is>
          <t>Dog Training By Matt</t>
        </is>
      </c>
      <c r="C1946" s="60" t="inlineStr">
        <is>
          <t>https://www.facebook.com/Matthewthedogtrainer</t>
        </is>
      </c>
      <c r="D1946" s="9" t="inlineStr">
        <is>
          <t>Cần quét Bio Fanpage</t>
        </is>
      </c>
      <c r="E1946" s="59" t="inlineStr">
        <is>
          <t>09/10/2014 19:29:00</t>
        </is>
      </c>
      <c r="F1946" s="59" t="inlineStr">
        <is>
          <t>9 Tháng 10, 2014 lúc 19:29</t>
        </is>
      </c>
      <c r="G1946" s="61" t="n">
        <v>365</v>
      </c>
      <c r="H1946" s="62" t="n">
        <v>0</v>
      </c>
      <c r="I1946" s="9" t="inlineStr">
        <is>
          <t>Pet Boarding / Huấn luyện K9 &amp; Dịch vụ (20-22đ)</t>
        </is>
      </c>
      <c r="J1946" s="62" t="n">
        <v>22</v>
      </c>
      <c r="K1946" s="9" t="inlineStr">
        <is>
          <t>Chưa rõ giống (Cần quét Bio)</t>
        </is>
      </c>
      <c r="L1946" s="62" t="n">
        <v>0</v>
      </c>
      <c r="M1946" s="62" t="n">
        <v>0</v>
      </c>
      <c r="N1946" s="9" t="inlineStr">
        <is>
          <t>Amazon link not found</t>
        </is>
      </c>
      <c r="O1946" s="62">
        <f>IF(N1946="Selling pet toys + Artificial grass/Pet toilets (TARGET)",15,IF(N1946="Selling artificial grass/pet toilets (TARGET)",10,IF(N1946="Selling pet toys",7,IF(N1946="There's an Amazon link, but no target sales.",3,0))))</f>
        <v/>
      </c>
      <c r="P1946" s="67">
        <f>H1946+J1946+L1946+M1946+O1946</f>
        <v/>
      </c>
      <c r="Q1946" s="68">
        <f>IF(OR(H1946=0,P1946&lt;30),"Tier D (Đóng băng)",IF(P1946&gt;=85,"Tier S (Kim Cương: 85-100đ)",IF(P1946&gt;=70,"Tier A (Vàng: 70-84đ)",IF(P1946&gt;=61,"Tier B+ / Cấp A (Hot Lead: 61-69đ)",IF(P1946&gt;=50,"Tier B (Bạc: 50-60đ)","Tier C (Đồng: 30-49đ)")))))</f>
        <v/>
      </c>
      <c r="R1946" s="9" t="inlineStr">
        <is>
          <t>Cỏ nhân tạo sân chơi/huấn luyện (Dog Turf) + Đồ chơi nhai chịu lực (KONG/Chew Toys)</t>
        </is>
      </c>
      <c r="S1946" s="9" t="inlineStr">
        <is>
          <t>Đóng băng tương tác (&gt;30 ngày): Lưu trữ chờ kích hoạt lại, không tốn tài nguyên Sales</t>
        </is>
      </c>
    </row>
    <row r="1947">
      <c r="A1947" s="53" t="n">
        <v>3521</v>
      </c>
      <c r="B1947" s="12" t="inlineStr">
        <is>
          <t>Meraki.K9.NM</t>
        </is>
      </c>
      <c r="C1947" s="54" t="inlineStr">
        <is>
          <t>https://www.facebook.com/Meraki.K9.NM</t>
        </is>
      </c>
      <c r="D1947" s="6" t="inlineStr">
        <is>
          <t>Cần quét Bio Fanpage</t>
        </is>
      </c>
      <c r="E1947" s="53" t="inlineStr">
        <is>
          <t>Không tìm thấy bài viết</t>
        </is>
      </c>
      <c r="F1947" s="53" t="inlineStr">
        <is>
          <t>Không có bài</t>
        </is>
      </c>
      <c r="G1947" s="55" t="n">
        <v>999</v>
      </c>
      <c r="H1947" s="56" t="n">
        <v>0</v>
      </c>
      <c r="I1947" s="6" t="inlineStr">
        <is>
          <t>Pet Boarding / Huấn luyện K9 &amp; Dịch vụ (20-22đ)</t>
        </is>
      </c>
      <c r="J1947" s="56" t="n">
        <v>22</v>
      </c>
      <c r="K1947" s="6" t="inlineStr">
        <is>
          <t>Chưa rõ giống (Cần quét Bio)</t>
        </is>
      </c>
      <c r="L1947" s="56" t="n">
        <v>0</v>
      </c>
      <c r="M1947" s="56" t="n">
        <v>0</v>
      </c>
      <c r="N1947" s="6" t="inlineStr">
        <is>
          <t>Amazon link not found</t>
        </is>
      </c>
      <c r="O1947" s="56">
        <f>IF(N1947="Selling pet toys + Artificial grass/Pet toilets (TARGET)",15,IF(N1947="Selling artificial grass/pet toilets (TARGET)",10,IF(N1947="Selling pet toys",7,IF(N1947="There's an Amazon link, but no target sales.",3,0))))</f>
        <v/>
      </c>
      <c r="P1947" s="65">
        <f>H1947+J1947+L1947+M1947+O1947</f>
        <v/>
      </c>
      <c r="Q1947" s="68">
        <f>IF(OR(H1947=0,P1947&lt;30),"Tier D (Đóng băng)",IF(P1947&gt;=85,"Tier S (Kim Cương: 85-100đ)",IF(P1947&gt;=70,"Tier A (Vàng: 70-84đ)",IF(P1947&gt;=61,"Tier B+ / Cấp A (Hot Lead: 61-69đ)",IF(P1947&gt;=50,"Tier B (Bạc: 50-60đ)","Tier C (Đồng: 30-49đ)")))))</f>
        <v/>
      </c>
      <c r="R1947" s="6" t="inlineStr">
        <is>
          <t>Cỏ nhân tạo sân chơi/huấn luyện (Dog Turf) + Đồ chơi nhai chịu lực (KONG/Chew Toys)</t>
        </is>
      </c>
      <c r="S1947" s="6" t="inlineStr">
        <is>
          <t>Đóng băng tương tác (&gt;30 ngày): Lưu trữ chờ kích hoạt lại, không tốn tài nguyên Sales</t>
        </is>
      </c>
    </row>
    <row r="1948">
      <c r="A1948" s="59" t="n">
        <v>1672</v>
      </c>
      <c r="B1948" s="15" t="inlineStr">
        <is>
          <t>Homestead Rescue</t>
        </is>
      </c>
      <c r="C1948" s="60" t="inlineStr">
        <is>
          <t>https://www.facebook.com/HomesteadRescue</t>
        </is>
      </c>
      <c r="D1948" s="9" t="inlineStr">
        <is>
          <t>Cần quét Bio Fanpage</t>
        </is>
      </c>
      <c r="E1948" s="59" t="inlineStr">
        <is>
          <t>26/08/2026 07:00:16</t>
        </is>
      </c>
      <c r="F1948" s="59" t="inlineStr">
        <is>
          <t>1 tháng trước</t>
        </is>
      </c>
      <c r="G1948" s="61" t="n">
        <v>30</v>
      </c>
      <c r="H1948" s="62" t="n">
        <v>0</v>
      </c>
      <c r="I1948" s="9" t="inlineStr">
        <is>
          <t>Pet Rescue / Trạm cứu trợ (14-16đ)</t>
        </is>
      </c>
      <c r="J1948" s="62" t="n">
        <v>16</v>
      </c>
      <c r="K1948" s="9" t="inlineStr">
        <is>
          <t>Chưa rõ giống (Cần quét Bio)</t>
        </is>
      </c>
      <c r="L1948" s="62" t="n">
        <v>0</v>
      </c>
      <c r="M1948" s="62" t="n">
        <v>5</v>
      </c>
      <c r="N1948" s="9" t="inlineStr">
        <is>
          <t>Amazon link not found</t>
        </is>
      </c>
      <c r="O1948" s="62">
        <f>IF(N1948="Selling pet toys + Artificial grass/Pet toilets (TARGET)",15,IF(N1948="Selling artificial grass/pet toilets (TARGET)",10,IF(N1948="Selling pet toys",7,IF(N1948="There's an Amazon link, but no target sales.",3,0))))</f>
        <v/>
      </c>
      <c r="P1948" s="67">
        <f>H1948+J1948+L1948+M1948+O1948</f>
        <v/>
      </c>
      <c r="Q1948" s="68">
        <f>IF(OR(H1948=0,P1948&lt;30),"Tier D (Đóng băng)",IF(P1948&gt;=85,"Tier S (Kim Cương: 85-100đ)",IF(P1948&gt;=70,"Tier A (Vàng: 70-84đ)",IF(P1948&gt;=61,"Tier B+ / Cấp A (Hot Lead: 61-69đ)",IF(P1948&gt;=50,"Tier B (Bạc: 50-60đ)","Tier C (Đồng: 30-49đ)")))))</f>
        <v/>
      </c>
      <c r="R1948" s="9" t="inlineStr">
        <is>
          <t>Nhà vệ sinh &amp; Tã lót (Potty Tray / Pee Pads) + Cỏ nhân tạo lót chuồng</t>
        </is>
      </c>
      <c r="S1948" s="9" t="inlineStr">
        <is>
          <t>Đóng băng tương tác (&gt;30 ngày): Lưu trữ chờ kích hoạt lại, không tốn tài nguyên Sales</t>
        </is>
      </c>
    </row>
    <row r="1949">
      <c r="A1949" s="53" t="n">
        <v>2390</v>
      </c>
      <c r="B1949" s="12" t="inlineStr">
        <is>
          <t>Pack Ethic Rescue, Inc</t>
        </is>
      </c>
      <c r="C1949" s="54" t="inlineStr">
        <is>
          <t>https://www.facebook.com/packethicrescueinc</t>
        </is>
      </c>
      <c r="D1949" s="6" t="inlineStr">
        <is>
          <t>Cần quét Bio Fanpage</t>
        </is>
      </c>
      <c r="E1949" s="53" t="inlineStr">
        <is>
          <t>22/08/2026 18:16:29</t>
        </is>
      </c>
      <c r="F1949" s="53" t="inlineStr">
        <is>
          <t>1 tháng trước</t>
        </is>
      </c>
      <c r="G1949" s="55" t="n">
        <v>30</v>
      </c>
      <c r="H1949" s="56" t="n">
        <v>0</v>
      </c>
      <c r="I1949" s="6" t="inlineStr">
        <is>
          <t>Pet Rescue / Trạm cứu trợ (14-16đ)</t>
        </is>
      </c>
      <c r="J1949" s="56" t="n">
        <v>16</v>
      </c>
      <c r="K1949" s="6" t="inlineStr">
        <is>
          <t>Chưa rõ giống (Cần quét Bio)</t>
        </is>
      </c>
      <c r="L1949" s="56" t="n">
        <v>0</v>
      </c>
      <c r="M1949" s="56" t="n">
        <v>5</v>
      </c>
      <c r="N1949" s="6" t="inlineStr">
        <is>
          <t>Amazon link not found</t>
        </is>
      </c>
      <c r="O1949" s="56">
        <f>IF(N1949="Selling pet toys + Artificial grass/Pet toilets (TARGET)",15,IF(N1949="Selling artificial grass/pet toilets (TARGET)",10,IF(N1949="Selling pet toys",7,IF(N1949="There's an Amazon link, but no target sales.",3,0))))</f>
        <v/>
      </c>
      <c r="P1949" s="65">
        <f>H1949+J1949+L1949+M1949+O1949</f>
        <v/>
      </c>
      <c r="Q1949" s="68">
        <f>IF(OR(H1949=0,P1949&lt;30),"Tier D (Đóng băng)",IF(P1949&gt;=85,"Tier S (Kim Cương: 85-100đ)",IF(P1949&gt;=70,"Tier A (Vàng: 70-84đ)",IF(P1949&gt;=61,"Tier B+ / Cấp A (Hot Lead: 61-69đ)",IF(P1949&gt;=50,"Tier B (Bạc: 50-60đ)","Tier C (Đồng: 30-49đ)")))))</f>
        <v/>
      </c>
      <c r="R1949" s="6" t="inlineStr">
        <is>
          <t>Nhà vệ sinh &amp; Tã lót (Potty Tray / Pee Pads) + Cỏ nhân tạo lót chuồng</t>
        </is>
      </c>
      <c r="S1949" s="6" t="inlineStr">
        <is>
          <t>Đóng băng tương tác (&gt;30 ngày): Lưu trữ chờ kích hoạt lại, không tốn tài nguyên Sales</t>
        </is>
      </c>
    </row>
    <row r="1950">
      <c r="A1950" s="59" t="n">
        <v>2325</v>
      </c>
      <c r="B1950" s="15" t="inlineStr">
        <is>
          <t>Northwest Samoyed Rescue</t>
        </is>
      </c>
      <c r="C1950" s="60" t="inlineStr">
        <is>
          <t>https://www.facebook.com/NorthwestSamoyedRescue</t>
        </is>
      </c>
      <c r="D1950" s="9" t="inlineStr">
        <is>
          <t>Cần quét Bio Fanpage</t>
        </is>
      </c>
      <c r="E1950" s="59" t="inlineStr">
        <is>
          <t>08/08/2026 00:41:54</t>
        </is>
      </c>
      <c r="F1950" s="59" t="inlineStr">
        <is>
          <t>2 tháng trước</t>
        </is>
      </c>
      <c r="G1950" s="61" t="n">
        <v>60</v>
      </c>
      <c r="H1950" s="62" t="n">
        <v>0</v>
      </c>
      <c r="I1950" s="9" t="inlineStr">
        <is>
          <t>Pet Rescue / Trạm cứu trợ (14-16đ)</t>
        </is>
      </c>
      <c r="J1950" s="62" t="n">
        <v>16</v>
      </c>
      <c r="K1950" s="9" t="inlineStr">
        <is>
          <t>Husky / Malamute / Samoyed / Spitz</t>
        </is>
      </c>
      <c r="L1950" s="62" t="n">
        <v>5</v>
      </c>
      <c r="M1950" s="62" t="n">
        <v>0</v>
      </c>
      <c r="N1950" s="9" t="inlineStr">
        <is>
          <t>Amazon link not found</t>
        </is>
      </c>
      <c r="O1950" s="62">
        <f>IF(N1950="Selling pet toys + Artificial grass/Pet toilets (TARGET)",15,IF(N1950="Selling artificial grass/pet toilets (TARGET)",10,IF(N1950="Selling pet toys",7,IF(N1950="There's an Amazon link, but no target sales.",3,0))))</f>
        <v/>
      </c>
      <c r="P1950" s="67">
        <f>H1950+J1950+L1950+M1950+O1950</f>
        <v/>
      </c>
      <c r="Q1950" s="68">
        <f>IF(OR(H1950=0,P1950&lt;30),"Tier D (Đóng băng)",IF(P1950&gt;=85,"Tier S (Kim Cương: 85-100đ)",IF(P1950&gt;=70,"Tier A (Vàng: 70-84đ)",IF(P1950&gt;=61,"Tier B+ / Cấp A (Hot Lead: 61-69đ)",IF(P1950&gt;=50,"Tier B (Bạc: 50-60đ)","Tier C (Đồng: 30-49đ)")))))</f>
        <v/>
      </c>
      <c r="R1950" s="9" t="inlineStr">
        <is>
          <t>Nhà vệ sinh &amp; Tã lót (Potty Tray / Pee Pads) + Cỏ nhân tạo lót chuồng</t>
        </is>
      </c>
      <c r="S1950" s="9" t="inlineStr">
        <is>
          <t>Đóng băng tương tác (&gt;30 ngày): Lưu trữ chờ kích hoạt lại, không tốn tài nguyên Sales</t>
        </is>
      </c>
    </row>
    <row r="1951">
      <c r="A1951" s="53" t="n">
        <v>701</v>
      </c>
      <c r="B1951" s="12" t="inlineStr">
        <is>
          <t>Blue and Gray Search and Rescue Dogs, Inc.</t>
        </is>
      </c>
      <c r="C1951" s="54" t="inlineStr">
        <is>
          <t>https://www.facebook.com/bgsardogs</t>
        </is>
      </c>
      <c r="D1951" s="6" t="inlineStr">
        <is>
          <t>Cần quét Bio Fanpage</t>
        </is>
      </c>
      <c r="E1951" s="53" t="inlineStr">
        <is>
          <t>25/07/2026 18:50:29</t>
        </is>
      </c>
      <c r="F1951" s="53" t="inlineStr">
        <is>
          <t>2 tháng trước</t>
        </is>
      </c>
      <c r="G1951" s="55" t="n">
        <v>60</v>
      </c>
      <c r="H1951" s="56" t="n">
        <v>0</v>
      </c>
      <c r="I1951" s="6" t="inlineStr">
        <is>
          <t>Pet Rescue / Trạm cứu trợ (14-16đ)</t>
        </is>
      </c>
      <c r="J1951" s="56" t="n">
        <v>16</v>
      </c>
      <c r="K1951" s="6" t="inlineStr">
        <is>
          <t>Chưa rõ giống (Cần quét Bio)</t>
        </is>
      </c>
      <c r="L1951" s="56" t="n">
        <v>0</v>
      </c>
      <c r="M1951" s="56" t="n">
        <v>5</v>
      </c>
      <c r="N1951" s="6" t="inlineStr">
        <is>
          <t>Amazon link not found</t>
        </is>
      </c>
      <c r="O1951" s="56">
        <f>IF(N1951="Selling pet toys + Artificial grass/Pet toilets (TARGET)",15,IF(N1951="Selling artificial grass/pet toilets (TARGET)",10,IF(N1951="Selling pet toys",7,IF(N1951="There's an Amazon link, but no target sales.",3,0))))</f>
        <v/>
      </c>
      <c r="P1951" s="65">
        <f>H1951+J1951+L1951+M1951+O1951</f>
        <v/>
      </c>
      <c r="Q1951" s="68">
        <f>IF(OR(H1951=0,P1951&lt;30),"Tier D (Đóng băng)",IF(P1951&gt;=85,"Tier S (Kim Cương: 85-100đ)",IF(P1951&gt;=70,"Tier A (Vàng: 70-84đ)",IF(P1951&gt;=61,"Tier B+ / Cấp A (Hot Lead: 61-69đ)",IF(P1951&gt;=50,"Tier B (Bạc: 50-60đ)","Tier C (Đồng: 30-49đ)")))))</f>
        <v/>
      </c>
      <c r="R1951" s="6" t="inlineStr">
        <is>
          <t>Nhà vệ sinh &amp; Tã lót (Potty Tray / Pee Pads) + Cỏ nhân tạo lót chuồng</t>
        </is>
      </c>
      <c r="S1951" s="6" t="inlineStr">
        <is>
          <t>Đóng băng tương tác (&gt;30 ngày): Lưu trữ chờ kích hoạt lại, không tốn tài nguyên Sales</t>
        </is>
      </c>
    </row>
    <row r="1952">
      <c r="A1952" s="59" t="n">
        <v>1044</v>
      </c>
      <c r="B1952" s="15" t="inlineStr">
        <is>
          <t>Doberman Pinscher SOS Rescue</t>
        </is>
      </c>
      <c r="C1952" s="60" t="inlineStr">
        <is>
          <t>https://www.facebook.com/dobiesos</t>
        </is>
      </c>
      <c r="D1952" s="9" t="inlineStr">
        <is>
          <t>Cần quét Bio Fanpage</t>
        </is>
      </c>
      <c r="E1952" s="59" t="inlineStr">
        <is>
          <t>20/07/2026 04:24:34</t>
        </is>
      </c>
      <c r="F1952" s="59" t="inlineStr">
        <is>
          <t>2 tháng trước</t>
        </is>
      </c>
      <c r="G1952" s="61" t="n">
        <v>60</v>
      </c>
      <c r="H1952" s="62" t="n">
        <v>0</v>
      </c>
      <c r="I1952" s="9" t="inlineStr">
        <is>
          <t>Pet Rescue / Trạm cứu trợ (14-16đ)</t>
        </is>
      </c>
      <c r="J1952" s="62" t="n">
        <v>16</v>
      </c>
      <c r="K1952" s="9" t="inlineStr">
        <is>
          <t>Great Dane / Working Giant</t>
        </is>
      </c>
      <c r="L1952" s="62" t="n">
        <v>5</v>
      </c>
      <c r="M1952" s="62" t="n">
        <v>0</v>
      </c>
      <c r="N1952" s="9" t="inlineStr">
        <is>
          <t>Amazon link not found</t>
        </is>
      </c>
      <c r="O1952" s="62">
        <f>IF(N1952="Selling pet toys + Artificial grass/Pet toilets (TARGET)",15,IF(N1952="Selling artificial grass/pet toilets (TARGET)",10,IF(N1952="Selling pet toys",7,IF(N1952="There's an Amazon link, but no target sales.",3,0))))</f>
        <v/>
      </c>
      <c r="P1952" s="67">
        <f>H1952+J1952+L1952+M1952+O1952</f>
        <v/>
      </c>
      <c r="Q1952" s="68">
        <f>IF(OR(H1952=0,P1952&lt;30),"Tier D (Đóng băng)",IF(P1952&gt;=85,"Tier S (Kim Cương: 85-100đ)",IF(P1952&gt;=70,"Tier A (Vàng: 70-84đ)",IF(P1952&gt;=61,"Tier B+ / Cấp A (Hot Lead: 61-69đ)",IF(P1952&gt;=50,"Tier B (Bạc: 50-60đ)","Tier C (Đồng: 30-49đ)")))))</f>
        <v/>
      </c>
      <c r="R1952" s="9" t="inlineStr">
        <is>
          <t>Nhà vệ sinh &amp; Tã lót (Potty Tray / Pee Pads) + Cỏ nhân tạo lót chuồng</t>
        </is>
      </c>
      <c r="S1952" s="9" t="inlineStr">
        <is>
          <t>Đóng băng tương tác (&gt;30 ngày): Lưu trữ chờ kích hoạt lại, không tốn tài nguyên Sales</t>
        </is>
      </c>
    </row>
    <row r="1953">
      <c r="A1953" s="53" t="n">
        <v>1659</v>
      </c>
      <c r="B1953" s="12" t="inlineStr">
        <is>
          <t>Hilltop Great Pyrenees Rescue/Rehome</t>
        </is>
      </c>
      <c r="C1953" s="54" t="inlineStr">
        <is>
          <t>https://www.facebook.com/HilltopGreatPyreneesRescue</t>
        </is>
      </c>
      <c r="D1953" s="6" t="inlineStr">
        <is>
          <t>Cần quét Bio Fanpage</t>
        </is>
      </c>
      <c r="E1953" s="53" t="inlineStr">
        <is>
          <t>17/06/2026 02:37:43</t>
        </is>
      </c>
      <c r="F1953" s="53" t="inlineStr">
        <is>
          <t>3 tháng trước</t>
        </is>
      </c>
      <c r="G1953" s="55" t="n">
        <v>90</v>
      </c>
      <c r="H1953" s="56" t="n">
        <v>0</v>
      </c>
      <c r="I1953" s="6" t="inlineStr">
        <is>
          <t>Pet Rescue / Trạm cứu trợ (14-16đ)</t>
        </is>
      </c>
      <c r="J1953" s="56" t="n">
        <v>16</v>
      </c>
      <c r="K1953" s="6" t="inlineStr">
        <is>
          <t>Great Dane / Working Giant</t>
        </is>
      </c>
      <c r="L1953" s="56" t="n">
        <v>5</v>
      </c>
      <c r="M1953" s="56" t="n">
        <v>0</v>
      </c>
      <c r="N1953" s="6" t="inlineStr">
        <is>
          <t>Amazon link not found</t>
        </is>
      </c>
      <c r="O1953" s="56">
        <f>IF(N1953="Selling pet toys + Artificial grass/Pet toilets (TARGET)",15,IF(N1953="Selling artificial grass/pet toilets (TARGET)",10,IF(N1953="Selling pet toys",7,IF(N1953="There's an Amazon link, but no target sales.",3,0))))</f>
        <v/>
      </c>
      <c r="P1953" s="65">
        <f>H1953+J1953+L1953+M1953+O1953</f>
        <v/>
      </c>
      <c r="Q1953" s="68">
        <f>IF(OR(H1953=0,P1953&lt;30),"Tier D (Đóng băng)",IF(P1953&gt;=85,"Tier S (Kim Cương: 85-100đ)",IF(P1953&gt;=70,"Tier A (Vàng: 70-84đ)",IF(P1953&gt;=61,"Tier B+ / Cấp A (Hot Lead: 61-69đ)",IF(P1953&gt;=50,"Tier B (Bạc: 50-60đ)","Tier C (Đồng: 30-49đ)")))))</f>
        <v/>
      </c>
      <c r="R1953" s="6" t="inlineStr">
        <is>
          <t>Nhà vệ sinh &amp; Tã lót (Potty Tray / Pee Pads) + Cỏ nhân tạo lót chuồng</t>
        </is>
      </c>
      <c r="S1953" s="6" t="inlineStr">
        <is>
          <t>Đóng băng tương tác (&gt;30 ngày): Lưu trữ chờ kích hoạt lại, không tốn tài nguyên Sales</t>
        </is>
      </c>
    </row>
    <row r="1954">
      <c r="A1954" s="59" t="n">
        <v>731</v>
      </c>
      <c r="B1954" s="15" t="inlineStr">
        <is>
          <t>Border Collie Rescue</t>
        </is>
      </c>
      <c r="C1954" s="60" t="inlineStr">
        <is>
          <t>https://www.facebook.com/BorderCollieRescueUK</t>
        </is>
      </c>
      <c r="D1954" s="9" t="inlineStr">
        <is>
          <t>Cần quét Bio Fanpage</t>
        </is>
      </c>
      <c r="E1954" s="59" t="inlineStr">
        <is>
          <t>02/04/2026 16:53:29</t>
        </is>
      </c>
      <c r="F1954" s="59" t="inlineStr">
        <is>
          <t>6 tháng trước</t>
        </is>
      </c>
      <c r="G1954" s="61" t="n">
        <v>180</v>
      </c>
      <c r="H1954" s="62" t="n">
        <v>0</v>
      </c>
      <c r="I1954" s="9" t="inlineStr">
        <is>
          <t>Pet Rescue / Trạm cứu trợ (14-16đ)</t>
        </is>
      </c>
      <c r="J1954" s="62" t="n">
        <v>16</v>
      </c>
      <c r="K1954" s="9" t="inlineStr">
        <is>
          <t>Australian Shepherd / Herding</t>
        </is>
      </c>
      <c r="L1954" s="62" t="n">
        <v>5</v>
      </c>
      <c r="M1954" s="62" t="n">
        <v>0</v>
      </c>
      <c r="N1954" s="9" t="inlineStr">
        <is>
          <t>Amazon link not found</t>
        </is>
      </c>
      <c r="O1954" s="62">
        <f>IF(N1954="Selling pet toys + Artificial grass/Pet toilets (TARGET)",15,IF(N1954="Selling artificial grass/pet toilets (TARGET)",10,IF(N1954="Selling pet toys",7,IF(N1954="There's an Amazon link, but no target sales.",3,0))))</f>
        <v/>
      </c>
      <c r="P1954" s="67">
        <f>H1954+J1954+L1954+M1954+O1954</f>
        <v/>
      </c>
      <c r="Q1954" s="68">
        <f>IF(OR(H1954=0,P1954&lt;30),"Tier D (Đóng băng)",IF(P1954&gt;=85,"Tier S (Kim Cương: 85-100đ)",IF(P1954&gt;=70,"Tier A (Vàng: 70-84đ)",IF(P1954&gt;=61,"Tier B+ / Cấp A (Hot Lead: 61-69đ)",IF(P1954&gt;=50,"Tier B (Bạc: 50-60đ)","Tier C (Đồng: 30-49đ)")))))</f>
        <v/>
      </c>
      <c r="R1954" s="9" t="inlineStr">
        <is>
          <t>Nhà vệ sinh &amp; Tã lót (Potty Tray / Pee Pads) + Cỏ nhân tạo lót chuồng</t>
        </is>
      </c>
      <c r="S1954" s="9" t="inlineStr">
        <is>
          <t>Đóng băng tương tác (&gt;30 ngày): Lưu trữ chờ kích hoạt lại, không tốn tài nguyên Sales</t>
        </is>
      </c>
    </row>
    <row r="1955">
      <c r="A1955" s="53" t="n">
        <v>2321</v>
      </c>
      <c r="B1955" s="12" t="inlineStr">
        <is>
          <t>Northern Sky Greyhound Adoption Association</t>
        </is>
      </c>
      <c r="C1955" s="54" t="inlineStr">
        <is>
          <t>https://www.facebook.com/profile.php?id=100069102194497</t>
        </is>
      </c>
      <c r="D1955" s="6" t="inlineStr">
        <is>
          <t>Cần quét Bio Fanpage</t>
        </is>
      </c>
      <c r="E1955" s="53" t="inlineStr">
        <is>
          <t>20/04/2022 03:41:40</t>
        </is>
      </c>
      <c r="F1955" s="53" t="inlineStr">
        <is>
          <t>4 năm trước</t>
        </is>
      </c>
      <c r="G1955" s="55" t="n">
        <v>1460</v>
      </c>
      <c r="H1955" s="56" t="n">
        <v>0</v>
      </c>
      <c r="I1955" s="6" t="inlineStr">
        <is>
          <t>Pet Rescue / Trạm cứu trợ (14-16đ)</t>
        </is>
      </c>
      <c r="J1955" s="56" t="n">
        <v>16</v>
      </c>
      <c r="K1955" s="6" t="inlineStr">
        <is>
          <t>Hound / Beagle / Basset</t>
        </is>
      </c>
      <c r="L1955" s="56" t="n">
        <v>5</v>
      </c>
      <c r="M1955" s="56" t="n">
        <v>0</v>
      </c>
      <c r="N1955" s="6" t="inlineStr">
        <is>
          <t>Amazon link not found</t>
        </is>
      </c>
      <c r="O1955" s="56">
        <f>IF(N1955="Selling pet toys + Artificial grass/Pet toilets (TARGET)",15,IF(N1955="Selling artificial grass/pet toilets (TARGET)",10,IF(N1955="Selling pet toys",7,IF(N1955="There's an Amazon link, but no target sales.",3,0))))</f>
        <v/>
      </c>
      <c r="P1955" s="65">
        <f>H1955+J1955+L1955+M1955+O1955</f>
        <v/>
      </c>
      <c r="Q1955" s="68">
        <f>IF(OR(H1955=0,P1955&lt;30),"Tier D (Đóng băng)",IF(P1955&gt;=85,"Tier S (Kim Cương: 85-100đ)",IF(P1955&gt;=70,"Tier A (Vàng: 70-84đ)",IF(P1955&gt;=61,"Tier B+ / Cấp A (Hot Lead: 61-69đ)",IF(P1955&gt;=50,"Tier B (Bạc: 50-60đ)","Tier C (Đồng: 30-49đ)")))))</f>
        <v/>
      </c>
      <c r="R1955" s="6" t="inlineStr">
        <is>
          <t>Nhà vệ sinh &amp; Tã lót (Potty Tray / Pee Pads) + Cỏ nhân tạo lót chuồng</t>
        </is>
      </c>
      <c r="S1955" s="6" t="inlineStr">
        <is>
          <t>Đóng băng tương tác (&gt;30 ngày): Lưu trữ chờ kích hoạt lại, không tốn tài nguyên Sales</t>
        </is>
      </c>
    </row>
    <row r="1956">
      <c r="A1956" s="59" t="n">
        <v>794</v>
      </c>
      <c r="B1956" s="15" t="inlineStr">
        <is>
          <t>Bullmastiff Rescue</t>
        </is>
      </c>
      <c r="C1956" s="60" t="inlineStr">
        <is>
          <t>https://www.facebook.com/profile.php?id=100069598779393</t>
        </is>
      </c>
      <c r="D1956" s="9" t="inlineStr">
        <is>
          <t>Cần quét Bio Fanpage</t>
        </is>
      </c>
      <c r="E1956" s="59" t="inlineStr">
        <is>
          <t>Không tìm thấy bài viết</t>
        </is>
      </c>
      <c r="F1956" s="59" t="inlineStr">
        <is>
          <t>Không có bài</t>
        </is>
      </c>
      <c r="G1956" s="61" t="n">
        <v>999</v>
      </c>
      <c r="H1956" s="62" t="n">
        <v>0</v>
      </c>
      <c r="I1956" s="9" t="inlineStr">
        <is>
          <t>Pet Rescue / Trạm cứu trợ (14-16đ)</t>
        </is>
      </c>
      <c r="J1956" s="62" t="n">
        <v>16</v>
      </c>
      <c r="K1956" s="9" t="inlineStr">
        <is>
          <t>Cane Corso / Mastiff</t>
        </is>
      </c>
      <c r="L1956" s="62" t="n">
        <v>5</v>
      </c>
      <c r="M1956" s="62" t="n">
        <v>0</v>
      </c>
      <c r="N1956" s="9" t="inlineStr">
        <is>
          <t>Amazon link not found</t>
        </is>
      </c>
      <c r="O1956" s="62">
        <f>IF(N1956="Selling pet toys + Artificial grass/Pet toilets (TARGET)",15,IF(N1956="Selling artificial grass/pet toilets (TARGET)",10,IF(N1956="Selling pet toys",7,IF(N1956="There's an Amazon link, but no target sales.",3,0))))</f>
        <v/>
      </c>
      <c r="P1956" s="67">
        <f>H1956+J1956+L1956+M1956+O1956</f>
        <v/>
      </c>
      <c r="Q1956" s="68">
        <f>IF(OR(H1956=0,P1956&lt;30),"Tier D (Đóng băng)",IF(P1956&gt;=85,"Tier S (Kim Cương: 85-100đ)",IF(P1956&gt;=70,"Tier A (Vàng: 70-84đ)",IF(P1956&gt;=61,"Tier B+ / Cấp A (Hot Lead: 61-69đ)",IF(P1956&gt;=50,"Tier B (Bạc: 50-60đ)","Tier C (Đồng: 30-49đ)")))))</f>
        <v/>
      </c>
      <c r="R1956" s="9" t="inlineStr">
        <is>
          <t>Nhà vệ sinh &amp; Tã lót (Potty Tray / Pee Pads) + Cỏ nhân tạo lót chuồng</t>
        </is>
      </c>
      <c r="S1956" s="9" t="inlineStr">
        <is>
          <t>Đóng băng tương tác (&gt;30 ngày): Lưu trữ chờ kích hoạt lại, không tốn tài nguyên Sales</t>
        </is>
      </c>
    </row>
    <row r="1957">
      <c r="A1957" s="53" t="n">
        <v>2584</v>
      </c>
      <c r="B1957" s="12" t="inlineStr">
        <is>
          <t>Play To Behave Pet Behavior Counseling</t>
        </is>
      </c>
      <c r="C1957" s="54" t="inlineStr">
        <is>
          <t>https://www.facebook.com/PlayToBehave</t>
        </is>
      </c>
      <c r="D1957" s="6" t="inlineStr">
        <is>
          <t>Cần quét Bio Fanpage</t>
        </is>
      </c>
      <c r="E1957" s="53" t="inlineStr">
        <is>
          <t>12/09/2026 09:06:02</t>
        </is>
      </c>
      <c r="F1957" s="53" t="inlineStr">
        <is>
          <t>1 tháng trước</t>
        </is>
      </c>
      <c r="G1957" s="55" t="n">
        <v>30</v>
      </c>
      <c r="H1957" s="56" t="n">
        <v>0</v>
      </c>
      <c r="I1957" s="6" t="inlineStr">
        <is>
          <t>Pet Boarding / Huấn luyện K9 &amp; Dịch vụ (20-22đ)</t>
        </is>
      </c>
      <c r="J1957" s="56" t="n">
        <v>20</v>
      </c>
      <c r="K1957" s="6" t="inlineStr">
        <is>
          <t>Chưa rõ giống (Cần quét Bio)</t>
        </is>
      </c>
      <c r="L1957" s="56" t="n">
        <v>0</v>
      </c>
      <c r="M1957" s="56" t="n">
        <v>0</v>
      </c>
      <c r="N1957" s="6" t="inlineStr">
        <is>
          <t>Amazon link not found</t>
        </is>
      </c>
      <c r="O1957" s="56">
        <f>IF(N1957="Selling pet toys + Artificial grass/Pet toilets (TARGET)",15,IF(N1957="Selling artificial grass/pet toilets (TARGET)",10,IF(N1957="Selling pet toys",7,IF(N1957="There's an Amazon link, but no target sales.",3,0))))</f>
        <v/>
      </c>
      <c r="P1957" s="65">
        <f>H1957+J1957+L1957+M1957+O1957</f>
        <v/>
      </c>
      <c r="Q1957" s="68">
        <f>IF(OR(H1957=0,P1957&lt;30),"Tier D (Đóng băng)",IF(P1957&gt;=85,"Tier S (Kim Cương: 85-100đ)",IF(P1957&gt;=70,"Tier A (Vàng: 70-84đ)",IF(P1957&gt;=61,"Tier B+ / Cấp A (Hot Lead: 61-69đ)",IF(P1957&gt;=50,"Tier B (Bạc: 50-60đ)","Tier C (Đồng: 30-49đ)")))))</f>
        <v/>
      </c>
      <c r="R1957" s="6" t="inlineStr">
        <is>
          <t>Cỏ nhân tạo sân chơi/huấn luyện (Dog Turf) + Đồ chơi nhai chịu lực (KONG/Chew Toys)</t>
        </is>
      </c>
      <c r="S1957" s="6" t="inlineStr">
        <is>
          <t>Đóng băng tương tác (&gt;30 ngày): Lưu trữ chờ kích hoạt lại, không tốn tài nguyên Sales</t>
        </is>
      </c>
    </row>
    <row r="1958">
      <c r="A1958" s="59" t="n">
        <v>3094</v>
      </c>
      <c r="B1958" s="15" t="inlineStr">
        <is>
          <t>The Bulldogge Blueprint</t>
        </is>
      </c>
      <c r="C1958" s="60" t="inlineStr">
        <is>
          <t>https://www.facebook.com/BulldoggeBlueprint</t>
        </is>
      </c>
      <c r="D1958" s="9" t="inlineStr">
        <is>
          <t>Cần quét Bio Fanpage</t>
        </is>
      </c>
      <c r="E1958" s="59" t="inlineStr">
        <is>
          <t>09/09/2026 07:05:32</t>
        </is>
      </c>
      <c r="F1958" s="59" t="inlineStr">
        <is>
          <t>1 tháng trước</t>
        </is>
      </c>
      <c r="G1958" s="61" t="n">
        <v>30</v>
      </c>
      <c r="H1958" s="62" t="n">
        <v>0</v>
      </c>
      <c r="I1958" s="9" t="inlineStr">
        <is>
          <t>Pet Owner / Kênh cá nhân thú cưng (10đ)</t>
        </is>
      </c>
      <c r="J1958" s="62" t="n">
        <v>10</v>
      </c>
      <c r="K1958" s="9" t="inlineStr">
        <is>
          <t>English Bulldog</t>
        </is>
      </c>
      <c r="L1958" s="62" t="n">
        <v>10</v>
      </c>
      <c r="M1958" s="62" t="n">
        <v>0</v>
      </c>
      <c r="N1958" s="9" t="inlineStr">
        <is>
          <t>Amazon link not found</t>
        </is>
      </c>
      <c r="O1958" s="62">
        <f>IF(N1958="Selling pet toys + Artificial grass/Pet toilets (TARGET)",15,IF(N1958="Selling artificial grass/pet toilets (TARGET)",10,IF(N1958="Selling pet toys",7,IF(N1958="There's an Amazon link, but no target sales.",3,0))))</f>
        <v/>
      </c>
      <c r="P1958" s="67">
        <f>H1958+J1958+L1958+M1958+O1958</f>
        <v/>
      </c>
      <c r="Q1958" s="68">
        <f>IF(OR(H1958=0,P1958&lt;30),"Tier D (Đóng băng)",IF(P1958&gt;=85,"Tier S (Kim Cương: 85-100đ)",IF(P1958&gt;=70,"Tier A (Vàng: 70-84đ)",IF(P1958&gt;=61,"Tier B+ / Cấp A (Hot Lead: 61-69đ)",IF(P1958&gt;=50,"Tier B (Bạc: 50-60đ)","Tier C (Đồng: 30-49đ)")))))</f>
        <v/>
      </c>
      <c r="R1958" s="9" t="inlineStr">
        <is>
          <t>Khay vệ sinh trong nhà (Indoor Dog Potty) + Đồ chơi thú cưng lẻ</t>
        </is>
      </c>
      <c r="S1958" s="9" t="inlineStr">
        <is>
          <t>Đóng băng tương tác (&gt;30 ngày): Lưu trữ chờ kích hoạt lại, không tốn tài nguyên Sales</t>
        </is>
      </c>
    </row>
    <row r="1959">
      <c r="A1959" s="53" t="n">
        <v>1716</v>
      </c>
      <c r="B1959" s="12" t="inlineStr">
        <is>
          <t>IFCS Dog Sports</t>
        </is>
      </c>
      <c r="C1959" s="54" t="inlineStr">
        <is>
          <t>https://www.facebook.com/ifcsdogsports</t>
        </is>
      </c>
      <c r="D1959" s="6" t="inlineStr">
        <is>
          <t>Cần quét Bio Fanpage</t>
        </is>
      </c>
      <c r="E1959" s="53" t="inlineStr">
        <is>
          <t>31/08/2026 16:15:15</t>
        </is>
      </c>
      <c r="F1959" s="53" t="inlineStr">
        <is>
          <t>1 tháng trước</t>
        </is>
      </c>
      <c r="G1959" s="55" t="n">
        <v>30</v>
      </c>
      <c r="H1959" s="56" t="n">
        <v>0</v>
      </c>
      <c r="I1959" s="6" t="inlineStr">
        <is>
          <t>Pet Boarding / Huấn luyện K9 &amp; Dịch vụ (20-22đ)</t>
        </is>
      </c>
      <c r="J1959" s="56" t="n">
        <v>20</v>
      </c>
      <c r="K1959" s="6" t="inlineStr">
        <is>
          <t>Chưa rõ giống (Cần quét Bio)</t>
        </is>
      </c>
      <c r="L1959" s="56" t="n">
        <v>0</v>
      </c>
      <c r="M1959" s="56" t="n">
        <v>0</v>
      </c>
      <c r="N1959" s="6" t="inlineStr">
        <is>
          <t>Amazon link not found</t>
        </is>
      </c>
      <c r="O1959" s="56">
        <f>IF(N1959="Selling pet toys + Artificial grass/Pet toilets (TARGET)",15,IF(N1959="Selling artificial grass/pet toilets (TARGET)",10,IF(N1959="Selling pet toys",7,IF(N1959="There's an Amazon link, but no target sales.",3,0))))</f>
        <v/>
      </c>
      <c r="P1959" s="65">
        <f>H1959+J1959+L1959+M1959+O1959</f>
        <v/>
      </c>
      <c r="Q1959" s="68">
        <f>IF(OR(H1959=0,P1959&lt;30),"Tier D (Đóng băng)",IF(P1959&gt;=85,"Tier S (Kim Cương: 85-100đ)",IF(P1959&gt;=70,"Tier A (Vàng: 70-84đ)",IF(P1959&gt;=61,"Tier B+ / Cấp A (Hot Lead: 61-69đ)",IF(P1959&gt;=50,"Tier B (Bạc: 50-60đ)","Tier C (Đồng: 30-49đ)")))))</f>
        <v/>
      </c>
      <c r="R1959" s="6" t="inlineStr">
        <is>
          <t>Cỏ nhân tạo sân chơi/huấn luyện (Dog Turf) + Đồ chơi nhai chịu lực (KONG/Chew Toys)</t>
        </is>
      </c>
      <c r="S1959" s="6" t="inlineStr">
        <is>
          <t>Đóng băng tương tác (&gt;30 ngày): Lưu trữ chờ kích hoạt lại, không tốn tài nguyên Sales</t>
        </is>
      </c>
    </row>
    <row r="1960">
      <c r="A1960" s="59" t="n">
        <v>994</v>
      </c>
      <c r="B1960" s="15" t="inlineStr">
        <is>
          <t>Daisy Paws Dog Grooming</t>
        </is>
      </c>
      <c r="C1960" s="60" t="inlineStr">
        <is>
          <t>https://www.facebook.com/daisypawsdoggroomers</t>
        </is>
      </c>
      <c r="D1960" s="9" t="inlineStr">
        <is>
          <t>Cần quét Bio Fanpage</t>
        </is>
      </c>
      <c r="E1960" s="59" t="inlineStr">
        <is>
          <t>27/08/2026 15:41:26</t>
        </is>
      </c>
      <c r="F1960" s="59" t="inlineStr">
        <is>
          <t>1 tháng trước</t>
        </is>
      </c>
      <c r="G1960" s="61" t="n">
        <v>30</v>
      </c>
      <c r="H1960" s="62" t="n">
        <v>0</v>
      </c>
      <c r="I1960" s="9" t="inlineStr">
        <is>
          <t>Pet Boarding / Huấn luyện K9 &amp; Dịch vụ (20-22đ)</t>
        </is>
      </c>
      <c r="J1960" s="62" t="n">
        <v>20</v>
      </c>
      <c r="K1960" s="9" t="inlineStr">
        <is>
          <t>Chưa rõ giống (Cần quét Bio)</t>
        </is>
      </c>
      <c r="L1960" s="62" t="n">
        <v>0</v>
      </c>
      <c r="M1960" s="62" t="n">
        <v>0</v>
      </c>
      <c r="N1960" s="9" t="inlineStr">
        <is>
          <t>Amazon link not found</t>
        </is>
      </c>
      <c r="O1960" s="62">
        <f>IF(N1960="Selling pet toys + Artificial grass/Pet toilets (TARGET)",15,IF(N1960="Selling artificial grass/pet toilets (TARGET)",10,IF(N1960="Selling pet toys",7,IF(N1960="There's an Amazon link, but no target sales.",3,0))))</f>
        <v/>
      </c>
      <c r="P1960" s="67">
        <f>H1960+J1960+L1960+M1960+O1960</f>
        <v/>
      </c>
      <c r="Q1960" s="68">
        <f>IF(OR(H1960=0,P1960&lt;30),"Tier D (Đóng băng)",IF(P1960&gt;=85,"Tier S (Kim Cương: 85-100đ)",IF(P1960&gt;=70,"Tier A (Vàng: 70-84đ)",IF(P1960&gt;=61,"Tier B+ / Cấp A (Hot Lead: 61-69đ)",IF(P1960&gt;=50,"Tier B (Bạc: 50-60đ)","Tier C (Đồng: 30-49đ)")))))</f>
        <v/>
      </c>
      <c r="R1960" s="9" t="inlineStr">
        <is>
          <t>Cỏ nhân tạo sân chơi/huấn luyện (Dog Turf) + Đồ chơi nhai chịu lực (KONG/Chew Toys)</t>
        </is>
      </c>
      <c r="S1960" s="9" t="inlineStr">
        <is>
          <t>Đóng băng tương tác (&gt;30 ngày): Lưu trữ chờ kích hoạt lại, không tốn tài nguyên Sales</t>
        </is>
      </c>
    </row>
    <row r="1961">
      <c r="A1961" s="53" t="n">
        <v>1527</v>
      </c>
      <c r="B1961" s="12" t="inlineStr">
        <is>
          <t>Golden Rule School for Dogs</t>
        </is>
      </c>
      <c r="C1961" s="54" t="inlineStr">
        <is>
          <t>https://www.facebook.com/profile.php?id=100057638312117</t>
        </is>
      </c>
      <c r="D1961" s="6" t="inlineStr">
        <is>
          <t>Cần quét Bio Fanpage</t>
        </is>
      </c>
      <c r="E1961" s="53" t="inlineStr">
        <is>
          <t>19/08/2026 23:38:35</t>
        </is>
      </c>
      <c r="F1961" s="53" t="inlineStr">
        <is>
          <t>1 tháng trước</t>
        </is>
      </c>
      <c r="G1961" s="55" t="n">
        <v>30</v>
      </c>
      <c r="H1961" s="56" t="n">
        <v>0</v>
      </c>
      <c r="I1961" s="6" t="inlineStr">
        <is>
          <t>Pet Boarding / Huấn luyện K9 &amp; Dịch vụ (20-22đ)</t>
        </is>
      </c>
      <c r="J1961" s="56" t="n">
        <v>20</v>
      </c>
      <c r="K1961" s="6" t="inlineStr">
        <is>
          <t>Chưa rõ giống (Cần quét Bio)</t>
        </is>
      </c>
      <c r="L1961" s="56" t="n">
        <v>0</v>
      </c>
      <c r="M1961" s="56" t="n">
        <v>0</v>
      </c>
      <c r="N1961" s="6" t="inlineStr">
        <is>
          <t>Amazon link not found</t>
        </is>
      </c>
      <c r="O1961" s="56">
        <f>IF(N1961="Selling pet toys + Artificial grass/Pet toilets (TARGET)",15,IF(N1961="Selling artificial grass/pet toilets (TARGET)",10,IF(N1961="Selling pet toys",7,IF(N1961="There's an Amazon link, but no target sales.",3,0))))</f>
        <v/>
      </c>
      <c r="P1961" s="65">
        <f>H1961+J1961+L1961+M1961+O1961</f>
        <v/>
      </c>
      <c r="Q1961" s="68">
        <f>IF(OR(H1961=0,P1961&lt;30),"Tier D (Đóng băng)",IF(P1961&gt;=85,"Tier S (Kim Cương: 85-100đ)",IF(P1961&gt;=70,"Tier A (Vàng: 70-84đ)",IF(P1961&gt;=61,"Tier B+ / Cấp A (Hot Lead: 61-69đ)",IF(P1961&gt;=50,"Tier B (Bạc: 50-60đ)","Tier C (Đồng: 30-49đ)")))))</f>
        <v/>
      </c>
      <c r="R1961" s="6" t="inlineStr">
        <is>
          <t>Cỏ nhân tạo sân chơi/huấn luyện (Dog Turf) + Đồ chơi nhai chịu lực (KONG/Chew Toys)</t>
        </is>
      </c>
      <c r="S1961" s="6" t="inlineStr">
        <is>
          <t>Đóng băng tương tác (&gt;30 ngày): Lưu trữ chờ kích hoạt lại, không tốn tài nguyên Sales</t>
        </is>
      </c>
    </row>
    <row r="1962">
      <c r="A1962" s="59" t="n">
        <v>2635</v>
      </c>
      <c r="B1962" s="15" t="inlineStr">
        <is>
          <t>Professional Pet Sitter - Austin, Minnesota</t>
        </is>
      </c>
      <c r="C1962" s="60" t="inlineStr">
        <is>
          <t>https://www.facebook.com/AustinPetCare</t>
        </is>
      </c>
      <c r="D1962" s="9" t="inlineStr">
        <is>
          <t>Cần quét Bio Fanpage</t>
        </is>
      </c>
      <c r="E1962" s="59" t="inlineStr">
        <is>
          <t>02/08/2026 02:44:16</t>
        </is>
      </c>
      <c r="F1962" s="59" t="inlineStr">
        <is>
          <t>2 tháng trước</t>
        </is>
      </c>
      <c r="G1962" s="61" t="n">
        <v>60</v>
      </c>
      <c r="H1962" s="62" t="n">
        <v>0</v>
      </c>
      <c r="I1962" s="9" t="inlineStr">
        <is>
          <t>Pet Boarding / Huấn luyện K9 &amp; Dịch vụ (20-22đ)</t>
        </is>
      </c>
      <c r="J1962" s="62" t="n">
        <v>20</v>
      </c>
      <c r="K1962" s="9" t="inlineStr">
        <is>
          <t>Chưa rõ giống (Cần quét Bio)</t>
        </is>
      </c>
      <c r="L1962" s="62" t="n">
        <v>0</v>
      </c>
      <c r="M1962" s="62" t="n">
        <v>0</v>
      </c>
      <c r="N1962" s="9" t="inlineStr">
        <is>
          <t>Amazon link not found</t>
        </is>
      </c>
      <c r="O1962" s="62">
        <f>IF(N1962="Selling pet toys + Artificial grass/Pet toilets (TARGET)",15,IF(N1962="Selling artificial grass/pet toilets (TARGET)",10,IF(N1962="Selling pet toys",7,IF(N1962="There's an Amazon link, but no target sales.",3,0))))</f>
        <v/>
      </c>
      <c r="P1962" s="67">
        <f>H1962+J1962+L1962+M1962+O1962</f>
        <v/>
      </c>
      <c r="Q1962" s="68">
        <f>IF(OR(H1962=0,P1962&lt;30),"Tier D (Đóng băng)",IF(P1962&gt;=85,"Tier S (Kim Cương: 85-100đ)",IF(P1962&gt;=70,"Tier A (Vàng: 70-84đ)",IF(P1962&gt;=61,"Tier B+ / Cấp A (Hot Lead: 61-69đ)",IF(P1962&gt;=50,"Tier B (Bạc: 50-60đ)","Tier C (Đồng: 30-49đ)")))))</f>
        <v/>
      </c>
      <c r="R1962" s="9" t="inlineStr">
        <is>
          <t>Cỏ nhân tạo sân chơi/huấn luyện (Dog Turf) + Đồ chơi nhai chịu lực (KONG/Chew Toys)</t>
        </is>
      </c>
      <c r="S1962" s="9" t="inlineStr">
        <is>
          <t>Đóng băng tương tác (&gt;30 ngày): Lưu trữ chờ kích hoạt lại, không tốn tài nguyên Sales</t>
        </is>
      </c>
    </row>
    <row r="1963">
      <c r="A1963" s="53" t="n">
        <v>571</v>
      </c>
      <c r="B1963" s="12" t="inlineStr">
        <is>
          <t>Bad Dog Agility</t>
        </is>
      </c>
      <c r="C1963" s="54" t="inlineStr">
        <is>
          <t>https://www.facebook.com/BadDogAgility</t>
        </is>
      </c>
      <c r="D1963" s="6" t="inlineStr">
        <is>
          <t>Cần quét Bio Fanpage</t>
        </is>
      </c>
      <c r="E1963" s="53" t="inlineStr">
        <is>
          <t>05/07/2026 00:14:34</t>
        </is>
      </c>
      <c r="F1963" s="53" t="inlineStr">
        <is>
          <t>3 tháng trước</t>
        </is>
      </c>
      <c r="G1963" s="55" t="n">
        <v>90</v>
      </c>
      <c r="H1963" s="56" t="n">
        <v>0</v>
      </c>
      <c r="I1963" s="6" t="inlineStr">
        <is>
          <t>Pet Boarding / Huấn luyện K9 &amp; Dịch vụ (20-22đ)</t>
        </is>
      </c>
      <c r="J1963" s="56" t="n">
        <v>20</v>
      </c>
      <c r="K1963" s="6" t="inlineStr">
        <is>
          <t>Chưa rõ giống (Cần quét Bio)</t>
        </is>
      </c>
      <c r="L1963" s="56" t="n">
        <v>0</v>
      </c>
      <c r="M1963" s="56" t="n">
        <v>0</v>
      </c>
      <c r="N1963" s="6" t="inlineStr">
        <is>
          <t>Amazon link not found</t>
        </is>
      </c>
      <c r="O1963" s="56">
        <f>IF(N1963="Selling pet toys + Artificial grass/Pet toilets (TARGET)",15,IF(N1963="Selling artificial grass/pet toilets (TARGET)",10,IF(N1963="Selling pet toys",7,IF(N1963="There's an Amazon link, but no target sales.",3,0))))</f>
        <v/>
      </c>
      <c r="P1963" s="65">
        <f>H1963+J1963+L1963+M1963+O1963</f>
        <v/>
      </c>
      <c r="Q1963" s="68">
        <f>IF(OR(H1963=0,P1963&lt;30),"Tier D (Đóng băng)",IF(P1963&gt;=85,"Tier S (Kim Cương: 85-100đ)",IF(P1963&gt;=70,"Tier A (Vàng: 70-84đ)",IF(P1963&gt;=61,"Tier B+ / Cấp A (Hot Lead: 61-69đ)",IF(P1963&gt;=50,"Tier B (Bạc: 50-60đ)","Tier C (Đồng: 30-49đ)")))))</f>
        <v/>
      </c>
      <c r="R1963" s="6" t="inlineStr">
        <is>
          <t>Cỏ nhân tạo sân chơi/huấn luyện (Dog Turf) + Đồ chơi nhai chịu lực (KONG/Chew Toys)</t>
        </is>
      </c>
      <c r="S1963" s="6" t="inlineStr">
        <is>
          <t>Đóng băng tương tác (&gt;30 ngày): Lưu trữ chờ kích hoạt lại, không tốn tài nguyên Sales</t>
        </is>
      </c>
    </row>
    <row r="1964">
      <c r="A1964" s="59" t="n">
        <v>1103</v>
      </c>
      <c r="B1964" s="15" t="inlineStr">
        <is>
          <t>Dog Trainer Wisdom</t>
        </is>
      </c>
      <c r="C1964" s="60" t="inlineStr">
        <is>
          <t>https://www.facebook.com/profile.php?id=61587750016544</t>
        </is>
      </c>
      <c r="D1964" s="9" t="inlineStr">
        <is>
          <t>Cần quét Bio Fanpage</t>
        </is>
      </c>
      <c r="E1964" s="59" t="inlineStr">
        <is>
          <t>30/06/2026 21:23:10</t>
        </is>
      </c>
      <c r="F1964" s="59" t="inlineStr">
        <is>
          <t>3 tháng trước</t>
        </is>
      </c>
      <c r="G1964" s="61" t="n">
        <v>90</v>
      </c>
      <c r="H1964" s="62" t="n">
        <v>0</v>
      </c>
      <c r="I1964" s="9" t="inlineStr">
        <is>
          <t>Pet Boarding / Huấn luyện K9 &amp; Dịch vụ (20-22đ)</t>
        </is>
      </c>
      <c r="J1964" s="62" t="n">
        <v>20</v>
      </c>
      <c r="K1964" s="9" t="inlineStr">
        <is>
          <t>Chưa rõ giống (Cần quét Bio)</t>
        </is>
      </c>
      <c r="L1964" s="62" t="n">
        <v>0</v>
      </c>
      <c r="M1964" s="62" t="n">
        <v>0</v>
      </c>
      <c r="N1964" s="9" t="inlineStr">
        <is>
          <t>Amazon link not found</t>
        </is>
      </c>
      <c r="O1964" s="62">
        <f>IF(N1964="Selling pet toys + Artificial grass/Pet toilets (TARGET)",15,IF(N1964="Selling artificial grass/pet toilets (TARGET)",10,IF(N1964="Selling pet toys",7,IF(N1964="There's an Amazon link, but no target sales.",3,0))))</f>
        <v/>
      </c>
      <c r="P1964" s="67">
        <f>H1964+J1964+L1964+M1964+O1964</f>
        <v/>
      </c>
      <c r="Q1964" s="68">
        <f>IF(OR(H1964=0,P1964&lt;30),"Tier D (Đóng băng)",IF(P1964&gt;=85,"Tier S (Kim Cương: 85-100đ)",IF(P1964&gt;=70,"Tier A (Vàng: 70-84đ)",IF(P1964&gt;=61,"Tier B+ / Cấp A (Hot Lead: 61-69đ)",IF(P1964&gt;=50,"Tier B (Bạc: 50-60đ)","Tier C (Đồng: 30-49đ)")))))</f>
        <v/>
      </c>
      <c r="R1964" s="9" t="inlineStr">
        <is>
          <t>Cỏ nhân tạo sân chơi/huấn luyện (Dog Turf) + Đồ chơi nhai chịu lực (KONG/Chew Toys)</t>
        </is>
      </c>
      <c r="S1964" s="9" t="inlineStr">
        <is>
          <t>Đóng băng tương tác (&gt;30 ngày): Lưu trữ chờ kích hoạt lại, không tốn tài nguyên Sales</t>
        </is>
      </c>
    </row>
    <row r="1965">
      <c r="A1965" s="53" t="n">
        <v>844</v>
      </c>
      <c r="B1965" s="12" t="inlineStr">
        <is>
          <t>Carlo Fazio Agility Dog Judge and Trainer</t>
        </is>
      </c>
      <c r="C1965" s="54" t="inlineStr">
        <is>
          <t>https://www.facebook.com/CarloFazioAgilityDogJudgeandTrainer</t>
        </is>
      </c>
      <c r="D1965" s="6" t="inlineStr">
        <is>
          <t>Cần quét Bio Fanpage</t>
        </is>
      </c>
      <c r="E1965" s="53" t="inlineStr">
        <is>
          <t>16/06/2026 16:31:00</t>
        </is>
      </c>
      <c r="F1965" s="53" t="inlineStr">
        <is>
          <t>3 tháng trước</t>
        </is>
      </c>
      <c r="G1965" s="55" t="n">
        <v>90</v>
      </c>
      <c r="H1965" s="56" t="n">
        <v>0</v>
      </c>
      <c r="I1965" s="6" t="inlineStr">
        <is>
          <t>Pet Boarding / Huấn luyện K9 &amp; Dịch vụ (20-22đ)</t>
        </is>
      </c>
      <c r="J1965" s="56" t="n">
        <v>20</v>
      </c>
      <c r="K1965" s="6" t="inlineStr">
        <is>
          <t>Chưa rõ giống (Cần quét Bio)</t>
        </is>
      </c>
      <c r="L1965" s="56" t="n">
        <v>0</v>
      </c>
      <c r="M1965" s="56" t="n">
        <v>0</v>
      </c>
      <c r="N1965" s="6" t="inlineStr">
        <is>
          <t>Amazon link not found</t>
        </is>
      </c>
      <c r="O1965" s="56">
        <f>IF(N1965="Selling pet toys + Artificial grass/Pet toilets (TARGET)",15,IF(N1965="Selling artificial grass/pet toilets (TARGET)",10,IF(N1965="Selling pet toys",7,IF(N1965="There's an Amazon link, but no target sales.",3,0))))</f>
        <v/>
      </c>
      <c r="P1965" s="65">
        <f>H1965+J1965+L1965+M1965+O1965</f>
        <v/>
      </c>
      <c r="Q1965" s="68">
        <f>IF(OR(H1965=0,P1965&lt;30),"Tier D (Đóng băng)",IF(P1965&gt;=85,"Tier S (Kim Cương: 85-100đ)",IF(P1965&gt;=70,"Tier A (Vàng: 70-84đ)",IF(P1965&gt;=61,"Tier B+ / Cấp A (Hot Lead: 61-69đ)",IF(P1965&gt;=50,"Tier B (Bạc: 50-60đ)","Tier C (Đồng: 30-49đ)")))))</f>
        <v/>
      </c>
      <c r="R1965" s="6" t="inlineStr">
        <is>
          <t>Cỏ nhân tạo sân chơi/huấn luyện (Dog Turf) + Đồ chơi nhai chịu lực (KONG/Chew Toys)</t>
        </is>
      </c>
      <c r="S1965" s="6" t="inlineStr">
        <is>
          <t>Đóng băng tương tác (&gt;30 ngày): Lưu trữ chờ kích hoạt lại, không tốn tài nguyên Sales</t>
        </is>
      </c>
    </row>
    <row r="1966">
      <c r="A1966" s="59" t="n">
        <v>2443</v>
      </c>
      <c r="B1966" s="15" t="inlineStr">
        <is>
          <t>PET CARE CLUB</t>
        </is>
      </c>
      <c r="C1966" s="60" t="inlineStr">
        <is>
          <t>https://www.facebook.com/profile.php?id=61559681164964</t>
        </is>
      </c>
      <c r="D1966" s="9" t="inlineStr">
        <is>
          <t>Cần quét Bio Fanpage</t>
        </is>
      </c>
      <c r="E1966" s="59" t="inlineStr">
        <is>
          <t>05/06/2026 08:35:11</t>
        </is>
      </c>
      <c r="F1966" s="59" t="inlineStr">
        <is>
          <t>4 tháng trước</t>
        </is>
      </c>
      <c r="G1966" s="61" t="n">
        <v>120</v>
      </c>
      <c r="H1966" s="62" t="n">
        <v>0</v>
      </c>
      <c r="I1966" s="9" t="inlineStr">
        <is>
          <t>Pet Boarding / Huấn luyện K9 &amp; Dịch vụ (20-22đ)</t>
        </is>
      </c>
      <c r="J1966" s="62" t="n">
        <v>20</v>
      </c>
      <c r="K1966" s="9" t="inlineStr">
        <is>
          <t>Chưa rõ giống (Cần quét Bio)</t>
        </is>
      </c>
      <c r="L1966" s="62" t="n">
        <v>0</v>
      </c>
      <c r="M1966" s="62" t="n">
        <v>0</v>
      </c>
      <c r="N1966" s="9" t="inlineStr">
        <is>
          <t>Amazon link not found</t>
        </is>
      </c>
      <c r="O1966" s="62">
        <f>IF(N1966="Selling pet toys + Artificial grass/Pet toilets (TARGET)",15,IF(N1966="Selling artificial grass/pet toilets (TARGET)",10,IF(N1966="Selling pet toys",7,IF(N1966="There's an Amazon link, but no target sales.",3,0))))</f>
        <v/>
      </c>
      <c r="P1966" s="67">
        <f>H1966+J1966+L1966+M1966+O1966</f>
        <v/>
      </c>
      <c r="Q1966" s="68">
        <f>IF(OR(H1966=0,P1966&lt;30),"Tier D (Đóng băng)",IF(P1966&gt;=85,"Tier S (Kim Cương: 85-100đ)",IF(P1966&gt;=70,"Tier A (Vàng: 70-84đ)",IF(P1966&gt;=61,"Tier B+ / Cấp A (Hot Lead: 61-69đ)",IF(P1966&gt;=50,"Tier B (Bạc: 50-60đ)","Tier C (Đồng: 30-49đ)")))))</f>
        <v/>
      </c>
      <c r="R1966" s="9" t="inlineStr">
        <is>
          <t>Cỏ nhân tạo sân chơi/huấn luyện (Dog Turf) + Đồ chơi nhai chịu lực (KONG/Chew Toys)</t>
        </is>
      </c>
      <c r="S1966" s="9" t="inlineStr">
        <is>
          <t>Đóng băng tương tác (&gt;30 ngày): Lưu trữ chờ kích hoạt lại, không tốn tài nguyên Sales</t>
        </is>
      </c>
    </row>
    <row r="1967">
      <c r="A1967" s="53" t="n">
        <v>776</v>
      </c>
      <c r="B1967" s="12" t="inlineStr">
        <is>
          <t>Bubbles &amp; Bows Pet Grooming Salon</t>
        </is>
      </c>
      <c r="C1967" s="54" t="inlineStr">
        <is>
          <t>https://www.facebook.com/bubblesandbowsdoggrooming</t>
        </is>
      </c>
      <c r="D1967" s="6" t="inlineStr">
        <is>
          <t>Cần quét Bio Fanpage</t>
        </is>
      </c>
      <c r="E1967" s="53" t="inlineStr">
        <is>
          <t>26/03/2026 02:39:07</t>
        </is>
      </c>
      <c r="F1967" s="53" t="inlineStr">
        <is>
          <t>6 tháng trước</t>
        </is>
      </c>
      <c r="G1967" s="55" t="n">
        <v>180</v>
      </c>
      <c r="H1967" s="56" t="n">
        <v>0</v>
      </c>
      <c r="I1967" s="6" t="inlineStr">
        <is>
          <t>Pet Boarding / Huấn luyện K9 &amp; Dịch vụ (20-22đ)</t>
        </is>
      </c>
      <c r="J1967" s="56" t="n">
        <v>20</v>
      </c>
      <c r="K1967" s="6" t="inlineStr">
        <is>
          <t>Chưa rõ giống (Cần quét Bio)</t>
        </is>
      </c>
      <c r="L1967" s="56" t="n">
        <v>0</v>
      </c>
      <c r="M1967" s="56" t="n">
        <v>0</v>
      </c>
      <c r="N1967" s="6" t="inlineStr">
        <is>
          <t>Amazon link not found</t>
        </is>
      </c>
      <c r="O1967" s="56">
        <f>IF(N1967="Selling pet toys + Artificial grass/Pet toilets (TARGET)",15,IF(N1967="Selling artificial grass/pet toilets (TARGET)",10,IF(N1967="Selling pet toys",7,IF(N1967="There's an Amazon link, but no target sales.",3,0))))</f>
        <v/>
      </c>
      <c r="P1967" s="65">
        <f>H1967+J1967+L1967+M1967+O1967</f>
        <v/>
      </c>
      <c r="Q1967" s="68">
        <f>IF(OR(H1967=0,P1967&lt;30),"Tier D (Đóng băng)",IF(P1967&gt;=85,"Tier S (Kim Cương: 85-100đ)",IF(P1967&gt;=70,"Tier A (Vàng: 70-84đ)",IF(P1967&gt;=61,"Tier B+ / Cấp A (Hot Lead: 61-69đ)",IF(P1967&gt;=50,"Tier B (Bạc: 50-60đ)","Tier C (Đồng: 30-49đ)")))))</f>
        <v/>
      </c>
      <c r="R1967" s="6" t="inlineStr">
        <is>
          <t>Cỏ nhân tạo sân chơi/huấn luyện (Dog Turf) + Đồ chơi nhai chịu lực (KONG/Chew Toys)</t>
        </is>
      </c>
      <c r="S1967" s="6" t="inlineStr">
        <is>
          <t>Đóng băng tương tác (&gt;30 ngày): Lưu trữ chờ kích hoạt lại, không tốn tài nguyên Sales</t>
        </is>
      </c>
    </row>
    <row r="1968">
      <c r="A1968" s="59" t="n">
        <v>1951</v>
      </c>
      <c r="B1968" s="15" t="inlineStr">
        <is>
          <t>L&amp;D Dog Handler's Suits</t>
        </is>
      </c>
      <c r="C1968" s="60" t="inlineStr">
        <is>
          <t>https://www.facebook.com/profile.php?id=100057217968686</t>
        </is>
      </c>
      <c r="D1968" s="9" t="inlineStr">
        <is>
          <t>Cần quét Bio Fanpage</t>
        </is>
      </c>
      <c r="E1968" s="59" t="inlineStr">
        <is>
          <t>18/02/2026 17:29:31</t>
        </is>
      </c>
      <c r="F1968" s="59" t="inlineStr">
        <is>
          <t>7 tháng trước</t>
        </is>
      </c>
      <c r="G1968" s="61" t="n">
        <v>210</v>
      </c>
      <c r="H1968" s="62" t="n">
        <v>0</v>
      </c>
      <c r="I1968" s="9" t="inlineStr">
        <is>
          <t>Pet Boarding / Huấn luyện K9 &amp; Dịch vụ (20-22đ)</t>
        </is>
      </c>
      <c r="J1968" s="62" t="n">
        <v>20</v>
      </c>
      <c r="K1968" s="9" t="inlineStr">
        <is>
          <t>Chưa rõ giống (Cần quét Bio)</t>
        </is>
      </c>
      <c r="L1968" s="62" t="n">
        <v>0</v>
      </c>
      <c r="M1968" s="62" t="n">
        <v>0</v>
      </c>
      <c r="N1968" s="9" t="inlineStr">
        <is>
          <t>Amazon link not found</t>
        </is>
      </c>
      <c r="O1968" s="62">
        <f>IF(N1968="Selling pet toys + Artificial grass/Pet toilets (TARGET)",15,IF(N1968="Selling artificial grass/pet toilets (TARGET)",10,IF(N1968="Selling pet toys",7,IF(N1968="There's an Amazon link, but no target sales.",3,0))))</f>
        <v/>
      </c>
      <c r="P1968" s="67">
        <f>H1968+J1968+L1968+M1968+O1968</f>
        <v/>
      </c>
      <c r="Q1968" s="68">
        <f>IF(OR(H1968=0,P1968&lt;30),"Tier D (Đóng băng)",IF(P1968&gt;=85,"Tier S (Kim Cương: 85-100đ)",IF(P1968&gt;=70,"Tier A (Vàng: 70-84đ)",IF(P1968&gt;=61,"Tier B+ / Cấp A (Hot Lead: 61-69đ)",IF(P1968&gt;=50,"Tier B (Bạc: 50-60đ)","Tier C (Đồng: 30-49đ)")))))</f>
        <v/>
      </c>
      <c r="R1968" s="9" t="inlineStr">
        <is>
          <t>Cỏ nhân tạo sân chơi/huấn luyện (Dog Turf) + Đồ chơi nhai chịu lực (KONG/Chew Toys)</t>
        </is>
      </c>
      <c r="S1968" s="9" t="inlineStr">
        <is>
          <t>Đóng băng tương tác (&gt;30 ngày): Lưu trữ chờ kích hoạt lại, không tốn tài nguyên Sales</t>
        </is>
      </c>
    </row>
    <row r="1969">
      <c r="A1969" s="53" t="n">
        <v>1745</v>
      </c>
      <c r="B1969" s="12" t="inlineStr">
        <is>
          <t>Izzy The Frenchie</t>
        </is>
      </c>
      <c r="C1969" s="54" t="inlineStr">
        <is>
          <t>https://www.facebook.com/IzzyTheFrenchie</t>
        </is>
      </c>
      <c r="D1969" s="6" t="inlineStr">
        <is>
          <t>Cần quét Bio Fanpage</t>
        </is>
      </c>
      <c r="E1969" s="53" t="inlineStr">
        <is>
          <t>11/12/2025 22:08:45</t>
        </is>
      </c>
      <c r="F1969" s="53" t="inlineStr">
        <is>
          <t>10 tháng trước</t>
        </is>
      </c>
      <c r="G1969" s="55" t="n">
        <v>300</v>
      </c>
      <c r="H1969" s="56" t="n">
        <v>0</v>
      </c>
      <c r="I1969" s="6" t="inlineStr">
        <is>
          <t>Pet Owner / Kênh cá nhân thú cưng (10đ)</t>
        </is>
      </c>
      <c r="J1969" s="56" t="n">
        <v>10</v>
      </c>
      <c r="K1969" s="6" t="inlineStr">
        <is>
          <t>French Bulldog</t>
        </is>
      </c>
      <c r="L1969" s="56" t="n">
        <v>10</v>
      </c>
      <c r="M1969" s="56" t="n">
        <v>0</v>
      </c>
      <c r="N1969" s="6" t="inlineStr">
        <is>
          <t>Amazon link not found</t>
        </is>
      </c>
      <c r="O1969" s="56">
        <f>IF(N1969="Selling pet toys + Artificial grass/Pet toilets (TARGET)",15,IF(N1969="Selling artificial grass/pet toilets (TARGET)",10,IF(N1969="Selling pet toys",7,IF(N1969="There's an Amazon link, but no target sales.",3,0))))</f>
        <v/>
      </c>
      <c r="P1969" s="65">
        <f>H1969+J1969+L1969+M1969+O1969</f>
        <v/>
      </c>
      <c r="Q1969" s="68">
        <f>IF(OR(H1969=0,P1969&lt;30),"Tier D (Đóng băng)",IF(P1969&gt;=85,"Tier S (Kim Cương: 85-100đ)",IF(P1969&gt;=70,"Tier A (Vàng: 70-84đ)",IF(P1969&gt;=61,"Tier B+ / Cấp A (Hot Lead: 61-69đ)",IF(P1969&gt;=50,"Tier B (Bạc: 50-60đ)","Tier C (Đồng: 30-49đ)")))))</f>
        <v/>
      </c>
      <c r="R1969" s="6" t="inlineStr">
        <is>
          <t>Khay vệ sinh trong nhà (Indoor Dog Potty) + Đồ chơi thú cưng lẻ</t>
        </is>
      </c>
      <c r="S1969" s="6" t="inlineStr">
        <is>
          <t>Đóng băng tương tác (&gt;30 ngày): Lưu trữ chờ kích hoạt lại, không tốn tài nguyên Sales</t>
        </is>
      </c>
    </row>
    <row r="1970">
      <c r="A1970" s="59" t="n">
        <v>2846</v>
      </c>
      <c r="B1970" s="15" t="inlineStr">
        <is>
          <t>SCoot Dog Agility</t>
        </is>
      </c>
      <c r="C1970" s="60" t="inlineStr">
        <is>
          <t>https://www.facebook.com/profile.php?id=100054567034889</t>
        </is>
      </c>
      <c r="D1970" s="9" t="inlineStr">
        <is>
          <t>Cần quét Bio Fanpage</t>
        </is>
      </c>
      <c r="E1970" s="59" t="inlineStr">
        <is>
          <t>12/10/2025 20:44:45</t>
        </is>
      </c>
      <c r="F1970" s="59" t="inlineStr">
        <is>
          <t>1 năm trước</t>
        </is>
      </c>
      <c r="G1970" s="61" t="n">
        <v>365</v>
      </c>
      <c r="H1970" s="62" t="n">
        <v>0</v>
      </c>
      <c r="I1970" s="9" t="inlineStr">
        <is>
          <t>Pet Boarding / Huấn luyện K9 &amp; Dịch vụ (20-22đ)</t>
        </is>
      </c>
      <c r="J1970" s="62" t="n">
        <v>20</v>
      </c>
      <c r="K1970" s="9" t="inlineStr">
        <is>
          <t>Chưa rõ giống (Cần quét Bio)</t>
        </is>
      </c>
      <c r="L1970" s="62" t="n">
        <v>0</v>
      </c>
      <c r="M1970" s="62" t="n">
        <v>0</v>
      </c>
      <c r="N1970" s="9" t="inlineStr">
        <is>
          <t>Amazon link not found</t>
        </is>
      </c>
      <c r="O1970" s="62">
        <f>IF(N1970="Selling pet toys + Artificial grass/Pet toilets (TARGET)",15,IF(N1970="Selling artificial grass/pet toilets (TARGET)",10,IF(N1970="Selling pet toys",7,IF(N1970="There's an Amazon link, but no target sales.",3,0))))</f>
        <v/>
      </c>
      <c r="P1970" s="67">
        <f>H1970+J1970+L1970+M1970+O1970</f>
        <v/>
      </c>
      <c r="Q1970" s="68">
        <f>IF(OR(H1970=0,P1970&lt;30),"Tier D (Đóng băng)",IF(P1970&gt;=85,"Tier S (Kim Cương: 85-100đ)",IF(P1970&gt;=70,"Tier A (Vàng: 70-84đ)",IF(P1970&gt;=61,"Tier B+ / Cấp A (Hot Lead: 61-69đ)",IF(P1970&gt;=50,"Tier B (Bạc: 50-60đ)","Tier C (Đồng: 30-49đ)")))))</f>
        <v/>
      </c>
      <c r="R1970" s="9" t="inlineStr">
        <is>
          <t>Cỏ nhân tạo sân chơi/huấn luyện (Dog Turf) + Đồ chơi nhai chịu lực (KONG/Chew Toys)</t>
        </is>
      </c>
      <c r="S1970" s="9" t="inlineStr">
        <is>
          <t>Đóng băng tương tác (&gt;30 ngày): Lưu trữ chờ kích hoạt lại, không tốn tài nguyên Sales</t>
        </is>
      </c>
    </row>
    <row r="1971">
      <c r="A1971" s="53" t="n">
        <v>2998</v>
      </c>
      <c r="B1971" s="12" t="inlineStr">
        <is>
          <t>Stenhouse Dog Walking</t>
        </is>
      </c>
      <c r="C1971" s="54" t="inlineStr">
        <is>
          <t>https://www.facebook.com/profile.php?id=61573641020724</t>
        </is>
      </c>
      <c r="D1971" s="6" t="inlineStr">
        <is>
          <t>Cần quét Bio Fanpage</t>
        </is>
      </c>
      <c r="E1971" s="53" t="inlineStr">
        <is>
          <t>13/09/2025 16:23:12</t>
        </is>
      </c>
      <c r="F1971" s="53" t="inlineStr">
        <is>
          <t>1 năm trước</t>
        </is>
      </c>
      <c r="G1971" s="55" t="n">
        <v>365</v>
      </c>
      <c r="H1971" s="56" t="n">
        <v>0</v>
      </c>
      <c r="I1971" s="6" t="inlineStr">
        <is>
          <t>Pet Boarding / Huấn luyện K9 &amp; Dịch vụ (20-22đ)</t>
        </is>
      </c>
      <c r="J1971" s="56" t="n">
        <v>20</v>
      </c>
      <c r="K1971" s="6" t="inlineStr">
        <is>
          <t>Chưa rõ giống (Cần quét Bio)</t>
        </is>
      </c>
      <c r="L1971" s="56" t="n">
        <v>0</v>
      </c>
      <c r="M1971" s="56" t="n">
        <v>0</v>
      </c>
      <c r="N1971" s="6" t="inlineStr">
        <is>
          <t>Amazon link not found</t>
        </is>
      </c>
      <c r="O1971" s="56">
        <f>IF(N1971="Selling pet toys + Artificial grass/Pet toilets (TARGET)",15,IF(N1971="Selling artificial grass/pet toilets (TARGET)",10,IF(N1971="Selling pet toys",7,IF(N1971="There's an Amazon link, but no target sales.",3,0))))</f>
        <v/>
      </c>
      <c r="P1971" s="65">
        <f>H1971+J1971+L1971+M1971+O1971</f>
        <v/>
      </c>
      <c r="Q1971" s="68">
        <f>IF(OR(H1971=0,P1971&lt;30),"Tier D (Đóng băng)",IF(P1971&gt;=85,"Tier S (Kim Cương: 85-100đ)",IF(P1971&gt;=70,"Tier A (Vàng: 70-84đ)",IF(P1971&gt;=61,"Tier B+ / Cấp A (Hot Lead: 61-69đ)",IF(P1971&gt;=50,"Tier B (Bạc: 50-60đ)","Tier C (Đồng: 30-49đ)")))))</f>
        <v/>
      </c>
      <c r="R1971" s="6" t="inlineStr">
        <is>
          <t>Cỏ nhân tạo sân chơi/huấn luyện (Dog Turf) + Đồ chơi nhai chịu lực (KONG/Chew Toys)</t>
        </is>
      </c>
      <c r="S1971" s="6" t="inlineStr">
        <is>
          <t>Đóng băng tương tác (&gt;30 ngày): Lưu trữ chờ kích hoạt lại, không tốn tài nguyên Sales</t>
        </is>
      </c>
    </row>
    <row r="1972">
      <c r="A1972" s="59" t="n">
        <v>1924</v>
      </c>
      <c r="B1972" s="15" t="inlineStr">
        <is>
          <t>Keshav Healthcare Pet Care Accessories</t>
        </is>
      </c>
      <c r="C1972" s="60" t="inlineStr">
        <is>
          <t>https://www.facebook.com/profile.php?id=100064650403263</t>
        </is>
      </c>
      <c r="D1972" s="9" t="inlineStr">
        <is>
          <t>Cần quét Bio Fanpage</t>
        </is>
      </c>
      <c r="E1972" s="59" t="inlineStr">
        <is>
          <t>29/04/2024 19:25:14</t>
        </is>
      </c>
      <c r="F1972" s="59" t="inlineStr">
        <is>
          <t>2 năm trước</t>
        </is>
      </c>
      <c r="G1972" s="61" t="n">
        <v>730</v>
      </c>
      <c r="H1972" s="62" t="n">
        <v>0</v>
      </c>
      <c r="I1972" s="9" t="inlineStr">
        <is>
          <t>Pet Boarding / Huấn luyện K9 &amp; Dịch vụ (20-22đ)</t>
        </is>
      </c>
      <c r="J1972" s="62" t="n">
        <v>20</v>
      </c>
      <c r="K1972" s="9" t="inlineStr">
        <is>
          <t>Chưa rõ giống (Cần quét Bio)</t>
        </is>
      </c>
      <c r="L1972" s="62" t="n">
        <v>0</v>
      </c>
      <c r="M1972" s="62" t="n">
        <v>0</v>
      </c>
      <c r="N1972" s="9" t="inlineStr">
        <is>
          <t>Amazon link not found</t>
        </is>
      </c>
      <c r="O1972" s="62">
        <f>IF(N1972="Selling pet toys + Artificial grass/Pet toilets (TARGET)",15,IF(N1972="Selling artificial grass/pet toilets (TARGET)",10,IF(N1972="Selling pet toys",7,IF(N1972="There's an Amazon link, but no target sales.",3,0))))</f>
        <v/>
      </c>
      <c r="P1972" s="67">
        <f>H1972+J1972+L1972+M1972+O1972</f>
        <v/>
      </c>
      <c r="Q1972" s="68">
        <f>IF(OR(H1972=0,P1972&lt;30),"Tier D (Đóng băng)",IF(P1972&gt;=85,"Tier S (Kim Cương: 85-100đ)",IF(P1972&gt;=70,"Tier A (Vàng: 70-84đ)",IF(P1972&gt;=61,"Tier B+ / Cấp A (Hot Lead: 61-69đ)",IF(P1972&gt;=50,"Tier B (Bạc: 50-60đ)","Tier C (Đồng: 30-49đ)")))))</f>
        <v/>
      </c>
      <c r="R1972" s="9" t="inlineStr">
        <is>
          <t>Cỏ nhân tạo sân chơi/huấn luyện (Dog Turf) + Đồ chơi nhai chịu lực (KONG/Chew Toys)</t>
        </is>
      </c>
      <c r="S1972" s="9" t="inlineStr">
        <is>
          <t>Đóng băng tương tác (&gt;30 ngày): Lưu trữ chờ kích hoạt lại, không tốn tài nguyên Sales</t>
        </is>
      </c>
    </row>
    <row r="1973">
      <c r="A1973" s="53" t="n">
        <v>509</v>
      </c>
      <c r="B1973" s="12" t="inlineStr">
        <is>
          <t>Archer The Frenchie</t>
        </is>
      </c>
      <c r="C1973" s="54" t="inlineStr">
        <is>
          <t>https://www.facebook.com/archerthefrenchie.to</t>
        </is>
      </c>
      <c r="D1973" s="6" t="inlineStr">
        <is>
          <t>Cần quét Bio Fanpage</t>
        </is>
      </c>
      <c r="E1973" s="53" t="inlineStr">
        <is>
          <t>01/01/2024 23:48:02</t>
        </is>
      </c>
      <c r="F1973" s="53" t="inlineStr">
        <is>
          <t>2 năm trước</t>
        </is>
      </c>
      <c r="G1973" s="55" t="n">
        <v>730</v>
      </c>
      <c r="H1973" s="56" t="n">
        <v>0</v>
      </c>
      <c r="I1973" s="6" t="inlineStr">
        <is>
          <t>Pet Owner / Kênh cá nhân thú cưng (10đ)</t>
        </is>
      </c>
      <c r="J1973" s="56" t="n">
        <v>10</v>
      </c>
      <c r="K1973" s="6" t="inlineStr">
        <is>
          <t>French Bulldog</t>
        </is>
      </c>
      <c r="L1973" s="56" t="n">
        <v>10</v>
      </c>
      <c r="M1973" s="56" t="n">
        <v>0</v>
      </c>
      <c r="N1973" s="6" t="inlineStr">
        <is>
          <t>Amazon link not found</t>
        </is>
      </c>
      <c r="O1973" s="56">
        <f>IF(N1973="Selling pet toys + Artificial grass/Pet toilets (TARGET)",15,IF(N1973="Selling artificial grass/pet toilets (TARGET)",10,IF(N1973="Selling pet toys",7,IF(N1973="There's an Amazon link, but no target sales.",3,0))))</f>
        <v/>
      </c>
      <c r="P1973" s="65">
        <f>H1973+J1973+L1973+M1973+O1973</f>
        <v/>
      </c>
      <c r="Q1973" s="68">
        <f>IF(OR(H1973=0,P1973&lt;30),"Tier D (Đóng băng)",IF(P1973&gt;=85,"Tier S (Kim Cương: 85-100đ)",IF(P1973&gt;=70,"Tier A (Vàng: 70-84đ)",IF(P1973&gt;=61,"Tier B+ / Cấp A (Hot Lead: 61-69đ)",IF(P1973&gt;=50,"Tier B (Bạc: 50-60đ)","Tier C (Đồng: 30-49đ)")))))</f>
        <v/>
      </c>
      <c r="R1973" s="6" t="inlineStr">
        <is>
          <t>Khay vệ sinh trong nhà (Indoor Dog Potty) + Đồ chơi thú cưng lẻ</t>
        </is>
      </c>
      <c r="S1973" s="6" t="inlineStr">
        <is>
          <t>Đóng băng tương tác (&gt;30 ngày): Lưu trữ chờ kích hoạt lại, không tốn tài nguyên Sales</t>
        </is>
      </c>
    </row>
    <row r="1974">
      <c r="A1974" s="59" t="n">
        <v>2073</v>
      </c>
      <c r="B1974" s="15" t="inlineStr">
        <is>
          <t>Lucy Pet Sports Dog Team</t>
        </is>
      </c>
      <c r="C1974" s="60" t="inlineStr">
        <is>
          <t>https://www.facebook.com/Lucypetsportsdogteam</t>
        </is>
      </c>
      <c r="D1974" s="9" t="inlineStr">
        <is>
          <t>Cần quét Bio Fanpage</t>
        </is>
      </c>
      <c r="E1974" s="59" t="inlineStr">
        <is>
          <t>28/03/2023 23:59:32</t>
        </is>
      </c>
      <c r="F1974" s="59" t="inlineStr">
        <is>
          <t>3 năm trước</t>
        </is>
      </c>
      <c r="G1974" s="61" t="n">
        <v>1095</v>
      </c>
      <c r="H1974" s="62" t="n">
        <v>0</v>
      </c>
      <c r="I1974" s="9" t="inlineStr">
        <is>
          <t>Pet Boarding / Huấn luyện K9 &amp; Dịch vụ (20-22đ)</t>
        </is>
      </c>
      <c r="J1974" s="62" t="n">
        <v>20</v>
      </c>
      <c r="K1974" s="9" t="inlineStr">
        <is>
          <t>Chưa rõ giống (Cần quét Bio)</t>
        </is>
      </c>
      <c r="L1974" s="62" t="n">
        <v>0</v>
      </c>
      <c r="M1974" s="62" t="n">
        <v>0</v>
      </c>
      <c r="N1974" s="9" t="inlineStr">
        <is>
          <t>Amazon link not found</t>
        </is>
      </c>
      <c r="O1974" s="62">
        <f>IF(N1974="Selling pet toys + Artificial grass/Pet toilets (TARGET)",15,IF(N1974="Selling artificial grass/pet toilets (TARGET)",10,IF(N1974="Selling pet toys",7,IF(N1974="There's an Amazon link, but no target sales.",3,0))))</f>
        <v/>
      </c>
      <c r="P1974" s="67">
        <f>H1974+J1974+L1974+M1974+O1974</f>
        <v/>
      </c>
      <c r="Q1974" s="68">
        <f>IF(OR(H1974=0,P1974&lt;30),"Tier D (Đóng băng)",IF(P1974&gt;=85,"Tier S (Kim Cương: 85-100đ)",IF(P1974&gt;=70,"Tier A (Vàng: 70-84đ)",IF(P1974&gt;=61,"Tier B+ / Cấp A (Hot Lead: 61-69đ)",IF(P1974&gt;=50,"Tier B (Bạc: 50-60đ)","Tier C (Đồng: 30-49đ)")))))</f>
        <v/>
      </c>
      <c r="R1974" s="9" t="inlineStr">
        <is>
          <t>Cỏ nhân tạo sân chơi/huấn luyện (Dog Turf) + Đồ chơi nhai chịu lực (KONG/Chew Toys)</t>
        </is>
      </c>
      <c r="S1974" s="9" t="inlineStr">
        <is>
          <t>Đóng băng tương tác (&gt;30 ngày): Lưu trữ chờ kích hoạt lại, không tốn tài nguyên Sales</t>
        </is>
      </c>
    </row>
    <row r="1975">
      <c r="A1975" s="53" t="n">
        <v>2955</v>
      </c>
      <c r="B1975" s="12" t="inlineStr">
        <is>
          <t>Southern Paws Dog Grooming &amp; Spa</t>
        </is>
      </c>
      <c r="C1975" s="54" t="inlineStr">
        <is>
          <t>https://www.facebook.com/sopawsdog</t>
        </is>
      </c>
      <c r="D1975" s="6" t="inlineStr">
        <is>
          <t>Cần quét Bio Fanpage</t>
        </is>
      </c>
      <c r="E1975" s="53" t="inlineStr">
        <is>
          <t>01/07/2022 23:52:36</t>
        </is>
      </c>
      <c r="F1975" s="53" t="inlineStr">
        <is>
          <t>4 năm trước</t>
        </is>
      </c>
      <c r="G1975" s="55" t="n">
        <v>1460</v>
      </c>
      <c r="H1975" s="56" t="n">
        <v>0</v>
      </c>
      <c r="I1975" s="6" t="inlineStr">
        <is>
          <t>Pet Boarding / Huấn luyện K9 &amp; Dịch vụ (20-22đ)</t>
        </is>
      </c>
      <c r="J1975" s="56" t="n">
        <v>20</v>
      </c>
      <c r="K1975" s="6" t="inlineStr">
        <is>
          <t>Chưa rõ giống (Cần quét Bio)</t>
        </is>
      </c>
      <c r="L1975" s="56" t="n">
        <v>0</v>
      </c>
      <c r="M1975" s="56" t="n">
        <v>0</v>
      </c>
      <c r="N1975" s="6" t="inlineStr">
        <is>
          <t>Amazon link not found</t>
        </is>
      </c>
      <c r="O1975" s="56">
        <f>IF(N1975="Selling pet toys + Artificial grass/Pet toilets (TARGET)",15,IF(N1975="Selling artificial grass/pet toilets (TARGET)",10,IF(N1975="Selling pet toys",7,IF(N1975="There's an Amazon link, but no target sales.",3,0))))</f>
        <v/>
      </c>
      <c r="P1975" s="65">
        <f>H1975+J1975+L1975+M1975+O1975</f>
        <v/>
      </c>
      <c r="Q1975" s="68">
        <f>IF(OR(H1975=0,P1975&lt;30),"Tier D (Đóng băng)",IF(P1975&gt;=85,"Tier S (Kim Cương: 85-100đ)",IF(P1975&gt;=70,"Tier A (Vàng: 70-84đ)",IF(P1975&gt;=61,"Tier B+ / Cấp A (Hot Lead: 61-69đ)",IF(P1975&gt;=50,"Tier B (Bạc: 50-60đ)","Tier C (Đồng: 30-49đ)")))))</f>
        <v/>
      </c>
      <c r="R1975" s="6" t="inlineStr">
        <is>
          <t>Cỏ nhân tạo sân chơi/huấn luyện (Dog Turf) + Đồ chơi nhai chịu lực (KONG/Chew Toys)</t>
        </is>
      </c>
      <c r="S1975" s="6" t="inlineStr">
        <is>
          <t>Đóng băng tương tác (&gt;30 ngày): Lưu trữ chờ kích hoạt lại, không tốn tài nguyên Sales</t>
        </is>
      </c>
    </row>
    <row r="1976">
      <c r="A1976" s="59" t="n">
        <v>3084</v>
      </c>
      <c r="B1976" s="15" t="inlineStr">
        <is>
          <t>The American Working Dog Museum</t>
        </is>
      </c>
      <c r="C1976" s="60" t="inlineStr">
        <is>
          <t>https://www.facebook.com/WorkingDogMuseumTobysSitStay</t>
        </is>
      </c>
      <c r="D1976" s="9" t="inlineStr">
        <is>
          <t>Cần quét Bio Fanpage</t>
        </is>
      </c>
      <c r="E1976" s="59" t="inlineStr">
        <is>
          <t>22/01/2022 07:21:28</t>
        </is>
      </c>
      <c r="F1976" s="59" t="inlineStr">
        <is>
          <t>4 năm trước</t>
        </is>
      </c>
      <c r="G1976" s="61" t="n">
        <v>1460</v>
      </c>
      <c r="H1976" s="62" t="n">
        <v>0</v>
      </c>
      <c r="I1976" s="9" t="inlineStr">
        <is>
          <t>Pet Boarding / Huấn luyện K9 &amp; Dịch vụ (20-22đ)</t>
        </is>
      </c>
      <c r="J1976" s="62" t="n">
        <v>20</v>
      </c>
      <c r="K1976" s="9" t="inlineStr">
        <is>
          <t>Chưa rõ giống (Cần quét Bio)</t>
        </is>
      </c>
      <c r="L1976" s="62" t="n">
        <v>0</v>
      </c>
      <c r="M1976" s="62" t="n">
        <v>0</v>
      </c>
      <c r="N1976" s="9" t="inlineStr">
        <is>
          <t>Amazon link not found</t>
        </is>
      </c>
      <c r="O1976" s="62">
        <f>IF(N1976="Selling pet toys + Artificial grass/Pet toilets (TARGET)",15,IF(N1976="Selling artificial grass/pet toilets (TARGET)",10,IF(N1976="Selling pet toys",7,IF(N1976="There's an Amazon link, but no target sales.",3,0))))</f>
        <v/>
      </c>
      <c r="P1976" s="67">
        <f>H1976+J1976+L1976+M1976+O1976</f>
        <v/>
      </c>
      <c r="Q1976" s="68">
        <f>IF(OR(H1976=0,P1976&lt;30),"Tier D (Đóng băng)",IF(P1976&gt;=85,"Tier S (Kim Cương: 85-100đ)",IF(P1976&gt;=70,"Tier A (Vàng: 70-84đ)",IF(P1976&gt;=61,"Tier B+ / Cấp A (Hot Lead: 61-69đ)",IF(P1976&gt;=50,"Tier B (Bạc: 50-60đ)","Tier C (Đồng: 30-49đ)")))))</f>
        <v/>
      </c>
      <c r="R1976" s="9" t="inlineStr">
        <is>
          <t>Cỏ nhân tạo sân chơi/huấn luyện (Dog Turf) + Đồ chơi nhai chịu lực (KONG/Chew Toys)</t>
        </is>
      </c>
      <c r="S1976" s="9" t="inlineStr">
        <is>
          <t>Đóng băng tương tác (&gt;30 ngày): Lưu trữ chờ kích hoạt lại, không tốn tài nguyên Sales</t>
        </is>
      </c>
    </row>
    <row r="1977">
      <c r="A1977" s="53" t="n">
        <v>1621</v>
      </c>
      <c r="B1977" s="12" t="inlineStr">
        <is>
          <t>Harvey’s Hope Animal Rescue</t>
        </is>
      </c>
      <c r="C1977" s="54" t="inlineStr">
        <is>
          <t>https://www.facebook.com/harveyshopeanimalrescue</t>
        </is>
      </c>
      <c r="D1977" s="6" t="inlineStr">
        <is>
          <t>Cần quét Bio Fanpage</t>
        </is>
      </c>
      <c r="E1977" s="53" t="inlineStr">
        <is>
          <t>13/04/2023 20:41:50</t>
        </is>
      </c>
      <c r="F1977" s="53" t="inlineStr">
        <is>
          <t>3 năm trước</t>
        </is>
      </c>
      <c r="G1977" s="55" t="n">
        <v>1095</v>
      </c>
      <c r="H1977" s="56" t="n">
        <v>0</v>
      </c>
      <c r="I1977" s="6" t="inlineStr">
        <is>
          <t>Pet Rescue / Trạm cứu trợ (14-16đ)</t>
        </is>
      </c>
      <c r="J1977" s="56" t="n">
        <v>14</v>
      </c>
      <c r="K1977" s="6" t="inlineStr">
        <is>
          <t>Chưa rõ giống (Cần quét Bio)</t>
        </is>
      </c>
      <c r="L1977" s="56" t="n">
        <v>0</v>
      </c>
      <c r="M1977" s="56" t="n">
        <v>5</v>
      </c>
      <c r="N1977" s="6" t="inlineStr">
        <is>
          <t>Amazon link not found</t>
        </is>
      </c>
      <c r="O1977" s="56">
        <f>IF(N1977="Selling pet toys + Artificial grass/Pet toilets (TARGET)",15,IF(N1977="Selling artificial grass/pet toilets (TARGET)",10,IF(N1977="Selling pet toys",7,IF(N1977="There's an Amazon link, but no target sales.",3,0))))</f>
        <v/>
      </c>
      <c r="P1977" s="65">
        <f>H1977+J1977+L1977+M1977+O1977</f>
        <v/>
      </c>
      <c r="Q1977" s="68">
        <f>IF(OR(H1977=0,P1977&lt;30),"Tier D (Đóng băng)",IF(P1977&gt;=85,"Tier S (Kim Cương: 85-100đ)",IF(P1977&gt;=70,"Tier A (Vàng: 70-84đ)",IF(P1977&gt;=61,"Tier B+ / Cấp A (Hot Lead: 61-69đ)",IF(P1977&gt;=50,"Tier B (Bạc: 50-60đ)","Tier C (Đồng: 30-49đ)")))))</f>
        <v/>
      </c>
      <c r="R1977" s="6" t="inlineStr">
        <is>
          <t>Nhà vệ sinh &amp; Tã lót (Potty Tray / Pee Pads) + Cỏ nhân tạo lót chuồng</t>
        </is>
      </c>
      <c r="S1977" s="6" t="inlineStr">
        <is>
          <t>Đóng băng tương tác (&gt;30 ngày): Lưu trữ chờ kích hoạt lại, không tốn tài nguyên Sales</t>
        </is>
      </c>
    </row>
    <row r="1978">
      <c r="A1978" s="59" t="n">
        <v>3322</v>
      </c>
      <c r="B1978" s="15" t="inlineStr">
        <is>
          <t>Victory Lane Classic Dog Show</t>
        </is>
      </c>
      <c r="C1978" s="60" t="inlineStr">
        <is>
          <t>https://www.facebook.com/victorylaneclassic</t>
        </is>
      </c>
      <c r="D1978" s="9" t="inlineStr">
        <is>
          <t>Cần quét Bio Fanpage</t>
        </is>
      </c>
      <c r="E1978" s="59" t="inlineStr">
        <is>
          <t>22/09/2026 03:56:29</t>
        </is>
      </c>
      <c r="F1978" s="59" t="inlineStr">
        <is>
          <t>3 tuần trước</t>
        </is>
      </c>
      <c r="G1978" s="61" t="n">
        <v>21</v>
      </c>
      <c r="H1978" s="62" t="n">
        <v>8</v>
      </c>
      <c r="I1978" s="9" t="inlineStr">
        <is>
          <t>Pet Owner / Cộng đồng nuôi cún (10đ)</t>
        </is>
      </c>
      <c r="J1978" s="62" t="n">
        <v>10</v>
      </c>
      <c r="K1978" s="9" t="inlineStr">
        <is>
          <t>Chưa rõ giống (Cần quét Bio)</t>
        </is>
      </c>
      <c r="L1978" s="62" t="n">
        <v>0</v>
      </c>
      <c r="M1978" s="62" t="n">
        <v>0</v>
      </c>
      <c r="N1978" s="9" t="inlineStr">
        <is>
          <t>Amazon link not found</t>
        </is>
      </c>
      <c r="O1978" s="62">
        <f>IF(N1978="Selling pet toys + Artificial grass/Pet toilets (TARGET)",15,IF(N1978="Selling artificial grass/pet toilets (TARGET)",10,IF(N1978="Selling pet toys",7,IF(N1978="There's an Amazon link, but no target sales.",3,0))))</f>
        <v/>
      </c>
      <c r="P1978" s="67">
        <f>H1978+J1978+L1978+M1978+O1978</f>
        <v/>
      </c>
      <c r="Q1978" s="68">
        <f>IF(OR(H1978=0,P1978&lt;30),"Tier D (Đóng băng)",IF(P1978&gt;=85,"Tier S (Kim Cương: 85-100đ)",IF(P1978&gt;=70,"Tier A (Vàng: 70-84đ)",IF(P1978&gt;=61,"Tier B+ / Cấp A (Hot Lead: 61-69đ)",IF(P1978&gt;=50,"Tier B (Bạc: 50-60đ)","Tier C (Đồng: 30-49đ)")))))</f>
        <v/>
      </c>
      <c r="R1978" s="9" t="inlineStr">
        <is>
          <t>Khay vệ sinh chung cư (Indoor Potty) + Thảm cỏ ban công (Grass Patch) + Đồ chơi</t>
        </is>
      </c>
      <c r="S1978" s="9" t="inlineStr">
        <is>
          <t>Đóng băng tương tác (&gt;30 ngày): Lưu trữ chờ kích hoạt lại, không tốn tài nguyên Sales</t>
        </is>
      </c>
    </row>
    <row r="1979">
      <c r="A1979" s="53" t="n">
        <v>971</v>
      </c>
      <c r="B1979" s="12" t="inlineStr">
        <is>
          <t>CRYODOG</t>
        </is>
      </c>
      <c r="C1979" s="54" t="inlineStr">
        <is>
          <t>https://www.facebook.com/vet.cryodog</t>
        </is>
      </c>
      <c r="D1979" s="6" t="inlineStr">
        <is>
          <t>Cần quét Bio Fanpage</t>
        </is>
      </c>
      <c r="E1979" s="53" t="inlineStr">
        <is>
          <t>22/09/2026 00:55:46</t>
        </is>
      </c>
      <c r="F1979" s="53" t="inlineStr">
        <is>
          <t>3 tuần trước</t>
        </is>
      </c>
      <c r="G1979" s="55" t="n">
        <v>21</v>
      </c>
      <c r="H1979" s="56" t="n">
        <v>8</v>
      </c>
      <c r="I1979" s="6" t="inlineStr">
        <is>
          <t>Pet Owner / Cộng đồng nuôi cún (10đ)</t>
        </is>
      </c>
      <c r="J1979" s="56" t="n">
        <v>10</v>
      </c>
      <c r="K1979" s="6" t="inlineStr">
        <is>
          <t>Chưa rõ giống (Cần quét Bio)</t>
        </is>
      </c>
      <c r="L1979" s="56" t="n">
        <v>0</v>
      </c>
      <c r="M1979" s="56" t="n">
        <v>0</v>
      </c>
      <c r="N1979" s="6" t="inlineStr">
        <is>
          <t>Amazon link not found</t>
        </is>
      </c>
      <c r="O1979" s="56">
        <f>IF(N1979="Selling pet toys + Artificial grass/Pet toilets (TARGET)",15,IF(N1979="Selling artificial grass/pet toilets (TARGET)",10,IF(N1979="Selling pet toys",7,IF(N1979="There's an Amazon link, but no target sales.",3,0))))</f>
        <v/>
      </c>
      <c r="P1979" s="65">
        <f>H1979+J1979+L1979+M1979+O1979</f>
        <v/>
      </c>
      <c r="Q1979" s="68">
        <f>IF(OR(H1979=0,P1979&lt;30),"Tier D (Đóng băng)",IF(P1979&gt;=85,"Tier S (Kim Cương: 85-100đ)",IF(P1979&gt;=70,"Tier A (Vàng: 70-84đ)",IF(P1979&gt;=61,"Tier B+ / Cấp A (Hot Lead: 61-69đ)",IF(P1979&gt;=50,"Tier B (Bạc: 50-60đ)","Tier C (Đồng: 30-49đ)")))))</f>
        <v/>
      </c>
      <c r="R1979" s="6" t="inlineStr">
        <is>
          <t>Khay vệ sinh chung cư (Indoor Potty) + Thảm cỏ ban công (Grass Patch) + Đồ chơi</t>
        </is>
      </c>
      <c r="S1979" s="6" t="inlineStr">
        <is>
          <t>Đóng băng tương tác (&gt;30 ngày): Lưu trữ chờ kích hoạt lại, không tốn tài nguyên Sales</t>
        </is>
      </c>
    </row>
    <row r="1980">
      <c r="A1980" s="59" t="n">
        <v>3135</v>
      </c>
      <c r="B1980" s="15" t="inlineStr">
        <is>
          <t>The K9 Journey</t>
        </is>
      </c>
      <c r="C1980" s="60" t="inlineStr">
        <is>
          <t>https://www.facebook.com/profile.php?id=100093080605503</t>
        </is>
      </c>
      <c r="D1980" s="9" t="inlineStr">
        <is>
          <t>Cần quét Bio Fanpage</t>
        </is>
      </c>
      <c r="E1980" s="59" t="inlineStr">
        <is>
          <t>21/09/2026 21:09:29</t>
        </is>
      </c>
      <c r="F1980" s="59" t="inlineStr">
        <is>
          <t>3 tuần trước</t>
        </is>
      </c>
      <c r="G1980" s="61" t="n">
        <v>21</v>
      </c>
      <c r="H1980" s="62" t="n">
        <v>8</v>
      </c>
      <c r="I1980" s="9" t="inlineStr">
        <is>
          <t>Pet Owner / Kênh cá nhân thú cưng (10đ)</t>
        </is>
      </c>
      <c r="J1980" s="62" t="n">
        <v>10</v>
      </c>
      <c r="K1980" s="9" t="inlineStr">
        <is>
          <t>Chưa rõ giống (Cần quét Bio)</t>
        </is>
      </c>
      <c r="L1980" s="62" t="n">
        <v>0</v>
      </c>
      <c r="M1980" s="62" t="n">
        <v>0</v>
      </c>
      <c r="N1980" s="9" t="inlineStr">
        <is>
          <t>Amazon link not found</t>
        </is>
      </c>
      <c r="O1980" s="62">
        <f>IF(N1980="Selling pet toys + Artificial grass/Pet toilets (TARGET)",15,IF(N1980="Selling artificial grass/pet toilets (TARGET)",10,IF(N1980="Selling pet toys",7,IF(N1980="There's an Amazon link, but no target sales.",3,0))))</f>
        <v/>
      </c>
      <c r="P1980" s="67">
        <f>H1980+J1980+L1980+M1980+O1980</f>
        <v/>
      </c>
      <c r="Q1980" s="68">
        <f>IF(OR(H1980=0,P1980&lt;30),"Tier D (Đóng băng)",IF(P1980&gt;=85,"Tier S (Kim Cương: 85-100đ)",IF(P1980&gt;=70,"Tier A (Vàng: 70-84đ)",IF(P1980&gt;=61,"Tier B+ / Cấp A (Hot Lead: 61-69đ)",IF(P1980&gt;=50,"Tier B (Bạc: 50-60đ)","Tier C (Đồng: 30-49đ)")))))</f>
        <v/>
      </c>
      <c r="R1980" s="9" t="inlineStr">
        <is>
          <t>Khay vệ sinh trong nhà (Indoor Dog Potty) + Đồ chơi thú cưng lẻ</t>
        </is>
      </c>
      <c r="S1980" s="9" t="inlineStr">
        <is>
          <t>Đóng băng tương tác (&gt;30 ngày): Lưu trữ chờ kích hoạt lại, không tốn tài nguyên Sales</t>
        </is>
      </c>
    </row>
    <row r="1981">
      <c r="A1981" s="53" t="n">
        <v>2592</v>
      </c>
      <c r="B1981" s="12" t="inlineStr">
        <is>
          <t>Pointing Dog Journal</t>
        </is>
      </c>
      <c r="C1981" s="54" t="inlineStr">
        <is>
          <t>https://www.facebook.com/pointingdogjournal</t>
        </is>
      </c>
      <c r="D1981" s="6" t="inlineStr">
        <is>
          <t>Cần quét Bio Fanpage</t>
        </is>
      </c>
      <c r="E1981" s="53" t="inlineStr">
        <is>
          <t>21/09/2026 21:03:51</t>
        </is>
      </c>
      <c r="F1981" s="53" t="inlineStr">
        <is>
          <t>3 tuần trước</t>
        </is>
      </c>
      <c r="G1981" s="55" t="n">
        <v>21</v>
      </c>
      <c r="H1981" s="56" t="n">
        <v>8</v>
      </c>
      <c r="I1981" s="6" t="inlineStr">
        <is>
          <t>Pet Owner / Cộng đồng nuôi cún (10đ)</t>
        </is>
      </c>
      <c r="J1981" s="56" t="n">
        <v>10</v>
      </c>
      <c r="K1981" s="6" t="inlineStr">
        <is>
          <t>Chưa rõ giống (Cần quét Bio)</t>
        </is>
      </c>
      <c r="L1981" s="56" t="n">
        <v>0</v>
      </c>
      <c r="M1981" s="56" t="n">
        <v>0</v>
      </c>
      <c r="N1981" s="6" t="inlineStr">
        <is>
          <t>Amazon link not found</t>
        </is>
      </c>
      <c r="O1981" s="56">
        <f>IF(N1981="Selling pet toys + Artificial grass/Pet toilets (TARGET)",15,IF(N1981="Selling artificial grass/pet toilets (TARGET)",10,IF(N1981="Selling pet toys",7,IF(N1981="There's an Amazon link, but no target sales.",3,0))))</f>
        <v/>
      </c>
      <c r="P1981" s="65">
        <f>H1981+J1981+L1981+M1981+O1981</f>
        <v/>
      </c>
      <c r="Q1981" s="68">
        <f>IF(OR(H1981=0,P1981&lt;30),"Tier D (Đóng băng)",IF(P1981&gt;=85,"Tier S (Kim Cương: 85-100đ)",IF(P1981&gt;=70,"Tier A (Vàng: 70-84đ)",IF(P1981&gt;=61,"Tier B+ / Cấp A (Hot Lead: 61-69đ)",IF(P1981&gt;=50,"Tier B (Bạc: 50-60đ)","Tier C (Đồng: 30-49đ)")))))</f>
        <v/>
      </c>
      <c r="R1981" s="6" t="inlineStr">
        <is>
          <t>Khay vệ sinh chung cư (Indoor Potty) + Thảm cỏ ban công (Grass Patch) + Đồ chơi</t>
        </is>
      </c>
      <c r="S1981" s="6" t="inlineStr">
        <is>
          <t>Đóng băng tương tác (&gt;30 ngày): Lưu trữ chờ kích hoạt lại, không tốn tài nguyên Sales</t>
        </is>
      </c>
    </row>
    <row r="1982">
      <c r="A1982" s="59" t="n">
        <v>2518</v>
      </c>
      <c r="B1982" s="15" t="inlineStr">
        <is>
          <t>Petlandia</t>
        </is>
      </c>
      <c r="C1982" s="60" t="inlineStr">
        <is>
          <t>https://www.facebook.com/profile.php?id=61552060206072</t>
        </is>
      </c>
      <c r="D1982" s="9" t="inlineStr">
        <is>
          <t>Cần quét Bio Fanpage</t>
        </is>
      </c>
      <c r="E1982" s="59" t="inlineStr">
        <is>
          <t>20/09/2026 03:53:14</t>
        </is>
      </c>
      <c r="F1982" s="59" t="inlineStr">
        <is>
          <t>3 tuần trước</t>
        </is>
      </c>
      <c r="G1982" s="61" t="n">
        <v>21</v>
      </c>
      <c r="H1982" s="62" t="n">
        <v>8</v>
      </c>
      <c r="I1982" s="9" t="inlineStr">
        <is>
          <t>Pet Owner / Cộng đồng nuôi cún (10đ)</t>
        </is>
      </c>
      <c r="J1982" s="62" t="n">
        <v>10</v>
      </c>
      <c r="K1982" s="9" t="inlineStr">
        <is>
          <t>Chưa rõ giống (Cần quét Bio)</t>
        </is>
      </c>
      <c r="L1982" s="62" t="n">
        <v>0</v>
      </c>
      <c r="M1982" s="62" t="n">
        <v>0</v>
      </c>
      <c r="N1982" s="9" t="inlineStr">
        <is>
          <t>Amazon link not found</t>
        </is>
      </c>
      <c r="O1982" s="62">
        <f>IF(N1982="Selling pet toys + Artificial grass/Pet toilets (TARGET)",15,IF(N1982="Selling artificial grass/pet toilets (TARGET)",10,IF(N1982="Selling pet toys",7,IF(N1982="There's an Amazon link, but no target sales.",3,0))))</f>
        <v/>
      </c>
      <c r="P1982" s="67">
        <f>H1982+J1982+L1982+M1982+O1982</f>
        <v/>
      </c>
      <c r="Q1982" s="68">
        <f>IF(OR(H1982=0,P1982&lt;30),"Tier D (Đóng băng)",IF(P1982&gt;=85,"Tier S (Kim Cương: 85-100đ)",IF(P1982&gt;=70,"Tier A (Vàng: 70-84đ)",IF(P1982&gt;=61,"Tier B+ / Cấp A (Hot Lead: 61-69đ)",IF(P1982&gt;=50,"Tier B (Bạc: 50-60đ)","Tier C (Đồng: 30-49đ)")))))</f>
        <v/>
      </c>
      <c r="R1982" s="9" t="inlineStr">
        <is>
          <t>Khay vệ sinh chung cư (Indoor Potty) + Thảm cỏ ban công (Grass Patch) + Đồ chơi</t>
        </is>
      </c>
      <c r="S1982" s="9" t="inlineStr">
        <is>
          <t>Đóng băng tương tác (&gt;30 ngày): Lưu trữ chờ kích hoạt lại, không tốn tài nguyên Sales</t>
        </is>
      </c>
    </row>
    <row r="1983">
      <c r="A1983" s="53" t="n">
        <v>1572</v>
      </c>
      <c r="B1983" s="12" t="inlineStr">
        <is>
          <t>Groomerpet.kleber</t>
        </is>
      </c>
      <c r="C1983" s="54" t="inlineStr">
        <is>
          <t>https://www.facebook.com/profile.php?id=61590067120412</t>
        </is>
      </c>
      <c r="D1983" s="6" t="inlineStr">
        <is>
          <t>Cần quét Bio Fanpage</t>
        </is>
      </c>
      <c r="E1983" s="53" t="inlineStr">
        <is>
          <t>19/09/2026 22:22:43</t>
        </is>
      </c>
      <c r="F1983" s="53" t="inlineStr">
        <is>
          <t>3 tuần trước</t>
        </is>
      </c>
      <c r="G1983" s="55" t="n">
        <v>21</v>
      </c>
      <c r="H1983" s="56" t="n">
        <v>8</v>
      </c>
      <c r="I1983" s="6" t="inlineStr">
        <is>
          <t>Pet Owner / Cộng đồng nuôi cún (10đ)</t>
        </is>
      </c>
      <c r="J1983" s="56" t="n">
        <v>10</v>
      </c>
      <c r="K1983" s="6" t="inlineStr">
        <is>
          <t>Chưa rõ giống (Cần quét Bio)</t>
        </is>
      </c>
      <c r="L1983" s="56" t="n">
        <v>0</v>
      </c>
      <c r="M1983" s="56" t="n">
        <v>0</v>
      </c>
      <c r="N1983" s="6" t="inlineStr">
        <is>
          <t>Amazon link not found</t>
        </is>
      </c>
      <c r="O1983" s="56">
        <f>IF(N1983="Selling pet toys + Artificial grass/Pet toilets (TARGET)",15,IF(N1983="Selling artificial grass/pet toilets (TARGET)",10,IF(N1983="Selling pet toys",7,IF(N1983="There's an Amazon link, but no target sales.",3,0))))</f>
        <v/>
      </c>
      <c r="P1983" s="65">
        <f>H1983+J1983+L1983+M1983+O1983</f>
        <v/>
      </c>
      <c r="Q1983" s="68">
        <f>IF(OR(H1983=0,P1983&lt;30),"Tier D (Đóng băng)",IF(P1983&gt;=85,"Tier S (Kim Cương: 85-100đ)",IF(P1983&gt;=70,"Tier A (Vàng: 70-84đ)",IF(P1983&gt;=61,"Tier B+ / Cấp A (Hot Lead: 61-69đ)",IF(P1983&gt;=50,"Tier B (Bạc: 50-60đ)","Tier C (Đồng: 30-49đ)")))))</f>
        <v/>
      </c>
      <c r="R1983" s="6" t="inlineStr">
        <is>
          <t>Khay vệ sinh chung cư (Indoor Potty) + Thảm cỏ ban công (Grass Patch) + Đồ chơi</t>
        </is>
      </c>
      <c r="S1983" s="6" t="inlineStr">
        <is>
          <t>Đóng băng tương tác (&gt;30 ngày): Lưu trữ chờ kích hoạt lại, không tốn tài nguyên Sales</t>
        </is>
      </c>
    </row>
    <row r="1984">
      <c r="A1984" s="59" t="n">
        <v>1268</v>
      </c>
      <c r="B1984" s="15" t="inlineStr">
        <is>
          <t>Elena Corpetti</t>
        </is>
      </c>
      <c r="C1984" s="60" t="inlineStr">
        <is>
          <t>https://www.facebook.com/elena.corpetti</t>
        </is>
      </c>
      <c r="D1984" s="9" t="inlineStr">
        <is>
          <t>Cần quét Bio Fanpage</t>
        </is>
      </c>
      <c r="E1984" s="59" t="inlineStr">
        <is>
          <t>19/09/2026 02:45:24</t>
        </is>
      </c>
      <c r="F1984" s="59" t="inlineStr">
        <is>
          <t>3 tuần trước</t>
        </is>
      </c>
      <c r="G1984" s="61" t="n">
        <v>21</v>
      </c>
      <c r="H1984" s="62" t="n">
        <v>8</v>
      </c>
      <c r="I1984" s="9" t="inlineStr">
        <is>
          <t>Pet Owner / Cộng đồng nuôi cún (10đ)</t>
        </is>
      </c>
      <c r="J1984" s="62" t="n">
        <v>10</v>
      </c>
      <c r="K1984" s="9" t="inlineStr">
        <is>
          <t>Chưa rõ giống (Cần quét Bio)</t>
        </is>
      </c>
      <c r="L1984" s="62" t="n">
        <v>0</v>
      </c>
      <c r="M1984" s="62" t="n">
        <v>0</v>
      </c>
      <c r="N1984" s="9" t="inlineStr">
        <is>
          <t>Amazon link not found</t>
        </is>
      </c>
      <c r="O1984" s="62">
        <f>IF(N1984="Selling pet toys + Artificial grass/Pet toilets (TARGET)",15,IF(N1984="Selling artificial grass/pet toilets (TARGET)",10,IF(N1984="Selling pet toys",7,IF(N1984="There's an Amazon link, but no target sales.",3,0))))</f>
        <v/>
      </c>
      <c r="P1984" s="67">
        <f>H1984+J1984+L1984+M1984+O1984</f>
        <v/>
      </c>
      <c r="Q1984" s="68">
        <f>IF(OR(H1984=0,P1984&lt;30),"Tier D (Đóng băng)",IF(P1984&gt;=85,"Tier S (Kim Cương: 85-100đ)",IF(P1984&gt;=70,"Tier A (Vàng: 70-84đ)",IF(P1984&gt;=61,"Tier B+ / Cấp A (Hot Lead: 61-69đ)",IF(P1984&gt;=50,"Tier B (Bạc: 50-60đ)","Tier C (Đồng: 30-49đ)")))))</f>
        <v/>
      </c>
      <c r="R1984" s="9" t="inlineStr">
        <is>
          <t>Khay vệ sinh chung cư (Indoor Potty) + Thảm cỏ ban công (Grass Patch) + Đồ chơi</t>
        </is>
      </c>
      <c r="S1984" s="9" t="inlineStr">
        <is>
          <t>Đóng băng tương tác (&gt;30 ngày): Lưu trữ chờ kích hoạt lại, không tốn tài nguyên Sales</t>
        </is>
      </c>
    </row>
    <row r="1985">
      <c r="A1985" s="53" t="n">
        <v>1258</v>
      </c>
      <c r="B1985" s="12" t="inlineStr">
        <is>
          <t>Dynamopet</t>
        </is>
      </c>
      <c r="C1985" s="54" t="inlineStr">
        <is>
          <t>https://www.facebook.com/dynamopet</t>
        </is>
      </c>
      <c r="D1985" s="6" t="inlineStr">
        <is>
          <t>Cần quét Bio Fanpage</t>
        </is>
      </c>
      <c r="E1985" s="53" t="inlineStr">
        <is>
          <t>18/09/2026 15:00:26</t>
        </is>
      </c>
      <c r="F1985" s="53" t="inlineStr">
        <is>
          <t>3 tuần trước</t>
        </is>
      </c>
      <c r="G1985" s="55" t="n">
        <v>21</v>
      </c>
      <c r="H1985" s="56" t="n">
        <v>8</v>
      </c>
      <c r="I1985" s="6" t="inlineStr">
        <is>
          <t>Pet Owner / Cộng đồng nuôi cún (10đ)</t>
        </is>
      </c>
      <c r="J1985" s="56" t="n">
        <v>10</v>
      </c>
      <c r="K1985" s="6" t="inlineStr">
        <is>
          <t>Chưa rõ giống (Cần quét Bio)</t>
        </is>
      </c>
      <c r="L1985" s="56" t="n">
        <v>0</v>
      </c>
      <c r="M1985" s="56" t="n">
        <v>0</v>
      </c>
      <c r="N1985" s="6" t="inlineStr">
        <is>
          <t>Amazon link not found</t>
        </is>
      </c>
      <c r="O1985" s="56">
        <f>IF(N1985="Selling pet toys + Artificial grass/Pet toilets (TARGET)",15,IF(N1985="Selling artificial grass/pet toilets (TARGET)",10,IF(N1985="Selling pet toys",7,IF(N1985="There's an Amazon link, but no target sales.",3,0))))</f>
        <v/>
      </c>
      <c r="P1985" s="65">
        <f>H1985+J1985+L1985+M1985+O1985</f>
        <v/>
      </c>
      <c r="Q1985" s="68">
        <f>IF(OR(H1985=0,P1985&lt;30),"Tier D (Đóng băng)",IF(P1985&gt;=85,"Tier S (Kim Cương: 85-100đ)",IF(P1985&gt;=70,"Tier A (Vàng: 70-84đ)",IF(P1985&gt;=61,"Tier B+ / Cấp A (Hot Lead: 61-69đ)",IF(P1985&gt;=50,"Tier B (Bạc: 50-60đ)","Tier C (Đồng: 30-49đ)")))))</f>
        <v/>
      </c>
      <c r="R1985" s="6" t="inlineStr">
        <is>
          <t>Khay vệ sinh chung cư (Indoor Potty) + Thảm cỏ ban công (Grass Patch) + Đồ chơi</t>
        </is>
      </c>
      <c r="S1985" s="6" t="inlineStr">
        <is>
          <t>Đóng băng tương tác (&gt;30 ngày): Lưu trữ chờ kích hoạt lại, không tốn tài nguyên Sales</t>
        </is>
      </c>
    </row>
    <row r="1986">
      <c r="A1986" s="59" t="n">
        <v>2022</v>
      </c>
      <c r="B1986" s="15" t="inlineStr">
        <is>
          <t>Lily Snuggle Bug and Jazzy, our Angel Dogs, and Delaney</t>
        </is>
      </c>
      <c r="C1986" s="60" t="inlineStr">
        <is>
          <t>https://www.facebook.com/lilysnugglebug</t>
        </is>
      </c>
      <c r="D1986" s="9" t="inlineStr">
        <is>
          <t>Cần quét Bio Fanpage</t>
        </is>
      </c>
      <c r="E1986" s="59" t="inlineStr">
        <is>
          <t>17/09/2026 21:38:49</t>
        </is>
      </c>
      <c r="F1986" s="59" t="inlineStr">
        <is>
          <t>3 tuần trước</t>
        </is>
      </c>
      <c r="G1986" s="61" t="n">
        <v>21</v>
      </c>
      <c r="H1986" s="62" t="n">
        <v>8</v>
      </c>
      <c r="I1986" s="9" t="inlineStr">
        <is>
          <t>Pet Owner / Cộng đồng nuôi cún (10đ)</t>
        </is>
      </c>
      <c r="J1986" s="62" t="n">
        <v>10</v>
      </c>
      <c r="K1986" s="9" t="inlineStr">
        <is>
          <t>Chưa rõ giống (Cần quét Bio)</t>
        </is>
      </c>
      <c r="L1986" s="62" t="n">
        <v>0</v>
      </c>
      <c r="M1986" s="62" t="n">
        <v>0</v>
      </c>
      <c r="N1986" s="9" t="inlineStr">
        <is>
          <t>Amazon link not found</t>
        </is>
      </c>
      <c r="O1986" s="62">
        <f>IF(N1986="Selling pet toys + Artificial grass/Pet toilets (TARGET)",15,IF(N1986="Selling artificial grass/pet toilets (TARGET)",10,IF(N1986="Selling pet toys",7,IF(N1986="There's an Amazon link, but no target sales.",3,0))))</f>
        <v/>
      </c>
      <c r="P1986" s="67">
        <f>H1986+J1986+L1986+M1986+O1986</f>
        <v/>
      </c>
      <c r="Q1986" s="68">
        <f>IF(OR(H1986=0,P1986&lt;30),"Tier D (Đóng băng)",IF(P1986&gt;=85,"Tier S (Kim Cương: 85-100đ)",IF(P1986&gt;=70,"Tier A (Vàng: 70-84đ)",IF(P1986&gt;=61,"Tier B+ / Cấp A (Hot Lead: 61-69đ)",IF(P1986&gt;=50,"Tier B (Bạc: 50-60đ)","Tier C (Đồng: 30-49đ)")))))</f>
        <v/>
      </c>
      <c r="R1986" s="9" t="inlineStr">
        <is>
          <t>Khay vệ sinh chung cư (Indoor Potty) + Thảm cỏ ban công (Grass Patch) + Đồ chơi</t>
        </is>
      </c>
      <c r="S1986" s="9" t="inlineStr">
        <is>
          <t>Đóng băng tương tác (&gt;30 ngày): Lưu trữ chờ kích hoạt lại, không tốn tài nguyên Sales</t>
        </is>
      </c>
    </row>
    <row r="1987">
      <c r="A1987" s="53" t="n">
        <v>1998</v>
      </c>
      <c r="B1987" s="12" t="inlineStr">
        <is>
          <t>Leather Works 4 Dogs</t>
        </is>
      </c>
      <c r="C1987" s="54" t="inlineStr">
        <is>
          <t>https://www.facebook.com/profile.php?id=100077194314405</t>
        </is>
      </c>
      <c r="D1987" s="6" t="inlineStr">
        <is>
          <t>Cần quét Bio Fanpage</t>
        </is>
      </c>
      <c r="E1987" s="53" t="inlineStr">
        <is>
          <t>17/09/2026 09:54:48</t>
        </is>
      </c>
      <c r="F1987" s="53" t="inlineStr">
        <is>
          <t>3 tuần trước</t>
        </is>
      </c>
      <c r="G1987" s="55" t="n">
        <v>21</v>
      </c>
      <c r="H1987" s="56" t="n">
        <v>8</v>
      </c>
      <c r="I1987" s="6" t="inlineStr">
        <is>
          <t>Pet Owner / Cộng đồng nuôi cún (10đ)</t>
        </is>
      </c>
      <c r="J1987" s="56" t="n">
        <v>10</v>
      </c>
      <c r="K1987" s="6" t="inlineStr">
        <is>
          <t>Chưa rõ giống (Cần quét Bio)</t>
        </is>
      </c>
      <c r="L1987" s="56" t="n">
        <v>0</v>
      </c>
      <c r="M1987" s="56" t="n">
        <v>0</v>
      </c>
      <c r="N1987" s="6" t="inlineStr">
        <is>
          <t>Amazon link not found</t>
        </is>
      </c>
      <c r="O1987" s="56">
        <f>IF(N1987="Selling pet toys + Artificial grass/Pet toilets (TARGET)",15,IF(N1987="Selling artificial grass/pet toilets (TARGET)",10,IF(N1987="Selling pet toys",7,IF(N1987="There's an Amazon link, but no target sales.",3,0))))</f>
        <v/>
      </c>
      <c r="P1987" s="65">
        <f>H1987+J1987+L1987+M1987+O1987</f>
        <v/>
      </c>
      <c r="Q1987" s="68">
        <f>IF(OR(H1987=0,P1987&lt;30),"Tier D (Đóng băng)",IF(P1987&gt;=85,"Tier S (Kim Cương: 85-100đ)",IF(P1987&gt;=70,"Tier A (Vàng: 70-84đ)",IF(P1987&gt;=61,"Tier B+ / Cấp A (Hot Lead: 61-69đ)",IF(P1987&gt;=50,"Tier B (Bạc: 50-60đ)","Tier C (Đồng: 30-49đ)")))))</f>
        <v/>
      </c>
      <c r="R1987" s="6" t="inlineStr">
        <is>
          <t>Khay vệ sinh chung cư (Indoor Potty) + Thảm cỏ ban công (Grass Patch) + Đồ chơi</t>
        </is>
      </c>
      <c r="S1987" s="6" t="inlineStr">
        <is>
          <t>Đóng băng tương tác (&gt;30 ngày): Lưu trữ chờ kích hoạt lại, không tốn tài nguyên Sales</t>
        </is>
      </c>
    </row>
    <row r="1988">
      <c r="A1988" s="59" t="n">
        <v>3305</v>
      </c>
      <c r="B1988" s="15" t="inlineStr">
        <is>
          <t>VetDog Travel - International Pet Relocation</t>
        </is>
      </c>
      <c r="C1988" s="60" t="inlineStr">
        <is>
          <t>https://www.facebook.com/profile.php?id=61561738297334</t>
        </is>
      </c>
      <c r="D1988" s="9" t="inlineStr">
        <is>
          <t>Cần quét Bio Fanpage</t>
        </is>
      </c>
      <c r="E1988" s="59" t="inlineStr">
        <is>
          <t>16/09/2026 17:21:36</t>
        </is>
      </c>
      <c r="F1988" s="59" t="inlineStr">
        <is>
          <t>3 tuần trước</t>
        </is>
      </c>
      <c r="G1988" s="61" t="n">
        <v>21</v>
      </c>
      <c r="H1988" s="62" t="n">
        <v>8</v>
      </c>
      <c r="I1988" s="9" t="inlineStr">
        <is>
          <t>Pet Owner / Cộng đồng nuôi cún (10đ)</t>
        </is>
      </c>
      <c r="J1988" s="62" t="n">
        <v>10</v>
      </c>
      <c r="K1988" s="9" t="inlineStr">
        <is>
          <t>Chưa rõ giống (Cần quét Bio)</t>
        </is>
      </c>
      <c r="L1988" s="62" t="n">
        <v>0</v>
      </c>
      <c r="M1988" s="62" t="n">
        <v>0</v>
      </c>
      <c r="N1988" s="9" t="inlineStr">
        <is>
          <t>Amazon link not found</t>
        </is>
      </c>
      <c r="O1988" s="62">
        <f>IF(N1988="Selling pet toys + Artificial grass/Pet toilets (TARGET)",15,IF(N1988="Selling artificial grass/pet toilets (TARGET)",10,IF(N1988="Selling pet toys",7,IF(N1988="There's an Amazon link, but no target sales.",3,0))))</f>
        <v/>
      </c>
      <c r="P1988" s="67">
        <f>H1988+J1988+L1988+M1988+O1988</f>
        <v/>
      </c>
      <c r="Q1988" s="68">
        <f>IF(OR(H1988=0,P1988&lt;30),"Tier D (Đóng băng)",IF(P1988&gt;=85,"Tier S (Kim Cương: 85-100đ)",IF(P1988&gt;=70,"Tier A (Vàng: 70-84đ)",IF(P1988&gt;=61,"Tier B+ / Cấp A (Hot Lead: 61-69đ)",IF(P1988&gt;=50,"Tier B (Bạc: 50-60đ)","Tier C (Đồng: 30-49đ)")))))</f>
        <v/>
      </c>
      <c r="R1988" s="9" t="inlineStr">
        <is>
          <t>Khay vệ sinh chung cư (Indoor Potty) + Thảm cỏ ban công (Grass Patch) + Đồ chơi</t>
        </is>
      </c>
      <c r="S1988" s="9" t="inlineStr">
        <is>
          <t>Đóng băng tương tác (&gt;30 ngày): Lưu trữ chờ kích hoạt lại, không tốn tài nguyên Sales</t>
        </is>
      </c>
    </row>
    <row r="1989">
      <c r="A1989" s="53" t="n">
        <v>617</v>
      </c>
      <c r="B1989" s="12" t="inlineStr">
        <is>
          <t>Bebeck Petualang</t>
        </is>
      </c>
      <c r="C1989" s="54" t="inlineStr">
        <is>
          <t>https://www.facebook.com/bebeckp</t>
        </is>
      </c>
      <c r="D1989" s="6" t="inlineStr">
        <is>
          <t>Cần quét Bio Fanpage</t>
        </is>
      </c>
      <c r="E1989" s="53" t="inlineStr">
        <is>
          <t>16/09/2026 09:51:55</t>
        </is>
      </c>
      <c r="F1989" s="53" t="inlineStr">
        <is>
          <t>3 tuần trước</t>
        </is>
      </c>
      <c r="G1989" s="55" t="n">
        <v>21</v>
      </c>
      <c r="H1989" s="56" t="n">
        <v>8</v>
      </c>
      <c r="I1989" s="6" t="inlineStr">
        <is>
          <t>Pet Owner / Cộng đồng nuôi cún (10đ)</t>
        </is>
      </c>
      <c r="J1989" s="56" t="n">
        <v>10</v>
      </c>
      <c r="K1989" s="6" t="inlineStr">
        <is>
          <t>Chưa rõ giống (Cần quét Bio)</t>
        </is>
      </c>
      <c r="L1989" s="56" t="n">
        <v>0</v>
      </c>
      <c r="M1989" s="56" t="n">
        <v>0</v>
      </c>
      <c r="N1989" s="6" t="inlineStr">
        <is>
          <t>Amazon link not found</t>
        </is>
      </c>
      <c r="O1989" s="56">
        <f>IF(N1989="Selling pet toys + Artificial grass/Pet toilets (TARGET)",15,IF(N1989="Selling artificial grass/pet toilets (TARGET)",10,IF(N1989="Selling pet toys",7,IF(N1989="There's an Amazon link, but no target sales.",3,0))))</f>
        <v/>
      </c>
      <c r="P1989" s="65">
        <f>H1989+J1989+L1989+M1989+O1989</f>
        <v/>
      </c>
      <c r="Q1989" s="68">
        <f>IF(OR(H1989=0,P1989&lt;30),"Tier D (Đóng băng)",IF(P1989&gt;=85,"Tier S (Kim Cương: 85-100đ)",IF(P1989&gt;=70,"Tier A (Vàng: 70-84đ)",IF(P1989&gt;=61,"Tier B+ / Cấp A (Hot Lead: 61-69đ)",IF(P1989&gt;=50,"Tier B (Bạc: 50-60đ)","Tier C (Đồng: 30-49đ)")))))</f>
        <v/>
      </c>
      <c r="R1989" s="6" t="inlineStr">
        <is>
          <t>Khay vệ sinh chung cư (Indoor Potty) + Thảm cỏ ban công (Grass Patch) + Đồ chơi</t>
        </is>
      </c>
      <c r="S1989" s="6" t="inlineStr">
        <is>
          <t>Đóng băng tương tác (&gt;30 ngày): Lưu trữ chờ kích hoạt lại, không tốn tài nguyên Sales</t>
        </is>
      </c>
    </row>
    <row r="1990">
      <c r="A1990" s="59" t="n">
        <v>2238</v>
      </c>
      <c r="B1990" s="15" t="inlineStr">
        <is>
          <t>Must Love Dogs</t>
        </is>
      </c>
      <c r="C1990" s="60" t="inlineStr">
        <is>
          <t>https://www.facebook.com/MustLoveDogsSA</t>
        </is>
      </c>
      <c r="D1990" s="9" t="inlineStr">
        <is>
          <t>Cần quét Bio Fanpage</t>
        </is>
      </c>
      <c r="E1990" s="59" t="inlineStr">
        <is>
          <t>15/09/2026 21:45:11</t>
        </is>
      </c>
      <c r="F1990" s="59" t="inlineStr">
        <is>
          <t>3 tuần trước</t>
        </is>
      </c>
      <c r="G1990" s="61" t="n">
        <v>21</v>
      </c>
      <c r="H1990" s="62" t="n">
        <v>8</v>
      </c>
      <c r="I1990" s="9" t="inlineStr">
        <is>
          <t>Pet Owner / Cộng đồng nuôi cún (10đ)</t>
        </is>
      </c>
      <c r="J1990" s="62" t="n">
        <v>10</v>
      </c>
      <c r="K1990" s="9" t="inlineStr">
        <is>
          <t>Chưa rõ giống (Cần quét Bio)</t>
        </is>
      </c>
      <c r="L1990" s="62" t="n">
        <v>0</v>
      </c>
      <c r="M1990" s="62" t="n">
        <v>0</v>
      </c>
      <c r="N1990" s="9" t="inlineStr">
        <is>
          <t>Amazon link not found</t>
        </is>
      </c>
      <c r="O1990" s="62">
        <f>IF(N1990="Selling pet toys + Artificial grass/Pet toilets (TARGET)",15,IF(N1990="Selling artificial grass/pet toilets (TARGET)",10,IF(N1990="Selling pet toys",7,IF(N1990="There's an Amazon link, but no target sales.",3,0))))</f>
        <v/>
      </c>
      <c r="P1990" s="67">
        <f>H1990+J1990+L1990+M1990+O1990</f>
        <v/>
      </c>
      <c r="Q1990" s="68">
        <f>IF(OR(H1990=0,P1990&lt;30),"Tier D (Đóng băng)",IF(P1990&gt;=85,"Tier S (Kim Cương: 85-100đ)",IF(P1990&gt;=70,"Tier A (Vàng: 70-84đ)",IF(P1990&gt;=61,"Tier B+ / Cấp A (Hot Lead: 61-69đ)",IF(P1990&gt;=50,"Tier B (Bạc: 50-60đ)","Tier C (Đồng: 30-49đ)")))))</f>
        <v/>
      </c>
      <c r="R1990" s="9" t="inlineStr">
        <is>
          <t>Khay vệ sinh chung cư (Indoor Potty) + Thảm cỏ ban công (Grass Patch) + Đồ chơi</t>
        </is>
      </c>
      <c r="S1990" s="9" t="inlineStr">
        <is>
          <t>Đóng băng tương tác (&gt;30 ngày): Lưu trữ chờ kích hoạt lại, không tốn tài nguyên Sales</t>
        </is>
      </c>
    </row>
    <row r="1991">
      <c r="A1991" s="53" t="n">
        <v>2158</v>
      </c>
      <c r="B1991" s="12" t="inlineStr">
        <is>
          <t>Mega Pet</t>
        </is>
      </c>
      <c r="C1991" s="54" t="inlineStr">
        <is>
          <t>https://www.facebook.com/megapetmexico</t>
        </is>
      </c>
      <c r="D1991" s="6" t="inlineStr">
        <is>
          <t>Cần quét Bio Fanpage</t>
        </is>
      </c>
      <c r="E1991" s="53" t="inlineStr">
        <is>
          <t>14/09/2026 05:56:20</t>
        </is>
      </c>
      <c r="F1991" s="53" t="inlineStr">
        <is>
          <t>4 tuần trước</t>
        </is>
      </c>
      <c r="G1991" s="55" t="n">
        <v>28</v>
      </c>
      <c r="H1991" s="56" t="n">
        <v>8</v>
      </c>
      <c r="I1991" s="6" t="inlineStr">
        <is>
          <t>Pet Owner / Cộng đồng nuôi cún (10đ)</t>
        </is>
      </c>
      <c r="J1991" s="56" t="n">
        <v>10</v>
      </c>
      <c r="K1991" s="6" t="inlineStr">
        <is>
          <t>Chưa rõ giống (Cần quét Bio)</t>
        </is>
      </c>
      <c r="L1991" s="56" t="n">
        <v>0</v>
      </c>
      <c r="M1991" s="56" t="n">
        <v>0</v>
      </c>
      <c r="N1991" s="6" t="inlineStr">
        <is>
          <t>Amazon link not found</t>
        </is>
      </c>
      <c r="O1991" s="56">
        <f>IF(N1991="Selling pet toys + Artificial grass/Pet toilets (TARGET)",15,IF(N1991="Selling artificial grass/pet toilets (TARGET)",10,IF(N1991="Selling pet toys",7,IF(N1991="There's an Amazon link, but no target sales.",3,0))))</f>
        <v/>
      </c>
      <c r="P1991" s="65">
        <f>H1991+J1991+L1991+M1991+O1991</f>
        <v/>
      </c>
      <c r="Q1991" s="68">
        <f>IF(OR(H1991=0,P1991&lt;30),"Tier D (Đóng băng)",IF(P1991&gt;=85,"Tier S (Kim Cương: 85-100đ)",IF(P1991&gt;=70,"Tier A (Vàng: 70-84đ)",IF(P1991&gt;=61,"Tier B+ / Cấp A (Hot Lead: 61-69đ)",IF(P1991&gt;=50,"Tier B (Bạc: 50-60đ)","Tier C (Đồng: 30-49đ)")))))</f>
        <v/>
      </c>
      <c r="R1991" s="6" t="inlineStr">
        <is>
          <t>Khay vệ sinh chung cư (Indoor Potty) + Thảm cỏ ban công (Grass Patch) + Đồ chơi</t>
        </is>
      </c>
      <c r="S1991" s="6" t="inlineStr">
        <is>
          <t>Đóng băng tương tác (&gt;30 ngày): Lưu trữ chờ kích hoạt lại, không tốn tài nguyên Sales</t>
        </is>
      </c>
    </row>
    <row r="1992">
      <c r="A1992" s="59" t="n">
        <v>2025</v>
      </c>
      <c r="B1992" s="15" t="inlineStr">
        <is>
          <t>Linda Parker Dogs &amp; Love</t>
        </is>
      </c>
      <c r="C1992" s="60" t="inlineStr">
        <is>
          <t>https://www.facebook.com/weareloveanimals</t>
        </is>
      </c>
      <c r="D1992" s="9" t="inlineStr">
        <is>
          <t>Cần quét Bio Fanpage</t>
        </is>
      </c>
      <c r="E1992" s="59" t="inlineStr">
        <is>
          <t>13/09/2026 20:41:34</t>
        </is>
      </c>
      <c r="F1992" s="59" t="inlineStr">
        <is>
          <t>4 tuần trước</t>
        </is>
      </c>
      <c r="G1992" s="61" t="n">
        <v>28</v>
      </c>
      <c r="H1992" s="62" t="n">
        <v>8</v>
      </c>
      <c r="I1992" s="9" t="inlineStr">
        <is>
          <t>Pet Owner / Cộng đồng nuôi cún (10đ)</t>
        </is>
      </c>
      <c r="J1992" s="62" t="n">
        <v>10</v>
      </c>
      <c r="K1992" s="9" t="inlineStr">
        <is>
          <t>Chưa rõ giống (Cần quét Bio)</t>
        </is>
      </c>
      <c r="L1992" s="62" t="n">
        <v>0</v>
      </c>
      <c r="M1992" s="62" t="n">
        <v>0</v>
      </c>
      <c r="N1992" s="9" t="inlineStr">
        <is>
          <t>Amazon link not found</t>
        </is>
      </c>
      <c r="O1992" s="62">
        <f>IF(N1992="Selling pet toys + Artificial grass/Pet toilets (TARGET)",15,IF(N1992="Selling artificial grass/pet toilets (TARGET)",10,IF(N1992="Selling pet toys",7,IF(N1992="There's an Amazon link, but no target sales.",3,0))))</f>
        <v/>
      </c>
      <c r="P1992" s="67">
        <f>H1992+J1992+L1992+M1992+O1992</f>
        <v/>
      </c>
      <c r="Q1992" s="68">
        <f>IF(OR(H1992=0,P1992&lt;30),"Tier D (Đóng băng)",IF(P1992&gt;=85,"Tier S (Kim Cương: 85-100đ)",IF(P1992&gt;=70,"Tier A (Vàng: 70-84đ)",IF(P1992&gt;=61,"Tier B+ / Cấp A (Hot Lead: 61-69đ)",IF(P1992&gt;=50,"Tier B (Bạc: 50-60đ)","Tier C (Đồng: 30-49đ)")))))</f>
        <v/>
      </c>
      <c r="R1992" s="9" t="inlineStr">
        <is>
          <t>Khay vệ sinh chung cư (Indoor Potty) + Thảm cỏ ban công (Grass Patch) + Đồ chơi</t>
        </is>
      </c>
      <c r="S1992" s="9" t="inlineStr">
        <is>
          <t>Đóng băng tương tác (&gt;30 ngày): Lưu trữ chờ kích hoạt lại, không tốn tài nguyên Sales</t>
        </is>
      </c>
    </row>
    <row r="1993">
      <c r="A1993" s="53" t="n">
        <v>885</v>
      </c>
      <c r="B1993" s="12" t="inlineStr">
        <is>
          <t>Cherry Family Pets</t>
        </is>
      </c>
      <c r="C1993" s="54" t="inlineStr">
        <is>
          <t>https://www.facebook.com/profile.php?id=100060329311078</t>
        </is>
      </c>
      <c r="D1993" s="6" t="inlineStr">
        <is>
          <t>Cần quét Bio Fanpage</t>
        </is>
      </c>
      <c r="E1993" s="53" t="inlineStr">
        <is>
          <t>13/09/2026 03:01:55</t>
        </is>
      </c>
      <c r="F1993" s="53" t="inlineStr">
        <is>
          <t>4 tuần trước</t>
        </is>
      </c>
      <c r="G1993" s="55" t="n">
        <v>28</v>
      </c>
      <c r="H1993" s="56" t="n">
        <v>8</v>
      </c>
      <c r="I1993" s="6" t="inlineStr">
        <is>
          <t>Pet Owner / Cộng đồng nuôi cún (10đ)</t>
        </is>
      </c>
      <c r="J1993" s="56" t="n">
        <v>10</v>
      </c>
      <c r="K1993" s="6" t="inlineStr">
        <is>
          <t>Chưa rõ giống (Cần quét Bio)</t>
        </is>
      </c>
      <c r="L1993" s="56" t="n">
        <v>0</v>
      </c>
      <c r="M1993" s="56" t="n">
        <v>0</v>
      </c>
      <c r="N1993" s="6" t="inlineStr">
        <is>
          <t>Amazon link not found</t>
        </is>
      </c>
      <c r="O1993" s="56">
        <f>IF(N1993="Selling pet toys + Artificial grass/Pet toilets (TARGET)",15,IF(N1993="Selling artificial grass/pet toilets (TARGET)",10,IF(N1993="Selling pet toys",7,IF(N1993="There's an Amazon link, but no target sales.",3,0))))</f>
        <v/>
      </c>
      <c r="P1993" s="65">
        <f>H1993+J1993+L1993+M1993+O1993</f>
        <v/>
      </c>
      <c r="Q1993" s="68">
        <f>IF(OR(H1993=0,P1993&lt;30),"Tier D (Đóng băng)",IF(P1993&gt;=85,"Tier S (Kim Cương: 85-100đ)",IF(P1993&gt;=70,"Tier A (Vàng: 70-84đ)",IF(P1993&gt;=61,"Tier B+ / Cấp A (Hot Lead: 61-69đ)",IF(P1993&gt;=50,"Tier B (Bạc: 50-60đ)","Tier C (Đồng: 30-49đ)")))))</f>
        <v/>
      </c>
      <c r="R1993" s="6" t="inlineStr">
        <is>
          <t>Khay vệ sinh chung cư (Indoor Potty) + Thảm cỏ ban công (Grass Patch) + Đồ chơi</t>
        </is>
      </c>
      <c r="S1993" s="6" t="inlineStr">
        <is>
          <t>Đóng băng tương tác (&gt;30 ngày): Lưu trữ chờ kích hoạt lại, không tốn tài nguyên Sales</t>
        </is>
      </c>
    </row>
    <row r="1994">
      <c r="A1994" s="59" t="n">
        <v>2349</v>
      </c>
      <c r="B1994" s="15" t="inlineStr">
        <is>
          <t>Old English sheepdog Lovers</t>
        </is>
      </c>
      <c r="C1994" s="60" t="inlineStr">
        <is>
          <t>https://www.facebook.com/profile.php?id=61586666626590</t>
        </is>
      </c>
      <c r="D1994" s="9" t="inlineStr">
        <is>
          <t>Cần quét Bio Fanpage</t>
        </is>
      </c>
      <c r="E1994" s="59" t="inlineStr">
        <is>
          <t>12/09/2026 23:42:18</t>
        </is>
      </c>
      <c r="F1994" s="59" t="inlineStr">
        <is>
          <t>1 tháng trước</t>
        </is>
      </c>
      <c r="G1994" s="61" t="n">
        <v>30</v>
      </c>
      <c r="H1994" s="62" t="n">
        <v>0</v>
      </c>
      <c r="I1994" s="9" t="inlineStr">
        <is>
          <t>Pet Owner / Kênh cá nhân thú cưng (10đ)</t>
        </is>
      </c>
      <c r="J1994" s="62" t="n">
        <v>10</v>
      </c>
      <c r="K1994" s="9" t="inlineStr">
        <is>
          <t>Australian Shepherd / Herding</t>
        </is>
      </c>
      <c r="L1994" s="62" t="n">
        <v>5</v>
      </c>
      <c r="M1994" s="62" t="n">
        <v>0</v>
      </c>
      <c r="N1994" s="9" t="inlineStr">
        <is>
          <t>Amazon link not found</t>
        </is>
      </c>
      <c r="O1994" s="62">
        <f>IF(N1994="Selling pet toys + Artificial grass/Pet toilets (TARGET)",15,IF(N1994="Selling artificial grass/pet toilets (TARGET)",10,IF(N1994="Selling pet toys",7,IF(N1994="There's an Amazon link, but no target sales.",3,0))))</f>
        <v/>
      </c>
      <c r="P1994" s="67">
        <f>H1994+J1994+L1994+M1994+O1994</f>
        <v/>
      </c>
      <c r="Q1994" s="68">
        <f>IF(OR(H1994=0,P1994&lt;30),"Tier D (Đóng băng)",IF(P1994&gt;=85,"Tier S (Kim Cương: 85-100đ)",IF(P1994&gt;=70,"Tier A (Vàng: 70-84đ)",IF(P1994&gt;=61,"Tier B+ / Cấp A (Hot Lead: 61-69đ)",IF(P1994&gt;=50,"Tier B (Bạc: 50-60đ)","Tier C (Đồng: 30-49đ)")))))</f>
        <v/>
      </c>
      <c r="R1994" s="9" t="inlineStr">
        <is>
          <t>Khay vệ sinh trong nhà (Indoor Dog Potty) + Đồ chơi thú cưng lẻ</t>
        </is>
      </c>
      <c r="S1994" s="9" t="inlineStr">
        <is>
          <t>Đóng băng tương tác (&gt;30 ngày): Lưu trữ chờ kích hoạt lại, không tốn tài nguyên Sales</t>
        </is>
      </c>
    </row>
    <row r="1995">
      <c r="A1995" s="53" t="n">
        <v>1675</v>
      </c>
      <c r="B1995" s="12" t="inlineStr">
        <is>
          <t>Honest Dog Company</t>
        </is>
      </c>
      <c r="C1995" s="54" t="inlineStr">
        <is>
          <t>https://www.facebook.com/profile.php?id=61556096736396</t>
        </is>
      </c>
      <c r="D1995" s="6" t="inlineStr">
        <is>
          <t>Cần quét Bio Fanpage</t>
        </is>
      </c>
      <c r="E1995" s="53" t="inlineStr">
        <is>
          <t>10/09/2026 19:19:43</t>
        </is>
      </c>
      <c r="F1995" s="53" t="inlineStr">
        <is>
          <t>1 tháng trước</t>
        </is>
      </c>
      <c r="G1995" s="55" t="n">
        <v>30</v>
      </c>
      <c r="H1995" s="56" t="n">
        <v>0</v>
      </c>
      <c r="I1995" s="6" t="inlineStr">
        <is>
          <t>Pet Owner / Cộng đồng nuôi cún (10đ)</t>
        </is>
      </c>
      <c r="J1995" s="56" t="n">
        <v>10</v>
      </c>
      <c r="K1995" s="6" t="inlineStr">
        <is>
          <t>Chưa rõ giống (Cần quét Bio)</t>
        </is>
      </c>
      <c r="L1995" s="56" t="n">
        <v>0</v>
      </c>
      <c r="M1995" s="56" t="n">
        <v>5</v>
      </c>
      <c r="N1995" s="6" t="inlineStr">
        <is>
          <t>Amazon link not found</t>
        </is>
      </c>
      <c r="O1995" s="56">
        <f>IF(N1995="Selling pet toys + Artificial grass/Pet toilets (TARGET)",15,IF(N1995="Selling artificial grass/pet toilets (TARGET)",10,IF(N1995="Selling pet toys",7,IF(N1995="There's an Amazon link, but no target sales.",3,0))))</f>
        <v/>
      </c>
      <c r="P1995" s="65">
        <f>H1995+J1995+L1995+M1995+O1995</f>
        <v/>
      </c>
      <c r="Q1995" s="68">
        <f>IF(OR(H1995=0,P1995&lt;30),"Tier D (Đóng băng)",IF(P1995&gt;=85,"Tier S (Kim Cương: 85-100đ)",IF(P1995&gt;=70,"Tier A (Vàng: 70-84đ)",IF(P1995&gt;=61,"Tier B+ / Cấp A (Hot Lead: 61-69đ)",IF(P1995&gt;=50,"Tier B (Bạc: 50-60đ)","Tier C (Đồng: 30-49đ)")))))</f>
        <v/>
      </c>
      <c r="R1995" s="6" t="inlineStr">
        <is>
          <t>Khay vệ sinh chung cư (Indoor Potty) + Thảm cỏ ban công (Grass Patch) + Đồ chơi</t>
        </is>
      </c>
      <c r="S1995" s="6" t="inlineStr">
        <is>
          <t>Đóng băng tương tác (&gt;30 ngày): Lưu trữ chờ kích hoạt lại, không tốn tài nguyên Sales</t>
        </is>
      </c>
    </row>
    <row r="1996">
      <c r="A1996" s="59" t="n">
        <v>1586</v>
      </c>
      <c r="B1996" s="15" t="inlineStr">
        <is>
          <t>Gwen Bailey - Dog behaviourist and Author</t>
        </is>
      </c>
      <c r="C1996" s="60" t="inlineStr">
        <is>
          <t>https://www.facebook.com/gwenbaileypuppyschool</t>
        </is>
      </c>
      <c r="D1996" s="9" t="inlineStr">
        <is>
          <t>Cần quét Bio Fanpage</t>
        </is>
      </c>
      <c r="E1996" s="59" t="inlineStr">
        <is>
          <t>10/09/2026 03:14:46</t>
        </is>
      </c>
      <c r="F1996" s="59" t="inlineStr">
        <is>
          <t>1 tháng trước</t>
        </is>
      </c>
      <c r="G1996" s="61" t="n">
        <v>30</v>
      </c>
      <c r="H1996" s="62" t="n">
        <v>0</v>
      </c>
      <c r="I1996" s="9" t="inlineStr">
        <is>
          <t>Pet Owner / Cộng đồng nuôi cún (10đ)</t>
        </is>
      </c>
      <c r="J1996" s="62" t="n">
        <v>10</v>
      </c>
      <c r="K1996" s="9" t="inlineStr">
        <is>
          <t>Chưa rõ giống (Cần quét Bio)</t>
        </is>
      </c>
      <c r="L1996" s="62" t="n">
        <v>0</v>
      </c>
      <c r="M1996" s="62" t="n">
        <v>5</v>
      </c>
      <c r="N1996" s="9" t="inlineStr">
        <is>
          <t>Amazon link not found</t>
        </is>
      </c>
      <c r="O1996" s="62">
        <f>IF(N1996="Selling pet toys + Artificial grass/Pet toilets (TARGET)",15,IF(N1996="Selling artificial grass/pet toilets (TARGET)",10,IF(N1996="Selling pet toys",7,IF(N1996="There's an Amazon link, but no target sales.",3,0))))</f>
        <v/>
      </c>
      <c r="P1996" s="67">
        <f>H1996+J1996+L1996+M1996+O1996</f>
        <v/>
      </c>
      <c r="Q1996" s="68">
        <f>IF(OR(H1996=0,P1996&lt;30),"Tier D (Đóng băng)",IF(P1996&gt;=85,"Tier S (Kim Cương: 85-100đ)",IF(P1996&gt;=70,"Tier A (Vàng: 70-84đ)",IF(P1996&gt;=61,"Tier B+ / Cấp A (Hot Lead: 61-69đ)",IF(P1996&gt;=50,"Tier B (Bạc: 50-60đ)","Tier C (Đồng: 30-49đ)")))))</f>
        <v/>
      </c>
      <c r="R1996" s="9" t="inlineStr">
        <is>
          <t>Khay vệ sinh chung cư (Indoor Potty) + Thảm cỏ ban công (Grass Patch) + Đồ chơi</t>
        </is>
      </c>
      <c r="S1996" s="9" t="inlineStr">
        <is>
          <t>Đóng băng tương tác (&gt;30 ngày): Lưu trữ chờ kích hoạt lại, không tốn tài nguyên Sales</t>
        </is>
      </c>
    </row>
    <row r="1997">
      <c r="A1997" s="53" t="n">
        <v>1978</v>
      </c>
      <c r="B1997" s="12" t="inlineStr">
        <is>
          <t>Lakeview Dog Gear</t>
        </is>
      </c>
      <c r="C1997" s="54" t="inlineStr">
        <is>
          <t>https://www.facebook.com/LakeviewDG</t>
        </is>
      </c>
      <c r="D1997" s="6" t="inlineStr">
        <is>
          <t>Cần quét Bio Fanpage</t>
        </is>
      </c>
      <c r="E1997" s="53" t="inlineStr">
        <is>
          <t>07/08/2026 14:55:05</t>
        </is>
      </c>
      <c r="F1997" s="53" t="inlineStr">
        <is>
          <t>2 tháng trước</t>
        </is>
      </c>
      <c r="G1997" s="55" t="n">
        <v>60</v>
      </c>
      <c r="H1997" s="56" t="n">
        <v>0</v>
      </c>
      <c r="I1997" s="6" t="inlineStr">
        <is>
          <t>Pet Owner / Cộng đồng nuôi cún (10đ)</t>
        </is>
      </c>
      <c r="J1997" s="56" t="n">
        <v>10</v>
      </c>
      <c r="K1997" s="6" t="inlineStr">
        <is>
          <t>Chưa rõ giống (Cần quét Bio)</t>
        </is>
      </c>
      <c r="L1997" s="56" t="n">
        <v>0</v>
      </c>
      <c r="M1997" s="56" t="n">
        <v>5</v>
      </c>
      <c r="N1997" s="6" t="inlineStr">
        <is>
          <t>Amazon link not found</t>
        </is>
      </c>
      <c r="O1997" s="56">
        <f>IF(N1997="Selling pet toys + Artificial grass/Pet toilets (TARGET)",15,IF(N1997="Selling artificial grass/pet toilets (TARGET)",10,IF(N1997="Selling pet toys",7,IF(N1997="There's an Amazon link, but no target sales.",3,0))))</f>
        <v/>
      </c>
      <c r="P1997" s="65">
        <f>H1997+J1997+L1997+M1997+O1997</f>
        <v/>
      </c>
      <c r="Q1997" s="68">
        <f>IF(OR(H1997=0,P1997&lt;30),"Tier D (Đóng băng)",IF(P1997&gt;=85,"Tier S (Kim Cương: 85-100đ)",IF(P1997&gt;=70,"Tier A (Vàng: 70-84đ)",IF(P1997&gt;=61,"Tier B+ / Cấp A (Hot Lead: 61-69đ)",IF(P1997&gt;=50,"Tier B (Bạc: 50-60đ)","Tier C (Đồng: 30-49đ)")))))</f>
        <v/>
      </c>
      <c r="R1997" s="6" t="inlineStr">
        <is>
          <t>Khay vệ sinh chung cư (Indoor Potty) + Thảm cỏ ban công (Grass Patch) + Đồ chơi</t>
        </is>
      </c>
      <c r="S1997" s="6" t="inlineStr">
        <is>
          <t>Đóng băng tương tác (&gt;30 ngày): Lưu trữ chờ kích hoạt lại, không tốn tài nguyên Sales</t>
        </is>
      </c>
    </row>
    <row r="1998">
      <c r="A1998" s="59" t="n">
        <v>1697</v>
      </c>
      <c r="B1998" s="15" t="inlineStr">
        <is>
          <t>HugSmart Pet Products</t>
        </is>
      </c>
      <c r="C1998" s="60" t="inlineStr">
        <is>
          <t>https://www.facebook.com/hugsmartpet</t>
        </is>
      </c>
      <c r="D1998" s="9" t="inlineStr">
        <is>
          <t>Cần quét Bio Fanpage</t>
        </is>
      </c>
      <c r="E1998" s="59" t="inlineStr">
        <is>
          <t>31/07/2026 22:33:52</t>
        </is>
      </c>
      <c r="F1998" s="59" t="inlineStr">
        <is>
          <t>2 tháng trước</t>
        </is>
      </c>
      <c r="G1998" s="61" t="n">
        <v>60</v>
      </c>
      <c r="H1998" s="62" t="n">
        <v>0</v>
      </c>
      <c r="I1998" s="9" t="inlineStr">
        <is>
          <t>Pet Owner / Cộng đồng nuôi cún (10đ)</t>
        </is>
      </c>
      <c r="J1998" s="62" t="n">
        <v>10</v>
      </c>
      <c r="K1998" s="9" t="inlineStr">
        <is>
          <t>Chưa rõ giống (Cần quét Bio)</t>
        </is>
      </c>
      <c r="L1998" s="62" t="n">
        <v>0</v>
      </c>
      <c r="M1998" s="62" t="n">
        <v>5</v>
      </c>
      <c r="N1998" s="9" t="inlineStr">
        <is>
          <t>Amazon link not found</t>
        </is>
      </c>
      <c r="O1998" s="62">
        <f>IF(N1998="Selling pet toys + Artificial grass/Pet toilets (TARGET)",15,IF(N1998="Selling artificial grass/pet toilets (TARGET)",10,IF(N1998="Selling pet toys",7,IF(N1998="There's an Amazon link, but no target sales.",3,0))))</f>
        <v/>
      </c>
      <c r="P1998" s="67">
        <f>H1998+J1998+L1998+M1998+O1998</f>
        <v/>
      </c>
      <c r="Q1998" s="68">
        <f>IF(OR(H1998=0,P1998&lt;30),"Tier D (Đóng băng)",IF(P1998&gt;=85,"Tier S (Kim Cương: 85-100đ)",IF(P1998&gt;=70,"Tier A (Vàng: 70-84đ)",IF(P1998&gt;=61,"Tier B+ / Cấp A (Hot Lead: 61-69đ)",IF(P1998&gt;=50,"Tier B (Bạc: 50-60đ)","Tier C (Đồng: 30-49đ)")))))</f>
        <v/>
      </c>
      <c r="R1998" s="9" t="inlineStr">
        <is>
          <t>Khay vệ sinh chung cư (Indoor Potty) + Thảm cỏ ban công (Grass Patch) + Đồ chơi</t>
        </is>
      </c>
      <c r="S1998" s="9" t="inlineStr">
        <is>
          <t>Đóng băng tương tác (&gt;30 ngày): Lưu trữ chờ kích hoạt lại, không tốn tài nguyên Sales</t>
        </is>
      </c>
    </row>
    <row r="1999">
      <c r="A1999" s="53" t="n">
        <v>719</v>
      </c>
      <c r="B1999" s="12" t="inlineStr">
        <is>
          <t>Bombouu Pet Shop</t>
        </is>
      </c>
      <c r="C1999" s="54" t="inlineStr">
        <is>
          <t>https://www.facebook.com/61583918805095</t>
        </is>
      </c>
      <c r="D1999" s="6" t="inlineStr">
        <is>
          <t>Cần quét Bio Fanpage</t>
        </is>
      </c>
      <c r="E1999" s="53" t="inlineStr">
        <is>
          <t>26/07/2026 08:58:11</t>
        </is>
      </c>
      <c r="F1999" s="53" t="inlineStr">
        <is>
          <t>2 tháng trước</t>
        </is>
      </c>
      <c r="G1999" s="55" t="n">
        <v>60</v>
      </c>
      <c r="H1999" s="56" t="n">
        <v>0</v>
      </c>
      <c r="I1999" s="6" t="inlineStr">
        <is>
          <t>Pet Owner / Cộng đồng nuôi cún (10đ)</t>
        </is>
      </c>
      <c r="J1999" s="56" t="n">
        <v>10</v>
      </c>
      <c r="K1999" s="6" t="inlineStr">
        <is>
          <t>Chưa rõ giống (Cần quét Bio)</t>
        </is>
      </c>
      <c r="L1999" s="56" t="n">
        <v>0</v>
      </c>
      <c r="M1999" s="56" t="n">
        <v>5</v>
      </c>
      <c r="N1999" s="6" t="inlineStr">
        <is>
          <t>Amazon link not found</t>
        </is>
      </c>
      <c r="O1999" s="56">
        <f>IF(N1999="Selling pet toys + Artificial grass/Pet toilets (TARGET)",15,IF(N1999="Selling artificial grass/pet toilets (TARGET)",10,IF(N1999="Selling pet toys",7,IF(N1999="There's an Amazon link, but no target sales.",3,0))))</f>
        <v/>
      </c>
      <c r="P1999" s="65">
        <f>H1999+J1999+L1999+M1999+O1999</f>
        <v/>
      </c>
      <c r="Q1999" s="68">
        <f>IF(OR(H1999=0,P1999&lt;30),"Tier D (Đóng băng)",IF(P1999&gt;=85,"Tier S (Kim Cương: 85-100đ)",IF(P1999&gt;=70,"Tier A (Vàng: 70-84đ)",IF(P1999&gt;=61,"Tier B+ / Cấp A (Hot Lead: 61-69đ)",IF(P1999&gt;=50,"Tier B (Bạc: 50-60đ)","Tier C (Đồng: 30-49đ)")))))</f>
        <v/>
      </c>
      <c r="R1999" s="6" t="inlineStr">
        <is>
          <t>Khay vệ sinh chung cư (Indoor Potty) + Thảm cỏ ban công (Grass Patch) + Đồ chơi</t>
        </is>
      </c>
      <c r="S1999" s="6" t="inlineStr">
        <is>
          <t>Đóng băng tương tác (&gt;30 ngày): Lưu trữ chờ kích hoạt lại, không tốn tài nguyên Sales</t>
        </is>
      </c>
    </row>
    <row r="2000">
      <c r="A2000" s="59" t="n">
        <v>1129</v>
      </c>
      <c r="B2000" s="15" t="inlineStr">
        <is>
          <t>Doggroomersrock.store</t>
        </is>
      </c>
      <c r="C2000" s="60" t="inlineStr">
        <is>
          <t>https://www.facebook.com/Doggroomersrockstore</t>
        </is>
      </c>
      <c r="D2000" s="9" t="inlineStr">
        <is>
          <t>Cần quét Bio Fanpage</t>
        </is>
      </c>
      <c r="E2000" s="59" t="inlineStr">
        <is>
          <t>14/07/2026 00:05:40</t>
        </is>
      </c>
      <c r="F2000" s="59" t="inlineStr">
        <is>
          <t>3 tháng trước</t>
        </is>
      </c>
      <c r="G2000" s="61" t="n">
        <v>90</v>
      </c>
      <c r="H2000" s="62" t="n">
        <v>0</v>
      </c>
      <c r="I2000" s="9" t="inlineStr">
        <is>
          <t>Pet Owner / Cộng đồng nuôi cún (10đ)</t>
        </is>
      </c>
      <c r="J2000" s="62" t="n">
        <v>10</v>
      </c>
      <c r="K2000" s="9" t="inlineStr">
        <is>
          <t>Chưa rõ giống (Cần quét Bio)</t>
        </is>
      </c>
      <c r="L2000" s="62" t="n">
        <v>0</v>
      </c>
      <c r="M2000" s="62" t="n">
        <v>5</v>
      </c>
      <c r="N2000" s="9" t="inlineStr">
        <is>
          <t>Amazon link not found</t>
        </is>
      </c>
      <c r="O2000" s="62">
        <f>IF(N2000="Selling pet toys + Artificial grass/Pet toilets (TARGET)",15,IF(N2000="Selling artificial grass/pet toilets (TARGET)",10,IF(N2000="Selling pet toys",7,IF(N2000="There's an Amazon link, but no target sales.",3,0))))</f>
        <v/>
      </c>
      <c r="P2000" s="67">
        <f>H2000+J2000+L2000+M2000+O2000</f>
        <v/>
      </c>
      <c r="Q2000" s="68">
        <f>IF(OR(H2000=0,P2000&lt;30),"Tier D (Đóng băng)",IF(P2000&gt;=85,"Tier S (Kim Cương: 85-100đ)",IF(P2000&gt;=70,"Tier A (Vàng: 70-84đ)",IF(P2000&gt;=61,"Tier B+ / Cấp A (Hot Lead: 61-69đ)",IF(P2000&gt;=50,"Tier B (Bạc: 50-60đ)","Tier C (Đồng: 30-49đ)")))))</f>
        <v/>
      </c>
      <c r="R2000" s="9" t="inlineStr">
        <is>
          <t>Khay vệ sinh chung cư (Indoor Potty) + Thảm cỏ ban công (Grass Patch) + Đồ chơi</t>
        </is>
      </c>
      <c r="S2000" s="9" t="inlineStr">
        <is>
          <t>Đóng băng tương tác (&gt;30 ngày): Lưu trữ chờ kích hoạt lại, không tốn tài nguyên Sales</t>
        </is>
      </c>
    </row>
    <row r="2001">
      <c r="A2001" s="53" t="n">
        <v>1655</v>
      </c>
      <c r="B2001" s="12" t="inlineStr">
        <is>
          <t>High Tech Pet Products</t>
        </is>
      </c>
      <c r="C2001" s="54" t="inlineStr">
        <is>
          <t>https://www.facebook.com/HighTechPetPage2</t>
        </is>
      </c>
      <c r="D2001" s="6" t="inlineStr">
        <is>
          <t>Cần quét Bio Fanpage</t>
        </is>
      </c>
      <c r="E2001" s="53" t="inlineStr">
        <is>
          <t>26/06/2026 02:09:02</t>
        </is>
      </c>
      <c r="F2001" s="53" t="inlineStr">
        <is>
          <t>3 tháng trước</t>
        </is>
      </c>
      <c r="G2001" s="55" t="n">
        <v>90</v>
      </c>
      <c r="H2001" s="56" t="n">
        <v>0</v>
      </c>
      <c r="I2001" s="6" t="inlineStr">
        <is>
          <t>Pet Owner / Cộng đồng nuôi cún (10đ)</t>
        </is>
      </c>
      <c r="J2001" s="56" t="n">
        <v>10</v>
      </c>
      <c r="K2001" s="6" t="inlineStr">
        <is>
          <t>Chưa rõ giống (Cần quét Bio)</t>
        </is>
      </c>
      <c r="L2001" s="56" t="n">
        <v>0</v>
      </c>
      <c r="M2001" s="56" t="n">
        <v>5</v>
      </c>
      <c r="N2001" s="6" t="inlineStr">
        <is>
          <t>Amazon link not found</t>
        </is>
      </c>
      <c r="O2001" s="56">
        <f>IF(N2001="Selling pet toys + Artificial grass/Pet toilets (TARGET)",15,IF(N2001="Selling artificial grass/pet toilets (TARGET)",10,IF(N2001="Selling pet toys",7,IF(N2001="There's an Amazon link, but no target sales.",3,0))))</f>
        <v/>
      </c>
      <c r="P2001" s="65">
        <f>H2001+J2001+L2001+M2001+O2001</f>
        <v/>
      </c>
      <c r="Q2001" s="68">
        <f>IF(OR(H2001=0,P2001&lt;30),"Tier D (Đóng băng)",IF(P2001&gt;=85,"Tier S (Kim Cương: 85-100đ)",IF(P2001&gt;=70,"Tier A (Vàng: 70-84đ)",IF(P2001&gt;=61,"Tier B+ / Cấp A (Hot Lead: 61-69đ)",IF(P2001&gt;=50,"Tier B (Bạc: 50-60đ)","Tier C (Đồng: 30-49đ)")))))</f>
        <v/>
      </c>
      <c r="R2001" s="6" t="inlineStr">
        <is>
          <t>Khay vệ sinh chung cư (Indoor Potty) + Thảm cỏ ban công (Grass Patch) + Đồ chơi</t>
        </is>
      </c>
      <c r="S2001" s="6" t="inlineStr">
        <is>
          <t>Đóng băng tương tác (&gt;30 ngày): Lưu trữ chờ kích hoạt lại, không tốn tài nguyên Sales</t>
        </is>
      </c>
    </row>
    <row r="2002">
      <c r="A2002" s="59" t="n">
        <v>1196</v>
      </c>
      <c r="B2002" s="15" t="inlineStr">
        <is>
          <t>Dogssuppliesrus.com</t>
        </is>
      </c>
      <c r="C2002" s="60" t="inlineStr">
        <is>
          <t>https://www.facebook.com/dogssuppliesrus</t>
        </is>
      </c>
      <c r="D2002" s="9" t="inlineStr">
        <is>
          <t>https://dogssuppliesrus.com</t>
        </is>
      </c>
      <c r="E2002" s="59" t="inlineStr">
        <is>
          <t>26/05/2026 20:07:42</t>
        </is>
      </c>
      <c r="F2002" s="59" t="inlineStr">
        <is>
          <t>4 tháng trước</t>
        </is>
      </c>
      <c r="G2002" s="61" t="n">
        <v>120</v>
      </c>
      <c r="H2002" s="62" t="n">
        <v>0</v>
      </c>
      <c r="I2002" s="9" t="inlineStr">
        <is>
          <t>Pet Owner / Cộng đồng nuôi cún (10đ)</t>
        </is>
      </c>
      <c r="J2002" s="62" t="n">
        <v>10</v>
      </c>
      <c r="K2002" s="9" t="inlineStr">
        <is>
          <t>Chưa rõ giống (Cần quét Bio)</t>
        </is>
      </c>
      <c r="L2002" s="62" t="n">
        <v>0</v>
      </c>
      <c r="M2002" s="62" t="n">
        <v>5</v>
      </c>
      <c r="N2002" s="9" t="inlineStr">
        <is>
          <t>Amazon link not found</t>
        </is>
      </c>
      <c r="O2002" s="62">
        <f>IF(N2002="Selling pet toys + Artificial grass/Pet toilets (TARGET)",15,IF(N2002="Selling artificial grass/pet toilets (TARGET)",10,IF(N2002="Selling pet toys",7,IF(N2002="There's an Amazon link, but no target sales.",3,0))))</f>
        <v/>
      </c>
      <c r="P2002" s="67">
        <f>H2002+J2002+L2002+M2002+O2002</f>
        <v/>
      </c>
      <c r="Q2002" s="68">
        <f>IF(OR(H2002=0,P2002&lt;30),"Tier D (Đóng băng)",IF(P2002&gt;=85,"Tier S (Kim Cương: 85-100đ)",IF(P2002&gt;=70,"Tier A (Vàng: 70-84đ)",IF(P2002&gt;=61,"Tier B+ / Cấp A (Hot Lead: 61-69đ)",IF(P2002&gt;=50,"Tier B (Bạc: 50-60đ)","Tier C (Đồng: 30-49đ)")))))</f>
        <v/>
      </c>
      <c r="R2002" s="9" t="inlineStr">
        <is>
          <t>Khay vệ sinh chung cư (Indoor Potty) + Thảm cỏ ban công (Grass Patch) + Đồ chơi</t>
        </is>
      </c>
      <c r="S2002" s="9" t="inlineStr">
        <is>
          <t>Đóng băng tương tác (&gt;30 ngày): Lưu trữ chờ kích hoạt lại, không tốn tài nguyên Sales</t>
        </is>
      </c>
    </row>
    <row r="2003">
      <c r="A2003" s="53" t="n">
        <v>1710</v>
      </c>
      <c r="B2003" s="12" t="inlineStr">
        <is>
          <t>I Love My Bernese Mountain Dog</t>
        </is>
      </c>
      <c r="C2003" s="54" t="inlineStr">
        <is>
          <t>https://www.facebook.com/profile.php?id=61561547760655</t>
        </is>
      </c>
      <c r="D2003" s="6" t="inlineStr">
        <is>
          <t>Cần quét Bio Fanpage</t>
        </is>
      </c>
      <c r="E2003" s="53" t="inlineStr">
        <is>
          <t>11/04/2026 04:24:06</t>
        </is>
      </c>
      <c r="F2003" s="53" t="inlineStr">
        <is>
          <t>6 tháng trước</t>
        </is>
      </c>
      <c r="G2003" s="55" t="n">
        <v>180</v>
      </c>
      <c r="H2003" s="56" t="n">
        <v>0</v>
      </c>
      <c r="I2003" s="6" t="inlineStr">
        <is>
          <t>Pet Owner / Kênh cá nhân thú cưng (10đ)</t>
        </is>
      </c>
      <c r="J2003" s="56" t="n">
        <v>10</v>
      </c>
      <c r="K2003" s="6" t="inlineStr">
        <is>
          <t>Bernese Mountain Dog</t>
        </is>
      </c>
      <c r="L2003" s="56" t="n">
        <v>5</v>
      </c>
      <c r="M2003" s="56" t="n">
        <v>0</v>
      </c>
      <c r="N2003" s="6" t="inlineStr">
        <is>
          <t>Amazon link not found</t>
        </is>
      </c>
      <c r="O2003" s="56">
        <f>IF(N2003="Selling pet toys + Artificial grass/Pet toilets (TARGET)",15,IF(N2003="Selling artificial grass/pet toilets (TARGET)",10,IF(N2003="Selling pet toys",7,IF(N2003="There's an Amazon link, but no target sales.",3,0))))</f>
        <v/>
      </c>
      <c r="P2003" s="65">
        <f>H2003+J2003+L2003+M2003+O2003</f>
        <v/>
      </c>
      <c r="Q2003" s="68">
        <f>IF(OR(H2003=0,P2003&lt;30),"Tier D (Đóng băng)",IF(P2003&gt;=85,"Tier S (Kim Cương: 85-100đ)",IF(P2003&gt;=70,"Tier A (Vàng: 70-84đ)",IF(P2003&gt;=61,"Tier B+ / Cấp A (Hot Lead: 61-69đ)",IF(P2003&gt;=50,"Tier B (Bạc: 50-60đ)","Tier C (Đồng: 30-49đ)")))))</f>
        <v/>
      </c>
      <c r="R2003" s="6" t="inlineStr">
        <is>
          <t>Khay vệ sinh trong nhà (Indoor Dog Potty) + Đồ chơi thú cưng lẻ</t>
        </is>
      </c>
      <c r="S2003" s="6" t="inlineStr">
        <is>
          <t>Đóng băng tương tác (&gt;30 ngày): Lưu trữ chờ kích hoạt lại, không tốn tài nguyên Sales</t>
        </is>
      </c>
    </row>
    <row r="2004">
      <c r="A2004" s="59" t="n">
        <v>346</v>
      </c>
      <c r="B2004" s="15" t="inlineStr">
        <is>
          <t>Advantage Dog Services</t>
        </is>
      </c>
      <c r="C2004" s="60" t="inlineStr">
        <is>
          <t>https://www.facebook.com/profile.php?id=61575529791729</t>
        </is>
      </c>
      <c r="D2004" s="9" t="inlineStr">
        <is>
          <t>Cần quét Bio Fanpage</t>
        </is>
      </c>
      <c r="E2004" s="59" t="inlineStr">
        <is>
          <t>25/03/2026 23:35:08</t>
        </is>
      </c>
      <c r="F2004" s="59" t="inlineStr">
        <is>
          <t>6 tháng trước</t>
        </is>
      </c>
      <c r="G2004" s="61" t="n">
        <v>180</v>
      </c>
      <c r="H2004" s="62" t="n">
        <v>0</v>
      </c>
      <c r="I2004" s="9" t="inlineStr">
        <is>
          <t>Pet Owner / Cộng đồng nuôi cún (10đ)</t>
        </is>
      </c>
      <c r="J2004" s="62" t="n">
        <v>10</v>
      </c>
      <c r="K2004" s="9" t="inlineStr">
        <is>
          <t>Chưa rõ giống (Cần quét Bio)</t>
        </is>
      </c>
      <c r="L2004" s="62" t="n">
        <v>0</v>
      </c>
      <c r="M2004" s="62" t="n">
        <v>5</v>
      </c>
      <c r="N2004" s="9" t="inlineStr">
        <is>
          <t>Amazon link not found</t>
        </is>
      </c>
      <c r="O2004" s="62">
        <f>IF(N2004="Selling pet toys + Artificial grass/Pet toilets (TARGET)",15,IF(N2004="Selling artificial grass/pet toilets (TARGET)",10,IF(N2004="Selling pet toys",7,IF(N2004="There's an Amazon link, but no target sales.",3,0))))</f>
        <v/>
      </c>
      <c r="P2004" s="67">
        <f>H2004+J2004+L2004+M2004+O2004</f>
        <v/>
      </c>
      <c r="Q2004" s="68">
        <f>IF(OR(H2004=0,P2004&lt;30),"Tier D (Đóng băng)",IF(P2004&gt;=85,"Tier S (Kim Cương: 85-100đ)",IF(P2004&gt;=70,"Tier A (Vàng: 70-84đ)",IF(P2004&gt;=61,"Tier B+ / Cấp A (Hot Lead: 61-69đ)",IF(P2004&gt;=50,"Tier B (Bạc: 50-60đ)","Tier C (Đồng: 30-49đ)")))))</f>
        <v/>
      </c>
      <c r="R2004" s="9" t="inlineStr">
        <is>
          <t>Khay vệ sinh chung cư (Indoor Potty) + Thảm cỏ ban công (Grass Patch) + Đồ chơi</t>
        </is>
      </c>
      <c r="S2004" s="9" t="inlineStr">
        <is>
          <t>Đóng băng tương tác (&gt;30 ngày): Lưu trữ chờ kích hoạt lại, không tốn tài nguyên Sales</t>
        </is>
      </c>
    </row>
    <row r="2005">
      <c r="A2005" s="53" t="n">
        <v>679</v>
      </c>
      <c r="B2005" s="12" t="inlineStr">
        <is>
          <t>Bird Dog Products</t>
        </is>
      </c>
      <c r="C2005" s="54" t="inlineStr">
        <is>
          <t>https://www.facebook.com/profile.php?id=100063529435662</t>
        </is>
      </c>
      <c r="D2005" s="6" t="inlineStr">
        <is>
          <t>Cần quét Bio Fanpage</t>
        </is>
      </c>
      <c r="E2005" s="53" t="inlineStr">
        <is>
          <t>29/12/2025 20:16:22</t>
        </is>
      </c>
      <c r="F2005" s="53" t="inlineStr">
        <is>
          <t>9 tháng trước</t>
        </is>
      </c>
      <c r="G2005" s="55" t="n">
        <v>270</v>
      </c>
      <c r="H2005" s="56" t="n">
        <v>0</v>
      </c>
      <c r="I2005" s="6" t="inlineStr">
        <is>
          <t>Pet Owner / Cộng đồng nuôi cún (10đ)</t>
        </is>
      </c>
      <c r="J2005" s="56" t="n">
        <v>10</v>
      </c>
      <c r="K2005" s="6" t="inlineStr">
        <is>
          <t>Chưa rõ giống (Cần quét Bio)</t>
        </is>
      </c>
      <c r="L2005" s="56" t="n">
        <v>0</v>
      </c>
      <c r="M2005" s="56" t="n">
        <v>5</v>
      </c>
      <c r="N2005" s="6" t="inlineStr">
        <is>
          <t>Amazon link not found</t>
        </is>
      </c>
      <c r="O2005" s="56">
        <f>IF(N2005="Selling pet toys + Artificial grass/Pet toilets (TARGET)",15,IF(N2005="Selling artificial grass/pet toilets (TARGET)",10,IF(N2005="Selling pet toys",7,IF(N2005="There's an Amazon link, but no target sales.",3,0))))</f>
        <v/>
      </c>
      <c r="P2005" s="65">
        <f>H2005+J2005+L2005+M2005+O2005</f>
        <v/>
      </c>
      <c r="Q2005" s="68">
        <f>IF(OR(H2005=0,P2005&lt;30),"Tier D (Đóng băng)",IF(P2005&gt;=85,"Tier S (Kim Cương: 85-100đ)",IF(P2005&gt;=70,"Tier A (Vàng: 70-84đ)",IF(P2005&gt;=61,"Tier B+ / Cấp A (Hot Lead: 61-69đ)",IF(P2005&gt;=50,"Tier B (Bạc: 50-60đ)","Tier C (Đồng: 30-49đ)")))))</f>
        <v/>
      </c>
      <c r="R2005" s="6" t="inlineStr">
        <is>
          <t>Khay vệ sinh chung cư (Indoor Potty) + Thảm cỏ ban công (Grass Patch) + Đồ chơi</t>
        </is>
      </c>
      <c r="S2005" s="6" t="inlineStr">
        <is>
          <t>Đóng băng tương tác (&gt;30 ngày): Lưu trữ chờ kích hoạt lại, không tốn tài nguyên Sales</t>
        </is>
      </c>
    </row>
    <row r="2006">
      <c r="A2006" s="59" t="n">
        <v>2765</v>
      </c>
      <c r="B2006" s="15" t="inlineStr">
        <is>
          <t>Rock Dog Shop</t>
        </is>
      </c>
      <c r="C2006" s="60" t="inlineStr">
        <is>
          <t>https://www.facebook.com/Rockdogshop</t>
        </is>
      </c>
      <c r="D2006" s="9" t="inlineStr">
        <is>
          <t>Cần quét Bio Fanpage</t>
        </is>
      </c>
      <c r="E2006" s="59" t="inlineStr">
        <is>
          <t>15/12/2025 13:55:40</t>
        </is>
      </c>
      <c r="F2006" s="59" t="inlineStr">
        <is>
          <t>10 tháng trước</t>
        </is>
      </c>
      <c r="G2006" s="61" t="n">
        <v>300</v>
      </c>
      <c r="H2006" s="62" t="n">
        <v>0</v>
      </c>
      <c r="I2006" s="9" t="inlineStr">
        <is>
          <t>Pet Owner / Cộng đồng nuôi cún (10đ)</t>
        </is>
      </c>
      <c r="J2006" s="62" t="n">
        <v>10</v>
      </c>
      <c r="K2006" s="9" t="inlineStr">
        <is>
          <t>Chưa rõ giống (Cần quét Bio)</t>
        </is>
      </c>
      <c r="L2006" s="62" t="n">
        <v>0</v>
      </c>
      <c r="M2006" s="62" t="n">
        <v>5</v>
      </c>
      <c r="N2006" s="9" t="inlineStr">
        <is>
          <t>Amazon link not found</t>
        </is>
      </c>
      <c r="O2006" s="62">
        <f>IF(N2006="Selling pet toys + Artificial grass/Pet toilets (TARGET)",15,IF(N2006="Selling artificial grass/pet toilets (TARGET)",10,IF(N2006="Selling pet toys",7,IF(N2006="There's an Amazon link, but no target sales.",3,0))))</f>
        <v/>
      </c>
      <c r="P2006" s="67">
        <f>H2006+J2006+L2006+M2006+O2006</f>
        <v/>
      </c>
      <c r="Q2006" s="68">
        <f>IF(OR(H2006=0,P2006&lt;30),"Tier D (Đóng băng)",IF(P2006&gt;=85,"Tier S (Kim Cương: 85-100đ)",IF(P2006&gt;=70,"Tier A (Vàng: 70-84đ)",IF(P2006&gt;=61,"Tier B+ / Cấp A (Hot Lead: 61-69đ)",IF(P2006&gt;=50,"Tier B (Bạc: 50-60đ)","Tier C (Đồng: 30-49đ)")))))</f>
        <v/>
      </c>
      <c r="R2006" s="9" t="inlineStr">
        <is>
          <t>Khay vệ sinh chung cư (Indoor Potty) + Thảm cỏ ban công (Grass Patch) + Đồ chơi</t>
        </is>
      </c>
      <c r="S2006" s="9" t="inlineStr">
        <is>
          <t>Đóng băng tương tác (&gt;30 ngày): Lưu trữ chờ kích hoạt lại, không tốn tài nguyên Sales</t>
        </is>
      </c>
    </row>
    <row r="2007">
      <c r="A2007" s="53" t="n">
        <v>2089</v>
      </c>
      <c r="B2007" s="12" t="inlineStr">
        <is>
          <t>Macaw pet store 2</t>
        </is>
      </c>
      <c r="C2007" s="54" t="inlineStr">
        <is>
          <t>https://www.facebook.com/profile.php?id=100071491094404</t>
        </is>
      </c>
      <c r="D2007" s="6" t="inlineStr">
        <is>
          <t>Cần quét Bio Fanpage</t>
        </is>
      </c>
      <c r="E2007" s="53" t="inlineStr">
        <is>
          <t>06/09/2025 00:29:40</t>
        </is>
      </c>
      <c r="F2007" s="53" t="inlineStr">
        <is>
          <t>1 năm trước</t>
        </is>
      </c>
      <c r="G2007" s="55" t="n">
        <v>365</v>
      </c>
      <c r="H2007" s="56" t="n">
        <v>0</v>
      </c>
      <c r="I2007" s="6" t="inlineStr">
        <is>
          <t>Pet Owner / Cộng đồng nuôi cún (10đ)</t>
        </is>
      </c>
      <c r="J2007" s="56" t="n">
        <v>10</v>
      </c>
      <c r="K2007" s="6" t="inlineStr">
        <is>
          <t>Chưa rõ giống (Cần quét Bio)</t>
        </is>
      </c>
      <c r="L2007" s="56" t="n">
        <v>0</v>
      </c>
      <c r="M2007" s="56" t="n">
        <v>5</v>
      </c>
      <c r="N2007" s="6" t="inlineStr">
        <is>
          <t>Amazon link not found</t>
        </is>
      </c>
      <c r="O2007" s="56">
        <f>IF(N2007="Selling pet toys + Artificial grass/Pet toilets (TARGET)",15,IF(N2007="Selling artificial grass/pet toilets (TARGET)",10,IF(N2007="Selling pet toys",7,IF(N2007="There's an Amazon link, but no target sales.",3,0))))</f>
        <v/>
      </c>
      <c r="P2007" s="65">
        <f>H2007+J2007+L2007+M2007+O2007</f>
        <v/>
      </c>
      <c r="Q2007" s="68">
        <f>IF(OR(H2007=0,P2007&lt;30),"Tier D (Đóng băng)",IF(P2007&gt;=85,"Tier S (Kim Cương: 85-100đ)",IF(P2007&gt;=70,"Tier A (Vàng: 70-84đ)",IF(P2007&gt;=61,"Tier B+ / Cấp A (Hot Lead: 61-69đ)",IF(P2007&gt;=50,"Tier B (Bạc: 50-60đ)","Tier C (Đồng: 30-49đ)")))))</f>
        <v/>
      </c>
      <c r="R2007" s="6" t="inlineStr">
        <is>
          <t>Khay vệ sinh chung cư (Indoor Potty) + Thảm cỏ ban công (Grass Patch) + Đồ chơi</t>
        </is>
      </c>
      <c r="S2007" s="6" t="inlineStr">
        <is>
          <t>Đóng băng tương tác (&gt;30 ngày): Lưu trữ chờ kích hoạt lại, không tốn tài nguyên Sales</t>
        </is>
      </c>
    </row>
    <row r="2008">
      <c r="A2008" s="59" t="n">
        <v>1060</v>
      </c>
      <c r="B2008" s="15" t="inlineStr">
        <is>
          <t>Dog Force Box</t>
        </is>
      </c>
      <c r="C2008" s="60" t="inlineStr">
        <is>
          <t>https://www.facebook.com/dogforceboxofficial</t>
        </is>
      </c>
      <c r="D2008" s="9" t="inlineStr">
        <is>
          <t>Cần quét Bio Fanpage</t>
        </is>
      </c>
      <c r="E2008" s="59" t="inlineStr">
        <is>
          <t>01/08/2025 23:01:22</t>
        </is>
      </c>
      <c r="F2008" s="59" t="inlineStr">
        <is>
          <t>1 năm trước</t>
        </is>
      </c>
      <c r="G2008" s="61" t="n">
        <v>365</v>
      </c>
      <c r="H2008" s="62" t="n">
        <v>0</v>
      </c>
      <c r="I2008" s="9" t="inlineStr">
        <is>
          <t>Pet Owner / Cộng đồng nuôi cún (10đ)</t>
        </is>
      </c>
      <c r="J2008" s="62" t="n">
        <v>10</v>
      </c>
      <c r="K2008" s="9" t="inlineStr">
        <is>
          <t>Chưa rõ giống (Cần quét Bio)</t>
        </is>
      </c>
      <c r="L2008" s="62" t="n">
        <v>0</v>
      </c>
      <c r="M2008" s="62" t="n">
        <v>5</v>
      </c>
      <c r="N2008" s="9" t="inlineStr">
        <is>
          <t>Amazon link not found</t>
        </is>
      </c>
      <c r="O2008" s="62">
        <f>IF(N2008="Selling pet toys + Artificial grass/Pet toilets (TARGET)",15,IF(N2008="Selling artificial grass/pet toilets (TARGET)",10,IF(N2008="Selling pet toys",7,IF(N2008="There's an Amazon link, but no target sales.",3,0))))</f>
        <v/>
      </c>
      <c r="P2008" s="67">
        <f>H2008+J2008+L2008+M2008+O2008</f>
        <v/>
      </c>
      <c r="Q2008" s="68">
        <f>IF(OR(H2008=0,P2008&lt;30),"Tier D (Đóng băng)",IF(P2008&gt;=85,"Tier S (Kim Cương: 85-100đ)",IF(P2008&gt;=70,"Tier A (Vàng: 70-84đ)",IF(P2008&gt;=61,"Tier B+ / Cấp A (Hot Lead: 61-69đ)",IF(P2008&gt;=50,"Tier B (Bạc: 50-60đ)","Tier C (Đồng: 30-49đ)")))))</f>
        <v/>
      </c>
      <c r="R2008" s="9" t="inlineStr">
        <is>
          <t>Khay vệ sinh chung cư (Indoor Potty) + Thảm cỏ ban công (Grass Patch) + Đồ chơi</t>
        </is>
      </c>
      <c r="S2008" s="9" t="inlineStr">
        <is>
          <t>Đóng băng tương tác (&gt;30 ngày): Lưu trữ chờ kích hoạt lại, không tốn tài nguyên Sales</t>
        </is>
      </c>
    </row>
    <row r="2009">
      <c r="A2009" s="53" t="n">
        <v>2458</v>
      </c>
      <c r="B2009" s="12" t="inlineStr">
        <is>
          <t>Pet Naturals</t>
        </is>
      </c>
      <c r="C2009" s="54" t="inlineStr">
        <is>
          <t>https://www.facebook.com/PetNaturalsOfficial</t>
        </is>
      </c>
      <c r="D2009" s="6" t="inlineStr">
        <is>
          <t>Cần quét Bio Fanpage</t>
        </is>
      </c>
      <c r="E2009" s="53" t="inlineStr">
        <is>
          <t>05/07/2025 06:06:02</t>
        </is>
      </c>
      <c r="F2009" s="53" t="inlineStr">
        <is>
          <t>1 năm trước</t>
        </is>
      </c>
      <c r="G2009" s="55" t="n">
        <v>365</v>
      </c>
      <c r="H2009" s="56" t="n">
        <v>0</v>
      </c>
      <c r="I2009" s="6" t="inlineStr">
        <is>
          <t>Pet Owner / Cộng đồng nuôi cún (10đ)</t>
        </is>
      </c>
      <c r="J2009" s="56" t="n">
        <v>10</v>
      </c>
      <c r="K2009" s="6" t="inlineStr">
        <is>
          <t>Chưa rõ giống (Cần quét Bio)</t>
        </is>
      </c>
      <c r="L2009" s="56" t="n">
        <v>0</v>
      </c>
      <c r="M2009" s="56" t="n">
        <v>5</v>
      </c>
      <c r="N2009" s="6" t="inlineStr">
        <is>
          <t>Amazon link not found</t>
        </is>
      </c>
      <c r="O2009" s="56">
        <f>IF(N2009="Selling pet toys + Artificial grass/Pet toilets (TARGET)",15,IF(N2009="Selling artificial grass/pet toilets (TARGET)",10,IF(N2009="Selling pet toys",7,IF(N2009="There's an Amazon link, but no target sales.",3,0))))</f>
        <v/>
      </c>
      <c r="P2009" s="65">
        <f>H2009+J2009+L2009+M2009+O2009</f>
        <v/>
      </c>
      <c r="Q2009" s="68">
        <f>IF(OR(H2009=0,P2009&lt;30),"Tier D (Đóng băng)",IF(P2009&gt;=85,"Tier S (Kim Cương: 85-100đ)",IF(P2009&gt;=70,"Tier A (Vàng: 70-84đ)",IF(P2009&gt;=61,"Tier B+ / Cấp A (Hot Lead: 61-69đ)",IF(P2009&gt;=50,"Tier B (Bạc: 50-60đ)","Tier C (Đồng: 30-49đ)")))))</f>
        <v/>
      </c>
      <c r="R2009" s="6" t="inlineStr">
        <is>
          <t>Khay vệ sinh chung cư (Indoor Potty) + Thảm cỏ ban công (Grass Patch) + Đồ chơi</t>
        </is>
      </c>
      <c r="S2009" s="6" t="inlineStr">
        <is>
          <t>Đóng băng tương tác (&gt;30 ngày): Lưu trữ chờ kích hoạt lại, không tốn tài nguyên Sales</t>
        </is>
      </c>
    </row>
    <row r="2010">
      <c r="A2010" s="59" t="n">
        <v>2201</v>
      </c>
      <c r="B2010" s="15" t="inlineStr">
        <is>
          <t>MLA Pet Shop</t>
        </is>
      </c>
      <c r="C2010" s="60" t="inlineStr">
        <is>
          <t>https://www.facebook.com/profile.php?id=61570083464217</t>
        </is>
      </c>
      <c r="D2010" s="9" t="inlineStr">
        <is>
          <t>Cần quét Bio Fanpage</t>
        </is>
      </c>
      <c r="E2010" s="59" t="inlineStr">
        <is>
          <t>07/06/2025 18:34:20</t>
        </is>
      </c>
      <c r="F2010" s="59" t="inlineStr">
        <is>
          <t>1 năm trước</t>
        </is>
      </c>
      <c r="G2010" s="61" t="n">
        <v>365</v>
      </c>
      <c r="H2010" s="62" t="n">
        <v>0</v>
      </c>
      <c r="I2010" s="9" t="inlineStr">
        <is>
          <t>Pet Owner / Cộng đồng nuôi cún (10đ)</t>
        </is>
      </c>
      <c r="J2010" s="62" t="n">
        <v>10</v>
      </c>
      <c r="K2010" s="9" t="inlineStr">
        <is>
          <t>Chưa rõ giống (Cần quét Bio)</t>
        </is>
      </c>
      <c r="L2010" s="62" t="n">
        <v>0</v>
      </c>
      <c r="M2010" s="62" t="n">
        <v>5</v>
      </c>
      <c r="N2010" s="9" t="inlineStr">
        <is>
          <t>Amazon link not found</t>
        </is>
      </c>
      <c r="O2010" s="62">
        <f>IF(N2010="Selling pet toys + Artificial grass/Pet toilets (TARGET)",15,IF(N2010="Selling artificial grass/pet toilets (TARGET)",10,IF(N2010="Selling pet toys",7,IF(N2010="There's an Amazon link, but no target sales.",3,0))))</f>
        <v/>
      </c>
      <c r="P2010" s="67">
        <f>H2010+J2010+L2010+M2010+O2010</f>
        <v/>
      </c>
      <c r="Q2010" s="68">
        <f>IF(OR(H2010=0,P2010&lt;30),"Tier D (Đóng băng)",IF(P2010&gt;=85,"Tier S (Kim Cương: 85-100đ)",IF(P2010&gt;=70,"Tier A (Vàng: 70-84đ)",IF(P2010&gt;=61,"Tier B+ / Cấp A (Hot Lead: 61-69đ)",IF(P2010&gt;=50,"Tier B (Bạc: 50-60đ)","Tier C (Đồng: 30-49đ)")))))</f>
        <v/>
      </c>
      <c r="R2010" s="9" t="inlineStr">
        <is>
          <t>Khay vệ sinh chung cư (Indoor Potty) + Thảm cỏ ban công (Grass Patch) + Đồ chơi</t>
        </is>
      </c>
      <c r="S2010" s="9" t="inlineStr">
        <is>
          <t>Đóng băng tương tác (&gt;30 ngày): Lưu trữ chờ kích hoạt lại, không tốn tài nguyên Sales</t>
        </is>
      </c>
    </row>
    <row r="2011">
      <c r="A2011" s="53" t="n">
        <v>2650</v>
      </c>
      <c r="B2011" s="12" t="inlineStr">
        <is>
          <t>Puff Pet Shop</t>
        </is>
      </c>
      <c r="C2011" s="54" t="inlineStr">
        <is>
          <t>https://www.facebook.com/profile.php?id=61563007174333</t>
        </is>
      </c>
      <c r="D2011" s="6" t="inlineStr">
        <is>
          <t>Cần quét Bio Fanpage</t>
        </is>
      </c>
      <c r="E2011" s="53" t="inlineStr">
        <is>
          <t>19/05/2025 10:40:38</t>
        </is>
      </c>
      <c r="F2011" s="53" t="inlineStr">
        <is>
          <t>1 năm trước</t>
        </is>
      </c>
      <c r="G2011" s="55" t="n">
        <v>365</v>
      </c>
      <c r="H2011" s="56" t="n">
        <v>0</v>
      </c>
      <c r="I2011" s="6" t="inlineStr">
        <is>
          <t>Pet Owner / Cộng đồng nuôi cún (10đ)</t>
        </is>
      </c>
      <c r="J2011" s="56" t="n">
        <v>10</v>
      </c>
      <c r="K2011" s="6" t="inlineStr">
        <is>
          <t>Chưa rõ giống (Cần quét Bio)</t>
        </is>
      </c>
      <c r="L2011" s="56" t="n">
        <v>0</v>
      </c>
      <c r="M2011" s="56" t="n">
        <v>5</v>
      </c>
      <c r="N2011" s="6" t="inlineStr">
        <is>
          <t>Amazon link not found</t>
        </is>
      </c>
      <c r="O2011" s="56">
        <f>IF(N2011="Selling pet toys + Artificial grass/Pet toilets (TARGET)",15,IF(N2011="Selling artificial grass/pet toilets (TARGET)",10,IF(N2011="Selling pet toys",7,IF(N2011="There's an Amazon link, but no target sales.",3,0))))</f>
        <v/>
      </c>
      <c r="P2011" s="65">
        <f>H2011+J2011+L2011+M2011+O2011</f>
        <v/>
      </c>
      <c r="Q2011" s="68">
        <f>IF(OR(H2011=0,P2011&lt;30),"Tier D (Đóng băng)",IF(P2011&gt;=85,"Tier S (Kim Cương: 85-100đ)",IF(P2011&gt;=70,"Tier A (Vàng: 70-84đ)",IF(P2011&gt;=61,"Tier B+ / Cấp A (Hot Lead: 61-69đ)",IF(P2011&gt;=50,"Tier B (Bạc: 50-60đ)","Tier C (Đồng: 30-49đ)")))))</f>
        <v/>
      </c>
      <c r="R2011" s="6" t="inlineStr">
        <is>
          <t>Khay vệ sinh chung cư (Indoor Potty) + Thảm cỏ ban công (Grass Patch) + Đồ chơi</t>
        </is>
      </c>
      <c r="S2011" s="6" t="inlineStr">
        <is>
          <t>Đóng băng tương tác (&gt;30 ngày): Lưu trữ chờ kích hoạt lại, không tốn tài nguyên Sales</t>
        </is>
      </c>
    </row>
    <row r="2012">
      <c r="A2012" s="59" t="n">
        <v>2097</v>
      </c>
      <c r="B2012" s="15" t="inlineStr">
        <is>
          <t>Madrid World Dog Show 2020 Official</t>
        </is>
      </c>
      <c r="C2012" s="60" t="inlineStr">
        <is>
          <t>https://www.facebook.com/profile.php?id=100023720203247</t>
        </is>
      </c>
      <c r="D2012" s="9" t="inlineStr">
        <is>
          <t>Cần quét Bio Fanpage</t>
        </is>
      </c>
      <c r="E2012" s="59" t="inlineStr">
        <is>
          <t>24/03/2025 18:15:34</t>
        </is>
      </c>
      <c r="F2012" s="59" t="inlineStr">
        <is>
          <t>1 năm trước</t>
        </is>
      </c>
      <c r="G2012" s="61" t="n">
        <v>365</v>
      </c>
      <c r="H2012" s="62" t="n">
        <v>0</v>
      </c>
      <c r="I2012" s="9" t="inlineStr">
        <is>
          <t>Pet Owner / Cộng đồng nuôi cún (10đ)</t>
        </is>
      </c>
      <c r="J2012" s="62" t="n">
        <v>10</v>
      </c>
      <c r="K2012" s="9" t="inlineStr">
        <is>
          <t>Chưa rõ giống (Cần quét Bio)</t>
        </is>
      </c>
      <c r="L2012" s="62" t="n">
        <v>0</v>
      </c>
      <c r="M2012" s="62" t="n">
        <v>5</v>
      </c>
      <c r="N2012" s="9" t="inlineStr">
        <is>
          <t>Amazon link not found</t>
        </is>
      </c>
      <c r="O2012" s="62">
        <f>IF(N2012="Selling pet toys + Artificial grass/Pet toilets (TARGET)",15,IF(N2012="Selling artificial grass/pet toilets (TARGET)",10,IF(N2012="Selling pet toys",7,IF(N2012="There's an Amazon link, but no target sales.",3,0))))</f>
        <v/>
      </c>
      <c r="P2012" s="67">
        <f>H2012+J2012+L2012+M2012+O2012</f>
        <v/>
      </c>
      <c r="Q2012" s="68">
        <f>IF(OR(H2012=0,P2012&lt;30),"Tier D (Đóng băng)",IF(P2012&gt;=85,"Tier S (Kim Cương: 85-100đ)",IF(P2012&gt;=70,"Tier A (Vàng: 70-84đ)",IF(P2012&gt;=61,"Tier B+ / Cấp A (Hot Lead: 61-69đ)",IF(P2012&gt;=50,"Tier B (Bạc: 50-60đ)","Tier C (Đồng: 30-49đ)")))))</f>
        <v/>
      </c>
      <c r="R2012" s="9" t="inlineStr">
        <is>
          <t>Khay vệ sinh chung cư (Indoor Potty) + Thảm cỏ ban công (Grass Patch) + Đồ chơi</t>
        </is>
      </c>
      <c r="S2012" s="9" t="inlineStr">
        <is>
          <t>Đóng băng tương tác (&gt;30 ngày): Lưu trữ chờ kích hoạt lại, không tốn tài nguyên Sales</t>
        </is>
      </c>
    </row>
    <row r="2013">
      <c r="A2013" s="53" t="n">
        <v>3189</v>
      </c>
      <c r="B2013" s="12" t="inlineStr">
        <is>
          <t>Tiffany - Dog Shop /DRY BED - VET BED/</t>
        </is>
      </c>
      <c r="C2013" s="54" t="inlineStr">
        <is>
          <t>https://www.facebook.com/profile.php?id=100063536378455</t>
        </is>
      </c>
      <c r="D2013" s="6" t="inlineStr">
        <is>
          <t>Cần quét Bio Fanpage</t>
        </is>
      </c>
      <c r="E2013" s="53" t="inlineStr">
        <is>
          <t>11/12/2024 19:13:23</t>
        </is>
      </c>
      <c r="F2013" s="53" t="inlineStr">
        <is>
          <t>1 năm trước</t>
        </is>
      </c>
      <c r="G2013" s="55" t="n">
        <v>365</v>
      </c>
      <c r="H2013" s="56" t="n">
        <v>0</v>
      </c>
      <c r="I2013" s="6" t="inlineStr">
        <is>
          <t>Pet Owner / Cộng đồng nuôi cún (10đ)</t>
        </is>
      </c>
      <c r="J2013" s="56" t="n">
        <v>10</v>
      </c>
      <c r="K2013" s="6" t="inlineStr">
        <is>
          <t>Chưa rõ giống (Cần quét Bio)</t>
        </is>
      </c>
      <c r="L2013" s="56" t="n">
        <v>0</v>
      </c>
      <c r="M2013" s="56" t="n">
        <v>5</v>
      </c>
      <c r="N2013" s="6" t="inlineStr">
        <is>
          <t>Amazon link not found</t>
        </is>
      </c>
      <c r="O2013" s="56">
        <f>IF(N2013="Selling pet toys + Artificial grass/Pet toilets (TARGET)",15,IF(N2013="Selling artificial grass/pet toilets (TARGET)",10,IF(N2013="Selling pet toys",7,IF(N2013="There's an Amazon link, but no target sales.",3,0))))</f>
        <v/>
      </c>
      <c r="P2013" s="65">
        <f>H2013+J2013+L2013+M2013+O2013</f>
        <v/>
      </c>
      <c r="Q2013" s="68">
        <f>IF(OR(H2013=0,P2013&lt;30),"Tier D (Đóng băng)",IF(P2013&gt;=85,"Tier S (Kim Cương: 85-100đ)",IF(P2013&gt;=70,"Tier A (Vàng: 70-84đ)",IF(P2013&gt;=61,"Tier B+ / Cấp A (Hot Lead: 61-69đ)",IF(P2013&gt;=50,"Tier B (Bạc: 50-60đ)","Tier C (Đồng: 30-49đ)")))))</f>
        <v/>
      </c>
      <c r="R2013" s="6" t="inlineStr">
        <is>
          <t>Khay vệ sinh chung cư (Indoor Potty) + Thảm cỏ ban công (Grass Patch) + Đồ chơi</t>
        </is>
      </c>
      <c r="S2013" s="6" t="inlineStr">
        <is>
          <t>Đóng băng tương tác (&gt;30 ngày): Lưu trữ chờ kích hoạt lại, không tốn tài nguyên Sales</t>
        </is>
      </c>
    </row>
    <row r="2014">
      <c r="A2014" s="59" t="n">
        <v>2555</v>
      </c>
      <c r="B2014" s="15" t="inlineStr">
        <is>
          <t>Petsy Powered By Zigly</t>
        </is>
      </c>
      <c r="C2014" s="60" t="inlineStr">
        <is>
          <t>https://www.facebook.com/petsy.online</t>
        </is>
      </c>
      <c r="D2014" s="9" t="inlineStr">
        <is>
          <t>Cần quét Bio Fanpage</t>
        </is>
      </c>
      <c r="E2014" s="59" t="inlineStr">
        <is>
          <t>07/10/2024 14:07:48</t>
        </is>
      </c>
      <c r="F2014" s="59" t="inlineStr">
        <is>
          <t>2 năm trước</t>
        </is>
      </c>
      <c r="G2014" s="61" t="n">
        <v>730</v>
      </c>
      <c r="H2014" s="62" t="n">
        <v>0</v>
      </c>
      <c r="I2014" s="9" t="inlineStr">
        <is>
          <t>Pet Owner / Cộng đồng nuôi cún (10đ)</t>
        </is>
      </c>
      <c r="J2014" s="62" t="n">
        <v>10</v>
      </c>
      <c r="K2014" s="9" t="inlineStr">
        <is>
          <t>Chưa rõ giống (Cần quét Bio)</t>
        </is>
      </c>
      <c r="L2014" s="62" t="n">
        <v>0</v>
      </c>
      <c r="M2014" s="62" t="n">
        <v>5</v>
      </c>
      <c r="N2014" s="9" t="inlineStr">
        <is>
          <t>Amazon link not found</t>
        </is>
      </c>
      <c r="O2014" s="62">
        <f>IF(N2014="Selling pet toys + Artificial grass/Pet toilets (TARGET)",15,IF(N2014="Selling artificial grass/pet toilets (TARGET)",10,IF(N2014="Selling pet toys",7,IF(N2014="There's an Amazon link, but no target sales.",3,0))))</f>
        <v/>
      </c>
      <c r="P2014" s="67">
        <f>H2014+J2014+L2014+M2014+O2014</f>
        <v/>
      </c>
      <c r="Q2014" s="68">
        <f>IF(OR(H2014=0,P2014&lt;30),"Tier D (Đóng băng)",IF(P2014&gt;=85,"Tier S (Kim Cương: 85-100đ)",IF(P2014&gt;=70,"Tier A (Vàng: 70-84đ)",IF(P2014&gt;=61,"Tier B+ / Cấp A (Hot Lead: 61-69đ)",IF(P2014&gt;=50,"Tier B (Bạc: 50-60đ)","Tier C (Đồng: 30-49đ)")))))</f>
        <v/>
      </c>
      <c r="R2014" s="9" t="inlineStr">
        <is>
          <t>Khay vệ sinh chung cư (Indoor Potty) + Thảm cỏ ban công (Grass Patch) + Đồ chơi</t>
        </is>
      </c>
      <c r="S2014" s="9" t="inlineStr">
        <is>
          <t>Đóng băng tương tác (&gt;30 ngày): Lưu trữ chờ kích hoạt lại, không tốn tài nguyên Sales</t>
        </is>
      </c>
    </row>
    <row r="2015">
      <c r="A2015" s="53" t="n">
        <v>2148</v>
      </c>
      <c r="B2015" s="12" t="inlineStr">
        <is>
          <t>MD DOG HOME</t>
        </is>
      </c>
      <c r="C2015" s="54" t="inlineStr">
        <is>
          <t>https://www.facebook.com/BETAPETSHOPP</t>
        </is>
      </c>
      <c r="D2015" s="6" t="inlineStr">
        <is>
          <t>Cần quét Bio Fanpage</t>
        </is>
      </c>
      <c r="E2015" s="53" t="inlineStr">
        <is>
          <t>18/09/2024 15:24:17</t>
        </is>
      </c>
      <c r="F2015" s="53" t="inlineStr">
        <is>
          <t>2 năm trước</t>
        </is>
      </c>
      <c r="G2015" s="55" t="n">
        <v>730</v>
      </c>
      <c r="H2015" s="56" t="n">
        <v>0</v>
      </c>
      <c r="I2015" s="6" t="inlineStr">
        <is>
          <t>Pet Owner / Cộng đồng nuôi cún (10đ)</t>
        </is>
      </c>
      <c r="J2015" s="56" t="n">
        <v>10</v>
      </c>
      <c r="K2015" s="6" t="inlineStr">
        <is>
          <t>Chưa rõ giống (Cần quét Bio)</t>
        </is>
      </c>
      <c r="L2015" s="56" t="n">
        <v>0</v>
      </c>
      <c r="M2015" s="56" t="n">
        <v>5</v>
      </c>
      <c r="N2015" s="6" t="inlineStr">
        <is>
          <t>Amazon link not found</t>
        </is>
      </c>
      <c r="O2015" s="56">
        <f>IF(N2015="Selling pet toys + Artificial grass/Pet toilets (TARGET)",15,IF(N2015="Selling artificial grass/pet toilets (TARGET)",10,IF(N2015="Selling pet toys",7,IF(N2015="There's an Amazon link, but no target sales.",3,0))))</f>
        <v/>
      </c>
      <c r="P2015" s="65">
        <f>H2015+J2015+L2015+M2015+O2015</f>
        <v/>
      </c>
      <c r="Q2015" s="68">
        <f>IF(OR(H2015=0,P2015&lt;30),"Tier D (Đóng băng)",IF(P2015&gt;=85,"Tier S (Kim Cương: 85-100đ)",IF(P2015&gt;=70,"Tier A (Vàng: 70-84đ)",IF(P2015&gt;=61,"Tier B+ / Cấp A (Hot Lead: 61-69đ)",IF(P2015&gt;=50,"Tier B (Bạc: 50-60đ)","Tier C (Đồng: 30-49đ)")))))</f>
        <v/>
      </c>
      <c r="R2015" s="6" t="inlineStr">
        <is>
          <t>Khay vệ sinh chung cư (Indoor Potty) + Thảm cỏ ban công (Grass Patch) + Đồ chơi</t>
        </is>
      </c>
      <c r="S2015" s="6" t="inlineStr">
        <is>
          <t>Đóng băng tương tác (&gt;30 ngày): Lưu trữ chờ kích hoạt lại, không tốn tài nguyên Sales</t>
        </is>
      </c>
    </row>
    <row r="2016">
      <c r="A2016" s="59" t="n">
        <v>2668</v>
      </c>
      <c r="B2016" s="15" t="inlineStr">
        <is>
          <t>Puppylove Whelping Identification Collars</t>
        </is>
      </c>
      <c r="C2016" s="60" t="inlineStr">
        <is>
          <t>https://www.facebook.com/puppyloveidentificationcollars</t>
        </is>
      </c>
      <c r="D2016" s="9" t="inlineStr">
        <is>
          <t>Cần quét Bio Fanpage</t>
        </is>
      </c>
      <c r="E2016" s="59" t="inlineStr">
        <is>
          <t>20/02/2024 01:43:45</t>
        </is>
      </c>
      <c r="F2016" s="59" t="inlineStr">
        <is>
          <t>2 năm trước</t>
        </is>
      </c>
      <c r="G2016" s="61" t="n">
        <v>730</v>
      </c>
      <c r="H2016" s="62" t="n">
        <v>0</v>
      </c>
      <c r="I2016" s="9" t="inlineStr">
        <is>
          <t>Pet Owner / Cộng đồng nuôi cún (10đ)</t>
        </is>
      </c>
      <c r="J2016" s="62" t="n">
        <v>10</v>
      </c>
      <c r="K2016" s="9" t="inlineStr">
        <is>
          <t>Chưa rõ giống (Cần quét Bio)</t>
        </is>
      </c>
      <c r="L2016" s="62" t="n">
        <v>0</v>
      </c>
      <c r="M2016" s="62" t="n">
        <v>5</v>
      </c>
      <c r="N2016" s="9" t="inlineStr">
        <is>
          <t>Amazon link not found</t>
        </is>
      </c>
      <c r="O2016" s="62">
        <f>IF(N2016="Selling pet toys + Artificial grass/Pet toilets (TARGET)",15,IF(N2016="Selling artificial grass/pet toilets (TARGET)",10,IF(N2016="Selling pet toys",7,IF(N2016="There's an Amazon link, but no target sales.",3,0))))</f>
        <v/>
      </c>
      <c r="P2016" s="67">
        <f>H2016+J2016+L2016+M2016+O2016</f>
        <v/>
      </c>
      <c r="Q2016" s="68">
        <f>IF(OR(H2016=0,P2016&lt;30),"Tier D (Đóng băng)",IF(P2016&gt;=85,"Tier S (Kim Cương: 85-100đ)",IF(P2016&gt;=70,"Tier A (Vàng: 70-84đ)",IF(P2016&gt;=61,"Tier B+ / Cấp A (Hot Lead: 61-69đ)",IF(P2016&gt;=50,"Tier B (Bạc: 50-60đ)","Tier C (Đồng: 30-49đ)")))))</f>
        <v/>
      </c>
      <c r="R2016" s="9" t="inlineStr">
        <is>
          <t>Khay vệ sinh chung cư (Indoor Potty) + Thảm cỏ ban công (Grass Patch) + Đồ chơi</t>
        </is>
      </c>
      <c r="S2016" s="9" t="inlineStr">
        <is>
          <t>Đóng băng tương tác (&gt;30 ngày): Lưu trữ chờ kích hoạt lại, không tốn tài nguyên Sales</t>
        </is>
      </c>
    </row>
    <row r="2017">
      <c r="A2017" s="53" t="n">
        <v>656</v>
      </c>
      <c r="B2017" s="12" t="inlineStr">
        <is>
          <t>Best 4 Dogs</t>
        </is>
      </c>
      <c r="C2017" s="54" t="inlineStr">
        <is>
          <t>https://www.facebook.com/best4dogs.com.ua</t>
        </is>
      </c>
      <c r="D2017" s="6" t="inlineStr">
        <is>
          <t>Cần quét Bio Fanpage</t>
        </is>
      </c>
      <c r="E2017" s="53" t="inlineStr">
        <is>
          <t>16/02/2024 18:56:12</t>
        </is>
      </c>
      <c r="F2017" s="53" t="inlineStr">
        <is>
          <t>2 năm trước</t>
        </is>
      </c>
      <c r="G2017" s="55" t="n">
        <v>730</v>
      </c>
      <c r="H2017" s="56" t="n">
        <v>0</v>
      </c>
      <c r="I2017" s="6" t="inlineStr">
        <is>
          <t>Pet Owner / Cộng đồng nuôi cún (10đ)</t>
        </is>
      </c>
      <c r="J2017" s="56" t="n">
        <v>10</v>
      </c>
      <c r="K2017" s="6" t="inlineStr">
        <is>
          <t>Chưa rõ giống (Cần quét Bio)</t>
        </is>
      </c>
      <c r="L2017" s="56" t="n">
        <v>0</v>
      </c>
      <c r="M2017" s="56" t="n">
        <v>5</v>
      </c>
      <c r="N2017" s="6" t="inlineStr">
        <is>
          <t>Amazon link not found</t>
        </is>
      </c>
      <c r="O2017" s="56">
        <f>IF(N2017="Selling pet toys + Artificial grass/Pet toilets (TARGET)",15,IF(N2017="Selling artificial grass/pet toilets (TARGET)",10,IF(N2017="Selling pet toys",7,IF(N2017="There's an Amazon link, but no target sales.",3,0))))</f>
        <v/>
      </c>
      <c r="P2017" s="65">
        <f>H2017+J2017+L2017+M2017+O2017</f>
        <v/>
      </c>
      <c r="Q2017" s="68">
        <f>IF(OR(H2017=0,P2017&lt;30),"Tier D (Đóng băng)",IF(P2017&gt;=85,"Tier S (Kim Cương: 85-100đ)",IF(P2017&gt;=70,"Tier A (Vàng: 70-84đ)",IF(P2017&gt;=61,"Tier B+ / Cấp A (Hot Lead: 61-69đ)",IF(P2017&gt;=50,"Tier B (Bạc: 50-60đ)","Tier C (Đồng: 30-49đ)")))))</f>
        <v/>
      </c>
      <c r="R2017" s="6" t="inlineStr">
        <is>
          <t>Khay vệ sinh chung cư (Indoor Potty) + Thảm cỏ ban công (Grass Patch) + Đồ chơi</t>
        </is>
      </c>
      <c r="S2017" s="6" t="inlineStr">
        <is>
          <t>Đóng băng tương tác (&gt;30 ngày): Lưu trữ chờ kích hoạt lại, không tốn tài nguyên Sales</t>
        </is>
      </c>
    </row>
    <row r="2018">
      <c r="A2018" s="59" t="n">
        <v>3173</v>
      </c>
      <c r="B2018" s="15" t="inlineStr">
        <is>
          <t>The World Of Bernese Mountain Dogs 2017, 2018, 2019</t>
        </is>
      </c>
      <c r="C2018" s="60" t="inlineStr">
        <is>
          <t>https://www.facebook.com/WorldOfBerneseMountainDogs</t>
        </is>
      </c>
      <c r="D2018" s="9" t="inlineStr">
        <is>
          <t>Cần quét Bio Fanpage</t>
        </is>
      </c>
      <c r="E2018" s="59" t="inlineStr">
        <is>
          <t>20/11/2023 02:01:08</t>
        </is>
      </c>
      <c r="F2018" s="59" t="inlineStr">
        <is>
          <t>2 năm trước</t>
        </is>
      </c>
      <c r="G2018" s="61" t="n">
        <v>730</v>
      </c>
      <c r="H2018" s="62" t="n">
        <v>0</v>
      </c>
      <c r="I2018" s="9" t="inlineStr">
        <is>
          <t>Pet Owner / Kênh cá nhân thú cưng (10đ)</t>
        </is>
      </c>
      <c r="J2018" s="62" t="n">
        <v>10</v>
      </c>
      <c r="K2018" s="9" t="inlineStr">
        <is>
          <t>Bernese Mountain Dog</t>
        </is>
      </c>
      <c r="L2018" s="62" t="n">
        <v>5</v>
      </c>
      <c r="M2018" s="62" t="n">
        <v>0</v>
      </c>
      <c r="N2018" s="9" t="inlineStr">
        <is>
          <t>Amazon link not found</t>
        </is>
      </c>
      <c r="O2018" s="62">
        <f>IF(N2018="Selling pet toys + Artificial grass/Pet toilets (TARGET)",15,IF(N2018="Selling artificial grass/pet toilets (TARGET)",10,IF(N2018="Selling pet toys",7,IF(N2018="There's an Amazon link, but no target sales.",3,0))))</f>
        <v/>
      </c>
      <c r="P2018" s="67">
        <f>H2018+J2018+L2018+M2018+O2018</f>
        <v/>
      </c>
      <c r="Q2018" s="68">
        <f>IF(OR(H2018=0,P2018&lt;30),"Tier D (Đóng băng)",IF(P2018&gt;=85,"Tier S (Kim Cương: 85-100đ)",IF(P2018&gt;=70,"Tier A (Vàng: 70-84đ)",IF(P2018&gt;=61,"Tier B+ / Cấp A (Hot Lead: 61-69đ)",IF(P2018&gt;=50,"Tier B (Bạc: 50-60đ)","Tier C (Đồng: 30-49đ)")))))</f>
        <v/>
      </c>
      <c r="R2018" s="9" t="inlineStr">
        <is>
          <t>Khay vệ sinh trong nhà (Indoor Dog Potty) + Đồ chơi thú cưng lẻ</t>
        </is>
      </c>
      <c r="S2018" s="9" t="inlineStr">
        <is>
          <t>Đóng băng tương tác (&gt;30 ngày): Lưu trữ chờ kích hoạt lại, không tốn tài nguyên Sales</t>
        </is>
      </c>
    </row>
    <row r="2019">
      <c r="A2019" s="53" t="n">
        <v>1324</v>
      </c>
      <c r="B2019" s="12" t="inlineStr">
        <is>
          <t>Familypet</t>
        </is>
      </c>
      <c r="C2019" s="54" t="inlineStr">
        <is>
          <t>https://www.facebook.com/familypet.com.ua</t>
        </is>
      </c>
      <c r="D2019" s="6" t="inlineStr">
        <is>
          <t>Cần quét Bio Fanpage</t>
        </is>
      </c>
      <c r="E2019" s="53" t="inlineStr">
        <is>
          <t>26/10/2023 13:28:20</t>
        </is>
      </c>
      <c r="F2019" s="53" t="inlineStr">
        <is>
          <t>2 năm trước</t>
        </is>
      </c>
      <c r="G2019" s="55" t="n">
        <v>730</v>
      </c>
      <c r="H2019" s="56" t="n">
        <v>0</v>
      </c>
      <c r="I2019" s="6" t="inlineStr">
        <is>
          <t>Pet Owner / Cộng đồng nuôi cún (10đ)</t>
        </is>
      </c>
      <c r="J2019" s="56" t="n">
        <v>10</v>
      </c>
      <c r="K2019" s="6" t="inlineStr">
        <is>
          <t>Chưa rõ giống (Cần quét Bio)</t>
        </is>
      </c>
      <c r="L2019" s="56" t="n">
        <v>0</v>
      </c>
      <c r="M2019" s="56" t="n">
        <v>5</v>
      </c>
      <c r="N2019" s="6" t="inlineStr">
        <is>
          <t>Amazon link not found</t>
        </is>
      </c>
      <c r="O2019" s="56">
        <f>IF(N2019="Selling pet toys + Artificial grass/Pet toilets (TARGET)",15,IF(N2019="Selling artificial grass/pet toilets (TARGET)",10,IF(N2019="Selling pet toys",7,IF(N2019="There's an Amazon link, but no target sales.",3,0))))</f>
        <v/>
      </c>
      <c r="P2019" s="65">
        <f>H2019+J2019+L2019+M2019+O2019</f>
        <v/>
      </c>
      <c r="Q2019" s="68">
        <f>IF(OR(H2019=0,P2019&lt;30),"Tier D (Đóng băng)",IF(P2019&gt;=85,"Tier S (Kim Cương: 85-100đ)",IF(P2019&gt;=70,"Tier A (Vàng: 70-84đ)",IF(P2019&gt;=61,"Tier B+ / Cấp A (Hot Lead: 61-69đ)",IF(P2019&gt;=50,"Tier B (Bạc: 50-60đ)","Tier C (Đồng: 30-49đ)")))))</f>
        <v/>
      </c>
      <c r="R2019" s="6" t="inlineStr">
        <is>
          <t>Khay vệ sinh chung cư (Indoor Potty) + Thảm cỏ ban công (Grass Patch) + Đồ chơi</t>
        </is>
      </c>
      <c r="S2019" s="6" t="inlineStr">
        <is>
          <t>Đóng băng tương tác (&gt;30 ngày): Lưu trữ chờ kích hoạt lại, không tốn tài nguyên Sales</t>
        </is>
      </c>
    </row>
    <row r="2020">
      <c r="A2020" s="59" t="n">
        <v>1797</v>
      </c>
      <c r="B2020" s="15" t="inlineStr">
        <is>
          <t>K.M. Dog Company</t>
        </is>
      </c>
      <c r="C2020" s="60" t="inlineStr">
        <is>
          <t>https://www.facebook.com/profile.php?id=100095063364670</t>
        </is>
      </c>
      <c r="D2020" s="9" t="inlineStr">
        <is>
          <t>Cần quét Bio Fanpage</t>
        </is>
      </c>
      <c r="E2020" s="59" t="inlineStr">
        <is>
          <t>11/10/2023 23:22:42</t>
        </is>
      </c>
      <c r="F2020" s="59" t="inlineStr">
        <is>
          <t>3 năm trước</t>
        </is>
      </c>
      <c r="G2020" s="61" t="n">
        <v>1095</v>
      </c>
      <c r="H2020" s="62" t="n">
        <v>0</v>
      </c>
      <c r="I2020" s="9" t="inlineStr">
        <is>
          <t>Pet Owner / Cộng đồng nuôi cún (10đ)</t>
        </is>
      </c>
      <c r="J2020" s="62" t="n">
        <v>10</v>
      </c>
      <c r="K2020" s="9" t="inlineStr">
        <is>
          <t>Chưa rõ giống (Cần quét Bio)</t>
        </is>
      </c>
      <c r="L2020" s="62" t="n">
        <v>0</v>
      </c>
      <c r="M2020" s="62" t="n">
        <v>5</v>
      </c>
      <c r="N2020" s="9" t="inlineStr">
        <is>
          <t>Amazon link not found</t>
        </is>
      </c>
      <c r="O2020" s="62">
        <f>IF(N2020="Selling pet toys + Artificial grass/Pet toilets (TARGET)",15,IF(N2020="Selling artificial grass/pet toilets (TARGET)",10,IF(N2020="Selling pet toys",7,IF(N2020="There's an Amazon link, but no target sales.",3,0))))</f>
        <v/>
      </c>
      <c r="P2020" s="67">
        <f>H2020+J2020+L2020+M2020+O2020</f>
        <v/>
      </c>
      <c r="Q2020" s="68">
        <f>IF(OR(H2020=0,P2020&lt;30),"Tier D (Đóng băng)",IF(P2020&gt;=85,"Tier S (Kim Cương: 85-100đ)",IF(P2020&gt;=70,"Tier A (Vàng: 70-84đ)",IF(P2020&gt;=61,"Tier B+ / Cấp A (Hot Lead: 61-69đ)",IF(P2020&gt;=50,"Tier B (Bạc: 50-60đ)","Tier C (Đồng: 30-49đ)")))))</f>
        <v/>
      </c>
      <c r="R2020" s="9" t="inlineStr">
        <is>
          <t>Khay vệ sinh chung cư (Indoor Potty) + Thảm cỏ ban công (Grass Patch) + Đồ chơi</t>
        </is>
      </c>
      <c r="S2020" s="9" t="inlineStr">
        <is>
          <t>Đóng băng tương tác (&gt;30 ngày): Lưu trữ chờ kích hoạt lại, không tốn tài nguyên Sales</t>
        </is>
      </c>
    </row>
    <row r="2021">
      <c r="A2021" s="53" t="n">
        <v>983</v>
      </c>
      <c r="B2021" s="12" t="inlineStr">
        <is>
          <t>CutestPuppiesforyou</t>
        </is>
      </c>
      <c r="C2021" s="54" t="inlineStr">
        <is>
          <t>https://www.facebook.com/cutestpuppiesforyou</t>
        </is>
      </c>
      <c r="D2021" s="6" t="inlineStr">
        <is>
          <t>Cần quét Bio Fanpage</t>
        </is>
      </c>
      <c r="E2021" s="53" t="inlineStr">
        <is>
          <t>31/08/2023 02:29:03</t>
        </is>
      </c>
      <c r="F2021" s="53" t="inlineStr">
        <is>
          <t>3 năm trước</t>
        </is>
      </c>
      <c r="G2021" s="55" t="n">
        <v>1095</v>
      </c>
      <c r="H2021" s="56" t="n">
        <v>0</v>
      </c>
      <c r="I2021" s="6" t="inlineStr">
        <is>
          <t>Pet Owner / Cộng đồng nuôi cún (10đ)</t>
        </is>
      </c>
      <c r="J2021" s="56" t="n">
        <v>10</v>
      </c>
      <c r="K2021" s="6" t="inlineStr">
        <is>
          <t>Chưa rõ giống (Cần quét Bio)</t>
        </is>
      </c>
      <c r="L2021" s="56" t="n">
        <v>0</v>
      </c>
      <c r="M2021" s="56" t="n">
        <v>5</v>
      </c>
      <c r="N2021" s="6" t="inlineStr">
        <is>
          <t>Amazon link not found</t>
        </is>
      </c>
      <c r="O2021" s="56">
        <f>IF(N2021="Selling pet toys + Artificial grass/Pet toilets (TARGET)",15,IF(N2021="Selling artificial grass/pet toilets (TARGET)",10,IF(N2021="Selling pet toys",7,IF(N2021="There's an Amazon link, but no target sales.",3,0))))</f>
        <v/>
      </c>
      <c r="P2021" s="65">
        <f>H2021+J2021+L2021+M2021+O2021</f>
        <v/>
      </c>
      <c r="Q2021" s="68">
        <f>IF(OR(H2021=0,P2021&lt;30),"Tier D (Đóng băng)",IF(P2021&gt;=85,"Tier S (Kim Cương: 85-100đ)",IF(P2021&gt;=70,"Tier A (Vàng: 70-84đ)",IF(P2021&gt;=61,"Tier B+ / Cấp A (Hot Lead: 61-69đ)",IF(P2021&gt;=50,"Tier B (Bạc: 50-60đ)","Tier C (Đồng: 30-49đ)")))))</f>
        <v/>
      </c>
      <c r="R2021" s="6" t="inlineStr">
        <is>
          <t>Khay vệ sinh chung cư (Indoor Potty) + Thảm cỏ ban công (Grass Patch) + Đồ chơi</t>
        </is>
      </c>
      <c r="S2021" s="6" t="inlineStr">
        <is>
          <t>Đóng băng tương tác (&gt;30 ngày): Lưu trữ chờ kích hoạt lại, không tốn tài nguyên Sales</t>
        </is>
      </c>
    </row>
    <row r="2022">
      <c r="A2022" s="59" t="n">
        <v>75</v>
      </c>
      <c r="B2022" s="15" t="inlineStr">
        <is>
          <t>puppieshappiness</t>
        </is>
      </c>
      <c r="C2022" s="60" t="inlineStr">
        <is>
          <t>https://www.facebook.com/puppieshappiness</t>
        </is>
      </c>
      <c r="D2022" s="9" t="inlineStr">
        <is>
          <t>Cần quét Bio Fanpage</t>
        </is>
      </c>
      <c r="E2022" s="59" t="inlineStr">
        <is>
          <t>24/07/2023 10:00:01</t>
        </is>
      </c>
      <c r="F2022" s="59" t="inlineStr">
        <is>
          <t>3 năm trước</t>
        </is>
      </c>
      <c r="G2022" s="61" t="n">
        <v>1095</v>
      </c>
      <c r="H2022" s="62" t="n">
        <v>0</v>
      </c>
      <c r="I2022" s="9" t="inlineStr">
        <is>
          <t>Pet Owner / Cộng đồng nuôi cún (10đ)</t>
        </is>
      </c>
      <c r="J2022" s="62" t="n">
        <v>10</v>
      </c>
      <c r="K2022" s="9" t="inlineStr">
        <is>
          <t>Chưa rõ giống (Cần quét Bio)</t>
        </is>
      </c>
      <c r="L2022" s="62" t="n">
        <v>0</v>
      </c>
      <c r="M2022" s="62" t="n">
        <v>5</v>
      </c>
      <c r="N2022" s="9" t="inlineStr">
        <is>
          <t>Amazon link not found</t>
        </is>
      </c>
      <c r="O2022" s="62">
        <f>IF(N2022="Selling pet toys + Artificial grass/Pet toilets (TARGET)",15,IF(N2022="Selling artificial grass/pet toilets (TARGET)",10,IF(N2022="Selling pet toys",7,IF(N2022="There's an Amazon link, but no target sales.",3,0))))</f>
        <v/>
      </c>
      <c r="P2022" s="67">
        <f>H2022+J2022+L2022+M2022+O2022</f>
        <v/>
      </c>
      <c r="Q2022" s="68">
        <f>IF(OR(H2022=0,P2022&lt;30),"Tier D (Đóng băng)",IF(P2022&gt;=85,"Tier S (Kim Cương: 85-100đ)",IF(P2022&gt;=70,"Tier A (Vàng: 70-84đ)",IF(P2022&gt;=61,"Tier B+ / Cấp A (Hot Lead: 61-69đ)",IF(P2022&gt;=50,"Tier B (Bạc: 50-60đ)","Tier C (Đồng: 30-49đ)")))))</f>
        <v/>
      </c>
      <c r="R2022" s="9" t="inlineStr">
        <is>
          <t>Khay vệ sinh chung cư (Indoor Potty) + Thảm cỏ ban công (Grass Patch) + Đồ chơi</t>
        </is>
      </c>
      <c r="S2022" s="9" t="inlineStr">
        <is>
          <t>Đóng băng tương tác (&gt;30 ngày): Lưu trữ chờ kích hoạt lại, không tốn tài nguyên Sales</t>
        </is>
      </c>
    </row>
    <row r="2023">
      <c r="A2023" s="53" t="n">
        <v>3285</v>
      </c>
      <c r="B2023" s="12" t="inlineStr">
        <is>
          <t>Vanity Dog Boutique La Spezia</t>
        </is>
      </c>
      <c r="C2023" s="54" t="inlineStr">
        <is>
          <t>https://www.facebook.com/vanitydogboutique</t>
        </is>
      </c>
      <c r="D2023" s="6" t="inlineStr">
        <is>
          <t>Cần quét Bio Fanpage</t>
        </is>
      </c>
      <c r="E2023" s="53" t="inlineStr">
        <is>
          <t>31/01/2023 02:51:16</t>
        </is>
      </c>
      <c r="F2023" s="53" t="inlineStr">
        <is>
          <t>3 năm trước</t>
        </is>
      </c>
      <c r="G2023" s="55" t="n">
        <v>1095</v>
      </c>
      <c r="H2023" s="56" t="n">
        <v>0</v>
      </c>
      <c r="I2023" s="6" t="inlineStr">
        <is>
          <t>Pet Owner / Cộng đồng nuôi cún (10đ)</t>
        </is>
      </c>
      <c r="J2023" s="56" t="n">
        <v>10</v>
      </c>
      <c r="K2023" s="6" t="inlineStr">
        <is>
          <t>Chưa rõ giống (Cần quét Bio)</t>
        </is>
      </c>
      <c r="L2023" s="56" t="n">
        <v>0</v>
      </c>
      <c r="M2023" s="56" t="n">
        <v>5</v>
      </c>
      <c r="N2023" s="6" t="inlineStr">
        <is>
          <t>Amazon link not found</t>
        </is>
      </c>
      <c r="O2023" s="56">
        <f>IF(N2023="Selling pet toys + Artificial grass/Pet toilets (TARGET)",15,IF(N2023="Selling artificial grass/pet toilets (TARGET)",10,IF(N2023="Selling pet toys",7,IF(N2023="There's an Amazon link, but no target sales.",3,0))))</f>
        <v/>
      </c>
      <c r="P2023" s="65">
        <f>H2023+J2023+L2023+M2023+O2023</f>
        <v/>
      </c>
      <c r="Q2023" s="68">
        <f>IF(OR(H2023=0,P2023&lt;30),"Tier D (Đóng băng)",IF(P2023&gt;=85,"Tier S (Kim Cương: 85-100đ)",IF(P2023&gt;=70,"Tier A (Vàng: 70-84đ)",IF(P2023&gt;=61,"Tier B+ / Cấp A (Hot Lead: 61-69đ)",IF(P2023&gt;=50,"Tier B (Bạc: 50-60đ)","Tier C (Đồng: 30-49đ)")))))</f>
        <v/>
      </c>
      <c r="R2023" s="6" t="inlineStr">
        <is>
          <t>Khay vệ sinh chung cư (Indoor Potty) + Thảm cỏ ban công (Grass Patch) + Đồ chơi</t>
        </is>
      </c>
      <c r="S2023" s="6" t="inlineStr">
        <is>
          <t>Đóng băng tương tác (&gt;30 ngày): Lưu trữ chờ kích hoạt lại, không tốn tài nguyên Sales</t>
        </is>
      </c>
    </row>
    <row r="2024">
      <c r="A2024" s="59" t="n">
        <v>2550</v>
      </c>
      <c r="B2024" s="15" t="inlineStr">
        <is>
          <t>Petspanda.com</t>
        </is>
      </c>
      <c r="C2024" s="60" t="inlineStr">
        <is>
          <t>https://www.facebook.com/Thepetspanda</t>
        </is>
      </c>
      <c r="D2024" s="9" t="inlineStr">
        <is>
          <t>https://petspanda.com</t>
        </is>
      </c>
      <c r="E2024" s="59" t="inlineStr">
        <is>
          <t>11/10/2022 15:26:33</t>
        </is>
      </c>
      <c r="F2024" s="59" t="inlineStr">
        <is>
          <t>4 năm trước</t>
        </is>
      </c>
      <c r="G2024" s="61" t="n">
        <v>1460</v>
      </c>
      <c r="H2024" s="62" t="n">
        <v>0</v>
      </c>
      <c r="I2024" s="9" t="inlineStr">
        <is>
          <t>Pet Owner / Cộng đồng nuôi cún (10đ)</t>
        </is>
      </c>
      <c r="J2024" s="62" t="n">
        <v>10</v>
      </c>
      <c r="K2024" s="9" t="inlineStr">
        <is>
          <t>Chưa rõ giống (Cần quét Bio)</t>
        </is>
      </c>
      <c r="L2024" s="62" t="n">
        <v>0</v>
      </c>
      <c r="M2024" s="62" t="n">
        <v>5</v>
      </c>
      <c r="N2024" s="9" t="inlineStr">
        <is>
          <t>Amazon link not found</t>
        </is>
      </c>
      <c r="O2024" s="62">
        <f>IF(N2024="Selling pet toys + Artificial grass/Pet toilets (TARGET)",15,IF(N2024="Selling artificial grass/pet toilets (TARGET)",10,IF(N2024="Selling pet toys",7,IF(N2024="There's an Amazon link, but no target sales.",3,0))))</f>
        <v/>
      </c>
      <c r="P2024" s="67">
        <f>H2024+J2024+L2024+M2024+O2024</f>
        <v/>
      </c>
      <c r="Q2024" s="68">
        <f>IF(OR(H2024=0,P2024&lt;30),"Tier D (Đóng băng)",IF(P2024&gt;=85,"Tier S (Kim Cương: 85-100đ)",IF(P2024&gt;=70,"Tier A (Vàng: 70-84đ)",IF(P2024&gt;=61,"Tier B+ / Cấp A (Hot Lead: 61-69đ)",IF(P2024&gt;=50,"Tier B (Bạc: 50-60đ)","Tier C (Đồng: 30-49đ)")))))</f>
        <v/>
      </c>
      <c r="R2024" s="9" t="inlineStr">
        <is>
          <t>Khay vệ sinh chung cư (Indoor Potty) + Thảm cỏ ban công (Grass Patch) + Đồ chơi</t>
        </is>
      </c>
      <c r="S2024" s="9" t="inlineStr">
        <is>
          <t>Đóng băng tương tác (&gt;30 ngày): Lưu trữ chờ kích hoạt lại, không tốn tài nguyên Sales</t>
        </is>
      </c>
    </row>
    <row r="2025">
      <c r="A2025" s="53" t="n">
        <v>3174</v>
      </c>
      <c r="B2025" s="12" t="inlineStr">
        <is>
          <t>The World Of Bernese Mountain Dogs 2017/2019</t>
        </is>
      </c>
      <c r="C2025" s="54" t="inlineStr">
        <is>
          <t>https://www.facebook.com/profile.php?id=100063881384563</t>
        </is>
      </c>
      <c r="D2025" s="6" t="inlineStr">
        <is>
          <t>Cần quét Bio Fanpage</t>
        </is>
      </c>
      <c r="E2025" s="53" t="inlineStr">
        <is>
          <t>24/12/2021 16:19:13</t>
        </is>
      </c>
      <c r="F2025" s="53" t="inlineStr">
        <is>
          <t>4 năm trước</t>
        </is>
      </c>
      <c r="G2025" s="55" t="n">
        <v>1460</v>
      </c>
      <c r="H2025" s="56" t="n">
        <v>0</v>
      </c>
      <c r="I2025" s="6" t="inlineStr">
        <is>
          <t>Pet Owner / Kênh cá nhân thú cưng (10đ)</t>
        </is>
      </c>
      <c r="J2025" s="56" t="n">
        <v>10</v>
      </c>
      <c r="K2025" s="6" t="inlineStr">
        <is>
          <t>Bernese Mountain Dog</t>
        </is>
      </c>
      <c r="L2025" s="56" t="n">
        <v>5</v>
      </c>
      <c r="M2025" s="56" t="n">
        <v>0</v>
      </c>
      <c r="N2025" s="6" t="inlineStr">
        <is>
          <t>Amazon link not found</t>
        </is>
      </c>
      <c r="O2025" s="56">
        <f>IF(N2025="Selling pet toys + Artificial grass/Pet toilets (TARGET)",15,IF(N2025="Selling artificial grass/pet toilets (TARGET)",10,IF(N2025="Selling pet toys",7,IF(N2025="There's an Amazon link, but no target sales.",3,0))))</f>
        <v/>
      </c>
      <c r="P2025" s="65">
        <f>H2025+J2025+L2025+M2025+O2025</f>
        <v/>
      </c>
      <c r="Q2025" s="68">
        <f>IF(OR(H2025=0,P2025&lt;30),"Tier D (Đóng băng)",IF(P2025&gt;=85,"Tier S (Kim Cương: 85-100đ)",IF(P2025&gt;=70,"Tier A (Vàng: 70-84đ)",IF(P2025&gt;=61,"Tier B+ / Cấp A (Hot Lead: 61-69đ)",IF(P2025&gt;=50,"Tier B (Bạc: 50-60đ)","Tier C (Đồng: 30-49đ)")))))</f>
        <v/>
      </c>
      <c r="R2025" s="6" t="inlineStr">
        <is>
          <t>Khay vệ sinh trong nhà (Indoor Dog Potty) + Đồ chơi thú cưng lẻ</t>
        </is>
      </c>
      <c r="S2025" s="6" t="inlineStr">
        <is>
          <t>Đóng băng tương tác (&gt;30 ngày): Lưu trữ chờ kích hoạt lại, không tốn tài nguyên Sales</t>
        </is>
      </c>
    </row>
    <row r="2026">
      <c r="A2026" s="59" t="n">
        <v>2554</v>
      </c>
      <c r="B2026" s="15" t="inlineStr">
        <is>
          <t>PetsWelcome.com</t>
        </is>
      </c>
      <c r="C2026" s="60" t="inlineStr">
        <is>
          <t>https://www.facebook.com/petswelcome</t>
        </is>
      </c>
      <c r="D2026" s="9" t="inlineStr">
        <is>
          <t>https://petswelcome.com</t>
        </is>
      </c>
      <c r="E2026" s="59" t="inlineStr">
        <is>
          <t>27/05/2021 06:32:08</t>
        </is>
      </c>
      <c r="F2026" s="59" t="inlineStr">
        <is>
          <t>5 năm trước</t>
        </is>
      </c>
      <c r="G2026" s="61" t="n">
        <v>1825</v>
      </c>
      <c r="H2026" s="62" t="n">
        <v>0</v>
      </c>
      <c r="I2026" s="9" t="inlineStr">
        <is>
          <t>Pet Owner / Cộng đồng nuôi cún (10đ)</t>
        </is>
      </c>
      <c r="J2026" s="62" t="n">
        <v>10</v>
      </c>
      <c r="K2026" s="9" t="inlineStr">
        <is>
          <t>Chưa rõ giống (Cần quét Bio)</t>
        </is>
      </c>
      <c r="L2026" s="62" t="n">
        <v>0</v>
      </c>
      <c r="M2026" s="62" t="n">
        <v>5</v>
      </c>
      <c r="N2026" s="9" t="inlineStr">
        <is>
          <t>Amazon link not found</t>
        </is>
      </c>
      <c r="O2026" s="62">
        <f>IF(N2026="Selling pet toys + Artificial grass/Pet toilets (TARGET)",15,IF(N2026="Selling artificial grass/pet toilets (TARGET)",10,IF(N2026="Selling pet toys",7,IF(N2026="There's an Amazon link, but no target sales.",3,0))))</f>
        <v/>
      </c>
      <c r="P2026" s="67">
        <f>H2026+J2026+L2026+M2026+O2026</f>
        <v/>
      </c>
      <c r="Q2026" s="68">
        <f>IF(OR(H2026=0,P2026&lt;30),"Tier D (Đóng băng)",IF(P2026&gt;=85,"Tier S (Kim Cương: 85-100đ)",IF(P2026&gt;=70,"Tier A (Vàng: 70-84đ)",IF(P2026&gt;=61,"Tier B+ / Cấp A (Hot Lead: 61-69đ)",IF(P2026&gt;=50,"Tier B (Bạc: 50-60đ)","Tier C (Đồng: 30-49đ)")))))</f>
        <v/>
      </c>
      <c r="R2026" s="9" t="inlineStr">
        <is>
          <t>Khay vệ sinh chung cư (Indoor Potty) + Thảm cỏ ban công (Grass Patch) + Đồ chơi</t>
        </is>
      </c>
      <c r="S2026" s="9" t="inlineStr">
        <is>
          <t>Đóng băng tương tác (&gt;30 ngày): Lưu trữ chờ kích hoạt lại, không tốn tài nguyên Sales</t>
        </is>
      </c>
    </row>
    <row r="2027">
      <c r="A2027" s="53" t="n">
        <v>363</v>
      </c>
      <c r="B2027" s="12" t="inlineStr">
        <is>
          <t>Alb's scrapbook - Online Pet Shows for Charity</t>
        </is>
      </c>
      <c r="C2027" s="54" t="inlineStr">
        <is>
          <t>https://www.facebook.com/albsscrapbook</t>
        </is>
      </c>
      <c r="D2027" s="6" t="inlineStr">
        <is>
          <t>Cần quét Bio Fanpage</t>
        </is>
      </c>
      <c r="E2027" s="53" t="inlineStr">
        <is>
          <t>18/03/2021 07:45:01</t>
        </is>
      </c>
      <c r="F2027" s="53" t="inlineStr">
        <is>
          <t>5 năm trước</t>
        </is>
      </c>
      <c r="G2027" s="55" t="n">
        <v>1825</v>
      </c>
      <c r="H2027" s="56" t="n">
        <v>0</v>
      </c>
      <c r="I2027" s="6" t="inlineStr">
        <is>
          <t>Pet Owner / Cộng đồng nuôi cún (10đ)</t>
        </is>
      </c>
      <c r="J2027" s="56" t="n">
        <v>10</v>
      </c>
      <c r="K2027" s="6" t="inlineStr">
        <is>
          <t>Chưa rõ giống (Cần quét Bio)</t>
        </is>
      </c>
      <c r="L2027" s="56" t="n">
        <v>0</v>
      </c>
      <c r="M2027" s="56" t="n">
        <v>5</v>
      </c>
      <c r="N2027" s="6" t="inlineStr">
        <is>
          <t>Amazon link not found</t>
        </is>
      </c>
      <c r="O2027" s="56">
        <f>IF(N2027="Selling pet toys + Artificial grass/Pet toilets (TARGET)",15,IF(N2027="Selling artificial grass/pet toilets (TARGET)",10,IF(N2027="Selling pet toys",7,IF(N2027="There's an Amazon link, but no target sales.",3,0))))</f>
        <v/>
      </c>
      <c r="P2027" s="65">
        <f>H2027+J2027+L2027+M2027+O2027</f>
        <v/>
      </c>
      <c r="Q2027" s="68">
        <f>IF(OR(H2027=0,P2027&lt;30),"Tier D (Đóng băng)",IF(P2027&gt;=85,"Tier S (Kim Cương: 85-100đ)",IF(P2027&gt;=70,"Tier A (Vàng: 70-84đ)",IF(P2027&gt;=61,"Tier B+ / Cấp A (Hot Lead: 61-69đ)",IF(P2027&gt;=50,"Tier B (Bạc: 50-60đ)","Tier C (Đồng: 30-49đ)")))))</f>
        <v/>
      </c>
      <c r="R2027" s="6" t="inlineStr">
        <is>
          <t>Khay vệ sinh chung cư (Indoor Potty) + Thảm cỏ ban công (Grass Patch) + Đồ chơi</t>
        </is>
      </c>
      <c r="S2027" s="6" t="inlineStr">
        <is>
          <t>Đóng băng tương tác (&gt;30 ngày): Lưu trữ chờ kích hoạt lại, không tốn tài nguyên Sales</t>
        </is>
      </c>
    </row>
    <row r="2028">
      <c r="A2028" s="59" t="n">
        <v>2523</v>
      </c>
      <c r="B2028" s="15" t="inlineStr">
        <is>
          <t>PetplusOfficial</t>
        </is>
      </c>
      <c r="C2028" s="60" t="inlineStr">
        <is>
          <t>https://www.facebook.com/profile.php?id=100071613917108</t>
        </is>
      </c>
      <c r="D2028" s="9" t="inlineStr">
        <is>
          <t>Cần quét Bio Fanpage</t>
        </is>
      </c>
      <c r="E2028" s="59" t="inlineStr">
        <is>
          <t>19/12/2020 14:35:07</t>
        </is>
      </c>
      <c r="F2028" s="59" t="inlineStr">
        <is>
          <t>5 năm trước</t>
        </is>
      </c>
      <c r="G2028" s="61" t="n">
        <v>1825</v>
      </c>
      <c r="H2028" s="62" t="n">
        <v>0</v>
      </c>
      <c r="I2028" s="9" t="inlineStr">
        <is>
          <t>Pet Owner / Cộng đồng nuôi cún (10đ)</t>
        </is>
      </c>
      <c r="J2028" s="62" t="n">
        <v>10</v>
      </c>
      <c r="K2028" s="9" t="inlineStr">
        <is>
          <t>Chưa rõ giống (Cần quét Bio)</t>
        </is>
      </c>
      <c r="L2028" s="62" t="n">
        <v>0</v>
      </c>
      <c r="M2028" s="62" t="n">
        <v>5</v>
      </c>
      <c r="N2028" s="9" t="inlineStr">
        <is>
          <t>Amazon link not found</t>
        </is>
      </c>
      <c r="O2028" s="62">
        <f>IF(N2028="Selling pet toys + Artificial grass/Pet toilets (TARGET)",15,IF(N2028="Selling artificial grass/pet toilets (TARGET)",10,IF(N2028="Selling pet toys",7,IF(N2028="There's an Amazon link, but no target sales.",3,0))))</f>
        <v/>
      </c>
      <c r="P2028" s="67">
        <f>H2028+J2028+L2028+M2028+O2028</f>
        <v/>
      </c>
      <c r="Q2028" s="68">
        <f>IF(OR(H2028=0,P2028&lt;30),"Tier D (Đóng băng)",IF(P2028&gt;=85,"Tier S (Kim Cương: 85-100đ)",IF(P2028&gt;=70,"Tier A (Vàng: 70-84đ)",IF(P2028&gt;=61,"Tier B+ / Cấp A (Hot Lead: 61-69đ)",IF(P2028&gt;=50,"Tier B (Bạc: 50-60đ)","Tier C (Đồng: 30-49đ)")))))</f>
        <v/>
      </c>
      <c r="R2028" s="9" t="inlineStr">
        <is>
          <t>Khay vệ sinh chung cư (Indoor Potty) + Thảm cỏ ban công (Grass Patch) + Đồ chơi</t>
        </is>
      </c>
      <c r="S2028" s="9" t="inlineStr">
        <is>
          <t>Đóng băng tương tác (&gt;30 ngày): Lưu trữ chờ kích hoạt lại, không tốn tài nguyên Sales</t>
        </is>
      </c>
    </row>
    <row r="2029">
      <c r="A2029" s="53" t="n">
        <v>2533</v>
      </c>
      <c r="B2029" s="12" t="inlineStr">
        <is>
          <t>Pets Home</t>
        </is>
      </c>
      <c r="C2029" s="54" t="inlineStr">
        <is>
          <t>https://www.facebook.com/PetsHomeShop.net</t>
        </is>
      </c>
      <c r="D2029" s="6" t="inlineStr">
        <is>
          <t>Cần quét Bio Fanpage</t>
        </is>
      </c>
      <c r="E2029" s="53" t="inlineStr">
        <is>
          <t>21/02/2020 02:06:26</t>
        </is>
      </c>
      <c r="F2029" s="53" t="inlineStr">
        <is>
          <t>6 năm trước</t>
        </is>
      </c>
      <c r="G2029" s="55" t="n">
        <v>2190</v>
      </c>
      <c r="H2029" s="56" t="n">
        <v>0</v>
      </c>
      <c r="I2029" s="6" t="inlineStr">
        <is>
          <t>Pet Owner / Cộng đồng nuôi cún (10đ)</t>
        </is>
      </c>
      <c r="J2029" s="56" t="n">
        <v>10</v>
      </c>
      <c r="K2029" s="6" t="inlineStr">
        <is>
          <t>Chưa rõ giống (Cần quét Bio)</t>
        </is>
      </c>
      <c r="L2029" s="56" t="n">
        <v>0</v>
      </c>
      <c r="M2029" s="56" t="n">
        <v>5</v>
      </c>
      <c r="N2029" s="6" t="inlineStr">
        <is>
          <t>Amazon link not found</t>
        </is>
      </c>
      <c r="O2029" s="56">
        <f>IF(N2029="Selling pet toys + Artificial grass/Pet toilets (TARGET)",15,IF(N2029="Selling artificial grass/pet toilets (TARGET)",10,IF(N2029="Selling pet toys",7,IF(N2029="There's an Amazon link, but no target sales.",3,0))))</f>
        <v/>
      </c>
      <c r="P2029" s="65">
        <f>H2029+J2029+L2029+M2029+O2029</f>
        <v/>
      </c>
      <c r="Q2029" s="68">
        <f>IF(OR(H2029=0,P2029&lt;30),"Tier D (Đóng băng)",IF(P2029&gt;=85,"Tier S (Kim Cương: 85-100đ)",IF(P2029&gt;=70,"Tier A (Vàng: 70-84đ)",IF(P2029&gt;=61,"Tier B+ / Cấp A (Hot Lead: 61-69đ)",IF(P2029&gt;=50,"Tier B (Bạc: 50-60đ)","Tier C (Đồng: 30-49đ)")))))</f>
        <v/>
      </c>
      <c r="R2029" s="6" t="inlineStr">
        <is>
          <t>Khay vệ sinh chung cư (Indoor Potty) + Thảm cỏ ban công (Grass Patch) + Đồ chơi</t>
        </is>
      </c>
      <c r="S2029" s="6" t="inlineStr">
        <is>
          <t>Đóng băng tương tác (&gt;30 ngày): Lưu trữ chờ kích hoạt lại, không tốn tài nguyên Sales</t>
        </is>
      </c>
    </row>
    <row r="2030">
      <c r="A2030" s="59" t="n">
        <v>2896</v>
      </c>
      <c r="B2030" s="15" t="inlineStr">
        <is>
          <t>Sierra Pet Products</t>
        </is>
      </c>
      <c r="C2030" s="60" t="inlineStr">
        <is>
          <t>https://www.facebook.com/SierraPetProducts</t>
        </is>
      </c>
      <c r="D2030" s="9" t="inlineStr">
        <is>
          <t>Cần quét Bio Fanpage</t>
        </is>
      </c>
      <c r="E2030" s="59" t="inlineStr">
        <is>
          <t>15/05/2019 10:46:00</t>
        </is>
      </c>
      <c r="F2030" s="59" t="inlineStr">
        <is>
          <t>15 Tháng 5, 2019 lúc 10:46</t>
        </is>
      </c>
      <c r="G2030" s="61" t="n">
        <v>365</v>
      </c>
      <c r="H2030" s="62" t="n">
        <v>0</v>
      </c>
      <c r="I2030" s="9" t="inlineStr">
        <is>
          <t>Pet Owner / Cộng đồng nuôi cún (10đ)</t>
        </is>
      </c>
      <c r="J2030" s="62" t="n">
        <v>10</v>
      </c>
      <c r="K2030" s="9" t="inlineStr">
        <is>
          <t>Chưa rõ giống (Cần quét Bio)</t>
        </is>
      </c>
      <c r="L2030" s="62" t="n">
        <v>0</v>
      </c>
      <c r="M2030" s="62" t="n">
        <v>5</v>
      </c>
      <c r="N2030" s="9" t="inlineStr">
        <is>
          <t>Amazon link not found</t>
        </is>
      </c>
      <c r="O2030" s="62">
        <f>IF(N2030="Selling pet toys + Artificial grass/Pet toilets (TARGET)",15,IF(N2030="Selling artificial grass/pet toilets (TARGET)",10,IF(N2030="Selling pet toys",7,IF(N2030="There's an Amazon link, but no target sales.",3,0))))</f>
        <v/>
      </c>
      <c r="P2030" s="67">
        <f>H2030+J2030+L2030+M2030+O2030</f>
        <v/>
      </c>
      <c r="Q2030" s="68">
        <f>IF(OR(H2030=0,P2030&lt;30),"Tier D (Đóng băng)",IF(P2030&gt;=85,"Tier S (Kim Cương: 85-100đ)",IF(P2030&gt;=70,"Tier A (Vàng: 70-84đ)",IF(P2030&gt;=61,"Tier B+ / Cấp A (Hot Lead: 61-69đ)",IF(P2030&gt;=50,"Tier B (Bạc: 50-60đ)","Tier C (Đồng: 30-49đ)")))))</f>
        <v/>
      </c>
      <c r="R2030" s="9" t="inlineStr">
        <is>
          <t>Khay vệ sinh chung cư (Indoor Potty) + Thảm cỏ ban công (Grass Patch) + Đồ chơi</t>
        </is>
      </c>
      <c r="S2030" s="9" t="inlineStr">
        <is>
          <t>Đóng băng tương tác (&gt;30 ngày): Lưu trữ chờ kích hoạt lại, không tốn tài nguyên Sales</t>
        </is>
      </c>
    </row>
    <row r="2031">
      <c r="A2031" s="53" t="n">
        <v>303</v>
      </c>
      <c r="B2031" s="12" t="inlineStr">
        <is>
          <t>3 Eye Blind Rescue</t>
        </is>
      </c>
      <c r="C2031" s="54" t="inlineStr">
        <is>
          <t>https://www.facebook.com/3eyeblindpetrescue</t>
        </is>
      </c>
      <c r="D2031" s="6" t="inlineStr">
        <is>
          <t>Cần quét Bio Fanpage</t>
        </is>
      </c>
      <c r="E2031" s="53" t="inlineStr">
        <is>
          <t>05/09/2026 21:26:50</t>
        </is>
      </c>
      <c r="F2031" s="53" t="inlineStr">
        <is>
          <t>1 tháng trước</t>
        </is>
      </c>
      <c r="G2031" s="55" t="n">
        <v>30</v>
      </c>
      <c r="H2031" s="56" t="n">
        <v>0</v>
      </c>
      <c r="I2031" s="6" t="inlineStr">
        <is>
          <t>Pet Rescue / Trạm cứu trợ (14-16đ)</t>
        </is>
      </c>
      <c r="J2031" s="56" t="n">
        <v>14</v>
      </c>
      <c r="K2031" s="6" t="inlineStr">
        <is>
          <t>Chưa rõ giống (Cần quét Bio)</t>
        </is>
      </c>
      <c r="L2031" s="56" t="n">
        <v>0</v>
      </c>
      <c r="M2031" s="56" t="n">
        <v>0</v>
      </c>
      <c r="N2031" s="6" t="inlineStr">
        <is>
          <t>Amazon link not found</t>
        </is>
      </c>
      <c r="O2031" s="56">
        <f>IF(N2031="Selling pet toys + Artificial grass/Pet toilets (TARGET)",15,IF(N2031="Selling artificial grass/pet toilets (TARGET)",10,IF(N2031="Selling pet toys",7,IF(N2031="There's an Amazon link, but no target sales.",3,0))))</f>
        <v/>
      </c>
      <c r="P2031" s="65">
        <f>H2031+J2031+L2031+M2031+O2031</f>
        <v/>
      </c>
      <c r="Q2031" s="68">
        <f>IF(OR(H2031=0,P2031&lt;30),"Tier D (Đóng băng)",IF(P2031&gt;=85,"Tier S (Kim Cương: 85-100đ)",IF(P2031&gt;=70,"Tier A (Vàng: 70-84đ)",IF(P2031&gt;=61,"Tier B+ / Cấp A (Hot Lead: 61-69đ)",IF(P2031&gt;=50,"Tier B (Bạc: 50-60đ)","Tier C (Đồng: 30-49đ)")))))</f>
        <v/>
      </c>
      <c r="R2031" s="6" t="inlineStr">
        <is>
          <t>Nhà vệ sinh &amp; Tã lót (Potty Tray / Pee Pads) + Cỏ nhân tạo lót chuồng</t>
        </is>
      </c>
      <c r="S2031" s="6" t="inlineStr">
        <is>
          <t>Đóng băng tương tác (&gt;30 ngày): Lưu trữ chờ kích hoạt lại, không tốn tài nguyên Sales</t>
        </is>
      </c>
    </row>
    <row r="2032">
      <c r="A2032" s="59" t="n">
        <v>2411</v>
      </c>
      <c r="B2032" s="15" t="inlineStr">
        <is>
          <t>Paws 52 Rescue</t>
        </is>
      </c>
      <c r="C2032" s="60" t="inlineStr">
        <is>
          <t>https://www.facebook.com/paws52</t>
        </is>
      </c>
      <c r="D2032" s="9" t="inlineStr">
        <is>
          <t>Cần quét Bio Fanpage</t>
        </is>
      </c>
      <c r="E2032" s="59" t="inlineStr">
        <is>
          <t>22/08/2026 08:54:29</t>
        </is>
      </c>
      <c r="F2032" s="59" t="inlineStr">
        <is>
          <t>1 tháng trước</t>
        </is>
      </c>
      <c r="G2032" s="61" t="n">
        <v>30</v>
      </c>
      <c r="H2032" s="62" t="n">
        <v>0</v>
      </c>
      <c r="I2032" s="9" t="inlineStr">
        <is>
          <t>Pet Rescue / Trạm cứu trợ (14-16đ)</t>
        </is>
      </c>
      <c r="J2032" s="62" t="n">
        <v>14</v>
      </c>
      <c r="K2032" s="9" t="inlineStr">
        <is>
          <t>Chưa rõ giống (Cần quét Bio)</t>
        </is>
      </c>
      <c r="L2032" s="62" t="n">
        <v>0</v>
      </c>
      <c r="M2032" s="62" t="n">
        <v>0</v>
      </c>
      <c r="N2032" s="9" t="inlineStr">
        <is>
          <t>Amazon link not found</t>
        </is>
      </c>
      <c r="O2032" s="62">
        <f>IF(N2032="Selling pet toys + Artificial grass/Pet toilets (TARGET)",15,IF(N2032="Selling artificial grass/pet toilets (TARGET)",10,IF(N2032="Selling pet toys",7,IF(N2032="There's an Amazon link, but no target sales.",3,0))))</f>
        <v/>
      </c>
      <c r="P2032" s="67">
        <f>H2032+J2032+L2032+M2032+O2032</f>
        <v/>
      </c>
      <c r="Q2032" s="68">
        <f>IF(OR(H2032=0,P2032&lt;30),"Tier D (Đóng băng)",IF(P2032&gt;=85,"Tier S (Kim Cương: 85-100đ)",IF(P2032&gt;=70,"Tier A (Vàng: 70-84đ)",IF(P2032&gt;=61,"Tier B+ / Cấp A (Hot Lead: 61-69đ)",IF(P2032&gt;=50,"Tier B (Bạc: 50-60đ)","Tier C (Đồng: 30-49đ)")))))</f>
        <v/>
      </c>
      <c r="R2032" s="9" t="inlineStr">
        <is>
          <t>Nhà vệ sinh &amp; Tã lót (Potty Tray / Pee Pads) + Cỏ nhân tạo lót chuồng</t>
        </is>
      </c>
      <c r="S2032" s="9" t="inlineStr">
        <is>
          <t>Đóng băng tương tác (&gt;30 ngày): Lưu trữ chờ kích hoạt lại, không tốn tài nguyên Sales</t>
        </is>
      </c>
    </row>
    <row r="2033">
      <c r="A2033" s="53" t="n">
        <v>2196</v>
      </c>
      <c r="B2033" s="12" t="inlineStr">
        <is>
          <t>Misfit Rescue</t>
        </is>
      </c>
      <c r="C2033" s="54" t="inlineStr">
        <is>
          <t>https://www.facebook.com/profile.php?id=100064921830767</t>
        </is>
      </c>
      <c r="D2033" s="6" t="inlineStr">
        <is>
          <t>Cần quét Bio Fanpage</t>
        </is>
      </c>
      <c r="E2033" s="53" t="inlineStr">
        <is>
          <t>16/08/2026 22:21:53</t>
        </is>
      </c>
      <c r="F2033" s="53" t="inlineStr">
        <is>
          <t>1 tháng trước</t>
        </is>
      </c>
      <c r="G2033" s="55" t="n">
        <v>30</v>
      </c>
      <c r="H2033" s="56" t="n">
        <v>0</v>
      </c>
      <c r="I2033" s="6" t="inlineStr">
        <is>
          <t>Pet Rescue / Trạm cứu trợ (14-16đ)</t>
        </is>
      </c>
      <c r="J2033" s="56" t="n">
        <v>14</v>
      </c>
      <c r="K2033" s="6" t="inlineStr">
        <is>
          <t>Chưa rõ giống (Cần quét Bio)</t>
        </is>
      </c>
      <c r="L2033" s="56" t="n">
        <v>0</v>
      </c>
      <c r="M2033" s="56" t="n">
        <v>0</v>
      </c>
      <c r="N2033" s="6" t="inlineStr">
        <is>
          <t>Amazon link not found</t>
        </is>
      </c>
      <c r="O2033" s="56">
        <f>IF(N2033="Selling pet toys + Artificial grass/Pet toilets (TARGET)",15,IF(N2033="Selling artificial grass/pet toilets (TARGET)",10,IF(N2033="Selling pet toys",7,IF(N2033="There's an Amazon link, but no target sales.",3,0))))</f>
        <v/>
      </c>
      <c r="P2033" s="65">
        <f>H2033+J2033+L2033+M2033+O2033</f>
        <v/>
      </c>
      <c r="Q2033" s="68">
        <f>IF(OR(H2033=0,P2033&lt;30),"Tier D (Đóng băng)",IF(P2033&gt;=85,"Tier S (Kim Cương: 85-100đ)",IF(P2033&gt;=70,"Tier A (Vàng: 70-84đ)",IF(P2033&gt;=61,"Tier B+ / Cấp A (Hot Lead: 61-69đ)",IF(P2033&gt;=50,"Tier B (Bạc: 50-60đ)","Tier C (Đồng: 30-49đ)")))))</f>
        <v/>
      </c>
      <c r="R2033" s="6" t="inlineStr">
        <is>
          <t>Nhà vệ sinh &amp; Tã lót (Potty Tray / Pee Pads) + Cỏ nhân tạo lót chuồng</t>
        </is>
      </c>
      <c r="S2033" s="6" t="inlineStr">
        <is>
          <t>Đóng băng tương tác (&gt;30 ngày): Lưu trữ chờ kích hoạt lại, không tốn tài nguyên Sales</t>
        </is>
      </c>
    </row>
    <row r="2034">
      <c r="A2034" s="59" t="n">
        <v>2409</v>
      </c>
      <c r="B2034" s="15" t="inlineStr">
        <is>
          <t>Pawprints to your Heart Rescue Site</t>
        </is>
      </c>
      <c r="C2034" s="60" t="inlineStr">
        <is>
          <t>https://www.facebook.com/profile.php?id=100064759925780</t>
        </is>
      </c>
      <c r="D2034" s="9" t="inlineStr">
        <is>
          <t>Cần quét Bio Fanpage</t>
        </is>
      </c>
      <c r="E2034" s="59" t="inlineStr">
        <is>
          <t>18/03/2026 09:08:07</t>
        </is>
      </c>
      <c r="F2034" s="59" t="inlineStr">
        <is>
          <t>6 tháng trước</t>
        </is>
      </c>
      <c r="G2034" s="61" t="n">
        <v>180</v>
      </c>
      <c r="H2034" s="62" t="n">
        <v>0</v>
      </c>
      <c r="I2034" s="9" t="inlineStr">
        <is>
          <t>Pet Rescue / Trạm cứu trợ (14-16đ)</t>
        </is>
      </c>
      <c r="J2034" s="62" t="n">
        <v>14</v>
      </c>
      <c r="K2034" s="9" t="inlineStr">
        <is>
          <t>Chưa rõ giống (Cần quét Bio)</t>
        </is>
      </c>
      <c r="L2034" s="62" t="n">
        <v>0</v>
      </c>
      <c r="M2034" s="62" t="n">
        <v>0</v>
      </c>
      <c r="N2034" s="9" t="inlineStr">
        <is>
          <t>Amazon link not found</t>
        </is>
      </c>
      <c r="O2034" s="62">
        <f>IF(N2034="Selling pet toys + Artificial grass/Pet toilets (TARGET)",15,IF(N2034="Selling artificial grass/pet toilets (TARGET)",10,IF(N2034="Selling pet toys",7,IF(N2034="There's an Amazon link, but no target sales.",3,0))))</f>
        <v/>
      </c>
      <c r="P2034" s="67">
        <f>H2034+J2034+L2034+M2034+O2034</f>
        <v/>
      </c>
      <c r="Q2034" s="68">
        <f>IF(OR(H2034=0,P2034&lt;30),"Tier D (Đóng băng)",IF(P2034&gt;=85,"Tier S (Kim Cương: 85-100đ)",IF(P2034&gt;=70,"Tier A (Vàng: 70-84đ)",IF(P2034&gt;=61,"Tier B+ / Cấp A (Hot Lead: 61-69đ)",IF(P2034&gt;=50,"Tier B (Bạc: 50-60đ)","Tier C (Đồng: 30-49đ)")))))</f>
        <v/>
      </c>
      <c r="R2034" s="9" t="inlineStr">
        <is>
          <t>Nhà vệ sinh &amp; Tã lót (Potty Tray / Pee Pads) + Cỏ nhân tạo lót chuồng</t>
        </is>
      </c>
      <c r="S2034" s="9" t="inlineStr">
        <is>
          <t>Đóng băng tương tác (&gt;30 ngày): Lưu trữ chờ kích hoạt lại, không tốn tài nguyên Sales</t>
        </is>
      </c>
    </row>
    <row r="2035">
      <c r="A2035" s="53" t="n">
        <v>3376</v>
      </c>
      <c r="B2035" s="12" t="inlineStr">
        <is>
          <t>Wayward Souls Rescue</t>
        </is>
      </c>
      <c r="C2035" s="54" t="inlineStr">
        <is>
          <t>https://www.facebook.com/profile.php?id=61552483175673</t>
        </is>
      </c>
      <c r="D2035" s="6" t="inlineStr">
        <is>
          <t>Cần quét Bio Fanpage</t>
        </is>
      </c>
      <c r="E2035" s="53" t="inlineStr">
        <is>
          <t>31/12/2025 11:56:24</t>
        </is>
      </c>
      <c r="F2035" s="53" t="inlineStr">
        <is>
          <t>9 tháng trước</t>
        </is>
      </c>
      <c r="G2035" s="55" t="n">
        <v>270</v>
      </c>
      <c r="H2035" s="56" t="n">
        <v>0</v>
      </c>
      <c r="I2035" s="6" t="inlineStr">
        <is>
          <t>Pet Rescue / Trạm cứu trợ (14-16đ)</t>
        </is>
      </c>
      <c r="J2035" s="56" t="n">
        <v>14</v>
      </c>
      <c r="K2035" s="6" t="inlineStr">
        <is>
          <t>Chưa rõ giống (Cần quét Bio)</t>
        </is>
      </c>
      <c r="L2035" s="56" t="n">
        <v>0</v>
      </c>
      <c r="M2035" s="56" t="n">
        <v>0</v>
      </c>
      <c r="N2035" s="6" t="inlineStr">
        <is>
          <t>Amazon link not found</t>
        </is>
      </c>
      <c r="O2035" s="56">
        <f>IF(N2035="Selling pet toys + Artificial grass/Pet toilets (TARGET)",15,IF(N2035="Selling artificial grass/pet toilets (TARGET)",10,IF(N2035="Selling pet toys",7,IF(N2035="There's an Amazon link, but no target sales.",3,0))))</f>
        <v/>
      </c>
      <c r="P2035" s="65">
        <f>H2035+J2035+L2035+M2035+O2035</f>
        <v/>
      </c>
      <c r="Q2035" s="68">
        <f>IF(OR(H2035=0,P2035&lt;30),"Tier D (Đóng băng)",IF(P2035&gt;=85,"Tier S (Kim Cương: 85-100đ)",IF(P2035&gt;=70,"Tier A (Vàng: 70-84đ)",IF(P2035&gt;=61,"Tier B+ / Cấp A (Hot Lead: 61-69đ)",IF(P2035&gt;=50,"Tier B (Bạc: 50-60đ)","Tier C (Đồng: 30-49đ)")))))</f>
        <v/>
      </c>
      <c r="R2035" s="6" t="inlineStr">
        <is>
          <t>Nhà vệ sinh &amp; Tã lót (Potty Tray / Pee Pads) + Cỏ nhân tạo lót chuồng</t>
        </is>
      </c>
      <c r="S2035" s="6" t="inlineStr">
        <is>
          <t>Đóng băng tương tác (&gt;30 ngày): Lưu trữ chờ kích hoạt lại, không tốn tài nguyên Sales</t>
        </is>
      </c>
    </row>
    <row r="2036">
      <c r="A2036" s="59" t="n">
        <v>1687</v>
      </c>
      <c r="B2036" s="15" t="inlineStr">
        <is>
          <t>Hot Mess Pooches Rescue and Sanctuary</t>
        </is>
      </c>
      <c r="C2036" s="60" t="inlineStr">
        <is>
          <t>https://www.facebook.com/HotMessPooches</t>
        </is>
      </c>
      <c r="D2036" s="9" t="inlineStr">
        <is>
          <t>Cần quét Bio Fanpage</t>
        </is>
      </c>
      <c r="E2036" s="59" t="inlineStr">
        <is>
          <t>04/11/2025 02:10:12</t>
        </is>
      </c>
      <c r="F2036" s="59" t="inlineStr">
        <is>
          <t>11 tháng trước</t>
        </is>
      </c>
      <c r="G2036" s="61" t="n">
        <v>330</v>
      </c>
      <c r="H2036" s="62" t="n">
        <v>0</v>
      </c>
      <c r="I2036" s="9" t="inlineStr">
        <is>
          <t>Pet Rescue / Trạm cứu trợ (14-16đ)</t>
        </is>
      </c>
      <c r="J2036" s="62" t="n">
        <v>14</v>
      </c>
      <c r="K2036" s="9" t="inlineStr">
        <is>
          <t>Chưa rõ giống (Cần quét Bio)</t>
        </is>
      </c>
      <c r="L2036" s="62" t="n">
        <v>0</v>
      </c>
      <c r="M2036" s="62" t="n">
        <v>0</v>
      </c>
      <c r="N2036" s="9" t="inlineStr">
        <is>
          <t>Amazon link not found</t>
        </is>
      </c>
      <c r="O2036" s="62">
        <f>IF(N2036="Selling pet toys + Artificial grass/Pet toilets (TARGET)",15,IF(N2036="Selling artificial grass/pet toilets (TARGET)",10,IF(N2036="Selling pet toys",7,IF(N2036="There's an Amazon link, but no target sales.",3,0))))</f>
        <v/>
      </c>
      <c r="P2036" s="67">
        <f>H2036+J2036+L2036+M2036+O2036</f>
        <v/>
      </c>
      <c r="Q2036" s="68">
        <f>IF(OR(H2036=0,P2036&lt;30),"Tier D (Đóng băng)",IF(P2036&gt;=85,"Tier S (Kim Cương: 85-100đ)",IF(P2036&gt;=70,"Tier A (Vàng: 70-84đ)",IF(P2036&gt;=61,"Tier B+ / Cấp A (Hot Lead: 61-69đ)",IF(P2036&gt;=50,"Tier B (Bạc: 50-60đ)","Tier C (Đồng: 30-49đ)")))))</f>
        <v/>
      </c>
      <c r="R2036" s="9" t="inlineStr">
        <is>
          <t>Nhà vệ sinh &amp; Tã lót (Potty Tray / Pee Pads) + Cỏ nhân tạo lót chuồng</t>
        </is>
      </c>
      <c r="S2036" s="9" t="inlineStr">
        <is>
          <t>Đóng băng tương tác (&gt;30 ngày): Lưu trữ chờ kích hoạt lại, không tốn tài nguyên Sales</t>
        </is>
      </c>
    </row>
    <row r="2037">
      <c r="A2037" s="53" t="n">
        <v>1462</v>
      </c>
      <c r="B2037" s="12" t="inlineStr">
        <is>
          <t>Friends of Freddie Pet Rescue</t>
        </is>
      </c>
      <c r="C2037" s="54" t="inlineStr">
        <is>
          <t>https://www.facebook.com/friendsoffreddiepetrescue</t>
        </is>
      </c>
      <c r="D2037" s="6" t="inlineStr">
        <is>
          <t>Cần quét Bio Fanpage</t>
        </is>
      </c>
      <c r="E2037" s="53" t="inlineStr">
        <is>
          <t>19/10/2025 17:50:27</t>
        </is>
      </c>
      <c r="F2037" s="53" t="inlineStr">
        <is>
          <t>11 tháng trước</t>
        </is>
      </c>
      <c r="G2037" s="55" t="n">
        <v>330</v>
      </c>
      <c r="H2037" s="56" t="n">
        <v>0</v>
      </c>
      <c r="I2037" s="6" t="inlineStr">
        <is>
          <t>Pet Rescue / Trạm cứu trợ (14-16đ)</t>
        </is>
      </c>
      <c r="J2037" s="56" t="n">
        <v>14</v>
      </c>
      <c r="K2037" s="6" t="inlineStr">
        <is>
          <t>Chưa rõ giống (Cần quét Bio)</t>
        </is>
      </c>
      <c r="L2037" s="56" t="n">
        <v>0</v>
      </c>
      <c r="M2037" s="56" t="n">
        <v>0</v>
      </c>
      <c r="N2037" s="6" t="inlineStr">
        <is>
          <t>Amazon link not found</t>
        </is>
      </c>
      <c r="O2037" s="56">
        <f>IF(N2037="Selling pet toys + Artificial grass/Pet toilets (TARGET)",15,IF(N2037="Selling artificial grass/pet toilets (TARGET)",10,IF(N2037="Selling pet toys",7,IF(N2037="There's an Amazon link, but no target sales.",3,0))))</f>
        <v/>
      </c>
      <c r="P2037" s="65">
        <f>H2037+J2037+L2037+M2037+O2037</f>
        <v/>
      </c>
      <c r="Q2037" s="68">
        <f>IF(OR(H2037=0,P2037&lt;30),"Tier D (Đóng băng)",IF(P2037&gt;=85,"Tier S (Kim Cương: 85-100đ)",IF(P2037&gt;=70,"Tier A (Vàng: 70-84đ)",IF(P2037&gt;=61,"Tier B+ / Cấp A (Hot Lead: 61-69đ)",IF(P2037&gt;=50,"Tier B (Bạc: 50-60đ)","Tier C (Đồng: 30-49đ)")))))</f>
        <v/>
      </c>
      <c r="R2037" s="6" t="inlineStr">
        <is>
          <t>Nhà vệ sinh &amp; Tã lót (Potty Tray / Pee Pads) + Cỏ nhân tạo lót chuồng</t>
        </is>
      </c>
      <c r="S2037" s="6" t="inlineStr">
        <is>
          <t>Đóng băng tương tác (&gt;30 ngày): Lưu trữ chờ kích hoạt lại, không tốn tài nguyên Sales</t>
        </is>
      </c>
    </row>
    <row r="2038">
      <c r="A2038" s="59" t="n">
        <v>2835</v>
      </c>
      <c r="B2038" s="15" t="inlineStr">
        <is>
          <t>Saving Pets One at a Time</t>
        </is>
      </c>
      <c r="C2038" s="60" t="inlineStr">
        <is>
          <t>https://www.facebook.com/spotwa</t>
        </is>
      </c>
      <c r="D2038" s="9" t="inlineStr">
        <is>
          <t>Cần quét Bio Fanpage</t>
        </is>
      </c>
      <c r="E2038" s="59" t="inlineStr">
        <is>
          <t>19/02/2025 02:16:40</t>
        </is>
      </c>
      <c r="F2038" s="59" t="inlineStr">
        <is>
          <t>1 năm trước</t>
        </is>
      </c>
      <c r="G2038" s="61" t="n">
        <v>365</v>
      </c>
      <c r="H2038" s="62" t="n">
        <v>0</v>
      </c>
      <c r="I2038" s="9" t="inlineStr">
        <is>
          <t>Pet Rescue / Trạm cứu trợ (14-16đ)</t>
        </is>
      </c>
      <c r="J2038" s="62" t="n">
        <v>14</v>
      </c>
      <c r="K2038" s="9" t="inlineStr">
        <is>
          <t>Chưa rõ giống (Cần quét Bio)</t>
        </is>
      </c>
      <c r="L2038" s="62" t="n">
        <v>0</v>
      </c>
      <c r="M2038" s="62" t="n">
        <v>0</v>
      </c>
      <c r="N2038" s="9" t="inlineStr">
        <is>
          <t>Amazon link not found</t>
        </is>
      </c>
      <c r="O2038" s="62">
        <f>IF(N2038="Selling pet toys + Artificial grass/Pet toilets (TARGET)",15,IF(N2038="Selling artificial grass/pet toilets (TARGET)",10,IF(N2038="Selling pet toys",7,IF(N2038="There's an Amazon link, but no target sales.",3,0))))</f>
        <v/>
      </c>
      <c r="P2038" s="67">
        <f>H2038+J2038+L2038+M2038+O2038</f>
        <v/>
      </c>
      <c r="Q2038" s="68">
        <f>IF(OR(H2038=0,P2038&lt;30),"Tier D (Đóng băng)",IF(P2038&gt;=85,"Tier S (Kim Cương: 85-100đ)",IF(P2038&gt;=70,"Tier A (Vàng: 70-84đ)",IF(P2038&gt;=61,"Tier B+ / Cấp A (Hot Lead: 61-69đ)",IF(P2038&gt;=50,"Tier B (Bạc: 50-60đ)","Tier C (Đồng: 30-49đ)")))))</f>
        <v/>
      </c>
      <c r="R2038" s="9" t="inlineStr">
        <is>
          <t>Nhà vệ sinh &amp; Tã lót (Potty Tray / Pee Pads) + Cỏ nhân tạo lót chuồng</t>
        </is>
      </c>
      <c r="S2038" s="9" t="inlineStr">
        <is>
          <t>Đóng băng tương tác (&gt;30 ngày): Lưu trữ chờ kích hoạt lại, không tốn tài nguyên Sales</t>
        </is>
      </c>
    </row>
    <row r="2039">
      <c r="A2039" s="53" t="n">
        <v>2862</v>
      </c>
      <c r="B2039" s="12" t="inlineStr">
        <is>
          <t>Serenity LGD Rescue 501c3</t>
        </is>
      </c>
      <c r="C2039" s="54" t="inlineStr">
        <is>
          <t>https://www.facebook.com/serenitylgdrescue</t>
        </is>
      </c>
      <c r="D2039" s="6" t="inlineStr">
        <is>
          <t>Cần quét Bio Fanpage</t>
        </is>
      </c>
      <c r="E2039" s="53" t="inlineStr">
        <is>
          <t>21/10/2024 22:14:22</t>
        </is>
      </c>
      <c r="F2039" s="53" t="inlineStr">
        <is>
          <t>1 năm trước</t>
        </is>
      </c>
      <c r="G2039" s="55" t="n">
        <v>365</v>
      </c>
      <c r="H2039" s="56" t="n">
        <v>0</v>
      </c>
      <c r="I2039" s="6" t="inlineStr">
        <is>
          <t>Pet Rescue / Trạm cứu trợ (14-16đ)</t>
        </is>
      </c>
      <c r="J2039" s="56" t="n">
        <v>14</v>
      </c>
      <c r="K2039" s="6" t="inlineStr">
        <is>
          <t>Chưa rõ giống (Cần quét Bio)</t>
        </is>
      </c>
      <c r="L2039" s="56" t="n">
        <v>0</v>
      </c>
      <c r="M2039" s="56" t="n">
        <v>0</v>
      </c>
      <c r="N2039" s="6" t="inlineStr">
        <is>
          <t>Amazon link not found</t>
        </is>
      </c>
      <c r="O2039" s="56">
        <f>IF(N2039="Selling pet toys + Artificial grass/Pet toilets (TARGET)",15,IF(N2039="Selling artificial grass/pet toilets (TARGET)",10,IF(N2039="Selling pet toys",7,IF(N2039="There's an Amazon link, but no target sales.",3,0))))</f>
        <v/>
      </c>
      <c r="P2039" s="65">
        <f>H2039+J2039+L2039+M2039+O2039</f>
        <v/>
      </c>
      <c r="Q2039" s="68">
        <f>IF(OR(H2039=0,P2039&lt;30),"Tier D (Đóng băng)",IF(P2039&gt;=85,"Tier S (Kim Cương: 85-100đ)",IF(P2039&gt;=70,"Tier A (Vàng: 70-84đ)",IF(P2039&gt;=61,"Tier B+ / Cấp A (Hot Lead: 61-69đ)",IF(P2039&gt;=50,"Tier B (Bạc: 50-60đ)","Tier C (Đồng: 30-49đ)")))))</f>
        <v/>
      </c>
      <c r="R2039" s="6" t="inlineStr">
        <is>
          <t>Nhà vệ sinh &amp; Tã lót (Potty Tray / Pee Pads) + Cỏ nhân tạo lót chuồng</t>
        </is>
      </c>
      <c r="S2039" s="6" t="inlineStr">
        <is>
          <t>Đóng băng tương tác (&gt;30 ngày): Lưu trữ chờ kích hoạt lại, không tốn tài nguyên Sales</t>
        </is>
      </c>
    </row>
    <row r="2040">
      <c r="A2040" s="59" t="n">
        <v>2807</v>
      </c>
      <c r="B2040" s="15" t="inlineStr">
        <is>
          <t>Saddle Mountain Dog Rescue</t>
        </is>
      </c>
      <c r="C2040" s="60" t="inlineStr">
        <is>
          <t>https://www.facebook.com/profile.php?id=100071517606678</t>
        </is>
      </c>
      <c r="D2040" s="9" t="inlineStr">
        <is>
          <t>Cần quét Bio Fanpage</t>
        </is>
      </c>
      <c r="E2040" s="59" t="inlineStr">
        <is>
          <t>01/04/2024 11:00:58</t>
        </is>
      </c>
      <c r="F2040" s="59" t="inlineStr">
        <is>
          <t>2 năm trước</t>
        </is>
      </c>
      <c r="G2040" s="61" t="n">
        <v>730</v>
      </c>
      <c r="H2040" s="62" t="n">
        <v>0</v>
      </c>
      <c r="I2040" s="9" t="inlineStr">
        <is>
          <t>Pet Rescue / Trạm cứu trợ (14-16đ)</t>
        </is>
      </c>
      <c r="J2040" s="62" t="n">
        <v>14</v>
      </c>
      <c r="K2040" s="9" t="inlineStr">
        <is>
          <t>Chưa rõ giống (Cần quét Bio)</t>
        </is>
      </c>
      <c r="L2040" s="62" t="n">
        <v>0</v>
      </c>
      <c r="M2040" s="62" t="n">
        <v>0</v>
      </c>
      <c r="N2040" s="9" t="inlineStr">
        <is>
          <t>Amazon link not found</t>
        </is>
      </c>
      <c r="O2040" s="62">
        <f>IF(N2040="Selling pet toys + Artificial grass/Pet toilets (TARGET)",15,IF(N2040="Selling artificial grass/pet toilets (TARGET)",10,IF(N2040="Selling pet toys",7,IF(N2040="There's an Amazon link, but no target sales.",3,0))))</f>
        <v/>
      </c>
      <c r="P2040" s="67">
        <f>H2040+J2040+L2040+M2040+O2040</f>
        <v/>
      </c>
      <c r="Q2040" s="68">
        <f>IF(OR(H2040=0,P2040&lt;30),"Tier D (Đóng băng)",IF(P2040&gt;=85,"Tier S (Kim Cương: 85-100đ)",IF(P2040&gt;=70,"Tier A (Vàng: 70-84đ)",IF(P2040&gt;=61,"Tier B+ / Cấp A (Hot Lead: 61-69đ)",IF(P2040&gt;=50,"Tier B (Bạc: 50-60đ)","Tier C (Đồng: 30-49đ)")))))</f>
        <v/>
      </c>
      <c r="R2040" s="9" t="inlineStr">
        <is>
          <t>Nhà vệ sinh &amp; Tã lót (Potty Tray / Pee Pads) + Cỏ nhân tạo lót chuồng</t>
        </is>
      </c>
      <c r="S2040" s="9" t="inlineStr">
        <is>
          <t>Đóng băng tương tác (&gt;30 ngày): Lưu trữ chờ kích hoạt lại, không tốn tài nguyên Sales</t>
        </is>
      </c>
    </row>
    <row r="2041">
      <c r="A2041" s="53" t="n">
        <v>1464</v>
      </c>
      <c r="B2041" s="12" t="inlineStr">
        <is>
          <t>Friends of Huron animal shelter</t>
        </is>
      </c>
      <c r="C2041" s="54" t="inlineStr">
        <is>
          <t>https://www.facebook.com/profile.php?id=61555201373662</t>
        </is>
      </c>
      <c r="D2041" s="6" t="inlineStr">
        <is>
          <t>Cần quét Bio Fanpage</t>
        </is>
      </c>
      <c r="E2041" s="53" t="inlineStr">
        <is>
          <t>23/02/2024 12:42:59</t>
        </is>
      </c>
      <c r="F2041" s="53" t="inlineStr">
        <is>
          <t>2 năm trước</t>
        </is>
      </c>
      <c r="G2041" s="55" t="n">
        <v>730</v>
      </c>
      <c r="H2041" s="56" t="n">
        <v>0</v>
      </c>
      <c r="I2041" s="6" t="inlineStr">
        <is>
          <t>Pet Rescue / Trạm cứu trợ (14-16đ)</t>
        </is>
      </c>
      <c r="J2041" s="56" t="n">
        <v>14</v>
      </c>
      <c r="K2041" s="6" t="inlineStr">
        <is>
          <t>Chưa rõ giống (Cần quét Bio)</t>
        </is>
      </c>
      <c r="L2041" s="56" t="n">
        <v>0</v>
      </c>
      <c r="M2041" s="56" t="n">
        <v>0</v>
      </c>
      <c r="N2041" s="6" t="inlineStr">
        <is>
          <t>Amazon link not found</t>
        </is>
      </c>
      <c r="O2041" s="56">
        <f>IF(N2041="Selling pet toys + Artificial grass/Pet toilets (TARGET)",15,IF(N2041="Selling artificial grass/pet toilets (TARGET)",10,IF(N2041="Selling pet toys",7,IF(N2041="There's an Amazon link, but no target sales.",3,0))))</f>
        <v/>
      </c>
      <c r="P2041" s="65">
        <f>H2041+J2041+L2041+M2041+O2041</f>
        <v/>
      </c>
      <c r="Q2041" s="68">
        <f>IF(OR(H2041=0,P2041&lt;30),"Tier D (Đóng băng)",IF(P2041&gt;=85,"Tier S (Kim Cương: 85-100đ)",IF(P2041&gt;=70,"Tier A (Vàng: 70-84đ)",IF(P2041&gt;=61,"Tier B+ / Cấp A (Hot Lead: 61-69đ)",IF(P2041&gt;=50,"Tier B (Bạc: 50-60đ)","Tier C (Đồng: 30-49đ)")))))</f>
        <v/>
      </c>
      <c r="R2041" s="6" t="inlineStr">
        <is>
          <t>Nhà vệ sinh &amp; Tã lót (Potty Tray / Pee Pads) + Cỏ nhân tạo lót chuồng</t>
        </is>
      </c>
      <c r="S2041" s="6" t="inlineStr">
        <is>
          <t>Đóng băng tương tác (&gt;30 ngày): Lưu trữ chờ kích hoạt lại, không tốn tài nguyên Sales</t>
        </is>
      </c>
    </row>
    <row r="2042">
      <c r="A2042" s="59" t="n">
        <v>2954</v>
      </c>
      <c r="B2042" s="15" t="inlineStr">
        <is>
          <t>Southern Herding Dog Rescue</t>
        </is>
      </c>
      <c r="C2042" s="60" t="inlineStr">
        <is>
          <t>https://www.facebook.com/profile.php?id=100080093738512</t>
        </is>
      </c>
      <c r="D2042" s="9" t="inlineStr">
        <is>
          <t>Cần quét Bio Fanpage</t>
        </is>
      </c>
      <c r="E2042" s="59" t="inlineStr">
        <is>
          <t>16/12/2023 20:35:10</t>
        </is>
      </c>
      <c r="F2042" s="59" t="inlineStr">
        <is>
          <t>2 năm trước</t>
        </is>
      </c>
      <c r="G2042" s="61" t="n">
        <v>730</v>
      </c>
      <c r="H2042" s="62" t="n">
        <v>0</v>
      </c>
      <c r="I2042" s="9" t="inlineStr">
        <is>
          <t>Pet Rescue / Trạm cứu trợ (14-16đ)</t>
        </is>
      </c>
      <c r="J2042" s="62" t="n">
        <v>14</v>
      </c>
      <c r="K2042" s="9" t="inlineStr">
        <is>
          <t>Chưa rõ giống (Cần quét Bio)</t>
        </is>
      </c>
      <c r="L2042" s="62" t="n">
        <v>0</v>
      </c>
      <c r="M2042" s="62" t="n">
        <v>0</v>
      </c>
      <c r="N2042" s="9" t="inlineStr">
        <is>
          <t>Amazon link not found</t>
        </is>
      </c>
      <c r="O2042" s="62">
        <f>IF(N2042="Selling pet toys + Artificial grass/Pet toilets (TARGET)",15,IF(N2042="Selling artificial grass/pet toilets (TARGET)",10,IF(N2042="Selling pet toys",7,IF(N2042="There's an Amazon link, but no target sales.",3,0))))</f>
        <v/>
      </c>
      <c r="P2042" s="67">
        <f>H2042+J2042+L2042+M2042+O2042</f>
        <v/>
      </c>
      <c r="Q2042" s="68">
        <f>IF(OR(H2042=0,P2042&lt;30),"Tier D (Đóng băng)",IF(P2042&gt;=85,"Tier S (Kim Cương: 85-100đ)",IF(P2042&gt;=70,"Tier A (Vàng: 70-84đ)",IF(P2042&gt;=61,"Tier B+ / Cấp A (Hot Lead: 61-69đ)",IF(P2042&gt;=50,"Tier B (Bạc: 50-60đ)","Tier C (Đồng: 30-49đ)")))))</f>
        <v/>
      </c>
      <c r="R2042" s="9" t="inlineStr">
        <is>
          <t>Nhà vệ sinh &amp; Tã lót (Potty Tray / Pee Pads) + Cỏ nhân tạo lót chuồng</t>
        </is>
      </c>
      <c r="S2042" s="9" t="inlineStr">
        <is>
          <t>Đóng băng tương tác (&gt;30 ngày): Lưu trữ chờ kích hoạt lại, không tốn tài nguyên Sales</t>
        </is>
      </c>
    </row>
    <row r="2043">
      <c r="A2043" s="53" t="n">
        <v>1473</v>
      </c>
      <c r="B2043" s="12" t="inlineStr">
        <is>
          <t>Fund donation for stray dog food</t>
        </is>
      </c>
      <c r="C2043" s="54" t="inlineStr">
        <is>
          <t>https://www.facebook.com/profile.php?id=100066865804142</t>
        </is>
      </c>
      <c r="D2043" s="6" t="inlineStr">
        <is>
          <t>Cần quét Bio Fanpage</t>
        </is>
      </c>
      <c r="E2043" s="53" t="inlineStr">
        <is>
          <t>01/10/2022 13:50:34</t>
        </is>
      </c>
      <c r="F2043" s="53" t="inlineStr">
        <is>
          <t>4 năm trước</t>
        </is>
      </c>
      <c r="G2043" s="55" t="n">
        <v>1460</v>
      </c>
      <c r="H2043" s="56" t="n">
        <v>0</v>
      </c>
      <c r="I2043" s="6" t="inlineStr">
        <is>
          <t>Pet Rescue / Trạm cứu trợ (14-16đ)</t>
        </is>
      </c>
      <c r="J2043" s="56" t="n">
        <v>14</v>
      </c>
      <c r="K2043" s="6" t="inlineStr">
        <is>
          <t>Chưa rõ giống (Cần quét Bio)</t>
        </is>
      </c>
      <c r="L2043" s="56" t="n">
        <v>0</v>
      </c>
      <c r="M2043" s="56" t="n">
        <v>0</v>
      </c>
      <c r="N2043" s="6" t="inlineStr">
        <is>
          <t>Amazon link not found</t>
        </is>
      </c>
      <c r="O2043" s="56">
        <f>IF(N2043="Selling pet toys + Artificial grass/Pet toilets (TARGET)",15,IF(N2043="Selling artificial grass/pet toilets (TARGET)",10,IF(N2043="Selling pet toys",7,IF(N2043="There's an Amazon link, but no target sales.",3,0))))</f>
        <v/>
      </c>
      <c r="P2043" s="65">
        <f>H2043+J2043+L2043+M2043+O2043</f>
        <v/>
      </c>
      <c r="Q2043" s="68">
        <f>IF(OR(H2043=0,P2043&lt;30),"Tier D (Đóng băng)",IF(P2043&gt;=85,"Tier S (Kim Cương: 85-100đ)",IF(P2043&gt;=70,"Tier A (Vàng: 70-84đ)",IF(P2043&gt;=61,"Tier B+ / Cấp A (Hot Lead: 61-69đ)",IF(P2043&gt;=50,"Tier B (Bạc: 50-60đ)","Tier C (Đồng: 30-49đ)")))))</f>
        <v/>
      </c>
      <c r="R2043" s="6" t="inlineStr">
        <is>
          <t>Nhà vệ sinh &amp; Tã lót (Potty Tray / Pee Pads) + Cỏ nhân tạo lót chuồng</t>
        </is>
      </c>
      <c r="S2043" s="6" t="inlineStr">
        <is>
          <t>Đóng băng tương tác (&gt;30 ngày): Lưu trữ chờ kích hoạt lại, không tốn tài nguyên Sales</t>
        </is>
      </c>
    </row>
    <row r="2044">
      <c r="A2044" s="59" t="n">
        <v>726</v>
      </c>
      <c r="B2044" s="15" t="inlineStr">
        <is>
          <t>Bordeaux By The Sea Dogue De Bordeaux Rescue.</t>
        </is>
      </c>
      <c r="C2044" s="60" t="inlineStr">
        <is>
          <t>https://www.facebook.com/profile.php?id=100070306023589</t>
        </is>
      </c>
      <c r="D2044" s="9" t="inlineStr">
        <is>
          <t>Cần quét Bio Fanpage</t>
        </is>
      </c>
      <c r="E2044" s="59" t="inlineStr">
        <is>
          <t>23/05/2021 13:37:15</t>
        </is>
      </c>
      <c r="F2044" s="59" t="inlineStr">
        <is>
          <t>5 năm trước</t>
        </is>
      </c>
      <c r="G2044" s="61" t="n">
        <v>1825</v>
      </c>
      <c r="H2044" s="62" t="n">
        <v>0</v>
      </c>
      <c r="I2044" s="9" t="inlineStr">
        <is>
          <t>Pet Rescue / Trạm cứu trợ (14-16đ)</t>
        </is>
      </c>
      <c r="J2044" s="62" t="n">
        <v>14</v>
      </c>
      <c r="K2044" s="9" t="inlineStr">
        <is>
          <t>Chưa rõ giống (Cần quét Bio)</t>
        </is>
      </c>
      <c r="L2044" s="62" t="n">
        <v>0</v>
      </c>
      <c r="M2044" s="62" t="n">
        <v>0</v>
      </c>
      <c r="N2044" s="9" t="inlineStr">
        <is>
          <t>Amazon link not found</t>
        </is>
      </c>
      <c r="O2044" s="62">
        <f>IF(N2044="Selling pet toys + Artificial grass/Pet toilets (TARGET)",15,IF(N2044="Selling artificial grass/pet toilets (TARGET)",10,IF(N2044="Selling pet toys",7,IF(N2044="There's an Amazon link, but no target sales.",3,0))))</f>
        <v/>
      </c>
      <c r="P2044" s="67">
        <f>H2044+J2044+L2044+M2044+O2044</f>
        <v/>
      </c>
      <c r="Q2044" s="68">
        <f>IF(OR(H2044=0,P2044&lt;30),"Tier D (Đóng băng)",IF(P2044&gt;=85,"Tier S (Kim Cương: 85-100đ)",IF(P2044&gt;=70,"Tier A (Vàng: 70-84đ)",IF(P2044&gt;=61,"Tier B+ / Cấp A (Hot Lead: 61-69đ)",IF(P2044&gt;=50,"Tier B (Bạc: 50-60đ)","Tier C (Đồng: 30-49đ)")))))</f>
        <v/>
      </c>
      <c r="R2044" s="9" t="inlineStr">
        <is>
          <t>Nhà vệ sinh &amp; Tã lót (Potty Tray / Pee Pads) + Cỏ nhân tạo lót chuồng</t>
        </is>
      </c>
      <c r="S2044" s="9" t="inlineStr">
        <is>
          <t>Đóng băng tương tác (&gt;30 ngày): Lưu trữ chờ kích hoạt lại, không tốn tài nguyên Sales</t>
        </is>
      </c>
    </row>
    <row r="2045">
      <c r="A2045" s="53" t="n">
        <v>615</v>
      </c>
      <c r="B2045" s="12" t="inlineStr">
        <is>
          <t>Beauty Dog77</t>
        </is>
      </c>
      <c r="C2045" s="54" t="inlineStr">
        <is>
          <t>https://www.facebook.com/BEAUTYDOG77</t>
        </is>
      </c>
      <c r="D2045" s="6" t="inlineStr">
        <is>
          <t>Cần quét Bio Fanpage</t>
        </is>
      </c>
      <c r="E2045" s="53" t="inlineStr">
        <is>
          <t>12/09/2026 18:01:49</t>
        </is>
      </c>
      <c r="F2045" s="53" t="inlineStr">
        <is>
          <t>1 tháng trước</t>
        </is>
      </c>
      <c r="G2045" s="55" t="n">
        <v>30</v>
      </c>
      <c r="H2045" s="56" t="n">
        <v>0</v>
      </c>
      <c r="I2045" s="6" t="inlineStr">
        <is>
          <t>Pet Owner / Cộng đồng nuôi cún (10đ)</t>
        </is>
      </c>
      <c r="J2045" s="56" t="n">
        <v>10</v>
      </c>
      <c r="K2045" s="6" t="inlineStr">
        <is>
          <t>Chưa rõ giống (Cần quét Bio)</t>
        </is>
      </c>
      <c r="L2045" s="56" t="n">
        <v>0</v>
      </c>
      <c r="M2045" s="56" t="n">
        <v>0</v>
      </c>
      <c r="N2045" s="6" t="inlineStr">
        <is>
          <t>Amazon link not found</t>
        </is>
      </c>
      <c r="O2045" s="56">
        <f>IF(N2045="Selling pet toys + Artificial grass/Pet toilets (TARGET)",15,IF(N2045="Selling artificial grass/pet toilets (TARGET)",10,IF(N2045="Selling pet toys",7,IF(N2045="There's an Amazon link, but no target sales.",3,0))))</f>
        <v/>
      </c>
      <c r="P2045" s="65">
        <f>H2045+J2045+L2045+M2045+O2045</f>
        <v/>
      </c>
      <c r="Q2045" s="68">
        <f>IF(OR(H2045=0,P2045&lt;30),"Tier D (Đóng băng)",IF(P2045&gt;=85,"Tier S (Kim Cương: 85-100đ)",IF(P2045&gt;=70,"Tier A (Vàng: 70-84đ)",IF(P2045&gt;=61,"Tier B+ / Cấp A (Hot Lead: 61-69đ)",IF(P2045&gt;=50,"Tier B (Bạc: 50-60đ)","Tier C (Đồng: 30-49đ)")))))</f>
        <v/>
      </c>
      <c r="R2045" s="6" t="inlineStr">
        <is>
          <t>Khay vệ sinh chung cư (Indoor Potty) + Thảm cỏ ban công (Grass Patch) + Đồ chơi</t>
        </is>
      </c>
      <c r="S2045" s="6" t="inlineStr">
        <is>
          <t>Đóng băng tương tác (&gt;30 ngày): Lưu trữ chờ kích hoạt lại, không tốn tài nguyên Sales</t>
        </is>
      </c>
    </row>
    <row r="2046">
      <c r="A2046" s="59" t="n">
        <v>3354</v>
      </c>
      <c r="B2046" s="15" t="inlineStr">
        <is>
          <t>Vyver Pet Acessories</t>
        </is>
      </c>
      <c r="C2046" s="60" t="inlineStr">
        <is>
          <t>https://www.facebook.com/profile.php?id=61551987458126</t>
        </is>
      </c>
      <c r="D2046" s="9" t="inlineStr">
        <is>
          <t>Cần quét Bio Fanpage</t>
        </is>
      </c>
      <c r="E2046" s="59" t="inlineStr">
        <is>
          <t>12/09/2026 00:22:08</t>
        </is>
      </c>
      <c r="F2046" s="59" t="inlineStr">
        <is>
          <t>1 tháng trước</t>
        </is>
      </c>
      <c r="G2046" s="61" t="n">
        <v>30</v>
      </c>
      <c r="H2046" s="62" t="n">
        <v>0</v>
      </c>
      <c r="I2046" s="9" t="inlineStr">
        <is>
          <t>Pet Owner / Cộng đồng nuôi cún (10đ)</t>
        </is>
      </c>
      <c r="J2046" s="62" t="n">
        <v>10</v>
      </c>
      <c r="K2046" s="9" t="inlineStr">
        <is>
          <t>Chưa rõ giống (Cần quét Bio)</t>
        </is>
      </c>
      <c r="L2046" s="62" t="n">
        <v>0</v>
      </c>
      <c r="M2046" s="62" t="n">
        <v>0</v>
      </c>
      <c r="N2046" s="9" t="inlineStr">
        <is>
          <t>Amazon link not found</t>
        </is>
      </c>
      <c r="O2046" s="62">
        <f>IF(N2046="Selling pet toys + Artificial grass/Pet toilets (TARGET)",15,IF(N2046="Selling artificial grass/pet toilets (TARGET)",10,IF(N2046="Selling pet toys",7,IF(N2046="There's an Amazon link, but no target sales.",3,0))))</f>
        <v/>
      </c>
      <c r="P2046" s="67">
        <f>H2046+J2046+L2046+M2046+O2046</f>
        <v/>
      </c>
      <c r="Q2046" s="68">
        <f>IF(OR(H2046=0,P2046&lt;30),"Tier D (Đóng băng)",IF(P2046&gt;=85,"Tier S (Kim Cương: 85-100đ)",IF(P2046&gt;=70,"Tier A (Vàng: 70-84đ)",IF(P2046&gt;=61,"Tier B+ / Cấp A (Hot Lead: 61-69đ)",IF(P2046&gt;=50,"Tier B (Bạc: 50-60đ)","Tier C (Đồng: 30-49đ)")))))</f>
        <v/>
      </c>
      <c r="R2046" s="9" t="inlineStr">
        <is>
          <t>Khay vệ sinh chung cư (Indoor Potty) + Thảm cỏ ban công (Grass Patch) + Đồ chơi</t>
        </is>
      </c>
      <c r="S2046" s="9" t="inlineStr">
        <is>
          <t>Đóng băng tương tác (&gt;30 ngày): Lưu trữ chờ kích hoạt lại, không tốn tài nguyên Sales</t>
        </is>
      </c>
    </row>
    <row r="2047">
      <c r="A2047" s="53" t="n">
        <v>1421</v>
      </c>
      <c r="B2047" s="12" t="inlineStr">
        <is>
          <t>Forgive Comfort Dog</t>
        </is>
      </c>
      <c r="C2047" s="54" t="inlineStr">
        <is>
          <t>https://www.facebook.com/profile.php?id=61572166472599</t>
        </is>
      </c>
      <c r="D2047" s="6" t="inlineStr">
        <is>
          <t>Cần quét Bio Fanpage</t>
        </is>
      </c>
      <c r="E2047" s="53" t="inlineStr">
        <is>
          <t>11/09/2026 21:15:51</t>
        </is>
      </c>
      <c r="F2047" s="53" t="inlineStr">
        <is>
          <t>1 tháng trước</t>
        </is>
      </c>
      <c r="G2047" s="55" t="n">
        <v>30</v>
      </c>
      <c r="H2047" s="56" t="n">
        <v>0</v>
      </c>
      <c r="I2047" s="6" t="inlineStr">
        <is>
          <t>Pet Owner / Cộng đồng nuôi cún (10đ)</t>
        </is>
      </c>
      <c r="J2047" s="56" t="n">
        <v>10</v>
      </c>
      <c r="K2047" s="6" t="inlineStr">
        <is>
          <t>Chưa rõ giống (Cần quét Bio)</t>
        </is>
      </c>
      <c r="L2047" s="56" t="n">
        <v>0</v>
      </c>
      <c r="M2047" s="56" t="n">
        <v>0</v>
      </c>
      <c r="N2047" s="6" t="inlineStr">
        <is>
          <t>Amazon link not found</t>
        </is>
      </c>
      <c r="O2047" s="56">
        <f>IF(N2047="Selling pet toys + Artificial grass/Pet toilets (TARGET)",15,IF(N2047="Selling artificial grass/pet toilets (TARGET)",10,IF(N2047="Selling pet toys",7,IF(N2047="There's an Amazon link, but no target sales.",3,0))))</f>
        <v/>
      </c>
      <c r="P2047" s="65">
        <f>H2047+J2047+L2047+M2047+O2047</f>
        <v/>
      </c>
      <c r="Q2047" s="68">
        <f>IF(OR(H2047=0,P2047&lt;30),"Tier D (Đóng băng)",IF(P2047&gt;=85,"Tier S (Kim Cương: 85-100đ)",IF(P2047&gt;=70,"Tier A (Vàng: 70-84đ)",IF(P2047&gt;=61,"Tier B+ / Cấp A (Hot Lead: 61-69đ)",IF(P2047&gt;=50,"Tier B (Bạc: 50-60đ)","Tier C (Đồng: 30-49đ)")))))</f>
        <v/>
      </c>
      <c r="R2047" s="6" t="inlineStr">
        <is>
          <t>Khay vệ sinh chung cư (Indoor Potty) + Thảm cỏ ban công (Grass Patch) + Đồ chơi</t>
        </is>
      </c>
      <c r="S2047" s="6" t="inlineStr">
        <is>
          <t>Đóng băng tương tác (&gt;30 ngày): Lưu trữ chờ kích hoạt lại, không tốn tài nguyên Sales</t>
        </is>
      </c>
    </row>
    <row r="2048">
      <c r="A2048" s="59" t="n">
        <v>83</v>
      </c>
      <c r="B2048" s="15" t="inlineStr">
        <is>
          <t>Therapy Dogs International (TDI)</t>
        </is>
      </c>
      <c r="C2048" s="60" t="inlineStr">
        <is>
          <t>https://www.facebook.com/TherapyDogsInternational</t>
        </is>
      </c>
      <c r="D2048" s="9" t="inlineStr">
        <is>
          <t>Cần quét Bio Fanpage</t>
        </is>
      </c>
      <c r="E2048" s="59" t="inlineStr">
        <is>
          <t>09/09/2026 02:56:52</t>
        </is>
      </c>
      <c r="F2048" s="59" t="inlineStr">
        <is>
          <t>1 tháng trước</t>
        </is>
      </c>
      <c r="G2048" s="61" t="n">
        <v>30</v>
      </c>
      <c r="H2048" s="62" t="n">
        <v>0</v>
      </c>
      <c r="I2048" s="9" t="inlineStr">
        <is>
          <t>Pet Owner / Cộng đồng nuôi cún (10đ)</t>
        </is>
      </c>
      <c r="J2048" s="62" t="n">
        <v>10</v>
      </c>
      <c r="K2048" s="9" t="inlineStr">
        <is>
          <t>Chưa rõ giống (Cần quét Bio)</t>
        </is>
      </c>
      <c r="L2048" s="62" t="n">
        <v>0</v>
      </c>
      <c r="M2048" s="62" t="n">
        <v>0</v>
      </c>
      <c r="N2048" s="9" t="inlineStr">
        <is>
          <t>Amazon link not found</t>
        </is>
      </c>
      <c r="O2048" s="62">
        <f>IF(N2048="Selling pet toys + Artificial grass/Pet toilets (TARGET)",15,IF(N2048="Selling artificial grass/pet toilets (TARGET)",10,IF(N2048="Selling pet toys",7,IF(N2048="There's an Amazon link, but no target sales.",3,0))))</f>
        <v/>
      </c>
      <c r="P2048" s="67">
        <f>H2048+J2048+L2048+M2048+O2048</f>
        <v/>
      </c>
      <c r="Q2048" s="68">
        <f>IF(OR(H2048=0,P2048&lt;30),"Tier D (Đóng băng)",IF(P2048&gt;=85,"Tier S (Kim Cương: 85-100đ)",IF(P2048&gt;=70,"Tier A (Vàng: 70-84đ)",IF(P2048&gt;=61,"Tier B+ / Cấp A (Hot Lead: 61-69đ)",IF(P2048&gt;=50,"Tier B (Bạc: 50-60đ)","Tier C (Đồng: 30-49đ)")))))</f>
        <v/>
      </c>
      <c r="R2048" s="9" t="inlineStr">
        <is>
          <t>Khay vệ sinh chung cư (Indoor Potty) + Thảm cỏ ban công (Grass Patch) + Đồ chơi</t>
        </is>
      </c>
      <c r="S2048" s="9" t="inlineStr">
        <is>
          <t>Đóng băng tương tác (&gt;30 ngày): Lưu trữ chờ kích hoạt lại, không tốn tài nguyên Sales</t>
        </is>
      </c>
    </row>
    <row r="2049">
      <c r="A2049" s="53" t="n">
        <v>1081</v>
      </c>
      <c r="B2049" s="12" t="inlineStr">
        <is>
          <t>Dog Guard Out Of Sight Fencing - Nebraska</t>
        </is>
      </c>
      <c r="C2049" s="54" t="inlineStr">
        <is>
          <t>https://www.facebook.com/dogguardne</t>
        </is>
      </c>
      <c r="D2049" s="6" t="inlineStr">
        <is>
          <t>Cần quét Bio Fanpage</t>
        </is>
      </c>
      <c r="E2049" s="53" t="inlineStr">
        <is>
          <t>08/09/2026 23:49:06</t>
        </is>
      </c>
      <c r="F2049" s="53" t="inlineStr">
        <is>
          <t>1 tháng trước</t>
        </is>
      </c>
      <c r="G2049" s="55" t="n">
        <v>30</v>
      </c>
      <c r="H2049" s="56" t="n">
        <v>0</v>
      </c>
      <c r="I2049" s="6" t="inlineStr">
        <is>
          <t>Pet Owner / Cộng đồng nuôi cún (10đ)</t>
        </is>
      </c>
      <c r="J2049" s="56" t="n">
        <v>10</v>
      </c>
      <c r="K2049" s="6" t="inlineStr">
        <is>
          <t>Chưa rõ giống (Cần quét Bio)</t>
        </is>
      </c>
      <c r="L2049" s="56" t="n">
        <v>0</v>
      </c>
      <c r="M2049" s="56" t="n">
        <v>0</v>
      </c>
      <c r="N2049" s="6" t="inlineStr">
        <is>
          <t>Amazon link not found</t>
        </is>
      </c>
      <c r="O2049" s="56">
        <f>IF(N2049="Selling pet toys + Artificial grass/Pet toilets (TARGET)",15,IF(N2049="Selling artificial grass/pet toilets (TARGET)",10,IF(N2049="Selling pet toys",7,IF(N2049="There's an Amazon link, but no target sales.",3,0))))</f>
        <v/>
      </c>
      <c r="P2049" s="65">
        <f>H2049+J2049+L2049+M2049+O2049</f>
        <v/>
      </c>
      <c r="Q2049" s="68">
        <f>IF(OR(H2049=0,P2049&lt;30),"Tier D (Đóng băng)",IF(P2049&gt;=85,"Tier S (Kim Cương: 85-100đ)",IF(P2049&gt;=70,"Tier A (Vàng: 70-84đ)",IF(P2049&gt;=61,"Tier B+ / Cấp A (Hot Lead: 61-69đ)",IF(P2049&gt;=50,"Tier B (Bạc: 50-60đ)","Tier C (Đồng: 30-49đ)")))))</f>
        <v/>
      </c>
      <c r="R2049" s="6" t="inlineStr">
        <is>
          <t>Khay vệ sinh chung cư (Indoor Potty) + Thảm cỏ ban công (Grass Patch) + Đồ chơi</t>
        </is>
      </c>
      <c r="S2049" s="6" t="inlineStr">
        <is>
          <t>Đóng băng tương tác (&gt;30 ngày): Lưu trữ chờ kích hoạt lại, không tốn tài nguyên Sales</t>
        </is>
      </c>
    </row>
    <row r="2050">
      <c r="A2050" s="59" t="n">
        <v>2496</v>
      </c>
      <c r="B2050" s="15" t="inlineStr">
        <is>
          <t>Peter Louis</t>
        </is>
      </c>
      <c r="C2050" s="60" t="inlineStr">
        <is>
          <t>https://www.facebook.com/PeterLouisandco</t>
        </is>
      </c>
      <c r="D2050" s="9" t="inlineStr">
        <is>
          <t>Cần quét Bio Fanpage</t>
        </is>
      </c>
      <c r="E2050" s="59" t="inlineStr">
        <is>
          <t>08/09/2026 21:46:10</t>
        </is>
      </c>
      <c r="F2050" s="59" t="inlineStr">
        <is>
          <t>1 tháng trước</t>
        </is>
      </c>
      <c r="G2050" s="61" t="n">
        <v>30</v>
      </c>
      <c r="H2050" s="62" t="n">
        <v>0</v>
      </c>
      <c r="I2050" s="9" t="inlineStr">
        <is>
          <t>Pet Owner / Cộng đồng nuôi cún (10đ)</t>
        </is>
      </c>
      <c r="J2050" s="62" t="n">
        <v>10</v>
      </c>
      <c r="K2050" s="9" t="inlineStr">
        <is>
          <t>Chưa rõ giống (Cần quét Bio)</t>
        </is>
      </c>
      <c r="L2050" s="62" t="n">
        <v>0</v>
      </c>
      <c r="M2050" s="62" t="n">
        <v>0</v>
      </c>
      <c r="N2050" s="9" t="inlineStr">
        <is>
          <t>Amazon link not found</t>
        </is>
      </c>
      <c r="O2050" s="62">
        <f>IF(N2050="Selling pet toys + Artificial grass/Pet toilets (TARGET)",15,IF(N2050="Selling artificial grass/pet toilets (TARGET)",10,IF(N2050="Selling pet toys",7,IF(N2050="There's an Amazon link, but no target sales.",3,0))))</f>
        <v/>
      </c>
      <c r="P2050" s="67">
        <f>H2050+J2050+L2050+M2050+O2050</f>
        <v/>
      </c>
      <c r="Q2050" s="68">
        <f>IF(OR(H2050=0,P2050&lt;30),"Tier D (Đóng băng)",IF(P2050&gt;=85,"Tier S (Kim Cương: 85-100đ)",IF(P2050&gt;=70,"Tier A (Vàng: 70-84đ)",IF(P2050&gt;=61,"Tier B+ / Cấp A (Hot Lead: 61-69đ)",IF(P2050&gt;=50,"Tier B (Bạc: 50-60đ)","Tier C (Đồng: 30-49đ)")))))</f>
        <v/>
      </c>
      <c r="R2050" s="9" t="inlineStr">
        <is>
          <t>Khay vệ sinh chung cư (Indoor Potty) + Thảm cỏ ban công (Grass Patch) + Đồ chơi</t>
        </is>
      </c>
      <c r="S2050" s="9" t="inlineStr">
        <is>
          <t>Đóng băng tương tác (&gt;30 ngày): Lưu trữ chờ kích hoạt lại, không tốn tài nguyên Sales</t>
        </is>
      </c>
    </row>
    <row r="2051">
      <c r="A2051" s="53" t="n">
        <v>3041</v>
      </c>
      <c r="B2051" s="12" t="inlineStr">
        <is>
          <t>Sweet Art by Peter Fonodi</t>
        </is>
      </c>
      <c r="C2051" s="54" t="inlineStr">
        <is>
          <t>https://www.facebook.com/karamellmuveszet</t>
        </is>
      </c>
      <c r="D2051" s="6" t="inlineStr">
        <is>
          <t>Cần quét Bio Fanpage</t>
        </is>
      </c>
      <c r="E2051" s="53" t="inlineStr">
        <is>
          <t>08/09/2026 21:41:42</t>
        </is>
      </c>
      <c r="F2051" s="53" t="inlineStr">
        <is>
          <t>1 tháng trước</t>
        </is>
      </c>
      <c r="G2051" s="55" t="n">
        <v>30</v>
      </c>
      <c r="H2051" s="56" t="n">
        <v>0</v>
      </c>
      <c r="I2051" s="6" t="inlineStr">
        <is>
          <t>Pet Owner / Kênh cá nhân thú cưng (10đ)</t>
        </is>
      </c>
      <c r="J2051" s="56" t="n">
        <v>10</v>
      </c>
      <c r="K2051" s="6" t="inlineStr">
        <is>
          <t>Chưa rõ giống (Cần quét Bio)</t>
        </is>
      </c>
      <c r="L2051" s="56" t="n">
        <v>0</v>
      </c>
      <c r="M2051" s="56" t="n">
        <v>0</v>
      </c>
      <c r="N2051" s="6" t="inlineStr">
        <is>
          <t>Amazon link not found</t>
        </is>
      </c>
      <c r="O2051" s="56">
        <f>IF(N2051="Selling pet toys + Artificial grass/Pet toilets (TARGET)",15,IF(N2051="Selling artificial grass/pet toilets (TARGET)",10,IF(N2051="Selling pet toys",7,IF(N2051="There's an Amazon link, but no target sales.",3,0))))</f>
        <v/>
      </c>
      <c r="P2051" s="65">
        <f>H2051+J2051+L2051+M2051+O2051</f>
        <v/>
      </c>
      <c r="Q2051" s="68">
        <f>IF(OR(H2051=0,P2051&lt;30),"Tier D (Đóng băng)",IF(P2051&gt;=85,"Tier S (Kim Cương: 85-100đ)",IF(P2051&gt;=70,"Tier A (Vàng: 70-84đ)",IF(P2051&gt;=61,"Tier B+ / Cấp A (Hot Lead: 61-69đ)",IF(P2051&gt;=50,"Tier B (Bạc: 50-60đ)","Tier C (Đồng: 30-49đ)")))))</f>
        <v/>
      </c>
      <c r="R2051" s="6" t="inlineStr">
        <is>
          <t>Khay vệ sinh trong nhà (Indoor Dog Potty) + Đồ chơi thú cưng lẻ</t>
        </is>
      </c>
      <c r="S2051" s="6" t="inlineStr">
        <is>
          <t>Đóng băng tương tác (&gt;30 ngày): Lưu trữ chờ kích hoạt lại, không tốn tài nguyên Sales</t>
        </is>
      </c>
    </row>
    <row r="2052">
      <c r="A2052" s="59" t="n">
        <v>2078</v>
      </c>
      <c r="B2052" s="15" t="inlineStr">
        <is>
          <t>LuxeyPets</t>
        </is>
      </c>
      <c r="C2052" s="60" t="inlineStr">
        <is>
          <t>https://www.facebook.com/luxeypets</t>
        </is>
      </c>
      <c r="D2052" s="9" t="inlineStr">
        <is>
          <t>Cần quét Bio Fanpage</t>
        </is>
      </c>
      <c r="E2052" s="59" t="inlineStr">
        <is>
          <t>08/09/2026 09:35:06</t>
        </is>
      </c>
      <c r="F2052" s="59" t="inlineStr">
        <is>
          <t>1 tháng trước</t>
        </is>
      </c>
      <c r="G2052" s="61" t="n">
        <v>30</v>
      </c>
      <c r="H2052" s="62" t="n">
        <v>0</v>
      </c>
      <c r="I2052" s="9" t="inlineStr">
        <is>
          <t>Pet Owner / Cộng đồng nuôi cún (10đ)</t>
        </is>
      </c>
      <c r="J2052" s="62" t="n">
        <v>10</v>
      </c>
      <c r="K2052" s="9" t="inlineStr">
        <is>
          <t>Chưa rõ giống (Cần quét Bio)</t>
        </is>
      </c>
      <c r="L2052" s="62" t="n">
        <v>0</v>
      </c>
      <c r="M2052" s="62" t="n">
        <v>0</v>
      </c>
      <c r="N2052" s="9" t="inlineStr">
        <is>
          <t>Amazon link not found</t>
        </is>
      </c>
      <c r="O2052" s="62">
        <f>IF(N2052="Selling pet toys + Artificial grass/Pet toilets (TARGET)",15,IF(N2052="Selling artificial grass/pet toilets (TARGET)",10,IF(N2052="Selling pet toys",7,IF(N2052="There's an Amazon link, but no target sales.",3,0))))</f>
        <v/>
      </c>
      <c r="P2052" s="67">
        <f>H2052+J2052+L2052+M2052+O2052</f>
        <v/>
      </c>
      <c r="Q2052" s="68">
        <f>IF(OR(H2052=0,P2052&lt;30),"Tier D (Đóng băng)",IF(P2052&gt;=85,"Tier S (Kim Cương: 85-100đ)",IF(P2052&gt;=70,"Tier A (Vàng: 70-84đ)",IF(P2052&gt;=61,"Tier B+ / Cấp A (Hot Lead: 61-69đ)",IF(P2052&gt;=50,"Tier B (Bạc: 50-60đ)","Tier C (Đồng: 30-49đ)")))))</f>
        <v/>
      </c>
      <c r="R2052" s="9" t="inlineStr">
        <is>
          <t>Khay vệ sinh chung cư (Indoor Potty) + Thảm cỏ ban công (Grass Patch) + Đồ chơi</t>
        </is>
      </c>
      <c r="S2052" s="9" t="inlineStr">
        <is>
          <t>Đóng băng tương tác (&gt;30 ngày): Lưu trữ chờ kích hoạt lại, không tốn tài nguyên Sales</t>
        </is>
      </c>
    </row>
    <row r="2053">
      <c r="A2053" s="53" t="n">
        <v>1405</v>
      </c>
      <c r="B2053" s="12" t="inlineStr">
        <is>
          <t>Flothedog</t>
        </is>
      </c>
      <c r="C2053" s="54" t="inlineStr">
        <is>
          <t>https://www.facebook.com/iamflothedog</t>
        </is>
      </c>
      <c r="D2053" s="6" t="inlineStr">
        <is>
          <t>Cần quét Bio Fanpage</t>
        </is>
      </c>
      <c r="E2053" s="53" t="inlineStr">
        <is>
          <t>07/09/2026 18:13:40</t>
        </is>
      </c>
      <c r="F2053" s="53" t="inlineStr">
        <is>
          <t>1 tháng trước</t>
        </is>
      </c>
      <c r="G2053" s="55" t="n">
        <v>30</v>
      </c>
      <c r="H2053" s="56" t="n">
        <v>0</v>
      </c>
      <c r="I2053" s="6" t="inlineStr">
        <is>
          <t>Pet Owner / Cộng đồng nuôi cún (10đ)</t>
        </is>
      </c>
      <c r="J2053" s="56" t="n">
        <v>10</v>
      </c>
      <c r="K2053" s="6" t="inlineStr">
        <is>
          <t>Chưa rõ giống (Cần quét Bio)</t>
        </is>
      </c>
      <c r="L2053" s="56" t="n">
        <v>0</v>
      </c>
      <c r="M2053" s="56" t="n">
        <v>0</v>
      </c>
      <c r="N2053" s="6" t="inlineStr">
        <is>
          <t>Amazon link not found</t>
        </is>
      </c>
      <c r="O2053" s="56">
        <f>IF(N2053="Selling pet toys + Artificial grass/Pet toilets (TARGET)",15,IF(N2053="Selling artificial grass/pet toilets (TARGET)",10,IF(N2053="Selling pet toys",7,IF(N2053="There's an Amazon link, but no target sales.",3,0))))</f>
        <v/>
      </c>
      <c r="P2053" s="65">
        <f>H2053+J2053+L2053+M2053+O2053</f>
        <v/>
      </c>
      <c r="Q2053" s="68">
        <f>IF(OR(H2053=0,P2053&lt;30),"Tier D (Đóng băng)",IF(P2053&gt;=85,"Tier S (Kim Cương: 85-100đ)",IF(P2053&gt;=70,"Tier A (Vàng: 70-84đ)",IF(P2053&gt;=61,"Tier B+ / Cấp A (Hot Lead: 61-69đ)",IF(P2053&gt;=50,"Tier B (Bạc: 50-60đ)","Tier C (Đồng: 30-49đ)")))))</f>
        <v/>
      </c>
      <c r="R2053" s="6" t="inlineStr">
        <is>
          <t>Khay vệ sinh chung cư (Indoor Potty) + Thảm cỏ ban công (Grass Patch) + Đồ chơi</t>
        </is>
      </c>
      <c r="S2053" s="6" t="inlineStr">
        <is>
          <t>Đóng băng tương tác (&gt;30 ngày): Lưu trữ chờ kích hoạt lại, không tốn tài nguyên Sales</t>
        </is>
      </c>
    </row>
    <row r="2054">
      <c r="A2054" s="59" t="n">
        <v>1028</v>
      </c>
      <c r="B2054" s="15" t="inlineStr">
        <is>
          <t>Design &amp; Dogs - Grafika dla hodowców</t>
        </is>
      </c>
      <c r="C2054" s="60" t="inlineStr">
        <is>
          <t>https://www.facebook.com/projektydlahodowcow</t>
        </is>
      </c>
      <c r="D2054" s="9" t="inlineStr">
        <is>
          <t>Cần quét Bio Fanpage</t>
        </is>
      </c>
      <c r="E2054" s="59" t="inlineStr">
        <is>
          <t>07/09/2026 16:40:28</t>
        </is>
      </c>
      <c r="F2054" s="59" t="inlineStr">
        <is>
          <t>1 tháng trước</t>
        </is>
      </c>
      <c r="G2054" s="61" t="n">
        <v>30</v>
      </c>
      <c r="H2054" s="62" t="n">
        <v>0</v>
      </c>
      <c r="I2054" s="9" t="inlineStr">
        <is>
          <t>Pet Owner / Cộng đồng nuôi cún (10đ)</t>
        </is>
      </c>
      <c r="J2054" s="62" t="n">
        <v>10</v>
      </c>
      <c r="K2054" s="9" t="inlineStr">
        <is>
          <t>Chưa rõ giống (Cần quét Bio)</t>
        </is>
      </c>
      <c r="L2054" s="62" t="n">
        <v>0</v>
      </c>
      <c r="M2054" s="62" t="n">
        <v>0</v>
      </c>
      <c r="N2054" s="9" t="inlineStr">
        <is>
          <t>Amazon link not found</t>
        </is>
      </c>
      <c r="O2054" s="62">
        <f>IF(N2054="Selling pet toys + Artificial grass/Pet toilets (TARGET)",15,IF(N2054="Selling artificial grass/pet toilets (TARGET)",10,IF(N2054="Selling pet toys",7,IF(N2054="There's an Amazon link, but no target sales.",3,0))))</f>
        <v/>
      </c>
      <c r="P2054" s="67">
        <f>H2054+J2054+L2054+M2054+O2054</f>
        <v/>
      </c>
      <c r="Q2054" s="68">
        <f>IF(OR(H2054=0,P2054&lt;30),"Tier D (Đóng băng)",IF(P2054&gt;=85,"Tier S (Kim Cương: 85-100đ)",IF(P2054&gt;=70,"Tier A (Vàng: 70-84đ)",IF(P2054&gt;=61,"Tier B+ / Cấp A (Hot Lead: 61-69đ)",IF(P2054&gt;=50,"Tier B (Bạc: 50-60đ)","Tier C (Đồng: 30-49đ)")))))</f>
        <v/>
      </c>
      <c r="R2054" s="9" t="inlineStr">
        <is>
          <t>Khay vệ sinh chung cư (Indoor Potty) + Thảm cỏ ban công (Grass Patch) + Đồ chơi</t>
        </is>
      </c>
      <c r="S2054" s="9" t="inlineStr">
        <is>
          <t>Đóng băng tương tác (&gt;30 ngày): Lưu trữ chờ kích hoạt lại, không tốn tài nguyên Sales</t>
        </is>
      </c>
    </row>
    <row r="2055">
      <c r="A2055" s="53" t="n">
        <v>691</v>
      </c>
      <c r="B2055" s="12" t="inlineStr">
        <is>
          <t>Blackdog Mowing &amp; Gardens</t>
        </is>
      </c>
      <c r="C2055" s="54" t="inlineStr">
        <is>
          <t>https://www.facebook.com/profile.php?id=61579755115420</t>
        </is>
      </c>
      <c r="D2055" s="6" t="inlineStr">
        <is>
          <t>Cần quét Bio Fanpage</t>
        </is>
      </c>
      <c r="E2055" s="53" t="inlineStr">
        <is>
          <t>07/09/2026 14:31:52</t>
        </is>
      </c>
      <c r="F2055" s="53" t="inlineStr">
        <is>
          <t>1 tháng trước</t>
        </is>
      </c>
      <c r="G2055" s="55" t="n">
        <v>30</v>
      </c>
      <c r="H2055" s="56" t="n">
        <v>0</v>
      </c>
      <c r="I2055" s="6" t="inlineStr">
        <is>
          <t>Pet Owner / Cộng đồng nuôi cún (10đ)</t>
        </is>
      </c>
      <c r="J2055" s="56" t="n">
        <v>10</v>
      </c>
      <c r="K2055" s="6" t="inlineStr">
        <is>
          <t>Chưa rõ giống (Cần quét Bio)</t>
        </is>
      </c>
      <c r="L2055" s="56" t="n">
        <v>0</v>
      </c>
      <c r="M2055" s="56" t="n">
        <v>0</v>
      </c>
      <c r="N2055" s="6" t="inlineStr">
        <is>
          <t>Amazon link not found</t>
        </is>
      </c>
      <c r="O2055" s="56">
        <f>IF(N2055="Selling pet toys + Artificial grass/Pet toilets (TARGET)",15,IF(N2055="Selling artificial grass/pet toilets (TARGET)",10,IF(N2055="Selling pet toys",7,IF(N2055="There's an Amazon link, but no target sales.",3,0))))</f>
        <v/>
      </c>
      <c r="P2055" s="65">
        <f>H2055+J2055+L2055+M2055+O2055</f>
        <v/>
      </c>
      <c r="Q2055" s="68">
        <f>IF(OR(H2055=0,P2055&lt;30),"Tier D (Đóng băng)",IF(P2055&gt;=85,"Tier S (Kim Cương: 85-100đ)",IF(P2055&gt;=70,"Tier A (Vàng: 70-84đ)",IF(P2055&gt;=61,"Tier B+ / Cấp A (Hot Lead: 61-69đ)",IF(P2055&gt;=50,"Tier B (Bạc: 50-60đ)","Tier C (Đồng: 30-49đ)")))))</f>
        <v/>
      </c>
      <c r="R2055" s="6" t="inlineStr">
        <is>
          <t>Khay vệ sinh chung cư (Indoor Potty) + Thảm cỏ ban công (Grass Patch) + Đồ chơi</t>
        </is>
      </c>
      <c r="S2055" s="6" t="inlineStr">
        <is>
          <t>Đóng băng tương tác (&gt;30 ngày): Lưu trữ chờ kích hoạt lại, không tốn tài nguyên Sales</t>
        </is>
      </c>
    </row>
    <row r="2056">
      <c r="A2056" s="59" t="n">
        <v>687</v>
      </c>
      <c r="B2056" s="15" t="inlineStr">
        <is>
          <t>Black Dog</t>
        </is>
      </c>
      <c r="C2056" s="60" t="inlineStr">
        <is>
          <t>https://www.facebook.com/BlackDogK9Dogs</t>
        </is>
      </c>
      <c r="D2056" s="9" t="inlineStr">
        <is>
          <t>Cần quét Bio Fanpage</t>
        </is>
      </c>
      <c r="E2056" s="59" t="inlineStr">
        <is>
          <t>06/09/2026 20:26:09</t>
        </is>
      </c>
      <c r="F2056" s="59" t="inlineStr">
        <is>
          <t>1 tháng trước</t>
        </is>
      </c>
      <c r="G2056" s="61" t="n">
        <v>30</v>
      </c>
      <c r="H2056" s="62" t="n">
        <v>0</v>
      </c>
      <c r="I2056" s="9" t="inlineStr">
        <is>
          <t>Pet Owner / Cộng đồng nuôi cún (10đ)</t>
        </is>
      </c>
      <c r="J2056" s="62" t="n">
        <v>10</v>
      </c>
      <c r="K2056" s="9" t="inlineStr">
        <is>
          <t>Chưa rõ giống (Cần quét Bio)</t>
        </is>
      </c>
      <c r="L2056" s="62" t="n">
        <v>0</v>
      </c>
      <c r="M2056" s="62" t="n">
        <v>0</v>
      </c>
      <c r="N2056" s="9" t="inlineStr">
        <is>
          <t>Amazon link not found</t>
        </is>
      </c>
      <c r="O2056" s="62">
        <f>IF(N2056="Selling pet toys + Artificial grass/Pet toilets (TARGET)",15,IF(N2056="Selling artificial grass/pet toilets (TARGET)",10,IF(N2056="Selling pet toys",7,IF(N2056="There's an Amazon link, but no target sales.",3,0))))</f>
        <v/>
      </c>
      <c r="P2056" s="67">
        <f>H2056+J2056+L2056+M2056+O2056</f>
        <v/>
      </c>
      <c r="Q2056" s="68">
        <f>IF(OR(H2056=0,P2056&lt;30),"Tier D (Đóng băng)",IF(P2056&gt;=85,"Tier S (Kim Cương: 85-100đ)",IF(P2056&gt;=70,"Tier A (Vàng: 70-84đ)",IF(P2056&gt;=61,"Tier B+ / Cấp A (Hot Lead: 61-69đ)",IF(P2056&gt;=50,"Tier B (Bạc: 50-60đ)","Tier C (Đồng: 30-49đ)")))))</f>
        <v/>
      </c>
      <c r="R2056" s="9" t="inlineStr">
        <is>
          <t>Khay vệ sinh chung cư (Indoor Potty) + Thảm cỏ ban công (Grass Patch) + Đồ chơi</t>
        </is>
      </c>
      <c r="S2056" s="9" t="inlineStr">
        <is>
          <t>Đóng băng tương tác (&gt;30 ngày): Lưu trữ chờ kích hoạt lại, không tốn tài nguyên Sales</t>
        </is>
      </c>
    </row>
    <row r="2057">
      <c r="A2057" s="53" t="n">
        <v>245</v>
      </c>
      <c r="B2057" s="12" t="inlineStr">
        <is>
          <t>PetsbusTransportZwierzatLiveAnimalTransport</t>
        </is>
      </c>
      <c r="C2057" s="54" t="inlineStr">
        <is>
          <t>https://www.facebook.com/PetsbusTransportZwierzatLiveAnimalTransport</t>
        </is>
      </c>
      <c r="D2057" s="6" t="inlineStr">
        <is>
          <t>Cần quét Bio Fanpage</t>
        </is>
      </c>
      <c r="E2057" s="53" t="inlineStr">
        <is>
          <t>06/09/2026 15:32:34</t>
        </is>
      </c>
      <c r="F2057" s="53" t="inlineStr">
        <is>
          <t>1 tháng trước</t>
        </is>
      </c>
      <c r="G2057" s="55" t="n">
        <v>30</v>
      </c>
      <c r="H2057" s="56" t="n">
        <v>0</v>
      </c>
      <c r="I2057" s="6" t="inlineStr">
        <is>
          <t>Pet Owner / Cộng đồng nuôi cún (10đ)</t>
        </is>
      </c>
      <c r="J2057" s="56" t="n">
        <v>10</v>
      </c>
      <c r="K2057" s="6" t="inlineStr">
        <is>
          <t>Chưa rõ giống (Cần quét Bio)</t>
        </is>
      </c>
      <c r="L2057" s="56" t="n">
        <v>0</v>
      </c>
      <c r="M2057" s="56" t="n">
        <v>0</v>
      </c>
      <c r="N2057" s="6" t="inlineStr">
        <is>
          <t>Amazon link not found</t>
        </is>
      </c>
      <c r="O2057" s="56">
        <f>IF(N2057="Selling pet toys + Artificial grass/Pet toilets (TARGET)",15,IF(N2057="Selling artificial grass/pet toilets (TARGET)",10,IF(N2057="Selling pet toys",7,IF(N2057="There's an Amazon link, but no target sales.",3,0))))</f>
        <v/>
      </c>
      <c r="P2057" s="65">
        <f>H2057+J2057+L2057+M2057+O2057</f>
        <v/>
      </c>
      <c r="Q2057" s="68">
        <f>IF(OR(H2057=0,P2057&lt;30),"Tier D (Đóng băng)",IF(P2057&gt;=85,"Tier S (Kim Cương: 85-100đ)",IF(P2057&gt;=70,"Tier A (Vàng: 70-84đ)",IF(P2057&gt;=61,"Tier B+ / Cấp A (Hot Lead: 61-69đ)",IF(P2057&gt;=50,"Tier B (Bạc: 50-60đ)","Tier C (Đồng: 30-49đ)")))))</f>
        <v/>
      </c>
      <c r="R2057" s="6" t="inlineStr">
        <is>
          <t>Khay vệ sinh chung cư (Indoor Potty) + Thảm cỏ ban công (Grass Patch) + Đồ chơi</t>
        </is>
      </c>
      <c r="S2057" s="6" t="inlineStr">
        <is>
          <t>Đóng băng tương tác (&gt;30 ngày): Lưu trữ chờ kích hoạt lại, không tốn tài nguyên Sales</t>
        </is>
      </c>
    </row>
    <row r="2058">
      <c r="A2058" s="59" t="n">
        <v>2229</v>
      </c>
      <c r="B2058" s="15" t="inlineStr">
        <is>
          <t>Mt Hood Pet Medical</t>
        </is>
      </c>
      <c r="C2058" s="60" t="inlineStr">
        <is>
          <t>https://www.facebook.com/MtHoodPetMedical</t>
        </is>
      </c>
      <c r="D2058" s="9" t="inlineStr">
        <is>
          <t>Cần quét Bio Fanpage</t>
        </is>
      </c>
      <c r="E2058" s="59" t="inlineStr">
        <is>
          <t>05/09/2026 20:12:07</t>
        </is>
      </c>
      <c r="F2058" s="59" t="inlineStr">
        <is>
          <t>1 tháng trước</t>
        </is>
      </c>
      <c r="G2058" s="61" t="n">
        <v>30</v>
      </c>
      <c r="H2058" s="62" t="n">
        <v>0</v>
      </c>
      <c r="I2058" s="9" t="inlineStr">
        <is>
          <t>Pet Owner / Cộng đồng nuôi cún (10đ)</t>
        </is>
      </c>
      <c r="J2058" s="62" t="n">
        <v>10</v>
      </c>
      <c r="K2058" s="9" t="inlineStr">
        <is>
          <t>Chưa rõ giống (Cần quét Bio)</t>
        </is>
      </c>
      <c r="L2058" s="62" t="n">
        <v>0</v>
      </c>
      <c r="M2058" s="62" t="n">
        <v>0</v>
      </c>
      <c r="N2058" s="9" t="inlineStr">
        <is>
          <t>Amazon link not found</t>
        </is>
      </c>
      <c r="O2058" s="62">
        <f>IF(N2058="Selling pet toys + Artificial grass/Pet toilets (TARGET)",15,IF(N2058="Selling artificial grass/pet toilets (TARGET)",10,IF(N2058="Selling pet toys",7,IF(N2058="There's an Amazon link, but no target sales.",3,0))))</f>
        <v/>
      </c>
      <c r="P2058" s="67">
        <f>H2058+J2058+L2058+M2058+O2058</f>
        <v/>
      </c>
      <c r="Q2058" s="68">
        <f>IF(OR(H2058=0,P2058&lt;30),"Tier D (Đóng băng)",IF(P2058&gt;=85,"Tier S (Kim Cương: 85-100đ)",IF(P2058&gt;=70,"Tier A (Vàng: 70-84đ)",IF(P2058&gt;=61,"Tier B+ / Cấp A (Hot Lead: 61-69đ)",IF(P2058&gt;=50,"Tier B (Bạc: 50-60đ)","Tier C (Đồng: 30-49đ)")))))</f>
        <v/>
      </c>
      <c r="R2058" s="9" t="inlineStr">
        <is>
          <t>Khay vệ sinh chung cư (Indoor Potty) + Thảm cỏ ban công (Grass Patch) + Đồ chơi</t>
        </is>
      </c>
      <c r="S2058" s="9" t="inlineStr">
        <is>
          <t>Đóng băng tương tác (&gt;30 ngày): Lưu trữ chờ kích hoạt lại, không tốn tài nguyên Sales</t>
        </is>
      </c>
    </row>
    <row r="2059">
      <c r="A2059" s="53" t="n">
        <v>2289</v>
      </c>
      <c r="B2059" s="12" t="inlineStr">
        <is>
          <t>Next Level Dogs</t>
        </is>
      </c>
      <c r="C2059" s="54" t="inlineStr">
        <is>
          <t>https://www.facebook.com/nextleveldogs</t>
        </is>
      </c>
      <c r="D2059" s="6" t="inlineStr">
        <is>
          <t>Cần quét Bio Fanpage</t>
        </is>
      </c>
      <c r="E2059" s="53" t="inlineStr">
        <is>
          <t>05/09/2026 01:50:40</t>
        </is>
      </c>
      <c r="F2059" s="53" t="inlineStr">
        <is>
          <t>1 tháng trước</t>
        </is>
      </c>
      <c r="G2059" s="55" t="n">
        <v>30</v>
      </c>
      <c r="H2059" s="56" t="n">
        <v>0</v>
      </c>
      <c r="I2059" s="6" t="inlineStr">
        <is>
          <t>Pet Owner / Cộng đồng nuôi cún (10đ)</t>
        </is>
      </c>
      <c r="J2059" s="56" t="n">
        <v>10</v>
      </c>
      <c r="K2059" s="6" t="inlineStr">
        <is>
          <t>Chưa rõ giống (Cần quét Bio)</t>
        </is>
      </c>
      <c r="L2059" s="56" t="n">
        <v>0</v>
      </c>
      <c r="M2059" s="56" t="n">
        <v>0</v>
      </c>
      <c r="N2059" s="6" t="inlineStr">
        <is>
          <t>Amazon link not found</t>
        </is>
      </c>
      <c r="O2059" s="56">
        <f>IF(N2059="Selling pet toys + Artificial grass/Pet toilets (TARGET)",15,IF(N2059="Selling artificial grass/pet toilets (TARGET)",10,IF(N2059="Selling pet toys",7,IF(N2059="There's an Amazon link, but no target sales.",3,0))))</f>
        <v/>
      </c>
      <c r="P2059" s="65">
        <f>H2059+J2059+L2059+M2059+O2059</f>
        <v/>
      </c>
      <c r="Q2059" s="68">
        <f>IF(OR(H2059=0,P2059&lt;30),"Tier D (Đóng băng)",IF(P2059&gt;=85,"Tier S (Kim Cương: 85-100đ)",IF(P2059&gt;=70,"Tier A (Vàng: 70-84đ)",IF(P2059&gt;=61,"Tier B+ / Cấp A (Hot Lead: 61-69đ)",IF(P2059&gt;=50,"Tier B (Bạc: 50-60đ)","Tier C (Đồng: 30-49đ)")))))</f>
        <v/>
      </c>
      <c r="R2059" s="6" t="inlineStr">
        <is>
          <t>Khay vệ sinh chung cư (Indoor Potty) + Thảm cỏ ban công (Grass Patch) + Đồ chơi</t>
        </is>
      </c>
      <c r="S2059" s="6" t="inlineStr">
        <is>
          <t>Đóng băng tương tác (&gt;30 ngày): Lưu trữ chờ kích hoạt lại, không tốn tài nguyên Sales</t>
        </is>
      </c>
    </row>
    <row r="2060">
      <c r="A2060" s="59" t="n">
        <v>1727</v>
      </c>
      <c r="B2060" s="15" t="inlineStr">
        <is>
          <t>International Dog Parkour Association</t>
        </is>
      </c>
      <c r="C2060" s="60" t="inlineStr">
        <is>
          <t>https://www.facebook.com/dogparkour</t>
        </is>
      </c>
      <c r="D2060" s="9" t="inlineStr">
        <is>
          <t>Cần quét Bio Fanpage</t>
        </is>
      </c>
      <c r="E2060" s="59" t="inlineStr">
        <is>
          <t>04/09/2026 23:02:58</t>
        </is>
      </c>
      <c r="F2060" s="59" t="inlineStr">
        <is>
          <t>1 tháng trước</t>
        </is>
      </c>
      <c r="G2060" s="61" t="n">
        <v>30</v>
      </c>
      <c r="H2060" s="62" t="n">
        <v>0</v>
      </c>
      <c r="I2060" s="9" t="inlineStr">
        <is>
          <t>Pet Owner / Cộng đồng nuôi cún (10đ)</t>
        </is>
      </c>
      <c r="J2060" s="62" t="n">
        <v>10</v>
      </c>
      <c r="K2060" s="9" t="inlineStr">
        <is>
          <t>Chưa rõ giống (Cần quét Bio)</t>
        </is>
      </c>
      <c r="L2060" s="62" t="n">
        <v>0</v>
      </c>
      <c r="M2060" s="62" t="n">
        <v>0</v>
      </c>
      <c r="N2060" s="9" t="inlineStr">
        <is>
          <t>Amazon link not found</t>
        </is>
      </c>
      <c r="O2060" s="62">
        <f>IF(N2060="Selling pet toys + Artificial grass/Pet toilets (TARGET)",15,IF(N2060="Selling artificial grass/pet toilets (TARGET)",10,IF(N2060="Selling pet toys",7,IF(N2060="There's an Amazon link, but no target sales.",3,0))))</f>
        <v/>
      </c>
      <c r="P2060" s="67">
        <f>H2060+J2060+L2060+M2060+O2060</f>
        <v/>
      </c>
      <c r="Q2060" s="68">
        <f>IF(OR(H2060=0,P2060&lt;30),"Tier D (Đóng băng)",IF(P2060&gt;=85,"Tier S (Kim Cương: 85-100đ)",IF(P2060&gt;=70,"Tier A (Vàng: 70-84đ)",IF(P2060&gt;=61,"Tier B+ / Cấp A (Hot Lead: 61-69đ)",IF(P2060&gt;=50,"Tier B (Bạc: 50-60đ)","Tier C (Đồng: 30-49đ)")))))</f>
        <v/>
      </c>
      <c r="R2060" s="9" t="inlineStr">
        <is>
          <t>Khay vệ sinh chung cư (Indoor Potty) + Thảm cỏ ban công (Grass Patch) + Đồ chơi</t>
        </is>
      </c>
      <c r="S2060" s="9" t="inlineStr">
        <is>
          <t>Đóng băng tương tác (&gt;30 ngày): Lưu trữ chờ kích hoạt lại, không tốn tài nguyên Sales</t>
        </is>
      </c>
    </row>
    <row r="2061">
      <c r="A2061" s="53" t="n">
        <v>1740</v>
      </c>
      <c r="B2061" s="12" t="inlineStr">
        <is>
          <t>Isle of Dogs</t>
        </is>
      </c>
      <c r="C2061" s="54" t="inlineStr">
        <is>
          <t>https://www.facebook.com/iodogs</t>
        </is>
      </c>
      <c r="D2061" s="6" t="inlineStr">
        <is>
          <t>Cần quét Bio Fanpage</t>
        </is>
      </c>
      <c r="E2061" s="53" t="inlineStr">
        <is>
          <t>04/09/2026 21:00:06</t>
        </is>
      </c>
      <c r="F2061" s="53" t="inlineStr">
        <is>
          <t>1 tháng trước</t>
        </is>
      </c>
      <c r="G2061" s="55" t="n">
        <v>30</v>
      </c>
      <c r="H2061" s="56" t="n">
        <v>0</v>
      </c>
      <c r="I2061" s="6" t="inlineStr">
        <is>
          <t>Pet Owner / Cộng đồng nuôi cún (10đ)</t>
        </is>
      </c>
      <c r="J2061" s="56" t="n">
        <v>10</v>
      </c>
      <c r="K2061" s="6" t="inlineStr">
        <is>
          <t>Chưa rõ giống (Cần quét Bio)</t>
        </is>
      </c>
      <c r="L2061" s="56" t="n">
        <v>0</v>
      </c>
      <c r="M2061" s="56" t="n">
        <v>0</v>
      </c>
      <c r="N2061" s="6" t="inlineStr">
        <is>
          <t>Amazon link not found</t>
        </is>
      </c>
      <c r="O2061" s="56">
        <f>IF(N2061="Selling pet toys + Artificial grass/Pet toilets (TARGET)",15,IF(N2061="Selling artificial grass/pet toilets (TARGET)",10,IF(N2061="Selling pet toys",7,IF(N2061="There's an Amazon link, but no target sales.",3,0))))</f>
        <v/>
      </c>
      <c r="P2061" s="65">
        <f>H2061+J2061+L2061+M2061+O2061</f>
        <v/>
      </c>
      <c r="Q2061" s="68">
        <f>IF(OR(H2061=0,P2061&lt;30),"Tier D (Đóng băng)",IF(P2061&gt;=85,"Tier S (Kim Cương: 85-100đ)",IF(P2061&gt;=70,"Tier A (Vàng: 70-84đ)",IF(P2061&gt;=61,"Tier B+ / Cấp A (Hot Lead: 61-69đ)",IF(P2061&gt;=50,"Tier B (Bạc: 50-60đ)","Tier C (Đồng: 30-49đ)")))))</f>
        <v/>
      </c>
      <c r="R2061" s="6" t="inlineStr">
        <is>
          <t>Khay vệ sinh chung cư (Indoor Potty) + Thảm cỏ ban công (Grass Patch) + Đồ chơi</t>
        </is>
      </c>
      <c r="S2061" s="6" t="inlineStr">
        <is>
          <t>Đóng băng tương tác (&gt;30 ngày): Lưu trữ chờ kích hoạt lại, không tốn tài nguyên Sales</t>
        </is>
      </c>
    </row>
    <row r="2062">
      <c r="A2062" s="59" t="n">
        <v>564</v>
      </c>
      <c r="B2062" s="15" t="inlineStr">
        <is>
          <t>Avolar Pets</t>
        </is>
      </c>
      <c r="C2062" s="60" t="inlineStr">
        <is>
          <t>https://www.facebook.com/profile.php?id=100095564105677</t>
        </is>
      </c>
      <c r="D2062" s="9" t="inlineStr">
        <is>
          <t>Cần quét Bio Fanpage</t>
        </is>
      </c>
      <c r="E2062" s="59" t="inlineStr">
        <is>
          <t>04/09/2026 03:22:31</t>
        </is>
      </c>
      <c r="F2062" s="59" t="inlineStr">
        <is>
          <t>1 tháng trước</t>
        </is>
      </c>
      <c r="G2062" s="61" t="n">
        <v>30</v>
      </c>
      <c r="H2062" s="62" t="n">
        <v>0</v>
      </c>
      <c r="I2062" s="9" t="inlineStr">
        <is>
          <t>Pet Owner / Cộng đồng nuôi cún (10đ)</t>
        </is>
      </c>
      <c r="J2062" s="62" t="n">
        <v>10</v>
      </c>
      <c r="K2062" s="9" t="inlineStr">
        <is>
          <t>Chưa rõ giống (Cần quét Bio)</t>
        </is>
      </c>
      <c r="L2062" s="62" t="n">
        <v>0</v>
      </c>
      <c r="M2062" s="62" t="n">
        <v>0</v>
      </c>
      <c r="N2062" s="9" t="inlineStr">
        <is>
          <t>Amazon link not found</t>
        </is>
      </c>
      <c r="O2062" s="62">
        <f>IF(N2062="Selling pet toys + Artificial grass/Pet toilets (TARGET)",15,IF(N2062="Selling artificial grass/pet toilets (TARGET)",10,IF(N2062="Selling pet toys",7,IF(N2062="There's an Amazon link, but no target sales.",3,0))))</f>
        <v/>
      </c>
      <c r="P2062" s="67">
        <f>H2062+J2062+L2062+M2062+O2062</f>
        <v/>
      </c>
      <c r="Q2062" s="68">
        <f>IF(OR(H2062=0,P2062&lt;30),"Tier D (Đóng băng)",IF(P2062&gt;=85,"Tier S (Kim Cương: 85-100đ)",IF(P2062&gt;=70,"Tier A (Vàng: 70-84đ)",IF(P2062&gt;=61,"Tier B+ / Cấp A (Hot Lead: 61-69đ)",IF(P2062&gt;=50,"Tier B (Bạc: 50-60đ)","Tier C (Đồng: 30-49đ)")))))</f>
        <v/>
      </c>
      <c r="R2062" s="9" t="inlineStr">
        <is>
          <t>Khay vệ sinh chung cư (Indoor Potty) + Thảm cỏ ban công (Grass Patch) + Đồ chơi</t>
        </is>
      </c>
      <c r="S2062" s="9" t="inlineStr">
        <is>
          <t>Đóng băng tương tác (&gt;30 ngày): Lưu trữ chờ kích hoạt lại, không tốn tài nguyên Sales</t>
        </is>
      </c>
    </row>
    <row r="2063">
      <c r="A2063" s="53" t="n">
        <v>2246</v>
      </c>
      <c r="B2063" s="12" t="inlineStr">
        <is>
          <t>mydognamedgeorge</t>
        </is>
      </c>
      <c r="C2063" s="54" t="inlineStr">
        <is>
          <t>https://www.facebook.com/profile.php?id=100067333032268</t>
        </is>
      </c>
      <c r="D2063" s="6" t="inlineStr">
        <is>
          <t>Cần quét Bio Fanpage</t>
        </is>
      </c>
      <c r="E2063" s="53" t="inlineStr">
        <is>
          <t>01/09/2026 17:23:12</t>
        </is>
      </c>
      <c r="F2063" s="53" t="inlineStr">
        <is>
          <t>1 tháng trước</t>
        </is>
      </c>
      <c r="G2063" s="55" t="n">
        <v>30</v>
      </c>
      <c r="H2063" s="56" t="n">
        <v>0</v>
      </c>
      <c r="I2063" s="6" t="inlineStr">
        <is>
          <t>Pet Owner / Kênh cá nhân thú cưng (10đ)</t>
        </is>
      </c>
      <c r="J2063" s="56" t="n">
        <v>10</v>
      </c>
      <c r="K2063" s="6" t="inlineStr">
        <is>
          <t>Chưa rõ giống (Cần quét Bio)</t>
        </is>
      </c>
      <c r="L2063" s="56" t="n">
        <v>0</v>
      </c>
      <c r="M2063" s="56" t="n">
        <v>0</v>
      </c>
      <c r="N2063" s="6" t="inlineStr">
        <is>
          <t>Amazon link not found</t>
        </is>
      </c>
      <c r="O2063" s="56">
        <f>IF(N2063="Selling pet toys + Artificial grass/Pet toilets (TARGET)",15,IF(N2063="Selling artificial grass/pet toilets (TARGET)",10,IF(N2063="Selling pet toys",7,IF(N2063="There's an Amazon link, but no target sales.",3,0))))</f>
        <v/>
      </c>
      <c r="P2063" s="65">
        <f>H2063+J2063+L2063+M2063+O2063</f>
        <v/>
      </c>
      <c r="Q2063" s="68">
        <f>IF(OR(H2063=0,P2063&lt;30),"Tier D (Đóng băng)",IF(P2063&gt;=85,"Tier S (Kim Cương: 85-100đ)",IF(P2063&gt;=70,"Tier A (Vàng: 70-84đ)",IF(P2063&gt;=61,"Tier B+ / Cấp A (Hot Lead: 61-69đ)",IF(P2063&gt;=50,"Tier B (Bạc: 50-60đ)","Tier C (Đồng: 30-49đ)")))))</f>
        <v/>
      </c>
      <c r="R2063" s="6" t="inlineStr">
        <is>
          <t>Khay vệ sinh trong nhà (Indoor Dog Potty) + Đồ chơi thú cưng lẻ</t>
        </is>
      </c>
      <c r="S2063" s="6" t="inlineStr">
        <is>
          <t>Đóng băng tương tác (&gt;30 ngày): Lưu trữ chờ kích hoạt lại, không tốn tài nguyên Sales</t>
        </is>
      </c>
    </row>
    <row r="2064">
      <c r="A2064" s="59" t="n">
        <v>310</v>
      </c>
      <c r="B2064" s="15" t="inlineStr">
        <is>
          <t>50 DOGS</t>
        </is>
      </c>
      <c r="C2064" s="60" t="inlineStr">
        <is>
          <t>https://www.facebook.com/50dogs.global</t>
        </is>
      </c>
      <c r="D2064" s="9" t="inlineStr">
        <is>
          <t>Cần quét Bio Fanpage</t>
        </is>
      </c>
      <c r="E2064" s="59" t="inlineStr">
        <is>
          <t>01/09/2026 00:02:19</t>
        </is>
      </c>
      <c r="F2064" s="59" t="inlineStr">
        <is>
          <t>1 tháng trước</t>
        </is>
      </c>
      <c r="G2064" s="61" t="n">
        <v>30</v>
      </c>
      <c r="H2064" s="62" t="n">
        <v>0</v>
      </c>
      <c r="I2064" s="9" t="inlineStr">
        <is>
          <t>Pet Owner / Cộng đồng nuôi cún (10đ)</t>
        </is>
      </c>
      <c r="J2064" s="62" t="n">
        <v>10</v>
      </c>
      <c r="K2064" s="9" t="inlineStr">
        <is>
          <t>Chưa rõ giống (Cần quét Bio)</t>
        </is>
      </c>
      <c r="L2064" s="62" t="n">
        <v>0</v>
      </c>
      <c r="M2064" s="62" t="n">
        <v>0</v>
      </c>
      <c r="N2064" s="9" t="inlineStr">
        <is>
          <t>Amazon link not found</t>
        </is>
      </c>
      <c r="O2064" s="62">
        <f>IF(N2064="Selling pet toys + Artificial grass/Pet toilets (TARGET)",15,IF(N2064="Selling artificial grass/pet toilets (TARGET)",10,IF(N2064="Selling pet toys",7,IF(N2064="There's an Amazon link, but no target sales.",3,0))))</f>
        <v/>
      </c>
      <c r="P2064" s="67">
        <f>H2064+J2064+L2064+M2064+O2064</f>
        <v/>
      </c>
      <c r="Q2064" s="68">
        <f>IF(OR(H2064=0,P2064&lt;30),"Tier D (Đóng băng)",IF(P2064&gt;=85,"Tier S (Kim Cương: 85-100đ)",IF(P2064&gt;=70,"Tier A (Vàng: 70-84đ)",IF(P2064&gt;=61,"Tier B+ / Cấp A (Hot Lead: 61-69đ)",IF(P2064&gt;=50,"Tier B (Bạc: 50-60đ)","Tier C (Đồng: 30-49đ)")))))</f>
        <v/>
      </c>
      <c r="R2064" s="9" t="inlineStr">
        <is>
          <t>Khay vệ sinh chung cư (Indoor Potty) + Thảm cỏ ban công (Grass Patch) + Đồ chơi</t>
        </is>
      </c>
      <c r="S2064" s="9" t="inlineStr">
        <is>
          <t>Đóng băng tương tác (&gt;30 ngày): Lưu trữ chờ kích hoạt lại, không tốn tài nguyên Sales</t>
        </is>
      </c>
    </row>
    <row r="2065">
      <c r="A2065" s="53" t="n">
        <v>3261</v>
      </c>
      <c r="B2065" s="12" t="inlineStr">
        <is>
          <t>U-Pet! Wellness</t>
        </is>
      </c>
      <c r="C2065" s="54" t="inlineStr">
        <is>
          <t>https://www.facebook.com/upetwellness</t>
        </is>
      </c>
      <c r="D2065" s="6" t="inlineStr">
        <is>
          <t>Cần quét Bio Fanpage</t>
        </is>
      </c>
      <c r="E2065" s="53" t="inlineStr">
        <is>
          <t>31/08/2026 09:53:36</t>
        </is>
      </c>
      <c r="F2065" s="53" t="inlineStr">
        <is>
          <t>1 tháng trước</t>
        </is>
      </c>
      <c r="G2065" s="55" t="n">
        <v>30</v>
      </c>
      <c r="H2065" s="56" t="n">
        <v>0</v>
      </c>
      <c r="I2065" s="6" t="inlineStr">
        <is>
          <t>Pet Owner / Cộng đồng nuôi cún (10đ)</t>
        </is>
      </c>
      <c r="J2065" s="56" t="n">
        <v>10</v>
      </c>
      <c r="K2065" s="6" t="inlineStr">
        <is>
          <t>Chưa rõ giống (Cần quét Bio)</t>
        </is>
      </c>
      <c r="L2065" s="56" t="n">
        <v>0</v>
      </c>
      <c r="M2065" s="56" t="n">
        <v>0</v>
      </c>
      <c r="N2065" s="6" t="inlineStr">
        <is>
          <t>Amazon link not found</t>
        </is>
      </c>
      <c r="O2065" s="56">
        <f>IF(N2065="Selling pet toys + Artificial grass/Pet toilets (TARGET)",15,IF(N2065="Selling artificial grass/pet toilets (TARGET)",10,IF(N2065="Selling pet toys",7,IF(N2065="There's an Amazon link, but no target sales.",3,0))))</f>
        <v/>
      </c>
      <c r="P2065" s="65">
        <f>H2065+J2065+L2065+M2065+O2065</f>
        <v/>
      </c>
      <c r="Q2065" s="68">
        <f>IF(OR(H2065=0,P2065&lt;30),"Tier D (Đóng băng)",IF(P2065&gt;=85,"Tier S (Kim Cương: 85-100đ)",IF(P2065&gt;=70,"Tier A (Vàng: 70-84đ)",IF(P2065&gt;=61,"Tier B+ / Cấp A (Hot Lead: 61-69đ)",IF(P2065&gt;=50,"Tier B (Bạc: 50-60đ)","Tier C (Đồng: 30-49đ)")))))</f>
        <v/>
      </c>
      <c r="R2065" s="6" t="inlineStr">
        <is>
          <t>Khay vệ sinh chung cư (Indoor Potty) + Thảm cỏ ban công (Grass Patch) + Đồ chơi</t>
        </is>
      </c>
      <c r="S2065" s="6" t="inlineStr">
        <is>
          <t>Đóng băng tương tác (&gt;30 ngày): Lưu trữ chờ kích hoạt lại, không tốn tài nguyên Sales</t>
        </is>
      </c>
    </row>
    <row r="2066">
      <c r="A2066" s="59" t="n">
        <v>1961</v>
      </c>
      <c r="B2066" s="15" t="inlineStr">
        <is>
          <t>Labradoggerz</t>
        </is>
      </c>
      <c r="C2066" s="60" t="inlineStr">
        <is>
          <t>https://www.facebook.com/labradoggerzz</t>
        </is>
      </c>
      <c r="D2066" s="9" t="inlineStr">
        <is>
          <t>Cần quét Bio Fanpage</t>
        </is>
      </c>
      <c r="E2066" s="59" t="inlineStr">
        <is>
          <t>31/08/2026 03:27:11</t>
        </is>
      </c>
      <c r="F2066" s="59" t="inlineStr">
        <is>
          <t>1 tháng trước</t>
        </is>
      </c>
      <c r="G2066" s="61" t="n">
        <v>30</v>
      </c>
      <c r="H2066" s="62" t="n">
        <v>0</v>
      </c>
      <c r="I2066" s="9" t="inlineStr">
        <is>
          <t>Pet Owner / Cộng đồng nuôi cún (10đ)</t>
        </is>
      </c>
      <c r="J2066" s="62" t="n">
        <v>10</v>
      </c>
      <c r="K2066" s="9" t="inlineStr">
        <is>
          <t>Chưa rõ giống (Cần quét Bio)</t>
        </is>
      </c>
      <c r="L2066" s="62" t="n">
        <v>0</v>
      </c>
      <c r="M2066" s="62" t="n">
        <v>0</v>
      </c>
      <c r="N2066" s="9" t="inlineStr">
        <is>
          <t>Amazon link not found</t>
        </is>
      </c>
      <c r="O2066" s="62">
        <f>IF(N2066="Selling pet toys + Artificial grass/Pet toilets (TARGET)",15,IF(N2066="Selling artificial grass/pet toilets (TARGET)",10,IF(N2066="Selling pet toys",7,IF(N2066="There's an Amazon link, but no target sales.",3,0))))</f>
        <v/>
      </c>
      <c r="P2066" s="67">
        <f>H2066+J2066+L2066+M2066+O2066</f>
        <v/>
      </c>
      <c r="Q2066" s="68">
        <f>IF(OR(H2066=0,P2066&lt;30),"Tier D (Đóng băng)",IF(P2066&gt;=85,"Tier S (Kim Cương: 85-100đ)",IF(P2066&gt;=70,"Tier A (Vàng: 70-84đ)",IF(P2066&gt;=61,"Tier B+ / Cấp A (Hot Lead: 61-69đ)",IF(P2066&gt;=50,"Tier B (Bạc: 50-60đ)","Tier C (Đồng: 30-49đ)")))))</f>
        <v/>
      </c>
      <c r="R2066" s="9" t="inlineStr">
        <is>
          <t>Khay vệ sinh chung cư (Indoor Potty) + Thảm cỏ ban công (Grass Patch) + Đồ chơi</t>
        </is>
      </c>
      <c r="S2066" s="9" t="inlineStr">
        <is>
          <t>Đóng băng tương tác (&gt;30 ngày): Lưu trữ chờ kích hoạt lại, không tốn tài nguyên Sales</t>
        </is>
      </c>
    </row>
    <row r="2067">
      <c r="A2067" s="53" t="n">
        <v>2165</v>
      </c>
      <c r="B2067" s="12" t="inlineStr">
        <is>
          <t>Meu Pet Querido</t>
        </is>
      </c>
      <c r="C2067" s="54" t="inlineStr">
        <is>
          <t>https://www.facebook.com/meupetsquerido</t>
        </is>
      </c>
      <c r="D2067" s="6" t="inlineStr">
        <is>
          <t>Cần quét Bio Fanpage</t>
        </is>
      </c>
      <c r="E2067" s="53" t="inlineStr">
        <is>
          <t>30/08/2026 07:37:01</t>
        </is>
      </c>
      <c r="F2067" s="53" t="inlineStr">
        <is>
          <t>1 tháng trước</t>
        </is>
      </c>
      <c r="G2067" s="55" t="n">
        <v>30</v>
      </c>
      <c r="H2067" s="56" t="n">
        <v>0</v>
      </c>
      <c r="I2067" s="6" t="inlineStr">
        <is>
          <t>Pet Owner / Cộng đồng nuôi cún (10đ)</t>
        </is>
      </c>
      <c r="J2067" s="56" t="n">
        <v>10</v>
      </c>
      <c r="K2067" s="6" t="inlineStr">
        <is>
          <t>Chưa rõ giống (Cần quét Bio)</t>
        </is>
      </c>
      <c r="L2067" s="56" t="n">
        <v>0</v>
      </c>
      <c r="M2067" s="56" t="n">
        <v>0</v>
      </c>
      <c r="N2067" s="6" t="inlineStr">
        <is>
          <t>Amazon link not found</t>
        </is>
      </c>
      <c r="O2067" s="56">
        <f>IF(N2067="Selling pet toys + Artificial grass/Pet toilets (TARGET)",15,IF(N2067="Selling artificial grass/pet toilets (TARGET)",10,IF(N2067="Selling pet toys",7,IF(N2067="There's an Amazon link, but no target sales.",3,0))))</f>
        <v/>
      </c>
      <c r="P2067" s="65">
        <f>H2067+J2067+L2067+M2067+O2067</f>
        <v/>
      </c>
      <c r="Q2067" s="68">
        <f>IF(OR(H2067=0,P2067&lt;30),"Tier D (Đóng băng)",IF(P2067&gt;=85,"Tier S (Kim Cương: 85-100đ)",IF(P2067&gt;=70,"Tier A (Vàng: 70-84đ)",IF(P2067&gt;=61,"Tier B+ / Cấp A (Hot Lead: 61-69đ)",IF(P2067&gt;=50,"Tier B (Bạc: 50-60đ)","Tier C (Đồng: 30-49đ)")))))</f>
        <v/>
      </c>
      <c r="R2067" s="6" t="inlineStr">
        <is>
          <t>Khay vệ sinh chung cư (Indoor Potty) + Thảm cỏ ban công (Grass Patch) + Đồ chơi</t>
        </is>
      </c>
      <c r="S2067" s="6" t="inlineStr">
        <is>
          <t>Đóng băng tương tác (&gt;30 ngày): Lưu trữ chờ kích hoạt lại, không tốn tài nguyên Sales</t>
        </is>
      </c>
    </row>
    <row r="2068">
      <c r="A2068" s="59" t="n">
        <v>2552</v>
      </c>
      <c r="B2068" s="15" t="inlineStr">
        <is>
          <t>Petsthetics</t>
        </is>
      </c>
      <c r="C2068" s="60" t="inlineStr">
        <is>
          <t>https://www.facebook.com/petsthetics</t>
        </is>
      </c>
      <c r="D2068" s="9" t="inlineStr">
        <is>
          <t>Cần quét Bio Fanpage</t>
        </is>
      </c>
      <c r="E2068" s="59" t="inlineStr">
        <is>
          <t>29/08/2026 02:17:45</t>
        </is>
      </c>
      <c r="F2068" s="59" t="inlineStr">
        <is>
          <t>1 tháng trước</t>
        </is>
      </c>
      <c r="G2068" s="61" t="n">
        <v>30</v>
      </c>
      <c r="H2068" s="62" t="n">
        <v>0</v>
      </c>
      <c r="I2068" s="9" t="inlineStr">
        <is>
          <t>Pet Owner / Cộng đồng nuôi cún (10đ)</t>
        </is>
      </c>
      <c r="J2068" s="62" t="n">
        <v>10</v>
      </c>
      <c r="K2068" s="9" t="inlineStr">
        <is>
          <t>Chưa rõ giống (Cần quét Bio)</t>
        </is>
      </c>
      <c r="L2068" s="62" t="n">
        <v>0</v>
      </c>
      <c r="M2068" s="62" t="n">
        <v>0</v>
      </c>
      <c r="N2068" s="9" t="inlineStr">
        <is>
          <t>Amazon link not found</t>
        </is>
      </c>
      <c r="O2068" s="62">
        <f>IF(N2068="Selling pet toys + Artificial grass/Pet toilets (TARGET)",15,IF(N2068="Selling artificial grass/pet toilets (TARGET)",10,IF(N2068="Selling pet toys",7,IF(N2068="There's an Amazon link, but no target sales.",3,0))))</f>
        <v/>
      </c>
      <c r="P2068" s="67">
        <f>H2068+J2068+L2068+M2068+O2068</f>
        <v/>
      </c>
      <c r="Q2068" s="68">
        <f>IF(OR(H2068=0,P2068&lt;30),"Tier D (Đóng băng)",IF(P2068&gt;=85,"Tier S (Kim Cương: 85-100đ)",IF(P2068&gt;=70,"Tier A (Vàng: 70-84đ)",IF(P2068&gt;=61,"Tier B+ / Cấp A (Hot Lead: 61-69đ)",IF(P2068&gt;=50,"Tier B (Bạc: 50-60đ)","Tier C (Đồng: 30-49đ)")))))</f>
        <v/>
      </c>
      <c r="R2068" s="9" t="inlineStr">
        <is>
          <t>Khay vệ sinh chung cư (Indoor Potty) + Thảm cỏ ban công (Grass Patch) + Đồ chơi</t>
        </is>
      </c>
      <c r="S2068" s="9" t="inlineStr">
        <is>
          <t>Đóng băng tương tác (&gt;30 ngày): Lưu trữ chờ kích hoạt lại, không tốn tài nguyên Sales</t>
        </is>
      </c>
    </row>
    <row r="2069">
      <c r="A2069" s="53" t="n">
        <v>277</v>
      </c>
      <c r="B2069" s="12" t="inlineStr">
        <is>
          <t>The Dog Cancer Series</t>
        </is>
      </c>
      <c r="C2069" s="54" t="inlineStr">
        <is>
          <t>https://www.facebook.com/dogcancerseries</t>
        </is>
      </c>
      <c r="D2069" s="6" t="inlineStr">
        <is>
          <t>Cần quét Bio Fanpage</t>
        </is>
      </c>
      <c r="E2069" s="53" t="inlineStr">
        <is>
          <t>28/08/2026 23:07:10</t>
        </is>
      </c>
      <c r="F2069" s="53" t="inlineStr">
        <is>
          <t>1 tháng trước</t>
        </is>
      </c>
      <c r="G2069" s="55" t="n">
        <v>30</v>
      </c>
      <c r="H2069" s="56" t="n">
        <v>0</v>
      </c>
      <c r="I2069" s="6" t="inlineStr">
        <is>
          <t>Pet Owner / Kênh cá nhân thú cưng (10đ)</t>
        </is>
      </c>
      <c r="J2069" s="56" t="n">
        <v>10</v>
      </c>
      <c r="K2069" s="6" t="inlineStr">
        <is>
          <t>Chưa rõ giống (Cần quét Bio)</t>
        </is>
      </c>
      <c r="L2069" s="56" t="n">
        <v>0</v>
      </c>
      <c r="M2069" s="56" t="n">
        <v>0</v>
      </c>
      <c r="N2069" s="6" t="inlineStr">
        <is>
          <t>Amazon link not found</t>
        </is>
      </c>
      <c r="O2069" s="56">
        <f>IF(N2069="Selling pet toys + Artificial grass/Pet toilets (TARGET)",15,IF(N2069="Selling artificial grass/pet toilets (TARGET)",10,IF(N2069="Selling pet toys",7,IF(N2069="There's an Amazon link, but no target sales.",3,0))))</f>
        <v/>
      </c>
      <c r="P2069" s="65">
        <f>H2069+J2069+L2069+M2069+O2069</f>
        <v/>
      </c>
      <c r="Q2069" s="68">
        <f>IF(OR(H2069=0,P2069&lt;30),"Tier D (Đóng băng)",IF(P2069&gt;=85,"Tier S (Kim Cương: 85-100đ)",IF(P2069&gt;=70,"Tier A (Vàng: 70-84đ)",IF(P2069&gt;=61,"Tier B+ / Cấp A (Hot Lead: 61-69đ)",IF(P2069&gt;=50,"Tier B (Bạc: 50-60đ)","Tier C (Đồng: 30-49đ)")))))</f>
        <v/>
      </c>
      <c r="R2069" s="6" t="inlineStr">
        <is>
          <t>Khay vệ sinh trong nhà (Indoor Dog Potty) + Đồ chơi thú cưng lẻ</t>
        </is>
      </c>
      <c r="S2069" s="6" t="inlineStr">
        <is>
          <t>Đóng băng tương tác (&gt;30 ngày): Lưu trữ chờ kích hoạt lại, không tốn tài nguyên Sales</t>
        </is>
      </c>
    </row>
    <row r="2070">
      <c r="A2070" s="59" t="n">
        <v>349</v>
      </c>
      <c r="B2070" s="15" t="inlineStr">
        <is>
          <t>AGKDOG Design</t>
        </is>
      </c>
      <c r="C2070" s="60" t="inlineStr">
        <is>
          <t>https://www.facebook.com/agkdog</t>
        </is>
      </c>
      <c r="D2070" s="9" t="inlineStr">
        <is>
          <t>Cần quét Bio Fanpage</t>
        </is>
      </c>
      <c r="E2070" s="59" t="inlineStr">
        <is>
          <t>28/08/2026 15:52:35</t>
        </is>
      </c>
      <c r="F2070" s="59" t="inlineStr">
        <is>
          <t>1 tháng trước</t>
        </is>
      </c>
      <c r="G2070" s="61" t="n">
        <v>30</v>
      </c>
      <c r="H2070" s="62" t="n">
        <v>0</v>
      </c>
      <c r="I2070" s="9" t="inlineStr">
        <is>
          <t>Pet Owner / Cộng đồng nuôi cún (10đ)</t>
        </is>
      </c>
      <c r="J2070" s="62" t="n">
        <v>10</v>
      </c>
      <c r="K2070" s="9" t="inlineStr">
        <is>
          <t>Chưa rõ giống (Cần quét Bio)</t>
        </is>
      </c>
      <c r="L2070" s="62" t="n">
        <v>0</v>
      </c>
      <c r="M2070" s="62" t="n">
        <v>0</v>
      </c>
      <c r="N2070" s="9" t="inlineStr">
        <is>
          <t>Amazon link not found</t>
        </is>
      </c>
      <c r="O2070" s="62">
        <f>IF(N2070="Selling pet toys + Artificial grass/Pet toilets (TARGET)",15,IF(N2070="Selling artificial grass/pet toilets (TARGET)",10,IF(N2070="Selling pet toys",7,IF(N2070="There's an Amazon link, but no target sales.",3,0))))</f>
        <v/>
      </c>
      <c r="P2070" s="67">
        <f>H2070+J2070+L2070+M2070+O2070</f>
        <v/>
      </c>
      <c r="Q2070" s="68">
        <f>IF(OR(H2070=0,P2070&lt;30),"Tier D (Đóng băng)",IF(P2070&gt;=85,"Tier S (Kim Cương: 85-100đ)",IF(P2070&gt;=70,"Tier A (Vàng: 70-84đ)",IF(P2070&gt;=61,"Tier B+ / Cấp A (Hot Lead: 61-69đ)",IF(P2070&gt;=50,"Tier B (Bạc: 50-60đ)","Tier C (Đồng: 30-49đ)")))))</f>
        <v/>
      </c>
      <c r="R2070" s="9" t="inlineStr">
        <is>
          <t>Khay vệ sinh chung cư (Indoor Potty) + Thảm cỏ ban công (Grass Patch) + Đồ chơi</t>
        </is>
      </c>
      <c r="S2070" s="9" t="inlineStr">
        <is>
          <t>Đóng băng tương tác (&gt;30 ngày): Lưu trữ chờ kích hoạt lại, không tốn tài nguyên Sales</t>
        </is>
      </c>
    </row>
    <row r="2071">
      <c r="A2071" s="53" t="n">
        <v>236</v>
      </c>
      <c r="B2071" s="12" t="inlineStr">
        <is>
          <t>Only Pet Transport</t>
        </is>
      </c>
      <c r="C2071" s="54" t="inlineStr">
        <is>
          <t>https://www.facebook.com/Onlyimportsaustralia</t>
        </is>
      </c>
      <c r="D2071" s="6" t="inlineStr">
        <is>
          <t>Cần quét Bio Fanpage</t>
        </is>
      </c>
      <c r="E2071" s="53" t="inlineStr">
        <is>
          <t>28/08/2026 14:51:52</t>
        </is>
      </c>
      <c r="F2071" s="53" t="inlineStr">
        <is>
          <t>1 tháng trước</t>
        </is>
      </c>
      <c r="G2071" s="55" t="n">
        <v>30</v>
      </c>
      <c r="H2071" s="56" t="n">
        <v>0</v>
      </c>
      <c r="I2071" s="6" t="inlineStr">
        <is>
          <t>Pet Owner / Cộng đồng nuôi cún (10đ)</t>
        </is>
      </c>
      <c r="J2071" s="56" t="n">
        <v>10</v>
      </c>
      <c r="K2071" s="6" t="inlineStr">
        <is>
          <t>Chưa rõ giống (Cần quét Bio)</t>
        </is>
      </c>
      <c r="L2071" s="56" t="n">
        <v>0</v>
      </c>
      <c r="M2071" s="56" t="n">
        <v>0</v>
      </c>
      <c r="N2071" s="6" t="inlineStr">
        <is>
          <t>Amazon link not found</t>
        </is>
      </c>
      <c r="O2071" s="56">
        <f>IF(N2071="Selling pet toys + Artificial grass/Pet toilets (TARGET)",15,IF(N2071="Selling artificial grass/pet toilets (TARGET)",10,IF(N2071="Selling pet toys",7,IF(N2071="There's an Amazon link, but no target sales.",3,0))))</f>
        <v/>
      </c>
      <c r="P2071" s="65">
        <f>H2071+J2071+L2071+M2071+O2071</f>
        <v/>
      </c>
      <c r="Q2071" s="68">
        <f>IF(OR(H2071=0,P2071&lt;30),"Tier D (Đóng băng)",IF(P2071&gt;=85,"Tier S (Kim Cương: 85-100đ)",IF(P2071&gt;=70,"Tier A (Vàng: 70-84đ)",IF(P2071&gt;=61,"Tier B+ / Cấp A (Hot Lead: 61-69đ)",IF(P2071&gt;=50,"Tier B (Bạc: 50-60đ)","Tier C (Đồng: 30-49đ)")))))</f>
        <v/>
      </c>
      <c r="R2071" s="6" t="inlineStr">
        <is>
          <t>Khay vệ sinh chung cư (Indoor Potty) + Thảm cỏ ban công (Grass Patch) + Đồ chơi</t>
        </is>
      </c>
      <c r="S2071" s="6" t="inlineStr">
        <is>
          <t>Đóng băng tương tác (&gt;30 ngày): Lưu trữ chờ kích hoạt lại, không tốn tài nguyên Sales</t>
        </is>
      </c>
    </row>
    <row r="2072">
      <c r="A2072" s="59" t="n">
        <v>1219</v>
      </c>
      <c r="B2072" s="15" t="inlineStr">
        <is>
          <t>Dr Cruz N Pets</t>
        </is>
      </c>
      <c r="C2072" s="60" t="inlineStr">
        <is>
          <t>https://www.facebook.com/drcruznpets</t>
        </is>
      </c>
      <c r="D2072" s="9" t="inlineStr">
        <is>
          <t>Cần quét Bio Fanpage</t>
        </is>
      </c>
      <c r="E2072" s="59" t="inlineStr">
        <is>
          <t>28/08/2026 05:17:53</t>
        </is>
      </c>
      <c r="F2072" s="59" t="inlineStr">
        <is>
          <t>1 tháng trước</t>
        </is>
      </c>
      <c r="G2072" s="61" t="n">
        <v>30</v>
      </c>
      <c r="H2072" s="62" t="n">
        <v>0</v>
      </c>
      <c r="I2072" s="9" t="inlineStr">
        <is>
          <t>Pet Owner / Cộng đồng nuôi cún (10đ)</t>
        </is>
      </c>
      <c r="J2072" s="62" t="n">
        <v>10</v>
      </c>
      <c r="K2072" s="9" t="inlineStr">
        <is>
          <t>Chưa rõ giống (Cần quét Bio)</t>
        </is>
      </c>
      <c r="L2072" s="62" t="n">
        <v>0</v>
      </c>
      <c r="M2072" s="62" t="n">
        <v>0</v>
      </c>
      <c r="N2072" s="9" t="inlineStr">
        <is>
          <t>Amazon link not found</t>
        </is>
      </c>
      <c r="O2072" s="62">
        <f>IF(N2072="Selling pet toys + Artificial grass/Pet toilets (TARGET)",15,IF(N2072="Selling artificial grass/pet toilets (TARGET)",10,IF(N2072="Selling pet toys",7,IF(N2072="There's an Amazon link, but no target sales.",3,0))))</f>
        <v/>
      </c>
      <c r="P2072" s="67">
        <f>H2072+J2072+L2072+M2072+O2072</f>
        <v/>
      </c>
      <c r="Q2072" s="68">
        <f>IF(OR(H2072=0,P2072&lt;30),"Tier D (Đóng băng)",IF(P2072&gt;=85,"Tier S (Kim Cương: 85-100đ)",IF(P2072&gt;=70,"Tier A (Vàng: 70-84đ)",IF(P2072&gt;=61,"Tier B+ / Cấp A (Hot Lead: 61-69đ)",IF(P2072&gt;=50,"Tier B (Bạc: 50-60đ)","Tier C (Đồng: 30-49đ)")))))</f>
        <v/>
      </c>
      <c r="R2072" s="9" t="inlineStr">
        <is>
          <t>Khay vệ sinh chung cư (Indoor Potty) + Thảm cỏ ban công (Grass Patch) + Đồ chơi</t>
        </is>
      </c>
      <c r="S2072" s="9" t="inlineStr">
        <is>
          <t>Đóng băng tương tác (&gt;30 ngày): Lưu trữ chờ kích hoạt lại, không tốn tài nguyên Sales</t>
        </is>
      </c>
    </row>
    <row r="2073">
      <c r="A2073" s="53" t="n">
        <v>811</v>
      </c>
      <c r="B2073" s="12" t="inlineStr">
        <is>
          <t>Calm Dog Method</t>
        </is>
      </c>
      <c r="C2073" s="54" t="inlineStr">
        <is>
          <t>https://www.facebook.com/calmdogmethod</t>
        </is>
      </c>
      <c r="D2073" s="6" t="inlineStr">
        <is>
          <t>Cần quét Bio Fanpage</t>
        </is>
      </c>
      <c r="E2073" s="53" t="inlineStr">
        <is>
          <t>27/08/2026 04:25:01</t>
        </is>
      </c>
      <c r="F2073" s="53" t="inlineStr">
        <is>
          <t>1 tháng trước</t>
        </is>
      </c>
      <c r="G2073" s="55" t="n">
        <v>30</v>
      </c>
      <c r="H2073" s="56" t="n">
        <v>0</v>
      </c>
      <c r="I2073" s="6" t="inlineStr">
        <is>
          <t>Pet Owner / Cộng đồng nuôi cún (10đ)</t>
        </is>
      </c>
      <c r="J2073" s="56" t="n">
        <v>10</v>
      </c>
      <c r="K2073" s="6" t="inlineStr">
        <is>
          <t>Chưa rõ giống (Cần quét Bio)</t>
        </is>
      </c>
      <c r="L2073" s="56" t="n">
        <v>0</v>
      </c>
      <c r="M2073" s="56" t="n">
        <v>0</v>
      </c>
      <c r="N2073" s="6" t="inlineStr">
        <is>
          <t>Amazon link not found</t>
        </is>
      </c>
      <c r="O2073" s="56">
        <f>IF(N2073="Selling pet toys + Artificial grass/Pet toilets (TARGET)",15,IF(N2073="Selling artificial grass/pet toilets (TARGET)",10,IF(N2073="Selling pet toys",7,IF(N2073="There's an Amazon link, but no target sales.",3,0))))</f>
        <v/>
      </c>
      <c r="P2073" s="65">
        <f>H2073+J2073+L2073+M2073+O2073</f>
        <v/>
      </c>
      <c r="Q2073" s="68">
        <f>IF(OR(H2073=0,P2073&lt;30),"Tier D (Đóng băng)",IF(P2073&gt;=85,"Tier S (Kim Cương: 85-100đ)",IF(P2073&gt;=70,"Tier A (Vàng: 70-84đ)",IF(P2073&gt;=61,"Tier B+ / Cấp A (Hot Lead: 61-69đ)",IF(P2073&gt;=50,"Tier B (Bạc: 50-60đ)","Tier C (Đồng: 30-49đ)")))))</f>
        <v/>
      </c>
      <c r="R2073" s="6" t="inlineStr">
        <is>
          <t>Khay vệ sinh chung cư (Indoor Potty) + Thảm cỏ ban công (Grass Patch) + Đồ chơi</t>
        </is>
      </c>
      <c r="S2073" s="6" t="inlineStr">
        <is>
          <t>Đóng băng tương tác (&gt;30 ngày): Lưu trữ chờ kích hoạt lại, không tốn tài nguyên Sales</t>
        </is>
      </c>
    </row>
    <row r="2074">
      <c r="A2074" s="59" t="n">
        <v>2682</v>
      </c>
      <c r="B2074" s="15" t="inlineStr">
        <is>
          <t>Queenbeebullies</t>
        </is>
      </c>
      <c r="C2074" s="60" t="inlineStr">
        <is>
          <t>https://www.facebook.com/profile.php?id=100065023237899</t>
        </is>
      </c>
      <c r="D2074" s="9" t="inlineStr">
        <is>
          <t>Cần quét Bio Fanpage</t>
        </is>
      </c>
      <c r="E2074" s="59" t="inlineStr">
        <is>
          <t>25/08/2026 10:41:09</t>
        </is>
      </c>
      <c r="F2074" s="59" t="inlineStr">
        <is>
          <t>1 tháng trước</t>
        </is>
      </c>
      <c r="G2074" s="61" t="n">
        <v>30</v>
      </c>
      <c r="H2074" s="62" t="n">
        <v>0</v>
      </c>
      <c r="I2074" s="9" t="inlineStr">
        <is>
          <t>Pet Owner / Cộng đồng nuôi cún (10đ)</t>
        </is>
      </c>
      <c r="J2074" s="62" t="n">
        <v>10</v>
      </c>
      <c r="K2074" s="9" t="inlineStr">
        <is>
          <t>Chưa rõ giống (Cần quét Bio)</t>
        </is>
      </c>
      <c r="L2074" s="62" t="n">
        <v>0</v>
      </c>
      <c r="M2074" s="62" t="n">
        <v>0</v>
      </c>
      <c r="N2074" s="9" t="inlineStr">
        <is>
          <t>Amazon link not found</t>
        </is>
      </c>
      <c r="O2074" s="62">
        <f>IF(N2074="Selling pet toys + Artificial grass/Pet toilets (TARGET)",15,IF(N2074="Selling artificial grass/pet toilets (TARGET)",10,IF(N2074="Selling pet toys",7,IF(N2074="There's an Amazon link, but no target sales.",3,0))))</f>
        <v/>
      </c>
      <c r="P2074" s="67">
        <f>H2074+J2074+L2074+M2074+O2074</f>
        <v/>
      </c>
      <c r="Q2074" s="68">
        <f>IF(OR(H2074=0,P2074&lt;30),"Tier D (Đóng băng)",IF(P2074&gt;=85,"Tier S (Kim Cương: 85-100đ)",IF(P2074&gt;=70,"Tier A (Vàng: 70-84đ)",IF(P2074&gt;=61,"Tier B+ / Cấp A (Hot Lead: 61-69đ)",IF(P2074&gt;=50,"Tier B (Bạc: 50-60đ)","Tier C (Đồng: 30-49đ)")))))</f>
        <v/>
      </c>
      <c r="R2074" s="9" t="inlineStr">
        <is>
          <t>Khay vệ sinh chung cư (Indoor Potty) + Thảm cỏ ban công (Grass Patch) + Đồ chơi</t>
        </is>
      </c>
      <c r="S2074" s="9" t="inlineStr">
        <is>
          <t>Đóng băng tương tác (&gt;30 ngày): Lưu trữ chờ kích hoạt lại, không tốn tài nguyên Sales</t>
        </is>
      </c>
    </row>
    <row r="2075">
      <c r="A2075" s="53" t="n">
        <v>2823</v>
      </c>
      <c r="B2075" s="12" t="inlineStr">
        <is>
          <t>Santa Barbara Dog Show Weekend</t>
        </is>
      </c>
      <c r="C2075" s="54" t="inlineStr">
        <is>
          <t>https://www.facebook.com/profile.php?id=61578422488631</t>
        </is>
      </c>
      <c r="D2075" s="6" t="inlineStr">
        <is>
          <t>Cần quét Bio Fanpage</t>
        </is>
      </c>
      <c r="E2075" s="53" t="inlineStr">
        <is>
          <t>25/08/2026 10:17:23</t>
        </is>
      </c>
      <c r="F2075" s="53" t="inlineStr">
        <is>
          <t>1 tháng trước</t>
        </is>
      </c>
      <c r="G2075" s="55" t="n">
        <v>30</v>
      </c>
      <c r="H2075" s="56" t="n">
        <v>0</v>
      </c>
      <c r="I2075" s="6" t="inlineStr">
        <is>
          <t>Pet Owner / Cộng đồng nuôi cún (10đ)</t>
        </is>
      </c>
      <c r="J2075" s="56" t="n">
        <v>10</v>
      </c>
      <c r="K2075" s="6" t="inlineStr">
        <is>
          <t>Chưa rõ giống (Cần quét Bio)</t>
        </is>
      </c>
      <c r="L2075" s="56" t="n">
        <v>0</v>
      </c>
      <c r="M2075" s="56" t="n">
        <v>0</v>
      </c>
      <c r="N2075" s="6" t="inlineStr">
        <is>
          <t>Amazon link not found</t>
        </is>
      </c>
      <c r="O2075" s="56">
        <f>IF(N2075="Selling pet toys + Artificial grass/Pet toilets (TARGET)",15,IF(N2075="Selling artificial grass/pet toilets (TARGET)",10,IF(N2075="Selling pet toys",7,IF(N2075="There's an Amazon link, but no target sales.",3,0))))</f>
        <v/>
      </c>
      <c r="P2075" s="65">
        <f>H2075+J2075+L2075+M2075+O2075</f>
        <v/>
      </c>
      <c r="Q2075" s="68">
        <f>IF(OR(H2075=0,P2075&lt;30),"Tier D (Đóng băng)",IF(P2075&gt;=85,"Tier S (Kim Cương: 85-100đ)",IF(P2075&gt;=70,"Tier A (Vàng: 70-84đ)",IF(P2075&gt;=61,"Tier B+ / Cấp A (Hot Lead: 61-69đ)",IF(P2075&gt;=50,"Tier B (Bạc: 50-60đ)","Tier C (Đồng: 30-49đ)")))))</f>
        <v/>
      </c>
      <c r="R2075" s="6" t="inlineStr">
        <is>
          <t>Khay vệ sinh chung cư (Indoor Potty) + Thảm cỏ ban công (Grass Patch) + Đồ chơi</t>
        </is>
      </c>
      <c r="S2075" s="6" t="inlineStr">
        <is>
          <t>Đóng băng tương tác (&gt;30 ngày): Lưu trữ chờ kích hoạt lại, không tốn tài nguyên Sales</t>
        </is>
      </c>
    </row>
    <row r="2076">
      <c r="A2076" s="59" t="n">
        <v>1247</v>
      </c>
      <c r="B2076" s="15" t="inlineStr">
        <is>
          <t>Duodanube Dog Show</t>
        </is>
      </c>
      <c r="C2076" s="60" t="inlineStr">
        <is>
          <t>https://www.facebook.com/duodanube.sk</t>
        </is>
      </c>
      <c r="D2076" s="9" t="inlineStr">
        <is>
          <t>Cần quét Bio Fanpage</t>
        </is>
      </c>
      <c r="E2076" s="59" t="inlineStr">
        <is>
          <t>24/08/2026 02:18:45</t>
        </is>
      </c>
      <c r="F2076" s="59" t="inlineStr">
        <is>
          <t>1 tháng trước</t>
        </is>
      </c>
      <c r="G2076" s="61" t="n">
        <v>30</v>
      </c>
      <c r="H2076" s="62" t="n">
        <v>0</v>
      </c>
      <c r="I2076" s="9" t="inlineStr">
        <is>
          <t>Pet Owner / Cộng đồng nuôi cún (10đ)</t>
        </is>
      </c>
      <c r="J2076" s="62" t="n">
        <v>10</v>
      </c>
      <c r="K2076" s="9" t="inlineStr">
        <is>
          <t>Chưa rõ giống (Cần quét Bio)</t>
        </is>
      </c>
      <c r="L2076" s="62" t="n">
        <v>0</v>
      </c>
      <c r="M2076" s="62" t="n">
        <v>0</v>
      </c>
      <c r="N2076" s="9" t="inlineStr">
        <is>
          <t>Amazon link not found</t>
        </is>
      </c>
      <c r="O2076" s="62">
        <f>IF(N2076="Selling pet toys + Artificial grass/Pet toilets (TARGET)",15,IF(N2076="Selling artificial grass/pet toilets (TARGET)",10,IF(N2076="Selling pet toys",7,IF(N2076="There's an Amazon link, but no target sales.",3,0))))</f>
        <v/>
      </c>
      <c r="P2076" s="67">
        <f>H2076+J2076+L2076+M2076+O2076</f>
        <v/>
      </c>
      <c r="Q2076" s="68">
        <f>IF(OR(H2076=0,P2076&lt;30),"Tier D (Đóng băng)",IF(P2076&gt;=85,"Tier S (Kim Cương: 85-100đ)",IF(P2076&gt;=70,"Tier A (Vàng: 70-84đ)",IF(P2076&gt;=61,"Tier B+ / Cấp A (Hot Lead: 61-69đ)",IF(P2076&gt;=50,"Tier B (Bạc: 50-60đ)","Tier C (Đồng: 30-49đ)")))))</f>
        <v/>
      </c>
      <c r="R2076" s="9" t="inlineStr">
        <is>
          <t>Khay vệ sinh chung cư (Indoor Potty) + Thảm cỏ ban công (Grass Patch) + Đồ chơi</t>
        </is>
      </c>
      <c r="S2076" s="9" t="inlineStr">
        <is>
          <t>Đóng băng tương tác (&gt;30 ngày): Lưu trữ chờ kích hoạt lại, không tốn tài nguyên Sales</t>
        </is>
      </c>
    </row>
    <row r="2077">
      <c r="A2077" s="53" t="n">
        <v>1160</v>
      </c>
      <c r="B2077" s="12" t="inlineStr">
        <is>
          <t>DOGS AT WEB design</t>
        </is>
      </c>
      <c r="C2077" s="54" t="inlineStr">
        <is>
          <t>https://www.facebook.com/dogsatwebdesign</t>
        </is>
      </c>
      <c r="D2077" s="6" t="inlineStr">
        <is>
          <t>Cần quét Bio Fanpage</t>
        </is>
      </c>
      <c r="E2077" s="53" t="inlineStr">
        <is>
          <t>24/08/2026 01:50:58</t>
        </is>
      </c>
      <c r="F2077" s="53" t="inlineStr">
        <is>
          <t>1 tháng trước</t>
        </is>
      </c>
      <c r="G2077" s="55" t="n">
        <v>30</v>
      </c>
      <c r="H2077" s="56" t="n">
        <v>0</v>
      </c>
      <c r="I2077" s="6" t="inlineStr">
        <is>
          <t>Pet Owner / Cộng đồng nuôi cún (10đ)</t>
        </is>
      </c>
      <c r="J2077" s="56" t="n">
        <v>10</v>
      </c>
      <c r="K2077" s="6" t="inlineStr">
        <is>
          <t>Chưa rõ giống (Cần quét Bio)</t>
        </is>
      </c>
      <c r="L2077" s="56" t="n">
        <v>0</v>
      </c>
      <c r="M2077" s="56" t="n">
        <v>0</v>
      </c>
      <c r="N2077" s="6" t="inlineStr">
        <is>
          <t>Amazon link not found</t>
        </is>
      </c>
      <c r="O2077" s="56">
        <f>IF(N2077="Selling pet toys + Artificial grass/Pet toilets (TARGET)",15,IF(N2077="Selling artificial grass/pet toilets (TARGET)",10,IF(N2077="Selling pet toys",7,IF(N2077="There's an Amazon link, but no target sales.",3,0))))</f>
        <v/>
      </c>
      <c r="P2077" s="65">
        <f>H2077+J2077+L2077+M2077+O2077</f>
        <v/>
      </c>
      <c r="Q2077" s="68">
        <f>IF(OR(H2077=0,P2077&lt;30),"Tier D (Đóng băng)",IF(P2077&gt;=85,"Tier S (Kim Cương: 85-100đ)",IF(P2077&gt;=70,"Tier A (Vàng: 70-84đ)",IF(P2077&gt;=61,"Tier B+ / Cấp A (Hot Lead: 61-69đ)",IF(P2077&gt;=50,"Tier B (Bạc: 50-60đ)","Tier C (Đồng: 30-49đ)")))))</f>
        <v/>
      </c>
      <c r="R2077" s="6" t="inlineStr">
        <is>
          <t>Khay vệ sinh chung cư (Indoor Potty) + Thảm cỏ ban công (Grass Patch) + Đồ chơi</t>
        </is>
      </c>
      <c r="S2077" s="6" t="inlineStr">
        <is>
          <t>Đóng băng tương tác (&gt;30 ngày): Lưu trữ chờ kích hoạt lại, không tốn tài nguyên Sales</t>
        </is>
      </c>
    </row>
    <row r="2078">
      <c r="A2078" s="59" t="n">
        <v>733</v>
      </c>
      <c r="B2078" s="15" t="inlineStr">
        <is>
          <t>Border Union Dog Show</t>
        </is>
      </c>
      <c r="C2078" s="60" t="inlineStr">
        <is>
          <t>https://www.facebook.com/profile.php?id=100064543246213</t>
        </is>
      </c>
      <c r="D2078" s="9" t="inlineStr">
        <is>
          <t>Cần quét Bio Fanpage</t>
        </is>
      </c>
      <c r="E2078" s="59" t="inlineStr">
        <is>
          <t>23/08/2026 14:54:07</t>
        </is>
      </c>
      <c r="F2078" s="59" t="inlineStr">
        <is>
          <t>1 tháng trước</t>
        </is>
      </c>
      <c r="G2078" s="61" t="n">
        <v>30</v>
      </c>
      <c r="H2078" s="62" t="n">
        <v>0</v>
      </c>
      <c r="I2078" s="9" t="inlineStr">
        <is>
          <t>Pet Owner / Cộng đồng nuôi cún (10đ)</t>
        </is>
      </c>
      <c r="J2078" s="62" t="n">
        <v>10</v>
      </c>
      <c r="K2078" s="9" t="inlineStr">
        <is>
          <t>Chưa rõ giống (Cần quét Bio)</t>
        </is>
      </c>
      <c r="L2078" s="62" t="n">
        <v>0</v>
      </c>
      <c r="M2078" s="62" t="n">
        <v>0</v>
      </c>
      <c r="N2078" s="9" t="inlineStr">
        <is>
          <t>Amazon link not found</t>
        </is>
      </c>
      <c r="O2078" s="62">
        <f>IF(N2078="Selling pet toys + Artificial grass/Pet toilets (TARGET)",15,IF(N2078="Selling artificial grass/pet toilets (TARGET)",10,IF(N2078="Selling pet toys",7,IF(N2078="There's an Amazon link, but no target sales.",3,0))))</f>
        <v/>
      </c>
      <c r="P2078" s="67">
        <f>H2078+J2078+L2078+M2078+O2078</f>
        <v/>
      </c>
      <c r="Q2078" s="68">
        <f>IF(OR(H2078=0,P2078&lt;30),"Tier D (Đóng băng)",IF(P2078&gt;=85,"Tier S (Kim Cương: 85-100đ)",IF(P2078&gt;=70,"Tier A (Vàng: 70-84đ)",IF(P2078&gt;=61,"Tier B+ / Cấp A (Hot Lead: 61-69đ)",IF(P2078&gt;=50,"Tier B (Bạc: 50-60đ)","Tier C (Đồng: 30-49đ)")))))</f>
        <v/>
      </c>
      <c r="R2078" s="9" t="inlineStr">
        <is>
          <t>Khay vệ sinh chung cư (Indoor Potty) + Thảm cỏ ban công (Grass Patch) + Đồ chơi</t>
        </is>
      </c>
      <c r="S2078" s="9" t="inlineStr">
        <is>
          <t>Đóng băng tương tác (&gt;30 ngày): Lưu trữ chờ kích hoạt lại, không tốn tài nguyên Sales</t>
        </is>
      </c>
    </row>
    <row r="2079">
      <c r="A2079" s="53" t="n">
        <v>1171</v>
      </c>
      <c r="B2079" s="12" t="inlineStr">
        <is>
          <t>Dogs like Diamonds</t>
        </is>
      </c>
      <c r="C2079" s="54" t="inlineStr">
        <is>
          <t>https://www.facebook.com/dogslikediamondss</t>
        </is>
      </c>
      <c r="D2079" s="6" t="inlineStr">
        <is>
          <t>Cần quét Bio Fanpage</t>
        </is>
      </c>
      <c r="E2079" s="53" t="inlineStr">
        <is>
          <t>23/08/2026 05:33:11</t>
        </is>
      </c>
      <c r="F2079" s="53" t="inlineStr">
        <is>
          <t>1 tháng trước</t>
        </is>
      </c>
      <c r="G2079" s="55" t="n">
        <v>30</v>
      </c>
      <c r="H2079" s="56" t="n">
        <v>0</v>
      </c>
      <c r="I2079" s="6" t="inlineStr">
        <is>
          <t>Pet Owner / Cộng đồng nuôi cún (10đ)</t>
        </is>
      </c>
      <c r="J2079" s="56" t="n">
        <v>10</v>
      </c>
      <c r="K2079" s="6" t="inlineStr">
        <is>
          <t>Chưa rõ giống (Cần quét Bio)</t>
        </is>
      </c>
      <c r="L2079" s="56" t="n">
        <v>0</v>
      </c>
      <c r="M2079" s="56" t="n">
        <v>0</v>
      </c>
      <c r="N2079" s="6" t="inlineStr">
        <is>
          <t>Amazon link not found</t>
        </is>
      </c>
      <c r="O2079" s="56">
        <f>IF(N2079="Selling pet toys + Artificial grass/Pet toilets (TARGET)",15,IF(N2079="Selling artificial grass/pet toilets (TARGET)",10,IF(N2079="Selling pet toys",7,IF(N2079="There's an Amazon link, but no target sales.",3,0))))</f>
        <v/>
      </c>
      <c r="P2079" s="65">
        <f>H2079+J2079+L2079+M2079+O2079</f>
        <v/>
      </c>
      <c r="Q2079" s="68">
        <f>IF(OR(H2079=0,P2079&lt;30),"Tier D (Đóng băng)",IF(P2079&gt;=85,"Tier S (Kim Cương: 85-100đ)",IF(P2079&gt;=70,"Tier A (Vàng: 70-84đ)",IF(P2079&gt;=61,"Tier B+ / Cấp A (Hot Lead: 61-69đ)",IF(P2079&gt;=50,"Tier B (Bạc: 50-60đ)","Tier C (Đồng: 30-49đ)")))))</f>
        <v/>
      </c>
      <c r="R2079" s="6" t="inlineStr">
        <is>
          <t>Khay vệ sinh chung cư (Indoor Potty) + Thảm cỏ ban công (Grass Patch) + Đồ chơi</t>
        </is>
      </c>
      <c r="S2079" s="6" t="inlineStr">
        <is>
          <t>Đóng băng tương tác (&gt;30 ngày): Lưu trữ chờ kích hoạt lại, không tốn tài nguyên Sales</t>
        </is>
      </c>
    </row>
    <row r="2080">
      <c r="A2080" s="59" t="n">
        <v>1429</v>
      </c>
      <c r="B2080" s="15" t="inlineStr">
        <is>
          <t>Francis Jetpet</t>
        </is>
      </c>
      <c r="C2080" s="60" t="inlineStr">
        <is>
          <t>https://www.facebook.com/jetpet.francis.2025</t>
        </is>
      </c>
      <c r="D2080" s="9" t="inlineStr">
        <is>
          <t>Cần quét Bio Fanpage</t>
        </is>
      </c>
      <c r="E2080" s="59" t="inlineStr">
        <is>
          <t>22/08/2026 03:38:50</t>
        </is>
      </c>
      <c r="F2080" s="59" t="inlineStr">
        <is>
          <t>1 tháng trước</t>
        </is>
      </c>
      <c r="G2080" s="61" t="n">
        <v>30</v>
      </c>
      <c r="H2080" s="62" t="n">
        <v>0</v>
      </c>
      <c r="I2080" s="9" t="inlineStr">
        <is>
          <t>Pet Owner / Cộng đồng nuôi cún (10đ)</t>
        </is>
      </c>
      <c r="J2080" s="62" t="n">
        <v>10</v>
      </c>
      <c r="K2080" s="9" t="inlineStr">
        <is>
          <t>Chưa rõ giống (Cần quét Bio)</t>
        </is>
      </c>
      <c r="L2080" s="62" t="n">
        <v>0</v>
      </c>
      <c r="M2080" s="62" t="n">
        <v>0</v>
      </c>
      <c r="N2080" s="9" t="inlineStr">
        <is>
          <t>Amazon link not found</t>
        </is>
      </c>
      <c r="O2080" s="62">
        <f>IF(N2080="Selling pet toys + Artificial grass/Pet toilets (TARGET)",15,IF(N2080="Selling artificial grass/pet toilets (TARGET)",10,IF(N2080="Selling pet toys",7,IF(N2080="There's an Amazon link, but no target sales.",3,0))))</f>
        <v/>
      </c>
      <c r="P2080" s="67">
        <f>H2080+J2080+L2080+M2080+O2080</f>
        <v/>
      </c>
      <c r="Q2080" s="68">
        <f>IF(OR(H2080=0,P2080&lt;30),"Tier D (Đóng băng)",IF(P2080&gt;=85,"Tier S (Kim Cương: 85-100đ)",IF(P2080&gt;=70,"Tier A (Vàng: 70-84đ)",IF(P2080&gt;=61,"Tier B+ / Cấp A (Hot Lead: 61-69đ)",IF(P2080&gt;=50,"Tier B (Bạc: 50-60đ)","Tier C (Đồng: 30-49đ)")))))</f>
        <v/>
      </c>
      <c r="R2080" s="9" t="inlineStr">
        <is>
          <t>Khay vệ sinh chung cư (Indoor Potty) + Thảm cỏ ban công (Grass Patch) + Đồ chơi</t>
        </is>
      </c>
      <c r="S2080" s="9" t="inlineStr">
        <is>
          <t>Đóng băng tương tác (&gt;30 ngày): Lưu trữ chờ kích hoạt lại, không tốn tài nguyên Sales</t>
        </is>
      </c>
    </row>
    <row r="2081">
      <c r="A2081" s="53" t="n">
        <v>2309</v>
      </c>
      <c r="B2081" s="12" t="inlineStr">
        <is>
          <t>Norman the Scooter Dog</t>
        </is>
      </c>
      <c r="C2081" s="54" t="inlineStr">
        <is>
          <t>https://www.facebook.com/NormantheScooterDog</t>
        </is>
      </c>
      <c r="D2081" s="6" t="inlineStr">
        <is>
          <t>Cần quét Bio Fanpage</t>
        </is>
      </c>
      <c r="E2081" s="53" t="inlineStr">
        <is>
          <t>21/08/2026 21:27:24</t>
        </is>
      </c>
      <c r="F2081" s="53" t="inlineStr">
        <is>
          <t>1 tháng trước</t>
        </is>
      </c>
      <c r="G2081" s="55" t="n">
        <v>30</v>
      </c>
      <c r="H2081" s="56" t="n">
        <v>0</v>
      </c>
      <c r="I2081" s="6" t="inlineStr">
        <is>
          <t>Pet Owner / Cộng đồng nuôi cún (10đ)</t>
        </is>
      </c>
      <c r="J2081" s="56" t="n">
        <v>10</v>
      </c>
      <c r="K2081" s="6" t="inlineStr">
        <is>
          <t>Chưa rõ giống (Cần quét Bio)</t>
        </is>
      </c>
      <c r="L2081" s="56" t="n">
        <v>0</v>
      </c>
      <c r="M2081" s="56" t="n">
        <v>0</v>
      </c>
      <c r="N2081" s="6" t="inlineStr">
        <is>
          <t>Amazon link not found</t>
        </is>
      </c>
      <c r="O2081" s="56">
        <f>IF(N2081="Selling pet toys + Artificial grass/Pet toilets (TARGET)",15,IF(N2081="Selling artificial grass/pet toilets (TARGET)",10,IF(N2081="Selling pet toys",7,IF(N2081="There's an Amazon link, but no target sales.",3,0))))</f>
        <v/>
      </c>
      <c r="P2081" s="65">
        <f>H2081+J2081+L2081+M2081+O2081</f>
        <v/>
      </c>
      <c r="Q2081" s="68">
        <f>IF(OR(H2081=0,P2081&lt;30),"Tier D (Đóng băng)",IF(P2081&gt;=85,"Tier S (Kim Cương: 85-100đ)",IF(P2081&gt;=70,"Tier A (Vàng: 70-84đ)",IF(P2081&gt;=61,"Tier B+ / Cấp A (Hot Lead: 61-69đ)",IF(P2081&gt;=50,"Tier B (Bạc: 50-60đ)","Tier C (Đồng: 30-49đ)")))))</f>
        <v/>
      </c>
      <c r="R2081" s="6" t="inlineStr">
        <is>
          <t>Khay vệ sinh chung cư (Indoor Potty) + Thảm cỏ ban công (Grass Patch) + Đồ chơi</t>
        </is>
      </c>
      <c r="S2081" s="6" t="inlineStr">
        <is>
          <t>Đóng băng tương tác (&gt;30 ngày): Lưu trữ chờ kích hoạt lại, không tốn tài nguyên Sales</t>
        </is>
      </c>
    </row>
    <row r="2082">
      <c r="A2082" s="59" t="n">
        <v>1182</v>
      </c>
      <c r="B2082" s="15" t="inlineStr">
        <is>
          <t>Dogs Tasmania</t>
        </is>
      </c>
      <c r="C2082" s="60" t="inlineStr">
        <is>
          <t>https://www.facebook.com/DogsTasmania</t>
        </is>
      </c>
      <c r="D2082" s="9" t="inlineStr">
        <is>
          <t>Cần quét Bio Fanpage</t>
        </is>
      </c>
      <c r="E2082" s="59" t="inlineStr">
        <is>
          <t>21/08/2026 09:53:58</t>
        </is>
      </c>
      <c r="F2082" s="59" t="inlineStr">
        <is>
          <t>1 tháng trước</t>
        </is>
      </c>
      <c r="G2082" s="61" t="n">
        <v>30</v>
      </c>
      <c r="H2082" s="62" t="n">
        <v>0</v>
      </c>
      <c r="I2082" s="9" t="inlineStr">
        <is>
          <t>Pet Owner / Cộng đồng nuôi cún (10đ)</t>
        </is>
      </c>
      <c r="J2082" s="62" t="n">
        <v>10</v>
      </c>
      <c r="K2082" s="9" t="inlineStr">
        <is>
          <t>Chưa rõ giống (Cần quét Bio)</t>
        </is>
      </c>
      <c r="L2082" s="62" t="n">
        <v>0</v>
      </c>
      <c r="M2082" s="62" t="n">
        <v>0</v>
      </c>
      <c r="N2082" s="9" t="inlineStr">
        <is>
          <t>Amazon link not found</t>
        </is>
      </c>
      <c r="O2082" s="62">
        <f>IF(N2082="Selling pet toys + Artificial grass/Pet toilets (TARGET)",15,IF(N2082="Selling artificial grass/pet toilets (TARGET)",10,IF(N2082="Selling pet toys",7,IF(N2082="There's an Amazon link, but no target sales.",3,0))))</f>
        <v/>
      </c>
      <c r="P2082" s="67">
        <f>H2082+J2082+L2082+M2082+O2082</f>
        <v/>
      </c>
      <c r="Q2082" s="68">
        <f>IF(OR(H2082=0,P2082&lt;30),"Tier D (Đóng băng)",IF(P2082&gt;=85,"Tier S (Kim Cương: 85-100đ)",IF(P2082&gt;=70,"Tier A (Vàng: 70-84đ)",IF(P2082&gt;=61,"Tier B+ / Cấp A (Hot Lead: 61-69đ)",IF(P2082&gt;=50,"Tier B (Bạc: 50-60đ)","Tier C (Đồng: 30-49đ)")))))</f>
        <v/>
      </c>
      <c r="R2082" s="9" t="inlineStr">
        <is>
          <t>Khay vệ sinh chung cư (Indoor Potty) + Thảm cỏ ban công (Grass Patch) + Đồ chơi</t>
        </is>
      </c>
      <c r="S2082" s="9" t="inlineStr">
        <is>
          <t>Đóng băng tương tác (&gt;30 ngày): Lưu trữ chờ kích hoạt lại, không tốn tài nguyên Sales</t>
        </is>
      </c>
    </row>
    <row r="2083">
      <c r="A2083" s="53" t="n">
        <v>2711</v>
      </c>
      <c r="B2083" s="12" t="inlineStr">
        <is>
          <t>Red Dog Trucker Caps</t>
        </is>
      </c>
      <c r="C2083" s="54" t="inlineStr">
        <is>
          <t>https://www.facebook.com/reddogtruckercaps</t>
        </is>
      </c>
      <c r="D2083" s="6" t="inlineStr">
        <is>
          <t>Cần quét Bio Fanpage</t>
        </is>
      </c>
      <c r="E2083" s="53" t="inlineStr">
        <is>
          <t>19/08/2026 13:32:20</t>
        </is>
      </c>
      <c r="F2083" s="53" t="inlineStr">
        <is>
          <t>1 tháng trước</t>
        </is>
      </c>
      <c r="G2083" s="55" t="n">
        <v>30</v>
      </c>
      <c r="H2083" s="56" t="n">
        <v>0</v>
      </c>
      <c r="I2083" s="6" t="inlineStr">
        <is>
          <t>Pet Owner / Cộng đồng nuôi cún (10đ)</t>
        </is>
      </c>
      <c r="J2083" s="56" t="n">
        <v>10</v>
      </c>
      <c r="K2083" s="6" t="inlineStr">
        <is>
          <t>Chưa rõ giống (Cần quét Bio)</t>
        </is>
      </c>
      <c r="L2083" s="56" t="n">
        <v>0</v>
      </c>
      <c r="M2083" s="56" t="n">
        <v>0</v>
      </c>
      <c r="N2083" s="6" t="inlineStr">
        <is>
          <t>Amazon link not found</t>
        </is>
      </c>
      <c r="O2083" s="56">
        <f>IF(N2083="Selling pet toys + Artificial grass/Pet toilets (TARGET)",15,IF(N2083="Selling artificial grass/pet toilets (TARGET)",10,IF(N2083="Selling pet toys",7,IF(N2083="There's an Amazon link, but no target sales.",3,0))))</f>
        <v/>
      </c>
      <c r="P2083" s="65">
        <f>H2083+J2083+L2083+M2083+O2083</f>
        <v/>
      </c>
      <c r="Q2083" s="68">
        <f>IF(OR(H2083=0,P2083&lt;30),"Tier D (Đóng băng)",IF(P2083&gt;=85,"Tier S (Kim Cương: 85-100đ)",IF(P2083&gt;=70,"Tier A (Vàng: 70-84đ)",IF(P2083&gt;=61,"Tier B+ / Cấp A (Hot Lead: 61-69đ)",IF(P2083&gt;=50,"Tier B (Bạc: 50-60đ)","Tier C (Đồng: 30-49đ)")))))</f>
        <v/>
      </c>
      <c r="R2083" s="6" t="inlineStr">
        <is>
          <t>Khay vệ sinh chung cư (Indoor Potty) + Thảm cỏ ban công (Grass Patch) + Đồ chơi</t>
        </is>
      </c>
      <c r="S2083" s="6" t="inlineStr">
        <is>
          <t>Đóng băng tương tác (&gt;30 ngày): Lưu trữ chờ kích hoạt lại, không tốn tài nguyên Sales</t>
        </is>
      </c>
    </row>
    <row r="2084">
      <c r="A2084" s="59" t="n">
        <v>1414</v>
      </c>
      <c r="B2084" s="15" t="inlineStr">
        <is>
          <t>For The Love Of Dogs</t>
        </is>
      </c>
      <c r="C2084" s="60" t="inlineStr">
        <is>
          <t>https://www.facebook.com/itvfortheloveofdogs</t>
        </is>
      </c>
      <c r="D2084" s="9" t="inlineStr">
        <is>
          <t>Cần quét Bio Fanpage</t>
        </is>
      </c>
      <c r="E2084" s="59" t="inlineStr">
        <is>
          <t>18/08/2026 20:29:55</t>
        </is>
      </c>
      <c r="F2084" s="59" t="inlineStr">
        <is>
          <t>1 tháng trước</t>
        </is>
      </c>
      <c r="G2084" s="61" t="n">
        <v>30</v>
      </c>
      <c r="H2084" s="62" t="n">
        <v>0</v>
      </c>
      <c r="I2084" s="9" t="inlineStr">
        <is>
          <t>Pet Owner / Cộng đồng nuôi cún (10đ)</t>
        </is>
      </c>
      <c r="J2084" s="62" t="n">
        <v>10</v>
      </c>
      <c r="K2084" s="9" t="inlineStr">
        <is>
          <t>Chưa rõ giống (Cần quét Bio)</t>
        </is>
      </c>
      <c r="L2084" s="62" t="n">
        <v>0</v>
      </c>
      <c r="M2084" s="62" t="n">
        <v>0</v>
      </c>
      <c r="N2084" s="9" t="inlineStr">
        <is>
          <t>Amazon link not found</t>
        </is>
      </c>
      <c r="O2084" s="62">
        <f>IF(N2084="Selling pet toys + Artificial grass/Pet toilets (TARGET)",15,IF(N2084="Selling artificial grass/pet toilets (TARGET)",10,IF(N2084="Selling pet toys",7,IF(N2084="There's an Amazon link, but no target sales.",3,0))))</f>
        <v/>
      </c>
      <c r="P2084" s="67">
        <f>H2084+J2084+L2084+M2084+O2084</f>
        <v/>
      </c>
      <c r="Q2084" s="68">
        <f>IF(OR(H2084=0,P2084&lt;30),"Tier D (Đóng băng)",IF(P2084&gt;=85,"Tier S (Kim Cương: 85-100đ)",IF(P2084&gt;=70,"Tier A (Vàng: 70-84đ)",IF(P2084&gt;=61,"Tier B+ / Cấp A (Hot Lead: 61-69đ)",IF(P2084&gt;=50,"Tier B (Bạc: 50-60đ)","Tier C (Đồng: 30-49đ)")))))</f>
        <v/>
      </c>
      <c r="R2084" s="9" t="inlineStr">
        <is>
          <t>Khay vệ sinh chung cư (Indoor Potty) + Thảm cỏ ban công (Grass Patch) + Đồ chơi</t>
        </is>
      </c>
      <c r="S2084" s="9" t="inlineStr">
        <is>
          <t>Đóng băng tương tác (&gt;30 ngày): Lưu trữ chờ kích hoạt lại, không tốn tài nguyên Sales</t>
        </is>
      </c>
    </row>
    <row r="2085">
      <c r="A2085" s="53" t="n">
        <v>1993</v>
      </c>
      <c r="B2085" s="12" t="inlineStr">
        <is>
          <t>Lazy Dog Photography</t>
        </is>
      </c>
      <c r="C2085" s="54" t="inlineStr">
        <is>
          <t>https://www.facebook.com/lazydogphotographyy</t>
        </is>
      </c>
      <c r="D2085" s="6" t="inlineStr">
        <is>
          <t>Cần quét Bio Fanpage</t>
        </is>
      </c>
      <c r="E2085" s="53" t="inlineStr">
        <is>
          <t>14/08/2026 19:41:26</t>
        </is>
      </c>
      <c r="F2085" s="53" t="inlineStr">
        <is>
          <t>1 tháng trước</t>
        </is>
      </c>
      <c r="G2085" s="55" t="n">
        <v>30</v>
      </c>
      <c r="H2085" s="56" t="n">
        <v>0</v>
      </c>
      <c r="I2085" s="6" t="inlineStr">
        <is>
          <t>Pet Owner / Cộng đồng nuôi cún (10đ)</t>
        </is>
      </c>
      <c r="J2085" s="56" t="n">
        <v>10</v>
      </c>
      <c r="K2085" s="6" t="inlineStr">
        <is>
          <t>Chưa rõ giống (Cần quét Bio)</t>
        </is>
      </c>
      <c r="L2085" s="56" t="n">
        <v>0</v>
      </c>
      <c r="M2085" s="56" t="n">
        <v>0</v>
      </c>
      <c r="N2085" s="6" t="inlineStr">
        <is>
          <t>Amazon link not found</t>
        </is>
      </c>
      <c r="O2085" s="56">
        <f>IF(N2085="Selling pet toys + Artificial grass/Pet toilets (TARGET)",15,IF(N2085="Selling artificial grass/pet toilets (TARGET)",10,IF(N2085="Selling pet toys",7,IF(N2085="There's an Amazon link, but no target sales.",3,0))))</f>
        <v/>
      </c>
      <c r="P2085" s="65">
        <f>H2085+J2085+L2085+M2085+O2085</f>
        <v/>
      </c>
      <c r="Q2085" s="68">
        <f>IF(OR(H2085=0,P2085&lt;30),"Tier D (Đóng băng)",IF(P2085&gt;=85,"Tier S (Kim Cương: 85-100đ)",IF(P2085&gt;=70,"Tier A (Vàng: 70-84đ)",IF(P2085&gt;=61,"Tier B+ / Cấp A (Hot Lead: 61-69đ)",IF(P2085&gt;=50,"Tier B (Bạc: 50-60đ)","Tier C (Đồng: 30-49đ)")))))</f>
        <v/>
      </c>
      <c r="R2085" s="6" t="inlineStr">
        <is>
          <t>Khay vệ sinh chung cư (Indoor Potty) + Thảm cỏ ban công (Grass Patch) + Đồ chơi</t>
        </is>
      </c>
      <c r="S2085" s="6" t="inlineStr">
        <is>
          <t>Đóng băng tương tác (&gt;30 ngày): Lưu trữ chờ kích hoạt lại, không tốn tài nguyên Sales</t>
        </is>
      </c>
    </row>
    <row r="2086">
      <c r="A2086" s="59" t="n">
        <v>2298</v>
      </c>
      <c r="B2086" s="15" t="inlineStr">
        <is>
          <t>Nmgbullies</t>
        </is>
      </c>
      <c r="C2086" s="60" t="inlineStr">
        <is>
          <t>https://www.facebook.com/NMGBullies</t>
        </is>
      </c>
      <c r="D2086" s="9" t="inlineStr">
        <is>
          <t>Cần quét Bio Fanpage</t>
        </is>
      </c>
      <c r="E2086" s="59" t="inlineStr">
        <is>
          <t>12/08/2026 08:53:57</t>
        </is>
      </c>
      <c r="F2086" s="59" t="inlineStr">
        <is>
          <t>2 tháng trước</t>
        </is>
      </c>
      <c r="G2086" s="61" t="n">
        <v>60</v>
      </c>
      <c r="H2086" s="62" t="n">
        <v>0</v>
      </c>
      <c r="I2086" s="9" t="inlineStr">
        <is>
          <t>Pet Owner / Cộng đồng nuôi cún (10đ)</t>
        </is>
      </c>
      <c r="J2086" s="62" t="n">
        <v>10</v>
      </c>
      <c r="K2086" s="9" t="inlineStr">
        <is>
          <t>Chưa rõ giống (Cần quét Bio)</t>
        </is>
      </c>
      <c r="L2086" s="62" t="n">
        <v>0</v>
      </c>
      <c r="M2086" s="62" t="n">
        <v>0</v>
      </c>
      <c r="N2086" s="9" t="inlineStr">
        <is>
          <t>Amazon link not found</t>
        </is>
      </c>
      <c r="O2086" s="62">
        <f>IF(N2086="Selling pet toys + Artificial grass/Pet toilets (TARGET)",15,IF(N2086="Selling artificial grass/pet toilets (TARGET)",10,IF(N2086="Selling pet toys",7,IF(N2086="There's an Amazon link, but no target sales.",3,0))))</f>
        <v/>
      </c>
      <c r="P2086" s="67">
        <f>H2086+J2086+L2086+M2086+O2086</f>
        <v/>
      </c>
      <c r="Q2086" s="68">
        <f>IF(OR(H2086=0,P2086&lt;30),"Tier D (Đóng băng)",IF(P2086&gt;=85,"Tier S (Kim Cương: 85-100đ)",IF(P2086&gt;=70,"Tier A (Vàng: 70-84đ)",IF(P2086&gt;=61,"Tier B+ / Cấp A (Hot Lead: 61-69đ)",IF(P2086&gt;=50,"Tier B (Bạc: 50-60đ)","Tier C (Đồng: 30-49đ)")))))</f>
        <v/>
      </c>
      <c r="R2086" s="9" t="inlineStr">
        <is>
          <t>Khay vệ sinh chung cư (Indoor Potty) + Thảm cỏ ban công (Grass Patch) + Đồ chơi</t>
        </is>
      </c>
      <c r="S2086" s="9" t="inlineStr">
        <is>
          <t>Đóng băng tương tác (&gt;30 ngày): Lưu trữ chờ kích hoạt lại, không tốn tài nguyên Sales</t>
        </is>
      </c>
    </row>
    <row r="2087">
      <c r="A2087" s="53" t="n">
        <v>630</v>
      </c>
      <c r="B2087" s="12" t="inlineStr">
        <is>
          <t>Beppe Pets</t>
        </is>
      </c>
      <c r="C2087" s="54" t="inlineStr">
        <is>
          <t>https://www.facebook.com/beppepetsoficial</t>
        </is>
      </c>
      <c r="D2087" s="6" t="inlineStr">
        <is>
          <t>Cần quét Bio Fanpage</t>
        </is>
      </c>
      <c r="E2087" s="53" t="inlineStr">
        <is>
          <t>09/08/2026 20:12:29</t>
        </is>
      </c>
      <c r="F2087" s="53" t="inlineStr">
        <is>
          <t>2 tháng trước</t>
        </is>
      </c>
      <c r="G2087" s="55" t="n">
        <v>60</v>
      </c>
      <c r="H2087" s="56" t="n">
        <v>0</v>
      </c>
      <c r="I2087" s="6" t="inlineStr">
        <is>
          <t>Pet Owner / Cộng đồng nuôi cún (10đ)</t>
        </is>
      </c>
      <c r="J2087" s="56" t="n">
        <v>10</v>
      </c>
      <c r="K2087" s="6" t="inlineStr">
        <is>
          <t>Chưa rõ giống (Cần quét Bio)</t>
        </is>
      </c>
      <c r="L2087" s="56" t="n">
        <v>0</v>
      </c>
      <c r="M2087" s="56" t="n">
        <v>0</v>
      </c>
      <c r="N2087" s="6" t="inlineStr">
        <is>
          <t>Amazon link not found</t>
        </is>
      </c>
      <c r="O2087" s="56">
        <f>IF(N2087="Selling pet toys + Artificial grass/Pet toilets (TARGET)",15,IF(N2087="Selling artificial grass/pet toilets (TARGET)",10,IF(N2087="Selling pet toys",7,IF(N2087="There's an Amazon link, but no target sales.",3,0))))</f>
        <v/>
      </c>
      <c r="P2087" s="65">
        <f>H2087+J2087+L2087+M2087+O2087</f>
        <v/>
      </c>
      <c r="Q2087" s="68">
        <f>IF(OR(H2087=0,P2087&lt;30),"Tier D (Đóng băng)",IF(P2087&gt;=85,"Tier S (Kim Cương: 85-100đ)",IF(P2087&gt;=70,"Tier A (Vàng: 70-84đ)",IF(P2087&gt;=61,"Tier B+ / Cấp A (Hot Lead: 61-69đ)",IF(P2087&gt;=50,"Tier B (Bạc: 50-60đ)","Tier C (Đồng: 30-49đ)")))))</f>
        <v/>
      </c>
      <c r="R2087" s="6" t="inlineStr">
        <is>
          <t>Khay vệ sinh chung cư (Indoor Potty) + Thảm cỏ ban công (Grass Patch) + Đồ chơi</t>
        </is>
      </c>
      <c r="S2087" s="6" t="inlineStr">
        <is>
          <t>Đóng băng tương tác (&gt;30 ngày): Lưu trữ chờ kích hoạt lại, không tốn tài nguyên Sales</t>
        </is>
      </c>
    </row>
    <row r="2088">
      <c r="A2088" s="59" t="n">
        <v>3200</v>
      </c>
      <c r="B2088" s="15" t="inlineStr">
        <is>
          <t>Toby, Amos &amp; Arnie The Wonderdogs</t>
        </is>
      </c>
      <c r="C2088" s="60" t="inlineStr">
        <is>
          <t>https://www.facebook.com/TobyTheExploringWonderdog</t>
        </is>
      </c>
      <c r="D2088" s="9" t="inlineStr">
        <is>
          <t>Cần quét Bio Fanpage</t>
        </is>
      </c>
      <c r="E2088" s="59" t="inlineStr">
        <is>
          <t>09/08/2026 01:19:47</t>
        </is>
      </c>
      <c r="F2088" s="59" t="inlineStr">
        <is>
          <t>2 tháng trước</t>
        </is>
      </c>
      <c r="G2088" s="61" t="n">
        <v>60</v>
      </c>
      <c r="H2088" s="62" t="n">
        <v>0</v>
      </c>
      <c r="I2088" s="9" t="inlineStr">
        <is>
          <t>Pet Owner / Cộng đồng nuôi cún (10đ)</t>
        </is>
      </c>
      <c r="J2088" s="62" t="n">
        <v>10</v>
      </c>
      <c r="K2088" s="9" t="inlineStr">
        <is>
          <t>Chưa rõ giống (Cần quét Bio)</t>
        </is>
      </c>
      <c r="L2088" s="62" t="n">
        <v>0</v>
      </c>
      <c r="M2088" s="62" t="n">
        <v>0</v>
      </c>
      <c r="N2088" s="9" t="inlineStr">
        <is>
          <t>Amazon link not found</t>
        </is>
      </c>
      <c r="O2088" s="62">
        <f>IF(N2088="Selling pet toys + Artificial grass/Pet toilets (TARGET)",15,IF(N2088="Selling artificial grass/pet toilets (TARGET)",10,IF(N2088="Selling pet toys",7,IF(N2088="There's an Amazon link, but no target sales.",3,0))))</f>
        <v/>
      </c>
      <c r="P2088" s="67">
        <f>H2088+J2088+L2088+M2088+O2088</f>
        <v/>
      </c>
      <c r="Q2088" s="68">
        <f>IF(OR(H2088=0,P2088&lt;30),"Tier D (Đóng băng)",IF(P2088&gt;=85,"Tier S (Kim Cương: 85-100đ)",IF(P2088&gt;=70,"Tier A (Vàng: 70-84đ)",IF(P2088&gt;=61,"Tier B+ / Cấp A (Hot Lead: 61-69đ)",IF(P2088&gt;=50,"Tier B (Bạc: 50-60đ)","Tier C (Đồng: 30-49đ)")))))</f>
        <v/>
      </c>
      <c r="R2088" s="9" t="inlineStr">
        <is>
          <t>Khay vệ sinh chung cư (Indoor Potty) + Thảm cỏ ban công (Grass Patch) + Đồ chơi</t>
        </is>
      </c>
      <c r="S2088" s="9" t="inlineStr">
        <is>
          <t>Đóng băng tương tác (&gt;30 ngày): Lưu trữ chờ kích hoạt lại, không tốn tài nguyên Sales</t>
        </is>
      </c>
    </row>
    <row r="2089">
      <c r="A2089" s="53" t="n">
        <v>1314</v>
      </c>
      <c r="B2089" s="12" t="inlineStr">
        <is>
          <t>Fabi Bandanas Pet</t>
        </is>
      </c>
      <c r="C2089" s="54" t="inlineStr">
        <is>
          <t>https://www.facebook.com/fabibandanaspet</t>
        </is>
      </c>
      <c r="D2089" s="6" t="inlineStr">
        <is>
          <t>Cần quét Bio Fanpage</t>
        </is>
      </c>
      <c r="E2089" s="53" t="inlineStr">
        <is>
          <t>08/08/2026 22:16:33</t>
        </is>
      </c>
      <c r="F2089" s="53" t="inlineStr">
        <is>
          <t>2 tháng trước</t>
        </is>
      </c>
      <c r="G2089" s="55" t="n">
        <v>60</v>
      </c>
      <c r="H2089" s="56" t="n">
        <v>0</v>
      </c>
      <c r="I2089" s="6" t="inlineStr">
        <is>
          <t>Pet Owner / Cộng đồng nuôi cún (10đ)</t>
        </is>
      </c>
      <c r="J2089" s="56" t="n">
        <v>10</v>
      </c>
      <c r="K2089" s="6" t="inlineStr">
        <is>
          <t>Chưa rõ giống (Cần quét Bio)</t>
        </is>
      </c>
      <c r="L2089" s="56" t="n">
        <v>0</v>
      </c>
      <c r="M2089" s="56" t="n">
        <v>0</v>
      </c>
      <c r="N2089" s="6" t="inlineStr">
        <is>
          <t>Amazon link not found</t>
        </is>
      </c>
      <c r="O2089" s="56">
        <f>IF(N2089="Selling pet toys + Artificial grass/Pet toilets (TARGET)",15,IF(N2089="Selling artificial grass/pet toilets (TARGET)",10,IF(N2089="Selling pet toys",7,IF(N2089="There's an Amazon link, but no target sales.",3,0))))</f>
        <v/>
      </c>
      <c r="P2089" s="65">
        <f>H2089+J2089+L2089+M2089+O2089</f>
        <v/>
      </c>
      <c r="Q2089" s="68">
        <f>IF(OR(H2089=0,P2089&lt;30),"Tier D (Đóng băng)",IF(P2089&gt;=85,"Tier S (Kim Cương: 85-100đ)",IF(P2089&gt;=70,"Tier A (Vàng: 70-84đ)",IF(P2089&gt;=61,"Tier B+ / Cấp A (Hot Lead: 61-69đ)",IF(P2089&gt;=50,"Tier B (Bạc: 50-60đ)","Tier C (Đồng: 30-49đ)")))))</f>
        <v/>
      </c>
      <c r="R2089" s="6" t="inlineStr">
        <is>
          <t>Khay vệ sinh chung cư (Indoor Potty) + Thảm cỏ ban công (Grass Patch) + Đồ chơi</t>
        </is>
      </c>
      <c r="S2089" s="6" t="inlineStr">
        <is>
          <t>Đóng băng tương tác (&gt;30 ngày): Lưu trữ chờ kích hoạt lại, không tốn tài nguyên Sales</t>
        </is>
      </c>
    </row>
    <row r="2090">
      <c r="A2090" s="59" t="n">
        <v>1186</v>
      </c>
      <c r="B2090" s="15" t="inlineStr">
        <is>
          <t>Dogs.Plus.Love</t>
        </is>
      </c>
      <c r="C2090" s="60" t="inlineStr">
        <is>
          <t>https://www.facebook.com/profile.php?id=61559574725493</t>
        </is>
      </c>
      <c r="D2090" s="9" t="inlineStr">
        <is>
          <t>Cần quét Bio Fanpage</t>
        </is>
      </c>
      <c r="E2090" s="59" t="inlineStr">
        <is>
          <t>04/08/2026 03:07:56</t>
        </is>
      </c>
      <c r="F2090" s="59" t="inlineStr">
        <is>
          <t>2 tháng trước</t>
        </is>
      </c>
      <c r="G2090" s="61" t="n">
        <v>60</v>
      </c>
      <c r="H2090" s="62" t="n">
        <v>0</v>
      </c>
      <c r="I2090" s="9" t="inlineStr">
        <is>
          <t>Pet Owner / Cộng đồng nuôi cún (10đ)</t>
        </is>
      </c>
      <c r="J2090" s="62" t="n">
        <v>10</v>
      </c>
      <c r="K2090" s="9" t="inlineStr">
        <is>
          <t>Chưa rõ giống (Cần quét Bio)</t>
        </is>
      </c>
      <c r="L2090" s="62" t="n">
        <v>0</v>
      </c>
      <c r="M2090" s="62" t="n">
        <v>0</v>
      </c>
      <c r="N2090" s="9" t="inlineStr">
        <is>
          <t>Amazon link not found</t>
        </is>
      </c>
      <c r="O2090" s="62">
        <f>IF(N2090="Selling pet toys + Artificial grass/Pet toilets (TARGET)",15,IF(N2090="Selling artificial grass/pet toilets (TARGET)",10,IF(N2090="Selling pet toys",7,IF(N2090="There's an Amazon link, but no target sales.",3,0))))</f>
        <v/>
      </c>
      <c r="P2090" s="67">
        <f>H2090+J2090+L2090+M2090+O2090</f>
        <v/>
      </c>
      <c r="Q2090" s="68">
        <f>IF(OR(H2090=0,P2090&lt;30),"Tier D (Đóng băng)",IF(P2090&gt;=85,"Tier S (Kim Cương: 85-100đ)",IF(P2090&gt;=70,"Tier A (Vàng: 70-84đ)",IF(P2090&gt;=61,"Tier B+ / Cấp A (Hot Lead: 61-69đ)",IF(P2090&gt;=50,"Tier B (Bạc: 50-60đ)","Tier C (Đồng: 30-49đ)")))))</f>
        <v/>
      </c>
      <c r="R2090" s="9" t="inlineStr">
        <is>
          <t>Khay vệ sinh chung cư (Indoor Potty) + Thảm cỏ ban công (Grass Patch) + Đồ chơi</t>
        </is>
      </c>
      <c r="S2090" s="9" t="inlineStr">
        <is>
          <t>Đóng băng tương tác (&gt;30 ngày): Lưu trữ chờ kích hoạt lại, không tốn tài nguyên Sales</t>
        </is>
      </c>
    </row>
    <row r="2091">
      <c r="A2091" s="53" t="n">
        <v>3108</v>
      </c>
      <c r="B2091" s="12" t="inlineStr">
        <is>
          <t>The Dog Spot</t>
        </is>
      </c>
      <c r="C2091" s="54" t="inlineStr">
        <is>
          <t>https://www.facebook.com/profile.php?id=61590806190516</t>
        </is>
      </c>
      <c r="D2091" s="6" t="inlineStr">
        <is>
          <t>Cần quét Bio Fanpage</t>
        </is>
      </c>
      <c r="E2091" s="53" t="inlineStr">
        <is>
          <t>04/08/2026 01:00:56</t>
        </is>
      </c>
      <c r="F2091" s="53" t="inlineStr">
        <is>
          <t>2 tháng trước</t>
        </is>
      </c>
      <c r="G2091" s="55" t="n">
        <v>60</v>
      </c>
      <c r="H2091" s="56" t="n">
        <v>0</v>
      </c>
      <c r="I2091" s="6" t="inlineStr">
        <is>
          <t>Pet Owner / Kênh cá nhân thú cưng (10đ)</t>
        </is>
      </c>
      <c r="J2091" s="56" t="n">
        <v>10</v>
      </c>
      <c r="K2091" s="6" t="inlineStr">
        <is>
          <t>Chưa rõ giống (Cần quét Bio)</t>
        </is>
      </c>
      <c r="L2091" s="56" t="n">
        <v>0</v>
      </c>
      <c r="M2091" s="56" t="n">
        <v>0</v>
      </c>
      <c r="N2091" s="6" t="inlineStr">
        <is>
          <t>Amazon link not found</t>
        </is>
      </c>
      <c r="O2091" s="56">
        <f>IF(N2091="Selling pet toys + Artificial grass/Pet toilets (TARGET)",15,IF(N2091="Selling artificial grass/pet toilets (TARGET)",10,IF(N2091="Selling pet toys",7,IF(N2091="There's an Amazon link, but no target sales.",3,0))))</f>
        <v/>
      </c>
      <c r="P2091" s="65">
        <f>H2091+J2091+L2091+M2091+O2091</f>
        <v/>
      </c>
      <c r="Q2091" s="68">
        <f>IF(OR(H2091=0,P2091&lt;30),"Tier D (Đóng băng)",IF(P2091&gt;=85,"Tier S (Kim Cương: 85-100đ)",IF(P2091&gt;=70,"Tier A (Vàng: 70-84đ)",IF(P2091&gt;=61,"Tier B+ / Cấp A (Hot Lead: 61-69đ)",IF(P2091&gt;=50,"Tier B (Bạc: 50-60đ)","Tier C (Đồng: 30-49đ)")))))</f>
        <v/>
      </c>
      <c r="R2091" s="6" t="inlineStr">
        <is>
          <t>Khay vệ sinh trong nhà (Indoor Dog Potty) + Đồ chơi thú cưng lẻ</t>
        </is>
      </c>
      <c r="S2091" s="6" t="inlineStr">
        <is>
          <t>Đóng băng tương tác (&gt;30 ngày): Lưu trữ chờ kích hoạt lại, không tốn tài nguyên Sales</t>
        </is>
      </c>
    </row>
    <row r="2092">
      <c r="A2092" s="59" t="n">
        <v>1604</v>
      </c>
      <c r="B2092" s="15" t="inlineStr">
        <is>
          <t>HAPPY DOG</t>
        </is>
      </c>
      <c r="C2092" s="60" t="inlineStr">
        <is>
          <t>https://www.facebook.com/profile.php?id=61578529737401</t>
        </is>
      </c>
      <c r="D2092" s="9" t="inlineStr">
        <is>
          <t>Cần quét Bio Fanpage</t>
        </is>
      </c>
      <c r="E2092" s="59" t="inlineStr">
        <is>
          <t>03/08/2026 21:39:24</t>
        </is>
      </c>
      <c r="F2092" s="59" t="inlineStr">
        <is>
          <t>2 tháng trước</t>
        </is>
      </c>
      <c r="G2092" s="61" t="n">
        <v>60</v>
      </c>
      <c r="H2092" s="62" t="n">
        <v>0</v>
      </c>
      <c r="I2092" s="9" t="inlineStr">
        <is>
          <t>Pet Owner / Cộng đồng nuôi cún (10đ)</t>
        </is>
      </c>
      <c r="J2092" s="62" t="n">
        <v>10</v>
      </c>
      <c r="K2092" s="9" t="inlineStr">
        <is>
          <t>Chưa rõ giống (Cần quét Bio)</t>
        </is>
      </c>
      <c r="L2092" s="62" t="n">
        <v>0</v>
      </c>
      <c r="M2092" s="62" t="n">
        <v>0</v>
      </c>
      <c r="N2092" s="9" t="inlineStr">
        <is>
          <t>Amazon link not found</t>
        </is>
      </c>
      <c r="O2092" s="62">
        <f>IF(N2092="Selling pet toys + Artificial grass/Pet toilets (TARGET)",15,IF(N2092="Selling artificial grass/pet toilets (TARGET)",10,IF(N2092="Selling pet toys",7,IF(N2092="There's an Amazon link, but no target sales.",3,0))))</f>
        <v/>
      </c>
      <c r="P2092" s="67">
        <f>H2092+J2092+L2092+M2092+O2092</f>
        <v/>
      </c>
      <c r="Q2092" s="68">
        <f>IF(OR(H2092=0,P2092&lt;30),"Tier D (Đóng băng)",IF(P2092&gt;=85,"Tier S (Kim Cương: 85-100đ)",IF(P2092&gt;=70,"Tier A (Vàng: 70-84đ)",IF(P2092&gt;=61,"Tier B+ / Cấp A (Hot Lead: 61-69đ)",IF(P2092&gt;=50,"Tier B (Bạc: 50-60đ)","Tier C (Đồng: 30-49đ)")))))</f>
        <v/>
      </c>
      <c r="R2092" s="9" t="inlineStr">
        <is>
          <t>Khay vệ sinh chung cư (Indoor Potty) + Thảm cỏ ban công (Grass Patch) + Đồ chơi</t>
        </is>
      </c>
      <c r="S2092" s="9" t="inlineStr">
        <is>
          <t>Đóng băng tương tác (&gt;30 ngày): Lưu trữ chờ kích hoạt lại, không tốn tài nguyên Sales</t>
        </is>
      </c>
    </row>
    <row r="2093">
      <c r="A2093" s="53" t="n">
        <v>69</v>
      </c>
      <c r="B2093" s="12" t="inlineStr">
        <is>
          <t>North America Diving Dogs - NADD</t>
        </is>
      </c>
      <c r="C2093" s="54" t="inlineStr">
        <is>
          <t>https://www.facebook.com/northamericadivingdogs</t>
        </is>
      </c>
      <c r="D2093" s="6" t="inlineStr">
        <is>
          <t>Cần quét Bio Fanpage</t>
        </is>
      </c>
      <c r="E2093" s="53" t="inlineStr">
        <is>
          <t>03/08/2026 20:13:51</t>
        </is>
      </c>
      <c r="F2093" s="53" t="inlineStr">
        <is>
          <t>2 tháng trước</t>
        </is>
      </c>
      <c r="G2093" s="55" t="n">
        <v>60</v>
      </c>
      <c r="H2093" s="56" t="n">
        <v>0</v>
      </c>
      <c r="I2093" s="6" t="inlineStr">
        <is>
          <t>Pet Owner / Cộng đồng nuôi cún (10đ)</t>
        </is>
      </c>
      <c r="J2093" s="56" t="n">
        <v>10</v>
      </c>
      <c r="K2093" s="6" t="inlineStr">
        <is>
          <t>Chưa rõ giống (Cần quét Bio)</t>
        </is>
      </c>
      <c r="L2093" s="56" t="n">
        <v>0</v>
      </c>
      <c r="M2093" s="56" t="n">
        <v>0</v>
      </c>
      <c r="N2093" s="6" t="inlineStr">
        <is>
          <t>Amazon link not found</t>
        </is>
      </c>
      <c r="O2093" s="56">
        <f>IF(N2093="Selling pet toys + Artificial grass/Pet toilets (TARGET)",15,IF(N2093="Selling artificial grass/pet toilets (TARGET)",10,IF(N2093="Selling pet toys",7,IF(N2093="There's an Amazon link, but no target sales.",3,0))))</f>
        <v/>
      </c>
      <c r="P2093" s="65">
        <f>H2093+J2093+L2093+M2093+O2093</f>
        <v/>
      </c>
      <c r="Q2093" s="68">
        <f>IF(OR(H2093=0,P2093&lt;30),"Tier D (Đóng băng)",IF(P2093&gt;=85,"Tier S (Kim Cương: 85-100đ)",IF(P2093&gt;=70,"Tier A (Vàng: 70-84đ)",IF(P2093&gt;=61,"Tier B+ / Cấp A (Hot Lead: 61-69đ)",IF(P2093&gt;=50,"Tier B (Bạc: 50-60đ)","Tier C (Đồng: 30-49đ)")))))</f>
        <v/>
      </c>
      <c r="R2093" s="6" t="inlineStr">
        <is>
          <t>Khay vệ sinh chung cư (Indoor Potty) + Thảm cỏ ban công (Grass Patch) + Đồ chơi</t>
        </is>
      </c>
      <c r="S2093" s="6" t="inlineStr">
        <is>
          <t>Đóng băng tương tác (&gt;30 ngày): Lưu trữ chờ kích hoạt lại, không tốn tài nguyên Sales</t>
        </is>
      </c>
    </row>
    <row r="2094">
      <c r="A2094" s="59" t="n">
        <v>3453</v>
      </c>
      <c r="B2094" s="15" t="inlineStr">
        <is>
          <t>World Dog Show 2027</t>
        </is>
      </c>
      <c r="C2094" s="60" t="inlineStr">
        <is>
          <t>https://www.facebook.com/profile.php?id=100069847105979</t>
        </is>
      </c>
      <c r="D2094" s="9" t="inlineStr">
        <is>
          <t>Cần quét Bio Fanpage</t>
        </is>
      </c>
      <c r="E2094" s="59" t="inlineStr">
        <is>
          <t>02/08/2026 14:31:25</t>
        </is>
      </c>
      <c r="F2094" s="59" t="inlineStr">
        <is>
          <t>2 tháng trước</t>
        </is>
      </c>
      <c r="G2094" s="61" t="n">
        <v>60</v>
      </c>
      <c r="H2094" s="62" t="n">
        <v>0</v>
      </c>
      <c r="I2094" s="9" t="inlineStr">
        <is>
          <t>Pet Owner / Cộng đồng nuôi cún (10đ)</t>
        </is>
      </c>
      <c r="J2094" s="62" t="n">
        <v>10</v>
      </c>
      <c r="K2094" s="9" t="inlineStr">
        <is>
          <t>Chưa rõ giống (Cần quét Bio)</t>
        </is>
      </c>
      <c r="L2094" s="62" t="n">
        <v>0</v>
      </c>
      <c r="M2094" s="62" t="n">
        <v>0</v>
      </c>
      <c r="N2094" s="9" t="inlineStr">
        <is>
          <t>Amazon link not found</t>
        </is>
      </c>
      <c r="O2094" s="62">
        <f>IF(N2094="Selling pet toys + Artificial grass/Pet toilets (TARGET)",15,IF(N2094="Selling artificial grass/pet toilets (TARGET)",10,IF(N2094="Selling pet toys",7,IF(N2094="There's an Amazon link, but no target sales.",3,0))))</f>
        <v/>
      </c>
      <c r="P2094" s="67">
        <f>H2094+J2094+L2094+M2094+O2094</f>
        <v/>
      </c>
      <c r="Q2094" s="68">
        <f>IF(OR(H2094=0,P2094&lt;30),"Tier D (Đóng băng)",IF(P2094&gt;=85,"Tier S (Kim Cương: 85-100đ)",IF(P2094&gt;=70,"Tier A (Vàng: 70-84đ)",IF(P2094&gt;=61,"Tier B+ / Cấp A (Hot Lead: 61-69đ)",IF(P2094&gt;=50,"Tier B (Bạc: 50-60đ)","Tier C (Đồng: 30-49đ)")))))</f>
        <v/>
      </c>
      <c r="R2094" s="9" t="inlineStr">
        <is>
          <t>Khay vệ sinh chung cư (Indoor Potty) + Thảm cỏ ban công (Grass Patch) + Đồ chơi</t>
        </is>
      </c>
      <c r="S2094" s="9" t="inlineStr">
        <is>
          <t>Đóng băng tương tác (&gt;30 ngày): Lưu trữ chờ kích hoạt lại, không tốn tài nguyên Sales</t>
        </is>
      </c>
    </row>
    <row r="2095">
      <c r="A2095" s="53" t="n">
        <v>351</v>
      </c>
      <c r="B2095" s="12" t="inlineStr">
        <is>
          <t>Agung Peterpan  (Agung demeng)</t>
        </is>
      </c>
      <c r="C2095" s="54" t="inlineStr">
        <is>
          <t>https://www.facebook.com/agung.peterpan.7</t>
        </is>
      </c>
      <c r="D2095" s="6" t="inlineStr">
        <is>
          <t>Cần quét Bio Fanpage</t>
        </is>
      </c>
      <c r="E2095" s="53" t="inlineStr">
        <is>
          <t>30/07/2026 08:04:36</t>
        </is>
      </c>
      <c r="F2095" s="53" t="inlineStr">
        <is>
          <t>2 tháng trước</t>
        </is>
      </c>
      <c r="G2095" s="55" t="n">
        <v>60</v>
      </c>
      <c r="H2095" s="56" t="n">
        <v>0</v>
      </c>
      <c r="I2095" s="6" t="inlineStr">
        <is>
          <t>Pet Owner / Cộng đồng nuôi cún (10đ)</t>
        </is>
      </c>
      <c r="J2095" s="56" t="n">
        <v>10</v>
      </c>
      <c r="K2095" s="6" t="inlineStr">
        <is>
          <t>Chưa rõ giống (Cần quét Bio)</t>
        </is>
      </c>
      <c r="L2095" s="56" t="n">
        <v>0</v>
      </c>
      <c r="M2095" s="56" t="n">
        <v>0</v>
      </c>
      <c r="N2095" s="6" t="inlineStr">
        <is>
          <t>Amazon link not found</t>
        </is>
      </c>
      <c r="O2095" s="56">
        <f>IF(N2095="Selling pet toys + Artificial grass/Pet toilets (TARGET)",15,IF(N2095="Selling artificial grass/pet toilets (TARGET)",10,IF(N2095="Selling pet toys",7,IF(N2095="There's an Amazon link, but no target sales.",3,0))))</f>
        <v/>
      </c>
      <c r="P2095" s="65">
        <f>H2095+J2095+L2095+M2095+O2095</f>
        <v/>
      </c>
      <c r="Q2095" s="68">
        <f>IF(OR(H2095=0,P2095&lt;30),"Tier D (Đóng băng)",IF(P2095&gt;=85,"Tier S (Kim Cương: 85-100đ)",IF(P2095&gt;=70,"Tier A (Vàng: 70-84đ)",IF(P2095&gt;=61,"Tier B+ / Cấp A (Hot Lead: 61-69đ)",IF(P2095&gt;=50,"Tier B (Bạc: 50-60đ)","Tier C (Đồng: 30-49đ)")))))</f>
        <v/>
      </c>
      <c r="R2095" s="6" t="inlineStr">
        <is>
          <t>Khay vệ sinh chung cư (Indoor Potty) + Thảm cỏ ban công (Grass Patch) + Đồ chơi</t>
        </is>
      </c>
      <c r="S2095" s="6" t="inlineStr">
        <is>
          <t>Đóng băng tương tác (&gt;30 ngày): Lưu trữ chờ kích hoạt lại, không tốn tài nguyên Sales</t>
        </is>
      </c>
    </row>
    <row r="2096">
      <c r="A2096" s="59" t="n">
        <v>3105</v>
      </c>
      <c r="B2096" s="15" t="inlineStr">
        <is>
          <t>The Dog Orchard</t>
        </is>
      </c>
      <c r="C2096" s="60" t="inlineStr">
        <is>
          <t>https://www.facebook.com/thedogorchard</t>
        </is>
      </c>
      <c r="D2096" s="9" t="inlineStr">
        <is>
          <t>Cần quét Bio Fanpage</t>
        </is>
      </c>
      <c r="E2096" s="59" t="inlineStr">
        <is>
          <t>29/07/2026 21:00:37</t>
        </is>
      </c>
      <c r="F2096" s="59" t="inlineStr">
        <is>
          <t>2 tháng trước</t>
        </is>
      </c>
      <c r="G2096" s="61" t="n">
        <v>60</v>
      </c>
      <c r="H2096" s="62" t="n">
        <v>0</v>
      </c>
      <c r="I2096" s="9" t="inlineStr">
        <is>
          <t>Pet Owner / Kênh cá nhân thú cưng (10đ)</t>
        </is>
      </c>
      <c r="J2096" s="62" t="n">
        <v>10</v>
      </c>
      <c r="K2096" s="9" t="inlineStr">
        <is>
          <t>Chưa rõ giống (Cần quét Bio)</t>
        </is>
      </c>
      <c r="L2096" s="62" t="n">
        <v>0</v>
      </c>
      <c r="M2096" s="62" t="n">
        <v>0</v>
      </c>
      <c r="N2096" s="9" t="inlineStr">
        <is>
          <t>Amazon link not found</t>
        </is>
      </c>
      <c r="O2096" s="62">
        <f>IF(N2096="Selling pet toys + Artificial grass/Pet toilets (TARGET)",15,IF(N2096="Selling artificial grass/pet toilets (TARGET)",10,IF(N2096="Selling pet toys",7,IF(N2096="There's an Amazon link, but no target sales.",3,0))))</f>
        <v/>
      </c>
      <c r="P2096" s="67">
        <f>H2096+J2096+L2096+M2096+O2096</f>
        <v/>
      </c>
      <c r="Q2096" s="68">
        <f>IF(OR(H2096=0,P2096&lt;30),"Tier D (Đóng băng)",IF(P2096&gt;=85,"Tier S (Kim Cương: 85-100đ)",IF(P2096&gt;=70,"Tier A (Vàng: 70-84đ)",IF(P2096&gt;=61,"Tier B+ / Cấp A (Hot Lead: 61-69đ)",IF(P2096&gt;=50,"Tier B (Bạc: 50-60đ)","Tier C (Đồng: 30-49đ)")))))</f>
        <v/>
      </c>
      <c r="R2096" s="9" t="inlineStr">
        <is>
          <t>Khay vệ sinh trong nhà (Indoor Dog Potty) + Đồ chơi thú cưng lẻ</t>
        </is>
      </c>
      <c r="S2096" s="9" t="inlineStr">
        <is>
          <t>Đóng băng tương tác (&gt;30 ngày): Lưu trữ chờ kích hoạt lại, không tốn tài nguyên Sales</t>
        </is>
      </c>
    </row>
    <row r="2097">
      <c r="A2097" s="53" t="n">
        <v>2738</v>
      </c>
      <c r="B2097" s="12" t="inlineStr">
        <is>
          <t>Revista HealthyPet Mxli</t>
        </is>
      </c>
      <c r="C2097" s="54" t="inlineStr">
        <is>
          <t>https://www.facebook.com/revistahealthypetmexicali</t>
        </is>
      </c>
      <c r="D2097" s="6" t="inlineStr">
        <is>
          <t>Cần quét Bio Fanpage</t>
        </is>
      </c>
      <c r="E2097" s="53" t="inlineStr">
        <is>
          <t>27/07/2026 22:44:33</t>
        </is>
      </c>
      <c r="F2097" s="53" t="inlineStr">
        <is>
          <t>2 tháng trước</t>
        </is>
      </c>
      <c r="G2097" s="55" t="n">
        <v>60</v>
      </c>
      <c r="H2097" s="56" t="n">
        <v>0</v>
      </c>
      <c r="I2097" s="6" t="inlineStr">
        <is>
          <t>Pet Owner / Cộng đồng nuôi cún (10đ)</t>
        </is>
      </c>
      <c r="J2097" s="56" t="n">
        <v>10</v>
      </c>
      <c r="K2097" s="6" t="inlineStr">
        <is>
          <t>Chưa rõ giống (Cần quét Bio)</t>
        </is>
      </c>
      <c r="L2097" s="56" t="n">
        <v>0</v>
      </c>
      <c r="M2097" s="56" t="n">
        <v>0</v>
      </c>
      <c r="N2097" s="6" t="inlineStr">
        <is>
          <t>Amazon link not found</t>
        </is>
      </c>
      <c r="O2097" s="56">
        <f>IF(N2097="Selling pet toys + Artificial grass/Pet toilets (TARGET)",15,IF(N2097="Selling artificial grass/pet toilets (TARGET)",10,IF(N2097="Selling pet toys",7,IF(N2097="There's an Amazon link, but no target sales.",3,0))))</f>
        <v/>
      </c>
      <c r="P2097" s="65">
        <f>H2097+J2097+L2097+M2097+O2097</f>
        <v/>
      </c>
      <c r="Q2097" s="68">
        <f>IF(OR(H2097=0,P2097&lt;30),"Tier D (Đóng băng)",IF(P2097&gt;=85,"Tier S (Kim Cương: 85-100đ)",IF(P2097&gt;=70,"Tier A (Vàng: 70-84đ)",IF(P2097&gt;=61,"Tier B+ / Cấp A (Hot Lead: 61-69đ)",IF(P2097&gt;=50,"Tier B (Bạc: 50-60đ)","Tier C (Đồng: 30-49đ)")))))</f>
        <v/>
      </c>
      <c r="R2097" s="6" t="inlineStr">
        <is>
          <t>Khay vệ sinh chung cư (Indoor Potty) + Thảm cỏ ban công (Grass Patch) + Đồ chơi</t>
        </is>
      </c>
      <c r="S2097" s="6" t="inlineStr">
        <is>
          <t>Đóng băng tương tác (&gt;30 ngày): Lưu trữ chờ kích hoạt lại, không tốn tài nguyên Sales</t>
        </is>
      </c>
    </row>
    <row r="2098">
      <c r="A2098" s="59" t="n">
        <v>3022</v>
      </c>
      <c r="B2098" s="15" t="inlineStr">
        <is>
          <t>Sunshine Diving Dogs</t>
        </is>
      </c>
      <c r="C2098" s="60" t="inlineStr">
        <is>
          <t>https://www.facebook.com/profile.php?id=100063748172896</t>
        </is>
      </c>
      <c r="D2098" s="9" t="inlineStr">
        <is>
          <t>Cần quét Bio Fanpage</t>
        </is>
      </c>
      <c r="E2098" s="59" t="inlineStr">
        <is>
          <t>27/07/2026 19:47:01</t>
        </is>
      </c>
      <c r="F2098" s="59" t="inlineStr">
        <is>
          <t>2 tháng trước</t>
        </is>
      </c>
      <c r="G2098" s="61" t="n">
        <v>60</v>
      </c>
      <c r="H2098" s="62" t="n">
        <v>0</v>
      </c>
      <c r="I2098" s="9" t="inlineStr">
        <is>
          <t>Pet Owner / Cộng đồng nuôi cún (10đ)</t>
        </is>
      </c>
      <c r="J2098" s="62" t="n">
        <v>10</v>
      </c>
      <c r="K2098" s="9" t="inlineStr">
        <is>
          <t>Chưa rõ giống (Cần quét Bio)</t>
        </is>
      </c>
      <c r="L2098" s="62" t="n">
        <v>0</v>
      </c>
      <c r="M2098" s="62" t="n">
        <v>0</v>
      </c>
      <c r="N2098" s="9" t="inlineStr">
        <is>
          <t>Amazon link not found</t>
        </is>
      </c>
      <c r="O2098" s="62">
        <f>IF(N2098="Selling pet toys + Artificial grass/Pet toilets (TARGET)",15,IF(N2098="Selling artificial grass/pet toilets (TARGET)",10,IF(N2098="Selling pet toys",7,IF(N2098="There's an Amazon link, but no target sales.",3,0))))</f>
        <v/>
      </c>
      <c r="P2098" s="67">
        <f>H2098+J2098+L2098+M2098+O2098</f>
        <v/>
      </c>
      <c r="Q2098" s="68">
        <f>IF(OR(H2098=0,P2098&lt;30),"Tier D (Đóng băng)",IF(P2098&gt;=85,"Tier S (Kim Cương: 85-100đ)",IF(P2098&gt;=70,"Tier A (Vàng: 70-84đ)",IF(P2098&gt;=61,"Tier B+ / Cấp A (Hot Lead: 61-69đ)",IF(P2098&gt;=50,"Tier B (Bạc: 50-60đ)","Tier C (Đồng: 30-49đ)")))))</f>
        <v/>
      </c>
      <c r="R2098" s="9" t="inlineStr">
        <is>
          <t>Khay vệ sinh chung cư (Indoor Potty) + Thảm cỏ ban công (Grass Patch) + Đồ chơi</t>
        </is>
      </c>
      <c r="S2098" s="9" t="inlineStr">
        <is>
          <t>Đóng băng tương tác (&gt;30 ngày): Lưu trữ chờ kích hoạt lại, không tốn tài nguyên Sales</t>
        </is>
      </c>
    </row>
    <row r="2099">
      <c r="A2099" s="53" t="n">
        <v>2503</v>
      </c>
      <c r="B2099" s="12" t="inlineStr">
        <is>
          <t>PetExpo - The World of Dogs and Cats</t>
        </is>
      </c>
      <c r="C2099" s="54" t="inlineStr">
        <is>
          <t>https://www.facebook.com/PetExpoSA</t>
        </is>
      </c>
      <c r="D2099" s="6" t="inlineStr">
        <is>
          <t>Cần quét Bio Fanpage</t>
        </is>
      </c>
      <c r="E2099" s="53" t="inlineStr">
        <is>
          <t>18/07/2026 18:55:59</t>
        </is>
      </c>
      <c r="F2099" s="53" t="inlineStr">
        <is>
          <t>2 tháng trước</t>
        </is>
      </c>
      <c r="G2099" s="55" t="n">
        <v>60</v>
      </c>
      <c r="H2099" s="56" t="n">
        <v>0</v>
      </c>
      <c r="I2099" s="6" t="inlineStr">
        <is>
          <t>Pet Owner / Kênh cá nhân thú cưng (10đ)</t>
        </is>
      </c>
      <c r="J2099" s="56" t="n">
        <v>10</v>
      </c>
      <c r="K2099" s="6" t="inlineStr">
        <is>
          <t>Chưa rõ giống (Cần quét Bio)</t>
        </is>
      </c>
      <c r="L2099" s="56" t="n">
        <v>0</v>
      </c>
      <c r="M2099" s="56" t="n">
        <v>0</v>
      </c>
      <c r="N2099" s="6" t="inlineStr">
        <is>
          <t>Amazon link not found</t>
        </is>
      </c>
      <c r="O2099" s="56">
        <f>IF(N2099="Selling pet toys + Artificial grass/Pet toilets (TARGET)",15,IF(N2099="Selling artificial grass/pet toilets (TARGET)",10,IF(N2099="Selling pet toys",7,IF(N2099="There's an Amazon link, but no target sales.",3,0))))</f>
        <v/>
      </c>
      <c r="P2099" s="65">
        <f>H2099+J2099+L2099+M2099+O2099</f>
        <v/>
      </c>
      <c r="Q2099" s="68">
        <f>IF(OR(H2099=0,P2099&lt;30),"Tier D (Đóng băng)",IF(P2099&gt;=85,"Tier S (Kim Cương: 85-100đ)",IF(P2099&gt;=70,"Tier A (Vàng: 70-84đ)",IF(P2099&gt;=61,"Tier B+ / Cấp A (Hot Lead: 61-69đ)",IF(P2099&gt;=50,"Tier B (Bạc: 50-60đ)","Tier C (Đồng: 30-49đ)")))))</f>
        <v/>
      </c>
      <c r="R2099" s="6" t="inlineStr">
        <is>
          <t>Khay vệ sinh trong nhà (Indoor Dog Potty) + Đồ chơi thú cưng lẻ</t>
        </is>
      </c>
      <c r="S2099" s="6" t="inlineStr">
        <is>
          <t>Đóng băng tương tác (&gt;30 ngày): Lưu trữ chờ kích hoạt lại, không tốn tài nguyên Sales</t>
        </is>
      </c>
    </row>
    <row r="2100">
      <c r="A2100" s="59" t="n">
        <v>2492</v>
      </c>
      <c r="B2100" s="15" t="inlineStr">
        <is>
          <t>Peter Christopher</t>
        </is>
      </c>
      <c r="C2100" s="60" t="inlineStr">
        <is>
          <t>https://www.facebook.com/peter.christopher.672045</t>
        </is>
      </c>
      <c r="D2100" s="9" t="inlineStr">
        <is>
          <t>Cần quét Bio Fanpage</t>
        </is>
      </c>
      <c r="E2100" s="59" t="inlineStr">
        <is>
          <t>15/07/2026 22:41:32</t>
        </is>
      </c>
      <c r="F2100" s="59" t="inlineStr">
        <is>
          <t>2 tháng trước</t>
        </is>
      </c>
      <c r="G2100" s="61" t="n">
        <v>60</v>
      </c>
      <c r="H2100" s="62" t="n">
        <v>0</v>
      </c>
      <c r="I2100" s="9" t="inlineStr">
        <is>
          <t>Pet Owner / Cộng đồng nuôi cún (10đ)</t>
        </is>
      </c>
      <c r="J2100" s="62" t="n">
        <v>10</v>
      </c>
      <c r="K2100" s="9" t="inlineStr">
        <is>
          <t>Chưa rõ giống (Cần quét Bio)</t>
        </is>
      </c>
      <c r="L2100" s="62" t="n">
        <v>0</v>
      </c>
      <c r="M2100" s="62" t="n">
        <v>0</v>
      </c>
      <c r="N2100" s="9" t="inlineStr">
        <is>
          <t>Amazon link not found</t>
        </is>
      </c>
      <c r="O2100" s="62">
        <f>IF(N2100="Selling pet toys + Artificial grass/Pet toilets (TARGET)",15,IF(N2100="Selling artificial grass/pet toilets (TARGET)",10,IF(N2100="Selling pet toys",7,IF(N2100="There's an Amazon link, but no target sales.",3,0))))</f>
        <v/>
      </c>
      <c r="P2100" s="67">
        <f>H2100+J2100+L2100+M2100+O2100</f>
        <v/>
      </c>
      <c r="Q2100" s="68">
        <f>IF(OR(H2100=0,P2100&lt;30),"Tier D (Đóng băng)",IF(P2100&gt;=85,"Tier S (Kim Cương: 85-100đ)",IF(P2100&gt;=70,"Tier A (Vàng: 70-84đ)",IF(P2100&gt;=61,"Tier B+ / Cấp A (Hot Lead: 61-69đ)",IF(P2100&gt;=50,"Tier B (Bạc: 50-60đ)","Tier C (Đồng: 30-49đ)")))))</f>
        <v/>
      </c>
      <c r="R2100" s="9" t="inlineStr">
        <is>
          <t>Khay vệ sinh chung cư (Indoor Potty) + Thảm cỏ ban công (Grass Patch) + Đồ chơi</t>
        </is>
      </c>
      <c r="S2100" s="9" t="inlineStr">
        <is>
          <t>Đóng băng tương tác (&gt;30 ngày): Lưu trữ chờ kích hoạt lại, không tốn tài nguyên Sales</t>
        </is>
      </c>
    </row>
    <row r="2101">
      <c r="A2101" s="53" t="n">
        <v>1754</v>
      </c>
      <c r="B2101" s="12" t="inlineStr">
        <is>
          <t>James Wellbeloved Pet Food</t>
        </is>
      </c>
      <c r="C2101" s="54" t="inlineStr">
        <is>
          <t>https://www.facebook.com/JamesWellbelovedUK</t>
        </is>
      </c>
      <c r="D2101" s="6" t="inlineStr">
        <is>
          <t>Cần quét Bio Fanpage</t>
        </is>
      </c>
      <c r="E2101" s="53" t="inlineStr">
        <is>
          <t>15/07/2026 15:18:30</t>
        </is>
      </c>
      <c r="F2101" s="53" t="inlineStr">
        <is>
          <t>2 tháng trước</t>
        </is>
      </c>
      <c r="G2101" s="55" t="n">
        <v>60</v>
      </c>
      <c r="H2101" s="56" t="n">
        <v>0</v>
      </c>
      <c r="I2101" s="6" t="inlineStr">
        <is>
          <t>Pet Owner / Cộng đồng nuôi cún (10đ)</t>
        </is>
      </c>
      <c r="J2101" s="56" t="n">
        <v>10</v>
      </c>
      <c r="K2101" s="6" t="inlineStr">
        <is>
          <t>Chưa rõ giống (Cần quét Bio)</t>
        </is>
      </c>
      <c r="L2101" s="56" t="n">
        <v>0</v>
      </c>
      <c r="M2101" s="56" t="n">
        <v>0</v>
      </c>
      <c r="N2101" s="6" t="inlineStr">
        <is>
          <t>Amazon link not found</t>
        </is>
      </c>
      <c r="O2101" s="56">
        <f>IF(N2101="Selling pet toys + Artificial grass/Pet toilets (TARGET)",15,IF(N2101="Selling artificial grass/pet toilets (TARGET)",10,IF(N2101="Selling pet toys",7,IF(N2101="There's an Amazon link, but no target sales.",3,0))))</f>
        <v/>
      </c>
      <c r="P2101" s="65">
        <f>H2101+J2101+L2101+M2101+O2101</f>
        <v/>
      </c>
      <c r="Q2101" s="68">
        <f>IF(OR(H2101=0,P2101&lt;30),"Tier D (Đóng băng)",IF(P2101&gt;=85,"Tier S (Kim Cương: 85-100đ)",IF(P2101&gt;=70,"Tier A (Vàng: 70-84đ)",IF(P2101&gt;=61,"Tier B+ / Cấp A (Hot Lead: 61-69đ)",IF(P2101&gt;=50,"Tier B (Bạc: 50-60đ)","Tier C (Đồng: 30-49đ)")))))</f>
        <v/>
      </c>
      <c r="R2101" s="6" t="inlineStr">
        <is>
          <t>Khay vệ sinh chung cư (Indoor Potty) + Thảm cỏ ban công (Grass Patch) + Đồ chơi</t>
        </is>
      </c>
      <c r="S2101" s="6" t="inlineStr">
        <is>
          <t>Đóng băng tương tác (&gt;30 ngày): Lưu trữ chờ kích hoạt lại, không tốn tài nguyên Sales</t>
        </is>
      </c>
    </row>
    <row r="2102">
      <c r="A2102" s="59" t="n">
        <v>1206</v>
      </c>
      <c r="B2102" s="15" t="inlineStr">
        <is>
          <t>Dogues de Bordeaux Guadeloupe</t>
        </is>
      </c>
      <c r="C2102" s="60" t="inlineStr">
        <is>
          <t>https://www.facebook.com/DDBG971</t>
        </is>
      </c>
      <c r="D2102" s="9" t="inlineStr">
        <is>
          <t>Cần quét Bio Fanpage</t>
        </is>
      </c>
      <c r="E2102" s="59" t="inlineStr">
        <is>
          <t>15/07/2026 01:20:27</t>
        </is>
      </c>
      <c r="F2102" s="59" t="inlineStr">
        <is>
          <t>3 tháng trước</t>
        </is>
      </c>
      <c r="G2102" s="61" t="n">
        <v>90</v>
      </c>
      <c r="H2102" s="62" t="n">
        <v>0</v>
      </c>
      <c r="I2102" s="9" t="inlineStr">
        <is>
          <t>Pet Owner / Cộng đồng nuôi cún (10đ)</t>
        </is>
      </c>
      <c r="J2102" s="62" t="n">
        <v>10</v>
      </c>
      <c r="K2102" s="9" t="inlineStr">
        <is>
          <t>Chưa rõ giống (Cần quét Bio)</t>
        </is>
      </c>
      <c r="L2102" s="62" t="n">
        <v>0</v>
      </c>
      <c r="M2102" s="62" t="n">
        <v>0</v>
      </c>
      <c r="N2102" s="9" t="inlineStr">
        <is>
          <t>Amazon link not found</t>
        </is>
      </c>
      <c r="O2102" s="62">
        <f>IF(N2102="Selling pet toys + Artificial grass/Pet toilets (TARGET)",15,IF(N2102="Selling artificial grass/pet toilets (TARGET)",10,IF(N2102="Selling pet toys",7,IF(N2102="There's an Amazon link, but no target sales.",3,0))))</f>
        <v/>
      </c>
      <c r="P2102" s="67">
        <f>H2102+J2102+L2102+M2102+O2102</f>
        <v/>
      </c>
      <c r="Q2102" s="68">
        <f>IF(OR(H2102=0,P2102&lt;30),"Tier D (Đóng băng)",IF(P2102&gt;=85,"Tier S (Kim Cương: 85-100đ)",IF(P2102&gt;=70,"Tier A (Vàng: 70-84đ)",IF(P2102&gt;=61,"Tier B+ / Cấp A (Hot Lead: 61-69đ)",IF(P2102&gt;=50,"Tier B (Bạc: 50-60đ)","Tier C (Đồng: 30-49đ)")))))</f>
        <v/>
      </c>
      <c r="R2102" s="9" t="inlineStr">
        <is>
          <t>Khay vệ sinh chung cư (Indoor Potty) + Thảm cỏ ban công (Grass Patch) + Đồ chơi</t>
        </is>
      </c>
      <c r="S2102" s="9" t="inlineStr">
        <is>
          <t>Đóng băng tương tác (&gt;30 ngày): Lưu trữ chờ kích hoạt lại, không tốn tài nguyên Sales</t>
        </is>
      </c>
    </row>
    <row r="2103">
      <c r="A2103" s="53" t="n">
        <v>2038</v>
      </c>
      <c r="B2103" s="12" t="inlineStr">
        <is>
          <t>Livestock + pets classifieds</t>
        </is>
      </c>
      <c r="C2103" s="54" t="inlineStr">
        <is>
          <t>https://www.facebook.com/profile.php?id=61589968491984</t>
        </is>
      </c>
      <c r="D2103" s="6" t="inlineStr">
        <is>
          <t>Cần quét Bio Fanpage</t>
        </is>
      </c>
      <c r="E2103" s="53" t="inlineStr">
        <is>
          <t>11/07/2026 09:26:59</t>
        </is>
      </c>
      <c r="F2103" s="53" t="inlineStr">
        <is>
          <t>3 tháng trước</t>
        </is>
      </c>
      <c r="G2103" s="55" t="n">
        <v>90</v>
      </c>
      <c r="H2103" s="56" t="n">
        <v>0</v>
      </c>
      <c r="I2103" s="6" t="inlineStr">
        <is>
          <t>Pet Owner / Cộng đồng nuôi cún (10đ)</t>
        </is>
      </c>
      <c r="J2103" s="56" t="n">
        <v>10</v>
      </c>
      <c r="K2103" s="6" t="inlineStr">
        <is>
          <t>Chưa rõ giống (Cần quét Bio)</t>
        </is>
      </c>
      <c r="L2103" s="56" t="n">
        <v>0</v>
      </c>
      <c r="M2103" s="56" t="n">
        <v>0</v>
      </c>
      <c r="N2103" s="6" t="inlineStr">
        <is>
          <t>Amazon link not found</t>
        </is>
      </c>
      <c r="O2103" s="56">
        <f>IF(N2103="Selling pet toys + Artificial grass/Pet toilets (TARGET)",15,IF(N2103="Selling artificial grass/pet toilets (TARGET)",10,IF(N2103="Selling pet toys",7,IF(N2103="There's an Amazon link, but no target sales.",3,0))))</f>
        <v/>
      </c>
      <c r="P2103" s="65">
        <f>H2103+J2103+L2103+M2103+O2103</f>
        <v/>
      </c>
      <c r="Q2103" s="68">
        <f>IF(OR(H2103=0,P2103&lt;30),"Tier D (Đóng băng)",IF(P2103&gt;=85,"Tier S (Kim Cương: 85-100đ)",IF(P2103&gt;=70,"Tier A (Vàng: 70-84đ)",IF(P2103&gt;=61,"Tier B+ / Cấp A (Hot Lead: 61-69đ)",IF(P2103&gt;=50,"Tier B (Bạc: 50-60đ)","Tier C (Đồng: 30-49đ)")))))</f>
        <v/>
      </c>
      <c r="R2103" s="6" t="inlineStr">
        <is>
          <t>Khay vệ sinh chung cư (Indoor Potty) + Thảm cỏ ban công (Grass Patch) + Đồ chơi</t>
        </is>
      </c>
      <c r="S2103" s="6" t="inlineStr">
        <is>
          <t>Đóng băng tương tác (&gt;30 ngày): Lưu trữ chờ kích hoạt lại, không tốn tài nguyên Sales</t>
        </is>
      </c>
    </row>
    <row r="2104">
      <c r="A2104" s="59" t="n">
        <v>1098</v>
      </c>
      <c r="B2104" s="15" t="inlineStr">
        <is>
          <t>Dog Show Central</t>
        </is>
      </c>
      <c r="C2104" s="60" t="inlineStr">
        <is>
          <t>https://www.facebook.com/DogShowCentral</t>
        </is>
      </c>
      <c r="D2104" s="9" t="inlineStr">
        <is>
          <t>Cần quét Bio Fanpage</t>
        </is>
      </c>
      <c r="E2104" s="59" t="inlineStr">
        <is>
          <t>10/07/2026 17:31:16</t>
        </is>
      </c>
      <c r="F2104" s="59" t="inlineStr">
        <is>
          <t>3 tháng trước</t>
        </is>
      </c>
      <c r="G2104" s="61" t="n">
        <v>90</v>
      </c>
      <c r="H2104" s="62" t="n">
        <v>0</v>
      </c>
      <c r="I2104" s="9" t="inlineStr">
        <is>
          <t>Pet Owner / Cộng đồng nuôi cún (10đ)</t>
        </is>
      </c>
      <c r="J2104" s="62" t="n">
        <v>10</v>
      </c>
      <c r="K2104" s="9" t="inlineStr">
        <is>
          <t>Chưa rõ giống (Cần quét Bio)</t>
        </is>
      </c>
      <c r="L2104" s="62" t="n">
        <v>0</v>
      </c>
      <c r="M2104" s="62" t="n">
        <v>0</v>
      </c>
      <c r="N2104" s="9" t="inlineStr">
        <is>
          <t>Amazon link not found</t>
        </is>
      </c>
      <c r="O2104" s="62">
        <f>IF(N2104="Selling pet toys + Artificial grass/Pet toilets (TARGET)",15,IF(N2104="Selling artificial grass/pet toilets (TARGET)",10,IF(N2104="Selling pet toys",7,IF(N2104="There's an Amazon link, but no target sales.",3,0))))</f>
        <v/>
      </c>
      <c r="P2104" s="67">
        <f>H2104+J2104+L2104+M2104+O2104</f>
        <v/>
      </c>
      <c r="Q2104" s="68">
        <f>IF(OR(H2104=0,P2104&lt;30),"Tier D (Đóng băng)",IF(P2104&gt;=85,"Tier S (Kim Cương: 85-100đ)",IF(P2104&gt;=70,"Tier A (Vàng: 70-84đ)",IF(P2104&gt;=61,"Tier B+ / Cấp A (Hot Lead: 61-69đ)",IF(P2104&gt;=50,"Tier B (Bạc: 50-60đ)","Tier C (Đồng: 30-49đ)")))))</f>
        <v/>
      </c>
      <c r="R2104" s="9" t="inlineStr">
        <is>
          <t>Khay vệ sinh chung cư (Indoor Potty) + Thảm cỏ ban công (Grass Patch) + Đồ chơi</t>
        </is>
      </c>
      <c r="S2104" s="9" t="inlineStr">
        <is>
          <t>Đóng băng tương tác (&gt;30 ngày): Lưu trữ chờ kích hoạt lại, không tốn tài nguyên Sales</t>
        </is>
      </c>
    </row>
    <row r="2105">
      <c r="A2105" s="53" t="n">
        <v>2364</v>
      </c>
      <c r="B2105" s="12" t="inlineStr">
        <is>
          <t>One dog</t>
        </is>
      </c>
      <c r="C2105" s="54" t="inlineStr">
        <is>
          <t>https://www.facebook.com/profile.php?id=100037344051604</t>
        </is>
      </c>
      <c r="D2105" s="6" t="inlineStr">
        <is>
          <t>Cần quét Bio Fanpage</t>
        </is>
      </c>
      <c r="E2105" s="53" t="inlineStr">
        <is>
          <t>09/07/2026 18:00:32</t>
        </is>
      </c>
      <c r="F2105" s="53" t="inlineStr">
        <is>
          <t>3 tháng trước</t>
        </is>
      </c>
      <c r="G2105" s="55" t="n">
        <v>90</v>
      </c>
      <c r="H2105" s="56" t="n">
        <v>0</v>
      </c>
      <c r="I2105" s="6" t="inlineStr">
        <is>
          <t>Pet Owner / Cộng đồng nuôi cún (10đ)</t>
        </is>
      </c>
      <c r="J2105" s="56" t="n">
        <v>10</v>
      </c>
      <c r="K2105" s="6" t="inlineStr">
        <is>
          <t>Chưa rõ giống (Cần quét Bio)</t>
        </is>
      </c>
      <c r="L2105" s="56" t="n">
        <v>0</v>
      </c>
      <c r="M2105" s="56" t="n">
        <v>0</v>
      </c>
      <c r="N2105" s="6" t="inlineStr">
        <is>
          <t>Amazon link not found</t>
        </is>
      </c>
      <c r="O2105" s="56">
        <f>IF(N2105="Selling pet toys + Artificial grass/Pet toilets (TARGET)",15,IF(N2105="Selling artificial grass/pet toilets (TARGET)",10,IF(N2105="Selling pet toys",7,IF(N2105="There's an Amazon link, but no target sales.",3,0))))</f>
        <v/>
      </c>
      <c r="P2105" s="65">
        <f>H2105+J2105+L2105+M2105+O2105</f>
        <v/>
      </c>
      <c r="Q2105" s="68">
        <f>IF(OR(H2105=0,P2105&lt;30),"Tier D (Đóng băng)",IF(P2105&gt;=85,"Tier S (Kim Cương: 85-100đ)",IF(P2105&gt;=70,"Tier A (Vàng: 70-84đ)",IF(P2105&gt;=61,"Tier B+ / Cấp A (Hot Lead: 61-69đ)",IF(P2105&gt;=50,"Tier B (Bạc: 50-60đ)","Tier C (Đồng: 30-49đ)")))))</f>
        <v/>
      </c>
      <c r="R2105" s="6" t="inlineStr">
        <is>
          <t>Khay vệ sinh chung cư (Indoor Potty) + Thảm cỏ ban công (Grass Patch) + Đồ chơi</t>
        </is>
      </c>
      <c r="S2105" s="6" t="inlineStr">
        <is>
          <t>Đóng băng tương tác (&gt;30 ngày): Lưu trữ chờ kích hoạt lại, không tốn tài nguyên Sales</t>
        </is>
      </c>
    </row>
    <row r="2106">
      <c r="A2106" s="59" t="n">
        <v>1090</v>
      </c>
      <c r="B2106" s="15" t="inlineStr">
        <is>
          <t>Dog Lovers</t>
        </is>
      </c>
      <c r="C2106" s="60" t="inlineStr">
        <is>
          <t>https://www.facebook.com/likepageifyouloveanimalsus</t>
        </is>
      </c>
      <c r="D2106" s="9" t="inlineStr">
        <is>
          <t>Cần quét Bio Fanpage</t>
        </is>
      </c>
      <c r="E2106" s="59" t="inlineStr">
        <is>
          <t>08/07/2026 16:51:50</t>
        </is>
      </c>
      <c r="F2106" s="59" t="inlineStr">
        <is>
          <t>3 tháng trước</t>
        </is>
      </c>
      <c r="G2106" s="61" t="n">
        <v>90</v>
      </c>
      <c r="H2106" s="62" t="n">
        <v>0</v>
      </c>
      <c r="I2106" s="9" t="inlineStr">
        <is>
          <t>Pet Owner / Kênh cá nhân thú cưng (10đ)</t>
        </is>
      </c>
      <c r="J2106" s="62" t="n">
        <v>10</v>
      </c>
      <c r="K2106" s="9" t="inlineStr">
        <is>
          <t>Chưa rõ giống (Cần quét Bio)</t>
        </is>
      </c>
      <c r="L2106" s="62" t="n">
        <v>0</v>
      </c>
      <c r="M2106" s="62" t="n">
        <v>0</v>
      </c>
      <c r="N2106" s="9" t="inlineStr">
        <is>
          <t>Amazon link not found</t>
        </is>
      </c>
      <c r="O2106" s="62">
        <f>IF(N2106="Selling pet toys + Artificial grass/Pet toilets (TARGET)",15,IF(N2106="Selling artificial grass/pet toilets (TARGET)",10,IF(N2106="Selling pet toys",7,IF(N2106="There's an Amazon link, but no target sales.",3,0))))</f>
        <v/>
      </c>
      <c r="P2106" s="67">
        <f>H2106+J2106+L2106+M2106+O2106</f>
        <v/>
      </c>
      <c r="Q2106" s="68">
        <f>IF(OR(H2106=0,P2106&lt;30),"Tier D (Đóng băng)",IF(P2106&gt;=85,"Tier S (Kim Cương: 85-100đ)",IF(P2106&gt;=70,"Tier A (Vàng: 70-84đ)",IF(P2106&gt;=61,"Tier B+ / Cấp A (Hot Lead: 61-69đ)",IF(P2106&gt;=50,"Tier B (Bạc: 50-60đ)","Tier C (Đồng: 30-49đ)")))))</f>
        <v/>
      </c>
      <c r="R2106" s="9" t="inlineStr">
        <is>
          <t>Khay vệ sinh trong nhà (Indoor Dog Potty) + Đồ chơi thú cưng lẻ</t>
        </is>
      </c>
      <c r="S2106" s="9" t="inlineStr">
        <is>
          <t>Đóng băng tương tác (&gt;30 ngày): Lưu trữ chờ kích hoạt lại, không tốn tài nguyên Sales</t>
        </is>
      </c>
    </row>
    <row r="2107">
      <c r="A2107" s="53" t="n">
        <v>2193</v>
      </c>
      <c r="B2107" s="12" t="inlineStr">
        <is>
          <t>Miramar Carpet Cleaning</t>
        </is>
      </c>
      <c r="C2107" s="54" t="inlineStr">
        <is>
          <t>https://www.facebook.com/MiramarCarpetCleaning</t>
        </is>
      </c>
      <c r="D2107" s="6" t="inlineStr">
        <is>
          <t>Cần quét Bio Fanpage</t>
        </is>
      </c>
      <c r="E2107" s="53" t="inlineStr">
        <is>
          <t>07/07/2026 05:06:32</t>
        </is>
      </c>
      <c r="F2107" s="53" t="inlineStr">
        <is>
          <t>3 tháng trước</t>
        </is>
      </c>
      <c r="G2107" s="55" t="n">
        <v>90</v>
      </c>
      <c r="H2107" s="56" t="n">
        <v>0</v>
      </c>
      <c r="I2107" s="6" t="inlineStr">
        <is>
          <t>Pet Owner / Cộng đồng nuôi cún (10đ)</t>
        </is>
      </c>
      <c r="J2107" s="56" t="n">
        <v>10</v>
      </c>
      <c r="K2107" s="6" t="inlineStr">
        <is>
          <t>Chưa rõ giống (Cần quét Bio)</t>
        </is>
      </c>
      <c r="L2107" s="56" t="n">
        <v>0</v>
      </c>
      <c r="M2107" s="56" t="n">
        <v>0</v>
      </c>
      <c r="N2107" s="6" t="inlineStr">
        <is>
          <t>Amazon link not found</t>
        </is>
      </c>
      <c r="O2107" s="56">
        <f>IF(N2107="Selling pet toys + Artificial grass/Pet toilets (TARGET)",15,IF(N2107="Selling artificial grass/pet toilets (TARGET)",10,IF(N2107="Selling pet toys",7,IF(N2107="There's an Amazon link, but no target sales.",3,0))))</f>
        <v/>
      </c>
      <c r="P2107" s="65">
        <f>H2107+J2107+L2107+M2107+O2107</f>
        <v/>
      </c>
      <c r="Q2107" s="68">
        <f>IF(OR(H2107=0,P2107&lt;30),"Tier D (Đóng băng)",IF(P2107&gt;=85,"Tier S (Kim Cương: 85-100đ)",IF(P2107&gt;=70,"Tier A (Vàng: 70-84đ)",IF(P2107&gt;=61,"Tier B+ / Cấp A (Hot Lead: 61-69đ)",IF(P2107&gt;=50,"Tier B (Bạc: 50-60đ)","Tier C (Đồng: 30-49đ)")))))</f>
        <v/>
      </c>
      <c r="R2107" s="6" t="inlineStr">
        <is>
          <t>Khay vệ sinh chung cư (Indoor Potty) + Thảm cỏ ban công (Grass Patch) + Đồ chơi</t>
        </is>
      </c>
      <c r="S2107" s="6" t="inlineStr">
        <is>
          <t>Đóng băng tương tác (&gt;30 ngày): Lưu trữ chờ kích hoạt lại, không tốn tài nguyên Sales</t>
        </is>
      </c>
    </row>
    <row r="2108">
      <c r="A2108" s="59" t="n">
        <v>2995</v>
      </c>
      <c r="B2108" s="15" t="inlineStr">
        <is>
          <t>Steffis Dog Accessories</t>
        </is>
      </c>
      <c r="C2108" s="60" t="inlineStr">
        <is>
          <t>https://www.facebook.com/SteffisDogAccessories</t>
        </is>
      </c>
      <c r="D2108" s="9" t="inlineStr">
        <is>
          <t>Cần quét Bio Fanpage</t>
        </is>
      </c>
      <c r="E2108" s="59" t="inlineStr">
        <is>
          <t>05/07/2026 00:19:44</t>
        </is>
      </c>
      <c r="F2108" s="59" t="inlineStr">
        <is>
          <t>3 tháng trước</t>
        </is>
      </c>
      <c r="G2108" s="61" t="n">
        <v>90</v>
      </c>
      <c r="H2108" s="62" t="n">
        <v>0</v>
      </c>
      <c r="I2108" s="9" t="inlineStr">
        <is>
          <t>Pet Owner / Cộng đồng nuôi cún (10đ)</t>
        </is>
      </c>
      <c r="J2108" s="62" t="n">
        <v>10</v>
      </c>
      <c r="K2108" s="9" t="inlineStr">
        <is>
          <t>Chưa rõ giống (Cần quét Bio)</t>
        </is>
      </c>
      <c r="L2108" s="62" t="n">
        <v>0</v>
      </c>
      <c r="M2108" s="62" t="n">
        <v>0</v>
      </c>
      <c r="N2108" s="9" t="inlineStr">
        <is>
          <t>Amazon link not found</t>
        </is>
      </c>
      <c r="O2108" s="62">
        <f>IF(N2108="Selling pet toys + Artificial grass/Pet toilets (TARGET)",15,IF(N2108="Selling artificial grass/pet toilets (TARGET)",10,IF(N2108="Selling pet toys",7,IF(N2108="There's an Amazon link, but no target sales.",3,0))))</f>
        <v/>
      </c>
      <c r="P2108" s="67">
        <f>H2108+J2108+L2108+M2108+O2108</f>
        <v/>
      </c>
      <c r="Q2108" s="68">
        <f>IF(OR(H2108=0,P2108&lt;30),"Tier D (Đóng băng)",IF(P2108&gt;=85,"Tier S (Kim Cương: 85-100đ)",IF(P2108&gt;=70,"Tier A (Vàng: 70-84đ)",IF(P2108&gt;=61,"Tier B+ / Cấp A (Hot Lead: 61-69đ)",IF(P2108&gt;=50,"Tier B (Bạc: 50-60đ)","Tier C (Đồng: 30-49đ)")))))</f>
        <v/>
      </c>
      <c r="R2108" s="9" t="inlineStr">
        <is>
          <t>Khay vệ sinh chung cư (Indoor Potty) + Thảm cỏ ban công (Grass Patch) + Đồ chơi</t>
        </is>
      </c>
      <c r="S2108" s="9" t="inlineStr">
        <is>
          <t>Đóng băng tương tác (&gt;30 ngày): Lưu trữ chờ kích hoạt lại, không tốn tài nguyên Sales</t>
        </is>
      </c>
    </row>
    <row r="2109">
      <c r="A2109" s="53" t="n">
        <v>3472</v>
      </c>
      <c r="B2109" s="12" t="inlineStr">
        <is>
          <t>Your Pet Wants This</t>
        </is>
      </c>
      <c r="C2109" s="54" t="inlineStr">
        <is>
          <t>https://www.facebook.com/yourpetwantsthis</t>
        </is>
      </c>
      <c r="D2109" s="6" t="inlineStr">
        <is>
          <t>Cần quét Bio Fanpage</t>
        </is>
      </c>
      <c r="E2109" s="53" t="inlineStr">
        <is>
          <t>02/07/2026 01:32:10</t>
        </is>
      </c>
      <c r="F2109" s="53" t="inlineStr">
        <is>
          <t>3 tháng trước</t>
        </is>
      </c>
      <c r="G2109" s="55" t="n">
        <v>90</v>
      </c>
      <c r="H2109" s="56" t="n">
        <v>0</v>
      </c>
      <c r="I2109" s="6" t="inlineStr">
        <is>
          <t>Pet Owner / Cộng đồng nuôi cún (10đ)</t>
        </is>
      </c>
      <c r="J2109" s="56" t="n">
        <v>10</v>
      </c>
      <c r="K2109" s="6" t="inlineStr">
        <is>
          <t>Chưa rõ giống (Cần quét Bio)</t>
        </is>
      </c>
      <c r="L2109" s="56" t="n">
        <v>0</v>
      </c>
      <c r="M2109" s="56" t="n">
        <v>0</v>
      </c>
      <c r="N2109" s="6" t="inlineStr">
        <is>
          <t>Amazon link not found</t>
        </is>
      </c>
      <c r="O2109" s="56">
        <f>IF(N2109="Selling pet toys + Artificial grass/Pet toilets (TARGET)",15,IF(N2109="Selling artificial grass/pet toilets (TARGET)",10,IF(N2109="Selling pet toys",7,IF(N2109="There's an Amazon link, but no target sales.",3,0))))</f>
        <v/>
      </c>
      <c r="P2109" s="65">
        <f>H2109+J2109+L2109+M2109+O2109</f>
        <v/>
      </c>
      <c r="Q2109" s="68">
        <f>IF(OR(H2109=0,P2109&lt;30),"Tier D (Đóng băng)",IF(P2109&gt;=85,"Tier S (Kim Cương: 85-100đ)",IF(P2109&gt;=70,"Tier A (Vàng: 70-84đ)",IF(P2109&gt;=61,"Tier B+ / Cấp A (Hot Lead: 61-69đ)",IF(P2109&gt;=50,"Tier B (Bạc: 50-60đ)","Tier C (Đồng: 30-49đ)")))))</f>
        <v/>
      </c>
      <c r="R2109" s="6" t="inlineStr">
        <is>
          <t>Khay vệ sinh chung cư (Indoor Potty) + Thảm cỏ ban công (Grass Patch) + Đồ chơi</t>
        </is>
      </c>
      <c r="S2109" s="6" t="inlineStr">
        <is>
          <t>Đóng băng tương tác (&gt;30 ngày): Lưu trữ chờ kích hoạt lại, không tốn tài nguyên Sales</t>
        </is>
      </c>
    </row>
    <row r="2110">
      <c r="A2110" s="59" t="n">
        <v>315</v>
      </c>
      <c r="B2110" s="15" t="inlineStr">
        <is>
          <t>A Dog's Way Inlet Flyers</t>
        </is>
      </c>
      <c r="C2110" s="60" t="inlineStr">
        <is>
          <t>https://www.facebook.com/adogswayinn</t>
        </is>
      </c>
      <c r="D2110" s="9" t="inlineStr">
        <is>
          <t>Cần quét Bio Fanpage</t>
        </is>
      </c>
      <c r="E2110" s="59" t="inlineStr">
        <is>
          <t>29/06/2026 00:44:37</t>
        </is>
      </c>
      <c r="F2110" s="59" t="inlineStr">
        <is>
          <t>3 tháng trước</t>
        </is>
      </c>
      <c r="G2110" s="61" t="n">
        <v>90</v>
      </c>
      <c r="H2110" s="62" t="n">
        <v>0</v>
      </c>
      <c r="I2110" s="9" t="inlineStr">
        <is>
          <t>Pet Owner / Cộng đồng nuôi cún (10đ)</t>
        </is>
      </c>
      <c r="J2110" s="62" t="n">
        <v>10</v>
      </c>
      <c r="K2110" s="9" t="inlineStr">
        <is>
          <t>Chưa rõ giống (Cần quét Bio)</t>
        </is>
      </c>
      <c r="L2110" s="62" t="n">
        <v>0</v>
      </c>
      <c r="M2110" s="62" t="n">
        <v>0</v>
      </c>
      <c r="N2110" s="9" t="inlineStr">
        <is>
          <t>Amazon link not found</t>
        </is>
      </c>
      <c r="O2110" s="62">
        <f>IF(N2110="Selling pet toys + Artificial grass/Pet toilets (TARGET)",15,IF(N2110="Selling artificial grass/pet toilets (TARGET)",10,IF(N2110="Selling pet toys",7,IF(N2110="There's an Amazon link, but no target sales.",3,0))))</f>
        <v/>
      </c>
      <c r="P2110" s="67">
        <f>H2110+J2110+L2110+M2110+O2110</f>
        <v/>
      </c>
      <c r="Q2110" s="68">
        <f>IF(OR(H2110=0,P2110&lt;30),"Tier D (Đóng băng)",IF(P2110&gt;=85,"Tier S (Kim Cương: 85-100đ)",IF(P2110&gt;=70,"Tier A (Vàng: 70-84đ)",IF(P2110&gt;=61,"Tier B+ / Cấp A (Hot Lead: 61-69đ)",IF(P2110&gt;=50,"Tier B (Bạc: 50-60đ)","Tier C (Đồng: 30-49đ)")))))</f>
        <v/>
      </c>
      <c r="R2110" s="9" t="inlineStr">
        <is>
          <t>Khay vệ sinh chung cư (Indoor Potty) + Thảm cỏ ban công (Grass Patch) + Đồ chơi</t>
        </is>
      </c>
      <c r="S2110" s="9" t="inlineStr">
        <is>
          <t>Đóng băng tương tác (&gt;30 ngày): Lưu trữ chờ kích hoạt lại, không tốn tài nguyên Sales</t>
        </is>
      </c>
    </row>
    <row r="2111">
      <c r="A2111" s="53" t="n">
        <v>364</v>
      </c>
      <c r="B2111" s="12" t="inlineStr">
        <is>
          <t>Albright's Raw Dog Food</t>
        </is>
      </c>
      <c r="C2111" s="54" t="inlineStr">
        <is>
          <t>https://www.facebook.com/albrightsrawdogfood</t>
        </is>
      </c>
      <c r="D2111" s="6" t="inlineStr">
        <is>
          <t>Cần quét Bio Fanpage</t>
        </is>
      </c>
      <c r="E2111" s="53" t="inlineStr">
        <is>
          <t>27/06/2026 22:17:24</t>
        </is>
      </c>
      <c r="F2111" s="53" t="inlineStr">
        <is>
          <t>3 tháng trước</t>
        </is>
      </c>
      <c r="G2111" s="55" t="n">
        <v>90</v>
      </c>
      <c r="H2111" s="56" t="n">
        <v>0</v>
      </c>
      <c r="I2111" s="6" t="inlineStr">
        <is>
          <t>Pet Owner / Cộng đồng nuôi cún (10đ)</t>
        </is>
      </c>
      <c r="J2111" s="56" t="n">
        <v>10</v>
      </c>
      <c r="K2111" s="6" t="inlineStr">
        <is>
          <t>Chưa rõ giống (Cần quét Bio)</t>
        </is>
      </c>
      <c r="L2111" s="56" t="n">
        <v>0</v>
      </c>
      <c r="M2111" s="56" t="n">
        <v>0</v>
      </c>
      <c r="N2111" s="6" t="inlineStr">
        <is>
          <t>Amazon link not found</t>
        </is>
      </c>
      <c r="O2111" s="56">
        <f>IF(N2111="Selling pet toys + Artificial grass/Pet toilets (TARGET)",15,IF(N2111="Selling artificial grass/pet toilets (TARGET)",10,IF(N2111="Selling pet toys",7,IF(N2111="There's an Amazon link, but no target sales.",3,0))))</f>
        <v/>
      </c>
      <c r="P2111" s="65">
        <f>H2111+J2111+L2111+M2111+O2111</f>
        <v/>
      </c>
      <c r="Q2111" s="68">
        <f>IF(OR(H2111=0,P2111&lt;30),"Tier D (Đóng băng)",IF(P2111&gt;=85,"Tier S (Kim Cương: 85-100đ)",IF(P2111&gt;=70,"Tier A (Vàng: 70-84đ)",IF(P2111&gt;=61,"Tier B+ / Cấp A (Hot Lead: 61-69đ)",IF(P2111&gt;=50,"Tier B (Bạc: 50-60đ)","Tier C (Đồng: 30-49đ)")))))</f>
        <v/>
      </c>
      <c r="R2111" s="6" t="inlineStr">
        <is>
          <t>Khay vệ sinh chung cư (Indoor Potty) + Thảm cỏ ban công (Grass Patch) + Đồ chơi</t>
        </is>
      </c>
      <c r="S2111" s="6" t="inlineStr">
        <is>
          <t>Đóng băng tương tác (&gt;30 ngày): Lưu trữ chờ kích hoạt lại, không tốn tài nguyên Sales</t>
        </is>
      </c>
    </row>
    <row r="2112">
      <c r="A2112" s="59" t="n">
        <v>980</v>
      </c>
      <c r="B2112" s="15" t="inlineStr">
        <is>
          <t>Cute dog lover</t>
        </is>
      </c>
      <c r="C2112" s="60" t="inlineStr">
        <is>
          <t>https://www.facebook.com/profile.php?id=100085413648506</t>
        </is>
      </c>
      <c r="D2112" s="9" t="inlineStr">
        <is>
          <t>Cần quét Bio Fanpage</t>
        </is>
      </c>
      <c r="E2112" s="59" t="inlineStr">
        <is>
          <t>26/06/2026 21:55:27</t>
        </is>
      </c>
      <c r="F2112" s="59" t="inlineStr">
        <is>
          <t>3 tháng trước</t>
        </is>
      </c>
      <c r="G2112" s="61" t="n">
        <v>90</v>
      </c>
      <c r="H2112" s="62" t="n">
        <v>0</v>
      </c>
      <c r="I2112" s="9" t="inlineStr">
        <is>
          <t>Pet Owner / Kênh cá nhân thú cưng (10đ)</t>
        </is>
      </c>
      <c r="J2112" s="62" t="n">
        <v>10</v>
      </c>
      <c r="K2112" s="9" t="inlineStr">
        <is>
          <t>Chưa rõ giống (Cần quét Bio)</t>
        </is>
      </c>
      <c r="L2112" s="62" t="n">
        <v>0</v>
      </c>
      <c r="M2112" s="62" t="n">
        <v>0</v>
      </c>
      <c r="N2112" s="9" t="inlineStr">
        <is>
          <t>Amazon link not found</t>
        </is>
      </c>
      <c r="O2112" s="62">
        <f>IF(N2112="Selling pet toys + Artificial grass/Pet toilets (TARGET)",15,IF(N2112="Selling artificial grass/pet toilets (TARGET)",10,IF(N2112="Selling pet toys",7,IF(N2112="There's an Amazon link, but no target sales.",3,0))))</f>
        <v/>
      </c>
      <c r="P2112" s="67">
        <f>H2112+J2112+L2112+M2112+O2112</f>
        <v/>
      </c>
      <c r="Q2112" s="68">
        <f>IF(OR(H2112=0,P2112&lt;30),"Tier D (Đóng băng)",IF(P2112&gt;=85,"Tier S (Kim Cương: 85-100đ)",IF(P2112&gt;=70,"Tier A (Vàng: 70-84đ)",IF(P2112&gt;=61,"Tier B+ / Cấp A (Hot Lead: 61-69đ)",IF(P2112&gt;=50,"Tier B (Bạc: 50-60đ)","Tier C (Đồng: 30-49đ)")))))</f>
        <v/>
      </c>
      <c r="R2112" s="9" t="inlineStr">
        <is>
          <t>Khay vệ sinh trong nhà (Indoor Dog Potty) + Đồ chơi thú cưng lẻ</t>
        </is>
      </c>
      <c r="S2112" s="9" t="inlineStr">
        <is>
          <t>Đóng băng tương tác (&gt;30 ngày): Lưu trữ chờ kích hoạt lại, không tốn tài nguyên Sales</t>
        </is>
      </c>
    </row>
    <row r="2113">
      <c r="A2113" s="53" t="n">
        <v>3392</v>
      </c>
      <c r="B2113" s="12" t="inlineStr">
        <is>
          <t>Westdog Bulls</t>
        </is>
      </c>
      <c r="C2113" s="54" t="inlineStr">
        <is>
          <t>https://www.facebook.com/westdogbulls</t>
        </is>
      </c>
      <c r="D2113" s="6" t="inlineStr">
        <is>
          <t>Cần quét Bio Fanpage</t>
        </is>
      </c>
      <c r="E2113" s="53" t="inlineStr">
        <is>
          <t>25/06/2026 22:21:07</t>
        </is>
      </c>
      <c r="F2113" s="53" t="inlineStr">
        <is>
          <t>3 tháng trước</t>
        </is>
      </c>
      <c r="G2113" s="55" t="n">
        <v>90</v>
      </c>
      <c r="H2113" s="56" t="n">
        <v>0</v>
      </c>
      <c r="I2113" s="6" t="inlineStr">
        <is>
          <t>Pet Owner / Cộng đồng nuôi cún (10đ)</t>
        </is>
      </c>
      <c r="J2113" s="56" t="n">
        <v>10</v>
      </c>
      <c r="K2113" s="6" t="inlineStr">
        <is>
          <t>Chưa rõ giống (Cần quét Bio)</t>
        </is>
      </c>
      <c r="L2113" s="56" t="n">
        <v>0</v>
      </c>
      <c r="M2113" s="56" t="n">
        <v>0</v>
      </c>
      <c r="N2113" s="6" t="inlineStr">
        <is>
          <t>Amazon link not found</t>
        </is>
      </c>
      <c r="O2113" s="56">
        <f>IF(N2113="Selling pet toys + Artificial grass/Pet toilets (TARGET)",15,IF(N2113="Selling artificial grass/pet toilets (TARGET)",10,IF(N2113="Selling pet toys",7,IF(N2113="There's an Amazon link, but no target sales.",3,0))))</f>
        <v/>
      </c>
      <c r="P2113" s="65">
        <f>H2113+J2113+L2113+M2113+O2113</f>
        <v/>
      </c>
      <c r="Q2113" s="68">
        <f>IF(OR(H2113=0,P2113&lt;30),"Tier D (Đóng băng)",IF(P2113&gt;=85,"Tier S (Kim Cương: 85-100đ)",IF(P2113&gt;=70,"Tier A (Vàng: 70-84đ)",IF(P2113&gt;=61,"Tier B+ / Cấp A (Hot Lead: 61-69đ)",IF(P2113&gt;=50,"Tier B (Bạc: 50-60đ)","Tier C (Đồng: 30-49đ)")))))</f>
        <v/>
      </c>
      <c r="R2113" s="6" t="inlineStr">
        <is>
          <t>Khay vệ sinh chung cư (Indoor Potty) + Thảm cỏ ban công (Grass Patch) + Đồ chơi</t>
        </is>
      </c>
      <c r="S2113" s="6" t="inlineStr">
        <is>
          <t>Đóng băng tương tác (&gt;30 ngày): Lưu trữ chờ kích hoạt lại, không tốn tài nguyên Sales</t>
        </is>
      </c>
    </row>
    <row r="2114">
      <c r="A2114" s="59" t="n">
        <v>317</v>
      </c>
      <c r="B2114" s="15" t="inlineStr">
        <is>
          <t>A La Mujer se La Respeta</t>
        </is>
      </c>
      <c r="C2114" s="60" t="inlineStr">
        <is>
          <t>https://www.facebook.com/alamujerselarespetavideos</t>
        </is>
      </c>
      <c r="D2114" s="9" t="inlineStr">
        <is>
          <t>Cần quét Bio Fanpage</t>
        </is>
      </c>
      <c r="E2114" s="59" t="inlineStr">
        <is>
          <t>25/06/2026 16:48:33</t>
        </is>
      </c>
      <c r="F2114" s="59" t="inlineStr">
        <is>
          <t>3 tháng trước</t>
        </is>
      </c>
      <c r="G2114" s="61" t="n">
        <v>90</v>
      </c>
      <c r="H2114" s="62" t="n">
        <v>0</v>
      </c>
      <c r="I2114" s="9" t="inlineStr">
        <is>
          <t>Pet Owner / Cộng đồng nuôi cún (10đ)</t>
        </is>
      </c>
      <c r="J2114" s="62" t="n">
        <v>10</v>
      </c>
      <c r="K2114" s="9" t="inlineStr">
        <is>
          <t>Chưa rõ giống (Cần quét Bio)</t>
        </is>
      </c>
      <c r="L2114" s="62" t="n">
        <v>0</v>
      </c>
      <c r="M2114" s="62" t="n">
        <v>0</v>
      </c>
      <c r="N2114" s="9" t="inlineStr">
        <is>
          <t>Amazon link not found</t>
        </is>
      </c>
      <c r="O2114" s="62">
        <f>IF(N2114="Selling pet toys + Artificial grass/Pet toilets (TARGET)",15,IF(N2114="Selling artificial grass/pet toilets (TARGET)",10,IF(N2114="Selling pet toys",7,IF(N2114="There's an Amazon link, but no target sales.",3,0))))</f>
        <v/>
      </c>
      <c r="P2114" s="67">
        <f>H2114+J2114+L2114+M2114+O2114</f>
        <v/>
      </c>
      <c r="Q2114" s="68">
        <f>IF(OR(H2114=0,P2114&lt;30),"Tier D (Đóng băng)",IF(P2114&gt;=85,"Tier S (Kim Cương: 85-100đ)",IF(P2114&gt;=70,"Tier A (Vàng: 70-84đ)",IF(P2114&gt;=61,"Tier B+ / Cấp A (Hot Lead: 61-69đ)",IF(P2114&gt;=50,"Tier B (Bạc: 50-60đ)","Tier C (Đồng: 30-49đ)")))))</f>
        <v/>
      </c>
      <c r="R2114" s="9" t="inlineStr">
        <is>
          <t>Khay vệ sinh chung cư (Indoor Potty) + Thảm cỏ ban công (Grass Patch) + Đồ chơi</t>
        </is>
      </c>
      <c r="S2114" s="9" t="inlineStr">
        <is>
          <t>Đóng băng tương tác (&gt;30 ngày): Lưu trữ chờ kích hoạt lại, không tốn tài nguyên Sales</t>
        </is>
      </c>
    </row>
    <row r="2115">
      <c r="A2115" s="53" t="n">
        <v>3150</v>
      </c>
      <c r="B2115" s="12" t="inlineStr">
        <is>
          <t>The Pet Psychic</t>
        </is>
      </c>
      <c r="C2115" s="54" t="inlineStr">
        <is>
          <t>https://www.facebook.com/ThePetPsychicTV</t>
        </is>
      </c>
      <c r="D2115" s="6" t="inlineStr">
        <is>
          <t>Cần quét Bio Fanpage</t>
        </is>
      </c>
      <c r="E2115" s="53" t="inlineStr">
        <is>
          <t>25/06/2026 00:06:41</t>
        </is>
      </c>
      <c r="F2115" s="53" t="inlineStr">
        <is>
          <t>3 tháng trước</t>
        </is>
      </c>
      <c r="G2115" s="55" t="n">
        <v>90</v>
      </c>
      <c r="H2115" s="56" t="n">
        <v>0</v>
      </c>
      <c r="I2115" s="6" t="inlineStr">
        <is>
          <t>Pet Owner / Cộng đồng nuôi cún (10đ)</t>
        </is>
      </c>
      <c r="J2115" s="56" t="n">
        <v>10</v>
      </c>
      <c r="K2115" s="6" t="inlineStr">
        <is>
          <t>Chưa rõ giống (Cần quét Bio)</t>
        </is>
      </c>
      <c r="L2115" s="56" t="n">
        <v>0</v>
      </c>
      <c r="M2115" s="56" t="n">
        <v>0</v>
      </c>
      <c r="N2115" s="6" t="inlineStr">
        <is>
          <t>Amazon link not found</t>
        </is>
      </c>
      <c r="O2115" s="56">
        <f>IF(N2115="Selling pet toys + Artificial grass/Pet toilets (TARGET)",15,IF(N2115="Selling artificial grass/pet toilets (TARGET)",10,IF(N2115="Selling pet toys",7,IF(N2115="There's an Amazon link, but no target sales.",3,0))))</f>
        <v/>
      </c>
      <c r="P2115" s="65">
        <f>H2115+J2115+L2115+M2115+O2115</f>
        <v/>
      </c>
      <c r="Q2115" s="68">
        <f>IF(OR(H2115=0,P2115&lt;30),"Tier D (Đóng băng)",IF(P2115&gt;=85,"Tier S (Kim Cương: 85-100đ)",IF(P2115&gt;=70,"Tier A (Vàng: 70-84đ)",IF(P2115&gt;=61,"Tier B+ / Cấp A (Hot Lead: 61-69đ)",IF(P2115&gt;=50,"Tier B (Bạc: 50-60đ)","Tier C (Đồng: 30-49đ)")))))</f>
        <v/>
      </c>
      <c r="R2115" s="6" t="inlineStr">
        <is>
          <t>Khay vệ sinh chung cư (Indoor Potty) + Thảm cỏ ban công (Grass Patch) + Đồ chơi</t>
        </is>
      </c>
      <c r="S2115" s="6" t="inlineStr">
        <is>
          <t>Đóng băng tương tác (&gt;30 ngày): Lưu trữ chờ kích hoạt lại, không tốn tài nguyên Sales</t>
        </is>
      </c>
    </row>
    <row r="2116">
      <c r="A2116" s="59" t="n">
        <v>332</v>
      </c>
      <c r="B2116" s="15" t="inlineStr">
        <is>
          <t>Acajou Dogue</t>
        </is>
      </c>
      <c r="C2116" s="60" t="inlineStr">
        <is>
          <t>https://www.facebook.com/fanko.doguedebordeaux</t>
        </is>
      </c>
      <c r="D2116" s="9" t="inlineStr">
        <is>
          <t>Cần quét Bio Fanpage</t>
        </is>
      </c>
      <c r="E2116" s="59" t="inlineStr">
        <is>
          <t>24/06/2026 14:28:24</t>
        </is>
      </c>
      <c r="F2116" s="59" t="inlineStr">
        <is>
          <t>3 tháng trước</t>
        </is>
      </c>
      <c r="G2116" s="61" t="n">
        <v>90</v>
      </c>
      <c r="H2116" s="62" t="n">
        <v>0</v>
      </c>
      <c r="I2116" s="9" t="inlineStr">
        <is>
          <t>Pet Owner / Cộng đồng nuôi cún (10đ)</t>
        </is>
      </c>
      <c r="J2116" s="62" t="n">
        <v>10</v>
      </c>
      <c r="K2116" s="9" t="inlineStr">
        <is>
          <t>Chưa rõ giống (Cần quét Bio)</t>
        </is>
      </c>
      <c r="L2116" s="62" t="n">
        <v>0</v>
      </c>
      <c r="M2116" s="62" t="n">
        <v>0</v>
      </c>
      <c r="N2116" s="9" t="inlineStr">
        <is>
          <t>Amazon link not found</t>
        </is>
      </c>
      <c r="O2116" s="62">
        <f>IF(N2116="Selling pet toys + Artificial grass/Pet toilets (TARGET)",15,IF(N2116="Selling artificial grass/pet toilets (TARGET)",10,IF(N2116="Selling pet toys",7,IF(N2116="There's an Amazon link, but no target sales.",3,0))))</f>
        <v/>
      </c>
      <c r="P2116" s="67">
        <f>H2116+J2116+L2116+M2116+O2116</f>
        <v/>
      </c>
      <c r="Q2116" s="68">
        <f>IF(OR(H2116=0,P2116&lt;30),"Tier D (Đóng băng)",IF(P2116&gt;=85,"Tier S (Kim Cương: 85-100đ)",IF(P2116&gt;=70,"Tier A (Vàng: 70-84đ)",IF(P2116&gt;=61,"Tier B+ / Cấp A (Hot Lead: 61-69đ)",IF(P2116&gt;=50,"Tier B (Bạc: 50-60đ)","Tier C (Đồng: 30-49đ)")))))</f>
        <v/>
      </c>
      <c r="R2116" s="9" t="inlineStr">
        <is>
          <t>Khay vệ sinh chung cư (Indoor Potty) + Thảm cỏ ban công (Grass Patch) + Đồ chơi</t>
        </is>
      </c>
      <c r="S2116" s="9" t="inlineStr">
        <is>
          <t>Đóng băng tương tác (&gt;30 ngày): Lưu trữ chờ kích hoạt lại, không tốn tài nguyên Sales</t>
        </is>
      </c>
    </row>
    <row r="2117">
      <c r="A2117" s="53" t="n">
        <v>1058</v>
      </c>
      <c r="B2117" s="12" t="inlineStr">
        <is>
          <t>DOG EXPO Nitra 2026</t>
        </is>
      </c>
      <c r="C2117" s="54" t="inlineStr">
        <is>
          <t>https://www.facebook.com/dogexponitra</t>
        </is>
      </c>
      <c r="D2117" s="6" t="inlineStr">
        <is>
          <t>Cần quét Bio Fanpage</t>
        </is>
      </c>
      <c r="E2117" s="53" t="inlineStr">
        <is>
          <t>18/06/2026 04:25:53</t>
        </is>
      </c>
      <c r="F2117" s="53" t="inlineStr">
        <is>
          <t>3 tháng trước</t>
        </is>
      </c>
      <c r="G2117" s="55" t="n">
        <v>90</v>
      </c>
      <c r="H2117" s="56" t="n">
        <v>0</v>
      </c>
      <c r="I2117" s="6" t="inlineStr">
        <is>
          <t>Pet Owner / Cộng đồng nuôi cún (10đ)</t>
        </is>
      </c>
      <c r="J2117" s="56" t="n">
        <v>10</v>
      </c>
      <c r="K2117" s="6" t="inlineStr">
        <is>
          <t>Chưa rõ giống (Cần quét Bio)</t>
        </is>
      </c>
      <c r="L2117" s="56" t="n">
        <v>0</v>
      </c>
      <c r="M2117" s="56" t="n">
        <v>0</v>
      </c>
      <c r="N2117" s="6" t="inlineStr">
        <is>
          <t>Amazon link not found</t>
        </is>
      </c>
      <c r="O2117" s="56">
        <f>IF(N2117="Selling pet toys + Artificial grass/Pet toilets (TARGET)",15,IF(N2117="Selling artificial grass/pet toilets (TARGET)",10,IF(N2117="Selling pet toys",7,IF(N2117="There's an Amazon link, but no target sales.",3,0))))</f>
        <v/>
      </c>
      <c r="P2117" s="65">
        <f>H2117+J2117+L2117+M2117+O2117</f>
        <v/>
      </c>
      <c r="Q2117" s="68">
        <f>IF(OR(H2117=0,P2117&lt;30),"Tier D (Đóng băng)",IF(P2117&gt;=85,"Tier S (Kim Cương: 85-100đ)",IF(P2117&gt;=70,"Tier A (Vàng: 70-84đ)",IF(P2117&gt;=61,"Tier B+ / Cấp A (Hot Lead: 61-69đ)",IF(P2117&gt;=50,"Tier B (Bạc: 50-60đ)","Tier C (Đồng: 30-49đ)")))))</f>
        <v/>
      </c>
      <c r="R2117" s="6" t="inlineStr">
        <is>
          <t>Khay vệ sinh chung cư (Indoor Potty) + Thảm cỏ ban công (Grass Patch) + Đồ chơi</t>
        </is>
      </c>
      <c r="S2117" s="6" t="inlineStr">
        <is>
          <t>Đóng băng tương tác (&gt;30 ngày): Lưu trữ chờ kích hoạt lại, không tốn tài nguyên Sales</t>
        </is>
      </c>
    </row>
    <row r="2118">
      <c r="A2118" s="59" t="n">
        <v>669</v>
      </c>
      <c r="B2118" s="15" t="inlineStr">
        <is>
          <t>BIG DOGZ</t>
        </is>
      </c>
      <c r="C2118" s="60" t="inlineStr">
        <is>
          <t>https://www.facebook.com/BIGDOGZSHOW</t>
        </is>
      </c>
      <c r="D2118" s="9" t="inlineStr">
        <is>
          <t>Cần quét Bio Fanpage</t>
        </is>
      </c>
      <c r="E2118" s="59" t="inlineStr">
        <is>
          <t>18/06/2026 02:00:42</t>
        </is>
      </c>
      <c r="F2118" s="59" t="inlineStr">
        <is>
          <t>3 tháng trước</t>
        </is>
      </c>
      <c r="G2118" s="61" t="n">
        <v>90</v>
      </c>
      <c r="H2118" s="62" t="n">
        <v>0</v>
      </c>
      <c r="I2118" s="9" t="inlineStr">
        <is>
          <t>Pet Owner / Cộng đồng nuôi cún (10đ)</t>
        </is>
      </c>
      <c r="J2118" s="62" t="n">
        <v>10</v>
      </c>
      <c r="K2118" s="9" t="inlineStr">
        <is>
          <t>Chưa rõ giống (Cần quét Bio)</t>
        </is>
      </c>
      <c r="L2118" s="62" t="n">
        <v>0</v>
      </c>
      <c r="M2118" s="62" t="n">
        <v>0</v>
      </c>
      <c r="N2118" s="9" t="inlineStr">
        <is>
          <t>Amazon link not found</t>
        </is>
      </c>
      <c r="O2118" s="62">
        <f>IF(N2118="Selling pet toys + Artificial grass/Pet toilets (TARGET)",15,IF(N2118="Selling artificial grass/pet toilets (TARGET)",10,IF(N2118="Selling pet toys",7,IF(N2118="There's an Amazon link, but no target sales.",3,0))))</f>
        <v/>
      </c>
      <c r="P2118" s="67">
        <f>H2118+J2118+L2118+M2118+O2118</f>
        <v/>
      </c>
      <c r="Q2118" s="68">
        <f>IF(OR(H2118=0,P2118&lt;30),"Tier D (Đóng băng)",IF(P2118&gt;=85,"Tier S (Kim Cương: 85-100đ)",IF(P2118&gt;=70,"Tier A (Vàng: 70-84đ)",IF(P2118&gt;=61,"Tier B+ / Cấp A (Hot Lead: 61-69đ)",IF(P2118&gt;=50,"Tier B (Bạc: 50-60đ)","Tier C (Đồng: 30-49đ)")))))</f>
        <v/>
      </c>
      <c r="R2118" s="9" t="inlineStr">
        <is>
          <t>Khay vệ sinh chung cư (Indoor Potty) + Thảm cỏ ban công (Grass Patch) + Đồ chơi</t>
        </is>
      </c>
      <c r="S2118" s="9" t="inlineStr">
        <is>
          <t>Đóng băng tương tác (&gt;30 ngày): Lưu trữ chờ kích hoạt lại, không tốn tài nguyên Sales</t>
        </is>
      </c>
    </row>
    <row r="2119">
      <c r="A2119" s="53" t="n">
        <v>3082</v>
      </c>
      <c r="B2119" s="12" t="inlineStr">
        <is>
          <t>That Dubai Dog</t>
        </is>
      </c>
      <c r="C2119" s="54" t="inlineStr">
        <is>
          <t>https://www.facebook.com/profile.php?id=61581423909802</t>
        </is>
      </c>
      <c r="D2119" s="6" t="inlineStr">
        <is>
          <t>Cần quét Bio Fanpage</t>
        </is>
      </c>
      <c r="E2119" s="53" t="inlineStr">
        <is>
          <t>17/06/2026 13:58:25</t>
        </is>
      </c>
      <c r="F2119" s="53" t="inlineStr">
        <is>
          <t>3 tháng trước</t>
        </is>
      </c>
      <c r="G2119" s="55" t="n">
        <v>90</v>
      </c>
      <c r="H2119" s="56" t="n">
        <v>0</v>
      </c>
      <c r="I2119" s="6" t="inlineStr">
        <is>
          <t>Pet Owner / Cộng đồng nuôi cún (10đ)</t>
        </is>
      </c>
      <c r="J2119" s="56" t="n">
        <v>10</v>
      </c>
      <c r="K2119" s="6" t="inlineStr">
        <is>
          <t>Chưa rõ giống (Cần quét Bio)</t>
        </is>
      </c>
      <c r="L2119" s="56" t="n">
        <v>0</v>
      </c>
      <c r="M2119" s="56" t="n">
        <v>0</v>
      </c>
      <c r="N2119" s="6" t="inlineStr">
        <is>
          <t>Amazon link not found</t>
        </is>
      </c>
      <c r="O2119" s="56">
        <f>IF(N2119="Selling pet toys + Artificial grass/Pet toilets (TARGET)",15,IF(N2119="Selling artificial grass/pet toilets (TARGET)",10,IF(N2119="Selling pet toys",7,IF(N2119="There's an Amazon link, but no target sales.",3,0))))</f>
        <v/>
      </c>
      <c r="P2119" s="65">
        <f>H2119+J2119+L2119+M2119+O2119</f>
        <v/>
      </c>
      <c r="Q2119" s="68">
        <f>IF(OR(H2119=0,P2119&lt;30),"Tier D (Đóng băng)",IF(P2119&gt;=85,"Tier S (Kim Cương: 85-100đ)",IF(P2119&gt;=70,"Tier A (Vàng: 70-84đ)",IF(P2119&gt;=61,"Tier B+ / Cấp A (Hot Lead: 61-69đ)",IF(P2119&gt;=50,"Tier B (Bạc: 50-60đ)","Tier C (Đồng: 30-49đ)")))))</f>
        <v/>
      </c>
      <c r="R2119" s="6" t="inlineStr">
        <is>
          <t>Khay vệ sinh chung cư (Indoor Potty) + Thảm cỏ ban công (Grass Patch) + Đồ chơi</t>
        </is>
      </c>
      <c r="S2119" s="6" t="inlineStr">
        <is>
          <t>Đóng băng tương tác (&gt;30 ngày): Lưu trữ chờ kích hoạt lại, không tốn tài nguyên Sales</t>
        </is>
      </c>
    </row>
    <row r="2120">
      <c r="A2120" s="59" t="n">
        <v>2465</v>
      </c>
      <c r="B2120" s="15" t="inlineStr">
        <is>
          <t>Pet Shipping  (Pet Shipping)</t>
        </is>
      </c>
      <c r="C2120" s="60" t="inlineStr">
        <is>
          <t>https://www.facebook.com/profile.php?id=100057578284985</t>
        </is>
      </c>
      <c r="D2120" s="9" t="inlineStr">
        <is>
          <t>Cần quét Bio Fanpage</t>
        </is>
      </c>
      <c r="E2120" s="59" t="inlineStr">
        <is>
          <t>11/06/2026 23:45:16</t>
        </is>
      </c>
      <c r="F2120" s="59" t="inlineStr">
        <is>
          <t>4 tháng trước</t>
        </is>
      </c>
      <c r="G2120" s="61" t="n">
        <v>120</v>
      </c>
      <c r="H2120" s="62" t="n">
        <v>0</v>
      </c>
      <c r="I2120" s="9" t="inlineStr">
        <is>
          <t>Pet Owner / Cộng đồng nuôi cún (10đ)</t>
        </is>
      </c>
      <c r="J2120" s="62" t="n">
        <v>10</v>
      </c>
      <c r="K2120" s="9" t="inlineStr">
        <is>
          <t>Chưa rõ giống (Cần quét Bio)</t>
        </is>
      </c>
      <c r="L2120" s="62" t="n">
        <v>0</v>
      </c>
      <c r="M2120" s="62" t="n">
        <v>0</v>
      </c>
      <c r="N2120" s="9" t="inlineStr">
        <is>
          <t>Amazon link not found</t>
        </is>
      </c>
      <c r="O2120" s="62">
        <f>IF(N2120="Selling pet toys + Artificial grass/Pet toilets (TARGET)",15,IF(N2120="Selling artificial grass/pet toilets (TARGET)",10,IF(N2120="Selling pet toys",7,IF(N2120="There's an Amazon link, but no target sales.",3,0))))</f>
        <v/>
      </c>
      <c r="P2120" s="67">
        <f>H2120+J2120+L2120+M2120+O2120</f>
        <v/>
      </c>
      <c r="Q2120" s="68">
        <f>IF(OR(H2120=0,P2120&lt;30),"Tier D (Đóng băng)",IF(P2120&gt;=85,"Tier S (Kim Cương: 85-100đ)",IF(P2120&gt;=70,"Tier A (Vàng: 70-84đ)",IF(P2120&gt;=61,"Tier B+ / Cấp A (Hot Lead: 61-69đ)",IF(P2120&gt;=50,"Tier B (Bạc: 50-60đ)","Tier C (Đồng: 30-49đ)")))))</f>
        <v/>
      </c>
      <c r="R2120" s="9" t="inlineStr">
        <is>
          <t>Khay vệ sinh chung cư (Indoor Potty) + Thảm cỏ ban công (Grass Patch) + Đồ chơi</t>
        </is>
      </c>
      <c r="S2120" s="9" t="inlineStr">
        <is>
          <t>Đóng băng tương tác (&gt;30 ngày): Lưu trữ chờ kích hoạt lại, không tốn tài nguyên Sales</t>
        </is>
      </c>
    </row>
    <row r="2121">
      <c r="A2121" s="53" t="n">
        <v>2885</v>
      </c>
      <c r="B2121" s="12" t="inlineStr">
        <is>
          <t>Shinetreasurefrenchbulldogs</t>
        </is>
      </c>
      <c r="C2121" s="54" t="inlineStr">
        <is>
          <t>https://www.facebook.com/profile.php?id=100063627141546</t>
        </is>
      </c>
      <c r="D2121" s="6" t="inlineStr">
        <is>
          <t>Cần quét Bio Fanpage</t>
        </is>
      </c>
      <c r="E2121" s="53" t="inlineStr">
        <is>
          <t>09/06/2026 12:11:17</t>
        </is>
      </c>
      <c r="F2121" s="53" t="inlineStr">
        <is>
          <t>4 tháng trước</t>
        </is>
      </c>
      <c r="G2121" s="55" t="n">
        <v>120</v>
      </c>
      <c r="H2121" s="56" t="n">
        <v>0</v>
      </c>
      <c r="I2121" s="6" t="inlineStr">
        <is>
          <t>Pet Owner / Cộng đồng nuôi cún (10đ)</t>
        </is>
      </c>
      <c r="J2121" s="56" t="n">
        <v>10</v>
      </c>
      <c r="K2121" s="6" t="inlineStr">
        <is>
          <t>Chưa rõ giống (Cần quét Bio)</t>
        </is>
      </c>
      <c r="L2121" s="56" t="n">
        <v>0</v>
      </c>
      <c r="M2121" s="56" t="n">
        <v>0</v>
      </c>
      <c r="N2121" s="6" t="inlineStr">
        <is>
          <t>Amazon link not found</t>
        </is>
      </c>
      <c r="O2121" s="56">
        <f>IF(N2121="Selling pet toys + Artificial grass/Pet toilets (TARGET)",15,IF(N2121="Selling artificial grass/pet toilets (TARGET)",10,IF(N2121="Selling pet toys",7,IF(N2121="There's an Amazon link, but no target sales.",3,0))))</f>
        <v/>
      </c>
      <c r="P2121" s="65">
        <f>H2121+J2121+L2121+M2121+O2121</f>
        <v/>
      </c>
      <c r="Q2121" s="68">
        <f>IF(OR(H2121=0,P2121&lt;30),"Tier D (Đóng băng)",IF(P2121&gt;=85,"Tier S (Kim Cương: 85-100đ)",IF(P2121&gt;=70,"Tier A (Vàng: 70-84đ)",IF(P2121&gt;=61,"Tier B+ / Cấp A (Hot Lead: 61-69đ)",IF(P2121&gt;=50,"Tier B (Bạc: 50-60đ)","Tier C (Đồng: 30-49đ)")))))</f>
        <v/>
      </c>
      <c r="R2121" s="6" t="inlineStr">
        <is>
          <t>Khay vệ sinh chung cư (Indoor Potty) + Thảm cỏ ban công (Grass Patch) + Đồ chơi</t>
        </is>
      </c>
      <c r="S2121" s="6" t="inlineStr">
        <is>
          <t>Đóng băng tương tác (&gt;30 ngày): Lưu trữ chờ kích hoạt lại, không tốn tài nguyên Sales</t>
        </is>
      </c>
    </row>
    <row r="2122">
      <c r="A2122" s="59" t="n">
        <v>3365</v>
      </c>
      <c r="B2122" s="15" t="inlineStr">
        <is>
          <t>Wallis Annenberg PetSpace</t>
        </is>
      </c>
      <c r="C2122" s="60" t="inlineStr">
        <is>
          <t>https://www.facebook.com/AnnenbergPetSpace</t>
        </is>
      </c>
      <c r="D2122" s="9" t="inlineStr">
        <is>
          <t>Cần quét Bio Fanpage</t>
        </is>
      </c>
      <c r="E2122" s="59" t="inlineStr">
        <is>
          <t>06/06/2026 00:18:34</t>
        </is>
      </c>
      <c r="F2122" s="59" t="inlineStr">
        <is>
          <t>4 tháng trước</t>
        </is>
      </c>
      <c r="G2122" s="61" t="n">
        <v>120</v>
      </c>
      <c r="H2122" s="62" t="n">
        <v>0</v>
      </c>
      <c r="I2122" s="9" t="inlineStr">
        <is>
          <t>Pet Owner / Cộng đồng nuôi cún (10đ)</t>
        </is>
      </c>
      <c r="J2122" s="62" t="n">
        <v>10</v>
      </c>
      <c r="K2122" s="9" t="inlineStr">
        <is>
          <t>Chưa rõ giống (Cần quét Bio)</t>
        </is>
      </c>
      <c r="L2122" s="62" t="n">
        <v>0</v>
      </c>
      <c r="M2122" s="62" t="n">
        <v>0</v>
      </c>
      <c r="N2122" s="9" t="inlineStr">
        <is>
          <t>Amazon link not found</t>
        </is>
      </c>
      <c r="O2122" s="62">
        <f>IF(N2122="Selling pet toys + Artificial grass/Pet toilets (TARGET)",15,IF(N2122="Selling artificial grass/pet toilets (TARGET)",10,IF(N2122="Selling pet toys",7,IF(N2122="There's an Amazon link, but no target sales.",3,0))))</f>
        <v/>
      </c>
      <c r="P2122" s="67">
        <f>H2122+J2122+L2122+M2122+O2122</f>
        <v/>
      </c>
      <c r="Q2122" s="68">
        <f>IF(OR(H2122=0,P2122&lt;30),"Tier D (Đóng băng)",IF(P2122&gt;=85,"Tier S (Kim Cương: 85-100đ)",IF(P2122&gt;=70,"Tier A (Vàng: 70-84đ)",IF(P2122&gt;=61,"Tier B+ / Cấp A (Hot Lead: 61-69đ)",IF(P2122&gt;=50,"Tier B (Bạc: 50-60đ)","Tier C (Đồng: 30-49đ)")))))</f>
        <v/>
      </c>
      <c r="R2122" s="9" t="inlineStr">
        <is>
          <t>Khay vệ sinh chung cư (Indoor Potty) + Thảm cỏ ban công (Grass Patch) + Đồ chơi</t>
        </is>
      </c>
      <c r="S2122" s="9" t="inlineStr">
        <is>
          <t>Đóng băng tương tác (&gt;30 ngày): Lưu trữ chờ kích hoạt lại, không tốn tài nguyên Sales</t>
        </is>
      </c>
    </row>
    <row r="2123">
      <c r="A2123" s="53" t="n">
        <v>2407</v>
      </c>
      <c r="B2123" s="12" t="inlineStr">
        <is>
          <t>Pawfection Pet Foods</t>
        </is>
      </c>
      <c r="C2123" s="54" t="inlineStr">
        <is>
          <t>https://www.facebook.com/Pawfectionpetfoods</t>
        </is>
      </c>
      <c r="D2123" s="6" t="inlineStr">
        <is>
          <t>Cần quét Bio Fanpage</t>
        </is>
      </c>
      <c r="E2123" s="53" t="inlineStr">
        <is>
          <t>05/06/2026 21:55:54</t>
        </is>
      </c>
      <c r="F2123" s="53" t="inlineStr">
        <is>
          <t>4 tháng trước</t>
        </is>
      </c>
      <c r="G2123" s="55" t="n">
        <v>120</v>
      </c>
      <c r="H2123" s="56" t="n">
        <v>0</v>
      </c>
      <c r="I2123" s="6" t="inlineStr">
        <is>
          <t>Pet Owner / Cộng đồng nuôi cún (10đ)</t>
        </is>
      </c>
      <c r="J2123" s="56" t="n">
        <v>10</v>
      </c>
      <c r="K2123" s="6" t="inlineStr">
        <is>
          <t>Chưa rõ giống (Cần quét Bio)</t>
        </is>
      </c>
      <c r="L2123" s="56" t="n">
        <v>0</v>
      </c>
      <c r="M2123" s="56" t="n">
        <v>0</v>
      </c>
      <c r="N2123" s="6" t="inlineStr">
        <is>
          <t>Amazon link not found</t>
        </is>
      </c>
      <c r="O2123" s="56">
        <f>IF(N2123="Selling pet toys + Artificial grass/Pet toilets (TARGET)",15,IF(N2123="Selling artificial grass/pet toilets (TARGET)",10,IF(N2123="Selling pet toys",7,IF(N2123="There's an Amazon link, but no target sales.",3,0))))</f>
        <v/>
      </c>
      <c r="P2123" s="65">
        <f>H2123+J2123+L2123+M2123+O2123</f>
        <v/>
      </c>
      <c r="Q2123" s="68">
        <f>IF(OR(H2123=0,P2123&lt;30),"Tier D (Đóng băng)",IF(P2123&gt;=85,"Tier S (Kim Cương: 85-100đ)",IF(P2123&gt;=70,"Tier A (Vàng: 70-84đ)",IF(P2123&gt;=61,"Tier B+ / Cấp A (Hot Lead: 61-69đ)",IF(P2123&gt;=50,"Tier B (Bạc: 50-60đ)","Tier C (Đồng: 30-49đ)")))))</f>
        <v/>
      </c>
      <c r="R2123" s="6" t="inlineStr">
        <is>
          <t>Khay vệ sinh chung cư (Indoor Potty) + Thảm cỏ ban công (Grass Patch) + Đồ chơi</t>
        </is>
      </c>
      <c r="S2123" s="6" t="inlineStr">
        <is>
          <t>Đóng băng tương tác (&gt;30 ngày): Lưu trữ chờ kích hoạt lại, không tốn tài nguyên Sales</t>
        </is>
      </c>
    </row>
    <row r="2124">
      <c r="A2124" s="59" t="n">
        <v>1172</v>
      </c>
      <c r="B2124" s="15" t="inlineStr">
        <is>
          <t>Dogs lover's of Manipur</t>
        </is>
      </c>
      <c r="C2124" s="60" t="inlineStr">
        <is>
          <t>https://www.facebook.com/profile.php?id=100054414253540</t>
        </is>
      </c>
      <c r="D2124" s="9" t="inlineStr">
        <is>
          <t>Cần quét Bio Fanpage</t>
        </is>
      </c>
      <c r="E2124" s="59" t="inlineStr">
        <is>
          <t>04/06/2026 17:13:28</t>
        </is>
      </c>
      <c r="F2124" s="59" t="inlineStr">
        <is>
          <t>4 tháng trước</t>
        </is>
      </c>
      <c r="G2124" s="61" t="n">
        <v>120</v>
      </c>
      <c r="H2124" s="62" t="n">
        <v>0</v>
      </c>
      <c r="I2124" s="9" t="inlineStr">
        <is>
          <t>Pet Owner / Kênh cá nhân thú cưng (10đ)</t>
        </is>
      </c>
      <c r="J2124" s="62" t="n">
        <v>10</v>
      </c>
      <c r="K2124" s="9" t="inlineStr">
        <is>
          <t>Chưa rõ giống (Cần quét Bio)</t>
        </is>
      </c>
      <c r="L2124" s="62" t="n">
        <v>0</v>
      </c>
      <c r="M2124" s="62" t="n">
        <v>0</v>
      </c>
      <c r="N2124" s="9" t="inlineStr">
        <is>
          <t>Amazon link not found</t>
        </is>
      </c>
      <c r="O2124" s="62">
        <f>IF(N2124="Selling pet toys + Artificial grass/Pet toilets (TARGET)",15,IF(N2124="Selling artificial grass/pet toilets (TARGET)",10,IF(N2124="Selling pet toys",7,IF(N2124="There's an Amazon link, but no target sales.",3,0))))</f>
        <v/>
      </c>
      <c r="P2124" s="67">
        <f>H2124+J2124+L2124+M2124+O2124</f>
        <v/>
      </c>
      <c r="Q2124" s="68">
        <f>IF(OR(H2124=0,P2124&lt;30),"Tier D (Đóng băng)",IF(P2124&gt;=85,"Tier S (Kim Cương: 85-100đ)",IF(P2124&gt;=70,"Tier A (Vàng: 70-84đ)",IF(P2124&gt;=61,"Tier B+ / Cấp A (Hot Lead: 61-69đ)",IF(P2124&gt;=50,"Tier B (Bạc: 50-60đ)","Tier C (Đồng: 30-49đ)")))))</f>
        <v/>
      </c>
      <c r="R2124" s="9" t="inlineStr">
        <is>
          <t>Khay vệ sinh trong nhà (Indoor Dog Potty) + Đồ chơi thú cưng lẻ</t>
        </is>
      </c>
      <c r="S2124" s="9" t="inlineStr">
        <is>
          <t>Đóng băng tương tác (&gt;30 ngày): Lưu trữ chờ kích hoạt lại, không tốn tài nguyên Sales</t>
        </is>
      </c>
    </row>
    <row r="2125">
      <c r="A2125" s="53" t="n">
        <v>1831</v>
      </c>
      <c r="B2125" s="12" t="inlineStr">
        <is>
          <t>K9s4KIDs</t>
        </is>
      </c>
      <c r="C2125" s="54" t="inlineStr">
        <is>
          <t>https://www.facebook.com/K9s4KIDsORG</t>
        </is>
      </c>
      <c r="D2125" s="6" t="inlineStr">
        <is>
          <t>Cần quét Bio Fanpage</t>
        </is>
      </c>
      <c r="E2125" s="53" t="inlineStr">
        <is>
          <t>03/06/2026 07:20:57</t>
        </is>
      </c>
      <c r="F2125" s="53" t="inlineStr">
        <is>
          <t>4 tháng trước</t>
        </is>
      </c>
      <c r="G2125" s="55" t="n">
        <v>120</v>
      </c>
      <c r="H2125" s="56" t="n">
        <v>0</v>
      </c>
      <c r="I2125" s="6" t="inlineStr">
        <is>
          <t>Pet Owner / Cộng đồng nuôi cún (10đ)</t>
        </is>
      </c>
      <c r="J2125" s="56" t="n">
        <v>10</v>
      </c>
      <c r="K2125" s="6" t="inlineStr">
        <is>
          <t>Chưa rõ giống (Cần quét Bio)</t>
        </is>
      </c>
      <c r="L2125" s="56" t="n">
        <v>0</v>
      </c>
      <c r="M2125" s="56" t="n">
        <v>0</v>
      </c>
      <c r="N2125" s="6" t="inlineStr">
        <is>
          <t>Amazon link not found</t>
        </is>
      </c>
      <c r="O2125" s="56">
        <f>IF(N2125="Selling pet toys + Artificial grass/Pet toilets (TARGET)",15,IF(N2125="Selling artificial grass/pet toilets (TARGET)",10,IF(N2125="Selling pet toys",7,IF(N2125="There's an Amazon link, but no target sales.",3,0))))</f>
        <v/>
      </c>
      <c r="P2125" s="65">
        <f>H2125+J2125+L2125+M2125+O2125</f>
        <v/>
      </c>
      <c r="Q2125" s="68">
        <f>IF(OR(H2125=0,P2125&lt;30),"Tier D (Đóng băng)",IF(P2125&gt;=85,"Tier S (Kim Cương: 85-100đ)",IF(P2125&gt;=70,"Tier A (Vàng: 70-84đ)",IF(P2125&gt;=61,"Tier B+ / Cấp A (Hot Lead: 61-69đ)",IF(P2125&gt;=50,"Tier B (Bạc: 50-60đ)","Tier C (Đồng: 30-49đ)")))))</f>
        <v/>
      </c>
      <c r="R2125" s="6" t="inlineStr">
        <is>
          <t>Khay vệ sinh chung cư (Indoor Potty) + Thảm cỏ ban công (Grass Patch) + Đồ chơi</t>
        </is>
      </c>
      <c r="S2125" s="6" t="inlineStr">
        <is>
          <t>Đóng băng tương tác (&gt;30 ngày): Lưu trữ chờ kích hoạt lại, không tốn tài nguyên Sales</t>
        </is>
      </c>
    </row>
    <row r="2126">
      <c r="A2126" s="59" t="n">
        <v>1154</v>
      </c>
      <c r="B2126" s="15" t="inlineStr">
        <is>
          <t>Dogs</t>
        </is>
      </c>
      <c r="C2126" s="60" t="inlineStr">
        <is>
          <t>https://www.facebook.com/dogs.dz</t>
        </is>
      </c>
      <c r="D2126" s="9" t="inlineStr">
        <is>
          <t>Cần quét Bio Fanpage</t>
        </is>
      </c>
      <c r="E2126" s="59" t="inlineStr">
        <is>
          <t>30/05/2026 20:10:29</t>
        </is>
      </c>
      <c r="F2126" s="59" t="inlineStr">
        <is>
          <t>4 tháng trước</t>
        </is>
      </c>
      <c r="G2126" s="61" t="n">
        <v>120</v>
      </c>
      <c r="H2126" s="62" t="n">
        <v>0</v>
      </c>
      <c r="I2126" s="9" t="inlineStr">
        <is>
          <t>Pet Owner / Cộng đồng nuôi cún (10đ)</t>
        </is>
      </c>
      <c r="J2126" s="62" t="n">
        <v>10</v>
      </c>
      <c r="K2126" s="9" t="inlineStr">
        <is>
          <t>Chưa rõ giống (Cần quét Bio)</t>
        </is>
      </c>
      <c r="L2126" s="62" t="n">
        <v>0</v>
      </c>
      <c r="M2126" s="62" t="n">
        <v>0</v>
      </c>
      <c r="N2126" s="9" t="inlineStr">
        <is>
          <t>Amazon link not found</t>
        </is>
      </c>
      <c r="O2126" s="62">
        <f>IF(N2126="Selling pet toys + Artificial grass/Pet toilets (TARGET)",15,IF(N2126="Selling artificial grass/pet toilets (TARGET)",10,IF(N2126="Selling pet toys",7,IF(N2126="There's an Amazon link, but no target sales.",3,0))))</f>
        <v/>
      </c>
      <c r="P2126" s="67">
        <f>H2126+J2126+L2126+M2126+O2126</f>
        <v/>
      </c>
      <c r="Q2126" s="68">
        <f>IF(OR(H2126=0,P2126&lt;30),"Tier D (Đóng băng)",IF(P2126&gt;=85,"Tier S (Kim Cương: 85-100đ)",IF(P2126&gt;=70,"Tier A (Vàng: 70-84đ)",IF(P2126&gt;=61,"Tier B+ / Cấp A (Hot Lead: 61-69đ)",IF(P2126&gt;=50,"Tier B (Bạc: 50-60đ)","Tier C (Đồng: 30-49đ)")))))</f>
        <v/>
      </c>
      <c r="R2126" s="9" t="inlineStr">
        <is>
          <t>Khay vệ sinh chung cư (Indoor Potty) + Thảm cỏ ban công (Grass Patch) + Đồ chơi</t>
        </is>
      </c>
      <c r="S2126" s="9" t="inlineStr">
        <is>
          <t>Đóng băng tương tác (&gt;30 ngày): Lưu trữ chờ kích hoạt lại, không tốn tài nguyên Sales</t>
        </is>
      </c>
    </row>
    <row r="2127">
      <c r="A2127" s="53" t="n">
        <v>1311</v>
      </c>
      <c r="B2127" s="12" t="inlineStr">
        <is>
          <t>EzyDog</t>
        </is>
      </c>
      <c r="C2127" s="54" t="inlineStr">
        <is>
          <t>https://www.facebook.com/EzyDogWorldwide</t>
        </is>
      </c>
      <c r="D2127" s="6" t="inlineStr">
        <is>
          <t>Cần quét Bio Fanpage</t>
        </is>
      </c>
      <c r="E2127" s="53" t="inlineStr">
        <is>
          <t>30/05/2026 08:24:21</t>
        </is>
      </c>
      <c r="F2127" s="53" t="inlineStr">
        <is>
          <t>4 tháng trước</t>
        </is>
      </c>
      <c r="G2127" s="55" t="n">
        <v>120</v>
      </c>
      <c r="H2127" s="56" t="n">
        <v>0</v>
      </c>
      <c r="I2127" s="6" t="inlineStr">
        <is>
          <t>Pet Owner / Cộng đồng nuôi cún (10đ)</t>
        </is>
      </c>
      <c r="J2127" s="56" t="n">
        <v>10</v>
      </c>
      <c r="K2127" s="6" t="inlineStr">
        <is>
          <t>Chưa rõ giống (Cần quét Bio)</t>
        </is>
      </c>
      <c r="L2127" s="56" t="n">
        <v>0</v>
      </c>
      <c r="M2127" s="56" t="n">
        <v>0</v>
      </c>
      <c r="N2127" s="6" t="inlineStr">
        <is>
          <t>Amazon link not found</t>
        </is>
      </c>
      <c r="O2127" s="56">
        <f>IF(N2127="Selling pet toys + Artificial grass/Pet toilets (TARGET)",15,IF(N2127="Selling artificial grass/pet toilets (TARGET)",10,IF(N2127="Selling pet toys",7,IF(N2127="There's an Amazon link, but no target sales.",3,0))))</f>
        <v/>
      </c>
      <c r="P2127" s="65">
        <f>H2127+J2127+L2127+M2127+O2127</f>
        <v/>
      </c>
      <c r="Q2127" s="68">
        <f>IF(OR(H2127=0,P2127&lt;30),"Tier D (Đóng băng)",IF(P2127&gt;=85,"Tier S (Kim Cương: 85-100đ)",IF(P2127&gt;=70,"Tier A (Vàng: 70-84đ)",IF(P2127&gt;=61,"Tier B+ / Cấp A (Hot Lead: 61-69đ)",IF(P2127&gt;=50,"Tier B (Bạc: 50-60đ)","Tier C (Đồng: 30-49đ)")))))</f>
        <v/>
      </c>
      <c r="R2127" s="6" t="inlineStr">
        <is>
          <t>Khay vệ sinh chung cư (Indoor Potty) + Thảm cỏ ban công (Grass Patch) + Đồ chơi</t>
        </is>
      </c>
      <c r="S2127" s="6" t="inlineStr">
        <is>
          <t>Đóng băng tương tác (&gt;30 ngày): Lưu trữ chờ kích hoạt lại, không tốn tài nguyên Sales</t>
        </is>
      </c>
    </row>
    <row r="2128">
      <c r="A2128" s="59" t="n">
        <v>287</v>
      </c>
      <c r="B2128" s="15" t="inlineStr">
        <is>
          <t>Ventura Pet Tours</t>
        </is>
      </c>
      <c r="C2128" s="60" t="inlineStr">
        <is>
          <t>https://www.facebook.com/VenturaPetTours</t>
        </is>
      </c>
      <c r="D2128" s="9" t="inlineStr">
        <is>
          <t>Cần quét Bio Fanpage</t>
        </is>
      </c>
      <c r="E2128" s="59" t="inlineStr">
        <is>
          <t>29/05/2026 18:09:41</t>
        </is>
      </c>
      <c r="F2128" s="59" t="inlineStr">
        <is>
          <t>4 tháng trước</t>
        </is>
      </c>
      <c r="G2128" s="61" t="n">
        <v>120</v>
      </c>
      <c r="H2128" s="62" t="n">
        <v>0</v>
      </c>
      <c r="I2128" s="9" t="inlineStr">
        <is>
          <t>Pet Owner / Cộng đồng nuôi cún (10đ)</t>
        </is>
      </c>
      <c r="J2128" s="62" t="n">
        <v>10</v>
      </c>
      <c r="K2128" s="9" t="inlineStr">
        <is>
          <t>Chưa rõ giống (Cần quét Bio)</t>
        </is>
      </c>
      <c r="L2128" s="62" t="n">
        <v>0</v>
      </c>
      <c r="M2128" s="62" t="n">
        <v>0</v>
      </c>
      <c r="N2128" s="9" t="inlineStr">
        <is>
          <t>Amazon link not found</t>
        </is>
      </c>
      <c r="O2128" s="62">
        <f>IF(N2128="Selling pet toys + Artificial grass/Pet toilets (TARGET)",15,IF(N2128="Selling artificial grass/pet toilets (TARGET)",10,IF(N2128="Selling pet toys",7,IF(N2128="There's an Amazon link, but no target sales.",3,0))))</f>
        <v/>
      </c>
      <c r="P2128" s="67">
        <f>H2128+J2128+L2128+M2128+O2128</f>
        <v/>
      </c>
      <c r="Q2128" s="68">
        <f>IF(OR(H2128=0,P2128&lt;30),"Tier D (Đóng băng)",IF(P2128&gt;=85,"Tier S (Kim Cương: 85-100đ)",IF(P2128&gt;=70,"Tier A (Vàng: 70-84đ)",IF(P2128&gt;=61,"Tier B+ / Cấp A (Hot Lead: 61-69đ)",IF(P2128&gt;=50,"Tier B (Bạc: 50-60đ)","Tier C (Đồng: 30-49đ)")))))</f>
        <v/>
      </c>
      <c r="R2128" s="9" t="inlineStr">
        <is>
          <t>Khay vệ sinh chung cư (Indoor Potty) + Thảm cỏ ban công (Grass Patch) + Đồ chơi</t>
        </is>
      </c>
      <c r="S2128" s="9" t="inlineStr">
        <is>
          <t>Đóng băng tương tác (&gt;30 ngày): Lưu trữ chờ kích hoạt lại, không tốn tài nguyên Sales</t>
        </is>
      </c>
    </row>
    <row r="2129">
      <c r="A2129" s="53" t="n">
        <v>2558</v>
      </c>
      <c r="B2129" s="12" t="inlineStr">
        <is>
          <t>PETULA</t>
        </is>
      </c>
      <c r="C2129" s="54" t="inlineStr">
        <is>
          <t>https://www.facebook.com/PETULAJEWELRY</t>
        </is>
      </c>
      <c r="D2129" s="6" t="inlineStr">
        <is>
          <t>Cần quét Bio Fanpage</t>
        </is>
      </c>
      <c r="E2129" s="53" t="inlineStr">
        <is>
          <t>26/05/2026 08:19:14</t>
        </is>
      </c>
      <c r="F2129" s="53" t="inlineStr">
        <is>
          <t>4 tháng trước</t>
        </is>
      </c>
      <c r="G2129" s="55" t="n">
        <v>120</v>
      </c>
      <c r="H2129" s="56" t="n">
        <v>0</v>
      </c>
      <c r="I2129" s="6" t="inlineStr">
        <is>
          <t>Pet Owner / Cộng đồng nuôi cún (10đ)</t>
        </is>
      </c>
      <c r="J2129" s="56" t="n">
        <v>10</v>
      </c>
      <c r="K2129" s="6" t="inlineStr">
        <is>
          <t>Chưa rõ giống (Cần quét Bio)</t>
        </is>
      </c>
      <c r="L2129" s="56" t="n">
        <v>0</v>
      </c>
      <c r="M2129" s="56" t="n">
        <v>0</v>
      </c>
      <c r="N2129" s="6" t="inlineStr">
        <is>
          <t>Amazon link not found</t>
        </is>
      </c>
      <c r="O2129" s="56">
        <f>IF(N2129="Selling pet toys + Artificial grass/Pet toilets (TARGET)",15,IF(N2129="Selling artificial grass/pet toilets (TARGET)",10,IF(N2129="Selling pet toys",7,IF(N2129="There's an Amazon link, but no target sales.",3,0))))</f>
        <v/>
      </c>
      <c r="P2129" s="65">
        <f>H2129+J2129+L2129+M2129+O2129</f>
        <v/>
      </c>
      <c r="Q2129" s="68">
        <f>IF(OR(H2129=0,P2129&lt;30),"Tier D (Đóng băng)",IF(P2129&gt;=85,"Tier S (Kim Cương: 85-100đ)",IF(P2129&gt;=70,"Tier A (Vàng: 70-84đ)",IF(P2129&gt;=61,"Tier B+ / Cấp A (Hot Lead: 61-69đ)",IF(P2129&gt;=50,"Tier B (Bạc: 50-60đ)","Tier C (Đồng: 30-49đ)")))))</f>
        <v/>
      </c>
      <c r="R2129" s="6" t="inlineStr">
        <is>
          <t>Khay vệ sinh chung cư (Indoor Potty) + Thảm cỏ ban công (Grass Patch) + Đồ chơi</t>
        </is>
      </c>
      <c r="S2129" s="6" t="inlineStr">
        <is>
          <t>Đóng băng tương tác (&gt;30 ngày): Lưu trữ chờ kích hoạt lại, không tốn tài nguyên Sales</t>
        </is>
      </c>
    </row>
    <row r="2130">
      <c r="A2130" s="59" t="n">
        <v>1157</v>
      </c>
      <c r="B2130" s="15" t="inlineStr">
        <is>
          <t>Dogs</t>
        </is>
      </c>
      <c r="C2130" s="60" t="inlineStr">
        <is>
          <t>https://www.facebook.com/profile.php?id=100081798356816</t>
        </is>
      </c>
      <c r="D2130" s="9" t="inlineStr">
        <is>
          <t>Cần quét Bio Fanpage</t>
        </is>
      </c>
      <c r="E2130" s="59" t="inlineStr">
        <is>
          <t>25/05/2026 17:49:35</t>
        </is>
      </c>
      <c r="F2130" s="59" t="inlineStr">
        <is>
          <t>4 tháng trước</t>
        </is>
      </c>
      <c r="G2130" s="61" t="n">
        <v>120</v>
      </c>
      <c r="H2130" s="62" t="n">
        <v>0</v>
      </c>
      <c r="I2130" s="9" t="inlineStr">
        <is>
          <t>Pet Owner / Cộng đồng nuôi cún (10đ)</t>
        </is>
      </c>
      <c r="J2130" s="62" t="n">
        <v>10</v>
      </c>
      <c r="K2130" s="9" t="inlineStr">
        <is>
          <t>Chưa rõ giống (Cần quét Bio)</t>
        </is>
      </c>
      <c r="L2130" s="62" t="n">
        <v>0</v>
      </c>
      <c r="M2130" s="62" t="n">
        <v>0</v>
      </c>
      <c r="N2130" s="9" t="inlineStr">
        <is>
          <t>Amazon link not found</t>
        </is>
      </c>
      <c r="O2130" s="62">
        <f>IF(N2130="Selling pet toys + Artificial grass/Pet toilets (TARGET)",15,IF(N2130="Selling artificial grass/pet toilets (TARGET)",10,IF(N2130="Selling pet toys",7,IF(N2130="There's an Amazon link, but no target sales.",3,0))))</f>
        <v/>
      </c>
      <c r="P2130" s="67">
        <f>H2130+J2130+L2130+M2130+O2130</f>
        <v/>
      </c>
      <c r="Q2130" s="68">
        <f>IF(OR(H2130=0,P2130&lt;30),"Tier D (Đóng băng)",IF(P2130&gt;=85,"Tier S (Kim Cương: 85-100đ)",IF(P2130&gt;=70,"Tier A (Vàng: 70-84đ)",IF(P2130&gt;=61,"Tier B+ / Cấp A (Hot Lead: 61-69đ)",IF(P2130&gt;=50,"Tier B (Bạc: 50-60đ)","Tier C (Đồng: 30-49đ)")))))</f>
        <v/>
      </c>
      <c r="R2130" s="9" t="inlineStr">
        <is>
          <t>Khay vệ sinh chung cư (Indoor Potty) + Thảm cỏ ban công (Grass Patch) + Đồ chơi</t>
        </is>
      </c>
      <c r="S2130" s="9" t="inlineStr">
        <is>
          <t>Đóng băng tương tác (&gt;30 ngày): Lưu trữ chờ kích hoạt lại, không tốn tài nguyên Sales</t>
        </is>
      </c>
    </row>
    <row r="2131">
      <c r="A2131" s="53" t="n">
        <v>3160</v>
      </c>
      <c r="B2131" s="12" t="inlineStr">
        <is>
          <t>scarescuehealthfoundation</t>
        </is>
      </c>
      <c r="C2131" s="54" t="inlineStr">
        <is>
          <t>https://www.facebook.com/scarescuehealthfoundation</t>
        </is>
      </c>
      <c r="D2131" s="6" t="inlineStr">
        <is>
          <t>Cần quét Bio Fanpage</t>
        </is>
      </c>
      <c r="E2131" s="53" t="inlineStr">
        <is>
          <t>25/05/2026 09:23:41</t>
        </is>
      </c>
      <c r="F2131" s="53" t="inlineStr">
        <is>
          <t>4 tháng trước</t>
        </is>
      </c>
      <c r="G2131" s="55" t="n">
        <v>120</v>
      </c>
      <c r="H2131" s="56" t="n">
        <v>0</v>
      </c>
      <c r="I2131" s="6" t="inlineStr">
        <is>
          <t>Pet Owner / Cộng đồng nuôi cún (10đ)</t>
        </is>
      </c>
      <c r="J2131" s="56" t="n">
        <v>10</v>
      </c>
      <c r="K2131" s="6" t="inlineStr">
        <is>
          <t>Chưa rõ giống (Cần quét Bio)</t>
        </is>
      </c>
      <c r="L2131" s="56" t="n">
        <v>0</v>
      </c>
      <c r="M2131" s="56" t="n">
        <v>0</v>
      </c>
      <c r="N2131" s="6" t="inlineStr">
        <is>
          <t>Amazon link not found</t>
        </is>
      </c>
      <c r="O2131" s="56">
        <f>IF(N2131="Selling pet toys + Artificial grass/Pet toilets (TARGET)",15,IF(N2131="Selling artificial grass/pet toilets (TARGET)",10,IF(N2131="Selling pet toys",7,IF(N2131="There's an Amazon link, but no target sales.",3,0))))</f>
        <v/>
      </c>
      <c r="P2131" s="65">
        <f>H2131+J2131+L2131+M2131+O2131</f>
        <v/>
      </c>
      <c r="Q2131" s="68">
        <f>IF(OR(H2131=0,P2131&lt;30),"Tier D (Đóng băng)",IF(P2131&gt;=85,"Tier S (Kim Cương: 85-100đ)",IF(P2131&gt;=70,"Tier A (Vàng: 70-84đ)",IF(P2131&gt;=61,"Tier B+ / Cấp A (Hot Lead: 61-69đ)",IF(P2131&gt;=50,"Tier B (Bạc: 50-60đ)","Tier C (Đồng: 30-49đ)")))))</f>
        <v/>
      </c>
      <c r="R2131" s="6" t="inlineStr">
        <is>
          <t>Khay vệ sinh chung cư (Indoor Potty) + Thảm cỏ ban công (Grass Patch) + Đồ chơi</t>
        </is>
      </c>
      <c r="S2131" s="6" t="inlineStr">
        <is>
          <t>Đóng băng tương tác (&gt;30 ngày): Lưu trữ chờ kích hoạt lại, không tốn tài nguyên Sales</t>
        </is>
      </c>
    </row>
    <row r="2132">
      <c r="A2132" s="59" t="n">
        <v>1045</v>
      </c>
      <c r="B2132" s="15" t="inlineStr">
        <is>
          <t>Doddlefordogs.de</t>
        </is>
      </c>
      <c r="C2132" s="60" t="inlineStr">
        <is>
          <t>https://www.facebook.com/doddlefordogs.de</t>
        </is>
      </c>
      <c r="D2132" s="9" t="inlineStr">
        <is>
          <t>Cần quét Bio Fanpage</t>
        </is>
      </c>
      <c r="E2132" s="59" t="inlineStr">
        <is>
          <t>23/05/2026 22:36:50</t>
        </is>
      </c>
      <c r="F2132" s="59" t="inlineStr">
        <is>
          <t>4 tháng trước</t>
        </is>
      </c>
      <c r="G2132" s="61" t="n">
        <v>120</v>
      </c>
      <c r="H2132" s="62" t="n">
        <v>0</v>
      </c>
      <c r="I2132" s="9" t="inlineStr">
        <is>
          <t>Pet Owner / Cộng đồng nuôi cún (10đ)</t>
        </is>
      </c>
      <c r="J2132" s="62" t="n">
        <v>10</v>
      </c>
      <c r="K2132" s="9" t="inlineStr">
        <is>
          <t>Chưa rõ giống (Cần quét Bio)</t>
        </is>
      </c>
      <c r="L2132" s="62" t="n">
        <v>0</v>
      </c>
      <c r="M2132" s="62" t="n">
        <v>0</v>
      </c>
      <c r="N2132" s="9" t="inlineStr">
        <is>
          <t>Amazon link not found</t>
        </is>
      </c>
      <c r="O2132" s="62">
        <f>IF(N2132="Selling pet toys + Artificial grass/Pet toilets (TARGET)",15,IF(N2132="Selling artificial grass/pet toilets (TARGET)",10,IF(N2132="Selling pet toys",7,IF(N2132="There's an Amazon link, but no target sales.",3,0))))</f>
        <v/>
      </c>
      <c r="P2132" s="67">
        <f>H2132+J2132+L2132+M2132+O2132</f>
        <v/>
      </c>
      <c r="Q2132" s="68">
        <f>IF(OR(H2132=0,P2132&lt;30),"Tier D (Đóng băng)",IF(P2132&gt;=85,"Tier S (Kim Cương: 85-100đ)",IF(P2132&gt;=70,"Tier A (Vàng: 70-84đ)",IF(P2132&gt;=61,"Tier B+ / Cấp A (Hot Lead: 61-69đ)",IF(P2132&gt;=50,"Tier B (Bạc: 50-60đ)","Tier C (Đồng: 30-49đ)")))))</f>
        <v/>
      </c>
      <c r="R2132" s="9" t="inlineStr">
        <is>
          <t>Khay vệ sinh chung cư (Indoor Potty) + Thảm cỏ ban công (Grass Patch) + Đồ chơi</t>
        </is>
      </c>
      <c r="S2132" s="9" t="inlineStr">
        <is>
          <t>Đóng băng tương tác (&gt;30 ngày): Lưu trữ chờ kích hoạt lại, không tốn tài nguyên Sales</t>
        </is>
      </c>
    </row>
    <row r="2133">
      <c r="A2133" s="53" t="n">
        <v>524</v>
      </c>
      <c r="B2133" s="12" t="inlineStr">
        <is>
          <t>Artemis - Egyptian Baladi Dog</t>
        </is>
      </c>
      <c r="C2133" s="54" t="inlineStr">
        <is>
          <t>https://www.facebook.com/profile.php?id=61574568027823</t>
        </is>
      </c>
      <c r="D2133" s="6" t="inlineStr">
        <is>
          <t>Cần quét Bio Fanpage</t>
        </is>
      </c>
      <c r="E2133" s="53" t="inlineStr">
        <is>
          <t>20/05/2026 01:05:21</t>
        </is>
      </c>
      <c r="F2133" s="53" t="inlineStr">
        <is>
          <t>4 tháng trước</t>
        </is>
      </c>
      <c r="G2133" s="55" t="n">
        <v>120</v>
      </c>
      <c r="H2133" s="56" t="n">
        <v>0</v>
      </c>
      <c r="I2133" s="6" t="inlineStr">
        <is>
          <t>Pet Owner / Cộng đồng nuôi cún (10đ)</t>
        </is>
      </c>
      <c r="J2133" s="56" t="n">
        <v>10</v>
      </c>
      <c r="K2133" s="6" t="inlineStr">
        <is>
          <t>Chưa rõ giống (Cần quét Bio)</t>
        </is>
      </c>
      <c r="L2133" s="56" t="n">
        <v>0</v>
      </c>
      <c r="M2133" s="56" t="n">
        <v>0</v>
      </c>
      <c r="N2133" s="6" t="inlineStr">
        <is>
          <t>Amazon link not found</t>
        </is>
      </c>
      <c r="O2133" s="56">
        <f>IF(N2133="Selling pet toys + Artificial grass/Pet toilets (TARGET)",15,IF(N2133="Selling artificial grass/pet toilets (TARGET)",10,IF(N2133="Selling pet toys",7,IF(N2133="There's an Amazon link, but no target sales.",3,0))))</f>
        <v/>
      </c>
      <c r="P2133" s="65">
        <f>H2133+J2133+L2133+M2133+O2133</f>
        <v/>
      </c>
      <c r="Q2133" s="68">
        <f>IF(OR(H2133=0,P2133&lt;30),"Tier D (Đóng băng)",IF(P2133&gt;=85,"Tier S (Kim Cương: 85-100đ)",IF(P2133&gt;=70,"Tier A (Vàng: 70-84đ)",IF(P2133&gt;=61,"Tier B+ / Cấp A (Hot Lead: 61-69đ)",IF(P2133&gt;=50,"Tier B (Bạc: 50-60đ)","Tier C (Đồng: 30-49đ)")))))</f>
        <v/>
      </c>
      <c r="R2133" s="6" t="inlineStr">
        <is>
          <t>Khay vệ sinh chung cư (Indoor Potty) + Thảm cỏ ban công (Grass Patch) + Đồ chơi</t>
        </is>
      </c>
      <c r="S2133" s="6" t="inlineStr">
        <is>
          <t>Đóng băng tương tác (&gt;30 ngày): Lưu trữ chờ kích hoạt lại, không tốn tài nguyên Sales</t>
        </is>
      </c>
    </row>
    <row r="2134">
      <c r="A2134" s="59" t="n">
        <v>441</v>
      </c>
      <c r="B2134" s="15" t="inlineStr">
        <is>
          <t>AniRepAllatorvosiRendelo</t>
        </is>
      </c>
      <c r="C2134" s="60" t="inlineStr">
        <is>
          <t>https://www.facebook.com/AniRepAllatorvosiRendelo</t>
        </is>
      </c>
      <c r="D2134" s="9" t="inlineStr">
        <is>
          <t>Cần quét Bio Fanpage</t>
        </is>
      </c>
      <c r="E2134" s="59" t="inlineStr">
        <is>
          <t>19/05/2026 23:52:57</t>
        </is>
      </c>
      <c r="F2134" s="59" t="inlineStr">
        <is>
          <t>4 tháng trước</t>
        </is>
      </c>
      <c r="G2134" s="61" t="n">
        <v>120</v>
      </c>
      <c r="H2134" s="62" t="n">
        <v>0</v>
      </c>
      <c r="I2134" s="9" t="inlineStr">
        <is>
          <t>Pet Owner / Cộng đồng nuôi cún (10đ)</t>
        </is>
      </c>
      <c r="J2134" s="62" t="n">
        <v>10</v>
      </c>
      <c r="K2134" s="9" t="inlineStr">
        <is>
          <t>Chưa rõ giống (Cần quét Bio)</t>
        </is>
      </c>
      <c r="L2134" s="62" t="n">
        <v>0</v>
      </c>
      <c r="M2134" s="62" t="n">
        <v>0</v>
      </c>
      <c r="N2134" s="9" t="inlineStr">
        <is>
          <t>Amazon link not found</t>
        </is>
      </c>
      <c r="O2134" s="62">
        <f>IF(N2134="Selling pet toys + Artificial grass/Pet toilets (TARGET)",15,IF(N2134="Selling artificial grass/pet toilets (TARGET)",10,IF(N2134="Selling pet toys",7,IF(N2134="There's an Amazon link, but no target sales.",3,0))))</f>
        <v/>
      </c>
      <c r="P2134" s="67">
        <f>H2134+J2134+L2134+M2134+O2134</f>
        <v/>
      </c>
      <c r="Q2134" s="68">
        <f>IF(OR(H2134=0,P2134&lt;30),"Tier D (Đóng băng)",IF(P2134&gt;=85,"Tier S (Kim Cương: 85-100đ)",IF(P2134&gt;=70,"Tier A (Vàng: 70-84đ)",IF(P2134&gt;=61,"Tier B+ / Cấp A (Hot Lead: 61-69đ)",IF(P2134&gt;=50,"Tier B (Bạc: 50-60đ)","Tier C (Đồng: 30-49đ)")))))</f>
        <v/>
      </c>
      <c r="R2134" s="9" t="inlineStr">
        <is>
          <t>Khay vệ sinh chung cư (Indoor Potty) + Thảm cỏ ban công (Grass Patch) + Đồ chơi</t>
        </is>
      </c>
      <c r="S2134" s="9" t="inlineStr">
        <is>
          <t>Đóng băng tương tác (&gt;30 ngày): Lưu trữ chờ kích hoạt lại, không tốn tài nguyên Sales</t>
        </is>
      </c>
    </row>
    <row r="2135">
      <c r="A2135" s="53" t="n">
        <v>343</v>
      </c>
      <c r="B2135" s="12" t="inlineStr">
        <is>
          <t>Adorable dogcollars</t>
        </is>
      </c>
      <c r="C2135" s="54" t="inlineStr">
        <is>
          <t>https://www.facebook.com/adorabledogcollars</t>
        </is>
      </c>
      <c r="D2135" s="6" t="inlineStr">
        <is>
          <t>Cần quét Bio Fanpage</t>
        </is>
      </c>
      <c r="E2135" s="53" t="inlineStr">
        <is>
          <t>19/05/2026 19:15:12</t>
        </is>
      </c>
      <c r="F2135" s="53" t="inlineStr">
        <is>
          <t>4 tháng trước</t>
        </is>
      </c>
      <c r="G2135" s="55" t="n">
        <v>120</v>
      </c>
      <c r="H2135" s="56" t="n">
        <v>0</v>
      </c>
      <c r="I2135" s="6" t="inlineStr">
        <is>
          <t>Pet Owner / Cộng đồng nuôi cún (10đ)</t>
        </is>
      </c>
      <c r="J2135" s="56" t="n">
        <v>10</v>
      </c>
      <c r="K2135" s="6" t="inlineStr">
        <is>
          <t>Chưa rõ giống (Cần quét Bio)</t>
        </is>
      </c>
      <c r="L2135" s="56" t="n">
        <v>0</v>
      </c>
      <c r="M2135" s="56" t="n">
        <v>0</v>
      </c>
      <c r="N2135" s="6" t="inlineStr">
        <is>
          <t>Amazon link not found</t>
        </is>
      </c>
      <c r="O2135" s="56">
        <f>IF(N2135="Selling pet toys + Artificial grass/Pet toilets (TARGET)",15,IF(N2135="Selling artificial grass/pet toilets (TARGET)",10,IF(N2135="Selling pet toys",7,IF(N2135="There's an Amazon link, but no target sales.",3,0))))</f>
        <v/>
      </c>
      <c r="P2135" s="65">
        <f>H2135+J2135+L2135+M2135+O2135</f>
        <v/>
      </c>
      <c r="Q2135" s="68">
        <f>IF(OR(H2135=0,P2135&lt;30),"Tier D (Đóng băng)",IF(P2135&gt;=85,"Tier S (Kim Cương: 85-100đ)",IF(P2135&gt;=70,"Tier A (Vàng: 70-84đ)",IF(P2135&gt;=61,"Tier B+ / Cấp A (Hot Lead: 61-69đ)",IF(P2135&gt;=50,"Tier B (Bạc: 50-60đ)","Tier C (Đồng: 30-49đ)")))))</f>
        <v/>
      </c>
      <c r="R2135" s="6" t="inlineStr">
        <is>
          <t>Khay vệ sinh chung cư (Indoor Potty) + Thảm cỏ ban công (Grass Patch) + Đồ chơi</t>
        </is>
      </c>
      <c r="S2135" s="6" t="inlineStr">
        <is>
          <t>Đóng băng tương tác (&gt;30 ngày): Lưu trữ chờ kích hoạt lại, không tốn tài nguyên Sales</t>
        </is>
      </c>
    </row>
    <row r="2136">
      <c r="A2136" s="59" t="n">
        <v>2500</v>
      </c>
      <c r="B2136" s="15" t="inlineStr">
        <is>
          <t>Peter VII</t>
        </is>
      </c>
      <c r="C2136" s="60" t="inlineStr">
        <is>
          <t>https://www.facebook.com/profile.php?id=61575538207895</t>
        </is>
      </c>
      <c r="D2136" s="9" t="inlineStr">
        <is>
          <t>Cần quét Bio Fanpage</t>
        </is>
      </c>
      <c r="E2136" s="59" t="inlineStr">
        <is>
          <t>18/05/2026 09:37:58</t>
        </is>
      </c>
      <c r="F2136" s="59" t="inlineStr">
        <is>
          <t>4 tháng trước</t>
        </is>
      </c>
      <c r="G2136" s="61" t="n">
        <v>120</v>
      </c>
      <c r="H2136" s="62" t="n">
        <v>0</v>
      </c>
      <c r="I2136" s="9" t="inlineStr">
        <is>
          <t>Pet Owner / Cộng đồng nuôi cún (10đ)</t>
        </is>
      </c>
      <c r="J2136" s="62" t="n">
        <v>10</v>
      </c>
      <c r="K2136" s="9" t="inlineStr">
        <is>
          <t>Chưa rõ giống (Cần quét Bio)</t>
        </is>
      </c>
      <c r="L2136" s="62" t="n">
        <v>0</v>
      </c>
      <c r="M2136" s="62" t="n">
        <v>0</v>
      </c>
      <c r="N2136" s="9" t="inlineStr">
        <is>
          <t>Amazon link not found</t>
        </is>
      </c>
      <c r="O2136" s="62">
        <f>IF(N2136="Selling pet toys + Artificial grass/Pet toilets (TARGET)",15,IF(N2136="Selling artificial grass/pet toilets (TARGET)",10,IF(N2136="Selling pet toys",7,IF(N2136="There's an Amazon link, but no target sales.",3,0))))</f>
        <v/>
      </c>
      <c r="P2136" s="67">
        <f>H2136+J2136+L2136+M2136+O2136</f>
        <v/>
      </c>
      <c r="Q2136" s="68">
        <f>IF(OR(H2136=0,P2136&lt;30),"Tier D (Đóng băng)",IF(P2136&gt;=85,"Tier S (Kim Cương: 85-100đ)",IF(P2136&gt;=70,"Tier A (Vàng: 70-84đ)",IF(P2136&gt;=61,"Tier B+ / Cấp A (Hot Lead: 61-69đ)",IF(P2136&gt;=50,"Tier B (Bạc: 50-60đ)","Tier C (Đồng: 30-49đ)")))))</f>
        <v/>
      </c>
      <c r="R2136" s="9" t="inlineStr">
        <is>
          <t>Khay vệ sinh chung cư (Indoor Potty) + Thảm cỏ ban công (Grass Patch) + Đồ chơi</t>
        </is>
      </c>
      <c r="S2136" s="9" t="inlineStr">
        <is>
          <t>Đóng băng tương tác (&gt;30 ngày): Lưu trữ chờ kích hoạt lại, không tốn tài nguyên Sales</t>
        </is>
      </c>
    </row>
    <row r="2137">
      <c r="A2137" s="53" t="n">
        <v>468</v>
      </c>
      <c r="B2137" s="12" t="inlineStr">
        <is>
          <t>Animal Lovers</t>
        </is>
      </c>
      <c r="C2137" s="54" t="inlineStr">
        <is>
          <t>https://www.facebook.com/doglovers09</t>
        </is>
      </c>
      <c r="D2137" s="6" t="inlineStr">
        <is>
          <t>Cần quét Bio Fanpage</t>
        </is>
      </c>
      <c r="E2137" s="53" t="inlineStr">
        <is>
          <t>18/05/2026 04:40:17</t>
        </is>
      </c>
      <c r="F2137" s="53" t="inlineStr">
        <is>
          <t>4 tháng trước</t>
        </is>
      </c>
      <c r="G2137" s="55" t="n">
        <v>120</v>
      </c>
      <c r="H2137" s="56" t="n">
        <v>0</v>
      </c>
      <c r="I2137" s="6" t="inlineStr">
        <is>
          <t>Pet Owner / Kênh cá nhân thú cưng (10đ)</t>
        </is>
      </c>
      <c r="J2137" s="56" t="n">
        <v>10</v>
      </c>
      <c r="K2137" s="6" t="inlineStr">
        <is>
          <t>Chưa rõ giống (Cần quét Bio)</t>
        </is>
      </c>
      <c r="L2137" s="56" t="n">
        <v>0</v>
      </c>
      <c r="M2137" s="56" t="n">
        <v>0</v>
      </c>
      <c r="N2137" s="6" t="inlineStr">
        <is>
          <t>Amazon link not found</t>
        </is>
      </c>
      <c r="O2137" s="56">
        <f>IF(N2137="Selling pet toys + Artificial grass/Pet toilets (TARGET)",15,IF(N2137="Selling artificial grass/pet toilets (TARGET)",10,IF(N2137="Selling pet toys",7,IF(N2137="There's an Amazon link, but no target sales.",3,0))))</f>
        <v/>
      </c>
      <c r="P2137" s="65">
        <f>H2137+J2137+L2137+M2137+O2137</f>
        <v/>
      </c>
      <c r="Q2137" s="68">
        <f>IF(OR(H2137=0,P2137&lt;30),"Tier D (Đóng băng)",IF(P2137&gt;=85,"Tier S (Kim Cương: 85-100đ)",IF(P2137&gt;=70,"Tier A (Vàng: 70-84đ)",IF(P2137&gt;=61,"Tier B+ / Cấp A (Hot Lead: 61-69đ)",IF(P2137&gt;=50,"Tier B (Bạc: 50-60đ)","Tier C (Đồng: 30-49đ)")))))</f>
        <v/>
      </c>
      <c r="R2137" s="6" t="inlineStr">
        <is>
          <t>Khay vệ sinh trong nhà (Indoor Dog Potty) + Đồ chơi thú cưng lẻ</t>
        </is>
      </c>
      <c r="S2137" s="6" t="inlineStr">
        <is>
          <t>Đóng băng tương tác (&gt;30 ngày): Lưu trữ chờ kích hoạt lại, không tốn tài nguyên Sales</t>
        </is>
      </c>
    </row>
    <row r="2138">
      <c r="A2138" s="59" t="n">
        <v>2270</v>
      </c>
      <c r="B2138" s="15" t="inlineStr">
        <is>
          <t>Naturally Holistic Pet</t>
        </is>
      </c>
      <c r="C2138" s="60" t="inlineStr">
        <is>
          <t>https://www.facebook.com/Naturallyholisticpet</t>
        </is>
      </c>
      <c r="D2138" s="9" t="inlineStr">
        <is>
          <t>Cần quét Bio Fanpage</t>
        </is>
      </c>
      <c r="E2138" s="59" t="inlineStr">
        <is>
          <t>17/05/2026 22:23:26</t>
        </is>
      </c>
      <c r="F2138" s="59" t="inlineStr">
        <is>
          <t>4 tháng trước</t>
        </is>
      </c>
      <c r="G2138" s="61" t="n">
        <v>120</v>
      </c>
      <c r="H2138" s="62" t="n">
        <v>0</v>
      </c>
      <c r="I2138" s="9" t="inlineStr">
        <is>
          <t>Pet Owner / Cộng đồng nuôi cún (10đ)</t>
        </is>
      </c>
      <c r="J2138" s="62" t="n">
        <v>10</v>
      </c>
      <c r="K2138" s="9" t="inlineStr">
        <is>
          <t>Chưa rõ giống (Cần quét Bio)</t>
        </is>
      </c>
      <c r="L2138" s="62" t="n">
        <v>0</v>
      </c>
      <c r="M2138" s="62" t="n">
        <v>0</v>
      </c>
      <c r="N2138" s="9" t="inlineStr">
        <is>
          <t>Amazon link not found</t>
        </is>
      </c>
      <c r="O2138" s="62">
        <f>IF(N2138="Selling pet toys + Artificial grass/Pet toilets (TARGET)",15,IF(N2138="Selling artificial grass/pet toilets (TARGET)",10,IF(N2138="Selling pet toys",7,IF(N2138="There's an Amazon link, but no target sales.",3,0))))</f>
        <v/>
      </c>
      <c r="P2138" s="67">
        <f>H2138+J2138+L2138+M2138+O2138</f>
        <v/>
      </c>
      <c r="Q2138" s="68">
        <f>IF(OR(H2138=0,P2138&lt;30),"Tier D (Đóng băng)",IF(P2138&gt;=85,"Tier S (Kim Cương: 85-100đ)",IF(P2138&gt;=70,"Tier A (Vàng: 70-84đ)",IF(P2138&gt;=61,"Tier B+ / Cấp A (Hot Lead: 61-69đ)",IF(P2138&gt;=50,"Tier B (Bạc: 50-60đ)","Tier C (Đồng: 30-49đ)")))))</f>
        <v/>
      </c>
      <c r="R2138" s="9" t="inlineStr">
        <is>
          <t>Khay vệ sinh chung cư (Indoor Potty) + Thảm cỏ ban công (Grass Patch) + Đồ chơi</t>
        </is>
      </c>
      <c r="S2138" s="9" t="inlineStr">
        <is>
          <t>Đóng băng tương tác (&gt;30 ngày): Lưu trữ chờ kích hoạt lại, không tốn tài nguyên Sales</t>
        </is>
      </c>
    </row>
    <row r="2139">
      <c r="A2139" s="53" t="n">
        <v>2344</v>
      </c>
      <c r="B2139" s="12" t="inlineStr">
        <is>
          <t>OKbullies</t>
        </is>
      </c>
      <c r="C2139" s="54" t="inlineStr">
        <is>
          <t>https://www.facebook.com/profile.php?id=100077692248213</t>
        </is>
      </c>
      <c r="D2139" s="6" t="inlineStr">
        <is>
          <t>Cần quét Bio Fanpage</t>
        </is>
      </c>
      <c r="E2139" s="53" t="inlineStr">
        <is>
          <t>15/05/2026 19:00:17</t>
        </is>
      </c>
      <c r="F2139" s="53" t="inlineStr">
        <is>
          <t>5 tháng trước</t>
        </is>
      </c>
      <c r="G2139" s="55" t="n">
        <v>150</v>
      </c>
      <c r="H2139" s="56" t="n">
        <v>0</v>
      </c>
      <c r="I2139" s="6" t="inlineStr">
        <is>
          <t>Pet Owner / Cộng đồng nuôi cún (10đ)</t>
        </is>
      </c>
      <c r="J2139" s="56" t="n">
        <v>10</v>
      </c>
      <c r="K2139" s="6" t="inlineStr">
        <is>
          <t>Chưa rõ giống (Cần quét Bio)</t>
        </is>
      </c>
      <c r="L2139" s="56" t="n">
        <v>0</v>
      </c>
      <c r="M2139" s="56" t="n">
        <v>0</v>
      </c>
      <c r="N2139" s="6" t="inlineStr">
        <is>
          <t>Amazon link not found</t>
        </is>
      </c>
      <c r="O2139" s="56">
        <f>IF(N2139="Selling pet toys + Artificial grass/Pet toilets (TARGET)",15,IF(N2139="Selling artificial grass/pet toilets (TARGET)",10,IF(N2139="Selling pet toys",7,IF(N2139="There's an Amazon link, but no target sales.",3,0))))</f>
        <v/>
      </c>
      <c r="P2139" s="65">
        <f>H2139+J2139+L2139+M2139+O2139</f>
        <v/>
      </c>
      <c r="Q2139" s="68">
        <f>IF(OR(H2139=0,P2139&lt;30),"Tier D (Đóng băng)",IF(P2139&gt;=85,"Tier S (Kim Cương: 85-100đ)",IF(P2139&gt;=70,"Tier A (Vàng: 70-84đ)",IF(P2139&gt;=61,"Tier B+ / Cấp A (Hot Lead: 61-69đ)",IF(P2139&gt;=50,"Tier B (Bạc: 50-60đ)","Tier C (Đồng: 30-49đ)")))))</f>
        <v/>
      </c>
      <c r="R2139" s="6" t="inlineStr">
        <is>
          <t>Khay vệ sinh chung cư (Indoor Potty) + Thảm cỏ ban công (Grass Patch) + Đồ chơi</t>
        </is>
      </c>
      <c r="S2139" s="6" t="inlineStr">
        <is>
          <t>Đóng băng tương tác (&gt;30 ngày): Lưu trữ chờ kích hoạt lại, không tốn tài nguyên Sales</t>
        </is>
      </c>
    </row>
    <row r="2140">
      <c r="A2140" s="59" t="n">
        <v>2752</v>
      </c>
      <c r="B2140" s="15" t="inlineStr">
        <is>
          <t>Ritzenberger Petfood</t>
        </is>
      </c>
      <c r="C2140" s="60" t="inlineStr">
        <is>
          <t>https://www.facebook.com/ritzenberger360</t>
        </is>
      </c>
      <c r="D2140" s="9" t="inlineStr">
        <is>
          <t>Cần quét Bio Fanpage</t>
        </is>
      </c>
      <c r="E2140" s="59" t="inlineStr">
        <is>
          <t>15/05/2026 15:01:21</t>
        </is>
      </c>
      <c r="F2140" s="59" t="inlineStr">
        <is>
          <t>5 tháng trước</t>
        </is>
      </c>
      <c r="G2140" s="61" t="n">
        <v>150</v>
      </c>
      <c r="H2140" s="62" t="n">
        <v>0</v>
      </c>
      <c r="I2140" s="9" t="inlineStr">
        <is>
          <t>Pet Owner / Cộng đồng nuôi cún (10đ)</t>
        </is>
      </c>
      <c r="J2140" s="62" t="n">
        <v>10</v>
      </c>
      <c r="K2140" s="9" t="inlineStr">
        <is>
          <t>Chưa rõ giống (Cần quét Bio)</t>
        </is>
      </c>
      <c r="L2140" s="62" t="n">
        <v>0</v>
      </c>
      <c r="M2140" s="62" t="n">
        <v>0</v>
      </c>
      <c r="N2140" s="9" t="inlineStr">
        <is>
          <t>Amazon link not found</t>
        </is>
      </c>
      <c r="O2140" s="62">
        <f>IF(N2140="Selling pet toys + Artificial grass/Pet toilets (TARGET)",15,IF(N2140="Selling artificial grass/pet toilets (TARGET)",10,IF(N2140="Selling pet toys",7,IF(N2140="There's an Amazon link, but no target sales.",3,0))))</f>
        <v/>
      </c>
      <c r="P2140" s="67">
        <f>H2140+J2140+L2140+M2140+O2140</f>
        <v/>
      </c>
      <c r="Q2140" s="68">
        <f>IF(OR(H2140=0,P2140&lt;30),"Tier D (Đóng băng)",IF(P2140&gt;=85,"Tier S (Kim Cương: 85-100đ)",IF(P2140&gt;=70,"Tier A (Vàng: 70-84đ)",IF(P2140&gt;=61,"Tier B+ / Cấp A (Hot Lead: 61-69đ)",IF(P2140&gt;=50,"Tier B (Bạc: 50-60đ)","Tier C (Đồng: 30-49đ)")))))</f>
        <v/>
      </c>
      <c r="R2140" s="9" t="inlineStr">
        <is>
          <t>Khay vệ sinh chung cư (Indoor Potty) + Thảm cỏ ban công (Grass Patch) + Đồ chơi</t>
        </is>
      </c>
      <c r="S2140" s="9" t="inlineStr">
        <is>
          <t>Đóng băng tương tác (&gt;30 ngày): Lưu trữ chờ kích hoạt lại, không tốn tài nguyên Sales</t>
        </is>
      </c>
    </row>
    <row r="2141">
      <c r="A2141" s="53" t="n">
        <v>724</v>
      </c>
      <c r="B2141" s="12" t="inlineStr">
        <is>
          <t>Boonyanuch Petchnil</t>
        </is>
      </c>
      <c r="C2141" s="54" t="inlineStr">
        <is>
          <t>https://www.facebook.com/petchnil23</t>
        </is>
      </c>
      <c r="D2141" s="6" t="inlineStr">
        <is>
          <t>Cần quét Bio Fanpage</t>
        </is>
      </c>
      <c r="E2141" s="53" t="inlineStr">
        <is>
          <t>15/05/2026 08:24:10</t>
        </is>
      </c>
      <c r="F2141" s="53" t="inlineStr">
        <is>
          <t>5 tháng trước</t>
        </is>
      </c>
      <c r="G2141" s="55" t="n">
        <v>150</v>
      </c>
      <c r="H2141" s="56" t="n">
        <v>0</v>
      </c>
      <c r="I2141" s="6" t="inlineStr">
        <is>
          <t>Pet Owner / Cộng đồng nuôi cún (10đ)</t>
        </is>
      </c>
      <c r="J2141" s="56" t="n">
        <v>10</v>
      </c>
      <c r="K2141" s="6" t="inlineStr">
        <is>
          <t>Chưa rõ giống (Cần quét Bio)</t>
        </is>
      </c>
      <c r="L2141" s="56" t="n">
        <v>0</v>
      </c>
      <c r="M2141" s="56" t="n">
        <v>0</v>
      </c>
      <c r="N2141" s="6" t="inlineStr">
        <is>
          <t>Amazon link not found</t>
        </is>
      </c>
      <c r="O2141" s="56">
        <f>IF(N2141="Selling pet toys + Artificial grass/Pet toilets (TARGET)",15,IF(N2141="Selling artificial grass/pet toilets (TARGET)",10,IF(N2141="Selling pet toys",7,IF(N2141="There's an Amazon link, but no target sales.",3,0))))</f>
        <v/>
      </c>
      <c r="P2141" s="65">
        <f>H2141+J2141+L2141+M2141+O2141</f>
        <v/>
      </c>
      <c r="Q2141" s="68">
        <f>IF(OR(H2141=0,P2141&lt;30),"Tier D (Đóng băng)",IF(P2141&gt;=85,"Tier S (Kim Cương: 85-100đ)",IF(P2141&gt;=70,"Tier A (Vàng: 70-84đ)",IF(P2141&gt;=61,"Tier B+ / Cấp A (Hot Lead: 61-69đ)",IF(P2141&gt;=50,"Tier B (Bạc: 50-60đ)","Tier C (Đồng: 30-49đ)")))))</f>
        <v/>
      </c>
      <c r="R2141" s="6" t="inlineStr">
        <is>
          <t>Khay vệ sinh chung cư (Indoor Potty) + Thảm cỏ ban công (Grass Patch) + Đồ chơi</t>
        </is>
      </c>
      <c r="S2141" s="6" t="inlineStr">
        <is>
          <t>Đóng băng tương tác (&gt;30 ngày): Lưu trữ chờ kích hoạt lại, không tốn tài nguyên Sales</t>
        </is>
      </c>
    </row>
    <row r="2142">
      <c r="A2142" s="59" t="n">
        <v>2632</v>
      </c>
      <c r="B2142" s="15" t="inlineStr">
        <is>
          <t>Pro Dog Central</t>
        </is>
      </c>
      <c r="C2142" s="60" t="inlineStr">
        <is>
          <t>https://www.facebook.com/profile.php?id=100087971288244</t>
        </is>
      </c>
      <c r="D2142" s="9" t="inlineStr">
        <is>
          <t>Cần quét Bio Fanpage</t>
        </is>
      </c>
      <c r="E2142" s="59" t="inlineStr">
        <is>
          <t>14/05/2026 17:46:23</t>
        </is>
      </c>
      <c r="F2142" s="59" t="inlineStr">
        <is>
          <t>5 tháng trước</t>
        </is>
      </c>
      <c r="G2142" s="61" t="n">
        <v>150</v>
      </c>
      <c r="H2142" s="62" t="n">
        <v>0</v>
      </c>
      <c r="I2142" s="9" t="inlineStr">
        <is>
          <t>Pet Owner / Cộng đồng nuôi cún (10đ)</t>
        </is>
      </c>
      <c r="J2142" s="62" t="n">
        <v>10</v>
      </c>
      <c r="K2142" s="9" t="inlineStr">
        <is>
          <t>Chưa rõ giống (Cần quét Bio)</t>
        </is>
      </c>
      <c r="L2142" s="62" t="n">
        <v>0</v>
      </c>
      <c r="M2142" s="62" t="n">
        <v>0</v>
      </c>
      <c r="N2142" s="9" t="inlineStr">
        <is>
          <t>Amazon link not found</t>
        </is>
      </c>
      <c r="O2142" s="62">
        <f>IF(N2142="Selling pet toys + Artificial grass/Pet toilets (TARGET)",15,IF(N2142="Selling artificial grass/pet toilets (TARGET)",10,IF(N2142="Selling pet toys",7,IF(N2142="There's an Amazon link, but no target sales.",3,0))))</f>
        <v/>
      </c>
      <c r="P2142" s="67">
        <f>H2142+J2142+L2142+M2142+O2142</f>
        <v/>
      </c>
      <c r="Q2142" s="68">
        <f>IF(OR(H2142=0,P2142&lt;30),"Tier D (Đóng băng)",IF(P2142&gt;=85,"Tier S (Kim Cương: 85-100đ)",IF(P2142&gt;=70,"Tier A (Vàng: 70-84đ)",IF(P2142&gt;=61,"Tier B+ / Cấp A (Hot Lead: 61-69đ)",IF(P2142&gt;=50,"Tier B (Bạc: 50-60đ)","Tier C (Đồng: 30-49đ)")))))</f>
        <v/>
      </c>
      <c r="R2142" s="9" t="inlineStr">
        <is>
          <t>Khay vệ sinh chung cư (Indoor Potty) + Thảm cỏ ban công (Grass Patch) + Đồ chơi</t>
        </is>
      </c>
      <c r="S2142" s="9" t="inlineStr">
        <is>
          <t>Đóng băng tương tác (&gt;30 ngày): Lưu trữ chờ kích hoạt lại, không tốn tài nguyên Sales</t>
        </is>
      </c>
    </row>
    <row r="2143">
      <c r="A2143" s="53" t="n">
        <v>1564</v>
      </c>
      <c r="B2143" s="12" t="inlineStr">
        <is>
          <t>Greenman's Way Sheep Dogs</t>
        </is>
      </c>
      <c r="C2143" s="54" t="inlineStr">
        <is>
          <t>https://www.facebook.com/profile.php?id=100054397724732</t>
        </is>
      </c>
      <c r="D2143" s="6" t="inlineStr">
        <is>
          <t>Cần quét Bio Fanpage</t>
        </is>
      </c>
      <c r="E2143" s="53" t="inlineStr">
        <is>
          <t>11/05/2026 05:51:14</t>
        </is>
      </c>
      <c r="F2143" s="53" t="inlineStr">
        <is>
          <t>5 tháng trước</t>
        </is>
      </c>
      <c r="G2143" s="55" t="n">
        <v>150</v>
      </c>
      <c r="H2143" s="56" t="n">
        <v>0</v>
      </c>
      <c r="I2143" s="6" t="inlineStr">
        <is>
          <t>Pet Owner / Cộng đồng nuôi cún (10đ)</t>
        </is>
      </c>
      <c r="J2143" s="56" t="n">
        <v>10</v>
      </c>
      <c r="K2143" s="6" t="inlineStr">
        <is>
          <t>Chưa rõ giống (Cần quét Bio)</t>
        </is>
      </c>
      <c r="L2143" s="56" t="n">
        <v>0</v>
      </c>
      <c r="M2143" s="56" t="n">
        <v>0</v>
      </c>
      <c r="N2143" s="6" t="inlineStr">
        <is>
          <t>Amazon link not found</t>
        </is>
      </c>
      <c r="O2143" s="56">
        <f>IF(N2143="Selling pet toys + Artificial grass/Pet toilets (TARGET)",15,IF(N2143="Selling artificial grass/pet toilets (TARGET)",10,IF(N2143="Selling pet toys",7,IF(N2143="There's an Amazon link, but no target sales.",3,0))))</f>
        <v/>
      </c>
      <c r="P2143" s="65">
        <f>H2143+J2143+L2143+M2143+O2143</f>
        <v/>
      </c>
      <c r="Q2143" s="68">
        <f>IF(OR(H2143=0,P2143&lt;30),"Tier D (Đóng băng)",IF(P2143&gt;=85,"Tier S (Kim Cương: 85-100đ)",IF(P2143&gt;=70,"Tier A (Vàng: 70-84đ)",IF(P2143&gt;=61,"Tier B+ / Cấp A (Hot Lead: 61-69đ)",IF(P2143&gt;=50,"Tier B (Bạc: 50-60đ)","Tier C (Đồng: 30-49đ)")))))</f>
        <v/>
      </c>
      <c r="R2143" s="6" t="inlineStr">
        <is>
          <t>Khay vệ sinh chung cư (Indoor Potty) + Thảm cỏ ban công (Grass Patch) + Đồ chơi</t>
        </is>
      </c>
      <c r="S2143" s="6" t="inlineStr">
        <is>
          <t>Đóng băng tương tác (&gt;30 ngày): Lưu trữ chờ kích hoạt lại, không tốn tài nguyên Sales</t>
        </is>
      </c>
    </row>
    <row r="2144">
      <c r="A2144" s="59" t="n">
        <v>969</v>
      </c>
      <c r="B2144" s="15" t="inlineStr">
        <is>
          <t>Crossroads of Georgia Cluster Dog Show</t>
        </is>
      </c>
      <c r="C2144" s="60" t="inlineStr">
        <is>
          <t>https://www.facebook.com/profile.php?id=100057074904348</t>
        </is>
      </c>
      <c r="D2144" s="9" t="inlineStr">
        <is>
          <t>Cần quét Bio Fanpage</t>
        </is>
      </c>
      <c r="E2144" s="59" t="inlineStr">
        <is>
          <t>10/05/2026 20:54:19</t>
        </is>
      </c>
      <c r="F2144" s="59" t="inlineStr">
        <is>
          <t>5 tháng trước</t>
        </is>
      </c>
      <c r="G2144" s="61" t="n">
        <v>150</v>
      </c>
      <c r="H2144" s="62" t="n">
        <v>0</v>
      </c>
      <c r="I2144" s="9" t="inlineStr">
        <is>
          <t>Pet Owner / Cộng đồng nuôi cún (10đ)</t>
        </is>
      </c>
      <c r="J2144" s="62" t="n">
        <v>10</v>
      </c>
      <c r="K2144" s="9" t="inlineStr">
        <is>
          <t>Chưa rõ giống (Cần quét Bio)</t>
        </is>
      </c>
      <c r="L2144" s="62" t="n">
        <v>0</v>
      </c>
      <c r="M2144" s="62" t="n">
        <v>0</v>
      </c>
      <c r="N2144" s="9" t="inlineStr">
        <is>
          <t>Amazon link not found</t>
        </is>
      </c>
      <c r="O2144" s="62">
        <f>IF(N2144="Selling pet toys + Artificial grass/Pet toilets (TARGET)",15,IF(N2144="Selling artificial grass/pet toilets (TARGET)",10,IF(N2144="Selling pet toys",7,IF(N2144="There's an Amazon link, but no target sales.",3,0))))</f>
        <v/>
      </c>
      <c r="P2144" s="67">
        <f>H2144+J2144+L2144+M2144+O2144</f>
        <v/>
      </c>
      <c r="Q2144" s="68">
        <f>IF(OR(H2144=0,P2144&lt;30),"Tier D (Đóng băng)",IF(P2144&gt;=85,"Tier S (Kim Cương: 85-100đ)",IF(P2144&gt;=70,"Tier A (Vàng: 70-84đ)",IF(P2144&gt;=61,"Tier B+ / Cấp A (Hot Lead: 61-69đ)",IF(P2144&gt;=50,"Tier B (Bạc: 50-60đ)","Tier C (Đồng: 30-49đ)")))))</f>
        <v/>
      </c>
      <c r="R2144" s="9" t="inlineStr">
        <is>
          <t>Khay vệ sinh chung cư (Indoor Potty) + Thảm cỏ ban công (Grass Patch) + Đồ chơi</t>
        </is>
      </c>
      <c r="S2144" s="9" t="inlineStr">
        <is>
          <t>Đóng băng tương tác (&gt;30 ngày): Lưu trữ chờ kích hoạt lại, không tốn tài nguyên Sales</t>
        </is>
      </c>
    </row>
    <row r="2145">
      <c r="A2145" s="53" t="n">
        <v>2475</v>
      </c>
      <c r="B2145" s="12" t="inlineStr">
        <is>
          <t>Petals Craft Buddies</t>
        </is>
      </c>
      <c r="C2145" s="54" t="inlineStr">
        <is>
          <t>https://www.facebook.com/profile.php?id=61586871814553</t>
        </is>
      </c>
      <c r="D2145" s="6" t="inlineStr">
        <is>
          <t>Cần quét Bio Fanpage</t>
        </is>
      </c>
      <c r="E2145" s="53" t="inlineStr">
        <is>
          <t>09/05/2026 06:56:25</t>
        </is>
      </c>
      <c r="F2145" s="53" t="inlineStr">
        <is>
          <t>5 tháng trước</t>
        </is>
      </c>
      <c r="G2145" s="55" t="n">
        <v>150</v>
      </c>
      <c r="H2145" s="56" t="n">
        <v>0</v>
      </c>
      <c r="I2145" s="6" t="inlineStr">
        <is>
          <t>Pet Owner / Cộng đồng nuôi cún (10đ)</t>
        </is>
      </c>
      <c r="J2145" s="56" t="n">
        <v>10</v>
      </c>
      <c r="K2145" s="6" t="inlineStr">
        <is>
          <t>Chưa rõ giống (Cần quét Bio)</t>
        </is>
      </c>
      <c r="L2145" s="56" t="n">
        <v>0</v>
      </c>
      <c r="M2145" s="56" t="n">
        <v>0</v>
      </c>
      <c r="N2145" s="6" t="inlineStr">
        <is>
          <t>Amazon link not found</t>
        </is>
      </c>
      <c r="O2145" s="56">
        <f>IF(N2145="Selling pet toys + Artificial grass/Pet toilets (TARGET)",15,IF(N2145="Selling artificial grass/pet toilets (TARGET)",10,IF(N2145="Selling pet toys",7,IF(N2145="There's an Amazon link, but no target sales.",3,0))))</f>
        <v/>
      </c>
      <c r="P2145" s="65">
        <f>H2145+J2145+L2145+M2145+O2145</f>
        <v/>
      </c>
      <c r="Q2145" s="68">
        <f>IF(OR(H2145=0,P2145&lt;30),"Tier D (Đóng băng)",IF(P2145&gt;=85,"Tier S (Kim Cương: 85-100đ)",IF(P2145&gt;=70,"Tier A (Vàng: 70-84đ)",IF(P2145&gt;=61,"Tier B+ / Cấp A (Hot Lead: 61-69đ)",IF(P2145&gt;=50,"Tier B (Bạc: 50-60đ)","Tier C (Đồng: 30-49đ)")))))</f>
        <v/>
      </c>
      <c r="R2145" s="6" t="inlineStr">
        <is>
          <t>Khay vệ sinh chung cư (Indoor Potty) + Thảm cỏ ban công (Grass Patch) + Đồ chơi</t>
        </is>
      </c>
      <c r="S2145" s="6" t="inlineStr">
        <is>
          <t>Đóng băng tương tác (&gt;30 ngày): Lưu trữ chờ kích hoạt lại, không tốn tài nguyên Sales</t>
        </is>
      </c>
    </row>
    <row r="2146">
      <c r="A2146" s="59" t="n">
        <v>1124</v>
      </c>
      <c r="B2146" s="15" t="inlineStr">
        <is>
          <t>Doggit App</t>
        </is>
      </c>
      <c r="C2146" s="60" t="inlineStr">
        <is>
          <t>https://www.facebook.com/doggitapp</t>
        </is>
      </c>
      <c r="D2146" s="9" t="inlineStr">
        <is>
          <t>Cần quét Bio Fanpage</t>
        </is>
      </c>
      <c r="E2146" s="59" t="inlineStr">
        <is>
          <t>08/05/2026 05:04:05</t>
        </is>
      </c>
      <c r="F2146" s="59" t="inlineStr">
        <is>
          <t>5 tháng trước</t>
        </is>
      </c>
      <c r="G2146" s="61" t="n">
        <v>150</v>
      </c>
      <c r="H2146" s="62" t="n">
        <v>0</v>
      </c>
      <c r="I2146" s="9" t="inlineStr">
        <is>
          <t>Pet Owner / Cộng đồng nuôi cún (10đ)</t>
        </is>
      </c>
      <c r="J2146" s="62" t="n">
        <v>10</v>
      </c>
      <c r="K2146" s="9" t="inlineStr">
        <is>
          <t>Chưa rõ giống (Cần quét Bio)</t>
        </is>
      </c>
      <c r="L2146" s="62" t="n">
        <v>0</v>
      </c>
      <c r="M2146" s="62" t="n">
        <v>0</v>
      </c>
      <c r="N2146" s="9" t="inlineStr">
        <is>
          <t>Amazon link not found</t>
        </is>
      </c>
      <c r="O2146" s="62">
        <f>IF(N2146="Selling pet toys + Artificial grass/Pet toilets (TARGET)",15,IF(N2146="Selling artificial grass/pet toilets (TARGET)",10,IF(N2146="Selling pet toys",7,IF(N2146="There's an Amazon link, but no target sales.",3,0))))</f>
        <v/>
      </c>
      <c r="P2146" s="67">
        <f>H2146+J2146+L2146+M2146+O2146</f>
        <v/>
      </c>
      <c r="Q2146" s="68">
        <f>IF(OR(H2146=0,P2146&lt;30),"Tier D (Đóng băng)",IF(P2146&gt;=85,"Tier S (Kim Cương: 85-100đ)",IF(P2146&gt;=70,"Tier A (Vàng: 70-84đ)",IF(P2146&gt;=61,"Tier B+ / Cấp A (Hot Lead: 61-69đ)",IF(P2146&gt;=50,"Tier B (Bạc: 50-60đ)","Tier C (Đồng: 30-49đ)")))))</f>
        <v/>
      </c>
      <c r="R2146" s="9" t="inlineStr">
        <is>
          <t>Khay vệ sinh chung cư (Indoor Potty) + Thảm cỏ ban công (Grass Patch) + Đồ chơi</t>
        </is>
      </c>
      <c r="S2146" s="9" t="inlineStr">
        <is>
          <t>Đóng băng tương tác (&gt;30 ngày): Lưu trữ chờ kích hoạt lại, không tốn tài nguyên Sales</t>
        </is>
      </c>
    </row>
    <row r="2147">
      <c r="A2147" s="53" t="n">
        <v>3458</v>
      </c>
      <c r="B2147" s="12" t="inlineStr">
        <is>
          <t>XMassBulldogs</t>
        </is>
      </c>
      <c r="C2147" s="54" t="inlineStr">
        <is>
          <t>https://www.facebook.com/xmassbulldogs</t>
        </is>
      </c>
      <c r="D2147" s="6" t="inlineStr">
        <is>
          <t>Cần quét Bio Fanpage</t>
        </is>
      </c>
      <c r="E2147" s="53" t="inlineStr">
        <is>
          <t>07/05/2026 11:18:24</t>
        </is>
      </c>
      <c r="F2147" s="53" t="inlineStr">
        <is>
          <t>5 tháng trước</t>
        </is>
      </c>
      <c r="G2147" s="55" t="n">
        <v>150</v>
      </c>
      <c r="H2147" s="56" t="n">
        <v>0</v>
      </c>
      <c r="I2147" s="6" t="inlineStr">
        <is>
          <t>Pet Owner / Cộng đồng nuôi cún (10đ)</t>
        </is>
      </c>
      <c r="J2147" s="56" t="n">
        <v>10</v>
      </c>
      <c r="K2147" s="6" t="inlineStr">
        <is>
          <t>Chưa rõ giống (Cần quét Bio)</t>
        </is>
      </c>
      <c r="L2147" s="56" t="n">
        <v>0</v>
      </c>
      <c r="M2147" s="56" t="n">
        <v>0</v>
      </c>
      <c r="N2147" s="6" t="inlineStr">
        <is>
          <t>Amazon link not found</t>
        </is>
      </c>
      <c r="O2147" s="56">
        <f>IF(N2147="Selling pet toys + Artificial grass/Pet toilets (TARGET)",15,IF(N2147="Selling artificial grass/pet toilets (TARGET)",10,IF(N2147="Selling pet toys",7,IF(N2147="There's an Amazon link, but no target sales.",3,0))))</f>
        <v/>
      </c>
      <c r="P2147" s="65">
        <f>H2147+J2147+L2147+M2147+O2147</f>
        <v/>
      </c>
      <c r="Q2147" s="68">
        <f>IF(OR(H2147=0,P2147&lt;30),"Tier D (Đóng băng)",IF(P2147&gt;=85,"Tier S (Kim Cương: 85-100đ)",IF(P2147&gt;=70,"Tier A (Vàng: 70-84đ)",IF(P2147&gt;=61,"Tier B+ / Cấp A (Hot Lead: 61-69đ)",IF(P2147&gt;=50,"Tier B (Bạc: 50-60đ)","Tier C (Đồng: 30-49đ)")))))</f>
        <v/>
      </c>
      <c r="R2147" s="6" t="inlineStr">
        <is>
          <t>Khay vệ sinh chung cư (Indoor Potty) + Thảm cỏ ban công (Grass Patch) + Đồ chơi</t>
        </is>
      </c>
      <c r="S2147" s="6" t="inlineStr">
        <is>
          <t>Đóng băng tương tác (&gt;30 ngày): Lưu trữ chờ kích hoạt lại, không tốn tài nguyên Sales</t>
        </is>
      </c>
    </row>
    <row r="2148">
      <c r="A2148" s="59" t="n">
        <v>877</v>
      </c>
      <c r="B2148" s="15" t="inlineStr">
        <is>
          <t>Chapa Long-Dog</t>
        </is>
      </c>
      <c r="C2148" s="60" t="inlineStr">
        <is>
          <t>https://www.facebook.com/chapa.longdog</t>
        </is>
      </c>
      <c r="D2148" s="9" t="inlineStr">
        <is>
          <t>Cần quét Bio Fanpage</t>
        </is>
      </c>
      <c r="E2148" s="59" t="inlineStr">
        <is>
          <t>06/05/2026 00:52:46</t>
        </is>
      </c>
      <c r="F2148" s="59" t="inlineStr">
        <is>
          <t>5 tháng trước</t>
        </is>
      </c>
      <c r="G2148" s="61" t="n">
        <v>150</v>
      </c>
      <c r="H2148" s="62" t="n">
        <v>0</v>
      </c>
      <c r="I2148" s="9" t="inlineStr">
        <is>
          <t>Pet Owner / Cộng đồng nuôi cún (10đ)</t>
        </is>
      </c>
      <c r="J2148" s="62" t="n">
        <v>10</v>
      </c>
      <c r="K2148" s="9" t="inlineStr">
        <is>
          <t>Chưa rõ giống (Cần quét Bio)</t>
        </is>
      </c>
      <c r="L2148" s="62" t="n">
        <v>0</v>
      </c>
      <c r="M2148" s="62" t="n">
        <v>0</v>
      </c>
      <c r="N2148" s="9" t="inlineStr">
        <is>
          <t>Amazon link not found</t>
        </is>
      </c>
      <c r="O2148" s="62">
        <f>IF(N2148="Selling pet toys + Artificial grass/Pet toilets (TARGET)",15,IF(N2148="Selling artificial grass/pet toilets (TARGET)",10,IF(N2148="Selling pet toys",7,IF(N2148="There's an Amazon link, but no target sales.",3,0))))</f>
        <v/>
      </c>
      <c r="P2148" s="67">
        <f>H2148+J2148+L2148+M2148+O2148</f>
        <v/>
      </c>
      <c r="Q2148" s="68">
        <f>IF(OR(H2148=0,P2148&lt;30),"Tier D (Đóng băng)",IF(P2148&gt;=85,"Tier S (Kim Cương: 85-100đ)",IF(P2148&gt;=70,"Tier A (Vàng: 70-84đ)",IF(P2148&gt;=61,"Tier B+ / Cấp A (Hot Lead: 61-69đ)",IF(P2148&gt;=50,"Tier B (Bạc: 50-60đ)","Tier C (Đồng: 30-49đ)")))))</f>
        <v/>
      </c>
      <c r="R2148" s="9" t="inlineStr">
        <is>
          <t>Khay vệ sinh chung cư (Indoor Potty) + Thảm cỏ ban công (Grass Patch) + Đồ chơi</t>
        </is>
      </c>
      <c r="S2148" s="9" t="inlineStr">
        <is>
          <t>Đóng băng tương tác (&gt;30 ngày): Lưu trữ chờ kích hoạt lại, không tốn tài nguyên Sales</t>
        </is>
      </c>
    </row>
    <row r="2149">
      <c r="A2149" s="53" t="n">
        <v>1458</v>
      </c>
      <c r="B2149" s="12" t="inlineStr">
        <is>
          <t>Fresno, CA Lost &amp; Found Pets - Dogs / Cats</t>
        </is>
      </c>
      <c r="C2149" s="54" t="inlineStr">
        <is>
          <t>https://www.facebook.com/profile.php?id=100070331558367</t>
        </is>
      </c>
      <c r="D2149" s="6" t="inlineStr">
        <is>
          <t>Cần quét Bio Fanpage</t>
        </is>
      </c>
      <c r="E2149" s="53" t="inlineStr">
        <is>
          <t>05/05/2026 06:56:38</t>
        </is>
      </c>
      <c r="F2149" s="53" t="inlineStr">
        <is>
          <t>5 tháng trước</t>
        </is>
      </c>
      <c r="G2149" s="55" t="n">
        <v>150</v>
      </c>
      <c r="H2149" s="56" t="n">
        <v>0</v>
      </c>
      <c r="I2149" s="6" t="inlineStr">
        <is>
          <t>Pet Owner / Cộng đồng nuôi cún (10đ)</t>
        </is>
      </c>
      <c r="J2149" s="56" t="n">
        <v>10</v>
      </c>
      <c r="K2149" s="6" t="inlineStr">
        <is>
          <t>Chưa rõ giống (Cần quét Bio)</t>
        </is>
      </c>
      <c r="L2149" s="56" t="n">
        <v>0</v>
      </c>
      <c r="M2149" s="56" t="n">
        <v>0</v>
      </c>
      <c r="N2149" s="6" t="inlineStr">
        <is>
          <t>Amazon link not found</t>
        </is>
      </c>
      <c r="O2149" s="56">
        <f>IF(N2149="Selling pet toys + Artificial grass/Pet toilets (TARGET)",15,IF(N2149="Selling artificial grass/pet toilets (TARGET)",10,IF(N2149="Selling pet toys",7,IF(N2149="There's an Amazon link, but no target sales.",3,0))))</f>
        <v/>
      </c>
      <c r="P2149" s="65">
        <f>H2149+J2149+L2149+M2149+O2149</f>
        <v/>
      </c>
      <c r="Q2149" s="68">
        <f>IF(OR(H2149=0,P2149&lt;30),"Tier D (Đóng băng)",IF(P2149&gt;=85,"Tier S (Kim Cương: 85-100đ)",IF(P2149&gt;=70,"Tier A (Vàng: 70-84đ)",IF(P2149&gt;=61,"Tier B+ / Cấp A (Hot Lead: 61-69đ)",IF(P2149&gt;=50,"Tier B (Bạc: 50-60đ)","Tier C (Đồng: 30-49đ)")))))</f>
        <v/>
      </c>
      <c r="R2149" s="6" t="inlineStr">
        <is>
          <t>Khay vệ sinh chung cư (Indoor Potty) + Thảm cỏ ban công (Grass Patch) + Đồ chơi</t>
        </is>
      </c>
      <c r="S2149" s="6" t="inlineStr">
        <is>
          <t>Đóng băng tương tác (&gt;30 ngày): Lưu trữ chờ kích hoạt lại, không tốn tài nguyên Sales</t>
        </is>
      </c>
    </row>
    <row r="2150">
      <c r="A2150" s="59" t="n">
        <v>423</v>
      </c>
      <c r="B2150" s="15" t="inlineStr">
        <is>
          <t>AnAn Vietnam Pet Move</t>
        </is>
      </c>
      <c r="C2150" s="60" t="inlineStr">
        <is>
          <t>https://www.facebook.com/AnAnPets</t>
        </is>
      </c>
      <c r="D2150" s="9" t="inlineStr">
        <is>
          <t>Cần quét Bio Fanpage</t>
        </is>
      </c>
      <c r="E2150" s="59" t="inlineStr">
        <is>
          <t>04/05/2026 22:30:19</t>
        </is>
      </c>
      <c r="F2150" s="59" t="inlineStr">
        <is>
          <t>5 tháng trước</t>
        </is>
      </c>
      <c r="G2150" s="61" t="n">
        <v>150</v>
      </c>
      <c r="H2150" s="62" t="n">
        <v>0</v>
      </c>
      <c r="I2150" s="9" t="inlineStr">
        <is>
          <t>Pet Owner / Cộng đồng nuôi cún (10đ)</t>
        </is>
      </c>
      <c r="J2150" s="62" t="n">
        <v>10</v>
      </c>
      <c r="K2150" s="9" t="inlineStr">
        <is>
          <t>Chưa rõ giống (Cần quét Bio)</t>
        </is>
      </c>
      <c r="L2150" s="62" t="n">
        <v>0</v>
      </c>
      <c r="M2150" s="62" t="n">
        <v>0</v>
      </c>
      <c r="N2150" s="9" t="inlineStr">
        <is>
          <t>Amazon link not found</t>
        </is>
      </c>
      <c r="O2150" s="62">
        <f>IF(N2150="Selling pet toys + Artificial grass/Pet toilets (TARGET)",15,IF(N2150="Selling artificial grass/pet toilets (TARGET)",10,IF(N2150="Selling pet toys",7,IF(N2150="There's an Amazon link, but no target sales.",3,0))))</f>
        <v/>
      </c>
      <c r="P2150" s="67">
        <f>H2150+J2150+L2150+M2150+O2150</f>
        <v/>
      </c>
      <c r="Q2150" s="68">
        <f>IF(OR(H2150=0,P2150&lt;30),"Tier D (Đóng băng)",IF(P2150&gt;=85,"Tier S (Kim Cương: 85-100đ)",IF(P2150&gt;=70,"Tier A (Vàng: 70-84đ)",IF(P2150&gt;=61,"Tier B+ / Cấp A (Hot Lead: 61-69đ)",IF(P2150&gt;=50,"Tier B (Bạc: 50-60đ)","Tier C (Đồng: 30-49đ)")))))</f>
        <v/>
      </c>
      <c r="R2150" s="9" t="inlineStr">
        <is>
          <t>Khay vệ sinh chung cư (Indoor Potty) + Thảm cỏ ban công (Grass Patch) + Đồ chơi</t>
        </is>
      </c>
      <c r="S2150" s="9" t="inlineStr">
        <is>
          <t>Đóng băng tương tác (&gt;30 ngày): Lưu trữ chờ kích hoạt lại, không tốn tài nguyên Sales</t>
        </is>
      </c>
    </row>
    <row r="2151">
      <c r="A2151" s="53" t="n">
        <v>2701</v>
      </c>
      <c r="B2151" s="12" t="inlineStr">
        <is>
          <t>Rawpetmedics</t>
        </is>
      </c>
      <c r="C2151" s="54" t="inlineStr">
        <is>
          <t>https://www.facebook.com/rawpetmedics</t>
        </is>
      </c>
      <c r="D2151" s="6" t="inlineStr">
        <is>
          <t>Cần quét Bio Fanpage</t>
        </is>
      </c>
      <c r="E2151" s="53" t="inlineStr">
        <is>
          <t>29/04/2026 00:47:11</t>
        </is>
      </c>
      <c r="F2151" s="53" t="inlineStr">
        <is>
          <t>5 tháng trước</t>
        </is>
      </c>
      <c r="G2151" s="55" t="n">
        <v>150</v>
      </c>
      <c r="H2151" s="56" t="n">
        <v>0</v>
      </c>
      <c r="I2151" s="6" t="inlineStr">
        <is>
          <t>Pet Owner / Cộng đồng nuôi cún (10đ)</t>
        </is>
      </c>
      <c r="J2151" s="56" t="n">
        <v>10</v>
      </c>
      <c r="K2151" s="6" t="inlineStr">
        <is>
          <t>Chưa rõ giống (Cần quét Bio)</t>
        </is>
      </c>
      <c r="L2151" s="56" t="n">
        <v>0</v>
      </c>
      <c r="M2151" s="56" t="n">
        <v>0</v>
      </c>
      <c r="N2151" s="6" t="inlineStr">
        <is>
          <t>Amazon link not found</t>
        </is>
      </c>
      <c r="O2151" s="56">
        <f>IF(N2151="Selling pet toys + Artificial grass/Pet toilets (TARGET)",15,IF(N2151="Selling artificial grass/pet toilets (TARGET)",10,IF(N2151="Selling pet toys",7,IF(N2151="There's an Amazon link, but no target sales.",3,0))))</f>
        <v/>
      </c>
      <c r="P2151" s="65">
        <f>H2151+J2151+L2151+M2151+O2151</f>
        <v/>
      </c>
      <c r="Q2151" s="68">
        <f>IF(OR(H2151=0,P2151&lt;30),"Tier D (Đóng băng)",IF(P2151&gt;=85,"Tier S (Kim Cương: 85-100đ)",IF(P2151&gt;=70,"Tier A (Vàng: 70-84đ)",IF(P2151&gt;=61,"Tier B+ / Cấp A (Hot Lead: 61-69đ)",IF(P2151&gt;=50,"Tier B (Bạc: 50-60đ)","Tier C (Đồng: 30-49đ)")))))</f>
        <v/>
      </c>
      <c r="R2151" s="6" t="inlineStr">
        <is>
          <t>Khay vệ sinh chung cư (Indoor Potty) + Thảm cỏ ban công (Grass Patch) + Đồ chơi</t>
        </is>
      </c>
      <c r="S2151" s="6" t="inlineStr">
        <is>
          <t>Đóng băng tương tác (&gt;30 ngày): Lưu trữ chờ kích hoạt lại, không tốn tài nguyên Sales</t>
        </is>
      </c>
    </row>
    <row r="2152">
      <c r="A2152" s="59" t="n">
        <v>2790</v>
      </c>
      <c r="B2152" s="15" t="inlineStr">
        <is>
          <t>RuckusPets</t>
        </is>
      </c>
      <c r="C2152" s="60" t="inlineStr">
        <is>
          <t>https://www.facebook.com/profile.php?id=61585358107518</t>
        </is>
      </c>
      <c r="D2152" s="9" t="inlineStr">
        <is>
          <t>Cần quét Bio Fanpage</t>
        </is>
      </c>
      <c r="E2152" s="59" t="inlineStr">
        <is>
          <t>25/04/2026 14:57:35</t>
        </is>
      </c>
      <c r="F2152" s="59" t="inlineStr">
        <is>
          <t>5 tháng trước</t>
        </is>
      </c>
      <c r="G2152" s="61" t="n">
        <v>150</v>
      </c>
      <c r="H2152" s="62" t="n">
        <v>0</v>
      </c>
      <c r="I2152" s="9" t="inlineStr">
        <is>
          <t>Pet Owner / Cộng đồng nuôi cún (10đ)</t>
        </is>
      </c>
      <c r="J2152" s="62" t="n">
        <v>10</v>
      </c>
      <c r="K2152" s="9" t="inlineStr">
        <is>
          <t>Chưa rõ giống (Cần quét Bio)</t>
        </is>
      </c>
      <c r="L2152" s="62" t="n">
        <v>0</v>
      </c>
      <c r="M2152" s="62" t="n">
        <v>0</v>
      </c>
      <c r="N2152" s="9" t="inlineStr">
        <is>
          <t>Amazon link not found</t>
        </is>
      </c>
      <c r="O2152" s="62">
        <f>IF(N2152="Selling pet toys + Artificial grass/Pet toilets (TARGET)",15,IF(N2152="Selling artificial grass/pet toilets (TARGET)",10,IF(N2152="Selling pet toys",7,IF(N2152="There's an Amazon link, but no target sales.",3,0))))</f>
        <v/>
      </c>
      <c r="P2152" s="67">
        <f>H2152+J2152+L2152+M2152+O2152</f>
        <v/>
      </c>
      <c r="Q2152" s="68">
        <f>IF(OR(H2152=0,P2152&lt;30),"Tier D (Đóng băng)",IF(P2152&gt;=85,"Tier S (Kim Cương: 85-100đ)",IF(P2152&gt;=70,"Tier A (Vàng: 70-84đ)",IF(P2152&gt;=61,"Tier B+ / Cấp A (Hot Lead: 61-69đ)",IF(P2152&gt;=50,"Tier B (Bạc: 50-60đ)","Tier C (Đồng: 30-49đ)")))))</f>
        <v/>
      </c>
      <c r="R2152" s="9" t="inlineStr">
        <is>
          <t>Khay vệ sinh chung cư (Indoor Potty) + Thảm cỏ ban công (Grass Patch) + Đồ chơi</t>
        </is>
      </c>
      <c r="S2152" s="9" t="inlineStr">
        <is>
          <t>Đóng băng tương tác (&gt;30 ngày): Lưu trữ chờ kích hoạt lại, không tốn tài nguyên Sales</t>
        </is>
      </c>
    </row>
    <row r="2153">
      <c r="A2153" s="53" t="n">
        <v>339</v>
      </c>
      <c r="B2153" s="12" t="inlineStr">
        <is>
          <t>Adaptive Vet 2 Pet</t>
        </is>
      </c>
      <c r="C2153" s="54" t="inlineStr">
        <is>
          <t>https://www.facebook.com/profile.php?id=61575628390714</t>
        </is>
      </c>
      <c r="D2153" s="6" t="inlineStr">
        <is>
          <t>Cần quét Bio Fanpage</t>
        </is>
      </c>
      <c r="E2153" s="53" t="inlineStr">
        <is>
          <t>20/04/2026 08:55:33</t>
        </is>
      </c>
      <c r="F2153" s="53" t="inlineStr">
        <is>
          <t>5 tháng trước</t>
        </is>
      </c>
      <c r="G2153" s="55" t="n">
        <v>150</v>
      </c>
      <c r="H2153" s="56" t="n">
        <v>0</v>
      </c>
      <c r="I2153" s="6" t="inlineStr">
        <is>
          <t>Pet Owner / Cộng đồng nuôi cún (10đ)</t>
        </is>
      </c>
      <c r="J2153" s="56" t="n">
        <v>10</v>
      </c>
      <c r="K2153" s="6" t="inlineStr">
        <is>
          <t>Chưa rõ giống (Cần quét Bio)</t>
        </is>
      </c>
      <c r="L2153" s="56" t="n">
        <v>0</v>
      </c>
      <c r="M2153" s="56" t="n">
        <v>0</v>
      </c>
      <c r="N2153" s="6" t="inlineStr">
        <is>
          <t>Amazon link not found</t>
        </is>
      </c>
      <c r="O2153" s="56">
        <f>IF(N2153="Selling pet toys + Artificial grass/Pet toilets (TARGET)",15,IF(N2153="Selling artificial grass/pet toilets (TARGET)",10,IF(N2153="Selling pet toys",7,IF(N2153="There's an Amazon link, but no target sales.",3,0))))</f>
        <v/>
      </c>
      <c r="P2153" s="65">
        <f>H2153+J2153+L2153+M2153+O2153</f>
        <v/>
      </c>
      <c r="Q2153" s="68">
        <f>IF(OR(H2153=0,P2153&lt;30),"Tier D (Đóng băng)",IF(P2153&gt;=85,"Tier S (Kim Cương: 85-100đ)",IF(P2153&gt;=70,"Tier A (Vàng: 70-84đ)",IF(P2153&gt;=61,"Tier B+ / Cấp A (Hot Lead: 61-69đ)",IF(P2153&gt;=50,"Tier B (Bạc: 50-60đ)","Tier C (Đồng: 30-49đ)")))))</f>
        <v/>
      </c>
      <c r="R2153" s="6" t="inlineStr">
        <is>
          <t>Khay vệ sinh chung cư (Indoor Potty) + Thảm cỏ ban công (Grass Patch) + Đồ chơi</t>
        </is>
      </c>
      <c r="S2153" s="6" t="inlineStr">
        <is>
          <t>Đóng băng tương tác (&gt;30 ngày): Lưu trữ chờ kích hoạt lại, không tốn tài nguyên Sales</t>
        </is>
      </c>
    </row>
    <row r="2154">
      <c r="A2154" s="59" t="n">
        <v>2888</v>
      </c>
      <c r="B2154" s="15" t="inlineStr">
        <is>
          <t>Show Pets Photography</t>
        </is>
      </c>
      <c r="C2154" s="60" t="inlineStr">
        <is>
          <t>https://www.facebook.com/ShowPetsPhotography</t>
        </is>
      </c>
      <c r="D2154" s="9" t="inlineStr">
        <is>
          <t>Cần quét Bio Fanpage</t>
        </is>
      </c>
      <c r="E2154" s="59" t="inlineStr">
        <is>
          <t>12/04/2026 03:44:16</t>
        </is>
      </c>
      <c r="F2154" s="59" t="inlineStr">
        <is>
          <t>6 tháng trước</t>
        </is>
      </c>
      <c r="G2154" s="61" t="n">
        <v>180</v>
      </c>
      <c r="H2154" s="62" t="n">
        <v>0</v>
      </c>
      <c r="I2154" s="9" t="inlineStr">
        <is>
          <t>Pet Owner / Cộng đồng nuôi cún (10đ)</t>
        </is>
      </c>
      <c r="J2154" s="62" t="n">
        <v>10</v>
      </c>
      <c r="K2154" s="9" t="inlineStr">
        <is>
          <t>Chưa rõ giống (Cần quét Bio)</t>
        </is>
      </c>
      <c r="L2154" s="62" t="n">
        <v>0</v>
      </c>
      <c r="M2154" s="62" t="n">
        <v>0</v>
      </c>
      <c r="N2154" s="9" t="inlineStr">
        <is>
          <t>Amazon link not found</t>
        </is>
      </c>
      <c r="O2154" s="62">
        <f>IF(N2154="Selling pet toys + Artificial grass/Pet toilets (TARGET)",15,IF(N2154="Selling artificial grass/pet toilets (TARGET)",10,IF(N2154="Selling pet toys",7,IF(N2154="There's an Amazon link, but no target sales.",3,0))))</f>
        <v/>
      </c>
      <c r="P2154" s="67">
        <f>H2154+J2154+L2154+M2154+O2154</f>
        <v/>
      </c>
      <c r="Q2154" s="68">
        <f>IF(OR(H2154=0,P2154&lt;30),"Tier D (Đóng băng)",IF(P2154&gt;=85,"Tier S (Kim Cương: 85-100đ)",IF(P2154&gt;=70,"Tier A (Vàng: 70-84đ)",IF(P2154&gt;=61,"Tier B+ / Cấp A (Hot Lead: 61-69đ)",IF(P2154&gt;=50,"Tier B (Bạc: 50-60đ)","Tier C (Đồng: 30-49đ)")))))</f>
        <v/>
      </c>
      <c r="R2154" s="9" t="inlineStr">
        <is>
          <t>Khay vệ sinh chung cư (Indoor Potty) + Thảm cỏ ban công (Grass Patch) + Đồ chơi</t>
        </is>
      </c>
      <c r="S2154" s="9" t="inlineStr">
        <is>
          <t>Đóng băng tương tác (&gt;30 ngày): Lưu trữ chờ kích hoạt lại, không tốn tài nguyên Sales</t>
        </is>
      </c>
    </row>
    <row r="2155">
      <c r="A2155" s="53" t="n">
        <v>198</v>
      </c>
      <c r="B2155" s="12" t="inlineStr">
        <is>
          <t>Jolly Pets</t>
        </is>
      </c>
      <c r="C2155" s="54" t="inlineStr">
        <is>
          <t>https://www.facebook.com/JollyPets</t>
        </is>
      </c>
      <c r="D2155" s="6" t="inlineStr">
        <is>
          <t>Cần quét Bio Fanpage</t>
        </is>
      </c>
      <c r="E2155" s="53" t="inlineStr">
        <is>
          <t>11/04/2026 02:01:20</t>
        </is>
      </c>
      <c r="F2155" s="53" t="inlineStr">
        <is>
          <t>6 tháng trước</t>
        </is>
      </c>
      <c r="G2155" s="55" t="n">
        <v>180</v>
      </c>
      <c r="H2155" s="56" t="n">
        <v>0</v>
      </c>
      <c r="I2155" s="6" t="inlineStr">
        <is>
          <t>Pet Owner / Cộng đồng nuôi cún (10đ)</t>
        </is>
      </c>
      <c r="J2155" s="56" t="n">
        <v>10</v>
      </c>
      <c r="K2155" s="6" t="inlineStr">
        <is>
          <t>Chưa rõ giống (Cần quét Bio)</t>
        </is>
      </c>
      <c r="L2155" s="56" t="n">
        <v>0</v>
      </c>
      <c r="M2155" s="56" t="n">
        <v>0</v>
      </c>
      <c r="N2155" s="6" t="inlineStr">
        <is>
          <t>Amazon link not found</t>
        </is>
      </c>
      <c r="O2155" s="56">
        <f>IF(N2155="Selling pet toys + Artificial grass/Pet toilets (TARGET)",15,IF(N2155="Selling artificial grass/pet toilets (TARGET)",10,IF(N2155="Selling pet toys",7,IF(N2155="There's an Amazon link, but no target sales.",3,0))))</f>
        <v/>
      </c>
      <c r="P2155" s="65">
        <f>H2155+J2155+L2155+M2155+O2155</f>
        <v/>
      </c>
      <c r="Q2155" s="68">
        <f>IF(OR(H2155=0,P2155&lt;30),"Tier D (Đóng băng)",IF(P2155&gt;=85,"Tier S (Kim Cương: 85-100đ)",IF(P2155&gt;=70,"Tier A (Vàng: 70-84đ)",IF(P2155&gt;=61,"Tier B+ / Cấp A (Hot Lead: 61-69đ)",IF(P2155&gt;=50,"Tier B (Bạc: 50-60đ)","Tier C (Đồng: 30-49đ)")))))</f>
        <v/>
      </c>
      <c r="R2155" s="6" t="inlineStr">
        <is>
          <t>Khay vệ sinh chung cư (Indoor Potty) + Thảm cỏ ban công (Grass Patch) + Đồ chơi</t>
        </is>
      </c>
      <c r="S2155" s="6" t="inlineStr">
        <is>
          <t>Đóng băng tương tác (&gt;30 ngày): Lưu trữ chờ kích hoạt lại, không tốn tài nguyên Sales</t>
        </is>
      </c>
    </row>
    <row r="2156">
      <c r="A2156" s="59" t="n">
        <v>1112</v>
      </c>
      <c r="B2156" s="15" t="inlineStr">
        <is>
          <t>dogadojo</t>
        </is>
      </c>
      <c r="C2156" s="60" t="inlineStr">
        <is>
          <t>https://www.facebook.com/dogadojo</t>
        </is>
      </c>
      <c r="D2156" s="9" t="inlineStr">
        <is>
          <t>Cần quét Bio Fanpage</t>
        </is>
      </c>
      <c r="E2156" s="59" t="inlineStr">
        <is>
          <t>07/04/2026 20:56:01</t>
        </is>
      </c>
      <c r="F2156" s="59" t="inlineStr">
        <is>
          <t>6 tháng trước</t>
        </is>
      </c>
      <c r="G2156" s="61" t="n">
        <v>180</v>
      </c>
      <c r="H2156" s="62" t="n">
        <v>0</v>
      </c>
      <c r="I2156" s="9" t="inlineStr">
        <is>
          <t>Pet Owner / Cộng đồng nuôi cún (10đ)</t>
        </is>
      </c>
      <c r="J2156" s="62" t="n">
        <v>10</v>
      </c>
      <c r="K2156" s="9" t="inlineStr">
        <is>
          <t>Chưa rõ giống (Cần quét Bio)</t>
        </is>
      </c>
      <c r="L2156" s="62" t="n">
        <v>0</v>
      </c>
      <c r="M2156" s="62" t="n">
        <v>0</v>
      </c>
      <c r="N2156" s="9" t="inlineStr">
        <is>
          <t>Amazon link not found</t>
        </is>
      </c>
      <c r="O2156" s="62">
        <f>IF(N2156="Selling pet toys + Artificial grass/Pet toilets (TARGET)",15,IF(N2156="Selling artificial grass/pet toilets (TARGET)",10,IF(N2156="Selling pet toys",7,IF(N2156="There's an Amazon link, but no target sales.",3,0))))</f>
        <v/>
      </c>
      <c r="P2156" s="67">
        <f>H2156+J2156+L2156+M2156+O2156</f>
        <v/>
      </c>
      <c r="Q2156" s="68">
        <f>IF(OR(H2156=0,P2156&lt;30),"Tier D (Đóng băng)",IF(P2156&gt;=85,"Tier S (Kim Cương: 85-100đ)",IF(P2156&gt;=70,"Tier A (Vàng: 70-84đ)",IF(P2156&gt;=61,"Tier B+ / Cấp A (Hot Lead: 61-69đ)",IF(P2156&gt;=50,"Tier B (Bạc: 50-60đ)","Tier C (Đồng: 30-49đ)")))))</f>
        <v/>
      </c>
      <c r="R2156" s="9" t="inlineStr">
        <is>
          <t>Khay vệ sinh chung cư (Indoor Potty) + Thảm cỏ ban công (Grass Patch) + Đồ chơi</t>
        </is>
      </c>
      <c r="S2156" s="9" t="inlineStr">
        <is>
          <t>Đóng băng tương tác (&gt;30 ngày): Lưu trữ chờ kích hoạt lại, không tốn tài nguyên Sales</t>
        </is>
      </c>
    </row>
    <row r="2157">
      <c r="A2157" s="53" t="n">
        <v>2540</v>
      </c>
      <c r="B2157" s="12" t="inlineStr">
        <is>
          <t>pets.city</t>
        </is>
      </c>
      <c r="C2157" s="54" t="inlineStr">
        <is>
          <t>https://www.facebook.com/pets.city1</t>
        </is>
      </c>
      <c r="D2157" s="6" t="inlineStr">
        <is>
          <t>Cần quét Bio Fanpage</t>
        </is>
      </c>
      <c r="E2157" s="53" t="inlineStr">
        <is>
          <t>25/03/2026 22:42:32</t>
        </is>
      </c>
      <c r="F2157" s="53" t="inlineStr">
        <is>
          <t>6 tháng trước</t>
        </is>
      </c>
      <c r="G2157" s="55" t="n">
        <v>180</v>
      </c>
      <c r="H2157" s="56" t="n">
        <v>0</v>
      </c>
      <c r="I2157" s="6" t="inlineStr">
        <is>
          <t>Pet Owner / Cộng đồng nuôi cún (10đ)</t>
        </is>
      </c>
      <c r="J2157" s="56" t="n">
        <v>10</v>
      </c>
      <c r="K2157" s="6" t="inlineStr">
        <is>
          <t>Chưa rõ giống (Cần quét Bio)</t>
        </is>
      </c>
      <c r="L2157" s="56" t="n">
        <v>0</v>
      </c>
      <c r="M2157" s="56" t="n">
        <v>0</v>
      </c>
      <c r="N2157" s="6" t="inlineStr">
        <is>
          <t>Amazon link not found</t>
        </is>
      </c>
      <c r="O2157" s="56">
        <f>IF(N2157="Selling pet toys + Artificial grass/Pet toilets (TARGET)",15,IF(N2157="Selling artificial grass/pet toilets (TARGET)",10,IF(N2157="Selling pet toys",7,IF(N2157="There's an Amazon link, but no target sales.",3,0))))</f>
        <v/>
      </c>
      <c r="P2157" s="65">
        <f>H2157+J2157+L2157+M2157+O2157</f>
        <v/>
      </c>
      <c r="Q2157" s="68">
        <f>IF(OR(H2157=0,P2157&lt;30),"Tier D (Đóng băng)",IF(P2157&gt;=85,"Tier S (Kim Cương: 85-100đ)",IF(P2157&gt;=70,"Tier A (Vàng: 70-84đ)",IF(P2157&gt;=61,"Tier B+ / Cấp A (Hot Lead: 61-69đ)",IF(P2157&gt;=50,"Tier B (Bạc: 50-60đ)","Tier C (Đồng: 30-49đ)")))))</f>
        <v/>
      </c>
      <c r="R2157" s="6" t="inlineStr">
        <is>
          <t>Khay vệ sinh chung cư (Indoor Potty) + Thảm cỏ ban công (Grass Patch) + Đồ chơi</t>
        </is>
      </c>
      <c r="S2157" s="6" t="inlineStr">
        <is>
          <t>Đóng băng tương tác (&gt;30 ngày): Lưu trữ chờ kích hoạt lại, không tốn tài nguyên Sales</t>
        </is>
      </c>
    </row>
    <row r="2158">
      <c r="A2158" s="59" t="n">
        <v>1128</v>
      </c>
      <c r="B2158" s="15" t="inlineStr">
        <is>
          <t>Doggos Doing Things</t>
        </is>
      </c>
      <c r="C2158" s="60" t="inlineStr">
        <is>
          <t>https://www.facebook.com/Doggosdoingthings</t>
        </is>
      </c>
      <c r="D2158" s="9" t="inlineStr">
        <is>
          <t>Cần quét Bio Fanpage</t>
        </is>
      </c>
      <c r="E2158" s="59" t="inlineStr">
        <is>
          <t>24/03/2026 01:47:17</t>
        </is>
      </c>
      <c r="F2158" s="59" t="inlineStr">
        <is>
          <t>6 tháng trước</t>
        </is>
      </c>
      <c r="G2158" s="61" t="n">
        <v>180</v>
      </c>
      <c r="H2158" s="62" t="n">
        <v>0</v>
      </c>
      <c r="I2158" s="9" t="inlineStr">
        <is>
          <t>Pet Owner / Cộng đồng nuôi cún (10đ)</t>
        </is>
      </c>
      <c r="J2158" s="62" t="n">
        <v>10</v>
      </c>
      <c r="K2158" s="9" t="inlineStr">
        <is>
          <t>Chưa rõ giống (Cần quét Bio)</t>
        </is>
      </c>
      <c r="L2158" s="62" t="n">
        <v>0</v>
      </c>
      <c r="M2158" s="62" t="n">
        <v>0</v>
      </c>
      <c r="N2158" s="9" t="inlineStr">
        <is>
          <t>Amazon link not found</t>
        </is>
      </c>
      <c r="O2158" s="62">
        <f>IF(N2158="Selling pet toys + Artificial grass/Pet toilets (TARGET)",15,IF(N2158="Selling artificial grass/pet toilets (TARGET)",10,IF(N2158="Selling pet toys",7,IF(N2158="There's an Amazon link, but no target sales.",3,0))))</f>
        <v/>
      </c>
      <c r="P2158" s="67">
        <f>H2158+J2158+L2158+M2158+O2158</f>
        <v/>
      </c>
      <c r="Q2158" s="68">
        <f>IF(OR(H2158=0,P2158&lt;30),"Tier D (Đóng băng)",IF(P2158&gt;=85,"Tier S (Kim Cương: 85-100đ)",IF(P2158&gt;=70,"Tier A (Vàng: 70-84đ)",IF(P2158&gt;=61,"Tier B+ / Cấp A (Hot Lead: 61-69đ)",IF(P2158&gt;=50,"Tier B (Bạc: 50-60đ)","Tier C (Đồng: 30-49đ)")))))</f>
        <v/>
      </c>
      <c r="R2158" s="9" t="inlineStr">
        <is>
          <t>Khay vệ sinh chung cư (Indoor Potty) + Thảm cỏ ban công (Grass Patch) + Đồ chơi</t>
        </is>
      </c>
      <c r="S2158" s="9" t="inlineStr">
        <is>
          <t>Đóng băng tương tác (&gt;30 ngày): Lưu trữ chờ kích hoạt lại, không tốn tài nguyên Sales</t>
        </is>
      </c>
    </row>
    <row r="2159">
      <c r="A2159" s="53" t="n">
        <v>308</v>
      </c>
      <c r="B2159" s="12" t="inlineStr">
        <is>
          <t>49th State Sled Dogs-Wade Marrs</t>
        </is>
      </c>
      <c r="C2159" s="54" t="inlineStr">
        <is>
          <t>https://www.facebook.com/49thstatesleddogs</t>
        </is>
      </c>
      <c r="D2159" s="6" t="inlineStr">
        <is>
          <t>Cần quét Bio Fanpage</t>
        </is>
      </c>
      <c r="E2159" s="53" t="inlineStr">
        <is>
          <t>21/03/2026 06:52:37</t>
        </is>
      </c>
      <c r="F2159" s="53" t="inlineStr">
        <is>
          <t>6 tháng trước</t>
        </is>
      </c>
      <c r="G2159" s="55" t="n">
        <v>180</v>
      </c>
      <c r="H2159" s="56" t="n">
        <v>0</v>
      </c>
      <c r="I2159" s="6" t="inlineStr">
        <is>
          <t>Pet Owner / Cộng đồng nuôi cún (10đ)</t>
        </is>
      </c>
      <c r="J2159" s="56" t="n">
        <v>10</v>
      </c>
      <c r="K2159" s="6" t="inlineStr">
        <is>
          <t>Chưa rõ giống (Cần quét Bio)</t>
        </is>
      </c>
      <c r="L2159" s="56" t="n">
        <v>0</v>
      </c>
      <c r="M2159" s="56" t="n">
        <v>0</v>
      </c>
      <c r="N2159" s="6" t="inlineStr">
        <is>
          <t>Amazon link not found</t>
        </is>
      </c>
      <c r="O2159" s="56">
        <f>IF(N2159="Selling pet toys + Artificial grass/Pet toilets (TARGET)",15,IF(N2159="Selling artificial grass/pet toilets (TARGET)",10,IF(N2159="Selling pet toys",7,IF(N2159="There's an Amazon link, but no target sales.",3,0))))</f>
        <v/>
      </c>
      <c r="P2159" s="65">
        <f>H2159+J2159+L2159+M2159+O2159</f>
        <v/>
      </c>
      <c r="Q2159" s="68">
        <f>IF(OR(H2159=0,P2159&lt;30),"Tier D (Đóng băng)",IF(P2159&gt;=85,"Tier S (Kim Cương: 85-100đ)",IF(P2159&gt;=70,"Tier A (Vàng: 70-84đ)",IF(P2159&gt;=61,"Tier B+ / Cấp A (Hot Lead: 61-69đ)",IF(P2159&gt;=50,"Tier B (Bạc: 50-60đ)","Tier C (Đồng: 30-49đ)")))))</f>
        <v/>
      </c>
      <c r="R2159" s="6" t="inlineStr">
        <is>
          <t>Khay vệ sinh chung cư (Indoor Potty) + Thảm cỏ ban công (Grass Patch) + Đồ chơi</t>
        </is>
      </c>
      <c r="S2159" s="6" t="inlineStr">
        <is>
          <t>Đóng băng tương tác (&gt;30 ngày): Lưu trữ chờ kích hoạt lại, không tốn tài nguyên Sales</t>
        </is>
      </c>
    </row>
    <row r="2160">
      <c r="A2160" s="59" t="n">
        <v>2527</v>
      </c>
      <c r="B2160" s="15" t="inlineStr">
        <is>
          <t>Petra Furstova Photographer</t>
        </is>
      </c>
      <c r="C2160" s="60" t="inlineStr">
        <is>
          <t>https://www.facebook.com/photographer.petrafurstova</t>
        </is>
      </c>
      <c r="D2160" s="9" t="inlineStr">
        <is>
          <t>Cần quét Bio Fanpage</t>
        </is>
      </c>
      <c r="E2160" s="59" t="inlineStr">
        <is>
          <t>15/03/2026 23:16:43</t>
        </is>
      </c>
      <c r="F2160" s="59" t="inlineStr">
        <is>
          <t>7 tháng trước</t>
        </is>
      </c>
      <c r="G2160" s="61" t="n">
        <v>210</v>
      </c>
      <c r="H2160" s="62" t="n">
        <v>0</v>
      </c>
      <c r="I2160" s="9" t="inlineStr">
        <is>
          <t>Pet Owner / Cộng đồng nuôi cún (10đ)</t>
        </is>
      </c>
      <c r="J2160" s="62" t="n">
        <v>10</v>
      </c>
      <c r="K2160" s="9" t="inlineStr">
        <is>
          <t>Chưa rõ giống (Cần quét Bio)</t>
        </is>
      </c>
      <c r="L2160" s="62" t="n">
        <v>0</v>
      </c>
      <c r="M2160" s="62" t="n">
        <v>0</v>
      </c>
      <c r="N2160" s="9" t="inlineStr">
        <is>
          <t>Amazon link not found</t>
        </is>
      </c>
      <c r="O2160" s="62">
        <f>IF(N2160="Selling pet toys + Artificial grass/Pet toilets (TARGET)",15,IF(N2160="Selling artificial grass/pet toilets (TARGET)",10,IF(N2160="Selling pet toys",7,IF(N2160="There's an Amazon link, but no target sales.",3,0))))</f>
        <v/>
      </c>
      <c r="P2160" s="67">
        <f>H2160+J2160+L2160+M2160+O2160</f>
        <v/>
      </c>
      <c r="Q2160" s="68">
        <f>IF(OR(H2160=0,P2160&lt;30),"Tier D (Đóng băng)",IF(P2160&gt;=85,"Tier S (Kim Cương: 85-100đ)",IF(P2160&gt;=70,"Tier A (Vàng: 70-84đ)",IF(P2160&gt;=61,"Tier B+ / Cấp A (Hot Lead: 61-69đ)",IF(P2160&gt;=50,"Tier B (Bạc: 50-60đ)","Tier C (Đồng: 30-49đ)")))))</f>
        <v/>
      </c>
      <c r="R2160" s="9" t="inlineStr">
        <is>
          <t>Khay vệ sinh chung cư (Indoor Potty) + Thảm cỏ ban công (Grass Patch) + Đồ chơi</t>
        </is>
      </c>
      <c r="S2160" s="9" t="inlineStr">
        <is>
          <t>Đóng băng tương tác (&gt;30 ngày): Lưu trữ chờ kích hoạt lại, không tốn tài nguyên Sales</t>
        </is>
      </c>
    </row>
    <row r="2161">
      <c r="A2161" s="53" t="n">
        <v>1479</v>
      </c>
      <c r="B2161" s="12" t="inlineStr">
        <is>
          <t>Future Service Dog Five-O</t>
        </is>
      </c>
      <c r="C2161" s="54" t="inlineStr">
        <is>
          <t>https://www.facebook.com/profile.php?id=61575035074547</t>
        </is>
      </c>
      <c r="D2161" s="6" t="inlineStr">
        <is>
          <t>Cần quét Bio Fanpage</t>
        </is>
      </c>
      <c r="E2161" s="53" t="inlineStr">
        <is>
          <t>01/03/2026 20:41:55</t>
        </is>
      </c>
      <c r="F2161" s="53" t="inlineStr">
        <is>
          <t>7 tháng trước</t>
        </is>
      </c>
      <c r="G2161" s="55" t="n">
        <v>210</v>
      </c>
      <c r="H2161" s="56" t="n">
        <v>0</v>
      </c>
      <c r="I2161" s="6" t="inlineStr">
        <is>
          <t>Pet Owner / Cộng đồng nuôi cún (10đ)</t>
        </is>
      </c>
      <c r="J2161" s="56" t="n">
        <v>10</v>
      </c>
      <c r="K2161" s="6" t="inlineStr">
        <is>
          <t>Chưa rõ giống (Cần quét Bio)</t>
        </is>
      </c>
      <c r="L2161" s="56" t="n">
        <v>0</v>
      </c>
      <c r="M2161" s="56" t="n">
        <v>0</v>
      </c>
      <c r="N2161" s="6" t="inlineStr">
        <is>
          <t>Amazon link not found</t>
        </is>
      </c>
      <c r="O2161" s="56">
        <f>IF(N2161="Selling pet toys + Artificial grass/Pet toilets (TARGET)",15,IF(N2161="Selling artificial grass/pet toilets (TARGET)",10,IF(N2161="Selling pet toys",7,IF(N2161="There's an Amazon link, but no target sales.",3,0))))</f>
        <v/>
      </c>
      <c r="P2161" s="65">
        <f>H2161+J2161+L2161+M2161+O2161</f>
        <v/>
      </c>
      <c r="Q2161" s="68">
        <f>IF(OR(H2161=0,P2161&lt;30),"Tier D (Đóng băng)",IF(P2161&gt;=85,"Tier S (Kim Cương: 85-100đ)",IF(P2161&gt;=70,"Tier A (Vàng: 70-84đ)",IF(P2161&gt;=61,"Tier B+ / Cấp A (Hot Lead: 61-69đ)",IF(P2161&gt;=50,"Tier B (Bạc: 50-60đ)","Tier C (Đồng: 30-49đ)")))))</f>
        <v/>
      </c>
      <c r="R2161" s="6" t="inlineStr">
        <is>
          <t>Khay vệ sinh chung cư (Indoor Potty) + Thảm cỏ ban công (Grass Patch) + Đồ chơi</t>
        </is>
      </c>
      <c r="S2161" s="6" t="inlineStr">
        <is>
          <t>Đóng băng tương tác (&gt;30 ngày): Lưu trữ chờ kích hoạt lại, không tốn tài nguyên Sales</t>
        </is>
      </c>
    </row>
    <row r="2162">
      <c r="A2162" s="59" t="n">
        <v>1255</v>
      </c>
      <c r="B2162" s="15" t="inlineStr">
        <is>
          <t>Dynamic Dogs Massage</t>
        </is>
      </c>
      <c r="C2162" s="60" t="inlineStr">
        <is>
          <t>https://www.facebook.com/dynamicdogsmassage</t>
        </is>
      </c>
      <c r="D2162" s="9" t="inlineStr">
        <is>
          <t>Cần quét Bio Fanpage</t>
        </is>
      </c>
      <c r="E2162" s="59" t="inlineStr">
        <is>
          <t>22/02/2026 17:36:10</t>
        </is>
      </c>
      <c r="F2162" s="59" t="inlineStr">
        <is>
          <t>7 tháng trước</t>
        </is>
      </c>
      <c r="G2162" s="61" t="n">
        <v>210</v>
      </c>
      <c r="H2162" s="62" t="n">
        <v>0</v>
      </c>
      <c r="I2162" s="9" t="inlineStr">
        <is>
          <t>Pet Owner / Cộng đồng nuôi cún (10đ)</t>
        </is>
      </c>
      <c r="J2162" s="62" t="n">
        <v>10</v>
      </c>
      <c r="K2162" s="9" t="inlineStr">
        <is>
          <t>Chưa rõ giống (Cần quét Bio)</t>
        </is>
      </c>
      <c r="L2162" s="62" t="n">
        <v>0</v>
      </c>
      <c r="M2162" s="62" t="n">
        <v>0</v>
      </c>
      <c r="N2162" s="9" t="inlineStr">
        <is>
          <t>Amazon link not found</t>
        </is>
      </c>
      <c r="O2162" s="62">
        <f>IF(N2162="Selling pet toys + Artificial grass/Pet toilets (TARGET)",15,IF(N2162="Selling artificial grass/pet toilets (TARGET)",10,IF(N2162="Selling pet toys",7,IF(N2162="There's an Amazon link, but no target sales.",3,0))))</f>
        <v/>
      </c>
      <c r="P2162" s="67">
        <f>H2162+J2162+L2162+M2162+O2162</f>
        <v/>
      </c>
      <c r="Q2162" s="68">
        <f>IF(OR(H2162=0,P2162&lt;30),"Tier D (Đóng băng)",IF(P2162&gt;=85,"Tier S (Kim Cương: 85-100đ)",IF(P2162&gt;=70,"Tier A (Vàng: 70-84đ)",IF(P2162&gt;=61,"Tier B+ / Cấp A (Hot Lead: 61-69đ)",IF(P2162&gt;=50,"Tier B (Bạc: 50-60đ)","Tier C (Đồng: 30-49đ)")))))</f>
        <v/>
      </c>
      <c r="R2162" s="9" t="inlineStr">
        <is>
          <t>Khay vệ sinh chung cư (Indoor Potty) + Thảm cỏ ban công (Grass Patch) + Đồ chơi</t>
        </is>
      </c>
      <c r="S2162" s="9" t="inlineStr">
        <is>
          <t>Đóng băng tương tác (&gt;30 ngày): Lưu trữ chờ kích hoạt lại, không tốn tài nguyên Sales</t>
        </is>
      </c>
    </row>
    <row r="2163">
      <c r="A2163" s="53" t="n">
        <v>1125</v>
      </c>
      <c r="B2163" s="12" t="inlineStr">
        <is>
          <t>Doggo</t>
        </is>
      </c>
      <c r="C2163" s="54" t="inlineStr">
        <is>
          <t>https://www.facebook.com/doggoaddicts</t>
        </is>
      </c>
      <c r="D2163" s="6" t="inlineStr">
        <is>
          <t>Cần quét Bio Fanpage</t>
        </is>
      </c>
      <c r="E2163" s="53" t="inlineStr">
        <is>
          <t>09/02/2026 23:21:31</t>
        </is>
      </c>
      <c r="F2163" s="53" t="inlineStr">
        <is>
          <t>8 tháng trước</t>
        </is>
      </c>
      <c r="G2163" s="55" t="n">
        <v>240</v>
      </c>
      <c r="H2163" s="56" t="n">
        <v>0</v>
      </c>
      <c r="I2163" s="6" t="inlineStr">
        <is>
          <t>Pet Owner / Cộng đồng nuôi cún (10đ)</t>
        </is>
      </c>
      <c r="J2163" s="56" t="n">
        <v>10</v>
      </c>
      <c r="K2163" s="6" t="inlineStr">
        <is>
          <t>Chưa rõ giống (Cần quét Bio)</t>
        </is>
      </c>
      <c r="L2163" s="56" t="n">
        <v>0</v>
      </c>
      <c r="M2163" s="56" t="n">
        <v>0</v>
      </c>
      <c r="N2163" s="6" t="inlineStr">
        <is>
          <t>Amazon link not found</t>
        </is>
      </c>
      <c r="O2163" s="56">
        <f>IF(N2163="Selling pet toys + Artificial grass/Pet toilets (TARGET)",15,IF(N2163="Selling artificial grass/pet toilets (TARGET)",10,IF(N2163="Selling pet toys",7,IF(N2163="There's an Amazon link, but no target sales.",3,0))))</f>
        <v/>
      </c>
      <c r="P2163" s="65">
        <f>H2163+J2163+L2163+M2163+O2163</f>
        <v/>
      </c>
      <c r="Q2163" s="68">
        <f>IF(OR(H2163=0,P2163&lt;30),"Tier D (Đóng băng)",IF(P2163&gt;=85,"Tier S (Kim Cương: 85-100đ)",IF(P2163&gt;=70,"Tier A (Vàng: 70-84đ)",IF(P2163&gt;=61,"Tier B+ / Cấp A (Hot Lead: 61-69đ)",IF(P2163&gt;=50,"Tier B (Bạc: 50-60đ)","Tier C (Đồng: 30-49đ)")))))</f>
        <v/>
      </c>
      <c r="R2163" s="6" t="inlineStr">
        <is>
          <t>Khay vệ sinh chung cư (Indoor Potty) + Thảm cỏ ban công (Grass Patch) + Đồ chơi</t>
        </is>
      </c>
      <c r="S2163" s="6" t="inlineStr">
        <is>
          <t>Đóng băng tương tác (&gt;30 ngày): Lưu trữ chờ kích hoạt lại, không tốn tài nguyên Sales</t>
        </is>
      </c>
    </row>
    <row r="2164">
      <c r="A2164" s="59" t="n">
        <v>1109</v>
      </c>
      <c r="B2164" s="15" t="inlineStr">
        <is>
          <t>Dog's Vagus Nerve Reset Challenge</t>
        </is>
      </c>
      <c r="C2164" s="60" t="inlineStr">
        <is>
          <t>https://www.facebook.com/profile.php?id=61575101968545</t>
        </is>
      </c>
      <c r="D2164" s="9" t="inlineStr">
        <is>
          <t>Cần quét Bio Fanpage</t>
        </is>
      </c>
      <c r="E2164" s="59" t="inlineStr">
        <is>
          <t>09/02/2026 19:18:36</t>
        </is>
      </c>
      <c r="F2164" s="59" t="inlineStr">
        <is>
          <t>8 tháng trước</t>
        </is>
      </c>
      <c r="G2164" s="61" t="n">
        <v>240</v>
      </c>
      <c r="H2164" s="62" t="n">
        <v>0</v>
      </c>
      <c r="I2164" s="9" t="inlineStr">
        <is>
          <t>Pet Owner / Cộng đồng nuôi cún (10đ)</t>
        </is>
      </c>
      <c r="J2164" s="62" t="n">
        <v>10</v>
      </c>
      <c r="K2164" s="9" t="inlineStr">
        <is>
          <t>Chưa rõ giống (Cần quét Bio)</t>
        </is>
      </c>
      <c r="L2164" s="62" t="n">
        <v>0</v>
      </c>
      <c r="M2164" s="62" t="n">
        <v>0</v>
      </c>
      <c r="N2164" s="9" t="inlineStr">
        <is>
          <t>Amazon link not found</t>
        </is>
      </c>
      <c r="O2164" s="62">
        <f>IF(N2164="Selling pet toys + Artificial grass/Pet toilets (TARGET)",15,IF(N2164="Selling artificial grass/pet toilets (TARGET)",10,IF(N2164="Selling pet toys",7,IF(N2164="There's an Amazon link, but no target sales.",3,0))))</f>
        <v/>
      </c>
      <c r="P2164" s="67">
        <f>H2164+J2164+L2164+M2164+O2164</f>
        <v/>
      </c>
      <c r="Q2164" s="68">
        <f>IF(OR(H2164=0,P2164&lt;30),"Tier D (Đóng băng)",IF(P2164&gt;=85,"Tier S (Kim Cương: 85-100đ)",IF(P2164&gt;=70,"Tier A (Vàng: 70-84đ)",IF(P2164&gt;=61,"Tier B+ / Cấp A (Hot Lead: 61-69đ)",IF(P2164&gt;=50,"Tier B (Bạc: 50-60đ)","Tier C (Đồng: 30-49đ)")))))</f>
        <v/>
      </c>
      <c r="R2164" s="9" t="inlineStr">
        <is>
          <t>Khay vệ sinh chung cư (Indoor Potty) + Thảm cỏ ban công (Grass Patch) + Đồ chơi</t>
        </is>
      </c>
      <c r="S2164" s="9" t="inlineStr">
        <is>
          <t>Đóng băng tương tác (&gt;30 ngày): Lưu trữ chờ kích hoạt lại, không tốn tài nguyên Sales</t>
        </is>
      </c>
    </row>
    <row r="2165">
      <c r="A2165" s="53" t="n">
        <v>2470</v>
      </c>
      <c r="B2165" s="12" t="inlineStr">
        <is>
          <t>PET TALK</t>
        </is>
      </c>
      <c r="C2165" s="54" t="inlineStr">
        <is>
          <t>https://www.facebook.com/profile.php?id=61586852056062</t>
        </is>
      </c>
      <c r="D2165" s="6" t="inlineStr">
        <is>
          <t>Cần quét Bio Fanpage</t>
        </is>
      </c>
      <c r="E2165" s="53" t="inlineStr">
        <is>
          <t>09/02/2026 07:36:06</t>
        </is>
      </c>
      <c r="F2165" s="53" t="inlineStr">
        <is>
          <t>8 tháng trước</t>
        </is>
      </c>
      <c r="G2165" s="55" t="n">
        <v>240</v>
      </c>
      <c r="H2165" s="56" t="n">
        <v>0</v>
      </c>
      <c r="I2165" s="6" t="inlineStr">
        <is>
          <t>Pet Owner / Cộng đồng nuôi cún (10đ)</t>
        </is>
      </c>
      <c r="J2165" s="56" t="n">
        <v>10</v>
      </c>
      <c r="K2165" s="6" t="inlineStr">
        <is>
          <t>Chưa rõ giống (Cần quét Bio)</t>
        </is>
      </c>
      <c r="L2165" s="56" t="n">
        <v>0</v>
      </c>
      <c r="M2165" s="56" t="n">
        <v>0</v>
      </c>
      <c r="N2165" s="6" t="inlineStr">
        <is>
          <t>Amazon link not found</t>
        </is>
      </c>
      <c r="O2165" s="56">
        <f>IF(N2165="Selling pet toys + Artificial grass/Pet toilets (TARGET)",15,IF(N2165="Selling artificial grass/pet toilets (TARGET)",10,IF(N2165="Selling pet toys",7,IF(N2165="There's an Amazon link, but no target sales.",3,0))))</f>
        <v/>
      </c>
      <c r="P2165" s="65">
        <f>H2165+J2165+L2165+M2165+O2165</f>
        <v/>
      </c>
      <c r="Q2165" s="68">
        <f>IF(OR(H2165=0,P2165&lt;30),"Tier D (Đóng băng)",IF(P2165&gt;=85,"Tier S (Kim Cương: 85-100đ)",IF(P2165&gt;=70,"Tier A (Vàng: 70-84đ)",IF(P2165&gt;=61,"Tier B+ / Cấp A (Hot Lead: 61-69đ)",IF(P2165&gt;=50,"Tier B (Bạc: 50-60đ)","Tier C (Đồng: 30-49đ)")))))</f>
        <v/>
      </c>
      <c r="R2165" s="6" t="inlineStr">
        <is>
          <t>Khay vệ sinh chung cư (Indoor Potty) + Thảm cỏ ban công (Grass Patch) + Đồ chơi</t>
        </is>
      </c>
      <c r="S2165" s="6" t="inlineStr">
        <is>
          <t>Đóng băng tương tác (&gt;30 ngày): Lưu trữ chờ kích hoạt lại, không tốn tài nguyên Sales</t>
        </is>
      </c>
    </row>
    <row r="2166">
      <c r="A2166" s="59" t="n">
        <v>2487</v>
      </c>
      <c r="B2166" s="15" t="inlineStr">
        <is>
          <t>Peter &amp; Dogworks</t>
        </is>
      </c>
      <c r="C2166" s="60" t="inlineStr">
        <is>
          <t>https://www.facebook.com/peterdogworks</t>
        </is>
      </c>
      <c r="D2166" s="9" t="inlineStr">
        <is>
          <t>Cần quét Bio Fanpage</t>
        </is>
      </c>
      <c r="E2166" s="59" t="inlineStr">
        <is>
          <t>09/02/2026 00:53:11</t>
        </is>
      </c>
      <c r="F2166" s="59" t="inlineStr">
        <is>
          <t>8 tháng trước</t>
        </is>
      </c>
      <c r="G2166" s="61" t="n">
        <v>240</v>
      </c>
      <c r="H2166" s="62" t="n">
        <v>0</v>
      </c>
      <c r="I2166" s="9" t="inlineStr">
        <is>
          <t>Pet Owner / Cộng đồng nuôi cún (10đ)</t>
        </is>
      </c>
      <c r="J2166" s="62" t="n">
        <v>10</v>
      </c>
      <c r="K2166" s="9" t="inlineStr">
        <is>
          <t>Chưa rõ giống (Cần quét Bio)</t>
        </is>
      </c>
      <c r="L2166" s="62" t="n">
        <v>0</v>
      </c>
      <c r="M2166" s="62" t="n">
        <v>0</v>
      </c>
      <c r="N2166" s="9" t="inlineStr">
        <is>
          <t>Amazon link not found</t>
        </is>
      </c>
      <c r="O2166" s="62">
        <f>IF(N2166="Selling pet toys + Artificial grass/Pet toilets (TARGET)",15,IF(N2166="Selling artificial grass/pet toilets (TARGET)",10,IF(N2166="Selling pet toys",7,IF(N2166="There's an Amazon link, but no target sales.",3,0))))</f>
        <v/>
      </c>
      <c r="P2166" s="67">
        <f>H2166+J2166+L2166+M2166+O2166</f>
        <v/>
      </c>
      <c r="Q2166" s="68">
        <f>IF(OR(H2166=0,P2166&lt;30),"Tier D (Đóng băng)",IF(P2166&gt;=85,"Tier S (Kim Cương: 85-100đ)",IF(P2166&gt;=70,"Tier A (Vàng: 70-84đ)",IF(P2166&gt;=61,"Tier B+ / Cấp A (Hot Lead: 61-69đ)",IF(P2166&gt;=50,"Tier B (Bạc: 50-60đ)","Tier C (Đồng: 30-49đ)")))))</f>
        <v/>
      </c>
      <c r="R2166" s="9" t="inlineStr">
        <is>
          <t>Khay vệ sinh chung cư (Indoor Potty) + Thảm cỏ ban công (Grass Patch) + Đồ chơi</t>
        </is>
      </c>
      <c r="S2166" s="9" t="inlineStr">
        <is>
          <t>Đóng băng tương tác (&gt;30 ngày): Lưu trữ chờ kích hoạt lại, không tốn tài nguyên Sales</t>
        </is>
      </c>
    </row>
    <row r="2167">
      <c r="A2167" s="53" t="n">
        <v>2112</v>
      </c>
      <c r="B2167" s="12" t="inlineStr">
        <is>
          <t>MALUV For Pets</t>
        </is>
      </c>
      <c r="C2167" s="54" t="inlineStr">
        <is>
          <t>https://www.facebook.com/sklep.maluvforpets</t>
        </is>
      </c>
      <c r="D2167" s="6" t="inlineStr">
        <is>
          <t>Cần quét Bio Fanpage</t>
        </is>
      </c>
      <c r="E2167" s="53" t="inlineStr">
        <is>
          <t>31/01/2026 20:00:48</t>
        </is>
      </c>
      <c r="F2167" s="53" t="inlineStr">
        <is>
          <t>8 tháng trước</t>
        </is>
      </c>
      <c r="G2167" s="55" t="n">
        <v>240</v>
      </c>
      <c r="H2167" s="56" t="n">
        <v>0</v>
      </c>
      <c r="I2167" s="6" t="inlineStr">
        <is>
          <t>Pet Owner / Cộng đồng nuôi cún (10đ)</t>
        </is>
      </c>
      <c r="J2167" s="56" t="n">
        <v>10</v>
      </c>
      <c r="K2167" s="6" t="inlineStr">
        <is>
          <t>Chưa rõ giống (Cần quét Bio)</t>
        </is>
      </c>
      <c r="L2167" s="56" t="n">
        <v>0</v>
      </c>
      <c r="M2167" s="56" t="n">
        <v>0</v>
      </c>
      <c r="N2167" s="6" t="inlineStr">
        <is>
          <t>Amazon link not found</t>
        </is>
      </c>
      <c r="O2167" s="56">
        <f>IF(N2167="Selling pet toys + Artificial grass/Pet toilets (TARGET)",15,IF(N2167="Selling artificial grass/pet toilets (TARGET)",10,IF(N2167="Selling pet toys",7,IF(N2167="There's an Amazon link, but no target sales.",3,0))))</f>
        <v/>
      </c>
      <c r="P2167" s="65">
        <f>H2167+J2167+L2167+M2167+O2167</f>
        <v/>
      </c>
      <c r="Q2167" s="68">
        <f>IF(OR(H2167=0,P2167&lt;30),"Tier D (Đóng băng)",IF(P2167&gt;=85,"Tier S (Kim Cương: 85-100đ)",IF(P2167&gt;=70,"Tier A (Vàng: 70-84đ)",IF(P2167&gt;=61,"Tier B+ / Cấp A (Hot Lead: 61-69đ)",IF(P2167&gt;=50,"Tier B (Bạc: 50-60đ)","Tier C (Đồng: 30-49đ)")))))</f>
        <v/>
      </c>
      <c r="R2167" s="6" t="inlineStr">
        <is>
          <t>Khay vệ sinh chung cư (Indoor Potty) + Thảm cỏ ban công (Grass Patch) + Đồ chơi</t>
        </is>
      </c>
      <c r="S2167" s="6" t="inlineStr">
        <is>
          <t>Đóng băng tương tác (&gt;30 ngày): Lưu trữ chờ kích hoạt lại, không tốn tài nguyên Sales</t>
        </is>
      </c>
    </row>
    <row r="2168">
      <c r="A2168" s="59" t="n">
        <v>2907</v>
      </c>
      <c r="B2168" s="15" t="inlineStr">
        <is>
          <t>SimplyBullies</t>
        </is>
      </c>
      <c r="C2168" s="60" t="inlineStr">
        <is>
          <t>https://www.facebook.com/profile.php?id=61566866291688</t>
        </is>
      </c>
      <c r="D2168" s="9" t="inlineStr">
        <is>
          <t>Cần quét Bio Fanpage</t>
        </is>
      </c>
      <c r="E2168" s="59" t="inlineStr">
        <is>
          <t>27/01/2026 12:28:56</t>
        </is>
      </c>
      <c r="F2168" s="59" t="inlineStr">
        <is>
          <t>8 tháng trước</t>
        </is>
      </c>
      <c r="G2168" s="61" t="n">
        <v>240</v>
      </c>
      <c r="H2168" s="62" t="n">
        <v>0</v>
      </c>
      <c r="I2168" s="9" t="inlineStr">
        <is>
          <t>Pet Owner / Cộng đồng nuôi cún (10đ)</t>
        </is>
      </c>
      <c r="J2168" s="62" t="n">
        <v>10</v>
      </c>
      <c r="K2168" s="9" t="inlineStr">
        <is>
          <t>Chưa rõ giống (Cần quét Bio)</t>
        </is>
      </c>
      <c r="L2168" s="62" t="n">
        <v>0</v>
      </c>
      <c r="M2168" s="62" t="n">
        <v>0</v>
      </c>
      <c r="N2168" s="9" t="inlineStr">
        <is>
          <t>Amazon link not found</t>
        </is>
      </c>
      <c r="O2168" s="62">
        <f>IF(N2168="Selling pet toys + Artificial grass/Pet toilets (TARGET)",15,IF(N2168="Selling artificial grass/pet toilets (TARGET)",10,IF(N2168="Selling pet toys",7,IF(N2168="There's an Amazon link, but no target sales.",3,0))))</f>
        <v/>
      </c>
      <c r="P2168" s="67">
        <f>H2168+J2168+L2168+M2168+O2168</f>
        <v/>
      </c>
      <c r="Q2168" s="68">
        <f>IF(OR(H2168=0,P2168&lt;30),"Tier D (Đóng băng)",IF(P2168&gt;=85,"Tier S (Kim Cương: 85-100đ)",IF(P2168&gt;=70,"Tier A (Vàng: 70-84đ)",IF(P2168&gt;=61,"Tier B+ / Cấp A (Hot Lead: 61-69đ)",IF(P2168&gt;=50,"Tier B (Bạc: 50-60đ)","Tier C (Đồng: 30-49đ)")))))</f>
        <v/>
      </c>
      <c r="R2168" s="9" t="inlineStr">
        <is>
          <t>Khay vệ sinh chung cư (Indoor Potty) + Thảm cỏ ban công (Grass Patch) + Đồ chơi</t>
        </is>
      </c>
      <c r="S2168" s="9" t="inlineStr">
        <is>
          <t>Đóng băng tương tác (&gt;30 ngày): Lưu trữ chờ kích hoạt lại, không tốn tài nguyên Sales</t>
        </is>
      </c>
    </row>
    <row r="2169">
      <c r="A2169" s="53" t="n">
        <v>2257</v>
      </c>
      <c r="B2169" s="12" t="inlineStr">
        <is>
          <t>NaspiBulldogs</t>
        </is>
      </c>
      <c r="C2169" s="54" t="inlineStr">
        <is>
          <t>https://www.facebook.com/NaspiBulldogs</t>
        </is>
      </c>
      <c r="D2169" s="6" t="inlineStr">
        <is>
          <t>Cần quét Bio Fanpage</t>
        </is>
      </c>
      <c r="E2169" s="53" t="inlineStr">
        <is>
          <t>13/01/2026 22:09:49</t>
        </is>
      </c>
      <c r="F2169" s="53" t="inlineStr">
        <is>
          <t>9 tháng trước</t>
        </is>
      </c>
      <c r="G2169" s="55" t="n">
        <v>270</v>
      </c>
      <c r="H2169" s="56" t="n">
        <v>0</v>
      </c>
      <c r="I2169" s="6" t="inlineStr">
        <is>
          <t>Pet Owner / Cộng đồng nuôi cún (10đ)</t>
        </is>
      </c>
      <c r="J2169" s="56" t="n">
        <v>10</v>
      </c>
      <c r="K2169" s="6" t="inlineStr">
        <is>
          <t>Chưa rõ giống (Cần quét Bio)</t>
        </is>
      </c>
      <c r="L2169" s="56" t="n">
        <v>0</v>
      </c>
      <c r="M2169" s="56" t="n">
        <v>0</v>
      </c>
      <c r="N2169" s="6" t="inlineStr">
        <is>
          <t>Amazon link not found</t>
        </is>
      </c>
      <c r="O2169" s="56">
        <f>IF(N2169="Selling pet toys + Artificial grass/Pet toilets (TARGET)",15,IF(N2169="Selling artificial grass/pet toilets (TARGET)",10,IF(N2169="Selling pet toys",7,IF(N2169="There's an Amazon link, but no target sales.",3,0))))</f>
        <v/>
      </c>
      <c r="P2169" s="65">
        <f>H2169+J2169+L2169+M2169+O2169</f>
        <v/>
      </c>
      <c r="Q2169" s="68">
        <f>IF(OR(H2169=0,P2169&lt;30),"Tier D (Đóng băng)",IF(P2169&gt;=85,"Tier S (Kim Cương: 85-100đ)",IF(P2169&gt;=70,"Tier A (Vàng: 70-84đ)",IF(P2169&gt;=61,"Tier B+ / Cấp A (Hot Lead: 61-69đ)",IF(P2169&gt;=50,"Tier B (Bạc: 50-60đ)","Tier C (Đồng: 30-49đ)")))))</f>
        <v/>
      </c>
      <c r="R2169" s="6" t="inlineStr">
        <is>
          <t>Khay vệ sinh chung cư (Indoor Potty) + Thảm cỏ ban công (Grass Patch) + Đồ chơi</t>
        </is>
      </c>
      <c r="S2169" s="6" t="inlineStr">
        <is>
          <t>Đóng băng tương tác (&gt;30 ngày): Lưu trữ chờ kích hoạt lại, không tốn tài nguyên Sales</t>
        </is>
      </c>
    </row>
    <row r="2170">
      <c r="A2170" s="59" t="n">
        <v>727</v>
      </c>
      <c r="B2170" s="15" t="inlineStr">
        <is>
          <t>Bordeauxdoggen "of Royal Aces"</t>
        </is>
      </c>
      <c r="C2170" s="60" t="inlineStr">
        <is>
          <t>https://www.facebook.com/Bordeauxdoggenzucht</t>
        </is>
      </c>
      <c r="D2170" s="9" t="inlineStr">
        <is>
          <t>Cần quét Bio Fanpage</t>
        </is>
      </c>
      <c r="E2170" s="59" t="inlineStr">
        <is>
          <t>06/01/2026 18:42:35</t>
        </is>
      </c>
      <c r="F2170" s="59" t="inlineStr">
        <is>
          <t>9 tháng trước</t>
        </is>
      </c>
      <c r="G2170" s="61" t="n">
        <v>270</v>
      </c>
      <c r="H2170" s="62" t="n">
        <v>0</v>
      </c>
      <c r="I2170" s="9" t="inlineStr">
        <is>
          <t>Pet Owner / Cộng đồng nuôi cún (10đ)</t>
        </is>
      </c>
      <c r="J2170" s="62" t="n">
        <v>10</v>
      </c>
      <c r="K2170" s="9" t="inlineStr">
        <is>
          <t>Chưa rõ giống (Cần quét Bio)</t>
        </is>
      </c>
      <c r="L2170" s="62" t="n">
        <v>0</v>
      </c>
      <c r="M2170" s="62" t="n">
        <v>0</v>
      </c>
      <c r="N2170" s="9" t="inlineStr">
        <is>
          <t>Amazon link not found</t>
        </is>
      </c>
      <c r="O2170" s="62">
        <f>IF(N2170="Selling pet toys + Artificial grass/Pet toilets (TARGET)",15,IF(N2170="Selling artificial grass/pet toilets (TARGET)",10,IF(N2170="Selling pet toys",7,IF(N2170="There's an Amazon link, but no target sales.",3,0))))</f>
        <v/>
      </c>
      <c r="P2170" s="67">
        <f>H2170+J2170+L2170+M2170+O2170</f>
        <v/>
      </c>
      <c r="Q2170" s="68">
        <f>IF(OR(H2170=0,P2170&lt;30),"Tier D (Đóng băng)",IF(P2170&gt;=85,"Tier S (Kim Cương: 85-100đ)",IF(P2170&gt;=70,"Tier A (Vàng: 70-84đ)",IF(P2170&gt;=61,"Tier B+ / Cấp A (Hot Lead: 61-69đ)",IF(P2170&gt;=50,"Tier B (Bạc: 50-60đ)","Tier C (Đồng: 30-49đ)")))))</f>
        <v/>
      </c>
      <c r="R2170" s="9" t="inlineStr">
        <is>
          <t>Khay vệ sinh chung cư (Indoor Potty) + Thảm cỏ ban công (Grass Patch) + Đồ chơi</t>
        </is>
      </c>
      <c r="S2170" s="9" t="inlineStr">
        <is>
          <t>Đóng băng tương tác (&gt;30 ngày): Lưu trữ chờ kích hoạt lại, không tốn tài nguyên Sales</t>
        </is>
      </c>
    </row>
    <row r="2171">
      <c r="A2171" s="53" t="n">
        <v>2890</v>
      </c>
      <c r="B2171" s="12" t="inlineStr">
        <is>
          <t>Shubie Park Dog Off Leash Area</t>
        </is>
      </c>
      <c r="C2171" s="54" t="inlineStr">
        <is>
          <t>https://www.facebook.com/ShubiePark</t>
        </is>
      </c>
      <c r="D2171" s="6" t="inlineStr">
        <is>
          <t>Cần quét Bio Fanpage</t>
        </is>
      </c>
      <c r="E2171" s="53" t="inlineStr">
        <is>
          <t>04/01/2026 21:17:02</t>
        </is>
      </c>
      <c r="F2171" s="53" t="inlineStr">
        <is>
          <t>9 tháng trước</t>
        </is>
      </c>
      <c r="G2171" s="55" t="n">
        <v>270</v>
      </c>
      <c r="H2171" s="56" t="n">
        <v>0</v>
      </c>
      <c r="I2171" s="6" t="inlineStr">
        <is>
          <t>Pet Owner / Cộng đồng nuôi cún (10đ)</t>
        </is>
      </c>
      <c r="J2171" s="56" t="n">
        <v>10</v>
      </c>
      <c r="K2171" s="6" t="inlineStr">
        <is>
          <t>Chưa rõ giống (Cần quét Bio)</t>
        </is>
      </c>
      <c r="L2171" s="56" t="n">
        <v>0</v>
      </c>
      <c r="M2171" s="56" t="n">
        <v>0</v>
      </c>
      <c r="N2171" s="6" t="inlineStr">
        <is>
          <t>Amazon link not found</t>
        </is>
      </c>
      <c r="O2171" s="56">
        <f>IF(N2171="Selling pet toys + Artificial grass/Pet toilets (TARGET)",15,IF(N2171="Selling artificial grass/pet toilets (TARGET)",10,IF(N2171="Selling pet toys",7,IF(N2171="There's an Amazon link, but no target sales.",3,0))))</f>
        <v/>
      </c>
      <c r="P2171" s="65">
        <f>H2171+J2171+L2171+M2171+O2171</f>
        <v/>
      </c>
      <c r="Q2171" s="68">
        <f>IF(OR(H2171=0,P2171&lt;30),"Tier D (Đóng băng)",IF(P2171&gt;=85,"Tier S (Kim Cương: 85-100đ)",IF(P2171&gt;=70,"Tier A (Vàng: 70-84đ)",IF(P2171&gt;=61,"Tier B+ / Cấp A (Hot Lead: 61-69đ)",IF(P2171&gt;=50,"Tier B (Bạc: 50-60đ)","Tier C (Đồng: 30-49đ)")))))</f>
        <v/>
      </c>
      <c r="R2171" s="6" t="inlineStr">
        <is>
          <t>Khay vệ sinh chung cư (Indoor Potty) + Thảm cỏ ban công (Grass Patch) + Đồ chơi</t>
        </is>
      </c>
      <c r="S2171" s="6" t="inlineStr">
        <is>
          <t>Đóng băng tương tác (&gt;30 ngày): Lưu trữ chờ kích hoạt lại, không tốn tài nguyên Sales</t>
        </is>
      </c>
    </row>
    <row r="2172">
      <c r="A2172" s="59" t="n">
        <v>729</v>
      </c>
      <c r="B2172" s="15" t="inlineStr">
        <is>
          <t>Bordeauxdoggen.de Liebe &amp; Leidenschaft</t>
        </is>
      </c>
      <c r="C2172" s="60" t="inlineStr">
        <is>
          <t>https://www.facebook.com/profile.php?id=100063472145543</t>
        </is>
      </c>
      <c r="D2172" s="9" t="inlineStr">
        <is>
          <t>Cần quét Bio Fanpage</t>
        </is>
      </c>
      <c r="E2172" s="59" t="inlineStr">
        <is>
          <t>27/12/2025 22:35:20</t>
        </is>
      </c>
      <c r="F2172" s="59" t="inlineStr">
        <is>
          <t>9 tháng trước</t>
        </is>
      </c>
      <c r="G2172" s="61" t="n">
        <v>270</v>
      </c>
      <c r="H2172" s="62" t="n">
        <v>0</v>
      </c>
      <c r="I2172" s="9" t="inlineStr">
        <is>
          <t>Pet Owner / Cộng đồng nuôi cún (10đ)</t>
        </is>
      </c>
      <c r="J2172" s="62" t="n">
        <v>10</v>
      </c>
      <c r="K2172" s="9" t="inlineStr">
        <is>
          <t>Chưa rõ giống (Cần quét Bio)</t>
        </is>
      </c>
      <c r="L2172" s="62" t="n">
        <v>0</v>
      </c>
      <c r="M2172" s="62" t="n">
        <v>0</v>
      </c>
      <c r="N2172" s="9" t="inlineStr">
        <is>
          <t>Amazon link not found</t>
        </is>
      </c>
      <c r="O2172" s="62">
        <f>IF(N2172="Selling pet toys + Artificial grass/Pet toilets (TARGET)",15,IF(N2172="Selling artificial grass/pet toilets (TARGET)",10,IF(N2172="Selling pet toys",7,IF(N2172="There's an Amazon link, but no target sales.",3,0))))</f>
        <v/>
      </c>
      <c r="P2172" s="67">
        <f>H2172+J2172+L2172+M2172+O2172</f>
        <v/>
      </c>
      <c r="Q2172" s="68">
        <f>IF(OR(H2172=0,P2172&lt;30),"Tier D (Đóng băng)",IF(P2172&gt;=85,"Tier S (Kim Cương: 85-100đ)",IF(P2172&gt;=70,"Tier A (Vàng: 70-84đ)",IF(P2172&gt;=61,"Tier B+ / Cấp A (Hot Lead: 61-69đ)",IF(P2172&gt;=50,"Tier B (Bạc: 50-60đ)","Tier C (Đồng: 30-49đ)")))))</f>
        <v/>
      </c>
      <c r="R2172" s="9" t="inlineStr">
        <is>
          <t>Khay vệ sinh chung cư (Indoor Potty) + Thảm cỏ ban công (Grass Patch) + Đồ chơi</t>
        </is>
      </c>
      <c r="S2172" s="9" t="inlineStr">
        <is>
          <t>Đóng băng tương tác (&gt;30 ngày): Lưu trữ chờ kích hoạt lại, không tốn tài nguyên Sales</t>
        </is>
      </c>
    </row>
    <row r="2173">
      <c r="A2173" s="53" t="n">
        <v>1601</v>
      </c>
      <c r="B2173" s="12" t="inlineStr">
        <is>
          <t>HannahTheMountainDog</t>
        </is>
      </c>
      <c r="C2173" s="54" t="inlineStr">
        <is>
          <t>https://www.facebook.com/HannahTheMountainDog</t>
        </is>
      </c>
      <c r="D2173" s="6" t="inlineStr">
        <is>
          <t>Cần quét Bio Fanpage</t>
        </is>
      </c>
      <c r="E2173" s="53" t="inlineStr">
        <is>
          <t>25/12/2025 02:21:09</t>
        </is>
      </c>
      <c r="F2173" s="53" t="inlineStr">
        <is>
          <t>9 tháng trước</t>
        </is>
      </c>
      <c r="G2173" s="55" t="n">
        <v>270</v>
      </c>
      <c r="H2173" s="56" t="n">
        <v>0</v>
      </c>
      <c r="I2173" s="6" t="inlineStr">
        <is>
          <t>Pet Owner / Cộng đồng nuôi cún (10đ)</t>
        </is>
      </c>
      <c r="J2173" s="56" t="n">
        <v>10</v>
      </c>
      <c r="K2173" s="6" t="inlineStr">
        <is>
          <t>Chưa rõ giống (Cần quét Bio)</t>
        </is>
      </c>
      <c r="L2173" s="56" t="n">
        <v>0</v>
      </c>
      <c r="M2173" s="56" t="n">
        <v>0</v>
      </c>
      <c r="N2173" s="6" t="inlineStr">
        <is>
          <t>Amazon link not found</t>
        </is>
      </c>
      <c r="O2173" s="56">
        <f>IF(N2173="Selling pet toys + Artificial grass/Pet toilets (TARGET)",15,IF(N2173="Selling artificial grass/pet toilets (TARGET)",10,IF(N2173="Selling pet toys",7,IF(N2173="There's an Amazon link, but no target sales.",3,0))))</f>
        <v/>
      </c>
      <c r="P2173" s="65">
        <f>H2173+J2173+L2173+M2173+O2173</f>
        <v/>
      </c>
      <c r="Q2173" s="68">
        <f>IF(OR(H2173=0,P2173&lt;30),"Tier D (Đóng băng)",IF(P2173&gt;=85,"Tier S (Kim Cương: 85-100đ)",IF(P2173&gt;=70,"Tier A (Vàng: 70-84đ)",IF(P2173&gt;=61,"Tier B+ / Cấp A (Hot Lead: 61-69đ)",IF(P2173&gt;=50,"Tier B (Bạc: 50-60đ)","Tier C (Đồng: 30-49đ)")))))</f>
        <v/>
      </c>
      <c r="R2173" s="6" t="inlineStr">
        <is>
          <t>Khay vệ sinh chung cư (Indoor Potty) + Thảm cỏ ban công (Grass Patch) + Đồ chơi</t>
        </is>
      </c>
      <c r="S2173" s="6" t="inlineStr">
        <is>
          <t>Đóng băng tương tác (&gt;30 ngày): Lưu trữ chờ kích hoạt lại, không tốn tài nguyên Sales</t>
        </is>
      </c>
    </row>
    <row r="2174">
      <c r="A2174" s="59" t="n">
        <v>2905</v>
      </c>
      <c r="B2174" s="15" t="inlineStr">
        <is>
          <t>Simone Pileci - dog&amp;motion</t>
        </is>
      </c>
      <c r="C2174" s="60" t="inlineStr">
        <is>
          <t>https://www.facebook.com/m1.mone</t>
        </is>
      </c>
      <c r="D2174" s="9" t="inlineStr">
        <is>
          <t>Cần quét Bio Fanpage</t>
        </is>
      </c>
      <c r="E2174" s="59" t="inlineStr">
        <is>
          <t>25/12/2025 01:00:05</t>
        </is>
      </c>
      <c r="F2174" s="59" t="inlineStr">
        <is>
          <t>9 tháng trước</t>
        </is>
      </c>
      <c r="G2174" s="61" t="n">
        <v>270</v>
      </c>
      <c r="H2174" s="62" t="n">
        <v>0</v>
      </c>
      <c r="I2174" s="9" t="inlineStr">
        <is>
          <t>Pet Owner / Cộng đồng nuôi cún (10đ)</t>
        </is>
      </c>
      <c r="J2174" s="62" t="n">
        <v>10</v>
      </c>
      <c r="K2174" s="9" t="inlineStr">
        <is>
          <t>Chưa rõ giống (Cần quét Bio)</t>
        </is>
      </c>
      <c r="L2174" s="62" t="n">
        <v>0</v>
      </c>
      <c r="M2174" s="62" t="n">
        <v>0</v>
      </c>
      <c r="N2174" s="9" t="inlineStr">
        <is>
          <t>Amazon link not found</t>
        </is>
      </c>
      <c r="O2174" s="62">
        <f>IF(N2174="Selling pet toys + Artificial grass/Pet toilets (TARGET)",15,IF(N2174="Selling artificial grass/pet toilets (TARGET)",10,IF(N2174="Selling pet toys",7,IF(N2174="There's an Amazon link, but no target sales.",3,0))))</f>
        <v/>
      </c>
      <c r="P2174" s="67">
        <f>H2174+J2174+L2174+M2174+O2174</f>
        <v/>
      </c>
      <c r="Q2174" s="68">
        <f>IF(OR(H2174=0,P2174&lt;30),"Tier D (Đóng băng)",IF(P2174&gt;=85,"Tier S (Kim Cương: 85-100đ)",IF(P2174&gt;=70,"Tier A (Vàng: 70-84đ)",IF(P2174&gt;=61,"Tier B+ / Cấp A (Hot Lead: 61-69đ)",IF(P2174&gt;=50,"Tier B (Bạc: 50-60đ)","Tier C (Đồng: 30-49đ)")))))</f>
        <v/>
      </c>
      <c r="R2174" s="9" t="inlineStr">
        <is>
          <t>Khay vệ sinh chung cư (Indoor Potty) + Thảm cỏ ban công (Grass Patch) + Đồ chơi</t>
        </is>
      </c>
      <c r="S2174" s="9" t="inlineStr">
        <is>
          <t>Đóng băng tương tác (&gt;30 ngày): Lưu trữ chờ kích hoạt lại, không tốn tài nguyên Sales</t>
        </is>
      </c>
    </row>
    <row r="2175">
      <c r="A2175" s="53" t="n">
        <v>1099</v>
      </c>
      <c r="B2175" s="12" t="inlineStr">
        <is>
          <t>Dog Show San Marino</t>
        </is>
      </c>
      <c r="C2175" s="54" t="inlineStr">
        <is>
          <t>https://www.facebook.com/dogshowsanmarino</t>
        </is>
      </c>
      <c r="D2175" s="6" t="inlineStr">
        <is>
          <t>Cần quét Bio Fanpage</t>
        </is>
      </c>
      <c r="E2175" s="53" t="inlineStr">
        <is>
          <t>24/12/2025 20:23:12</t>
        </is>
      </c>
      <c r="F2175" s="53" t="inlineStr">
        <is>
          <t>9 tháng trước</t>
        </is>
      </c>
      <c r="G2175" s="55" t="n">
        <v>270</v>
      </c>
      <c r="H2175" s="56" t="n">
        <v>0</v>
      </c>
      <c r="I2175" s="6" t="inlineStr">
        <is>
          <t>Pet Owner / Cộng đồng nuôi cún (10đ)</t>
        </is>
      </c>
      <c r="J2175" s="56" t="n">
        <v>10</v>
      </c>
      <c r="K2175" s="6" t="inlineStr">
        <is>
          <t>Chưa rõ giống (Cần quét Bio)</t>
        </is>
      </c>
      <c r="L2175" s="56" t="n">
        <v>0</v>
      </c>
      <c r="M2175" s="56" t="n">
        <v>0</v>
      </c>
      <c r="N2175" s="6" t="inlineStr">
        <is>
          <t>Amazon link not found</t>
        </is>
      </c>
      <c r="O2175" s="56">
        <f>IF(N2175="Selling pet toys + Artificial grass/Pet toilets (TARGET)",15,IF(N2175="Selling artificial grass/pet toilets (TARGET)",10,IF(N2175="Selling pet toys",7,IF(N2175="There's an Amazon link, but no target sales.",3,0))))</f>
        <v/>
      </c>
      <c r="P2175" s="65">
        <f>H2175+J2175+L2175+M2175+O2175</f>
        <v/>
      </c>
      <c r="Q2175" s="68">
        <f>IF(OR(H2175=0,P2175&lt;30),"Tier D (Đóng băng)",IF(P2175&gt;=85,"Tier S (Kim Cương: 85-100đ)",IF(P2175&gt;=70,"Tier A (Vàng: 70-84đ)",IF(P2175&gt;=61,"Tier B+ / Cấp A (Hot Lead: 61-69đ)",IF(P2175&gt;=50,"Tier B (Bạc: 50-60đ)","Tier C (Đồng: 30-49đ)")))))</f>
        <v/>
      </c>
      <c r="R2175" s="6" t="inlineStr">
        <is>
          <t>Khay vệ sinh chung cư (Indoor Potty) + Thảm cỏ ban công (Grass Patch) + Đồ chơi</t>
        </is>
      </c>
      <c r="S2175" s="6" t="inlineStr">
        <is>
          <t>Đóng băng tương tác (&gt;30 ngày): Lưu trữ chờ kích hoạt lại, không tốn tài nguyên Sales</t>
        </is>
      </c>
    </row>
    <row r="2176">
      <c r="A2176" s="59" t="n">
        <v>2538</v>
      </c>
      <c r="B2176" s="15" t="inlineStr">
        <is>
          <t>Pets Voyage - Animal Transport</t>
        </is>
      </c>
      <c r="C2176" s="60" t="inlineStr">
        <is>
          <t>https://www.facebook.com/petsvoyagepoland</t>
        </is>
      </c>
      <c r="D2176" s="9" t="inlineStr">
        <is>
          <t>Cần quét Bio Fanpage</t>
        </is>
      </c>
      <c r="E2176" s="59" t="inlineStr">
        <is>
          <t>16/12/2025 18:55:38</t>
        </is>
      </c>
      <c r="F2176" s="59" t="inlineStr">
        <is>
          <t>10 tháng trước</t>
        </is>
      </c>
      <c r="G2176" s="61" t="n">
        <v>300</v>
      </c>
      <c r="H2176" s="62" t="n">
        <v>0</v>
      </c>
      <c r="I2176" s="9" t="inlineStr">
        <is>
          <t>Pet Owner / Cộng đồng nuôi cún (10đ)</t>
        </is>
      </c>
      <c r="J2176" s="62" t="n">
        <v>10</v>
      </c>
      <c r="K2176" s="9" t="inlineStr">
        <is>
          <t>Chưa rõ giống (Cần quét Bio)</t>
        </is>
      </c>
      <c r="L2176" s="62" t="n">
        <v>0</v>
      </c>
      <c r="M2176" s="62" t="n">
        <v>0</v>
      </c>
      <c r="N2176" s="9" t="inlineStr">
        <is>
          <t>Amazon link not found</t>
        </is>
      </c>
      <c r="O2176" s="62">
        <f>IF(N2176="Selling pet toys + Artificial grass/Pet toilets (TARGET)",15,IF(N2176="Selling artificial grass/pet toilets (TARGET)",10,IF(N2176="Selling pet toys",7,IF(N2176="There's an Amazon link, but no target sales.",3,0))))</f>
        <v/>
      </c>
      <c r="P2176" s="67">
        <f>H2176+J2176+L2176+M2176+O2176</f>
        <v/>
      </c>
      <c r="Q2176" s="68">
        <f>IF(OR(H2176=0,P2176&lt;30),"Tier D (Đóng băng)",IF(P2176&gt;=85,"Tier S (Kim Cương: 85-100đ)",IF(P2176&gt;=70,"Tier A (Vàng: 70-84đ)",IF(P2176&gt;=61,"Tier B+ / Cấp A (Hot Lead: 61-69đ)",IF(P2176&gt;=50,"Tier B (Bạc: 50-60đ)","Tier C (Đồng: 30-49đ)")))))</f>
        <v/>
      </c>
      <c r="R2176" s="9" t="inlineStr">
        <is>
          <t>Khay vệ sinh chung cư (Indoor Potty) + Thảm cỏ ban công (Grass Patch) + Đồ chơi</t>
        </is>
      </c>
      <c r="S2176" s="9" t="inlineStr">
        <is>
          <t>Đóng băng tương tác (&gt;30 ngày): Lưu trữ chờ kích hoạt lại, không tốn tài nguyên Sales</t>
        </is>
      </c>
    </row>
    <row r="2177">
      <c r="A2177" s="53" t="n">
        <v>1082</v>
      </c>
      <c r="B2177" s="12" t="inlineStr">
        <is>
          <t>Dog Guard Out of Sight Fencing of Illinois &amp; Iowa</t>
        </is>
      </c>
      <c r="C2177" s="54" t="inlineStr">
        <is>
          <t>https://www.facebook.com/dogguardillinoisiowa</t>
        </is>
      </c>
      <c r="D2177" s="6" t="inlineStr">
        <is>
          <t>Cần quét Bio Fanpage</t>
        </is>
      </c>
      <c r="E2177" s="53" t="inlineStr">
        <is>
          <t>03/12/2025 23:24:54</t>
        </is>
      </c>
      <c r="F2177" s="53" t="inlineStr">
        <is>
          <t>10 tháng trước</t>
        </is>
      </c>
      <c r="G2177" s="55" t="n">
        <v>300</v>
      </c>
      <c r="H2177" s="56" t="n">
        <v>0</v>
      </c>
      <c r="I2177" s="6" t="inlineStr">
        <is>
          <t>Pet Owner / Cộng đồng nuôi cún (10đ)</t>
        </is>
      </c>
      <c r="J2177" s="56" t="n">
        <v>10</v>
      </c>
      <c r="K2177" s="6" t="inlineStr">
        <is>
          <t>Chưa rõ giống (Cần quét Bio)</t>
        </is>
      </c>
      <c r="L2177" s="56" t="n">
        <v>0</v>
      </c>
      <c r="M2177" s="56" t="n">
        <v>0</v>
      </c>
      <c r="N2177" s="6" t="inlineStr">
        <is>
          <t>Amazon link not found</t>
        </is>
      </c>
      <c r="O2177" s="56">
        <f>IF(N2177="Selling pet toys + Artificial grass/Pet toilets (TARGET)",15,IF(N2177="Selling artificial grass/pet toilets (TARGET)",10,IF(N2177="Selling pet toys",7,IF(N2177="There's an Amazon link, but no target sales.",3,0))))</f>
        <v/>
      </c>
      <c r="P2177" s="65">
        <f>H2177+J2177+L2177+M2177+O2177</f>
        <v/>
      </c>
      <c r="Q2177" s="68">
        <f>IF(OR(H2177=0,P2177&lt;30),"Tier D (Đóng băng)",IF(P2177&gt;=85,"Tier S (Kim Cương: 85-100đ)",IF(P2177&gt;=70,"Tier A (Vàng: 70-84đ)",IF(P2177&gt;=61,"Tier B+ / Cấp A (Hot Lead: 61-69đ)",IF(P2177&gt;=50,"Tier B (Bạc: 50-60đ)","Tier C (Đồng: 30-49đ)")))))</f>
        <v/>
      </c>
      <c r="R2177" s="6" t="inlineStr">
        <is>
          <t>Khay vệ sinh chung cư (Indoor Potty) + Thảm cỏ ban công (Grass Patch) + Đồ chơi</t>
        </is>
      </c>
      <c r="S2177" s="6" t="inlineStr">
        <is>
          <t>Đóng băng tương tác (&gt;30 ngày): Lưu trữ chờ kích hoạt lại, không tốn tài nguyên Sales</t>
        </is>
      </c>
    </row>
    <row r="2178">
      <c r="A2178" s="59" t="n">
        <v>1363</v>
      </c>
      <c r="B2178" s="15" t="inlineStr">
        <is>
          <t>federalbullies</t>
        </is>
      </c>
      <c r="C2178" s="60" t="inlineStr">
        <is>
          <t>https://www.facebook.com/profile.php?id=100079782923993</t>
        </is>
      </c>
      <c r="D2178" s="9" t="inlineStr">
        <is>
          <t>Cần quét Bio Fanpage</t>
        </is>
      </c>
      <c r="E2178" s="59" t="inlineStr">
        <is>
          <t>30/11/2025 14:52:39</t>
        </is>
      </c>
      <c r="F2178" s="59" t="inlineStr">
        <is>
          <t>10 tháng trước</t>
        </is>
      </c>
      <c r="G2178" s="61" t="n">
        <v>300</v>
      </c>
      <c r="H2178" s="62" t="n">
        <v>0</v>
      </c>
      <c r="I2178" s="9" t="inlineStr">
        <is>
          <t>Pet Owner / Cộng đồng nuôi cún (10đ)</t>
        </is>
      </c>
      <c r="J2178" s="62" t="n">
        <v>10</v>
      </c>
      <c r="K2178" s="9" t="inlineStr">
        <is>
          <t>Chưa rõ giống (Cần quét Bio)</t>
        </is>
      </c>
      <c r="L2178" s="62" t="n">
        <v>0</v>
      </c>
      <c r="M2178" s="62" t="n">
        <v>0</v>
      </c>
      <c r="N2178" s="9" t="inlineStr">
        <is>
          <t>Amazon link not found</t>
        </is>
      </c>
      <c r="O2178" s="62">
        <f>IF(N2178="Selling pet toys + Artificial grass/Pet toilets (TARGET)",15,IF(N2178="Selling artificial grass/pet toilets (TARGET)",10,IF(N2178="Selling pet toys",7,IF(N2178="There's an Amazon link, but no target sales.",3,0))))</f>
        <v/>
      </c>
      <c r="P2178" s="67">
        <f>H2178+J2178+L2178+M2178+O2178</f>
        <v/>
      </c>
      <c r="Q2178" s="68">
        <f>IF(OR(H2178=0,P2178&lt;30),"Tier D (Đóng băng)",IF(P2178&gt;=85,"Tier S (Kim Cương: 85-100đ)",IF(P2178&gt;=70,"Tier A (Vàng: 70-84đ)",IF(P2178&gt;=61,"Tier B+ / Cấp A (Hot Lead: 61-69đ)",IF(P2178&gt;=50,"Tier B (Bạc: 50-60đ)","Tier C (Đồng: 30-49đ)")))))</f>
        <v/>
      </c>
      <c r="R2178" s="9" t="inlineStr">
        <is>
          <t>Khay vệ sinh chung cư (Indoor Potty) + Thảm cỏ ban công (Grass Patch) + Đồ chơi</t>
        </is>
      </c>
      <c r="S2178" s="9" t="inlineStr">
        <is>
          <t>Đóng băng tương tác (&gt;30 ngày): Lưu trữ chờ kích hoạt lại, không tốn tài nguyên Sales</t>
        </is>
      </c>
    </row>
    <row r="2179">
      <c r="A2179" s="53" t="n">
        <v>1550</v>
      </c>
      <c r="B2179" s="12" t="inlineStr">
        <is>
          <t>Great Smoky Mts Pets and More Transports</t>
        </is>
      </c>
      <c r="C2179" s="54" t="inlineStr">
        <is>
          <t>https://www.facebook.com/profile.php?id=100078549799874</t>
        </is>
      </c>
      <c r="D2179" s="6" t="inlineStr">
        <is>
          <t>Cần quét Bio Fanpage</t>
        </is>
      </c>
      <c r="E2179" s="53" t="inlineStr">
        <is>
          <t>26/11/2025 23:44:43</t>
        </is>
      </c>
      <c r="F2179" s="53" t="inlineStr">
        <is>
          <t>10 tháng trước</t>
        </is>
      </c>
      <c r="G2179" s="55" t="n">
        <v>300</v>
      </c>
      <c r="H2179" s="56" t="n">
        <v>0</v>
      </c>
      <c r="I2179" s="6" t="inlineStr">
        <is>
          <t>Pet Owner / Cộng đồng nuôi cún (10đ)</t>
        </is>
      </c>
      <c r="J2179" s="56" t="n">
        <v>10</v>
      </c>
      <c r="K2179" s="6" t="inlineStr">
        <is>
          <t>Chưa rõ giống (Cần quét Bio)</t>
        </is>
      </c>
      <c r="L2179" s="56" t="n">
        <v>0</v>
      </c>
      <c r="M2179" s="56" t="n">
        <v>0</v>
      </c>
      <c r="N2179" s="6" t="inlineStr">
        <is>
          <t>Amazon link not found</t>
        </is>
      </c>
      <c r="O2179" s="56">
        <f>IF(N2179="Selling pet toys + Artificial grass/Pet toilets (TARGET)",15,IF(N2179="Selling artificial grass/pet toilets (TARGET)",10,IF(N2179="Selling pet toys",7,IF(N2179="There's an Amazon link, but no target sales.",3,0))))</f>
        <v/>
      </c>
      <c r="P2179" s="65">
        <f>H2179+J2179+L2179+M2179+O2179</f>
        <v/>
      </c>
      <c r="Q2179" s="68">
        <f>IF(OR(H2179=0,P2179&lt;30),"Tier D (Đóng băng)",IF(P2179&gt;=85,"Tier S (Kim Cương: 85-100đ)",IF(P2179&gt;=70,"Tier A (Vàng: 70-84đ)",IF(P2179&gt;=61,"Tier B+ / Cấp A (Hot Lead: 61-69đ)",IF(P2179&gt;=50,"Tier B (Bạc: 50-60đ)","Tier C (Đồng: 30-49đ)")))))</f>
        <v/>
      </c>
      <c r="R2179" s="6" t="inlineStr">
        <is>
          <t>Khay vệ sinh chung cư (Indoor Potty) + Thảm cỏ ban công (Grass Patch) + Đồ chơi</t>
        </is>
      </c>
      <c r="S2179" s="6" t="inlineStr">
        <is>
          <t>Đóng băng tương tác (&gt;30 ngày): Lưu trữ chờ kích hoạt lại, không tốn tài nguyên Sales</t>
        </is>
      </c>
    </row>
    <row r="2180">
      <c r="A2180" s="59" t="n">
        <v>515</v>
      </c>
      <c r="B2180" s="15" t="inlineStr">
        <is>
          <t>Arizonaassistancedogs</t>
        </is>
      </c>
      <c r="C2180" s="60" t="inlineStr">
        <is>
          <t>https://www.facebook.com/AZassistancedogs</t>
        </is>
      </c>
      <c r="D2180" s="9" t="inlineStr">
        <is>
          <t>Cần quét Bio Fanpage</t>
        </is>
      </c>
      <c r="E2180" s="59" t="inlineStr">
        <is>
          <t>30/10/2025 01:55:54</t>
        </is>
      </c>
      <c r="F2180" s="59" t="inlineStr">
        <is>
          <t>11 tháng trước</t>
        </is>
      </c>
      <c r="G2180" s="61" t="n">
        <v>330</v>
      </c>
      <c r="H2180" s="62" t="n">
        <v>0</v>
      </c>
      <c r="I2180" s="9" t="inlineStr">
        <is>
          <t>Pet Owner / Cộng đồng nuôi cún (10đ)</t>
        </is>
      </c>
      <c r="J2180" s="62" t="n">
        <v>10</v>
      </c>
      <c r="K2180" s="9" t="inlineStr">
        <is>
          <t>Chưa rõ giống (Cần quét Bio)</t>
        </is>
      </c>
      <c r="L2180" s="62" t="n">
        <v>0</v>
      </c>
      <c r="M2180" s="62" t="n">
        <v>0</v>
      </c>
      <c r="N2180" s="9" t="inlineStr">
        <is>
          <t>Amazon link not found</t>
        </is>
      </c>
      <c r="O2180" s="62">
        <f>IF(N2180="Selling pet toys + Artificial grass/Pet toilets (TARGET)",15,IF(N2180="Selling artificial grass/pet toilets (TARGET)",10,IF(N2180="Selling pet toys",7,IF(N2180="There's an Amazon link, but no target sales.",3,0))))</f>
        <v/>
      </c>
      <c r="P2180" s="67">
        <f>H2180+J2180+L2180+M2180+O2180</f>
        <v/>
      </c>
      <c r="Q2180" s="68">
        <f>IF(OR(H2180=0,P2180&lt;30),"Tier D (Đóng băng)",IF(P2180&gt;=85,"Tier S (Kim Cương: 85-100đ)",IF(P2180&gt;=70,"Tier A (Vàng: 70-84đ)",IF(P2180&gt;=61,"Tier B+ / Cấp A (Hot Lead: 61-69đ)",IF(P2180&gt;=50,"Tier B (Bạc: 50-60đ)","Tier C (Đồng: 30-49đ)")))))</f>
        <v/>
      </c>
      <c r="R2180" s="9" t="inlineStr">
        <is>
          <t>Khay vệ sinh chung cư (Indoor Potty) + Thảm cỏ ban công (Grass Patch) + Đồ chơi</t>
        </is>
      </c>
      <c r="S2180" s="9" t="inlineStr">
        <is>
          <t>Đóng băng tương tác (&gt;30 ngày): Lưu trữ chờ kích hoạt lại, không tốn tài nguyên Sales</t>
        </is>
      </c>
    </row>
    <row r="2181">
      <c r="A2181" s="53" t="n">
        <v>1648</v>
      </c>
      <c r="B2181" s="12" t="inlineStr">
        <is>
          <t>Herding East Stock Dogs</t>
        </is>
      </c>
      <c r="C2181" s="54" t="inlineStr">
        <is>
          <t>https://www.facebook.com/herdingeaststockdogs</t>
        </is>
      </c>
      <c r="D2181" s="6" t="inlineStr">
        <is>
          <t>Cần quét Bio Fanpage</t>
        </is>
      </c>
      <c r="E2181" s="53" t="inlineStr">
        <is>
          <t>21/10/2025 10:53:31</t>
        </is>
      </c>
      <c r="F2181" s="53" t="inlineStr">
        <is>
          <t>11 tháng trước</t>
        </is>
      </c>
      <c r="G2181" s="55" t="n">
        <v>330</v>
      </c>
      <c r="H2181" s="56" t="n">
        <v>0</v>
      </c>
      <c r="I2181" s="6" t="inlineStr">
        <is>
          <t>Pet Owner / Cộng đồng nuôi cún (10đ)</t>
        </is>
      </c>
      <c r="J2181" s="56" t="n">
        <v>10</v>
      </c>
      <c r="K2181" s="6" t="inlineStr">
        <is>
          <t>Chưa rõ giống (Cần quét Bio)</t>
        </is>
      </c>
      <c r="L2181" s="56" t="n">
        <v>0</v>
      </c>
      <c r="M2181" s="56" t="n">
        <v>0</v>
      </c>
      <c r="N2181" s="6" t="inlineStr">
        <is>
          <t>Amazon link not found</t>
        </is>
      </c>
      <c r="O2181" s="56">
        <f>IF(N2181="Selling pet toys + Artificial grass/Pet toilets (TARGET)",15,IF(N2181="Selling artificial grass/pet toilets (TARGET)",10,IF(N2181="Selling pet toys",7,IF(N2181="There's an Amazon link, but no target sales.",3,0))))</f>
        <v/>
      </c>
      <c r="P2181" s="65">
        <f>H2181+J2181+L2181+M2181+O2181</f>
        <v/>
      </c>
      <c r="Q2181" s="68">
        <f>IF(OR(H2181=0,P2181&lt;30),"Tier D (Đóng băng)",IF(P2181&gt;=85,"Tier S (Kim Cương: 85-100đ)",IF(P2181&gt;=70,"Tier A (Vàng: 70-84đ)",IF(P2181&gt;=61,"Tier B+ / Cấp A (Hot Lead: 61-69đ)",IF(P2181&gt;=50,"Tier B (Bạc: 50-60đ)","Tier C (Đồng: 30-49đ)")))))</f>
        <v/>
      </c>
      <c r="R2181" s="6" t="inlineStr">
        <is>
          <t>Khay vệ sinh chung cư (Indoor Potty) + Thảm cỏ ban công (Grass Patch) + Đồ chơi</t>
        </is>
      </c>
      <c r="S2181" s="6" t="inlineStr">
        <is>
          <t>Đóng băng tương tác (&gt;30 ngày): Lưu trữ chờ kích hoạt lại, không tốn tài nguyên Sales</t>
        </is>
      </c>
    </row>
    <row r="2182">
      <c r="A2182" s="59" t="n">
        <v>1537</v>
      </c>
      <c r="B2182" s="15" t="inlineStr">
        <is>
          <t>Gracie's Dog House</t>
        </is>
      </c>
      <c r="C2182" s="60" t="inlineStr">
        <is>
          <t>https://www.facebook.com/graciesdoghousellc</t>
        </is>
      </c>
      <c r="D2182" s="9" t="inlineStr">
        <is>
          <t>Cần quét Bio Fanpage</t>
        </is>
      </c>
      <c r="E2182" s="59" t="inlineStr">
        <is>
          <t>06/10/2025 07:37:24</t>
        </is>
      </c>
      <c r="F2182" s="59" t="inlineStr">
        <is>
          <t>1 năm trước</t>
        </is>
      </c>
      <c r="G2182" s="61" t="n">
        <v>365</v>
      </c>
      <c r="H2182" s="62" t="n">
        <v>0</v>
      </c>
      <c r="I2182" s="9" t="inlineStr">
        <is>
          <t>Pet Owner / Cộng đồng nuôi cún (10đ)</t>
        </is>
      </c>
      <c r="J2182" s="62" t="n">
        <v>10</v>
      </c>
      <c r="K2182" s="9" t="inlineStr">
        <is>
          <t>Chưa rõ giống (Cần quét Bio)</t>
        </is>
      </c>
      <c r="L2182" s="62" t="n">
        <v>0</v>
      </c>
      <c r="M2182" s="62" t="n">
        <v>0</v>
      </c>
      <c r="N2182" s="9" t="inlineStr">
        <is>
          <t>Amazon link not found</t>
        </is>
      </c>
      <c r="O2182" s="62">
        <f>IF(N2182="Selling pet toys + Artificial grass/Pet toilets (TARGET)",15,IF(N2182="Selling artificial grass/pet toilets (TARGET)",10,IF(N2182="Selling pet toys",7,IF(N2182="There's an Amazon link, but no target sales.",3,0))))</f>
        <v/>
      </c>
      <c r="P2182" s="67">
        <f>H2182+J2182+L2182+M2182+O2182</f>
        <v/>
      </c>
      <c r="Q2182" s="68">
        <f>IF(OR(H2182=0,P2182&lt;30),"Tier D (Đóng băng)",IF(P2182&gt;=85,"Tier S (Kim Cương: 85-100đ)",IF(P2182&gt;=70,"Tier A (Vàng: 70-84đ)",IF(P2182&gt;=61,"Tier B+ / Cấp A (Hot Lead: 61-69đ)",IF(P2182&gt;=50,"Tier B (Bạc: 50-60đ)","Tier C (Đồng: 30-49đ)")))))</f>
        <v/>
      </c>
      <c r="R2182" s="9" t="inlineStr">
        <is>
          <t>Khay vệ sinh chung cư (Indoor Potty) + Thảm cỏ ban công (Grass Patch) + Đồ chơi</t>
        </is>
      </c>
      <c r="S2182" s="9" t="inlineStr">
        <is>
          <t>Đóng băng tương tác (&gt;30 ngày): Lưu trữ chờ kích hoạt lại, không tốn tài nguyên Sales</t>
        </is>
      </c>
    </row>
    <row r="2183">
      <c r="A2183" s="53" t="n">
        <v>1185</v>
      </c>
      <c r="B2183" s="12" t="inlineStr">
        <is>
          <t>Dogs-in-Sight - Fotografie</t>
        </is>
      </c>
      <c r="C2183" s="54" t="inlineStr">
        <is>
          <t>https://www.facebook.com/DogsInSight</t>
        </is>
      </c>
      <c r="D2183" s="6" t="inlineStr">
        <is>
          <t>Cần quét Bio Fanpage</t>
        </is>
      </c>
      <c r="E2183" s="53" t="inlineStr">
        <is>
          <t>20/09/2025 00:00:30</t>
        </is>
      </c>
      <c r="F2183" s="53" t="inlineStr">
        <is>
          <t>1 năm trước</t>
        </is>
      </c>
      <c r="G2183" s="55" t="n">
        <v>365</v>
      </c>
      <c r="H2183" s="56" t="n">
        <v>0</v>
      </c>
      <c r="I2183" s="6" t="inlineStr">
        <is>
          <t>Pet Owner / Cộng đồng nuôi cún (10đ)</t>
        </is>
      </c>
      <c r="J2183" s="56" t="n">
        <v>10</v>
      </c>
      <c r="K2183" s="6" t="inlineStr">
        <is>
          <t>Chưa rõ giống (Cần quét Bio)</t>
        </is>
      </c>
      <c r="L2183" s="56" t="n">
        <v>0</v>
      </c>
      <c r="M2183" s="56" t="n">
        <v>0</v>
      </c>
      <c r="N2183" s="6" t="inlineStr">
        <is>
          <t>Amazon link not found</t>
        </is>
      </c>
      <c r="O2183" s="56">
        <f>IF(N2183="Selling pet toys + Artificial grass/Pet toilets (TARGET)",15,IF(N2183="Selling artificial grass/pet toilets (TARGET)",10,IF(N2183="Selling pet toys",7,IF(N2183="There's an Amazon link, but no target sales.",3,0))))</f>
        <v/>
      </c>
      <c r="P2183" s="65">
        <f>H2183+J2183+L2183+M2183+O2183</f>
        <v/>
      </c>
      <c r="Q2183" s="68">
        <f>IF(OR(H2183=0,P2183&lt;30),"Tier D (Đóng băng)",IF(P2183&gt;=85,"Tier S (Kim Cương: 85-100đ)",IF(P2183&gt;=70,"Tier A (Vàng: 70-84đ)",IF(P2183&gt;=61,"Tier B+ / Cấp A (Hot Lead: 61-69đ)",IF(P2183&gt;=50,"Tier B (Bạc: 50-60đ)","Tier C (Đồng: 30-49đ)")))))</f>
        <v/>
      </c>
      <c r="R2183" s="6" t="inlineStr">
        <is>
          <t>Khay vệ sinh chung cư (Indoor Potty) + Thảm cỏ ban công (Grass Patch) + Đồ chơi</t>
        </is>
      </c>
      <c r="S2183" s="6" t="inlineStr">
        <is>
          <t>Đóng băng tương tác (&gt;30 ngày): Lưu trữ chờ kích hoạt lại, không tốn tài nguyên Sales</t>
        </is>
      </c>
    </row>
    <row r="2184">
      <c r="A2184" s="59" t="n">
        <v>1153</v>
      </c>
      <c r="B2184" s="15" t="inlineStr">
        <is>
          <t>Dogs</t>
        </is>
      </c>
      <c r="C2184" s="60" t="inlineStr">
        <is>
          <t>https://www.facebook.com/NoxDogs</t>
        </is>
      </c>
      <c r="D2184" s="9" t="inlineStr">
        <is>
          <t>Cần quét Bio Fanpage</t>
        </is>
      </c>
      <c r="E2184" s="59" t="inlineStr">
        <is>
          <t>16/09/2025 10:44:36</t>
        </is>
      </c>
      <c r="F2184" s="59" t="inlineStr">
        <is>
          <t>1 năm trước</t>
        </is>
      </c>
      <c r="G2184" s="61" t="n">
        <v>365</v>
      </c>
      <c r="H2184" s="62" t="n">
        <v>0</v>
      </c>
      <c r="I2184" s="9" t="inlineStr">
        <is>
          <t>Pet Owner / Cộng đồng nuôi cún (10đ)</t>
        </is>
      </c>
      <c r="J2184" s="62" t="n">
        <v>10</v>
      </c>
      <c r="K2184" s="9" t="inlineStr">
        <is>
          <t>Chưa rõ giống (Cần quét Bio)</t>
        </is>
      </c>
      <c r="L2184" s="62" t="n">
        <v>0</v>
      </c>
      <c r="M2184" s="62" t="n">
        <v>0</v>
      </c>
      <c r="N2184" s="9" t="inlineStr">
        <is>
          <t>Amazon link not found</t>
        </is>
      </c>
      <c r="O2184" s="62">
        <f>IF(N2184="Selling pet toys + Artificial grass/Pet toilets (TARGET)",15,IF(N2184="Selling artificial grass/pet toilets (TARGET)",10,IF(N2184="Selling pet toys",7,IF(N2184="There's an Amazon link, but no target sales.",3,0))))</f>
        <v/>
      </c>
      <c r="P2184" s="67">
        <f>H2184+J2184+L2184+M2184+O2184</f>
        <v/>
      </c>
      <c r="Q2184" s="68">
        <f>IF(OR(H2184=0,P2184&lt;30),"Tier D (Đóng băng)",IF(P2184&gt;=85,"Tier S (Kim Cương: 85-100đ)",IF(P2184&gt;=70,"Tier A (Vàng: 70-84đ)",IF(P2184&gt;=61,"Tier B+ / Cấp A (Hot Lead: 61-69đ)",IF(P2184&gt;=50,"Tier B (Bạc: 50-60đ)","Tier C (Đồng: 30-49đ)")))))</f>
        <v/>
      </c>
      <c r="R2184" s="9" t="inlineStr">
        <is>
          <t>Khay vệ sinh chung cư (Indoor Potty) + Thảm cỏ ban công (Grass Patch) + Đồ chơi</t>
        </is>
      </c>
      <c r="S2184" s="9" t="inlineStr">
        <is>
          <t>Đóng băng tương tác (&gt;30 ngày): Lưu trữ chờ kích hoạt lại, không tốn tài nguyên Sales</t>
        </is>
      </c>
    </row>
    <row r="2185">
      <c r="A2185" s="53" t="n">
        <v>1844</v>
      </c>
      <c r="B2185" s="12" t="inlineStr">
        <is>
          <t>KARMA Design For Dogs</t>
        </is>
      </c>
      <c r="C2185" s="54" t="inlineStr">
        <is>
          <t>https://www.facebook.com/profile.php?id=100064029245618</t>
        </is>
      </c>
      <c r="D2185" s="6" t="inlineStr">
        <is>
          <t>Cần quét Bio Fanpage</t>
        </is>
      </c>
      <c r="E2185" s="53" t="inlineStr">
        <is>
          <t>04/09/2025 18:49:25</t>
        </is>
      </c>
      <c r="F2185" s="53" t="inlineStr">
        <is>
          <t>1 năm trước</t>
        </is>
      </c>
      <c r="G2185" s="55" t="n">
        <v>365</v>
      </c>
      <c r="H2185" s="56" t="n">
        <v>0</v>
      </c>
      <c r="I2185" s="6" t="inlineStr">
        <is>
          <t>Pet Owner / Cộng đồng nuôi cún (10đ)</t>
        </is>
      </c>
      <c r="J2185" s="56" t="n">
        <v>10</v>
      </c>
      <c r="K2185" s="6" t="inlineStr">
        <is>
          <t>Chưa rõ giống (Cần quét Bio)</t>
        </is>
      </c>
      <c r="L2185" s="56" t="n">
        <v>0</v>
      </c>
      <c r="M2185" s="56" t="n">
        <v>0</v>
      </c>
      <c r="N2185" s="6" t="inlineStr">
        <is>
          <t>Amazon link not found</t>
        </is>
      </c>
      <c r="O2185" s="56">
        <f>IF(N2185="Selling pet toys + Artificial grass/Pet toilets (TARGET)",15,IF(N2185="Selling artificial grass/pet toilets (TARGET)",10,IF(N2185="Selling pet toys",7,IF(N2185="There's an Amazon link, but no target sales.",3,0))))</f>
        <v/>
      </c>
      <c r="P2185" s="65">
        <f>H2185+J2185+L2185+M2185+O2185</f>
        <v/>
      </c>
      <c r="Q2185" s="68">
        <f>IF(OR(H2185=0,P2185&lt;30),"Tier D (Đóng băng)",IF(P2185&gt;=85,"Tier S (Kim Cương: 85-100đ)",IF(P2185&gt;=70,"Tier A (Vàng: 70-84đ)",IF(P2185&gt;=61,"Tier B+ / Cấp A (Hot Lead: 61-69đ)",IF(P2185&gt;=50,"Tier B (Bạc: 50-60đ)","Tier C (Đồng: 30-49đ)")))))</f>
        <v/>
      </c>
      <c r="R2185" s="6" t="inlineStr">
        <is>
          <t>Khay vệ sinh chung cư (Indoor Potty) + Thảm cỏ ban công (Grass Patch) + Đồ chơi</t>
        </is>
      </c>
      <c r="S2185" s="6" t="inlineStr">
        <is>
          <t>Đóng băng tương tác (&gt;30 ngày): Lưu trữ chờ kích hoạt lại, không tốn tài nguyên Sales</t>
        </is>
      </c>
    </row>
    <row r="2186">
      <c r="A2186" s="59" t="n">
        <v>1061</v>
      </c>
      <c r="B2186" s="15" t="inlineStr">
        <is>
          <t>Dog Gone Diving Dogs</t>
        </is>
      </c>
      <c r="C2186" s="60" t="inlineStr">
        <is>
          <t>https://www.facebook.com/profile.php?id=100057326474790</t>
        </is>
      </c>
      <c r="D2186" s="9" t="inlineStr">
        <is>
          <t>Cần quét Bio Fanpage</t>
        </is>
      </c>
      <c r="E2186" s="59" t="inlineStr">
        <is>
          <t>30/08/2025 18:47:50</t>
        </is>
      </c>
      <c r="F2186" s="59" t="inlineStr">
        <is>
          <t>1 năm trước</t>
        </is>
      </c>
      <c r="G2186" s="61" t="n">
        <v>365</v>
      </c>
      <c r="H2186" s="62" t="n">
        <v>0</v>
      </c>
      <c r="I2186" s="9" t="inlineStr">
        <is>
          <t>Pet Owner / Cộng đồng nuôi cún (10đ)</t>
        </is>
      </c>
      <c r="J2186" s="62" t="n">
        <v>10</v>
      </c>
      <c r="K2186" s="9" t="inlineStr">
        <is>
          <t>Chưa rõ giống (Cần quét Bio)</t>
        </is>
      </c>
      <c r="L2186" s="62" t="n">
        <v>0</v>
      </c>
      <c r="M2186" s="62" t="n">
        <v>0</v>
      </c>
      <c r="N2186" s="9" t="inlineStr">
        <is>
          <t>Amazon link not found</t>
        </is>
      </c>
      <c r="O2186" s="62">
        <f>IF(N2186="Selling pet toys + Artificial grass/Pet toilets (TARGET)",15,IF(N2186="Selling artificial grass/pet toilets (TARGET)",10,IF(N2186="Selling pet toys",7,IF(N2186="There's an Amazon link, but no target sales.",3,0))))</f>
        <v/>
      </c>
      <c r="P2186" s="67">
        <f>H2186+J2186+L2186+M2186+O2186</f>
        <v/>
      </c>
      <c r="Q2186" s="68">
        <f>IF(OR(H2186=0,P2186&lt;30),"Tier D (Đóng băng)",IF(P2186&gt;=85,"Tier S (Kim Cương: 85-100đ)",IF(P2186&gt;=70,"Tier A (Vàng: 70-84đ)",IF(P2186&gt;=61,"Tier B+ / Cấp A (Hot Lead: 61-69đ)",IF(P2186&gt;=50,"Tier B (Bạc: 50-60đ)","Tier C (Đồng: 30-49đ)")))))</f>
        <v/>
      </c>
      <c r="R2186" s="9" t="inlineStr">
        <is>
          <t>Khay vệ sinh chung cư (Indoor Potty) + Thảm cỏ ban công (Grass Patch) + Đồ chơi</t>
        </is>
      </c>
      <c r="S2186" s="9" t="inlineStr">
        <is>
          <t>Đóng băng tương tác (&gt;30 ngày): Lưu trữ chờ kích hoạt lại, không tốn tài nguyên Sales</t>
        </is>
      </c>
    </row>
    <row r="2187">
      <c r="A2187" s="53" t="n">
        <v>2462</v>
      </c>
      <c r="B2187" s="12" t="inlineStr">
        <is>
          <t>Pet Planet Project</t>
        </is>
      </c>
      <c r="C2187" s="54" t="inlineStr">
        <is>
          <t>https://www.facebook.com/petplanet.ru</t>
        </is>
      </c>
      <c r="D2187" s="6" t="inlineStr">
        <is>
          <t>Cần quét Bio Fanpage</t>
        </is>
      </c>
      <c r="E2187" s="53" t="inlineStr">
        <is>
          <t>26/08/2025 03:09:16</t>
        </is>
      </c>
      <c r="F2187" s="53" t="inlineStr">
        <is>
          <t>1 năm trước</t>
        </is>
      </c>
      <c r="G2187" s="55" t="n">
        <v>365</v>
      </c>
      <c r="H2187" s="56" t="n">
        <v>0</v>
      </c>
      <c r="I2187" s="6" t="inlineStr">
        <is>
          <t>Pet Owner / Cộng đồng nuôi cún (10đ)</t>
        </is>
      </c>
      <c r="J2187" s="56" t="n">
        <v>10</v>
      </c>
      <c r="K2187" s="6" t="inlineStr">
        <is>
          <t>Chưa rõ giống (Cần quét Bio)</t>
        </is>
      </c>
      <c r="L2187" s="56" t="n">
        <v>0</v>
      </c>
      <c r="M2187" s="56" t="n">
        <v>0</v>
      </c>
      <c r="N2187" s="6" t="inlineStr">
        <is>
          <t>Amazon link not found</t>
        </is>
      </c>
      <c r="O2187" s="56">
        <f>IF(N2187="Selling pet toys + Artificial grass/Pet toilets (TARGET)",15,IF(N2187="Selling artificial grass/pet toilets (TARGET)",10,IF(N2187="Selling pet toys",7,IF(N2187="There's an Amazon link, but no target sales.",3,0))))</f>
        <v/>
      </c>
      <c r="P2187" s="65">
        <f>H2187+J2187+L2187+M2187+O2187</f>
        <v/>
      </c>
      <c r="Q2187" s="68">
        <f>IF(OR(H2187=0,P2187&lt;30),"Tier D (Đóng băng)",IF(P2187&gt;=85,"Tier S (Kim Cương: 85-100đ)",IF(P2187&gt;=70,"Tier A (Vàng: 70-84đ)",IF(P2187&gt;=61,"Tier B+ / Cấp A (Hot Lead: 61-69đ)",IF(P2187&gt;=50,"Tier B (Bạc: 50-60đ)","Tier C (Đồng: 30-49đ)")))))</f>
        <v/>
      </c>
      <c r="R2187" s="6" t="inlineStr">
        <is>
          <t>Khay vệ sinh chung cư (Indoor Potty) + Thảm cỏ ban công (Grass Patch) + Đồ chơi</t>
        </is>
      </c>
      <c r="S2187" s="6" t="inlineStr">
        <is>
          <t>Đóng băng tương tác (&gt;30 ngày): Lưu trữ chờ kích hoạt lại, không tốn tài nguyên Sales</t>
        </is>
      </c>
    </row>
    <row r="2188">
      <c r="A2188" s="59" t="n">
        <v>336</v>
      </c>
      <c r="B2188" s="15" t="inlineStr">
        <is>
          <t>Activ'Pet</t>
        </is>
      </c>
      <c r="C2188" s="60" t="inlineStr">
        <is>
          <t>https://www.facebook.com/profile.php?id=61561224762263</t>
        </is>
      </c>
      <c r="D2188" s="9" t="inlineStr">
        <is>
          <t>Cần quét Bio Fanpage</t>
        </is>
      </c>
      <c r="E2188" s="59" t="inlineStr">
        <is>
          <t>15/08/2025 13:04:51</t>
        </is>
      </c>
      <c r="F2188" s="59" t="inlineStr">
        <is>
          <t>1 năm trước</t>
        </is>
      </c>
      <c r="G2188" s="61" t="n">
        <v>365</v>
      </c>
      <c r="H2188" s="62" t="n">
        <v>0</v>
      </c>
      <c r="I2188" s="9" t="inlineStr">
        <is>
          <t>Pet Owner / Cộng đồng nuôi cún (10đ)</t>
        </is>
      </c>
      <c r="J2188" s="62" t="n">
        <v>10</v>
      </c>
      <c r="K2188" s="9" t="inlineStr">
        <is>
          <t>Chưa rõ giống (Cần quét Bio)</t>
        </is>
      </c>
      <c r="L2188" s="62" t="n">
        <v>0</v>
      </c>
      <c r="M2188" s="62" t="n">
        <v>0</v>
      </c>
      <c r="N2188" s="9" t="inlineStr">
        <is>
          <t>Amazon link not found</t>
        </is>
      </c>
      <c r="O2188" s="62">
        <f>IF(N2188="Selling pet toys + Artificial grass/Pet toilets (TARGET)",15,IF(N2188="Selling artificial grass/pet toilets (TARGET)",10,IF(N2188="Selling pet toys",7,IF(N2188="There's an Amazon link, but no target sales.",3,0))))</f>
        <v/>
      </c>
      <c r="P2188" s="67">
        <f>H2188+J2188+L2188+M2188+O2188</f>
        <v/>
      </c>
      <c r="Q2188" s="68">
        <f>IF(OR(H2188=0,P2188&lt;30),"Tier D (Đóng băng)",IF(P2188&gt;=85,"Tier S (Kim Cương: 85-100đ)",IF(P2188&gt;=70,"Tier A (Vàng: 70-84đ)",IF(P2188&gt;=61,"Tier B+ / Cấp A (Hot Lead: 61-69đ)",IF(P2188&gt;=50,"Tier B (Bạc: 50-60đ)","Tier C (Đồng: 30-49đ)")))))</f>
        <v/>
      </c>
      <c r="R2188" s="9" t="inlineStr">
        <is>
          <t>Khay vệ sinh chung cư (Indoor Potty) + Thảm cỏ ban công (Grass Patch) + Đồ chơi</t>
        </is>
      </c>
      <c r="S2188" s="9" t="inlineStr">
        <is>
          <t>Đóng băng tương tác (&gt;30 ngày): Lưu trữ chờ kích hoạt lại, không tốn tài nguyên Sales</t>
        </is>
      </c>
    </row>
    <row r="2189">
      <c r="A2189" s="53" t="n">
        <v>1301</v>
      </c>
      <c r="B2189" s="12" t="inlineStr">
        <is>
          <t>European DOG SHOW 2025</t>
        </is>
      </c>
      <c r="C2189" s="54" t="inlineStr">
        <is>
          <t>https://www.facebook.com/EDS2025.cz</t>
        </is>
      </c>
      <c r="D2189" s="6" t="inlineStr">
        <is>
          <t>Cần quét Bio Fanpage</t>
        </is>
      </c>
      <c r="E2189" s="53" t="inlineStr">
        <is>
          <t>06/08/2025 17:02:27</t>
        </is>
      </c>
      <c r="F2189" s="53" t="inlineStr">
        <is>
          <t>1 năm trước</t>
        </is>
      </c>
      <c r="G2189" s="55" t="n">
        <v>365</v>
      </c>
      <c r="H2189" s="56" t="n">
        <v>0</v>
      </c>
      <c r="I2189" s="6" t="inlineStr">
        <is>
          <t>Pet Owner / Cộng đồng nuôi cún (10đ)</t>
        </is>
      </c>
      <c r="J2189" s="56" t="n">
        <v>10</v>
      </c>
      <c r="K2189" s="6" t="inlineStr">
        <is>
          <t>Chưa rõ giống (Cần quét Bio)</t>
        </is>
      </c>
      <c r="L2189" s="56" t="n">
        <v>0</v>
      </c>
      <c r="M2189" s="56" t="n">
        <v>0</v>
      </c>
      <c r="N2189" s="6" t="inlineStr">
        <is>
          <t>Amazon link not found</t>
        </is>
      </c>
      <c r="O2189" s="56">
        <f>IF(N2189="Selling pet toys + Artificial grass/Pet toilets (TARGET)",15,IF(N2189="Selling artificial grass/pet toilets (TARGET)",10,IF(N2189="Selling pet toys",7,IF(N2189="There's an Amazon link, but no target sales.",3,0))))</f>
        <v/>
      </c>
      <c r="P2189" s="65">
        <f>H2189+J2189+L2189+M2189+O2189</f>
        <v/>
      </c>
      <c r="Q2189" s="68">
        <f>IF(OR(H2189=0,P2189&lt;30),"Tier D (Đóng băng)",IF(P2189&gt;=85,"Tier S (Kim Cương: 85-100đ)",IF(P2189&gt;=70,"Tier A (Vàng: 70-84đ)",IF(P2189&gt;=61,"Tier B+ / Cấp A (Hot Lead: 61-69đ)",IF(P2189&gt;=50,"Tier B (Bạc: 50-60đ)","Tier C (Đồng: 30-49đ)")))))</f>
        <v/>
      </c>
      <c r="R2189" s="6" t="inlineStr">
        <is>
          <t>Khay vệ sinh chung cư (Indoor Potty) + Thảm cỏ ban công (Grass Patch) + Đồ chơi</t>
        </is>
      </c>
      <c r="S2189" s="6" t="inlineStr">
        <is>
          <t>Đóng băng tương tác (&gt;30 ngày): Lưu trữ chờ kích hoạt lại, không tốn tài nguyên Sales</t>
        </is>
      </c>
    </row>
    <row r="2190">
      <c r="A2190" s="59" t="n">
        <v>3455</v>
      </c>
      <c r="B2190" s="15" t="inlineStr">
        <is>
          <t>World Pets Club</t>
        </is>
      </c>
      <c r="C2190" s="60" t="inlineStr">
        <is>
          <t>https://www.facebook.com/profile.php?id=100088106606259</t>
        </is>
      </c>
      <c r="D2190" s="9" t="inlineStr">
        <is>
          <t>Cần quét Bio Fanpage</t>
        </is>
      </c>
      <c r="E2190" s="59" t="inlineStr">
        <is>
          <t>01/08/2025 05:59:30</t>
        </is>
      </c>
      <c r="F2190" s="59" t="inlineStr">
        <is>
          <t>1 năm trước</t>
        </is>
      </c>
      <c r="G2190" s="61" t="n">
        <v>365</v>
      </c>
      <c r="H2190" s="62" t="n">
        <v>0</v>
      </c>
      <c r="I2190" s="9" t="inlineStr">
        <is>
          <t>Pet Owner / Cộng đồng nuôi cún (10đ)</t>
        </is>
      </c>
      <c r="J2190" s="62" t="n">
        <v>10</v>
      </c>
      <c r="K2190" s="9" t="inlineStr">
        <is>
          <t>Chưa rõ giống (Cần quét Bio)</t>
        </is>
      </c>
      <c r="L2190" s="62" t="n">
        <v>0</v>
      </c>
      <c r="M2190" s="62" t="n">
        <v>0</v>
      </c>
      <c r="N2190" s="9" t="inlineStr">
        <is>
          <t>Amazon link not found</t>
        </is>
      </c>
      <c r="O2190" s="62">
        <f>IF(N2190="Selling pet toys + Artificial grass/Pet toilets (TARGET)",15,IF(N2190="Selling artificial grass/pet toilets (TARGET)",10,IF(N2190="Selling pet toys",7,IF(N2190="There's an Amazon link, but no target sales.",3,0))))</f>
        <v/>
      </c>
      <c r="P2190" s="67">
        <f>H2190+J2190+L2190+M2190+O2190</f>
        <v/>
      </c>
      <c r="Q2190" s="68">
        <f>IF(OR(H2190=0,P2190&lt;30),"Tier D (Đóng băng)",IF(P2190&gt;=85,"Tier S (Kim Cương: 85-100đ)",IF(P2190&gt;=70,"Tier A (Vàng: 70-84đ)",IF(P2190&gt;=61,"Tier B+ / Cấp A (Hot Lead: 61-69đ)",IF(P2190&gt;=50,"Tier B (Bạc: 50-60đ)","Tier C (Đồng: 30-49đ)")))))</f>
        <v/>
      </c>
      <c r="R2190" s="9" t="inlineStr">
        <is>
          <t>Khay vệ sinh chung cư (Indoor Potty) + Thảm cỏ ban công (Grass Patch) + Đồ chơi</t>
        </is>
      </c>
      <c r="S2190" s="9" t="inlineStr">
        <is>
          <t>Đóng băng tương tác (&gt;30 ngày): Lưu trữ chờ kích hoạt lại, không tốn tài nguyên Sales</t>
        </is>
      </c>
    </row>
    <row r="2191">
      <c r="A2191" s="53" t="n">
        <v>3366</v>
      </c>
      <c r="B2191" s="12" t="inlineStr">
        <is>
          <t>WallyBed Pet Beds</t>
        </is>
      </c>
      <c r="C2191" s="54" t="inlineStr">
        <is>
          <t>https://www.facebook.com/WallyBed</t>
        </is>
      </c>
      <c r="D2191" s="6" t="inlineStr">
        <is>
          <t>Cần quét Bio Fanpage</t>
        </is>
      </c>
      <c r="E2191" s="53" t="inlineStr">
        <is>
          <t>31/07/2025 22:13:21</t>
        </is>
      </c>
      <c r="F2191" s="53" t="inlineStr">
        <is>
          <t>1 năm trước</t>
        </is>
      </c>
      <c r="G2191" s="55" t="n">
        <v>365</v>
      </c>
      <c r="H2191" s="56" t="n">
        <v>0</v>
      </c>
      <c r="I2191" s="6" t="inlineStr">
        <is>
          <t>Pet Owner / Cộng đồng nuôi cún (10đ)</t>
        </is>
      </c>
      <c r="J2191" s="56" t="n">
        <v>10</v>
      </c>
      <c r="K2191" s="6" t="inlineStr">
        <is>
          <t>Chưa rõ giống (Cần quét Bio)</t>
        </is>
      </c>
      <c r="L2191" s="56" t="n">
        <v>0</v>
      </c>
      <c r="M2191" s="56" t="n">
        <v>0</v>
      </c>
      <c r="N2191" s="6" t="inlineStr">
        <is>
          <t>Amazon link not found</t>
        </is>
      </c>
      <c r="O2191" s="56">
        <f>IF(N2191="Selling pet toys + Artificial grass/Pet toilets (TARGET)",15,IF(N2191="Selling artificial grass/pet toilets (TARGET)",10,IF(N2191="Selling pet toys",7,IF(N2191="There's an Amazon link, but no target sales.",3,0))))</f>
        <v/>
      </c>
      <c r="P2191" s="65">
        <f>H2191+J2191+L2191+M2191+O2191</f>
        <v/>
      </c>
      <c r="Q2191" s="68">
        <f>IF(OR(H2191=0,P2191&lt;30),"Tier D (Đóng băng)",IF(P2191&gt;=85,"Tier S (Kim Cương: 85-100đ)",IF(P2191&gt;=70,"Tier A (Vàng: 70-84đ)",IF(P2191&gt;=61,"Tier B+ / Cấp A (Hot Lead: 61-69đ)",IF(P2191&gt;=50,"Tier B (Bạc: 50-60đ)","Tier C (Đồng: 30-49đ)")))))</f>
        <v/>
      </c>
      <c r="R2191" s="6" t="inlineStr">
        <is>
          <t>Khay vệ sinh chung cư (Indoor Potty) + Thảm cỏ ban công (Grass Patch) + Đồ chơi</t>
        </is>
      </c>
      <c r="S2191" s="6" t="inlineStr">
        <is>
          <t>Đóng băng tương tác (&gt;30 ngày): Lưu trữ chờ kích hoạt lại, không tốn tài nguyên Sales</t>
        </is>
      </c>
    </row>
    <row r="2192">
      <c r="A2192" s="59" t="n">
        <v>1190</v>
      </c>
      <c r="B2192" s="15" t="inlineStr">
        <is>
          <t>dogsfavorite.de</t>
        </is>
      </c>
      <c r="C2192" s="60" t="inlineStr">
        <is>
          <t>https://www.facebook.com/dogsfavoritehundebetten</t>
        </is>
      </c>
      <c r="D2192" s="9" t="inlineStr">
        <is>
          <t>Cần quét Bio Fanpage</t>
        </is>
      </c>
      <c r="E2192" s="59" t="inlineStr">
        <is>
          <t>31/07/2025 15:30:08</t>
        </is>
      </c>
      <c r="F2192" s="59" t="inlineStr">
        <is>
          <t>1 năm trước</t>
        </is>
      </c>
      <c r="G2192" s="61" t="n">
        <v>365</v>
      </c>
      <c r="H2192" s="62" t="n">
        <v>0</v>
      </c>
      <c r="I2192" s="9" t="inlineStr">
        <is>
          <t>Pet Owner / Cộng đồng nuôi cún (10đ)</t>
        </is>
      </c>
      <c r="J2192" s="62" t="n">
        <v>10</v>
      </c>
      <c r="K2192" s="9" t="inlineStr">
        <is>
          <t>Chưa rõ giống (Cần quét Bio)</t>
        </is>
      </c>
      <c r="L2192" s="62" t="n">
        <v>0</v>
      </c>
      <c r="M2192" s="62" t="n">
        <v>0</v>
      </c>
      <c r="N2192" s="9" t="inlineStr">
        <is>
          <t>Amazon link not found</t>
        </is>
      </c>
      <c r="O2192" s="62">
        <f>IF(N2192="Selling pet toys + Artificial grass/Pet toilets (TARGET)",15,IF(N2192="Selling artificial grass/pet toilets (TARGET)",10,IF(N2192="Selling pet toys",7,IF(N2192="There's an Amazon link, but no target sales.",3,0))))</f>
        <v/>
      </c>
      <c r="P2192" s="67">
        <f>H2192+J2192+L2192+M2192+O2192</f>
        <v/>
      </c>
      <c r="Q2192" s="68">
        <f>IF(OR(H2192=0,P2192&lt;30),"Tier D (Đóng băng)",IF(P2192&gt;=85,"Tier S (Kim Cương: 85-100đ)",IF(P2192&gt;=70,"Tier A (Vàng: 70-84đ)",IF(P2192&gt;=61,"Tier B+ / Cấp A (Hot Lead: 61-69đ)",IF(P2192&gt;=50,"Tier B (Bạc: 50-60đ)","Tier C (Đồng: 30-49đ)")))))</f>
        <v/>
      </c>
      <c r="R2192" s="9" t="inlineStr">
        <is>
          <t>Khay vệ sinh chung cư (Indoor Potty) + Thảm cỏ ban công (Grass Patch) + Đồ chơi</t>
        </is>
      </c>
      <c r="S2192" s="9" t="inlineStr">
        <is>
          <t>Đóng băng tương tác (&gt;30 ngày): Lưu trữ chờ kích hoạt lại, không tốn tài nguyên Sales</t>
        </is>
      </c>
    </row>
    <row r="2193">
      <c r="A2193" s="53" t="n">
        <v>217</v>
      </c>
      <c r="B2193" s="12" t="inlineStr">
        <is>
          <t>Marnie The Dog</t>
        </is>
      </c>
      <c r="C2193" s="54" t="inlineStr">
        <is>
          <t>https://www.facebook.com/MarnieTheDog</t>
        </is>
      </c>
      <c r="D2193" s="6" t="inlineStr">
        <is>
          <t>Cần quét Bio Fanpage</t>
        </is>
      </c>
      <c r="E2193" s="53" t="inlineStr">
        <is>
          <t>30/07/2025 03:09:58</t>
        </is>
      </c>
      <c r="F2193" s="53" t="inlineStr">
        <is>
          <t>1 năm trước</t>
        </is>
      </c>
      <c r="G2193" s="55" t="n">
        <v>365</v>
      </c>
      <c r="H2193" s="56" t="n">
        <v>0</v>
      </c>
      <c r="I2193" s="6" t="inlineStr">
        <is>
          <t>Pet Owner / Kênh cá nhân thú cưng (10đ)</t>
        </is>
      </c>
      <c r="J2193" s="56" t="n">
        <v>10</v>
      </c>
      <c r="K2193" s="6" t="inlineStr">
        <is>
          <t>Chưa rõ giống (Cần quét Bio)</t>
        </is>
      </c>
      <c r="L2193" s="56" t="n">
        <v>0</v>
      </c>
      <c r="M2193" s="56" t="n">
        <v>0</v>
      </c>
      <c r="N2193" s="6" t="inlineStr">
        <is>
          <t>Amazon link not found</t>
        </is>
      </c>
      <c r="O2193" s="56">
        <f>IF(N2193="Selling pet toys + Artificial grass/Pet toilets (TARGET)",15,IF(N2193="Selling artificial grass/pet toilets (TARGET)",10,IF(N2193="Selling pet toys",7,IF(N2193="There's an Amazon link, but no target sales.",3,0))))</f>
        <v/>
      </c>
      <c r="P2193" s="65">
        <f>H2193+J2193+L2193+M2193+O2193</f>
        <v/>
      </c>
      <c r="Q2193" s="68">
        <f>IF(OR(H2193=0,P2193&lt;30),"Tier D (Đóng băng)",IF(P2193&gt;=85,"Tier S (Kim Cương: 85-100đ)",IF(P2193&gt;=70,"Tier A (Vàng: 70-84đ)",IF(P2193&gt;=61,"Tier B+ / Cấp A (Hot Lead: 61-69đ)",IF(P2193&gt;=50,"Tier B (Bạc: 50-60đ)","Tier C (Đồng: 30-49đ)")))))</f>
        <v/>
      </c>
      <c r="R2193" s="6" t="inlineStr">
        <is>
          <t>Khay vệ sinh trong nhà (Indoor Dog Potty) + Đồ chơi thú cưng lẻ</t>
        </is>
      </c>
      <c r="S2193" s="6" t="inlineStr">
        <is>
          <t>Đóng băng tương tác (&gt;30 ngày): Lưu trữ chờ kích hoạt lại, không tốn tài nguyên Sales</t>
        </is>
      </c>
    </row>
    <row r="2194">
      <c r="A2194" s="59" t="n">
        <v>718</v>
      </c>
      <c r="B2194" s="15" t="inlineStr">
        <is>
          <t>Bombouu pet</t>
        </is>
      </c>
      <c r="C2194" s="60" t="inlineStr">
        <is>
          <t>https://www.facebook.com/61578455650507</t>
        </is>
      </c>
      <c r="D2194" s="9" t="inlineStr">
        <is>
          <t>Cần quét Bio Fanpage</t>
        </is>
      </c>
      <c r="E2194" s="59" t="inlineStr">
        <is>
          <t>25/07/2025 21:28:17</t>
        </is>
      </c>
      <c r="F2194" s="59" t="inlineStr">
        <is>
          <t>1 năm trước</t>
        </is>
      </c>
      <c r="G2194" s="61" t="n">
        <v>365</v>
      </c>
      <c r="H2194" s="62" t="n">
        <v>0</v>
      </c>
      <c r="I2194" s="9" t="inlineStr">
        <is>
          <t>Pet Owner / Cộng đồng nuôi cún (10đ)</t>
        </is>
      </c>
      <c r="J2194" s="62" t="n">
        <v>10</v>
      </c>
      <c r="K2194" s="9" t="inlineStr">
        <is>
          <t>Chưa rõ giống (Cần quét Bio)</t>
        </is>
      </c>
      <c r="L2194" s="62" t="n">
        <v>0</v>
      </c>
      <c r="M2194" s="62" t="n">
        <v>0</v>
      </c>
      <c r="N2194" s="9" t="inlineStr">
        <is>
          <t>Amazon link not found</t>
        </is>
      </c>
      <c r="O2194" s="62">
        <f>IF(N2194="Selling pet toys + Artificial grass/Pet toilets (TARGET)",15,IF(N2194="Selling artificial grass/pet toilets (TARGET)",10,IF(N2194="Selling pet toys",7,IF(N2194="There's an Amazon link, but no target sales.",3,0))))</f>
        <v/>
      </c>
      <c r="P2194" s="67">
        <f>H2194+J2194+L2194+M2194+O2194</f>
        <v/>
      </c>
      <c r="Q2194" s="68">
        <f>IF(OR(H2194=0,P2194&lt;30),"Tier D (Đóng băng)",IF(P2194&gt;=85,"Tier S (Kim Cương: 85-100đ)",IF(P2194&gt;=70,"Tier A (Vàng: 70-84đ)",IF(P2194&gt;=61,"Tier B+ / Cấp A (Hot Lead: 61-69đ)",IF(P2194&gt;=50,"Tier B (Bạc: 50-60đ)","Tier C (Đồng: 30-49đ)")))))</f>
        <v/>
      </c>
      <c r="R2194" s="9" t="inlineStr">
        <is>
          <t>Khay vệ sinh chung cư (Indoor Potty) + Thảm cỏ ban công (Grass Patch) + Đồ chơi</t>
        </is>
      </c>
      <c r="S2194" s="9" t="inlineStr">
        <is>
          <t>Đóng băng tương tác (&gt;30 ngày): Lưu trữ chờ kích hoạt lại, không tốn tài nguyên Sales</t>
        </is>
      </c>
    </row>
    <row r="2195">
      <c r="A2195" s="53" t="n">
        <v>3263</v>
      </c>
      <c r="B2195" s="12" t="inlineStr">
        <is>
          <t>Underdog Matchmakers</t>
        </is>
      </c>
      <c r="C2195" s="54" t="inlineStr">
        <is>
          <t>https://www.facebook.com/profile.php?id=61577220118246</t>
        </is>
      </c>
      <c r="D2195" s="6" t="inlineStr">
        <is>
          <t>Cần quét Bio Fanpage</t>
        </is>
      </c>
      <c r="E2195" s="53" t="inlineStr">
        <is>
          <t>16/07/2025 05:05:47</t>
        </is>
      </c>
      <c r="F2195" s="53" t="inlineStr">
        <is>
          <t>1 năm trước</t>
        </is>
      </c>
      <c r="G2195" s="55" t="n">
        <v>365</v>
      </c>
      <c r="H2195" s="56" t="n">
        <v>0</v>
      </c>
      <c r="I2195" s="6" t="inlineStr">
        <is>
          <t>Pet Owner / Cộng đồng nuôi cún (10đ)</t>
        </is>
      </c>
      <c r="J2195" s="56" t="n">
        <v>10</v>
      </c>
      <c r="K2195" s="6" t="inlineStr">
        <is>
          <t>Chưa rõ giống (Cần quét Bio)</t>
        </is>
      </c>
      <c r="L2195" s="56" t="n">
        <v>0</v>
      </c>
      <c r="M2195" s="56" t="n">
        <v>0</v>
      </c>
      <c r="N2195" s="6" t="inlineStr">
        <is>
          <t>Amazon link not found</t>
        </is>
      </c>
      <c r="O2195" s="56">
        <f>IF(N2195="Selling pet toys + Artificial grass/Pet toilets (TARGET)",15,IF(N2195="Selling artificial grass/pet toilets (TARGET)",10,IF(N2195="Selling pet toys",7,IF(N2195="There's an Amazon link, but no target sales.",3,0))))</f>
        <v/>
      </c>
      <c r="P2195" s="65">
        <f>H2195+J2195+L2195+M2195+O2195</f>
        <v/>
      </c>
      <c r="Q2195" s="68">
        <f>IF(OR(H2195=0,P2195&lt;30),"Tier D (Đóng băng)",IF(P2195&gt;=85,"Tier S (Kim Cương: 85-100đ)",IF(P2195&gt;=70,"Tier A (Vàng: 70-84đ)",IF(P2195&gt;=61,"Tier B+ / Cấp A (Hot Lead: 61-69đ)",IF(P2195&gt;=50,"Tier B (Bạc: 50-60đ)","Tier C (Đồng: 30-49đ)")))))</f>
        <v/>
      </c>
      <c r="R2195" s="6" t="inlineStr">
        <is>
          <t>Khay vệ sinh chung cư (Indoor Potty) + Thảm cỏ ban công (Grass Patch) + Đồ chơi</t>
        </is>
      </c>
      <c r="S2195" s="6" t="inlineStr">
        <is>
          <t>Đóng băng tương tác (&gt;30 ngày): Lưu trữ chờ kích hoạt lại, không tốn tài nguyên Sales</t>
        </is>
      </c>
    </row>
    <row r="2196">
      <c r="A2196" s="59" t="n">
        <v>2463</v>
      </c>
      <c r="B2196" s="15" t="inlineStr">
        <is>
          <t>Pet portraits by Tamar Tabatadze</t>
        </is>
      </c>
      <c r="C2196" s="60" t="inlineStr">
        <is>
          <t>https://www.facebook.com/ArtbyTamo</t>
        </is>
      </c>
      <c r="D2196" s="9" t="inlineStr">
        <is>
          <t>Cần quét Bio Fanpage</t>
        </is>
      </c>
      <c r="E2196" s="59" t="inlineStr">
        <is>
          <t>12/06/2025 02:52:54</t>
        </is>
      </c>
      <c r="F2196" s="59" t="inlineStr">
        <is>
          <t>1 năm trước</t>
        </is>
      </c>
      <c r="G2196" s="61" t="n">
        <v>365</v>
      </c>
      <c r="H2196" s="62" t="n">
        <v>0</v>
      </c>
      <c r="I2196" s="9" t="inlineStr">
        <is>
          <t>Pet Owner / Cộng đồng nuôi cún (10đ)</t>
        </is>
      </c>
      <c r="J2196" s="62" t="n">
        <v>10</v>
      </c>
      <c r="K2196" s="9" t="inlineStr">
        <is>
          <t>Chưa rõ giống (Cần quét Bio)</t>
        </is>
      </c>
      <c r="L2196" s="62" t="n">
        <v>0</v>
      </c>
      <c r="M2196" s="62" t="n">
        <v>0</v>
      </c>
      <c r="N2196" s="9" t="inlineStr">
        <is>
          <t>Amazon link not found</t>
        </is>
      </c>
      <c r="O2196" s="62">
        <f>IF(N2196="Selling pet toys + Artificial grass/Pet toilets (TARGET)",15,IF(N2196="Selling artificial grass/pet toilets (TARGET)",10,IF(N2196="Selling pet toys",7,IF(N2196="There's an Amazon link, but no target sales.",3,0))))</f>
        <v/>
      </c>
      <c r="P2196" s="67">
        <f>H2196+J2196+L2196+M2196+O2196</f>
        <v/>
      </c>
      <c r="Q2196" s="68">
        <f>IF(OR(H2196=0,P2196&lt;30),"Tier D (Đóng băng)",IF(P2196&gt;=85,"Tier S (Kim Cương: 85-100đ)",IF(P2196&gt;=70,"Tier A (Vàng: 70-84đ)",IF(P2196&gt;=61,"Tier B+ / Cấp A (Hot Lead: 61-69đ)",IF(P2196&gt;=50,"Tier B (Bạc: 50-60đ)","Tier C (Đồng: 30-49đ)")))))</f>
        <v/>
      </c>
      <c r="R2196" s="9" t="inlineStr">
        <is>
          <t>Khay vệ sinh chung cư (Indoor Potty) + Thảm cỏ ban công (Grass Patch) + Đồ chơi</t>
        </is>
      </c>
      <c r="S2196" s="9" t="inlineStr">
        <is>
          <t>Đóng băng tương tác (&gt;30 ngày): Lưu trữ chờ kích hoạt lại, không tốn tài nguyên Sales</t>
        </is>
      </c>
    </row>
    <row r="2197">
      <c r="A2197" s="53" t="n">
        <v>1726</v>
      </c>
      <c r="B2197" s="12" t="inlineStr">
        <is>
          <t>International Canine Events, Grand Prix Dog Shows</t>
        </is>
      </c>
      <c r="C2197" s="54" t="inlineStr">
        <is>
          <t>https://www.facebook.com/IceDogShows</t>
        </is>
      </c>
      <c r="D2197" s="6" t="inlineStr">
        <is>
          <t>Cần quét Bio Fanpage</t>
        </is>
      </c>
      <c r="E2197" s="53" t="inlineStr">
        <is>
          <t>11/06/2025 21:08:00</t>
        </is>
      </c>
      <c r="F2197" s="53" t="inlineStr">
        <is>
          <t>1 năm trước</t>
        </is>
      </c>
      <c r="G2197" s="55" t="n">
        <v>365</v>
      </c>
      <c r="H2197" s="56" t="n">
        <v>0</v>
      </c>
      <c r="I2197" s="6" t="inlineStr">
        <is>
          <t>Pet Owner / Cộng đồng nuôi cún (10đ)</t>
        </is>
      </c>
      <c r="J2197" s="56" t="n">
        <v>10</v>
      </c>
      <c r="K2197" s="6" t="inlineStr">
        <is>
          <t>Chưa rõ giống (Cần quét Bio)</t>
        </is>
      </c>
      <c r="L2197" s="56" t="n">
        <v>0</v>
      </c>
      <c r="M2197" s="56" t="n">
        <v>0</v>
      </c>
      <c r="N2197" s="6" t="inlineStr">
        <is>
          <t>Amazon link not found</t>
        </is>
      </c>
      <c r="O2197" s="56">
        <f>IF(N2197="Selling pet toys + Artificial grass/Pet toilets (TARGET)",15,IF(N2197="Selling artificial grass/pet toilets (TARGET)",10,IF(N2197="Selling pet toys",7,IF(N2197="There's an Amazon link, but no target sales.",3,0))))</f>
        <v/>
      </c>
      <c r="P2197" s="65">
        <f>H2197+J2197+L2197+M2197+O2197</f>
        <v/>
      </c>
      <c r="Q2197" s="68">
        <f>IF(OR(H2197=0,P2197&lt;30),"Tier D (Đóng băng)",IF(P2197&gt;=85,"Tier S (Kim Cương: 85-100đ)",IF(P2197&gt;=70,"Tier A (Vàng: 70-84đ)",IF(P2197&gt;=61,"Tier B+ / Cấp A (Hot Lead: 61-69đ)",IF(P2197&gt;=50,"Tier B (Bạc: 50-60đ)","Tier C (Đồng: 30-49đ)")))))</f>
        <v/>
      </c>
      <c r="R2197" s="6" t="inlineStr">
        <is>
          <t>Khay vệ sinh chung cư (Indoor Potty) + Thảm cỏ ban công (Grass Patch) + Đồ chơi</t>
        </is>
      </c>
      <c r="S2197" s="6" t="inlineStr">
        <is>
          <t>Đóng băng tương tác (&gt;30 ngày): Lưu trữ chờ kích hoạt lại, không tốn tài nguyên Sales</t>
        </is>
      </c>
    </row>
    <row r="2198">
      <c r="A2198" s="59" t="n">
        <v>2227</v>
      </c>
      <c r="B2198" s="15" t="inlineStr">
        <is>
          <t>Mr Silver Trumpet</t>
        </is>
      </c>
      <c r="C2198" s="60" t="inlineStr">
        <is>
          <t>https://www.facebook.com/MrSilverTrumpet</t>
        </is>
      </c>
      <c r="D2198" s="9" t="inlineStr">
        <is>
          <t>Cần quét Bio Fanpage</t>
        </is>
      </c>
      <c r="E2198" s="59" t="inlineStr">
        <is>
          <t>10/05/2025 03:33:15</t>
        </is>
      </c>
      <c r="F2198" s="59" t="inlineStr">
        <is>
          <t>1 năm trước</t>
        </is>
      </c>
      <c r="G2198" s="61" t="n">
        <v>365</v>
      </c>
      <c r="H2198" s="62" t="n">
        <v>0</v>
      </c>
      <c r="I2198" s="9" t="inlineStr">
        <is>
          <t>Pet Owner / Cộng đồng nuôi cún (10đ)</t>
        </is>
      </c>
      <c r="J2198" s="62" t="n">
        <v>10</v>
      </c>
      <c r="K2198" s="9" t="inlineStr">
        <is>
          <t>Chưa rõ giống (Cần quét Bio)</t>
        </is>
      </c>
      <c r="L2198" s="62" t="n">
        <v>0</v>
      </c>
      <c r="M2198" s="62" t="n">
        <v>0</v>
      </c>
      <c r="N2198" s="9" t="inlineStr">
        <is>
          <t>Amazon link not found</t>
        </is>
      </c>
      <c r="O2198" s="62">
        <f>IF(N2198="Selling pet toys + Artificial grass/Pet toilets (TARGET)",15,IF(N2198="Selling artificial grass/pet toilets (TARGET)",10,IF(N2198="Selling pet toys",7,IF(N2198="There's an Amazon link, but no target sales.",3,0))))</f>
        <v/>
      </c>
      <c r="P2198" s="67">
        <f>H2198+J2198+L2198+M2198+O2198</f>
        <v/>
      </c>
      <c r="Q2198" s="68">
        <f>IF(OR(H2198=0,P2198&lt;30),"Tier D (Đóng băng)",IF(P2198&gt;=85,"Tier S (Kim Cương: 85-100đ)",IF(P2198&gt;=70,"Tier A (Vàng: 70-84đ)",IF(P2198&gt;=61,"Tier B+ / Cấp A (Hot Lead: 61-69đ)",IF(P2198&gt;=50,"Tier B (Bạc: 50-60đ)","Tier C (Đồng: 30-49đ)")))))</f>
        <v/>
      </c>
      <c r="R2198" s="9" t="inlineStr">
        <is>
          <t>Khay vệ sinh chung cư (Indoor Potty) + Thảm cỏ ban công (Grass Patch) + Đồ chơi</t>
        </is>
      </c>
      <c r="S2198" s="9" t="inlineStr">
        <is>
          <t>Đóng băng tương tác (&gt;30 ngày): Lưu trữ chờ kích hoạt lại, không tốn tài nguyên Sales</t>
        </is>
      </c>
    </row>
    <row r="2199">
      <c r="A2199" s="53" t="n">
        <v>2354</v>
      </c>
      <c r="B2199" s="12" t="inlineStr">
        <is>
          <t>OLD SKOOL COLLARS for Big-Ass Dogs</t>
        </is>
      </c>
      <c r="C2199" s="54" t="inlineStr">
        <is>
          <t>https://www.facebook.com/grizlee56</t>
        </is>
      </c>
      <c r="D2199" s="6" t="inlineStr">
        <is>
          <t>Cần quét Bio Fanpage</t>
        </is>
      </c>
      <c r="E2199" s="53" t="inlineStr">
        <is>
          <t>09/05/2025 05:46:57</t>
        </is>
      </c>
      <c r="F2199" s="53" t="inlineStr">
        <is>
          <t>1 năm trước</t>
        </is>
      </c>
      <c r="G2199" s="55" t="n">
        <v>365</v>
      </c>
      <c r="H2199" s="56" t="n">
        <v>0</v>
      </c>
      <c r="I2199" s="6" t="inlineStr">
        <is>
          <t>Pet Owner / Cộng đồng nuôi cún (10đ)</t>
        </is>
      </c>
      <c r="J2199" s="56" t="n">
        <v>10</v>
      </c>
      <c r="K2199" s="6" t="inlineStr">
        <is>
          <t>Chưa rõ giống (Cần quét Bio)</t>
        </is>
      </c>
      <c r="L2199" s="56" t="n">
        <v>0</v>
      </c>
      <c r="M2199" s="56" t="n">
        <v>0</v>
      </c>
      <c r="N2199" s="6" t="inlineStr">
        <is>
          <t>Amazon link not found</t>
        </is>
      </c>
      <c r="O2199" s="56">
        <f>IF(N2199="Selling pet toys + Artificial grass/Pet toilets (TARGET)",15,IF(N2199="Selling artificial grass/pet toilets (TARGET)",10,IF(N2199="Selling pet toys",7,IF(N2199="There's an Amazon link, but no target sales.",3,0))))</f>
        <v/>
      </c>
      <c r="P2199" s="65">
        <f>H2199+J2199+L2199+M2199+O2199</f>
        <v/>
      </c>
      <c r="Q2199" s="68">
        <f>IF(OR(H2199=0,P2199&lt;30),"Tier D (Đóng băng)",IF(P2199&gt;=85,"Tier S (Kim Cương: 85-100đ)",IF(P2199&gt;=70,"Tier A (Vàng: 70-84đ)",IF(P2199&gt;=61,"Tier B+ / Cấp A (Hot Lead: 61-69đ)",IF(P2199&gt;=50,"Tier B (Bạc: 50-60đ)","Tier C (Đồng: 30-49đ)")))))</f>
        <v/>
      </c>
      <c r="R2199" s="6" t="inlineStr">
        <is>
          <t>Khay vệ sinh chung cư (Indoor Potty) + Thảm cỏ ban công (Grass Patch) + Đồ chơi</t>
        </is>
      </c>
      <c r="S2199" s="6" t="inlineStr">
        <is>
          <t>Đóng băng tương tác (&gt;30 ngày): Lưu trữ chờ kích hoạt lại, không tốn tài nguyên Sales</t>
        </is>
      </c>
    </row>
    <row r="2200">
      <c r="A2200" s="59" t="n">
        <v>1982</v>
      </c>
      <c r="B2200" s="15" t="inlineStr">
        <is>
          <t>Landing Trail Stock Dogs</t>
        </is>
      </c>
      <c r="C2200" s="60" t="inlineStr">
        <is>
          <t>https://www.facebook.com/landingtrailstockdogs</t>
        </is>
      </c>
      <c r="D2200" s="9" t="inlineStr">
        <is>
          <t>Cần quét Bio Fanpage</t>
        </is>
      </c>
      <c r="E2200" s="59" t="inlineStr">
        <is>
          <t>01/05/2025 01:33:00</t>
        </is>
      </c>
      <c r="F2200" s="59" t="inlineStr">
        <is>
          <t>1 năm trước</t>
        </is>
      </c>
      <c r="G2200" s="61" t="n">
        <v>365</v>
      </c>
      <c r="H2200" s="62" t="n">
        <v>0</v>
      </c>
      <c r="I2200" s="9" t="inlineStr">
        <is>
          <t>Pet Owner / Cộng đồng nuôi cún (10đ)</t>
        </is>
      </c>
      <c r="J2200" s="62" t="n">
        <v>10</v>
      </c>
      <c r="K2200" s="9" t="inlineStr">
        <is>
          <t>Chưa rõ giống (Cần quét Bio)</t>
        </is>
      </c>
      <c r="L2200" s="62" t="n">
        <v>0</v>
      </c>
      <c r="M2200" s="62" t="n">
        <v>0</v>
      </c>
      <c r="N2200" s="9" t="inlineStr">
        <is>
          <t>Amazon link not found</t>
        </is>
      </c>
      <c r="O2200" s="62">
        <f>IF(N2200="Selling pet toys + Artificial grass/Pet toilets (TARGET)",15,IF(N2200="Selling artificial grass/pet toilets (TARGET)",10,IF(N2200="Selling pet toys",7,IF(N2200="There's an Amazon link, but no target sales.",3,0))))</f>
        <v/>
      </c>
      <c r="P2200" s="67">
        <f>H2200+J2200+L2200+M2200+O2200</f>
        <v/>
      </c>
      <c r="Q2200" s="68">
        <f>IF(OR(H2200=0,P2200&lt;30),"Tier D (Đóng băng)",IF(P2200&gt;=85,"Tier S (Kim Cương: 85-100đ)",IF(P2200&gt;=70,"Tier A (Vàng: 70-84đ)",IF(P2200&gt;=61,"Tier B+ / Cấp A (Hot Lead: 61-69đ)",IF(P2200&gt;=50,"Tier B (Bạc: 50-60đ)","Tier C (Đồng: 30-49đ)")))))</f>
        <v/>
      </c>
      <c r="R2200" s="9" t="inlineStr">
        <is>
          <t>Khay vệ sinh chung cư (Indoor Potty) + Thảm cỏ ban công (Grass Patch) + Đồ chơi</t>
        </is>
      </c>
      <c r="S2200" s="9" t="inlineStr">
        <is>
          <t>Đóng băng tương tác (&gt;30 ngày): Lưu trữ chờ kích hoạt lại, không tốn tài nguyên Sales</t>
        </is>
      </c>
    </row>
    <row r="2201">
      <c r="A2201" s="53" t="n">
        <v>2242</v>
      </c>
      <c r="B2201" s="12" t="inlineStr">
        <is>
          <t>My Dogs</t>
        </is>
      </c>
      <c r="C2201" s="54" t="inlineStr">
        <is>
          <t>https://www.facebook.com/profile.php?id=100067628705024</t>
        </is>
      </c>
      <c r="D2201" s="6" t="inlineStr">
        <is>
          <t>Cần quét Bio Fanpage</t>
        </is>
      </c>
      <c r="E2201" s="53" t="inlineStr">
        <is>
          <t>24/04/2025 10:26:46</t>
        </is>
      </c>
      <c r="F2201" s="53" t="inlineStr">
        <is>
          <t>1 năm trước</t>
        </is>
      </c>
      <c r="G2201" s="55" t="n">
        <v>365</v>
      </c>
      <c r="H2201" s="56" t="n">
        <v>0</v>
      </c>
      <c r="I2201" s="6" t="inlineStr">
        <is>
          <t>Pet Owner / Cộng đồng nuôi cún (10đ)</t>
        </is>
      </c>
      <c r="J2201" s="56" t="n">
        <v>10</v>
      </c>
      <c r="K2201" s="6" t="inlineStr">
        <is>
          <t>Chưa rõ giống (Cần quét Bio)</t>
        </is>
      </c>
      <c r="L2201" s="56" t="n">
        <v>0</v>
      </c>
      <c r="M2201" s="56" t="n">
        <v>0</v>
      </c>
      <c r="N2201" s="6" t="inlineStr">
        <is>
          <t>Amazon link not found</t>
        </is>
      </c>
      <c r="O2201" s="56">
        <f>IF(N2201="Selling pet toys + Artificial grass/Pet toilets (TARGET)",15,IF(N2201="Selling artificial grass/pet toilets (TARGET)",10,IF(N2201="Selling pet toys",7,IF(N2201="There's an Amazon link, but no target sales.",3,0))))</f>
        <v/>
      </c>
      <c r="P2201" s="65">
        <f>H2201+J2201+L2201+M2201+O2201</f>
        <v/>
      </c>
      <c r="Q2201" s="68">
        <f>IF(OR(H2201=0,P2201&lt;30),"Tier D (Đóng băng)",IF(P2201&gt;=85,"Tier S (Kim Cương: 85-100đ)",IF(P2201&gt;=70,"Tier A (Vàng: 70-84đ)",IF(P2201&gt;=61,"Tier B+ / Cấp A (Hot Lead: 61-69đ)",IF(P2201&gt;=50,"Tier B (Bạc: 50-60đ)","Tier C (Đồng: 30-49đ)")))))</f>
        <v/>
      </c>
      <c r="R2201" s="6" t="inlineStr">
        <is>
          <t>Khay vệ sinh chung cư (Indoor Potty) + Thảm cỏ ban công (Grass Patch) + Đồ chơi</t>
        </is>
      </c>
      <c r="S2201" s="6" t="inlineStr">
        <is>
          <t>Đóng băng tương tác (&gt;30 ngày): Lưu trữ chờ kích hoạt lại, không tốn tài nguyên Sales</t>
        </is>
      </c>
    </row>
    <row r="2202">
      <c r="A2202" s="59" t="n">
        <v>2556</v>
      </c>
      <c r="B2202" s="15" t="inlineStr">
        <is>
          <t>PetsyHome</t>
        </is>
      </c>
      <c r="C2202" s="60" t="inlineStr">
        <is>
          <t>https://www.facebook.com/profile.php?id=61560574871378</t>
        </is>
      </c>
      <c r="D2202" s="9" t="inlineStr">
        <is>
          <t>Cần quét Bio Fanpage</t>
        </is>
      </c>
      <c r="E2202" s="59" t="inlineStr">
        <is>
          <t>12/04/2025 16:30:02</t>
        </is>
      </c>
      <c r="F2202" s="59" t="inlineStr">
        <is>
          <t>1 năm trước</t>
        </is>
      </c>
      <c r="G2202" s="61" t="n">
        <v>365</v>
      </c>
      <c r="H2202" s="62" t="n">
        <v>0</v>
      </c>
      <c r="I2202" s="9" t="inlineStr">
        <is>
          <t>Pet Owner / Cộng đồng nuôi cún (10đ)</t>
        </is>
      </c>
      <c r="J2202" s="62" t="n">
        <v>10</v>
      </c>
      <c r="K2202" s="9" t="inlineStr">
        <is>
          <t>Chưa rõ giống (Cần quét Bio)</t>
        </is>
      </c>
      <c r="L2202" s="62" t="n">
        <v>0</v>
      </c>
      <c r="M2202" s="62" t="n">
        <v>0</v>
      </c>
      <c r="N2202" s="9" t="inlineStr">
        <is>
          <t>Amazon link not found</t>
        </is>
      </c>
      <c r="O2202" s="62">
        <f>IF(N2202="Selling pet toys + Artificial grass/Pet toilets (TARGET)",15,IF(N2202="Selling artificial grass/pet toilets (TARGET)",10,IF(N2202="Selling pet toys",7,IF(N2202="There's an Amazon link, but no target sales.",3,0))))</f>
        <v/>
      </c>
      <c r="P2202" s="67">
        <f>H2202+J2202+L2202+M2202+O2202</f>
        <v/>
      </c>
      <c r="Q2202" s="68">
        <f>IF(OR(H2202=0,P2202&lt;30),"Tier D (Đóng băng)",IF(P2202&gt;=85,"Tier S (Kim Cương: 85-100đ)",IF(P2202&gt;=70,"Tier A (Vàng: 70-84đ)",IF(P2202&gt;=61,"Tier B+ / Cấp A (Hot Lead: 61-69đ)",IF(P2202&gt;=50,"Tier B (Bạc: 50-60đ)","Tier C (Đồng: 30-49đ)")))))</f>
        <v/>
      </c>
      <c r="R2202" s="9" t="inlineStr">
        <is>
          <t>Khay vệ sinh chung cư (Indoor Potty) + Thảm cỏ ban công (Grass Patch) + Đồ chơi</t>
        </is>
      </c>
      <c r="S2202" s="9" t="inlineStr">
        <is>
          <t>Đóng băng tương tác (&gt;30 ngày): Lưu trữ chờ kích hoạt lại, không tốn tài nguyên Sales</t>
        </is>
      </c>
    </row>
    <row r="2203">
      <c r="A2203" s="53" t="n">
        <v>609</v>
      </c>
      <c r="B2203" s="12" t="inlineStr">
        <is>
          <t>Be More Dog</t>
        </is>
      </c>
      <c r="C2203" s="54" t="inlineStr">
        <is>
          <t>https://www.facebook.com/BeMoreDogAU</t>
        </is>
      </c>
      <c r="D2203" s="6" t="inlineStr">
        <is>
          <t>Cần quét Bio Fanpage</t>
        </is>
      </c>
      <c r="E2203" s="53" t="inlineStr">
        <is>
          <t>03/04/2025 08:11:55</t>
        </is>
      </c>
      <c r="F2203" s="53" t="inlineStr">
        <is>
          <t>1 năm trước</t>
        </is>
      </c>
      <c r="G2203" s="55" t="n">
        <v>365</v>
      </c>
      <c r="H2203" s="56" t="n">
        <v>0</v>
      </c>
      <c r="I2203" s="6" t="inlineStr">
        <is>
          <t>Pet Owner / Cộng đồng nuôi cún (10đ)</t>
        </is>
      </c>
      <c r="J2203" s="56" t="n">
        <v>10</v>
      </c>
      <c r="K2203" s="6" t="inlineStr">
        <is>
          <t>Chưa rõ giống (Cần quét Bio)</t>
        </is>
      </c>
      <c r="L2203" s="56" t="n">
        <v>0</v>
      </c>
      <c r="M2203" s="56" t="n">
        <v>0</v>
      </c>
      <c r="N2203" s="6" t="inlineStr">
        <is>
          <t>Amazon link not found</t>
        </is>
      </c>
      <c r="O2203" s="56">
        <f>IF(N2203="Selling pet toys + Artificial grass/Pet toilets (TARGET)",15,IF(N2203="Selling artificial grass/pet toilets (TARGET)",10,IF(N2203="Selling pet toys",7,IF(N2203="There's an Amazon link, but no target sales.",3,0))))</f>
        <v/>
      </c>
      <c r="P2203" s="65">
        <f>H2203+J2203+L2203+M2203+O2203</f>
        <v/>
      </c>
      <c r="Q2203" s="68">
        <f>IF(OR(H2203=0,P2203&lt;30),"Tier D (Đóng băng)",IF(P2203&gt;=85,"Tier S (Kim Cương: 85-100đ)",IF(P2203&gt;=70,"Tier A (Vàng: 70-84đ)",IF(P2203&gt;=61,"Tier B+ / Cấp A (Hot Lead: 61-69đ)",IF(P2203&gt;=50,"Tier B (Bạc: 50-60đ)","Tier C (Đồng: 30-49đ)")))))</f>
        <v/>
      </c>
      <c r="R2203" s="6" t="inlineStr">
        <is>
          <t>Khay vệ sinh chung cư (Indoor Potty) + Thảm cỏ ban công (Grass Patch) + Đồ chơi</t>
        </is>
      </c>
      <c r="S2203" s="6" t="inlineStr">
        <is>
          <t>Đóng băng tương tác (&gt;30 ngày): Lưu trữ chờ kích hoạt lại, không tốn tài nguyên Sales</t>
        </is>
      </c>
    </row>
    <row r="2204">
      <c r="A2204" s="59" t="n">
        <v>2859</v>
      </c>
      <c r="B2204" s="15" t="inlineStr">
        <is>
          <t>Serendipitous Doggie Delights</t>
        </is>
      </c>
      <c r="C2204" s="60" t="inlineStr">
        <is>
          <t>https://www.facebook.com/profile.php?id=61554420895667</t>
        </is>
      </c>
      <c r="D2204" s="9" t="inlineStr">
        <is>
          <t>Cần quét Bio Fanpage</t>
        </is>
      </c>
      <c r="E2204" s="59" t="inlineStr">
        <is>
          <t>25/03/2025 06:24:02</t>
        </is>
      </c>
      <c r="F2204" s="59" t="inlineStr">
        <is>
          <t>1 năm trước</t>
        </is>
      </c>
      <c r="G2204" s="61" t="n">
        <v>365</v>
      </c>
      <c r="H2204" s="62" t="n">
        <v>0</v>
      </c>
      <c r="I2204" s="9" t="inlineStr">
        <is>
          <t>Pet Owner / Cộng đồng nuôi cún (10đ)</t>
        </is>
      </c>
      <c r="J2204" s="62" t="n">
        <v>10</v>
      </c>
      <c r="K2204" s="9" t="inlineStr">
        <is>
          <t>Chưa rõ giống (Cần quét Bio)</t>
        </is>
      </c>
      <c r="L2204" s="62" t="n">
        <v>0</v>
      </c>
      <c r="M2204" s="62" t="n">
        <v>0</v>
      </c>
      <c r="N2204" s="9" t="inlineStr">
        <is>
          <t>Amazon link not found</t>
        </is>
      </c>
      <c r="O2204" s="62">
        <f>IF(N2204="Selling pet toys + Artificial grass/Pet toilets (TARGET)",15,IF(N2204="Selling artificial grass/pet toilets (TARGET)",10,IF(N2204="Selling pet toys",7,IF(N2204="There's an Amazon link, but no target sales.",3,0))))</f>
        <v/>
      </c>
      <c r="P2204" s="67">
        <f>H2204+J2204+L2204+M2204+O2204</f>
        <v/>
      </c>
      <c r="Q2204" s="68">
        <f>IF(OR(H2204=0,P2204&lt;30),"Tier D (Đóng băng)",IF(P2204&gt;=85,"Tier S (Kim Cương: 85-100đ)",IF(P2204&gt;=70,"Tier A (Vàng: 70-84đ)",IF(P2204&gt;=61,"Tier B+ / Cấp A (Hot Lead: 61-69đ)",IF(P2204&gt;=50,"Tier B (Bạc: 50-60đ)","Tier C (Đồng: 30-49đ)")))))</f>
        <v/>
      </c>
      <c r="R2204" s="9" t="inlineStr">
        <is>
          <t>Khay vệ sinh chung cư (Indoor Potty) + Thảm cỏ ban công (Grass Patch) + Đồ chơi</t>
        </is>
      </c>
      <c r="S2204" s="9" t="inlineStr">
        <is>
          <t>Đóng băng tương tác (&gt;30 ngày): Lưu trữ chờ kích hoạt lại, không tốn tài nguyên Sales</t>
        </is>
      </c>
    </row>
    <row r="2205">
      <c r="A2205" s="53" t="n">
        <v>2895</v>
      </c>
      <c r="B2205" s="12" t="inlineStr">
        <is>
          <t>Sierra Pet Meds</t>
        </is>
      </c>
      <c r="C2205" s="54" t="inlineStr">
        <is>
          <t>https://www.facebook.com/sierrapetmeds</t>
        </is>
      </c>
      <c r="D2205" s="6" t="inlineStr">
        <is>
          <t>Cần quét Bio Fanpage</t>
        </is>
      </c>
      <c r="E2205" s="53" t="inlineStr">
        <is>
          <t>21/03/2025 07:36:09</t>
        </is>
      </c>
      <c r="F2205" s="53" t="inlineStr">
        <is>
          <t>1 năm trước</t>
        </is>
      </c>
      <c r="G2205" s="55" t="n">
        <v>365</v>
      </c>
      <c r="H2205" s="56" t="n">
        <v>0</v>
      </c>
      <c r="I2205" s="6" t="inlineStr">
        <is>
          <t>Pet Owner / Cộng đồng nuôi cún (10đ)</t>
        </is>
      </c>
      <c r="J2205" s="56" t="n">
        <v>10</v>
      </c>
      <c r="K2205" s="6" t="inlineStr">
        <is>
          <t>Chưa rõ giống (Cần quét Bio)</t>
        </is>
      </c>
      <c r="L2205" s="56" t="n">
        <v>0</v>
      </c>
      <c r="M2205" s="56" t="n">
        <v>0</v>
      </c>
      <c r="N2205" s="6" t="inlineStr">
        <is>
          <t>Amazon link not found</t>
        </is>
      </c>
      <c r="O2205" s="56">
        <f>IF(N2205="Selling pet toys + Artificial grass/Pet toilets (TARGET)",15,IF(N2205="Selling artificial grass/pet toilets (TARGET)",10,IF(N2205="Selling pet toys",7,IF(N2205="There's an Amazon link, but no target sales.",3,0))))</f>
        <v/>
      </c>
      <c r="P2205" s="65">
        <f>H2205+J2205+L2205+M2205+O2205</f>
        <v/>
      </c>
      <c r="Q2205" s="68">
        <f>IF(OR(H2205=0,P2205&lt;30),"Tier D (Đóng băng)",IF(P2205&gt;=85,"Tier S (Kim Cương: 85-100đ)",IF(P2205&gt;=70,"Tier A (Vàng: 70-84đ)",IF(P2205&gt;=61,"Tier B+ / Cấp A (Hot Lead: 61-69đ)",IF(P2205&gt;=50,"Tier B (Bạc: 50-60đ)","Tier C (Đồng: 30-49đ)")))))</f>
        <v/>
      </c>
      <c r="R2205" s="6" t="inlineStr">
        <is>
          <t>Khay vệ sinh chung cư (Indoor Potty) + Thảm cỏ ban công (Grass Patch) + Đồ chơi</t>
        </is>
      </c>
      <c r="S2205" s="6" t="inlineStr">
        <is>
          <t>Đóng băng tương tác (&gt;30 ngày): Lưu trữ chờ kích hoạt lại, không tốn tài nguyên Sales</t>
        </is>
      </c>
    </row>
    <row r="2206">
      <c r="A2206" s="59" t="n">
        <v>1156</v>
      </c>
      <c r="B2206" s="15" t="inlineStr">
        <is>
          <t>Dogs</t>
        </is>
      </c>
      <c r="C2206" s="60" t="inlineStr">
        <is>
          <t>https://www.facebook.com/dogsmusic</t>
        </is>
      </c>
      <c r="D2206" s="9" t="inlineStr">
        <is>
          <t>Cần quét Bio Fanpage</t>
        </is>
      </c>
      <c r="E2206" s="59" t="inlineStr">
        <is>
          <t>07/03/2025 15:16:18</t>
        </is>
      </c>
      <c r="F2206" s="59" t="inlineStr">
        <is>
          <t>1 năm trước</t>
        </is>
      </c>
      <c r="G2206" s="61" t="n">
        <v>365</v>
      </c>
      <c r="H2206" s="62" t="n">
        <v>0</v>
      </c>
      <c r="I2206" s="9" t="inlineStr">
        <is>
          <t>Pet Owner / Cộng đồng nuôi cún (10đ)</t>
        </is>
      </c>
      <c r="J2206" s="62" t="n">
        <v>10</v>
      </c>
      <c r="K2206" s="9" t="inlineStr">
        <is>
          <t>Chưa rõ giống (Cần quét Bio)</t>
        </is>
      </c>
      <c r="L2206" s="62" t="n">
        <v>0</v>
      </c>
      <c r="M2206" s="62" t="n">
        <v>0</v>
      </c>
      <c r="N2206" s="9" t="inlineStr">
        <is>
          <t>Amazon link not found</t>
        </is>
      </c>
      <c r="O2206" s="62">
        <f>IF(N2206="Selling pet toys + Artificial grass/Pet toilets (TARGET)",15,IF(N2206="Selling artificial grass/pet toilets (TARGET)",10,IF(N2206="Selling pet toys",7,IF(N2206="There's an Amazon link, but no target sales.",3,0))))</f>
        <v/>
      </c>
      <c r="P2206" s="67">
        <f>H2206+J2206+L2206+M2206+O2206</f>
        <v/>
      </c>
      <c r="Q2206" s="68">
        <f>IF(OR(H2206=0,P2206&lt;30),"Tier D (Đóng băng)",IF(P2206&gt;=85,"Tier S (Kim Cương: 85-100đ)",IF(P2206&gt;=70,"Tier A (Vàng: 70-84đ)",IF(P2206&gt;=61,"Tier B+ / Cấp A (Hot Lead: 61-69đ)",IF(P2206&gt;=50,"Tier B (Bạc: 50-60đ)","Tier C (Đồng: 30-49đ)")))))</f>
        <v/>
      </c>
      <c r="R2206" s="9" t="inlineStr">
        <is>
          <t>Khay vệ sinh chung cư (Indoor Potty) + Thảm cỏ ban công (Grass Patch) + Đồ chơi</t>
        </is>
      </c>
      <c r="S2206" s="9" t="inlineStr">
        <is>
          <t>Đóng băng tương tác (&gt;30 ngày): Lưu trữ chờ kích hoạt lại, không tốn tài nguyên Sales</t>
        </is>
      </c>
    </row>
    <row r="2207">
      <c r="A2207" s="53" t="n">
        <v>1134</v>
      </c>
      <c r="B2207" s="12" t="inlineStr">
        <is>
          <t>Doggy Tales</t>
        </is>
      </c>
      <c r="C2207" s="54" t="inlineStr">
        <is>
          <t>https://www.facebook.com/doggytalesga</t>
        </is>
      </c>
      <c r="D2207" s="6" t="inlineStr">
        <is>
          <t>Cần quét Bio Fanpage</t>
        </is>
      </c>
      <c r="E2207" s="53" t="inlineStr">
        <is>
          <t>05/03/2025 08:41:55</t>
        </is>
      </c>
      <c r="F2207" s="53" t="inlineStr">
        <is>
          <t>1 năm trước</t>
        </is>
      </c>
      <c r="G2207" s="55" t="n">
        <v>365</v>
      </c>
      <c r="H2207" s="56" t="n">
        <v>0</v>
      </c>
      <c r="I2207" s="6" t="inlineStr">
        <is>
          <t>Pet Owner / Kênh cá nhân thú cưng (10đ)</t>
        </is>
      </c>
      <c r="J2207" s="56" t="n">
        <v>10</v>
      </c>
      <c r="K2207" s="6" t="inlineStr">
        <is>
          <t>Chưa rõ giống (Cần quét Bio)</t>
        </is>
      </c>
      <c r="L2207" s="56" t="n">
        <v>0</v>
      </c>
      <c r="M2207" s="56" t="n">
        <v>0</v>
      </c>
      <c r="N2207" s="6" t="inlineStr">
        <is>
          <t>Amazon link not found</t>
        </is>
      </c>
      <c r="O2207" s="56">
        <f>IF(N2207="Selling pet toys + Artificial grass/Pet toilets (TARGET)",15,IF(N2207="Selling artificial grass/pet toilets (TARGET)",10,IF(N2207="Selling pet toys",7,IF(N2207="There's an Amazon link, but no target sales.",3,0))))</f>
        <v/>
      </c>
      <c r="P2207" s="65">
        <f>H2207+J2207+L2207+M2207+O2207</f>
        <v/>
      </c>
      <c r="Q2207" s="68">
        <f>IF(OR(H2207=0,P2207&lt;30),"Tier D (Đóng băng)",IF(P2207&gt;=85,"Tier S (Kim Cương: 85-100đ)",IF(P2207&gt;=70,"Tier A (Vàng: 70-84đ)",IF(P2207&gt;=61,"Tier B+ / Cấp A (Hot Lead: 61-69đ)",IF(P2207&gt;=50,"Tier B (Bạc: 50-60đ)","Tier C (Đồng: 30-49đ)")))))</f>
        <v/>
      </c>
      <c r="R2207" s="6" t="inlineStr">
        <is>
          <t>Khay vệ sinh trong nhà (Indoor Dog Potty) + Đồ chơi thú cưng lẻ</t>
        </is>
      </c>
      <c r="S2207" s="6" t="inlineStr">
        <is>
          <t>Đóng băng tương tác (&gt;30 ngày): Lưu trữ chờ kích hoạt lại, không tốn tài nguyên Sales</t>
        </is>
      </c>
    </row>
    <row r="2208">
      <c r="A2208" s="59" t="n">
        <v>2027</v>
      </c>
      <c r="B2208" s="15" t="inlineStr">
        <is>
          <t>Line Nine Pets</t>
        </is>
      </c>
      <c r="C2208" s="60" t="inlineStr">
        <is>
          <t>https://www.facebook.com/profile.php?id=61573830718645</t>
        </is>
      </c>
      <c r="D2208" s="9" t="inlineStr">
        <is>
          <t>Cần quét Bio Fanpage</t>
        </is>
      </c>
      <c r="E2208" s="59" t="inlineStr">
        <is>
          <t>03/03/2025 06:37:41</t>
        </is>
      </c>
      <c r="F2208" s="59" t="inlineStr">
        <is>
          <t>1 năm trước</t>
        </is>
      </c>
      <c r="G2208" s="61" t="n">
        <v>365</v>
      </c>
      <c r="H2208" s="62" t="n">
        <v>0</v>
      </c>
      <c r="I2208" s="9" t="inlineStr">
        <is>
          <t>Pet Owner / Cộng đồng nuôi cún (10đ)</t>
        </is>
      </c>
      <c r="J2208" s="62" t="n">
        <v>10</v>
      </c>
      <c r="K2208" s="9" t="inlineStr">
        <is>
          <t>Chưa rõ giống (Cần quét Bio)</t>
        </is>
      </c>
      <c r="L2208" s="62" t="n">
        <v>0</v>
      </c>
      <c r="M2208" s="62" t="n">
        <v>0</v>
      </c>
      <c r="N2208" s="9" t="inlineStr">
        <is>
          <t>Amazon link not found</t>
        </is>
      </c>
      <c r="O2208" s="62">
        <f>IF(N2208="Selling pet toys + Artificial grass/Pet toilets (TARGET)",15,IF(N2208="Selling artificial grass/pet toilets (TARGET)",10,IF(N2208="Selling pet toys",7,IF(N2208="There's an Amazon link, but no target sales.",3,0))))</f>
        <v/>
      </c>
      <c r="P2208" s="67">
        <f>H2208+J2208+L2208+M2208+O2208</f>
        <v/>
      </c>
      <c r="Q2208" s="68">
        <f>IF(OR(H2208=0,P2208&lt;30),"Tier D (Đóng băng)",IF(P2208&gt;=85,"Tier S (Kim Cương: 85-100đ)",IF(P2208&gt;=70,"Tier A (Vàng: 70-84đ)",IF(P2208&gt;=61,"Tier B+ / Cấp A (Hot Lead: 61-69đ)",IF(P2208&gt;=50,"Tier B (Bạc: 50-60đ)","Tier C (Đồng: 30-49đ)")))))</f>
        <v/>
      </c>
      <c r="R2208" s="9" t="inlineStr">
        <is>
          <t>Khay vệ sinh chung cư (Indoor Potty) + Thảm cỏ ban công (Grass Patch) + Đồ chơi</t>
        </is>
      </c>
      <c r="S2208" s="9" t="inlineStr">
        <is>
          <t>Đóng băng tương tác (&gt;30 ngày): Lưu trữ chờ kích hoạt lại, không tốn tài nguyên Sales</t>
        </is>
      </c>
    </row>
    <row r="2209">
      <c r="A2209" s="53" t="n">
        <v>1069</v>
      </c>
      <c r="B2209" s="12" t="inlineStr">
        <is>
          <t>Dog Guard of Louisiana</t>
        </is>
      </c>
      <c r="C2209" s="54" t="inlineStr">
        <is>
          <t>https://www.facebook.com/dogguardfencing</t>
        </is>
      </c>
      <c r="D2209" s="6" t="inlineStr">
        <is>
          <t>Cần quét Bio Fanpage</t>
        </is>
      </c>
      <c r="E2209" s="53" t="inlineStr">
        <is>
          <t>02/03/2025 05:13:04</t>
        </is>
      </c>
      <c r="F2209" s="53" t="inlineStr">
        <is>
          <t>1 năm trước</t>
        </is>
      </c>
      <c r="G2209" s="55" t="n">
        <v>365</v>
      </c>
      <c r="H2209" s="56" t="n">
        <v>0</v>
      </c>
      <c r="I2209" s="6" t="inlineStr">
        <is>
          <t>Pet Owner / Cộng đồng nuôi cún (10đ)</t>
        </is>
      </c>
      <c r="J2209" s="56" t="n">
        <v>10</v>
      </c>
      <c r="K2209" s="6" t="inlineStr">
        <is>
          <t>Chưa rõ giống (Cần quét Bio)</t>
        </is>
      </c>
      <c r="L2209" s="56" t="n">
        <v>0</v>
      </c>
      <c r="M2209" s="56" t="n">
        <v>0</v>
      </c>
      <c r="N2209" s="6" t="inlineStr">
        <is>
          <t>Amazon link not found</t>
        </is>
      </c>
      <c r="O2209" s="56">
        <f>IF(N2209="Selling pet toys + Artificial grass/Pet toilets (TARGET)",15,IF(N2209="Selling artificial grass/pet toilets (TARGET)",10,IF(N2209="Selling pet toys",7,IF(N2209="There's an Amazon link, but no target sales.",3,0))))</f>
        <v/>
      </c>
      <c r="P2209" s="65">
        <f>H2209+J2209+L2209+M2209+O2209</f>
        <v/>
      </c>
      <c r="Q2209" s="68">
        <f>IF(OR(H2209=0,P2209&lt;30),"Tier D (Đóng băng)",IF(P2209&gt;=85,"Tier S (Kim Cương: 85-100đ)",IF(P2209&gt;=70,"Tier A (Vàng: 70-84đ)",IF(P2209&gt;=61,"Tier B+ / Cấp A (Hot Lead: 61-69đ)",IF(P2209&gt;=50,"Tier B (Bạc: 50-60đ)","Tier C (Đồng: 30-49đ)")))))</f>
        <v/>
      </c>
      <c r="R2209" s="6" t="inlineStr">
        <is>
          <t>Khay vệ sinh chung cư (Indoor Potty) + Thảm cỏ ban công (Grass Patch) + Đồ chơi</t>
        </is>
      </c>
      <c r="S2209" s="6" t="inlineStr">
        <is>
          <t>Đóng băng tương tác (&gt;30 ngày): Lưu trữ chờ kích hoạt lại, không tốn tài nguyên Sales</t>
        </is>
      </c>
    </row>
    <row r="2210">
      <c r="A2210" s="59" t="n">
        <v>2507</v>
      </c>
      <c r="B2210" s="15" t="inlineStr">
        <is>
          <t>Petfriendly  (Pet Friendly)</t>
        </is>
      </c>
      <c r="C2210" s="60" t="inlineStr">
        <is>
          <t>https://www.facebook.com/petfriendlysouthafrica</t>
        </is>
      </c>
      <c r="D2210" s="9" t="inlineStr">
        <is>
          <t>Cần quét Bio Fanpage</t>
        </is>
      </c>
      <c r="E2210" s="59" t="inlineStr">
        <is>
          <t>15/02/2025 14:50:13</t>
        </is>
      </c>
      <c r="F2210" s="59" t="inlineStr">
        <is>
          <t>1 năm trước</t>
        </is>
      </c>
      <c r="G2210" s="61" t="n">
        <v>365</v>
      </c>
      <c r="H2210" s="62" t="n">
        <v>0</v>
      </c>
      <c r="I2210" s="9" t="inlineStr">
        <is>
          <t>Pet Owner / Cộng đồng nuôi cún (10đ)</t>
        </is>
      </c>
      <c r="J2210" s="62" t="n">
        <v>10</v>
      </c>
      <c r="K2210" s="9" t="inlineStr">
        <is>
          <t>Chưa rõ giống (Cần quét Bio)</t>
        </is>
      </c>
      <c r="L2210" s="62" t="n">
        <v>0</v>
      </c>
      <c r="M2210" s="62" t="n">
        <v>0</v>
      </c>
      <c r="N2210" s="9" t="inlineStr">
        <is>
          <t>Amazon link not found</t>
        </is>
      </c>
      <c r="O2210" s="62">
        <f>IF(N2210="Selling pet toys + Artificial grass/Pet toilets (TARGET)",15,IF(N2210="Selling artificial grass/pet toilets (TARGET)",10,IF(N2210="Selling pet toys",7,IF(N2210="There's an Amazon link, but no target sales.",3,0))))</f>
        <v/>
      </c>
      <c r="P2210" s="67">
        <f>H2210+J2210+L2210+M2210+O2210</f>
        <v/>
      </c>
      <c r="Q2210" s="68">
        <f>IF(OR(H2210=0,P2210&lt;30),"Tier D (Đóng băng)",IF(P2210&gt;=85,"Tier S (Kim Cương: 85-100đ)",IF(P2210&gt;=70,"Tier A (Vàng: 70-84đ)",IF(P2210&gt;=61,"Tier B+ / Cấp A (Hot Lead: 61-69đ)",IF(P2210&gt;=50,"Tier B (Bạc: 50-60đ)","Tier C (Đồng: 30-49đ)")))))</f>
        <v/>
      </c>
      <c r="R2210" s="9" t="inlineStr">
        <is>
          <t>Khay vệ sinh chung cư (Indoor Potty) + Thảm cỏ ban công (Grass Patch) + Đồ chơi</t>
        </is>
      </c>
      <c r="S2210" s="9" t="inlineStr">
        <is>
          <t>Đóng băng tương tác (&gt;30 ngày): Lưu trữ chờ kích hoạt lại, không tốn tài nguyên Sales</t>
        </is>
      </c>
    </row>
    <row r="2211">
      <c r="A2211" s="53" t="n">
        <v>1084</v>
      </c>
      <c r="B2211" s="12" t="inlineStr">
        <is>
          <t>DOG HOME by KP Home</t>
        </is>
      </c>
      <c r="C2211" s="54" t="inlineStr">
        <is>
          <t>https://www.facebook.com/profile.php?id=100082485678011</t>
        </is>
      </c>
      <c r="D2211" s="6" t="inlineStr">
        <is>
          <t>Cần quét Bio Fanpage</t>
        </is>
      </c>
      <c r="E2211" s="53" t="inlineStr">
        <is>
          <t>08/02/2025 20:44:17</t>
        </is>
      </c>
      <c r="F2211" s="53" t="inlineStr">
        <is>
          <t>1 năm trước</t>
        </is>
      </c>
      <c r="G2211" s="55" t="n">
        <v>365</v>
      </c>
      <c r="H2211" s="56" t="n">
        <v>0</v>
      </c>
      <c r="I2211" s="6" t="inlineStr">
        <is>
          <t>Pet Owner / Cộng đồng nuôi cún (10đ)</t>
        </is>
      </c>
      <c r="J2211" s="56" t="n">
        <v>10</v>
      </c>
      <c r="K2211" s="6" t="inlineStr">
        <is>
          <t>Chưa rõ giống (Cần quét Bio)</t>
        </is>
      </c>
      <c r="L2211" s="56" t="n">
        <v>0</v>
      </c>
      <c r="M2211" s="56" t="n">
        <v>0</v>
      </c>
      <c r="N2211" s="6" t="inlineStr">
        <is>
          <t>Amazon link not found</t>
        </is>
      </c>
      <c r="O2211" s="56">
        <f>IF(N2211="Selling pet toys + Artificial grass/Pet toilets (TARGET)",15,IF(N2211="Selling artificial grass/pet toilets (TARGET)",10,IF(N2211="Selling pet toys",7,IF(N2211="There's an Amazon link, but no target sales.",3,0))))</f>
        <v/>
      </c>
      <c r="P2211" s="65">
        <f>H2211+J2211+L2211+M2211+O2211</f>
        <v/>
      </c>
      <c r="Q2211" s="68">
        <f>IF(OR(H2211=0,P2211&lt;30),"Tier D (Đóng băng)",IF(P2211&gt;=85,"Tier S (Kim Cương: 85-100đ)",IF(P2211&gt;=70,"Tier A (Vàng: 70-84đ)",IF(P2211&gt;=61,"Tier B+ / Cấp A (Hot Lead: 61-69đ)",IF(P2211&gt;=50,"Tier B (Bạc: 50-60đ)","Tier C (Đồng: 30-49đ)")))))</f>
        <v/>
      </c>
      <c r="R2211" s="6" t="inlineStr">
        <is>
          <t>Khay vệ sinh chung cư (Indoor Potty) + Thảm cỏ ban công (Grass Patch) + Đồ chơi</t>
        </is>
      </c>
      <c r="S2211" s="6" t="inlineStr">
        <is>
          <t>Đóng băng tương tác (&gt;30 ngày): Lưu trữ chờ kích hoạt lại, không tốn tài nguyên Sales</t>
        </is>
      </c>
    </row>
    <row r="2212">
      <c r="A2212" s="59" t="n">
        <v>2797</v>
      </c>
      <c r="B2212" s="15" t="inlineStr">
        <is>
          <t>Russian Salon Dogs</t>
        </is>
      </c>
      <c r="C2212" s="60" t="inlineStr">
        <is>
          <t>https://www.facebook.com/profile.php?id=61554704524745</t>
        </is>
      </c>
      <c r="D2212" s="9" t="inlineStr">
        <is>
          <t>Cần quét Bio Fanpage</t>
        </is>
      </c>
      <c r="E2212" s="59" t="inlineStr">
        <is>
          <t>06/02/2025 02:25:49</t>
        </is>
      </c>
      <c r="F2212" s="59" t="inlineStr">
        <is>
          <t>1 năm trước</t>
        </is>
      </c>
      <c r="G2212" s="61" t="n">
        <v>365</v>
      </c>
      <c r="H2212" s="62" t="n">
        <v>0</v>
      </c>
      <c r="I2212" s="9" t="inlineStr">
        <is>
          <t>Pet Owner / Cộng đồng nuôi cún (10đ)</t>
        </is>
      </c>
      <c r="J2212" s="62" t="n">
        <v>10</v>
      </c>
      <c r="K2212" s="9" t="inlineStr">
        <is>
          <t>Chưa rõ giống (Cần quét Bio)</t>
        </is>
      </c>
      <c r="L2212" s="62" t="n">
        <v>0</v>
      </c>
      <c r="M2212" s="62" t="n">
        <v>0</v>
      </c>
      <c r="N2212" s="9" t="inlineStr">
        <is>
          <t>Amazon link not found</t>
        </is>
      </c>
      <c r="O2212" s="62">
        <f>IF(N2212="Selling pet toys + Artificial grass/Pet toilets (TARGET)",15,IF(N2212="Selling artificial grass/pet toilets (TARGET)",10,IF(N2212="Selling pet toys",7,IF(N2212="There's an Amazon link, but no target sales.",3,0))))</f>
        <v/>
      </c>
      <c r="P2212" s="67">
        <f>H2212+J2212+L2212+M2212+O2212</f>
        <v/>
      </c>
      <c r="Q2212" s="68">
        <f>IF(OR(H2212=0,P2212&lt;30),"Tier D (Đóng băng)",IF(P2212&gt;=85,"Tier S (Kim Cương: 85-100đ)",IF(P2212&gt;=70,"Tier A (Vàng: 70-84đ)",IF(P2212&gt;=61,"Tier B+ / Cấp A (Hot Lead: 61-69đ)",IF(P2212&gt;=50,"Tier B (Bạc: 50-60đ)","Tier C (Đồng: 30-49đ)")))))</f>
        <v/>
      </c>
      <c r="R2212" s="9" t="inlineStr">
        <is>
          <t>Khay vệ sinh chung cư (Indoor Potty) + Thảm cỏ ban công (Grass Patch) + Đồ chơi</t>
        </is>
      </c>
      <c r="S2212" s="9" t="inlineStr">
        <is>
          <t>Đóng băng tương tác (&gt;30 ngày): Lưu trữ chờ kích hoạt lại, không tốn tài nguyên Sales</t>
        </is>
      </c>
    </row>
    <row r="2213">
      <c r="A2213" s="53" t="n">
        <v>773</v>
      </c>
      <c r="B2213" s="12" t="inlineStr">
        <is>
          <t>Bryan Petit</t>
        </is>
      </c>
      <c r="C2213" s="54" t="inlineStr">
        <is>
          <t>https://www.facebook.com/profile.php?id=100065186003255</t>
        </is>
      </c>
      <c r="D2213" s="6" t="inlineStr">
        <is>
          <t>Cần quét Bio Fanpage</t>
        </is>
      </c>
      <c r="E2213" s="53" t="inlineStr">
        <is>
          <t>30/01/2025 23:11:49</t>
        </is>
      </c>
      <c r="F2213" s="53" t="inlineStr">
        <is>
          <t>1 năm trước</t>
        </is>
      </c>
      <c r="G2213" s="55" t="n">
        <v>365</v>
      </c>
      <c r="H2213" s="56" t="n">
        <v>0</v>
      </c>
      <c r="I2213" s="6" t="inlineStr">
        <is>
          <t>Pet Owner / Cộng đồng nuôi cún (10đ)</t>
        </is>
      </c>
      <c r="J2213" s="56" t="n">
        <v>10</v>
      </c>
      <c r="K2213" s="6" t="inlineStr">
        <is>
          <t>Chưa rõ giống (Cần quét Bio)</t>
        </is>
      </c>
      <c r="L2213" s="56" t="n">
        <v>0</v>
      </c>
      <c r="M2213" s="56" t="n">
        <v>0</v>
      </c>
      <c r="N2213" s="6" t="inlineStr">
        <is>
          <t>Amazon link not found</t>
        </is>
      </c>
      <c r="O2213" s="56">
        <f>IF(N2213="Selling pet toys + Artificial grass/Pet toilets (TARGET)",15,IF(N2213="Selling artificial grass/pet toilets (TARGET)",10,IF(N2213="Selling pet toys",7,IF(N2213="There's an Amazon link, but no target sales.",3,0))))</f>
        <v/>
      </c>
      <c r="P2213" s="65">
        <f>H2213+J2213+L2213+M2213+O2213</f>
        <v/>
      </c>
      <c r="Q2213" s="68">
        <f>IF(OR(H2213=0,P2213&lt;30),"Tier D (Đóng băng)",IF(P2213&gt;=85,"Tier S (Kim Cương: 85-100đ)",IF(P2213&gt;=70,"Tier A (Vàng: 70-84đ)",IF(P2213&gt;=61,"Tier B+ / Cấp A (Hot Lead: 61-69đ)",IF(P2213&gt;=50,"Tier B (Bạc: 50-60đ)","Tier C (Đồng: 30-49đ)")))))</f>
        <v/>
      </c>
      <c r="R2213" s="6" t="inlineStr">
        <is>
          <t>Khay vệ sinh chung cư (Indoor Potty) + Thảm cỏ ban công (Grass Patch) + Đồ chơi</t>
        </is>
      </c>
      <c r="S2213" s="6" t="inlineStr">
        <is>
          <t>Đóng băng tương tác (&gt;30 ngày): Lưu trữ chờ kích hoạt lại, không tốn tài nguyên Sales</t>
        </is>
      </c>
    </row>
    <row r="2214">
      <c r="A2214" s="59" t="n">
        <v>1198</v>
      </c>
      <c r="B2214" s="15" t="inlineStr">
        <is>
          <t>Dogsville</t>
        </is>
      </c>
      <c r="C2214" s="60" t="inlineStr">
        <is>
          <t>https://www.facebook.com/DogsvilleDoc</t>
        </is>
      </c>
      <c r="D2214" s="9" t="inlineStr">
        <is>
          <t>Cần quét Bio Fanpage</t>
        </is>
      </c>
      <c r="E2214" s="59" t="inlineStr">
        <is>
          <t>05/01/2025 04:20:53</t>
        </is>
      </c>
      <c r="F2214" s="59" t="inlineStr">
        <is>
          <t>1 năm trước</t>
        </is>
      </c>
      <c r="G2214" s="61" t="n">
        <v>365</v>
      </c>
      <c r="H2214" s="62" t="n">
        <v>0</v>
      </c>
      <c r="I2214" s="9" t="inlineStr">
        <is>
          <t>Pet Owner / Cộng đồng nuôi cún (10đ)</t>
        </is>
      </c>
      <c r="J2214" s="62" t="n">
        <v>10</v>
      </c>
      <c r="K2214" s="9" t="inlineStr">
        <is>
          <t>Chưa rõ giống (Cần quét Bio)</t>
        </is>
      </c>
      <c r="L2214" s="62" t="n">
        <v>0</v>
      </c>
      <c r="M2214" s="62" t="n">
        <v>0</v>
      </c>
      <c r="N2214" s="9" t="inlineStr">
        <is>
          <t>Amazon link not found</t>
        </is>
      </c>
      <c r="O2214" s="62">
        <f>IF(N2214="Selling pet toys + Artificial grass/Pet toilets (TARGET)",15,IF(N2214="Selling artificial grass/pet toilets (TARGET)",10,IF(N2214="Selling pet toys",7,IF(N2214="There's an Amazon link, but no target sales.",3,0))))</f>
        <v/>
      </c>
      <c r="P2214" s="67">
        <f>H2214+J2214+L2214+M2214+O2214</f>
        <v/>
      </c>
      <c r="Q2214" s="68">
        <f>IF(OR(H2214=0,P2214&lt;30),"Tier D (Đóng băng)",IF(P2214&gt;=85,"Tier S (Kim Cương: 85-100đ)",IF(P2214&gt;=70,"Tier A (Vàng: 70-84đ)",IF(P2214&gt;=61,"Tier B+ / Cấp A (Hot Lead: 61-69đ)",IF(P2214&gt;=50,"Tier B (Bạc: 50-60đ)","Tier C (Đồng: 30-49đ)")))))</f>
        <v/>
      </c>
      <c r="R2214" s="9" t="inlineStr">
        <is>
          <t>Khay vệ sinh chung cư (Indoor Potty) + Thảm cỏ ban công (Grass Patch) + Đồ chơi</t>
        </is>
      </c>
      <c r="S2214" s="9" t="inlineStr">
        <is>
          <t>Đóng băng tương tác (&gt;30 ngày): Lưu trữ chờ kích hoạt lại, không tốn tài nguyên Sales</t>
        </is>
      </c>
    </row>
    <row r="2215">
      <c r="A2215" s="53" t="n">
        <v>1187</v>
      </c>
      <c r="B2215" s="12" t="inlineStr">
        <is>
          <t>Dogs2fosteruk C.I.C</t>
        </is>
      </c>
      <c r="C2215" s="54" t="inlineStr">
        <is>
          <t>https://www.facebook.com/dogs2foster</t>
        </is>
      </c>
      <c r="D2215" s="6" t="inlineStr">
        <is>
          <t>Cần quét Bio Fanpage</t>
        </is>
      </c>
      <c r="E2215" s="53" t="inlineStr">
        <is>
          <t>04/01/2025 04:14:30</t>
        </is>
      </c>
      <c r="F2215" s="53" t="inlineStr">
        <is>
          <t>1 năm trước</t>
        </is>
      </c>
      <c r="G2215" s="55" t="n">
        <v>365</v>
      </c>
      <c r="H2215" s="56" t="n">
        <v>0</v>
      </c>
      <c r="I2215" s="6" t="inlineStr">
        <is>
          <t>Pet Owner / Cộng đồng nuôi cún (10đ)</t>
        </is>
      </c>
      <c r="J2215" s="56" t="n">
        <v>10</v>
      </c>
      <c r="K2215" s="6" t="inlineStr">
        <is>
          <t>Chưa rõ giống (Cần quét Bio)</t>
        </is>
      </c>
      <c r="L2215" s="56" t="n">
        <v>0</v>
      </c>
      <c r="M2215" s="56" t="n">
        <v>0</v>
      </c>
      <c r="N2215" s="6" t="inlineStr">
        <is>
          <t>Amazon link not found</t>
        </is>
      </c>
      <c r="O2215" s="56">
        <f>IF(N2215="Selling pet toys + Artificial grass/Pet toilets (TARGET)",15,IF(N2215="Selling artificial grass/pet toilets (TARGET)",10,IF(N2215="Selling pet toys",7,IF(N2215="There's an Amazon link, but no target sales.",3,0))))</f>
        <v/>
      </c>
      <c r="P2215" s="65">
        <f>H2215+J2215+L2215+M2215+O2215</f>
        <v/>
      </c>
      <c r="Q2215" s="68">
        <f>IF(OR(H2215=0,P2215&lt;30),"Tier D (Đóng băng)",IF(P2215&gt;=85,"Tier S (Kim Cương: 85-100đ)",IF(P2215&gt;=70,"Tier A (Vàng: 70-84đ)",IF(P2215&gt;=61,"Tier B+ / Cấp A (Hot Lead: 61-69đ)",IF(P2215&gt;=50,"Tier B (Bạc: 50-60đ)","Tier C (Đồng: 30-49đ)")))))</f>
        <v/>
      </c>
      <c r="R2215" s="6" t="inlineStr">
        <is>
          <t>Khay vệ sinh chung cư (Indoor Potty) + Thảm cỏ ban công (Grass Patch) + Đồ chơi</t>
        </is>
      </c>
      <c r="S2215" s="6" t="inlineStr">
        <is>
          <t>Đóng băng tương tác (&gt;30 ngày): Lưu trữ chờ kích hoạt lại, không tốn tài nguyên Sales</t>
        </is>
      </c>
    </row>
    <row r="2216">
      <c r="A2216" s="59" t="n">
        <v>2220</v>
      </c>
      <c r="B2216" s="15" t="inlineStr">
        <is>
          <t>Mountain Dog Companion</t>
        </is>
      </c>
      <c r="C2216" s="60" t="inlineStr">
        <is>
          <t>https://www.facebook.com/profile.php?id=100088658513284</t>
        </is>
      </c>
      <c r="D2216" s="9" t="inlineStr">
        <is>
          <t>Cần quét Bio Fanpage</t>
        </is>
      </c>
      <c r="E2216" s="59" t="inlineStr">
        <is>
          <t>28/12/2024 18:08:37</t>
        </is>
      </c>
      <c r="F2216" s="59" t="inlineStr">
        <is>
          <t>1 năm trước</t>
        </is>
      </c>
      <c r="G2216" s="61" t="n">
        <v>365</v>
      </c>
      <c r="H2216" s="62" t="n">
        <v>0</v>
      </c>
      <c r="I2216" s="9" t="inlineStr">
        <is>
          <t>Pet Owner / Cộng đồng nuôi cún (10đ)</t>
        </is>
      </c>
      <c r="J2216" s="62" t="n">
        <v>10</v>
      </c>
      <c r="K2216" s="9" t="inlineStr">
        <is>
          <t>Chưa rõ giống (Cần quét Bio)</t>
        </is>
      </c>
      <c r="L2216" s="62" t="n">
        <v>0</v>
      </c>
      <c r="M2216" s="62" t="n">
        <v>0</v>
      </c>
      <c r="N2216" s="9" t="inlineStr">
        <is>
          <t>Amazon link not found</t>
        </is>
      </c>
      <c r="O2216" s="62">
        <f>IF(N2216="Selling pet toys + Artificial grass/Pet toilets (TARGET)",15,IF(N2216="Selling artificial grass/pet toilets (TARGET)",10,IF(N2216="Selling pet toys",7,IF(N2216="There's an Amazon link, but no target sales.",3,0))))</f>
        <v/>
      </c>
      <c r="P2216" s="67">
        <f>H2216+J2216+L2216+M2216+O2216</f>
        <v/>
      </c>
      <c r="Q2216" s="68">
        <f>IF(OR(H2216=0,P2216&lt;30),"Tier D (Đóng băng)",IF(P2216&gt;=85,"Tier S (Kim Cương: 85-100đ)",IF(P2216&gt;=70,"Tier A (Vàng: 70-84đ)",IF(P2216&gt;=61,"Tier B+ / Cấp A (Hot Lead: 61-69đ)",IF(P2216&gt;=50,"Tier B (Bạc: 50-60đ)","Tier C (Đồng: 30-49đ)")))))</f>
        <v/>
      </c>
      <c r="R2216" s="9" t="inlineStr">
        <is>
          <t>Khay vệ sinh chung cư (Indoor Potty) + Thảm cỏ ban công (Grass Patch) + Đồ chơi</t>
        </is>
      </c>
      <c r="S2216" s="9" t="inlineStr">
        <is>
          <t>Đóng băng tương tác (&gt;30 ngày): Lưu trữ chờ kích hoạt lại, không tốn tài nguyên Sales</t>
        </is>
      </c>
    </row>
    <row r="2217">
      <c r="A2217" s="53" t="n">
        <v>3281</v>
      </c>
      <c r="B2217" s="12" t="inlineStr">
        <is>
          <t>Valor Show Dogs - Kangaroo &amp; Nylon Leashes</t>
        </is>
      </c>
      <c r="C2217" s="54" t="inlineStr">
        <is>
          <t>https://www.facebook.com/ValorShowDogs</t>
        </is>
      </c>
      <c r="D2217" s="6" t="inlineStr">
        <is>
          <t>Cần quét Bio Fanpage</t>
        </is>
      </c>
      <c r="E2217" s="53" t="inlineStr">
        <is>
          <t>05/12/2024 06:12:54</t>
        </is>
      </c>
      <c r="F2217" s="53" t="inlineStr">
        <is>
          <t>1 năm trước</t>
        </is>
      </c>
      <c r="G2217" s="55" t="n">
        <v>365</v>
      </c>
      <c r="H2217" s="56" t="n">
        <v>0</v>
      </c>
      <c r="I2217" s="6" t="inlineStr">
        <is>
          <t>Pet Owner / Cộng đồng nuôi cún (10đ)</t>
        </is>
      </c>
      <c r="J2217" s="56" t="n">
        <v>10</v>
      </c>
      <c r="K2217" s="6" t="inlineStr">
        <is>
          <t>Chưa rõ giống (Cần quét Bio)</t>
        </is>
      </c>
      <c r="L2217" s="56" t="n">
        <v>0</v>
      </c>
      <c r="M2217" s="56" t="n">
        <v>0</v>
      </c>
      <c r="N2217" s="6" t="inlineStr">
        <is>
          <t>Amazon link not found</t>
        </is>
      </c>
      <c r="O2217" s="56">
        <f>IF(N2217="Selling pet toys + Artificial grass/Pet toilets (TARGET)",15,IF(N2217="Selling artificial grass/pet toilets (TARGET)",10,IF(N2217="Selling pet toys",7,IF(N2217="There's an Amazon link, but no target sales.",3,0))))</f>
        <v/>
      </c>
      <c r="P2217" s="65">
        <f>H2217+J2217+L2217+M2217+O2217</f>
        <v/>
      </c>
      <c r="Q2217" s="68">
        <f>IF(OR(H2217=0,P2217&lt;30),"Tier D (Đóng băng)",IF(P2217&gt;=85,"Tier S (Kim Cương: 85-100đ)",IF(P2217&gt;=70,"Tier A (Vàng: 70-84đ)",IF(P2217&gt;=61,"Tier B+ / Cấp A (Hot Lead: 61-69đ)",IF(P2217&gt;=50,"Tier B (Bạc: 50-60đ)","Tier C (Đồng: 30-49đ)")))))</f>
        <v/>
      </c>
      <c r="R2217" s="6" t="inlineStr">
        <is>
          <t>Khay vệ sinh chung cư (Indoor Potty) + Thảm cỏ ban công (Grass Patch) + Đồ chơi</t>
        </is>
      </c>
      <c r="S2217" s="6" t="inlineStr">
        <is>
          <t>Đóng băng tương tác (&gt;30 ngày): Lưu trữ chờ kích hoạt lại, không tốn tài nguyên Sales</t>
        </is>
      </c>
    </row>
    <row r="2218">
      <c r="A2218" s="59" t="n">
        <v>1259</v>
      </c>
      <c r="B2218" s="15" t="inlineStr">
        <is>
          <t>Eaglesprings Pet Transport</t>
        </is>
      </c>
      <c r="C2218" s="60" t="inlineStr">
        <is>
          <t>https://www.facebook.com/petshuttles</t>
        </is>
      </c>
      <c r="D2218" s="9" t="inlineStr">
        <is>
          <t>Cần quét Bio Fanpage</t>
        </is>
      </c>
      <c r="E2218" s="59" t="inlineStr">
        <is>
          <t>01/12/2024 04:07:05</t>
        </is>
      </c>
      <c r="F2218" s="59" t="inlineStr">
        <is>
          <t>1 năm trước</t>
        </is>
      </c>
      <c r="G2218" s="61" t="n">
        <v>365</v>
      </c>
      <c r="H2218" s="62" t="n">
        <v>0</v>
      </c>
      <c r="I2218" s="9" t="inlineStr">
        <is>
          <t>Pet Owner / Cộng đồng nuôi cún (10đ)</t>
        </is>
      </c>
      <c r="J2218" s="62" t="n">
        <v>10</v>
      </c>
      <c r="K2218" s="9" t="inlineStr">
        <is>
          <t>Chưa rõ giống (Cần quét Bio)</t>
        </is>
      </c>
      <c r="L2218" s="62" t="n">
        <v>0</v>
      </c>
      <c r="M2218" s="62" t="n">
        <v>0</v>
      </c>
      <c r="N2218" s="9" t="inlineStr">
        <is>
          <t>Amazon link not found</t>
        </is>
      </c>
      <c r="O2218" s="62">
        <f>IF(N2218="Selling pet toys + Artificial grass/Pet toilets (TARGET)",15,IF(N2218="Selling artificial grass/pet toilets (TARGET)",10,IF(N2218="Selling pet toys",7,IF(N2218="There's an Amazon link, but no target sales.",3,0))))</f>
        <v/>
      </c>
      <c r="P2218" s="67">
        <f>H2218+J2218+L2218+M2218+O2218</f>
        <v/>
      </c>
      <c r="Q2218" s="68">
        <f>IF(OR(H2218=0,P2218&lt;30),"Tier D (Đóng băng)",IF(P2218&gt;=85,"Tier S (Kim Cương: 85-100đ)",IF(P2218&gt;=70,"Tier A (Vàng: 70-84đ)",IF(P2218&gt;=61,"Tier B+ / Cấp A (Hot Lead: 61-69đ)",IF(P2218&gt;=50,"Tier B (Bạc: 50-60đ)","Tier C (Đồng: 30-49đ)")))))</f>
        <v/>
      </c>
      <c r="R2218" s="9" t="inlineStr">
        <is>
          <t>Khay vệ sinh chung cư (Indoor Potty) + Thảm cỏ ban công (Grass Patch) + Đồ chơi</t>
        </is>
      </c>
      <c r="S2218" s="9" t="inlineStr">
        <is>
          <t>Đóng băng tương tác (&gt;30 ngày): Lưu trữ chờ kích hoạt lại, không tốn tài nguyên Sales</t>
        </is>
      </c>
    </row>
    <row r="2219">
      <c r="A2219" s="53" t="n">
        <v>1095</v>
      </c>
      <c r="B2219" s="12" t="inlineStr">
        <is>
          <t>Dog Parents in Dubai</t>
        </is>
      </c>
      <c r="C2219" s="54" t="inlineStr">
        <is>
          <t>https://www.facebook.com/dogparentsindubai</t>
        </is>
      </c>
      <c r="D2219" s="6" t="inlineStr">
        <is>
          <t>Cần quét Bio Fanpage</t>
        </is>
      </c>
      <c r="E2219" s="53" t="inlineStr">
        <is>
          <t>15/11/2024 16:29:16</t>
        </is>
      </c>
      <c r="F2219" s="53" t="inlineStr">
        <is>
          <t>1 năm trước</t>
        </is>
      </c>
      <c r="G2219" s="55" t="n">
        <v>365</v>
      </c>
      <c r="H2219" s="56" t="n">
        <v>0</v>
      </c>
      <c r="I2219" s="6" t="inlineStr">
        <is>
          <t>Pet Owner / Cộng đồng nuôi cún (10đ)</t>
        </is>
      </c>
      <c r="J2219" s="56" t="n">
        <v>10</v>
      </c>
      <c r="K2219" s="6" t="inlineStr">
        <is>
          <t>Chưa rõ giống (Cần quét Bio)</t>
        </is>
      </c>
      <c r="L2219" s="56" t="n">
        <v>0</v>
      </c>
      <c r="M2219" s="56" t="n">
        <v>0</v>
      </c>
      <c r="N2219" s="6" t="inlineStr">
        <is>
          <t>Amazon link not found</t>
        </is>
      </c>
      <c r="O2219" s="56">
        <f>IF(N2219="Selling pet toys + Artificial grass/Pet toilets (TARGET)",15,IF(N2219="Selling artificial grass/pet toilets (TARGET)",10,IF(N2219="Selling pet toys",7,IF(N2219="There's an Amazon link, but no target sales.",3,0))))</f>
        <v/>
      </c>
      <c r="P2219" s="65">
        <f>H2219+J2219+L2219+M2219+O2219</f>
        <v/>
      </c>
      <c r="Q2219" s="68">
        <f>IF(OR(H2219=0,P2219&lt;30),"Tier D (Đóng băng)",IF(P2219&gt;=85,"Tier S (Kim Cương: 85-100đ)",IF(P2219&gt;=70,"Tier A (Vàng: 70-84đ)",IF(P2219&gt;=61,"Tier B+ / Cấp A (Hot Lead: 61-69đ)",IF(P2219&gt;=50,"Tier B (Bạc: 50-60đ)","Tier C (Đồng: 30-49đ)")))))</f>
        <v/>
      </c>
      <c r="R2219" s="6" t="inlineStr">
        <is>
          <t>Khay vệ sinh chung cư (Indoor Potty) + Thảm cỏ ban công (Grass Patch) + Đồ chơi</t>
        </is>
      </c>
      <c r="S2219" s="6" t="inlineStr">
        <is>
          <t>Đóng băng tương tác (&gt;30 ngày): Lưu trữ chờ kích hoạt lại, không tốn tài nguyên Sales</t>
        </is>
      </c>
    </row>
    <row r="2220">
      <c r="A2220" s="59" t="n">
        <v>3147</v>
      </c>
      <c r="B2220" s="15" t="inlineStr">
        <is>
          <t>The Pet Corner</t>
        </is>
      </c>
      <c r="C2220" s="60" t="inlineStr">
        <is>
          <t>https://www.facebook.com/thepetcorner.kn</t>
        </is>
      </c>
      <c r="D2220" s="9" t="inlineStr">
        <is>
          <t>Cần quét Bio Fanpage</t>
        </is>
      </c>
      <c r="E2220" s="59" t="inlineStr">
        <is>
          <t>15/11/2024 11:18:12</t>
        </is>
      </c>
      <c r="F2220" s="59" t="inlineStr">
        <is>
          <t>1 năm trước</t>
        </is>
      </c>
      <c r="G2220" s="61" t="n">
        <v>365</v>
      </c>
      <c r="H2220" s="62" t="n">
        <v>0</v>
      </c>
      <c r="I2220" s="9" t="inlineStr">
        <is>
          <t>Pet Owner / Cộng đồng nuôi cún (10đ)</t>
        </is>
      </c>
      <c r="J2220" s="62" t="n">
        <v>10</v>
      </c>
      <c r="K2220" s="9" t="inlineStr">
        <is>
          <t>Chưa rõ giống (Cần quét Bio)</t>
        </is>
      </c>
      <c r="L2220" s="62" t="n">
        <v>0</v>
      </c>
      <c r="M2220" s="62" t="n">
        <v>0</v>
      </c>
      <c r="N2220" s="9" t="inlineStr">
        <is>
          <t>Amazon link not found</t>
        </is>
      </c>
      <c r="O2220" s="62">
        <f>IF(N2220="Selling pet toys + Artificial grass/Pet toilets (TARGET)",15,IF(N2220="Selling artificial grass/pet toilets (TARGET)",10,IF(N2220="Selling pet toys",7,IF(N2220="There's an Amazon link, but no target sales.",3,0))))</f>
        <v/>
      </c>
      <c r="P2220" s="67">
        <f>H2220+J2220+L2220+M2220+O2220</f>
        <v/>
      </c>
      <c r="Q2220" s="68">
        <f>IF(OR(H2220=0,P2220&lt;30),"Tier D (Đóng băng)",IF(P2220&gt;=85,"Tier S (Kim Cương: 85-100đ)",IF(P2220&gt;=70,"Tier A (Vàng: 70-84đ)",IF(P2220&gt;=61,"Tier B+ / Cấp A (Hot Lead: 61-69đ)",IF(P2220&gt;=50,"Tier B (Bạc: 50-60đ)","Tier C (Đồng: 30-49đ)")))))</f>
        <v/>
      </c>
      <c r="R2220" s="9" t="inlineStr">
        <is>
          <t>Khay vệ sinh chung cư (Indoor Potty) + Thảm cỏ ban công (Grass Patch) + Đồ chơi</t>
        </is>
      </c>
      <c r="S2220" s="9" t="inlineStr">
        <is>
          <t>Đóng băng tương tác (&gt;30 ngày): Lưu trữ chờ kích hoạt lại, không tốn tài nguyên Sales</t>
        </is>
      </c>
    </row>
    <row r="2221">
      <c r="A2221" s="53" t="n">
        <v>1250</v>
      </c>
      <c r="B2221" s="12" t="inlineStr">
        <is>
          <t>Dutch Dog Show Promotion</t>
        </is>
      </c>
      <c r="C2221" s="54" t="inlineStr">
        <is>
          <t>https://www.facebook.com/DUTCHDOGSHOWPROMO</t>
        </is>
      </c>
      <c r="D2221" s="6" t="inlineStr">
        <is>
          <t>Cần quét Bio Fanpage</t>
        </is>
      </c>
      <c r="E2221" s="53" t="inlineStr">
        <is>
          <t>12/11/2024 22:27:15</t>
        </is>
      </c>
      <c r="F2221" s="53" t="inlineStr">
        <is>
          <t>1 năm trước</t>
        </is>
      </c>
      <c r="G2221" s="55" t="n">
        <v>365</v>
      </c>
      <c r="H2221" s="56" t="n">
        <v>0</v>
      </c>
      <c r="I2221" s="6" t="inlineStr">
        <is>
          <t>Pet Owner / Cộng đồng nuôi cún (10đ)</t>
        </is>
      </c>
      <c r="J2221" s="56" t="n">
        <v>10</v>
      </c>
      <c r="K2221" s="6" t="inlineStr">
        <is>
          <t>Chưa rõ giống (Cần quét Bio)</t>
        </is>
      </c>
      <c r="L2221" s="56" t="n">
        <v>0</v>
      </c>
      <c r="M2221" s="56" t="n">
        <v>0</v>
      </c>
      <c r="N2221" s="6" t="inlineStr">
        <is>
          <t>Amazon link not found</t>
        </is>
      </c>
      <c r="O2221" s="56">
        <f>IF(N2221="Selling pet toys + Artificial grass/Pet toilets (TARGET)",15,IF(N2221="Selling artificial grass/pet toilets (TARGET)",10,IF(N2221="Selling pet toys",7,IF(N2221="There's an Amazon link, but no target sales.",3,0))))</f>
        <v/>
      </c>
      <c r="P2221" s="65">
        <f>H2221+J2221+L2221+M2221+O2221</f>
        <v/>
      </c>
      <c r="Q2221" s="68">
        <f>IF(OR(H2221=0,P2221&lt;30),"Tier D (Đóng băng)",IF(P2221&gt;=85,"Tier S (Kim Cương: 85-100đ)",IF(P2221&gt;=70,"Tier A (Vàng: 70-84đ)",IF(P2221&gt;=61,"Tier B+ / Cấp A (Hot Lead: 61-69đ)",IF(P2221&gt;=50,"Tier B (Bạc: 50-60đ)","Tier C (Đồng: 30-49đ)")))))</f>
        <v/>
      </c>
      <c r="R2221" s="6" t="inlineStr">
        <is>
          <t>Khay vệ sinh chung cư (Indoor Potty) + Thảm cỏ ban công (Grass Patch) + Đồ chơi</t>
        </is>
      </c>
      <c r="S2221" s="6" t="inlineStr">
        <is>
          <t>Đóng băng tương tác (&gt;30 ngày): Lưu trữ chờ kích hoạt lại, không tốn tài nguyên Sales</t>
        </is>
      </c>
    </row>
    <row r="2222">
      <c r="A2222" s="59" t="n">
        <v>1411</v>
      </c>
      <c r="B2222" s="15" t="inlineStr">
        <is>
          <t>For Love of a Dog</t>
        </is>
      </c>
      <c r="C2222" s="60" t="inlineStr">
        <is>
          <t>https://www.facebook.com/ForLoveofaDogJewelry</t>
        </is>
      </c>
      <c r="D2222" s="9" t="inlineStr">
        <is>
          <t>Cần quét Bio Fanpage</t>
        </is>
      </c>
      <c r="E2222" s="59" t="inlineStr">
        <is>
          <t>06/11/2024 06:28:31</t>
        </is>
      </c>
      <c r="F2222" s="59" t="inlineStr">
        <is>
          <t>1 năm trước</t>
        </is>
      </c>
      <c r="G2222" s="61" t="n">
        <v>365</v>
      </c>
      <c r="H2222" s="62" t="n">
        <v>0</v>
      </c>
      <c r="I2222" s="9" t="inlineStr">
        <is>
          <t>Pet Owner / Cộng đồng nuôi cún (10đ)</t>
        </is>
      </c>
      <c r="J2222" s="62" t="n">
        <v>10</v>
      </c>
      <c r="K2222" s="9" t="inlineStr">
        <is>
          <t>Chưa rõ giống (Cần quét Bio)</t>
        </is>
      </c>
      <c r="L2222" s="62" t="n">
        <v>0</v>
      </c>
      <c r="M2222" s="62" t="n">
        <v>0</v>
      </c>
      <c r="N2222" s="9" t="inlineStr">
        <is>
          <t>Amazon link not found</t>
        </is>
      </c>
      <c r="O2222" s="62">
        <f>IF(N2222="Selling pet toys + Artificial grass/Pet toilets (TARGET)",15,IF(N2222="Selling artificial grass/pet toilets (TARGET)",10,IF(N2222="Selling pet toys",7,IF(N2222="There's an Amazon link, but no target sales.",3,0))))</f>
        <v/>
      </c>
      <c r="P2222" s="67">
        <f>H2222+J2222+L2222+M2222+O2222</f>
        <v/>
      </c>
      <c r="Q2222" s="68">
        <f>IF(OR(H2222=0,P2222&lt;30),"Tier D (Đóng băng)",IF(P2222&gt;=85,"Tier S (Kim Cương: 85-100đ)",IF(P2222&gt;=70,"Tier A (Vàng: 70-84đ)",IF(P2222&gt;=61,"Tier B+ / Cấp A (Hot Lead: 61-69đ)",IF(P2222&gt;=50,"Tier B (Bạc: 50-60đ)","Tier C (Đồng: 30-49đ)")))))</f>
        <v/>
      </c>
      <c r="R2222" s="9" t="inlineStr">
        <is>
          <t>Khay vệ sinh chung cư (Indoor Potty) + Thảm cỏ ban công (Grass Patch) + Đồ chơi</t>
        </is>
      </c>
      <c r="S2222" s="9" t="inlineStr">
        <is>
          <t>Đóng băng tương tác (&gt;30 ngày): Lưu trữ chờ kích hoạt lại, không tốn tài nguyên Sales</t>
        </is>
      </c>
    </row>
    <row r="2223">
      <c r="A2223" s="53" t="n">
        <v>2570</v>
      </c>
      <c r="B2223" s="12" t="inlineStr">
        <is>
          <t>Piedmont Pet Fair</t>
        </is>
      </c>
      <c r="C2223" s="54" t="inlineStr">
        <is>
          <t>https://www.facebook.com/profile.php?id=61552339633491</t>
        </is>
      </c>
      <c r="D2223" s="6" t="inlineStr">
        <is>
          <t>Cần quét Bio Fanpage</t>
        </is>
      </c>
      <c r="E2223" s="53" t="inlineStr">
        <is>
          <t>23/10/2024 08:01:36</t>
        </is>
      </c>
      <c r="F2223" s="53" t="inlineStr">
        <is>
          <t>1 năm trước</t>
        </is>
      </c>
      <c r="G2223" s="55" t="n">
        <v>365</v>
      </c>
      <c r="H2223" s="56" t="n">
        <v>0</v>
      </c>
      <c r="I2223" s="6" t="inlineStr">
        <is>
          <t>Pet Owner / Cộng đồng nuôi cún (10đ)</t>
        </is>
      </c>
      <c r="J2223" s="56" t="n">
        <v>10</v>
      </c>
      <c r="K2223" s="6" t="inlineStr">
        <is>
          <t>Chưa rõ giống (Cần quét Bio)</t>
        </is>
      </c>
      <c r="L2223" s="56" t="n">
        <v>0</v>
      </c>
      <c r="M2223" s="56" t="n">
        <v>0</v>
      </c>
      <c r="N2223" s="6" t="inlineStr">
        <is>
          <t>Amazon link not found</t>
        </is>
      </c>
      <c r="O2223" s="56">
        <f>IF(N2223="Selling pet toys + Artificial grass/Pet toilets (TARGET)",15,IF(N2223="Selling artificial grass/pet toilets (TARGET)",10,IF(N2223="Selling pet toys",7,IF(N2223="There's an Amazon link, but no target sales.",3,0))))</f>
        <v/>
      </c>
      <c r="P2223" s="65">
        <f>H2223+J2223+L2223+M2223+O2223</f>
        <v/>
      </c>
      <c r="Q2223" s="68">
        <f>IF(OR(H2223=0,P2223&lt;30),"Tier D (Đóng băng)",IF(P2223&gt;=85,"Tier S (Kim Cương: 85-100đ)",IF(P2223&gt;=70,"Tier A (Vàng: 70-84đ)",IF(P2223&gt;=61,"Tier B+ / Cấp A (Hot Lead: 61-69đ)",IF(P2223&gt;=50,"Tier B (Bạc: 50-60đ)","Tier C (Đồng: 30-49đ)")))))</f>
        <v/>
      </c>
      <c r="R2223" s="6" t="inlineStr">
        <is>
          <t>Khay vệ sinh chung cư (Indoor Potty) + Thảm cỏ ban công (Grass Patch) + Đồ chơi</t>
        </is>
      </c>
      <c r="S2223" s="6" t="inlineStr">
        <is>
          <t>Đóng băng tương tác (&gt;30 ngày): Lưu trữ chờ kích hoạt lại, không tốn tài nguyên Sales</t>
        </is>
      </c>
    </row>
    <row r="2224">
      <c r="A2224" s="59" t="n">
        <v>959</v>
      </c>
      <c r="B2224" s="15" t="inlineStr">
        <is>
          <t>Crazy the Dog</t>
        </is>
      </c>
      <c r="C2224" s="60" t="inlineStr">
        <is>
          <t>https://www.facebook.com/crazys.adventure</t>
        </is>
      </c>
      <c r="D2224" s="9" t="inlineStr">
        <is>
          <t>Cần quét Bio Fanpage</t>
        </is>
      </c>
      <c r="E2224" s="59" t="inlineStr">
        <is>
          <t>19/10/2024 22:23:44</t>
        </is>
      </c>
      <c r="F2224" s="59" t="inlineStr">
        <is>
          <t>1 năm trước</t>
        </is>
      </c>
      <c r="G2224" s="61" t="n">
        <v>365</v>
      </c>
      <c r="H2224" s="62" t="n">
        <v>0</v>
      </c>
      <c r="I2224" s="9" t="inlineStr">
        <is>
          <t>Pet Owner / Kênh cá nhân thú cưng (10đ)</t>
        </is>
      </c>
      <c r="J2224" s="62" t="n">
        <v>10</v>
      </c>
      <c r="K2224" s="9" t="inlineStr">
        <is>
          <t>Chưa rõ giống (Cần quét Bio)</t>
        </is>
      </c>
      <c r="L2224" s="62" t="n">
        <v>0</v>
      </c>
      <c r="M2224" s="62" t="n">
        <v>0</v>
      </c>
      <c r="N2224" s="9" t="inlineStr">
        <is>
          <t>Amazon link not found</t>
        </is>
      </c>
      <c r="O2224" s="62">
        <f>IF(N2224="Selling pet toys + Artificial grass/Pet toilets (TARGET)",15,IF(N2224="Selling artificial grass/pet toilets (TARGET)",10,IF(N2224="Selling pet toys",7,IF(N2224="There's an Amazon link, but no target sales.",3,0))))</f>
        <v/>
      </c>
      <c r="P2224" s="67">
        <f>H2224+J2224+L2224+M2224+O2224</f>
        <v/>
      </c>
      <c r="Q2224" s="68">
        <f>IF(OR(H2224=0,P2224&lt;30),"Tier D (Đóng băng)",IF(P2224&gt;=85,"Tier S (Kim Cương: 85-100đ)",IF(P2224&gt;=70,"Tier A (Vàng: 70-84đ)",IF(P2224&gt;=61,"Tier B+ / Cấp A (Hot Lead: 61-69đ)",IF(P2224&gt;=50,"Tier B (Bạc: 50-60đ)","Tier C (Đồng: 30-49đ)")))))</f>
        <v/>
      </c>
      <c r="R2224" s="9" t="inlineStr">
        <is>
          <t>Khay vệ sinh trong nhà (Indoor Dog Potty) + Đồ chơi thú cưng lẻ</t>
        </is>
      </c>
      <c r="S2224" s="9" t="inlineStr">
        <is>
          <t>Đóng băng tương tác (&gt;30 ngày): Lưu trữ chờ kích hoạt lại, không tốn tài nguyên Sales</t>
        </is>
      </c>
    </row>
    <row r="2225">
      <c r="A2225" s="53" t="n">
        <v>1064</v>
      </c>
      <c r="B2225" s="12" t="inlineStr">
        <is>
          <t>Dog Guard Maine</t>
        </is>
      </c>
      <c r="C2225" s="54" t="inlineStr">
        <is>
          <t>https://www.facebook.com/dogguardmaine</t>
        </is>
      </c>
      <c r="D2225" s="6" t="inlineStr">
        <is>
          <t>Cần quét Bio Fanpage</t>
        </is>
      </c>
      <c r="E2225" s="53" t="inlineStr">
        <is>
          <t>01/10/2024 20:30:06</t>
        </is>
      </c>
      <c r="F2225" s="53" t="inlineStr">
        <is>
          <t>2 năm trước</t>
        </is>
      </c>
      <c r="G2225" s="55" t="n">
        <v>730</v>
      </c>
      <c r="H2225" s="56" t="n">
        <v>0</v>
      </c>
      <c r="I2225" s="6" t="inlineStr">
        <is>
          <t>Pet Owner / Cộng đồng nuôi cún (10đ)</t>
        </is>
      </c>
      <c r="J2225" s="56" t="n">
        <v>10</v>
      </c>
      <c r="K2225" s="6" t="inlineStr">
        <is>
          <t>Chưa rõ giống (Cần quét Bio)</t>
        </is>
      </c>
      <c r="L2225" s="56" t="n">
        <v>0</v>
      </c>
      <c r="M2225" s="56" t="n">
        <v>0</v>
      </c>
      <c r="N2225" s="6" t="inlineStr">
        <is>
          <t>Amazon link not found</t>
        </is>
      </c>
      <c r="O2225" s="56">
        <f>IF(N2225="Selling pet toys + Artificial grass/Pet toilets (TARGET)",15,IF(N2225="Selling artificial grass/pet toilets (TARGET)",10,IF(N2225="Selling pet toys",7,IF(N2225="There's an Amazon link, but no target sales.",3,0))))</f>
        <v/>
      </c>
      <c r="P2225" s="65">
        <f>H2225+J2225+L2225+M2225+O2225</f>
        <v/>
      </c>
      <c r="Q2225" s="68">
        <f>IF(OR(H2225=0,P2225&lt;30),"Tier D (Đóng băng)",IF(P2225&gt;=85,"Tier S (Kim Cương: 85-100đ)",IF(P2225&gt;=70,"Tier A (Vàng: 70-84đ)",IF(P2225&gt;=61,"Tier B+ / Cấp A (Hot Lead: 61-69đ)",IF(P2225&gt;=50,"Tier B (Bạc: 50-60đ)","Tier C (Đồng: 30-49đ)")))))</f>
        <v/>
      </c>
      <c r="R2225" s="6" t="inlineStr">
        <is>
          <t>Khay vệ sinh chung cư (Indoor Potty) + Thảm cỏ ban công (Grass Patch) + Đồ chơi</t>
        </is>
      </c>
      <c r="S2225" s="6" t="inlineStr">
        <is>
          <t>Đóng băng tương tác (&gt;30 ngày): Lưu trữ chờ kích hoạt lại, không tốn tài nguyên Sales</t>
        </is>
      </c>
    </row>
    <row r="2226">
      <c r="A2226" s="59" t="n">
        <v>229</v>
      </c>
      <c r="B2226" s="15" t="inlineStr">
        <is>
          <t>New city pet transport</t>
        </is>
      </c>
      <c r="C2226" s="60" t="inlineStr">
        <is>
          <t>https://www.facebook.com/newcitypettransport</t>
        </is>
      </c>
      <c r="D2226" s="9" t="inlineStr">
        <is>
          <t>Cần quét Bio Fanpage</t>
        </is>
      </c>
      <c r="E2226" s="59" t="inlineStr">
        <is>
          <t>24/09/2024 19:33:18</t>
        </is>
      </c>
      <c r="F2226" s="59" t="inlineStr">
        <is>
          <t>2 năm trước</t>
        </is>
      </c>
      <c r="G2226" s="61" t="n">
        <v>730</v>
      </c>
      <c r="H2226" s="62" t="n">
        <v>0</v>
      </c>
      <c r="I2226" s="9" t="inlineStr">
        <is>
          <t>Pet Owner / Cộng đồng nuôi cún (10đ)</t>
        </is>
      </c>
      <c r="J2226" s="62" t="n">
        <v>10</v>
      </c>
      <c r="K2226" s="9" t="inlineStr">
        <is>
          <t>Chưa rõ giống (Cần quét Bio)</t>
        </is>
      </c>
      <c r="L2226" s="62" t="n">
        <v>0</v>
      </c>
      <c r="M2226" s="62" t="n">
        <v>0</v>
      </c>
      <c r="N2226" s="9" t="inlineStr">
        <is>
          <t>Amazon link not found</t>
        </is>
      </c>
      <c r="O2226" s="62">
        <f>IF(N2226="Selling pet toys + Artificial grass/Pet toilets (TARGET)",15,IF(N2226="Selling artificial grass/pet toilets (TARGET)",10,IF(N2226="Selling pet toys",7,IF(N2226="There's an Amazon link, but no target sales.",3,0))))</f>
        <v/>
      </c>
      <c r="P2226" s="67">
        <f>H2226+J2226+L2226+M2226+O2226</f>
        <v/>
      </c>
      <c r="Q2226" s="68">
        <f>IF(OR(H2226=0,P2226&lt;30),"Tier D (Đóng băng)",IF(P2226&gt;=85,"Tier S (Kim Cương: 85-100đ)",IF(P2226&gt;=70,"Tier A (Vàng: 70-84đ)",IF(P2226&gt;=61,"Tier B+ / Cấp A (Hot Lead: 61-69đ)",IF(P2226&gt;=50,"Tier B (Bạc: 50-60đ)","Tier C (Đồng: 30-49đ)")))))</f>
        <v/>
      </c>
      <c r="R2226" s="9" t="inlineStr">
        <is>
          <t>Khay vệ sinh chung cư (Indoor Potty) + Thảm cỏ ban công (Grass Patch) + Đồ chơi</t>
        </is>
      </c>
      <c r="S2226" s="9" t="inlineStr">
        <is>
          <t>Đóng băng tương tác (&gt;30 ngày): Lưu trữ chờ kích hoạt lại, không tốn tài nguyên Sales</t>
        </is>
      </c>
    </row>
    <row r="2227">
      <c r="A2227" s="53" t="n">
        <v>3145</v>
      </c>
      <c r="B2227" s="12" t="inlineStr">
        <is>
          <t>The Pet Cabaret</t>
        </is>
      </c>
      <c r="C2227" s="54" t="inlineStr">
        <is>
          <t>https://www.facebook.com/petcabaret</t>
        </is>
      </c>
      <c r="D2227" s="6" t="inlineStr">
        <is>
          <t>Cần quét Bio Fanpage</t>
        </is>
      </c>
      <c r="E2227" s="53" t="inlineStr">
        <is>
          <t>17/09/2024 21:02:11</t>
        </is>
      </c>
      <c r="F2227" s="53" t="inlineStr">
        <is>
          <t>2 năm trước</t>
        </is>
      </c>
      <c r="G2227" s="55" t="n">
        <v>730</v>
      </c>
      <c r="H2227" s="56" t="n">
        <v>0</v>
      </c>
      <c r="I2227" s="6" t="inlineStr">
        <is>
          <t>Pet Owner / Cộng đồng nuôi cún (10đ)</t>
        </is>
      </c>
      <c r="J2227" s="56" t="n">
        <v>10</v>
      </c>
      <c r="K2227" s="6" t="inlineStr">
        <is>
          <t>Chưa rõ giống (Cần quét Bio)</t>
        </is>
      </c>
      <c r="L2227" s="56" t="n">
        <v>0</v>
      </c>
      <c r="M2227" s="56" t="n">
        <v>0</v>
      </c>
      <c r="N2227" s="6" t="inlineStr">
        <is>
          <t>Amazon link not found</t>
        </is>
      </c>
      <c r="O2227" s="56">
        <f>IF(N2227="Selling pet toys + Artificial grass/Pet toilets (TARGET)",15,IF(N2227="Selling artificial grass/pet toilets (TARGET)",10,IF(N2227="Selling pet toys",7,IF(N2227="There's an Amazon link, but no target sales.",3,0))))</f>
        <v/>
      </c>
      <c r="P2227" s="65">
        <f>H2227+J2227+L2227+M2227+O2227</f>
        <v/>
      </c>
      <c r="Q2227" s="68">
        <f>IF(OR(H2227=0,P2227&lt;30),"Tier D (Đóng băng)",IF(P2227&gt;=85,"Tier S (Kim Cương: 85-100đ)",IF(P2227&gt;=70,"Tier A (Vàng: 70-84đ)",IF(P2227&gt;=61,"Tier B+ / Cấp A (Hot Lead: 61-69đ)",IF(P2227&gt;=50,"Tier B (Bạc: 50-60đ)","Tier C (Đồng: 30-49đ)")))))</f>
        <v/>
      </c>
      <c r="R2227" s="6" t="inlineStr">
        <is>
          <t>Khay vệ sinh chung cư (Indoor Potty) + Thảm cỏ ban công (Grass Patch) + Đồ chơi</t>
        </is>
      </c>
      <c r="S2227" s="6" t="inlineStr">
        <is>
          <t>Đóng băng tương tác (&gt;30 ngày): Lưu trữ chờ kích hoạt lại, không tốn tài nguyên Sales</t>
        </is>
      </c>
    </row>
    <row r="2228">
      <c r="A2228" s="59" t="n">
        <v>391</v>
      </c>
      <c r="B2228" s="15" t="inlineStr">
        <is>
          <t>Aloha Dog Mom</t>
        </is>
      </c>
      <c r="C2228" s="60" t="inlineStr">
        <is>
          <t>https://www.facebook.com/alohadogmom</t>
        </is>
      </c>
      <c r="D2228" s="9" t="inlineStr">
        <is>
          <t>Cần quét Bio Fanpage</t>
        </is>
      </c>
      <c r="E2228" s="59" t="inlineStr">
        <is>
          <t>15/09/2024 19:01:22</t>
        </is>
      </c>
      <c r="F2228" s="59" t="inlineStr">
        <is>
          <t>2 năm trước</t>
        </is>
      </c>
      <c r="G2228" s="61" t="n">
        <v>730</v>
      </c>
      <c r="H2228" s="62" t="n">
        <v>0</v>
      </c>
      <c r="I2228" s="9" t="inlineStr">
        <is>
          <t>Pet Owner / Cộng đồng nuôi cún (10đ)</t>
        </is>
      </c>
      <c r="J2228" s="62" t="n">
        <v>10</v>
      </c>
      <c r="K2228" s="9" t="inlineStr">
        <is>
          <t>Chưa rõ giống (Cần quét Bio)</t>
        </is>
      </c>
      <c r="L2228" s="62" t="n">
        <v>0</v>
      </c>
      <c r="M2228" s="62" t="n">
        <v>0</v>
      </c>
      <c r="N2228" s="9" t="inlineStr">
        <is>
          <t>Amazon link not found</t>
        </is>
      </c>
      <c r="O2228" s="62">
        <f>IF(N2228="Selling pet toys + Artificial grass/Pet toilets (TARGET)",15,IF(N2228="Selling artificial grass/pet toilets (TARGET)",10,IF(N2228="Selling pet toys",7,IF(N2228="There's an Amazon link, but no target sales.",3,0))))</f>
        <v/>
      </c>
      <c r="P2228" s="67">
        <f>H2228+J2228+L2228+M2228+O2228</f>
        <v/>
      </c>
      <c r="Q2228" s="68">
        <f>IF(OR(H2228=0,P2228&lt;30),"Tier D (Đóng băng)",IF(P2228&gt;=85,"Tier S (Kim Cương: 85-100đ)",IF(P2228&gt;=70,"Tier A (Vàng: 70-84đ)",IF(P2228&gt;=61,"Tier B+ / Cấp A (Hot Lead: 61-69đ)",IF(P2228&gt;=50,"Tier B (Bạc: 50-60đ)","Tier C (Đồng: 30-49đ)")))))</f>
        <v/>
      </c>
      <c r="R2228" s="9" t="inlineStr">
        <is>
          <t>Khay vệ sinh chung cư (Indoor Potty) + Thảm cỏ ban công (Grass Patch) + Đồ chơi</t>
        </is>
      </c>
      <c r="S2228" s="9" t="inlineStr">
        <is>
          <t>Đóng băng tương tác (&gt;30 ngày): Lưu trữ chờ kích hoạt lại, không tốn tài nguyên Sales</t>
        </is>
      </c>
    </row>
    <row r="2229">
      <c r="A2229" s="53" t="n">
        <v>3149</v>
      </c>
      <c r="B2229" s="12" t="inlineStr">
        <is>
          <t>The Pet Health &amp; Wellness Advocate</t>
        </is>
      </c>
      <c r="C2229" s="54" t="inlineStr">
        <is>
          <t>https://www.facebook.com/ThePetHealthWellnessAdvocate</t>
        </is>
      </c>
      <c r="D2229" s="6" t="inlineStr">
        <is>
          <t>Cần quét Bio Fanpage</t>
        </is>
      </c>
      <c r="E2229" s="53" t="inlineStr">
        <is>
          <t>11/09/2024 05:53:04</t>
        </is>
      </c>
      <c r="F2229" s="53" t="inlineStr">
        <is>
          <t>2 năm trước</t>
        </is>
      </c>
      <c r="G2229" s="55" t="n">
        <v>730</v>
      </c>
      <c r="H2229" s="56" t="n">
        <v>0</v>
      </c>
      <c r="I2229" s="6" t="inlineStr">
        <is>
          <t>Pet Owner / Cộng đồng nuôi cún (10đ)</t>
        </is>
      </c>
      <c r="J2229" s="56" t="n">
        <v>10</v>
      </c>
      <c r="K2229" s="6" t="inlineStr">
        <is>
          <t>Chưa rõ giống (Cần quét Bio)</t>
        </is>
      </c>
      <c r="L2229" s="56" t="n">
        <v>0</v>
      </c>
      <c r="M2229" s="56" t="n">
        <v>0</v>
      </c>
      <c r="N2229" s="6" t="inlineStr">
        <is>
          <t>Amazon link not found</t>
        </is>
      </c>
      <c r="O2229" s="56">
        <f>IF(N2229="Selling pet toys + Artificial grass/Pet toilets (TARGET)",15,IF(N2229="Selling artificial grass/pet toilets (TARGET)",10,IF(N2229="Selling pet toys",7,IF(N2229="There's an Amazon link, but no target sales.",3,0))))</f>
        <v/>
      </c>
      <c r="P2229" s="65">
        <f>H2229+J2229+L2229+M2229+O2229</f>
        <v/>
      </c>
      <c r="Q2229" s="68">
        <f>IF(OR(H2229=0,P2229&lt;30),"Tier D (Đóng băng)",IF(P2229&gt;=85,"Tier S (Kim Cương: 85-100đ)",IF(P2229&gt;=70,"Tier A (Vàng: 70-84đ)",IF(P2229&gt;=61,"Tier B+ / Cấp A (Hot Lead: 61-69đ)",IF(P2229&gt;=50,"Tier B (Bạc: 50-60đ)","Tier C (Đồng: 30-49đ)")))))</f>
        <v/>
      </c>
      <c r="R2229" s="6" t="inlineStr">
        <is>
          <t>Khay vệ sinh chung cư (Indoor Potty) + Thảm cỏ ban công (Grass Patch) + Đồ chơi</t>
        </is>
      </c>
      <c r="S2229" s="6" t="inlineStr">
        <is>
          <t>Đóng băng tương tác (&gt;30 ngày): Lưu trữ chờ kích hoạt lại, không tốn tài nguyên Sales</t>
        </is>
      </c>
    </row>
    <row r="2230">
      <c r="A2230" s="59" t="n">
        <v>2559</v>
      </c>
      <c r="B2230" s="15" t="inlineStr">
        <is>
          <t>Petwellness Fr</t>
        </is>
      </c>
      <c r="C2230" s="60" t="inlineStr">
        <is>
          <t>https://www.facebook.com/profile.php?id=61564594382835</t>
        </is>
      </c>
      <c r="D2230" s="9" t="inlineStr">
        <is>
          <t>Cần quét Bio Fanpage</t>
        </is>
      </c>
      <c r="E2230" s="59" t="inlineStr">
        <is>
          <t>20/08/2024 19:09:39</t>
        </is>
      </c>
      <c r="F2230" s="59" t="inlineStr">
        <is>
          <t>2 năm trước</t>
        </is>
      </c>
      <c r="G2230" s="61" t="n">
        <v>730</v>
      </c>
      <c r="H2230" s="62" t="n">
        <v>0</v>
      </c>
      <c r="I2230" s="9" t="inlineStr">
        <is>
          <t>Pet Owner / Cộng đồng nuôi cún (10đ)</t>
        </is>
      </c>
      <c r="J2230" s="62" t="n">
        <v>10</v>
      </c>
      <c r="K2230" s="9" t="inlineStr">
        <is>
          <t>Chưa rõ giống (Cần quét Bio)</t>
        </is>
      </c>
      <c r="L2230" s="62" t="n">
        <v>0</v>
      </c>
      <c r="M2230" s="62" t="n">
        <v>0</v>
      </c>
      <c r="N2230" s="9" t="inlineStr">
        <is>
          <t>Amazon link not found</t>
        </is>
      </c>
      <c r="O2230" s="62">
        <f>IF(N2230="Selling pet toys + Artificial grass/Pet toilets (TARGET)",15,IF(N2230="Selling artificial grass/pet toilets (TARGET)",10,IF(N2230="Selling pet toys",7,IF(N2230="There's an Amazon link, but no target sales.",3,0))))</f>
        <v/>
      </c>
      <c r="P2230" s="67">
        <f>H2230+J2230+L2230+M2230+O2230</f>
        <v/>
      </c>
      <c r="Q2230" s="68">
        <f>IF(OR(H2230=0,P2230&lt;30),"Tier D (Đóng băng)",IF(P2230&gt;=85,"Tier S (Kim Cương: 85-100đ)",IF(P2230&gt;=70,"Tier A (Vàng: 70-84đ)",IF(P2230&gt;=61,"Tier B+ / Cấp A (Hot Lead: 61-69đ)",IF(P2230&gt;=50,"Tier B (Bạc: 50-60đ)","Tier C (Đồng: 30-49đ)")))))</f>
        <v/>
      </c>
      <c r="R2230" s="9" t="inlineStr">
        <is>
          <t>Khay vệ sinh chung cư (Indoor Potty) + Thảm cỏ ban công (Grass Patch) + Đồ chơi</t>
        </is>
      </c>
      <c r="S2230" s="9" t="inlineStr">
        <is>
          <t>Đóng băng tương tác (&gt;30 ngày): Lưu trữ chờ kích hoạt lại, không tốn tài nguyên Sales</t>
        </is>
      </c>
    </row>
    <row r="2231">
      <c r="A2231" s="53" t="n">
        <v>241</v>
      </c>
      <c r="B2231" s="12" t="inlineStr">
        <is>
          <t>Pet Brokers</t>
        </is>
      </c>
      <c r="C2231" s="54" t="inlineStr">
        <is>
          <t>https://www.facebook.com/petbrokers</t>
        </is>
      </c>
      <c r="D2231" s="6" t="inlineStr">
        <is>
          <t>Cần quét Bio Fanpage</t>
        </is>
      </c>
      <c r="E2231" s="53" t="inlineStr">
        <is>
          <t>29/07/2024 15:38:45</t>
        </is>
      </c>
      <c r="F2231" s="53" t="inlineStr">
        <is>
          <t>2 năm trước</t>
        </is>
      </c>
      <c r="G2231" s="55" t="n">
        <v>730</v>
      </c>
      <c r="H2231" s="56" t="n">
        <v>0</v>
      </c>
      <c r="I2231" s="6" t="inlineStr">
        <is>
          <t>Pet Owner / Cộng đồng nuôi cún (10đ)</t>
        </is>
      </c>
      <c r="J2231" s="56" t="n">
        <v>10</v>
      </c>
      <c r="K2231" s="6" t="inlineStr">
        <is>
          <t>Chưa rõ giống (Cần quét Bio)</t>
        </is>
      </c>
      <c r="L2231" s="56" t="n">
        <v>0</v>
      </c>
      <c r="M2231" s="56" t="n">
        <v>0</v>
      </c>
      <c r="N2231" s="6" t="inlineStr">
        <is>
          <t>Amazon link not found</t>
        </is>
      </c>
      <c r="O2231" s="56">
        <f>IF(N2231="Selling pet toys + Artificial grass/Pet toilets (TARGET)",15,IF(N2231="Selling artificial grass/pet toilets (TARGET)",10,IF(N2231="Selling pet toys",7,IF(N2231="There's an Amazon link, but no target sales.",3,0))))</f>
        <v/>
      </c>
      <c r="P2231" s="65">
        <f>H2231+J2231+L2231+M2231+O2231</f>
        <v/>
      </c>
      <c r="Q2231" s="68">
        <f>IF(OR(H2231=0,P2231&lt;30),"Tier D (Đóng băng)",IF(P2231&gt;=85,"Tier S (Kim Cương: 85-100đ)",IF(P2231&gt;=70,"Tier A (Vàng: 70-84đ)",IF(P2231&gt;=61,"Tier B+ / Cấp A (Hot Lead: 61-69đ)",IF(P2231&gt;=50,"Tier B (Bạc: 50-60đ)","Tier C (Đồng: 30-49đ)")))))</f>
        <v/>
      </c>
      <c r="R2231" s="6" t="inlineStr">
        <is>
          <t>Khay vệ sinh chung cư (Indoor Potty) + Thảm cỏ ban công (Grass Patch) + Đồ chơi</t>
        </is>
      </c>
      <c r="S2231" s="6" t="inlineStr">
        <is>
          <t>Đóng băng tương tác (&gt;30 ngày): Lưu trữ chờ kích hoạt lại, không tốn tài nguyên Sales</t>
        </is>
      </c>
    </row>
    <row r="2232">
      <c r="A2232" s="59" t="n">
        <v>817</v>
      </c>
      <c r="B2232" s="15" t="inlineStr">
        <is>
          <t>Campetto Pro Nissa Futsal</t>
        </is>
      </c>
      <c r="C2232" s="60" t="inlineStr">
        <is>
          <t>https://www.facebook.com/campettopronissafutsal</t>
        </is>
      </c>
      <c r="D2232" s="9" t="inlineStr">
        <is>
          <t>Cần quét Bio Fanpage</t>
        </is>
      </c>
      <c r="E2232" s="59" t="inlineStr">
        <is>
          <t>22/07/2024 19:51:56</t>
        </is>
      </c>
      <c r="F2232" s="59" t="inlineStr">
        <is>
          <t>2 năm trước</t>
        </is>
      </c>
      <c r="G2232" s="61" t="n">
        <v>730</v>
      </c>
      <c r="H2232" s="62" t="n">
        <v>0</v>
      </c>
      <c r="I2232" s="9" t="inlineStr">
        <is>
          <t>Pet Owner / Cộng đồng nuôi cún (10đ)</t>
        </is>
      </c>
      <c r="J2232" s="62" t="n">
        <v>10</v>
      </c>
      <c r="K2232" s="9" t="inlineStr">
        <is>
          <t>Chưa rõ giống (Cần quét Bio)</t>
        </is>
      </c>
      <c r="L2232" s="62" t="n">
        <v>0</v>
      </c>
      <c r="M2232" s="62" t="n">
        <v>0</v>
      </c>
      <c r="N2232" s="9" t="inlineStr">
        <is>
          <t>Amazon link not found</t>
        </is>
      </c>
      <c r="O2232" s="62">
        <f>IF(N2232="Selling pet toys + Artificial grass/Pet toilets (TARGET)",15,IF(N2232="Selling artificial grass/pet toilets (TARGET)",10,IF(N2232="Selling pet toys",7,IF(N2232="There's an Amazon link, but no target sales.",3,0))))</f>
        <v/>
      </c>
      <c r="P2232" s="67">
        <f>H2232+J2232+L2232+M2232+O2232</f>
        <v/>
      </c>
      <c r="Q2232" s="68">
        <f>IF(OR(H2232=0,P2232&lt;30),"Tier D (Đóng băng)",IF(P2232&gt;=85,"Tier S (Kim Cương: 85-100đ)",IF(P2232&gt;=70,"Tier A (Vàng: 70-84đ)",IF(P2232&gt;=61,"Tier B+ / Cấp A (Hot Lead: 61-69đ)",IF(P2232&gt;=50,"Tier B (Bạc: 50-60đ)","Tier C (Đồng: 30-49đ)")))))</f>
        <v/>
      </c>
      <c r="R2232" s="9" t="inlineStr">
        <is>
          <t>Khay vệ sinh chung cư (Indoor Potty) + Thảm cỏ ban công (Grass Patch) + Đồ chơi</t>
        </is>
      </c>
      <c r="S2232" s="9" t="inlineStr">
        <is>
          <t>Đóng băng tương tác (&gt;30 ngày): Lưu trữ chờ kích hoạt lại, không tốn tài nguyên Sales</t>
        </is>
      </c>
    </row>
    <row r="2233">
      <c r="A2233" s="53" t="n">
        <v>1864</v>
      </c>
      <c r="B2233" s="12" t="inlineStr">
        <is>
          <t>kenneloesfromwhiteblueangels</t>
        </is>
      </c>
      <c r="C2233" s="54" t="inlineStr">
        <is>
          <t>https://www.facebook.com/kenneloesfromwhiteblueangels</t>
        </is>
      </c>
      <c r="D2233" s="6" t="inlineStr">
        <is>
          <t>Cần quét Bio Fanpage</t>
        </is>
      </c>
      <c r="E2233" s="53" t="inlineStr">
        <is>
          <t>13/05/2024 03:42:38</t>
        </is>
      </c>
      <c r="F2233" s="53" t="inlineStr">
        <is>
          <t>2 năm trước</t>
        </is>
      </c>
      <c r="G2233" s="55" t="n">
        <v>730</v>
      </c>
      <c r="H2233" s="56" t="n">
        <v>0</v>
      </c>
      <c r="I2233" s="6" t="inlineStr">
        <is>
          <t>Pet Owner / Cộng đồng nuôi cún (10đ)</t>
        </is>
      </c>
      <c r="J2233" s="56" t="n">
        <v>10</v>
      </c>
      <c r="K2233" s="6" t="inlineStr">
        <is>
          <t>Chưa rõ giống (Cần quét Bio)</t>
        </is>
      </c>
      <c r="L2233" s="56" t="n">
        <v>0</v>
      </c>
      <c r="M2233" s="56" t="n">
        <v>0</v>
      </c>
      <c r="N2233" s="6" t="inlineStr">
        <is>
          <t>Amazon link not found</t>
        </is>
      </c>
      <c r="O2233" s="56">
        <f>IF(N2233="Selling pet toys + Artificial grass/Pet toilets (TARGET)",15,IF(N2233="Selling artificial grass/pet toilets (TARGET)",10,IF(N2233="Selling pet toys",7,IF(N2233="There's an Amazon link, but no target sales.",3,0))))</f>
        <v/>
      </c>
      <c r="P2233" s="65">
        <f>H2233+J2233+L2233+M2233+O2233</f>
        <v/>
      </c>
      <c r="Q2233" s="68">
        <f>IF(OR(H2233=0,P2233&lt;30),"Tier D (Đóng băng)",IF(P2233&gt;=85,"Tier S (Kim Cương: 85-100đ)",IF(P2233&gt;=70,"Tier A (Vàng: 70-84đ)",IF(P2233&gt;=61,"Tier B+ / Cấp A (Hot Lead: 61-69đ)",IF(P2233&gt;=50,"Tier B (Bạc: 50-60đ)","Tier C (Đồng: 30-49đ)")))))</f>
        <v/>
      </c>
      <c r="R2233" s="6" t="inlineStr">
        <is>
          <t>Khay vệ sinh chung cư (Indoor Potty) + Thảm cỏ ban công (Grass Patch) + Đồ chơi</t>
        </is>
      </c>
      <c r="S2233" s="6" t="inlineStr">
        <is>
          <t>Đóng băng tương tác (&gt;30 ngày): Lưu trữ chờ kích hoạt lại, không tốn tài nguyên Sales</t>
        </is>
      </c>
    </row>
    <row r="2234">
      <c r="A2234" s="59" t="n">
        <v>1078</v>
      </c>
      <c r="B2234" s="15" t="inlineStr">
        <is>
          <t>Dog Guard of the Coastal Carolinas</t>
        </is>
      </c>
      <c r="C2234" s="60" t="inlineStr">
        <is>
          <t>https://www.facebook.com/CCdogguard</t>
        </is>
      </c>
      <c r="D2234" s="9" t="inlineStr">
        <is>
          <t>Cần quét Bio Fanpage</t>
        </is>
      </c>
      <c r="E2234" s="59" t="inlineStr">
        <is>
          <t>03/05/2024 06:52:49</t>
        </is>
      </c>
      <c r="F2234" s="59" t="inlineStr">
        <is>
          <t>2 năm trước</t>
        </is>
      </c>
      <c r="G2234" s="61" t="n">
        <v>730</v>
      </c>
      <c r="H2234" s="62" t="n">
        <v>0</v>
      </c>
      <c r="I2234" s="9" t="inlineStr">
        <is>
          <t>Pet Owner / Cộng đồng nuôi cún (10đ)</t>
        </is>
      </c>
      <c r="J2234" s="62" t="n">
        <v>10</v>
      </c>
      <c r="K2234" s="9" t="inlineStr">
        <is>
          <t>Chưa rõ giống (Cần quét Bio)</t>
        </is>
      </c>
      <c r="L2234" s="62" t="n">
        <v>0</v>
      </c>
      <c r="M2234" s="62" t="n">
        <v>0</v>
      </c>
      <c r="N2234" s="9" t="inlineStr">
        <is>
          <t>Amazon link not found</t>
        </is>
      </c>
      <c r="O2234" s="62">
        <f>IF(N2234="Selling pet toys + Artificial grass/Pet toilets (TARGET)",15,IF(N2234="Selling artificial grass/pet toilets (TARGET)",10,IF(N2234="Selling pet toys",7,IF(N2234="There's an Amazon link, but no target sales.",3,0))))</f>
        <v/>
      </c>
      <c r="P2234" s="67">
        <f>H2234+J2234+L2234+M2234+O2234</f>
        <v/>
      </c>
      <c r="Q2234" s="68">
        <f>IF(OR(H2234=0,P2234&lt;30),"Tier D (Đóng băng)",IF(P2234&gt;=85,"Tier S (Kim Cương: 85-100đ)",IF(P2234&gt;=70,"Tier A (Vàng: 70-84đ)",IF(P2234&gt;=61,"Tier B+ / Cấp A (Hot Lead: 61-69đ)",IF(P2234&gt;=50,"Tier B (Bạc: 50-60đ)","Tier C (Đồng: 30-49đ)")))))</f>
        <v/>
      </c>
      <c r="R2234" s="9" t="inlineStr">
        <is>
          <t>Khay vệ sinh chung cư (Indoor Potty) + Thảm cỏ ban công (Grass Patch) + Đồ chơi</t>
        </is>
      </c>
      <c r="S2234" s="9" t="inlineStr">
        <is>
          <t>Đóng băng tương tác (&gt;30 ngày): Lưu trữ chờ kích hoạt lại, không tốn tài nguyên Sales</t>
        </is>
      </c>
    </row>
    <row r="2235">
      <c r="A2235" s="53" t="n">
        <v>2768</v>
      </c>
      <c r="B2235" s="12" t="inlineStr">
        <is>
          <t>Rockstar Pet Shuttles</t>
        </is>
      </c>
      <c r="C2235" s="54" t="inlineStr">
        <is>
          <t>https://www.facebook.com/profile.php?id=100071657672598</t>
        </is>
      </c>
      <c r="D2235" s="6" t="inlineStr">
        <is>
          <t>Cần quét Bio Fanpage</t>
        </is>
      </c>
      <c r="E2235" s="53" t="inlineStr">
        <is>
          <t>28/04/2024 13:10:33</t>
        </is>
      </c>
      <c r="F2235" s="53" t="inlineStr">
        <is>
          <t>2 năm trước</t>
        </is>
      </c>
      <c r="G2235" s="55" t="n">
        <v>730</v>
      </c>
      <c r="H2235" s="56" t="n">
        <v>0</v>
      </c>
      <c r="I2235" s="6" t="inlineStr">
        <is>
          <t>Pet Owner / Cộng đồng nuôi cún (10đ)</t>
        </is>
      </c>
      <c r="J2235" s="56" t="n">
        <v>10</v>
      </c>
      <c r="K2235" s="6" t="inlineStr">
        <is>
          <t>Chưa rõ giống (Cần quét Bio)</t>
        </is>
      </c>
      <c r="L2235" s="56" t="n">
        <v>0</v>
      </c>
      <c r="M2235" s="56" t="n">
        <v>0</v>
      </c>
      <c r="N2235" s="6" t="inlineStr">
        <is>
          <t>Amazon link not found</t>
        </is>
      </c>
      <c r="O2235" s="56">
        <f>IF(N2235="Selling pet toys + Artificial grass/Pet toilets (TARGET)",15,IF(N2235="Selling artificial grass/pet toilets (TARGET)",10,IF(N2235="Selling pet toys",7,IF(N2235="There's an Amazon link, but no target sales.",3,0))))</f>
        <v/>
      </c>
      <c r="P2235" s="65">
        <f>H2235+J2235+L2235+M2235+O2235</f>
        <v/>
      </c>
      <c r="Q2235" s="68">
        <f>IF(OR(H2235=0,P2235&lt;30),"Tier D (Đóng băng)",IF(P2235&gt;=85,"Tier S (Kim Cương: 85-100đ)",IF(P2235&gt;=70,"Tier A (Vàng: 70-84đ)",IF(P2235&gt;=61,"Tier B+ / Cấp A (Hot Lead: 61-69đ)",IF(P2235&gt;=50,"Tier B (Bạc: 50-60đ)","Tier C (Đồng: 30-49đ)")))))</f>
        <v/>
      </c>
      <c r="R2235" s="6" t="inlineStr">
        <is>
          <t>Khay vệ sinh chung cư (Indoor Potty) + Thảm cỏ ban công (Grass Patch) + Đồ chơi</t>
        </is>
      </c>
      <c r="S2235" s="6" t="inlineStr">
        <is>
          <t>Đóng băng tương tác (&gt;30 ngày): Lưu trữ chờ kích hoạt lại, không tốn tài nguyên Sales</t>
        </is>
      </c>
    </row>
    <row r="2236">
      <c r="A2236" s="59" t="n">
        <v>1085</v>
      </c>
      <c r="B2236" s="15" t="inlineStr">
        <is>
          <t>Dog House and More.</t>
        </is>
      </c>
      <c r="C2236" s="60" t="inlineStr">
        <is>
          <t>https://www.facebook.com/profile.php?id=61555716137649</t>
        </is>
      </c>
      <c r="D2236" s="9" t="inlineStr">
        <is>
          <t>Cần quét Bio Fanpage</t>
        </is>
      </c>
      <c r="E2236" s="59" t="inlineStr">
        <is>
          <t>04/04/2024 20:56:54</t>
        </is>
      </c>
      <c r="F2236" s="59" t="inlineStr">
        <is>
          <t>2 năm trước</t>
        </is>
      </c>
      <c r="G2236" s="61" t="n">
        <v>730</v>
      </c>
      <c r="H2236" s="62" t="n">
        <v>0</v>
      </c>
      <c r="I2236" s="9" t="inlineStr">
        <is>
          <t>Pet Owner / Cộng đồng nuôi cún (10đ)</t>
        </is>
      </c>
      <c r="J2236" s="62" t="n">
        <v>10</v>
      </c>
      <c r="K2236" s="9" t="inlineStr">
        <is>
          <t>Chưa rõ giống (Cần quét Bio)</t>
        </is>
      </c>
      <c r="L2236" s="62" t="n">
        <v>0</v>
      </c>
      <c r="M2236" s="62" t="n">
        <v>0</v>
      </c>
      <c r="N2236" s="9" t="inlineStr">
        <is>
          <t>Amazon link not found</t>
        </is>
      </c>
      <c r="O2236" s="62">
        <f>IF(N2236="Selling pet toys + Artificial grass/Pet toilets (TARGET)",15,IF(N2236="Selling artificial grass/pet toilets (TARGET)",10,IF(N2236="Selling pet toys",7,IF(N2236="There's an Amazon link, but no target sales.",3,0))))</f>
        <v/>
      </c>
      <c r="P2236" s="67">
        <f>H2236+J2236+L2236+M2236+O2236</f>
        <v/>
      </c>
      <c r="Q2236" s="68">
        <f>IF(OR(H2236=0,P2236&lt;30),"Tier D (Đóng băng)",IF(P2236&gt;=85,"Tier S (Kim Cương: 85-100đ)",IF(P2236&gt;=70,"Tier A (Vàng: 70-84đ)",IF(P2236&gt;=61,"Tier B+ / Cấp A (Hot Lead: 61-69đ)",IF(P2236&gt;=50,"Tier B (Bạc: 50-60đ)","Tier C (Đồng: 30-49đ)")))))</f>
        <v/>
      </c>
      <c r="R2236" s="9" t="inlineStr">
        <is>
          <t>Khay vệ sinh chung cư (Indoor Potty) + Thảm cỏ ban công (Grass Patch) + Đồ chơi</t>
        </is>
      </c>
      <c r="S2236" s="9" t="inlineStr">
        <is>
          <t>Đóng băng tương tác (&gt;30 ngày): Lưu trữ chờ kích hoạt lại, không tốn tài nguyên Sales</t>
        </is>
      </c>
    </row>
    <row r="2237">
      <c r="A2237" s="53" t="n">
        <v>933</v>
      </c>
      <c r="B2237" s="12" t="inlineStr">
        <is>
          <t>Competitive Traditional Archery</t>
        </is>
      </c>
      <c r="C2237" s="54" t="inlineStr">
        <is>
          <t>https://www.facebook.com/profile.php?id=100068155273918</t>
        </is>
      </c>
      <c r="D2237" s="6" t="inlineStr">
        <is>
          <t>Cần quét Bio Fanpage</t>
        </is>
      </c>
      <c r="E2237" s="53" t="inlineStr">
        <is>
          <t>19/03/2024 21:30:54</t>
        </is>
      </c>
      <c r="F2237" s="53" t="inlineStr">
        <is>
          <t>2 năm trước</t>
        </is>
      </c>
      <c r="G2237" s="55" t="n">
        <v>730</v>
      </c>
      <c r="H2237" s="56" t="n">
        <v>0</v>
      </c>
      <c r="I2237" s="6" t="inlineStr">
        <is>
          <t>Pet Owner / Cộng đồng nuôi cún (10đ)</t>
        </is>
      </c>
      <c r="J2237" s="56" t="n">
        <v>10</v>
      </c>
      <c r="K2237" s="6" t="inlineStr">
        <is>
          <t>Chưa rõ giống (Cần quét Bio)</t>
        </is>
      </c>
      <c r="L2237" s="56" t="n">
        <v>0</v>
      </c>
      <c r="M2237" s="56" t="n">
        <v>0</v>
      </c>
      <c r="N2237" s="6" t="inlineStr">
        <is>
          <t>Amazon link not found</t>
        </is>
      </c>
      <c r="O2237" s="56">
        <f>IF(N2237="Selling pet toys + Artificial grass/Pet toilets (TARGET)",15,IF(N2237="Selling artificial grass/pet toilets (TARGET)",10,IF(N2237="Selling pet toys",7,IF(N2237="There's an Amazon link, but no target sales.",3,0))))</f>
        <v/>
      </c>
      <c r="P2237" s="65">
        <f>H2237+J2237+L2237+M2237+O2237</f>
        <v/>
      </c>
      <c r="Q2237" s="68">
        <f>IF(OR(H2237=0,P2237&lt;30),"Tier D (Đóng băng)",IF(P2237&gt;=85,"Tier S (Kim Cương: 85-100đ)",IF(P2237&gt;=70,"Tier A (Vàng: 70-84đ)",IF(P2237&gt;=61,"Tier B+ / Cấp A (Hot Lead: 61-69đ)",IF(P2237&gt;=50,"Tier B (Bạc: 50-60đ)","Tier C (Đồng: 30-49đ)")))))</f>
        <v/>
      </c>
      <c r="R2237" s="6" t="inlineStr">
        <is>
          <t>Khay vệ sinh chung cư (Indoor Potty) + Thảm cỏ ban công (Grass Patch) + Đồ chơi</t>
        </is>
      </c>
      <c r="S2237" s="6" t="inlineStr">
        <is>
          <t>Đóng băng tương tác (&gt;30 ngày): Lưu trữ chờ kích hoạt lại, không tốn tài nguyên Sales</t>
        </is>
      </c>
    </row>
    <row r="2238">
      <c r="A2238" s="59" t="n">
        <v>291</v>
      </c>
      <c r="B2238" s="15" t="inlineStr">
        <is>
          <t>Wildpaws Companion dogs and Wolfalikes</t>
        </is>
      </c>
      <c r="C2238" s="60" t="inlineStr">
        <is>
          <t>https://www.facebook.com/profile.php?id=100069553232855</t>
        </is>
      </c>
      <c r="D2238" s="9" t="inlineStr">
        <is>
          <t>Cần quét Bio Fanpage</t>
        </is>
      </c>
      <c r="E2238" s="59" t="inlineStr">
        <is>
          <t>28/02/2024 13:47:19</t>
        </is>
      </c>
      <c r="F2238" s="59" t="inlineStr">
        <is>
          <t>2 năm trước</t>
        </is>
      </c>
      <c r="G2238" s="61" t="n">
        <v>730</v>
      </c>
      <c r="H2238" s="62" t="n">
        <v>0</v>
      </c>
      <c r="I2238" s="9" t="inlineStr">
        <is>
          <t>Pet Owner / Cộng đồng nuôi cún (10đ)</t>
        </is>
      </c>
      <c r="J2238" s="62" t="n">
        <v>10</v>
      </c>
      <c r="K2238" s="9" t="inlineStr">
        <is>
          <t>Chưa rõ giống (Cần quét Bio)</t>
        </is>
      </c>
      <c r="L2238" s="62" t="n">
        <v>0</v>
      </c>
      <c r="M2238" s="62" t="n">
        <v>0</v>
      </c>
      <c r="N2238" s="9" t="inlineStr">
        <is>
          <t>Amazon link not found</t>
        </is>
      </c>
      <c r="O2238" s="62">
        <f>IF(N2238="Selling pet toys + Artificial grass/Pet toilets (TARGET)",15,IF(N2238="Selling artificial grass/pet toilets (TARGET)",10,IF(N2238="Selling pet toys",7,IF(N2238="There's an Amazon link, but no target sales.",3,0))))</f>
        <v/>
      </c>
      <c r="P2238" s="67">
        <f>H2238+J2238+L2238+M2238+O2238</f>
        <v/>
      </c>
      <c r="Q2238" s="68">
        <f>IF(OR(H2238=0,P2238&lt;30),"Tier D (Đóng băng)",IF(P2238&gt;=85,"Tier S (Kim Cương: 85-100đ)",IF(P2238&gt;=70,"Tier A (Vàng: 70-84đ)",IF(P2238&gt;=61,"Tier B+ / Cấp A (Hot Lead: 61-69đ)",IF(P2238&gt;=50,"Tier B (Bạc: 50-60đ)","Tier C (Đồng: 30-49đ)")))))</f>
        <v/>
      </c>
      <c r="R2238" s="9" t="inlineStr">
        <is>
          <t>Khay vệ sinh chung cư (Indoor Potty) + Thảm cỏ ban công (Grass Patch) + Đồ chơi</t>
        </is>
      </c>
      <c r="S2238" s="9" t="inlineStr">
        <is>
          <t>Đóng băng tương tác (&gt;30 ngày): Lưu trữ chờ kích hoạt lại, không tốn tài nguyên Sales</t>
        </is>
      </c>
    </row>
    <row r="2239">
      <c r="A2239" s="53" t="n">
        <v>2854</v>
      </c>
      <c r="B2239" s="12" t="inlineStr">
        <is>
          <t>Sekada handmade for dogs</t>
        </is>
      </c>
      <c r="C2239" s="54" t="inlineStr">
        <is>
          <t>https://www.facebook.com/profile.php?id=100054427122309</t>
        </is>
      </c>
      <c r="D2239" s="6" t="inlineStr">
        <is>
          <t>Cần quét Bio Fanpage</t>
        </is>
      </c>
      <c r="E2239" s="53" t="inlineStr">
        <is>
          <t>22/02/2024 18:13:32</t>
        </is>
      </c>
      <c r="F2239" s="53" t="inlineStr">
        <is>
          <t>2 năm trước</t>
        </is>
      </c>
      <c r="G2239" s="55" t="n">
        <v>730</v>
      </c>
      <c r="H2239" s="56" t="n">
        <v>0</v>
      </c>
      <c r="I2239" s="6" t="inlineStr">
        <is>
          <t>Pet Owner / Cộng đồng nuôi cún (10đ)</t>
        </is>
      </c>
      <c r="J2239" s="56" t="n">
        <v>10</v>
      </c>
      <c r="K2239" s="6" t="inlineStr">
        <is>
          <t>Chưa rõ giống (Cần quét Bio)</t>
        </is>
      </c>
      <c r="L2239" s="56" t="n">
        <v>0</v>
      </c>
      <c r="M2239" s="56" t="n">
        <v>0</v>
      </c>
      <c r="N2239" s="6" t="inlineStr">
        <is>
          <t>Amazon link not found</t>
        </is>
      </c>
      <c r="O2239" s="56">
        <f>IF(N2239="Selling pet toys + Artificial grass/Pet toilets (TARGET)",15,IF(N2239="Selling artificial grass/pet toilets (TARGET)",10,IF(N2239="Selling pet toys",7,IF(N2239="There's an Amazon link, but no target sales.",3,0))))</f>
        <v/>
      </c>
      <c r="P2239" s="65">
        <f>H2239+J2239+L2239+M2239+O2239</f>
        <v/>
      </c>
      <c r="Q2239" s="68">
        <f>IF(OR(H2239=0,P2239&lt;30),"Tier D (Đóng băng)",IF(P2239&gt;=85,"Tier S (Kim Cương: 85-100đ)",IF(P2239&gt;=70,"Tier A (Vàng: 70-84đ)",IF(P2239&gt;=61,"Tier B+ / Cấp A (Hot Lead: 61-69đ)",IF(P2239&gt;=50,"Tier B (Bạc: 50-60đ)","Tier C (Đồng: 30-49đ)")))))</f>
        <v/>
      </c>
      <c r="R2239" s="6" t="inlineStr">
        <is>
          <t>Khay vệ sinh chung cư (Indoor Potty) + Thảm cỏ ban công (Grass Patch) + Đồ chơi</t>
        </is>
      </c>
      <c r="S2239" s="6" t="inlineStr">
        <is>
          <t>Đóng băng tương tác (&gt;30 ngày): Lưu trữ chờ kích hoạt lại, không tốn tài nguyên Sales</t>
        </is>
      </c>
    </row>
    <row r="2240">
      <c r="A2240" s="59" t="n">
        <v>1708</v>
      </c>
      <c r="B2240" s="15" t="inlineStr">
        <is>
          <t>I Love Dogs</t>
        </is>
      </c>
      <c r="C2240" s="60" t="inlineStr">
        <is>
          <t>https://www.facebook.com/DogsFanPage</t>
        </is>
      </c>
      <c r="D2240" s="9" t="inlineStr">
        <is>
          <t>Cần quét Bio Fanpage</t>
        </is>
      </c>
      <c r="E2240" s="59" t="inlineStr">
        <is>
          <t>13/02/2024 09:03:39</t>
        </is>
      </c>
      <c r="F2240" s="59" t="inlineStr">
        <is>
          <t>2 năm trước</t>
        </is>
      </c>
      <c r="G2240" s="61" t="n">
        <v>730</v>
      </c>
      <c r="H2240" s="62" t="n">
        <v>0</v>
      </c>
      <c r="I2240" s="9" t="inlineStr">
        <is>
          <t>Pet Owner / Cộng đồng nuôi cún (10đ)</t>
        </is>
      </c>
      <c r="J2240" s="62" t="n">
        <v>10</v>
      </c>
      <c r="K2240" s="9" t="inlineStr">
        <is>
          <t>Chưa rõ giống (Cần quét Bio)</t>
        </is>
      </c>
      <c r="L2240" s="62" t="n">
        <v>0</v>
      </c>
      <c r="M2240" s="62" t="n">
        <v>0</v>
      </c>
      <c r="N2240" s="9" t="inlineStr">
        <is>
          <t>Amazon link not found</t>
        </is>
      </c>
      <c r="O2240" s="62">
        <f>IF(N2240="Selling pet toys + Artificial grass/Pet toilets (TARGET)",15,IF(N2240="Selling artificial grass/pet toilets (TARGET)",10,IF(N2240="Selling pet toys",7,IF(N2240="There's an Amazon link, but no target sales.",3,0))))</f>
        <v/>
      </c>
      <c r="P2240" s="67">
        <f>H2240+J2240+L2240+M2240+O2240</f>
        <v/>
      </c>
      <c r="Q2240" s="68">
        <f>IF(OR(H2240=0,P2240&lt;30),"Tier D (Đóng băng)",IF(P2240&gt;=85,"Tier S (Kim Cương: 85-100đ)",IF(P2240&gt;=70,"Tier A (Vàng: 70-84đ)",IF(P2240&gt;=61,"Tier B+ / Cấp A (Hot Lead: 61-69đ)",IF(P2240&gt;=50,"Tier B (Bạc: 50-60đ)","Tier C (Đồng: 30-49đ)")))))</f>
        <v/>
      </c>
      <c r="R2240" s="9" t="inlineStr">
        <is>
          <t>Khay vệ sinh chung cư (Indoor Potty) + Thảm cỏ ban công (Grass Patch) + Đồ chơi</t>
        </is>
      </c>
      <c r="S2240" s="9" t="inlineStr">
        <is>
          <t>Đóng băng tương tác (&gt;30 ngày): Lưu trữ chờ kích hoạt lại, không tốn tài nguyên Sales</t>
        </is>
      </c>
    </row>
    <row r="2241">
      <c r="A2241" s="53" t="n">
        <v>1779</v>
      </c>
      <c r="B2241" s="12" t="inlineStr">
        <is>
          <t>JOSI Petfood</t>
        </is>
      </c>
      <c r="C2241" s="54" t="inlineStr">
        <is>
          <t>https://www.facebook.com/JOSIPetfood</t>
        </is>
      </c>
      <c r="D2241" s="6" t="inlineStr">
        <is>
          <t>Cần quét Bio Fanpage</t>
        </is>
      </c>
      <c r="E2241" s="53" t="inlineStr">
        <is>
          <t>01/02/2024 00:00:00</t>
        </is>
      </c>
      <c r="F2241" s="53" t="inlineStr">
        <is>
          <t>2 năm trước</t>
        </is>
      </c>
      <c r="G2241" s="55" t="n">
        <v>730</v>
      </c>
      <c r="H2241" s="56" t="n">
        <v>0</v>
      </c>
      <c r="I2241" s="6" t="inlineStr">
        <is>
          <t>Pet Owner / Cộng đồng nuôi cún (10đ)</t>
        </is>
      </c>
      <c r="J2241" s="56" t="n">
        <v>10</v>
      </c>
      <c r="K2241" s="6" t="inlineStr">
        <is>
          <t>Chưa rõ giống (Cần quét Bio)</t>
        </is>
      </c>
      <c r="L2241" s="56" t="n">
        <v>0</v>
      </c>
      <c r="M2241" s="56" t="n">
        <v>0</v>
      </c>
      <c r="N2241" s="6" t="inlineStr">
        <is>
          <t>Amazon link not found</t>
        </is>
      </c>
      <c r="O2241" s="56">
        <f>IF(N2241="Selling pet toys + Artificial grass/Pet toilets (TARGET)",15,IF(N2241="Selling artificial grass/pet toilets (TARGET)",10,IF(N2241="Selling pet toys",7,IF(N2241="There's an Amazon link, but no target sales.",3,0))))</f>
        <v/>
      </c>
      <c r="P2241" s="65">
        <f>H2241+J2241+L2241+M2241+O2241</f>
        <v/>
      </c>
      <c r="Q2241" s="68">
        <f>IF(OR(H2241=0,P2241&lt;30),"Tier D (Đóng băng)",IF(P2241&gt;=85,"Tier S (Kim Cương: 85-100đ)",IF(P2241&gt;=70,"Tier A (Vàng: 70-84đ)",IF(P2241&gt;=61,"Tier B+ / Cấp A (Hot Lead: 61-69đ)",IF(P2241&gt;=50,"Tier B (Bạc: 50-60đ)","Tier C (Đồng: 30-49đ)")))))</f>
        <v/>
      </c>
      <c r="R2241" s="6" t="inlineStr">
        <is>
          <t>Khay vệ sinh chung cư (Indoor Potty) + Thảm cỏ ban công (Grass Patch) + Đồ chơi</t>
        </is>
      </c>
      <c r="S2241" s="6" t="inlineStr">
        <is>
          <t>Đóng băng tương tác (&gt;30 ngày): Lưu trữ chờ kích hoạt lại, không tốn tài nguyên Sales</t>
        </is>
      </c>
    </row>
    <row r="2242">
      <c r="A2242" s="59" t="n">
        <v>3110</v>
      </c>
      <c r="B2242" s="15" t="inlineStr">
        <is>
          <t>The Doggie depot</t>
        </is>
      </c>
      <c r="C2242" s="60" t="inlineStr">
        <is>
          <t>https://www.facebook.com/profile.php?id=61551384792395</t>
        </is>
      </c>
      <c r="D2242" s="9" t="inlineStr">
        <is>
          <t>Cần quét Bio Fanpage</t>
        </is>
      </c>
      <c r="E2242" s="59" t="inlineStr">
        <is>
          <t>31/01/2024 21:46:27</t>
        </is>
      </c>
      <c r="F2242" s="59" t="inlineStr">
        <is>
          <t>2 năm trước</t>
        </is>
      </c>
      <c r="G2242" s="61" t="n">
        <v>730</v>
      </c>
      <c r="H2242" s="62" t="n">
        <v>0</v>
      </c>
      <c r="I2242" s="9" t="inlineStr">
        <is>
          <t>Pet Owner / Kênh cá nhân thú cưng (10đ)</t>
        </is>
      </c>
      <c r="J2242" s="62" t="n">
        <v>10</v>
      </c>
      <c r="K2242" s="9" t="inlineStr">
        <is>
          <t>Chưa rõ giống (Cần quét Bio)</t>
        </is>
      </c>
      <c r="L2242" s="62" t="n">
        <v>0</v>
      </c>
      <c r="M2242" s="62" t="n">
        <v>0</v>
      </c>
      <c r="N2242" s="9" t="inlineStr">
        <is>
          <t>Amazon link not found</t>
        </is>
      </c>
      <c r="O2242" s="62">
        <f>IF(N2242="Selling pet toys + Artificial grass/Pet toilets (TARGET)",15,IF(N2242="Selling artificial grass/pet toilets (TARGET)",10,IF(N2242="Selling pet toys",7,IF(N2242="There's an Amazon link, but no target sales.",3,0))))</f>
        <v/>
      </c>
      <c r="P2242" s="67">
        <f>H2242+J2242+L2242+M2242+O2242</f>
        <v/>
      </c>
      <c r="Q2242" s="68">
        <f>IF(OR(H2242=0,P2242&lt;30),"Tier D (Đóng băng)",IF(P2242&gt;=85,"Tier S (Kim Cương: 85-100đ)",IF(P2242&gt;=70,"Tier A (Vàng: 70-84đ)",IF(P2242&gt;=61,"Tier B+ / Cấp A (Hot Lead: 61-69đ)",IF(P2242&gt;=50,"Tier B (Bạc: 50-60đ)","Tier C (Đồng: 30-49đ)")))))</f>
        <v/>
      </c>
      <c r="R2242" s="9" t="inlineStr">
        <is>
          <t>Khay vệ sinh trong nhà (Indoor Dog Potty) + Đồ chơi thú cưng lẻ</t>
        </is>
      </c>
      <c r="S2242" s="9" t="inlineStr">
        <is>
          <t>Đóng băng tương tác (&gt;30 ngày): Lưu trữ chờ kích hoạt lại, không tốn tài nguyên Sales</t>
        </is>
      </c>
    </row>
    <row r="2243">
      <c r="A2243" s="53" t="n">
        <v>3210</v>
      </c>
      <c r="B2243" s="12" t="inlineStr">
        <is>
          <t>Top Dog Talent Agency</t>
        </is>
      </c>
      <c r="C2243" s="54" t="inlineStr">
        <is>
          <t>https://www.facebook.com/animalactorsnationwide</t>
        </is>
      </c>
      <c r="D2243" s="6" t="inlineStr">
        <is>
          <t>Cần quét Bio Fanpage</t>
        </is>
      </c>
      <c r="E2243" s="53" t="inlineStr">
        <is>
          <t>25/01/2024 09:48:18</t>
        </is>
      </c>
      <c r="F2243" s="53" t="inlineStr">
        <is>
          <t>2 năm trước</t>
        </is>
      </c>
      <c r="G2243" s="55" t="n">
        <v>730</v>
      </c>
      <c r="H2243" s="56" t="n">
        <v>0</v>
      </c>
      <c r="I2243" s="6" t="inlineStr">
        <is>
          <t>Pet Owner / Kênh cá nhân thú cưng (10đ)</t>
        </is>
      </c>
      <c r="J2243" s="56" t="n">
        <v>10</v>
      </c>
      <c r="K2243" s="6" t="inlineStr">
        <is>
          <t>Chưa rõ giống (Cần quét Bio)</t>
        </is>
      </c>
      <c r="L2243" s="56" t="n">
        <v>0</v>
      </c>
      <c r="M2243" s="56" t="n">
        <v>0</v>
      </c>
      <c r="N2243" s="6" t="inlineStr">
        <is>
          <t>Amazon link not found</t>
        </is>
      </c>
      <c r="O2243" s="56">
        <f>IF(N2243="Selling pet toys + Artificial grass/Pet toilets (TARGET)",15,IF(N2243="Selling artificial grass/pet toilets (TARGET)",10,IF(N2243="Selling pet toys",7,IF(N2243="There's an Amazon link, but no target sales.",3,0))))</f>
        <v/>
      </c>
      <c r="P2243" s="65">
        <f>H2243+J2243+L2243+M2243+O2243</f>
        <v/>
      </c>
      <c r="Q2243" s="68">
        <f>IF(OR(H2243=0,P2243&lt;30),"Tier D (Đóng băng)",IF(P2243&gt;=85,"Tier S (Kim Cương: 85-100đ)",IF(P2243&gt;=70,"Tier A (Vàng: 70-84đ)",IF(P2243&gt;=61,"Tier B+ / Cấp A (Hot Lead: 61-69đ)",IF(P2243&gt;=50,"Tier B (Bạc: 50-60đ)","Tier C (Đồng: 30-49đ)")))))</f>
        <v/>
      </c>
      <c r="R2243" s="6" t="inlineStr">
        <is>
          <t>Khay vệ sinh trong nhà (Indoor Dog Potty) + Đồ chơi thú cưng lẻ</t>
        </is>
      </c>
      <c r="S2243" s="6" t="inlineStr">
        <is>
          <t>Đóng băng tương tác (&gt;30 ngày): Lưu trữ chờ kích hoạt lại, không tốn tài nguyên Sales</t>
        </is>
      </c>
    </row>
    <row r="2244">
      <c r="A2244" s="59" t="n">
        <v>1021</v>
      </c>
      <c r="B2244" s="15" t="inlineStr">
        <is>
          <t>Delmatachin Dogo de Burdeos</t>
        </is>
      </c>
      <c r="C2244" s="60" t="inlineStr">
        <is>
          <t>https://www.facebook.com/profile.php?id=100057275927498</t>
        </is>
      </c>
      <c r="D2244" s="9" t="inlineStr">
        <is>
          <t>Cần quét Bio Fanpage</t>
        </is>
      </c>
      <c r="E2244" s="59" t="inlineStr">
        <is>
          <t>20/01/2024 21:50:07</t>
        </is>
      </c>
      <c r="F2244" s="59" t="inlineStr">
        <is>
          <t>2 năm trước</t>
        </is>
      </c>
      <c r="G2244" s="61" t="n">
        <v>730</v>
      </c>
      <c r="H2244" s="62" t="n">
        <v>0</v>
      </c>
      <c r="I2244" s="9" t="inlineStr">
        <is>
          <t>Pet Owner / Cộng đồng nuôi cún (10đ)</t>
        </is>
      </c>
      <c r="J2244" s="62" t="n">
        <v>10</v>
      </c>
      <c r="K2244" s="9" t="inlineStr">
        <is>
          <t>Chưa rõ giống (Cần quét Bio)</t>
        </is>
      </c>
      <c r="L2244" s="62" t="n">
        <v>0</v>
      </c>
      <c r="M2244" s="62" t="n">
        <v>0</v>
      </c>
      <c r="N2244" s="9" t="inlineStr">
        <is>
          <t>Amazon link not found</t>
        </is>
      </c>
      <c r="O2244" s="62">
        <f>IF(N2244="Selling pet toys + Artificial grass/Pet toilets (TARGET)",15,IF(N2244="Selling artificial grass/pet toilets (TARGET)",10,IF(N2244="Selling pet toys",7,IF(N2244="There's an Amazon link, but no target sales.",3,0))))</f>
        <v/>
      </c>
      <c r="P2244" s="67">
        <f>H2244+J2244+L2244+M2244+O2244</f>
        <v/>
      </c>
      <c r="Q2244" s="68">
        <f>IF(OR(H2244=0,P2244&lt;30),"Tier D (Đóng băng)",IF(P2244&gt;=85,"Tier S (Kim Cương: 85-100đ)",IF(P2244&gt;=70,"Tier A (Vàng: 70-84đ)",IF(P2244&gt;=61,"Tier B+ / Cấp A (Hot Lead: 61-69đ)",IF(P2244&gt;=50,"Tier B (Bạc: 50-60đ)","Tier C (Đồng: 30-49đ)")))))</f>
        <v/>
      </c>
      <c r="R2244" s="9" t="inlineStr">
        <is>
          <t>Khay vệ sinh chung cư (Indoor Potty) + Thảm cỏ ban công (Grass Patch) + Đồ chơi</t>
        </is>
      </c>
      <c r="S2244" s="9" t="inlineStr">
        <is>
          <t>Đóng băng tương tác (&gt;30 ngày): Lưu trữ chờ kích hoạt lại, không tốn tài nguyên Sales</t>
        </is>
      </c>
    </row>
    <row r="2245">
      <c r="A2245" s="53" t="n">
        <v>2024</v>
      </c>
      <c r="B2245" s="12" t="inlineStr">
        <is>
          <t>Linda Norgaard Peterson</t>
        </is>
      </c>
      <c r="C2245" s="54" t="inlineStr">
        <is>
          <t>https://www.facebook.com/linda.norgaardpeterson</t>
        </is>
      </c>
      <c r="D2245" s="6" t="inlineStr">
        <is>
          <t>Cần quét Bio Fanpage</t>
        </is>
      </c>
      <c r="E2245" s="53" t="inlineStr">
        <is>
          <t>23/12/2023 00:59:31</t>
        </is>
      </c>
      <c r="F2245" s="53" t="inlineStr">
        <is>
          <t>2 năm trước</t>
        </is>
      </c>
      <c r="G2245" s="55" t="n">
        <v>730</v>
      </c>
      <c r="H2245" s="56" t="n">
        <v>0</v>
      </c>
      <c r="I2245" s="6" t="inlineStr">
        <is>
          <t>Pet Owner / Cộng đồng nuôi cún (10đ)</t>
        </is>
      </c>
      <c r="J2245" s="56" t="n">
        <v>10</v>
      </c>
      <c r="K2245" s="6" t="inlineStr">
        <is>
          <t>Chưa rõ giống (Cần quét Bio)</t>
        </is>
      </c>
      <c r="L2245" s="56" t="n">
        <v>0</v>
      </c>
      <c r="M2245" s="56" t="n">
        <v>0</v>
      </c>
      <c r="N2245" s="6" t="inlineStr">
        <is>
          <t>Amazon link not found</t>
        </is>
      </c>
      <c r="O2245" s="56">
        <f>IF(N2245="Selling pet toys + Artificial grass/Pet toilets (TARGET)",15,IF(N2245="Selling artificial grass/pet toilets (TARGET)",10,IF(N2245="Selling pet toys",7,IF(N2245="There's an Amazon link, but no target sales.",3,0))))</f>
        <v/>
      </c>
      <c r="P2245" s="65">
        <f>H2245+J2245+L2245+M2245+O2245</f>
        <v/>
      </c>
      <c r="Q2245" s="68">
        <f>IF(OR(H2245=0,P2245&lt;30),"Tier D (Đóng băng)",IF(P2245&gt;=85,"Tier S (Kim Cương: 85-100đ)",IF(P2245&gt;=70,"Tier A (Vàng: 70-84đ)",IF(P2245&gt;=61,"Tier B+ / Cấp A (Hot Lead: 61-69đ)",IF(P2245&gt;=50,"Tier B (Bạc: 50-60đ)","Tier C (Đồng: 30-49đ)")))))</f>
        <v/>
      </c>
      <c r="R2245" s="6" t="inlineStr">
        <is>
          <t>Khay vệ sinh chung cư (Indoor Potty) + Thảm cỏ ban công (Grass Patch) + Đồ chơi</t>
        </is>
      </c>
      <c r="S2245" s="6" t="inlineStr">
        <is>
          <t>Đóng băng tương tác (&gt;30 ngày): Lưu trữ chờ kích hoạt lại, không tốn tài nguyên Sales</t>
        </is>
      </c>
    </row>
    <row r="2246">
      <c r="A2246" s="59" t="n">
        <v>2509</v>
      </c>
      <c r="B2246" s="15" t="inlineStr">
        <is>
          <t>Petit Banana PR</t>
        </is>
      </c>
      <c r="C2246" s="60" t="inlineStr">
        <is>
          <t>https://www.facebook.com/petitbananapr</t>
        </is>
      </c>
      <c r="D2246" s="9" t="inlineStr">
        <is>
          <t>Cần quét Bio Fanpage</t>
        </is>
      </c>
      <c r="E2246" s="59" t="inlineStr">
        <is>
          <t>20/12/2023 16:41:01</t>
        </is>
      </c>
      <c r="F2246" s="59" t="inlineStr">
        <is>
          <t>2 năm trước</t>
        </is>
      </c>
      <c r="G2246" s="61" t="n">
        <v>730</v>
      </c>
      <c r="H2246" s="62" t="n">
        <v>0</v>
      </c>
      <c r="I2246" s="9" t="inlineStr">
        <is>
          <t>Pet Owner / Cộng đồng nuôi cún (10đ)</t>
        </is>
      </c>
      <c r="J2246" s="62" t="n">
        <v>10</v>
      </c>
      <c r="K2246" s="9" t="inlineStr">
        <is>
          <t>Chưa rõ giống (Cần quét Bio)</t>
        </is>
      </c>
      <c r="L2246" s="62" t="n">
        <v>0</v>
      </c>
      <c r="M2246" s="62" t="n">
        <v>0</v>
      </c>
      <c r="N2246" s="9" t="inlineStr">
        <is>
          <t>Amazon link not found</t>
        </is>
      </c>
      <c r="O2246" s="62">
        <f>IF(N2246="Selling pet toys + Artificial grass/Pet toilets (TARGET)",15,IF(N2246="Selling artificial grass/pet toilets (TARGET)",10,IF(N2246="Selling pet toys",7,IF(N2246="There's an Amazon link, but no target sales.",3,0))))</f>
        <v/>
      </c>
      <c r="P2246" s="67">
        <f>H2246+J2246+L2246+M2246+O2246</f>
        <v/>
      </c>
      <c r="Q2246" s="68">
        <f>IF(OR(H2246=0,P2246&lt;30),"Tier D (Đóng băng)",IF(P2246&gt;=85,"Tier S (Kim Cương: 85-100đ)",IF(P2246&gt;=70,"Tier A (Vàng: 70-84đ)",IF(P2246&gt;=61,"Tier B+ / Cấp A (Hot Lead: 61-69đ)",IF(P2246&gt;=50,"Tier B (Bạc: 50-60đ)","Tier C (Đồng: 30-49đ)")))))</f>
        <v/>
      </c>
      <c r="R2246" s="9" t="inlineStr">
        <is>
          <t>Khay vệ sinh chung cư (Indoor Potty) + Thảm cỏ ban công (Grass Patch) + Đồ chơi</t>
        </is>
      </c>
      <c r="S2246" s="9" t="inlineStr">
        <is>
          <t>Đóng băng tương tác (&gt;30 ngày): Lưu trữ chờ kích hoạt lại, không tốn tài nguyên Sales</t>
        </is>
      </c>
    </row>
    <row r="2247">
      <c r="A2247" s="53" t="n">
        <v>678</v>
      </c>
      <c r="B2247" s="12" t="inlineStr">
        <is>
          <t>Birch the G.H. Herrmann Therapy Dog</t>
        </is>
      </c>
      <c r="C2247" s="54" t="inlineStr">
        <is>
          <t>https://www.facebook.com/birchthetherapydog</t>
        </is>
      </c>
      <c r="D2247" s="6" t="inlineStr">
        <is>
          <t>Cần quét Bio Fanpage</t>
        </is>
      </c>
      <c r="E2247" s="53" t="inlineStr">
        <is>
          <t>03/12/2023 22:24:14</t>
        </is>
      </c>
      <c r="F2247" s="53" t="inlineStr">
        <is>
          <t>2 năm trước</t>
        </is>
      </c>
      <c r="G2247" s="55" t="n">
        <v>730</v>
      </c>
      <c r="H2247" s="56" t="n">
        <v>0</v>
      </c>
      <c r="I2247" s="6" t="inlineStr">
        <is>
          <t>Pet Owner / Cộng đồng nuôi cún (10đ)</t>
        </is>
      </c>
      <c r="J2247" s="56" t="n">
        <v>10</v>
      </c>
      <c r="K2247" s="6" t="inlineStr">
        <is>
          <t>Chưa rõ giống (Cần quét Bio)</t>
        </is>
      </c>
      <c r="L2247" s="56" t="n">
        <v>0</v>
      </c>
      <c r="M2247" s="56" t="n">
        <v>0</v>
      </c>
      <c r="N2247" s="6" t="inlineStr">
        <is>
          <t>Amazon link not found</t>
        </is>
      </c>
      <c r="O2247" s="56">
        <f>IF(N2247="Selling pet toys + Artificial grass/Pet toilets (TARGET)",15,IF(N2247="Selling artificial grass/pet toilets (TARGET)",10,IF(N2247="Selling pet toys",7,IF(N2247="There's an Amazon link, but no target sales.",3,0))))</f>
        <v/>
      </c>
      <c r="P2247" s="65">
        <f>H2247+J2247+L2247+M2247+O2247</f>
        <v/>
      </c>
      <c r="Q2247" s="68">
        <f>IF(OR(H2247=0,P2247&lt;30),"Tier D (Đóng băng)",IF(P2247&gt;=85,"Tier S (Kim Cương: 85-100đ)",IF(P2247&gt;=70,"Tier A (Vàng: 70-84đ)",IF(P2247&gt;=61,"Tier B+ / Cấp A (Hot Lead: 61-69đ)",IF(P2247&gt;=50,"Tier B (Bạc: 50-60đ)","Tier C (Đồng: 30-49đ)")))))</f>
        <v/>
      </c>
      <c r="R2247" s="6" t="inlineStr">
        <is>
          <t>Khay vệ sinh chung cư (Indoor Potty) + Thảm cỏ ban công (Grass Patch) + Đồ chơi</t>
        </is>
      </c>
      <c r="S2247" s="6" t="inlineStr">
        <is>
          <t>Đóng băng tương tác (&gt;30 ngày): Lưu trữ chờ kích hoạt lại, không tốn tài nguyên Sales</t>
        </is>
      </c>
    </row>
    <row r="2248">
      <c r="A2248" s="59" t="n">
        <v>1383</v>
      </c>
      <c r="B2248" s="15" t="inlineStr">
        <is>
          <t>Fino Traje Moda Pet</t>
        </is>
      </c>
      <c r="C2248" s="60" t="inlineStr">
        <is>
          <t>https://www.facebook.com/finotrajemodapet</t>
        </is>
      </c>
      <c r="D2248" s="9" t="inlineStr">
        <is>
          <t>Cần quét Bio Fanpage</t>
        </is>
      </c>
      <c r="E2248" s="59" t="inlineStr">
        <is>
          <t>11/11/2023 00:55:46</t>
        </is>
      </c>
      <c r="F2248" s="59" t="inlineStr">
        <is>
          <t>2 năm trước</t>
        </is>
      </c>
      <c r="G2248" s="61" t="n">
        <v>730</v>
      </c>
      <c r="H2248" s="62" t="n">
        <v>0</v>
      </c>
      <c r="I2248" s="9" t="inlineStr">
        <is>
          <t>Pet Owner / Cộng đồng nuôi cún (10đ)</t>
        </is>
      </c>
      <c r="J2248" s="62" t="n">
        <v>10</v>
      </c>
      <c r="K2248" s="9" t="inlineStr">
        <is>
          <t>Chưa rõ giống (Cần quét Bio)</t>
        </is>
      </c>
      <c r="L2248" s="62" t="n">
        <v>0</v>
      </c>
      <c r="M2248" s="62" t="n">
        <v>0</v>
      </c>
      <c r="N2248" s="9" t="inlineStr">
        <is>
          <t>Amazon link not found</t>
        </is>
      </c>
      <c r="O2248" s="62">
        <f>IF(N2248="Selling pet toys + Artificial grass/Pet toilets (TARGET)",15,IF(N2248="Selling artificial grass/pet toilets (TARGET)",10,IF(N2248="Selling pet toys",7,IF(N2248="There's an Amazon link, but no target sales.",3,0))))</f>
        <v/>
      </c>
      <c r="P2248" s="67">
        <f>H2248+J2248+L2248+M2248+O2248</f>
        <v/>
      </c>
      <c r="Q2248" s="68">
        <f>IF(OR(H2248=0,P2248&lt;30),"Tier D (Đóng băng)",IF(P2248&gt;=85,"Tier S (Kim Cương: 85-100đ)",IF(P2248&gt;=70,"Tier A (Vàng: 70-84đ)",IF(P2248&gt;=61,"Tier B+ / Cấp A (Hot Lead: 61-69đ)",IF(P2248&gt;=50,"Tier B (Bạc: 50-60đ)","Tier C (Đồng: 30-49đ)")))))</f>
        <v/>
      </c>
      <c r="R2248" s="9" t="inlineStr">
        <is>
          <t>Khay vệ sinh chung cư (Indoor Potty) + Thảm cỏ ban công (Grass Patch) + Đồ chơi</t>
        </is>
      </c>
      <c r="S2248" s="9" t="inlineStr">
        <is>
          <t>Đóng băng tương tác (&gt;30 ngày): Lưu trữ chờ kích hoạt lại, không tốn tài nguyên Sales</t>
        </is>
      </c>
    </row>
    <row r="2249">
      <c r="A2249" s="53" t="n">
        <v>2511</v>
      </c>
      <c r="B2249" s="12" t="inlineStr">
        <is>
          <t>PETit Monsters</t>
        </is>
      </c>
      <c r="C2249" s="54" t="inlineStr">
        <is>
          <t>https://www.facebook.com/petitmonstersmx</t>
        </is>
      </c>
      <c r="D2249" s="6" t="inlineStr">
        <is>
          <t>Cần quét Bio Fanpage</t>
        </is>
      </c>
      <c r="E2249" s="53" t="inlineStr">
        <is>
          <t>01/11/2023 00:43:18</t>
        </is>
      </c>
      <c r="F2249" s="53" t="inlineStr">
        <is>
          <t>2 năm trước</t>
        </is>
      </c>
      <c r="G2249" s="55" t="n">
        <v>730</v>
      </c>
      <c r="H2249" s="56" t="n">
        <v>0</v>
      </c>
      <c r="I2249" s="6" t="inlineStr">
        <is>
          <t>Pet Owner / Cộng đồng nuôi cún (10đ)</t>
        </is>
      </c>
      <c r="J2249" s="56" t="n">
        <v>10</v>
      </c>
      <c r="K2249" s="6" t="inlineStr">
        <is>
          <t>Chưa rõ giống (Cần quét Bio)</t>
        </is>
      </c>
      <c r="L2249" s="56" t="n">
        <v>0</v>
      </c>
      <c r="M2249" s="56" t="n">
        <v>0</v>
      </c>
      <c r="N2249" s="6" t="inlineStr">
        <is>
          <t>Amazon link not found</t>
        </is>
      </c>
      <c r="O2249" s="56">
        <f>IF(N2249="Selling pet toys + Artificial grass/Pet toilets (TARGET)",15,IF(N2249="Selling artificial grass/pet toilets (TARGET)",10,IF(N2249="Selling pet toys",7,IF(N2249="There's an Amazon link, but no target sales.",3,0))))</f>
        <v/>
      </c>
      <c r="P2249" s="65">
        <f>H2249+J2249+L2249+M2249+O2249</f>
        <v/>
      </c>
      <c r="Q2249" s="68">
        <f>IF(OR(H2249=0,P2249&lt;30),"Tier D (Đóng băng)",IF(P2249&gt;=85,"Tier S (Kim Cương: 85-100đ)",IF(P2249&gt;=70,"Tier A (Vàng: 70-84đ)",IF(P2249&gt;=61,"Tier B+ / Cấp A (Hot Lead: 61-69đ)",IF(P2249&gt;=50,"Tier B (Bạc: 50-60đ)","Tier C (Đồng: 30-49đ)")))))</f>
        <v/>
      </c>
      <c r="R2249" s="6" t="inlineStr">
        <is>
          <t>Khay vệ sinh chung cư (Indoor Potty) + Thảm cỏ ban công (Grass Patch) + Đồ chơi</t>
        </is>
      </c>
      <c r="S2249" s="6" t="inlineStr">
        <is>
          <t>Đóng băng tương tác (&gt;30 ngày): Lưu trữ chờ kích hoạt lại, không tốn tài nguyên Sales</t>
        </is>
      </c>
    </row>
    <row r="2250">
      <c r="A2250" s="59" t="n">
        <v>1958</v>
      </c>
      <c r="B2250" s="15" t="inlineStr">
        <is>
          <t>La Trufa Pet Food</t>
        </is>
      </c>
      <c r="C2250" s="60" t="inlineStr">
        <is>
          <t>https://www.facebook.com/latrufapetfood</t>
        </is>
      </c>
      <c r="D2250" s="9" t="inlineStr">
        <is>
          <t>Cần quét Bio Fanpage</t>
        </is>
      </c>
      <c r="E2250" s="59" t="inlineStr">
        <is>
          <t>24/10/2023 01:22:14</t>
        </is>
      </c>
      <c r="F2250" s="59" t="inlineStr">
        <is>
          <t>2 năm trước</t>
        </is>
      </c>
      <c r="G2250" s="61" t="n">
        <v>730</v>
      </c>
      <c r="H2250" s="62" t="n">
        <v>0</v>
      </c>
      <c r="I2250" s="9" t="inlineStr">
        <is>
          <t>Pet Owner / Cộng đồng nuôi cún (10đ)</t>
        </is>
      </c>
      <c r="J2250" s="62" t="n">
        <v>10</v>
      </c>
      <c r="K2250" s="9" t="inlineStr">
        <is>
          <t>Chưa rõ giống (Cần quét Bio)</t>
        </is>
      </c>
      <c r="L2250" s="62" t="n">
        <v>0</v>
      </c>
      <c r="M2250" s="62" t="n">
        <v>0</v>
      </c>
      <c r="N2250" s="9" t="inlineStr">
        <is>
          <t>Amazon link not found</t>
        </is>
      </c>
      <c r="O2250" s="62">
        <f>IF(N2250="Selling pet toys + Artificial grass/Pet toilets (TARGET)",15,IF(N2250="Selling artificial grass/pet toilets (TARGET)",10,IF(N2250="Selling pet toys",7,IF(N2250="There's an Amazon link, but no target sales.",3,0))))</f>
        <v/>
      </c>
      <c r="P2250" s="67">
        <f>H2250+J2250+L2250+M2250+O2250</f>
        <v/>
      </c>
      <c r="Q2250" s="68">
        <f>IF(OR(H2250=0,P2250&lt;30),"Tier D (Đóng băng)",IF(P2250&gt;=85,"Tier S (Kim Cương: 85-100đ)",IF(P2250&gt;=70,"Tier A (Vàng: 70-84đ)",IF(P2250&gt;=61,"Tier B+ / Cấp A (Hot Lead: 61-69đ)",IF(P2250&gt;=50,"Tier B (Bạc: 50-60đ)","Tier C (Đồng: 30-49đ)")))))</f>
        <v/>
      </c>
      <c r="R2250" s="9" t="inlineStr">
        <is>
          <t>Khay vệ sinh chung cư (Indoor Potty) + Thảm cỏ ban công (Grass Patch) + Đồ chơi</t>
        </is>
      </c>
      <c r="S2250" s="9" t="inlineStr">
        <is>
          <t>Đóng băng tương tác (&gt;30 ngày): Lưu trữ chờ kích hoạt lại, không tốn tài nguyên Sales</t>
        </is>
      </c>
    </row>
    <row r="2251">
      <c r="A2251" s="53" t="n">
        <v>2805</v>
      </c>
      <c r="B2251" s="12" t="inlineStr">
        <is>
          <t>SABAI DOG</t>
        </is>
      </c>
      <c r="C2251" s="54" t="inlineStr">
        <is>
          <t>https://www.facebook.com/sabaidog.jj</t>
        </is>
      </c>
      <c r="D2251" s="6" t="inlineStr">
        <is>
          <t>Cần quét Bio Fanpage</t>
        </is>
      </c>
      <c r="E2251" s="53" t="inlineStr">
        <is>
          <t>22/10/2023 12:07:36</t>
        </is>
      </c>
      <c r="F2251" s="53" t="inlineStr">
        <is>
          <t>2 năm trước</t>
        </is>
      </c>
      <c r="G2251" s="55" t="n">
        <v>730</v>
      </c>
      <c r="H2251" s="56" t="n">
        <v>0</v>
      </c>
      <c r="I2251" s="6" t="inlineStr">
        <is>
          <t>Pet Owner / Cộng đồng nuôi cún (10đ)</t>
        </is>
      </c>
      <c r="J2251" s="56" t="n">
        <v>10</v>
      </c>
      <c r="K2251" s="6" t="inlineStr">
        <is>
          <t>Chưa rõ giống (Cần quét Bio)</t>
        </is>
      </c>
      <c r="L2251" s="56" t="n">
        <v>0</v>
      </c>
      <c r="M2251" s="56" t="n">
        <v>0</v>
      </c>
      <c r="N2251" s="6" t="inlineStr">
        <is>
          <t>Amazon link not found</t>
        </is>
      </c>
      <c r="O2251" s="56">
        <f>IF(N2251="Selling pet toys + Artificial grass/Pet toilets (TARGET)",15,IF(N2251="Selling artificial grass/pet toilets (TARGET)",10,IF(N2251="Selling pet toys",7,IF(N2251="There's an Amazon link, but no target sales.",3,0))))</f>
        <v/>
      </c>
      <c r="P2251" s="65">
        <f>H2251+J2251+L2251+M2251+O2251</f>
        <v/>
      </c>
      <c r="Q2251" s="68">
        <f>IF(OR(H2251=0,P2251&lt;30),"Tier D (Đóng băng)",IF(P2251&gt;=85,"Tier S (Kim Cương: 85-100đ)",IF(P2251&gt;=70,"Tier A (Vàng: 70-84đ)",IF(P2251&gt;=61,"Tier B+ / Cấp A (Hot Lead: 61-69đ)",IF(P2251&gt;=50,"Tier B (Bạc: 50-60đ)","Tier C (Đồng: 30-49đ)")))))</f>
        <v/>
      </c>
      <c r="R2251" s="6" t="inlineStr">
        <is>
          <t>Khay vệ sinh chung cư (Indoor Potty) + Thảm cỏ ban công (Grass Patch) + Đồ chơi</t>
        </is>
      </c>
      <c r="S2251" s="6" t="inlineStr">
        <is>
          <t>Đóng băng tương tác (&gt;30 ngày): Lưu trữ chờ kích hoạt lại, không tốn tài nguyên Sales</t>
        </is>
      </c>
    </row>
    <row r="2252">
      <c r="A2252" s="59" t="n">
        <v>904</v>
      </c>
      <c r="B2252" s="15" t="inlineStr">
        <is>
          <t>CK999 ទិញ-លក់រថយន្ត</t>
        </is>
      </c>
      <c r="C2252" s="60" t="inlineStr">
        <is>
          <t>https://www.facebook.com/profile.php?id=100063718071044</t>
        </is>
      </c>
      <c r="D2252" s="9" t="inlineStr">
        <is>
          <t>Cần quét Bio Fanpage</t>
        </is>
      </c>
      <c r="E2252" s="59" t="inlineStr">
        <is>
          <t>12/10/2023 05:10:33</t>
        </is>
      </c>
      <c r="F2252" s="59" t="inlineStr">
        <is>
          <t>3 năm trước</t>
        </is>
      </c>
      <c r="G2252" s="61" t="n">
        <v>1095</v>
      </c>
      <c r="H2252" s="62" t="n">
        <v>0</v>
      </c>
      <c r="I2252" s="9" t="inlineStr">
        <is>
          <t>Pet Owner / Cộng đồng nuôi cún (10đ)</t>
        </is>
      </c>
      <c r="J2252" s="62" t="n">
        <v>10</v>
      </c>
      <c r="K2252" s="9" t="inlineStr">
        <is>
          <t>Chưa rõ giống (Cần quét Bio)</t>
        </is>
      </c>
      <c r="L2252" s="62" t="n">
        <v>0</v>
      </c>
      <c r="M2252" s="62" t="n">
        <v>0</v>
      </c>
      <c r="N2252" s="9" t="inlineStr">
        <is>
          <t>Amazon link not found</t>
        </is>
      </c>
      <c r="O2252" s="62">
        <f>IF(N2252="Selling pet toys + Artificial grass/Pet toilets (TARGET)",15,IF(N2252="Selling artificial grass/pet toilets (TARGET)",10,IF(N2252="Selling pet toys",7,IF(N2252="There's an Amazon link, but no target sales.",3,0))))</f>
        <v/>
      </c>
      <c r="P2252" s="67">
        <f>H2252+J2252+L2252+M2252+O2252</f>
        <v/>
      </c>
      <c r="Q2252" s="68">
        <f>IF(OR(H2252=0,P2252&lt;30),"Tier D (Đóng băng)",IF(P2252&gt;=85,"Tier S (Kim Cương: 85-100đ)",IF(P2252&gt;=70,"Tier A (Vàng: 70-84đ)",IF(P2252&gt;=61,"Tier B+ / Cấp A (Hot Lead: 61-69đ)",IF(P2252&gt;=50,"Tier B (Bạc: 50-60đ)","Tier C (Đồng: 30-49đ)")))))</f>
        <v/>
      </c>
      <c r="R2252" s="9" t="inlineStr">
        <is>
          <t>Khay vệ sinh chung cư (Indoor Potty) + Thảm cỏ ban công (Grass Patch) + Đồ chơi</t>
        </is>
      </c>
      <c r="S2252" s="9" t="inlineStr">
        <is>
          <t>Đóng băng tương tác (&gt;30 ngày): Lưu trữ chờ kích hoạt lại, không tốn tài nguyên Sales</t>
        </is>
      </c>
    </row>
    <row r="2253">
      <c r="A2253" s="53" t="n">
        <v>605</v>
      </c>
      <c r="B2253" s="12" t="inlineStr">
        <is>
          <t>BayerTheDog</t>
        </is>
      </c>
      <c r="C2253" s="54" t="inlineStr">
        <is>
          <t>https://www.facebook.com/BayerMiniDog</t>
        </is>
      </c>
      <c r="D2253" s="6" t="inlineStr">
        <is>
          <t>Cần quét Bio Fanpage</t>
        </is>
      </c>
      <c r="E2253" s="53" t="inlineStr">
        <is>
          <t>20/09/2023 02:00:09</t>
        </is>
      </c>
      <c r="F2253" s="53" t="inlineStr">
        <is>
          <t>3 năm trước</t>
        </is>
      </c>
      <c r="G2253" s="55" t="n">
        <v>1095</v>
      </c>
      <c r="H2253" s="56" t="n">
        <v>0</v>
      </c>
      <c r="I2253" s="6" t="inlineStr">
        <is>
          <t>Pet Owner / Cộng đồng nuôi cún (10đ)</t>
        </is>
      </c>
      <c r="J2253" s="56" t="n">
        <v>10</v>
      </c>
      <c r="K2253" s="6" t="inlineStr">
        <is>
          <t>Chưa rõ giống (Cần quét Bio)</t>
        </is>
      </c>
      <c r="L2253" s="56" t="n">
        <v>0</v>
      </c>
      <c r="M2253" s="56" t="n">
        <v>0</v>
      </c>
      <c r="N2253" s="6" t="inlineStr">
        <is>
          <t>Amazon link not found</t>
        </is>
      </c>
      <c r="O2253" s="56">
        <f>IF(N2253="Selling pet toys + Artificial grass/Pet toilets (TARGET)",15,IF(N2253="Selling artificial grass/pet toilets (TARGET)",10,IF(N2253="Selling pet toys",7,IF(N2253="There's an Amazon link, but no target sales.",3,0))))</f>
        <v/>
      </c>
      <c r="P2253" s="65">
        <f>H2253+J2253+L2253+M2253+O2253</f>
        <v/>
      </c>
      <c r="Q2253" s="68">
        <f>IF(OR(H2253=0,P2253&lt;30),"Tier D (Đóng băng)",IF(P2253&gt;=85,"Tier S (Kim Cương: 85-100đ)",IF(P2253&gt;=70,"Tier A (Vàng: 70-84đ)",IF(P2253&gt;=61,"Tier B+ / Cấp A (Hot Lead: 61-69đ)",IF(P2253&gt;=50,"Tier B (Bạc: 50-60đ)","Tier C (Đồng: 30-49đ)")))))</f>
        <v/>
      </c>
      <c r="R2253" s="6" t="inlineStr">
        <is>
          <t>Khay vệ sinh chung cư (Indoor Potty) + Thảm cỏ ban công (Grass Patch) + Đồ chơi</t>
        </is>
      </c>
      <c r="S2253" s="6" t="inlineStr">
        <is>
          <t>Đóng băng tương tác (&gt;30 ngày): Lưu trữ chờ kích hoạt lại, không tốn tài nguyên Sales</t>
        </is>
      </c>
    </row>
    <row r="2254">
      <c r="A2254" s="59" t="n">
        <v>2085</v>
      </c>
      <c r="B2254" s="15" t="inlineStr">
        <is>
          <t>M+M Dog Show Leads</t>
        </is>
      </c>
      <c r="C2254" s="60" t="inlineStr">
        <is>
          <t>https://www.facebook.com/mmdoghsowleads</t>
        </is>
      </c>
      <c r="D2254" s="9" t="inlineStr">
        <is>
          <t>Cần quét Bio Fanpage</t>
        </is>
      </c>
      <c r="E2254" s="59" t="inlineStr">
        <is>
          <t>03/09/2023 03:41:56</t>
        </is>
      </c>
      <c r="F2254" s="59" t="inlineStr">
        <is>
          <t>3 năm trước</t>
        </is>
      </c>
      <c r="G2254" s="61" t="n">
        <v>1095</v>
      </c>
      <c r="H2254" s="62" t="n">
        <v>0</v>
      </c>
      <c r="I2254" s="9" t="inlineStr">
        <is>
          <t>Pet Owner / Cộng đồng nuôi cún (10đ)</t>
        </is>
      </c>
      <c r="J2254" s="62" t="n">
        <v>10</v>
      </c>
      <c r="K2254" s="9" t="inlineStr">
        <is>
          <t>Chưa rõ giống (Cần quét Bio)</t>
        </is>
      </c>
      <c r="L2254" s="62" t="n">
        <v>0</v>
      </c>
      <c r="M2254" s="62" t="n">
        <v>0</v>
      </c>
      <c r="N2254" s="9" t="inlineStr">
        <is>
          <t>Amazon link not found</t>
        </is>
      </c>
      <c r="O2254" s="62">
        <f>IF(N2254="Selling pet toys + Artificial grass/Pet toilets (TARGET)",15,IF(N2254="Selling artificial grass/pet toilets (TARGET)",10,IF(N2254="Selling pet toys",7,IF(N2254="There's an Amazon link, but no target sales.",3,0))))</f>
        <v/>
      </c>
      <c r="P2254" s="67">
        <f>H2254+J2254+L2254+M2254+O2254</f>
        <v/>
      </c>
      <c r="Q2254" s="68">
        <f>IF(OR(H2254=0,P2254&lt;30),"Tier D (Đóng băng)",IF(P2254&gt;=85,"Tier S (Kim Cương: 85-100đ)",IF(P2254&gt;=70,"Tier A (Vàng: 70-84đ)",IF(P2254&gt;=61,"Tier B+ / Cấp A (Hot Lead: 61-69đ)",IF(P2254&gt;=50,"Tier B (Bạc: 50-60đ)","Tier C (Đồng: 30-49đ)")))))</f>
        <v/>
      </c>
      <c r="R2254" s="9" t="inlineStr">
        <is>
          <t>Khay vệ sinh chung cư (Indoor Potty) + Thảm cỏ ban công (Grass Patch) + Đồ chơi</t>
        </is>
      </c>
      <c r="S2254" s="9" t="inlineStr">
        <is>
          <t>Đóng băng tương tác (&gt;30 ngày): Lưu trữ chờ kích hoạt lại, không tốn tài nguyên Sales</t>
        </is>
      </c>
    </row>
    <row r="2255">
      <c r="A2255" s="53" t="n">
        <v>2139</v>
      </c>
      <c r="B2255" s="12" t="inlineStr">
        <is>
          <t>MaxTheDog</t>
        </is>
      </c>
      <c r="C2255" s="54" t="inlineStr">
        <is>
          <t>https://www.facebook.com/maxminidog</t>
        </is>
      </c>
      <c r="D2255" s="6" t="inlineStr">
        <is>
          <t>Cần quét Bio Fanpage</t>
        </is>
      </c>
      <c r="E2255" s="53" t="inlineStr">
        <is>
          <t>05/08/2023 03:53:04</t>
        </is>
      </c>
      <c r="F2255" s="53" t="inlineStr">
        <is>
          <t>3 năm trước</t>
        </is>
      </c>
      <c r="G2255" s="55" t="n">
        <v>1095</v>
      </c>
      <c r="H2255" s="56" t="n">
        <v>0</v>
      </c>
      <c r="I2255" s="6" t="inlineStr">
        <is>
          <t>Pet Owner / Cộng đồng nuôi cún (10đ)</t>
        </is>
      </c>
      <c r="J2255" s="56" t="n">
        <v>10</v>
      </c>
      <c r="K2255" s="6" t="inlineStr">
        <is>
          <t>Chưa rõ giống (Cần quét Bio)</t>
        </is>
      </c>
      <c r="L2255" s="56" t="n">
        <v>0</v>
      </c>
      <c r="M2255" s="56" t="n">
        <v>0</v>
      </c>
      <c r="N2255" s="6" t="inlineStr">
        <is>
          <t>Amazon link not found</t>
        </is>
      </c>
      <c r="O2255" s="56">
        <f>IF(N2255="Selling pet toys + Artificial grass/Pet toilets (TARGET)",15,IF(N2255="Selling artificial grass/pet toilets (TARGET)",10,IF(N2255="Selling pet toys",7,IF(N2255="There's an Amazon link, but no target sales.",3,0))))</f>
        <v/>
      </c>
      <c r="P2255" s="65">
        <f>H2255+J2255+L2255+M2255+O2255</f>
        <v/>
      </c>
      <c r="Q2255" s="68">
        <f>IF(OR(H2255=0,P2255&lt;30),"Tier D (Đóng băng)",IF(P2255&gt;=85,"Tier S (Kim Cương: 85-100đ)",IF(P2255&gt;=70,"Tier A (Vàng: 70-84đ)",IF(P2255&gt;=61,"Tier B+ / Cấp A (Hot Lead: 61-69đ)",IF(P2255&gt;=50,"Tier B (Bạc: 50-60đ)","Tier C (Đồng: 30-49đ)")))))</f>
        <v/>
      </c>
      <c r="R2255" s="6" t="inlineStr">
        <is>
          <t>Khay vệ sinh chung cư (Indoor Potty) + Thảm cỏ ban công (Grass Patch) + Đồ chơi</t>
        </is>
      </c>
      <c r="S2255" s="6" t="inlineStr">
        <is>
          <t>Đóng băng tương tác (&gt;30 ngày): Lưu trữ chờ kích hoạt lại, không tốn tài nguyên Sales</t>
        </is>
      </c>
    </row>
    <row r="2256">
      <c r="A2256" s="59" t="n">
        <v>2739</v>
      </c>
      <c r="B2256" s="15" t="inlineStr">
        <is>
          <t>Revivolution Dogs רביבולושן דוגס</t>
        </is>
      </c>
      <c r="C2256" s="60" t="inlineStr">
        <is>
          <t>https://www.facebook.com/revivolutiondogs</t>
        </is>
      </c>
      <c r="D2256" s="9" t="inlineStr">
        <is>
          <t>Cần quét Bio Fanpage</t>
        </is>
      </c>
      <c r="E2256" s="59" t="inlineStr">
        <is>
          <t>12/07/2023 13:23:03</t>
        </is>
      </c>
      <c r="F2256" s="59" t="inlineStr">
        <is>
          <t>3 năm trước</t>
        </is>
      </c>
      <c r="G2256" s="61" t="n">
        <v>1095</v>
      </c>
      <c r="H2256" s="62" t="n">
        <v>0</v>
      </c>
      <c r="I2256" s="9" t="inlineStr">
        <is>
          <t>Pet Owner / Cộng đồng nuôi cún (10đ)</t>
        </is>
      </c>
      <c r="J2256" s="62" t="n">
        <v>10</v>
      </c>
      <c r="K2256" s="9" t="inlineStr">
        <is>
          <t>Chưa rõ giống (Cần quét Bio)</t>
        </is>
      </c>
      <c r="L2256" s="62" t="n">
        <v>0</v>
      </c>
      <c r="M2256" s="62" t="n">
        <v>0</v>
      </c>
      <c r="N2256" s="9" t="inlineStr">
        <is>
          <t>Amazon link not found</t>
        </is>
      </c>
      <c r="O2256" s="62">
        <f>IF(N2256="Selling pet toys + Artificial grass/Pet toilets (TARGET)",15,IF(N2256="Selling artificial grass/pet toilets (TARGET)",10,IF(N2256="Selling pet toys",7,IF(N2256="There's an Amazon link, but no target sales.",3,0))))</f>
        <v/>
      </c>
      <c r="P2256" s="67">
        <f>H2256+J2256+L2256+M2256+O2256</f>
        <v/>
      </c>
      <c r="Q2256" s="68">
        <f>IF(OR(H2256=0,P2256&lt;30),"Tier D (Đóng băng)",IF(P2256&gt;=85,"Tier S (Kim Cương: 85-100đ)",IF(P2256&gt;=70,"Tier A (Vàng: 70-84đ)",IF(P2256&gt;=61,"Tier B+ / Cấp A (Hot Lead: 61-69đ)",IF(P2256&gt;=50,"Tier B (Bạc: 50-60đ)","Tier C (Đồng: 30-49đ)")))))</f>
        <v/>
      </c>
      <c r="R2256" s="9" t="inlineStr">
        <is>
          <t>Khay vệ sinh chung cư (Indoor Potty) + Thảm cỏ ban công (Grass Patch) + Đồ chơi</t>
        </is>
      </c>
      <c r="S2256" s="9" t="inlineStr">
        <is>
          <t>Đóng băng tương tác (&gt;30 ngày): Lưu trữ chờ kích hoạt lại, không tốn tài nguyên Sales</t>
        </is>
      </c>
    </row>
    <row r="2257">
      <c r="A2257" s="53" t="n">
        <v>2091</v>
      </c>
      <c r="B2257" s="12" t="inlineStr">
        <is>
          <t>Macrisdog Rescate Sevilla</t>
        </is>
      </c>
      <c r="C2257" s="54" t="inlineStr">
        <is>
          <t>https://www.facebook.com/macrisdog</t>
        </is>
      </c>
      <c r="D2257" s="6" t="inlineStr">
        <is>
          <t>Cần quét Bio Fanpage</t>
        </is>
      </c>
      <c r="E2257" s="53" t="inlineStr">
        <is>
          <t>16/05/2023 22:32:21</t>
        </is>
      </c>
      <c r="F2257" s="53" t="inlineStr">
        <is>
          <t>3 năm trước</t>
        </is>
      </c>
      <c r="G2257" s="55" t="n">
        <v>1095</v>
      </c>
      <c r="H2257" s="56" t="n">
        <v>0</v>
      </c>
      <c r="I2257" s="6" t="inlineStr">
        <is>
          <t>Pet Owner / Cộng đồng nuôi cún (10đ)</t>
        </is>
      </c>
      <c r="J2257" s="56" t="n">
        <v>10</v>
      </c>
      <c r="K2257" s="6" t="inlineStr">
        <is>
          <t>Chưa rõ giống (Cần quét Bio)</t>
        </is>
      </c>
      <c r="L2257" s="56" t="n">
        <v>0</v>
      </c>
      <c r="M2257" s="56" t="n">
        <v>0</v>
      </c>
      <c r="N2257" s="6" t="inlineStr">
        <is>
          <t>Amazon link not found</t>
        </is>
      </c>
      <c r="O2257" s="56">
        <f>IF(N2257="Selling pet toys + Artificial grass/Pet toilets (TARGET)",15,IF(N2257="Selling artificial grass/pet toilets (TARGET)",10,IF(N2257="Selling pet toys",7,IF(N2257="There's an Amazon link, but no target sales.",3,0))))</f>
        <v/>
      </c>
      <c r="P2257" s="65">
        <f>H2257+J2257+L2257+M2257+O2257</f>
        <v/>
      </c>
      <c r="Q2257" s="68">
        <f>IF(OR(H2257=0,P2257&lt;30),"Tier D (Đóng băng)",IF(P2257&gt;=85,"Tier S (Kim Cương: 85-100đ)",IF(P2257&gt;=70,"Tier A (Vàng: 70-84đ)",IF(P2257&gt;=61,"Tier B+ / Cấp A (Hot Lead: 61-69đ)",IF(P2257&gt;=50,"Tier B (Bạc: 50-60đ)","Tier C (Đồng: 30-49đ)")))))</f>
        <v/>
      </c>
      <c r="R2257" s="6" t="inlineStr">
        <is>
          <t>Khay vệ sinh chung cư (Indoor Potty) + Thảm cỏ ban công (Grass Patch) + Đồ chơi</t>
        </is>
      </c>
      <c r="S2257" s="6" t="inlineStr">
        <is>
          <t>Đóng băng tương tác (&gt;30 ngày): Lưu trữ chờ kích hoạt lại, không tốn tài nguyên Sales</t>
        </is>
      </c>
    </row>
    <row r="2258">
      <c r="A2258" s="59" t="n">
        <v>2927</v>
      </c>
      <c r="B2258" s="15" t="inlineStr">
        <is>
          <t>SO POSH DOG</t>
        </is>
      </c>
      <c r="C2258" s="60" t="inlineStr">
        <is>
          <t>https://www.facebook.com/soposhdog</t>
        </is>
      </c>
      <c r="D2258" s="9" t="inlineStr">
        <is>
          <t>Cần quét Bio Fanpage</t>
        </is>
      </c>
      <c r="E2258" s="59" t="inlineStr">
        <is>
          <t>28/04/2023 18:06:36</t>
        </is>
      </c>
      <c r="F2258" s="59" t="inlineStr">
        <is>
          <t>3 năm trước</t>
        </is>
      </c>
      <c r="G2258" s="61" t="n">
        <v>1095</v>
      </c>
      <c r="H2258" s="62" t="n">
        <v>0</v>
      </c>
      <c r="I2258" s="9" t="inlineStr">
        <is>
          <t>Pet Owner / Cộng đồng nuôi cún (10đ)</t>
        </is>
      </c>
      <c r="J2258" s="62" t="n">
        <v>10</v>
      </c>
      <c r="K2258" s="9" t="inlineStr">
        <is>
          <t>Chưa rõ giống (Cần quét Bio)</t>
        </is>
      </c>
      <c r="L2258" s="62" t="n">
        <v>0</v>
      </c>
      <c r="M2258" s="62" t="n">
        <v>0</v>
      </c>
      <c r="N2258" s="9" t="inlineStr">
        <is>
          <t>Amazon link not found</t>
        </is>
      </c>
      <c r="O2258" s="62">
        <f>IF(N2258="Selling pet toys + Artificial grass/Pet toilets (TARGET)",15,IF(N2258="Selling artificial grass/pet toilets (TARGET)",10,IF(N2258="Selling pet toys",7,IF(N2258="There's an Amazon link, but no target sales.",3,0))))</f>
        <v/>
      </c>
      <c r="P2258" s="67">
        <f>H2258+J2258+L2258+M2258+O2258</f>
        <v/>
      </c>
      <c r="Q2258" s="68">
        <f>IF(OR(H2258=0,P2258&lt;30),"Tier D (Đóng băng)",IF(P2258&gt;=85,"Tier S (Kim Cương: 85-100đ)",IF(P2258&gt;=70,"Tier A (Vàng: 70-84đ)",IF(P2258&gt;=61,"Tier B+ / Cấp A (Hot Lead: 61-69đ)",IF(P2258&gt;=50,"Tier B (Bạc: 50-60đ)","Tier C (Đồng: 30-49đ)")))))</f>
        <v/>
      </c>
      <c r="R2258" s="9" t="inlineStr">
        <is>
          <t>Khay vệ sinh chung cư (Indoor Potty) + Thảm cỏ ban công (Grass Patch) + Đồ chơi</t>
        </is>
      </c>
      <c r="S2258" s="9" t="inlineStr">
        <is>
          <t>Đóng băng tương tác (&gt;30 ngày): Lưu trữ chờ kích hoạt lại, không tốn tài nguyên Sales</t>
        </is>
      </c>
    </row>
    <row r="2259">
      <c r="A2259" s="53" t="n">
        <v>1170</v>
      </c>
      <c r="B2259" s="12" t="inlineStr">
        <is>
          <t>Dogs Know</t>
        </is>
      </c>
      <c r="C2259" s="54" t="inlineStr">
        <is>
          <t>https://www.facebook.com/yourdogknows</t>
        </is>
      </c>
      <c r="D2259" s="6" t="inlineStr">
        <is>
          <t>Cần quét Bio Fanpage</t>
        </is>
      </c>
      <c r="E2259" s="53" t="inlineStr">
        <is>
          <t>02/04/2023 20:49:52</t>
        </is>
      </c>
      <c r="F2259" s="53" t="inlineStr">
        <is>
          <t>3 năm trước</t>
        </is>
      </c>
      <c r="G2259" s="55" t="n">
        <v>1095</v>
      </c>
      <c r="H2259" s="56" t="n">
        <v>0</v>
      </c>
      <c r="I2259" s="6" t="inlineStr">
        <is>
          <t>Pet Owner / Cộng đồng nuôi cún (10đ)</t>
        </is>
      </c>
      <c r="J2259" s="56" t="n">
        <v>10</v>
      </c>
      <c r="K2259" s="6" t="inlineStr">
        <is>
          <t>Chưa rõ giống (Cần quét Bio)</t>
        </is>
      </c>
      <c r="L2259" s="56" t="n">
        <v>0</v>
      </c>
      <c r="M2259" s="56" t="n">
        <v>0</v>
      </c>
      <c r="N2259" s="6" t="inlineStr">
        <is>
          <t>Amazon link not found</t>
        </is>
      </c>
      <c r="O2259" s="56">
        <f>IF(N2259="Selling pet toys + Artificial grass/Pet toilets (TARGET)",15,IF(N2259="Selling artificial grass/pet toilets (TARGET)",10,IF(N2259="Selling pet toys",7,IF(N2259="There's an Amazon link, but no target sales.",3,0))))</f>
        <v/>
      </c>
      <c r="P2259" s="65">
        <f>H2259+J2259+L2259+M2259+O2259</f>
        <v/>
      </c>
      <c r="Q2259" s="68">
        <f>IF(OR(H2259=0,P2259&lt;30),"Tier D (Đóng băng)",IF(P2259&gt;=85,"Tier S (Kim Cương: 85-100đ)",IF(P2259&gt;=70,"Tier A (Vàng: 70-84đ)",IF(P2259&gt;=61,"Tier B+ / Cấp A (Hot Lead: 61-69đ)",IF(P2259&gt;=50,"Tier B (Bạc: 50-60đ)","Tier C (Đồng: 30-49đ)")))))</f>
        <v/>
      </c>
      <c r="R2259" s="6" t="inlineStr">
        <is>
          <t>Khay vệ sinh chung cư (Indoor Potty) + Thảm cỏ ban công (Grass Patch) + Đồ chơi</t>
        </is>
      </c>
      <c r="S2259" s="6" t="inlineStr">
        <is>
          <t>Đóng băng tương tác (&gt;30 ngày): Lưu trữ chờ kích hoạt lại, không tốn tài nguyên Sales</t>
        </is>
      </c>
    </row>
    <row r="2260">
      <c r="A2260" s="59" t="n">
        <v>1241</v>
      </c>
      <c r="B2260" s="15" t="inlineStr">
        <is>
          <t>Dubai Dogs Society</t>
        </is>
      </c>
      <c r="C2260" s="60" t="inlineStr">
        <is>
          <t>https://www.facebook.com/DubaiDogsSociety</t>
        </is>
      </c>
      <c r="D2260" s="9" t="inlineStr">
        <is>
          <t>Cần quét Bio Fanpage</t>
        </is>
      </c>
      <c r="E2260" s="59" t="inlineStr">
        <is>
          <t>27/03/2023 17:00:48</t>
        </is>
      </c>
      <c r="F2260" s="59" t="inlineStr">
        <is>
          <t>3 năm trước</t>
        </is>
      </c>
      <c r="G2260" s="61" t="n">
        <v>1095</v>
      </c>
      <c r="H2260" s="62" t="n">
        <v>0</v>
      </c>
      <c r="I2260" s="9" t="inlineStr">
        <is>
          <t>Pet Owner / Cộng đồng nuôi cún (10đ)</t>
        </is>
      </c>
      <c r="J2260" s="62" t="n">
        <v>10</v>
      </c>
      <c r="K2260" s="9" t="inlineStr">
        <is>
          <t>Chưa rõ giống (Cần quét Bio)</t>
        </is>
      </c>
      <c r="L2260" s="62" t="n">
        <v>0</v>
      </c>
      <c r="M2260" s="62" t="n">
        <v>0</v>
      </c>
      <c r="N2260" s="9" t="inlineStr">
        <is>
          <t>Amazon link not found</t>
        </is>
      </c>
      <c r="O2260" s="62">
        <f>IF(N2260="Selling pet toys + Artificial grass/Pet toilets (TARGET)",15,IF(N2260="Selling artificial grass/pet toilets (TARGET)",10,IF(N2260="Selling pet toys",7,IF(N2260="There's an Amazon link, but no target sales.",3,0))))</f>
        <v/>
      </c>
      <c r="P2260" s="67">
        <f>H2260+J2260+L2260+M2260+O2260</f>
        <v/>
      </c>
      <c r="Q2260" s="68">
        <f>IF(OR(H2260=0,P2260&lt;30),"Tier D (Đóng băng)",IF(P2260&gt;=85,"Tier S (Kim Cương: 85-100đ)",IF(P2260&gt;=70,"Tier A (Vàng: 70-84đ)",IF(P2260&gt;=61,"Tier B+ / Cấp A (Hot Lead: 61-69đ)",IF(P2260&gt;=50,"Tier B (Bạc: 50-60đ)","Tier C (Đồng: 30-49đ)")))))</f>
        <v/>
      </c>
      <c r="R2260" s="9" t="inlineStr">
        <is>
          <t>Khay vệ sinh chung cư (Indoor Potty) + Thảm cỏ ban công (Grass Patch) + Đồ chơi</t>
        </is>
      </c>
      <c r="S2260" s="9" t="inlineStr">
        <is>
          <t>Đóng băng tương tác (&gt;30 ngày): Lưu trữ chờ kích hoạt lại, không tốn tài nguyên Sales</t>
        </is>
      </c>
    </row>
    <row r="2261">
      <c r="A2261" s="53" t="n">
        <v>3236</v>
      </c>
      <c r="B2261" s="12" t="inlineStr">
        <is>
          <t>Tripfordog</t>
        </is>
      </c>
      <c r="C2261" s="54" t="inlineStr">
        <is>
          <t>https://www.facebook.com/tripfordog</t>
        </is>
      </c>
      <c r="D2261" s="6" t="inlineStr">
        <is>
          <t>Cần quét Bio Fanpage</t>
        </is>
      </c>
      <c r="E2261" s="53" t="inlineStr">
        <is>
          <t>08/03/2023 13:10:03</t>
        </is>
      </c>
      <c r="F2261" s="53" t="inlineStr">
        <is>
          <t>3 năm trước</t>
        </is>
      </c>
      <c r="G2261" s="55" t="n">
        <v>1095</v>
      </c>
      <c r="H2261" s="56" t="n">
        <v>0</v>
      </c>
      <c r="I2261" s="6" t="inlineStr">
        <is>
          <t>Pet Owner / Cộng đồng nuôi cún (10đ)</t>
        </is>
      </c>
      <c r="J2261" s="56" t="n">
        <v>10</v>
      </c>
      <c r="K2261" s="6" t="inlineStr">
        <is>
          <t>Chưa rõ giống (Cần quét Bio)</t>
        </is>
      </c>
      <c r="L2261" s="56" t="n">
        <v>0</v>
      </c>
      <c r="M2261" s="56" t="n">
        <v>0</v>
      </c>
      <c r="N2261" s="6" t="inlineStr">
        <is>
          <t>Amazon link not found</t>
        </is>
      </c>
      <c r="O2261" s="56">
        <f>IF(N2261="Selling pet toys + Artificial grass/Pet toilets (TARGET)",15,IF(N2261="Selling artificial grass/pet toilets (TARGET)",10,IF(N2261="Selling pet toys",7,IF(N2261="There's an Amazon link, but no target sales.",3,0))))</f>
        <v/>
      </c>
      <c r="P2261" s="65">
        <f>H2261+J2261+L2261+M2261+O2261</f>
        <v/>
      </c>
      <c r="Q2261" s="68">
        <f>IF(OR(H2261=0,P2261&lt;30),"Tier D (Đóng băng)",IF(P2261&gt;=85,"Tier S (Kim Cương: 85-100đ)",IF(P2261&gt;=70,"Tier A (Vàng: 70-84đ)",IF(P2261&gt;=61,"Tier B+ / Cấp A (Hot Lead: 61-69đ)",IF(P2261&gt;=50,"Tier B (Bạc: 50-60đ)","Tier C (Đồng: 30-49đ)")))))</f>
        <v/>
      </c>
      <c r="R2261" s="6" t="inlineStr">
        <is>
          <t>Khay vệ sinh chung cư (Indoor Potty) + Thảm cỏ ban công (Grass Patch) + Đồ chơi</t>
        </is>
      </c>
      <c r="S2261" s="6" t="inlineStr">
        <is>
          <t>Đóng băng tương tác (&gt;30 ngày): Lưu trữ chờ kích hoạt lại, không tốn tài nguyên Sales</t>
        </is>
      </c>
    </row>
    <row r="2262">
      <c r="A2262" s="59" t="n">
        <v>1189</v>
      </c>
      <c r="B2262" s="15" t="inlineStr">
        <is>
          <t>Dogsbeingbasic</t>
        </is>
      </c>
      <c r="C2262" s="60" t="inlineStr">
        <is>
          <t>https://www.facebook.com/DogsBeingBasic</t>
        </is>
      </c>
      <c r="D2262" s="9" t="inlineStr">
        <is>
          <t>Cần quét Bio Fanpage</t>
        </is>
      </c>
      <c r="E2262" s="59" t="inlineStr">
        <is>
          <t>16/02/2023 05:13:33</t>
        </is>
      </c>
      <c r="F2262" s="59" t="inlineStr">
        <is>
          <t>3 năm trước</t>
        </is>
      </c>
      <c r="G2262" s="61" t="n">
        <v>1095</v>
      </c>
      <c r="H2262" s="62" t="n">
        <v>0</v>
      </c>
      <c r="I2262" s="9" t="inlineStr">
        <is>
          <t>Pet Owner / Cộng đồng nuôi cún (10đ)</t>
        </is>
      </c>
      <c r="J2262" s="62" t="n">
        <v>10</v>
      </c>
      <c r="K2262" s="9" t="inlineStr">
        <is>
          <t>Chưa rõ giống (Cần quét Bio)</t>
        </is>
      </c>
      <c r="L2262" s="62" t="n">
        <v>0</v>
      </c>
      <c r="M2262" s="62" t="n">
        <v>0</v>
      </c>
      <c r="N2262" s="9" t="inlineStr">
        <is>
          <t>Amazon link not found</t>
        </is>
      </c>
      <c r="O2262" s="62">
        <f>IF(N2262="Selling pet toys + Artificial grass/Pet toilets (TARGET)",15,IF(N2262="Selling artificial grass/pet toilets (TARGET)",10,IF(N2262="Selling pet toys",7,IF(N2262="There's an Amazon link, but no target sales.",3,0))))</f>
        <v/>
      </c>
      <c r="P2262" s="67">
        <f>H2262+J2262+L2262+M2262+O2262</f>
        <v/>
      </c>
      <c r="Q2262" s="68">
        <f>IF(OR(H2262=0,P2262&lt;30),"Tier D (Đóng băng)",IF(P2262&gt;=85,"Tier S (Kim Cương: 85-100đ)",IF(P2262&gt;=70,"Tier A (Vàng: 70-84đ)",IF(P2262&gt;=61,"Tier B+ / Cấp A (Hot Lead: 61-69đ)",IF(P2262&gt;=50,"Tier B (Bạc: 50-60đ)","Tier C (Đồng: 30-49đ)")))))</f>
        <v/>
      </c>
      <c r="R2262" s="9" t="inlineStr">
        <is>
          <t>Khay vệ sinh chung cư (Indoor Potty) + Thảm cỏ ban công (Grass Patch) + Đồ chơi</t>
        </is>
      </c>
      <c r="S2262" s="9" t="inlineStr">
        <is>
          <t>Đóng băng tương tác (&gt;30 ngày): Lưu trữ chờ kích hoạt lại, không tốn tài nguyên Sales</t>
        </is>
      </c>
    </row>
    <row r="2263">
      <c r="A2263" s="53" t="n">
        <v>673</v>
      </c>
      <c r="B2263" s="12" t="inlineStr">
        <is>
          <t>BigdogClub</t>
        </is>
      </c>
      <c r="C2263" s="54" t="inlineStr">
        <is>
          <t>https://www.facebook.com/profile.php?id=100057128807017</t>
        </is>
      </c>
      <c r="D2263" s="6" t="inlineStr">
        <is>
          <t>Cần quét Bio Fanpage</t>
        </is>
      </c>
      <c r="E2263" s="53" t="inlineStr">
        <is>
          <t>25/01/2023 08:29:57</t>
        </is>
      </c>
      <c r="F2263" s="53" t="inlineStr">
        <is>
          <t>3 năm trước</t>
        </is>
      </c>
      <c r="G2263" s="55" t="n">
        <v>1095</v>
      </c>
      <c r="H2263" s="56" t="n">
        <v>0</v>
      </c>
      <c r="I2263" s="6" t="inlineStr">
        <is>
          <t>Pet Owner / Cộng đồng nuôi cún (10đ)</t>
        </is>
      </c>
      <c r="J2263" s="56" t="n">
        <v>10</v>
      </c>
      <c r="K2263" s="6" t="inlineStr">
        <is>
          <t>Chưa rõ giống (Cần quét Bio)</t>
        </is>
      </c>
      <c r="L2263" s="56" t="n">
        <v>0</v>
      </c>
      <c r="M2263" s="56" t="n">
        <v>0</v>
      </c>
      <c r="N2263" s="6" t="inlineStr">
        <is>
          <t>Amazon link not found</t>
        </is>
      </c>
      <c r="O2263" s="56">
        <f>IF(N2263="Selling pet toys + Artificial grass/Pet toilets (TARGET)",15,IF(N2263="Selling artificial grass/pet toilets (TARGET)",10,IF(N2263="Selling pet toys",7,IF(N2263="There's an Amazon link, but no target sales.",3,0))))</f>
        <v/>
      </c>
      <c r="P2263" s="65">
        <f>H2263+J2263+L2263+M2263+O2263</f>
        <v/>
      </c>
      <c r="Q2263" s="68">
        <f>IF(OR(H2263=0,P2263&lt;30),"Tier D (Đóng băng)",IF(P2263&gt;=85,"Tier S (Kim Cương: 85-100đ)",IF(P2263&gt;=70,"Tier A (Vàng: 70-84đ)",IF(P2263&gt;=61,"Tier B+ / Cấp A (Hot Lead: 61-69đ)",IF(P2263&gt;=50,"Tier B (Bạc: 50-60đ)","Tier C (Đồng: 30-49đ)")))))</f>
        <v/>
      </c>
      <c r="R2263" s="6" t="inlineStr">
        <is>
          <t>Khay vệ sinh chung cư (Indoor Potty) + Thảm cỏ ban công (Grass Patch) + Đồ chơi</t>
        </is>
      </c>
      <c r="S2263" s="6" t="inlineStr">
        <is>
          <t>Đóng băng tương tác (&gt;30 ngày): Lưu trữ chờ kích hoạt lại, không tốn tài nguyên Sales</t>
        </is>
      </c>
    </row>
    <row r="2264">
      <c r="A2264" s="59" t="n">
        <v>1665</v>
      </c>
      <c r="B2264" s="15" t="inlineStr">
        <is>
          <t>HolistaPet Helps</t>
        </is>
      </c>
      <c r="C2264" s="60" t="inlineStr">
        <is>
          <t>https://www.facebook.com/holistapethelps</t>
        </is>
      </c>
      <c r="D2264" s="9" t="inlineStr">
        <is>
          <t>Cần quét Bio Fanpage</t>
        </is>
      </c>
      <c r="E2264" s="59" t="inlineStr">
        <is>
          <t>10/01/2023 01:53:38</t>
        </is>
      </c>
      <c r="F2264" s="59" t="inlineStr">
        <is>
          <t>3 năm trước</t>
        </is>
      </c>
      <c r="G2264" s="61" t="n">
        <v>1095</v>
      </c>
      <c r="H2264" s="62" t="n">
        <v>0</v>
      </c>
      <c r="I2264" s="9" t="inlineStr">
        <is>
          <t>Pet Owner / Cộng đồng nuôi cún (10đ)</t>
        </is>
      </c>
      <c r="J2264" s="62" t="n">
        <v>10</v>
      </c>
      <c r="K2264" s="9" t="inlineStr">
        <is>
          <t>Chưa rõ giống (Cần quét Bio)</t>
        </is>
      </c>
      <c r="L2264" s="62" t="n">
        <v>0</v>
      </c>
      <c r="M2264" s="62" t="n">
        <v>0</v>
      </c>
      <c r="N2264" s="9" t="inlineStr">
        <is>
          <t>Amazon link not found</t>
        </is>
      </c>
      <c r="O2264" s="62">
        <f>IF(N2264="Selling pet toys + Artificial grass/Pet toilets (TARGET)",15,IF(N2264="Selling artificial grass/pet toilets (TARGET)",10,IF(N2264="Selling pet toys",7,IF(N2264="There's an Amazon link, but no target sales.",3,0))))</f>
        <v/>
      </c>
      <c r="P2264" s="67">
        <f>H2264+J2264+L2264+M2264+O2264</f>
        <v/>
      </c>
      <c r="Q2264" s="68">
        <f>IF(OR(H2264=0,P2264&lt;30),"Tier D (Đóng băng)",IF(P2264&gt;=85,"Tier S (Kim Cương: 85-100đ)",IF(P2264&gt;=70,"Tier A (Vàng: 70-84đ)",IF(P2264&gt;=61,"Tier B+ / Cấp A (Hot Lead: 61-69đ)",IF(P2264&gt;=50,"Tier B (Bạc: 50-60đ)","Tier C (Đồng: 30-49đ)")))))</f>
        <v/>
      </c>
      <c r="R2264" s="9" t="inlineStr">
        <is>
          <t>Khay vệ sinh chung cư (Indoor Potty) + Thảm cỏ ban công (Grass Patch) + Đồ chơi</t>
        </is>
      </c>
      <c r="S2264" s="9" t="inlineStr">
        <is>
          <t>Đóng băng tương tác (&gt;30 ngày): Lưu trữ chờ kích hoạt lại, không tốn tài nguyên Sales</t>
        </is>
      </c>
    </row>
    <row r="2265">
      <c r="A2265" s="53" t="n">
        <v>1777</v>
      </c>
      <c r="B2265" s="12" t="inlineStr">
        <is>
          <t>Jordan Peterson Notes</t>
        </is>
      </c>
      <c r="C2265" s="54" t="inlineStr">
        <is>
          <t>https://www.facebook.com/PetersonExperience</t>
        </is>
      </c>
      <c r="D2265" s="6" t="inlineStr">
        <is>
          <t>Cần quét Bio Fanpage</t>
        </is>
      </c>
      <c r="E2265" s="53" t="inlineStr">
        <is>
          <t>01/01/2023 18:55:41</t>
        </is>
      </c>
      <c r="F2265" s="53" t="inlineStr">
        <is>
          <t>3 năm trước</t>
        </is>
      </c>
      <c r="G2265" s="55" t="n">
        <v>1095</v>
      </c>
      <c r="H2265" s="56" t="n">
        <v>0</v>
      </c>
      <c r="I2265" s="6" t="inlineStr">
        <is>
          <t>Pet Owner / Cộng đồng nuôi cún (10đ)</t>
        </is>
      </c>
      <c r="J2265" s="56" t="n">
        <v>10</v>
      </c>
      <c r="K2265" s="6" t="inlineStr">
        <is>
          <t>Chưa rõ giống (Cần quét Bio)</t>
        </is>
      </c>
      <c r="L2265" s="56" t="n">
        <v>0</v>
      </c>
      <c r="M2265" s="56" t="n">
        <v>0</v>
      </c>
      <c r="N2265" s="6" t="inlineStr">
        <is>
          <t>Amazon link not found</t>
        </is>
      </c>
      <c r="O2265" s="56">
        <f>IF(N2265="Selling pet toys + Artificial grass/Pet toilets (TARGET)",15,IF(N2265="Selling artificial grass/pet toilets (TARGET)",10,IF(N2265="Selling pet toys",7,IF(N2265="There's an Amazon link, but no target sales.",3,0))))</f>
        <v/>
      </c>
      <c r="P2265" s="65">
        <f>H2265+J2265+L2265+M2265+O2265</f>
        <v/>
      </c>
      <c r="Q2265" s="68">
        <f>IF(OR(H2265=0,P2265&lt;30),"Tier D (Đóng băng)",IF(P2265&gt;=85,"Tier S (Kim Cương: 85-100đ)",IF(P2265&gt;=70,"Tier A (Vàng: 70-84đ)",IF(P2265&gt;=61,"Tier B+ / Cấp A (Hot Lead: 61-69đ)",IF(P2265&gt;=50,"Tier B (Bạc: 50-60đ)","Tier C (Đồng: 30-49đ)")))))</f>
        <v/>
      </c>
      <c r="R2265" s="6" t="inlineStr">
        <is>
          <t>Khay vệ sinh chung cư (Indoor Potty) + Thảm cỏ ban công (Grass Patch) + Đồ chơi</t>
        </is>
      </c>
      <c r="S2265" s="6" t="inlineStr">
        <is>
          <t>Đóng băng tương tác (&gt;30 ngày): Lưu trữ chờ kích hoạt lại, không tốn tài nguyên Sales</t>
        </is>
      </c>
    </row>
    <row r="2266">
      <c r="A2266" s="59" t="n">
        <v>1299</v>
      </c>
      <c r="B2266" s="15" t="inlineStr">
        <is>
          <t>Eurodogs Expert Tokyo</t>
        </is>
      </c>
      <c r="C2266" s="60" t="inlineStr">
        <is>
          <t>https://www.facebook.com/profile.php?id=100063627308702</t>
        </is>
      </c>
      <c r="D2266" s="9" t="inlineStr">
        <is>
          <t>Cần quét Bio Fanpage</t>
        </is>
      </c>
      <c r="E2266" s="59" t="inlineStr">
        <is>
          <t>01/01/2023 05:14:50</t>
        </is>
      </c>
      <c r="F2266" s="59" t="inlineStr">
        <is>
          <t>3 năm trước</t>
        </is>
      </c>
      <c r="G2266" s="61" t="n">
        <v>1095</v>
      </c>
      <c r="H2266" s="62" t="n">
        <v>0</v>
      </c>
      <c r="I2266" s="9" t="inlineStr">
        <is>
          <t>Pet Owner / Cộng đồng nuôi cún (10đ)</t>
        </is>
      </c>
      <c r="J2266" s="62" t="n">
        <v>10</v>
      </c>
      <c r="K2266" s="9" t="inlineStr">
        <is>
          <t>Chưa rõ giống (Cần quét Bio)</t>
        </is>
      </c>
      <c r="L2266" s="62" t="n">
        <v>0</v>
      </c>
      <c r="M2266" s="62" t="n">
        <v>0</v>
      </c>
      <c r="N2266" s="9" t="inlineStr">
        <is>
          <t>Amazon link not found</t>
        </is>
      </c>
      <c r="O2266" s="62">
        <f>IF(N2266="Selling pet toys + Artificial grass/Pet toilets (TARGET)",15,IF(N2266="Selling artificial grass/pet toilets (TARGET)",10,IF(N2266="Selling pet toys",7,IF(N2266="There's an Amazon link, but no target sales.",3,0))))</f>
        <v/>
      </c>
      <c r="P2266" s="67">
        <f>H2266+J2266+L2266+M2266+O2266</f>
        <v/>
      </c>
      <c r="Q2266" s="68">
        <f>IF(OR(H2266=0,P2266&lt;30),"Tier D (Đóng băng)",IF(P2266&gt;=85,"Tier S (Kim Cương: 85-100đ)",IF(P2266&gt;=70,"Tier A (Vàng: 70-84đ)",IF(P2266&gt;=61,"Tier B+ / Cấp A (Hot Lead: 61-69đ)",IF(P2266&gt;=50,"Tier B (Bạc: 50-60đ)","Tier C (Đồng: 30-49đ)")))))</f>
        <v/>
      </c>
      <c r="R2266" s="9" t="inlineStr">
        <is>
          <t>Khay vệ sinh chung cư (Indoor Potty) + Thảm cỏ ban công (Grass Patch) + Đồ chơi</t>
        </is>
      </c>
      <c r="S2266" s="9" t="inlineStr">
        <is>
          <t>Đóng băng tương tác (&gt;30 ngày): Lưu trữ chờ kích hoạt lại, không tốn tài nguyên Sales</t>
        </is>
      </c>
    </row>
    <row r="2267">
      <c r="A2267" s="53" t="n">
        <v>400</v>
      </c>
      <c r="B2267" s="12" t="inlineStr">
        <is>
          <t>Amazon Pets</t>
        </is>
      </c>
      <c r="C2267" s="54" t="inlineStr">
        <is>
          <t>https://www.facebook.com/amazonpets</t>
        </is>
      </c>
      <c r="D2267" s="6" t="inlineStr">
        <is>
          <t>Cần quét Bio Fanpage</t>
        </is>
      </c>
      <c r="E2267" s="53" t="inlineStr">
        <is>
          <t>01/01/2023 05:01:17</t>
        </is>
      </c>
      <c r="F2267" s="53" t="inlineStr">
        <is>
          <t>3 năm trước</t>
        </is>
      </c>
      <c r="G2267" s="55" t="n">
        <v>1095</v>
      </c>
      <c r="H2267" s="56" t="n">
        <v>0</v>
      </c>
      <c r="I2267" s="6" t="inlineStr">
        <is>
          <t>Pet Owner / Cộng đồng nuôi cún (10đ)</t>
        </is>
      </c>
      <c r="J2267" s="56" t="n">
        <v>10</v>
      </c>
      <c r="K2267" s="6" t="inlineStr">
        <is>
          <t>Chưa rõ giống (Cần quét Bio)</t>
        </is>
      </c>
      <c r="L2267" s="56" t="n">
        <v>0</v>
      </c>
      <c r="M2267" s="56" t="n">
        <v>0</v>
      </c>
      <c r="N2267" s="6" t="inlineStr">
        <is>
          <t>Amazon link not found</t>
        </is>
      </c>
      <c r="O2267" s="56">
        <f>IF(N2267="Selling pet toys + Artificial grass/Pet toilets (TARGET)",15,IF(N2267="Selling artificial grass/pet toilets (TARGET)",10,IF(N2267="Selling pet toys",7,IF(N2267="There's an Amazon link, but no target sales.",3,0))))</f>
        <v/>
      </c>
      <c r="P2267" s="65">
        <f>H2267+J2267+L2267+M2267+O2267</f>
        <v/>
      </c>
      <c r="Q2267" s="68">
        <f>IF(OR(H2267=0,P2267&lt;30),"Tier D (Đóng băng)",IF(P2267&gt;=85,"Tier S (Kim Cương: 85-100đ)",IF(P2267&gt;=70,"Tier A (Vàng: 70-84đ)",IF(P2267&gt;=61,"Tier B+ / Cấp A (Hot Lead: 61-69đ)",IF(P2267&gt;=50,"Tier B (Bạc: 50-60đ)","Tier C (Đồng: 30-49đ)")))))</f>
        <v/>
      </c>
      <c r="R2267" s="6" t="inlineStr">
        <is>
          <t>Khay vệ sinh chung cư (Indoor Potty) + Thảm cỏ ban công (Grass Patch) + Đồ chơi</t>
        </is>
      </c>
      <c r="S2267" s="6" t="inlineStr">
        <is>
          <t>Đóng băng tương tác (&gt;30 ngày): Lưu trữ chờ kích hoạt lại, không tốn tài nguyên Sales</t>
        </is>
      </c>
    </row>
    <row r="2268">
      <c r="A2268" s="59" t="n">
        <v>2365</v>
      </c>
      <c r="B2268" s="15" t="inlineStr">
        <is>
          <t>One Profess carpets</t>
        </is>
      </c>
      <c r="C2268" s="60" t="inlineStr">
        <is>
          <t>https://www.facebook.com/oneProfesscrapets</t>
        </is>
      </c>
      <c r="D2268" s="9" t="inlineStr">
        <is>
          <t>Cần quét Bio Fanpage</t>
        </is>
      </c>
      <c r="E2268" s="59" t="inlineStr">
        <is>
          <t>26/12/2022 22:44:12</t>
        </is>
      </c>
      <c r="F2268" s="59" t="inlineStr">
        <is>
          <t>3 năm trước</t>
        </is>
      </c>
      <c r="G2268" s="61" t="n">
        <v>1095</v>
      </c>
      <c r="H2268" s="62" t="n">
        <v>0</v>
      </c>
      <c r="I2268" s="9" t="inlineStr">
        <is>
          <t>Pet Owner / Cộng đồng nuôi cún (10đ)</t>
        </is>
      </c>
      <c r="J2268" s="62" t="n">
        <v>10</v>
      </c>
      <c r="K2268" s="9" t="inlineStr">
        <is>
          <t>Chưa rõ giống (Cần quét Bio)</t>
        </is>
      </c>
      <c r="L2268" s="62" t="n">
        <v>0</v>
      </c>
      <c r="M2268" s="62" t="n">
        <v>0</v>
      </c>
      <c r="N2268" s="9" t="inlineStr">
        <is>
          <t>Amazon link not found</t>
        </is>
      </c>
      <c r="O2268" s="62">
        <f>IF(N2268="Selling pet toys + Artificial grass/Pet toilets (TARGET)",15,IF(N2268="Selling artificial grass/pet toilets (TARGET)",10,IF(N2268="Selling pet toys",7,IF(N2268="There's an Amazon link, but no target sales.",3,0))))</f>
        <v/>
      </c>
      <c r="P2268" s="67">
        <f>H2268+J2268+L2268+M2268+O2268</f>
        <v/>
      </c>
      <c r="Q2268" s="68">
        <f>IF(OR(H2268=0,P2268&lt;30),"Tier D (Đóng băng)",IF(P2268&gt;=85,"Tier S (Kim Cương: 85-100đ)",IF(P2268&gt;=70,"Tier A (Vàng: 70-84đ)",IF(P2268&gt;=61,"Tier B+ / Cấp A (Hot Lead: 61-69đ)",IF(P2268&gt;=50,"Tier B (Bạc: 50-60đ)","Tier C (Đồng: 30-49đ)")))))</f>
        <v/>
      </c>
      <c r="R2268" s="9" t="inlineStr">
        <is>
          <t>Khay vệ sinh chung cư (Indoor Potty) + Thảm cỏ ban công (Grass Patch) + Đồ chơi</t>
        </is>
      </c>
      <c r="S2268" s="9" t="inlineStr">
        <is>
          <t>Đóng băng tương tác (&gt;30 ngày): Lưu trữ chờ kích hoạt lại, không tốn tài nguyên Sales</t>
        </is>
      </c>
    </row>
    <row r="2269">
      <c r="A2269" s="53" t="n">
        <v>3433</v>
      </c>
      <c r="B2269" s="12" t="inlineStr">
        <is>
          <t>With Her Dogs</t>
        </is>
      </c>
      <c r="C2269" s="54" t="inlineStr">
        <is>
          <t>https://www.facebook.com/withherdogs</t>
        </is>
      </c>
      <c r="D2269" s="6" t="inlineStr">
        <is>
          <t>Cần quét Bio Fanpage</t>
        </is>
      </c>
      <c r="E2269" s="53" t="inlineStr">
        <is>
          <t>10/12/2022 22:23:54</t>
        </is>
      </c>
      <c r="F2269" s="53" t="inlineStr">
        <is>
          <t>3 năm trước</t>
        </is>
      </c>
      <c r="G2269" s="55" t="n">
        <v>1095</v>
      </c>
      <c r="H2269" s="56" t="n">
        <v>0</v>
      </c>
      <c r="I2269" s="6" t="inlineStr">
        <is>
          <t>Pet Owner / Cộng đồng nuôi cún (10đ)</t>
        </is>
      </c>
      <c r="J2269" s="56" t="n">
        <v>10</v>
      </c>
      <c r="K2269" s="6" t="inlineStr">
        <is>
          <t>Chưa rõ giống (Cần quét Bio)</t>
        </is>
      </c>
      <c r="L2269" s="56" t="n">
        <v>0</v>
      </c>
      <c r="M2269" s="56" t="n">
        <v>0</v>
      </c>
      <c r="N2269" s="6" t="inlineStr">
        <is>
          <t>Amazon link not found</t>
        </is>
      </c>
      <c r="O2269" s="56">
        <f>IF(N2269="Selling pet toys + Artificial grass/Pet toilets (TARGET)",15,IF(N2269="Selling artificial grass/pet toilets (TARGET)",10,IF(N2269="Selling pet toys",7,IF(N2269="There's an Amazon link, but no target sales.",3,0))))</f>
        <v/>
      </c>
      <c r="P2269" s="65">
        <f>H2269+J2269+L2269+M2269+O2269</f>
        <v/>
      </c>
      <c r="Q2269" s="68">
        <f>IF(OR(H2269=0,P2269&lt;30),"Tier D (Đóng băng)",IF(P2269&gt;=85,"Tier S (Kim Cương: 85-100đ)",IF(P2269&gt;=70,"Tier A (Vàng: 70-84đ)",IF(P2269&gt;=61,"Tier B+ / Cấp A (Hot Lead: 61-69đ)",IF(P2269&gt;=50,"Tier B (Bạc: 50-60đ)","Tier C (Đồng: 30-49đ)")))))</f>
        <v/>
      </c>
      <c r="R2269" s="6" t="inlineStr">
        <is>
          <t>Khay vệ sinh chung cư (Indoor Potty) + Thảm cỏ ban công (Grass Patch) + Đồ chơi</t>
        </is>
      </c>
      <c r="S2269" s="6" t="inlineStr">
        <is>
          <t>Đóng băng tương tác (&gt;30 ngày): Lưu trữ chờ kích hoạt lại, không tốn tài nguyên Sales</t>
        </is>
      </c>
    </row>
    <row r="2270">
      <c r="A2270" s="59" t="n">
        <v>1159</v>
      </c>
      <c r="B2270" s="15" t="inlineStr">
        <is>
          <t>Dogs are our family</t>
        </is>
      </c>
      <c r="C2270" s="60" t="inlineStr">
        <is>
          <t>https://www.facebook.com/DogsAreOurFamily</t>
        </is>
      </c>
      <c r="D2270" s="9" t="inlineStr">
        <is>
          <t>Cần quét Bio Fanpage</t>
        </is>
      </c>
      <c r="E2270" s="59" t="inlineStr">
        <is>
          <t>02/11/2022 00:54:58</t>
        </is>
      </c>
      <c r="F2270" s="59" t="inlineStr">
        <is>
          <t>3 năm trước</t>
        </is>
      </c>
      <c r="G2270" s="61" t="n">
        <v>1095</v>
      </c>
      <c r="H2270" s="62" t="n">
        <v>0</v>
      </c>
      <c r="I2270" s="9" t="inlineStr">
        <is>
          <t>Pet Owner / Cộng đồng nuôi cún (10đ)</t>
        </is>
      </c>
      <c r="J2270" s="62" t="n">
        <v>10</v>
      </c>
      <c r="K2270" s="9" t="inlineStr">
        <is>
          <t>Chưa rõ giống (Cần quét Bio)</t>
        </is>
      </c>
      <c r="L2270" s="62" t="n">
        <v>0</v>
      </c>
      <c r="M2270" s="62" t="n">
        <v>0</v>
      </c>
      <c r="N2270" s="9" t="inlineStr">
        <is>
          <t>Amazon link not found</t>
        </is>
      </c>
      <c r="O2270" s="62">
        <f>IF(N2270="Selling pet toys + Artificial grass/Pet toilets (TARGET)",15,IF(N2270="Selling artificial grass/pet toilets (TARGET)",10,IF(N2270="Selling pet toys",7,IF(N2270="There's an Amazon link, but no target sales.",3,0))))</f>
        <v/>
      </c>
      <c r="P2270" s="67">
        <f>H2270+J2270+L2270+M2270+O2270</f>
        <v/>
      </c>
      <c r="Q2270" s="68">
        <f>IF(OR(H2270=0,P2270&lt;30),"Tier D (Đóng băng)",IF(P2270&gt;=85,"Tier S (Kim Cương: 85-100đ)",IF(P2270&gt;=70,"Tier A (Vàng: 70-84đ)",IF(P2270&gt;=61,"Tier B+ / Cấp A (Hot Lead: 61-69đ)",IF(P2270&gt;=50,"Tier B (Bạc: 50-60đ)","Tier C (Đồng: 30-49đ)")))))</f>
        <v/>
      </c>
      <c r="R2270" s="9" t="inlineStr">
        <is>
          <t>Khay vệ sinh chung cư (Indoor Potty) + Thảm cỏ ban công (Grass Patch) + Đồ chơi</t>
        </is>
      </c>
      <c r="S2270" s="9" t="inlineStr">
        <is>
          <t>Đóng băng tương tác (&gt;30 ngày): Lưu trữ chờ kích hoạt lại, không tốn tài nguyên Sales</t>
        </is>
      </c>
    </row>
    <row r="2271">
      <c r="A2271" s="53" t="n">
        <v>1412</v>
      </c>
      <c r="B2271" s="12" t="inlineStr">
        <is>
          <t>For owners of dogs with degenerative myelopathy</t>
        </is>
      </c>
      <c r="C2271" s="54" t="inlineStr">
        <is>
          <t>https://www.facebook.com/DEGENERATIVEMYELOPATHY</t>
        </is>
      </c>
      <c r="D2271" s="6" t="inlineStr">
        <is>
          <t>Cần quét Bio Fanpage</t>
        </is>
      </c>
      <c r="E2271" s="53" t="inlineStr">
        <is>
          <t>27/10/2022 09:25:58</t>
        </is>
      </c>
      <c r="F2271" s="53" t="inlineStr">
        <is>
          <t>3 năm trước</t>
        </is>
      </c>
      <c r="G2271" s="55" t="n">
        <v>1095</v>
      </c>
      <c r="H2271" s="56" t="n">
        <v>0</v>
      </c>
      <c r="I2271" s="6" t="inlineStr">
        <is>
          <t>Pet Owner / Cộng đồng nuôi cún (10đ)</t>
        </is>
      </c>
      <c r="J2271" s="56" t="n">
        <v>10</v>
      </c>
      <c r="K2271" s="6" t="inlineStr">
        <is>
          <t>Chưa rõ giống (Cần quét Bio)</t>
        </is>
      </c>
      <c r="L2271" s="56" t="n">
        <v>0</v>
      </c>
      <c r="M2271" s="56" t="n">
        <v>0</v>
      </c>
      <c r="N2271" s="6" t="inlineStr">
        <is>
          <t>Amazon link not found</t>
        </is>
      </c>
      <c r="O2271" s="56">
        <f>IF(N2271="Selling pet toys + Artificial grass/Pet toilets (TARGET)",15,IF(N2271="Selling artificial grass/pet toilets (TARGET)",10,IF(N2271="Selling pet toys",7,IF(N2271="There's an Amazon link, but no target sales.",3,0))))</f>
        <v/>
      </c>
      <c r="P2271" s="65">
        <f>H2271+J2271+L2271+M2271+O2271</f>
        <v/>
      </c>
      <c r="Q2271" s="68">
        <f>IF(OR(H2271=0,P2271&lt;30),"Tier D (Đóng băng)",IF(P2271&gt;=85,"Tier S (Kim Cương: 85-100đ)",IF(P2271&gt;=70,"Tier A (Vàng: 70-84đ)",IF(P2271&gt;=61,"Tier B+ / Cấp A (Hot Lead: 61-69đ)",IF(P2271&gt;=50,"Tier B (Bạc: 50-60đ)","Tier C (Đồng: 30-49đ)")))))</f>
        <v/>
      </c>
      <c r="R2271" s="6" t="inlineStr">
        <is>
          <t>Khay vệ sinh chung cư (Indoor Potty) + Thảm cỏ ban công (Grass Patch) + Đồ chơi</t>
        </is>
      </c>
      <c r="S2271" s="6" t="inlineStr">
        <is>
          <t>Đóng băng tương tác (&gt;30 ngày): Lưu trữ chờ kích hoạt lại, không tốn tài nguyên Sales</t>
        </is>
      </c>
    </row>
    <row r="2272">
      <c r="A2272" s="59" t="n">
        <v>2536</v>
      </c>
      <c r="B2272" s="15" t="inlineStr">
        <is>
          <t>Pets Pescara</t>
        </is>
      </c>
      <c r="C2272" s="60" t="inlineStr">
        <is>
          <t>https://www.facebook.com/PetsPescaraedintorni</t>
        </is>
      </c>
      <c r="D2272" s="9" t="inlineStr">
        <is>
          <t>Cần quét Bio Fanpage</t>
        </is>
      </c>
      <c r="E2272" s="59" t="inlineStr">
        <is>
          <t>19/10/2022 20:19:17</t>
        </is>
      </c>
      <c r="F2272" s="59" t="inlineStr">
        <is>
          <t>3 năm trước</t>
        </is>
      </c>
      <c r="G2272" s="61" t="n">
        <v>1095</v>
      </c>
      <c r="H2272" s="62" t="n">
        <v>0</v>
      </c>
      <c r="I2272" s="9" t="inlineStr">
        <is>
          <t>Pet Owner / Cộng đồng nuôi cún (10đ)</t>
        </is>
      </c>
      <c r="J2272" s="62" t="n">
        <v>10</v>
      </c>
      <c r="K2272" s="9" t="inlineStr">
        <is>
          <t>Chưa rõ giống (Cần quét Bio)</t>
        </is>
      </c>
      <c r="L2272" s="62" t="n">
        <v>0</v>
      </c>
      <c r="M2272" s="62" t="n">
        <v>0</v>
      </c>
      <c r="N2272" s="9" t="inlineStr">
        <is>
          <t>Amazon link not found</t>
        </is>
      </c>
      <c r="O2272" s="62">
        <f>IF(N2272="Selling pet toys + Artificial grass/Pet toilets (TARGET)",15,IF(N2272="Selling artificial grass/pet toilets (TARGET)",10,IF(N2272="Selling pet toys",7,IF(N2272="There's an Amazon link, but no target sales.",3,0))))</f>
        <v/>
      </c>
      <c r="P2272" s="67">
        <f>H2272+J2272+L2272+M2272+O2272</f>
        <v/>
      </c>
      <c r="Q2272" s="68">
        <f>IF(OR(H2272=0,P2272&lt;30),"Tier D (Đóng băng)",IF(P2272&gt;=85,"Tier S (Kim Cương: 85-100đ)",IF(P2272&gt;=70,"Tier A (Vàng: 70-84đ)",IF(P2272&gt;=61,"Tier B+ / Cấp A (Hot Lead: 61-69đ)",IF(P2272&gt;=50,"Tier B (Bạc: 50-60đ)","Tier C (Đồng: 30-49đ)")))))</f>
        <v/>
      </c>
      <c r="R2272" s="9" t="inlineStr">
        <is>
          <t>Khay vệ sinh chung cư (Indoor Potty) + Thảm cỏ ban công (Grass Patch) + Đồ chơi</t>
        </is>
      </c>
      <c r="S2272" s="9" t="inlineStr">
        <is>
          <t>Đóng băng tương tác (&gt;30 ngày): Lưu trữ chờ kích hoạt lại, không tốn tài nguyên Sales</t>
        </is>
      </c>
    </row>
    <row r="2273">
      <c r="A2273" s="53" t="n">
        <v>1088</v>
      </c>
      <c r="B2273" s="12" t="inlineStr">
        <is>
          <t>dog lover</t>
        </is>
      </c>
      <c r="C2273" s="54" t="inlineStr">
        <is>
          <t>https://www.facebook.com/profile.php?id=100078632360756</t>
        </is>
      </c>
      <c r="D2273" s="6" t="inlineStr">
        <is>
          <t>Cần quét Bio Fanpage</t>
        </is>
      </c>
      <c r="E2273" s="53" t="inlineStr">
        <is>
          <t>27/09/2022 02:59:36</t>
        </is>
      </c>
      <c r="F2273" s="53" t="inlineStr">
        <is>
          <t>4 năm trước</t>
        </is>
      </c>
      <c r="G2273" s="55" t="n">
        <v>1460</v>
      </c>
      <c r="H2273" s="56" t="n">
        <v>0</v>
      </c>
      <c r="I2273" s="6" t="inlineStr">
        <is>
          <t>Pet Owner / Kênh cá nhân thú cưng (10đ)</t>
        </is>
      </c>
      <c r="J2273" s="56" t="n">
        <v>10</v>
      </c>
      <c r="K2273" s="6" t="inlineStr">
        <is>
          <t>Chưa rõ giống (Cần quét Bio)</t>
        </is>
      </c>
      <c r="L2273" s="56" t="n">
        <v>0</v>
      </c>
      <c r="M2273" s="56" t="n">
        <v>0</v>
      </c>
      <c r="N2273" s="6" t="inlineStr">
        <is>
          <t>Amazon link not found</t>
        </is>
      </c>
      <c r="O2273" s="56">
        <f>IF(N2273="Selling pet toys + Artificial grass/Pet toilets (TARGET)",15,IF(N2273="Selling artificial grass/pet toilets (TARGET)",10,IF(N2273="Selling pet toys",7,IF(N2273="There's an Amazon link, but no target sales.",3,0))))</f>
        <v/>
      </c>
      <c r="P2273" s="65">
        <f>H2273+J2273+L2273+M2273+O2273</f>
        <v/>
      </c>
      <c r="Q2273" s="68">
        <f>IF(OR(H2273=0,P2273&lt;30),"Tier D (Đóng băng)",IF(P2273&gt;=85,"Tier S (Kim Cương: 85-100đ)",IF(P2273&gt;=70,"Tier A (Vàng: 70-84đ)",IF(P2273&gt;=61,"Tier B+ / Cấp A (Hot Lead: 61-69đ)",IF(P2273&gt;=50,"Tier B (Bạc: 50-60đ)","Tier C (Đồng: 30-49đ)")))))</f>
        <v/>
      </c>
      <c r="R2273" s="6" t="inlineStr">
        <is>
          <t>Khay vệ sinh trong nhà (Indoor Dog Potty) + Đồ chơi thú cưng lẻ</t>
        </is>
      </c>
      <c r="S2273" s="6" t="inlineStr">
        <is>
          <t>Đóng băng tương tác (&gt;30 ngày): Lưu trữ chờ kích hoạt lại, không tốn tài nguyên Sales</t>
        </is>
      </c>
    </row>
    <row r="2274">
      <c r="A2274" s="59" t="n">
        <v>2013</v>
      </c>
      <c r="B2274" s="15" t="inlineStr">
        <is>
          <t>Liam the Therapy Dog</t>
        </is>
      </c>
      <c r="C2274" s="60" t="inlineStr">
        <is>
          <t>https://www.facebook.com/LiamTheTherapyDog</t>
        </is>
      </c>
      <c r="D2274" s="9" t="inlineStr">
        <is>
          <t>Cần quét Bio Fanpage</t>
        </is>
      </c>
      <c r="E2274" s="59" t="inlineStr">
        <is>
          <t>12/09/2022 04:06:17</t>
        </is>
      </c>
      <c r="F2274" s="59" t="inlineStr">
        <is>
          <t>4 năm trước</t>
        </is>
      </c>
      <c r="G2274" s="61" t="n">
        <v>1460</v>
      </c>
      <c r="H2274" s="62" t="n">
        <v>0</v>
      </c>
      <c r="I2274" s="9" t="inlineStr">
        <is>
          <t>Pet Owner / Cộng đồng nuôi cún (10đ)</t>
        </is>
      </c>
      <c r="J2274" s="62" t="n">
        <v>10</v>
      </c>
      <c r="K2274" s="9" t="inlineStr">
        <is>
          <t>Chưa rõ giống (Cần quét Bio)</t>
        </is>
      </c>
      <c r="L2274" s="62" t="n">
        <v>0</v>
      </c>
      <c r="M2274" s="62" t="n">
        <v>0</v>
      </c>
      <c r="N2274" s="9" t="inlineStr">
        <is>
          <t>Amazon link not found</t>
        </is>
      </c>
      <c r="O2274" s="62">
        <f>IF(N2274="Selling pet toys + Artificial grass/Pet toilets (TARGET)",15,IF(N2274="Selling artificial grass/pet toilets (TARGET)",10,IF(N2274="Selling pet toys",7,IF(N2274="There's an Amazon link, but no target sales.",3,0))))</f>
        <v/>
      </c>
      <c r="P2274" s="67">
        <f>H2274+J2274+L2274+M2274+O2274</f>
        <v/>
      </c>
      <c r="Q2274" s="68">
        <f>IF(OR(H2274=0,P2274&lt;30),"Tier D (Đóng băng)",IF(P2274&gt;=85,"Tier S (Kim Cương: 85-100đ)",IF(P2274&gt;=70,"Tier A (Vàng: 70-84đ)",IF(P2274&gt;=61,"Tier B+ / Cấp A (Hot Lead: 61-69đ)",IF(P2274&gt;=50,"Tier B (Bạc: 50-60đ)","Tier C (Đồng: 30-49đ)")))))</f>
        <v/>
      </c>
      <c r="R2274" s="9" t="inlineStr">
        <is>
          <t>Khay vệ sinh chung cư (Indoor Potty) + Thảm cỏ ban công (Grass Patch) + Đồ chơi</t>
        </is>
      </c>
      <c r="S2274" s="9" t="inlineStr">
        <is>
          <t>Đóng băng tương tác (&gt;30 ngày): Lưu trữ chờ kích hoạt lại, không tốn tài nguyên Sales</t>
        </is>
      </c>
    </row>
    <row r="2275">
      <c r="A2275" s="53" t="n">
        <v>1194</v>
      </c>
      <c r="B2275" s="12" t="inlineStr">
        <is>
          <t>Dogsports SLOW Motion movies</t>
        </is>
      </c>
      <c r="C2275" s="54" t="inlineStr">
        <is>
          <t>https://www.facebook.com/dogsportsvideos</t>
        </is>
      </c>
      <c r="D2275" s="6" t="inlineStr">
        <is>
          <t>Cần quét Bio Fanpage</t>
        </is>
      </c>
      <c r="E2275" s="53" t="inlineStr">
        <is>
          <t>05/09/2022 20:55:57</t>
        </is>
      </c>
      <c r="F2275" s="53" t="inlineStr">
        <is>
          <t>4 năm trước</t>
        </is>
      </c>
      <c r="G2275" s="55" t="n">
        <v>1460</v>
      </c>
      <c r="H2275" s="56" t="n">
        <v>0</v>
      </c>
      <c r="I2275" s="6" t="inlineStr">
        <is>
          <t>Pet Owner / Cộng đồng nuôi cún (10đ)</t>
        </is>
      </c>
      <c r="J2275" s="56" t="n">
        <v>10</v>
      </c>
      <c r="K2275" s="6" t="inlineStr">
        <is>
          <t>Chưa rõ giống (Cần quét Bio)</t>
        </is>
      </c>
      <c r="L2275" s="56" t="n">
        <v>0</v>
      </c>
      <c r="M2275" s="56" t="n">
        <v>0</v>
      </c>
      <c r="N2275" s="6" t="inlineStr">
        <is>
          <t>Amazon link not found</t>
        </is>
      </c>
      <c r="O2275" s="56">
        <f>IF(N2275="Selling pet toys + Artificial grass/Pet toilets (TARGET)",15,IF(N2275="Selling artificial grass/pet toilets (TARGET)",10,IF(N2275="Selling pet toys",7,IF(N2275="There's an Amazon link, but no target sales.",3,0))))</f>
        <v/>
      </c>
      <c r="P2275" s="65">
        <f>H2275+J2275+L2275+M2275+O2275</f>
        <v/>
      </c>
      <c r="Q2275" s="68">
        <f>IF(OR(H2275=0,P2275&lt;30),"Tier D (Đóng băng)",IF(P2275&gt;=85,"Tier S (Kim Cương: 85-100đ)",IF(P2275&gt;=70,"Tier A (Vàng: 70-84đ)",IF(P2275&gt;=61,"Tier B+ / Cấp A (Hot Lead: 61-69đ)",IF(P2275&gt;=50,"Tier B (Bạc: 50-60đ)","Tier C (Đồng: 30-49đ)")))))</f>
        <v/>
      </c>
      <c r="R2275" s="6" t="inlineStr">
        <is>
          <t>Khay vệ sinh chung cư (Indoor Potty) + Thảm cỏ ban công (Grass Patch) + Đồ chơi</t>
        </is>
      </c>
      <c r="S2275" s="6" t="inlineStr">
        <is>
          <t>Đóng băng tương tác (&gt;30 ngày): Lưu trữ chờ kích hoạt lại, không tốn tài nguyên Sales</t>
        </is>
      </c>
    </row>
    <row r="2276">
      <c r="A2276" s="59" t="n">
        <v>3058</v>
      </c>
      <c r="B2276" s="15" t="inlineStr">
        <is>
          <t>Tank’s Bird Dogs</t>
        </is>
      </c>
      <c r="C2276" s="60" t="inlineStr">
        <is>
          <t>https://www.facebook.com/profile.php?id=100077178042397</t>
        </is>
      </c>
      <c r="D2276" s="9" t="inlineStr">
        <is>
          <t>Cần quét Bio Fanpage</t>
        </is>
      </c>
      <c r="E2276" s="59" t="inlineStr">
        <is>
          <t>21/08/2022 03:17:01</t>
        </is>
      </c>
      <c r="F2276" s="59" t="inlineStr">
        <is>
          <t>4 năm trước</t>
        </is>
      </c>
      <c r="G2276" s="61" t="n">
        <v>1460</v>
      </c>
      <c r="H2276" s="62" t="n">
        <v>0</v>
      </c>
      <c r="I2276" s="9" t="inlineStr">
        <is>
          <t>Pet Owner / Cộng đồng nuôi cún (10đ)</t>
        </is>
      </c>
      <c r="J2276" s="62" t="n">
        <v>10</v>
      </c>
      <c r="K2276" s="9" t="inlineStr">
        <is>
          <t>Chưa rõ giống (Cần quét Bio)</t>
        </is>
      </c>
      <c r="L2276" s="62" t="n">
        <v>0</v>
      </c>
      <c r="M2276" s="62" t="n">
        <v>0</v>
      </c>
      <c r="N2276" s="9" t="inlineStr">
        <is>
          <t>Amazon link not found</t>
        </is>
      </c>
      <c r="O2276" s="62">
        <f>IF(N2276="Selling pet toys + Artificial grass/Pet toilets (TARGET)",15,IF(N2276="Selling artificial grass/pet toilets (TARGET)",10,IF(N2276="Selling pet toys",7,IF(N2276="There's an Amazon link, but no target sales.",3,0))))</f>
        <v/>
      </c>
      <c r="P2276" s="67">
        <f>H2276+J2276+L2276+M2276+O2276</f>
        <v/>
      </c>
      <c r="Q2276" s="68">
        <f>IF(OR(H2276=0,P2276&lt;30),"Tier D (Đóng băng)",IF(P2276&gt;=85,"Tier S (Kim Cương: 85-100đ)",IF(P2276&gt;=70,"Tier A (Vàng: 70-84đ)",IF(P2276&gt;=61,"Tier B+ / Cấp A (Hot Lead: 61-69đ)",IF(P2276&gt;=50,"Tier B (Bạc: 50-60đ)","Tier C (Đồng: 30-49đ)")))))</f>
        <v/>
      </c>
      <c r="R2276" s="9" t="inlineStr">
        <is>
          <t>Khay vệ sinh chung cư (Indoor Potty) + Thảm cỏ ban công (Grass Patch) + Đồ chơi</t>
        </is>
      </c>
      <c r="S2276" s="9" t="inlineStr">
        <is>
          <t>Đóng băng tương tác (&gt;30 ngày): Lưu trữ chờ kích hoạt lại, không tốn tài nguyên Sales</t>
        </is>
      </c>
    </row>
    <row r="2277">
      <c r="A2277" s="53" t="n">
        <v>1999</v>
      </c>
      <c r="B2277" s="12" t="inlineStr">
        <is>
          <t>LEC PETS WORLD</t>
        </is>
      </c>
      <c r="C2277" s="54" t="inlineStr">
        <is>
          <t>https://www.facebook.com/lecpetsworld</t>
        </is>
      </c>
      <c r="D2277" s="6" t="inlineStr">
        <is>
          <t>Cần quét Bio Fanpage</t>
        </is>
      </c>
      <c r="E2277" s="53" t="inlineStr">
        <is>
          <t>19/08/2022 17:30:25</t>
        </is>
      </c>
      <c r="F2277" s="53" t="inlineStr">
        <is>
          <t>4 năm trước</t>
        </is>
      </c>
      <c r="G2277" s="55" t="n">
        <v>1460</v>
      </c>
      <c r="H2277" s="56" t="n">
        <v>0</v>
      </c>
      <c r="I2277" s="6" t="inlineStr">
        <is>
          <t>Pet Owner / Cộng đồng nuôi cún (10đ)</t>
        </is>
      </c>
      <c r="J2277" s="56" t="n">
        <v>10</v>
      </c>
      <c r="K2277" s="6" t="inlineStr">
        <is>
          <t>Chưa rõ giống (Cần quét Bio)</t>
        </is>
      </c>
      <c r="L2277" s="56" t="n">
        <v>0</v>
      </c>
      <c r="M2277" s="56" t="n">
        <v>0</v>
      </c>
      <c r="N2277" s="6" t="inlineStr">
        <is>
          <t>Amazon link not found</t>
        </is>
      </c>
      <c r="O2277" s="56">
        <f>IF(N2277="Selling pet toys + Artificial grass/Pet toilets (TARGET)",15,IF(N2277="Selling artificial grass/pet toilets (TARGET)",10,IF(N2277="Selling pet toys",7,IF(N2277="There's an Amazon link, but no target sales.",3,0))))</f>
        <v/>
      </c>
      <c r="P2277" s="65">
        <f>H2277+J2277+L2277+M2277+O2277</f>
        <v/>
      </c>
      <c r="Q2277" s="68">
        <f>IF(OR(H2277=0,P2277&lt;30),"Tier D (Đóng băng)",IF(P2277&gt;=85,"Tier S (Kim Cương: 85-100đ)",IF(P2277&gt;=70,"Tier A (Vàng: 70-84đ)",IF(P2277&gt;=61,"Tier B+ / Cấp A (Hot Lead: 61-69đ)",IF(P2277&gt;=50,"Tier B (Bạc: 50-60đ)","Tier C (Đồng: 30-49đ)")))))</f>
        <v/>
      </c>
      <c r="R2277" s="6" t="inlineStr">
        <is>
          <t>Khay vệ sinh chung cư (Indoor Potty) + Thảm cỏ ban công (Grass Patch) + Đồ chơi</t>
        </is>
      </c>
      <c r="S2277" s="6" t="inlineStr">
        <is>
          <t>Đóng băng tương tác (&gt;30 ngày): Lưu trữ chờ kích hoạt lại, không tốn tài nguyên Sales</t>
        </is>
      </c>
    </row>
    <row r="2278">
      <c r="A2278" s="59" t="n">
        <v>499</v>
      </c>
      <c r="B2278" s="15" t="inlineStr">
        <is>
          <t>Ann Williamson Peterson</t>
        </is>
      </c>
      <c r="C2278" s="60" t="inlineStr">
        <is>
          <t>https://www.facebook.com/AnnWPeterson</t>
        </is>
      </c>
      <c r="D2278" s="9" t="inlineStr">
        <is>
          <t>Cần quét Bio Fanpage</t>
        </is>
      </c>
      <c r="E2278" s="59" t="inlineStr">
        <is>
          <t>08/08/2022 07:14:30</t>
        </is>
      </c>
      <c r="F2278" s="59" t="inlineStr">
        <is>
          <t>4 năm trước</t>
        </is>
      </c>
      <c r="G2278" s="61" t="n">
        <v>1460</v>
      </c>
      <c r="H2278" s="62" t="n">
        <v>0</v>
      </c>
      <c r="I2278" s="9" t="inlineStr">
        <is>
          <t>Pet Owner / Cộng đồng nuôi cún (10đ)</t>
        </is>
      </c>
      <c r="J2278" s="62" t="n">
        <v>10</v>
      </c>
      <c r="K2278" s="9" t="inlineStr">
        <is>
          <t>Chưa rõ giống (Cần quét Bio)</t>
        </is>
      </c>
      <c r="L2278" s="62" t="n">
        <v>0</v>
      </c>
      <c r="M2278" s="62" t="n">
        <v>0</v>
      </c>
      <c r="N2278" s="9" t="inlineStr">
        <is>
          <t>Amazon link not found</t>
        </is>
      </c>
      <c r="O2278" s="62">
        <f>IF(N2278="Selling pet toys + Artificial grass/Pet toilets (TARGET)",15,IF(N2278="Selling artificial grass/pet toilets (TARGET)",10,IF(N2278="Selling pet toys",7,IF(N2278="There's an Amazon link, but no target sales.",3,0))))</f>
        <v/>
      </c>
      <c r="P2278" s="67">
        <f>H2278+J2278+L2278+M2278+O2278</f>
        <v/>
      </c>
      <c r="Q2278" s="68">
        <f>IF(OR(H2278=0,P2278&lt;30),"Tier D (Đóng băng)",IF(P2278&gt;=85,"Tier S (Kim Cương: 85-100đ)",IF(P2278&gt;=70,"Tier A (Vàng: 70-84đ)",IF(P2278&gt;=61,"Tier B+ / Cấp A (Hot Lead: 61-69đ)",IF(P2278&gt;=50,"Tier B (Bạc: 50-60đ)","Tier C (Đồng: 30-49đ)")))))</f>
        <v/>
      </c>
      <c r="R2278" s="9" t="inlineStr">
        <is>
          <t>Khay vệ sinh chung cư (Indoor Potty) + Thảm cỏ ban công (Grass Patch) + Đồ chơi</t>
        </is>
      </c>
      <c r="S2278" s="9" t="inlineStr">
        <is>
          <t>Đóng băng tương tác (&gt;30 ngày): Lưu trữ chờ kích hoạt lại, không tốn tài nguyên Sales</t>
        </is>
      </c>
    </row>
    <row r="2279">
      <c r="A2279" s="53" t="n">
        <v>1080</v>
      </c>
      <c r="B2279" s="12" t="inlineStr">
        <is>
          <t>Dog Guard Of Western Monmouth</t>
        </is>
      </c>
      <c r="C2279" s="54" t="inlineStr">
        <is>
          <t>https://www.facebook.com/Dogguardofwesternmonmouth</t>
        </is>
      </c>
      <c r="D2279" s="6" t="inlineStr">
        <is>
          <t>Cần quét Bio Fanpage</t>
        </is>
      </c>
      <c r="E2279" s="53" t="inlineStr">
        <is>
          <t>02/07/2022 05:35:49</t>
        </is>
      </c>
      <c r="F2279" s="53" t="inlineStr">
        <is>
          <t>4 năm trước</t>
        </is>
      </c>
      <c r="G2279" s="55" t="n">
        <v>1460</v>
      </c>
      <c r="H2279" s="56" t="n">
        <v>0</v>
      </c>
      <c r="I2279" s="6" t="inlineStr">
        <is>
          <t>Pet Owner / Cộng đồng nuôi cún (10đ)</t>
        </is>
      </c>
      <c r="J2279" s="56" t="n">
        <v>10</v>
      </c>
      <c r="K2279" s="6" t="inlineStr">
        <is>
          <t>Chưa rõ giống (Cần quét Bio)</t>
        </is>
      </c>
      <c r="L2279" s="56" t="n">
        <v>0</v>
      </c>
      <c r="M2279" s="56" t="n">
        <v>0</v>
      </c>
      <c r="N2279" s="6" t="inlineStr">
        <is>
          <t>Amazon link not found</t>
        </is>
      </c>
      <c r="O2279" s="56">
        <f>IF(N2279="Selling pet toys + Artificial grass/Pet toilets (TARGET)",15,IF(N2279="Selling artificial grass/pet toilets (TARGET)",10,IF(N2279="Selling pet toys",7,IF(N2279="There's an Amazon link, but no target sales.",3,0))))</f>
        <v/>
      </c>
      <c r="P2279" s="65">
        <f>H2279+J2279+L2279+M2279+O2279</f>
        <v/>
      </c>
      <c r="Q2279" s="68">
        <f>IF(OR(H2279=0,P2279&lt;30),"Tier D (Đóng băng)",IF(P2279&gt;=85,"Tier S (Kim Cương: 85-100đ)",IF(P2279&gt;=70,"Tier A (Vàng: 70-84đ)",IF(P2279&gt;=61,"Tier B+ / Cấp A (Hot Lead: 61-69đ)",IF(P2279&gt;=50,"Tier B (Bạc: 50-60đ)","Tier C (Đồng: 30-49đ)")))))</f>
        <v/>
      </c>
      <c r="R2279" s="6" t="inlineStr">
        <is>
          <t>Khay vệ sinh chung cư (Indoor Potty) + Thảm cỏ ban công (Grass Patch) + Đồ chơi</t>
        </is>
      </c>
      <c r="S2279" s="6" t="inlineStr">
        <is>
          <t>Đóng băng tương tác (&gt;30 ngày): Lưu trữ chờ kích hoạt lại, không tốn tài nguyên Sales</t>
        </is>
      </c>
    </row>
    <row r="2280">
      <c r="A2280" s="59" t="n">
        <v>2867</v>
      </c>
      <c r="B2280" s="15" t="inlineStr">
        <is>
          <t>Set fo dog</t>
        </is>
      </c>
      <c r="C2280" s="60" t="inlineStr">
        <is>
          <t>https://www.facebook.com/profile.php?id=100063890718908</t>
        </is>
      </c>
      <c r="D2280" s="9" t="inlineStr">
        <is>
          <t>Cần quét Bio Fanpage</t>
        </is>
      </c>
      <c r="E2280" s="59" t="inlineStr">
        <is>
          <t>07/06/2022 14:14:08</t>
        </is>
      </c>
      <c r="F2280" s="59" t="inlineStr">
        <is>
          <t>4 năm trước</t>
        </is>
      </c>
      <c r="G2280" s="61" t="n">
        <v>1460</v>
      </c>
      <c r="H2280" s="62" t="n">
        <v>0</v>
      </c>
      <c r="I2280" s="9" t="inlineStr">
        <is>
          <t>Pet Owner / Cộng đồng nuôi cún (10đ)</t>
        </is>
      </c>
      <c r="J2280" s="62" t="n">
        <v>10</v>
      </c>
      <c r="K2280" s="9" t="inlineStr">
        <is>
          <t>Chưa rõ giống (Cần quét Bio)</t>
        </is>
      </c>
      <c r="L2280" s="62" t="n">
        <v>0</v>
      </c>
      <c r="M2280" s="62" t="n">
        <v>0</v>
      </c>
      <c r="N2280" s="9" t="inlineStr">
        <is>
          <t>Amazon link not found</t>
        </is>
      </c>
      <c r="O2280" s="62">
        <f>IF(N2280="Selling pet toys + Artificial grass/Pet toilets (TARGET)",15,IF(N2280="Selling artificial grass/pet toilets (TARGET)",10,IF(N2280="Selling pet toys",7,IF(N2280="There's an Amazon link, but no target sales.",3,0))))</f>
        <v/>
      </c>
      <c r="P2280" s="67">
        <f>H2280+J2280+L2280+M2280+O2280</f>
        <v/>
      </c>
      <c r="Q2280" s="68">
        <f>IF(OR(H2280=0,P2280&lt;30),"Tier D (Đóng băng)",IF(P2280&gt;=85,"Tier S (Kim Cương: 85-100đ)",IF(P2280&gt;=70,"Tier A (Vàng: 70-84đ)",IF(P2280&gt;=61,"Tier B+ / Cấp A (Hot Lead: 61-69đ)",IF(P2280&gt;=50,"Tier B (Bạc: 50-60đ)","Tier C (Đồng: 30-49đ)")))))</f>
        <v/>
      </c>
      <c r="R2280" s="9" t="inlineStr">
        <is>
          <t>Khay vệ sinh chung cư (Indoor Potty) + Thảm cỏ ban công (Grass Patch) + Đồ chơi</t>
        </is>
      </c>
      <c r="S2280" s="9" t="inlineStr">
        <is>
          <t>Đóng băng tương tác (&gt;30 ngày): Lưu trữ chờ kích hoạt lại, không tốn tài nguyên Sales</t>
        </is>
      </c>
    </row>
    <row r="2281">
      <c r="A2281" s="53" t="n">
        <v>2460</v>
      </c>
      <c r="B2281" s="12" t="inlineStr">
        <is>
          <t>Pet Partners of Fairfield County</t>
        </is>
      </c>
      <c r="C2281" s="54" t="inlineStr">
        <is>
          <t>https://www.facebook.com/profile.php?id=100080635031571</t>
        </is>
      </c>
      <c r="D2281" s="6" t="inlineStr">
        <is>
          <t>Cần quét Bio Fanpage</t>
        </is>
      </c>
      <c r="E2281" s="53" t="inlineStr">
        <is>
          <t>03/06/2022 05:30:55</t>
        </is>
      </c>
      <c r="F2281" s="53" t="inlineStr">
        <is>
          <t>4 năm trước</t>
        </is>
      </c>
      <c r="G2281" s="55" t="n">
        <v>1460</v>
      </c>
      <c r="H2281" s="56" t="n">
        <v>0</v>
      </c>
      <c r="I2281" s="6" t="inlineStr">
        <is>
          <t>Pet Owner / Cộng đồng nuôi cún (10đ)</t>
        </is>
      </c>
      <c r="J2281" s="56" t="n">
        <v>10</v>
      </c>
      <c r="K2281" s="6" t="inlineStr">
        <is>
          <t>Chưa rõ giống (Cần quét Bio)</t>
        </is>
      </c>
      <c r="L2281" s="56" t="n">
        <v>0</v>
      </c>
      <c r="M2281" s="56" t="n">
        <v>0</v>
      </c>
      <c r="N2281" s="6" t="inlineStr">
        <is>
          <t>Amazon link not found</t>
        </is>
      </c>
      <c r="O2281" s="56">
        <f>IF(N2281="Selling pet toys + Artificial grass/Pet toilets (TARGET)",15,IF(N2281="Selling artificial grass/pet toilets (TARGET)",10,IF(N2281="Selling pet toys",7,IF(N2281="There's an Amazon link, but no target sales.",3,0))))</f>
        <v/>
      </c>
      <c r="P2281" s="65">
        <f>H2281+J2281+L2281+M2281+O2281</f>
        <v/>
      </c>
      <c r="Q2281" s="68">
        <f>IF(OR(H2281=0,P2281&lt;30),"Tier D (Đóng băng)",IF(P2281&gt;=85,"Tier S (Kim Cương: 85-100đ)",IF(P2281&gt;=70,"Tier A (Vàng: 70-84đ)",IF(P2281&gt;=61,"Tier B+ / Cấp A (Hot Lead: 61-69đ)",IF(P2281&gt;=50,"Tier B (Bạc: 50-60đ)","Tier C (Đồng: 30-49đ)")))))</f>
        <v/>
      </c>
      <c r="R2281" s="6" t="inlineStr">
        <is>
          <t>Khay vệ sinh chung cư (Indoor Potty) + Thảm cỏ ban công (Grass Patch) + Đồ chơi</t>
        </is>
      </c>
      <c r="S2281" s="6" t="inlineStr">
        <is>
          <t>Đóng băng tương tác (&gt;30 ngày): Lưu trữ chờ kích hoạt lại, không tốn tài nguyên Sales</t>
        </is>
      </c>
    </row>
    <row r="2282">
      <c r="A2282" s="59" t="n">
        <v>2422</v>
      </c>
      <c r="B2282" s="15" t="inlineStr">
        <is>
          <t>Pbt Petersbulldogstj</t>
        </is>
      </c>
      <c r="C2282" s="60" t="inlineStr">
        <is>
          <t>https://www.facebook.com/profile.php?id=100063548028259</t>
        </is>
      </c>
      <c r="D2282" s="9" t="inlineStr">
        <is>
          <t>Cần quét Bio Fanpage</t>
        </is>
      </c>
      <c r="E2282" s="59" t="inlineStr">
        <is>
          <t>31/05/2022 01:45:57</t>
        </is>
      </c>
      <c r="F2282" s="59" t="inlineStr">
        <is>
          <t>4 năm trước</t>
        </is>
      </c>
      <c r="G2282" s="61" t="n">
        <v>1460</v>
      </c>
      <c r="H2282" s="62" t="n">
        <v>0</v>
      </c>
      <c r="I2282" s="9" t="inlineStr">
        <is>
          <t>Pet Owner / Cộng đồng nuôi cún (10đ)</t>
        </is>
      </c>
      <c r="J2282" s="62" t="n">
        <v>10</v>
      </c>
      <c r="K2282" s="9" t="inlineStr">
        <is>
          <t>Chưa rõ giống (Cần quét Bio)</t>
        </is>
      </c>
      <c r="L2282" s="62" t="n">
        <v>0</v>
      </c>
      <c r="M2282" s="62" t="n">
        <v>0</v>
      </c>
      <c r="N2282" s="9" t="inlineStr">
        <is>
          <t>Amazon link not found</t>
        </is>
      </c>
      <c r="O2282" s="62">
        <f>IF(N2282="Selling pet toys + Artificial grass/Pet toilets (TARGET)",15,IF(N2282="Selling artificial grass/pet toilets (TARGET)",10,IF(N2282="Selling pet toys",7,IF(N2282="There's an Amazon link, but no target sales.",3,0))))</f>
        <v/>
      </c>
      <c r="P2282" s="67">
        <f>H2282+J2282+L2282+M2282+O2282</f>
        <v/>
      </c>
      <c r="Q2282" s="68">
        <f>IF(OR(H2282=0,P2282&lt;30),"Tier D (Đóng băng)",IF(P2282&gt;=85,"Tier S (Kim Cương: 85-100đ)",IF(P2282&gt;=70,"Tier A (Vàng: 70-84đ)",IF(P2282&gt;=61,"Tier B+ / Cấp A (Hot Lead: 61-69đ)",IF(P2282&gt;=50,"Tier B (Bạc: 50-60đ)","Tier C (Đồng: 30-49đ)")))))</f>
        <v/>
      </c>
      <c r="R2282" s="9" t="inlineStr">
        <is>
          <t>Khay vệ sinh chung cư (Indoor Potty) + Thảm cỏ ban công (Grass Patch) + Đồ chơi</t>
        </is>
      </c>
      <c r="S2282" s="9" t="inlineStr">
        <is>
          <t>Đóng băng tương tác (&gt;30 ngày): Lưu trữ chờ kích hoạt lại, không tốn tài nguyên Sales</t>
        </is>
      </c>
    </row>
    <row r="2283">
      <c r="A2283" s="53" t="n">
        <v>1135</v>
      </c>
      <c r="B2283" s="12" t="inlineStr">
        <is>
          <t>Doggybag Torino</t>
        </is>
      </c>
      <c r="C2283" s="54" t="inlineStr">
        <is>
          <t>https://www.facebook.com/doggybag.apparel</t>
        </is>
      </c>
      <c r="D2283" s="6" t="inlineStr">
        <is>
          <t>Cần quét Bio Fanpage</t>
        </is>
      </c>
      <c r="E2283" s="53" t="inlineStr">
        <is>
          <t>29/04/2022 15:40:03</t>
        </is>
      </c>
      <c r="F2283" s="53" t="inlineStr">
        <is>
          <t>4 năm trước</t>
        </is>
      </c>
      <c r="G2283" s="55" t="n">
        <v>1460</v>
      </c>
      <c r="H2283" s="56" t="n">
        <v>0</v>
      </c>
      <c r="I2283" s="6" t="inlineStr">
        <is>
          <t>Pet Owner / Cộng đồng nuôi cún (10đ)</t>
        </is>
      </c>
      <c r="J2283" s="56" t="n">
        <v>10</v>
      </c>
      <c r="K2283" s="6" t="inlineStr">
        <is>
          <t>Chưa rõ giống (Cần quét Bio)</t>
        </is>
      </c>
      <c r="L2283" s="56" t="n">
        <v>0</v>
      </c>
      <c r="M2283" s="56" t="n">
        <v>0</v>
      </c>
      <c r="N2283" s="6" t="inlineStr">
        <is>
          <t>Amazon link not found</t>
        </is>
      </c>
      <c r="O2283" s="56">
        <f>IF(N2283="Selling pet toys + Artificial grass/Pet toilets (TARGET)",15,IF(N2283="Selling artificial grass/pet toilets (TARGET)",10,IF(N2283="Selling pet toys",7,IF(N2283="There's an Amazon link, but no target sales.",3,0))))</f>
        <v/>
      </c>
      <c r="P2283" s="65">
        <f>H2283+J2283+L2283+M2283+O2283</f>
        <v/>
      </c>
      <c r="Q2283" s="68">
        <f>IF(OR(H2283=0,P2283&lt;30),"Tier D (Đóng băng)",IF(P2283&gt;=85,"Tier S (Kim Cương: 85-100đ)",IF(P2283&gt;=70,"Tier A (Vàng: 70-84đ)",IF(P2283&gt;=61,"Tier B+ / Cấp A (Hot Lead: 61-69đ)",IF(P2283&gt;=50,"Tier B (Bạc: 50-60đ)","Tier C (Đồng: 30-49đ)")))))</f>
        <v/>
      </c>
      <c r="R2283" s="6" t="inlineStr">
        <is>
          <t>Khay vệ sinh chung cư (Indoor Potty) + Thảm cỏ ban công (Grass Patch) + Đồ chơi</t>
        </is>
      </c>
      <c r="S2283" s="6" t="inlineStr">
        <is>
          <t>Đóng băng tương tác (&gt;30 ngày): Lưu trữ chờ kích hoạt lại, không tốn tài nguyên Sales</t>
        </is>
      </c>
    </row>
    <row r="2284">
      <c r="A2284" s="59" t="n">
        <v>3463</v>
      </c>
      <c r="B2284" s="15" t="inlineStr">
        <is>
          <t>Yeti, The Adorable Snow Dog &amp; Spartacus.</t>
        </is>
      </c>
      <c r="C2284" s="60" t="inlineStr">
        <is>
          <t>https://www.facebook.com/YetiAdorableSnowDog</t>
        </is>
      </c>
      <c r="D2284" s="9" t="inlineStr">
        <is>
          <t>Cần quét Bio Fanpage</t>
        </is>
      </c>
      <c r="E2284" s="59" t="inlineStr">
        <is>
          <t>26/03/2022 16:49:39</t>
        </is>
      </c>
      <c r="F2284" s="59" t="inlineStr">
        <is>
          <t>4 năm trước</t>
        </is>
      </c>
      <c r="G2284" s="61" t="n">
        <v>1460</v>
      </c>
      <c r="H2284" s="62" t="n">
        <v>0</v>
      </c>
      <c r="I2284" s="9" t="inlineStr">
        <is>
          <t>Pet Owner / Cộng đồng nuôi cún (10đ)</t>
        </is>
      </c>
      <c r="J2284" s="62" t="n">
        <v>10</v>
      </c>
      <c r="K2284" s="9" t="inlineStr">
        <is>
          <t>Chưa rõ giống (Cần quét Bio)</t>
        </is>
      </c>
      <c r="L2284" s="62" t="n">
        <v>0</v>
      </c>
      <c r="M2284" s="62" t="n">
        <v>0</v>
      </c>
      <c r="N2284" s="9" t="inlineStr">
        <is>
          <t>Amazon link not found</t>
        </is>
      </c>
      <c r="O2284" s="62">
        <f>IF(N2284="Selling pet toys + Artificial grass/Pet toilets (TARGET)",15,IF(N2284="Selling artificial grass/pet toilets (TARGET)",10,IF(N2284="Selling pet toys",7,IF(N2284="There's an Amazon link, but no target sales.",3,0))))</f>
        <v/>
      </c>
      <c r="P2284" s="67">
        <f>H2284+J2284+L2284+M2284+O2284</f>
        <v/>
      </c>
      <c r="Q2284" s="68">
        <f>IF(OR(H2284=0,P2284&lt;30),"Tier D (Đóng băng)",IF(P2284&gt;=85,"Tier S (Kim Cương: 85-100đ)",IF(P2284&gt;=70,"Tier A (Vàng: 70-84đ)",IF(P2284&gt;=61,"Tier B+ / Cấp A (Hot Lead: 61-69đ)",IF(P2284&gt;=50,"Tier B (Bạc: 50-60đ)","Tier C (Đồng: 30-49đ)")))))</f>
        <v/>
      </c>
      <c r="R2284" s="9" t="inlineStr">
        <is>
          <t>Khay vệ sinh chung cư (Indoor Potty) + Thảm cỏ ban công (Grass Patch) + Đồ chơi</t>
        </is>
      </c>
      <c r="S2284" s="9" t="inlineStr">
        <is>
          <t>Đóng băng tương tác (&gt;30 ngày): Lưu trữ chờ kích hoạt lại, không tốn tài nguyên Sales</t>
        </is>
      </c>
    </row>
    <row r="2285">
      <c r="A2285" s="53" t="n">
        <v>3454</v>
      </c>
      <c r="B2285" s="12" t="inlineStr">
        <is>
          <t>World Pet Travel</t>
        </is>
      </c>
      <c r="C2285" s="54" t="inlineStr">
        <is>
          <t>https://www.facebook.com/wordlpettravel</t>
        </is>
      </c>
      <c r="D2285" s="6" t="inlineStr">
        <is>
          <t>Cần quét Bio Fanpage</t>
        </is>
      </c>
      <c r="E2285" s="53" t="inlineStr">
        <is>
          <t>18/03/2022 01:25:03</t>
        </is>
      </c>
      <c r="F2285" s="53" t="inlineStr">
        <is>
          <t>4 năm trước</t>
        </is>
      </c>
      <c r="G2285" s="55" t="n">
        <v>1460</v>
      </c>
      <c r="H2285" s="56" t="n">
        <v>0</v>
      </c>
      <c r="I2285" s="6" t="inlineStr">
        <is>
          <t>Pet Owner / Cộng đồng nuôi cún (10đ)</t>
        </is>
      </c>
      <c r="J2285" s="56" t="n">
        <v>10</v>
      </c>
      <c r="K2285" s="6" t="inlineStr">
        <is>
          <t>Chưa rõ giống (Cần quét Bio)</t>
        </is>
      </c>
      <c r="L2285" s="56" t="n">
        <v>0</v>
      </c>
      <c r="M2285" s="56" t="n">
        <v>0</v>
      </c>
      <c r="N2285" s="6" t="inlineStr">
        <is>
          <t>Amazon link not found</t>
        </is>
      </c>
      <c r="O2285" s="56">
        <f>IF(N2285="Selling pet toys + Artificial grass/Pet toilets (TARGET)",15,IF(N2285="Selling artificial grass/pet toilets (TARGET)",10,IF(N2285="Selling pet toys",7,IF(N2285="There's an Amazon link, but no target sales.",3,0))))</f>
        <v/>
      </c>
      <c r="P2285" s="65">
        <f>H2285+J2285+L2285+M2285+O2285</f>
        <v/>
      </c>
      <c r="Q2285" s="68">
        <f>IF(OR(H2285=0,P2285&lt;30),"Tier D (Đóng băng)",IF(P2285&gt;=85,"Tier S (Kim Cương: 85-100đ)",IF(P2285&gt;=70,"Tier A (Vàng: 70-84đ)",IF(P2285&gt;=61,"Tier B+ / Cấp A (Hot Lead: 61-69đ)",IF(P2285&gt;=50,"Tier B (Bạc: 50-60đ)","Tier C (Đồng: 30-49đ)")))))</f>
        <v/>
      </c>
      <c r="R2285" s="6" t="inlineStr">
        <is>
          <t>Khay vệ sinh chung cư (Indoor Potty) + Thảm cỏ ban công (Grass Patch) + Đồ chơi</t>
        </is>
      </c>
      <c r="S2285" s="6" t="inlineStr">
        <is>
          <t>Đóng băng tương tác (&gt;30 ngày): Lưu trữ chờ kích hoạt lại, không tốn tài nguyên Sales</t>
        </is>
      </c>
    </row>
    <row r="2286">
      <c r="A2286" s="59" t="n">
        <v>1723</v>
      </c>
      <c r="B2286" s="15" t="inlineStr">
        <is>
          <t>Inger Petersson</t>
        </is>
      </c>
      <c r="C2286" s="60" t="inlineStr">
        <is>
          <t>https://www.facebook.com/profile.php?id=100006056658369</t>
        </is>
      </c>
      <c r="D2286" s="9" t="inlineStr">
        <is>
          <t>Cần quét Bio Fanpage</t>
        </is>
      </c>
      <c r="E2286" s="59" t="inlineStr">
        <is>
          <t>16/02/2022 17:16:43</t>
        </is>
      </c>
      <c r="F2286" s="59" t="inlineStr">
        <is>
          <t>4 năm trước</t>
        </is>
      </c>
      <c r="G2286" s="61" t="n">
        <v>1460</v>
      </c>
      <c r="H2286" s="62" t="n">
        <v>0</v>
      </c>
      <c r="I2286" s="9" t="inlineStr">
        <is>
          <t>Pet Owner / Cộng đồng nuôi cún (10đ)</t>
        </is>
      </c>
      <c r="J2286" s="62" t="n">
        <v>10</v>
      </c>
      <c r="K2286" s="9" t="inlineStr">
        <is>
          <t>Chưa rõ giống (Cần quét Bio)</t>
        </is>
      </c>
      <c r="L2286" s="62" t="n">
        <v>0</v>
      </c>
      <c r="M2286" s="62" t="n">
        <v>0</v>
      </c>
      <c r="N2286" s="9" t="inlineStr">
        <is>
          <t>Amazon link not found</t>
        </is>
      </c>
      <c r="O2286" s="62">
        <f>IF(N2286="Selling pet toys + Artificial grass/Pet toilets (TARGET)",15,IF(N2286="Selling artificial grass/pet toilets (TARGET)",10,IF(N2286="Selling pet toys",7,IF(N2286="There's an Amazon link, but no target sales.",3,0))))</f>
        <v/>
      </c>
      <c r="P2286" s="67">
        <f>H2286+J2286+L2286+M2286+O2286</f>
        <v/>
      </c>
      <c r="Q2286" s="68">
        <f>IF(OR(H2286=0,P2286&lt;30),"Tier D (Đóng băng)",IF(P2286&gt;=85,"Tier S (Kim Cương: 85-100đ)",IF(P2286&gt;=70,"Tier A (Vàng: 70-84đ)",IF(P2286&gt;=61,"Tier B+ / Cấp A (Hot Lead: 61-69đ)",IF(P2286&gt;=50,"Tier B (Bạc: 50-60đ)","Tier C (Đồng: 30-49đ)")))))</f>
        <v/>
      </c>
      <c r="R2286" s="9" t="inlineStr">
        <is>
          <t>Khay vệ sinh chung cư (Indoor Potty) + Thảm cỏ ban công (Grass Patch) + Đồ chơi</t>
        </is>
      </c>
      <c r="S2286" s="9" t="inlineStr">
        <is>
          <t>Đóng băng tương tác (&gt;30 ngày): Lưu trữ chờ kích hoạt lại, không tốn tài nguyên Sales</t>
        </is>
      </c>
    </row>
    <row r="2287">
      <c r="A2287" s="53" t="n">
        <v>2520</v>
      </c>
      <c r="B2287" s="12" t="inlineStr">
        <is>
          <t>PetLv</t>
        </is>
      </c>
      <c r="C2287" s="54" t="inlineStr">
        <is>
          <t>https://www.facebook.com/profile.php?id=100063624323712</t>
        </is>
      </c>
      <c r="D2287" s="6" t="inlineStr">
        <is>
          <t>Cần quét Bio Fanpage</t>
        </is>
      </c>
      <c r="E2287" s="53" t="inlineStr">
        <is>
          <t>09/02/2022 15:35:38</t>
        </is>
      </c>
      <c r="F2287" s="53" t="inlineStr">
        <is>
          <t>4 năm trước</t>
        </is>
      </c>
      <c r="G2287" s="55" t="n">
        <v>1460</v>
      </c>
      <c r="H2287" s="56" t="n">
        <v>0</v>
      </c>
      <c r="I2287" s="6" t="inlineStr">
        <is>
          <t>Pet Owner / Cộng đồng nuôi cún (10đ)</t>
        </is>
      </c>
      <c r="J2287" s="56" t="n">
        <v>10</v>
      </c>
      <c r="K2287" s="6" t="inlineStr">
        <is>
          <t>Chưa rõ giống (Cần quét Bio)</t>
        </is>
      </c>
      <c r="L2287" s="56" t="n">
        <v>0</v>
      </c>
      <c r="M2287" s="56" t="n">
        <v>0</v>
      </c>
      <c r="N2287" s="6" t="inlineStr">
        <is>
          <t>Amazon link not found</t>
        </is>
      </c>
      <c r="O2287" s="56">
        <f>IF(N2287="Selling pet toys + Artificial grass/Pet toilets (TARGET)",15,IF(N2287="Selling artificial grass/pet toilets (TARGET)",10,IF(N2287="Selling pet toys",7,IF(N2287="There's an Amazon link, but no target sales.",3,0))))</f>
        <v/>
      </c>
      <c r="P2287" s="65">
        <f>H2287+J2287+L2287+M2287+O2287</f>
        <v/>
      </c>
      <c r="Q2287" s="68">
        <f>IF(OR(H2287=0,P2287&lt;30),"Tier D (Đóng băng)",IF(P2287&gt;=85,"Tier S (Kim Cương: 85-100đ)",IF(P2287&gt;=70,"Tier A (Vàng: 70-84đ)",IF(P2287&gt;=61,"Tier B+ / Cấp A (Hot Lead: 61-69đ)",IF(P2287&gt;=50,"Tier B (Bạc: 50-60đ)","Tier C (Đồng: 30-49đ)")))))</f>
        <v/>
      </c>
      <c r="R2287" s="6" t="inlineStr">
        <is>
          <t>Khay vệ sinh chung cư (Indoor Potty) + Thảm cỏ ban công (Grass Patch) + Đồ chơi</t>
        </is>
      </c>
      <c r="S2287" s="6" t="inlineStr">
        <is>
          <t>Đóng băng tương tác (&gt;30 ngày): Lưu trữ chờ kích hoạt lại, không tốn tài nguyên Sales</t>
        </is>
      </c>
    </row>
    <row r="2288">
      <c r="A2288" s="59" t="n">
        <v>3017</v>
      </c>
      <c r="B2288" s="15" t="inlineStr">
        <is>
          <t>Suncoast Pets</t>
        </is>
      </c>
      <c r="C2288" s="60" t="inlineStr">
        <is>
          <t>https://www.facebook.com/suncoastpets</t>
        </is>
      </c>
      <c r="D2288" s="9" t="inlineStr">
        <is>
          <t>Cần quét Bio Fanpage</t>
        </is>
      </c>
      <c r="E2288" s="59" t="inlineStr">
        <is>
          <t>17/12/2021 02:02:34</t>
        </is>
      </c>
      <c r="F2288" s="59" t="inlineStr">
        <is>
          <t>4 năm trước</t>
        </is>
      </c>
      <c r="G2288" s="61" t="n">
        <v>1460</v>
      </c>
      <c r="H2288" s="62" t="n">
        <v>0</v>
      </c>
      <c r="I2288" s="9" t="inlineStr">
        <is>
          <t>Pet Owner / Cộng đồng nuôi cún (10đ)</t>
        </is>
      </c>
      <c r="J2288" s="62" t="n">
        <v>10</v>
      </c>
      <c r="K2288" s="9" t="inlineStr">
        <is>
          <t>Chưa rõ giống (Cần quét Bio)</t>
        </is>
      </c>
      <c r="L2288" s="62" t="n">
        <v>0</v>
      </c>
      <c r="M2288" s="62" t="n">
        <v>0</v>
      </c>
      <c r="N2288" s="9" t="inlineStr">
        <is>
          <t>Amazon link not found</t>
        </is>
      </c>
      <c r="O2288" s="62">
        <f>IF(N2288="Selling pet toys + Artificial grass/Pet toilets (TARGET)",15,IF(N2288="Selling artificial grass/pet toilets (TARGET)",10,IF(N2288="Selling pet toys",7,IF(N2288="There's an Amazon link, but no target sales.",3,0))))</f>
        <v/>
      </c>
      <c r="P2288" s="67">
        <f>H2288+J2288+L2288+M2288+O2288</f>
        <v/>
      </c>
      <c r="Q2288" s="68">
        <f>IF(OR(H2288=0,P2288&lt;30),"Tier D (Đóng băng)",IF(P2288&gt;=85,"Tier S (Kim Cương: 85-100đ)",IF(P2288&gt;=70,"Tier A (Vàng: 70-84đ)",IF(P2288&gt;=61,"Tier B+ / Cấp A (Hot Lead: 61-69đ)",IF(P2288&gt;=50,"Tier B (Bạc: 50-60đ)","Tier C (Đồng: 30-49đ)")))))</f>
        <v/>
      </c>
      <c r="R2288" s="9" t="inlineStr">
        <is>
          <t>Khay vệ sinh chung cư (Indoor Potty) + Thảm cỏ ban công (Grass Patch) + Đồ chơi</t>
        </is>
      </c>
      <c r="S2288" s="9" t="inlineStr">
        <is>
          <t>Đóng băng tương tác (&gt;30 ngày): Lưu trữ chờ kích hoạt lại, không tốn tài nguyên Sales</t>
        </is>
      </c>
    </row>
    <row r="2289">
      <c r="A2289" s="53" t="n">
        <v>940</v>
      </c>
      <c r="B2289" s="12" t="inlineStr">
        <is>
          <t>Coppertone Surf Dog, Macho and Dude</t>
        </is>
      </c>
      <c r="C2289" s="54" t="inlineStr">
        <is>
          <t>https://www.facebook.com/profile.php?id=100044141454012</t>
        </is>
      </c>
      <c r="D2289" s="6" t="inlineStr">
        <is>
          <t>Cần quét Bio Fanpage</t>
        </is>
      </c>
      <c r="E2289" s="53" t="inlineStr">
        <is>
          <t>09/12/2021 03:25:46</t>
        </is>
      </c>
      <c r="F2289" s="53" t="inlineStr">
        <is>
          <t>4 năm trước</t>
        </is>
      </c>
      <c r="G2289" s="55" t="n">
        <v>1460</v>
      </c>
      <c r="H2289" s="56" t="n">
        <v>0</v>
      </c>
      <c r="I2289" s="6" t="inlineStr">
        <is>
          <t>Pet Owner / Cộng đồng nuôi cún (10đ)</t>
        </is>
      </c>
      <c r="J2289" s="56" t="n">
        <v>10</v>
      </c>
      <c r="K2289" s="6" t="inlineStr">
        <is>
          <t>Chưa rõ giống (Cần quét Bio)</t>
        </is>
      </c>
      <c r="L2289" s="56" t="n">
        <v>0</v>
      </c>
      <c r="M2289" s="56" t="n">
        <v>0</v>
      </c>
      <c r="N2289" s="6" t="inlineStr">
        <is>
          <t>Amazon link not found</t>
        </is>
      </c>
      <c r="O2289" s="56">
        <f>IF(N2289="Selling pet toys + Artificial grass/Pet toilets (TARGET)",15,IF(N2289="Selling artificial grass/pet toilets (TARGET)",10,IF(N2289="Selling pet toys",7,IF(N2289="There's an Amazon link, but no target sales.",3,0))))</f>
        <v/>
      </c>
      <c r="P2289" s="65">
        <f>H2289+J2289+L2289+M2289+O2289</f>
        <v/>
      </c>
      <c r="Q2289" s="68">
        <f>IF(OR(H2289=0,P2289&lt;30),"Tier D (Đóng băng)",IF(P2289&gt;=85,"Tier S (Kim Cương: 85-100đ)",IF(P2289&gt;=70,"Tier A (Vàng: 70-84đ)",IF(P2289&gt;=61,"Tier B+ / Cấp A (Hot Lead: 61-69đ)",IF(P2289&gt;=50,"Tier B (Bạc: 50-60đ)","Tier C (Đồng: 30-49đ)")))))</f>
        <v/>
      </c>
      <c r="R2289" s="6" t="inlineStr">
        <is>
          <t>Khay vệ sinh chung cư (Indoor Potty) + Thảm cỏ ban công (Grass Patch) + Đồ chơi</t>
        </is>
      </c>
      <c r="S2289" s="6" t="inlineStr">
        <is>
          <t>Đóng băng tương tác (&gt;30 ngày): Lưu trữ chờ kích hoạt lại, không tốn tài nguyên Sales</t>
        </is>
      </c>
    </row>
    <row r="2290">
      <c r="A2290" s="59" t="n">
        <v>1532</v>
      </c>
      <c r="B2290" s="15" t="inlineStr">
        <is>
          <t>Good Dog</t>
        </is>
      </c>
      <c r="C2290" s="60" t="inlineStr">
        <is>
          <t>https://www.facebook.com/gooddog2018</t>
        </is>
      </c>
      <c r="D2290" s="9" t="inlineStr">
        <is>
          <t>Cần quét Bio Fanpage</t>
        </is>
      </c>
      <c r="E2290" s="59" t="inlineStr">
        <is>
          <t>15/11/2021 19:42:18</t>
        </is>
      </c>
      <c r="F2290" s="59" t="inlineStr">
        <is>
          <t>4 năm trước</t>
        </is>
      </c>
      <c r="G2290" s="61" t="n">
        <v>1460</v>
      </c>
      <c r="H2290" s="62" t="n">
        <v>0</v>
      </c>
      <c r="I2290" s="9" t="inlineStr">
        <is>
          <t>Pet Owner / Cộng đồng nuôi cún (10đ)</t>
        </is>
      </c>
      <c r="J2290" s="62" t="n">
        <v>10</v>
      </c>
      <c r="K2290" s="9" t="inlineStr">
        <is>
          <t>Chưa rõ giống (Cần quét Bio)</t>
        </is>
      </c>
      <c r="L2290" s="62" t="n">
        <v>0</v>
      </c>
      <c r="M2290" s="62" t="n">
        <v>0</v>
      </c>
      <c r="N2290" s="9" t="inlineStr">
        <is>
          <t>Amazon link not found</t>
        </is>
      </c>
      <c r="O2290" s="62">
        <f>IF(N2290="Selling pet toys + Artificial grass/Pet toilets (TARGET)",15,IF(N2290="Selling artificial grass/pet toilets (TARGET)",10,IF(N2290="Selling pet toys",7,IF(N2290="There's an Amazon link, but no target sales.",3,0))))</f>
        <v/>
      </c>
      <c r="P2290" s="67">
        <f>H2290+J2290+L2290+M2290+O2290</f>
        <v/>
      </c>
      <c r="Q2290" s="68">
        <f>IF(OR(H2290=0,P2290&lt;30),"Tier D (Đóng băng)",IF(P2290&gt;=85,"Tier S (Kim Cương: 85-100đ)",IF(P2290&gt;=70,"Tier A (Vàng: 70-84đ)",IF(P2290&gt;=61,"Tier B+ / Cấp A (Hot Lead: 61-69đ)",IF(P2290&gt;=50,"Tier B (Bạc: 50-60đ)","Tier C (Đồng: 30-49đ)")))))</f>
        <v/>
      </c>
      <c r="R2290" s="9" t="inlineStr">
        <is>
          <t>Khay vệ sinh chung cư (Indoor Potty) + Thảm cỏ ban công (Grass Patch) + Đồ chơi</t>
        </is>
      </c>
      <c r="S2290" s="9" t="inlineStr">
        <is>
          <t>Đóng băng tương tác (&gt;30 ngày): Lưu trữ chờ kích hoạt lại, không tốn tài nguyên Sales</t>
        </is>
      </c>
    </row>
    <row r="2291">
      <c r="A2291" s="53" t="n">
        <v>1184</v>
      </c>
      <c r="B2291" s="12" t="inlineStr">
        <is>
          <t>Dogs Zone</t>
        </is>
      </c>
      <c r="C2291" s="54" t="inlineStr">
        <is>
          <t>https://www.facebook.com/Dido14041983</t>
        </is>
      </c>
      <c r="D2291" s="6" t="inlineStr">
        <is>
          <t>Cần quét Bio Fanpage</t>
        </is>
      </c>
      <c r="E2291" s="53" t="inlineStr">
        <is>
          <t>06/11/2021 20:16:46</t>
        </is>
      </c>
      <c r="F2291" s="53" t="inlineStr">
        <is>
          <t>4 năm trước</t>
        </is>
      </c>
      <c r="G2291" s="55" t="n">
        <v>1460</v>
      </c>
      <c r="H2291" s="56" t="n">
        <v>0</v>
      </c>
      <c r="I2291" s="6" t="inlineStr">
        <is>
          <t>Pet Owner / Cộng đồng nuôi cún (10đ)</t>
        </is>
      </c>
      <c r="J2291" s="56" t="n">
        <v>10</v>
      </c>
      <c r="K2291" s="6" t="inlineStr">
        <is>
          <t>Chưa rõ giống (Cần quét Bio)</t>
        </is>
      </c>
      <c r="L2291" s="56" t="n">
        <v>0</v>
      </c>
      <c r="M2291" s="56" t="n">
        <v>0</v>
      </c>
      <c r="N2291" s="6" t="inlineStr">
        <is>
          <t>Amazon link not found</t>
        </is>
      </c>
      <c r="O2291" s="56">
        <f>IF(N2291="Selling pet toys + Artificial grass/Pet toilets (TARGET)",15,IF(N2291="Selling artificial grass/pet toilets (TARGET)",10,IF(N2291="Selling pet toys",7,IF(N2291="There's an Amazon link, but no target sales.",3,0))))</f>
        <v/>
      </c>
      <c r="P2291" s="65">
        <f>H2291+J2291+L2291+M2291+O2291</f>
        <v/>
      </c>
      <c r="Q2291" s="68">
        <f>IF(OR(H2291=0,P2291&lt;30),"Tier D (Đóng băng)",IF(P2291&gt;=85,"Tier S (Kim Cương: 85-100đ)",IF(P2291&gt;=70,"Tier A (Vàng: 70-84đ)",IF(P2291&gt;=61,"Tier B+ / Cấp A (Hot Lead: 61-69đ)",IF(P2291&gt;=50,"Tier B (Bạc: 50-60đ)","Tier C (Đồng: 30-49đ)")))))</f>
        <v/>
      </c>
      <c r="R2291" s="6" t="inlineStr">
        <is>
          <t>Khay vệ sinh chung cư (Indoor Potty) + Thảm cỏ ban công (Grass Patch) + Đồ chơi</t>
        </is>
      </c>
      <c r="S2291" s="6" t="inlineStr">
        <is>
          <t>Đóng băng tương tác (&gt;30 ngày): Lưu trữ chờ kích hoạt lại, không tốn tài nguyên Sales</t>
        </is>
      </c>
    </row>
    <row r="2292">
      <c r="A2292" s="59" t="n">
        <v>2389</v>
      </c>
      <c r="B2292" s="15" t="inlineStr">
        <is>
          <t>P4pets</t>
        </is>
      </c>
      <c r="C2292" s="60" t="inlineStr">
        <is>
          <t>https://www.facebook.com/PforPets</t>
        </is>
      </c>
      <c r="D2292" s="9" t="inlineStr">
        <is>
          <t>Cần quét Bio Fanpage</t>
        </is>
      </c>
      <c r="E2292" s="59" t="inlineStr">
        <is>
          <t>27/09/2021 02:26:13</t>
        </is>
      </c>
      <c r="F2292" s="59" t="inlineStr">
        <is>
          <t>5 năm trước</t>
        </is>
      </c>
      <c r="G2292" s="61" t="n">
        <v>1825</v>
      </c>
      <c r="H2292" s="62" t="n">
        <v>0</v>
      </c>
      <c r="I2292" s="9" t="inlineStr">
        <is>
          <t>Pet Owner / Cộng đồng nuôi cún (10đ)</t>
        </is>
      </c>
      <c r="J2292" s="62" t="n">
        <v>10</v>
      </c>
      <c r="K2292" s="9" t="inlineStr">
        <is>
          <t>Chưa rõ giống (Cần quét Bio)</t>
        </is>
      </c>
      <c r="L2292" s="62" t="n">
        <v>0</v>
      </c>
      <c r="M2292" s="62" t="n">
        <v>0</v>
      </c>
      <c r="N2292" s="9" t="inlineStr">
        <is>
          <t>Amazon link not found</t>
        </is>
      </c>
      <c r="O2292" s="62">
        <f>IF(N2292="Selling pet toys + Artificial grass/Pet toilets (TARGET)",15,IF(N2292="Selling artificial grass/pet toilets (TARGET)",10,IF(N2292="Selling pet toys",7,IF(N2292="There's an Amazon link, but no target sales.",3,0))))</f>
        <v/>
      </c>
      <c r="P2292" s="67">
        <f>H2292+J2292+L2292+M2292+O2292</f>
        <v/>
      </c>
      <c r="Q2292" s="68">
        <f>IF(OR(H2292=0,P2292&lt;30),"Tier D (Đóng băng)",IF(P2292&gt;=85,"Tier S (Kim Cương: 85-100đ)",IF(P2292&gt;=70,"Tier A (Vàng: 70-84đ)",IF(P2292&gt;=61,"Tier B+ / Cấp A (Hot Lead: 61-69đ)",IF(P2292&gt;=50,"Tier B (Bạc: 50-60đ)","Tier C (Đồng: 30-49đ)")))))</f>
        <v/>
      </c>
      <c r="R2292" s="9" t="inlineStr">
        <is>
          <t>Khay vệ sinh chung cư (Indoor Potty) + Thảm cỏ ban công (Grass Patch) + Đồ chơi</t>
        </is>
      </c>
      <c r="S2292" s="9" t="inlineStr">
        <is>
          <t>Đóng băng tương tác (&gt;30 ngày): Lưu trữ chờ kích hoạt lại, không tốn tài nguyên Sales</t>
        </is>
      </c>
    </row>
    <row r="2293">
      <c r="A2293" s="53" t="n">
        <v>585</v>
      </c>
      <c r="B2293" s="12" t="inlineStr">
        <is>
          <t>bangkok_bullies_house</t>
        </is>
      </c>
      <c r="C2293" s="54" t="inlineStr">
        <is>
          <t>https://www.facebook.com/bangkokbullieshouse</t>
        </is>
      </c>
      <c r="D2293" s="6" t="inlineStr">
        <is>
          <t>Cần quét Bio Fanpage</t>
        </is>
      </c>
      <c r="E2293" s="53" t="inlineStr">
        <is>
          <t>19/08/2021 20:37:21</t>
        </is>
      </c>
      <c r="F2293" s="53" t="inlineStr">
        <is>
          <t>5 năm trước</t>
        </is>
      </c>
      <c r="G2293" s="55" t="n">
        <v>1825</v>
      </c>
      <c r="H2293" s="56" t="n">
        <v>0</v>
      </c>
      <c r="I2293" s="6" t="inlineStr">
        <is>
          <t>Pet Owner / Cộng đồng nuôi cún (10đ)</t>
        </is>
      </c>
      <c r="J2293" s="56" t="n">
        <v>10</v>
      </c>
      <c r="K2293" s="6" t="inlineStr">
        <is>
          <t>Chưa rõ giống (Cần quét Bio)</t>
        </is>
      </c>
      <c r="L2293" s="56" t="n">
        <v>0</v>
      </c>
      <c r="M2293" s="56" t="n">
        <v>0</v>
      </c>
      <c r="N2293" s="6" t="inlineStr">
        <is>
          <t>Amazon link not found</t>
        </is>
      </c>
      <c r="O2293" s="56">
        <f>IF(N2293="Selling pet toys + Artificial grass/Pet toilets (TARGET)",15,IF(N2293="Selling artificial grass/pet toilets (TARGET)",10,IF(N2293="Selling pet toys",7,IF(N2293="There's an Amazon link, but no target sales.",3,0))))</f>
        <v/>
      </c>
      <c r="P2293" s="65">
        <f>H2293+J2293+L2293+M2293+O2293</f>
        <v/>
      </c>
      <c r="Q2293" s="68">
        <f>IF(OR(H2293=0,P2293&lt;30),"Tier D (Đóng băng)",IF(P2293&gt;=85,"Tier S (Kim Cương: 85-100đ)",IF(P2293&gt;=70,"Tier A (Vàng: 70-84đ)",IF(P2293&gt;=61,"Tier B+ / Cấp A (Hot Lead: 61-69đ)",IF(P2293&gt;=50,"Tier B (Bạc: 50-60đ)","Tier C (Đồng: 30-49đ)")))))</f>
        <v/>
      </c>
      <c r="R2293" s="6" t="inlineStr">
        <is>
          <t>Khay vệ sinh chung cư (Indoor Potty) + Thảm cỏ ban công (Grass Patch) + Đồ chơi</t>
        </is>
      </c>
      <c r="S2293" s="6" t="inlineStr">
        <is>
          <t>Đóng băng tương tác (&gt;30 ngày): Lưu trữ chờ kích hoạt lại, không tốn tài nguyên Sales</t>
        </is>
      </c>
    </row>
    <row r="2294">
      <c r="A2294" s="59" t="n">
        <v>1107</v>
      </c>
      <c r="B2294" s="15" t="inlineStr">
        <is>
          <t>Dog Walkers</t>
        </is>
      </c>
      <c r="C2294" s="60" t="inlineStr">
        <is>
          <t>https://www.facebook.com/DogWalking</t>
        </is>
      </c>
      <c r="D2294" s="9" t="inlineStr">
        <is>
          <t>Cần quét Bio Fanpage</t>
        </is>
      </c>
      <c r="E2294" s="59" t="inlineStr">
        <is>
          <t>28/07/2021 07:53:53</t>
        </is>
      </c>
      <c r="F2294" s="59" t="inlineStr">
        <is>
          <t>5 năm trước</t>
        </is>
      </c>
      <c r="G2294" s="61" t="n">
        <v>1825</v>
      </c>
      <c r="H2294" s="62" t="n">
        <v>0</v>
      </c>
      <c r="I2294" s="9" t="inlineStr">
        <is>
          <t>Pet Owner / Cộng đồng nuôi cún (10đ)</t>
        </is>
      </c>
      <c r="J2294" s="62" t="n">
        <v>10</v>
      </c>
      <c r="K2294" s="9" t="inlineStr">
        <is>
          <t>Chưa rõ giống (Cần quét Bio)</t>
        </is>
      </c>
      <c r="L2294" s="62" t="n">
        <v>0</v>
      </c>
      <c r="M2294" s="62" t="n">
        <v>0</v>
      </c>
      <c r="N2294" s="9" t="inlineStr">
        <is>
          <t>Amazon link not found</t>
        </is>
      </c>
      <c r="O2294" s="62">
        <f>IF(N2294="Selling pet toys + Artificial grass/Pet toilets (TARGET)",15,IF(N2294="Selling artificial grass/pet toilets (TARGET)",10,IF(N2294="Selling pet toys",7,IF(N2294="There's an Amazon link, but no target sales.",3,0))))</f>
        <v/>
      </c>
      <c r="P2294" s="67">
        <f>H2294+J2294+L2294+M2294+O2294</f>
        <v/>
      </c>
      <c r="Q2294" s="68">
        <f>IF(OR(H2294=0,P2294&lt;30),"Tier D (Đóng băng)",IF(P2294&gt;=85,"Tier S (Kim Cương: 85-100đ)",IF(P2294&gt;=70,"Tier A (Vàng: 70-84đ)",IF(P2294&gt;=61,"Tier B+ / Cấp A (Hot Lead: 61-69đ)",IF(P2294&gt;=50,"Tier B (Bạc: 50-60đ)","Tier C (Đồng: 30-49đ)")))))</f>
        <v/>
      </c>
      <c r="R2294" s="9" t="inlineStr">
        <is>
          <t>Khay vệ sinh chung cư (Indoor Potty) + Thảm cỏ ban công (Grass Patch) + Đồ chơi</t>
        </is>
      </c>
      <c r="S2294" s="9" t="inlineStr">
        <is>
          <t>Đóng băng tương tác (&gt;30 ngày): Lưu trữ chờ kích hoạt lại, không tốn tài nguyên Sales</t>
        </is>
      </c>
    </row>
    <row r="2295">
      <c r="A2295" s="53" t="n">
        <v>2442</v>
      </c>
      <c r="B2295" s="12" t="inlineStr">
        <is>
          <t>Pet Bakery Cluj Napoca</t>
        </is>
      </c>
      <c r="C2295" s="54" t="inlineStr">
        <is>
          <t>https://www.facebook.com/profile.php?id=100042755930128</t>
        </is>
      </c>
      <c r="D2295" s="6" t="inlineStr">
        <is>
          <t>Cần quét Bio Fanpage</t>
        </is>
      </c>
      <c r="E2295" s="53" t="inlineStr">
        <is>
          <t>27/06/2021 19:09:50</t>
        </is>
      </c>
      <c r="F2295" s="53" t="inlineStr">
        <is>
          <t>5 năm trước</t>
        </is>
      </c>
      <c r="G2295" s="55" t="n">
        <v>1825</v>
      </c>
      <c r="H2295" s="56" t="n">
        <v>0</v>
      </c>
      <c r="I2295" s="6" t="inlineStr">
        <is>
          <t>Pet Owner / Cộng đồng nuôi cún (10đ)</t>
        </is>
      </c>
      <c r="J2295" s="56" t="n">
        <v>10</v>
      </c>
      <c r="K2295" s="6" t="inlineStr">
        <is>
          <t>Chưa rõ giống (Cần quét Bio)</t>
        </is>
      </c>
      <c r="L2295" s="56" t="n">
        <v>0</v>
      </c>
      <c r="M2295" s="56" t="n">
        <v>0</v>
      </c>
      <c r="N2295" s="6" t="inlineStr">
        <is>
          <t>Amazon link not found</t>
        </is>
      </c>
      <c r="O2295" s="56">
        <f>IF(N2295="Selling pet toys + Artificial grass/Pet toilets (TARGET)",15,IF(N2295="Selling artificial grass/pet toilets (TARGET)",10,IF(N2295="Selling pet toys",7,IF(N2295="There's an Amazon link, but no target sales.",3,0))))</f>
        <v/>
      </c>
      <c r="P2295" s="65">
        <f>H2295+J2295+L2295+M2295+O2295</f>
        <v/>
      </c>
      <c r="Q2295" s="68">
        <f>IF(OR(H2295=0,P2295&lt;30),"Tier D (Đóng băng)",IF(P2295&gt;=85,"Tier S (Kim Cương: 85-100đ)",IF(P2295&gt;=70,"Tier A (Vàng: 70-84đ)",IF(P2295&gt;=61,"Tier B+ / Cấp A (Hot Lead: 61-69đ)",IF(P2295&gt;=50,"Tier B (Bạc: 50-60đ)","Tier C (Đồng: 30-49đ)")))))</f>
        <v/>
      </c>
      <c r="R2295" s="6" t="inlineStr">
        <is>
          <t>Khay vệ sinh chung cư (Indoor Potty) + Thảm cỏ ban công (Grass Patch) + Đồ chơi</t>
        </is>
      </c>
      <c r="S2295" s="6" t="inlineStr">
        <is>
          <t>Đóng băng tương tác (&gt;30 ngày): Lưu trữ chờ kích hoạt lại, không tốn tài nguyên Sales</t>
        </is>
      </c>
    </row>
    <row r="2296">
      <c r="A2296" s="59" t="n">
        <v>2404</v>
      </c>
      <c r="B2296" s="15" t="inlineStr">
        <is>
          <t>Patrick Ray Pugliese</t>
        </is>
      </c>
      <c r="C2296" s="60" t="inlineStr">
        <is>
          <t>https://www.facebook.com/patrickray.pugliese.1</t>
        </is>
      </c>
      <c r="D2296" s="9" t="inlineStr">
        <is>
          <t>Cần quét Bio Fanpage</t>
        </is>
      </c>
      <c r="E2296" s="59" t="inlineStr">
        <is>
          <t>25/06/2021 14:27:42</t>
        </is>
      </c>
      <c r="F2296" s="59" t="inlineStr">
        <is>
          <t>5 năm trước</t>
        </is>
      </c>
      <c r="G2296" s="61" t="n">
        <v>1825</v>
      </c>
      <c r="H2296" s="62" t="n">
        <v>0</v>
      </c>
      <c r="I2296" s="9" t="inlineStr">
        <is>
          <t>Pet Owner / Cộng đồng nuôi cún (10đ)</t>
        </is>
      </c>
      <c r="J2296" s="62" t="n">
        <v>10</v>
      </c>
      <c r="K2296" s="9" t="inlineStr">
        <is>
          <t>Chưa rõ giống (Cần quét Bio)</t>
        </is>
      </c>
      <c r="L2296" s="62" t="n">
        <v>0</v>
      </c>
      <c r="M2296" s="62" t="n">
        <v>0</v>
      </c>
      <c r="N2296" s="9" t="inlineStr">
        <is>
          <t>Amazon link not found</t>
        </is>
      </c>
      <c r="O2296" s="62">
        <f>IF(N2296="Selling pet toys + Artificial grass/Pet toilets (TARGET)",15,IF(N2296="Selling artificial grass/pet toilets (TARGET)",10,IF(N2296="Selling pet toys",7,IF(N2296="There's an Amazon link, but no target sales.",3,0))))</f>
        <v/>
      </c>
      <c r="P2296" s="67">
        <f>H2296+J2296+L2296+M2296+O2296</f>
        <v/>
      </c>
      <c r="Q2296" s="68">
        <f>IF(OR(H2296=0,P2296&lt;30),"Tier D (Đóng băng)",IF(P2296&gt;=85,"Tier S (Kim Cương: 85-100đ)",IF(P2296&gt;=70,"Tier A (Vàng: 70-84đ)",IF(P2296&gt;=61,"Tier B+ / Cấp A (Hot Lead: 61-69đ)",IF(P2296&gt;=50,"Tier B (Bạc: 50-60đ)","Tier C (Đồng: 30-49đ)")))))</f>
        <v/>
      </c>
      <c r="R2296" s="9" t="inlineStr">
        <is>
          <t>Khay vệ sinh chung cư (Indoor Potty) + Thảm cỏ ban công (Grass Patch) + Đồ chơi</t>
        </is>
      </c>
      <c r="S2296" s="9" t="inlineStr">
        <is>
          <t>Đóng băng tương tác (&gt;30 ngày): Lưu trữ chờ kích hoạt lại, không tốn tài nguyên Sales</t>
        </is>
      </c>
    </row>
    <row r="2297">
      <c r="A2297" s="53" t="n">
        <v>2531</v>
      </c>
      <c r="B2297" s="12" t="inlineStr">
        <is>
          <t>Petra Saf Photography</t>
        </is>
      </c>
      <c r="C2297" s="54" t="inlineStr">
        <is>
          <t>https://www.facebook.com/wuffclickpic</t>
        </is>
      </c>
      <c r="D2297" s="6" t="inlineStr">
        <is>
          <t>Cần quét Bio Fanpage</t>
        </is>
      </c>
      <c r="E2297" s="53" t="inlineStr">
        <is>
          <t>01/06/2021 03:40:31</t>
        </is>
      </c>
      <c r="F2297" s="53" t="inlineStr">
        <is>
          <t>5 năm trước</t>
        </is>
      </c>
      <c r="G2297" s="55" t="n">
        <v>1825</v>
      </c>
      <c r="H2297" s="56" t="n">
        <v>0</v>
      </c>
      <c r="I2297" s="6" t="inlineStr">
        <is>
          <t>Pet Owner / Cộng đồng nuôi cún (10đ)</t>
        </is>
      </c>
      <c r="J2297" s="56" t="n">
        <v>10</v>
      </c>
      <c r="K2297" s="6" t="inlineStr">
        <is>
          <t>Chưa rõ giống (Cần quét Bio)</t>
        </is>
      </c>
      <c r="L2297" s="56" t="n">
        <v>0</v>
      </c>
      <c r="M2297" s="56" t="n">
        <v>0</v>
      </c>
      <c r="N2297" s="6" t="inlineStr">
        <is>
          <t>Amazon link not found</t>
        </is>
      </c>
      <c r="O2297" s="56">
        <f>IF(N2297="Selling pet toys + Artificial grass/Pet toilets (TARGET)",15,IF(N2297="Selling artificial grass/pet toilets (TARGET)",10,IF(N2297="Selling pet toys",7,IF(N2297="There's an Amazon link, but no target sales.",3,0))))</f>
        <v/>
      </c>
      <c r="P2297" s="65">
        <f>H2297+J2297+L2297+M2297+O2297</f>
        <v/>
      </c>
      <c r="Q2297" s="68">
        <f>IF(OR(H2297=0,P2297&lt;30),"Tier D (Đóng băng)",IF(P2297&gt;=85,"Tier S (Kim Cương: 85-100đ)",IF(P2297&gt;=70,"Tier A (Vàng: 70-84đ)",IF(P2297&gt;=61,"Tier B+ / Cấp A (Hot Lead: 61-69đ)",IF(P2297&gt;=50,"Tier B (Bạc: 50-60đ)","Tier C (Đồng: 30-49đ)")))))</f>
        <v/>
      </c>
      <c r="R2297" s="6" t="inlineStr">
        <is>
          <t>Khay vệ sinh chung cư (Indoor Potty) + Thảm cỏ ban công (Grass Patch) + Đồ chơi</t>
        </is>
      </c>
      <c r="S2297" s="6" t="inlineStr">
        <is>
          <t>Đóng băng tương tác (&gt;30 ngày): Lưu trữ chờ kích hoạt lại, không tốn tài nguyên Sales</t>
        </is>
      </c>
    </row>
    <row r="2298">
      <c r="A2298" s="59" t="n">
        <v>1720</v>
      </c>
      <c r="B2298" s="15" t="inlineStr">
        <is>
          <t>Imperium Dogue De Bordeaux</t>
        </is>
      </c>
      <c r="C2298" s="60" t="inlineStr">
        <is>
          <t>https://www.facebook.com/profile.php?id=100063627933830</t>
        </is>
      </c>
      <c r="D2298" s="9" t="inlineStr">
        <is>
          <t>Cần quét Bio Fanpage</t>
        </is>
      </c>
      <c r="E2298" s="59" t="inlineStr">
        <is>
          <t>04/05/2021 16:51:35</t>
        </is>
      </c>
      <c r="F2298" s="59" t="inlineStr">
        <is>
          <t>5 năm trước</t>
        </is>
      </c>
      <c r="G2298" s="61" t="n">
        <v>1825</v>
      </c>
      <c r="H2298" s="62" t="n">
        <v>0</v>
      </c>
      <c r="I2298" s="9" t="inlineStr">
        <is>
          <t>Pet Owner / Cộng đồng nuôi cún (10đ)</t>
        </is>
      </c>
      <c r="J2298" s="62" t="n">
        <v>10</v>
      </c>
      <c r="K2298" s="9" t="inlineStr">
        <is>
          <t>Chưa rõ giống (Cần quét Bio)</t>
        </is>
      </c>
      <c r="L2298" s="62" t="n">
        <v>0</v>
      </c>
      <c r="M2298" s="62" t="n">
        <v>0</v>
      </c>
      <c r="N2298" s="9" t="inlineStr">
        <is>
          <t>Amazon link not found</t>
        </is>
      </c>
      <c r="O2298" s="62">
        <f>IF(N2298="Selling pet toys + Artificial grass/Pet toilets (TARGET)",15,IF(N2298="Selling artificial grass/pet toilets (TARGET)",10,IF(N2298="Selling pet toys",7,IF(N2298="There's an Amazon link, but no target sales.",3,0))))</f>
        <v/>
      </c>
      <c r="P2298" s="67">
        <f>H2298+J2298+L2298+M2298+O2298</f>
        <v/>
      </c>
      <c r="Q2298" s="68">
        <f>IF(OR(H2298=0,P2298&lt;30),"Tier D (Đóng băng)",IF(P2298&gt;=85,"Tier S (Kim Cương: 85-100đ)",IF(P2298&gt;=70,"Tier A (Vàng: 70-84đ)",IF(P2298&gt;=61,"Tier B+ / Cấp A (Hot Lead: 61-69đ)",IF(P2298&gt;=50,"Tier B (Bạc: 50-60đ)","Tier C (Đồng: 30-49đ)")))))</f>
        <v/>
      </c>
      <c r="R2298" s="9" t="inlineStr">
        <is>
          <t>Khay vệ sinh chung cư (Indoor Potty) + Thảm cỏ ban công (Grass Patch) + Đồ chơi</t>
        </is>
      </c>
      <c r="S2298" s="9" t="inlineStr">
        <is>
          <t>Đóng băng tương tác (&gt;30 ngày): Lưu trữ chờ kích hoạt lại, không tốn tài nguyên Sales</t>
        </is>
      </c>
    </row>
    <row r="2299">
      <c r="A2299" s="53" t="n">
        <v>1038</v>
      </c>
      <c r="B2299" s="12" t="inlineStr">
        <is>
          <t>DIG it Dog Designs</t>
        </is>
      </c>
      <c r="C2299" s="54" t="inlineStr">
        <is>
          <t>https://www.facebook.com/DIGitDogDesigns</t>
        </is>
      </c>
      <c r="D2299" s="6" t="inlineStr">
        <is>
          <t>Cần quét Bio Fanpage</t>
        </is>
      </c>
      <c r="E2299" s="53" t="inlineStr">
        <is>
          <t>15/04/2021 17:07:00</t>
        </is>
      </c>
      <c r="F2299" s="53" t="inlineStr">
        <is>
          <t>5 năm trước</t>
        </is>
      </c>
      <c r="G2299" s="55" t="n">
        <v>1825</v>
      </c>
      <c r="H2299" s="56" t="n">
        <v>0</v>
      </c>
      <c r="I2299" s="6" t="inlineStr">
        <is>
          <t>Pet Owner / Cộng đồng nuôi cún (10đ)</t>
        </is>
      </c>
      <c r="J2299" s="56" t="n">
        <v>10</v>
      </c>
      <c r="K2299" s="6" t="inlineStr">
        <is>
          <t>Chưa rõ giống (Cần quét Bio)</t>
        </is>
      </c>
      <c r="L2299" s="56" t="n">
        <v>0</v>
      </c>
      <c r="M2299" s="56" t="n">
        <v>0</v>
      </c>
      <c r="N2299" s="6" t="inlineStr">
        <is>
          <t>Amazon link not found</t>
        </is>
      </c>
      <c r="O2299" s="56">
        <f>IF(N2299="Selling pet toys + Artificial grass/Pet toilets (TARGET)",15,IF(N2299="Selling artificial grass/pet toilets (TARGET)",10,IF(N2299="Selling pet toys",7,IF(N2299="There's an Amazon link, but no target sales.",3,0))))</f>
        <v/>
      </c>
      <c r="P2299" s="65">
        <f>H2299+J2299+L2299+M2299+O2299</f>
        <v/>
      </c>
      <c r="Q2299" s="68">
        <f>IF(OR(H2299=0,P2299&lt;30),"Tier D (Đóng băng)",IF(P2299&gt;=85,"Tier S (Kim Cương: 85-100đ)",IF(P2299&gt;=70,"Tier A (Vàng: 70-84đ)",IF(P2299&gt;=61,"Tier B+ / Cấp A (Hot Lead: 61-69đ)",IF(P2299&gt;=50,"Tier B (Bạc: 50-60đ)","Tier C (Đồng: 30-49đ)")))))</f>
        <v/>
      </c>
      <c r="R2299" s="6" t="inlineStr">
        <is>
          <t>Khay vệ sinh chung cư (Indoor Potty) + Thảm cỏ ban công (Grass Patch) + Đồ chơi</t>
        </is>
      </c>
      <c r="S2299" s="6" t="inlineStr">
        <is>
          <t>Đóng băng tương tác (&gt;30 ngày): Lưu trữ chờ kích hoạt lại, không tốn tài nguyên Sales</t>
        </is>
      </c>
    </row>
    <row r="2300">
      <c r="A2300" s="59" t="n">
        <v>710</v>
      </c>
      <c r="B2300" s="15" t="inlineStr">
        <is>
          <t>BlueDog Northwest</t>
        </is>
      </c>
      <c r="C2300" s="60" t="inlineStr">
        <is>
          <t>https://www.facebook.com/BlueDogNW</t>
        </is>
      </c>
      <c r="D2300" s="9" t="inlineStr">
        <is>
          <t>Cần quét Bio Fanpage</t>
        </is>
      </c>
      <c r="E2300" s="59" t="inlineStr">
        <is>
          <t>09/04/2021 05:34:24</t>
        </is>
      </c>
      <c r="F2300" s="59" t="inlineStr">
        <is>
          <t>5 năm trước</t>
        </is>
      </c>
      <c r="G2300" s="61" t="n">
        <v>1825</v>
      </c>
      <c r="H2300" s="62" t="n">
        <v>0</v>
      </c>
      <c r="I2300" s="9" t="inlineStr">
        <is>
          <t>Pet Owner / Cộng đồng nuôi cún (10đ)</t>
        </is>
      </c>
      <c r="J2300" s="62" t="n">
        <v>10</v>
      </c>
      <c r="K2300" s="9" t="inlineStr">
        <is>
          <t>Chưa rõ giống (Cần quét Bio)</t>
        </is>
      </c>
      <c r="L2300" s="62" t="n">
        <v>0</v>
      </c>
      <c r="M2300" s="62" t="n">
        <v>0</v>
      </c>
      <c r="N2300" s="9" t="inlineStr">
        <is>
          <t>Amazon link not found</t>
        </is>
      </c>
      <c r="O2300" s="62">
        <f>IF(N2300="Selling pet toys + Artificial grass/Pet toilets (TARGET)",15,IF(N2300="Selling artificial grass/pet toilets (TARGET)",10,IF(N2300="Selling pet toys",7,IF(N2300="There's an Amazon link, but no target sales.",3,0))))</f>
        <v/>
      </c>
      <c r="P2300" s="67">
        <f>H2300+J2300+L2300+M2300+O2300</f>
        <v/>
      </c>
      <c r="Q2300" s="68">
        <f>IF(OR(H2300=0,P2300&lt;30),"Tier D (Đóng băng)",IF(P2300&gt;=85,"Tier S (Kim Cương: 85-100đ)",IF(P2300&gt;=70,"Tier A (Vàng: 70-84đ)",IF(P2300&gt;=61,"Tier B+ / Cấp A (Hot Lead: 61-69đ)",IF(P2300&gt;=50,"Tier B (Bạc: 50-60đ)","Tier C (Đồng: 30-49đ)")))))</f>
        <v/>
      </c>
      <c r="R2300" s="9" t="inlineStr">
        <is>
          <t>Khay vệ sinh chung cư (Indoor Potty) + Thảm cỏ ban công (Grass Patch) + Đồ chơi</t>
        </is>
      </c>
      <c r="S2300" s="9" t="inlineStr">
        <is>
          <t>Đóng băng tương tác (&gt;30 ngày): Lưu trữ chờ kích hoạt lại, không tốn tài nguyên Sales</t>
        </is>
      </c>
    </row>
    <row r="2301">
      <c r="A2301" s="53" t="n">
        <v>2067</v>
      </c>
      <c r="B2301" s="12" t="inlineStr">
        <is>
          <t>LR'Assurpets</t>
        </is>
      </c>
      <c r="C2301" s="54" t="inlineStr">
        <is>
          <t>https://www.facebook.com/lrassurpets</t>
        </is>
      </c>
      <c r="D2301" s="6" t="inlineStr">
        <is>
          <t>Cần quét Bio Fanpage</t>
        </is>
      </c>
      <c r="E2301" s="53" t="inlineStr">
        <is>
          <t>14/01/2021 15:51:23</t>
        </is>
      </c>
      <c r="F2301" s="53" t="inlineStr">
        <is>
          <t>5 năm trước</t>
        </is>
      </c>
      <c r="G2301" s="55" t="n">
        <v>1825</v>
      </c>
      <c r="H2301" s="56" t="n">
        <v>0</v>
      </c>
      <c r="I2301" s="6" t="inlineStr">
        <is>
          <t>Pet Owner / Cộng đồng nuôi cún (10đ)</t>
        </is>
      </c>
      <c r="J2301" s="56" t="n">
        <v>10</v>
      </c>
      <c r="K2301" s="6" t="inlineStr">
        <is>
          <t>Chưa rõ giống (Cần quét Bio)</t>
        </is>
      </c>
      <c r="L2301" s="56" t="n">
        <v>0</v>
      </c>
      <c r="M2301" s="56" t="n">
        <v>0</v>
      </c>
      <c r="N2301" s="6" t="inlineStr">
        <is>
          <t>Amazon link not found</t>
        </is>
      </c>
      <c r="O2301" s="56">
        <f>IF(N2301="Selling pet toys + Artificial grass/Pet toilets (TARGET)",15,IF(N2301="Selling artificial grass/pet toilets (TARGET)",10,IF(N2301="Selling pet toys",7,IF(N2301="There's an Amazon link, but no target sales.",3,0))))</f>
        <v/>
      </c>
      <c r="P2301" s="65">
        <f>H2301+J2301+L2301+M2301+O2301</f>
        <v/>
      </c>
      <c r="Q2301" s="68">
        <f>IF(OR(H2301=0,P2301&lt;30),"Tier D (Đóng băng)",IF(P2301&gt;=85,"Tier S (Kim Cương: 85-100đ)",IF(P2301&gt;=70,"Tier A (Vàng: 70-84đ)",IF(P2301&gt;=61,"Tier B+ / Cấp A (Hot Lead: 61-69đ)",IF(P2301&gt;=50,"Tier B (Bạc: 50-60đ)","Tier C (Đồng: 30-49đ)")))))</f>
        <v/>
      </c>
      <c r="R2301" s="6" t="inlineStr">
        <is>
          <t>Khay vệ sinh chung cư (Indoor Potty) + Thảm cỏ ban công (Grass Patch) + Đồ chơi</t>
        </is>
      </c>
      <c r="S2301" s="6" t="inlineStr">
        <is>
          <t>Đóng băng tương tác (&gt;30 ngày): Lưu trữ chờ kích hoạt lại, không tốn tài nguyên Sales</t>
        </is>
      </c>
    </row>
    <row r="2302">
      <c r="A2302" s="59" t="n">
        <v>859</v>
      </c>
      <c r="B2302" s="15" t="inlineStr">
        <is>
          <t>CATS and dogs health</t>
        </is>
      </c>
      <c r="C2302" s="60" t="inlineStr">
        <is>
          <t>https://www.facebook.com/profile.php?id=100068656218010</t>
        </is>
      </c>
      <c r="D2302" s="9" t="inlineStr">
        <is>
          <t>Cần quét Bio Fanpage</t>
        </is>
      </c>
      <c r="E2302" s="59" t="inlineStr">
        <is>
          <t>12/10/2020 00:08:49</t>
        </is>
      </c>
      <c r="F2302" s="59" t="inlineStr">
        <is>
          <t>6 năm trước</t>
        </is>
      </c>
      <c r="G2302" s="61" t="n">
        <v>2190</v>
      </c>
      <c r="H2302" s="62" t="n">
        <v>0</v>
      </c>
      <c r="I2302" s="9" t="inlineStr">
        <is>
          <t>Pet Owner / Cộng đồng nuôi cún (10đ)</t>
        </is>
      </c>
      <c r="J2302" s="62" t="n">
        <v>10</v>
      </c>
      <c r="K2302" s="9" t="inlineStr">
        <is>
          <t>Chưa rõ giống (Cần quét Bio)</t>
        </is>
      </c>
      <c r="L2302" s="62" t="n">
        <v>0</v>
      </c>
      <c r="M2302" s="62" t="n">
        <v>0</v>
      </c>
      <c r="N2302" s="9" t="inlineStr">
        <is>
          <t>Amazon link not found</t>
        </is>
      </c>
      <c r="O2302" s="62">
        <f>IF(N2302="Selling pet toys + Artificial grass/Pet toilets (TARGET)",15,IF(N2302="Selling artificial grass/pet toilets (TARGET)",10,IF(N2302="Selling pet toys",7,IF(N2302="There's an Amazon link, but no target sales.",3,0))))</f>
        <v/>
      </c>
      <c r="P2302" s="67">
        <f>H2302+J2302+L2302+M2302+O2302</f>
        <v/>
      </c>
      <c r="Q2302" s="68">
        <f>IF(OR(H2302=0,P2302&lt;30),"Tier D (Đóng băng)",IF(P2302&gt;=85,"Tier S (Kim Cương: 85-100đ)",IF(P2302&gt;=70,"Tier A (Vàng: 70-84đ)",IF(P2302&gt;=61,"Tier B+ / Cấp A (Hot Lead: 61-69đ)",IF(P2302&gt;=50,"Tier B (Bạc: 50-60đ)","Tier C (Đồng: 30-49đ)")))))</f>
        <v/>
      </c>
      <c r="R2302" s="9" t="inlineStr">
        <is>
          <t>Khay vệ sinh chung cư (Indoor Potty) + Thảm cỏ ban công (Grass Patch) + Đồ chơi</t>
        </is>
      </c>
      <c r="S2302" s="9" t="inlineStr">
        <is>
          <t>Đóng băng tương tác (&gt;30 ngày): Lưu trữ chờ kích hoạt lại, không tốn tài nguyên Sales</t>
        </is>
      </c>
    </row>
    <row r="2303">
      <c r="A2303" s="53" t="n">
        <v>1174</v>
      </c>
      <c r="B2303" s="12" t="inlineStr">
        <is>
          <t>Dogs make me happy</t>
        </is>
      </c>
      <c r="C2303" s="54" t="inlineStr">
        <is>
          <t>https://www.facebook.com/DogsMakeMeHappy7</t>
        </is>
      </c>
      <c r="D2303" s="6" t="inlineStr">
        <is>
          <t>Cần quét Bio Fanpage</t>
        </is>
      </c>
      <c r="E2303" s="53" t="inlineStr">
        <is>
          <t>18/08/2020 22:46:34</t>
        </is>
      </c>
      <c r="F2303" s="53" t="inlineStr">
        <is>
          <t>6 năm trước</t>
        </is>
      </c>
      <c r="G2303" s="55" t="n">
        <v>2190</v>
      </c>
      <c r="H2303" s="56" t="n">
        <v>0</v>
      </c>
      <c r="I2303" s="6" t="inlineStr">
        <is>
          <t>Pet Owner / Cộng đồng nuôi cún (10đ)</t>
        </is>
      </c>
      <c r="J2303" s="56" t="n">
        <v>10</v>
      </c>
      <c r="K2303" s="6" t="inlineStr">
        <is>
          <t>Chưa rõ giống (Cần quét Bio)</t>
        </is>
      </c>
      <c r="L2303" s="56" t="n">
        <v>0</v>
      </c>
      <c r="M2303" s="56" t="n">
        <v>0</v>
      </c>
      <c r="N2303" s="6" t="inlineStr">
        <is>
          <t>Amazon link not found</t>
        </is>
      </c>
      <c r="O2303" s="56">
        <f>IF(N2303="Selling pet toys + Artificial grass/Pet toilets (TARGET)",15,IF(N2303="Selling artificial grass/pet toilets (TARGET)",10,IF(N2303="Selling pet toys",7,IF(N2303="There's an Amazon link, but no target sales.",3,0))))</f>
        <v/>
      </c>
      <c r="P2303" s="65">
        <f>H2303+J2303+L2303+M2303+O2303</f>
        <v/>
      </c>
      <c r="Q2303" s="68">
        <f>IF(OR(H2303=0,P2303&lt;30),"Tier D (Đóng băng)",IF(P2303&gt;=85,"Tier S (Kim Cương: 85-100đ)",IF(P2303&gt;=70,"Tier A (Vàng: 70-84đ)",IF(P2303&gt;=61,"Tier B+ / Cấp A (Hot Lead: 61-69đ)",IF(P2303&gt;=50,"Tier B (Bạc: 50-60đ)","Tier C (Đồng: 30-49đ)")))))</f>
        <v/>
      </c>
      <c r="R2303" s="6" t="inlineStr">
        <is>
          <t>Khay vệ sinh chung cư (Indoor Potty) + Thảm cỏ ban công (Grass Patch) + Đồ chơi</t>
        </is>
      </c>
      <c r="S2303" s="6" t="inlineStr">
        <is>
          <t>Đóng băng tương tác (&gt;30 ngày): Lưu trữ chờ kích hoạt lại, không tốn tài nguyên Sales</t>
        </is>
      </c>
    </row>
    <row r="2304">
      <c r="A2304" s="59" t="n">
        <v>2697</v>
      </c>
      <c r="B2304" s="15" t="inlineStr">
        <is>
          <t>Ravenscroft Quality Pet Food</t>
        </is>
      </c>
      <c r="C2304" s="60" t="inlineStr">
        <is>
          <t>https://www.facebook.com/RavenscroftPetFood</t>
        </is>
      </c>
      <c r="D2304" s="9" t="inlineStr">
        <is>
          <t>Cần quét Bio Fanpage</t>
        </is>
      </c>
      <c r="E2304" s="59" t="inlineStr">
        <is>
          <t>15/06/2020 16:39:27</t>
        </is>
      </c>
      <c r="F2304" s="59" t="inlineStr">
        <is>
          <t>6 năm trước</t>
        </is>
      </c>
      <c r="G2304" s="61" t="n">
        <v>2190</v>
      </c>
      <c r="H2304" s="62" t="n">
        <v>0</v>
      </c>
      <c r="I2304" s="9" t="inlineStr">
        <is>
          <t>Pet Owner / Cộng đồng nuôi cún (10đ)</t>
        </is>
      </c>
      <c r="J2304" s="62" t="n">
        <v>10</v>
      </c>
      <c r="K2304" s="9" t="inlineStr">
        <is>
          <t>Chưa rõ giống (Cần quét Bio)</t>
        </is>
      </c>
      <c r="L2304" s="62" t="n">
        <v>0</v>
      </c>
      <c r="M2304" s="62" t="n">
        <v>0</v>
      </c>
      <c r="N2304" s="9" t="inlineStr">
        <is>
          <t>Amazon link not found</t>
        </is>
      </c>
      <c r="O2304" s="62">
        <f>IF(N2304="Selling pet toys + Artificial grass/Pet toilets (TARGET)",15,IF(N2304="Selling artificial grass/pet toilets (TARGET)",10,IF(N2304="Selling pet toys",7,IF(N2304="There's an Amazon link, but no target sales.",3,0))))</f>
        <v/>
      </c>
      <c r="P2304" s="67">
        <f>H2304+J2304+L2304+M2304+O2304</f>
        <v/>
      </c>
      <c r="Q2304" s="68">
        <f>IF(OR(H2304=0,P2304&lt;30),"Tier D (Đóng băng)",IF(P2304&gt;=85,"Tier S (Kim Cương: 85-100đ)",IF(P2304&gt;=70,"Tier A (Vàng: 70-84đ)",IF(P2304&gt;=61,"Tier B+ / Cấp A (Hot Lead: 61-69đ)",IF(P2304&gt;=50,"Tier B (Bạc: 50-60đ)","Tier C (Đồng: 30-49đ)")))))</f>
        <v/>
      </c>
      <c r="R2304" s="9" t="inlineStr">
        <is>
          <t>Khay vệ sinh chung cư (Indoor Potty) + Thảm cỏ ban công (Grass Patch) + Đồ chơi</t>
        </is>
      </c>
      <c r="S2304" s="9" t="inlineStr">
        <is>
          <t>Đóng băng tương tác (&gt;30 ngày): Lưu trữ chờ kích hoạt lại, không tốn tài nguyên Sales</t>
        </is>
      </c>
    </row>
    <row r="2305">
      <c r="A2305" s="53" t="n">
        <v>2700</v>
      </c>
      <c r="B2305" s="12" t="inlineStr">
        <is>
          <t>Raw Feeding Dogs</t>
        </is>
      </c>
      <c r="C2305" s="54" t="inlineStr">
        <is>
          <t>https://www.facebook.com/rawfeedingdogs</t>
        </is>
      </c>
      <c r="D2305" s="6" t="inlineStr">
        <is>
          <t>Cần quét Bio Fanpage</t>
        </is>
      </c>
      <c r="E2305" s="53" t="inlineStr">
        <is>
          <t>31/05/2020 02:04:08</t>
        </is>
      </c>
      <c r="F2305" s="53" t="inlineStr">
        <is>
          <t>6 năm trước</t>
        </is>
      </c>
      <c r="G2305" s="55" t="n">
        <v>2190</v>
      </c>
      <c r="H2305" s="56" t="n">
        <v>0</v>
      </c>
      <c r="I2305" s="6" t="inlineStr">
        <is>
          <t>Pet Owner / Cộng đồng nuôi cún (10đ)</t>
        </is>
      </c>
      <c r="J2305" s="56" t="n">
        <v>10</v>
      </c>
      <c r="K2305" s="6" t="inlineStr">
        <is>
          <t>Chưa rõ giống (Cần quét Bio)</t>
        </is>
      </c>
      <c r="L2305" s="56" t="n">
        <v>0</v>
      </c>
      <c r="M2305" s="56" t="n">
        <v>0</v>
      </c>
      <c r="N2305" s="6" t="inlineStr">
        <is>
          <t>Amazon link not found</t>
        </is>
      </c>
      <c r="O2305" s="56">
        <f>IF(N2305="Selling pet toys + Artificial grass/Pet toilets (TARGET)",15,IF(N2305="Selling artificial grass/pet toilets (TARGET)",10,IF(N2305="Selling pet toys",7,IF(N2305="There's an Amazon link, but no target sales.",3,0))))</f>
        <v/>
      </c>
      <c r="P2305" s="65">
        <f>H2305+J2305+L2305+M2305+O2305</f>
        <v/>
      </c>
      <c r="Q2305" s="68">
        <f>IF(OR(H2305=0,P2305&lt;30),"Tier D (Đóng băng)",IF(P2305&gt;=85,"Tier S (Kim Cương: 85-100đ)",IF(P2305&gt;=70,"Tier A (Vàng: 70-84đ)",IF(P2305&gt;=61,"Tier B+ / Cấp A (Hot Lead: 61-69đ)",IF(P2305&gt;=50,"Tier B (Bạc: 50-60đ)","Tier C (Đồng: 30-49đ)")))))</f>
        <v/>
      </c>
      <c r="R2305" s="6" t="inlineStr">
        <is>
          <t>Khay vệ sinh chung cư (Indoor Potty) + Thảm cỏ ban công (Grass Patch) + Đồ chơi</t>
        </is>
      </c>
      <c r="S2305" s="6" t="inlineStr">
        <is>
          <t>Đóng băng tương tác (&gt;30 ngày): Lưu trữ chờ kích hoạt lại, không tốn tài nguyên Sales</t>
        </is>
      </c>
    </row>
    <row r="2306">
      <c r="A2306" s="59" t="n">
        <v>1634</v>
      </c>
      <c r="B2306" s="15" t="inlineStr">
        <is>
          <t>Healthy GOO - Doggy Goo</t>
        </is>
      </c>
      <c r="C2306" s="60" t="inlineStr">
        <is>
          <t>https://www.facebook.com/profile.php?id=100077952366975</t>
        </is>
      </c>
      <c r="D2306" s="9" t="inlineStr">
        <is>
          <t>Cần quét Bio Fanpage</t>
        </is>
      </c>
      <c r="E2306" s="59" t="inlineStr">
        <is>
          <t>29/03/2020 05:45:32</t>
        </is>
      </c>
      <c r="F2306" s="59" t="inlineStr">
        <is>
          <t>6 năm trước</t>
        </is>
      </c>
      <c r="G2306" s="61" t="n">
        <v>2190</v>
      </c>
      <c r="H2306" s="62" t="n">
        <v>0</v>
      </c>
      <c r="I2306" s="9" t="inlineStr">
        <is>
          <t>Pet Owner / Cộng đồng nuôi cún (10đ)</t>
        </is>
      </c>
      <c r="J2306" s="62" t="n">
        <v>10</v>
      </c>
      <c r="K2306" s="9" t="inlineStr">
        <is>
          <t>Chưa rõ giống (Cần quét Bio)</t>
        </is>
      </c>
      <c r="L2306" s="62" t="n">
        <v>0</v>
      </c>
      <c r="M2306" s="62" t="n">
        <v>0</v>
      </c>
      <c r="N2306" s="9" t="inlineStr">
        <is>
          <t>Amazon link not found</t>
        </is>
      </c>
      <c r="O2306" s="62">
        <f>IF(N2306="Selling pet toys + Artificial grass/Pet toilets (TARGET)",15,IF(N2306="Selling artificial grass/pet toilets (TARGET)",10,IF(N2306="Selling pet toys",7,IF(N2306="There's an Amazon link, but no target sales.",3,0))))</f>
        <v/>
      </c>
      <c r="P2306" s="67">
        <f>H2306+J2306+L2306+M2306+O2306</f>
        <v/>
      </c>
      <c r="Q2306" s="68">
        <f>IF(OR(H2306=0,P2306&lt;30),"Tier D (Đóng băng)",IF(P2306&gt;=85,"Tier S (Kim Cương: 85-100đ)",IF(P2306&gt;=70,"Tier A (Vàng: 70-84đ)",IF(P2306&gt;=61,"Tier B+ / Cấp A (Hot Lead: 61-69đ)",IF(P2306&gt;=50,"Tier B (Bạc: 50-60đ)","Tier C (Đồng: 30-49đ)")))))</f>
        <v/>
      </c>
      <c r="R2306" s="9" t="inlineStr">
        <is>
          <t>Khay vệ sinh chung cư (Indoor Potty) + Thảm cỏ ban công (Grass Patch) + Đồ chơi</t>
        </is>
      </c>
      <c r="S2306" s="9" t="inlineStr">
        <is>
          <t>Đóng băng tương tác (&gt;30 ngày): Lưu trữ chờ kích hoạt lại, không tốn tài nguyên Sales</t>
        </is>
      </c>
    </row>
    <row r="2307">
      <c r="A2307" s="53" t="n">
        <v>2920</v>
      </c>
      <c r="B2307" s="12" t="inlineStr">
        <is>
          <t>Sleeping Dogs Pottery</t>
        </is>
      </c>
      <c r="C2307" s="54" t="inlineStr">
        <is>
          <t>https://www.facebook.com/profile.php?id=100063945732881</t>
        </is>
      </c>
      <c r="D2307" s="6" t="inlineStr">
        <is>
          <t>Cần quét Bio Fanpage</t>
        </is>
      </c>
      <c r="E2307" s="53" t="inlineStr">
        <is>
          <t>14/03/2020 04:51:52</t>
        </is>
      </c>
      <c r="F2307" s="53" t="inlineStr">
        <is>
          <t>6 năm trước</t>
        </is>
      </c>
      <c r="G2307" s="55" t="n">
        <v>2190</v>
      </c>
      <c r="H2307" s="56" t="n">
        <v>0</v>
      </c>
      <c r="I2307" s="6" t="inlineStr">
        <is>
          <t>Pet Owner / Cộng đồng nuôi cún (10đ)</t>
        </is>
      </c>
      <c r="J2307" s="56" t="n">
        <v>10</v>
      </c>
      <c r="K2307" s="6" t="inlineStr">
        <is>
          <t>Chưa rõ giống (Cần quét Bio)</t>
        </is>
      </c>
      <c r="L2307" s="56" t="n">
        <v>0</v>
      </c>
      <c r="M2307" s="56" t="n">
        <v>0</v>
      </c>
      <c r="N2307" s="6" t="inlineStr">
        <is>
          <t>Amazon link not found</t>
        </is>
      </c>
      <c r="O2307" s="56">
        <f>IF(N2307="Selling pet toys + Artificial grass/Pet toilets (TARGET)",15,IF(N2307="Selling artificial grass/pet toilets (TARGET)",10,IF(N2307="Selling pet toys",7,IF(N2307="There's an Amazon link, but no target sales.",3,0))))</f>
        <v/>
      </c>
      <c r="P2307" s="65">
        <f>H2307+J2307+L2307+M2307+O2307</f>
        <v/>
      </c>
      <c r="Q2307" s="68">
        <f>IF(OR(H2307=0,P2307&lt;30),"Tier D (Đóng băng)",IF(P2307&gt;=85,"Tier S (Kim Cương: 85-100đ)",IF(P2307&gt;=70,"Tier A (Vàng: 70-84đ)",IF(P2307&gt;=61,"Tier B+ / Cấp A (Hot Lead: 61-69đ)",IF(P2307&gt;=50,"Tier B (Bạc: 50-60đ)","Tier C (Đồng: 30-49đ)")))))</f>
        <v/>
      </c>
      <c r="R2307" s="6" t="inlineStr">
        <is>
          <t>Khay vệ sinh chung cư (Indoor Potty) + Thảm cỏ ban công (Grass Patch) + Đồ chơi</t>
        </is>
      </c>
      <c r="S2307" s="6" t="inlineStr">
        <is>
          <t>Đóng băng tương tác (&gt;30 ngày): Lưu trữ chờ kích hoạt lại, không tốn tài nguyên Sales</t>
        </is>
      </c>
    </row>
    <row r="2308">
      <c r="A2308" s="59" t="n">
        <v>3410</v>
      </c>
      <c r="B2308" s="15" t="inlineStr">
        <is>
          <t>WholeHearted Pets</t>
        </is>
      </c>
      <c r="C2308" s="60" t="inlineStr">
        <is>
          <t>https://www.facebook.com/wholeheartedpets</t>
        </is>
      </c>
      <c r="D2308" s="9" t="inlineStr">
        <is>
          <t>Cần quét Bio Fanpage</t>
        </is>
      </c>
      <c r="E2308" s="59" t="inlineStr">
        <is>
          <t>19/02/2020 01:38:11</t>
        </is>
      </c>
      <c r="F2308" s="59" t="inlineStr">
        <is>
          <t>6 năm trước</t>
        </is>
      </c>
      <c r="G2308" s="61" t="n">
        <v>2190</v>
      </c>
      <c r="H2308" s="62" t="n">
        <v>0</v>
      </c>
      <c r="I2308" s="9" t="inlineStr">
        <is>
          <t>Pet Owner / Cộng đồng nuôi cún (10đ)</t>
        </is>
      </c>
      <c r="J2308" s="62" t="n">
        <v>10</v>
      </c>
      <c r="K2308" s="9" t="inlineStr">
        <is>
          <t>Chưa rõ giống (Cần quét Bio)</t>
        </is>
      </c>
      <c r="L2308" s="62" t="n">
        <v>0</v>
      </c>
      <c r="M2308" s="62" t="n">
        <v>0</v>
      </c>
      <c r="N2308" s="9" t="inlineStr">
        <is>
          <t>Amazon link not found</t>
        </is>
      </c>
      <c r="O2308" s="62">
        <f>IF(N2308="Selling pet toys + Artificial grass/Pet toilets (TARGET)",15,IF(N2308="Selling artificial grass/pet toilets (TARGET)",10,IF(N2308="Selling pet toys",7,IF(N2308="There's an Amazon link, but no target sales.",3,0))))</f>
        <v/>
      </c>
      <c r="P2308" s="67">
        <f>H2308+J2308+L2308+M2308+O2308</f>
        <v/>
      </c>
      <c r="Q2308" s="68">
        <f>IF(OR(H2308=0,P2308&lt;30),"Tier D (Đóng băng)",IF(P2308&gt;=85,"Tier S (Kim Cương: 85-100đ)",IF(P2308&gt;=70,"Tier A (Vàng: 70-84đ)",IF(P2308&gt;=61,"Tier B+ / Cấp A (Hot Lead: 61-69đ)",IF(P2308&gt;=50,"Tier B (Bạc: 50-60đ)","Tier C (Đồng: 30-49đ)")))))</f>
        <v/>
      </c>
      <c r="R2308" s="9" t="inlineStr">
        <is>
          <t>Khay vệ sinh chung cư (Indoor Potty) + Thảm cỏ ban công (Grass Patch) + Đồ chơi</t>
        </is>
      </c>
      <c r="S2308" s="9" t="inlineStr">
        <is>
          <t>Đóng băng tương tác (&gt;30 ngày): Lưu trữ chờ kích hoạt lại, không tốn tài nguyên Sales</t>
        </is>
      </c>
    </row>
    <row r="2309">
      <c r="A2309" s="53" t="n">
        <v>1089</v>
      </c>
      <c r="B2309" s="12" t="inlineStr">
        <is>
          <t>Dog Lover's</t>
        </is>
      </c>
      <c r="C2309" s="54" t="inlineStr">
        <is>
          <t>https://www.facebook.com/profile.php?id=100068528165961</t>
        </is>
      </c>
      <c r="D2309" s="6" t="inlineStr">
        <is>
          <t>Cần quét Bio Fanpage</t>
        </is>
      </c>
      <c r="E2309" s="53" t="inlineStr">
        <is>
          <t>12/02/2020 16:53:39</t>
        </is>
      </c>
      <c r="F2309" s="53" t="inlineStr">
        <is>
          <t>6 năm trước</t>
        </is>
      </c>
      <c r="G2309" s="55" t="n">
        <v>2190</v>
      </c>
      <c r="H2309" s="56" t="n">
        <v>0</v>
      </c>
      <c r="I2309" s="6" t="inlineStr">
        <is>
          <t>Pet Owner / Kênh cá nhân thú cưng (10đ)</t>
        </is>
      </c>
      <c r="J2309" s="56" t="n">
        <v>10</v>
      </c>
      <c r="K2309" s="6" t="inlineStr">
        <is>
          <t>Chưa rõ giống (Cần quét Bio)</t>
        </is>
      </c>
      <c r="L2309" s="56" t="n">
        <v>0</v>
      </c>
      <c r="M2309" s="56" t="n">
        <v>0</v>
      </c>
      <c r="N2309" s="6" t="inlineStr">
        <is>
          <t>Amazon link not found</t>
        </is>
      </c>
      <c r="O2309" s="56">
        <f>IF(N2309="Selling pet toys + Artificial grass/Pet toilets (TARGET)",15,IF(N2309="Selling artificial grass/pet toilets (TARGET)",10,IF(N2309="Selling pet toys",7,IF(N2309="There's an Amazon link, but no target sales.",3,0))))</f>
        <v/>
      </c>
      <c r="P2309" s="65">
        <f>H2309+J2309+L2309+M2309+O2309</f>
        <v/>
      </c>
      <c r="Q2309" s="68">
        <f>IF(OR(H2309=0,P2309&lt;30),"Tier D (Đóng băng)",IF(P2309&gt;=85,"Tier S (Kim Cương: 85-100đ)",IF(P2309&gt;=70,"Tier A (Vàng: 70-84đ)",IF(P2309&gt;=61,"Tier B+ / Cấp A (Hot Lead: 61-69đ)",IF(P2309&gt;=50,"Tier B (Bạc: 50-60đ)","Tier C (Đồng: 30-49đ)")))))</f>
        <v/>
      </c>
      <c r="R2309" s="6" t="inlineStr">
        <is>
          <t>Khay vệ sinh trong nhà (Indoor Dog Potty) + Đồ chơi thú cưng lẻ</t>
        </is>
      </c>
      <c r="S2309" s="6" t="inlineStr">
        <is>
          <t>Đóng băng tương tác (&gt;30 ngày): Lưu trữ chờ kích hoạt lại, không tốn tài nguyên Sales</t>
        </is>
      </c>
    </row>
    <row r="2310">
      <c r="A2310" s="59" t="n">
        <v>1597</v>
      </c>
      <c r="B2310" s="15" t="inlineStr">
        <is>
          <t>Handmade sculptures of Pets</t>
        </is>
      </c>
      <c r="C2310" s="60" t="inlineStr">
        <is>
          <t>https://www.facebook.com/dogs.sculptures</t>
        </is>
      </c>
      <c r="D2310" s="9" t="inlineStr">
        <is>
          <t>Cần quét Bio Fanpage</t>
        </is>
      </c>
      <c r="E2310" s="59" t="inlineStr">
        <is>
          <t>24/01/2020 15:45:48</t>
        </is>
      </c>
      <c r="F2310" s="59" t="inlineStr">
        <is>
          <t>6 năm trước</t>
        </is>
      </c>
      <c r="G2310" s="61" t="n">
        <v>2190</v>
      </c>
      <c r="H2310" s="62" t="n">
        <v>0</v>
      </c>
      <c r="I2310" s="9" t="inlineStr">
        <is>
          <t>Pet Owner / Cộng đồng nuôi cún (10đ)</t>
        </is>
      </c>
      <c r="J2310" s="62" t="n">
        <v>10</v>
      </c>
      <c r="K2310" s="9" t="inlineStr">
        <is>
          <t>Chưa rõ giống (Cần quét Bio)</t>
        </is>
      </c>
      <c r="L2310" s="62" t="n">
        <v>0</v>
      </c>
      <c r="M2310" s="62" t="n">
        <v>0</v>
      </c>
      <c r="N2310" s="9" t="inlineStr">
        <is>
          <t>Amazon link not found</t>
        </is>
      </c>
      <c r="O2310" s="62">
        <f>IF(N2310="Selling pet toys + Artificial grass/Pet toilets (TARGET)",15,IF(N2310="Selling artificial grass/pet toilets (TARGET)",10,IF(N2310="Selling pet toys",7,IF(N2310="There's an Amazon link, but no target sales.",3,0))))</f>
        <v/>
      </c>
      <c r="P2310" s="67">
        <f>H2310+J2310+L2310+M2310+O2310</f>
        <v/>
      </c>
      <c r="Q2310" s="68">
        <f>IF(OR(H2310=0,P2310&lt;30),"Tier D (Đóng băng)",IF(P2310&gt;=85,"Tier S (Kim Cương: 85-100đ)",IF(P2310&gt;=70,"Tier A (Vàng: 70-84đ)",IF(P2310&gt;=61,"Tier B+ / Cấp A (Hot Lead: 61-69đ)",IF(P2310&gt;=50,"Tier B (Bạc: 50-60đ)","Tier C (Đồng: 30-49đ)")))))</f>
        <v/>
      </c>
      <c r="R2310" s="9" t="inlineStr">
        <is>
          <t>Khay vệ sinh chung cư (Indoor Potty) + Thảm cỏ ban công (Grass Patch) + Đồ chơi</t>
        </is>
      </c>
      <c r="S2310" s="9" t="inlineStr">
        <is>
          <t>Đóng băng tương tác (&gt;30 ngày): Lưu trữ chờ kích hoạt lại, không tốn tài nguyên Sales</t>
        </is>
      </c>
    </row>
    <row r="2311">
      <c r="A2311" s="53" t="n">
        <v>2247</v>
      </c>
      <c r="B2311" s="12" t="inlineStr">
        <is>
          <t>Mypetpawtrait</t>
        </is>
      </c>
      <c r="C2311" s="54" t="inlineStr">
        <is>
          <t>https://www.facebook.com/mypetpawtrait</t>
        </is>
      </c>
      <c r="D2311" s="6" t="inlineStr">
        <is>
          <t>Cần quét Bio Fanpage</t>
        </is>
      </c>
      <c r="E2311" s="53" t="inlineStr">
        <is>
          <t>30/08/2019 03:53:00</t>
        </is>
      </c>
      <c r="F2311" s="53" t="inlineStr">
        <is>
          <t>30 Tháng 8, 2019 lúc 03:53</t>
        </is>
      </c>
      <c r="G2311" s="55" t="n">
        <v>365</v>
      </c>
      <c r="H2311" s="56" t="n">
        <v>0</v>
      </c>
      <c r="I2311" s="6" t="inlineStr">
        <is>
          <t>Pet Owner / Cộng đồng nuôi cún (10đ)</t>
        </is>
      </c>
      <c r="J2311" s="56" t="n">
        <v>10</v>
      </c>
      <c r="K2311" s="6" t="inlineStr">
        <is>
          <t>Chưa rõ giống (Cần quét Bio)</t>
        </is>
      </c>
      <c r="L2311" s="56" t="n">
        <v>0</v>
      </c>
      <c r="M2311" s="56" t="n">
        <v>0</v>
      </c>
      <c r="N2311" s="6" t="inlineStr">
        <is>
          <t>Amazon link not found</t>
        </is>
      </c>
      <c r="O2311" s="56">
        <f>IF(N2311="Selling pet toys + Artificial grass/Pet toilets (TARGET)",15,IF(N2311="Selling artificial grass/pet toilets (TARGET)",10,IF(N2311="Selling pet toys",7,IF(N2311="There's an Amazon link, but no target sales.",3,0))))</f>
        <v/>
      </c>
      <c r="P2311" s="65">
        <f>H2311+J2311+L2311+M2311+O2311</f>
        <v/>
      </c>
      <c r="Q2311" s="68">
        <f>IF(OR(H2311=0,P2311&lt;30),"Tier D (Đóng băng)",IF(P2311&gt;=85,"Tier S (Kim Cương: 85-100đ)",IF(P2311&gt;=70,"Tier A (Vàng: 70-84đ)",IF(P2311&gt;=61,"Tier B+ / Cấp A (Hot Lead: 61-69đ)",IF(P2311&gt;=50,"Tier B (Bạc: 50-60đ)","Tier C (Đồng: 30-49đ)")))))</f>
        <v/>
      </c>
      <c r="R2311" s="6" t="inlineStr">
        <is>
          <t>Khay vệ sinh chung cư (Indoor Potty) + Thảm cỏ ban công (Grass Patch) + Đồ chơi</t>
        </is>
      </c>
      <c r="S2311" s="6" t="inlineStr">
        <is>
          <t>Đóng băng tương tác (&gt;30 ngày): Lưu trữ chờ kích hoạt lại, không tốn tài nguyên Sales</t>
        </is>
      </c>
    </row>
    <row r="2312">
      <c r="A2312" s="59" t="n">
        <v>1300</v>
      </c>
      <c r="B2312" s="15" t="inlineStr">
        <is>
          <t>Eurodogshow 2020 Slovenia Russian edition</t>
        </is>
      </c>
      <c r="C2312" s="60" t="inlineStr">
        <is>
          <t>https://www.facebook.com/profile.php?id=100057154612092</t>
        </is>
      </c>
      <c r="D2312" s="9" t="inlineStr">
        <is>
          <t>Cần quét Bio Fanpage</t>
        </is>
      </c>
      <c r="E2312" s="59" t="inlineStr">
        <is>
          <t>06/08/2019 15:48:00</t>
        </is>
      </c>
      <c r="F2312" s="59" t="inlineStr">
        <is>
          <t>6 Tháng 8, 2019 lúc 15:48</t>
        </is>
      </c>
      <c r="G2312" s="61" t="n">
        <v>365</v>
      </c>
      <c r="H2312" s="62" t="n">
        <v>0</v>
      </c>
      <c r="I2312" s="9" t="inlineStr">
        <is>
          <t>Pet Owner / Cộng đồng nuôi cún (10đ)</t>
        </is>
      </c>
      <c r="J2312" s="62" t="n">
        <v>10</v>
      </c>
      <c r="K2312" s="9" t="inlineStr">
        <is>
          <t>Chưa rõ giống (Cần quét Bio)</t>
        </is>
      </c>
      <c r="L2312" s="62" t="n">
        <v>0</v>
      </c>
      <c r="M2312" s="62" t="n">
        <v>0</v>
      </c>
      <c r="N2312" s="9" t="inlineStr">
        <is>
          <t>Amazon link not found</t>
        </is>
      </c>
      <c r="O2312" s="62">
        <f>IF(N2312="Selling pet toys + Artificial grass/Pet toilets (TARGET)",15,IF(N2312="Selling artificial grass/pet toilets (TARGET)",10,IF(N2312="Selling pet toys",7,IF(N2312="There's an Amazon link, but no target sales.",3,0))))</f>
        <v/>
      </c>
      <c r="P2312" s="67">
        <f>H2312+J2312+L2312+M2312+O2312</f>
        <v/>
      </c>
      <c r="Q2312" s="68">
        <f>IF(OR(H2312=0,P2312&lt;30),"Tier D (Đóng băng)",IF(P2312&gt;=85,"Tier S (Kim Cương: 85-100đ)",IF(P2312&gt;=70,"Tier A (Vàng: 70-84đ)",IF(P2312&gt;=61,"Tier B+ / Cấp A (Hot Lead: 61-69đ)",IF(P2312&gt;=50,"Tier B (Bạc: 50-60đ)","Tier C (Đồng: 30-49đ)")))))</f>
        <v/>
      </c>
      <c r="R2312" s="9" t="inlineStr">
        <is>
          <t>Khay vệ sinh chung cư (Indoor Potty) + Thảm cỏ ban công (Grass Patch) + Đồ chơi</t>
        </is>
      </c>
      <c r="S2312" s="9" t="inlineStr">
        <is>
          <t>Đóng băng tương tác (&gt;30 ngày): Lưu trữ chờ kích hoạt lại, không tốn tài nguyên Sales</t>
        </is>
      </c>
    </row>
    <row r="2313">
      <c r="A2313" s="53" t="n">
        <v>2535</v>
      </c>
      <c r="B2313" s="12" t="inlineStr">
        <is>
          <t>Pets Of The Castle</t>
        </is>
      </c>
      <c r="C2313" s="54" t="inlineStr">
        <is>
          <t>https://www.facebook.com/PetsOfTheCastle</t>
        </is>
      </c>
      <c r="D2313" s="6" t="inlineStr">
        <is>
          <t>Cần quét Bio Fanpage</t>
        </is>
      </c>
      <c r="E2313" s="53" t="inlineStr">
        <is>
          <t>23/07/2019 10:32:00</t>
        </is>
      </c>
      <c r="F2313" s="53" t="inlineStr">
        <is>
          <t>23 Tháng 7, 2019 lúc 10:32</t>
        </is>
      </c>
      <c r="G2313" s="55" t="n">
        <v>365</v>
      </c>
      <c r="H2313" s="56" t="n">
        <v>0</v>
      </c>
      <c r="I2313" s="6" t="inlineStr">
        <is>
          <t>Pet Owner / Cộng đồng nuôi cún (10đ)</t>
        </is>
      </c>
      <c r="J2313" s="56" t="n">
        <v>10</v>
      </c>
      <c r="K2313" s="6" t="inlineStr">
        <is>
          <t>Chưa rõ giống (Cần quét Bio)</t>
        </is>
      </c>
      <c r="L2313" s="56" t="n">
        <v>0</v>
      </c>
      <c r="M2313" s="56" t="n">
        <v>0</v>
      </c>
      <c r="N2313" s="6" t="inlineStr">
        <is>
          <t>Amazon link not found</t>
        </is>
      </c>
      <c r="O2313" s="56">
        <f>IF(N2313="Selling pet toys + Artificial grass/Pet toilets (TARGET)",15,IF(N2313="Selling artificial grass/pet toilets (TARGET)",10,IF(N2313="Selling pet toys",7,IF(N2313="There's an Amazon link, but no target sales.",3,0))))</f>
        <v/>
      </c>
      <c r="P2313" s="65">
        <f>H2313+J2313+L2313+M2313+O2313</f>
        <v/>
      </c>
      <c r="Q2313" s="68">
        <f>IF(OR(H2313=0,P2313&lt;30),"Tier D (Đóng băng)",IF(P2313&gt;=85,"Tier S (Kim Cương: 85-100đ)",IF(P2313&gt;=70,"Tier A (Vàng: 70-84đ)",IF(P2313&gt;=61,"Tier B+ / Cấp A (Hot Lead: 61-69đ)",IF(P2313&gt;=50,"Tier B (Bạc: 50-60đ)","Tier C (Đồng: 30-49đ)")))))</f>
        <v/>
      </c>
      <c r="R2313" s="6" t="inlineStr">
        <is>
          <t>Khay vệ sinh chung cư (Indoor Potty) + Thảm cỏ ban công (Grass Patch) + Đồ chơi</t>
        </is>
      </c>
      <c r="S2313" s="6" t="inlineStr">
        <is>
          <t>Đóng băng tương tác (&gt;30 ngày): Lưu trữ chờ kích hoạt lại, không tốn tài nguyên Sales</t>
        </is>
      </c>
    </row>
    <row r="2314">
      <c r="A2314" s="59" t="n">
        <v>381</v>
      </c>
      <c r="B2314" s="15" t="inlineStr">
        <is>
          <t>All Safe Pet</t>
        </is>
      </c>
      <c r="C2314" s="60" t="inlineStr">
        <is>
          <t>https://www.facebook.com/AllSafePet</t>
        </is>
      </c>
      <c r="D2314" s="9" t="inlineStr">
        <is>
          <t>Cần quét Bio Fanpage</t>
        </is>
      </c>
      <c r="E2314" s="59" t="inlineStr">
        <is>
          <t>16/06/2019 03:47:00</t>
        </is>
      </c>
      <c r="F2314" s="59" t="inlineStr">
        <is>
          <t>16 Tháng 6, 2019 lúc 03:47</t>
        </is>
      </c>
      <c r="G2314" s="61" t="n">
        <v>365</v>
      </c>
      <c r="H2314" s="62" t="n">
        <v>0</v>
      </c>
      <c r="I2314" s="9" t="inlineStr">
        <is>
          <t>Pet Owner / Cộng đồng nuôi cún (10đ)</t>
        </is>
      </c>
      <c r="J2314" s="62" t="n">
        <v>10</v>
      </c>
      <c r="K2314" s="9" t="inlineStr">
        <is>
          <t>Chưa rõ giống (Cần quét Bio)</t>
        </is>
      </c>
      <c r="L2314" s="62" t="n">
        <v>0</v>
      </c>
      <c r="M2314" s="62" t="n">
        <v>0</v>
      </c>
      <c r="N2314" s="9" t="inlineStr">
        <is>
          <t>Amazon link not found</t>
        </is>
      </c>
      <c r="O2314" s="62">
        <f>IF(N2314="Selling pet toys + Artificial grass/Pet toilets (TARGET)",15,IF(N2314="Selling artificial grass/pet toilets (TARGET)",10,IF(N2314="Selling pet toys",7,IF(N2314="There's an Amazon link, but no target sales.",3,0))))</f>
        <v/>
      </c>
      <c r="P2314" s="67">
        <f>H2314+J2314+L2314+M2314+O2314</f>
        <v/>
      </c>
      <c r="Q2314" s="68">
        <f>IF(OR(H2314=0,P2314&lt;30),"Tier D (Đóng băng)",IF(P2314&gt;=85,"Tier S (Kim Cương: 85-100đ)",IF(P2314&gt;=70,"Tier A (Vàng: 70-84đ)",IF(P2314&gt;=61,"Tier B+ / Cấp A (Hot Lead: 61-69đ)",IF(P2314&gt;=50,"Tier B (Bạc: 50-60đ)","Tier C (Đồng: 30-49đ)")))))</f>
        <v/>
      </c>
      <c r="R2314" s="9" t="inlineStr">
        <is>
          <t>Khay vệ sinh chung cư (Indoor Potty) + Thảm cỏ ban công (Grass Patch) + Đồ chơi</t>
        </is>
      </c>
      <c r="S2314" s="9" t="inlineStr">
        <is>
          <t>Đóng băng tương tác (&gt;30 ngày): Lưu trữ chờ kích hoạt lại, không tốn tài nguyên Sales</t>
        </is>
      </c>
    </row>
    <row r="2315">
      <c r="A2315" s="53" t="n">
        <v>3452</v>
      </c>
      <c r="B2315" s="12" t="inlineStr">
        <is>
          <t>World Dog Show</t>
        </is>
      </c>
      <c r="C2315" s="54" t="inlineStr">
        <is>
          <t>https://www.facebook.com/WorldDogShow</t>
        </is>
      </c>
      <c r="D2315" s="6" t="inlineStr">
        <is>
          <t>Cần quét Bio Fanpage</t>
        </is>
      </c>
      <c r="E2315" s="53" t="inlineStr">
        <is>
          <t>30/03/2019 02:59:00</t>
        </is>
      </c>
      <c r="F2315" s="53" t="inlineStr">
        <is>
          <t>30 Tháng 3, 2019 lúc 02:59</t>
        </is>
      </c>
      <c r="G2315" s="55" t="n">
        <v>365</v>
      </c>
      <c r="H2315" s="56" t="n">
        <v>0</v>
      </c>
      <c r="I2315" s="6" t="inlineStr">
        <is>
          <t>Pet Owner / Cộng đồng nuôi cún (10đ)</t>
        </is>
      </c>
      <c r="J2315" s="56" t="n">
        <v>10</v>
      </c>
      <c r="K2315" s="6" t="inlineStr">
        <is>
          <t>Chưa rõ giống (Cần quét Bio)</t>
        </is>
      </c>
      <c r="L2315" s="56" t="n">
        <v>0</v>
      </c>
      <c r="M2315" s="56" t="n">
        <v>0</v>
      </c>
      <c r="N2315" s="6" t="inlineStr">
        <is>
          <t>Amazon link not found</t>
        </is>
      </c>
      <c r="O2315" s="56">
        <f>IF(N2315="Selling pet toys + Artificial grass/Pet toilets (TARGET)",15,IF(N2315="Selling artificial grass/pet toilets (TARGET)",10,IF(N2315="Selling pet toys",7,IF(N2315="There's an Amazon link, but no target sales.",3,0))))</f>
        <v/>
      </c>
      <c r="P2315" s="65">
        <f>H2315+J2315+L2315+M2315+O2315</f>
        <v/>
      </c>
      <c r="Q2315" s="68">
        <f>IF(OR(H2315=0,P2315&lt;30),"Tier D (Đóng băng)",IF(P2315&gt;=85,"Tier S (Kim Cương: 85-100đ)",IF(P2315&gt;=70,"Tier A (Vàng: 70-84đ)",IF(P2315&gt;=61,"Tier B+ / Cấp A (Hot Lead: 61-69đ)",IF(P2315&gt;=50,"Tier B (Bạc: 50-60đ)","Tier C (Đồng: 30-49đ)")))))</f>
        <v/>
      </c>
      <c r="R2315" s="6" t="inlineStr">
        <is>
          <t>Khay vệ sinh chung cư (Indoor Potty) + Thảm cỏ ban công (Grass Patch) + Đồ chơi</t>
        </is>
      </c>
      <c r="S2315" s="6" t="inlineStr">
        <is>
          <t>Đóng băng tương tác (&gt;30 ngày): Lưu trữ chờ kích hoạt lại, không tốn tài nguyên Sales</t>
        </is>
      </c>
    </row>
    <row r="2316">
      <c r="A2316" s="59" t="n">
        <v>1765</v>
      </c>
      <c r="B2316" s="15" t="inlineStr">
        <is>
          <t>JinWoo Lee Circlebulldog</t>
        </is>
      </c>
      <c r="C2316" s="60" t="inlineStr">
        <is>
          <t>https://www.facebook.com/profile.php?id=100063562997801</t>
        </is>
      </c>
      <c r="D2316" s="9" t="inlineStr">
        <is>
          <t>Cần quét Bio Fanpage</t>
        </is>
      </c>
      <c r="E2316" s="59" t="inlineStr">
        <is>
          <t>20/09/2018 09:05:00</t>
        </is>
      </c>
      <c r="F2316" s="59" t="inlineStr">
        <is>
          <t>20 Tháng 9, 2018 lúc 09:05</t>
        </is>
      </c>
      <c r="G2316" s="61" t="n">
        <v>365</v>
      </c>
      <c r="H2316" s="62" t="n">
        <v>0</v>
      </c>
      <c r="I2316" s="9" t="inlineStr">
        <is>
          <t>Pet Owner / Cộng đồng nuôi cún (10đ)</t>
        </is>
      </c>
      <c r="J2316" s="62" t="n">
        <v>10</v>
      </c>
      <c r="K2316" s="9" t="inlineStr">
        <is>
          <t>Chưa rõ giống (Cần quét Bio)</t>
        </is>
      </c>
      <c r="L2316" s="62" t="n">
        <v>0</v>
      </c>
      <c r="M2316" s="62" t="n">
        <v>0</v>
      </c>
      <c r="N2316" s="9" t="inlineStr">
        <is>
          <t>Amazon link not found</t>
        </is>
      </c>
      <c r="O2316" s="62">
        <f>IF(N2316="Selling pet toys + Artificial grass/Pet toilets (TARGET)",15,IF(N2316="Selling artificial grass/pet toilets (TARGET)",10,IF(N2316="Selling pet toys",7,IF(N2316="There's an Amazon link, but no target sales.",3,0))))</f>
        <v/>
      </c>
      <c r="P2316" s="67">
        <f>H2316+J2316+L2316+M2316+O2316</f>
        <v/>
      </c>
      <c r="Q2316" s="68">
        <f>IF(OR(H2316=0,P2316&lt;30),"Tier D (Đóng băng)",IF(P2316&gt;=85,"Tier S (Kim Cương: 85-100đ)",IF(P2316&gt;=70,"Tier A (Vàng: 70-84đ)",IF(P2316&gt;=61,"Tier B+ / Cấp A (Hot Lead: 61-69đ)",IF(P2316&gt;=50,"Tier B (Bạc: 50-60đ)","Tier C (Đồng: 30-49đ)")))))</f>
        <v/>
      </c>
      <c r="R2316" s="9" t="inlineStr">
        <is>
          <t>Khay vệ sinh chung cư (Indoor Potty) + Thảm cỏ ban công (Grass Patch) + Đồ chơi</t>
        </is>
      </c>
      <c r="S2316" s="9" t="inlineStr">
        <is>
          <t>Đóng băng tương tác (&gt;30 ngày): Lưu trữ chờ kích hoạt lại, không tốn tài nguyên Sales</t>
        </is>
      </c>
    </row>
    <row r="2317">
      <c r="A2317" s="53" t="n">
        <v>2586</v>
      </c>
      <c r="B2317" s="12" t="inlineStr">
        <is>
          <t>Please Don't Pet Me</t>
        </is>
      </c>
      <c r="C2317" s="54" t="inlineStr">
        <is>
          <t>https://www.facebook.com/pleasedontpetme</t>
        </is>
      </c>
      <c r="D2317" s="6" t="inlineStr">
        <is>
          <t>Cần quét Bio Fanpage</t>
        </is>
      </c>
      <c r="E2317" s="53" t="inlineStr">
        <is>
          <t>23/06/2018 03:30:00</t>
        </is>
      </c>
      <c r="F2317" s="53" t="inlineStr">
        <is>
          <t>23 Tháng 6, 2018 lúc 03:30</t>
        </is>
      </c>
      <c r="G2317" s="55" t="n">
        <v>365</v>
      </c>
      <c r="H2317" s="56" t="n">
        <v>0</v>
      </c>
      <c r="I2317" s="6" t="inlineStr">
        <is>
          <t>Pet Owner / Cộng đồng nuôi cún (10đ)</t>
        </is>
      </c>
      <c r="J2317" s="56" t="n">
        <v>10</v>
      </c>
      <c r="K2317" s="6" t="inlineStr">
        <is>
          <t>Chưa rõ giống (Cần quét Bio)</t>
        </is>
      </c>
      <c r="L2317" s="56" t="n">
        <v>0</v>
      </c>
      <c r="M2317" s="56" t="n">
        <v>0</v>
      </c>
      <c r="N2317" s="6" t="inlineStr">
        <is>
          <t>Amazon link not found</t>
        </is>
      </c>
      <c r="O2317" s="56">
        <f>IF(N2317="Selling pet toys + Artificial grass/Pet toilets (TARGET)",15,IF(N2317="Selling artificial grass/pet toilets (TARGET)",10,IF(N2317="Selling pet toys",7,IF(N2317="There's an Amazon link, but no target sales.",3,0))))</f>
        <v/>
      </c>
      <c r="P2317" s="65">
        <f>H2317+J2317+L2317+M2317+O2317</f>
        <v/>
      </c>
      <c r="Q2317" s="68">
        <f>IF(OR(H2317=0,P2317&lt;30),"Tier D (Đóng băng)",IF(P2317&gt;=85,"Tier S (Kim Cương: 85-100đ)",IF(P2317&gt;=70,"Tier A (Vàng: 70-84đ)",IF(P2317&gt;=61,"Tier B+ / Cấp A (Hot Lead: 61-69đ)",IF(P2317&gt;=50,"Tier B (Bạc: 50-60đ)","Tier C (Đồng: 30-49đ)")))))</f>
        <v/>
      </c>
      <c r="R2317" s="6" t="inlineStr">
        <is>
          <t>Khay vệ sinh chung cư (Indoor Potty) + Thảm cỏ ban công (Grass Patch) + Đồ chơi</t>
        </is>
      </c>
      <c r="S2317" s="6" t="inlineStr">
        <is>
          <t>Đóng băng tương tác (&gt;30 ngày): Lưu trữ chờ kích hoạt lại, không tốn tài nguyên Sales</t>
        </is>
      </c>
    </row>
    <row r="2318">
      <c r="A2318" s="59" t="n">
        <v>3183</v>
      </c>
      <c r="B2318" s="15" t="inlineStr">
        <is>
          <t>Through Dog Lovers Eyes</t>
        </is>
      </c>
      <c r="C2318" s="60" t="inlineStr">
        <is>
          <t>https://www.facebook.com/DogLoversForum</t>
        </is>
      </c>
      <c r="D2318" s="9" t="inlineStr">
        <is>
          <t>Cần quét Bio Fanpage</t>
        </is>
      </c>
      <c r="E2318" s="59" t="inlineStr">
        <is>
          <t>11/03/2018 15:47:00</t>
        </is>
      </c>
      <c r="F2318" s="59" t="inlineStr">
        <is>
          <t>11 Tháng 3, 2018 lúc 15:47</t>
        </is>
      </c>
      <c r="G2318" s="61" t="n">
        <v>365</v>
      </c>
      <c r="H2318" s="62" t="n">
        <v>0</v>
      </c>
      <c r="I2318" s="9" t="inlineStr">
        <is>
          <t>Pet Owner / Kênh cá nhân thú cưng (10đ)</t>
        </is>
      </c>
      <c r="J2318" s="62" t="n">
        <v>10</v>
      </c>
      <c r="K2318" s="9" t="inlineStr">
        <is>
          <t>Chưa rõ giống (Cần quét Bio)</t>
        </is>
      </c>
      <c r="L2318" s="62" t="n">
        <v>0</v>
      </c>
      <c r="M2318" s="62" t="n">
        <v>0</v>
      </c>
      <c r="N2318" s="9" t="inlineStr">
        <is>
          <t>Amazon link not found</t>
        </is>
      </c>
      <c r="O2318" s="62">
        <f>IF(N2318="Selling pet toys + Artificial grass/Pet toilets (TARGET)",15,IF(N2318="Selling artificial grass/pet toilets (TARGET)",10,IF(N2318="Selling pet toys",7,IF(N2318="There's an Amazon link, but no target sales.",3,0))))</f>
        <v/>
      </c>
      <c r="P2318" s="67">
        <f>H2318+J2318+L2318+M2318+O2318</f>
        <v/>
      </c>
      <c r="Q2318" s="68">
        <f>IF(OR(H2318=0,P2318&lt;30),"Tier D (Đóng băng)",IF(P2318&gt;=85,"Tier S (Kim Cương: 85-100đ)",IF(P2318&gt;=70,"Tier A (Vàng: 70-84đ)",IF(P2318&gt;=61,"Tier B+ / Cấp A (Hot Lead: 61-69đ)",IF(P2318&gt;=50,"Tier B (Bạc: 50-60đ)","Tier C (Đồng: 30-49đ)")))))</f>
        <v/>
      </c>
      <c r="R2318" s="9" t="inlineStr">
        <is>
          <t>Khay vệ sinh trong nhà (Indoor Dog Potty) + Đồ chơi thú cưng lẻ</t>
        </is>
      </c>
      <c r="S2318" s="9" t="inlineStr">
        <is>
          <t>Đóng băng tương tác (&gt;30 ngày): Lưu trữ chờ kích hoạt lại, không tốn tài nguyên Sales</t>
        </is>
      </c>
    </row>
    <row r="2319">
      <c r="A2319" s="53" t="n">
        <v>568</v>
      </c>
      <c r="B2319" s="12" t="inlineStr">
        <is>
          <t>Aónikenk Dogo de Burdeos</t>
        </is>
      </c>
      <c r="C2319" s="54" t="inlineStr">
        <is>
          <t>https://www.facebook.com/aonikenkddb</t>
        </is>
      </c>
      <c r="D2319" s="6" t="inlineStr">
        <is>
          <t>Cần quét Bio Fanpage</t>
        </is>
      </c>
      <c r="E2319" s="53" t="inlineStr">
        <is>
          <t>22/09/2017 08:51:00</t>
        </is>
      </c>
      <c r="F2319" s="53" t="inlineStr">
        <is>
          <t>22 Tháng 9, 2017 lúc 08:51</t>
        </is>
      </c>
      <c r="G2319" s="55" t="n">
        <v>365</v>
      </c>
      <c r="H2319" s="56" t="n">
        <v>0</v>
      </c>
      <c r="I2319" s="6" t="inlineStr">
        <is>
          <t>Pet Owner / Cộng đồng nuôi cún (10đ)</t>
        </is>
      </c>
      <c r="J2319" s="56" t="n">
        <v>10</v>
      </c>
      <c r="K2319" s="6" t="inlineStr">
        <is>
          <t>Chưa rõ giống (Cần quét Bio)</t>
        </is>
      </c>
      <c r="L2319" s="56" t="n">
        <v>0</v>
      </c>
      <c r="M2319" s="56" t="n">
        <v>0</v>
      </c>
      <c r="N2319" s="6" t="inlineStr">
        <is>
          <t>Amazon link not found</t>
        </is>
      </c>
      <c r="O2319" s="56">
        <f>IF(N2319="Selling pet toys + Artificial grass/Pet toilets (TARGET)",15,IF(N2319="Selling artificial grass/pet toilets (TARGET)",10,IF(N2319="Selling pet toys",7,IF(N2319="There's an Amazon link, but no target sales.",3,0))))</f>
        <v/>
      </c>
      <c r="P2319" s="65">
        <f>H2319+J2319+L2319+M2319+O2319</f>
        <v/>
      </c>
      <c r="Q2319" s="68">
        <f>IF(OR(H2319=0,P2319&lt;30),"Tier D (Đóng băng)",IF(P2319&gt;=85,"Tier S (Kim Cương: 85-100đ)",IF(P2319&gt;=70,"Tier A (Vàng: 70-84đ)",IF(P2319&gt;=61,"Tier B+ / Cấp A (Hot Lead: 61-69đ)",IF(P2319&gt;=50,"Tier B (Bạc: 50-60đ)","Tier C (Đồng: 30-49đ)")))))</f>
        <v/>
      </c>
      <c r="R2319" s="6" t="inlineStr">
        <is>
          <t>Khay vệ sinh chung cư (Indoor Potty) + Thảm cỏ ban công (Grass Patch) + Đồ chơi</t>
        </is>
      </c>
      <c r="S2319" s="6" t="inlineStr">
        <is>
          <t>Đóng băng tương tác (&gt;30 ngày): Lưu trữ chờ kích hoạt lại, không tốn tài nguyên Sales</t>
        </is>
      </c>
    </row>
    <row r="2320">
      <c r="A2320" s="59" t="n">
        <v>1092</v>
      </c>
      <c r="B2320" s="15" t="inlineStr">
        <is>
          <t>Dog O Poil</t>
        </is>
      </c>
      <c r="C2320" s="60" t="inlineStr">
        <is>
          <t>https://www.facebook.com/DogOPoil</t>
        </is>
      </c>
      <c r="D2320" s="9" t="inlineStr">
        <is>
          <t>Cần quét Bio Fanpage</t>
        </is>
      </c>
      <c r="E2320" s="59" t="inlineStr">
        <is>
          <t>01/08/2017 16:13:00</t>
        </is>
      </c>
      <c r="F2320" s="59" t="inlineStr">
        <is>
          <t>1 Tháng 8, 2017 lúc 16:13</t>
        </is>
      </c>
      <c r="G2320" s="61" t="n">
        <v>365</v>
      </c>
      <c r="H2320" s="62" t="n">
        <v>0</v>
      </c>
      <c r="I2320" s="9" t="inlineStr">
        <is>
          <t>Pet Owner / Cộng đồng nuôi cún (10đ)</t>
        </is>
      </c>
      <c r="J2320" s="62" t="n">
        <v>10</v>
      </c>
      <c r="K2320" s="9" t="inlineStr">
        <is>
          <t>Chưa rõ giống (Cần quét Bio)</t>
        </is>
      </c>
      <c r="L2320" s="62" t="n">
        <v>0</v>
      </c>
      <c r="M2320" s="62" t="n">
        <v>0</v>
      </c>
      <c r="N2320" s="9" t="inlineStr">
        <is>
          <t>Amazon link not found</t>
        </is>
      </c>
      <c r="O2320" s="62">
        <f>IF(N2320="Selling pet toys + Artificial grass/Pet toilets (TARGET)",15,IF(N2320="Selling artificial grass/pet toilets (TARGET)",10,IF(N2320="Selling pet toys",7,IF(N2320="There's an Amazon link, but no target sales.",3,0))))</f>
        <v/>
      </c>
      <c r="P2320" s="67">
        <f>H2320+J2320+L2320+M2320+O2320</f>
        <v/>
      </c>
      <c r="Q2320" s="68">
        <f>IF(OR(H2320=0,P2320&lt;30),"Tier D (Đóng băng)",IF(P2320&gt;=85,"Tier S (Kim Cương: 85-100đ)",IF(P2320&gt;=70,"Tier A (Vàng: 70-84đ)",IF(P2320&gt;=61,"Tier B+ / Cấp A (Hot Lead: 61-69đ)",IF(P2320&gt;=50,"Tier B (Bạc: 50-60đ)","Tier C (Đồng: 30-49đ)")))))</f>
        <v/>
      </c>
      <c r="R2320" s="9" t="inlineStr">
        <is>
          <t>Khay vệ sinh chung cư (Indoor Potty) + Thảm cỏ ban công (Grass Patch) + Đồ chơi</t>
        </is>
      </c>
      <c r="S2320" s="9" t="inlineStr">
        <is>
          <t>Đóng băng tương tác (&gt;30 ngày): Lưu trữ chờ kích hoạt lại, không tốn tài nguyên Sales</t>
        </is>
      </c>
    </row>
    <row r="2321">
      <c r="A2321" s="53" t="n">
        <v>1403</v>
      </c>
      <c r="B2321" s="12" t="inlineStr">
        <is>
          <t>Florida Classic Cluster of Dog Shows</t>
        </is>
      </c>
      <c r="C2321" s="54" t="inlineStr">
        <is>
          <t>https://www.facebook.com/profile.php?id=100075816973281</t>
        </is>
      </c>
      <c r="D2321" s="6" t="inlineStr">
        <is>
          <t>Cần quét Bio Fanpage</t>
        </is>
      </c>
      <c r="E2321" s="53" t="inlineStr">
        <is>
          <t>04/01/2017 05:16:00</t>
        </is>
      </c>
      <c r="F2321" s="53" t="inlineStr">
        <is>
          <t>4 Tháng 1, 2017 lúc 05:16</t>
        </is>
      </c>
      <c r="G2321" s="55" t="n">
        <v>365</v>
      </c>
      <c r="H2321" s="56" t="n">
        <v>0</v>
      </c>
      <c r="I2321" s="6" t="inlineStr">
        <is>
          <t>Pet Owner / Cộng đồng nuôi cún (10đ)</t>
        </is>
      </c>
      <c r="J2321" s="56" t="n">
        <v>10</v>
      </c>
      <c r="K2321" s="6" t="inlineStr">
        <is>
          <t>Chưa rõ giống (Cần quét Bio)</t>
        </is>
      </c>
      <c r="L2321" s="56" t="n">
        <v>0</v>
      </c>
      <c r="M2321" s="56" t="n">
        <v>0</v>
      </c>
      <c r="N2321" s="6" t="inlineStr">
        <is>
          <t>Amazon link not found</t>
        </is>
      </c>
      <c r="O2321" s="56">
        <f>IF(N2321="Selling pet toys + Artificial grass/Pet toilets (TARGET)",15,IF(N2321="Selling artificial grass/pet toilets (TARGET)",10,IF(N2321="Selling pet toys",7,IF(N2321="There's an Amazon link, but no target sales.",3,0))))</f>
        <v/>
      </c>
      <c r="P2321" s="65">
        <f>H2321+J2321+L2321+M2321+O2321</f>
        <v/>
      </c>
      <c r="Q2321" s="68">
        <f>IF(OR(H2321=0,P2321&lt;30),"Tier D (Đóng băng)",IF(P2321&gt;=85,"Tier S (Kim Cương: 85-100đ)",IF(P2321&gt;=70,"Tier A (Vàng: 70-84đ)",IF(P2321&gt;=61,"Tier B+ / Cấp A (Hot Lead: 61-69đ)",IF(P2321&gt;=50,"Tier B (Bạc: 50-60đ)","Tier C (Đồng: 30-49đ)")))))</f>
        <v/>
      </c>
      <c r="R2321" s="6" t="inlineStr">
        <is>
          <t>Khay vệ sinh chung cư (Indoor Potty) + Thảm cỏ ban công (Grass Patch) + Đồ chơi</t>
        </is>
      </c>
      <c r="S2321" s="6" t="inlineStr">
        <is>
          <t>Đóng băng tương tác (&gt;30 ngày): Lưu trữ chờ kích hoạt lại, không tốn tài nguyên Sales</t>
        </is>
      </c>
    </row>
    <row r="2322">
      <c r="A2322" s="59" t="n">
        <v>3288</v>
      </c>
      <c r="B2322" s="15" t="inlineStr">
        <is>
          <t>VB Pet Jewellery</t>
        </is>
      </c>
      <c r="C2322" s="60" t="inlineStr">
        <is>
          <t>https://www.facebook.com/VBPETJewelleryCollection</t>
        </is>
      </c>
      <c r="D2322" s="9" t="inlineStr">
        <is>
          <t>Cần quét Bio Fanpage</t>
        </is>
      </c>
      <c r="E2322" s="59" t="inlineStr">
        <is>
          <t>01/05/2016 19:42:00</t>
        </is>
      </c>
      <c r="F2322" s="59" t="inlineStr">
        <is>
          <t>1 Tháng 5, 2016 lúc 19:42</t>
        </is>
      </c>
      <c r="G2322" s="61" t="n">
        <v>365</v>
      </c>
      <c r="H2322" s="62" t="n">
        <v>0</v>
      </c>
      <c r="I2322" s="9" t="inlineStr">
        <is>
          <t>Pet Owner / Cộng đồng nuôi cún (10đ)</t>
        </is>
      </c>
      <c r="J2322" s="62" t="n">
        <v>10</v>
      </c>
      <c r="K2322" s="9" t="inlineStr">
        <is>
          <t>Chưa rõ giống (Cần quét Bio)</t>
        </is>
      </c>
      <c r="L2322" s="62" t="n">
        <v>0</v>
      </c>
      <c r="M2322" s="62" t="n">
        <v>0</v>
      </c>
      <c r="N2322" s="9" t="inlineStr">
        <is>
          <t>Amazon link not found</t>
        </is>
      </c>
      <c r="O2322" s="62">
        <f>IF(N2322="Selling pet toys + Artificial grass/Pet toilets (TARGET)",15,IF(N2322="Selling artificial grass/pet toilets (TARGET)",10,IF(N2322="Selling pet toys",7,IF(N2322="There's an Amazon link, but no target sales.",3,0))))</f>
        <v/>
      </c>
      <c r="P2322" s="67">
        <f>H2322+J2322+L2322+M2322+O2322</f>
        <v/>
      </c>
      <c r="Q2322" s="68">
        <f>IF(OR(H2322=0,P2322&lt;30),"Tier D (Đóng băng)",IF(P2322&gt;=85,"Tier S (Kim Cương: 85-100đ)",IF(P2322&gt;=70,"Tier A (Vàng: 70-84đ)",IF(P2322&gt;=61,"Tier B+ / Cấp A (Hot Lead: 61-69đ)",IF(P2322&gt;=50,"Tier B (Bạc: 50-60đ)","Tier C (Đồng: 30-49đ)")))))</f>
        <v/>
      </c>
      <c r="R2322" s="9" t="inlineStr">
        <is>
          <t>Khay vệ sinh chung cư (Indoor Potty) + Thảm cỏ ban công (Grass Patch) + Đồ chơi</t>
        </is>
      </c>
      <c r="S2322" s="9" t="inlineStr">
        <is>
          <t>Đóng băng tương tác (&gt;30 ngày): Lưu trữ chờ kích hoạt lại, không tốn tài nguyên Sales</t>
        </is>
      </c>
    </row>
    <row r="2323">
      <c r="A2323" s="53" t="n">
        <v>1191</v>
      </c>
      <c r="B2323" s="12" t="inlineStr">
        <is>
          <t>Dogshowbook</t>
        </is>
      </c>
      <c r="C2323" s="54" t="inlineStr">
        <is>
          <t>https://www.facebook.com/dogshowbook</t>
        </is>
      </c>
      <c r="D2323" s="6" t="inlineStr">
        <is>
          <t>Cần quét Bio Fanpage</t>
        </is>
      </c>
      <c r="E2323" s="53" t="inlineStr">
        <is>
          <t>24/10/2014 16:03:00</t>
        </is>
      </c>
      <c r="F2323" s="53" t="inlineStr">
        <is>
          <t>24 Tháng 10, 2014 lúc 16:03</t>
        </is>
      </c>
      <c r="G2323" s="55" t="n">
        <v>365</v>
      </c>
      <c r="H2323" s="56" t="n">
        <v>0</v>
      </c>
      <c r="I2323" s="6" t="inlineStr">
        <is>
          <t>Pet Owner / Cộng đồng nuôi cún (10đ)</t>
        </is>
      </c>
      <c r="J2323" s="56" t="n">
        <v>10</v>
      </c>
      <c r="K2323" s="6" t="inlineStr">
        <is>
          <t>Chưa rõ giống (Cần quét Bio)</t>
        </is>
      </c>
      <c r="L2323" s="56" t="n">
        <v>0</v>
      </c>
      <c r="M2323" s="56" t="n">
        <v>0</v>
      </c>
      <c r="N2323" s="6" t="inlineStr">
        <is>
          <t>Amazon link not found</t>
        </is>
      </c>
      <c r="O2323" s="56">
        <f>IF(N2323="Selling pet toys + Artificial grass/Pet toilets (TARGET)",15,IF(N2323="Selling artificial grass/pet toilets (TARGET)",10,IF(N2323="Selling pet toys",7,IF(N2323="There's an Amazon link, but no target sales.",3,0))))</f>
        <v/>
      </c>
      <c r="P2323" s="65">
        <f>H2323+J2323+L2323+M2323+O2323</f>
        <v/>
      </c>
      <c r="Q2323" s="68">
        <f>IF(OR(H2323=0,P2323&lt;30),"Tier D (Đóng băng)",IF(P2323&gt;=85,"Tier S (Kim Cương: 85-100đ)",IF(P2323&gt;=70,"Tier A (Vàng: 70-84đ)",IF(P2323&gt;=61,"Tier B+ / Cấp A (Hot Lead: 61-69đ)",IF(P2323&gt;=50,"Tier B (Bạc: 50-60đ)","Tier C (Đồng: 30-49đ)")))))</f>
        <v/>
      </c>
      <c r="R2323" s="6" t="inlineStr">
        <is>
          <t>Khay vệ sinh chung cư (Indoor Potty) + Thảm cỏ ban công (Grass Patch) + Đồ chơi</t>
        </is>
      </c>
      <c r="S2323" s="6" t="inlineStr">
        <is>
          <t>Đóng băng tương tác (&gt;30 ngày): Lưu trữ chờ kích hoạt lại, không tốn tài nguyên Sales</t>
        </is>
      </c>
    </row>
    <row r="2324">
      <c r="A2324" s="59" t="n">
        <v>866</v>
      </c>
      <c r="B2324" s="15" t="inlineStr">
        <is>
          <t>Celebrate Dogs</t>
        </is>
      </c>
      <c r="C2324" s="60" t="inlineStr">
        <is>
          <t>https://www.facebook.com/CelebrateDogs</t>
        </is>
      </c>
      <c r="D2324" s="9" t="inlineStr">
        <is>
          <t>Cần quét Bio Fanpage</t>
        </is>
      </c>
      <c r="E2324" s="59" t="inlineStr">
        <is>
          <t>17/12/2012 05:13:00</t>
        </is>
      </c>
      <c r="F2324" s="59" t="inlineStr">
        <is>
          <t>17 Tháng 12, 2012 lúc 05:13</t>
        </is>
      </c>
      <c r="G2324" s="61" t="n">
        <v>365</v>
      </c>
      <c r="H2324" s="62" t="n">
        <v>0</v>
      </c>
      <c r="I2324" s="9" t="inlineStr">
        <is>
          <t>Pet Owner / Cộng đồng nuôi cún (10đ)</t>
        </is>
      </c>
      <c r="J2324" s="62" t="n">
        <v>10</v>
      </c>
      <c r="K2324" s="9" t="inlineStr">
        <is>
          <t>Chưa rõ giống (Cần quét Bio)</t>
        </is>
      </c>
      <c r="L2324" s="62" t="n">
        <v>0</v>
      </c>
      <c r="M2324" s="62" t="n">
        <v>0</v>
      </c>
      <c r="N2324" s="9" t="inlineStr">
        <is>
          <t>Amazon link not found</t>
        </is>
      </c>
      <c r="O2324" s="62">
        <f>IF(N2324="Selling pet toys + Artificial grass/Pet toilets (TARGET)",15,IF(N2324="Selling artificial grass/pet toilets (TARGET)",10,IF(N2324="Selling pet toys",7,IF(N2324="There's an Amazon link, but no target sales.",3,0))))</f>
        <v/>
      </c>
      <c r="P2324" s="67">
        <f>H2324+J2324+L2324+M2324+O2324</f>
        <v/>
      </c>
      <c r="Q2324" s="68">
        <f>IF(OR(H2324=0,P2324&lt;30),"Tier D (Đóng băng)",IF(P2324&gt;=85,"Tier S (Kim Cương: 85-100đ)",IF(P2324&gt;=70,"Tier A (Vàng: 70-84đ)",IF(P2324&gt;=61,"Tier B+ / Cấp A (Hot Lead: 61-69đ)",IF(P2324&gt;=50,"Tier B (Bạc: 50-60đ)","Tier C (Đồng: 30-49đ)")))))</f>
        <v/>
      </c>
      <c r="R2324" s="9" t="inlineStr">
        <is>
          <t>Khay vệ sinh chung cư (Indoor Potty) + Thảm cỏ ban công (Grass Patch) + Đồ chơi</t>
        </is>
      </c>
      <c r="S2324" s="9" t="inlineStr">
        <is>
          <t>Đóng băng tương tác (&gt;30 ngày): Lưu trữ chờ kích hoạt lại, không tốn tài nguyên Sales</t>
        </is>
      </c>
    </row>
    <row r="2325">
      <c r="A2325" s="53" t="n">
        <v>3549</v>
      </c>
      <c r="B2325" s="12" t="inlineStr">
        <is>
          <t>Dog Guard of Taylorville</t>
        </is>
      </c>
      <c r="C2325" s="54" t="inlineStr">
        <is>
          <t>https://www.facebook.com/profile.php?id=100075816137792</t>
        </is>
      </c>
      <c r="D2325" s="6" t="inlineStr">
        <is>
          <t>Cần quét Bio Fanpage</t>
        </is>
      </c>
      <c r="E2325" s="53" t="inlineStr">
        <is>
          <t>28/09/1999 07:18:20</t>
        </is>
      </c>
      <c r="F2325" s="53" t="inlineStr">
        <is>
          <t>1411 W trước</t>
        </is>
      </c>
      <c r="G2325" s="55" t="n">
        <v>365</v>
      </c>
      <c r="H2325" s="56" t="n">
        <v>0</v>
      </c>
      <c r="I2325" s="6" t="inlineStr">
        <is>
          <t>Pet Owner / Cộng đồng nuôi cún (10đ)</t>
        </is>
      </c>
      <c r="J2325" s="56" t="n">
        <v>10</v>
      </c>
      <c r="K2325" s="6" t="inlineStr">
        <is>
          <t>Chưa rõ giống (Cần quét Bio)</t>
        </is>
      </c>
      <c r="L2325" s="56" t="n">
        <v>0</v>
      </c>
      <c r="M2325" s="56" t="n">
        <v>0</v>
      </c>
      <c r="N2325" s="6" t="inlineStr">
        <is>
          <t>Amazon link not found</t>
        </is>
      </c>
      <c r="O2325" s="56">
        <f>IF(N2325="Selling pet toys + Artificial grass/Pet toilets (TARGET)",15,IF(N2325="Selling artificial grass/pet toilets (TARGET)",10,IF(N2325="Selling pet toys",7,IF(N2325="There's an Amazon link, but no target sales.",3,0))))</f>
        <v/>
      </c>
      <c r="P2325" s="65">
        <f>H2325+J2325+L2325+M2325+O2325</f>
        <v/>
      </c>
      <c r="Q2325" s="68">
        <f>IF(OR(H2325=0,P2325&lt;30),"Tier D (Đóng băng)",IF(P2325&gt;=85,"Tier S (Kim Cương: 85-100đ)",IF(P2325&gt;=70,"Tier A (Vàng: 70-84đ)",IF(P2325&gt;=61,"Tier B+ / Cấp A (Hot Lead: 61-69đ)",IF(P2325&gt;=50,"Tier B (Bạc: 50-60đ)","Tier C (Đồng: 30-49đ)")))))</f>
        <v/>
      </c>
      <c r="R2325" s="6" t="inlineStr">
        <is>
          <t>Khay vệ sinh chung cư (Indoor Potty) + Thảm cỏ ban công (Grass Patch) + Đồ chơi</t>
        </is>
      </c>
      <c r="S2325" s="6" t="inlineStr">
        <is>
          <t>Đóng băng tương tác (&gt;30 ngày): Lưu trữ chờ kích hoạt lại, không tốn tài nguyên Sales</t>
        </is>
      </c>
    </row>
    <row r="2326">
      <c r="A2326" s="59" t="n">
        <v>548</v>
      </c>
      <c r="B2326" s="15" t="inlineStr">
        <is>
          <t>AtlantaLiva Cutepets</t>
        </is>
      </c>
      <c r="C2326" s="60" t="inlineStr">
        <is>
          <t>https://www.facebook.com/profile.php?id=100067333541978</t>
        </is>
      </c>
      <c r="D2326" s="9" t="inlineStr">
        <is>
          <t>Cần quét Bio Fanpage</t>
        </is>
      </c>
      <c r="E2326" s="59" t="inlineStr">
        <is>
          <t>Không tìm thấy bài viết</t>
        </is>
      </c>
      <c r="F2326" s="59" t="inlineStr">
        <is>
          <t>Không có bài</t>
        </is>
      </c>
      <c r="G2326" s="61" t="n">
        <v>999</v>
      </c>
      <c r="H2326" s="62" t="n">
        <v>0</v>
      </c>
      <c r="I2326" s="9" t="inlineStr">
        <is>
          <t>Pet Owner / Cộng đồng nuôi cún (10đ)</t>
        </is>
      </c>
      <c r="J2326" s="62" t="n">
        <v>10</v>
      </c>
      <c r="K2326" s="9" t="inlineStr">
        <is>
          <t>Chưa rõ giống (Cần quét Bio)</t>
        </is>
      </c>
      <c r="L2326" s="62" t="n">
        <v>0</v>
      </c>
      <c r="M2326" s="62" t="n">
        <v>0</v>
      </c>
      <c r="N2326" s="9" t="inlineStr">
        <is>
          <t>Amazon link not found</t>
        </is>
      </c>
      <c r="O2326" s="62">
        <f>IF(N2326="Selling pet toys + Artificial grass/Pet toilets (TARGET)",15,IF(N2326="Selling artificial grass/pet toilets (TARGET)",10,IF(N2326="Selling pet toys",7,IF(N2326="There's an Amazon link, but no target sales.",3,0))))</f>
        <v/>
      </c>
      <c r="P2326" s="67">
        <f>H2326+J2326+L2326+M2326+O2326</f>
        <v/>
      </c>
      <c r="Q2326" s="68">
        <f>IF(OR(H2326=0,P2326&lt;30),"Tier D (Đóng băng)",IF(P2326&gt;=85,"Tier S (Kim Cương: 85-100đ)",IF(P2326&gt;=70,"Tier A (Vàng: 70-84đ)",IF(P2326&gt;=61,"Tier B+ / Cấp A (Hot Lead: 61-69đ)",IF(P2326&gt;=50,"Tier B (Bạc: 50-60đ)","Tier C (Đồng: 30-49đ)")))))</f>
        <v/>
      </c>
      <c r="R2326" s="9" t="inlineStr">
        <is>
          <t>Khay vệ sinh chung cư (Indoor Potty) + Thảm cỏ ban công (Grass Patch) + Đồ chơi</t>
        </is>
      </c>
      <c r="S2326" s="9" t="inlineStr">
        <is>
          <t>Đóng băng tương tác (&gt;30 ngày): Lưu trữ chờ kích hoạt lại, không tốn tài nguyên Sales</t>
        </is>
      </c>
    </row>
    <row r="2327">
      <c r="A2327" s="53" t="n">
        <v>821</v>
      </c>
      <c r="B2327" s="12" t="inlineStr">
        <is>
          <t>Canali Dogpro</t>
        </is>
      </c>
      <c r="C2327" s="54" t="inlineStr">
        <is>
          <t>https://www.facebook.com/profile.php?id=100057551603252</t>
        </is>
      </c>
      <c r="D2327" s="6" t="inlineStr">
        <is>
          <t>Cần quét Bio Fanpage</t>
        </is>
      </c>
      <c r="E2327" s="53" t="inlineStr">
        <is>
          <t>Không tìm thấy bài viết</t>
        </is>
      </c>
      <c r="F2327" s="53" t="inlineStr">
        <is>
          <t>Không có bài</t>
        </is>
      </c>
      <c r="G2327" s="55" t="n">
        <v>999</v>
      </c>
      <c r="H2327" s="56" t="n">
        <v>0</v>
      </c>
      <c r="I2327" s="6" t="inlineStr">
        <is>
          <t>Pet Owner / Cộng đồng nuôi cún (10đ)</t>
        </is>
      </c>
      <c r="J2327" s="56" t="n">
        <v>10</v>
      </c>
      <c r="K2327" s="6" t="inlineStr">
        <is>
          <t>Chưa rõ giống (Cần quét Bio)</t>
        </is>
      </c>
      <c r="L2327" s="56" t="n">
        <v>0</v>
      </c>
      <c r="M2327" s="56" t="n">
        <v>0</v>
      </c>
      <c r="N2327" s="6" t="inlineStr">
        <is>
          <t>Amazon link not found</t>
        </is>
      </c>
      <c r="O2327" s="56">
        <f>IF(N2327="Selling pet toys + Artificial grass/Pet toilets (TARGET)",15,IF(N2327="Selling artificial grass/pet toilets (TARGET)",10,IF(N2327="Selling pet toys",7,IF(N2327="There's an Amazon link, but no target sales.",3,0))))</f>
        <v/>
      </c>
      <c r="P2327" s="65">
        <f>H2327+J2327+L2327+M2327+O2327</f>
        <v/>
      </c>
      <c r="Q2327" s="68">
        <f>IF(OR(H2327=0,P2327&lt;30),"Tier D (Đóng băng)",IF(P2327&gt;=85,"Tier S (Kim Cương: 85-100đ)",IF(P2327&gt;=70,"Tier A (Vàng: 70-84đ)",IF(P2327&gt;=61,"Tier B+ / Cấp A (Hot Lead: 61-69đ)",IF(P2327&gt;=50,"Tier B (Bạc: 50-60đ)","Tier C (Đồng: 30-49đ)")))))</f>
        <v/>
      </c>
      <c r="R2327" s="6" t="inlineStr">
        <is>
          <t>Khay vệ sinh chung cư (Indoor Potty) + Thảm cỏ ban công (Grass Patch) + Đồ chơi</t>
        </is>
      </c>
      <c r="S2327" s="6" t="inlineStr">
        <is>
          <t>Đóng băng tương tác (&gt;30 ngày): Lưu trữ chờ kích hoạt lại, không tốn tài nguyên Sales</t>
        </is>
      </c>
    </row>
    <row r="2328">
      <c r="A2328" s="59" t="n">
        <v>1048</v>
      </c>
      <c r="B2328" s="15" t="inlineStr">
        <is>
          <t>dogANGEL10</t>
        </is>
      </c>
      <c r="C2328" s="60" t="inlineStr">
        <is>
          <t>https://www.facebook.com/dogANGEL10</t>
        </is>
      </c>
      <c r="D2328" s="9" t="inlineStr">
        <is>
          <t>Cần quét Bio Fanpage</t>
        </is>
      </c>
      <c r="E2328" s="59" t="inlineStr">
        <is>
          <t>Không tìm thấy bài viết</t>
        </is>
      </c>
      <c r="F2328" s="59" t="inlineStr">
        <is>
          <t>Không có bài</t>
        </is>
      </c>
      <c r="G2328" s="61" t="n">
        <v>999</v>
      </c>
      <c r="H2328" s="62" t="n">
        <v>0</v>
      </c>
      <c r="I2328" s="9" t="inlineStr">
        <is>
          <t>Pet Owner / Cộng đồng nuôi cún (10đ)</t>
        </is>
      </c>
      <c r="J2328" s="62" t="n">
        <v>10</v>
      </c>
      <c r="K2328" s="9" t="inlineStr">
        <is>
          <t>Chưa rõ giống (Cần quét Bio)</t>
        </is>
      </c>
      <c r="L2328" s="62" t="n">
        <v>0</v>
      </c>
      <c r="M2328" s="62" t="n">
        <v>0</v>
      </c>
      <c r="N2328" s="9" t="inlineStr">
        <is>
          <t>Amazon link not found</t>
        </is>
      </c>
      <c r="O2328" s="62">
        <f>IF(N2328="Selling pet toys + Artificial grass/Pet toilets (TARGET)",15,IF(N2328="Selling artificial grass/pet toilets (TARGET)",10,IF(N2328="Selling pet toys",7,IF(N2328="There's an Amazon link, but no target sales.",3,0))))</f>
        <v/>
      </c>
      <c r="P2328" s="67">
        <f>H2328+J2328+L2328+M2328+O2328</f>
        <v/>
      </c>
      <c r="Q2328" s="68">
        <f>IF(OR(H2328=0,P2328&lt;30),"Tier D (Đóng băng)",IF(P2328&gt;=85,"Tier S (Kim Cương: 85-100đ)",IF(P2328&gt;=70,"Tier A (Vàng: 70-84đ)",IF(P2328&gt;=61,"Tier B+ / Cấp A (Hot Lead: 61-69đ)",IF(P2328&gt;=50,"Tier B (Bạc: 50-60đ)","Tier C (Đồng: 30-49đ)")))))</f>
        <v/>
      </c>
      <c r="R2328" s="9" t="inlineStr">
        <is>
          <t>Khay vệ sinh chung cư (Indoor Potty) + Thảm cỏ ban công (Grass Patch) + Đồ chơi</t>
        </is>
      </c>
      <c r="S2328" s="9" t="inlineStr">
        <is>
          <t>Đóng băng tương tác (&gt;30 ngày): Lưu trữ chờ kích hoạt lại, không tốn tài nguyên Sales</t>
        </is>
      </c>
    </row>
    <row r="2329">
      <c r="A2329" s="53" t="n">
        <v>1065</v>
      </c>
      <c r="B2329" s="12" t="inlineStr">
        <is>
          <t>Dog Guard of Atlanta</t>
        </is>
      </c>
      <c r="C2329" s="54" t="inlineStr">
        <is>
          <t>https://www.facebook.com/profile.php?id=100076356000750</t>
        </is>
      </c>
      <c r="D2329" s="6" t="inlineStr">
        <is>
          <t>Cần quét Bio Fanpage</t>
        </is>
      </c>
      <c r="E2329" s="53" t="inlineStr">
        <is>
          <t>Không tìm thấy bài viết</t>
        </is>
      </c>
      <c r="F2329" s="53" t="inlineStr">
        <is>
          <t>Không có bài</t>
        </is>
      </c>
      <c r="G2329" s="55" t="n">
        <v>999</v>
      </c>
      <c r="H2329" s="56" t="n">
        <v>0</v>
      </c>
      <c r="I2329" s="6" t="inlineStr">
        <is>
          <t>Pet Owner / Cộng đồng nuôi cún (10đ)</t>
        </is>
      </c>
      <c r="J2329" s="56" t="n">
        <v>10</v>
      </c>
      <c r="K2329" s="6" t="inlineStr">
        <is>
          <t>Chưa rõ giống (Cần quét Bio)</t>
        </is>
      </c>
      <c r="L2329" s="56" t="n">
        <v>0</v>
      </c>
      <c r="M2329" s="56" t="n">
        <v>0</v>
      </c>
      <c r="N2329" s="6" t="inlineStr">
        <is>
          <t>Amazon link not found</t>
        </is>
      </c>
      <c r="O2329" s="56">
        <f>IF(N2329="Selling pet toys + Artificial grass/Pet toilets (TARGET)",15,IF(N2329="Selling artificial grass/pet toilets (TARGET)",10,IF(N2329="Selling pet toys",7,IF(N2329="There's an Amazon link, but no target sales.",3,0))))</f>
        <v/>
      </c>
      <c r="P2329" s="65">
        <f>H2329+J2329+L2329+M2329+O2329</f>
        <v/>
      </c>
      <c r="Q2329" s="68">
        <f>IF(OR(H2329=0,P2329&lt;30),"Tier D (Đóng băng)",IF(P2329&gt;=85,"Tier S (Kim Cương: 85-100đ)",IF(P2329&gt;=70,"Tier A (Vàng: 70-84đ)",IF(P2329&gt;=61,"Tier B+ / Cấp A (Hot Lead: 61-69đ)",IF(P2329&gt;=50,"Tier B (Bạc: 50-60đ)","Tier C (Đồng: 30-49đ)")))))</f>
        <v/>
      </c>
      <c r="R2329" s="6" t="inlineStr">
        <is>
          <t>Khay vệ sinh chung cư (Indoor Potty) + Thảm cỏ ban công (Grass Patch) + Đồ chơi</t>
        </is>
      </c>
      <c r="S2329" s="6" t="inlineStr">
        <is>
          <t>Đóng băng tương tác (&gt;30 ngày): Lưu trữ chờ kích hoạt lại, không tốn tài nguyên Sales</t>
        </is>
      </c>
    </row>
    <row r="2330">
      <c r="A2330" s="59" t="n">
        <v>1066</v>
      </c>
      <c r="B2330" s="15" t="inlineStr">
        <is>
          <t>Dog Guard of Central Florida</t>
        </is>
      </c>
      <c r="C2330" s="60" t="inlineStr">
        <is>
          <t>https://www.facebook.com/dogguardofcf</t>
        </is>
      </c>
      <c r="D2330" s="9" t="inlineStr">
        <is>
          <t>Cần quét Bio Fanpage</t>
        </is>
      </c>
      <c r="E2330" s="59" t="inlineStr">
        <is>
          <t>Không tìm thấy bài viết</t>
        </is>
      </c>
      <c r="F2330" s="59" t="inlineStr">
        <is>
          <t>Không có bài</t>
        </is>
      </c>
      <c r="G2330" s="61" t="n">
        <v>999</v>
      </c>
      <c r="H2330" s="62" t="n">
        <v>0</v>
      </c>
      <c r="I2330" s="9" t="inlineStr">
        <is>
          <t>Pet Owner / Cộng đồng nuôi cún (10đ)</t>
        </is>
      </c>
      <c r="J2330" s="62" t="n">
        <v>10</v>
      </c>
      <c r="K2330" s="9" t="inlineStr">
        <is>
          <t>Chưa rõ giống (Cần quét Bio)</t>
        </is>
      </c>
      <c r="L2330" s="62" t="n">
        <v>0</v>
      </c>
      <c r="M2330" s="62" t="n">
        <v>0</v>
      </c>
      <c r="N2330" s="9" t="inlineStr">
        <is>
          <t>Amazon link not found</t>
        </is>
      </c>
      <c r="O2330" s="62">
        <f>IF(N2330="Selling pet toys + Artificial grass/Pet toilets (TARGET)",15,IF(N2330="Selling artificial grass/pet toilets (TARGET)",10,IF(N2330="Selling pet toys",7,IF(N2330="There's an Amazon link, but no target sales.",3,0))))</f>
        <v/>
      </c>
      <c r="P2330" s="67">
        <f>H2330+J2330+L2330+M2330+O2330</f>
        <v/>
      </c>
      <c r="Q2330" s="68">
        <f>IF(OR(H2330=0,P2330&lt;30),"Tier D (Đóng băng)",IF(P2330&gt;=85,"Tier S (Kim Cương: 85-100đ)",IF(P2330&gt;=70,"Tier A (Vàng: 70-84đ)",IF(P2330&gt;=61,"Tier B+ / Cấp A (Hot Lead: 61-69đ)",IF(P2330&gt;=50,"Tier B (Bạc: 50-60đ)","Tier C (Đồng: 30-49đ)")))))</f>
        <v/>
      </c>
      <c r="R2330" s="9" t="inlineStr">
        <is>
          <t>Khay vệ sinh chung cư (Indoor Potty) + Thảm cỏ ban công (Grass Patch) + Đồ chơi</t>
        </is>
      </c>
      <c r="S2330" s="9" t="inlineStr">
        <is>
          <t>Đóng băng tương tác (&gt;30 ngày): Lưu trữ chờ kích hoạt lại, không tốn tài nguyên Sales</t>
        </is>
      </c>
    </row>
    <row r="2331">
      <c r="A2331" s="53" t="n">
        <v>1067</v>
      </c>
      <c r="B2331" s="12" t="inlineStr">
        <is>
          <t>Dog Guard of Eastern Florida</t>
        </is>
      </c>
      <c r="C2331" s="54" t="inlineStr">
        <is>
          <t>https://www.facebook.com/dogguardflorida</t>
        </is>
      </c>
      <c r="D2331" s="6" t="inlineStr">
        <is>
          <t>Cần quét Bio Fanpage</t>
        </is>
      </c>
      <c r="E2331" s="53" t="inlineStr">
        <is>
          <t>Không tìm thấy bài viết</t>
        </is>
      </c>
      <c r="F2331" s="53" t="inlineStr">
        <is>
          <t>Không có bài</t>
        </is>
      </c>
      <c r="G2331" s="55" t="n">
        <v>999</v>
      </c>
      <c r="H2331" s="56" t="n">
        <v>0</v>
      </c>
      <c r="I2331" s="6" t="inlineStr">
        <is>
          <t>Pet Owner / Cộng đồng nuôi cún (10đ)</t>
        </is>
      </c>
      <c r="J2331" s="56" t="n">
        <v>10</v>
      </c>
      <c r="K2331" s="6" t="inlineStr">
        <is>
          <t>Chưa rõ giống (Cần quét Bio)</t>
        </is>
      </c>
      <c r="L2331" s="56" t="n">
        <v>0</v>
      </c>
      <c r="M2331" s="56" t="n">
        <v>0</v>
      </c>
      <c r="N2331" s="6" t="inlineStr">
        <is>
          <t>Amazon link not found</t>
        </is>
      </c>
      <c r="O2331" s="56">
        <f>IF(N2331="Selling pet toys + Artificial grass/Pet toilets (TARGET)",15,IF(N2331="Selling artificial grass/pet toilets (TARGET)",10,IF(N2331="Selling pet toys",7,IF(N2331="There's an Amazon link, but no target sales.",3,0))))</f>
        <v/>
      </c>
      <c r="P2331" s="65">
        <f>H2331+J2331+L2331+M2331+O2331</f>
        <v/>
      </c>
      <c r="Q2331" s="68">
        <f>IF(OR(H2331=0,P2331&lt;30),"Tier D (Đóng băng)",IF(P2331&gt;=85,"Tier S (Kim Cương: 85-100đ)",IF(P2331&gt;=70,"Tier A (Vàng: 70-84đ)",IF(P2331&gt;=61,"Tier B+ / Cấp A (Hot Lead: 61-69đ)",IF(P2331&gt;=50,"Tier B (Bạc: 50-60đ)","Tier C (Đồng: 30-49đ)")))))</f>
        <v/>
      </c>
      <c r="R2331" s="6" t="inlineStr">
        <is>
          <t>Khay vệ sinh chung cư (Indoor Potty) + Thảm cỏ ban công (Grass Patch) + Đồ chơi</t>
        </is>
      </c>
      <c r="S2331" s="6" t="inlineStr">
        <is>
          <t>Đóng băng tương tác (&gt;30 ngày): Lưu trữ chờ kích hoạt lại, không tốn tài nguyên Sales</t>
        </is>
      </c>
    </row>
    <row r="2332">
      <c r="A2332" s="59" t="n">
        <v>1071</v>
      </c>
      <c r="B2332" s="15" t="inlineStr">
        <is>
          <t>Dog Guard of Out of Sight Fencing Oklahoma</t>
        </is>
      </c>
      <c r="C2332" s="60" t="inlineStr">
        <is>
          <t>https://www.facebook.com/profile.php?id=100076173065285</t>
        </is>
      </c>
      <c r="D2332" s="9" t="inlineStr">
        <is>
          <t>Cần quét Bio Fanpage</t>
        </is>
      </c>
      <c r="E2332" s="59" t="inlineStr">
        <is>
          <t>Không tìm thấy bài viết</t>
        </is>
      </c>
      <c r="F2332" s="59" t="inlineStr">
        <is>
          <t>Không có bài</t>
        </is>
      </c>
      <c r="G2332" s="61" t="n">
        <v>999</v>
      </c>
      <c r="H2332" s="62" t="n">
        <v>0</v>
      </c>
      <c r="I2332" s="9" t="inlineStr">
        <is>
          <t>Pet Owner / Cộng đồng nuôi cún (10đ)</t>
        </is>
      </c>
      <c r="J2332" s="62" t="n">
        <v>10</v>
      </c>
      <c r="K2332" s="9" t="inlineStr">
        <is>
          <t>Chưa rõ giống (Cần quét Bio)</t>
        </is>
      </c>
      <c r="L2332" s="62" t="n">
        <v>0</v>
      </c>
      <c r="M2332" s="62" t="n">
        <v>0</v>
      </c>
      <c r="N2332" s="9" t="inlineStr">
        <is>
          <t>Amazon link not found</t>
        </is>
      </c>
      <c r="O2332" s="62">
        <f>IF(N2332="Selling pet toys + Artificial grass/Pet toilets (TARGET)",15,IF(N2332="Selling artificial grass/pet toilets (TARGET)",10,IF(N2332="Selling pet toys",7,IF(N2332="There's an Amazon link, but no target sales.",3,0))))</f>
        <v/>
      </c>
      <c r="P2332" s="67">
        <f>H2332+J2332+L2332+M2332+O2332</f>
        <v/>
      </c>
      <c r="Q2332" s="68">
        <f>IF(OR(H2332=0,P2332&lt;30),"Tier D (Đóng băng)",IF(P2332&gt;=85,"Tier S (Kim Cương: 85-100đ)",IF(P2332&gt;=70,"Tier A (Vàng: 70-84đ)",IF(P2332&gt;=61,"Tier B+ / Cấp A (Hot Lead: 61-69đ)",IF(P2332&gt;=50,"Tier B (Bạc: 50-60đ)","Tier C (Đồng: 30-49đ)")))))</f>
        <v/>
      </c>
      <c r="R2332" s="9" t="inlineStr">
        <is>
          <t>Khay vệ sinh chung cư (Indoor Potty) + Thảm cỏ ban công (Grass Patch) + Đồ chơi</t>
        </is>
      </c>
      <c r="S2332" s="9" t="inlineStr">
        <is>
          <t>Đóng băng tương tác (&gt;30 ngày): Lưu trữ chờ kích hoạt lại, không tốn tài nguyên Sales</t>
        </is>
      </c>
    </row>
    <row r="2333">
      <c r="A2333" s="53" t="n">
        <v>1072</v>
      </c>
      <c r="B2333" s="12" t="inlineStr">
        <is>
          <t>Dog Guard of Seattle</t>
        </is>
      </c>
      <c r="C2333" s="54" t="inlineStr">
        <is>
          <t>https://www.facebook.com/profile.php?id=100076255297534</t>
        </is>
      </c>
      <c r="D2333" s="6" t="inlineStr">
        <is>
          <t>Cần quét Bio Fanpage</t>
        </is>
      </c>
      <c r="E2333" s="53" t="inlineStr">
        <is>
          <t>Không tìm thấy bài viết</t>
        </is>
      </c>
      <c r="F2333" s="53" t="inlineStr">
        <is>
          <t>Không có bài</t>
        </is>
      </c>
      <c r="G2333" s="55" t="n">
        <v>999</v>
      </c>
      <c r="H2333" s="56" t="n">
        <v>0</v>
      </c>
      <c r="I2333" s="6" t="inlineStr">
        <is>
          <t>Pet Owner / Cộng đồng nuôi cún (10đ)</t>
        </is>
      </c>
      <c r="J2333" s="56" t="n">
        <v>10</v>
      </c>
      <c r="K2333" s="6" t="inlineStr">
        <is>
          <t>Chưa rõ giống (Cần quét Bio)</t>
        </is>
      </c>
      <c r="L2333" s="56" t="n">
        <v>0</v>
      </c>
      <c r="M2333" s="56" t="n">
        <v>0</v>
      </c>
      <c r="N2333" s="6" t="inlineStr">
        <is>
          <t>Amazon link not found</t>
        </is>
      </c>
      <c r="O2333" s="56">
        <f>IF(N2333="Selling pet toys + Artificial grass/Pet toilets (TARGET)",15,IF(N2333="Selling artificial grass/pet toilets (TARGET)",10,IF(N2333="Selling pet toys",7,IF(N2333="There's an Amazon link, but no target sales.",3,0))))</f>
        <v/>
      </c>
      <c r="P2333" s="65">
        <f>H2333+J2333+L2333+M2333+O2333</f>
        <v/>
      </c>
      <c r="Q2333" s="68">
        <f>IF(OR(H2333=0,P2333&lt;30),"Tier D (Đóng băng)",IF(P2333&gt;=85,"Tier S (Kim Cương: 85-100đ)",IF(P2333&gt;=70,"Tier A (Vàng: 70-84đ)",IF(P2333&gt;=61,"Tier B+ / Cấp A (Hot Lead: 61-69đ)",IF(P2333&gt;=50,"Tier B (Bạc: 50-60đ)","Tier C (Đồng: 30-49đ)")))))</f>
        <v/>
      </c>
      <c r="R2333" s="6" t="inlineStr">
        <is>
          <t>Khay vệ sinh chung cư (Indoor Potty) + Thảm cỏ ban công (Grass Patch) + Đồ chơi</t>
        </is>
      </c>
      <c r="S2333" s="6" t="inlineStr">
        <is>
          <t>Đóng băng tương tác (&gt;30 ngày): Lưu trữ chờ kích hoạt lại, không tốn tài nguyên Sales</t>
        </is>
      </c>
    </row>
    <row r="2334">
      <c r="A2334" s="59" t="n">
        <v>1074</v>
      </c>
      <c r="B2334" s="15" t="inlineStr">
        <is>
          <t>Dog Guard of South Bend</t>
        </is>
      </c>
      <c r="C2334" s="60" t="inlineStr">
        <is>
          <t>https://www.facebook.com/profile.php?id=100076196625918</t>
        </is>
      </c>
      <c r="D2334" s="9" t="inlineStr">
        <is>
          <t>Cần quét Bio Fanpage</t>
        </is>
      </c>
      <c r="E2334" s="59" t="inlineStr">
        <is>
          <t>Không tìm thấy bài viết</t>
        </is>
      </c>
      <c r="F2334" s="59" t="inlineStr">
        <is>
          <t>Không có bài</t>
        </is>
      </c>
      <c r="G2334" s="61" t="n">
        <v>999</v>
      </c>
      <c r="H2334" s="62" t="n">
        <v>0</v>
      </c>
      <c r="I2334" s="9" t="inlineStr">
        <is>
          <t>Pet Owner / Cộng đồng nuôi cún (10đ)</t>
        </is>
      </c>
      <c r="J2334" s="62" t="n">
        <v>10</v>
      </c>
      <c r="K2334" s="9" t="inlineStr">
        <is>
          <t>Chưa rõ giống (Cần quét Bio)</t>
        </is>
      </c>
      <c r="L2334" s="62" t="n">
        <v>0</v>
      </c>
      <c r="M2334" s="62" t="n">
        <v>0</v>
      </c>
      <c r="N2334" s="9" t="inlineStr">
        <is>
          <t>Amazon link not found</t>
        </is>
      </c>
      <c r="O2334" s="62">
        <f>IF(N2334="Selling pet toys + Artificial grass/Pet toilets (TARGET)",15,IF(N2334="Selling artificial grass/pet toilets (TARGET)",10,IF(N2334="Selling pet toys",7,IF(N2334="There's an Amazon link, but no target sales.",3,0))))</f>
        <v/>
      </c>
      <c r="P2334" s="67">
        <f>H2334+J2334+L2334+M2334+O2334</f>
        <v/>
      </c>
      <c r="Q2334" s="68">
        <f>IF(OR(H2334=0,P2334&lt;30),"Tier D (Đóng băng)",IF(P2334&gt;=85,"Tier S (Kim Cương: 85-100đ)",IF(P2334&gt;=70,"Tier A (Vàng: 70-84đ)",IF(P2334&gt;=61,"Tier B+ / Cấp A (Hot Lead: 61-69đ)",IF(P2334&gt;=50,"Tier B (Bạc: 50-60đ)","Tier C (Đồng: 30-49đ)")))))</f>
        <v/>
      </c>
      <c r="R2334" s="9" t="inlineStr">
        <is>
          <t>Khay vệ sinh chung cư (Indoor Potty) + Thảm cỏ ban công (Grass Patch) + Đồ chơi</t>
        </is>
      </c>
      <c r="S2334" s="9" t="inlineStr">
        <is>
          <t>Đóng băng tương tác (&gt;30 ngày): Lưu trữ chờ kích hoạt lại, không tốn tài nguyên Sales</t>
        </is>
      </c>
    </row>
    <row r="2335">
      <c r="A2335" s="53" t="n">
        <v>1075</v>
      </c>
      <c r="B2335" s="12" t="inlineStr">
        <is>
          <t>Dog Guard of South Dakota</t>
        </is>
      </c>
      <c r="C2335" s="54" t="inlineStr">
        <is>
          <t>https://www.facebook.com/DogGuardOfSouthDakota</t>
        </is>
      </c>
      <c r="D2335" s="6" t="inlineStr">
        <is>
          <t>Cần quét Bio Fanpage</t>
        </is>
      </c>
      <c r="E2335" s="53" t="inlineStr">
        <is>
          <t>Không tìm thấy bài viết</t>
        </is>
      </c>
      <c r="F2335" s="53" t="inlineStr">
        <is>
          <t>Không có bài</t>
        </is>
      </c>
      <c r="G2335" s="55" t="n">
        <v>999</v>
      </c>
      <c r="H2335" s="56" t="n">
        <v>0</v>
      </c>
      <c r="I2335" s="6" t="inlineStr">
        <is>
          <t>Pet Owner / Cộng đồng nuôi cún (10đ)</t>
        </is>
      </c>
      <c r="J2335" s="56" t="n">
        <v>10</v>
      </c>
      <c r="K2335" s="6" t="inlineStr">
        <is>
          <t>Chưa rõ giống (Cần quét Bio)</t>
        </is>
      </c>
      <c r="L2335" s="56" t="n">
        <v>0</v>
      </c>
      <c r="M2335" s="56" t="n">
        <v>0</v>
      </c>
      <c r="N2335" s="6" t="inlineStr">
        <is>
          <t>Amazon link not found</t>
        </is>
      </c>
      <c r="O2335" s="56">
        <f>IF(N2335="Selling pet toys + Artificial grass/Pet toilets (TARGET)",15,IF(N2335="Selling artificial grass/pet toilets (TARGET)",10,IF(N2335="Selling pet toys",7,IF(N2335="There's an Amazon link, but no target sales.",3,0))))</f>
        <v/>
      </c>
      <c r="P2335" s="65">
        <f>H2335+J2335+L2335+M2335+O2335</f>
        <v/>
      </c>
      <c r="Q2335" s="68">
        <f>IF(OR(H2335=0,P2335&lt;30),"Tier D (Đóng băng)",IF(P2335&gt;=85,"Tier S (Kim Cương: 85-100đ)",IF(P2335&gt;=70,"Tier A (Vàng: 70-84đ)",IF(P2335&gt;=61,"Tier B+ / Cấp A (Hot Lead: 61-69đ)",IF(P2335&gt;=50,"Tier B (Bạc: 50-60đ)","Tier C (Đồng: 30-49đ)")))))</f>
        <v/>
      </c>
      <c r="R2335" s="6" t="inlineStr">
        <is>
          <t>Khay vệ sinh chung cư (Indoor Potty) + Thảm cỏ ban công (Grass Patch) + Đồ chơi</t>
        </is>
      </c>
      <c r="S2335" s="6" t="inlineStr">
        <is>
          <t>Đóng băng tương tác (&gt;30 ngày): Lưu trữ chờ kích hoạt lại, không tốn tài nguyên Sales</t>
        </is>
      </c>
    </row>
    <row r="2336">
      <c r="A2336" s="59" t="n">
        <v>1076</v>
      </c>
      <c r="B2336" s="15" t="inlineStr">
        <is>
          <t>Dog Guard of Spokane</t>
        </is>
      </c>
      <c r="C2336" s="60" t="inlineStr">
        <is>
          <t>https://www.facebook.com/profile.php?id=100075984287024</t>
        </is>
      </c>
      <c r="D2336" s="9" t="inlineStr">
        <is>
          <t>Cần quét Bio Fanpage</t>
        </is>
      </c>
      <c r="E2336" s="59" t="inlineStr">
        <is>
          <t>Không tìm thấy bài viết</t>
        </is>
      </c>
      <c r="F2336" s="59" t="inlineStr">
        <is>
          <t>Không có bài</t>
        </is>
      </c>
      <c r="G2336" s="61" t="n">
        <v>999</v>
      </c>
      <c r="H2336" s="62" t="n">
        <v>0</v>
      </c>
      <c r="I2336" s="9" t="inlineStr">
        <is>
          <t>Pet Owner / Cộng đồng nuôi cún (10đ)</t>
        </is>
      </c>
      <c r="J2336" s="62" t="n">
        <v>10</v>
      </c>
      <c r="K2336" s="9" t="inlineStr">
        <is>
          <t>Chưa rõ giống (Cần quét Bio)</t>
        </is>
      </c>
      <c r="L2336" s="62" t="n">
        <v>0</v>
      </c>
      <c r="M2336" s="62" t="n">
        <v>0</v>
      </c>
      <c r="N2336" s="9" t="inlineStr">
        <is>
          <t>Amazon link not found</t>
        </is>
      </c>
      <c r="O2336" s="62">
        <f>IF(N2336="Selling pet toys + Artificial grass/Pet toilets (TARGET)",15,IF(N2336="Selling artificial grass/pet toilets (TARGET)",10,IF(N2336="Selling pet toys",7,IF(N2336="There's an Amazon link, but no target sales.",3,0))))</f>
        <v/>
      </c>
      <c r="P2336" s="67">
        <f>H2336+J2336+L2336+M2336+O2336</f>
        <v/>
      </c>
      <c r="Q2336" s="68">
        <f>IF(OR(H2336=0,P2336&lt;30),"Tier D (Đóng băng)",IF(P2336&gt;=85,"Tier S (Kim Cương: 85-100đ)",IF(P2336&gt;=70,"Tier A (Vàng: 70-84đ)",IF(P2336&gt;=61,"Tier B+ / Cấp A (Hot Lead: 61-69đ)",IF(P2336&gt;=50,"Tier B (Bạc: 50-60đ)","Tier C (Đồng: 30-49đ)")))))</f>
        <v/>
      </c>
      <c r="R2336" s="9" t="inlineStr">
        <is>
          <t>Khay vệ sinh chung cư (Indoor Potty) + Thảm cỏ ban công (Grass Patch) + Đồ chơi</t>
        </is>
      </c>
      <c r="S2336" s="9" t="inlineStr">
        <is>
          <t>Đóng băng tương tác (&gt;30 ngày): Lưu trữ chờ kích hoạt lại, không tốn tài nguyên Sales</t>
        </is>
      </c>
    </row>
    <row r="2337">
      <c r="A2337" s="53" t="n">
        <v>1079</v>
      </c>
      <c r="B2337" s="12" t="inlineStr">
        <is>
          <t>Dog Guard of Traverse City</t>
        </is>
      </c>
      <c r="C2337" s="54" t="inlineStr">
        <is>
          <t>https://www.facebook.com/profile.php?id=100076575723104</t>
        </is>
      </c>
      <c r="D2337" s="6" t="inlineStr">
        <is>
          <t>Cần quét Bio Fanpage</t>
        </is>
      </c>
      <c r="E2337" s="53" t="inlineStr">
        <is>
          <t>Không tìm thấy bài viết</t>
        </is>
      </c>
      <c r="F2337" s="53" t="inlineStr">
        <is>
          <t>Không có bài</t>
        </is>
      </c>
      <c r="G2337" s="55" t="n">
        <v>999</v>
      </c>
      <c r="H2337" s="56" t="n">
        <v>0</v>
      </c>
      <c r="I2337" s="6" t="inlineStr">
        <is>
          <t>Pet Owner / Cộng đồng nuôi cún (10đ)</t>
        </is>
      </c>
      <c r="J2337" s="56" t="n">
        <v>10</v>
      </c>
      <c r="K2337" s="6" t="inlineStr">
        <is>
          <t>Chưa rõ giống (Cần quét Bio)</t>
        </is>
      </c>
      <c r="L2337" s="56" t="n">
        <v>0</v>
      </c>
      <c r="M2337" s="56" t="n">
        <v>0</v>
      </c>
      <c r="N2337" s="6" t="inlineStr">
        <is>
          <t>Amazon link not found</t>
        </is>
      </c>
      <c r="O2337" s="56">
        <f>IF(N2337="Selling pet toys + Artificial grass/Pet toilets (TARGET)",15,IF(N2337="Selling artificial grass/pet toilets (TARGET)",10,IF(N2337="Selling pet toys",7,IF(N2337="There's an Amazon link, but no target sales.",3,0))))</f>
        <v/>
      </c>
      <c r="P2337" s="65">
        <f>H2337+J2337+L2337+M2337+O2337</f>
        <v/>
      </c>
      <c r="Q2337" s="68">
        <f>IF(OR(H2337=0,P2337&lt;30),"Tier D (Đóng băng)",IF(P2337&gt;=85,"Tier S (Kim Cương: 85-100đ)",IF(P2337&gt;=70,"Tier A (Vàng: 70-84đ)",IF(P2337&gt;=61,"Tier B+ / Cấp A (Hot Lead: 61-69đ)",IF(P2337&gt;=50,"Tier B (Bạc: 50-60đ)","Tier C (Đồng: 30-49đ)")))))</f>
        <v/>
      </c>
      <c r="R2337" s="6" t="inlineStr">
        <is>
          <t>Khay vệ sinh chung cư (Indoor Potty) + Thảm cỏ ban công (Grass Patch) + Đồ chơi</t>
        </is>
      </c>
      <c r="S2337" s="6" t="inlineStr">
        <is>
          <t>Đóng băng tương tác (&gt;30 ngày): Lưu trữ chờ kích hoạt lại, không tốn tài nguyên Sales</t>
        </is>
      </c>
    </row>
    <row r="2338">
      <c r="A2338" s="59" t="n">
        <v>1086</v>
      </c>
      <c r="B2338" s="15" t="inlineStr">
        <is>
          <t>dogisgood</t>
        </is>
      </c>
      <c r="C2338" s="60" t="inlineStr">
        <is>
          <t>https://www.facebook.com/dogisgood</t>
        </is>
      </c>
      <c r="D2338" s="9" t="inlineStr">
        <is>
          <t>Cần quét Bio Fanpage</t>
        </is>
      </c>
      <c r="E2338" s="59" t="inlineStr">
        <is>
          <t>Không tìm thấy bài viết</t>
        </is>
      </c>
      <c r="F2338" s="59" t="inlineStr">
        <is>
          <t>Không có bài</t>
        </is>
      </c>
      <c r="G2338" s="61" t="n">
        <v>999</v>
      </c>
      <c r="H2338" s="62" t="n">
        <v>0</v>
      </c>
      <c r="I2338" s="9" t="inlineStr">
        <is>
          <t>Pet Owner / Cộng đồng nuôi cún (10đ)</t>
        </is>
      </c>
      <c r="J2338" s="62" t="n">
        <v>10</v>
      </c>
      <c r="K2338" s="9" t="inlineStr">
        <is>
          <t>Chưa rõ giống (Cần quét Bio)</t>
        </is>
      </c>
      <c r="L2338" s="62" t="n">
        <v>0</v>
      </c>
      <c r="M2338" s="62" t="n">
        <v>0</v>
      </c>
      <c r="N2338" s="9" t="inlineStr">
        <is>
          <t>Amazon link not found</t>
        </is>
      </c>
      <c r="O2338" s="62">
        <f>IF(N2338="Selling pet toys + Artificial grass/Pet toilets (TARGET)",15,IF(N2338="Selling artificial grass/pet toilets (TARGET)",10,IF(N2338="Selling pet toys",7,IF(N2338="There's an Amazon link, but no target sales.",3,0))))</f>
        <v/>
      </c>
      <c r="P2338" s="67">
        <f>H2338+J2338+L2338+M2338+O2338</f>
        <v/>
      </c>
      <c r="Q2338" s="68">
        <f>IF(OR(H2338=0,P2338&lt;30),"Tier D (Đóng băng)",IF(P2338&gt;=85,"Tier S (Kim Cương: 85-100đ)",IF(P2338&gt;=70,"Tier A (Vàng: 70-84đ)",IF(P2338&gt;=61,"Tier B+ / Cấp A (Hot Lead: 61-69đ)",IF(P2338&gt;=50,"Tier B (Bạc: 50-60đ)","Tier C (Đồng: 30-49đ)")))))</f>
        <v/>
      </c>
      <c r="R2338" s="9" t="inlineStr">
        <is>
          <t>Khay vệ sinh chung cư (Indoor Potty) + Thảm cỏ ban công (Grass Patch) + Đồ chơi</t>
        </is>
      </c>
      <c r="S2338" s="9" t="inlineStr">
        <is>
          <t>Đóng băng tương tác (&gt;30 ngày): Lưu trữ chờ kích hoạt lại, không tốn tài nguyên Sales</t>
        </is>
      </c>
    </row>
    <row r="2339">
      <c r="A2339" s="53" t="n">
        <v>1139</v>
      </c>
      <c r="B2339" s="12" t="inlineStr">
        <is>
          <t>doglandaus</t>
        </is>
      </c>
      <c r="C2339" s="54" t="inlineStr">
        <is>
          <t>https://www.facebook.com/doglandaus</t>
        </is>
      </c>
      <c r="D2339" s="6" t="inlineStr">
        <is>
          <t>Cần quét Bio Fanpage</t>
        </is>
      </c>
      <c r="E2339" s="53" t="inlineStr">
        <is>
          <t>Không tìm thấy bài viết</t>
        </is>
      </c>
      <c r="F2339" s="53" t="inlineStr">
        <is>
          <t>Không có bài</t>
        </is>
      </c>
      <c r="G2339" s="55" t="n">
        <v>999</v>
      </c>
      <c r="H2339" s="56" t="n">
        <v>0</v>
      </c>
      <c r="I2339" s="6" t="inlineStr">
        <is>
          <t>Pet Owner / Cộng đồng nuôi cún (10đ)</t>
        </is>
      </c>
      <c r="J2339" s="56" t="n">
        <v>10</v>
      </c>
      <c r="K2339" s="6" t="inlineStr">
        <is>
          <t>Chưa rõ giống (Cần quét Bio)</t>
        </is>
      </c>
      <c r="L2339" s="56" t="n">
        <v>0</v>
      </c>
      <c r="M2339" s="56" t="n">
        <v>0</v>
      </c>
      <c r="N2339" s="6" t="inlineStr">
        <is>
          <t>Amazon link not found</t>
        </is>
      </c>
      <c r="O2339" s="56">
        <f>IF(N2339="Selling pet toys + Artificial grass/Pet toilets (TARGET)",15,IF(N2339="Selling artificial grass/pet toilets (TARGET)",10,IF(N2339="Selling pet toys",7,IF(N2339="There's an Amazon link, but no target sales.",3,0))))</f>
        <v/>
      </c>
      <c r="P2339" s="65">
        <f>H2339+J2339+L2339+M2339+O2339</f>
        <v/>
      </c>
      <c r="Q2339" s="68">
        <f>IF(OR(H2339=0,P2339&lt;30),"Tier D (Đóng băng)",IF(P2339&gt;=85,"Tier S (Kim Cương: 85-100đ)",IF(P2339&gt;=70,"Tier A (Vàng: 70-84đ)",IF(P2339&gt;=61,"Tier B+ / Cấp A (Hot Lead: 61-69đ)",IF(P2339&gt;=50,"Tier B (Bạc: 50-60đ)","Tier C (Đồng: 30-49đ)")))))</f>
        <v/>
      </c>
      <c r="R2339" s="6" t="inlineStr">
        <is>
          <t>Khay vệ sinh chung cư (Indoor Potty) + Thảm cỏ ban công (Grass Patch) + Đồ chơi</t>
        </is>
      </c>
      <c r="S2339" s="6" t="inlineStr">
        <is>
          <t>Đóng băng tương tác (&gt;30 ngày): Lưu trữ chờ kích hoạt lại, không tốn tài nguyên Sales</t>
        </is>
      </c>
    </row>
    <row r="2340">
      <c r="A2340" s="59" t="n">
        <v>1152</v>
      </c>
      <c r="B2340" s="15" t="inlineStr">
        <is>
          <t>DogPrint.cz</t>
        </is>
      </c>
      <c r="C2340" s="60" t="inlineStr">
        <is>
          <t>https://www.facebook.com/DogPrint.cz</t>
        </is>
      </c>
      <c r="D2340" s="9" t="inlineStr">
        <is>
          <t>Cần quét Bio Fanpage</t>
        </is>
      </c>
      <c r="E2340" s="59" t="inlineStr">
        <is>
          <t>Không tìm thấy bài viết</t>
        </is>
      </c>
      <c r="F2340" s="59" t="inlineStr">
        <is>
          <t>Không có bài</t>
        </is>
      </c>
      <c r="G2340" s="61" t="n">
        <v>999</v>
      </c>
      <c r="H2340" s="62" t="n">
        <v>0</v>
      </c>
      <c r="I2340" s="9" t="inlineStr">
        <is>
          <t>Pet Owner / Cộng đồng nuôi cún (10đ)</t>
        </is>
      </c>
      <c r="J2340" s="62" t="n">
        <v>10</v>
      </c>
      <c r="K2340" s="9" t="inlineStr">
        <is>
          <t>Chưa rõ giống (Cần quét Bio)</t>
        </is>
      </c>
      <c r="L2340" s="62" t="n">
        <v>0</v>
      </c>
      <c r="M2340" s="62" t="n">
        <v>0</v>
      </c>
      <c r="N2340" s="9" t="inlineStr">
        <is>
          <t>Amazon link not found</t>
        </is>
      </c>
      <c r="O2340" s="62">
        <f>IF(N2340="Selling pet toys + Artificial grass/Pet toilets (TARGET)",15,IF(N2340="Selling artificial grass/pet toilets (TARGET)",10,IF(N2340="Selling pet toys",7,IF(N2340="There's an Amazon link, but no target sales.",3,0))))</f>
        <v/>
      </c>
      <c r="P2340" s="67">
        <f>H2340+J2340+L2340+M2340+O2340</f>
        <v/>
      </c>
      <c r="Q2340" s="68">
        <f>IF(OR(H2340=0,P2340&lt;30),"Tier D (Đóng băng)",IF(P2340&gt;=85,"Tier S (Kim Cương: 85-100đ)",IF(P2340&gt;=70,"Tier A (Vàng: 70-84đ)",IF(P2340&gt;=61,"Tier B+ / Cấp A (Hot Lead: 61-69đ)",IF(P2340&gt;=50,"Tier B (Bạc: 50-60đ)","Tier C (Đồng: 30-49đ)")))))</f>
        <v/>
      </c>
      <c r="R2340" s="9" t="inlineStr">
        <is>
          <t>Khay vệ sinh chung cư (Indoor Potty) + Thảm cỏ ban công (Grass Patch) + Đồ chơi</t>
        </is>
      </c>
      <c r="S2340" s="9" t="inlineStr">
        <is>
          <t>Đóng băng tương tác (&gt;30 ngày): Lưu trữ chờ kích hoạt lại, không tốn tài nguyên Sales</t>
        </is>
      </c>
    </row>
    <row r="2341">
      <c r="A2341" s="53" t="n">
        <v>1155</v>
      </c>
      <c r="B2341" s="12" t="inlineStr">
        <is>
          <t>dogs0000</t>
        </is>
      </c>
      <c r="C2341" s="54" t="inlineStr">
        <is>
          <t>https://www.facebook.com/dogs0000</t>
        </is>
      </c>
      <c r="D2341" s="6" t="inlineStr">
        <is>
          <t>Cần quét Bio Fanpage</t>
        </is>
      </c>
      <c r="E2341" s="53" t="inlineStr">
        <is>
          <t>Không tìm thấy bài viết</t>
        </is>
      </c>
      <c r="F2341" s="53" t="inlineStr">
        <is>
          <t>Không có bài</t>
        </is>
      </c>
      <c r="G2341" s="55" t="n">
        <v>999</v>
      </c>
      <c r="H2341" s="56" t="n">
        <v>0</v>
      </c>
      <c r="I2341" s="6" t="inlineStr">
        <is>
          <t>Pet Owner / Cộng đồng nuôi cún (10đ)</t>
        </is>
      </c>
      <c r="J2341" s="56" t="n">
        <v>10</v>
      </c>
      <c r="K2341" s="6" t="inlineStr">
        <is>
          <t>Chưa rõ giống (Cần quét Bio)</t>
        </is>
      </c>
      <c r="L2341" s="56" t="n">
        <v>0</v>
      </c>
      <c r="M2341" s="56" t="n">
        <v>0</v>
      </c>
      <c r="N2341" s="6" t="inlineStr">
        <is>
          <t>Amazon link not found</t>
        </is>
      </c>
      <c r="O2341" s="56">
        <f>IF(N2341="Selling pet toys + Artificial grass/Pet toilets (TARGET)",15,IF(N2341="Selling artificial grass/pet toilets (TARGET)",10,IF(N2341="Selling pet toys",7,IF(N2341="There's an Amazon link, but no target sales.",3,0))))</f>
        <v/>
      </c>
      <c r="P2341" s="65">
        <f>H2341+J2341+L2341+M2341+O2341</f>
        <v/>
      </c>
      <c r="Q2341" s="68">
        <f>IF(OR(H2341=0,P2341&lt;30),"Tier D (Đóng băng)",IF(P2341&gt;=85,"Tier S (Kim Cương: 85-100đ)",IF(P2341&gt;=70,"Tier A (Vàng: 70-84đ)",IF(P2341&gt;=61,"Tier B+ / Cấp A (Hot Lead: 61-69đ)",IF(P2341&gt;=50,"Tier B (Bạc: 50-60đ)","Tier C (Đồng: 30-49đ)")))))</f>
        <v/>
      </c>
      <c r="R2341" s="6" t="inlineStr">
        <is>
          <t>Khay vệ sinh chung cư (Indoor Potty) + Thảm cỏ ban công (Grass Patch) + Đồ chơi</t>
        </is>
      </c>
      <c r="S2341" s="6" t="inlineStr">
        <is>
          <t>Đóng băng tương tác (&gt;30 ngày): Lưu trữ chờ kích hoạt lại, không tốn tài nguyên Sales</t>
        </is>
      </c>
    </row>
    <row r="2342">
      <c r="A2342" s="59" t="n">
        <v>1208</v>
      </c>
      <c r="B2342" s="15" t="inlineStr">
        <is>
          <t>dogworld.tv</t>
        </is>
      </c>
      <c r="C2342" s="60" t="inlineStr">
        <is>
          <t>https://www.facebook.com/dogworld.tv</t>
        </is>
      </c>
      <c r="D2342" s="9" t="inlineStr">
        <is>
          <t>Cần quét Bio Fanpage</t>
        </is>
      </c>
      <c r="E2342" s="59" t="inlineStr">
        <is>
          <t>Không tìm thấy bài viết</t>
        </is>
      </c>
      <c r="F2342" s="59" t="inlineStr">
        <is>
          <t>Không có bài</t>
        </is>
      </c>
      <c r="G2342" s="61" t="n">
        <v>999</v>
      </c>
      <c r="H2342" s="62" t="n">
        <v>0</v>
      </c>
      <c r="I2342" s="9" t="inlineStr">
        <is>
          <t>Pet Owner / Cộng đồng nuôi cún (10đ)</t>
        </is>
      </c>
      <c r="J2342" s="62" t="n">
        <v>10</v>
      </c>
      <c r="K2342" s="9" t="inlineStr">
        <is>
          <t>Chưa rõ giống (Cần quét Bio)</t>
        </is>
      </c>
      <c r="L2342" s="62" t="n">
        <v>0</v>
      </c>
      <c r="M2342" s="62" t="n">
        <v>0</v>
      </c>
      <c r="N2342" s="9" t="inlineStr">
        <is>
          <t>Amazon link not found</t>
        </is>
      </c>
      <c r="O2342" s="62">
        <f>IF(N2342="Selling pet toys + Artificial grass/Pet toilets (TARGET)",15,IF(N2342="Selling artificial grass/pet toilets (TARGET)",10,IF(N2342="Selling pet toys",7,IF(N2342="There's an Amazon link, but no target sales.",3,0))))</f>
        <v/>
      </c>
      <c r="P2342" s="67">
        <f>H2342+J2342+L2342+M2342+O2342</f>
        <v/>
      </c>
      <c r="Q2342" s="68">
        <f>IF(OR(H2342=0,P2342&lt;30),"Tier D (Đóng băng)",IF(P2342&gt;=85,"Tier S (Kim Cương: 85-100đ)",IF(P2342&gt;=70,"Tier A (Vàng: 70-84đ)",IF(P2342&gt;=61,"Tier B+ / Cấp A (Hot Lead: 61-69đ)",IF(P2342&gt;=50,"Tier B (Bạc: 50-60đ)","Tier C (Đồng: 30-49đ)")))))</f>
        <v/>
      </c>
      <c r="R2342" s="9" t="inlineStr">
        <is>
          <t>Khay vệ sinh chung cư (Indoor Potty) + Thảm cỏ ban công (Grass Patch) + Đồ chơi</t>
        </is>
      </c>
      <c r="S2342" s="9" t="inlineStr">
        <is>
          <t>Đóng băng tương tác (&gt;30 ngày): Lưu trữ chờ kích hoạt lại, không tốn tài nguyên Sales</t>
        </is>
      </c>
    </row>
    <row r="2343">
      <c r="A2343" s="53" t="n">
        <v>1390</v>
      </c>
      <c r="B2343" s="12" t="inlineStr">
        <is>
          <t>Fisiodog Giulia</t>
        </is>
      </c>
      <c r="C2343" s="54" t="inlineStr">
        <is>
          <t>https://www.facebook.com/profile.php?id=100063467569898</t>
        </is>
      </c>
      <c r="D2343" s="6" t="inlineStr">
        <is>
          <t>Cần quét Bio Fanpage</t>
        </is>
      </c>
      <c r="E2343" s="53" t="inlineStr">
        <is>
          <t>Không tìm thấy bài viết</t>
        </is>
      </c>
      <c r="F2343" s="53" t="inlineStr">
        <is>
          <t>Không có bài</t>
        </is>
      </c>
      <c r="G2343" s="55" t="n">
        <v>999</v>
      </c>
      <c r="H2343" s="56" t="n">
        <v>0</v>
      </c>
      <c r="I2343" s="6" t="inlineStr">
        <is>
          <t>Pet Owner / Cộng đồng nuôi cún (10đ)</t>
        </is>
      </c>
      <c r="J2343" s="56" t="n">
        <v>10</v>
      </c>
      <c r="K2343" s="6" t="inlineStr">
        <is>
          <t>Chưa rõ giống (Cần quét Bio)</t>
        </is>
      </c>
      <c r="L2343" s="56" t="n">
        <v>0</v>
      </c>
      <c r="M2343" s="56" t="n">
        <v>0</v>
      </c>
      <c r="N2343" s="6" t="inlineStr">
        <is>
          <t>Amazon link not found</t>
        </is>
      </c>
      <c r="O2343" s="56">
        <f>IF(N2343="Selling pet toys + Artificial grass/Pet toilets (TARGET)",15,IF(N2343="Selling artificial grass/pet toilets (TARGET)",10,IF(N2343="Selling pet toys",7,IF(N2343="There's an Amazon link, but no target sales.",3,0))))</f>
        <v/>
      </c>
      <c r="P2343" s="65">
        <f>H2343+J2343+L2343+M2343+O2343</f>
        <v/>
      </c>
      <c r="Q2343" s="68">
        <f>IF(OR(H2343=0,P2343&lt;30),"Tier D (Đóng băng)",IF(P2343&gt;=85,"Tier S (Kim Cương: 85-100đ)",IF(P2343&gt;=70,"Tier A (Vàng: 70-84đ)",IF(P2343&gt;=61,"Tier B+ / Cấp A (Hot Lead: 61-69đ)",IF(P2343&gt;=50,"Tier B (Bạc: 50-60đ)","Tier C (Đồng: 30-49đ)")))))</f>
        <v/>
      </c>
      <c r="R2343" s="6" t="inlineStr">
        <is>
          <t>Khay vệ sinh chung cư (Indoor Potty) + Thảm cỏ ban công (Grass Patch) + Đồ chơi</t>
        </is>
      </c>
      <c r="S2343" s="6" t="inlineStr">
        <is>
          <t>Đóng băng tương tác (&gt;30 ngày): Lưu trữ chờ kích hoạt lại, không tốn tài nguyên Sales</t>
        </is>
      </c>
    </row>
    <row r="2344">
      <c r="A2344" s="59" t="n">
        <v>1588</v>
      </c>
      <c r="B2344" s="15" t="inlineStr">
        <is>
          <t>hdogsdesign</t>
        </is>
      </c>
      <c r="C2344" s="60" t="inlineStr">
        <is>
          <t>https://www.facebook.com/hdogsdesign</t>
        </is>
      </c>
      <c r="D2344" s="9" t="inlineStr">
        <is>
          <t>Cần quét Bio Fanpage</t>
        </is>
      </c>
      <c r="E2344" s="59" t="inlineStr">
        <is>
          <t>Không tìm thấy bài viết</t>
        </is>
      </c>
      <c r="F2344" s="59" t="inlineStr">
        <is>
          <t>Không có bài</t>
        </is>
      </c>
      <c r="G2344" s="61" t="n">
        <v>999</v>
      </c>
      <c r="H2344" s="62" t="n">
        <v>0</v>
      </c>
      <c r="I2344" s="9" t="inlineStr">
        <is>
          <t>Pet Owner / Cộng đồng nuôi cún (10đ)</t>
        </is>
      </c>
      <c r="J2344" s="62" t="n">
        <v>10</v>
      </c>
      <c r="K2344" s="9" t="inlineStr">
        <is>
          <t>Chưa rõ giống (Cần quét Bio)</t>
        </is>
      </c>
      <c r="L2344" s="62" t="n">
        <v>0</v>
      </c>
      <c r="M2344" s="62" t="n">
        <v>0</v>
      </c>
      <c r="N2344" s="9" t="inlineStr">
        <is>
          <t>Amazon link not found</t>
        </is>
      </c>
      <c r="O2344" s="62">
        <f>IF(N2344="Selling pet toys + Artificial grass/Pet toilets (TARGET)",15,IF(N2344="Selling artificial grass/pet toilets (TARGET)",10,IF(N2344="Selling pet toys",7,IF(N2344="There's an Amazon link, but no target sales.",3,0))))</f>
        <v/>
      </c>
      <c r="P2344" s="67">
        <f>H2344+J2344+L2344+M2344+O2344</f>
        <v/>
      </c>
      <c r="Q2344" s="68">
        <f>IF(OR(H2344=0,P2344&lt;30),"Tier D (Đóng băng)",IF(P2344&gt;=85,"Tier S (Kim Cương: 85-100đ)",IF(P2344&gt;=70,"Tier A (Vàng: 70-84đ)",IF(P2344&gt;=61,"Tier B+ / Cấp A (Hot Lead: 61-69đ)",IF(P2344&gt;=50,"Tier B (Bạc: 50-60đ)","Tier C (Đồng: 30-49đ)")))))</f>
        <v/>
      </c>
      <c r="R2344" s="9" t="inlineStr">
        <is>
          <t>Khay vệ sinh chung cư (Indoor Potty) + Thảm cỏ ban công (Grass Patch) + Đồ chơi</t>
        </is>
      </c>
      <c r="S2344" s="9" t="inlineStr">
        <is>
          <t>Đóng băng tương tác (&gt;30 ngày): Lưu trữ chờ kích hoạt lại, không tốn tài nguyên Sales</t>
        </is>
      </c>
    </row>
    <row r="2345">
      <c r="A2345" s="53" t="n">
        <v>2056</v>
      </c>
      <c r="B2345" s="12" t="inlineStr">
        <is>
          <t>Lost dog report</t>
        </is>
      </c>
      <c r="C2345" s="54" t="inlineStr">
        <is>
          <t>https://www.facebook.com/profile.php?id=100069472781271</t>
        </is>
      </c>
      <c r="D2345" s="6" t="inlineStr">
        <is>
          <t>Cần quét Bio Fanpage</t>
        </is>
      </c>
      <c r="E2345" s="53" t="inlineStr">
        <is>
          <t>Không tìm thấy bài viết</t>
        </is>
      </c>
      <c r="F2345" s="53" t="inlineStr">
        <is>
          <t>Không có bài</t>
        </is>
      </c>
      <c r="G2345" s="55" t="n">
        <v>999</v>
      </c>
      <c r="H2345" s="56" t="n">
        <v>0</v>
      </c>
      <c r="I2345" s="6" t="inlineStr">
        <is>
          <t>Pet Owner / Cộng đồng nuôi cún (10đ)</t>
        </is>
      </c>
      <c r="J2345" s="56" t="n">
        <v>10</v>
      </c>
      <c r="K2345" s="6" t="inlineStr">
        <is>
          <t>Chưa rõ giống (Cần quét Bio)</t>
        </is>
      </c>
      <c r="L2345" s="56" t="n">
        <v>0</v>
      </c>
      <c r="M2345" s="56" t="n">
        <v>0</v>
      </c>
      <c r="N2345" s="6" t="inlineStr">
        <is>
          <t>Amazon link not found</t>
        </is>
      </c>
      <c r="O2345" s="56">
        <f>IF(N2345="Selling pet toys + Artificial grass/Pet toilets (TARGET)",15,IF(N2345="Selling artificial grass/pet toilets (TARGET)",10,IF(N2345="Selling pet toys",7,IF(N2345="There's an Amazon link, but no target sales.",3,0))))</f>
        <v/>
      </c>
      <c r="P2345" s="65">
        <f>H2345+J2345+L2345+M2345+O2345</f>
        <v/>
      </c>
      <c r="Q2345" s="68">
        <f>IF(OR(H2345=0,P2345&lt;30),"Tier D (Đóng băng)",IF(P2345&gt;=85,"Tier S (Kim Cương: 85-100đ)",IF(P2345&gt;=70,"Tier A (Vàng: 70-84đ)",IF(P2345&gt;=61,"Tier B+ / Cấp A (Hot Lead: 61-69đ)",IF(P2345&gt;=50,"Tier B (Bạc: 50-60đ)","Tier C (Đồng: 30-49đ)")))))</f>
        <v/>
      </c>
      <c r="R2345" s="6" t="inlineStr">
        <is>
          <t>Khay vệ sinh chung cư (Indoor Potty) + Thảm cỏ ban công (Grass Patch) + Đồ chơi</t>
        </is>
      </c>
      <c r="S2345" s="6" t="inlineStr">
        <is>
          <t>Đóng băng tương tác (&gt;30 ngày): Lưu trữ chờ kích hoạt lại, không tốn tài nguyên Sales</t>
        </is>
      </c>
    </row>
    <row r="2346">
      <c r="A2346" s="59" t="n">
        <v>2387</v>
      </c>
      <c r="B2346" s="15" t="inlineStr">
        <is>
          <t>P&amp;BKennels sisk</t>
        </is>
      </c>
      <c r="C2346" s="60" t="inlineStr">
        <is>
          <t>https://www.facebook.com/PBKSISK</t>
        </is>
      </c>
      <c r="D2346" s="9" t="inlineStr">
        <is>
          <t>Cần quét Bio Fanpage</t>
        </is>
      </c>
      <c r="E2346" s="59" t="inlineStr">
        <is>
          <t>Không tìm thấy bài viết</t>
        </is>
      </c>
      <c r="F2346" s="59" t="inlineStr">
        <is>
          <t>Không có bài</t>
        </is>
      </c>
      <c r="G2346" s="61" t="n">
        <v>999</v>
      </c>
      <c r="H2346" s="62" t="n">
        <v>0</v>
      </c>
      <c r="I2346" s="9" t="inlineStr">
        <is>
          <t>Pet Owner / Cộng đồng nuôi cún (10đ)</t>
        </is>
      </c>
      <c r="J2346" s="62" t="n">
        <v>10</v>
      </c>
      <c r="K2346" s="9" t="inlineStr">
        <is>
          <t>Chưa rõ giống (Cần quét Bio)</t>
        </is>
      </c>
      <c r="L2346" s="62" t="n">
        <v>0</v>
      </c>
      <c r="M2346" s="62" t="n">
        <v>0</v>
      </c>
      <c r="N2346" s="9" t="inlineStr">
        <is>
          <t>Amazon link not found</t>
        </is>
      </c>
      <c r="O2346" s="62">
        <f>IF(N2346="Selling pet toys + Artificial grass/Pet toilets (TARGET)",15,IF(N2346="Selling artificial grass/pet toilets (TARGET)",10,IF(N2346="Selling pet toys",7,IF(N2346="There's an Amazon link, but no target sales.",3,0))))</f>
        <v/>
      </c>
      <c r="P2346" s="67">
        <f>H2346+J2346+L2346+M2346+O2346</f>
        <v/>
      </c>
      <c r="Q2346" s="68">
        <f>IF(OR(H2346=0,P2346&lt;30),"Tier D (Đóng băng)",IF(P2346&gt;=85,"Tier S (Kim Cương: 85-100đ)",IF(P2346&gt;=70,"Tier A (Vàng: 70-84đ)",IF(P2346&gt;=61,"Tier B+ / Cấp A (Hot Lead: 61-69đ)",IF(P2346&gt;=50,"Tier B (Bạc: 50-60đ)","Tier C (Đồng: 30-49đ)")))))</f>
        <v/>
      </c>
      <c r="R2346" s="9" t="inlineStr">
        <is>
          <t>Khay vệ sinh chung cư (Indoor Potty) + Thảm cỏ ban công (Grass Patch) + Đồ chơi</t>
        </is>
      </c>
      <c r="S2346" s="9" t="inlineStr">
        <is>
          <t>Đóng băng tương tác (&gt;30 ngày): Lưu trữ chờ kích hoạt lại, không tốn tài nguyên Sales</t>
        </is>
      </c>
    </row>
    <row r="2347">
      <c r="A2347" s="53" t="n">
        <v>3168</v>
      </c>
      <c r="B2347" s="12" t="inlineStr">
        <is>
          <t>urbanrescueranch</t>
        </is>
      </c>
      <c r="C2347" s="54" t="inlineStr">
        <is>
          <t>https://www.facebook.com/urbanrescueranch</t>
        </is>
      </c>
      <c r="D2347" s="6" t="inlineStr">
        <is>
          <t>Cần quét Bio Fanpage</t>
        </is>
      </c>
      <c r="E2347" s="53" t="inlineStr">
        <is>
          <t>Không tìm thấy bài viết</t>
        </is>
      </c>
      <c r="F2347" s="53" t="inlineStr">
        <is>
          <t>Không có bài</t>
        </is>
      </c>
      <c r="G2347" s="55" t="n">
        <v>999</v>
      </c>
      <c r="H2347" s="56" t="n">
        <v>0</v>
      </c>
      <c r="I2347" s="6" t="inlineStr">
        <is>
          <t>Pet Owner / Cộng đồng nuôi cún (10đ)</t>
        </is>
      </c>
      <c r="J2347" s="56" t="n">
        <v>10</v>
      </c>
      <c r="K2347" s="6" t="inlineStr">
        <is>
          <t>Chưa rõ giống (Cần quét Bio)</t>
        </is>
      </c>
      <c r="L2347" s="56" t="n">
        <v>0</v>
      </c>
      <c r="M2347" s="56" t="n">
        <v>0</v>
      </c>
      <c r="N2347" s="6" t="inlineStr">
        <is>
          <t>Amazon link not found</t>
        </is>
      </c>
      <c r="O2347" s="56">
        <f>IF(N2347="Selling pet toys + Artificial grass/Pet toilets (TARGET)",15,IF(N2347="Selling artificial grass/pet toilets (TARGET)",10,IF(N2347="Selling pet toys",7,IF(N2347="There's an Amazon link, but no target sales.",3,0))))</f>
        <v/>
      </c>
      <c r="P2347" s="65">
        <f>H2347+J2347+L2347+M2347+O2347</f>
        <v/>
      </c>
      <c r="Q2347" s="68">
        <f>IF(OR(H2347=0,P2347&lt;30),"Tier D (Đóng băng)",IF(P2347&gt;=85,"Tier S (Kim Cương: 85-100đ)",IF(P2347&gt;=70,"Tier A (Vàng: 70-84đ)",IF(P2347&gt;=61,"Tier B+ / Cấp A (Hot Lead: 61-69đ)",IF(P2347&gt;=50,"Tier B (Bạc: 50-60đ)","Tier C (Đồng: 30-49đ)")))))</f>
        <v/>
      </c>
      <c r="R2347" s="6" t="inlineStr">
        <is>
          <t>Khay vệ sinh chung cư (Indoor Potty) + Thảm cỏ ban công (Grass Patch) + Đồ chơi</t>
        </is>
      </c>
      <c r="S2347" s="6" t="inlineStr">
        <is>
          <t>Đóng băng tương tác (&gt;30 ngày): Lưu trữ chờ kích hoạt lại, không tốn tài nguyên Sales</t>
        </is>
      </c>
    </row>
  </sheetData>
  <autoFilter ref="A4:S2347"/>
  <conditionalFormatting sqref="P5:P2347">
    <cfRule type="colorScale" priority="1">
      <colorScale>
        <cfvo type="num" val="30"/>
        <cfvo type="num" val="61"/>
        <cfvo type="num" val="85"/>
        <color rgb="00FEE2E2"/>
        <color rgb="00FEF3C7"/>
        <color rgb="00A7F3D0"/>
      </colorScale>
    </cfRule>
  </conditionalFormatting>
  <dataValidations count="1">
    <dataValidation sqref="N5:N2347" showDropDown="0" showInputMessage="0" showErrorMessage="0" allowBlank="1" type="list">
      <formula1>"Selling pet toys + Artificial grass/Pet toilets (TARGET),Selling artificial grass/pet toilets (TARGET),Selling pet toys,There's an Amazon link, but no target sales.,Amazon link not found"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  <hyperlink xmlns:r="http://schemas.openxmlformats.org/officeDocument/2006/relationships" ref="C303" r:id="rId299"/>
    <hyperlink xmlns:r="http://schemas.openxmlformats.org/officeDocument/2006/relationships" ref="C304" r:id="rId300"/>
    <hyperlink xmlns:r="http://schemas.openxmlformats.org/officeDocument/2006/relationships" ref="C305" r:id="rId301"/>
    <hyperlink xmlns:r="http://schemas.openxmlformats.org/officeDocument/2006/relationships" ref="C306" r:id="rId302"/>
    <hyperlink xmlns:r="http://schemas.openxmlformats.org/officeDocument/2006/relationships" ref="C307" r:id="rId303"/>
    <hyperlink xmlns:r="http://schemas.openxmlformats.org/officeDocument/2006/relationships" ref="C308" r:id="rId304"/>
    <hyperlink xmlns:r="http://schemas.openxmlformats.org/officeDocument/2006/relationships" ref="C309" r:id="rId305"/>
    <hyperlink xmlns:r="http://schemas.openxmlformats.org/officeDocument/2006/relationships" ref="C310" r:id="rId306"/>
    <hyperlink xmlns:r="http://schemas.openxmlformats.org/officeDocument/2006/relationships" ref="C311" r:id="rId307"/>
    <hyperlink xmlns:r="http://schemas.openxmlformats.org/officeDocument/2006/relationships" ref="C312" r:id="rId308"/>
    <hyperlink xmlns:r="http://schemas.openxmlformats.org/officeDocument/2006/relationships" ref="C313" r:id="rId309"/>
    <hyperlink xmlns:r="http://schemas.openxmlformats.org/officeDocument/2006/relationships" ref="C314" r:id="rId310"/>
    <hyperlink xmlns:r="http://schemas.openxmlformats.org/officeDocument/2006/relationships" ref="C315" r:id="rId311"/>
    <hyperlink xmlns:r="http://schemas.openxmlformats.org/officeDocument/2006/relationships" ref="C316" r:id="rId312"/>
    <hyperlink xmlns:r="http://schemas.openxmlformats.org/officeDocument/2006/relationships" ref="C317" r:id="rId313"/>
    <hyperlink xmlns:r="http://schemas.openxmlformats.org/officeDocument/2006/relationships" ref="C318" r:id="rId314"/>
    <hyperlink xmlns:r="http://schemas.openxmlformats.org/officeDocument/2006/relationships" ref="C319" r:id="rId315"/>
    <hyperlink xmlns:r="http://schemas.openxmlformats.org/officeDocument/2006/relationships" ref="C320" r:id="rId316"/>
    <hyperlink xmlns:r="http://schemas.openxmlformats.org/officeDocument/2006/relationships" ref="C321" r:id="rId317"/>
    <hyperlink xmlns:r="http://schemas.openxmlformats.org/officeDocument/2006/relationships" ref="C322" r:id="rId318"/>
    <hyperlink xmlns:r="http://schemas.openxmlformats.org/officeDocument/2006/relationships" ref="C323" r:id="rId319"/>
    <hyperlink xmlns:r="http://schemas.openxmlformats.org/officeDocument/2006/relationships" ref="C324" r:id="rId320"/>
    <hyperlink xmlns:r="http://schemas.openxmlformats.org/officeDocument/2006/relationships" ref="C325" r:id="rId321"/>
    <hyperlink xmlns:r="http://schemas.openxmlformats.org/officeDocument/2006/relationships" ref="C326" r:id="rId322"/>
    <hyperlink xmlns:r="http://schemas.openxmlformats.org/officeDocument/2006/relationships" ref="C327" r:id="rId323"/>
    <hyperlink xmlns:r="http://schemas.openxmlformats.org/officeDocument/2006/relationships" ref="C328" r:id="rId324"/>
    <hyperlink xmlns:r="http://schemas.openxmlformats.org/officeDocument/2006/relationships" ref="C329" r:id="rId325"/>
    <hyperlink xmlns:r="http://schemas.openxmlformats.org/officeDocument/2006/relationships" ref="C330" r:id="rId326"/>
    <hyperlink xmlns:r="http://schemas.openxmlformats.org/officeDocument/2006/relationships" ref="C331" r:id="rId327"/>
    <hyperlink xmlns:r="http://schemas.openxmlformats.org/officeDocument/2006/relationships" ref="C332" r:id="rId328"/>
    <hyperlink xmlns:r="http://schemas.openxmlformats.org/officeDocument/2006/relationships" ref="C333" r:id="rId329"/>
    <hyperlink xmlns:r="http://schemas.openxmlformats.org/officeDocument/2006/relationships" ref="C334" r:id="rId330"/>
    <hyperlink xmlns:r="http://schemas.openxmlformats.org/officeDocument/2006/relationships" ref="C335" r:id="rId331"/>
    <hyperlink xmlns:r="http://schemas.openxmlformats.org/officeDocument/2006/relationships" ref="C336" r:id="rId332"/>
    <hyperlink xmlns:r="http://schemas.openxmlformats.org/officeDocument/2006/relationships" ref="C337" r:id="rId333"/>
    <hyperlink xmlns:r="http://schemas.openxmlformats.org/officeDocument/2006/relationships" ref="C338" r:id="rId334"/>
    <hyperlink xmlns:r="http://schemas.openxmlformats.org/officeDocument/2006/relationships" ref="C339" r:id="rId335"/>
    <hyperlink xmlns:r="http://schemas.openxmlformats.org/officeDocument/2006/relationships" ref="C340" r:id="rId336"/>
    <hyperlink xmlns:r="http://schemas.openxmlformats.org/officeDocument/2006/relationships" ref="C341" r:id="rId337"/>
    <hyperlink xmlns:r="http://schemas.openxmlformats.org/officeDocument/2006/relationships" ref="C342" r:id="rId338"/>
    <hyperlink xmlns:r="http://schemas.openxmlformats.org/officeDocument/2006/relationships" ref="C343" r:id="rId339"/>
    <hyperlink xmlns:r="http://schemas.openxmlformats.org/officeDocument/2006/relationships" ref="C344" r:id="rId340"/>
    <hyperlink xmlns:r="http://schemas.openxmlformats.org/officeDocument/2006/relationships" ref="C345" r:id="rId341"/>
    <hyperlink xmlns:r="http://schemas.openxmlformats.org/officeDocument/2006/relationships" ref="C346" r:id="rId342"/>
    <hyperlink xmlns:r="http://schemas.openxmlformats.org/officeDocument/2006/relationships" ref="C347" r:id="rId343"/>
    <hyperlink xmlns:r="http://schemas.openxmlformats.org/officeDocument/2006/relationships" ref="C348" r:id="rId344"/>
    <hyperlink xmlns:r="http://schemas.openxmlformats.org/officeDocument/2006/relationships" ref="C349" r:id="rId345"/>
    <hyperlink xmlns:r="http://schemas.openxmlformats.org/officeDocument/2006/relationships" ref="C350" r:id="rId346"/>
    <hyperlink xmlns:r="http://schemas.openxmlformats.org/officeDocument/2006/relationships" ref="C351" r:id="rId347"/>
    <hyperlink xmlns:r="http://schemas.openxmlformats.org/officeDocument/2006/relationships" ref="C352" r:id="rId348"/>
    <hyperlink xmlns:r="http://schemas.openxmlformats.org/officeDocument/2006/relationships" ref="C353" r:id="rId349"/>
    <hyperlink xmlns:r="http://schemas.openxmlformats.org/officeDocument/2006/relationships" ref="C354" r:id="rId350"/>
    <hyperlink xmlns:r="http://schemas.openxmlformats.org/officeDocument/2006/relationships" ref="C355" r:id="rId351"/>
    <hyperlink xmlns:r="http://schemas.openxmlformats.org/officeDocument/2006/relationships" ref="C356" r:id="rId352"/>
    <hyperlink xmlns:r="http://schemas.openxmlformats.org/officeDocument/2006/relationships" ref="C357" r:id="rId353"/>
    <hyperlink xmlns:r="http://schemas.openxmlformats.org/officeDocument/2006/relationships" ref="C358" r:id="rId354"/>
    <hyperlink xmlns:r="http://schemas.openxmlformats.org/officeDocument/2006/relationships" ref="C359" r:id="rId355"/>
    <hyperlink xmlns:r="http://schemas.openxmlformats.org/officeDocument/2006/relationships" ref="C360" r:id="rId356"/>
    <hyperlink xmlns:r="http://schemas.openxmlformats.org/officeDocument/2006/relationships" ref="C361" r:id="rId357"/>
    <hyperlink xmlns:r="http://schemas.openxmlformats.org/officeDocument/2006/relationships" ref="C362" r:id="rId358"/>
    <hyperlink xmlns:r="http://schemas.openxmlformats.org/officeDocument/2006/relationships" ref="C363" r:id="rId359"/>
    <hyperlink xmlns:r="http://schemas.openxmlformats.org/officeDocument/2006/relationships" ref="C364" r:id="rId360"/>
    <hyperlink xmlns:r="http://schemas.openxmlformats.org/officeDocument/2006/relationships" ref="C365" r:id="rId361"/>
    <hyperlink xmlns:r="http://schemas.openxmlformats.org/officeDocument/2006/relationships" ref="C366" r:id="rId362"/>
    <hyperlink xmlns:r="http://schemas.openxmlformats.org/officeDocument/2006/relationships" ref="C367" r:id="rId363"/>
    <hyperlink xmlns:r="http://schemas.openxmlformats.org/officeDocument/2006/relationships" ref="C368" r:id="rId364"/>
    <hyperlink xmlns:r="http://schemas.openxmlformats.org/officeDocument/2006/relationships" ref="C369" r:id="rId365"/>
    <hyperlink xmlns:r="http://schemas.openxmlformats.org/officeDocument/2006/relationships" ref="C370" r:id="rId366"/>
    <hyperlink xmlns:r="http://schemas.openxmlformats.org/officeDocument/2006/relationships" ref="C371" r:id="rId367"/>
    <hyperlink xmlns:r="http://schemas.openxmlformats.org/officeDocument/2006/relationships" ref="C372" r:id="rId368"/>
    <hyperlink xmlns:r="http://schemas.openxmlformats.org/officeDocument/2006/relationships" ref="C373" r:id="rId369"/>
    <hyperlink xmlns:r="http://schemas.openxmlformats.org/officeDocument/2006/relationships" ref="C374" r:id="rId370"/>
    <hyperlink xmlns:r="http://schemas.openxmlformats.org/officeDocument/2006/relationships" ref="C375" r:id="rId371"/>
    <hyperlink xmlns:r="http://schemas.openxmlformats.org/officeDocument/2006/relationships" ref="C376" r:id="rId372"/>
    <hyperlink xmlns:r="http://schemas.openxmlformats.org/officeDocument/2006/relationships" ref="C377" r:id="rId373"/>
    <hyperlink xmlns:r="http://schemas.openxmlformats.org/officeDocument/2006/relationships" ref="C378" r:id="rId374"/>
    <hyperlink xmlns:r="http://schemas.openxmlformats.org/officeDocument/2006/relationships" ref="C379" r:id="rId375"/>
    <hyperlink xmlns:r="http://schemas.openxmlformats.org/officeDocument/2006/relationships" ref="C380" r:id="rId376"/>
    <hyperlink xmlns:r="http://schemas.openxmlformats.org/officeDocument/2006/relationships" ref="C381" r:id="rId377"/>
    <hyperlink xmlns:r="http://schemas.openxmlformats.org/officeDocument/2006/relationships" ref="C382" r:id="rId378"/>
    <hyperlink xmlns:r="http://schemas.openxmlformats.org/officeDocument/2006/relationships" ref="C383" r:id="rId379"/>
    <hyperlink xmlns:r="http://schemas.openxmlformats.org/officeDocument/2006/relationships" ref="C384" r:id="rId380"/>
    <hyperlink xmlns:r="http://schemas.openxmlformats.org/officeDocument/2006/relationships" ref="C385" r:id="rId381"/>
    <hyperlink xmlns:r="http://schemas.openxmlformats.org/officeDocument/2006/relationships" ref="C386" r:id="rId382"/>
    <hyperlink xmlns:r="http://schemas.openxmlformats.org/officeDocument/2006/relationships" ref="C387" r:id="rId383"/>
    <hyperlink xmlns:r="http://schemas.openxmlformats.org/officeDocument/2006/relationships" ref="C388" r:id="rId384"/>
    <hyperlink xmlns:r="http://schemas.openxmlformats.org/officeDocument/2006/relationships" ref="C389" r:id="rId385"/>
    <hyperlink xmlns:r="http://schemas.openxmlformats.org/officeDocument/2006/relationships" ref="C390" r:id="rId386"/>
    <hyperlink xmlns:r="http://schemas.openxmlformats.org/officeDocument/2006/relationships" ref="C391" r:id="rId387"/>
    <hyperlink xmlns:r="http://schemas.openxmlformats.org/officeDocument/2006/relationships" ref="C392" r:id="rId388"/>
    <hyperlink xmlns:r="http://schemas.openxmlformats.org/officeDocument/2006/relationships" ref="C393" r:id="rId389"/>
    <hyperlink xmlns:r="http://schemas.openxmlformats.org/officeDocument/2006/relationships" ref="C394" r:id="rId390"/>
    <hyperlink xmlns:r="http://schemas.openxmlformats.org/officeDocument/2006/relationships" ref="C395" r:id="rId391"/>
    <hyperlink xmlns:r="http://schemas.openxmlformats.org/officeDocument/2006/relationships" ref="C396" r:id="rId392"/>
    <hyperlink xmlns:r="http://schemas.openxmlformats.org/officeDocument/2006/relationships" ref="C397" r:id="rId393"/>
    <hyperlink xmlns:r="http://schemas.openxmlformats.org/officeDocument/2006/relationships" ref="C398" r:id="rId394"/>
    <hyperlink xmlns:r="http://schemas.openxmlformats.org/officeDocument/2006/relationships" ref="C399" r:id="rId395"/>
    <hyperlink xmlns:r="http://schemas.openxmlformats.org/officeDocument/2006/relationships" ref="C400" r:id="rId396"/>
    <hyperlink xmlns:r="http://schemas.openxmlformats.org/officeDocument/2006/relationships" ref="C401" r:id="rId397"/>
    <hyperlink xmlns:r="http://schemas.openxmlformats.org/officeDocument/2006/relationships" ref="C402" r:id="rId398"/>
    <hyperlink xmlns:r="http://schemas.openxmlformats.org/officeDocument/2006/relationships" ref="C403" r:id="rId399"/>
    <hyperlink xmlns:r="http://schemas.openxmlformats.org/officeDocument/2006/relationships" ref="C404" r:id="rId400"/>
    <hyperlink xmlns:r="http://schemas.openxmlformats.org/officeDocument/2006/relationships" ref="C405" r:id="rId401"/>
    <hyperlink xmlns:r="http://schemas.openxmlformats.org/officeDocument/2006/relationships" ref="C406" r:id="rId402"/>
    <hyperlink xmlns:r="http://schemas.openxmlformats.org/officeDocument/2006/relationships" ref="C407" r:id="rId403"/>
    <hyperlink xmlns:r="http://schemas.openxmlformats.org/officeDocument/2006/relationships" ref="C408" r:id="rId404"/>
    <hyperlink xmlns:r="http://schemas.openxmlformats.org/officeDocument/2006/relationships" ref="C409" r:id="rId405"/>
    <hyperlink xmlns:r="http://schemas.openxmlformats.org/officeDocument/2006/relationships" ref="C410" r:id="rId406"/>
    <hyperlink xmlns:r="http://schemas.openxmlformats.org/officeDocument/2006/relationships" ref="C411" r:id="rId407"/>
    <hyperlink xmlns:r="http://schemas.openxmlformats.org/officeDocument/2006/relationships" ref="C412" r:id="rId408"/>
    <hyperlink xmlns:r="http://schemas.openxmlformats.org/officeDocument/2006/relationships" ref="C413" r:id="rId409"/>
    <hyperlink xmlns:r="http://schemas.openxmlformats.org/officeDocument/2006/relationships" ref="C414" r:id="rId410"/>
    <hyperlink xmlns:r="http://schemas.openxmlformats.org/officeDocument/2006/relationships" ref="C415" r:id="rId411"/>
    <hyperlink xmlns:r="http://schemas.openxmlformats.org/officeDocument/2006/relationships" ref="C416" r:id="rId412"/>
    <hyperlink xmlns:r="http://schemas.openxmlformats.org/officeDocument/2006/relationships" ref="C417" r:id="rId413"/>
    <hyperlink xmlns:r="http://schemas.openxmlformats.org/officeDocument/2006/relationships" ref="C418" r:id="rId414"/>
    <hyperlink xmlns:r="http://schemas.openxmlformats.org/officeDocument/2006/relationships" ref="C419" r:id="rId415"/>
    <hyperlink xmlns:r="http://schemas.openxmlformats.org/officeDocument/2006/relationships" ref="C420" r:id="rId416"/>
    <hyperlink xmlns:r="http://schemas.openxmlformats.org/officeDocument/2006/relationships" ref="C421" r:id="rId417"/>
    <hyperlink xmlns:r="http://schemas.openxmlformats.org/officeDocument/2006/relationships" ref="C422" r:id="rId418"/>
    <hyperlink xmlns:r="http://schemas.openxmlformats.org/officeDocument/2006/relationships" ref="C423" r:id="rId419"/>
    <hyperlink xmlns:r="http://schemas.openxmlformats.org/officeDocument/2006/relationships" ref="C424" r:id="rId420"/>
    <hyperlink xmlns:r="http://schemas.openxmlformats.org/officeDocument/2006/relationships" ref="C425" r:id="rId421"/>
    <hyperlink xmlns:r="http://schemas.openxmlformats.org/officeDocument/2006/relationships" ref="C426" r:id="rId422"/>
    <hyperlink xmlns:r="http://schemas.openxmlformats.org/officeDocument/2006/relationships" ref="C427" r:id="rId423"/>
    <hyperlink xmlns:r="http://schemas.openxmlformats.org/officeDocument/2006/relationships" ref="C428" r:id="rId424"/>
    <hyperlink xmlns:r="http://schemas.openxmlformats.org/officeDocument/2006/relationships" ref="C429" r:id="rId425"/>
    <hyperlink xmlns:r="http://schemas.openxmlformats.org/officeDocument/2006/relationships" ref="C430" r:id="rId426"/>
    <hyperlink xmlns:r="http://schemas.openxmlformats.org/officeDocument/2006/relationships" ref="C431" r:id="rId427"/>
    <hyperlink xmlns:r="http://schemas.openxmlformats.org/officeDocument/2006/relationships" ref="C432" r:id="rId428"/>
    <hyperlink xmlns:r="http://schemas.openxmlformats.org/officeDocument/2006/relationships" ref="C433" r:id="rId429"/>
    <hyperlink xmlns:r="http://schemas.openxmlformats.org/officeDocument/2006/relationships" ref="C434" r:id="rId430"/>
    <hyperlink xmlns:r="http://schemas.openxmlformats.org/officeDocument/2006/relationships" ref="C435" r:id="rId431"/>
    <hyperlink xmlns:r="http://schemas.openxmlformats.org/officeDocument/2006/relationships" ref="C436" r:id="rId432"/>
    <hyperlink xmlns:r="http://schemas.openxmlformats.org/officeDocument/2006/relationships" ref="C437" r:id="rId433"/>
    <hyperlink xmlns:r="http://schemas.openxmlformats.org/officeDocument/2006/relationships" ref="C438" r:id="rId434"/>
    <hyperlink xmlns:r="http://schemas.openxmlformats.org/officeDocument/2006/relationships" ref="C439" r:id="rId435"/>
    <hyperlink xmlns:r="http://schemas.openxmlformats.org/officeDocument/2006/relationships" ref="C440" r:id="rId436"/>
    <hyperlink xmlns:r="http://schemas.openxmlformats.org/officeDocument/2006/relationships" ref="C441" r:id="rId437"/>
    <hyperlink xmlns:r="http://schemas.openxmlformats.org/officeDocument/2006/relationships" ref="C442" r:id="rId438"/>
    <hyperlink xmlns:r="http://schemas.openxmlformats.org/officeDocument/2006/relationships" ref="C443" r:id="rId439"/>
    <hyperlink xmlns:r="http://schemas.openxmlformats.org/officeDocument/2006/relationships" ref="C444" r:id="rId440"/>
    <hyperlink xmlns:r="http://schemas.openxmlformats.org/officeDocument/2006/relationships" ref="C445" r:id="rId441"/>
    <hyperlink xmlns:r="http://schemas.openxmlformats.org/officeDocument/2006/relationships" ref="C446" r:id="rId442"/>
    <hyperlink xmlns:r="http://schemas.openxmlformats.org/officeDocument/2006/relationships" ref="C447" r:id="rId443"/>
    <hyperlink xmlns:r="http://schemas.openxmlformats.org/officeDocument/2006/relationships" ref="C448" r:id="rId444"/>
    <hyperlink xmlns:r="http://schemas.openxmlformats.org/officeDocument/2006/relationships" ref="C449" r:id="rId445"/>
    <hyperlink xmlns:r="http://schemas.openxmlformats.org/officeDocument/2006/relationships" ref="C450" r:id="rId446"/>
    <hyperlink xmlns:r="http://schemas.openxmlformats.org/officeDocument/2006/relationships" ref="C451" r:id="rId447"/>
    <hyperlink xmlns:r="http://schemas.openxmlformats.org/officeDocument/2006/relationships" ref="C452" r:id="rId448"/>
    <hyperlink xmlns:r="http://schemas.openxmlformats.org/officeDocument/2006/relationships" ref="C453" r:id="rId449"/>
    <hyperlink xmlns:r="http://schemas.openxmlformats.org/officeDocument/2006/relationships" ref="C454" r:id="rId450"/>
    <hyperlink xmlns:r="http://schemas.openxmlformats.org/officeDocument/2006/relationships" ref="C455" r:id="rId451"/>
    <hyperlink xmlns:r="http://schemas.openxmlformats.org/officeDocument/2006/relationships" ref="C456" r:id="rId452"/>
    <hyperlink xmlns:r="http://schemas.openxmlformats.org/officeDocument/2006/relationships" ref="C457" r:id="rId453"/>
    <hyperlink xmlns:r="http://schemas.openxmlformats.org/officeDocument/2006/relationships" ref="C458" r:id="rId454"/>
    <hyperlink xmlns:r="http://schemas.openxmlformats.org/officeDocument/2006/relationships" ref="C459" r:id="rId455"/>
    <hyperlink xmlns:r="http://schemas.openxmlformats.org/officeDocument/2006/relationships" ref="C460" r:id="rId456"/>
    <hyperlink xmlns:r="http://schemas.openxmlformats.org/officeDocument/2006/relationships" ref="C461" r:id="rId457"/>
    <hyperlink xmlns:r="http://schemas.openxmlformats.org/officeDocument/2006/relationships" ref="C462" r:id="rId458"/>
    <hyperlink xmlns:r="http://schemas.openxmlformats.org/officeDocument/2006/relationships" ref="C463" r:id="rId459"/>
    <hyperlink xmlns:r="http://schemas.openxmlformats.org/officeDocument/2006/relationships" ref="C464" r:id="rId460"/>
    <hyperlink xmlns:r="http://schemas.openxmlformats.org/officeDocument/2006/relationships" ref="C465" r:id="rId461"/>
    <hyperlink xmlns:r="http://schemas.openxmlformats.org/officeDocument/2006/relationships" ref="C466" r:id="rId462"/>
    <hyperlink xmlns:r="http://schemas.openxmlformats.org/officeDocument/2006/relationships" ref="C467" r:id="rId463"/>
    <hyperlink xmlns:r="http://schemas.openxmlformats.org/officeDocument/2006/relationships" ref="C468" r:id="rId464"/>
    <hyperlink xmlns:r="http://schemas.openxmlformats.org/officeDocument/2006/relationships" ref="C469" r:id="rId465"/>
    <hyperlink xmlns:r="http://schemas.openxmlformats.org/officeDocument/2006/relationships" ref="C470" r:id="rId466"/>
    <hyperlink xmlns:r="http://schemas.openxmlformats.org/officeDocument/2006/relationships" ref="C471" r:id="rId467"/>
    <hyperlink xmlns:r="http://schemas.openxmlformats.org/officeDocument/2006/relationships" ref="C472" r:id="rId468"/>
    <hyperlink xmlns:r="http://schemas.openxmlformats.org/officeDocument/2006/relationships" ref="C473" r:id="rId469"/>
    <hyperlink xmlns:r="http://schemas.openxmlformats.org/officeDocument/2006/relationships" ref="C474" r:id="rId470"/>
    <hyperlink xmlns:r="http://schemas.openxmlformats.org/officeDocument/2006/relationships" ref="C475" r:id="rId471"/>
    <hyperlink xmlns:r="http://schemas.openxmlformats.org/officeDocument/2006/relationships" ref="C476" r:id="rId472"/>
    <hyperlink xmlns:r="http://schemas.openxmlformats.org/officeDocument/2006/relationships" ref="C477" r:id="rId473"/>
    <hyperlink xmlns:r="http://schemas.openxmlformats.org/officeDocument/2006/relationships" ref="C478" r:id="rId474"/>
    <hyperlink xmlns:r="http://schemas.openxmlformats.org/officeDocument/2006/relationships" ref="C479" r:id="rId475"/>
    <hyperlink xmlns:r="http://schemas.openxmlformats.org/officeDocument/2006/relationships" ref="C480" r:id="rId476"/>
    <hyperlink xmlns:r="http://schemas.openxmlformats.org/officeDocument/2006/relationships" ref="C481" r:id="rId477"/>
    <hyperlink xmlns:r="http://schemas.openxmlformats.org/officeDocument/2006/relationships" ref="C482" r:id="rId478"/>
    <hyperlink xmlns:r="http://schemas.openxmlformats.org/officeDocument/2006/relationships" ref="C483" r:id="rId479"/>
    <hyperlink xmlns:r="http://schemas.openxmlformats.org/officeDocument/2006/relationships" ref="C484" r:id="rId480"/>
    <hyperlink xmlns:r="http://schemas.openxmlformats.org/officeDocument/2006/relationships" ref="C485" r:id="rId481"/>
    <hyperlink xmlns:r="http://schemas.openxmlformats.org/officeDocument/2006/relationships" ref="C486" r:id="rId482"/>
    <hyperlink xmlns:r="http://schemas.openxmlformats.org/officeDocument/2006/relationships" ref="C487" r:id="rId483"/>
    <hyperlink xmlns:r="http://schemas.openxmlformats.org/officeDocument/2006/relationships" ref="C488" r:id="rId484"/>
    <hyperlink xmlns:r="http://schemas.openxmlformats.org/officeDocument/2006/relationships" ref="C489" r:id="rId485"/>
    <hyperlink xmlns:r="http://schemas.openxmlformats.org/officeDocument/2006/relationships" ref="C490" r:id="rId486"/>
    <hyperlink xmlns:r="http://schemas.openxmlformats.org/officeDocument/2006/relationships" ref="C491" r:id="rId487"/>
    <hyperlink xmlns:r="http://schemas.openxmlformats.org/officeDocument/2006/relationships" ref="C492" r:id="rId488"/>
    <hyperlink xmlns:r="http://schemas.openxmlformats.org/officeDocument/2006/relationships" ref="C493" r:id="rId489"/>
    <hyperlink xmlns:r="http://schemas.openxmlformats.org/officeDocument/2006/relationships" ref="C494" r:id="rId490"/>
    <hyperlink xmlns:r="http://schemas.openxmlformats.org/officeDocument/2006/relationships" ref="C495" r:id="rId491"/>
    <hyperlink xmlns:r="http://schemas.openxmlformats.org/officeDocument/2006/relationships" ref="C496" r:id="rId492"/>
    <hyperlink xmlns:r="http://schemas.openxmlformats.org/officeDocument/2006/relationships" ref="C497" r:id="rId493"/>
    <hyperlink xmlns:r="http://schemas.openxmlformats.org/officeDocument/2006/relationships" ref="C498" r:id="rId494"/>
    <hyperlink xmlns:r="http://schemas.openxmlformats.org/officeDocument/2006/relationships" ref="C499" r:id="rId495"/>
    <hyperlink xmlns:r="http://schemas.openxmlformats.org/officeDocument/2006/relationships" ref="C500" r:id="rId496"/>
    <hyperlink xmlns:r="http://schemas.openxmlformats.org/officeDocument/2006/relationships" ref="C501" r:id="rId497"/>
    <hyperlink xmlns:r="http://schemas.openxmlformats.org/officeDocument/2006/relationships" ref="C502" r:id="rId498"/>
    <hyperlink xmlns:r="http://schemas.openxmlformats.org/officeDocument/2006/relationships" ref="C503" r:id="rId499"/>
    <hyperlink xmlns:r="http://schemas.openxmlformats.org/officeDocument/2006/relationships" ref="C504" r:id="rId500"/>
    <hyperlink xmlns:r="http://schemas.openxmlformats.org/officeDocument/2006/relationships" ref="C505" r:id="rId501"/>
    <hyperlink xmlns:r="http://schemas.openxmlformats.org/officeDocument/2006/relationships" ref="C506" r:id="rId502"/>
    <hyperlink xmlns:r="http://schemas.openxmlformats.org/officeDocument/2006/relationships" ref="C507" r:id="rId503"/>
    <hyperlink xmlns:r="http://schemas.openxmlformats.org/officeDocument/2006/relationships" ref="C508" r:id="rId504"/>
    <hyperlink xmlns:r="http://schemas.openxmlformats.org/officeDocument/2006/relationships" ref="C509" r:id="rId505"/>
    <hyperlink xmlns:r="http://schemas.openxmlformats.org/officeDocument/2006/relationships" ref="C510" r:id="rId506"/>
    <hyperlink xmlns:r="http://schemas.openxmlformats.org/officeDocument/2006/relationships" ref="C511" r:id="rId507"/>
    <hyperlink xmlns:r="http://schemas.openxmlformats.org/officeDocument/2006/relationships" ref="C512" r:id="rId508"/>
    <hyperlink xmlns:r="http://schemas.openxmlformats.org/officeDocument/2006/relationships" ref="C513" r:id="rId509"/>
    <hyperlink xmlns:r="http://schemas.openxmlformats.org/officeDocument/2006/relationships" ref="C514" r:id="rId510"/>
    <hyperlink xmlns:r="http://schemas.openxmlformats.org/officeDocument/2006/relationships" ref="C515" r:id="rId511"/>
    <hyperlink xmlns:r="http://schemas.openxmlformats.org/officeDocument/2006/relationships" ref="C516" r:id="rId512"/>
    <hyperlink xmlns:r="http://schemas.openxmlformats.org/officeDocument/2006/relationships" ref="C517" r:id="rId513"/>
    <hyperlink xmlns:r="http://schemas.openxmlformats.org/officeDocument/2006/relationships" ref="C518" r:id="rId514"/>
    <hyperlink xmlns:r="http://schemas.openxmlformats.org/officeDocument/2006/relationships" ref="C519" r:id="rId515"/>
    <hyperlink xmlns:r="http://schemas.openxmlformats.org/officeDocument/2006/relationships" ref="C520" r:id="rId516"/>
    <hyperlink xmlns:r="http://schemas.openxmlformats.org/officeDocument/2006/relationships" ref="C521" r:id="rId517"/>
    <hyperlink xmlns:r="http://schemas.openxmlformats.org/officeDocument/2006/relationships" ref="C522" r:id="rId518"/>
    <hyperlink xmlns:r="http://schemas.openxmlformats.org/officeDocument/2006/relationships" ref="C523" r:id="rId519"/>
    <hyperlink xmlns:r="http://schemas.openxmlformats.org/officeDocument/2006/relationships" ref="C524" r:id="rId520"/>
    <hyperlink xmlns:r="http://schemas.openxmlformats.org/officeDocument/2006/relationships" ref="C525" r:id="rId521"/>
    <hyperlink xmlns:r="http://schemas.openxmlformats.org/officeDocument/2006/relationships" ref="C526" r:id="rId522"/>
    <hyperlink xmlns:r="http://schemas.openxmlformats.org/officeDocument/2006/relationships" ref="C527" r:id="rId523"/>
    <hyperlink xmlns:r="http://schemas.openxmlformats.org/officeDocument/2006/relationships" ref="C528" r:id="rId524"/>
    <hyperlink xmlns:r="http://schemas.openxmlformats.org/officeDocument/2006/relationships" ref="C529" r:id="rId525"/>
    <hyperlink xmlns:r="http://schemas.openxmlformats.org/officeDocument/2006/relationships" ref="C530" r:id="rId526"/>
    <hyperlink xmlns:r="http://schemas.openxmlformats.org/officeDocument/2006/relationships" ref="C531" r:id="rId527"/>
    <hyperlink xmlns:r="http://schemas.openxmlformats.org/officeDocument/2006/relationships" ref="C532" r:id="rId528"/>
    <hyperlink xmlns:r="http://schemas.openxmlformats.org/officeDocument/2006/relationships" ref="C533" r:id="rId529"/>
    <hyperlink xmlns:r="http://schemas.openxmlformats.org/officeDocument/2006/relationships" ref="C534" r:id="rId530"/>
    <hyperlink xmlns:r="http://schemas.openxmlformats.org/officeDocument/2006/relationships" ref="C535" r:id="rId531"/>
    <hyperlink xmlns:r="http://schemas.openxmlformats.org/officeDocument/2006/relationships" ref="C536" r:id="rId532"/>
    <hyperlink xmlns:r="http://schemas.openxmlformats.org/officeDocument/2006/relationships" ref="C537" r:id="rId533"/>
    <hyperlink xmlns:r="http://schemas.openxmlformats.org/officeDocument/2006/relationships" ref="C538" r:id="rId534"/>
    <hyperlink xmlns:r="http://schemas.openxmlformats.org/officeDocument/2006/relationships" ref="C539" r:id="rId535"/>
    <hyperlink xmlns:r="http://schemas.openxmlformats.org/officeDocument/2006/relationships" ref="C540" r:id="rId536"/>
    <hyperlink xmlns:r="http://schemas.openxmlformats.org/officeDocument/2006/relationships" ref="C541" r:id="rId537"/>
    <hyperlink xmlns:r="http://schemas.openxmlformats.org/officeDocument/2006/relationships" ref="C542" r:id="rId538"/>
    <hyperlink xmlns:r="http://schemas.openxmlformats.org/officeDocument/2006/relationships" ref="C543" r:id="rId539"/>
    <hyperlink xmlns:r="http://schemas.openxmlformats.org/officeDocument/2006/relationships" ref="C544" r:id="rId540"/>
    <hyperlink xmlns:r="http://schemas.openxmlformats.org/officeDocument/2006/relationships" ref="C545" r:id="rId541"/>
    <hyperlink xmlns:r="http://schemas.openxmlformats.org/officeDocument/2006/relationships" ref="C546" r:id="rId542"/>
    <hyperlink xmlns:r="http://schemas.openxmlformats.org/officeDocument/2006/relationships" ref="C547" r:id="rId543"/>
    <hyperlink xmlns:r="http://schemas.openxmlformats.org/officeDocument/2006/relationships" ref="C548" r:id="rId544"/>
    <hyperlink xmlns:r="http://schemas.openxmlformats.org/officeDocument/2006/relationships" ref="C549" r:id="rId545"/>
    <hyperlink xmlns:r="http://schemas.openxmlformats.org/officeDocument/2006/relationships" ref="C550" r:id="rId546"/>
    <hyperlink xmlns:r="http://schemas.openxmlformats.org/officeDocument/2006/relationships" ref="C551" r:id="rId547"/>
    <hyperlink xmlns:r="http://schemas.openxmlformats.org/officeDocument/2006/relationships" ref="C552" r:id="rId548"/>
    <hyperlink xmlns:r="http://schemas.openxmlformats.org/officeDocument/2006/relationships" ref="C553" r:id="rId549"/>
    <hyperlink xmlns:r="http://schemas.openxmlformats.org/officeDocument/2006/relationships" ref="C554" r:id="rId550"/>
    <hyperlink xmlns:r="http://schemas.openxmlformats.org/officeDocument/2006/relationships" ref="C555" r:id="rId551"/>
    <hyperlink xmlns:r="http://schemas.openxmlformats.org/officeDocument/2006/relationships" ref="C556" r:id="rId552"/>
    <hyperlink xmlns:r="http://schemas.openxmlformats.org/officeDocument/2006/relationships" ref="C557" r:id="rId553"/>
    <hyperlink xmlns:r="http://schemas.openxmlformats.org/officeDocument/2006/relationships" ref="C558" r:id="rId554"/>
    <hyperlink xmlns:r="http://schemas.openxmlformats.org/officeDocument/2006/relationships" ref="C559" r:id="rId555"/>
    <hyperlink xmlns:r="http://schemas.openxmlformats.org/officeDocument/2006/relationships" ref="C560" r:id="rId556"/>
    <hyperlink xmlns:r="http://schemas.openxmlformats.org/officeDocument/2006/relationships" ref="C561" r:id="rId557"/>
    <hyperlink xmlns:r="http://schemas.openxmlformats.org/officeDocument/2006/relationships" ref="C562" r:id="rId558"/>
    <hyperlink xmlns:r="http://schemas.openxmlformats.org/officeDocument/2006/relationships" ref="C563" r:id="rId559"/>
    <hyperlink xmlns:r="http://schemas.openxmlformats.org/officeDocument/2006/relationships" ref="C564" r:id="rId560"/>
    <hyperlink xmlns:r="http://schemas.openxmlformats.org/officeDocument/2006/relationships" ref="C565" r:id="rId561"/>
    <hyperlink xmlns:r="http://schemas.openxmlformats.org/officeDocument/2006/relationships" ref="C566" r:id="rId562"/>
    <hyperlink xmlns:r="http://schemas.openxmlformats.org/officeDocument/2006/relationships" ref="C567" r:id="rId563"/>
    <hyperlink xmlns:r="http://schemas.openxmlformats.org/officeDocument/2006/relationships" ref="C568" r:id="rId564"/>
    <hyperlink xmlns:r="http://schemas.openxmlformats.org/officeDocument/2006/relationships" ref="C569" r:id="rId565"/>
    <hyperlink xmlns:r="http://schemas.openxmlformats.org/officeDocument/2006/relationships" ref="C570" r:id="rId566"/>
    <hyperlink xmlns:r="http://schemas.openxmlformats.org/officeDocument/2006/relationships" ref="C571" r:id="rId567"/>
    <hyperlink xmlns:r="http://schemas.openxmlformats.org/officeDocument/2006/relationships" ref="C572" r:id="rId568"/>
    <hyperlink xmlns:r="http://schemas.openxmlformats.org/officeDocument/2006/relationships" ref="C573" r:id="rId569"/>
    <hyperlink xmlns:r="http://schemas.openxmlformats.org/officeDocument/2006/relationships" ref="C574" r:id="rId570"/>
    <hyperlink xmlns:r="http://schemas.openxmlformats.org/officeDocument/2006/relationships" ref="C575" r:id="rId571"/>
    <hyperlink xmlns:r="http://schemas.openxmlformats.org/officeDocument/2006/relationships" ref="C576" r:id="rId572"/>
    <hyperlink xmlns:r="http://schemas.openxmlformats.org/officeDocument/2006/relationships" ref="C577" r:id="rId573"/>
    <hyperlink xmlns:r="http://schemas.openxmlformats.org/officeDocument/2006/relationships" ref="C578" r:id="rId574"/>
    <hyperlink xmlns:r="http://schemas.openxmlformats.org/officeDocument/2006/relationships" ref="C579" r:id="rId575"/>
    <hyperlink xmlns:r="http://schemas.openxmlformats.org/officeDocument/2006/relationships" ref="C580" r:id="rId576"/>
    <hyperlink xmlns:r="http://schemas.openxmlformats.org/officeDocument/2006/relationships" ref="C581" r:id="rId577"/>
    <hyperlink xmlns:r="http://schemas.openxmlformats.org/officeDocument/2006/relationships" ref="C582" r:id="rId578"/>
    <hyperlink xmlns:r="http://schemas.openxmlformats.org/officeDocument/2006/relationships" ref="C583" r:id="rId579"/>
    <hyperlink xmlns:r="http://schemas.openxmlformats.org/officeDocument/2006/relationships" ref="C584" r:id="rId580"/>
    <hyperlink xmlns:r="http://schemas.openxmlformats.org/officeDocument/2006/relationships" ref="C585" r:id="rId581"/>
    <hyperlink xmlns:r="http://schemas.openxmlformats.org/officeDocument/2006/relationships" ref="C586" r:id="rId582"/>
    <hyperlink xmlns:r="http://schemas.openxmlformats.org/officeDocument/2006/relationships" ref="C587" r:id="rId583"/>
    <hyperlink xmlns:r="http://schemas.openxmlformats.org/officeDocument/2006/relationships" ref="C588" r:id="rId584"/>
    <hyperlink xmlns:r="http://schemas.openxmlformats.org/officeDocument/2006/relationships" ref="C589" r:id="rId585"/>
    <hyperlink xmlns:r="http://schemas.openxmlformats.org/officeDocument/2006/relationships" ref="C590" r:id="rId586"/>
    <hyperlink xmlns:r="http://schemas.openxmlformats.org/officeDocument/2006/relationships" ref="C591" r:id="rId587"/>
    <hyperlink xmlns:r="http://schemas.openxmlformats.org/officeDocument/2006/relationships" ref="C592" r:id="rId588"/>
    <hyperlink xmlns:r="http://schemas.openxmlformats.org/officeDocument/2006/relationships" ref="C593" r:id="rId589"/>
    <hyperlink xmlns:r="http://schemas.openxmlformats.org/officeDocument/2006/relationships" ref="C594" r:id="rId590"/>
    <hyperlink xmlns:r="http://schemas.openxmlformats.org/officeDocument/2006/relationships" ref="C595" r:id="rId591"/>
    <hyperlink xmlns:r="http://schemas.openxmlformats.org/officeDocument/2006/relationships" ref="C596" r:id="rId592"/>
    <hyperlink xmlns:r="http://schemas.openxmlformats.org/officeDocument/2006/relationships" ref="C597" r:id="rId593"/>
    <hyperlink xmlns:r="http://schemas.openxmlformats.org/officeDocument/2006/relationships" ref="C598" r:id="rId594"/>
    <hyperlink xmlns:r="http://schemas.openxmlformats.org/officeDocument/2006/relationships" ref="C599" r:id="rId595"/>
    <hyperlink xmlns:r="http://schemas.openxmlformats.org/officeDocument/2006/relationships" ref="C600" r:id="rId596"/>
    <hyperlink xmlns:r="http://schemas.openxmlformats.org/officeDocument/2006/relationships" ref="C601" r:id="rId597"/>
    <hyperlink xmlns:r="http://schemas.openxmlformats.org/officeDocument/2006/relationships" ref="C602" r:id="rId598"/>
    <hyperlink xmlns:r="http://schemas.openxmlformats.org/officeDocument/2006/relationships" ref="C603" r:id="rId599"/>
    <hyperlink xmlns:r="http://schemas.openxmlformats.org/officeDocument/2006/relationships" ref="C604" r:id="rId600"/>
    <hyperlink xmlns:r="http://schemas.openxmlformats.org/officeDocument/2006/relationships" ref="C605" r:id="rId601"/>
    <hyperlink xmlns:r="http://schemas.openxmlformats.org/officeDocument/2006/relationships" ref="C606" r:id="rId602"/>
    <hyperlink xmlns:r="http://schemas.openxmlformats.org/officeDocument/2006/relationships" ref="C607" r:id="rId603"/>
    <hyperlink xmlns:r="http://schemas.openxmlformats.org/officeDocument/2006/relationships" ref="C608" r:id="rId604"/>
    <hyperlink xmlns:r="http://schemas.openxmlformats.org/officeDocument/2006/relationships" ref="C609" r:id="rId605"/>
    <hyperlink xmlns:r="http://schemas.openxmlformats.org/officeDocument/2006/relationships" ref="C610" r:id="rId606"/>
    <hyperlink xmlns:r="http://schemas.openxmlformats.org/officeDocument/2006/relationships" ref="C611" r:id="rId607"/>
    <hyperlink xmlns:r="http://schemas.openxmlformats.org/officeDocument/2006/relationships" ref="C612" r:id="rId608"/>
    <hyperlink xmlns:r="http://schemas.openxmlformats.org/officeDocument/2006/relationships" ref="C613" r:id="rId609"/>
    <hyperlink xmlns:r="http://schemas.openxmlformats.org/officeDocument/2006/relationships" ref="C614" r:id="rId610"/>
    <hyperlink xmlns:r="http://schemas.openxmlformats.org/officeDocument/2006/relationships" ref="C615" r:id="rId611"/>
    <hyperlink xmlns:r="http://schemas.openxmlformats.org/officeDocument/2006/relationships" ref="C616" r:id="rId612"/>
    <hyperlink xmlns:r="http://schemas.openxmlformats.org/officeDocument/2006/relationships" ref="C617" r:id="rId613"/>
    <hyperlink xmlns:r="http://schemas.openxmlformats.org/officeDocument/2006/relationships" ref="C618" r:id="rId614"/>
    <hyperlink xmlns:r="http://schemas.openxmlformats.org/officeDocument/2006/relationships" ref="C619" r:id="rId615"/>
    <hyperlink xmlns:r="http://schemas.openxmlformats.org/officeDocument/2006/relationships" ref="C620" r:id="rId616"/>
    <hyperlink xmlns:r="http://schemas.openxmlformats.org/officeDocument/2006/relationships" ref="C621" r:id="rId617"/>
    <hyperlink xmlns:r="http://schemas.openxmlformats.org/officeDocument/2006/relationships" ref="C622" r:id="rId618"/>
    <hyperlink xmlns:r="http://schemas.openxmlformats.org/officeDocument/2006/relationships" ref="C623" r:id="rId619"/>
    <hyperlink xmlns:r="http://schemas.openxmlformats.org/officeDocument/2006/relationships" ref="C624" r:id="rId620"/>
    <hyperlink xmlns:r="http://schemas.openxmlformats.org/officeDocument/2006/relationships" ref="C625" r:id="rId621"/>
    <hyperlink xmlns:r="http://schemas.openxmlformats.org/officeDocument/2006/relationships" ref="C626" r:id="rId622"/>
    <hyperlink xmlns:r="http://schemas.openxmlformats.org/officeDocument/2006/relationships" ref="C627" r:id="rId623"/>
    <hyperlink xmlns:r="http://schemas.openxmlformats.org/officeDocument/2006/relationships" ref="C628" r:id="rId624"/>
    <hyperlink xmlns:r="http://schemas.openxmlformats.org/officeDocument/2006/relationships" ref="C629" r:id="rId625"/>
    <hyperlink xmlns:r="http://schemas.openxmlformats.org/officeDocument/2006/relationships" ref="C630" r:id="rId626"/>
    <hyperlink xmlns:r="http://schemas.openxmlformats.org/officeDocument/2006/relationships" ref="C631" r:id="rId627"/>
    <hyperlink xmlns:r="http://schemas.openxmlformats.org/officeDocument/2006/relationships" ref="C632" r:id="rId628"/>
    <hyperlink xmlns:r="http://schemas.openxmlformats.org/officeDocument/2006/relationships" ref="C633" r:id="rId629"/>
    <hyperlink xmlns:r="http://schemas.openxmlformats.org/officeDocument/2006/relationships" ref="C634" r:id="rId630"/>
    <hyperlink xmlns:r="http://schemas.openxmlformats.org/officeDocument/2006/relationships" ref="C635" r:id="rId631"/>
    <hyperlink xmlns:r="http://schemas.openxmlformats.org/officeDocument/2006/relationships" ref="C636" r:id="rId632"/>
    <hyperlink xmlns:r="http://schemas.openxmlformats.org/officeDocument/2006/relationships" ref="C637" r:id="rId633"/>
    <hyperlink xmlns:r="http://schemas.openxmlformats.org/officeDocument/2006/relationships" ref="C638" r:id="rId634"/>
    <hyperlink xmlns:r="http://schemas.openxmlformats.org/officeDocument/2006/relationships" ref="C639" r:id="rId635"/>
    <hyperlink xmlns:r="http://schemas.openxmlformats.org/officeDocument/2006/relationships" ref="C640" r:id="rId636"/>
    <hyperlink xmlns:r="http://schemas.openxmlformats.org/officeDocument/2006/relationships" ref="C641" r:id="rId637"/>
    <hyperlink xmlns:r="http://schemas.openxmlformats.org/officeDocument/2006/relationships" ref="C642" r:id="rId638"/>
    <hyperlink xmlns:r="http://schemas.openxmlformats.org/officeDocument/2006/relationships" ref="C643" r:id="rId639"/>
    <hyperlink xmlns:r="http://schemas.openxmlformats.org/officeDocument/2006/relationships" ref="C644" r:id="rId640"/>
    <hyperlink xmlns:r="http://schemas.openxmlformats.org/officeDocument/2006/relationships" ref="C645" r:id="rId641"/>
    <hyperlink xmlns:r="http://schemas.openxmlformats.org/officeDocument/2006/relationships" ref="C646" r:id="rId642"/>
    <hyperlink xmlns:r="http://schemas.openxmlformats.org/officeDocument/2006/relationships" ref="C647" r:id="rId643"/>
    <hyperlink xmlns:r="http://schemas.openxmlformats.org/officeDocument/2006/relationships" ref="C648" r:id="rId644"/>
    <hyperlink xmlns:r="http://schemas.openxmlformats.org/officeDocument/2006/relationships" ref="C649" r:id="rId645"/>
    <hyperlink xmlns:r="http://schemas.openxmlformats.org/officeDocument/2006/relationships" ref="C650" r:id="rId646"/>
    <hyperlink xmlns:r="http://schemas.openxmlformats.org/officeDocument/2006/relationships" ref="C651" r:id="rId647"/>
    <hyperlink xmlns:r="http://schemas.openxmlformats.org/officeDocument/2006/relationships" ref="C652" r:id="rId648"/>
    <hyperlink xmlns:r="http://schemas.openxmlformats.org/officeDocument/2006/relationships" ref="C653" r:id="rId649"/>
    <hyperlink xmlns:r="http://schemas.openxmlformats.org/officeDocument/2006/relationships" ref="C654" r:id="rId650"/>
    <hyperlink xmlns:r="http://schemas.openxmlformats.org/officeDocument/2006/relationships" ref="C655" r:id="rId651"/>
    <hyperlink xmlns:r="http://schemas.openxmlformats.org/officeDocument/2006/relationships" ref="C656" r:id="rId652"/>
    <hyperlink xmlns:r="http://schemas.openxmlformats.org/officeDocument/2006/relationships" ref="C657" r:id="rId653"/>
    <hyperlink xmlns:r="http://schemas.openxmlformats.org/officeDocument/2006/relationships" ref="C658" r:id="rId654"/>
    <hyperlink xmlns:r="http://schemas.openxmlformats.org/officeDocument/2006/relationships" ref="C659" r:id="rId655"/>
    <hyperlink xmlns:r="http://schemas.openxmlformats.org/officeDocument/2006/relationships" ref="C660" r:id="rId656"/>
    <hyperlink xmlns:r="http://schemas.openxmlformats.org/officeDocument/2006/relationships" ref="C661" r:id="rId657"/>
    <hyperlink xmlns:r="http://schemas.openxmlformats.org/officeDocument/2006/relationships" ref="C662" r:id="rId658"/>
    <hyperlink xmlns:r="http://schemas.openxmlformats.org/officeDocument/2006/relationships" ref="C663" r:id="rId659"/>
    <hyperlink xmlns:r="http://schemas.openxmlformats.org/officeDocument/2006/relationships" ref="C664" r:id="rId660"/>
    <hyperlink xmlns:r="http://schemas.openxmlformats.org/officeDocument/2006/relationships" ref="C665" r:id="rId661"/>
    <hyperlink xmlns:r="http://schemas.openxmlformats.org/officeDocument/2006/relationships" ref="C666" r:id="rId662"/>
    <hyperlink xmlns:r="http://schemas.openxmlformats.org/officeDocument/2006/relationships" ref="C667" r:id="rId663"/>
    <hyperlink xmlns:r="http://schemas.openxmlformats.org/officeDocument/2006/relationships" ref="C668" r:id="rId664"/>
    <hyperlink xmlns:r="http://schemas.openxmlformats.org/officeDocument/2006/relationships" ref="C669" r:id="rId665"/>
    <hyperlink xmlns:r="http://schemas.openxmlformats.org/officeDocument/2006/relationships" ref="C670" r:id="rId666"/>
    <hyperlink xmlns:r="http://schemas.openxmlformats.org/officeDocument/2006/relationships" ref="C671" r:id="rId667"/>
    <hyperlink xmlns:r="http://schemas.openxmlformats.org/officeDocument/2006/relationships" ref="C672" r:id="rId668"/>
    <hyperlink xmlns:r="http://schemas.openxmlformats.org/officeDocument/2006/relationships" ref="C673" r:id="rId669"/>
    <hyperlink xmlns:r="http://schemas.openxmlformats.org/officeDocument/2006/relationships" ref="C674" r:id="rId670"/>
    <hyperlink xmlns:r="http://schemas.openxmlformats.org/officeDocument/2006/relationships" ref="C675" r:id="rId671"/>
    <hyperlink xmlns:r="http://schemas.openxmlformats.org/officeDocument/2006/relationships" ref="C676" r:id="rId672"/>
    <hyperlink xmlns:r="http://schemas.openxmlformats.org/officeDocument/2006/relationships" ref="C677" r:id="rId673"/>
    <hyperlink xmlns:r="http://schemas.openxmlformats.org/officeDocument/2006/relationships" ref="C678" r:id="rId674"/>
    <hyperlink xmlns:r="http://schemas.openxmlformats.org/officeDocument/2006/relationships" ref="C679" r:id="rId675"/>
    <hyperlink xmlns:r="http://schemas.openxmlformats.org/officeDocument/2006/relationships" ref="C680" r:id="rId676"/>
    <hyperlink xmlns:r="http://schemas.openxmlformats.org/officeDocument/2006/relationships" ref="C681" r:id="rId677"/>
    <hyperlink xmlns:r="http://schemas.openxmlformats.org/officeDocument/2006/relationships" ref="C682" r:id="rId678"/>
    <hyperlink xmlns:r="http://schemas.openxmlformats.org/officeDocument/2006/relationships" ref="C683" r:id="rId679"/>
    <hyperlink xmlns:r="http://schemas.openxmlformats.org/officeDocument/2006/relationships" ref="C684" r:id="rId680"/>
    <hyperlink xmlns:r="http://schemas.openxmlformats.org/officeDocument/2006/relationships" ref="C685" r:id="rId681"/>
    <hyperlink xmlns:r="http://schemas.openxmlformats.org/officeDocument/2006/relationships" ref="C686" r:id="rId682"/>
    <hyperlink xmlns:r="http://schemas.openxmlformats.org/officeDocument/2006/relationships" ref="C687" r:id="rId683"/>
    <hyperlink xmlns:r="http://schemas.openxmlformats.org/officeDocument/2006/relationships" ref="C688" r:id="rId684"/>
    <hyperlink xmlns:r="http://schemas.openxmlformats.org/officeDocument/2006/relationships" ref="C689" r:id="rId685"/>
    <hyperlink xmlns:r="http://schemas.openxmlformats.org/officeDocument/2006/relationships" ref="C690" r:id="rId686"/>
    <hyperlink xmlns:r="http://schemas.openxmlformats.org/officeDocument/2006/relationships" ref="C691" r:id="rId687"/>
    <hyperlink xmlns:r="http://schemas.openxmlformats.org/officeDocument/2006/relationships" ref="C692" r:id="rId688"/>
    <hyperlink xmlns:r="http://schemas.openxmlformats.org/officeDocument/2006/relationships" ref="C693" r:id="rId689"/>
    <hyperlink xmlns:r="http://schemas.openxmlformats.org/officeDocument/2006/relationships" ref="C694" r:id="rId690"/>
    <hyperlink xmlns:r="http://schemas.openxmlformats.org/officeDocument/2006/relationships" ref="C695" r:id="rId691"/>
    <hyperlink xmlns:r="http://schemas.openxmlformats.org/officeDocument/2006/relationships" ref="C696" r:id="rId692"/>
    <hyperlink xmlns:r="http://schemas.openxmlformats.org/officeDocument/2006/relationships" ref="C697" r:id="rId693"/>
    <hyperlink xmlns:r="http://schemas.openxmlformats.org/officeDocument/2006/relationships" ref="C698" r:id="rId694"/>
    <hyperlink xmlns:r="http://schemas.openxmlformats.org/officeDocument/2006/relationships" ref="C699" r:id="rId695"/>
    <hyperlink xmlns:r="http://schemas.openxmlformats.org/officeDocument/2006/relationships" ref="C700" r:id="rId696"/>
    <hyperlink xmlns:r="http://schemas.openxmlformats.org/officeDocument/2006/relationships" ref="C701" r:id="rId697"/>
    <hyperlink xmlns:r="http://schemas.openxmlformats.org/officeDocument/2006/relationships" ref="C702" r:id="rId698"/>
    <hyperlink xmlns:r="http://schemas.openxmlformats.org/officeDocument/2006/relationships" ref="C703" r:id="rId699"/>
    <hyperlink xmlns:r="http://schemas.openxmlformats.org/officeDocument/2006/relationships" ref="C704" r:id="rId700"/>
    <hyperlink xmlns:r="http://schemas.openxmlformats.org/officeDocument/2006/relationships" ref="C705" r:id="rId701"/>
    <hyperlink xmlns:r="http://schemas.openxmlformats.org/officeDocument/2006/relationships" ref="C706" r:id="rId702"/>
    <hyperlink xmlns:r="http://schemas.openxmlformats.org/officeDocument/2006/relationships" ref="C707" r:id="rId703"/>
    <hyperlink xmlns:r="http://schemas.openxmlformats.org/officeDocument/2006/relationships" ref="C708" r:id="rId704"/>
    <hyperlink xmlns:r="http://schemas.openxmlformats.org/officeDocument/2006/relationships" ref="C709" r:id="rId705"/>
    <hyperlink xmlns:r="http://schemas.openxmlformats.org/officeDocument/2006/relationships" ref="C710" r:id="rId706"/>
    <hyperlink xmlns:r="http://schemas.openxmlformats.org/officeDocument/2006/relationships" ref="C711" r:id="rId707"/>
    <hyperlink xmlns:r="http://schemas.openxmlformats.org/officeDocument/2006/relationships" ref="C712" r:id="rId708"/>
    <hyperlink xmlns:r="http://schemas.openxmlformats.org/officeDocument/2006/relationships" ref="C713" r:id="rId709"/>
    <hyperlink xmlns:r="http://schemas.openxmlformats.org/officeDocument/2006/relationships" ref="C714" r:id="rId710"/>
    <hyperlink xmlns:r="http://schemas.openxmlformats.org/officeDocument/2006/relationships" ref="C715" r:id="rId711"/>
    <hyperlink xmlns:r="http://schemas.openxmlformats.org/officeDocument/2006/relationships" ref="C716" r:id="rId712"/>
    <hyperlink xmlns:r="http://schemas.openxmlformats.org/officeDocument/2006/relationships" ref="C717" r:id="rId713"/>
    <hyperlink xmlns:r="http://schemas.openxmlformats.org/officeDocument/2006/relationships" ref="C718" r:id="rId714"/>
    <hyperlink xmlns:r="http://schemas.openxmlformats.org/officeDocument/2006/relationships" ref="C719" r:id="rId715"/>
    <hyperlink xmlns:r="http://schemas.openxmlformats.org/officeDocument/2006/relationships" ref="C720" r:id="rId716"/>
    <hyperlink xmlns:r="http://schemas.openxmlformats.org/officeDocument/2006/relationships" ref="C721" r:id="rId717"/>
    <hyperlink xmlns:r="http://schemas.openxmlformats.org/officeDocument/2006/relationships" ref="C722" r:id="rId718"/>
    <hyperlink xmlns:r="http://schemas.openxmlformats.org/officeDocument/2006/relationships" ref="C723" r:id="rId719"/>
    <hyperlink xmlns:r="http://schemas.openxmlformats.org/officeDocument/2006/relationships" ref="C724" r:id="rId720"/>
    <hyperlink xmlns:r="http://schemas.openxmlformats.org/officeDocument/2006/relationships" ref="C725" r:id="rId721"/>
    <hyperlink xmlns:r="http://schemas.openxmlformats.org/officeDocument/2006/relationships" ref="C726" r:id="rId722"/>
    <hyperlink xmlns:r="http://schemas.openxmlformats.org/officeDocument/2006/relationships" ref="C727" r:id="rId723"/>
    <hyperlink xmlns:r="http://schemas.openxmlformats.org/officeDocument/2006/relationships" ref="C728" r:id="rId724"/>
    <hyperlink xmlns:r="http://schemas.openxmlformats.org/officeDocument/2006/relationships" ref="C729" r:id="rId725"/>
    <hyperlink xmlns:r="http://schemas.openxmlformats.org/officeDocument/2006/relationships" ref="C730" r:id="rId726"/>
    <hyperlink xmlns:r="http://schemas.openxmlformats.org/officeDocument/2006/relationships" ref="C731" r:id="rId727"/>
    <hyperlink xmlns:r="http://schemas.openxmlformats.org/officeDocument/2006/relationships" ref="C732" r:id="rId728"/>
    <hyperlink xmlns:r="http://schemas.openxmlformats.org/officeDocument/2006/relationships" ref="C733" r:id="rId729"/>
    <hyperlink xmlns:r="http://schemas.openxmlformats.org/officeDocument/2006/relationships" ref="C734" r:id="rId730"/>
    <hyperlink xmlns:r="http://schemas.openxmlformats.org/officeDocument/2006/relationships" ref="C735" r:id="rId731"/>
    <hyperlink xmlns:r="http://schemas.openxmlformats.org/officeDocument/2006/relationships" ref="C736" r:id="rId732"/>
    <hyperlink xmlns:r="http://schemas.openxmlformats.org/officeDocument/2006/relationships" ref="C737" r:id="rId733"/>
    <hyperlink xmlns:r="http://schemas.openxmlformats.org/officeDocument/2006/relationships" ref="C738" r:id="rId734"/>
    <hyperlink xmlns:r="http://schemas.openxmlformats.org/officeDocument/2006/relationships" ref="C739" r:id="rId735"/>
    <hyperlink xmlns:r="http://schemas.openxmlformats.org/officeDocument/2006/relationships" ref="C740" r:id="rId736"/>
    <hyperlink xmlns:r="http://schemas.openxmlformats.org/officeDocument/2006/relationships" ref="C741" r:id="rId737"/>
    <hyperlink xmlns:r="http://schemas.openxmlformats.org/officeDocument/2006/relationships" ref="C742" r:id="rId738"/>
    <hyperlink xmlns:r="http://schemas.openxmlformats.org/officeDocument/2006/relationships" ref="C743" r:id="rId739"/>
    <hyperlink xmlns:r="http://schemas.openxmlformats.org/officeDocument/2006/relationships" ref="C744" r:id="rId740"/>
    <hyperlink xmlns:r="http://schemas.openxmlformats.org/officeDocument/2006/relationships" ref="C745" r:id="rId741"/>
    <hyperlink xmlns:r="http://schemas.openxmlformats.org/officeDocument/2006/relationships" ref="C746" r:id="rId742"/>
    <hyperlink xmlns:r="http://schemas.openxmlformats.org/officeDocument/2006/relationships" ref="C747" r:id="rId743"/>
    <hyperlink xmlns:r="http://schemas.openxmlformats.org/officeDocument/2006/relationships" ref="C748" r:id="rId744"/>
    <hyperlink xmlns:r="http://schemas.openxmlformats.org/officeDocument/2006/relationships" ref="C749" r:id="rId745"/>
    <hyperlink xmlns:r="http://schemas.openxmlformats.org/officeDocument/2006/relationships" ref="C750" r:id="rId746"/>
    <hyperlink xmlns:r="http://schemas.openxmlformats.org/officeDocument/2006/relationships" ref="C751" r:id="rId747"/>
    <hyperlink xmlns:r="http://schemas.openxmlformats.org/officeDocument/2006/relationships" ref="C752" r:id="rId748"/>
    <hyperlink xmlns:r="http://schemas.openxmlformats.org/officeDocument/2006/relationships" ref="C753" r:id="rId749"/>
    <hyperlink xmlns:r="http://schemas.openxmlformats.org/officeDocument/2006/relationships" ref="C754" r:id="rId750"/>
    <hyperlink xmlns:r="http://schemas.openxmlformats.org/officeDocument/2006/relationships" ref="C755" r:id="rId751"/>
    <hyperlink xmlns:r="http://schemas.openxmlformats.org/officeDocument/2006/relationships" ref="C756" r:id="rId752"/>
    <hyperlink xmlns:r="http://schemas.openxmlformats.org/officeDocument/2006/relationships" ref="C757" r:id="rId753"/>
    <hyperlink xmlns:r="http://schemas.openxmlformats.org/officeDocument/2006/relationships" ref="C758" r:id="rId754"/>
    <hyperlink xmlns:r="http://schemas.openxmlformats.org/officeDocument/2006/relationships" ref="C759" r:id="rId755"/>
    <hyperlink xmlns:r="http://schemas.openxmlformats.org/officeDocument/2006/relationships" ref="C760" r:id="rId756"/>
    <hyperlink xmlns:r="http://schemas.openxmlformats.org/officeDocument/2006/relationships" ref="C761" r:id="rId757"/>
    <hyperlink xmlns:r="http://schemas.openxmlformats.org/officeDocument/2006/relationships" ref="C762" r:id="rId758"/>
    <hyperlink xmlns:r="http://schemas.openxmlformats.org/officeDocument/2006/relationships" ref="C763" r:id="rId759"/>
    <hyperlink xmlns:r="http://schemas.openxmlformats.org/officeDocument/2006/relationships" ref="C764" r:id="rId760"/>
    <hyperlink xmlns:r="http://schemas.openxmlformats.org/officeDocument/2006/relationships" ref="C765" r:id="rId761"/>
    <hyperlink xmlns:r="http://schemas.openxmlformats.org/officeDocument/2006/relationships" ref="C766" r:id="rId762"/>
    <hyperlink xmlns:r="http://schemas.openxmlformats.org/officeDocument/2006/relationships" ref="C767" r:id="rId763"/>
    <hyperlink xmlns:r="http://schemas.openxmlformats.org/officeDocument/2006/relationships" ref="C768" r:id="rId764"/>
    <hyperlink xmlns:r="http://schemas.openxmlformats.org/officeDocument/2006/relationships" ref="C769" r:id="rId765"/>
    <hyperlink xmlns:r="http://schemas.openxmlformats.org/officeDocument/2006/relationships" ref="C770" r:id="rId766"/>
    <hyperlink xmlns:r="http://schemas.openxmlformats.org/officeDocument/2006/relationships" ref="C771" r:id="rId767"/>
    <hyperlink xmlns:r="http://schemas.openxmlformats.org/officeDocument/2006/relationships" ref="C772" r:id="rId768"/>
    <hyperlink xmlns:r="http://schemas.openxmlformats.org/officeDocument/2006/relationships" ref="C773" r:id="rId769"/>
    <hyperlink xmlns:r="http://schemas.openxmlformats.org/officeDocument/2006/relationships" ref="C774" r:id="rId770"/>
    <hyperlink xmlns:r="http://schemas.openxmlformats.org/officeDocument/2006/relationships" ref="C775" r:id="rId771"/>
    <hyperlink xmlns:r="http://schemas.openxmlformats.org/officeDocument/2006/relationships" ref="C776" r:id="rId772"/>
    <hyperlink xmlns:r="http://schemas.openxmlformats.org/officeDocument/2006/relationships" ref="C777" r:id="rId773"/>
    <hyperlink xmlns:r="http://schemas.openxmlformats.org/officeDocument/2006/relationships" ref="C778" r:id="rId774"/>
    <hyperlink xmlns:r="http://schemas.openxmlformats.org/officeDocument/2006/relationships" ref="C779" r:id="rId775"/>
    <hyperlink xmlns:r="http://schemas.openxmlformats.org/officeDocument/2006/relationships" ref="C780" r:id="rId776"/>
    <hyperlink xmlns:r="http://schemas.openxmlformats.org/officeDocument/2006/relationships" ref="C781" r:id="rId777"/>
    <hyperlink xmlns:r="http://schemas.openxmlformats.org/officeDocument/2006/relationships" ref="C782" r:id="rId778"/>
    <hyperlink xmlns:r="http://schemas.openxmlformats.org/officeDocument/2006/relationships" ref="C783" r:id="rId779"/>
    <hyperlink xmlns:r="http://schemas.openxmlformats.org/officeDocument/2006/relationships" ref="C784" r:id="rId780"/>
    <hyperlink xmlns:r="http://schemas.openxmlformats.org/officeDocument/2006/relationships" ref="C785" r:id="rId781"/>
    <hyperlink xmlns:r="http://schemas.openxmlformats.org/officeDocument/2006/relationships" ref="C786" r:id="rId782"/>
    <hyperlink xmlns:r="http://schemas.openxmlformats.org/officeDocument/2006/relationships" ref="C787" r:id="rId783"/>
    <hyperlink xmlns:r="http://schemas.openxmlformats.org/officeDocument/2006/relationships" ref="C788" r:id="rId784"/>
    <hyperlink xmlns:r="http://schemas.openxmlformats.org/officeDocument/2006/relationships" ref="C789" r:id="rId785"/>
    <hyperlink xmlns:r="http://schemas.openxmlformats.org/officeDocument/2006/relationships" ref="C790" r:id="rId786"/>
    <hyperlink xmlns:r="http://schemas.openxmlformats.org/officeDocument/2006/relationships" ref="C791" r:id="rId787"/>
    <hyperlink xmlns:r="http://schemas.openxmlformats.org/officeDocument/2006/relationships" ref="C792" r:id="rId788"/>
    <hyperlink xmlns:r="http://schemas.openxmlformats.org/officeDocument/2006/relationships" ref="C793" r:id="rId789"/>
    <hyperlink xmlns:r="http://schemas.openxmlformats.org/officeDocument/2006/relationships" ref="C794" r:id="rId790"/>
    <hyperlink xmlns:r="http://schemas.openxmlformats.org/officeDocument/2006/relationships" ref="C795" r:id="rId791"/>
    <hyperlink xmlns:r="http://schemas.openxmlformats.org/officeDocument/2006/relationships" ref="C796" r:id="rId792"/>
    <hyperlink xmlns:r="http://schemas.openxmlformats.org/officeDocument/2006/relationships" ref="C797" r:id="rId793"/>
    <hyperlink xmlns:r="http://schemas.openxmlformats.org/officeDocument/2006/relationships" ref="C798" r:id="rId794"/>
    <hyperlink xmlns:r="http://schemas.openxmlformats.org/officeDocument/2006/relationships" ref="C799" r:id="rId795"/>
    <hyperlink xmlns:r="http://schemas.openxmlformats.org/officeDocument/2006/relationships" ref="C800" r:id="rId796"/>
    <hyperlink xmlns:r="http://schemas.openxmlformats.org/officeDocument/2006/relationships" ref="C801" r:id="rId797"/>
    <hyperlink xmlns:r="http://schemas.openxmlformats.org/officeDocument/2006/relationships" ref="C802" r:id="rId798"/>
    <hyperlink xmlns:r="http://schemas.openxmlformats.org/officeDocument/2006/relationships" ref="C803" r:id="rId799"/>
    <hyperlink xmlns:r="http://schemas.openxmlformats.org/officeDocument/2006/relationships" ref="C804" r:id="rId800"/>
    <hyperlink xmlns:r="http://schemas.openxmlformats.org/officeDocument/2006/relationships" ref="C805" r:id="rId801"/>
    <hyperlink xmlns:r="http://schemas.openxmlformats.org/officeDocument/2006/relationships" ref="C806" r:id="rId802"/>
    <hyperlink xmlns:r="http://schemas.openxmlformats.org/officeDocument/2006/relationships" ref="C807" r:id="rId803"/>
    <hyperlink xmlns:r="http://schemas.openxmlformats.org/officeDocument/2006/relationships" ref="C808" r:id="rId804"/>
    <hyperlink xmlns:r="http://schemas.openxmlformats.org/officeDocument/2006/relationships" ref="C809" r:id="rId805"/>
    <hyperlink xmlns:r="http://schemas.openxmlformats.org/officeDocument/2006/relationships" ref="C810" r:id="rId806"/>
    <hyperlink xmlns:r="http://schemas.openxmlformats.org/officeDocument/2006/relationships" ref="C811" r:id="rId807"/>
    <hyperlink xmlns:r="http://schemas.openxmlformats.org/officeDocument/2006/relationships" ref="C812" r:id="rId808"/>
    <hyperlink xmlns:r="http://schemas.openxmlformats.org/officeDocument/2006/relationships" ref="C813" r:id="rId809"/>
    <hyperlink xmlns:r="http://schemas.openxmlformats.org/officeDocument/2006/relationships" ref="C814" r:id="rId810"/>
    <hyperlink xmlns:r="http://schemas.openxmlformats.org/officeDocument/2006/relationships" ref="C815" r:id="rId811"/>
    <hyperlink xmlns:r="http://schemas.openxmlformats.org/officeDocument/2006/relationships" ref="C816" r:id="rId812"/>
    <hyperlink xmlns:r="http://schemas.openxmlformats.org/officeDocument/2006/relationships" ref="C817" r:id="rId813"/>
    <hyperlink xmlns:r="http://schemas.openxmlformats.org/officeDocument/2006/relationships" ref="C818" r:id="rId814"/>
    <hyperlink xmlns:r="http://schemas.openxmlformats.org/officeDocument/2006/relationships" ref="C819" r:id="rId815"/>
    <hyperlink xmlns:r="http://schemas.openxmlformats.org/officeDocument/2006/relationships" ref="C820" r:id="rId816"/>
    <hyperlink xmlns:r="http://schemas.openxmlformats.org/officeDocument/2006/relationships" ref="C821" r:id="rId817"/>
    <hyperlink xmlns:r="http://schemas.openxmlformats.org/officeDocument/2006/relationships" ref="C822" r:id="rId818"/>
    <hyperlink xmlns:r="http://schemas.openxmlformats.org/officeDocument/2006/relationships" ref="C823" r:id="rId819"/>
    <hyperlink xmlns:r="http://schemas.openxmlformats.org/officeDocument/2006/relationships" ref="C824" r:id="rId820"/>
    <hyperlink xmlns:r="http://schemas.openxmlformats.org/officeDocument/2006/relationships" ref="C825" r:id="rId821"/>
    <hyperlink xmlns:r="http://schemas.openxmlformats.org/officeDocument/2006/relationships" ref="C826" r:id="rId822"/>
    <hyperlink xmlns:r="http://schemas.openxmlformats.org/officeDocument/2006/relationships" ref="C827" r:id="rId823"/>
    <hyperlink xmlns:r="http://schemas.openxmlformats.org/officeDocument/2006/relationships" ref="C828" r:id="rId824"/>
    <hyperlink xmlns:r="http://schemas.openxmlformats.org/officeDocument/2006/relationships" ref="C829" r:id="rId825"/>
    <hyperlink xmlns:r="http://schemas.openxmlformats.org/officeDocument/2006/relationships" ref="C830" r:id="rId826"/>
    <hyperlink xmlns:r="http://schemas.openxmlformats.org/officeDocument/2006/relationships" ref="C831" r:id="rId827"/>
    <hyperlink xmlns:r="http://schemas.openxmlformats.org/officeDocument/2006/relationships" ref="C832" r:id="rId828"/>
    <hyperlink xmlns:r="http://schemas.openxmlformats.org/officeDocument/2006/relationships" ref="C833" r:id="rId829"/>
    <hyperlink xmlns:r="http://schemas.openxmlformats.org/officeDocument/2006/relationships" ref="C834" r:id="rId830"/>
    <hyperlink xmlns:r="http://schemas.openxmlformats.org/officeDocument/2006/relationships" ref="C835" r:id="rId831"/>
    <hyperlink xmlns:r="http://schemas.openxmlformats.org/officeDocument/2006/relationships" ref="C836" r:id="rId832"/>
    <hyperlink xmlns:r="http://schemas.openxmlformats.org/officeDocument/2006/relationships" ref="C837" r:id="rId833"/>
    <hyperlink xmlns:r="http://schemas.openxmlformats.org/officeDocument/2006/relationships" ref="C838" r:id="rId834"/>
    <hyperlink xmlns:r="http://schemas.openxmlformats.org/officeDocument/2006/relationships" ref="C839" r:id="rId835"/>
    <hyperlink xmlns:r="http://schemas.openxmlformats.org/officeDocument/2006/relationships" ref="C840" r:id="rId836"/>
    <hyperlink xmlns:r="http://schemas.openxmlformats.org/officeDocument/2006/relationships" ref="C841" r:id="rId837"/>
    <hyperlink xmlns:r="http://schemas.openxmlformats.org/officeDocument/2006/relationships" ref="C842" r:id="rId838"/>
    <hyperlink xmlns:r="http://schemas.openxmlformats.org/officeDocument/2006/relationships" ref="C843" r:id="rId839"/>
    <hyperlink xmlns:r="http://schemas.openxmlformats.org/officeDocument/2006/relationships" ref="C844" r:id="rId840"/>
    <hyperlink xmlns:r="http://schemas.openxmlformats.org/officeDocument/2006/relationships" ref="C845" r:id="rId841"/>
    <hyperlink xmlns:r="http://schemas.openxmlformats.org/officeDocument/2006/relationships" ref="C846" r:id="rId842"/>
    <hyperlink xmlns:r="http://schemas.openxmlformats.org/officeDocument/2006/relationships" ref="C847" r:id="rId843"/>
    <hyperlink xmlns:r="http://schemas.openxmlformats.org/officeDocument/2006/relationships" ref="C848" r:id="rId844"/>
    <hyperlink xmlns:r="http://schemas.openxmlformats.org/officeDocument/2006/relationships" ref="C849" r:id="rId845"/>
    <hyperlink xmlns:r="http://schemas.openxmlformats.org/officeDocument/2006/relationships" ref="C850" r:id="rId846"/>
    <hyperlink xmlns:r="http://schemas.openxmlformats.org/officeDocument/2006/relationships" ref="C851" r:id="rId847"/>
    <hyperlink xmlns:r="http://schemas.openxmlformats.org/officeDocument/2006/relationships" ref="C852" r:id="rId848"/>
    <hyperlink xmlns:r="http://schemas.openxmlformats.org/officeDocument/2006/relationships" ref="C853" r:id="rId849"/>
    <hyperlink xmlns:r="http://schemas.openxmlformats.org/officeDocument/2006/relationships" ref="C854" r:id="rId850"/>
    <hyperlink xmlns:r="http://schemas.openxmlformats.org/officeDocument/2006/relationships" ref="C855" r:id="rId851"/>
    <hyperlink xmlns:r="http://schemas.openxmlformats.org/officeDocument/2006/relationships" ref="C856" r:id="rId852"/>
    <hyperlink xmlns:r="http://schemas.openxmlformats.org/officeDocument/2006/relationships" ref="C857" r:id="rId853"/>
    <hyperlink xmlns:r="http://schemas.openxmlformats.org/officeDocument/2006/relationships" ref="C858" r:id="rId854"/>
    <hyperlink xmlns:r="http://schemas.openxmlformats.org/officeDocument/2006/relationships" ref="C859" r:id="rId855"/>
    <hyperlink xmlns:r="http://schemas.openxmlformats.org/officeDocument/2006/relationships" ref="C860" r:id="rId856"/>
    <hyperlink xmlns:r="http://schemas.openxmlformats.org/officeDocument/2006/relationships" ref="C861" r:id="rId857"/>
    <hyperlink xmlns:r="http://schemas.openxmlformats.org/officeDocument/2006/relationships" ref="C862" r:id="rId858"/>
    <hyperlink xmlns:r="http://schemas.openxmlformats.org/officeDocument/2006/relationships" ref="C863" r:id="rId859"/>
    <hyperlink xmlns:r="http://schemas.openxmlformats.org/officeDocument/2006/relationships" ref="C864" r:id="rId860"/>
    <hyperlink xmlns:r="http://schemas.openxmlformats.org/officeDocument/2006/relationships" ref="C865" r:id="rId861"/>
    <hyperlink xmlns:r="http://schemas.openxmlformats.org/officeDocument/2006/relationships" ref="C866" r:id="rId862"/>
    <hyperlink xmlns:r="http://schemas.openxmlformats.org/officeDocument/2006/relationships" ref="C867" r:id="rId863"/>
    <hyperlink xmlns:r="http://schemas.openxmlformats.org/officeDocument/2006/relationships" ref="C868" r:id="rId864"/>
    <hyperlink xmlns:r="http://schemas.openxmlformats.org/officeDocument/2006/relationships" ref="C869" r:id="rId865"/>
    <hyperlink xmlns:r="http://schemas.openxmlformats.org/officeDocument/2006/relationships" ref="C870" r:id="rId866"/>
    <hyperlink xmlns:r="http://schemas.openxmlformats.org/officeDocument/2006/relationships" ref="C871" r:id="rId867"/>
    <hyperlink xmlns:r="http://schemas.openxmlformats.org/officeDocument/2006/relationships" ref="C872" r:id="rId868"/>
    <hyperlink xmlns:r="http://schemas.openxmlformats.org/officeDocument/2006/relationships" ref="C873" r:id="rId869"/>
    <hyperlink xmlns:r="http://schemas.openxmlformats.org/officeDocument/2006/relationships" ref="C874" r:id="rId870"/>
    <hyperlink xmlns:r="http://schemas.openxmlformats.org/officeDocument/2006/relationships" ref="C875" r:id="rId871"/>
    <hyperlink xmlns:r="http://schemas.openxmlformats.org/officeDocument/2006/relationships" ref="C876" r:id="rId872"/>
    <hyperlink xmlns:r="http://schemas.openxmlformats.org/officeDocument/2006/relationships" ref="C877" r:id="rId873"/>
    <hyperlink xmlns:r="http://schemas.openxmlformats.org/officeDocument/2006/relationships" ref="C878" r:id="rId874"/>
    <hyperlink xmlns:r="http://schemas.openxmlformats.org/officeDocument/2006/relationships" ref="C879" r:id="rId875"/>
    <hyperlink xmlns:r="http://schemas.openxmlformats.org/officeDocument/2006/relationships" ref="C880" r:id="rId876"/>
    <hyperlink xmlns:r="http://schemas.openxmlformats.org/officeDocument/2006/relationships" ref="C881" r:id="rId877"/>
    <hyperlink xmlns:r="http://schemas.openxmlformats.org/officeDocument/2006/relationships" ref="C882" r:id="rId878"/>
    <hyperlink xmlns:r="http://schemas.openxmlformats.org/officeDocument/2006/relationships" ref="C883" r:id="rId879"/>
    <hyperlink xmlns:r="http://schemas.openxmlformats.org/officeDocument/2006/relationships" ref="C884" r:id="rId880"/>
    <hyperlink xmlns:r="http://schemas.openxmlformats.org/officeDocument/2006/relationships" ref="C885" r:id="rId881"/>
    <hyperlink xmlns:r="http://schemas.openxmlformats.org/officeDocument/2006/relationships" ref="C886" r:id="rId882"/>
    <hyperlink xmlns:r="http://schemas.openxmlformats.org/officeDocument/2006/relationships" ref="C887" r:id="rId883"/>
    <hyperlink xmlns:r="http://schemas.openxmlformats.org/officeDocument/2006/relationships" ref="C888" r:id="rId884"/>
    <hyperlink xmlns:r="http://schemas.openxmlformats.org/officeDocument/2006/relationships" ref="C889" r:id="rId885"/>
    <hyperlink xmlns:r="http://schemas.openxmlformats.org/officeDocument/2006/relationships" ref="C890" r:id="rId886"/>
    <hyperlink xmlns:r="http://schemas.openxmlformats.org/officeDocument/2006/relationships" ref="C891" r:id="rId887"/>
    <hyperlink xmlns:r="http://schemas.openxmlformats.org/officeDocument/2006/relationships" ref="C892" r:id="rId888"/>
    <hyperlink xmlns:r="http://schemas.openxmlformats.org/officeDocument/2006/relationships" ref="C893" r:id="rId889"/>
    <hyperlink xmlns:r="http://schemas.openxmlformats.org/officeDocument/2006/relationships" ref="C894" r:id="rId890"/>
    <hyperlink xmlns:r="http://schemas.openxmlformats.org/officeDocument/2006/relationships" ref="C895" r:id="rId891"/>
    <hyperlink xmlns:r="http://schemas.openxmlformats.org/officeDocument/2006/relationships" ref="C896" r:id="rId892"/>
    <hyperlink xmlns:r="http://schemas.openxmlformats.org/officeDocument/2006/relationships" ref="C897" r:id="rId893"/>
    <hyperlink xmlns:r="http://schemas.openxmlformats.org/officeDocument/2006/relationships" ref="C898" r:id="rId894"/>
    <hyperlink xmlns:r="http://schemas.openxmlformats.org/officeDocument/2006/relationships" ref="C899" r:id="rId895"/>
    <hyperlink xmlns:r="http://schemas.openxmlformats.org/officeDocument/2006/relationships" ref="C900" r:id="rId896"/>
    <hyperlink xmlns:r="http://schemas.openxmlformats.org/officeDocument/2006/relationships" ref="C901" r:id="rId897"/>
    <hyperlink xmlns:r="http://schemas.openxmlformats.org/officeDocument/2006/relationships" ref="C902" r:id="rId898"/>
    <hyperlink xmlns:r="http://schemas.openxmlformats.org/officeDocument/2006/relationships" ref="C903" r:id="rId899"/>
    <hyperlink xmlns:r="http://schemas.openxmlformats.org/officeDocument/2006/relationships" ref="C904" r:id="rId900"/>
    <hyperlink xmlns:r="http://schemas.openxmlformats.org/officeDocument/2006/relationships" ref="C905" r:id="rId901"/>
    <hyperlink xmlns:r="http://schemas.openxmlformats.org/officeDocument/2006/relationships" ref="C906" r:id="rId902"/>
    <hyperlink xmlns:r="http://schemas.openxmlformats.org/officeDocument/2006/relationships" ref="C907" r:id="rId903"/>
    <hyperlink xmlns:r="http://schemas.openxmlformats.org/officeDocument/2006/relationships" ref="C908" r:id="rId904"/>
    <hyperlink xmlns:r="http://schemas.openxmlformats.org/officeDocument/2006/relationships" ref="C909" r:id="rId905"/>
    <hyperlink xmlns:r="http://schemas.openxmlformats.org/officeDocument/2006/relationships" ref="C910" r:id="rId906"/>
    <hyperlink xmlns:r="http://schemas.openxmlformats.org/officeDocument/2006/relationships" ref="C911" r:id="rId907"/>
    <hyperlink xmlns:r="http://schemas.openxmlformats.org/officeDocument/2006/relationships" ref="C912" r:id="rId908"/>
    <hyperlink xmlns:r="http://schemas.openxmlformats.org/officeDocument/2006/relationships" ref="C913" r:id="rId909"/>
    <hyperlink xmlns:r="http://schemas.openxmlformats.org/officeDocument/2006/relationships" ref="C914" r:id="rId910"/>
    <hyperlink xmlns:r="http://schemas.openxmlformats.org/officeDocument/2006/relationships" ref="C915" r:id="rId911"/>
    <hyperlink xmlns:r="http://schemas.openxmlformats.org/officeDocument/2006/relationships" ref="C916" r:id="rId912"/>
    <hyperlink xmlns:r="http://schemas.openxmlformats.org/officeDocument/2006/relationships" ref="C917" r:id="rId913"/>
    <hyperlink xmlns:r="http://schemas.openxmlformats.org/officeDocument/2006/relationships" ref="C918" r:id="rId914"/>
    <hyperlink xmlns:r="http://schemas.openxmlformats.org/officeDocument/2006/relationships" ref="C919" r:id="rId915"/>
    <hyperlink xmlns:r="http://schemas.openxmlformats.org/officeDocument/2006/relationships" ref="C920" r:id="rId916"/>
    <hyperlink xmlns:r="http://schemas.openxmlformats.org/officeDocument/2006/relationships" ref="C921" r:id="rId917"/>
    <hyperlink xmlns:r="http://schemas.openxmlformats.org/officeDocument/2006/relationships" ref="C922" r:id="rId918"/>
    <hyperlink xmlns:r="http://schemas.openxmlformats.org/officeDocument/2006/relationships" ref="C923" r:id="rId919"/>
    <hyperlink xmlns:r="http://schemas.openxmlformats.org/officeDocument/2006/relationships" ref="C924" r:id="rId920"/>
    <hyperlink xmlns:r="http://schemas.openxmlformats.org/officeDocument/2006/relationships" ref="C925" r:id="rId921"/>
    <hyperlink xmlns:r="http://schemas.openxmlformats.org/officeDocument/2006/relationships" ref="C926" r:id="rId922"/>
    <hyperlink xmlns:r="http://schemas.openxmlformats.org/officeDocument/2006/relationships" ref="C927" r:id="rId923"/>
    <hyperlink xmlns:r="http://schemas.openxmlformats.org/officeDocument/2006/relationships" ref="C928" r:id="rId924"/>
    <hyperlink xmlns:r="http://schemas.openxmlformats.org/officeDocument/2006/relationships" ref="C929" r:id="rId925"/>
    <hyperlink xmlns:r="http://schemas.openxmlformats.org/officeDocument/2006/relationships" ref="C930" r:id="rId926"/>
    <hyperlink xmlns:r="http://schemas.openxmlformats.org/officeDocument/2006/relationships" ref="C931" r:id="rId927"/>
    <hyperlink xmlns:r="http://schemas.openxmlformats.org/officeDocument/2006/relationships" ref="C932" r:id="rId928"/>
    <hyperlink xmlns:r="http://schemas.openxmlformats.org/officeDocument/2006/relationships" ref="C933" r:id="rId929"/>
    <hyperlink xmlns:r="http://schemas.openxmlformats.org/officeDocument/2006/relationships" ref="C934" r:id="rId930"/>
    <hyperlink xmlns:r="http://schemas.openxmlformats.org/officeDocument/2006/relationships" ref="C935" r:id="rId931"/>
    <hyperlink xmlns:r="http://schemas.openxmlformats.org/officeDocument/2006/relationships" ref="C936" r:id="rId932"/>
    <hyperlink xmlns:r="http://schemas.openxmlformats.org/officeDocument/2006/relationships" ref="C937" r:id="rId933"/>
    <hyperlink xmlns:r="http://schemas.openxmlformats.org/officeDocument/2006/relationships" ref="C938" r:id="rId934"/>
    <hyperlink xmlns:r="http://schemas.openxmlformats.org/officeDocument/2006/relationships" ref="C939" r:id="rId935"/>
    <hyperlink xmlns:r="http://schemas.openxmlformats.org/officeDocument/2006/relationships" ref="C940" r:id="rId936"/>
    <hyperlink xmlns:r="http://schemas.openxmlformats.org/officeDocument/2006/relationships" ref="C941" r:id="rId937"/>
    <hyperlink xmlns:r="http://schemas.openxmlformats.org/officeDocument/2006/relationships" ref="C942" r:id="rId938"/>
    <hyperlink xmlns:r="http://schemas.openxmlformats.org/officeDocument/2006/relationships" ref="C943" r:id="rId939"/>
    <hyperlink xmlns:r="http://schemas.openxmlformats.org/officeDocument/2006/relationships" ref="C944" r:id="rId940"/>
    <hyperlink xmlns:r="http://schemas.openxmlformats.org/officeDocument/2006/relationships" ref="C945" r:id="rId941"/>
    <hyperlink xmlns:r="http://schemas.openxmlformats.org/officeDocument/2006/relationships" ref="C946" r:id="rId942"/>
    <hyperlink xmlns:r="http://schemas.openxmlformats.org/officeDocument/2006/relationships" ref="C947" r:id="rId943"/>
    <hyperlink xmlns:r="http://schemas.openxmlformats.org/officeDocument/2006/relationships" ref="C948" r:id="rId944"/>
    <hyperlink xmlns:r="http://schemas.openxmlformats.org/officeDocument/2006/relationships" ref="C949" r:id="rId945"/>
    <hyperlink xmlns:r="http://schemas.openxmlformats.org/officeDocument/2006/relationships" ref="C950" r:id="rId946"/>
    <hyperlink xmlns:r="http://schemas.openxmlformats.org/officeDocument/2006/relationships" ref="C951" r:id="rId947"/>
    <hyperlink xmlns:r="http://schemas.openxmlformats.org/officeDocument/2006/relationships" ref="C952" r:id="rId948"/>
    <hyperlink xmlns:r="http://schemas.openxmlformats.org/officeDocument/2006/relationships" ref="C953" r:id="rId949"/>
    <hyperlink xmlns:r="http://schemas.openxmlformats.org/officeDocument/2006/relationships" ref="C954" r:id="rId950"/>
    <hyperlink xmlns:r="http://schemas.openxmlformats.org/officeDocument/2006/relationships" ref="C955" r:id="rId951"/>
    <hyperlink xmlns:r="http://schemas.openxmlformats.org/officeDocument/2006/relationships" ref="C956" r:id="rId952"/>
    <hyperlink xmlns:r="http://schemas.openxmlformats.org/officeDocument/2006/relationships" ref="C957" r:id="rId953"/>
    <hyperlink xmlns:r="http://schemas.openxmlformats.org/officeDocument/2006/relationships" ref="C958" r:id="rId954"/>
    <hyperlink xmlns:r="http://schemas.openxmlformats.org/officeDocument/2006/relationships" ref="C959" r:id="rId955"/>
    <hyperlink xmlns:r="http://schemas.openxmlformats.org/officeDocument/2006/relationships" ref="C960" r:id="rId956"/>
    <hyperlink xmlns:r="http://schemas.openxmlformats.org/officeDocument/2006/relationships" ref="C961" r:id="rId957"/>
    <hyperlink xmlns:r="http://schemas.openxmlformats.org/officeDocument/2006/relationships" ref="C962" r:id="rId958"/>
    <hyperlink xmlns:r="http://schemas.openxmlformats.org/officeDocument/2006/relationships" ref="C963" r:id="rId959"/>
    <hyperlink xmlns:r="http://schemas.openxmlformats.org/officeDocument/2006/relationships" ref="C964" r:id="rId960"/>
    <hyperlink xmlns:r="http://schemas.openxmlformats.org/officeDocument/2006/relationships" ref="C965" r:id="rId961"/>
    <hyperlink xmlns:r="http://schemas.openxmlformats.org/officeDocument/2006/relationships" ref="C966" r:id="rId962"/>
    <hyperlink xmlns:r="http://schemas.openxmlformats.org/officeDocument/2006/relationships" ref="C967" r:id="rId963"/>
    <hyperlink xmlns:r="http://schemas.openxmlformats.org/officeDocument/2006/relationships" ref="C968" r:id="rId964"/>
    <hyperlink xmlns:r="http://schemas.openxmlformats.org/officeDocument/2006/relationships" ref="C969" r:id="rId965"/>
    <hyperlink xmlns:r="http://schemas.openxmlformats.org/officeDocument/2006/relationships" ref="C970" r:id="rId966"/>
    <hyperlink xmlns:r="http://schemas.openxmlformats.org/officeDocument/2006/relationships" ref="C971" r:id="rId967"/>
    <hyperlink xmlns:r="http://schemas.openxmlformats.org/officeDocument/2006/relationships" ref="C972" r:id="rId968"/>
    <hyperlink xmlns:r="http://schemas.openxmlformats.org/officeDocument/2006/relationships" ref="C973" r:id="rId969"/>
    <hyperlink xmlns:r="http://schemas.openxmlformats.org/officeDocument/2006/relationships" ref="C974" r:id="rId970"/>
    <hyperlink xmlns:r="http://schemas.openxmlformats.org/officeDocument/2006/relationships" ref="C975" r:id="rId971"/>
    <hyperlink xmlns:r="http://schemas.openxmlformats.org/officeDocument/2006/relationships" ref="C976" r:id="rId972"/>
    <hyperlink xmlns:r="http://schemas.openxmlformats.org/officeDocument/2006/relationships" ref="C977" r:id="rId973"/>
    <hyperlink xmlns:r="http://schemas.openxmlformats.org/officeDocument/2006/relationships" ref="C978" r:id="rId974"/>
    <hyperlink xmlns:r="http://schemas.openxmlformats.org/officeDocument/2006/relationships" ref="C979" r:id="rId975"/>
    <hyperlink xmlns:r="http://schemas.openxmlformats.org/officeDocument/2006/relationships" ref="C980" r:id="rId976"/>
    <hyperlink xmlns:r="http://schemas.openxmlformats.org/officeDocument/2006/relationships" ref="C981" r:id="rId977"/>
    <hyperlink xmlns:r="http://schemas.openxmlformats.org/officeDocument/2006/relationships" ref="C982" r:id="rId978"/>
    <hyperlink xmlns:r="http://schemas.openxmlformats.org/officeDocument/2006/relationships" ref="C983" r:id="rId979"/>
    <hyperlink xmlns:r="http://schemas.openxmlformats.org/officeDocument/2006/relationships" ref="C984" r:id="rId980"/>
    <hyperlink xmlns:r="http://schemas.openxmlformats.org/officeDocument/2006/relationships" ref="C985" r:id="rId981"/>
    <hyperlink xmlns:r="http://schemas.openxmlformats.org/officeDocument/2006/relationships" ref="C986" r:id="rId982"/>
    <hyperlink xmlns:r="http://schemas.openxmlformats.org/officeDocument/2006/relationships" ref="C987" r:id="rId983"/>
    <hyperlink xmlns:r="http://schemas.openxmlformats.org/officeDocument/2006/relationships" ref="C988" r:id="rId984"/>
    <hyperlink xmlns:r="http://schemas.openxmlformats.org/officeDocument/2006/relationships" ref="C989" r:id="rId985"/>
    <hyperlink xmlns:r="http://schemas.openxmlformats.org/officeDocument/2006/relationships" ref="C990" r:id="rId986"/>
    <hyperlink xmlns:r="http://schemas.openxmlformats.org/officeDocument/2006/relationships" ref="C991" r:id="rId987"/>
    <hyperlink xmlns:r="http://schemas.openxmlformats.org/officeDocument/2006/relationships" ref="C992" r:id="rId988"/>
    <hyperlink xmlns:r="http://schemas.openxmlformats.org/officeDocument/2006/relationships" ref="C993" r:id="rId989"/>
    <hyperlink xmlns:r="http://schemas.openxmlformats.org/officeDocument/2006/relationships" ref="C994" r:id="rId990"/>
    <hyperlink xmlns:r="http://schemas.openxmlformats.org/officeDocument/2006/relationships" ref="C995" r:id="rId991"/>
    <hyperlink xmlns:r="http://schemas.openxmlformats.org/officeDocument/2006/relationships" ref="C996" r:id="rId992"/>
    <hyperlink xmlns:r="http://schemas.openxmlformats.org/officeDocument/2006/relationships" ref="C997" r:id="rId993"/>
    <hyperlink xmlns:r="http://schemas.openxmlformats.org/officeDocument/2006/relationships" ref="C998" r:id="rId994"/>
    <hyperlink xmlns:r="http://schemas.openxmlformats.org/officeDocument/2006/relationships" ref="C999" r:id="rId995"/>
    <hyperlink xmlns:r="http://schemas.openxmlformats.org/officeDocument/2006/relationships" ref="C1000" r:id="rId996"/>
    <hyperlink xmlns:r="http://schemas.openxmlformats.org/officeDocument/2006/relationships" ref="C1001" r:id="rId997"/>
    <hyperlink xmlns:r="http://schemas.openxmlformats.org/officeDocument/2006/relationships" ref="C1002" r:id="rId998"/>
    <hyperlink xmlns:r="http://schemas.openxmlformats.org/officeDocument/2006/relationships" ref="C1003" r:id="rId999"/>
    <hyperlink xmlns:r="http://schemas.openxmlformats.org/officeDocument/2006/relationships" ref="C1004" r:id="rId1000"/>
    <hyperlink xmlns:r="http://schemas.openxmlformats.org/officeDocument/2006/relationships" ref="C1005" r:id="rId1001"/>
    <hyperlink xmlns:r="http://schemas.openxmlformats.org/officeDocument/2006/relationships" ref="C1006" r:id="rId1002"/>
    <hyperlink xmlns:r="http://schemas.openxmlformats.org/officeDocument/2006/relationships" ref="C1007" r:id="rId1003"/>
    <hyperlink xmlns:r="http://schemas.openxmlformats.org/officeDocument/2006/relationships" ref="C1008" r:id="rId1004"/>
    <hyperlink xmlns:r="http://schemas.openxmlformats.org/officeDocument/2006/relationships" ref="C1009" r:id="rId1005"/>
    <hyperlink xmlns:r="http://schemas.openxmlformats.org/officeDocument/2006/relationships" ref="C1010" r:id="rId1006"/>
    <hyperlink xmlns:r="http://schemas.openxmlformats.org/officeDocument/2006/relationships" ref="C1011" r:id="rId1007"/>
    <hyperlink xmlns:r="http://schemas.openxmlformats.org/officeDocument/2006/relationships" ref="C1012" r:id="rId1008"/>
    <hyperlink xmlns:r="http://schemas.openxmlformats.org/officeDocument/2006/relationships" ref="C1013" r:id="rId1009"/>
    <hyperlink xmlns:r="http://schemas.openxmlformats.org/officeDocument/2006/relationships" ref="C1014" r:id="rId1010"/>
    <hyperlink xmlns:r="http://schemas.openxmlformats.org/officeDocument/2006/relationships" ref="C1015" r:id="rId1011"/>
    <hyperlink xmlns:r="http://schemas.openxmlformats.org/officeDocument/2006/relationships" ref="C1016" r:id="rId1012"/>
    <hyperlink xmlns:r="http://schemas.openxmlformats.org/officeDocument/2006/relationships" ref="C1017" r:id="rId1013"/>
    <hyperlink xmlns:r="http://schemas.openxmlformats.org/officeDocument/2006/relationships" ref="C1018" r:id="rId1014"/>
    <hyperlink xmlns:r="http://schemas.openxmlformats.org/officeDocument/2006/relationships" ref="C1019" r:id="rId1015"/>
    <hyperlink xmlns:r="http://schemas.openxmlformats.org/officeDocument/2006/relationships" ref="C1020" r:id="rId1016"/>
    <hyperlink xmlns:r="http://schemas.openxmlformats.org/officeDocument/2006/relationships" ref="C1021" r:id="rId1017"/>
    <hyperlink xmlns:r="http://schemas.openxmlformats.org/officeDocument/2006/relationships" ref="C1022" r:id="rId1018"/>
    <hyperlink xmlns:r="http://schemas.openxmlformats.org/officeDocument/2006/relationships" ref="C1023" r:id="rId1019"/>
    <hyperlink xmlns:r="http://schemas.openxmlformats.org/officeDocument/2006/relationships" ref="C1024" r:id="rId1020"/>
    <hyperlink xmlns:r="http://schemas.openxmlformats.org/officeDocument/2006/relationships" ref="C1025" r:id="rId1021"/>
    <hyperlink xmlns:r="http://schemas.openxmlformats.org/officeDocument/2006/relationships" ref="C1026" r:id="rId1022"/>
    <hyperlink xmlns:r="http://schemas.openxmlformats.org/officeDocument/2006/relationships" ref="C1027" r:id="rId1023"/>
    <hyperlink xmlns:r="http://schemas.openxmlformats.org/officeDocument/2006/relationships" ref="C1028" r:id="rId1024"/>
    <hyperlink xmlns:r="http://schemas.openxmlformats.org/officeDocument/2006/relationships" ref="C1029" r:id="rId1025"/>
    <hyperlink xmlns:r="http://schemas.openxmlformats.org/officeDocument/2006/relationships" ref="C1030" r:id="rId1026"/>
    <hyperlink xmlns:r="http://schemas.openxmlformats.org/officeDocument/2006/relationships" ref="C1031" r:id="rId1027"/>
    <hyperlink xmlns:r="http://schemas.openxmlformats.org/officeDocument/2006/relationships" ref="C1032" r:id="rId1028"/>
    <hyperlink xmlns:r="http://schemas.openxmlformats.org/officeDocument/2006/relationships" ref="C1033" r:id="rId1029"/>
    <hyperlink xmlns:r="http://schemas.openxmlformats.org/officeDocument/2006/relationships" ref="C1034" r:id="rId1030"/>
    <hyperlink xmlns:r="http://schemas.openxmlformats.org/officeDocument/2006/relationships" ref="C1035" r:id="rId1031"/>
    <hyperlink xmlns:r="http://schemas.openxmlformats.org/officeDocument/2006/relationships" ref="C1036" r:id="rId1032"/>
    <hyperlink xmlns:r="http://schemas.openxmlformats.org/officeDocument/2006/relationships" ref="C1037" r:id="rId1033"/>
    <hyperlink xmlns:r="http://schemas.openxmlformats.org/officeDocument/2006/relationships" ref="C1038" r:id="rId1034"/>
    <hyperlink xmlns:r="http://schemas.openxmlformats.org/officeDocument/2006/relationships" ref="C1039" r:id="rId1035"/>
    <hyperlink xmlns:r="http://schemas.openxmlformats.org/officeDocument/2006/relationships" ref="C1040" r:id="rId1036"/>
    <hyperlink xmlns:r="http://schemas.openxmlformats.org/officeDocument/2006/relationships" ref="C1041" r:id="rId1037"/>
    <hyperlink xmlns:r="http://schemas.openxmlformats.org/officeDocument/2006/relationships" ref="C1042" r:id="rId1038"/>
    <hyperlink xmlns:r="http://schemas.openxmlformats.org/officeDocument/2006/relationships" ref="C1043" r:id="rId1039"/>
    <hyperlink xmlns:r="http://schemas.openxmlformats.org/officeDocument/2006/relationships" ref="C1044" r:id="rId1040"/>
    <hyperlink xmlns:r="http://schemas.openxmlformats.org/officeDocument/2006/relationships" ref="C1045" r:id="rId1041"/>
    <hyperlink xmlns:r="http://schemas.openxmlformats.org/officeDocument/2006/relationships" ref="C1046" r:id="rId1042"/>
    <hyperlink xmlns:r="http://schemas.openxmlformats.org/officeDocument/2006/relationships" ref="C1047" r:id="rId1043"/>
    <hyperlink xmlns:r="http://schemas.openxmlformats.org/officeDocument/2006/relationships" ref="C1048" r:id="rId1044"/>
    <hyperlink xmlns:r="http://schemas.openxmlformats.org/officeDocument/2006/relationships" ref="C1049" r:id="rId1045"/>
    <hyperlink xmlns:r="http://schemas.openxmlformats.org/officeDocument/2006/relationships" ref="C1050" r:id="rId1046"/>
    <hyperlink xmlns:r="http://schemas.openxmlformats.org/officeDocument/2006/relationships" ref="C1051" r:id="rId1047"/>
    <hyperlink xmlns:r="http://schemas.openxmlformats.org/officeDocument/2006/relationships" ref="C1052" r:id="rId1048"/>
    <hyperlink xmlns:r="http://schemas.openxmlformats.org/officeDocument/2006/relationships" ref="C1053" r:id="rId1049"/>
    <hyperlink xmlns:r="http://schemas.openxmlformats.org/officeDocument/2006/relationships" ref="C1054" r:id="rId1050"/>
    <hyperlink xmlns:r="http://schemas.openxmlformats.org/officeDocument/2006/relationships" ref="C1055" r:id="rId1051"/>
    <hyperlink xmlns:r="http://schemas.openxmlformats.org/officeDocument/2006/relationships" ref="C1056" r:id="rId1052"/>
    <hyperlink xmlns:r="http://schemas.openxmlformats.org/officeDocument/2006/relationships" ref="C1057" r:id="rId1053"/>
    <hyperlink xmlns:r="http://schemas.openxmlformats.org/officeDocument/2006/relationships" ref="C1058" r:id="rId1054"/>
    <hyperlink xmlns:r="http://schemas.openxmlformats.org/officeDocument/2006/relationships" ref="C1059" r:id="rId1055"/>
    <hyperlink xmlns:r="http://schemas.openxmlformats.org/officeDocument/2006/relationships" ref="C1060" r:id="rId1056"/>
    <hyperlink xmlns:r="http://schemas.openxmlformats.org/officeDocument/2006/relationships" ref="C1061" r:id="rId1057"/>
    <hyperlink xmlns:r="http://schemas.openxmlformats.org/officeDocument/2006/relationships" ref="C1062" r:id="rId1058"/>
    <hyperlink xmlns:r="http://schemas.openxmlformats.org/officeDocument/2006/relationships" ref="C1063" r:id="rId1059"/>
    <hyperlink xmlns:r="http://schemas.openxmlformats.org/officeDocument/2006/relationships" ref="C1064" r:id="rId1060"/>
    <hyperlink xmlns:r="http://schemas.openxmlformats.org/officeDocument/2006/relationships" ref="C1065" r:id="rId1061"/>
    <hyperlink xmlns:r="http://schemas.openxmlformats.org/officeDocument/2006/relationships" ref="C1066" r:id="rId1062"/>
    <hyperlink xmlns:r="http://schemas.openxmlformats.org/officeDocument/2006/relationships" ref="C1067" r:id="rId1063"/>
    <hyperlink xmlns:r="http://schemas.openxmlformats.org/officeDocument/2006/relationships" ref="C1068" r:id="rId1064"/>
    <hyperlink xmlns:r="http://schemas.openxmlformats.org/officeDocument/2006/relationships" ref="C1069" r:id="rId1065"/>
    <hyperlink xmlns:r="http://schemas.openxmlformats.org/officeDocument/2006/relationships" ref="C1070" r:id="rId1066"/>
    <hyperlink xmlns:r="http://schemas.openxmlformats.org/officeDocument/2006/relationships" ref="C1071" r:id="rId1067"/>
    <hyperlink xmlns:r="http://schemas.openxmlformats.org/officeDocument/2006/relationships" ref="C1072" r:id="rId1068"/>
    <hyperlink xmlns:r="http://schemas.openxmlformats.org/officeDocument/2006/relationships" ref="C1073" r:id="rId1069"/>
    <hyperlink xmlns:r="http://schemas.openxmlformats.org/officeDocument/2006/relationships" ref="C1074" r:id="rId1070"/>
    <hyperlink xmlns:r="http://schemas.openxmlformats.org/officeDocument/2006/relationships" ref="C1075" r:id="rId1071"/>
    <hyperlink xmlns:r="http://schemas.openxmlformats.org/officeDocument/2006/relationships" ref="C1076" r:id="rId1072"/>
    <hyperlink xmlns:r="http://schemas.openxmlformats.org/officeDocument/2006/relationships" ref="C1077" r:id="rId1073"/>
    <hyperlink xmlns:r="http://schemas.openxmlformats.org/officeDocument/2006/relationships" ref="C1078" r:id="rId1074"/>
    <hyperlink xmlns:r="http://schemas.openxmlformats.org/officeDocument/2006/relationships" ref="C1079" r:id="rId1075"/>
    <hyperlink xmlns:r="http://schemas.openxmlformats.org/officeDocument/2006/relationships" ref="C1080" r:id="rId1076"/>
    <hyperlink xmlns:r="http://schemas.openxmlformats.org/officeDocument/2006/relationships" ref="C1081" r:id="rId1077"/>
    <hyperlink xmlns:r="http://schemas.openxmlformats.org/officeDocument/2006/relationships" ref="C1082" r:id="rId1078"/>
    <hyperlink xmlns:r="http://schemas.openxmlformats.org/officeDocument/2006/relationships" ref="C1083" r:id="rId1079"/>
    <hyperlink xmlns:r="http://schemas.openxmlformats.org/officeDocument/2006/relationships" ref="C1084" r:id="rId1080"/>
    <hyperlink xmlns:r="http://schemas.openxmlformats.org/officeDocument/2006/relationships" ref="C1085" r:id="rId1081"/>
    <hyperlink xmlns:r="http://schemas.openxmlformats.org/officeDocument/2006/relationships" ref="C1086" r:id="rId1082"/>
    <hyperlink xmlns:r="http://schemas.openxmlformats.org/officeDocument/2006/relationships" ref="C1087" r:id="rId1083"/>
    <hyperlink xmlns:r="http://schemas.openxmlformats.org/officeDocument/2006/relationships" ref="C1088" r:id="rId1084"/>
    <hyperlink xmlns:r="http://schemas.openxmlformats.org/officeDocument/2006/relationships" ref="C1089" r:id="rId1085"/>
    <hyperlink xmlns:r="http://schemas.openxmlformats.org/officeDocument/2006/relationships" ref="C1090" r:id="rId1086"/>
    <hyperlink xmlns:r="http://schemas.openxmlformats.org/officeDocument/2006/relationships" ref="C1091" r:id="rId1087"/>
    <hyperlink xmlns:r="http://schemas.openxmlformats.org/officeDocument/2006/relationships" ref="C1092" r:id="rId1088"/>
    <hyperlink xmlns:r="http://schemas.openxmlformats.org/officeDocument/2006/relationships" ref="C1093" r:id="rId1089"/>
    <hyperlink xmlns:r="http://schemas.openxmlformats.org/officeDocument/2006/relationships" ref="C1094" r:id="rId1090"/>
    <hyperlink xmlns:r="http://schemas.openxmlformats.org/officeDocument/2006/relationships" ref="C1095" r:id="rId1091"/>
    <hyperlink xmlns:r="http://schemas.openxmlformats.org/officeDocument/2006/relationships" ref="C1096" r:id="rId1092"/>
    <hyperlink xmlns:r="http://schemas.openxmlformats.org/officeDocument/2006/relationships" ref="C1097" r:id="rId1093"/>
    <hyperlink xmlns:r="http://schemas.openxmlformats.org/officeDocument/2006/relationships" ref="C1098" r:id="rId1094"/>
    <hyperlink xmlns:r="http://schemas.openxmlformats.org/officeDocument/2006/relationships" ref="C1099" r:id="rId1095"/>
    <hyperlink xmlns:r="http://schemas.openxmlformats.org/officeDocument/2006/relationships" ref="C1100" r:id="rId1096"/>
    <hyperlink xmlns:r="http://schemas.openxmlformats.org/officeDocument/2006/relationships" ref="C1101" r:id="rId1097"/>
    <hyperlink xmlns:r="http://schemas.openxmlformats.org/officeDocument/2006/relationships" ref="C1102" r:id="rId1098"/>
    <hyperlink xmlns:r="http://schemas.openxmlformats.org/officeDocument/2006/relationships" ref="C1103" r:id="rId1099"/>
    <hyperlink xmlns:r="http://schemas.openxmlformats.org/officeDocument/2006/relationships" ref="C1104" r:id="rId1100"/>
    <hyperlink xmlns:r="http://schemas.openxmlformats.org/officeDocument/2006/relationships" ref="C1105" r:id="rId1101"/>
    <hyperlink xmlns:r="http://schemas.openxmlformats.org/officeDocument/2006/relationships" ref="C1106" r:id="rId1102"/>
    <hyperlink xmlns:r="http://schemas.openxmlformats.org/officeDocument/2006/relationships" ref="C1107" r:id="rId1103"/>
    <hyperlink xmlns:r="http://schemas.openxmlformats.org/officeDocument/2006/relationships" ref="C1108" r:id="rId1104"/>
    <hyperlink xmlns:r="http://schemas.openxmlformats.org/officeDocument/2006/relationships" ref="C1109" r:id="rId1105"/>
    <hyperlink xmlns:r="http://schemas.openxmlformats.org/officeDocument/2006/relationships" ref="C1110" r:id="rId1106"/>
    <hyperlink xmlns:r="http://schemas.openxmlformats.org/officeDocument/2006/relationships" ref="C1111" r:id="rId1107"/>
    <hyperlink xmlns:r="http://schemas.openxmlformats.org/officeDocument/2006/relationships" ref="C1112" r:id="rId1108"/>
    <hyperlink xmlns:r="http://schemas.openxmlformats.org/officeDocument/2006/relationships" ref="C1113" r:id="rId1109"/>
    <hyperlink xmlns:r="http://schemas.openxmlformats.org/officeDocument/2006/relationships" ref="C1114" r:id="rId1110"/>
    <hyperlink xmlns:r="http://schemas.openxmlformats.org/officeDocument/2006/relationships" ref="C1115" r:id="rId1111"/>
    <hyperlink xmlns:r="http://schemas.openxmlformats.org/officeDocument/2006/relationships" ref="C1116" r:id="rId1112"/>
    <hyperlink xmlns:r="http://schemas.openxmlformats.org/officeDocument/2006/relationships" ref="C1117" r:id="rId1113"/>
    <hyperlink xmlns:r="http://schemas.openxmlformats.org/officeDocument/2006/relationships" ref="C1118" r:id="rId1114"/>
    <hyperlink xmlns:r="http://schemas.openxmlformats.org/officeDocument/2006/relationships" ref="C1119" r:id="rId1115"/>
    <hyperlink xmlns:r="http://schemas.openxmlformats.org/officeDocument/2006/relationships" ref="C1120" r:id="rId1116"/>
    <hyperlink xmlns:r="http://schemas.openxmlformats.org/officeDocument/2006/relationships" ref="C1121" r:id="rId1117"/>
    <hyperlink xmlns:r="http://schemas.openxmlformats.org/officeDocument/2006/relationships" ref="C1122" r:id="rId1118"/>
    <hyperlink xmlns:r="http://schemas.openxmlformats.org/officeDocument/2006/relationships" ref="C1123" r:id="rId1119"/>
    <hyperlink xmlns:r="http://schemas.openxmlformats.org/officeDocument/2006/relationships" ref="C1124" r:id="rId1120"/>
    <hyperlink xmlns:r="http://schemas.openxmlformats.org/officeDocument/2006/relationships" ref="C1125" r:id="rId1121"/>
    <hyperlink xmlns:r="http://schemas.openxmlformats.org/officeDocument/2006/relationships" ref="C1126" r:id="rId1122"/>
    <hyperlink xmlns:r="http://schemas.openxmlformats.org/officeDocument/2006/relationships" ref="C1127" r:id="rId1123"/>
    <hyperlink xmlns:r="http://schemas.openxmlformats.org/officeDocument/2006/relationships" ref="C1128" r:id="rId1124"/>
    <hyperlink xmlns:r="http://schemas.openxmlformats.org/officeDocument/2006/relationships" ref="C1129" r:id="rId1125"/>
    <hyperlink xmlns:r="http://schemas.openxmlformats.org/officeDocument/2006/relationships" ref="C1130" r:id="rId1126"/>
    <hyperlink xmlns:r="http://schemas.openxmlformats.org/officeDocument/2006/relationships" ref="C1131" r:id="rId1127"/>
    <hyperlink xmlns:r="http://schemas.openxmlformats.org/officeDocument/2006/relationships" ref="C1132" r:id="rId1128"/>
    <hyperlink xmlns:r="http://schemas.openxmlformats.org/officeDocument/2006/relationships" ref="C1133" r:id="rId1129"/>
    <hyperlink xmlns:r="http://schemas.openxmlformats.org/officeDocument/2006/relationships" ref="C1134" r:id="rId1130"/>
    <hyperlink xmlns:r="http://schemas.openxmlformats.org/officeDocument/2006/relationships" ref="C1135" r:id="rId1131"/>
    <hyperlink xmlns:r="http://schemas.openxmlformats.org/officeDocument/2006/relationships" ref="C1136" r:id="rId1132"/>
    <hyperlink xmlns:r="http://schemas.openxmlformats.org/officeDocument/2006/relationships" ref="C1137" r:id="rId1133"/>
    <hyperlink xmlns:r="http://schemas.openxmlformats.org/officeDocument/2006/relationships" ref="C1138" r:id="rId1134"/>
    <hyperlink xmlns:r="http://schemas.openxmlformats.org/officeDocument/2006/relationships" ref="C1139" r:id="rId1135"/>
    <hyperlink xmlns:r="http://schemas.openxmlformats.org/officeDocument/2006/relationships" ref="C1140" r:id="rId1136"/>
    <hyperlink xmlns:r="http://schemas.openxmlformats.org/officeDocument/2006/relationships" ref="C1141" r:id="rId1137"/>
    <hyperlink xmlns:r="http://schemas.openxmlformats.org/officeDocument/2006/relationships" ref="C1142" r:id="rId1138"/>
    <hyperlink xmlns:r="http://schemas.openxmlformats.org/officeDocument/2006/relationships" ref="C1143" r:id="rId1139"/>
    <hyperlink xmlns:r="http://schemas.openxmlformats.org/officeDocument/2006/relationships" ref="C1144" r:id="rId1140"/>
    <hyperlink xmlns:r="http://schemas.openxmlformats.org/officeDocument/2006/relationships" ref="C1145" r:id="rId1141"/>
    <hyperlink xmlns:r="http://schemas.openxmlformats.org/officeDocument/2006/relationships" ref="C1146" r:id="rId1142"/>
    <hyperlink xmlns:r="http://schemas.openxmlformats.org/officeDocument/2006/relationships" ref="C1147" r:id="rId1143"/>
    <hyperlink xmlns:r="http://schemas.openxmlformats.org/officeDocument/2006/relationships" ref="C1148" r:id="rId1144"/>
    <hyperlink xmlns:r="http://schemas.openxmlformats.org/officeDocument/2006/relationships" ref="C1149" r:id="rId1145"/>
    <hyperlink xmlns:r="http://schemas.openxmlformats.org/officeDocument/2006/relationships" ref="C1150" r:id="rId1146"/>
    <hyperlink xmlns:r="http://schemas.openxmlformats.org/officeDocument/2006/relationships" ref="C1151" r:id="rId1147"/>
    <hyperlink xmlns:r="http://schemas.openxmlformats.org/officeDocument/2006/relationships" ref="C1152" r:id="rId1148"/>
    <hyperlink xmlns:r="http://schemas.openxmlformats.org/officeDocument/2006/relationships" ref="C1153" r:id="rId1149"/>
    <hyperlink xmlns:r="http://schemas.openxmlformats.org/officeDocument/2006/relationships" ref="C1154" r:id="rId1150"/>
    <hyperlink xmlns:r="http://schemas.openxmlformats.org/officeDocument/2006/relationships" ref="C1155" r:id="rId1151"/>
    <hyperlink xmlns:r="http://schemas.openxmlformats.org/officeDocument/2006/relationships" ref="C1156" r:id="rId1152"/>
    <hyperlink xmlns:r="http://schemas.openxmlformats.org/officeDocument/2006/relationships" ref="C1157" r:id="rId1153"/>
    <hyperlink xmlns:r="http://schemas.openxmlformats.org/officeDocument/2006/relationships" ref="C1158" r:id="rId1154"/>
    <hyperlink xmlns:r="http://schemas.openxmlformats.org/officeDocument/2006/relationships" ref="C1159" r:id="rId1155"/>
    <hyperlink xmlns:r="http://schemas.openxmlformats.org/officeDocument/2006/relationships" ref="C1160" r:id="rId1156"/>
    <hyperlink xmlns:r="http://schemas.openxmlformats.org/officeDocument/2006/relationships" ref="C1161" r:id="rId1157"/>
    <hyperlink xmlns:r="http://schemas.openxmlformats.org/officeDocument/2006/relationships" ref="C1162" r:id="rId1158"/>
    <hyperlink xmlns:r="http://schemas.openxmlformats.org/officeDocument/2006/relationships" ref="C1163" r:id="rId1159"/>
    <hyperlink xmlns:r="http://schemas.openxmlformats.org/officeDocument/2006/relationships" ref="C1164" r:id="rId1160"/>
    <hyperlink xmlns:r="http://schemas.openxmlformats.org/officeDocument/2006/relationships" ref="C1165" r:id="rId1161"/>
    <hyperlink xmlns:r="http://schemas.openxmlformats.org/officeDocument/2006/relationships" ref="C1166" r:id="rId1162"/>
    <hyperlink xmlns:r="http://schemas.openxmlformats.org/officeDocument/2006/relationships" ref="C1167" r:id="rId1163"/>
    <hyperlink xmlns:r="http://schemas.openxmlformats.org/officeDocument/2006/relationships" ref="C1168" r:id="rId1164"/>
    <hyperlink xmlns:r="http://schemas.openxmlformats.org/officeDocument/2006/relationships" ref="C1169" r:id="rId1165"/>
    <hyperlink xmlns:r="http://schemas.openxmlformats.org/officeDocument/2006/relationships" ref="C1170" r:id="rId1166"/>
    <hyperlink xmlns:r="http://schemas.openxmlformats.org/officeDocument/2006/relationships" ref="C1171" r:id="rId1167"/>
    <hyperlink xmlns:r="http://schemas.openxmlformats.org/officeDocument/2006/relationships" ref="C1172" r:id="rId1168"/>
    <hyperlink xmlns:r="http://schemas.openxmlformats.org/officeDocument/2006/relationships" ref="C1173" r:id="rId1169"/>
    <hyperlink xmlns:r="http://schemas.openxmlformats.org/officeDocument/2006/relationships" ref="C1174" r:id="rId1170"/>
    <hyperlink xmlns:r="http://schemas.openxmlformats.org/officeDocument/2006/relationships" ref="C1175" r:id="rId1171"/>
    <hyperlink xmlns:r="http://schemas.openxmlformats.org/officeDocument/2006/relationships" ref="C1176" r:id="rId1172"/>
    <hyperlink xmlns:r="http://schemas.openxmlformats.org/officeDocument/2006/relationships" ref="C1177" r:id="rId1173"/>
    <hyperlink xmlns:r="http://schemas.openxmlformats.org/officeDocument/2006/relationships" ref="C1178" r:id="rId1174"/>
    <hyperlink xmlns:r="http://schemas.openxmlformats.org/officeDocument/2006/relationships" ref="C1179" r:id="rId1175"/>
    <hyperlink xmlns:r="http://schemas.openxmlformats.org/officeDocument/2006/relationships" ref="C1180" r:id="rId1176"/>
    <hyperlink xmlns:r="http://schemas.openxmlformats.org/officeDocument/2006/relationships" ref="C1181" r:id="rId1177"/>
    <hyperlink xmlns:r="http://schemas.openxmlformats.org/officeDocument/2006/relationships" ref="C1182" r:id="rId1178"/>
    <hyperlink xmlns:r="http://schemas.openxmlformats.org/officeDocument/2006/relationships" ref="C1183" r:id="rId1179"/>
    <hyperlink xmlns:r="http://schemas.openxmlformats.org/officeDocument/2006/relationships" ref="C1184" r:id="rId1180"/>
    <hyperlink xmlns:r="http://schemas.openxmlformats.org/officeDocument/2006/relationships" ref="C1185" r:id="rId1181"/>
    <hyperlink xmlns:r="http://schemas.openxmlformats.org/officeDocument/2006/relationships" ref="C1186" r:id="rId1182"/>
    <hyperlink xmlns:r="http://schemas.openxmlformats.org/officeDocument/2006/relationships" ref="C1187" r:id="rId1183"/>
    <hyperlink xmlns:r="http://schemas.openxmlformats.org/officeDocument/2006/relationships" ref="C1188" r:id="rId1184"/>
    <hyperlink xmlns:r="http://schemas.openxmlformats.org/officeDocument/2006/relationships" ref="C1189" r:id="rId1185"/>
    <hyperlink xmlns:r="http://schemas.openxmlformats.org/officeDocument/2006/relationships" ref="C1190" r:id="rId1186"/>
    <hyperlink xmlns:r="http://schemas.openxmlformats.org/officeDocument/2006/relationships" ref="C1191" r:id="rId1187"/>
    <hyperlink xmlns:r="http://schemas.openxmlformats.org/officeDocument/2006/relationships" ref="C1192" r:id="rId1188"/>
    <hyperlink xmlns:r="http://schemas.openxmlformats.org/officeDocument/2006/relationships" ref="C1193" r:id="rId1189"/>
    <hyperlink xmlns:r="http://schemas.openxmlformats.org/officeDocument/2006/relationships" ref="C1194" r:id="rId1190"/>
    <hyperlink xmlns:r="http://schemas.openxmlformats.org/officeDocument/2006/relationships" ref="C1195" r:id="rId1191"/>
    <hyperlink xmlns:r="http://schemas.openxmlformats.org/officeDocument/2006/relationships" ref="C1196" r:id="rId1192"/>
    <hyperlink xmlns:r="http://schemas.openxmlformats.org/officeDocument/2006/relationships" ref="C1197" r:id="rId1193"/>
    <hyperlink xmlns:r="http://schemas.openxmlformats.org/officeDocument/2006/relationships" ref="C1198" r:id="rId1194"/>
    <hyperlink xmlns:r="http://schemas.openxmlformats.org/officeDocument/2006/relationships" ref="C1199" r:id="rId1195"/>
    <hyperlink xmlns:r="http://schemas.openxmlformats.org/officeDocument/2006/relationships" ref="C1200" r:id="rId1196"/>
    <hyperlink xmlns:r="http://schemas.openxmlformats.org/officeDocument/2006/relationships" ref="C1201" r:id="rId1197"/>
    <hyperlink xmlns:r="http://schemas.openxmlformats.org/officeDocument/2006/relationships" ref="C1202" r:id="rId1198"/>
    <hyperlink xmlns:r="http://schemas.openxmlformats.org/officeDocument/2006/relationships" ref="C1203" r:id="rId1199"/>
    <hyperlink xmlns:r="http://schemas.openxmlformats.org/officeDocument/2006/relationships" ref="C1204" r:id="rId1200"/>
    <hyperlink xmlns:r="http://schemas.openxmlformats.org/officeDocument/2006/relationships" ref="C1205" r:id="rId1201"/>
    <hyperlink xmlns:r="http://schemas.openxmlformats.org/officeDocument/2006/relationships" ref="C1206" r:id="rId1202"/>
    <hyperlink xmlns:r="http://schemas.openxmlformats.org/officeDocument/2006/relationships" ref="C1207" r:id="rId1203"/>
    <hyperlink xmlns:r="http://schemas.openxmlformats.org/officeDocument/2006/relationships" ref="C1208" r:id="rId1204"/>
    <hyperlink xmlns:r="http://schemas.openxmlformats.org/officeDocument/2006/relationships" ref="C1209" r:id="rId1205"/>
    <hyperlink xmlns:r="http://schemas.openxmlformats.org/officeDocument/2006/relationships" ref="C1210" r:id="rId1206"/>
    <hyperlink xmlns:r="http://schemas.openxmlformats.org/officeDocument/2006/relationships" ref="C1211" r:id="rId1207"/>
    <hyperlink xmlns:r="http://schemas.openxmlformats.org/officeDocument/2006/relationships" ref="C1212" r:id="rId1208"/>
    <hyperlink xmlns:r="http://schemas.openxmlformats.org/officeDocument/2006/relationships" ref="C1213" r:id="rId1209"/>
    <hyperlink xmlns:r="http://schemas.openxmlformats.org/officeDocument/2006/relationships" ref="C1214" r:id="rId1210"/>
    <hyperlink xmlns:r="http://schemas.openxmlformats.org/officeDocument/2006/relationships" ref="C1215" r:id="rId1211"/>
    <hyperlink xmlns:r="http://schemas.openxmlformats.org/officeDocument/2006/relationships" ref="C1216" r:id="rId1212"/>
    <hyperlink xmlns:r="http://schemas.openxmlformats.org/officeDocument/2006/relationships" ref="C1217" r:id="rId1213"/>
    <hyperlink xmlns:r="http://schemas.openxmlformats.org/officeDocument/2006/relationships" ref="C1218" r:id="rId1214"/>
    <hyperlink xmlns:r="http://schemas.openxmlformats.org/officeDocument/2006/relationships" ref="C1219" r:id="rId1215"/>
    <hyperlink xmlns:r="http://schemas.openxmlformats.org/officeDocument/2006/relationships" ref="C1220" r:id="rId1216"/>
    <hyperlink xmlns:r="http://schemas.openxmlformats.org/officeDocument/2006/relationships" ref="C1221" r:id="rId1217"/>
    <hyperlink xmlns:r="http://schemas.openxmlformats.org/officeDocument/2006/relationships" ref="C1222" r:id="rId1218"/>
    <hyperlink xmlns:r="http://schemas.openxmlformats.org/officeDocument/2006/relationships" ref="C1223" r:id="rId1219"/>
    <hyperlink xmlns:r="http://schemas.openxmlformats.org/officeDocument/2006/relationships" ref="C1224" r:id="rId1220"/>
    <hyperlink xmlns:r="http://schemas.openxmlformats.org/officeDocument/2006/relationships" ref="C1225" r:id="rId1221"/>
    <hyperlink xmlns:r="http://schemas.openxmlformats.org/officeDocument/2006/relationships" ref="C1226" r:id="rId1222"/>
    <hyperlink xmlns:r="http://schemas.openxmlformats.org/officeDocument/2006/relationships" ref="C1227" r:id="rId1223"/>
    <hyperlink xmlns:r="http://schemas.openxmlformats.org/officeDocument/2006/relationships" ref="C1228" r:id="rId1224"/>
    <hyperlink xmlns:r="http://schemas.openxmlformats.org/officeDocument/2006/relationships" ref="C1229" r:id="rId1225"/>
    <hyperlink xmlns:r="http://schemas.openxmlformats.org/officeDocument/2006/relationships" ref="C1230" r:id="rId1226"/>
    <hyperlink xmlns:r="http://schemas.openxmlformats.org/officeDocument/2006/relationships" ref="C1231" r:id="rId1227"/>
    <hyperlink xmlns:r="http://schemas.openxmlformats.org/officeDocument/2006/relationships" ref="C1232" r:id="rId1228"/>
    <hyperlink xmlns:r="http://schemas.openxmlformats.org/officeDocument/2006/relationships" ref="C1233" r:id="rId1229"/>
    <hyperlink xmlns:r="http://schemas.openxmlformats.org/officeDocument/2006/relationships" ref="C1234" r:id="rId1230"/>
    <hyperlink xmlns:r="http://schemas.openxmlformats.org/officeDocument/2006/relationships" ref="C1235" r:id="rId1231"/>
    <hyperlink xmlns:r="http://schemas.openxmlformats.org/officeDocument/2006/relationships" ref="C1236" r:id="rId1232"/>
    <hyperlink xmlns:r="http://schemas.openxmlformats.org/officeDocument/2006/relationships" ref="C1237" r:id="rId1233"/>
    <hyperlink xmlns:r="http://schemas.openxmlformats.org/officeDocument/2006/relationships" ref="C1238" r:id="rId1234"/>
    <hyperlink xmlns:r="http://schemas.openxmlformats.org/officeDocument/2006/relationships" ref="C1239" r:id="rId1235"/>
    <hyperlink xmlns:r="http://schemas.openxmlformats.org/officeDocument/2006/relationships" ref="C1240" r:id="rId1236"/>
    <hyperlink xmlns:r="http://schemas.openxmlformats.org/officeDocument/2006/relationships" ref="C1241" r:id="rId1237"/>
    <hyperlink xmlns:r="http://schemas.openxmlformats.org/officeDocument/2006/relationships" ref="C1242" r:id="rId1238"/>
    <hyperlink xmlns:r="http://schemas.openxmlformats.org/officeDocument/2006/relationships" ref="C1243" r:id="rId1239"/>
    <hyperlink xmlns:r="http://schemas.openxmlformats.org/officeDocument/2006/relationships" ref="C1244" r:id="rId1240"/>
    <hyperlink xmlns:r="http://schemas.openxmlformats.org/officeDocument/2006/relationships" ref="C1245" r:id="rId1241"/>
    <hyperlink xmlns:r="http://schemas.openxmlformats.org/officeDocument/2006/relationships" ref="C1246" r:id="rId1242"/>
    <hyperlink xmlns:r="http://schemas.openxmlformats.org/officeDocument/2006/relationships" ref="C1247" r:id="rId1243"/>
    <hyperlink xmlns:r="http://schemas.openxmlformats.org/officeDocument/2006/relationships" ref="C1248" r:id="rId1244"/>
    <hyperlink xmlns:r="http://schemas.openxmlformats.org/officeDocument/2006/relationships" ref="C1249" r:id="rId1245"/>
    <hyperlink xmlns:r="http://schemas.openxmlformats.org/officeDocument/2006/relationships" ref="C1250" r:id="rId1246"/>
    <hyperlink xmlns:r="http://schemas.openxmlformats.org/officeDocument/2006/relationships" ref="C1251" r:id="rId1247"/>
    <hyperlink xmlns:r="http://schemas.openxmlformats.org/officeDocument/2006/relationships" ref="C1252" r:id="rId1248"/>
    <hyperlink xmlns:r="http://schemas.openxmlformats.org/officeDocument/2006/relationships" ref="C1253" r:id="rId1249"/>
    <hyperlink xmlns:r="http://schemas.openxmlformats.org/officeDocument/2006/relationships" ref="C1254" r:id="rId1250"/>
    <hyperlink xmlns:r="http://schemas.openxmlformats.org/officeDocument/2006/relationships" ref="C1255" r:id="rId1251"/>
    <hyperlink xmlns:r="http://schemas.openxmlformats.org/officeDocument/2006/relationships" ref="C1256" r:id="rId1252"/>
    <hyperlink xmlns:r="http://schemas.openxmlformats.org/officeDocument/2006/relationships" ref="C1257" r:id="rId1253"/>
    <hyperlink xmlns:r="http://schemas.openxmlformats.org/officeDocument/2006/relationships" ref="C1258" r:id="rId1254"/>
    <hyperlink xmlns:r="http://schemas.openxmlformats.org/officeDocument/2006/relationships" ref="C1259" r:id="rId1255"/>
    <hyperlink xmlns:r="http://schemas.openxmlformats.org/officeDocument/2006/relationships" ref="C1260" r:id="rId1256"/>
    <hyperlink xmlns:r="http://schemas.openxmlformats.org/officeDocument/2006/relationships" ref="C1261" r:id="rId1257"/>
    <hyperlink xmlns:r="http://schemas.openxmlformats.org/officeDocument/2006/relationships" ref="C1262" r:id="rId1258"/>
    <hyperlink xmlns:r="http://schemas.openxmlformats.org/officeDocument/2006/relationships" ref="C1263" r:id="rId1259"/>
    <hyperlink xmlns:r="http://schemas.openxmlformats.org/officeDocument/2006/relationships" ref="C1264" r:id="rId1260"/>
    <hyperlink xmlns:r="http://schemas.openxmlformats.org/officeDocument/2006/relationships" ref="C1265" r:id="rId1261"/>
    <hyperlink xmlns:r="http://schemas.openxmlformats.org/officeDocument/2006/relationships" ref="C1266" r:id="rId1262"/>
    <hyperlink xmlns:r="http://schemas.openxmlformats.org/officeDocument/2006/relationships" ref="C1267" r:id="rId1263"/>
    <hyperlink xmlns:r="http://schemas.openxmlformats.org/officeDocument/2006/relationships" ref="C1268" r:id="rId1264"/>
    <hyperlink xmlns:r="http://schemas.openxmlformats.org/officeDocument/2006/relationships" ref="C1269" r:id="rId1265"/>
    <hyperlink xmlns:r="http://schemas.openxmlformats.org/officeDocument/2006/relationships" ref="C1270" r:id="rId1266"/>
    <hyperlink xmlns:r="http://schemas.openxmlformats.org/officeDocument/2006/relationships" ref="C1271" r:id="rId1267"/>
    <hyperlink xmlns:r="http://schemas.openxmlformats.org/officeDocument/2006/relationships" ref="C1272" r:id="rId1268"/>
    <hyperlink xmlns:r="http://schemas.openxmlformats.org/officeDocument/2006/relationships" ref="C1273" r:id="rId1269"/>
    <hyperlink xmlns:r="http://schemas.openxmlformats.org/officeDocument/2006/relationships" ref="C1274" r:id="rId1270"/>
    <hyperlink xmlns:r="http://schemas.openxmlformats.org/officeDocument/2006/relationships" ref="C1275" r:id="rId1271"/>
    <hyperlink xmlns:r="http://schemas.openxmlformats.org/officeDocument/2006/relationships" ref="C1276" r:id="rId1272"/>
    <hyperlink xmlns:r="http://schemas.openxmlformats.org/officeDocument/2006/relationships" ref="C1277" r:id="rId1273"/>
    <hyperlink xmlns:r="http://schemas.openxmlformats.org/officeDocument/2006/relationships" ref="C1278" r:id="rId1274"/>
    <hyperlink xmlns:r="http://schemas.openxmlformats.org/officeDocument/2006/relationships" ref="C1279" r:id="rId1275"/>
    <hyperlink xmlns:r="http://schemas.openxmlformats.org/officeDocument/2006/relationships" ref="C1280" r:id="rId1276"/>
    <hyperlink xmlns:r="http://schemas.openxmlformats.org/officeDocument/2006/relationships" ref="C1281" r:id="rId1277"/>
    <hyperlink xmlns:r="http://schemas.openxmlformats.org/officeDocument/2006/relationships" ref="C1282" r:id="rId1278"/>
    <hyperlink xmlns:r="http://schemas.openxmlformats.org/officeDocument/2006/relationships" ref="C1283" r:id="rId1279"/>
    <hyperlink xmlns:r="http://schemas.openxmlformats.org/officeDocument/2006/relationships" ref="C1284" r:id="rId1280"/>
    <hyperlink xmlns:r="http://schemas.openxmlformats.org/officeDocument/2006/relationships" ref="C1285" r:id="rId1281"/>
    <hyperlink xmlns:r="http://schemas.openxmlformats.org/officeDocument/2006/relationships" ref="C1286" r:id="rId1282"/>
    <hyperlink xmlns:r="http://schemas.openxmlformats.org/officeDocument/2006/relationships" ref="C1287" r:id="rId1283"/>
    <hyperlink xmlns:r="http://schemas.openxmlformats.org/officeDocument/2006/relationships" ref="C1288" r:id="rId1284"/>
    <hyperlink xmlns:r="http://schemas.openxmlformats.org/officeDocument/2006/relationships" ref="C1289" r:id="rId1285"/>
    <hyperlink xmlns:r="http://schemas.openxmlformats.org/officeDocument/2006/relationships" ref="C1290" r:id="rId1286"/>
    <hyperlink xmlns:r="http://schemas.openxmlformats.org/officeDocument/2006/relationships" ref="C1291" r:id="rId1287"/>
    <hyperlink xmlns:r="http://schemas.openxmlformats.org/officeDocument/2006/relationships" ref="C1292" r:id="rId1288"/>
    <hyperlink xmlns:r="http://schemas.openxmlformats.org/officeDocument/2006/relationships" ref="C1293" r:id="rId1289"/>
    <hyperlink xmlns:r="http://schemas.openxmlformats.org/officeDocument/2006/relationships" ref="C1294" r:id="rId1290"/>
    <hyperlink xmlns:r="http://schemas.openxmlformats.org/officeDocument/2006/relationships" ref="C1295" r:id="rId1291"/>
    <hyperlink xmlns:r="http://schemas.openxmlformats.org/officeDocument/2006/relationships" ref="C1296" r:id="rId1292"/>
    <hyperlink xmlns:r="http://schemas.openxmlformats.org/officeDocument/2006/relationships" ref="C1297" r:id="rId1293"/>
    <hyperlink xmlns:r="http://schemas.openxmlformats.org/officeDocument/2006/relationships" ref="C1298" r:id="rId1294"/>
    <hyperlink xmlns:r="http://schemas.openxmlformats.org/officeDocument/2006/relationships" ref="C1299" r:id="rId1295"/>
    <hyperlink xmlns:r="http://schemas.openxmlformats.org/officeDocument/2006/relationships" ref="C1300" r:id="rId1296"/>
    <hyperlink xmlns:r="http://schemas.openxmlformats.org/officeDocument/2006/relationships" ref="C1301" r:id="rId1297"/>
    <hyperlink xmlns:r="http://schemas.openxmlformats.org/officeDocument/2006/relationships" ref="C1302" r:id="rId1298"/>
    <hyperlink xmlns:r="http://schemas.openxmlformats.org/officeDocument/2006/relationships" ref="C1303" r:id="rId1299"/>
    <hyperlink xmlns:r="http://schemas.openxmlformats.org/officeDocument/2006/relationships" ref="C1304" r:id="rId1300"/>
    <hyperlink xmlns:r="http://schemas.openxmlformats.org/officeDocument/2006/relationships" ref="C1305" r:id="rId1301"/>
    <hyperlink xmlns:r="http://schemas.openxmlformats.org/officeDocument/2006/relationships" ref="C1306" r:id="rId1302"/>
    <hyperlink xmlns:r="http://schemas.openxmlformats.org/officeDocument/2006/relationships" ref="C1307" r:id="rId1303"/>
    <hyperlink xmlns:r="http://schemas.openxmlformats.org/officeDocument/2006/relationships" ref="C1308" r:id="rId1304"/>
    <hyperlink xmlns:r="http://schemas.openxmlformats.org/officeDocument/2006/relationships" ref="C1309" r:id="rId1305"/>
    <hyperlink xmlns:r="http://schemas.openxmlformats.org/officeDocument/2006/relationships" ref="C1310" r:id="rId1306"/>
    <hyperlink xmlns:r="http://schemas.openxmlformats.org/officeDocument/2006/relationships" ref="C1311" r:id="rId1307"/>
    <hyperlink xmlns:r="http://schemas.openxmlformats.org/officeDocument/2006/relationships" ref="C1312" r:id="rId1308"/>
    <hyperlink xmlns:r="http://schemas.openxmlformats.org/officeDocument/2006/relationships" ref="C1313" r:id="rId1309"/>
    <hyperlink xmlns:r="http://schemas.openxmlformats.org/officeDocument/2006/relationships" ref="C1314" r:id="rId1310"/>
    <hyperlink xmlns:r="http://schemas.openxmlformats.org/officeDocument/2006/relationships" ref="C1315" r:id="rId1311"/>
    <hyperlink xmlns:r="http://schemas.openxmlformats.org/officeDocument/2006/relationships" ref="C1316" r:id="rId1312"/>
    <hyperlink xmlns:r="http://schemas.openxmlformats.org/officeDocument/2006/relationships" ref="C1317" r:id="rId1313"/>
    <hyperlink xmlns:r="http://schemas.openxmlformats.org/officeDocument/2006/relationships" ref="C1318" r:id="rId1314"/>
    <hyperlink xmlns:r="http://schemas.openxmlformats.org/officeDocument/2006/relationships" ref="C1319" r:id="rId1315"/>
    <hyperlink xmlns:r="http://schemas.openxmlformats.org/officeDocument/2006/relationships" ref="C1320" r:id="rId1316"/>
    <hyperlink xmlns:r="http://schemas.openxmlformats.org/officeDocument/2006/relationships" ref="C1321" r:id="rId1317"/>
    <hyperlink xmlns:r="http://schemas.openxmlformats.org/officeDocument/2006/relationships" ref="C1322" r:id="rId1318"/>
    <hyperlink xmlns:r="http://schemas.openxmlformats.org/officeDocument/2006/relationships" ref="C1323" r:id="rId1319"/>
    <hyperlink xmlns:r="http://schemas.openxmlformats.org/officeDocument/2006/relationships" ref="C1324" r:id="rId1320"/>
    <hyperlink xmlns:r="http://schemas.openxmlformats.org/officeDocument/2006/relationships" ref="C1325" r:id="rId1321"/>
    <hyperlink xmlns:r="http://schemas.openxmlformats.org/officeDocument/2006/relationships" ref="C1326" r:id="rId1322"/>
    <hyperlink xmlns:r="http://schemas.openxmlformats.org/officeDocument/2006/relationships" ref="C1327" r:id="rId1323"/>
    <hyperlink xmlns:r="http://schemas.openxmlformats.org/officeDocument/2006/relationships" ref="C1328" r:id="rId1324"/>
    <hyperlink xmlns:r="http://schemas.openxmlformats.org/officeDocument/2006/relationships" ref="C1329" r:id="rId1325"/>
    <hyperlink xmlns:r="http://schemas.openxmlformats.org/officeDocument/2006/relationships" ref="C1330" r:id="rId1326"/>
    <hyperlink xmlns:r="http://schemas.openxmlformats.org/officeDocument/2006/relationships" ref="C1331" r:id="rId1327"/>
    <hyperlink xmlns:r="http://schemas.openxmlformats.org/officeDocument/2006/relationships" ref="C1332" r:id="rId1328"/>
    <hyperlink xmlns:r="http://schemas.openxmlformats.org/officeDocument/2006/relationships" ref="C1333" r:id="rId1329"/>
    <hyperlink xmlns:r="http://schemas.openxmlformats.org/officeDocument/2006/relationships" ref="C1334" r:id="rId1330"/>
    <hyperlink xmlns:r="http://schemas.openxmlformats.org/officeDocument/2006/relationships" ref="C1335" r:id="rId1331"/>
    <hyperlink xmlns:r="http://schemas.openxmlformats.org/officeDocument/2006/relationships" ref="C1336" r:id="rId1332"/>
    <hyperlink xmlns:r="http://schemas.openxmlformats.org/officeDocument/2006/relationships" ref="C1337" r:id="rId1333"/>
    <hyperlink xmlns:r="http://schemas.openxmlformats.org/officeDocument/2006/relationships" ref="C1338" r:id="rId1334"/>
    <hyperlink xmlns:r="http://schemas.openxmlformats.org/officeDocument/2006/relationships" ref="C1339" r:id="rId1335"/>
    <hyperlink xmlns:r="http://schemas.openxmlformats.org/officeDocument/2006/relationships" ref="C1340" r:id="rId1336"/>
    <hyperlink xmlns:r="http://schemas.openxmlformats.org/officeDocument/2006/relationships" ref="C1341" r:id="rId1337"/>
    <hyperlink xmlns:r="http://schemas.openxmlformats.org/officeDocument/2006/relationships" ref="C1342" r:id="rId1338"/>
    <hyperlink xmlns:r="http://schemas.openxmlformats.org/officeDocument/2006/relationships" ref="C1343" r:id="rId1339"/>
    <hyperlink xmlns:r="http://schemas.openxmlformats.org/officeDocument/2006/relationships" ref="C1344" r:id="rId1340"/>
    <hyperlink xmlns:r="http://schemas.openxmlformats.org/officeDocument/2006/relationships" ref="C1345" r:id="rId1341"/>
    <hyperlink xmlns:r="http://schemas.openxmlformats.org/officeDocument/2006/relationships" ref="C1346" r:id="rId1342"/>
    <hyperlink xmlns:r="http://schemas.openxmlformats.org/officeDocument/2006/relationships" ref="C1347" r:id="rId1343"/>
    <hyperlink xmlns:r="http://schemas.openxmlformats.org/officeDocument/2006/relationships" ref="C1348" r:id="rId1344"/>
    <hyperlink xmlns:r="http://schemas.openxmlformats.org/officeDocument/2006/relationships" ref="C1349" r:id="rId1345"/>
    <hyperlink xmlns:r="http://schemas.openxmlformats.org/officeDocument/2006/relationships" ref="C1350" r:id="rId1346"/>
    <hyperlink xmlns:r="http://schemas.openxmlformats.org/officeDocument/2006/relationships" ref="C1351" r:id="rId1347"/>
    <hyperlink xmlns:r="http://schemas.openxmlformats.org/officeDocument/2006/relationships" ref="C1352" r:id="rId1348"/>
    <hyperlink xmlns:r="http://schemas.openxmlformats.org/officeDocument/2006/relationships" ref="C1353" r:id="rId1349"/>
    <hyperlink xmlns:r="http://schemas.openxmlformats.org/officeDocument/2006/relationships" ref="C1354" r:id="rId1350"/>
    <hyperlink xmlns:r="http://schemas.openxmlformats.org/officeDocument/2006/relationships" ref="C1355" r:id="rId1351"/>
    <hyperlink xmlns:r="http://schemas.openxmlformats.org/officeDocument/2006/relationships" ref="C1356" r:id="rId1352"/>
    <hyperlink xmlns:r="http://schemas.openxmlformats.org/officeDocument/2006/relationships" ref="C1357" r:id="rId1353"/>
    <hyperlink xmlns:r="http://schemas.openxmlformats.org/officeDocument/2006/relationships" ref="C1358" r:id="rId1354"/>
    <hyperlink xmlns:r="http://schemas.openxmlformats.org/officeDocument/2006/relationships" ref="C1359" r:id="rId1355"/>
    <hyperlink xmlns:r="http://schemas.openxmlformats.org/officeDocument/2006/relationships" ref="C1360" r:id="rId1356"/>
    <hyperlink xmlns:r="http://schemas.openxmlformats.org/officeDocument/2006/relationships" ref="C1361" r:id="rId1357"/>
    <hyperlink xmlns:r="http://schemas.openxmlformats.org/officeDocument/2006/relationships" ref="C1362" r:id="rId1358"/>
    <hyperlink xmlns:r="http://schemas.openxmlformats.org/officeDocument/2006/relationships" ref="C1363" r:id="rId1359"/>
    <hyperlink xmlns:r="http://schemas.openxmlformats.org/officeDocument/2006/relationships" ref="C1364" r:id="rId1360"/>
    <hyperlink xmlns:r="http://schemas.openxmlformats.org/officeDocument/2006/relationships" ref="C1365" r:id="rId1361"/>
    <hyperlink xmlns:r="http://schemas.openxmlformats.org/officeDocument/2006/relationships" ref="C1366" r:id="rId1362"/>
    <hyperlink xmlns:r="http://schemas.openxmlformats.org/officeDocument/2006/relationships" ref="C1367" r:id="rId1363"/>
    <hyperlink xmlns:r="http://schemas.openxmlformats.org/officeDocument/2006/relationships" ref="C1368" r:id="rId1364"/>
    <hyperlink xmlns:r="http://schemas.openxmlformats.org/officeDocument/2006/relationships" ref="C1369" r:id="rId1365"/>
    <hyperlink xmlns:r="http://schemas.openxmlformats.org/officeDocument/2006/relationships" ref="C1370" r:id="rId1366"/>
    <hyperlink xmlns:r="http://schemas.openxmlformats.org/officeDocument/2006/relationships" ref="C1371" r:id="rId1367"/>
    <hyperlink xmlns:r="http://schemas.openxmlformats.org/officeDocument/2006/relationships" ref="C1372" r:id="rId1368"/>
    <hyperlink xmlns:r="http://schemas.openxmlformats.org/officeDocument/2006/relationships" ref="C1373" r:id="rId1369"/>
    <hyperlink xmlns:r="http://schemas.openxmlformats.org/officeDocument/2006/relationships" ref="C1374" r:id="rId1370"/>
    <hyperlink xmlns:r="http://schemas.openxmlformats.org/officeDocument/2006/relationships" ref="C1375" r:id="rId1371"/>
    <hyperlink xmlns:r="http://schemas.openxmlformats.org/officeDocument/2006/relationships" ref="C1376" r:id="rId1372"/>
    <hyperlink xmlns:r="http://schemas.openxmlformats.org/officeDocument/2006/relationships" ref="C1377" r:id="rId1373"/>
    <hyperlink xmlns:r="http://schemas.openxmlformats.org/officeDocument/2006/relationships" ref="C1378" r:id="rId1374"/>
    <hyperlink xmlns:r="http://schemas.openxmlformats.org/officeDocument/2006/relationships" ref="C1379" r:id="rId1375"/>
    <hyperlink xmlns:r="http://schemas.openxmlformats.org/officeDocument/2006/relationships" ref="C1380" r:id="rId1376"/>
    <hyperlink xmlns:r="http://schemas.openxmlformats.org/officeDocument/2006/relationships" ref="C1381" r:id="rId1377"/>
    <hyperlink xmlns:r="http://schemas.openxmlformats.org/officeDocument/2006/relationships" ref="C1382" r:id="rId1378"/>
    <hyperlink xmlns:r="http://schemas.openxmlformats.org/officeDocument/2006/relationships" ref="C1383" r:id="rId1379"/>
    <hyperlink xmlns:r="http://schemas.openxmlformats.org/officeDocument/2006/relationships" ref="C1384" r:id="rId1380"/>
    <hyperlink xmlns:r="http://schemas.openxmlformats.org/officeDocument/2006/relationships" ref="C1385" r:id="rId1381"/>
    <hyperlink xmlns:r="http://schemas.openxmlformats.org/officeDocument/2006/relationships" ref="C1386" r:id="rId1382"/>
    <hyperlink xmlns:r="http://schemas.openxmlformats.org/officeDocument/2006/relationships" ref="C1387" r:id="rId1383"/>
    <hyperlink xmlns:r="http://schemas.openxmlformats.org/officeDocument/2006/relationships" ref="C1388" r:id="rId1384"/>
    <hyperlink xmlns:r="http://schemas.openxmlformats.org/officeDocument/2006/relationships" ref="C1389" r:id="rId1385"/>
    <hyperlink xmlns:r="http://schemas.openxmlformats.org/officeDocument/2006/relationships" ref="C1390" r:id="rId1386"/>
    <hyperlink xmlns:r="http://schemas.openxmlformats.org/officeDocument/2006/relationships" ref="C1391" r:id="rId1387"/>
    <hyperlink xmlns:r="http://schemas.openxmlformats.org/officeDocument/2006/relationships" ref="C1392" r:id="rId1388"/>
    <hyperlink xmlns:r="http://schemas.openxmlformats.org/officeDocument/2006/relationships" ref="C1393" r:id="rId1389"/>
    <hyperlink xmlns:r="http://schemas.openxmlformats.org/officeDocument/2006/relationships" ref="C1394" r:id="rId1390"/>
    <hyperlink xmlns:r="http://schemas.openxmlformats.org/officeDocument/2006/relationships" ref="C1395" r:id="rId1391"/>
    <hyperlink xmlns:r="http://schemas.openxmlformats.org/officeDocument/2006/relationships" ref="C1396" r:id="rId1392"/>
    <hyperlink xmlns:r="http://schemas.openxmlformats.org/officeDocument/2006/relationships" ref="C1397" r:id="rId1393"/>
    <hyperlink xmlns:r="http://schemas.openxmlformats.org/officeDocument/2006/relationships" ref="C1398" r:id="rId1394"/>
    <hyperlink xmlns:r="http://schemas.openxmlformats.org/officeDocument/2006/relationships" ref="C1399" r:id="rId1395"/>
    <hyperlink xmlns:r="http://schemas.openxmlformats.org/officeDocument/2006/relationships" ref="C1400" r:id="rId1396"/>
    <hyperlink xmlns:r="http://schemas.openxmlformats.org/officeDocument/2006/relationships" ref="C1401" r:id="rId1397"/>
    <hyperlink xmlns:r="http://schemas.openxmlformats.org/officeDocument/2006/relationships" ref="C1402" r:id="rId1398"/>
    <hyperlink xmlns:r="http://schemas.openxmlformats.org/officeDocument/2006/relationships" ref="C1403" r:id="rId1399"/>
    <hyperlink xmlns:r="http://schemas.openxmlformats.org/officeDocument/2006/relationships" ref="C1404" r:id="rId1400"/>
    <hyperlink xmlns:r="http://schemas.openxmlformats.org/officeDocument/2006/relationships" ref="C1405" r:id="rId1401"/>
    <hyperlink xmlns:r="http://schemas.openxmlformats.org/officeDocument/2006/relationships" ref="C1406" r:id="rId1402"/>
    <hyperlink xmlns:r="http://schemas.openxmlformats.org/officeDocument/2006/relationships" ref="C1407" r:id="rId1403"/>
    <hyperlink xmlns:r="http://schemas.openxmlformats.org/officeDocument/2006/relationships" ref="C1408" r:id="rId1404"/>
    <hyperlink xmlns:r="http://schemas.openxmlformats.org/officeDocument/2006/relationships" ref="C1409" r:id="rId1405"/>
    <hyperlink xmlns:r="http://schemas.openxmlformats.org/officeDocument/2006/relationships" ref="C1410" r:id="rId1406"/>
    <hyperlink xmlns:r="http://schemas.openxmlformats.org/officeDocument/2006/relationships" ref="C1411" r:id="rId1407"/>
    <hyperlink xmlns:r="http://schemas.openxmlformats.org/officeDocument/2006/relationships" ref="C1412" r:id="rId1408"/>
    <hyperlink xmlns:r="http://schemas.openxmlformats.org/officeDocument/2006/relationships" ref="C1413" r:id="rId1409"/>
    <hyperlink xmlns:r="http://schemas.openxmlformats.org/officeDocument/2006/relationships" ref="C1414" r:id="rId1410"/>
    <hyperlink xmlns:r="http://schemas.openxmlformats.org/officeDocument/2006/relationships" ref="C1415" r:id="rId1411"/>
    <hyperlink xmlns:r="http://schemas.openxmlformats.org/officeDocument/2006/relationships" ref="C1416" r:id="rId1412"/>
    <hyperlink xmlns:r="http://schemas.openxmlformats.org/officeDocument/2006/relationships" ref="C1417" r:id="rId1413"/>
    <hyperlink xmlns:r="http://schemas.openxmlformats.org/officeDocument/2006/relationships" ref="C1418" r:id="rId1414"/>
    <hyperlink xmlns:r="http://schemas.openxmlformats.org/officeDocument/2006/relationships" ref="C1419" r:id="rId1415"/>
    <hyperlink xmlns:r="http://schemas.openxmlformats.org/officeDocument/2006/relationships" ref="C1420" r:id="rId1416"/>
    <hyperlink xmlns:r="http://schemas.openxmlformats.org/officeDocument/2006/relationships" ref="C1421" r:id="rId1417"/>
    <hyperlink xmlns:r="http://schemas.openxmlformats.org/officeDocument/2006/relationships" ref="C1422" r:id="rId1418"/>
    <hyperlink xmlns:r="http://schemas.openxmlformats.org/officeDocument/2006/relationships" ref="C1423" r:id="rId1419"/>
    <hyperlink xmlns:r="http://schemas.openxmlformats.org/officeDocument/2006/relationships" ref="C1424" r:id="rId1420"/>
    <hyperlink xmlns:r="http://schemas.openxmlformats.org/officeDocument/2006/relationships" ref="C1425" r:id="rId1421"/>
    <hyperlink xmlns:r="http://schemas.openxmlformats.org/officeDocument/2006/relationships" ref="C1426" r:id="rId1422"/>
    <hyperlink xmlns:r="http://schemas.openxmlformats.org/officeDocument/2006/relationships" ref="C1427" r:id="rId1423"/>
    <hyperlink xmlns:r="http://schemas.openxmlformats.org/officeDocument/2006/relationships" ref="C1428" r:id="rId1424"/>
    <hyperlink xmlns:r="http://schemas.openxmlformats.org/officeDocument/2006/relationships" ref="C1429" r:id="rId1425"/>
    <hyperlink xmlns:r="http://schemas.openxmlformats.org/officeDocument/2006/relationships" ref="C1430" r:id="rId1426"/>
    <hyperlink xmlns:r="http://schemas.openxmlformats.org/officeDocument/2006/relationships" ref="C1431" r:id="rId1427"/>
    <hyperlink xmlns:r="http://schemas.openxmlformats.org/officeDocument/2006/relationships" ref="C1432" r:id="rId1428"/>
    <hyperlink xmlns:r="http://schemas.openxmlformats.org/officeDocument/2006/relationships" ref="C1433" r:id="rId1429"/>
    <hyperlink xmlns:r="http://schemas.openxmlformats.org/officeDocument/2006/relationships" ref="C1434" r:id="rId1430"/>
    <hyperlink xmlns:r="http://schemas.openxmlformats.org/officeDocument/2006/relationships" ref="C1435" r:id="rId1431"/>
    <hyperlink xmlns:r="http://schemas.openxmlformats.org/officeDocument/2006/relationships" ref="C1436" r:id="rId1432"/>
    <hyperlink xmlns:r="http://schemas.openxmlformats.org/officeDocument/2006/relationships" ref="C1437" r:id="rId1433"/>
    <hyperlink xmlns:r="http://schemas.openxmlformats.org/officeDocument/2006/relationships" ref="C1438" r:id="rId1434"/>
    <hyperlink xmlns:r="http://schemas.openxmlformats.org/officeDocument/2006/relationships" ref="C1439" r:id="rId1435"/>
    <hyperlink xmlns:r="http://schemas.openxmlformats.org/officeDocument/2006/relationships" ref="C1440" r:id="rId1436"/>
    <hyperlink xmlns:r="http://schemas.openxmlformats.org/officeDocument/2006/relationships" ref="C1441" r:id="rId1437"/>
    <hyperlink xmlns:r="http://schemas.openxmlformats.org/officeDocument/2006/relationships" ref="C1442" r:id="rId1438"/>
    <hyperlink xmlns:r="http://schemas.openxmlformats.org/officeDocument/2006/relationships" ref="C1443" r:id="rId1439"/>
    <hyperlink xmlns:r="http://schemas.openxmlformats.org/officeDocument/2006/relationships" ref="C1444" r:id="rId1440"/>
    <hyperlink xmlns:r="http://schemas.openxmlformats.org/officeDocument/2006/relationships" ref="C1445" r:id="rId1441"/>
    <hyperlink xmlns:r="http://schemas.openxmlformats.org/officeDocument/2006/relationships" ref="C1446" r:id="rId1442"/>
    <hyperlink xmlns:r="http://schemas.openxmlformats.org/officeDocument/2006/relationships" ref="C1447" r:id="rId1443"/>
    <hyperlink xmlns:r="http://schemas.openxmlformats.org/officeDocument/2006/relationships" ref="C1448" r:id="rId1444"/>
    <hyperlink xmlns:r="http://schemas.openxmlformats.org/officeDocument/2006/relationships" ref="C1449" r:id="rId1445"/>
    <hyperlink xmlns:r="http://schemas.openxmlformats.org/officeDocument/2006/relationships" ref="C1450" r:id="rId1446"/>
    <hyperlink xmlns:r="http://schemas.openxmlformats.org/officeDocument/2006/relationships" ref="C1451" r:id="rId1447"/>
    <hyperlink xmlns:r="http://schemas.openxmlformats.org/officeDocument/2006/relationships" ref="C1452" r:id="rId1448"/>
    <hyperlink xmlns:r="http://schemas.openxmlformats.org/officeDocument/2006/relationships" ref="C1453" r:id="rId1449"/>
    <hyperlink xmlns:r="http://schemas.openxmlformats.org/officeDocument/2006/relationships" ref="C1454" r:id="rId1450"/>
    <hyperlink xmlns:r="http://schemas.openxmlformats.org/officeDocument/2006/relationships" ref="C1455" r:id="rId1451"/>
    <hyperlink xmlns:r="http://schemas.openxmlformats.org/officeDocument/2006/relationships" ref="C1456" r:id="rId1452"/>
    <hyperlink xmlns:r="http://schemas.openxmlformats.org/officeDocument/2006/relationships" ref="C1457" r:id="rId1453"/>
    <hyperlink xmlns:r="http://schemas.openxmlformats.org/officeDocument/2006/relationships" ref="C1458" r:id="rId1454"/>
    <hyperlink xmlns:r="http://schemas.openxmlformats.org/officeDocument/2006/relationships" ref="C1459" r:id="rId1455"/>
    <hyperlink xmlns:r="http://schemas.openxmlformats.org/officeDocument/2006/relationships" ref="C1460" r:id="rId1456"/>
    <hyperlink xmlns:r="http://schemas.openxmlformats.org/officeDocument/2006/relationships" ref="C1461" r:id="rId1457"/>
    <hyperlink xmlns:r="http://schemas.openxmlformats.org/officeDocument/2006/relationships" ref="C1462" r:id="rId1458"/>
    <hyperlink xmlns:r="http://schemas.openxmlformats.org/officeDocument/2006/relationships" ref="C1463" r:id="rId1459"/>
    <hyperlink xmlns:r="http://schemas.openxmlformats.org/officeDocument/2006/relationships" ref="C1464" r:id="rId1460"/>
    <hyperlink xmlns:r="http://schemas.openxmlformats.org/officeDocument/2006/relationships" ref="C1465" r:id="rId1461"/>
    <hyperlink xmlns:r="http://schemas.openxmlformats.org/officeDocument/2006/relationships" ref="C1466" r:id="rId1462"/>
    <hyperlink xmlns:r="http://schemas.openxmlformats.org/officeDocument/2006/relationships" ref="C1467" r:id="rId1463"/>
    <hyperlink xmlns:r="http://schemas.openxmlformats.org/officeDocument/2006/relationships" ref="C1468" r:id="rId1464"/>
    <hyperlink xmlns:r="http://schemas.openxmlformats.org/officeDocument/2006/relationships" ref="C1469" r:id="rId1465"/>
    <hyperlink xmlns:r="http://schemas.openxmlformats.org/officeDocument/2006/relationships" ref="C1470" r:id="rId1466"/>
    <hyperlink xmlns:r="http://schemas.openxmlformats.org/officeDocument/2006/relationships" ref="C1471" r:id="rId1467"/>
    <hyperlink xmlns:r="http://schemas.openxmlformats.org/officeDocument/2006/relationships" ref="C1472" r:id="rId1468"/>
    <hyperlink xmlns:r="http://schemas.openxmlformats.org/officeDocument/2006/relationships" ref="C1473" r:id="rId1469"/>
    <hyperlink xmlns:r="http://schemas.openxmlformats.org/officeDocument/2006/relationships" ref="C1474" r:id="rId1470"/>
    <hyperlink xmlns:r="http://schemas.openxmlformats.org/officeDocument/2006/relationships" ref="C1475" r:id="rId1471"/>
    <hyperlink xmlns:r="http://schemas.openxmlformats.org/officeDocument/2006/relationships" ref="C1476" r:id="rId1472"/>
    <hyperlink xmlns:r="http://schemas.openxmlformats.org/officeDocument/2006/relationships" ref="C1477" r:id="rId1473"/>
    <hyperlink xmlns:r="http://schemas.openxmlformats.org/officeDocument/2006/relationships" ref="C1478" r:id="rId1474"/>
    <hyperlink xmlns:r="http://schemas.openxmlformats.org/officeDocument/2006/relationships" ref="C1479" r:id="rId1475"/>
    <hyperlink xmlns:r="http://schemas.openxmlformats.org/officeDocument/2006/relationships" ref="C1480" r:id="rId1476"/>
    <hyperlink xmlns:r="http://schemas.openxmlformats.org/officeDocument/2006/relationships" ref="C1481" r:id="rId1477"/>
    <hyperlink xmlns:r="http://schemas.openxmlformats.org/officeDocument/2006/relationships" ref="C1482" r:id="rId1478"/>
    <hyperlink xmlns:r="http://schemas.openxmlformats.org/officeDocument/2006/relationships" ref="C1483" r:id="rId1479"/>
    <hyperlink xmlns:r="http://schemas.openxmlformats.org/officeDocument/2006/relationships" ref="C1484" r:id="rId1480"/>
    <hyperlink xmlns:r="http://schemas.openxmlformats.org/officeDocument/2006/relationships" ref="C1485" r:id="rId1481"/>
    <hyperlink xmlns:r="http://schemas.openxmlformats.org/officeDocument/2006/relationships" ref="C1486" r:id="rId1482"/>
    <hyperlink xmlns:r="http://schemas.openxmlformats.org/officeDocument/2006/relationships" ref="C1487" r:id="rId1483"/>
    <hyperlink xmlns:r="http://schemas.openxmlformats.org/officeDocument/2006/relationships" ref="C1488" r:id="rId1484"/>
    <hyperlink xmlns:r="http://schemas.openxmlformats.org/officeDocument/2006/relationships" ref="C1489" r:id="rId1485"/>
    <hyperlink xmlns:r="http://schemas.openxmlformats.org/officeDocument/2006/relationships" ref="C1490" r:id="rId1486"/>
    <hyperlink xmlns:r="http://schemas.openxmlformats.org/officeDocument/2006/relationships" ref="C1491" r:id="rId1487"/>
    <hyperlink xmlns:r="http://schemas.openxmlformats.org/officeDocument/2006/relationships" ref="C1492" r:id="rId1488"/>
    <hyperlink xmlns:r="http://schemas.openxmlformats.org/officeDocument/2006/relationships" ref="C1493" r:id="rId1489"/>
    <hyperlink xmlns:r="http://schemas.openxmlformats.org/officeDocument/2006/relationships" ref="C1494" r:id="rId1490"/>
    <hyperlink xmlns:r="http://schemas.openxmlformats.org/officeDocument/2006/relationships" ref="C1495" r:id="rId1491"/>
    <hyperlink xmlns:r="http://schemas.openxmlformats.org/officeDocument/2006/relationships" ref="C1496" r:id="rId1492"/>
    <hyperlink xmlns:r="http://schemas.openxmlformats.org/officeDocument/2006/relationships" ref="C1497" r:id="rId1493"/>
    <hyperlink xmlns:r="http://schemas.openxmlformats.org/officeDocument/2006/relationships" ref="C1498" r:id="rId1494"/>
    <hyperlink xmlns:r="http://schemas.openxmlformats.org/officeDocument/2006/relationships" ref="C1499" r:id="rId1495"/>
    <hyperlink xmlns:r="http://schemas.openxmlformats.org/officeDocument/2006/relationships" ref="C1500" r:id="rId1496"/>
    <hyperlink xmlns:r="http://schemas.openxmlformats.org/officeDocument/2006/relationships" ref="C1501" r:id="rId1497"/>
    <hyperlink xmlns:r="http://schemas.openxmlformats.org/officeDocument/2006/relationships" ref="C1502" r:id="rId1498"/>
    <hyperlink xmlns:r="http://schemas.openxmlformats.org/officeDocument/2006/relationships" ref="C1503" r:id="rId1499"/>
    <hyperlink xmlns:r="http://schemas.openxmlformats.org/officeDocument/2006/relationships" ref="C1504" r:id="rId1500"/>
    <hyperlink xmlns:r="http://schemas.openxmlformats.org/officeDocument/2006/relationships" ref="C1505" r:id="rId1501"/>
    <hyperlink xmlns:r="http://schemas.openxmlformats.org/officeDocument/2006/relationships" ref="C1506" r:id="rId1502"/>
    <hyperlink xmlns:r="http://schemas.openxmlformats.org/officeDocument/2006/relationships" ref="C1507" r:id="rId1503"/>
    <hyperlink xmlns:r="http://schemas.openxmlformats.org/officeDocument/2006/relationships" ref="C1508" r:id="rId1504"/>
    <hyperlink xmlns:r="http://schemas.openxmlformats.org/officeDocument/2006/relationships" ref="C1509" r:id="rId1505"/>
    <hyperlink xmlns:r="http://schemas.openxmlformats.org/officeDocument/2006/relationships" ref="C1510" r:id="rId1506"/>
    <hyperlink xmlns:r="http://schemas.openxmlformats.org/officeDocument/2006/relationships" ref="C1511" r:id="rId1507"/>
    <hyperlink xmlns:r="http://schemas.openxmlformats.org/officeDocument/2006/relationships" ref="C1512" r:id="rId1508"/>
    <hyperlink xmlns:r="http://schemas.openxmlformats.org/officeDocument/2006/relationships" ref="C1513" r:id="rId1509"/>
    <hyperlink xmlns:r="http://schemas.openxmlformats.org/officeDocument/2006/relationships" ref="C1514" r:id="rId1510"/>
    <hyperlink xmlns:r="http://schemas.openxmlformats.org/officeDocument/2006/relationships" ref="C1515" r:id="rId1511"/>
    <hyperlink xmlns:r="http://schemas.openxmlformats.org/officeDocument/2006/relationships" ref="C1516" r:id="rId1512"/>
    <hyperlink xmlns:r="http://schemas.openxmlformats.org/officeDocument/2006/relationships" ref="C1517" r:id="rId1513"/>
    <hyperlink xmlns:r="http://schemas.openxmlformats.org/officeDocument/2006/relationships" ref="C1518" r:id="rId1514"/>
    <hyperlink xmlns:r="http://schemas.openxmlformats.org/officeDocument/2006/relationships" ref="C1519" r:id="rId1515"/>
    <hyperlink xmlns:r="http://schemas.openxmlformats.org/officeDocument/2006/relationships" ref="C1520" r:id="rId1516"/>
    <hyperlink xmlns:r="http://schemas.openxmlformats.org/officeDocument/2006/relationships" ref="C1521" r:id="rId1517"/>
    <hyperlink xmlns:r="http://schemas.openxmlformats.org/officeDocument/2006/relationships" ref="C1522" r:id="rId1518"/>
    <hyperlink xmlns:r="http://schemas.openxmlformats.org/officeDocument/2006/relationships" ref="C1523" r:id="rId1519"/>
    <hyperlink xmlns:r="http://schemas.openxmlformats.org/officeDocument/2006/relationships" ref="C1524" r:id="rId1520"/>
    <hyperlink xmlns:r="http://schemas.openxmlformats.org/officeDocument/2006/relationships" ref="C1525" r:id="rId1521"/>
    <hyperlink xmlns:r="http://schemas.openxmlformats.org/officeDocument/2006/relationships" ref="C1526" r:id="rId1522"/>
    <hyperlink xmlns:r="http://schemas.openxmlformats.org/officeDocument/2006/relationships" ref="C1527" r:id="rId1523"/>
    <hyperlink xmlns:r="http://schemas.openxmlformats.org/officeDocument/2006/relationships" ref="C1528" r:id="rId1524"/>
    <hyperlink xmlns:r="http://schemas.openxmlformats.org/officeDocument/2006/relationships" ref="C1529" r:id="rId1525"/>
    <hyperlink xmlns:r="http://schemas.openxmlformats.org/officeDocument/2006/relationships" ref="C1530" r:id="rId1526"/>
    <hyperlink xmlns:r="http://schemas.openxmlformats.org/officeDocument/2006/relationships" ref="C1531" r:id="rId1527"/>
    <hyperlink xmlns:r="http://schemas.openxmlformats.org/officeDocument/2006/relationships" ref="C1532" r:id="rId1528"/>
    <hyperlink xmlns:r="http://schemas.openxmlformats.org/officeDocument/2006/relationships" ref="C1533" r:id="rId1529"/>
    <hyperlink xmlns:r="http://schemas.openxmlformats.org/officeDocument/2006/relationships" ref="C1534" r:id="rId1530"/>
    <hyperlink xmlns:r="http://schemas.openxmlformats.org/officeDocument/2006/relationships" ref="C1535" r:id="rId1531"/>
    <hyperlink xmlns:r="http://schemas.openxmlformats.org/officeDocument/2006/relationships" ref="C1536" r:id="rId1532"/>
    <hyperlink xmlns:r="http://schemas.openxmlformats.org/officeDocument/2006/relationships" ref="C1537" r:id="rId1533"/>
    <hyperlink xmlns:r="http://schemas.openxmlformats.org/officeDocument/2006/relationships" ref="C1538" r:id="rId1534"/>
    <hyperlink xmlns:r="http://schemas.openxmlformats.org/officeDocument/2006/relationships" ref="C1539" r:id="rId1535"/>
    <hyperlink xmlns:r="http://schemas.openxmlformats.org/officeDocument/2006/relationships" ref="C1540" r:id="rId1536"/>
    <hyperlink xmlns:r="http://schemas.openxmlformats.org/officeDocument/2006/relationships" ref="C1541" r:id="rId1537"/>
    <hyperlink xmlns:r="http://schemas.openxmlformats.org/officeDocument/2006/relationships" ref="C1542" r:id="rId1538"/>
    <hyperlink xmlns:r="http://schemas.openxmlformats.org/officeDocument/2006/relationships" ref="C1543" r:id="rId1539"/>
    <hyperlink xmlns:r="http://schemas.openxmlformats.org/officeDocument/2006/relationships" ref="C1544" r:id="rId1540"/>
    <hyperlink xmlns:r="http://schemas.openxmlformats.org/officeDocument/2006/relationships" ref="C1545" r:id="rId1541"/>
    <hyperlink xmlns:r="http://schemas.openxmlformats.org/officeDocument/2006/relationships" ref="C1546" r:id="rId1542"/>
    <hyperlink xmlns:r="http://schemas.openxmlformats.org/officeDocument/2006/relationships" ref="C1547" r:id="rId1543"/>
    <hyperlink xmlns:r="http://schemas.openxmlformats.org/officeDocument/2006/relationships" ref="C1548" r:id="rId1544"/>
    <hyperlink xmlns:r="http://schemas.openxmlformats.org/officeDocument/2006/relationships" ref="C1549" r:id="rId1545"/>
    <hyperlink xmlns:r="http://schemas.openxmlformats.org/officeDocument/2006/relationships" ref="C1550" r:id="rId1546"/>
    <hyperlink xmlns:r="http://schemas.openxmlformats.org/officeDocument/2006/relationships" ref="C1551" r:id="rId1547"/>
    <hyperlink xmlns:r="http://schemas.openxmlformats.org/officeDocument/2006/relationships" ref="C1552" r:id="rId1548"/>
    <hyperlink xmlns:r="http://schemas.openxmlformats.org/officeDocument/2006/relationships" ref="C1553" r:id="rId1549"/>
    <hyperlink xmlns:r="http://schemas.openxmlformats.org/officeDocument/2006/relationships" ref="C1554" r:id="rId1550"/>
    <hyperlink xmlns:r="http://schemas.openxmlformats.org/officeDocument/2006/relationships" ref="C1555" r:id="rId1551"/>
    <hyperlink xmlns:r="http://schemas.openxmlformats.org/officeDocument/2006/relationships" ref="C1556" r:id="rId1552"/>
    <hyperlink xmlns:r="http://schemas.openxmlformats.org/officeDocument/2006/relationships" ref="C1557" r:id="rId1553"/>
    <hyperlink xmlns:r="http://schemas.openxmlformats.org/officeDocument/2006/relationships" ref="C1558" r:id="rId1554"/>
    <hyperlink xmlns:r="http://schemas.openxmlformats.org/officeDocument/2006/relationships" ref="C1559" r:id="rId1555"/>
    <hyperlink xmlns:r="http://schemas.openxmlformats.org/officeDocument/2006/relationships" ref="C1560" r:id="rId1556"/>
    <hyperlink xmlns:r="http://schemas.openxmlformats.org/officeDocument/2006/relationships" ref="C1561" r:id="rId1557"/>
    <hyperlink xmlns:r="http://schemas.openxmlformats.org/officeDocument/2006/relationships" ref="C1562" r:id="rId1558"/>
    <hyperlink xmlns:r="http://schemas.openxmlformats.org/officeDocument/2006/relationships" ref="C1563" r:id="rId1559"/>
    <hyperlink xmlns:r="http://schemas.openxmlformats.org/officeDocument/2006/relationships" ref="C1564" r:id="rId1560"/>
    <hyperlink xmlns:r="http://schemas.openxmlformats.org/officeDocument/2006/relationships" ref="C1565" r:id="rId1561"/>
    <hyperlink xmlns:r="http://schemas.openxmlformats.org/officeDocument/2006/relationships" ref="C1566" r:id="rId1562"/>
    <hyperlink xmlns:r="http://schemas.openxmlformats.org/officeDocument/2006/relationships" ref="C1567" r:id="rId1563"/>
    <hyperlink xmlns:r="http://schemas.openxmlformats.org/officeDocument/2006/relationships" ref="C1568" r:id="rId1564"/>
    <hyperlink xmlns:r="http://schemas.openxmlformats.org/officeDocument/2006/relationships" ref="C1569" r:id="rId1565"/>
    <hyperlink xmlns:r="http://schemas.openxmlformats.org/officeDocument/2006/relationships" ref="C1570" r:id="rId1566"/>
    <hyperlink xmlns:r="http://schemas.openxmlformats.org/officeDocument/2006/relationships" ref="C1571" r:id="rId1567"/>
    <hyperlink xmlns:r="http://schemas.openxmlformats.org/officeDocument/2006/relationships" ref="C1572" r:id="rId1568"/>
    <hyperlink xmlns:r="http://schemas.openxmlformats.org/officeDocument/2006/relationships" ref="C1573" r:id="rId1569"/>
    <hyperlink xmlns:r="http://schemas.openxmlformats.org/officeDocument/2006/relationships" ref="C1574" r:id="rId1570"/>
    <hyperlink xmlns:r="http://schemas.openxmlformats.org/officeDocument/2006/relationships" ref="C1575" r:id="rId1571"/>
    <hyperlink xmlns:r="http://schemas.openxmlformats.org/officeDocument/2006/relationships" ref="C1576" r:id="rId1572"/>
    <hyperlink xmlns:r="http://schemas.openxmlformats.org/officeDocument/2006/relationships" ref="C1577" r:id="rId1573"/>
    <hyperlink xmlns:r="http://schemas.openxmlformats.org/officeDocument/2006/relationships" ref="C1578" r:id="rId1574"/>
    <hyperlink xmlns:r="http://schemas.openxmlformats.org/officeDocument/2006/relationships" ref="C1579" r:id="rId1575"/>
    <hyperlink xmlns:r="http://schemas.openxmlformats.org/officeDocument/2006/relationships" ref="C1580" r:id="rId1576"/>
    <hyperlink xmlns:r="http://schemas.openxmlformats.org/officeDocument/2006/relationships" ref="C1581" r:id="rId1577"/>
    <hyperlink xmlns:r="http://schemas.openxmlformats.org/officeDocument/2006/relationships" ref="C1582" r:id="rId1578"/>
    <hyperlink xmlns:r="http://schemas.openxmlformats.org/officeDocument/2006/relationships" ref="C1583" r:id="rId1579"/>
    <hyperlink xmlns:r="http://schemas.openxmlformats.org/officeDocument/2006/relationships" ref="C1584" r:id="rId1580"/>
    <hyperlink xmlns:r="http://schemas.openxmlformats.org/officeDocument/2006/relationships" ref="C1585" r:id="rId1581"/>
    <hyperlink xmlns:r="http://schemas.openxmlformats.org/officeDocument/2006/relationships" ref="C1586" r:id="rId1582"/>
    <hyperlink xmlns:r="http://schemas.openxmlformats.org/officeDocument/2006/relationships" ref="C1587" r:id="rId1583"/>
    <hyperlink xmlns:r="http://schemas.openxmlformats.org/officeDocument/2006/relationships" ref="C1588" r:id="rId1584"/>
    <hyperlink xmlns:r="http://schemas.openxmlformats.org/officeDocument/2006/relationships" ref="C1589" r:id="rId1585"/>
    <hyperlink xmlns:r="http://schemas.openxmlformats.org/officeDocument/2006/relationships" ref="C1590" r:id="rId1586"/>
    <hyperlink xmlns:r="http://schemas.openxmlformats.org/officeDocument/2006/relationships" ref="C1591" r:id="rId1587"/>
    <hyperlink xmlns:r="http://schemas.openxmlformats.org/officeDocument/2006/relationships" ref="C1592" r:id="rId1588"/>
    <hyperlink xmlns:r="http://schemas.openxmlformats.org/officeDocument/2006/relationships" ref="C1593" r:id="rId1589"/>
    <hyperlink xmlns:r="http://schemas.openxmlformats.org/officeDocument/2006/relationships" ref="C1594" r:id="rId1590"/>
    <hyperlink xmlns:r="http://schemas.openxmlformats.org/officeDocument/2006/relationships" ref="C1595" r:id="rId1591"/>
    <hyperlink xmlns:r="http://schemas.openxmlformats.org/officeDocument/2006/relationships" ref="C1596" r:id="rId1592"/>
    <hyperlink xmlns:r="http://schemas.openxmlformats.org/officeDocument/2006/relationships" ref="C1597" r:id="rId1593"/>
    <hyperlink xmlns:r="http://schemas.openxmlformats.org/officeDocument/2006/relationships" ref="C1598" r:id="rId1594"/>
    <hyperlink xmlns:r="http://schemas.openxmlformats.org/officeDocument/2006/relationships" ref="C1599" r:id="rId1595"/>
    <hyperlink xmlns:r="http://schemas.openxmlformats.org/officeDocument/2006/relationships" ref="C1600" r:id="rId1596"/>
    <hyperlink xmlns:r="http://schemas.openxmlformats.org/officeDocument/2006/relationships" ref="C1601" r:id="rId1597"/>
    <hyperlink xmlns:r="http://schemas.openxmlformats.org/officeDocument/2006/relationships" ref="C1602" r:id="rId1598"/>
    <hyperlink xmlns:r="http://schemas.openxmlformats.org/officeDocument/2006/relationships" ref="C1603" r:id="rId1599"/>
    <hyperlink xmlns:r="http://schemas.openxmlformats.org/officeDocument/2006/relationships" ref="C1604" r:id="rId1600"/>
    <hyperlink xmlns:r="http://schemas.openxmlformats.org/officeDocument/2006/relationships" ref="C1605" r:id="rId1601"/>
    <hyperlink xmlns:r="http://schemas.openxmlformats.org/officeDocument/2006/relationships" ref="C1606" r:id="rId1602"/>
    <hyperlink xmlns:r="http://schemas.openxmlformats.org/officeDocument/2006/relationships" ref="C1607" r:id="rId1603"/>
    <hyperlink xmlns:r="http://schemas.openxmlformats.org/officeDocument/2006/relationships" ref="C1608" r:id="rId1604"/>
    <hyperlink xmlns:r="http://schemas.openxmlformats.org/officeDocument/2006/relationships" ref="C1609" r:id="rId1605"/>
    <hyperlink xmlns:r="http://schemas.openxmlformats.org/officeDocument/2006/relationships" ref="C1610" r:id="rId1606"/>
    <hyperlink xmlns:r="http://schemas.openxmlformats.org/officeDocument/2006/relationships" ref="C1611" r:id="rId1607"/>
    <hyperlink xmlns:r="http://schemas.openxmlformats.org/officeDocument/2006/relationships" ref="C1612" r:id="rId1608"/>
    <hyperlink xmlns:r="http://schemas.openxmlformats.org/officeDocument/2006/relationships" ref="C1613" r:id="rId1609"/>
    <hyperlink xmlns:r="http://schemas.openxmlformats.org/officeDocument/2006/relationships" ref="C1614" r:id="rId1610"/>
    <hyperlink xmlns:r="http://schemas.openxmlformats.org/officeDocument/2006/relationships" ref="C1615" r:id="rId1611"/>
    <hyperlink xmlns:r="http://schemas.openxmlformats.org/officeDocument/2006/relationships" ref="C1616" r:id="rId1612"/>
    <hyperlink xmlns:r="http://schemas.openxmlformats.org/officeDocument/2006/relationships" ref="C1617" r:id="rId1613"/>
    <hyperlink xmlns:r="http://schemas.openxmlformats.org/officeDocument/2006/relationships" ref="C1618" r:id="rId1614"/>
    <hyperlink xmlns:r="http://schemas.openxmlformats.org/officeDocument/2006/relationships" ref="C1619" r:id="rId1615"/>
    <hyperlink xmlns:r="http://schemas.openxmlformats.org/officeDocument/2006/relationships" ref="C1620" r:id="rId1616"/>
    <hyperlink xmlns:r="http://schemas.openxmlformats.org/officeDocument/2006/relationships" ref="C1621" r:id="rId1617"/>
    <hyperlink xmlns:r="http://schemas.openxmlformats.org/officeDocument/2006/relationships" ref="C1622" r:id="rId1618"/>
    <hyperlink xmlns:r="http://schemas.openxmlformats.org/officeDocument/2006/relationships" ref="C1623" r:id="rId1619"/>
    <hyperlink xmlns:r="http://schemas.openxmlformats.org/officeDocument/2006/relationships" ref="C1624" r:id="rId1620"/>
    <hyperlink xmlns:r="http://schemas.openxmlformats.org/officeDocument/2006/relationships" ref="C1625" r:id="rId1621"/>
    <hyperlink xmlns:r="http://schemas.openxmlformats.org/officeDocument/2006/relationships" ref="C1626" r:id="rId1622"/>
    <hyperlink xmlns:r="http://schemas.openxmlformats.org/officeDocument/2006/relationships" ref="C1627" r:id="rId1623"/>
    <hyperlink xmlns:r="http://schemas.openxmlformats.org/officeDocument/2006/relationships" ref="C1628" r:id="rId1624"/>
    <hyperlink xmlns:r="http://schemas.openxmlformats.org/officeDocument/2006/relationships" ref="C1629" r:id="rId1625"/>
    <hyperlink xmlns:r="http://schemas.openxmlformats.org/officeDocument/2006/relationships" ref="C1630" r:id="rId1626"/>
    <hyperlink xmlns:r="http://schemas.openxmlformats.org/officeDocument/2006/relationships" ref="C1631" r:id="rId1627"/>
    <hyperlink xmlns:r="http://schemas.openxmlformats.org/officeDocument/2006/relationships" ref="C1632" r:id="rId1628"/>
    <hyperlink xmlns:r="http://schemas.openxmlformats.org/officeDocument/2006/relationships" ref="C1633" r:id="rId1629"/>
    <hyperlink xmlns:r="http://schemas.openxmlformats.org/officeDocument/2006/relationships" ref="C1634" r:id="rId1630"/>
    <hyperlink xmlns:r="http://schemas.openxmlformats.org/officeDocument/2006/relationships" ref="C1635" r:id="rId1631"/>
    <hyperlink xmlns:r="http://schemas.openxmlformats.org/officeDocument/2006/relationships" ref="C1636" r:id="rId1632"/>
    <hyperlink xmlns:r="http://schemas.openxmlformats.org/officeDocument/2006/relationships" ref="C1637" r:id="rId1633"/>
    <hyperlink xmlns:r="http://schemas.openxmlformats.org/officeDocument/2006/relationships" ref="C1638" r:id="rId1634"/>
    <hyperlink xmlns:r="http://schemas.openxmlformats.org/officeDocument/2006/relationships" ref="C1639" r:id="rId1635"/>
    <hyperlink xmlns:r="http://schemas.openxmlformats.org/officeDocument/2006/relationships" ref="C1640" r:id="rId1636"/>
    <hyperlink xmlns:r="http://schemas.openxmlformats.org/officeDocument/2006/relationships" ref="C1641" r:id="rId1637"/>
    <hyperlink xmlns:r="http://schemas.openxmlformats.org/officeDocument/2006/relationships" ref="C1642" r:id="rId1638"/>
    <hyperlink xmlns:r="http://schemas.openxmlformats.org/officeDocument/2006/relationships" ref="C1643" r:id="rId1639"/>
    <hyperlink xmlns:r="http://schemas.openxmlformats.org/officeDocument/2006/relationships" ref="C1644" r:id="rId1640"/>
    <hyperlink xmlns:r="http://schemas.openxmlformats.org/officeDocument/2006/relationships" ref="C1645" r:id="rId1641"/>
    <hyperlink xmlns:r="http://schemas.openxmlformats.org/officeDocument/2006/relationships" ref="C1646" r:id="rId1642"/>
    <hyperlink xmlns:r="http://schemas.openxmlformats.org/officeDocument/2006/relationships" ref="C1647" r:id="rId1643"/>
    <hyperlink xmlns:r="http://schemas.openxmlformats.org/officeDocument/2006/relationships" ref="C1648" r:id="rId1644"/>
    <hyperlink xmlns:r="http://schemas.openxmlformats.org/officeDocument/2006/relationships" ref="C1649" r:id="rId1645"/>
    <hyperlink xmlns:r="http://schemas.openxmlformats.org/officeDocument/2006/relationships" ref="C1650" r:id="rId1646"/>
    <hyperlink xmlns:r="http://schemas.openxmlformats.org/officeDocument/2006/relationships" ref="C1651" r:id="rId1647"/>
    <hyperlink xmlns:r="http://schemas.openxmlformats.org/officeDocument/2006/relationships" ref="C1652" r:id="rId1648"/>
    <hyperlink xmlns:r="http://schemas.openxmlformats.org/officeDocument/2006/relationships" ref="C1653" r:id="rId1649"/>
    <hyperlink xmlns:r="http://schemas.openxmlformats.org/officeDocument/2006/relationships" ref="C1654" r:id="rId1650"/>
    <hyperlink xmlns:r="http://schemas.openxmlformats.org/officeDocument/2006/relationships" ref="C1655" r:id="rId1651"/>
    <hyperlink xmlns:r="http://schemas.openxmlformats.org/officeDocument/2006/relationships" ref="C1656" r:id="rId1652"/>
    <hyperlink xmlns:r="http://schemas.openxmlformats.org/officeDocument/2006/relationships" ref="C1657" r:id="rId1653"/>
    <hyperlink xmlns:r="http://schemas.openxmlformats.org/officeDocument/2006/relationships" ref="C1658" r:id="rId1654"/>
    <hyperlink xmlns:r="http://schemas.openxmlformats.org/officeDocument/2006/relationships" ref="C1659" r:id="rId1655"/>
    <hyperlink xmlns:r="http://schemas.openxmlformats.org/officeDocument/2006/relationships" ref="C1660" r:id="rId1656"/>
    <hyperlink xmlns:r="http://schemas.openxmlformats.org/officeDocument/2006/relationships" ref="C1661" r:id="rId1657"/>
    <hyperlink xmlns:r="http://schemas.openxmlformats.org/officeDocument/2006/relationships" ref="C1662" r:id="rId1658"/>
    <hyperlink xmlns:r="http://schemas.openxmlformats.org/officeDocument/2006/relationships" ref="C1663" r:id="rId1659"/>
    <hyperlink xmlns:r="http://schemas.openxmlformats.org/officeDocument/2006/relationships" ref="C1664" r:id="rId1660"/>
    <hyperlink xmlns:r="http://schemas.openxmlformats.org/officeDocument/2006/relationships" ref="C1665" r:id="rId1661"/>
    <hyperlink xmlns:r="http://schemas.openxmlformats.org/officeDocument/2006/relationships" ref="C1666" r:id="rId1662"/>
    <hyperlink xmlns:r="http://schemas.openxmlformats.org/officeDocument/2006/relationships" ref="C1667" r:id="rId1663"/>
    <hyperlink xmlns:r="http://schemas.openxmlformats.org/officeDocument/2006/relationships" ref="C1668" r:id="rId1664"/>
    <hyperlink xmlns:r="http://schemas.openxmlformats.org/officeDocument/2006/relationships" ref="C1669" r:id="rId1665"/>
    <hyperlink xmlns:r="http://schemas.openxmlformats.org/officeDocument/2006/relationships" ref="C1670" r:id="rId1666"/>
    <hyperlink xmlns:r="http://schemas.openxmlformats.org/officeDocument/2006/relationships" ref="C1671" r:id="rId1667"/>
    <hyperlink xmlns:r="http://schemas.openxmlformats.org/officeDocument/2006/relationships" ref="C1672" r:id="rId1668"/>
    <hyperlink xmlns:r="http://schemas.openxmlformats.org/officeDocument/2006/relationships" ref="C1673" r:id="rId1669"/>
    <hyperlink xmlns:r="http://schemas.openxmlformats.org/officeDocument/2006/relationships" ref="C1674" r:id="rId1670"/>
    <hyperlink xmlns:r="http://schemas.openxmlformats.org/officeDocument/2006/relationships" ref="C1675" r:id="rId1671"/>
    <hyperlink xmlns:r="http://schemas.openxmlformats.org/officeDocument/2006/relationships" ref="C1676" r:id="rId1672"/>
    <hyperlink xmlns:r="http://schemas.openxmlformats.org/officeDocument/2006/relationships" ref="C1677" r:id="rId1673"/>
    <hyperlink xmlns:r="http://schemas.openxmlformats.org/officeDocument/2006/relationships" ref="C1678" r:id="rId1674"/>
    <hyperlink xmlns:r="http://schemas.openxmlformats.org/officeDocument/2006/relationships" ref="C1679" r:id="rId1675"/>
    <hyperlink xmlns:r="http://schemas.openxmlformats.org/officeDocument/2006/relationships" ref="C1680" r:id="rId1676"/>
    <hyperlink xmlns:r="http://schemas.openxmlformats.org/officeDocument/2006/relationships" ref="C1681" r:id="rId1677"/>
    <hyperlink xmlns:r="http://schemas.openxmlformats.org/officeDocument/2006/relationships" ref="C1682" r:id="rId1678"/>
    <hyperlink xmlns:r="http://schemas.openxmlformats.org/officeDocument/2006/relationships" ref="C1683" r:id="rId1679"/>
    <hyperlink xmlns:r="http://schemas.openxmlformats.org/officeDocument/2006/relationships" ref="C1684" r:id="rId1680"/>
    <hyperlink xmlns:r="http://schemas.openxmlformats.org/officeDocument/2006/relationships" ref="C1685" r:id="rId1681"/>
    <hyperlink xmlns:r="http://schemas.openxmlformats.org/officeDocument/2006/relationships" ref="C1686" r:id="rId1682"/>
    <hyperlink xmlns:r="http://schemas.openxmlformats.org/officeDocument/2006/relationships" ref="C1687" r:id="rId1683"/>
    <hyperlink xmlns:r="http://schemas.openxmlformats.org/officeDocument/2006/relationships" ref="C1688" r:id="rId1684"/>
    <hyperlink xmlns:r="http://schemas.openxmlformats.org/officeDocument/2006/relationships" ref="C1689" r:id="rId1685"/>
    <hyperlink xmlns:r="http://schemas.openxmlformats.org/officeDocument/2006/relationships" ref="C1690" r:id="rId1686"/>
    <hyperlink xmlns:r="http://schemas.openxmlformats.org/officeDocument/2006/relationships" ref="C1691" r:id="rId1687"/>
    <hyperlink xmlns:r="http://schemas.openxmlformats.org/officeDocument/2006/relationships" ref="C1692" r:id="rId1688"/>
    <hyperlink xmlns:r="http://schemas.openxmlformats.org/officeDocument/2006/relationships" ref="C1693" r:id="rId1689"/>
    <hyperlink xmlns:r="http://schemas.openxmlformats.org/officeDocument/2006/relationships" ref="C1694" r:id="rId1690"/>
    <hyperlink xmlns:r="http://schemas.openxmlformats.org/officeDocument/2006/relationships" ref="C1695" r:id="rId1691"/>
    <hyperlink xmlns:r="http://schemas.openxmlformats.org/officeDocument/2006/relationships" ref="C1696" r:id="rId1692"/>
    <hyperlink xmlns:r="http://schemas.openxmlformats.org/officeDocument/2006/relationships" ref="C1697" r:id="rId1693"/>
    <hyperlink xmlns:r="http://schemas.openxmlformats.org/officeDocument/2006/relationships" ref="C1698" r:id="rId1694"/>
    <hyperlink xmlns:r="http://schemas.openxmlformats.org/officeDocument/2006/relationships" ref="C1699" r:id="rId1695"/>
    <hyperlink xmlns:r="http://schemas.openxmlformats.org/officeDocument/2006/relationships" ref="C1700" r:id="rId1696"/>
    <hyperlink xmlns:r="http://schemas.openxmlformats.org/officeDocument/2006/relationships" ref="C1701" r:id="rId1697"/>
    <hyperlink xmlns:r="http://schemas.openxmlformats.org/officeDocument/2006/relationships" ref="C1702" r:id="rId1698"/>
    <hyperlink xmlns:r="http://schemas.openxmlformats.org/officeDocument/2006/relationships" ref="C1703" r:id="rId1699"/>
    <hyperlink xmlns:r="http://schemas.openxmlformats.org/officeDocument/2006/relationships" ref="C1704" r:id="rId1700"/>
    <hyperlink xmlns:r="http://schemas.openxmlformats.org/officeDocument/2006/relationships" ref="C1705" r:id="rId1701"/>
    <hyperlink xmlns:r="http://schemas.openxmlformats.org/officeDocument/2006/relationships" ref="C1706" r:id="rId1702"/>
    <hyperlink xmlns:r="http://schemas.openxmlformats.org/officeDocument/2006/relationships" ref="C1707" r:id="rId1703"/>
    <hyperlink xmlns:r="http://schemas.openxmlformats.org/officeDocument/2006/relationships" ref="C1708" r:id="rId1704"/>
    <hyperlink xmlns:r="http://schemas.openxmlformats.org/officeDocument/2006/relationships" ref="C1709" r:id="rId1705"/>
    <hyperlink xmlns:r="http://schemas.openxmlformats.org/officeDocument/2006/relationships" ref="C1710" r:id="rId1706"/>
    <hyperlink xmlns:r="http://schemas.openxmlformats.org/officeDocument/2006/relationships" ref="C1711" r:id="rId1707"/>
    <hyperlink xmlns:r="http://schemas.openxmlformats.org/officeDocument/2006/relationships" ref="C1712" r:id="rId1708"/>
    <hyperlink xmlns:r="http://schemas.openxmlformats.org/officeDocument/2006/relationships" ref="C1713" r:id="rId1709"/>
    <hyperlink xmlns:r="http://schemas.openxmlformats.org/officeDocument/2006/relationships" ref="C1714" r:id="rId1710"/>
    <hyperlink xmlns:r="http://schemas.openxmlformats.org/officeDocument/2006/relationships" ref="C1715" r:id="rId1711"/>
    <hyperlink xmlns:r="http://schemas.openxmlformats.org/officeDocument/2006/relationships" ref="C1716" r:id="rId1712"/>
    <hyperlink xmlns:r="http://schemas.openxmlformats.org/officeDocument/2006/relationships" ref="C1717" r:id="rId1713"/>
    <hyperlink xmlns:r="http://schemas.openxmlformats.org/officeDocument/2006/relationships" ref="C1718" r:id="rId1714"/>
    <hyperlink xmlns:r="http://schemas.openxmlformats.org/officeDocument/2006/relationships" ref="C1719" r:id="rId1715"/>
    <hyperlink xmlns:r="http://schemas.openxmlformats.org/officeDocument/2006/relationships" ref="C1720" r:id="rId1716"/>
    <hyperlink xmlns:r="http://schemas.openxmlformats.org/officeDocument/2006/relationships" ref="C1721" r:id="rId1717"/>
    <hyperlink xmlns:r="http://schemas.openxmlformats.org/officeDocument/2006/relationships" ref="C1722" r:id="rId1718"/>
    <hyperlink xmlns:r="http://schemas.openxmlformats.org/officeDocument/2006/relationships" ref="C1723" r:id="rId1719"/>
    <hyperlink xmlns:r="http://schemas.openxmlformats.org/officeDocument/2006/relationships" ref="C1724" r:id="rId1720"/>
    <hyperlink xmlns:r="http://schemas.openxmlformats.org/officeDocument/2006/relationships" ref="C1725" r:id="rId1721"/>
    <hyperlink xmlns:r="http://schemas.openxmlformats.org/officeDocument/2006/relationships" ref="C1726" r:id="rId1722"/>
    <hyperlink xmlns:r="http://schemas.openxmlformats.org/officeDocument/2006/relationships" ref="C1727" r:id="rId1723"/>
    <hyperlink xmlns:r="http://schemas.openxmlformats.org/officeDocument/2006/relationships" ref="C1728" r:id="rId1724"/>
    <hyperlink xmlns:r="http://schemas.openxmlformats.org/officeDocument/2006/relationships" ref="C1729" r:id="rId1725"/>
    <hyperlink xmlns:r="http://schemas.openxmlformats.org/officeDocument/2006/relationships" ref="C1730" r:id="rId1726"/>
    <hyperlink xmlns:r="http://schemas.openxmlformats.org/officeDocument/2006/relationships" ref="C1731" r:id="rId1727"/>
    <hyperlink xmlns:r="http://schemas.openxmlformats.org/officeDocument/2006/relationships" ref="C1732" r:id="rId1728"/>
    <hyperlink xmlns:r="http://schemas.openxmlformats.org/officeDocument/2006/relationships" ref="C1733" r:id="rId1729"/>
    <hyperlink xmlns:r="http://schemas.openxmlformats.org/officeDocument/2006/relationships" ref="C1734" r:id="rId1730"/>
    <hyperlink xmlns:r="http://schemas.openxmlformats.org/officeDocument/2006/relationships" ref="C1735" r:id="rId1731"/>
    <hyperlink xmlns:r="http://schemas.openxmlformats.org/officeDocument/2006/relationships" ref="C1736" r:id="rId1732"/>
    <hyperlink xmlns:r="http://schemas.openxmlformats.org/officeDocument/2006/relationships" ref="C1737" r:id="rId1733"/>
    <hyperlink xmlns:r="http://schemas.openxmlformats.org/officeDocument/2006/relationships" ref="C1738" r:id="rId1734"/>
    <hyperlink xmlns:r="http://schemas.openxmlformats.org/officeDocument/2006/relationships" ref="C1739" r:id="rId1735"/>
    <hyperlink xmlns:r="http://schemas.openxmlformats.org/officeDocument/2006/relationships" ref="C1740" r:id="rId1736"/>
    <hyperlink xmlns:r="http://schemas.openxmlformats.org/officeDocument/2006/relationships" ref="C1741" r:id="rId1737"/>
    <hyperlink xmlns:r="http://schemas.openxmlformats.org/officeDocument/2006/relationships" ref="C1742" r:id="rId1738"/>
    <hyperlink xmlns:r="http://schemas.openxmlformats.org/officeDocument/2006/relationships" ref="C1743" r:id="rId1739"/>
    <hyperlink xmlns:r="http://schemas.openxmlformats.org/officeDocument/2006/relationships" ref="C1744" r:id="rId1740"/>
    <hyperlink xmlns:r="http://schemas.openxmlformats.org/officeDocument/2006/relationships" ref="C1745" r:id="rId1741"/>
    <hyperlink xmlns:r="http://schemas.openxmlformats.org/officeDocument/2006/relationships" ref="C1746" r:id="rId1742"/>
    <hyperlink xmlns:r="http://schemas.openxmlformats.org/officeDocument/2006/relationships" ref="C1747" r:id="rId1743"/>
    <hyperlink xmlns:r="http://schemas.openxmlformats.org/officeDocument/2006/relationships" ref="C1748" r:id="rId1744"/>
    <hyperlink xmlns:r="http://schemas.openxmlformats.org/officeDocument/2006/relationships" ref="C1749" r:id="rId1745"/>
    <hyperlink xmlns:r="http://schemas.openxmlformats.org/officeDocument/2006/relationships" ref="C1750" r:id="rId1746"/>
    <hyperlink xmlns:r="http://schemas.openxmlformats.org/officeDocument/2006/relationships" ref="C1751" r:id="rId1747"/>
    <hyperlink xmlns:r="http://schemas.openxmlformats.org/officeDocument/2006/relationships" ref="C1752" r:id="rId1748"/>
    <hyperlink xmlns:r="http://schemas.openxmlformats.org/officeDocument/2006/relationships" ref="C1753" r:id="rId1749"/>
    <hyperlink xmlns:r="http://schemas.openxmlformats.org/officeDocument/2006/relationships" ref="C1754" r:id="rId1750"/>
    <hyperlink xmlns:r="http://schemas.openxmlformats.org/officeDocument/2006/relationships" ref="C1755" r:id="rId1751"/>
    <hyperlink xmlns:r="http://schemas.openxmlformats.org/officeDocument/2006/relationships" ref="C1756" r:id="rId1752"/>
    <hyperlink xmlns:r="http://schemas.openxmlformats.org/officeDocument/2006/relationships" ref="C1757" r:id="rId1753"/>
    <hyperlink xmlns:r="http://schemas.openxmlformats.org/officeDocument/2006/relationships" ref="C1758" r:id="rId1754"/>
    <hyperlink xmlns:r="http://schemas.openxmlformats.org/officeDocument/2006/relationships" ref="C1759" r:id="rId1755"/>
    <hyperlink xmlns:r="http://schemas.openxmlformats.org/officeDocument/2006/relationships" ref="C1760" r:id="rId1756"/>
    <hyperlink xmlns:r="http://schemas.openxmlformats.org/officeDocument/2006/relationships" ref="C1761" r:id="rId1757"/>
    <hyperlink xmlns:r="http://schemas.openxmlformats.org/officeDocument/2006/relationships" ref="C1762" r:id="rId1758"/>
    <hyperlink xmlns:r="http://schemas.openxmlformats.org/officeDocument/2006/relationships" ref="C1763" r:id="rId1759"/>
    <hyperlink xmlns:r="http://schemas.openxmlformats.org/officeDocument/2006/relationships" ref="C1764" r:id="rId1760"/>
    <hyperlink xmlns:r="http://schemas.openxmlformats.org/officeDocument/2006/relationships" ref="C1765" r:id="rId1761"/>
    <hyperlink xmlns:r="http://schemas.openxmlformats.org/officeDocument/2006/relationships" ref="C1766" r:id="rId1762"/>
    <hyperlink xmlns:r="http://schemas.openxmlformats.org/officeDocument/2006/relationships" ref="C1767" r:id="rId1763"/>
    <hyperlink xmlns:r="http://schemas.openxmlformats.org/officeDocument/2006/relationships" ref="C1768" r:id="rId1764"/>
    <hyperlink xmlns:r="http://schemas.openxmlformats.org/officeDocument/2006/relationships" ref="C1769" r:id="rId1765"/>
    <hyperlink xmlns:r="http://schemas.openxmlformats.org/officeDocument/2006/relationships" ref="C1770" r:id="rId1766"/>
    <hyperlink xmlns:r="http://schemas.openxmlformats.org/officeDocument/2006/relationships" ref="C1771" r:id="rId1767"/>
    <hyperlink xmlns:r="http://schemas.openxmlformats.org/officeDocument/2006/relationships" ref="C1772" r:id="rId1768"/>
    <hyperlink xmlns:r="http://schemas.openxmlformats.org/officeDocument/2006/relationships" ref="C1773" r:id="rId1769"/>
    <hyperlink xmlns:r="http://schemas.openxmlformats.org/officeDocument/2006/relationships" ref="C1774" r:id="rId1770"/>
    <hyperlink xmlns:r="http://schemas.openxmlformats.org/officeDocument/2006/relationships" ref="C1775" r:id="rId1771"/>
    <hyperlink xmlns:r="http://schemas.openxmlformats.org/officeDocument/2006/relationships" ref="C1776" r:id="rId1772"/>
    <hyperlink xmlns:r="http://schemas.openxmlformats.org/officeDocument/2006/relationships" ref="C1777" r:id="rId1773"/>
    <hyperlink xmlns:r="http://schemas.openxmlformats.org/officeDocument/2006/relationships" ref="C1778" r:id="rId1774"/>
    <hyperlink xmlns:r="http://schemas.openxmlformats.org/officeDocument/2006/relationships" ref="C1779" r:id="rId1775"/>
    <hyperlink xmlns:r="http://schemas.openxmlformats.org/officeDocument/2006/relationships" ref="C1780" r:id="rId1776"/>
    <hyperlink xmlns:r="http://schemas.openxmlformats.org/officeDocument/2006/relationships" ref="C1781" r:id="rId1777"/>
    <hyperlink xmlns:r="http://schemas.openxmlformats.org/officeDocument/2006/relationships" ref="C1782" r:id="rId1778"/>
    <hyperlink xmlns:r="http://schemas.openxmlformats.org/officeDocument/2006/relationships" ref="C1783" r:id="rId1779"/>
    <hyperlink xmlns:r="http://schemas.openxmlformats.org/officeDocument/2006/relationships" ref="C1784" r:id="rId1780"/>
    <hyperlink xmlns:r="http://schemas.openxmlformats.org/officeDocument/2006/relationships" ref="C1785" r:id="rId1781"/>
    <hyperlink xmlns:r="http://schemas.openxmlformats.org/officeDocument/2006/relationships" ref="C1786" r:id="rId1782"/>
    <hyperlink xmlns:r="http://schemas.openxmlformats.org/officeDocument/2006/relationships" ref="C1787" r:id="rId1783"/>
    <hyperlink xmlns:r="http://schemas.openxmlformats.org/officeDocument/2006/relationships" ref="C1788" r:id="rId1784"/>
    <hyperlink xmlns:r="http://schemas.openxmlformats.org/officeDocument/2006/relationships" ref="C1789" r:id="rId1785"/>
    <hyperlink xmlns:r="http://schemas.openxmlformats.org/officeDocument/2006/relationships" ref="C1790" r:id="rId1786"/>
    <hyperlink xmlns:r="http://schemas.openxmlformats.org/officeDocument/2006/relationships" ref="C1791" r:id="rId1787"/>
    <hyperlink xmlns:r="http://schemas.openxmlformats.org/officeDocument/2006/relationships" ref="C1792" r:id="rId1788"/>
    <hyperlink xmlns:r="http://schemas.openxmlformats.org/officeDocument/2006/relationships" ref="C1793" r:id="rId1789"/>
    <hyperlink xmlns:r="http://schemas.openxmlformats.org/officeDocument/2006/relationships" ref="C1794" r:id="rId1790"/>
    <hyperlink xmlns:r="http://schemas.openxmlformats.org/officeDocument/2006/relationships" ref="C1795" r:id="rId1791"/>
    <hyperlink xmlns:r="http://schemas.openxmlformats.org/officeDocument/2006/relationships" ref="C1796" r:id="rId1792"/>
    <hyperlink xmlns:r="http://schemas.openxmlformats.org/officeDocument/2006/relationships" ref="C1797" r:id="rId1793"/>
    <hyperlink xmlns:r="http://schemas.openxmlformats.org/officeDocument/2006/relationships" ref="C1798" r:id="rId1794"/>
    <hyperlink xmlns:r="http://schemas.openxmlformats.org/officeDocument/2006/relationships" ref="C1799" r:id="rId1795"/>
    <hyperlink xmlns:r="http://schemas.openxmlformats.org/officeDocument/2006/relationships" ref="C1800" r:id="rId1796"/>
    <hyperlink xmlns:r="http://schemas.openxmlformats.org/officeDocument/2006/relationships" ref="C1801" r:id="rId1797"/>
    <hyperlink xmlns:r="http://schemas.openxmlformats.org/officeDocument/2006/relationships" ref="C1802" r:id="rId1798"/>
    <hyperlink xmlns:r="http://schemas.openxmlformats.org/officeDocument/2006/relationships" ref="C1803" r:id="rId1799"/>
    <hyperlink xmlns:r="http://schemas.openxmlformats.org/officeDocument/2006/relationships" ref="C1804" r:id="rId1800"/>
    <hyperlink xmlns:r="http://schemas.openxmlformats.org/officeDocument/2006/relationships" ref="C1805" r:id="rId1801"/>
    <hyperlink xmlns:r="http://schemas.openxmlformats.org/officeDocument/2006/relationships" ref="C1806" r:id="rId1802"/>
    <hyperlink xmlns:r="http://schemas.openxmlformats.org/officeDocument/2006/relationships" ref="C1807" r:id="rId1803"/>
    <hyperlink xmlns:r="http://schemas.openxmlformats.org/officeDocument/2006/relationships" ref="C1808" r:id="rId1804"/>
    <hyperlink xmlns:r="http://schemas.openxmlformats.org/officeDocument/2006/relationships" ref="C1809" r:id="rId1805"/>
    <hyperlink xmlns:r="http://schemas.openxmlformats.org/officeDocument/2006/relationships" ref="C1810" r:id="rId1806"/>
    <hyperlink xmlns:r="http://schemas.openxmlformats.org/officeDocument/2006/relationships" ref="C1811" r:id="rId1807"/>
    <hyperlink xmlns:r="http://schemas.openxmlformats.org/officeDocument/2006/relationships" ref="C1812" r:id="rId1808"/>
    <hyperlink xmlns:r="http://schemas.openxmlformats.org/officeDocument/2006/relationships" ref="C1813" r:id="rId1809"/>
    <hyperlink xmlns:r="http://schemas.openxmlformats.org/officeDocument/2006/relationships" ref="C1814" r:id="rId1810"/>
    <hyperlink xmlns:r="http://schemas.openxmlformats.org/officeDocument/2006/relationships" ref="C1815" r:id="rId1811"/>
    <hyperlink xmlns:r="http://schemas.openxmlformats.org/officeDocument/2006/relationships" ref="C1816" r:id="rId1812"/>
    <hyperlink xmlns:r="http://schemas.openxmlformats.org/officeDocument/2006/relationships" ref="C1817" r:id="rId1813"/>
    <hyperlink xmlns:r="http://schemas.openxmlformats.org/officeDocument/2006/relationships" ref="C1818" r:id="rId1814"/>
    <hyperlink xmlns:r="http://schemas.openxmlformats.org/officeDocument/2006/relationships" ref="C1819" r:id="rId1815"/>
    <hyperlink xmlns:r="http://schemas.openxmlformats.org/officeDocument/2006/relationships" ref="C1820" r:id="rId1816"/>
    <hyperlink xmlns:r="http://schemas.openxmlformats.org/officeDocument/2006/relationships" ref="C1821" r:id="rId1817"/>
    <hyperlink xmlns:r="http://schemas.openxmlformats.org/officeDocument/2006/relationships" ref="C1822" r:id="rId1818"/>
    <hyperlink xmlns:r="http://schemas.openxmlformats.org/officeDocument/2006/relationships" ref="C1823" r:id="rId1819"/>
    <hyperlink xmlns:r="http://schemas.openxmlformats.org/officeDocument/2006/relationships" ref="C1824" r:id="rId1820"/>
    <hyperlink xmlns:r="http://schemas.openxmlformats.org/officeDocument/2006/relationships" ref="C1825" r:id="rId1821"/>
    <hyperlink xmlns:r="http://schemas.openxmlformats.org/officeDocument/2006/relationships" ref="C1826" r:id="rId1822"/>
    <hyperlink xmlns:r="http://schemas.openxmlformats.org/officeDocument/2006/relationships" ref="C1827" r:id="rId1823"/>
    <hyperlink xmlns:r="http://schemas.openxmlformats.org/officeDocument/2006/relationships" ref="C1828" r:id="rId1824"/>
    <hyperlink xmlns:r="http://schemas.openxmlformats.org/officeDocument/2006/relationships" ref="C1829" r:id="rId1825"/>
    <hyperlink xmlns:r="http://schemas.openxmlformats.org/officeDocument/2006/relationships" ref="C1830" r:id="rId1826"/>
    <hyperlink xmlns:r="http://schemas.openxmlformats.org/officeDocument/2006/relationships" ref="C1831" r:id="rId1827"/>
    <hyperlink xmlns:r="http://schemas.openxmlformats.org/officeDocument/2006/relationships" ref="C1832" r:id="rId1828"/>
    <hyperlink xmlns:r="http://schemas.openxmlformats.org/officeDocument/2006/relationships" ref="C1833" r:id="rId1829"/>
    <hyperlink xmlns:r="http://schemas.openxmlformats.org/officeDocument/2006/relationships" ref="C1834" r:id="rId1830"/>
    <hyperlink xmlns:r="http://schemas.openxmlformats.org/officeDocument/2006/relationships" ref="C1835" r:id="rId1831"/>
    <hyperlink xmlns:r="http://schemas.openxmlformats.org/officeDocument/2006/relationships" ref="C1836" r:id="rId1832"/>
    <hyperlink xmlns:r="http://schemas.openxmlformats.org/officeDocument/2006/relationships" ref="C1837" r:id="rId1833"/>
    <hyperlink xmlns:r="http://schemas.openxmlformats.org/officeDocument/2006/relationships" ref="C1838" r:id="rId1834"/>
    <hyperlink xmlns:r="http://schemas.openxmlformats.org/officeDocument/2006/relationships" ref="C1839" r:id="rId1835"/>
    <hyperlink xmlns:r="http://schemas.openxmlformats.org/officeDocument/2006/relationships" ref="C1840" r:id="rId1836"/>
    <hyperlink xmlns:r="http://schemas.openxmlformats.org/officeDocument/2006/relationships" ref="C1841" r:id="rId1837"/>
    <hyperlink xmlns:r="http://schemas.openxmlformats.org/officeDocument/2006/relationships" ref="C1842" r:id="rId1838"/>
    <hyperlink xmlns:r="http://schemas.openxmlformats.org/officeDocument/2006/relationships" ref="C1843" r:id="rId1839"/>
    <hyperlink xmlns:r="http://schemas.openxmlformats.org/officeDocument/2006/relationships" ref="C1844" r:id="rId1840"/>
    <hyperlink xmlns:r="http://schemas.openxmlformats.org/officeDocument/2006/relationships" ref="C1845" r:id="rId1841"/>
    <hyperlink xmlns:r="http://schemas.openxmlformats.org/officeDocument/2006/relationships" ref="C1846" r:id="rId1842"/>
    <hyperlink xmlns:r="http://schemas.openxmlformats.org/officeDocument/2006/relationships" ref="C1847" r:id="rId1843"/>
    <hyperlink xmlns:r="http://schemas.openxmlformats.org/officeDocument/2006/relationships" ref="C1848" r:id="rId1844"/>
    <hyperlink xmlns:r="http://schemas.openxmlformats.org/officeDocument/2006/relationships" ref="C1849" r:id="rId1845"/>
    <hyperlink xmlns:r="http://schemas.openxmlformats.org/officeDocument/2006/relationships" ref="C1850" r:id="rId1846"/>
    <hyperlink xmlns:r="http://schemas.openxmlformats.org/officeDocument/2006/relationships" ref="C1851" r:id="rId1847"/>
    <hyperlink xmlns:r="http://schemas.openxmlformats.org/officeDocument/2006/relationships" ref="C1852" r:id="rId1848"/>
    <hyperlink xmlns:r="http://schemas.openxmlformats.org/officeDocument/2006/relationships" ref="C1853" r:id="rId1849"/>
    <hyperlink xmlns:r="http://schemas.openxmlformats.org/officeDocument/2006/relationships" ref="C1854" r:id="rId1850"/>
    <hyperlink xmlns:r="http://schemas.openxmlformats.org/officeDocument/2006/relationships" ref="C1855" r:id="rId1851"/>
    <hyperlink xmlns:r="http://schemas.openxmlformats.org/officeDocument/2006/relationships" ref="C1856" r:id="rId1852"/>
    <hyperlink xmlns:r="http://schemas.openxmlformats.org/officeDocument/2006/relationships" ref="C1857" r:id="rId1853"/>
    <hyperlink xmlns:r="http://schemas.openxmlformats.org/officeDocument/2006/relationships" ref="C1858" r:id="rId1854"/>
    <hyperlink xmlns:r="http://schemas.openxmlformats.org/officeDocument/2006/relationships" ref="C1859" r:id="rId1855"/>
    <hyperlink xmlns:r="http://schemas.openxmlformats.org/officeDocument/2006/relationships" ref="C1860" r:id="rId1856"/>
    <hyperlink xmlns:r="http://schemas.openxmlformats.org/officeDocument/2006/relationships" ref="C1861" r:id="rId1857"/>
    <hyperlink xmlns:r="http://schemas.openxmlformats.org/officeDocument/2006/relationships" ref="C1862" r:id="rId1858"/>
    <hyperlink xmlns:r="http://schemas.openxmlformats.org/officeDocument/2006/relationships" ref="C1863" r:id="rId1859"/>
    <hyperlink xmlns:r="http://schemas.openxmlformats.org/officeDocument/2006/relationships" ref="C1864" r:id="rId1860"/>
    <hyperlink xmlns:r="http://schemas.openxmlformats.org/officeDocument/2006/relationships" ref="C1865" r:id="rId1861"/>
    <hyperlink xmlns:r="http://schemas.openxmlformats.org/officeDocument/2006/relationships" ref="C1866" r:id="rId1862"/>
    <hyperlink xmlns:r="http://schemas.openxmlformats.org/officeDocument/2006/relationships" ref="C1867" r:id="rId1863"/>
    <hyperlink xmlns:r="http://schemas.openxmlformats.org/officeDocument/2006/relationships" ref="C1868" r:id="rId1864"/>
    <hyperlink xmlns:r="http://schemas.openxmlformats.org/officeDocument/2006/relationships" ref="C1869" r:id="rId1865"/>
    <hyperlink xmlns:r="http://schemas.openxmlformats.org/officeDocument/2006/relationships" ref="C1870" r:id="rId1866"/>
    <hyperlink xmlns:r="http://schemas.openxmlformats.org/officeDocument/2006/relationships" ref="C1871" r:id="rId1867"/>
    <hyperlink xmlns:r="http://schemas.openxmlformats.org/officeDocument/2006/relationships" ref="C1872" r:id="rId1868"/>
    <hyperlink xmlns:r="http://schemas.openxmlformats.org/officeDocument/2006/relationships" ref="C1873" r:id="rId1869"/>
    <hyperlink xmlns:r="http://schemas.openxmlformats.org/officeDocument/2006/relationships" ref="C1874" r:id="rId1870"/>
    <hyperlink xmlns:r="http://schemas.openxmlformats.org/officeDocument/2006/relationships" ref="C1875" r:id="rId1871"/>
    <hyperlink xmlns:r="http://schemas.openxmlformats.org/officeDocument/2006/relationships" ref="C1876" r:id="rId1872"/>
    <hyperlink xmlns:r="http://schemas.openxmlformats.org/officeDocument/2006/relationships" ref="C1877" r:id="rId1873"/>
    <hyperlink xmlns:r="http://schemas.openxmlformats.org/officeDocument/2006/relationships" ref="C1878" r:id="rId1874"/>
    <hyperlink xmlns:r="http://schemas.openxmlformats.org/officeDocument/2006/relationships" ref="C1879" r:id="rId1875"/>
    <hyperlink xmlns:r="http://schemas.openxmlformats.org/officeDocument/2006/relationships" ref="C1880" r:id="rId1876"/>
    <hyperlink xmlns:r="http://schemas.openxmlformats.org/officeDocument/2006/relationships" ref="C1881" r:id="rId1877"/>
    <hyperlink xmlns:r="http://schemas.openxmlformats.org/officeDocument/2006/relationships" ref="C1882" r:id="rId1878"/>
    <hyperlink xmlns:r="http://schemas.openxmlformats.org/officeDocument/2006/relationships" ref="C1883" r:id="rId1879"/>
    <hyperlink xmlns:r="http://schemas.openxmlformats.org/officeDocument/2006/relationships" ref="C1884" r:id="rId1880"/>
    <hyperlink xmlns:r="http://schemas.openxmlformats.org/officeDocument/2006/relationships" ref="C1885" r:id="rId1881"/>
    <hyperlink xmlns:r="http://schemas.openxmlformats.org/officeDocument/2006/relationships" ref="C1886" r:id="rId1882"/>
    <hyperlink xmlns:r="http://schemas.openxmlformats.org/officeDocument/2006/relationships" ref="C1887" r:id="rId1883"/>
    <hyperlink xmlns:r="http://schemas.openxmlformats.org/officeDocument/2006/relationships" ref="C1888" r:id="rId1884"/>
    <hyperlink xmlns:r="http://schemas.openxmlformats.org/officeDocument/2006/relationships" ref="C1889" r:id="rId1885"/>
    <hyperlink xmlns:r="http://schemas.openxmlformats.org/officeDocument/2006/relationships" ref="C1890" r:id="rId1886"/>
    <hyperlink xmlns:r="http://schemas.openxmlformats.org/officeDocument/2006/relationships" ref="C1891" r:id="rId1887"/>
    <hyperlink xmlns:r="http://schemas.openxmlformats.org/officeDocument/2006/relationships" ref="C1892" r:id="rId1888"/>
    <hyperlink xmlns:r="http://schemas.openxmlformats.org/officeDocument/2006/relationships" ref="C1893" r:id="rId1889"/>
    <hyperlink xmlns:r="http://schemas.openxmlformats.org/officeDocument/2006/relationships" ref="C1894" r:id="rId1890"/>
    <hyperlink xmlns:r="http://schemas.openxmlformats.org/officeDocument/2006/relationships" ref="C1895" r:id="rId1891"/>
    <hyperlink xmlns:r="http://schemas.openxmlformats.org/officeDocument/2006/relationships" ref="C1896" r:id="rId1892"/>
    <hyperlink xmlns:r="http://schemas.openxmlformats.org/officeDocument/2006/relationships" ref="C1897" r:id="rId1893"/>
    <hyperlink xmlns:r="http://schemas.openxmlformats.org/officeDocument/2006/relationships" ref="C1898" r:id="rId1894"/>
    <hyperlink xmlns:r="http://schemas.openxmlformats.org/officeDocument/2006/relationships" ref="C1899" r:id="rId1895"/>
    <hyperlink xmlns:r="http://schemas.openxmlformats.org/officeDocument/2006/relationships" ref="C1900" r:id="rId1896"/>
    <hyperlink xmlns:r="http://schemas.openxmlformats.org/officeDocument/2006/relationships" ref="C1901" r:id="rId1897"/>
    <hyperlink xmlns:r="http://schemas.openxmlformats.org/officeDocument/2006/relationships" ref="C1902" r:id="rId1898"/>
    <hyperlink xmlns:r="http://schemas.openxmlformats.org/officeDocument/2006/relationships" ref="C1903" r:id="rId1899"/>
    <hyperlink xmlns:r="http://schemas.openxmlformats.org/officeDocument/2006/relationships" ref="C1904" r:id="rId1900"/>
    <hyperlink xmlns:r="http://schemas.openxmlformats.org/officeDocument/2006/relationships" ref="C1905" r:id="rId1901"/>
    <hyperlink xmlns:r="http://schemas.openxmlformats.org/officeDocument/2006/relationships" ref="C1906" r:id="rId1902"/>
    <hyperlink xmlns:r="http://schemas.openxmlformats.org/officeDocument/2006/relationships" ref="C1907" r:id="rId1903"/>
    <hyperlink xmlns:r="http://schemas.openxmlformats.org/officeDocument/2006/relationships" ref="C1908" r:id="rId1904"/>
    <hyperlink xmlns:r="http://schemas.openxmlformats.org/officeDocument/2006/relationships" ref="C1909" r:id="rId1905"/>
    <hyperlink xmlns:r="http://schemas.openxmlformats.org/officeDocument/2006/relationships" ref="C1910" r:id="rId1906"/>
    <hyperlink xmlns:r="http://schemas.openxmlformats.org/officeDocument/2006/relationships" ref="C1911" r:id="rId1907"/>
    <hyperlink xmlns:r="http://schemas.openxmlformats.org/officeDocument/2006/relationships" ref="C1912" r:id="rId1908"/>
    <hyperlink xmlns:r="http://schemas.openxmlformats.org/officeDocument/2006/relationships" ref="C1913" r:id="rId1909"/>
    <hyperlink xmlns:r="http://schemas.openxmlformats.org/officeDocument/2006/relationships" ref="C1914" r:id="rId1910"/>
    <hyperlink xmlns:r="http://schemas.openxmlformats.org/officeDocument/2006/relationships" ref="C1915" r:id="rId1911"/>
    <hyperlink xmlns:r="http://schemas.openxmlformats.org/officeDocument/2006/relationships" ref="C1916" r:id="rId1912"/>
    <hyperlink xmlns:r="http://schemas.openxmlformats.org/officeDocument/2006/relationships" ref="C1917" r:id="rId1913"/>
    <hyperlink xmlns:r="http://schemas.openxmlformats.org/officeDocument/2006/relationships" ref="C1918" r:id="rId1914"/>
    <hyperlink xmlns:r="http://schemas.openxmlformats.org/officeDocument/2006/relationships" ref="C1919" r:id="rId1915"/>
    <hyperlink xmlns:r="http://schemas.openxmlformats.org/officeDocument/2006/relationships" ref="C1920" r:id="rId1916"/>
    <hyperlink xmlns:r="http://schemas.openxmlformats.org/officeDocument/2006/relationships" ref="C1921" r:id="rId1917"/>
    <hyperlink xmlns:r="http://schemas.openxmlformats.org/officeDocument/2006/relationships" ref="C1922" r:id="rId1918"/>
    <hyperlink xmlns:r="http://schemas.openxmlformats.org/officeDocument/2006/relationships" ref="C1923" r:id="rId1919"/>
    <hyperlink xmlns:r="http://schemas.openxmlformats.org/officeDocument/2006/relationships" ref="C1924" r:id="rId1920"/>
    <hyperlink xmlns:r="http://schemas.openxmlformats.org/officeDocument/2006/relationships" ref="C1925" r:id="rId1921"/>
    <hyperlink xmlns:r="http://schemas.openxmlformats.org/officeDocument/2006/relationships" ref="C1926" r:id="rId1922"/>
    <hyperlink xmlns:r="http://schemas.openxmlformats.org/officeDocument/2006/relationships" ref="C1927" r:id="rId1923"/>
    <hyperlink xmlns:r="http://schemas.openxmlformats.org/officeDocument/2006/relationships" ref="C1928" r:id="rId1924"/>
    <hyperlink xmlns:r="http://schemas.openxmlformats.org/officeDocument/2006/relationships" ref="C1929" r:id="rId1925"/>
    <hyperlink xmlns:r="http://schemas.openxmlformats.org/officeDocument/2006/relationships" ref="C1930" r:id="rId1926"/>
    <hyperlink xmlns:r="http://schemas.openxmlformats.org/officeDocument/2006/relationships" ref="C1931" r:id="rId1927"/>
    <hyperlink xmlns:r="http://schemas.openxmlformats.org/officeDocument/2006/relationships" ref="C1932" r:id="rId1928"/>
    <hyperlink xmlns:r="http://schemas.openxmlformats.org/officeDocument/2006/relationships" ref="C1933" r:id="rId1929"/>
    <hyperlink xmlns:r="http://schemas.openxmlformats.org/officeDocument/2006/relationships" ref="C1934" r:id="rId1930"/>
    <hyperlink xmlns:r="http://schemas.openxmlformats.org/officeDocument/2006/relationships" ref="C1935" r:id="rId1931"/>
    <hyperlink xmlns:r="http://schemas.openxmlformats.org/officeDocument/2006/relationships" ref="C1936" r:id="rId1932"/>
    <hyperlink xmlns:r="http://schemas.openxmlformats.org/officeDocument/2006/relationships" ref="C1937" r:id="rId1933"/>
    <hyperlink xmlns:r="http://schemas.openxmlformats.org/officeDocument/2006/relationships" ref="C1938" r:id="rId1934"/>
    <hyperlink xmlns:r="http://schemas.openxmlformats.org/officeDocument/2006/relationships" ref="C1939" r:id="rId1935"/>
    <hyperlink xmlns:r="http://schemas.openxmlformats.org/officeDocument/2006/relationships" ref="C1940" r:id="rId1936"/>
    <hyperlink xmlns:r="http://schemas.openxmlformats.org/officeDocument/2006/relationships" ref="C1941" r:id="rId1937"/>
    <hyperlink xmlns:r="http://schemas.openxmlformats.org/officeDocument/2006/relationships" ref="C1942" r:id="rId1938"/>
    <hyperlink xmlns:r="http://schemas.openxmlformats.org/officeDocument/2006/relationships" ref="C1943" r:id="rId1939"/>
    <hyperlink xmlns:r="http://schemas.openxmlformats.org/officeDocument/2006/relationships" ref="C1944" r:id="rId1940"/>
    <hyperlink xmlns:r="http://schemas.openxmlformats.org/officeDocument/2006/relationships" ref="C1945" r:id="rId1941"/>
    <hyperlink xmlns:r="http://schemas.openxmlformats.org/officeDocument/2006/relationships" ref="C1946" r:id="rId1942"/>
    <hyperlink xmlns:r="http://schemas.openxmlformats.org/officeDocument/2006/relationships" ref="C1947" r:id="rId1943"/>
    <hyperlink xmlns:r="http://schemas.openxmlformats.org/officeDocument/2006/relationships" ref="C1948" r:id="rId1944"/>
    <hyperlink xmlns:r="http://schemas.openxmlformats.org/officeDocument/2006/relationships" ref="C1949" r:id="rId1945"/>
    <hyperlink xmlns:r="http://schemas.openxmlformats.org/officeDocument/2006/relationships" ref="C1950" r:id="rId1946"/>
    <hyperlink xmlns:r="http://schemas.openxmlformats.org/officeDocument/2006/relationships" ref="C1951" r:id="rId1947"/>
    <hyperlink xmlns:r="http://schemas.openxmlformats.org/officeDocument/2006/relationships" ref="C1952" r:id="rId1948"/>
    <hyperlink xmlns:r="http://schemas.openxmlformats.org/officeDocument/2006/relationships" ref="C1953" r:id="rId1949"/>
    <hyperlink xmlns:r="http://schemas.openxmlformats.org/officeDocument/2006/relationships" ref="C1954" r:id="rId1950"/>
    <hyperlink xmlns:r="http://schemas.openxmlformats.org/officeDocument/2006/relationships" ref="C1955" r:id="rId1951"/>
    <hyperlink xmlns:r="http://schemas.openxmlformats.org/officeDocument/2006/relationships" ref="C1956" r:id="rId1952"/>
    <hyperlink xmlns:r="http://schemas.openxmlformats.org/officeDocument/2006/relationships" ref="C1957" r:id="rId1953"/>
    <hyperlink xmlns:r="http://schemas.openxmlformats.org/officeDocument/2006/relationships" ref="C1958" r:id="rId1954"/>
    <hyperlink xmlns:r="http://schemas.openxmlformats.org/officeDocument/2006/relationships" ref="C1959" r:id="rId1955"/>
    <hyperlink xmlns:r="http://schemas.openxmlformats.org/officeDocument/2006/relationships" ref="C1960" r:id="rId1956"/>
    <hyperlink xmlns:r="http://schemas.openxmlformats.org/officeDocument/2006/relationships" ref="C1961" r:id="rId1957"/>
    <hyperlink xmlns:r="http://schemas.openxmlformats.org/officeDocument/2006/relationships" ref="C1962" r:id="rId1958"/>
    <hyperlink xmlns:r="http://schemas.openxmlformats.org/officeDocument/2006/relationships" ref="C1963" r:id="rId1959"/>
    <hyperlink xmlns:r="http://schemas.openxmlformats.org/officeDocument/2006/relationships" ref="C1964" r:id="rId1960"/>
    <hyperlink xmlns:r="http://schemas.openxmlformats.org/officeDocument/2006/relationships" ref="C1965" r:id="rId1961"/>
    <hyperlink xmlns:r="http://schemas.openxmlformats.org/officeDocument/2006/relationships" ref="C1966" r:id="rId1962"/>
    <hyperlink xmlns:r="http://schemas.openxmlformats.org/officeDocument/2006/relationships" ref="C1967" r:id="rId1963"/>
    <hyperlink xmlns:r="http://schemas.openxmlformats.org/officeDocument/2006/relationships" ref="C1968" r:id="rId1964"/>
    <hyperlink xmlns:r="http://schemas.openxmlformats.org/officeDocument/2006/relationships" ref="C1969" r:id="rId1965"/>
    <hyperlink xmlns:r="http://schemas.openxmlformats.org/officeDocument/2006/relationships" ref="C1970" r:id="rId1966"/>
    <hyperlink xmlns:r="http://schemas.openxmlformats.org/officeDocument/2006/relationships" ref="C1971" r:id="rId1967"/>
    <hyperlink xmlns:r="http://schemas.openxmlformats.org/officeDocument/2006/relationships" ref="C1972" r:id="rId1968"/>
    <hyperlink xmlns:r="http://schemas.openxmlformats.org/officeDocument/2006/relationships" ref="C1973" r:id="rId1969"/>
    <hyperlink xmlns:r="http://schemas.openxmlformats.org/officeDocument/2006/relationships" ref="C1974" r:id="rId1970"/>
    <hyperlink xmlns:r="http://schemas.openxmlformats.org/officeDocument/2006/relationships" ref="C1975" r:id="rId1971"/>
    <hyperlink xmlns:r="http://schemas.openxmlformats.org/officeDocument/2006/relationships" ref="C1976" r:id="rId1972"/>
    <hyperlink xmlns:r="http://schemas.openxmlformats.org/officeDocument/2006/relationships" ref="C1977" r:id="rId1973"/>
    <hyperlink xmlns:r="http://schemas.openxmlformats.org/officeDocument/2006/relationships" ref="C1978" r:id="rId1974"/>
    <hyperlink xmlns:r="http://schemas.openxmlformats.org/officeDocument/2006/relationships" ref="C1979" r:id="rId1975"/>
    <hyperlink xmlns:r="http://schemas.openxmlformats.org/officeDocument/2006/relationships" ref="C1980" r:id="rId1976"/>
    <hyperlink xmlns:r="http://schemas.openxmlformats.org/officeDocument/2006/relationships" ref="C1981" r:id="rId1977"/>
    <hyperlink xmlns:r="http://schemas.openxmlformats.org/officeDocument/2006/relationships" ref="C1982" r:id="rId1978"/>
    <hyperlink xmlns:r="http://schemas.openxmlformats.org/officeDocument/2006/relationships" ref="C1983" r:id="rId1979"/>
    <hyperlink xmlns:r="http://schemas.openxmlformats.org/officeDocument/2006/relationships" ref="C1984" r:id="rId1980"/>
    <hyperlink xmlns:r="http://schemas.openxmlformats.org/officeDocument/2006/relationships" ref="C1985" r:id="rId1981"/>
    <hyperlink xmlns:r="http://schemas.openxmlformats.org/officeDocument/2006/relationships" ref="C1986" r:id="rId1982"/>
    <hyperlink xmlns:r="http://schemas.openxmlformats.org/officeDocument/2006/relationships" ref="C1987" r:id="rId1983"/>
    <hyperlink xmlns:r="http://schemas.openxmlformats.org/officeDocument/2006/relationships" ref="C1988" r:id="rId1984"/>
    <hyperlink xmlns:r="http://schemas.openxmlformats.org/officeDocument/2006/relationships" ref="C1989" r:id="rId1985"/>
    <hyperlink xmlns:r="http://schemas.openxmlformats.org/officeDocument/2006/relationships" ref="C1990" r:id="rId1986"/>
    <hyperlink xmlns:r="http://schemas.openxmlformats.org/officeDocument/2006/relationships" ref="C1991" r:id="rId1987"/>
    <hyperlink xmlns:r="http://schemas.openxmlformats.org/officeDocument/2006/relationships" ref="C1992" r:id="rId1988"/>
    <hyperlink xmlns:r="http://schemas.openxmlformats.org/officeDocument/2006/relationships" ref="C1993" r:id="rId1989"/>
    <hyperlink xmlns:r="http://schemas.openxmlformats.org/officeDocument/2006/relationships" ref="C1994" r:id="rId1990"/>
    <hyperlink xmlns:r="http://schemas.openxmlformats.org/officeDocument/2006/relationships" ref="C1995" r:id="rId1991"/>
    <hyperlink xmlns:r="http://schemas.openxmlformats.org/officeDocument/2006/relationships" ref="C1996" r:id="rId1992"/>
    <hyperlink xmlns:r="http://schemas.openxmlformats.org/officeDocument/2006/relationships" ref="C1997" r:id="rId1993"/>
    <hyperlink xmlns:r="http://schemas.openxmlformats.org/officeDocument/2006/relationships" ref="C1998" r:id="rId1994"/>
    <hyperlink xmlns:r="http://schemas.openxmlformats.org/officeDocument/2006/relationships" ref="C1999" r:id="rId1995"/>
    <hyperlink xmlns:r="http://schemas.openxmlformats.org/officeDocument/2006/relationships" ref="C2000" r:id="rId1996"/>
    <hyperlink xmlns:r="http://schemas.openxmlformats.org/officeDocument/2006/relationships" ref="C2001" r:id="rId1997"/>
    <hyperlink xmlns:r="http://schemas.openxmlformats.org/officeDocument/2006/relationships" ref="C2002" r:id="rId1998"/>
    <hyperlink xmlns:r="http://schemas.openxmlformats.org/officeDocument/2006/relationships" ref="C2003" r:id="rId1999"/>
    <hyperlink xmlns:r="http://schemas.openxmlformats.org/officeDocument/2006/relationships" ref="C2004" r:id="rId2000"/>
    <hyperlink xmlns:r="http://schemas.openxmlformats.org/officeDocument/2006/relationships" ref="C2005" r:id="rId2001"/>
    <hyperlink xmlns:r="http://schemas.openxmlformats.org/officeDocument/2006/relationships" ref="C2006" r:id="rId2002"/>
    <hyperlink xmlns:r="http://schemas.openxmlformats.org/officeDocument/2006/relationships" ref="C2007" r:id="rId2003"/>
    <hyperlink xmlns:r="http://schemas.openxmlformats.org/officeDocument/2006/relationships" ref="C2008" r:id="rId2004"/>
    <hyperlink xmlns:r="http://schemas.openxmlformats.org/officeDocument/2006/relationships" ref="C2009" r:id="rId2005"/>
    <hyperlink xmlns:r="http://schemas.openxmlformats.org/officeDocument/2006/relationships" ref="C2010" r:id="rId2006"/>
    <hyperlink xmlns:r="http://schemas.openxmlformats.org/officeDocument/2006/relationships" ref="C2011" r:id="rId2007"/>
    <hyperlink xmlns:r="http://schemas.openxmlformats.org/officeDocument/2006/relationships" ref="C2012" r:id="rId2008"/>
    <hyperlink xmlns:r="http://schemas.openxmlformats.org/officeDocument/2006/relationships" ref="C2013" r:id="rId2009"/>
    <hyperlink xmlns:r="http://schemas.openxmlformats.org/officeDocument/2006/relationships" ref="C2014" r:id="rId2010"/>
    <hyperlink xmlns:r="http://schemas.openxmlformats.org/officeDocument/2006/relationships" ref="C2015" r:id="rId2011"/>
    <hyperlink xmlns:r="http://schemas.openxmlformats.org/officeDocument/2006/relationships" ref="C2016" r:id="rId2012"/>
    <hyperlink xmlns:r="http://schemas.openxmlformats.org/officeDocument/2006/relationships" ref="C2017" r:id="rId2013"/>
    <hyperlink xmlns:r="http://schemas.openxmlformats.org/officeDocument/2006/relationships" ref="C2018" r:id="rId2014"/>
    <hyperlink xmlns:r="http://schemas.openxmlformats.org/officeDocument/2006/relationships" ref="C2019" r:id="rId2015"/>
    <hyperlink xmlns:r="http://schemas.openxmlformats.org/officeDocument/2006/relationships" ref="C2020" r:id="rId2016"/>
    <hyperlink xmlns:r="http://schemas.openxmlformats.org/officeDocument/2006/relationships" ref="C2021" r:id="rId2017"/>
    <hyperlink xmlns:r="http://schemas.openxmlformats.org/officeDocument/2006/relationships" ref="C2022" r:id="rId2018"/>
    <hyperlink xmlns:r="http://schemas.openxmlformats.org/officeDocument/2006/relationships" ref="C2023" r:id="rId2019"/>
    <hyperlink xmlns:r="http://schemas.openxmlformats.org/officeDocument/2006/relationships" ref="C2024" r:id="rId2020"/>
    <hyperlink xmlns:r="http://schemas.openxmlformats.org/officeDocument/2006/relationships" ref="C2025" r:id="rId2021"/>
    <hyperlink xmlns:r="http://schemas.openxmlformats.org/officeDocument/2006/relationships" ref="C2026" r:id="rId2022"/>
    <hyperlink xmlns:r="http://schemas.openxmlformats.org/officeDocument/2006/relationships" ref="C2027" r:id="rId2023"/>
    <hyperlink xmlns:r="http://schemas.openxmlformats.org/officeDocument/2006/relationships" ref="C2028" r:id="rId2024"/>
    <hyperlink xmlns:r="http://schemas.openxmlformats.org/officeDocument/2006/relationships" ref="C2029" r:id="rId2025"/>
    <hyperlink xmlns:r="http://schemas.openxmlformats.org/officeDocument/2006/relationships" ref="C2030" r:id="rId2026"/>
    <hyperlink xmlns:r="http://schemas.openxmlformats.org/officeDocument/2006/relationships" ref="C2031" r:id="rId2027"/>
    <hyperlink xmlns:r="http://schemas.openxmlformats.org/officeDocument/2006/relationships" ref="C2032" r:id="rId2028"/>
    <hyperlink xmlns:r="http://schemas.openxmlformats.org/officeDocument/2006/relationships" ref="C2033" r:id="rId2029"/>
    <hyperlink xmlns:r="http://schemas.openxmlformats.org/officeDocument/2006/relationships" ref="C2034" r:id="rId2030"/>
    <hyperlink xmlns:r="http://schemas.openxmlformats.org/officeDocument/2006/relationships" ref="C2035" r:id="rId2031"/>
    <hyperlink xmlns:r="http://schemas.openxmlformats.org/officeDocument/2006/relationships" ref="C2036" r:id="rId2032"/>
    <hyperlink xmlns:r="http://schemas.openxmlformats.org/officeDocument/2006/relationships" ref="C2037" r:id="rId2033"/>
    <hyperlink xmlns:r="http://schemas.openxmlformats.org/officeDocument/2006/relationships" ref="C2038" r:id="rId2034"/>
    <hyperlink xmlns:r="http://schemas.openxmlformats.org/officeDocument/2006/relationships" ref="C2039" r:id="rId2035"/>
    <hyperlink xmlns:r="http://schemas.openxmlformats.org/officeDocument/2006/relationships" ref="C2040" r:id="rId2036"/>
    <hyperlink xmlns:r="http://schemas.openxmlformats.org/officeDocument/2006/relationships" ref="C2041" r:id="rId2037"/>
    <hyperlink xmlns:r="http://schemas.openxmlformats.org/officeDocument/2006/relationships" ref="C2042" r:id="rId2038"/>
    <hyperlink xmlns:r="http://schemas.openxmlformats.org/officeDocument/2006/relationships" ref="C2043" r:id="rId2039"/>
    <hyperlink xmlns:r="http://schemas.openxmlformats.org/officeDocument/2006/relationships" ref="C2044" r:id="rId2040"/>
    <hyperlink xmlns:r="http://schemas.openxmlformats.org/officeDocument/2006/relationships" ref="C2045" r:id="rId2041"/>
    <hyperlink xmlns:r="http://schemas.openxmlformats.org/officeDocument/2006/relationships" ref="C2046" r:id="rId2042"/>
    <hyperlink xmlns:r="http://schemas.openxmlformats.org/officeDocument/2006/relationships" ref="C2047" r:id="rId2043"/>
    <hyperlink xmlns:r="http://schemas.openxmlformats.org/officeDocument/2006/relationships" ref="C2048" r:id="rId2044"/>
    <hyperlink xmlns:r="http://schemas.openxmlformats.org/officeDocument/2006/relationships" ref="C2049" r:id="rId2045"/>
    <hyperlink xmlns:r="http://schemas.openxmlformats.org/officeDocument/2006/relationships" ref="C2050" r:id="rId2046"/>
    <hyperlink xmlns:r="http://schemas.openxmlformats.org/officeDocument/2006/relationships" ref="C2051" r:id="rId2047"/>
    <hyperlink xmlns:r="http://schemas.openxmlformats.org/officeDocument/2006/relationships" ref="C2052" r:id="rId2048"/>
    <hyperlink xmlns:r="http://schemas.openxmlformats.org/officeDocument/2006/relationships" ref="C2053" r:id="rId2049"/>
    <hyperlink xmlns:r="http://schemas.openxmlformats.org/officeDocument/2006/relationships" ref="C2054" r:id="rId2050"/>
    <hyperlink xmlns:r="http://schemas.openxmlformats.org/officeDocument/2006/relationships" ref="C2055" r:id="rId2051"/>
    <hyperlink xmlns:r="http://schemas.openxmlformats.org/officeDocument/2006/relationships" ref="C2056" r:id="rId2052"/>
    <hyperlink xmlns:r="http://schemas.openxmlformats.org/officeDocument/2006/relationships" ref="C2057" r:id="rId2053"/>
    <hyperlink xmlns:r="http://schemas.openxmlformats.org/officeDocument/2006/relationships" ref="C2058" r:id="rId2054"/>
    <hyperlink xmlns:r="http://schemas.openxmlformats.org/officeDocument/2006/relationships" ref="C2059" r:id="rId2055"/>
    <hyperlink xmlns:r="http://schemas.openxmlformats.org/officeDocument/2006/relationships" ref="C2060" r:id="rId2056"/>
    <hyperlink xmlns:r="http://schemas.openxmlformats.org/officeDocument/2006/relationships" ref="C2061" r:id="rId2057"/>
    <hyperlink xmlns:r="http://schemas.openxmlformats.org/officeDocument/2006/relationships" ref="C2062" r:id="rId2058"/>
    <hyperlink xmlns:r="http://schemas.openxmlformats.org/officeDocument/2006/relationships" ref="C2063" r:id="rId2059"/>
    <hyperlink xmlns:r="http://schemas.openxmlformats.org/officeDocument/2006/relationships" ref="C2064" r:id="rId2060"/>
    <hyperlink xmlns:r="http://schemas.openxmlformats.org/officeDocument/2006/relationships" ref="C2065" r:id="rId2061"/>
    <hyperlink xmlns:r="http://schemas.openxmlformats.org/officeDocument/2006/relationships" ref="C2066" r:id="rId2062"/>
    <hyperlink xmlns:r="http://schemas.openxmlformats.org/officeDocument/2006/relationships" ref="C2067" r:id="rId2063"/>
    <hyperlink xmlns:r="http://schemas.openxmlformats.org/officeDocument/2006/relationships" ref="C2068" r:id="rId2064"/>
    <hyperlink xmlns:r="http://schemas.openxmlformats.org/officeDocument/2006/relationships" ref="C2069" r:id="rId2065"/>
    <hyperlink xmlns:r="http://schemas.openxmlformats.org/officeDocument/2006/relationships" ref="C2070" r:id="rId2066"/>
    <hyperlink xmlns:r="http://schemas.openxmlformats.org/officeDocument/2006/relationships" ref="C2071" r:id="rId2067"/>
    <hyperlink xmlns:r="http://schemas.openxmlformats.org/officeDocument/2006/relationships" ref="C2072" r:id="rId2068"/>
    <hyperlink xmlns:r="http://schemas.openxmlformats.org/officeDocument/2006/relationships" ref="C2073" r:id="rId2069"/>
    <hyperlink xmlns:r="http://schemas.openxmlformats.org/officeDocument/2006/relationships" ref="C2074" r:id="rId2070"/>
    <hyperlink xmlns:r="http://schemas.openxmlformats.org/officeDocument/2006/relationships" ref="C2075" r:id="rId2071"/>
    <hyperlink xmlns:r="http://schemas.openxmlformats.org/officeDocument/2006/relationships" ref="C2076" r:id="rId2072"/>
    <hyperlink xmlns:r="http://schemas.openxmlformats.org/officeDocument/2006/relationships" ref="C2077" r:id="rId2073"/>
    <hyperlink xmlns:r="http://schemas.openxmlformats.org/officeDocument/2006/relationships" ref="C2078" r:id="rId2074"/>
    <hyperlink xmlns:r="http://schemas.openxmlformats.org/officeDocument/2006/relationships" ref="C2079" r:id="rId2075"/>
    <hyperlink xmlns:r="http://schemas.openxmlformats.org/officeDocument/2006/relationships" ref="C2080" r:id="rId2076"/>
    <hyperlink xmlns:r="http://schemas.openxmlformats.org/officeDocument/2006/relationships" ref="C2081" r:id="rId2077"/>
    <hyperlink xmlns:r="http://schemas.openxmlformats.org/officeDocument/2006/relationships" ref="C2082" r:id="rId2078"/>
    <hyperlink xmlns:r="http://schemas.openxmlformats.org/officeDocument/2006/relationships" ref="C2083" r:id="rId2079"/>
    <hyperlink xmlns:r="http://schemas.openxmlformats.org/officeDocument/2006/relationships" ref="C2084" r:id="rId2080"/>
    <hyperlink xmlns:r="http://schemas.openxmlformats.org/officeDocument/2006/relationships" ref="C2085" r:id="rId2081"/>
    <hyperlink xmlns:r="http://schemas.openxmlformats.org/officeDocument/2006/relationships" ref="C2086" r:id="rId2082"/>
    <hyperlink xmlns:r="http://schemas.openxmlformats.org/officeDocument/2006/relationships" ref="C2087" r:id="rId2083"/>
    <hyperlink xmlns:r="http://schemas.openxmlformats.org/officeDocument/2006/relationships" ref="C2088" r:id="rId2084"/>
    <hyperlink xmlns:r="http://schemas.openxmlformats.org/officeDocument/2006/relationships" ref="C2089" r:id="rId2085"/>
    <hyperlink xmlns:r="http://schemas.openxmlformats.org/officeDocument/2006/relationships" ref="C2090" r:id="rId2086"/>
    <hyperlink xmlns:r="http://schemas.openxmlformats.org/officeDocument/2006/relationships" ref="C2091" r:id="rId2087"/>
    <hyperlink xmlns:r="http://schemas.openxmlformats.org/officeDocument/2006/relationships" ref="C2092" r:id="rId2088"/>
    <hyperlink xmlns:r="http://schemas.openxmlformats.org/officeDocument/2006/relationships" ref="C2093" r:id="rId2089"/>
    <hyperlink xmlns:r="http://schemas.openxmlformats.org/officeDocument/2006/relationships" ref="C2094" r:id="rId2090"/>
    <hyperlink xmlns:r="http://schemas.openxmlformats.org/officeDocument/2006/relationships" ref="C2095" r:id="rId2091"/>
    <hyperlink xmlns:r="http://schemas.openxmlformats.org/officeDocument/2006/relationships" ref="C2096" r:id="rId2092"/>
    <hyperlink xmlns:r="http://schemas.openxmlformats.org/officeDocument/2006/relationships" ref="C2097" r:id="rId2093"/>
    <hyperlink xmlns:r="http://schemas.openxmlformats.org/officeDocument/2006/relationships" ref="C2098" r:id="rId2094"/>
    <hyperlink xmlns:r="http://schemas.openxmlformats.org/officeDocument/2006/relationships" ref="C2099" r:id="rId2095"/>
    <hyperlink xmlns:r="http://schemas.openxmlformats.org/officeDocument/2006/relationships" ref="C2100" r:id="rId2096"/>
    <hyperlink xmlns:r="http://schemas.openxmlformats.org/officeDocument/2006/relationships" ref="C2101" r:id="rId2097"/>
    <hyperlink xmlns:r="http://schemas.openxmlformats.org/officeDocument/2006/relationships" ref="C2102" r:id="rId2098"/>
    <hyperlink xmlns:r="http://schemas.openxmlformats.org/officeDocument/2006/relationships" ref="C2103" r:id="rId2099"/>
    <hyperlink xmlns:r="http://schemas.openxmlformats.org/officeDocument/2006/relationships" ref="C2104" r:id="rId2100"/>
    <hyperlink xmlns:r="http://schemas.openxmlformats.org/officeDocument/2006/relationships" ref="C2105" r:id="rId2101"/>
    <hyperlink xmlns:r="http://schemas.openxmlformats.org/officeDocument/2006/relationships" ref="C2106" r:id="rId2102"/>
    <hyperlink xmlns:r="http://schemas.openxmlformats.org/officeDocument/2006/relationships" ref="C2107" r:id="rId2103"/>
    <hyperlink xmlns:r="http://schemas.openxmlformats.org/officeDocument/2006/relationships" ref="C2108" r:id="rId2104"/>
    <hyperlink xmlns:r="http://schemas.openxmlformats.org/officeDocument/2006/relationships" ref="C2109" r:id="rId2105"/>
    <hyperlink xmlns:r="http://schemas.openxmlformats.org/officeDocument/2006/relationships" ref="C2110" r:id="rId2106"/>
    <hyperlink xmlns:r="http://schemas.openxmlformats.org/officeDocument/2006/relationships" ref="C2111" r:id="rId2107"/>
    <hyperlink xmlns:r="http://schemas.openxmlformats.org/officeDocument/2006/relationships" ref="C2112" r:id="rId2108"/>
    <hyperlink xmlns:r="http://schemas.openxmlformats.org/officeDocument/2006/relationships" ref="C2113" r:id="rId2109"/>
    <hyperlink xmlns:r="http://schemas.openxmlformats.org/officeDocument/2006/relationships" ref="C2114" r:id="rId2110"/>
    <hyperlink xmlns:r="http://schemas.openxmlformats.org/officeDocument/2006/relationships" ref="C2115" r:id="rId2111"/>
    <hyperlink xmlns:r="http://schemas.openxmlformats.org/officeDocument/2006/relationships" ref="C2116" r:id="rId2112"/>
    <hyperlink xmlns:r="http://schemas.openxmlformats.org/officeDocument/2006/relationships" ref="C2117" r:id="rId2113"/>
    <hyperlink xmlns:r="http://schemas.openxmlformats.org/officeDocument/2006/relationships" ref="C2118" r:id="rId2114"/>
    <hyperlink xmlns:r="http://schemas.openxmlformats.org/officeDocument/2006/relationships" ref="C2119" r:id="rId2115"/>
    <hyperlink xmlns:r="http://schemas.openxmlformats.org/officeDocument/2006/relationships" ref="C2120" r:id="rId2116"/>
    <hyperlink xmlns:r="http://schemas.openxmlformats.org/officeDocument/2006/relationships" ref="C2121" r:id="rId2117"/>
    <hyperlink xmlns:r="http://schemas.openxmlformats.org/officeDocument/2006/relationships" ref="C2122" r:id="rId2118"/>
    <hyperlink xmlns:r="http://schemas.openxmlformats.org/officeDocument/2006/relationships" ref="C2123" r:id="rId2119"/>
    <hyperlink xmlns:r="http://schemas.openxmlformats.org/officeDocument/2006/relationships" ref="C2124" r:id="rId2120"/>
    <hyperlink xmlns:r="http://schemas.openxmlformats.org/officeDocument/2006/relationships" ref="C2125" r:id="rId2121"/>
    <hyperlink xmlns:r="http://schemas.openxmlformats.org/officeDocument/2006/relationships" ref="C2126" r:id="rId2122"/>
    <hyperlink xmlns:r="http://schemas.openxmlformats.org/officeDocument/2006/relationships" ref="C2127" r:id="rId2123"/>
    <hyperlink xmlns:r="http://schemas.openxmlformats.org/officeDocument/2006/relationships" ref="C2128" r:id="rId2124"/>
    <hyperlink xmlns:r="http://schemas.openxmlformats.org/officeDocument/2006/relationships" ref="C2129" r:id="rId2125"/>
    <hyperlink xmlns:r="http://schemas.openxmlformats.org/officeDocument/2006/relationships" ref="C2130" r:id="rId2126"/>
    <hyperlink xmlns:r="http://schemas.openxmlformats.org/officeDocument/2006/relationships" ref="C2131" r:id="rId2127"/>
    <hyperlink xmlns:r="http://schemas.openxmlformats.org/officeDocument/2006/relationships" ref="C2132" r:id="rId2128"/>
    <hyperlink xmlns:r="http://schemas.openxmlformats.org/officeDocument/2006/relationships" ref="C2133" r:id="rId2129"/>
    <hyperlink xmlns:r="http://schemas.openxmlformats.org/officeDocument/2006/relationships" ref="C2134" r:id="rId2130"/>
    <hyperlink xmlns:r="http://schemas.openxmlformats.org/officeDocument/2006/relationships" ref="C2135" r:id="rId2131"/>
    <hyperlink xmlns:r="http://schemas.openxmlformats.org/officeDocument/2006/relationships" ref="C2136" r:id="rId2132"/>
    <hyperlink xmlns:r="http://schemas.openxmlformats.org/officeDocument/2006/relationships" ref="C2137" r:id="rId2133"/>
    <hyperlink xmlns:r="http://schemas.openxmlformats.org/officeDocument/2006/relationships" ref="C2138" r:id="rId2134"/>
    <hyperlink xmlns:r="http://schemas.openxmlformats.org/officeDocument/2006/relationships" ref="C2139" r:id="rId2135"/>
    <hyperlink xmlns:r="http://schemas.openxmlformats.org/officeDocument/2006/relationships" ref="C2140" r:id="rId2136"/>
    <hyperlink xmlns:r="http://schemas.openxmlformats.org/officeDocument/2006/relationships" ref="C2141" r:id="rId2137"/>
    <hyperlink xmlns:r="http://schemas.openxmlformats.org/officeDocument/2006/relationships" ref="C2142" r:id="rId2138"/>
    <hyperlink xmlns:r="http://schemas.openxmlformats.org/officeDocument/2006/relationships" ref="C2143" r:id="rId2139"/>
    <hyperlink xmlns:r="http://schemas.openxmlformats.org/officeDocument/2006/relationships" ref="C2144" r:id="rId2140"/>
    <hyperlink xmlns:r="http://schemas.openxmlformats.org/officeDocument/2006/relationships" ref="C2145" r:id="rId2141"/>
    <hyperlink xmlns:r="http://schemas.openxmlformats.org/officeDocument/2006/relationships" ref="C2146" r:id="rId2142"/>
    <hyperlink xmlns:r="http://schemas.openxmlformats.org/officeDocument/2006/relationships" ref="C2147" r:id="rId2143"/>
    <hyperlink xmlns:r="http://schemas.openxmlformats.org/officeDocument/2006/relationships" ref="C2148" r:id="rId2144"/>
    <hyperlink xmlns:r="http://schemas.openxmlformats.org/officeDocument/2006/relationships" ref="C2149" r:id="rId2145"/>
    <hyperlink xmlns:r="http://schemas.openxmlformats.org/officeDocument/2006/relationships" ref="C2150" r:id="rId2146"/>
    <hyperlink xmlns:r="http://schemas.openxmlformats.org/officeDocument/2006/relationships" ref="C2151" r:id="rId2147"/>
    <hyperlink xmlns:r="http://schemas.openxmlformats.org/officeDocument/2006/relationships" ref="C2152" r:id="rId2148"/>
    <hyperlink xmlns:r="http://schemas.openxmlformats.org/officeDocument/2006/relationships" ref="C2153" r:id="rId2149"/>
    <hyperlink xmlns:r="http://schemas.openxmlformats.org/officeDocument/2006/relationships" ref="C2154" r:id="rId2150"/>
    <hyperlink xmlns:r="http://schemas.openxmlformats.org/officeDocument/2006/relationships" ref="C2155" r:id="rId2151"/>
    <hyperlink xmlns:r="http://schemas.openxmlformats.org/officeDocument/2006/relationships" ref="C2156" r:id="rId2152"/>
    <hyperlink xmlns:r="http://schemas.openxmlformats.org/officeDocument/2006/relationships" ref="C2157" r:id="rId2153"/>
    <hyperlink xmlns:r="http://schemas.openxmlformats.org/officeDocument/2006/relationships" ref="C2158" r:id="rId2154"/>
    <hyperlink xmlns:r="http://schemas.openxmlformats.org/officeDocument/2006/relationships" ref="C2159" r:id="rId2155"/>
    <hyperlink xmlns:r="http://schemas.openxmlformats.org/officeDocument/2006/relationships" ref="C2160" r:id="rId2156"/>
    <hyperlink xmlns:r="http://schemas.openxmlformats.org/officeDocument/2006/relationships" ref="C2161" r:id="rId2157"/>
    <hyperlink xmlns:r="http://schemas.openxmlformats.org/officeDocument/2006/relationships" ref="C2162" r:id="rId2158"/>
    <hyperlink xmlns:r="http://schemas.openxmlformats.org/officeDocument/2006/relationships" ref="C2163" r:id="rId2159"/>
    <hyperlink xmlns:r="http://schemas.openxmlformats.org/officeDocument/2006/relationships" ref="C2164" r:id="rId2160"/>
    <hyperlink xmlns:r="http://schemas.openxmlformats.org/officeDocument/2006/relationships" ref="C2165" r:id="rId2161"/>
    <hyperlink xmlns:r="http://schemas.openxmlformats.org/officeDocument/2006/relationships" ref="C2166" r:id="rId2162"/>
    <hyperlink xmlns:r="http://schemas.openxmlformats.org/officeDocument/2006/relationships" ref="C2167" r:id="rId2163"/>
    <hyperlink xmlns:r="http://schemas.openxmlformats.org/officeDocument/2006/relationships" ref="C2168" r:id="rId2164"/>
    <hyperlink xmlns:r="http://schemas.openxmlformats.org/officeDocument/2006/relationships" ref="C2169" r:id="rId2165"/>
    <hyperlink xmlns:r="http://schemas.openxmlformats.org/officeDocument/2006/relationships" ref="C2170" r:id="rId2166"/>
    <hyperlink xmlns:r="http://schemas.openxmlformats.org/officeDocument/2006/relationships" ref="C2171" r:id="rId2167"/>
    <hyperlink xmlns:r="http://schemas.openxmlformats.org/officeDocument/2006/relationships" ref="C2172" r:id="rId2168"/>
    <hyperlink xmlns:r="http://schemas.openxmlformats.org/officeDocument/2006/relationships" ref="C2173" r:id="rId2169"/>
    <hyperlink xmlns:r="http://schemas.openxmlformats.org/officeDocument/2006/relationships" ref="C2174" r:id="rId2170"/>
    <hyperlink xmlns:r="http://schemas.openxmlformats.org/officeDocument/2006/relationships" ref="C2175" r:id="rId2171"/>
    <hyperlink xmlns:r="http://schemas.openxmlformats.org/officeDocument/2006/relationships" ref="C2176" r:id="rId2172"/>
    <hyperlink xmlns:r="http://schemas.openxmlformats.org/officeDocument/2006/relationships" ref="C2177" r:id="rId2173"/>
    <hyperlink xmlns:r="http://schemas.openxmlformats.org/officeDocument/2006/relationships" ref="C2178" r:id="rId2174"/>
    <hyperlink xmlns:r="http://schemas.openxmlformats.org/officeDocument/2006/relationships" ref="C2179" r:id="rId2175"/>
    <hyperlink xmlns:r="http://schemas.openxmlformats.org/officeDocument/2006/relationships" ref="C2180" r:id="rId2176"/>
    <hyperlink xmlns:r="http://schemas.openxmlformats.org/officeDocument/2006/relationships" ref="C2181" r:id="rId2177"/>
    <hyperlink xmlns:r="http://schemas.openxmlformats.org/officeDocument/2006/relationships" ref="C2182" r:id="rId2178"/>
    <hyperlink xmlns:r="http://schemas.openxmlformats.org/officeDocument/2006/relationships" ref="C2183" r:id="rId2179"/>
    <hyperlink xmlns:r="http://schemas.openxmlformats.org/officeDocument/2006/relationships" ref="C2184" r:id="rId2180"/>
    <hyperlink xmlns:r="http://schemas.openxmlformats.org/officeDocument/2006/relationships" ref="C2185" r:id="rId2181"/>
    <hyperlink xmlns:r="http://schemas.openxmlformats.org/officeDocument/2006/relationships" ref="C2186" r:id="rId2182"/>
    <hyperlink xmlns:r="http://schemas.openxmlformats.org/officeDocument/2006/relationships" ref="C2187" r:id="rId2183"/>
    <hyperlink xmlns:r="http://schemas.openxmlformats.org/officeDocument/2006/relationships" ref="C2188" r:id="rId2184"/>
    <hyperlink xmlns:r="http://schemas.openxmlformats.org/officeDocument/2006/relationships" ref="C2189" r:id="rId2185"/>
    <hyperlink xmlns:r="http://schemas.openxmlformats.org/officeDocument/2006/relationships" ref="C2190" r:id="rId2186"/>
    <hyperlink xmlns:r="http://schemas.openxmlformats.org/officeDocument/2006/relationships" ref="C2191" r:id="rId2187"/>
    <hyperlink xmlns:r="http://schemas.openxmlformats.org/officeDocument/2006/relationships" ref="C2192" r:id="rId2188"/>
    <hyperlink xmlns:r="http://schemas.openxmlformats.org/officeDocument/2006/relationships" ref="C2193" r:id="rId2189"/>
    <hyperlink xmlns:r="http://schemas.openxmlformats.org/officeDocument/2006/relationships" ref="C2194" r:id="rId2190"/>
    <hyperlink xmlns:r="http://schemas.openxmlformats.org/officeDocument/2006/relationships" ref="C2195" r:id="rId2191"/>
    <hyperlink xmlns:r="http://schemas.openxmlformats.org/officeDocument/2006/relationships" ref="C2196" r:id="rId2192"/>
    <hyperlink xmlns:r="http://schemas.openxmlformats.org/officeDocument/2006/relationships" ref="C2197" r:id="rId2193"/>
    <hyperlink xmlns:r="http://schemas.openxmlformats.org/officeDocument/2006/relationships" ref="C2198" r:id="rId2194"/>
    <hyperlink xmlns:r="http://schemas.openxmlformats.org/officeDocument/2006/relationships" ref="C2199" r:id="rId2195"/>
    <hyperlink xmlns:r="http://schemas.openxmlformats.org/officeDocument/2006/relationships" ref="C2200" r:id="rId2196"/>
    <hyperlink xmlns:r="http://schemas.openxmlformats.org/officeDocument/2006/relationships" ref="C2201" r:id="rId2197"/>
    <hyperlink xmlns:r="http://schemas.openxmlformats.org/officeDocument/2006/relationships" ref="C2202" r:id="rId2198"/>
    <hyperlink xmlns:r="http://schemas.openxmlformats.org/officeDocument/2006/relationships" ref="C2203" r:id="rId2199"/>
    <hyperlink xmlns:r="http://schemas.openxmlformats.org/officeDocument/2006/relationships" ref="C2204" r:id="rId2200"/>
    <hyperlink xmlns:r="http://schemas.openxmlformats.org/officeDocument/2006/relationships" ref="C2205" r:id="rId2201"/>
    <hyperlink xmlns:r="http://schemas.openxmlformats.org/officeDocument/2006/relationships" ref="C2206" r:id="rId2202"/>
    <hyperlink xmlns:r="http://schemas.openxmlformats.org/officeDocument/2006/relationships" ref="C2207" r:id="rId2203"/>
    <hyperlink xmlns:r="http://schemas.openxmlformats.org/officeDocument/2006/relationships" ref="C2208" r:id="rId2204"/>
    <hyperlink xmlns:r="http://schemas.openxmlformats.org/officeDocument/2006/relationships" ref="C2209" r:id="rId2205"/>
    <hyperlink xmlns:r="http://schemas.openxmlformats.org/officeDocument/2006/relationships" ref="C2210" r:id="rId2206"/>
    <hyperlink xmlns:r="http://schemas.openxmlformats.org/officeDocument/2006/relationships" ref="C2211" r:id="rId2207"/>
    <hyperlink xmlns:r="http://schemas.openxmlformats.org/officeDocument/2006/relationships" ref="C2212" r:id="rId2208"/>
    <hyperlink xmlns:r="http://schemas.openxmlformats.org/officeDocument/2006/relationships" ref="C2213" r:id="rId2209"/>
    <hyperlink xmlns:r="http://schemas.openxmlformats.org/officeDocument/2006/relationships" ref="C2214" r:id="rId2210"/>
    <hyperlink xmlns:r="http://schemas.openxmlformats.org/officeDocument/2006/relationships" ref="C2215" r:id="rId2211"/>
    <hyperlink xmlns:r="http://schemas.openxmlformats.org/officeDocument/2006/relationships" ref="C2216" r:id="rId2212"/>
    <hyperlink xmlns:r="http://schemas.openxmlformats.org/officeDocument/2006/relationships" ref="C2217" r:id="rId2213"/>
    <hyperlink xmlns:r="http://schemas.openxmlformats.org/officeDocument/2006/relationships" ref="C2218" r:id="rId2214"/>
    <hyperlink xmlns:r="http://schemas.openxmlformats.org/officeDocument/2006/relationships" ref="C2219" r:id="rId2215"/>
    <hyperlink xmlns:r="http://schemas.openxmlformats.org/officeDocument/2006/relationships" ref="C2220" r:id="rId2216"/>
    <hyperlink xmlns:r="http://schemas.openxmlformats.org/officeDocument/2006/relationships" ref="C2221" r:id="rId2217"/>
    <hyperlink xmlns:r="http://schemas.openxmlformats.org/officeDocument/2006/relationships" ref="C2222" r:id="rId2218"/>
    <hyperlink xmlns:r="http://schemas.openxmlformats.org/officeDocument/2006/relationships" ref="C2223" r:id="rId2219"/>
    <hyperlink xmlns:r="http://schemas.openxmlformats.org/officeDocument/2006/relationships" ref="C2224" r:id="rId2220"/>
    <hyperlink xmlns:r="http://schemas.openxmlformats.org/officeDocument/2006/relationships" ref="C2225" r:id="rId2221"/>
    <hyperlink xmlns:r="http://schemas.openxmlformats.org/officeDocument/2006/relationships" ref="C2226" r:id="rId2222"/>
    <hyperlink xmlns:r="http://schemas.openxmlformats.org/officeDocument/2006/relationships" ref="C2227" r:id="rId2223"/>
    <hyperlink xmlns:r="http://schemas.openxmlformats.org/officeDocument/2006/relationships" ref="C2228" r:id="rId2224"/>
    <hyperlink xmlns:r="http://schemas.openxmlformats.org/officeDocument/2006/relationships" ref="C2229" r:id="rId2225"/>
    <hyperlink xmlns:r="http://schemas.openxmlformats.org/officeDocument/2006/relationships" ref="C2230" r:id="rId2226"/>
    <hyperlink xmlns:r="http://schemas.openxmlformats.org/officeDocument/2006/relationships" ref="C2231" r:id="rId2227"/>
    <hyperlink xmlns:r="http://schemas.openxmlformats.org/officeDocument/2006/relationships" ref="C2232" r:id="rId2228"/>
    <hyperlink xmlns:r="http://schemas.openxmlformats.org/officeDocument/2006/relationships" ref="C2233" r:id="rId2229"/>
    <hyperlink xmlns:r="http://schemas.openxmlformats.org/officeDocument/2006/relationships" ref="C2234" r:id="rId2230"/>
    <hyperlink xmlns:r="http://schemas.openxmlformats.org/officeDocument/2006/relationships" ref="C2235" r:id="rId2231"/>
    <hyperlink xmlns:r="http://schemas.openxmlformats.org/officeDocument/2006/relationships" ref="C2236" r:id="rId2232"/>
    <hyperlink xmlns:r="http://schemas.openxmlformats.org/officeDocument/2006/relationships" ref="C2237" r:id="rId2233"/>
    <hyperlink xmlns:r="http://schemas.openxmlformats.org/officeDocument/2006/relationships" ref="C2238" r:id="rId2234"/>
    <hyperlink xmlns:r="http://schemas.openxmlformats.org/officeDocument/2006/relationships" ref="C2239" r:id="rId2235"/>
    <hyperlink xmlns:r="http://schemas.openxmlformats.org/officeDocument/2006/relationships" ref="C2240" r:id="rId2236"/>
    <hyperlink xmlns:r="http://schemas.openxmlformats.org/officeDocument/2006/relationships" ref="C2241" r:id="rId2237"/>
    <hyperlink xmlns:r="http://schemas.openxmlformats.org/officeDocument/2006/relationships" ref="C2242" r:id="rId2238"/>
    <hyperlink xmlns:r="http://schemas.openxmlformats.org/officeDocument/2006/relationships" ref="C2243" r:id="rId2239"/>
    <hyperlink xmlns:r="http://schemas.openxmlformats.org/officeDocument/2006/relationships" ref="C2244" r:id="rId2240"/>
    <hyperlink xmlns:r="http://schemas.openxmlformats.org/officeDocument/2006/relationships" ref="C2245" r:id="rId2241"/>
    <hyperlink xmlns:r="http://schemas.openxmlformats.org/officeDocument/2006/relationships" ref="C2246" r:id="rId2242"/>
    <hyperlink xmlns:r="http://schemas.openxmlformats.org/officeDocument/2006/relationships" ref="C2247" r:id="rId2243"/>
    <hyperlink xmlns:r="http://schemas.openxmlformats.org/officeDocument/2006/relationships" ref="C2248" r:id="rId2244"/>
    <hyperlink xmlns:r="http://schemas.openxmlformats.org/officeDocument/2006/relationships" ref="C2249" r:id="rId2245"/>
    <hyperlink xmlns:r="http://schemas.openxmlformats.org/officeDocument/2006/relationships" ref="C2250" r:id="rId2246"/>
    <hyperlink xmlns:r="http://schemas.openxmlformats.org/officeDocument/2006/relationships" ref="C2251" r:id="rId2247"/>
    <hyperlink xmlns:r="http://schemas.openxmlformats.org/officeDocument/2006/relationships" ref="C2252" r:id="rId2248"/>
    <hyperlink xmlns:r="http://schemas.openxmlformats.org/officeDocument/2006/relationships" ref="C2253" r:id="rId2249"/>
    <hyperlink xmlns:r="http://schemas.openxmlformats.org/officeDocument/2006/relationships" ref="C2254" r:id="rId2250"/>
    <hyperlink xmlns:r="http://schemas.openxmlformats.org/officeDocument/2006/relationships" ref="C2255" r:id="rId2251"/>
    <hyperlink xmlns:r="http://schemas.openxmlformats.org/officeDocument/2006/relationships" ref="C2256" r:id="rId2252"/>
    <hyperlink xmlns:r="http://schemas.openxmlformats.org/officeDocument/2006/relationships" ref="C2257" r:id="rId2253"/>
    <hyperlink xmlns:r="http://schemas.openxmlformats.org/officeDocument/2006/relationships" ref="C2258" r:id="rId2254"/>
    <hyperlink xmlns:r="http://schemas.openxmlformats.org/officeDocument/2006/relationships" ref="C2259" r:id="rId2255"/>
    <hyperlink xmlns:r="http://schemas.openxmlformats.org/officeDocument/2006/relationships" ref="C2260" r:id="rId2256"/>
    <hyperlink xmlns:r="http://schemas.openxmlformats.org/officeDocument/2006/relationships" ref="C2261" r:id="rId2257"/>
    <hyperlink xmlns:r="http://schemas.openxmlformats.org/officeDocument/2006/relationships" ref="C2262" r:id="rId2258"/>
    <hyperlink xmlns:r="http://schemas.openxmlformats.org/officeDocument/2006/relationships" ref="C2263" r:id="rId2259"/>
    <hyperlink xmlns:r="http://schemas.openxmlformats.org/officeDocument/2006/relationships" ref="C2264" r:id="rId2260"/>
    <hyperlink xmlns:r="http://schemas.openxmlformats.org/officeDocument/2006/relationships" ref="C2265" r:id="rId2261"/>
    <hyperlink xmlns:r="http://schemas.openxmlformats.org/officeDocument/2006/relationships" ref="C2266" r:id="rId2262"/>
    <hyperlink xmlns:r="http://schemas.openxmlformats.org/officeDocument/2006/relationships" ref="C2267" r:id="rId2263"/>
    <hyperlink xmlns:r="http://schemas.openxmlformats.org/officeDocument/2006/relationships" ref="C2268" r:id="rId2264"/>
    <hyperlink xmlns:r="http://schemas.openxmlformats.org/officeDocument/2006/relationships" ref="C2269" r:id="rId2265"/>
    <hyperlink xmlns:r="http://schemas.openxmlformats.org/officeDocument/2006/relationships" ref="C2270" r:id="rId2266"/>
    <hyperlink xmlns:r="http://schemas.openxmlformats.org/officeDocument/2006/relationships" ref="C2271" r:id="rId2267"/>
    <hyperlink xmlns:r="http://schemas.openxmlformats.org/officeDocument/2006/relationships" ref="C2272" r:id="rId2268"/>
    <hyperlink xmlns:r="http://schemas.openxmlformats.org/officeDocument/2006/relationships" ref="C2273" r:id="rId2269"/>
    <hyperlink xmlns:r="http://schemas.openxmlformats.org/officeDocument/2006/relationships" ref="C2274" r:id="rId2270"/>
    <hyperlink xmlns:r="http://schemas.openxmlformats.org/officeDocument/2006/relationships" ref="C2275" r:id="rId2271"/>
    <hyperlink xmlns:r="http://schemas.openxmlformats.org/officeDocument/2006/relationships" ref="C2276" r:id="rId2272"/>
    <hyperlink xmlns:r="http://schemas.openxmlformats.org/officeDocument/2006/relationships" ref="C2277" r:id="rId2273"/>
    <hyperlink xmlns:r="http://schemas.openxmlformats.org/officeDocument/2006/relationships" ref="C2278" r:id="rId2274"/>
    <hyperlink xmlns:r="http://schemas.openxmlformats.org/officeDocument/2006/relationships" ref="C2279" r:id="rId2275"/>
    <hyperlink xmlns:r="http://schemas.openxmlformats.org/officeDocument/2006/relationships" ref="C2280" r:id="rId2276"/>
    <hyperlink xmlns:r="http://schemas.openxmlformats.org/officeDocument/2006/relationships" ref="C2281" r:id="rId2277"/>
    <hyperlink xmlns:r="http://schemas.openxmlformats.org/officeDocument/2006/relationships" ref="C2282" r:id="rId2278"/>
    <hyperlink xmlns:r="http://schemas.openxmlformats.org/officeDocument/2006/relationships" ref="C2283" r:id="rId2279"/>
    <hyperlink xmlns:r="http://schemas.openxmlformats.org/officeDocument/2006/relationships" ref="C2284" r:id="rId2280"/>
    <hyperlink xmlns:r="http://schemas.openxmlformats.org/officeDocument/2006/relationships" ref="C2285" r:id="rId2281"/>
    <hyperlink xmlns:r="http://schemas.openxmlformats.org/officeDocument/2006/relationships" ref="C2286" r:id="rId2282"/>
    <hyperlink xmlns:r="http://schemas.openxmlformats.org/officeDocument/2006/relationships" ref="C2287" r:id="rId2283"/>
    <hyperlink xmlns:r="http://schemas.openxmlformats.org/officeDocument/2006/relationships" ref="C2288" r:id="rId2284"/>
    <hyperlink xmlns:r="http://schemas.openxmlformats.org/officeDocument/2006/relationships" ref="C2289" r:id="rId2285"/>
    <hyperlink xmlns:r="http://schemas.openxmlformats.org/officeDocument/2006/relationships" ref="C2290" r:id="rId2286"/>
    <hyperlink xmlns:r="http://schemas.openxmlformats.org/officeDocument/2006/relationships" ref="C2291" r:id="rId2287"/>
    <hyperlink xmlns:r="http://schemas.openxmlformats.org/officeDocument/2006/relationships" ref="C2292" r:id="rId2288"/>
    <hyperlink xmlns:r="http://schemas.openxmlformats.org/officeDocument/2006/relationships" ref="C2293" r:id="rId2289"/>
    <hyperlink xmlns:r="http://schemas.openxmlformats.org/officeDocument/2006/relationships" ref="C2294" r:id="rId2290"/>
    <hyperlink xmlns:r="http://schemas.openxmlformats.org/officeDocument/2006/relationships" ref="C2295" r:id="rId2291"/>
    <hyperlink xmlns:r="http://schemas.openxmlformats.org/officeDocument/2006/relationships" ref="C2296" r:id="rId2292"/>
    <hyperlink xmlns:r="http://schemas.openxmlformats.org/officeDocument/2006/relationships" ref="C2297" r:id="rId2293"/>
    <hyperlink xmlns:r="http://schemas.openxmlformats.org/officeDocument/2006/relationships" ref="C2298" r:id="rId2294"/>
    <hyperlink xmlns:r="http://schemas.openxmlformats.org/officeDocument/2006/relationships" ref="C2299" r:id="rId2295"/>
    <hyperlink xmlns:r="http://schemas.openxmlformats.org/officeDocument/2006/relationships" ref="C2300" r:id="rId2296"/>
    <hyperlink xmlns:r="http://schemas.openxmlformats.org/officeDocument/2006/relationships" ref="C2301" r:id="rId2297"/>
    <hyperlink xmlns:r="http://schemas.openxmlformats.org/officeDocument/2006/relationships" ref="C2302" r:id="rId2298"/>
    <hyperlink xmlns:r="http://schemas.openxmlformats.org/officeDocument/2006/relationships" ref="C2303" r:id="rId2299"/>
    <hyperlink xmlns:r="http://schemas.openxmlformats.org/officeDocument/2006/relationships" ref="C2304" r:id="rId2300"/>
    <hyperlink xmlns:r="http://schemas.openxmlformats.org/officeDocument/2006/relationships" ref="C2305" r:id="rId2301"/>
    <hyperlink xmlns:r="http://schemas.openxmlformats.org/officeDocument/2006/relationships" ref="C2306" r:id="rId2302"/>
    <hyperlink xmlns:r="http://schemas.openxmlformats.org/officeDocument/2006/relationships" ref="C2307" r:id="rId2303"/>
    <hyperlink xmlns:r="http://schemas.openxmlformats.org/officeDocument/2006/relationships" ref="C2308" r:id="rId2304"/>
    <hyperlink xmlns:r="http://schemas.openxmlformats.org/officeDocument/2006/relationships" ref="C2309" r:id="rId2305"/>
    <hyperlink xmlns:r="http://schemas.openxmlformats.org/officeDocument/2006/relationships" ref="C2310" r:id="rId2306"/>
    <hyperlink xmlns:r="http://schemas.openxmlformats.org/officeDocument/2006/relationships" ref="C2311" r:id="rId2307"/>
    <hyperlink xmlns:r="http://schemas.openxmlformats.org/officeDocument/2006/relationships" ref="C2312" r:id="rId2308"/>
    <hyperlink xmlns:r="http://schemas.openxmlformats.org/officeDocument/2006/relationships" ref="C2313" r:id="rId2309"/>
    <hyperlink xmlns:r="http://schemas.openxmlformats.org/officeDocument/2006/relationships" ref="C2314" r:id="rId2310"/>
    <hyperlink xmlns:r="http://schemas.openxmlformats.org/officeDocument/2006/relationships" ref="C2315" r:id="rId2311"/>
    <hyperlink xmlns:r="http://schemas.openxmlformats.org/officeDocument/2006/relationships" ref="C2316" r:id="rId2312"/>
    <hyperlink xmlns:r="http://schemas.openxmlformats.org/officeDocument/2006/relationships" ref="C2317" r:id="rId2313"/>
    <hyperlink xmlns:r="http://schemas.openxmlformats.org/officeDocument/2006/relationships" ref="C2318" r:id="rId2314"/>
    <hyperlink xmlns:r="http://schemas.openxmlformats.org/officeDocument/2006/relationships" ref="C2319" r:id="rId2315"/>
    <hyperlink xmlns:r="http://schemas.openxmlformats.org/officeDocument/2006/relationships" ref="C2320" r:id="rId2316"/>
    <hyperlink xmlns:r="http://schemas.openxmlformats.org/officeDocument/2006/relationships" ref="C2321" r:id="rId2317"/>
    <hyperlink xmlns:r="http://schemas.openxmlformats.org/officeDocument/2006/relationships" ref="C2322" r:id="rId2318"/>
    <hyperlink xmlns:r="http://schemas.openxmlformats.org/officeDocument/2006/relationships" ref="C2323" r:id="rId2319"/>
    <hyperlink xmlns:r="http://schemas.openxmlformats.org/officeDocument/2006/relationships" ref="C2324" r:id="rId2320"/>
    <hyperlink xmlns:r="http://schemas.openxmlformats.org/officeDocument/2006/relationships" ref="C2325" r:id="rId2321"/>
    <hyperlink xmlns:r="http://schemas.openxmlformats.org/officeDocument/2006/relationships" ref="C2326" r:id="rId2322"/>
    <hyperlink xmlns:r="http://schemas.openxmlformats.org/officeDocument/2006/relationships" ref="C2327" r:id="rId2323"/>
    <hyperlink xmlns:r="http://schemas.openxmlformats.org/officeDocument/2006/relationships" ref="C2328" r:id="rId2324"/>
    <hyperlink xmlns:r="http://schemas.openxmlformats.org/officeDocument/2006/relationships" ref="C2329" r:id="rId2325"/>
    <hyperlink xmlns:r="http://schemas.openxmlformats.org/officeDocument/2006/relationships" ref="C2330" r:id="rId2326"/>
    <hyperlink xmlns:r="http://schemas.openxmlformats.org/officeDocument/2006/relationships" ref="C2331" r:id="rId2327"/>
    <hyperlink xmlns:r="http://schemas.openxmlformats.org/officeDocument/2006/relationships" ref="C2332" r:id="rId2328"/>
    <hyperlink xmlns:r="http://schemas.openxmlformats.org/officeDocument/2006/relationships" ref="C2333" r:id="rId2329"/>
    <hyperlink xmlns:r="http://schemas.openxmlformats.org/officeDocument/2006/relationships" ref="C2334" r:id="rId2330"/>
    <hyperlink xmlns:r="http://schemas.openxmlformats.org/officeDocument/2006/relationships" ref="C2335" r:id="rId2331"/>
    <hyperlink xmlns:r="http://schemas.openxmlformats.org/officeDocument/2006/relationships" ref="C2336" r:id="rId2332"/>
    <hyperlink xmlns:r="http://schemas.openxmlformats.org/officeDocument/2006/relationships" ref="C2337" r:id="rId2333"/>
    <hyperlink xmlns:r="http://schemas.openxmlformats.org/officeDocument/2006/relationships" ref="C2338" r:id="rId2334"/>
    <hyperlink xmlns:r="http://schemas.openxmlformats.org/officeDocument/2006/relationships" ref="C2339" r:id="rId2335"/>
    <hyperlink xmlns:r="http://schemas.openxmlformats.org/officeDocument/2006/relationships" ref="C2340" r:id="rId2336"/>
    <hyperlink xmlns:r="http://schemas.openxmlformats.org/officeDocument/2006/relationships" ref="C2341" r:id="rId2337"/>
    <hyperlink xmlns:r="http://schemas.openxmlformats.org/officeDocument/2006/relationships" ref="C2342" r:id="rId2338"/>
    <hyperlink xmlns:r="http://schemas.openxmlformats.org/officeDocument/2006/relationships" ref="C2343" r:id="rId2339"/>
    <hyperlink xmlns:r="http://schemas.openxmlformats.org/officeDocument/2006/relationships" ref="C2344" r:id="rId2340"/>
    <hyperlink xmlns:r="http://schemas.openxmlformats.org/officeDocument/2006/relationships" ref="C2345" r:id="rId2341"/>
    <hyperlink xmlns:r="http://schemas.openxmlformats.org/officeDocument/2006/relationships" ref="C2346" r:id="rId2342"/>
    <hyperlink xmlns:r="http://schemas.openxmlformats.org/officeDocument/2006/relationships" ref="C2347" r:id="rId23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6" customWidth="1" min="4" max="4"/>
    <col width="20" customWidth="1" min="5" max="5"/>
    <col width="18" customWidth="1" min="6" max="6"/>
    <col width="14" customWidth="1" min="7" max="7"/>
    <col width="14" customWidth="1" min="8" max="8"/>
    <col width="34" customWidth="1" min="9" max="9"/>
    <col width="13" customWidth="1" min="10" max="10"/>
    <col width="32" customWidth="1" min="11" max="11"/>
    <col width="14" customWidth="1" min="12" max="12"/>
    <col width="14" customWidth="1" min="13" max="13"/>
    <col width="38" customWidth="1" min="14" max="14"/>
    <col width="14" customWidth="1" min="15" max="15"/>
    <col width="15" customWidth="1" min="16" max="16"/>
    <col width="28" customWidth="1" min="17" max="17"/>
    <col width="48" customWidth="1" min="18" max="18"/>
    <col width="52" customWidth="1" min="19" max="19"/>
  </cols>
  <sheetData>
    <row r="1">
      <c r="A1" s="1" t="inlineStr">
        <is>
          <t>NHÓM HỒ SƠ KHỚP TRỰC TIẾP TỪ KHÓA SẢN PHẨM (CỎ NHÂN TẠO / NHÀ VỆ SINH / ĐỒ CHƠI) &amp; ĐỐI THỦ MẪU</t>
        </is>
      </c>
    </row>
    <row r="2">
      <c r="A2" s="2" t="inlineStr">
        <is>
          <t>Tổng cộng: 22 hồ sơ | Dùng để chào sỉ trực diện hoặc quét tệp tương tác bài viết (Viral_Post_Engaged / Custom Audience)</t>
        </is>
      </c>
    </row>
    <row r="4" ht="28" customHeight="1">
      <c r="A4" s="5" t="inlineStr">
        <is>
          <t>STT Gốc</t>
        </is>
      </c>
      <c r="B4" s="5" t="inlineStr">
        <is>
          <t>Tên Profile / Fanpage</t>
        </is>
      </c>
      <c r="C4" s="5" t="inlineStr">
        <is>
          <t>URL Facebook</t>
        </is>
      </c>
      <c r="D4" s="5" t="inlineStr">
        <is>
          <t>Website</t>
        </is>
      </c>
      <c r="E4" s="5" t="inlineStr">
        <is>
          <t>Thời gian Đăng gần nhất</t>
        </is>
      </c>
      <c r="F4" s="5" t="inlineStr">
        <is>
          <t>Thời gian Tương đối</t>
        </is>
      </c>
      <c r="G4" s="5" t="inlineStr">
        <is>
          <t>Số ngày (lastActiveDays)</t>
        </is>
      </c>
      <c r="H4" s="5" t="inlineStr">
        <is>
          <t>Điểm Tương tác (Recency 0-35)</t>
        </is>
      </c>
      <c r="I4" s="5" t="inlineStr">
        <is>
          <t>Phân loại ICP (ICP Segment)</t>
        </is>
      </c>
      <c r="J4" s="5" t="inlineStr">
        <is>
          <t>Điểm ICP (10-30)</t>
        </is>
      </c>
      <c r="K4" s="5" t="inlineStr">
        <is>
          <t>Giống Chó Nhận diện (Breed)</t>
        </is>
      </c>
      <c r="L4" s="5" t="inlineStr">
        <is>
          <t>Điểm Giống (Breed 0-15)</t>
        </is>
      </c>
      <c r="M4" s="5" t="inlineStr">
        <is>
          <t>Điểm Hạ tầng (Infra 0-10)</t>
        </is>
      </c>
      <c r="N4" s="5" t="inlineStr">
        <is>
          <t>Trạng thái Amazon (Amazon Status)</t>
        </is>
      </c>
      <c r="O4" s="5" t="inlineStr">
        <is>
          <t>Điểm Amazon (0-15)</t>
        </is>
      </c>
      <c r="P4" s="5" t="inlineStr">
        <is>
          <t>Tổng Điểm (Lead Score)</t>
        </is>
      </c>
      <c r="Q4" s="5" t="inlineStr">
        <is>
          <t>Phân hạng (Tier)</t>
        </is>
      </c>
      <c r="R4" s="5" t="inlineStr">
        <is>
          <t>Phân loại Nhu cầu Sản phẩm</t>
        </is>
      </c>
      <c r="S4" s="5" t="inlineStr">
        <is>
          <t>Hành động Sales / Kịch bản</t>
        </is>
      </c>
    </row>
    <row r="5">
      <c r="A5" s="53" t="n">
        <v>3914</v>
      </c>
      <c r="B5" s="12" t="inlineStr">
        <is>
          <t>Frenchie Bulldog Pet Supply</t>
        </is>
      </c>
      <c r="C5" s="54" t="inlineStr">
        <is>
          <t>https://www.facebook.com/frenchiepetsupply</t>
        </is>
      </c>
      <c r="D5" s="6" t="inlineStr">
        <is>
          <t>Cần quét Bio Fanpage</t>
        </is>
      </c>
      <c r="E5" s="53" t="inlineStr">
        <is>
          <t>13/10/2026 06:18:32</t>
        </is>
      </c>
      <c r="F5" s="53" t="inlineStr">
        <is>
          <t>1 giờ trước</t>
        </is>
      </c>
      <c r="G5" s="55" t="n">
        <v>0.04</v>
      </c>
      <c r="H5" s="56" t="n">
        <v>35</v>
      </c>
      <c r="I5" s="6" t="inlineStr">
        <is>
          <t>Dog Breeder / Trại nhân giống (28-30đ)</t>
        </is>
      </c>
      <c r="J5" s="56" t="n">
        <v>28</v>
      </c>
      <c r="K5" s="6" t="inlineStr">
        <is>
          <t>French Bulldog</t>
        </is>
      </c>
      <c r="L5" s="56" t="n">
        <v>10</v>
      </c>
      <c r="M5" s="56" t="n">
        <v>5</v>
      </c>
      <c r="N5" s="6" t="inlineStr">
        <is>
          <t>Selling pet toys</t>
        </is>
      </c>
      <c r="O5" s="56">
        <f>IF(N5="Selling pet toys + Artificial grass/Pet toilets (TARGET)",15,IF(N5="Selling artificial grass/pet toilets (TARGET)",10,IF(N5="Selling pet toys",7,IF(N5="There's an Amazon link, but no target sales.",3,0))))</f>
        <v/>
      </c>
      <c r="P5" s="57">
        <f>H5+J5+L5+M5+O5</f>
        <v/>
      </c>
      <c r="Q5" s="58">
        <f>IF(OR(H5=0,P5&lt;30),"Tier D (Đóng băng)",IF(P5&gt;=85,"Tier S (Kim Cương: 85-100đ)",IF(P5&gt;=70,"Tier A (Vàng: 70-84đ)",IF(P5&gt;=61,"Tier B+ / Cấp A (Hot Lead: 61-69đ)",IF(P5&gt;=50,"Tier B (Bạc: 50-60đ)","Tier C (Đồng: 30-49đ)")))))</f>
        <v/>
      </c>
      <c r="R5" s="6" t="inlineStr">
        <is>
          <t>Trọn gói Take-Home Starter Kit V2/V3 (Cỏ nhân tạo + Khay Potty + Đồ chơi cún con)</t>
        </is>
      </c>
      <c r="S5" s="6" t="inlineStr">
        <is>
          <t>ƯU TIÊN SỐ 1: Gọi điện chốt hợp đồng ngay trong ngày + Chào Take-Home Kit V3 in logo độc quyền</t>
        </is>
      </c>
    </row>
    <row r="6">
      <c r="A6" s="59" t="n">
        <v>5610</v>
      </c>
      <c r="B6" s="15" t="inlineStr">
        <is>
          <t>The Lloydminster Pet Pad Inc</t>
        </is>
      </c>
      <c r="C6" s="60" t="inlineStr">
        <is>
          <t>https://www.facebook.com/lloydminsterpetpad</t>
        </is>
      </c>
      <c r="D6" s="9" t="inlineStr">
        <is>
          <t>Cần quét Bio Fanpage</t>
        </is>
      </c>
      <c r="E6" s="59" t="inlineStr">
        <is>
          <t>13/10/2026 09:28:58</t>
        </is>
      </c>
      <c r="F6" s="59" t="inlineStr">
        <is>
          <t>1 giờ trước</t>
        </is>
      </c>
      <c r="G6" s="61" t="n">
        <v>0.04</v>
      </c>
      <c r="H6" s="62" t="n">
        <v>35</v>
      </c>
      <c r="I6" s="9" t="inlineStr">
        <is>
          <t>Dog Breeder / Trại nhân giống (28-30đ)</t>
        </is>
      </c>
      <c r="J6" s="62" t="n">
        <v>28</v>
      </c>
      <c r="K6" s="9" t="inlineStr">
        <is>
          <t>Chưa rõ giống (Cần quét Bio)</t>
        </is>
      </c>
      <c r="L6" s="62" t="n">
        <v>0</v>
      </c>
      <c r="M6" s="62" t="n">
        <v>10</v>
      </c>
      <c r="N6" s="9" t="inlineStr">
        <is>
          <t>Selling artificial grass/pet toilets (TARGET)</t>
        </is>
      </c>
      <c r="O6" s="62">
        <f>IF(N6="Selling pet toys + Artificial grass/Pet toilets (TARGET)",15,IF(N6="Selling artificial grass/pet toilets (TARGET)",10,IF(N6="Selling pet toys",7,IF(N6="There's an Amazon link, but no target sales.",3,0))))</f>
        <v/>
      </c>
      <c r="P6" s="67">
        <f>H6+J6+L6+M6+O6</f>
        <v/>
      </c>
      <c r="Q6" s="70" t="inlineStr">
        <is>
          <t>International / Future Expansion</t>
        </is>
      </c>
      <c r="R6" s="9" t="inlineStr">
        <is>
          <t>Trọn gói Take-Home Starter Kit V2/V3 (Cỏ nhân tạo + Khay Potty + Đồ chơi cún con)</t>
        </is>
      </c>
      <c r="S6" s="9" t="inlineStr">
        <is>
          <t>Gắn cờ International / Future Expansion - Không gọi Telesale giai đoạn 1</t>
        </is>
      </c>
    </row>
    <row r="7">
      <c r="A7" s="53" t="n">
        <v>1645</v>
      </c>
      <c r="B7" s="12" t="inlineStr">
        <is>
          <t>Herbal pet supplies</t>
        </is>
      </c>
      <c r="C7" s="54" t="inlineStr">
        <is>
          <t>https://www.facebook.com/herbalpetsupplies.co.uk</t>
        </is>
      </c>
      <c r="D7" s="6" t="inlineStr">
        <is>
          <t>Cần quét Bio Fanpage</t>
        </is>
      </c>
      <c r="E7" s="53" t="inlineStr">
        <is>
          <t>12/10/2026 22:19:41</t>
        </is>
      </c>
      <c r="F7" s="53" t="inlineStr">
        <is>
          <t>5 giờ trước</t>
        </is>
      </c>
      <c r="G7" s="55" t="n">
        <v>0.21</v>
      </c>
      <c r="H7" s="56" t="n">
        <v>32</v>
      </c>
      <c r="I7" s="6" t="inlineStr">
        <is>
          <t>Dog Breeder / Trại nhân giống (28-30đ)</t>
        </is>
      </c>
      <c r="J7" s="56" t="n">
        <v>28</v>
      </c>
      <c r="K7" s="6" t="inlineStr">
        <is>
          <t>Chưa rõ giống (Cần quét Bio)</t>
        </is>
      </c>
      <c r="L7" s="56" t="n">
        <v>0</v>
      </c>
      <c r="M7" s="56" t="n">
        <v>10</v>
      </c>
      <c r="N7" s="6" t="inlineStr">
        <is>
          <t>Selling pet toys</t>
        </is>
      </c>
      <c r="O7" s="56">
        <f>IF(N7="Selling pet toys + Artificial grass/Pet toilets (TARGET)",15,IF(N7="Selling artificial grass/pet toilets (TARGET)",10,IF(N7="Selling pet toys",7,IF(N7="There's an Amazon link, but no target sales.",3,0))))</f>
        <v/>
      </c>
      <c r="P7" s="65">
        <f>H7+J7+L7+M7+O7</f>
        <v/>
      </c>
      <c r="Q7" s="71" t="inlineStr">
        <is>
          <t>International / Future Expansion</t>
        </is>
      </c>
      <c r="R7" s="6" t="inlineStr">
        <is>
          <t>Trọn gói Take-Home Starter Kit V2/V3 (Cỏ nhân tạo + Khay Potty + Đồ chơi cún con)</t>
        </is>
      </c>
      <c r="S7" s="6" t="inlineStr">
        <is>
          <t>Gắn cờ International / Future Expansion - Không gọi Telesale giai đoạn 1</t>
        </is>
      </c>
    </row>
    <row r="8">
      <c r="A8" s="59" t="n">
        <v>1700</v>
      </c>
      <c r="B8" s="15" t="inlineStr">
        <is>
          <t>Hungry Hounds PET Supplies</t>
        </is>
      </c>
      <c r="C8" s="60" t="inlineStr">
        <is>
          <t>https://www.facebook.com/HungryHoundsPetSupplies</t>
        </is>
      </c>
      <c r="D8" s="9" t="inlineStr">
        <is>
          <t>Cần quét Bio Fanpage</t>
        </is>
      </c>
      <c r="E8" s="59" t="inlineStr">
        <is>
          <t>09/10/2026 21:05:42</t>
        </is>
      </c>
      <c r="F8" s="59" t="inlineStr">
        <is>
          <t>3 ngày trước</t>
        </is>
      </c>
      <c r="G8" s="61" t="n">
        <v>3</v>
      </c>
      <c r="H8" s="62" t="n">
        <v>28</v>
      </c>
      <c r="I8" s="9" t="inlineStr">
        <is>
          <t>Dog Breeder / Trại chó chuyên nghiệp (28-30đ)</t>
        </is>
      </c>
      <c r="J8" s="62" t="n">
        <v>28</v>
      </c>
      <c r="K8" s="9" t="inlineStr">
        <is>
          <t>Hound / Beagle / Basset</t>
        </is>
      </c>
      <c r="L8" s="62" t="n">
        <v>5</v>
      </c>
      <c r="M8" s="62" t="n">
        <v>5</v>
      </c>
      <c r="N8" s="9" t="inlineStr">
        <is>
          <t>Selling pet toys</t>
        </is>
      </c>
      <c r="O8" s="62">
        <f>IF(N8="Selling pet toys + Artificial grass/Pet toilets (TARGET)",15,IF(N8="Selling artificial grass/pet toilets (TARGET)",10,IF(N8="Selling pet toys",7,IF(N8="There's an Amazon link, but no target sales.",3,0))))</f>
        <v/>
      </c>
      <c r="P8" s="63">
        <f>H8+J8+L8+M8+O8</f>
        <v/>
      </c>
      <c r="Q8" s="64">
        <f>IF(OR(H8=0,P8&lt;30),"Tier D (Đóng băng)",IF(P8&gt;=85,"Tier S (Kim Cương: 85-100đ)",IF(P8&gt;=70,"Tier A (Vàng: 70-84đ)",IF(P8&gt;=61,"Tier B+ / Cấp A (Hot Lead: 61-69đ)",IF(P8&gt;=50,"Tier B (Bạc: 50-60đ)","Tier C (Đồng: 30-49đ)")))))</f>
        <v/>
      </c>
      <c r="R8" s="9" t="inlineStr">
        <is>
          <t>Trọn gói Take-Home Starter Kit V2/V3 (Cỏ nhân tạo + Khay Potty + Đồ chơi Teething/Snuggle)</t>
        </is>
      </c>
      <c r="S8" s="9" t="inlineStr">
        <is>
          <t>HOT LEAD CẤP A: Gọi Telesale trực tiếp trong ngày + Email cá nhân hóa chào Puppy Kit V2/V3</t>
        </is>
      </c>
    </row>
    <row r="9">
      <c r="A9" s="53" t="n">
        <v>49</v>
      </c>
      <c r="B9" s="12" t="inlineStr">
        <is>
          <t>Artificial lawn fo pet  (Artificial lawn for pet)</t>
        </is>
      </c>
      <c r="C9" s="54" t="inlineStr">
        <is>
          <t>https://www.facebook.com/profile.php?id=61590146927480</t>
        </is>
      </c>
      <c r="D9" s="6" t="inlineStr">
        <is>
          <t>Cần quét Bio Fanpage</t>
        </is>
      </c>
      <c r="E9" s="53" t="inlineStr">
        <is>
          <t>12/10/2026 21:05:01</t>
        </is>
      </c>
      <c r="F9" s="53" t="inlineStr">
        <is>
          <t>3 giờ trước</t>
        </is>
      </c>
      <c r="G9" s="55" t="n">
        <v>0.12</v>
      </c>
      <c r="H9" s="56" t="n">
        <v>35</v>
      </c>
      <c r="I9" s="6" t="inlineStr">
        <is>
          <t>Pet Boarding / Huấn luyện K9 &amp; Dịch vụ (20-22đ)</t>
        </is>
      </c>
      <c r="J9" s="56" t="n">
        <v>22</v>
      </c>
      <c r="K9" s="6" t="inlineStr">
        <is>
          <t>Chưa rõ giống (Cần quét Bio)</t>
        </is>
      </c>
      <c r="L9" s="56" t="n">
        <v>0</v>
      </c>
      <c r="M9" s="56" t="n">
        <v>5</v>
      </c>
      <c r="N9" s="6" t="inlineStr">
        <is>
          <t>Selling artificial grass/pet toilets (TARGET)</t>
        </is>
      </c>
      <c r="O9" s="56">
        <f>IF(N9="Selling pet toys + Artificial grass/Pet toilets (TARGET)",15,IF(N9="Selling artificial grass/pet toilets (TARGET)",10,IF(N9="Selling pet toys",7,IF(N9="There's an Amazon link, but no target sales.",3,0))))</f>
        <v/>
      </c>
      <c r="P9" s="63">
        <f>H9+J9+L9+M9+O9</f>
        <v/>
      </c>
      <c r="Q9" s="64">
        <f>IF(OR(H9=0,P9&lt;30),"Tier D (Đóng băng)",IF(P9&gt;=85,"Tier S (Kim Cương: 85-100đ)",IF(P9&gt;=70,"Tier A (Vàng: 70-84đ)",IF(P9&gt;=61,"Tier B+ / Cấp A (Hot Lead: 61-69đ)",IF(P9&gt;=50,"Tier B (Bạc: 50-60đ)","Tier C (Đồng: 30-49đ)")))))</f>
        <v/>
      </c>
      <c r="R9" s="6" t="inlineStr">
        <is>
          <t>Cỏ nhân tạo sân chơi/huấn luyện (Dog Turf) + Đồ chơi nhai chịu lực (KONG/Chew Toys)</t>
        </is>
      </c>
      <c r="S9" s="6" t="inlineStr">
        <is>
          <t>HOT LEAD CẤP A: Gọi Telesale trực tiếp trong ngày + Email cá nhân hóa chào Puppy Kit V2/V3</t>
        </is>
      </c>
    </row>
    <row r="10">
      <c r="A10" s="59" t="n">
        <v>706</v>
      </c>
      <c r="B10" s="15" t="inlineStr">
        <is>
          <t>Blue Lake Turf Farm</t>
        </is>
      </c>
      <c r="C10" s="60" t="inlineStr">
        <is>
          <t>https://www.facebook.com/BlueLakeTurfFarm</t>
        </is>
      </c>
      <c r="D10" s="9" t="inlineStr">
        <is>
          <t>Cần quét Bio Fanpage</t>
        </is>
      </c>
      <c r="E10" s="59" t="inlineStr">
        <is>
          <t>11/10/2026 17:13:22</t>
        </is>
      </c>
      <c r="F10" s="59" t="inlineStr">
        <is>
          <t>1 ngày trước</t>
        </is>
      </c>
      <c r="G10" s="61" t="n">
        <v>1</v>
      </c>
      <c r="H10" s="62" t="n">
        <v>28</v>
      </c>
      <c r="I10" s="9" t="inlineStr">
        <is>
          <t>Pet Boarding / Huấn luyện K9 &amp; Dịch vụ (20-22đ)</t>
        </is>
      </c>
      <c r="J10" s="62" t="n">
        <v>22</v>
      </c>
      <c r="K10" s="9" t="inlineStr">
        <is>
          <t>Chưa rõ giống (Cần quét Bio)</t>
        </is>
      </c>
      <c r="L10" s="62" t="n">
        <v>0</v>
      </c>
      <c r="M10" s="62" t="n">
        <v>10</v>
      </c>
      <c r="N10" s="9" t="inlineStr">
        <is>
          <t>Selling artificial grass/pet toilets (TARGET)</t>
        </is>
      </c>
      <c r="O10" s="62">
        <f>IF(N10="Selling pet toys + Artificial grass/Pet toilets (TARGET)",15,IF(N10="Selling artificial grass/pet toilets (TARGET)",10,IF(N10="Selling pet toys",7,IF(N10="There's an Amazon link, but no target sales.",3,0))))</f>
        <v/>
      </c>
      <c r="P10" s="63">
        <f>H10+J10+L10+M10+O10</f>
        <v/>
      </c>
      <c r="Q10" s="64">
        <f>IF(OR(H10=0,P10&lt;30),"Tier D (Đóng băng)",IF(P10&gt;=85,"Tier S (Kim Cương: 85-100đ)",IF(P10&gt;=70,"Tier A (Vàng: 70-84đ)",IF(P10&gt;=61,"Tier B+ / Cấp A (Hot Lead: 61-69đ)",IF(P10&gt;=50,"Tier B (Bạc: 50-60đ)","Tier C (Đồng: 30-49đ)")))))</f>
        <v/>
      </c>
      <c r="R10" s="9" t="inlineStr">
        <is>
          <t>Cỏ nhân tạo sân chơi/huấn luyện (Dog Turf) + Đồ chơi nhai chịu lực (KONG/Chew Toys)</t>
        </is>
      </c>
      <c r="S10" s="9" t="inlineStr">
        <is>
          <t>HOT LEAD CẤP A: Gọi Telesale trực tiếp trong ngày + Email cá nhân hóa chào Puppy Kit V2/V3</t>
        </is>
      </c>
    </row>
    <row r="11">
      <c r="A11" s="53" t="n">
        <v>5</v>
      </c>
      <c r="B11" s="12" t="inlineStr">
        <is>
          <t>Puppy Culture</t>
        </is>
      </c>
      <c r="C11" s="54" t="inlineStr">
        <is>
          <t>https://www.facebook.com/puppyculture</t>
        </is>
      </c>
      <c r="D11" s="6" t="inlineStr">
        <is>
          <t>Cần quét Bio Fanpage</t>
        </is>
      </c>
      <c r="E11" s="53" t="inlineStr">
        <is>
          <t>12/10/2026 23:35:57</t>
        </is>
      </c>
      <c r="F11" s="53" t="inlineStr">
        <is>
          <t>1 giờ trước</t>
        </is>
      </c>
      <c r="G11" s="55" t="n">
        <v>0.04</v>
      </c>
      <c r="H11" s="56" t="n">
        <v>35</v>
      </c>
      <c r="I11" s="6" t="inlineStr">
        <is>
          <t>Dog Breeder / Trại chó chuyên nghiệp (28-30đ)</t>
        </is>
      </c>
      <c r="J11" s="56" t="n">
        <v>28</v>
      </c>
      <c r="K11" s="6" t="inlineStr">
        <is>
          <t>Chưa rõ giống (Cần quét Bio)</t>
        </is>
      </c>
      <c r="L11" s="56" t="n">
        <v>0</v>
      </c>
      <c r="M11" s="56" t="n">
        <v>5</v>
      </c>
      <c r="N11" s="6" t="inlineStr">
        <is>
          <t>Amazon link not found</t>
        </is>
      </c>
      <c r="O11" s="56">
        <f>IF(N11="Selling pet toys + Artificial grass/Pet toilets (TARGET)",15,IF(N11="Selling artificial grass/pet toilets (TARGET)",10,IF(N11="Selling pet toys",7,IF(N11="There's an Amazon link, but no target sales.",3,0))))</f>
        <v/>
      </c>
      <c r="P11" s="63">
        <f>H11+J11+L11+M11+O11</f>
        <v/>
      </c>
      <c r="Q11" s="64">
        <f>IF(OR(H11=0,P11&lt;30),"Tier D (Đóng băng)",IF(P11&gt;=85,"Tier S (Kim Cương: 85-100đ)",IF(P11&gt;=70,"Tier A (Vàng: 70-84đ)",IF(P11&gt;=61,"Tier B+ / Cấp A (Hot Lead: 61-69đ)",IF(P11&gt;=50,"Tier B (Bạc: 50-60đ)","Tier C (Đồng: 30-49đ)")))))</f>
        <v/>
      </c>
      <c r="R11" s="6" t="inlineStr">
        <is>
          <t>Trọn gói Take-Home Starter Kit V2/V3 (Cỏ nhân tạo + Khay Potty + Đồ chơi Teething/Snuggle)</t>
        </is>
      </c>
      <c r="S11" s="6" t="inlineStr">
        <is>
          <t>HOT LEAD (Điểm ≥61): Liên hệ Telesale/Email chào gói Starter Kit &amp; Báo giá sỉ chiết khấu BOM</t>
        </is>
      </c>
    </row>
    <row r="12">
      <c r="A12" s="59" t="n">
        <v>26</v>
      </c>
      <c r="B12" s="15" t="inlineStr">
        <is>
          <t>Original Snuggle Puppy</t>
        </is>
      </c>
      <c r="C12" s="60" t="inlineStr">
        <is>
          <t>https://www.facebook.com/originalsnugglepuppy</t>
        </is>
      </c>
      <c r="D12" s="9" t="inlineStr">
        <is>
          <t>Cần quét Bio Fanpage</t>
        </is>
      </c>
      <c r="E12" s="59" t="inlineStr">
        <is>
          <t>10/10/2026 22:02:02</t>
        </is>
      </c>
      <c r="F12" s="59" t="inlineStr">
        <is>
          <t>2 ngày trước</t>
        </is>
      </c>
      <c r="G12" s="61" t="n">
        <v>2</v>
      </c>
      <c r="H12" s="62" t="n">
        <v>28</v>
      </c>
      <c r="I12" s="9" t="inlineStr">
        <is>
          <t>Dog Breeder / Trại chó chuyên nghiệp (28-30đ)</t>
        </is>
      </c>
      <c r="J12" s="62" t="n">
        <v>28</v>
      </c>
      <c r="K12" s="9" t="inlineStr">
        <is>
          <t>Chưa rõ giống (Cần quét Bio)</t>
        </is>
      </c>
      <c r="L12" s="62" t="n">
        <v>0</v>
      </c>
      <c r="M12" s="62" t="n">
        <v>5</v>
      </c>
      <c r="N12" s="9" t="inlineStr">
        <is>
          <t>Selling pet toys</t>
        </is>
      </c>
      <c r="O12" s="62">
        <f>IF(N12="Selling pet toys + Artificial grass/Pet toilets (TARGET)",15,IF(N12="Selling artificial grass/pet toilets (TARGET)",10,IF(N12="Selling pet toys",7,IF(N12="There's an Amazon link, but no target sales.",3,0))))</f>
        <v/>
      </c>
      <c r="P12" s="63">
        <f>H12+J12+L12+M12+O12</f>
        <v/>
      </c>
      <c r="Q12" s="64">
        <f>IF(OR(H12=0,P12&lt;30),"Tier D (Đóng băng)",IF(P12&gt;=85,"Tier S (Kim Cương: 85-100đ)",IF(P12&gt;=70,"Tier A (Vàng: 70-84đ)",IF(P12&gt;=61,"Tier B+ / Cấp A (Hot Lead: 61-69đ)",IF(P12&gt;=50,"Tier B (Bạc: 50-60đ)","Tier C (Đồng: 30-49đ)")))))</f>
        <v/>
      </c>
      <c r="R12" s="9" t="inlineStr">
        <is>
          <t>Trọn gói Take-Home Starter Kit V2/V3 (Cỏ nhân tạo + Khay Potty + Đồ chơi Teething/Snuggle)</t>
        </is>
      </c>
      <c r="S12" s="9" t="inlineStr">
        <is>
          <t>HOT LEAD (Điểm ≥61): Liên hệ Telesale/Email chào gói Starter Kit &amp; Báo giá sỉ chiết khấu BOM</t>
        </is>
      </c>
    </row>
    <row r="13">
      <c r="A13" s="53" t="n">
        <v>3124</v>
      </c>
      <c r="B13" s="12" t="inlineStr">
        <is>
          <t>The Good Dog Training And Rehabilitation</t>
        </is>
      </c>
      <c r="C13" s="54" t="inlineStr">
        <is>
          <t>https://www.facebook.com/TheGoodDogTraining</t>
        </is>
      </c>
      <c r="D13" s="6" t="inlineStr">
        <is>
          <t>Cần quét Bio Fanpage</t>
        </is>
      </c>
      <c r="E13" s="53" t="inlineStr">
        <is>
          <t>13/10/2026 06:27:54</t>
        </is>
      </c>
      <c r="F13" s="53" t="inlineStr">
        <is>
          <t>4 phút trước</t>
        </is>
      </c>
      <c r="G13" s="55" t="n">
        <v>0</v>
      </c>
      <c r="H13" s="56" t="n">
        <v>35</v>
      </c>
      <c r="I13" s="6" t="inlineStr">
        <is>
          <t>Pet Boarding / Huấn luyện K9 &amp; Dịch vụ (20-22đ)</t>
        </is>
      </c>
      <c r="J13" s="56" t="n">
        <v>22</v>
      </c>
      <c r="K13" s="6" t="inlineStr">
        <is>
          <t>Chưa rõ giống (Cần quét Bio)</t>
        </is>
      </c>
      <c r="L13" s="56" t="n">
        <v>0</v>
      </c>
      <c r="M13" s="56" t="n">
        <v>0</v>
      </c>
      <c r="N13" s="6" t="inlineStr">
        <is>
          <t>Amazon link not found</t>
        </is>
      </c>
      <c r="O13" s="56">
        <f>IF(N13="Selling pet toys + Artificial grass/Pet toilets (TARGET)",15,IF(N13="Selling artificial grass/pet toilets (TARGET)",10,IF(N13="Selling pet toys",7,IF(N13="There's an Amazon link, but no target sales.",3,0))))</f>
        <v/>
      </c>
      <c r="P13" s="65">
        <f>H13+J13+L13+M13+O13</f>
        <v/>
      </c>
      <c r="Q13" s="66">
        <f>IF(OR(H13=0,P13&lt;30),"Tier D (Đóng băng)",IF(P13&gt;=85,"Tier S (Kim Cương: 85-100đ)",IF(P13&gt;=70,"Tier A (Vàng: 70-84đ)",IF(P13&gt;=61,"Tier B+ / Cấp A (Hot Lead: 61-69đ)",IF(P13&gt;=50,"Tier B (Bạc: 50-60đ)","Tier C (Đồng: 30-49đ)")))))</f>
        <v/>
      </c>
      <c r="R13" s="6" t="inlineStr">
        <is>
          <t>Cỏ nhân tạo sân chơi/huấn luyện (Dog Turf) + Đồ chơi nhai chịu lực (KONG/Chew Toys)</t>
        </is>
      </c>
      <c r="S13" s="6" t="inlineStr">
        <is>
          <t>Cấp B Tiềm năng: Tiếp cận tự động qua chuỗi Email Marketing + Chăm sóc bổ sung bằng Telesale</t>
        </is>
      </c>
    </row>
    <row r="14">
      <c r="A14" s="59" t="n">
        <v>3260</v>
      </c>
      <c r="B14" s="15" t="inlineStr">
        <is>
          <t>Two Amigos Pet Supplies Limited</t>
        </is>
      </c>
      <c r="C14" s="60" t="inlineStr">
        <is>
          <t>https://www.facebook.com/twoamigospetsupplieslimited</t>
        </is>
      </c>
      <c r="D14" s="9" t="inlineStr">
        <is>
          <t>Cần quét Bio Fanpage</t>
        </is>
      </c>
      <c r="E14" s="59" t="inlineStr">
        <is>
          <t>12/10/2026 13:01:03</t>
        </is>
      </c>
      <c r="F14" s="59" t="inlineStr">
        <is>
          <t>17 giờ trước</t>
        </is>
      </c>
      <c r="G14" s="61" t="n">
        <v>0.71</v>
      </c>
      <c r="H14" s="62" t="n">
        <v>32</v>
      </c>
      <c r="I14" s="9" t="inlineStr">
        <is>
          <t>Pet Owner / Cộng đồng nuôi cún (10đ)</t>
        </is>
      </c>
      <c r="J14" s="62" t="n">
        <v>10</v>
      </c>
      <c r="K14" s="9" t="inlineStr">
        <is>
          <t>Chưa rõ giống (Cần quét Bio)</t>
        </is>
      </c>
      <c r="L14" s="62" t="n">
        <v>0</v>
      </c>
      <c r="M14" s="62" t="n">
        <v>5</v>
      </c>
      <c r="N14" s="9" t="inlineStr">
        <is>
          <t>Selling pet toys</t>
        </is>
      </c>
      <c r="O14" s="62">
        <f>IF(N14="Selling pet toys + Artificial grass/Pet toilets (TARGET)",15,IF(N14="Selling artificial grass/pet toilets (TARGET)",10,IF(N14="Selling pet toys",7,IF(N14="There's an Amazon link, but no target sales.",3,0))))</f>
        <v/>
      </c>
      <c r="P14" s="67">
        <f>H14+J14+L14+M14+O14</f>
        <v/>
      </c>
      <c r="Q14" s="66">
        <f>IF(OR(H14=0,P14&lt;30),"Tier D (Đóng băng)",IF(P14&gt;=85,"Tier S (Kim Cương: 85-100đ)",IF(P14&gt;=70,"Tier A (Vàng: 70-84đ)",IF(P14&gt;=61,"Tier B+ / Cấp A (Hot Lead: 61-69đ)",IF(P14&gt;=50,"Tier B (Bạc: 50-60đ)","Tier C (Đồng: 30-49đ)")))))</f>
        <v/>
      </c>
      <c r="R14" s="9" t="inlineStr">
        <is>
          <t>Khay vệ sinh chung cư (Indoor Potty) + Thảm cỏ ban công (Grass Patch) + Đồ chơi</t>
        </is>
      </c>
      <c r="S14" s="9" t="inlineStr">
        <is>
          <t>Cấp B Tiềm năng: Tiếp cận tự động qua chuỗi Email Marketing + Chăm sóc bổ sung bằng Telesale</t>
        </is>
      </c>
    </row>
    <row r="15">
      <c r="A15" s="53" t="n">
        <v>2468</v>
      </c>
      <c r="B15" s="12" t="inlineStr">
        <is>
          <t>Pet Supplies Plus</t>
        </is>
      </c>
      <c r="C15" s="54" t="inlineStr">
        <is>
          <t>https://www.facebook.com/petsuppliesplus</t>
        </is>
      </c>
      <c r="D15" s="6" t="inlineStr">
        <is>
          <t>Cần quét Bio Fanpage</t>
        </is>
      </c>
      <c r="E15" s="53" t="inlineStr">
        <is>
          <t>11/10/2026 07:12:44</t>
        </is>
      </c>
      <c r="F15" s="53" t="inlineStr">
        <is>
          <t>1 ngày trước</t>
        </is>
      </c>
      <c r="G15" s="55" t="n">
        <v>1</v>
      </c>
      <c r="H15" s="56" t="n">
        <v>28</v>
      </c>
      <c r="I15" s="6" t="inlineStr">
        <is>
          <t>Pet Owner / Cộng đồng nuôi cún (10đ)</t>
        </is>
      </c>
      <c r="J15" s="56" t="n">
        <v>10</v>
      </c>
      <c r="K15" s="6" t="inlineStr">
        <is>
          <t>Chưa rõ giống (Cần quét Bio)</t>
        </is>
      </c>
      <c r="L15" s="56" t="n">
        <v>0</v>
      </c>
      <c r="M15" s="56" t="n">
        <v>5</v>
      </c>
      <c r="N15" s="6" t="inlineStr">
        <is>
          <t>Selling pet toys</t>
        </is>
      </c>
      <c r="O15" s="56">
        <f>IF(N15="Selling pet toys + Artificial grass/Pet toilets (TARGET)",15,IF(N15="Selling artificial grass/pet toilets (TARGET)",10,IF(N15="Selling pet toys",7,IF(N15="There's an Amazon link, but no target sales.",3,0))))</f>
        <v/>
      </c>
      <c r="P15" s="65">
        <f>H15+J15+L15+M15+O15</f>
        <v/>
      </c>
      <c r="Q15" s="71" t="inlineStr">
        <is>
          <t>Excluded: Chuỗi Siêu thị Bán lẻ Lớn (Mục 5.2)</t>
        </is>
      </c>
      <c r="R15" s="6" t="inlineStr">
        <is>
          <t>Khay vệ sinh chung cư (Indoor Potty) + Thảm cỏ ban công (Grass Patch) + Đồ chơi</t>
        </is>
      </c>
      <c r="S15" s="6" t="inlineStr">
        <is>
          <t>Tuyệt đối không đưa vào CRM (Vi phạm Bộ lọc Âm tính Mục 5)</t>
        </is>
      </c>
    </row>
    <row r="16">
      <c r="A16" s="59" t="n">
        <v>1680</v>
      </c>
      <c r="B16" s="15" t="inlineStr">
        <is>
          <t>Hong Kong Kennel Club</t>
        </is>
      </c>
      <c r="C16" s="60" t="inlineStr">
        <is>
          <t>https://www.facebook.com/hkkennelclub</t>
        </is>
      </c>
      <c r="D16" s="9" t="inlineStr">
        <is>
          <t>Cần quét Bio Fanpage</t>
        </is>
      </c>
      <c r="E16" s="59" t="inlineStr">
        <is>
          <t>14/09/2026 18:25:06</t>
        </is>
      </c>
      <c r="F16" s="59" t="inlineStr">
        <is>
          <t>4 tuần trước</t>
        </is>
      </c>
      <c r="G16" s="61" t="n">
        <v>28</v>
      </c>
      <c r="H16" s="62" t="n">
        <v>8</v>
      </c>
      <c r="I16" s="9" t="inlineStr">
        <is>
          <t>Dog Breeder / Trại chó chuyên nghiệp (28-30đ)</t>
        </is>
      </c>
      <c r="J16" s="62" t="n">
        <v>30</v>
      </c>
      <c r="K16" s="9" t="inlineStr">
        <is>
          <t>Chưa rõ giống (Cần quét Bio)</t>
        </is>
      </c>
      <c r="L16" s="62" t="n">
        <v>0</v>
      </c>
      <c r="M16" s="62" t="n">
        <v>5</v>
      </c>
      <c r="N16" s="9" t="inlineStr">
        <is>
          <t>Selling pet toys</t>
        </is>
      </c>
      <c r="O16" s="62">
        <f>IF(N16="Selling pet toys + Artificial grass/Pet toilets (TARGET)",15,IF(N16="Selling artificial grass/pet toilets (TARGET)",10,IF(N16="Selling pet toys",7,IF(N16="There's an Amazon link, but no target sales.",3,0))))</f>
        <v/>
      </c>
      <c r="P16" s="67">
        <f>H16+J16+L16+M16+O16</f>
        <v/>
      </c>
      <c r="Q16" s="70" t="inlineStr">
        <is>
          <t>Excluded: Hiệp hội &amp; CLB Phả hệ (Mục 5.1)</t>
        </is>
      </c>
      <c r="R16" s="9" t="inlineStr">
        <is>
          <t>Trọn gói Take-Home Starter Kit V2/V3 (Cỏ nhân tạo + Khay Potty + Đồ chơi Teething/Snuggle)</t>
        </is>
      </c>
      <c r="S16" s="9" t="inlineStr">
        <is>
          <t>Tuyệt đối không đưa vào CRM (Vi phạm Bộ lọc Âm tính Mục 5)</t>
        </is>
      </c>
    </row>
    <row r="17">
      <c r="A17" s="53" t="n">
        <v>521</v>
      </c>
      <c r="B17" s="12" t="inlineStr">
        <is>
          <t>Arran Labrador / Bogarie Pet Supplies</t>
        </is>
      </c>
      <c r="C17" s="54" t="inlineStr">
        <is>
          <t>https://www.facebook.com/profile.php?id=100064331906026</t>
        </is>
      </c>
      <c r="D17" s="6" t="inlineStr">
        <is>
          <t>Cần quét Bio Fanpage</t>
        </is>
      </c>
      <c r="E17" s="53" t="inlineStr">
        <is>
          <t>24/08/2023 22:51:18</t>
        </is>
      </c>
      <c r="F17" s="53" t="inlineStr">
        <is>
          <t>3 năm trước</t>
        </is>
      </c>
      <c r="G17" s="55" t="n">
        <v>1095</v>
      </c>
      <c r="H17" s="56" t="n">
        <v>0</v>
      </c>
      <c r="I17" s="6" t="inlineStr">
        <is>
          <t>Dog Breeder / Trại nhân giống (28-30đ)</t>
        </is>
      </c>
      <c r="J17" s="56" t="n">
        <v>28</v>
      </c>
      <c r="K17" s="6" t="inlineStr">
        <is>
          <t>Labrador</t>
        </is>
      </c>
      <c r="L17" s="56" t="n">
        <v>10</v>
      </c>
      <c r="M17" s="56" t="n">
        <v>5</v>
      </c>
      <c r="N17" s="6" t="inlineStr">
        <is>
          <t>Selling pet toys</t>
        </is>
      </c>
      <c r="O17" s="56">
        <f>IF(N17="Selling pet toys + Artificial grass/Pet toilets (TARGET)",15,IF(N17="Selling artificial grass/pet toilets (TARGET)",10,IF(N17="Selling pet toys",7,IF(N17="There's an Amazon link, but no target sales.",3,0))))</f>
        <v/>
      </c>
      <c r="P17" s="65">
        <f>H17+J17+L17+M17+O17</f>
        <v/>
      </c>
      <c r="Q17" s="68">
        <f>IF(OR(H17=0,P17&lt;30),"Tier D (Đóng băng)",IF(P17&gt;=85,"Tier S (Kim Cương: 85-100đ)",IF(P17&gt;=70,"Tier A (Vàng: 70-84đ)",IF(P17&gt;=61,"Tier B+ / Cấp A (Hot Lead: 61-69đ)",IF(P17&gt;=50,"Tier B (Bạc: 50-60đ)","Tier C (Đồng: 30-49đ)")))))</f>
        <v/>
      </c>
      <c r="R17" s="6" t="inlineStr">
        <is>
          <t>Trọn gói Take-Home Starter Kit V2/V3 (Cỏ nhân tạo + Khay Potty + Đồ chơi cún con)</t>
        </is>
      </c>
      <c r="S17" s="6" t="inlineStr">
        <is>
          <t>Đóng băng tương tác (&gt;30 ngày): Lưu trữ chờ kích hoạt lại, không tốn tài nguyên Sales</t>
        </is>
      </c>
    </row>
    <row r="18">
      <c r="A18" s="59" t="n">
        <v>24</v>
      </c>
      <c r="B18" s="15" t="inlineStr">
        <is>
          <t>Impact Dog Crates</t>
        </is>
      </c>
      <c r="C18" s="60" t="inlineStr">
        <is>
          <t>https://www.facebook.com/impactdogcrates</t>
        </is>
      </c>
      <c r="D18" s="9" t="inlineStr">
        <is>
          <t>Cần quét Bio Fanpage</t>
        </is>
      </c>
      <c r="E18" s="59" t="inlineStr">
        <is>
          <t>12/10/2026 23:02:23</t>
        </is>
      </c>
      <c r="F18" s="59" t="inlineStr">
        <is>
          <t>1 giờ trước</t>
        </is>
      </c>
      <c r="G18" s="61" t="n">
        <v>0.04</v>
      </c>
      <c r="H18" s="62" t="n">
        <v>35</v>
      </c>
      <c r="I18" s="9" t="inlineStr">
        <is>
          <t>Pet Owner / Cộng đồng nuôi cún (10đ)</t>
        </is>
      </c>
      <c r="J18" s="62" t="n">
        <v>10</v>
      </c>
      <c r="K18" s="9" t="inlineStr">
        <is>
          <t>Chưa rõ giống (Cần quét Bio)</t>
        </is>
      </c>
      <c r="L18" s="62" t="n">
        <v>0</v>
      </c>
      <c r="M18" s="62" t="n">
        <v>0</v>
      </c>
      <c r="N18" s="9" t="inlineStr">
        <is>
          <t>Amazon link not found</t>
        </is>
      </c>
      <c r="O18" s="62">
        <f>IF(N18="Selling pet toys + Artificial grass/Pet toilets (TARGET)",15,IF(N18="Selling artificial grass/pet toilets (TARGET)",10,IF(N18="Selling pet toys",7,IF(N18="There's an Amazon link, but no target sales.",3,0))))</f>
        <v/>
      </c>
      <c r="P18" s="67">
        <f>H18+J18+L18+M18+O18</f>
        <v/>
      </c>
      <c r="Q18" s="69">
        <f>IF(OR(H18=0,P18&lt;30),"Tier D (Đóng băng)",IF(P18&gt;=85,"Tier S (Kim Cương: 85-100đ)",IF(P18&gt;=70,"Tier A (Vàng: 70-84đ)",IF(P18&gt;=61,"Tier B+ / Cấp A (Hot Lead: 61-69đ)",IF(P18&gt;=50,"Tier B (Bạc: 50-60đ)","Tier C (Đồng: 30-49đ)")))))</f>
        <v/>
      </c>
      <c r="R18" s="9" t="inlineStr">
        <is>
          <t>Khay vệ sinh chung cư (Indoor Potty) + Thảm cỏ ban công (Grass Patch) + Đồ chơi</t>
        </is>
      </c>
      <c r="S18" s="9" t="inlineStr">
        <is>
          <t>Cấp C Chi phí thấp: Nhắn tin trực tiếp qua Fanpage Facebook/Instagram + Nuôi dưỡng nội dung</t>
        </is>
      </c>
    </row>
    <row r="19">
      <c r="A19" s="53" t="n">
        <v>1122</v>
      </c>
      <c r="B19" s="12" t="inlineStr">
        <is>
          <t>DoggieLawn</t>
        </is>
      </c>
      <c r="C19" s="54" t="inlineStr">
        <is>
          <t>https://www.facebook.com/DoggieLawn</t>
        </is>
      </c>
      <c r="D19" s="6" t="inlineStr">
        <is>
          <t>Cần quét Bio Fanpage</t>
        </is>
      </c>
      <c r="E19" s="53" t="inlineStr">
        <is>
          <t>08/10/2026 02:15:53</t>
        </is>
      </c>
      <c r="F19" s="53" t="inlineStr">
        <is>
          <t>5 ngày trước</t>
        </is>
      </c>
      <c r="G19" s="55" t="n">
        <v>5</v>
      </c>
      <c r="H19" s="56" t="n">
        <v>20</v>
      </c>
      <c r="I19" s="6" t="inlineStr">
        <is>
          <t>Pet Owner / Cộng đồng nuôi cún (10đ)</t>
        </is>
      </c>
      <c r="J19" s="56" t="n">
        <v>10</v>
      </c>
      <c r="K19" s="6" t="inlineStr">
        <is>
          <t>Chưa rõ giống (Cần quét Bio)</t>
        </is>
      </c>
      <c r="L19" s="56" t="n">
        <v>0</v>
      </c>
      <c r="M19" s="56" t="n">
        <v>5</v>
      </c>
      <c r="N19" s="6" t="inlineStr">
        <is>
          <t>Selling artificial grass/pet toilets (TARGET)</t>
        </is>
      </c>
      <c r="O19" s="56">
        <f>IF(N19="Selling pet toys + Artificial grass/Pet toilets (TARGET)",15,IF(N19="Selling artificial grass/pet toilets (TARGET)",10,IF(N19="Selling pet toys",7,IF(N19="There's an Amazon link, but no target sales.",3,0))))</f>
        <v/>
      </c>
      <c r="P19" s="65">
        <f>H19+J19+L19+M19+O19</f>
        <v/>
      </c>
      <c r="Q19" s="69">
        <f>IF(OR(H19=0,P19&lt;30),"Tier D (Đóng băng)",IF(P19&gt;=85,"Tier S (Kim Cương: 85-100đ)",IF(P19&gt;=70,"Tier A (Vàng: 70-84đ)",IF(P19&gt;=61,"Tier B+ / Cấp A (Hot Lead: 61-69đ)",IF(P19&gt;=50,"Tier B (Bạc: 50-60đ)","Tier C (Đồng: 30-49đ)")))))</f>
        <v/>
      </c>
      <c r="R19" s="6" t="inlineStr">
        <is>
          <t>Khay vệ sinh chung cư (Indoor Potty) + Thảm cỏ ban công (Grass Patch) + Đồ chơi</t>
        </is>
      </c>
      <c r="S19" s="6" t="inlineStr">
        <is>
          <t>Cấp C Chi phí thấp: Nhắn tin trực tiếp qua Fanpage Facebook/Instagram + Nuôi dưỡng nội dung</t>
        </is>
      </c>
    </row>
    <row r="20">
      <c r="A20" s="59" t="n">
        <v>23</v>
      </c>
      <c r="B20" s="15" t="inlineStr">
        <is>
          <t>Good Dog</t>
        </is>
      </c>
      <c r="C20" s="60" t="inlineStr">
        <is>
          <t>https://www.facebook.com/officialgooddog</t>
        </is>
      </c>
      <c r="D20" s="9" t="inlineStr">
        <is>
          <t>Cần quét Bio Fanpage</t>
        </is>
      </c>
      <c r="E20" s="59" t="inlineStr">
        <is>
          <t>10/10/2026 06:30:04</t>
        </is>
      </c>
      <c r="F20" s="59" t="inlineStr">
        <is>
          <t>2 ngày trước</t>
        </is>
      </c>
      <c r="G20" s="61" t="n">
        <v>2</v>
      </c>
      <c r="H20" s="62" t="n">
        <v>28</v>
      </c>
      <c r="I20" s="9" t="inlineStr">
        <is>
          <t>Pet Owner / Cộng đồng nuôi cún (10đ)</t>
        </is>
      </c>
      <c r="J20" s="62" t="n">
        <v>10</v>
      </c>
      <c r="K20" s="9" t="inlineStr">
        <is>
          <t>Chưa rõ giống (Cần quét Bio)</t>
        </is>
      </c>
      <c r="L20" s="62" t="n">
        <v>0</v>
      </c>
      <c r="M20" s="62" t="n">
        <v>5</v>
      </c>
      <c r="N20" s="9" t="inlineStr">
        <is>
          <t>Amazon link not found</t>
        </is>
      </c>
      <c r="O20" s="62">
        <f>IF(N20="Selling pet toys + Artificial grass/Pet toilets (TARGET)",15,IF(N20="Selling artificial grass/pet toilets (TARGET)",10,IF(N20="Selling pet toys",7,IF(N20="There's an Amazon link, but no target sales.",3,0))))</f>
        <v/>
      </c>
      <c r="P20" s="67">
        <f>H20+J20+L20+M20+O20</f>
        <v/>
      </c>
      <c r="Q20" s="69">
        <f>IF(OR(H20=0,P20&lt;30),"Tier D (Đóng băng)",IF(P20&gt;=85,"Tier S (Kim Cương: 85-100đ)",IF(P20&gt;=70,"Tier A (Vàng: 70-84đ)",IF(P20&gt;=61,"Tier B+ / Cấp A (Hot Lead: 61-69đ)",IF(P20&gt;=50,"Tier B (Bạc: 50-60đ)","Tier C (Đồng: 30-49đ)")))))</f>
        <v/>
      </c>
      <c r="R20" s="9" t="inlineStr">
        <is>
          <t>Khay vệ sinh chung cư (Indoor Potty) + Thảm cỏ ban công (Grass Patch) + Đồ chơi</t>
        </is>
      </c>
      <c r="S20" s="9" t="inlineStr">
        <is>
          <t>Cấp C Chi phí thấp: Nhắn tin trực tiếp qua Fanpage Facebook/Instagram + Nuôi dưỡng nội dung</t>
        </is>
      </c>
    </row>
    <row r="21">
      <c r="A21" s="53" t="n">
        <v>2020</v>
      </c>
      <c r="B21" s="12" t="inlineStr">
        <is>
          <t>Lilcracka Pet Supplies</t>
        </is>
      </c>
      <c r="C21" s="54" t="inlineStr">
        <is>
          <t>https://www.facebook.com/LilcrackaPetSupplies</t>
        </is>
      </c>
      <c r="D21" s="6" t="inlineStr">
        <is>
          <t>Cần quét Bio Fanpage</t>
        </is>
      </c>
      <c r="E21" s="53" t="inlineStr">
        <is>
          <t>01/10/2026 14:55:05</t>
        </is>
      </c>
      <c r="F21" s="53" t="inlineStr">
        <is>
          <t>1 tuần trước</t>
        </is>
      </c>
      <c r="G21" s="55" t="n">
        <v>7</v>
      </c>
      <c r="H21" s="56" t="n">
        <v>20</v>
      </c>
      <c r="I21" s="6" t="inlineStr">
        <is>
          <t>Pet Owner / Cộng đồng nuôi cún (10đ)</t>
        </is>
      </c>
      <c r="J21" s="56" t="n">
        <v>10</v>
      </c>
      <c r="K21" s="6" t="inlineStr">
        <is>
          <t>Chưa rõ giống (Cần quét Bio)</t>
        </is>
      </c>
      <c r="L21" s="56" t="n">
        <v>0</v>
      </c>
      <c r="M21" s="56" t="n">
        <v>5</v>
      </c>
      <c r="N21" s="6" t="inlineStr">
        <is>
          <t>Selling pet toys</t>
        </is>
      </c>
      <c r="O21" s="56">
        <f>IF(N21="Selling pet toys + Artificial grass/Pet toilets (TARGET)",15,IF(N21="Selling artificial grass/pet toilets (TARGET)",10,IF(N21="Selling pet toys",7,IF(N21="There's an Amazon link, but no target sales.",3,0))))</f>
        <v/>
      </c>
      <c r="P21" s="65">
        <f>H21+J21+L21+M21+O21</f>
        <v/>
      </c>
      <c r="Q21" s="69">
        <f>IF(OR(H21=0,P21&lt;30),"Tier D (Đóng băng)",IF(P21&gt;=85,"Tier S (Kim Cương: 85-100đ)",IF(P21&gt;=70,"Tier A (Vàng: 70-84đ)",IF(P21&gt;=61,"Tier B+ / Cấp A (Hot Lead: 61-69đ)",IF(P21&gt;=50,"Tier B (Bạc: 50-60đ)","Tier C (Đồng: 30-49đ)")))))</f>
        <v/>
      </c>
      <c r="R21" s="6" t="inlineStr">
        <is>
          <t>Khay vệ sinh chung cư (Indoor Potty) + Thảm cỏ ban công (Grass Patch) + Đồ chơi</t>
        </is>
      </c>
      <c r="S21" s="6" t="inlineStr">
        <is>
          <t>Cấp C Chi phí thấp: Nhắn tin trực tiếp qua Fanpage Facebook/Instagram + Nuôi dưỡng nội dung</t>
        </is>
      </c>
    </row>
    <row r="22">
      <c r="A22" s="59" t="n">
        <v>1558</v>
      </c>
      <c r="B22" s="15" t="inlineStr">
        <is>
          <t>Green Belt Turf Farm</t>
        </is>
      </c>
      <c r="C22" s="60" t="inlineStr">
        <is>
          <t>https://www.facebook.com/greenbeltturffarm</t>
        </is>
      </c>
      <c r="D22" s="9" t="inlineStr">
        <is>
          <t>Cần quét Bio Fanpage</t>
        </is>
      </c>
      <c r="E22" s="59" t="inlineStr">
        <is>
          <t>14/08/2026 02:29:09</t>
        </is>
      </c>
      <c r="F22" s="59" t="inlineStr">
        <is>
          <t>2 tháng trước</t>
        </is>
      </c>
      <c r="G22" s="61" t="n">
        <v>60</v>
      </c>
      <c r="H22" s="62" t="n">
        <v>0</v>
      </c>
      <c r="I22" s="9" t="inlineStr">
        <is>
          <t>Pet Boarding / Huấn luyện K9 &amp; Dịch vụ (20-22đ)</t>
        </is>
      </c>
      <c r="J22" s="62" t="n">
        <v>22</v>
      </c>
      <c r="K22" s="9" t="inlineStr">
        <is>
          <t>Chưa rõ giống (Cần quét Bio)</t>
        </is>
      </c>
      <c r="L22" s="62" t="n">
        <v>0</v>
      </c>
      <c r="M22" s="62" t="n">
        <v>10</v>
      </c>
      <c r="N22" s="9" t="inlineStr">
        <is>
          <t>Selling artificial grass/pet toilets (TARGET)</t>
        </is>
      </c>
      <c r="O22" s="62">
        <f>IF(N22="Selling pet toys + Artificial grass/Pet toilets (TARGET)",15,IF(N22="Selling artificial grass/pet toilets (TARGET)",10,IF(N22="Selling pet toys",7,IF(N22="There's an Amazon link, but no target sales.",3,0))))</f>
        <v/>
      </c>
      <c r="P22" s="67">
        <f>H22+J22+L22+M22+O22</f>
        <v/>
      </c>
      <c r="Q22" s="68">
        <f>IF(OR(H22=0,P22&lt;30),"Tier D (Đóng băng)",IF(P22&gt;=85,"Tier S (Kim Cương: 85-100đ)",IF(P22&gt;=70,"Tier A (Vàng: 70-84đ)",IF(P22&gt;=61,"Tier B+ / Cấp A (Hot Lead: 61-69đ)",IF(P22&gt;=50,"Tier B (Bạc: 50-60đ)","Tier C (Đồng: 30-49đ)")))))</f>
        <v/>
      </c>
      <c r="R22" s="9" t="inlineStr">
        <is>
          <t>Cỏ nhân tạo sân chơi/huấn luyện (Dog Turf) + Đồ chơi nhai chịu lực (KONG/Chew Toys)</t>
        </is>
      </c>
      <c r="S22" s="9" t="inlineStr">
        <is>
          <t>Đóng băng tương tác (&gt;30 ngày): Lưu trữ chờ kích hoạt lại, không tốn tài nguyên Sales</t>
        </is>
      </c>
    </row>
    <row r="23">
      <c r="A23" s="53" t="n">
        <v>2726</v>
      </c>
      <c r="B23" s="12" t="inlineStr">
        <is>
          <t>Renegade The Good Dog</t>
        </is>
      </c>
      <c r="C23" s="54" t="inlineStr">
        <is>
          <t>https://www.facebook.com/Renthegooddog</t>
        </is>
      </c>
      <c r="D23" s="6" t="inlineStr">
        <is>
          <t>Cần quét Bio Fanpage</t>
        </is>
      </c>
      <c r="E23" s="53" t="inlineStr">
        <is>
          <t>11/10/2026 04:52:06</t>
        </is>
      </c>
      <c r="F23" s="53" t="inlineStr">
        <is>
          <t>2 ngày trước</t>
        </is>
      </c>
      <c r="G23" s="55" t="n">
        <v>2</v>
      </c>
      <c r="H23" s="56" t="n">
        <v>28</v>
      </c>
      <c r="I23" s="6" t="inlineStr">
        <is>
          <t>Pet Owner / Cộng đồng nuôi cún (10đ)</t>
        </is>
      </c>
      <c r="J23" s="56" t="n">
        <v>10</v>
      </c>
      <c r="K23" s="6" t="inlineStr">
        <is>
          <t>Chưa rõ giống (Cần quét Bio)</t>
        </is>
      </c>
      <c r="L23" s="56" t="n">
        <v>0</v>
      </c>
      <c r="M23" s="56" t="n">
        <v>0</v>
      </c>
      <c r="N23" s="6" t="inlineStr">
        <is>
          <t>Amazon link not found</t>
        </is>
      </c>
      <c r="O23" s="56">
        <f>IF(N23="Selling pet toys + Artificial grass/Pet toilets (TARGET)",15,IF(N23="Selling artificial grass/pet toilets (TARGET)",10,IF(N23="Selling pet toys",7,IF(N23="There's an Amazon link, but no target sales.",3,0))))</f>
        <v/>
      </c>
      <c r="P23" s="65">
        <f>H23+J23+L23+M23+O23</f>
        <v/>
      </c>
      <c r="Q23" s="69">
        <f>IF(OR(H23=0,P23&lt;30),"Tier D (Đóng băng)",IF(P23&gt;=85,"Tier S (Kim Cương: 85-100đ)",IF(P23&gt;=70,"Tier A (Vàng: 70-84đ)",IF(P23&gt;=61,"Tier B+ / Cấp A (Hot Lead: 61-69đ)",IF(P23&gt;=50,"Tier B (Bạc: 50-60đ)","Tier C (Đồng: 30-49đ)")))))</f>
        <v/>
      </c>
      <c r="R23" s="6" t="inlineStr">
        <is>
          <t>Khay vệ sinh chung cư (Indoor Potty) + Thảm cỏ ban công (Grass Patch) + Đồ chơi</t>
        </is>
      </c>
      <c r="S23" s="6" t="inlineStr">
        <is>
          <t>Cấp C Chi phí thấp: Nhắn tin trực tiếp qua Fanpage Facebook/Instagram + Nuôi dưỡng nội dung</t>
        </is>
      </c>
    </row>
    <row r="24">
      <c r="A24" s="59" t="n">
        <v>1531</v>
      </c>
      <c r="B24" s="15" t="inlineStr">
        <is>
          <t>Good Boy Pet Supplies</t>
        </is>
      </c>
      <c r="C24" s="60" t="inlineStr">
        <is>
          <t>https://www.facebook.com/goodboypetsupplies</t>
        </is>
      </c>
      <c r="D24" s="9" t="inlineStr">
        <is>
          <t>Cần quét Bio Fanpage</t>
        </is>
      </c>
      <c r="E24" s="59" t="inlineStr">
        <is>
          <t>08/06/2026 07:06:32</t>
        </is>
      </c>
      <c r="F24" s="59" t="inlineStr">
        <is>
          <t>4 tháng trước</t>
        </is>
      </c>
      <c r="G24" s="61" t="n">
        <v>120</v>
      </c>
      <c r="H24" s="62" t="n">
        <v>0</v>
      </c>
      <c r="I24" s="9" t="inlineStr">
        <is>
          <t>Pet Owner / Cộng đồng nuôi cún (10đ)</t>
        </is>
      </c>
      <c r="J24" s="62" t="n">
        <v>10</v>
      </c>
      <c r="K24" s="9" t="inlineStr">
        <is>
          <t>Chưa rõ giống (Cần quét Bio)</t>
        </is>
      </c>
      <c r="L24" s="62" t="n">
        <v>0</v>
      </c>
      <c r="M24" s="62" t="n">
        <v>5</v>
      </c>
      <c r="N24" s="9" t="inlineStr">
        <is>
          <t>Selling pet toys</t>
        </is>
      </c>
      <c r="O24" s="62">
        <f>IF(N24="Selling pet toys + Artificial grass/Pet toilets (TARGET)",15,IF(N24="Selling artificial grass/pet toilets (TARGET)",10,IF(N24="Selling pet toys",7,IF(N24="There's an Amazon link, but no target sales.",3,0))))</f>
        <v/>
      </c>
      <c r="P24" s="67">
        <f>H24+J24+L24+M24+O24</f>
        <v/>
      </c>
      <c r="Q24" s="68">
        <f>IF(OR(H24=0,P24&lt;30),"Tier D (Đóng băng)",IF(P24&gt;=85,"Tier S (Kim Cương: 85-100đ)",IF(P24&gt;=70,"Tier A (Vàng: 70-84đ)",IF(P24&gt;=61,"Tier B+ / Cấp A (Hot Lead: 61-69đ)",IF(P24&gt;=50,"Tier B (Bạc: 50-60đ)","Tier C (Đồng: 30-49đ)")))))</f>
        <v/>
      </c>
      <c r="R24" s="9" t="inlineStr">
        <is>
          <t>Khay vệ sinh chung cư (Indoor Potty) + Thảm cỏ ban công (Grass Patch) + Đồ chơi</t>
        </is>
      </c>
      <c r="S24" s="9" t="inlineStr">
        <is>
          <t>Đóng băng tương tác (&gt;30 ngày): Lưu trữ chờ kích hoạt lại, không tốn tài nguyên Sales</t>
        </is>
      </c>
    </row>
    <row r="25">
      <c r="A25" s="53" t="n">
        <v>2469</v>
      </c>
      <c r="B25" s="12" t="inlineStr">
        <is>
          <t>Pet Supplies Plus coupons</t>
        </is>
      </c>
      <c r="C25" s="54" t="inlineStr">
        <is>
          <t>https://www.facebook.com/PetSuppliesPlusCoupons</t>
        </is>
      </c>
      <c r="D25" s="6" t="inlineStr">
        <is>
          <t>Cần quét Bio Fanpage</t>
        </is>
      </c>
      <c r="E25" s="53" t="inlineStr">
        <is>
          <t>03/07/2021 06:00:59</t>
        </is>
      </c>
      <c r="F25" s="53" t="inlineStr">
        <is>
          <t>5 năm trước</t>
        </is>
      </c>
      <c r="G25" s="55" t="n">
        <v>1825</v>
      </c>
      <c r="H25" s="56" t="n">
        <v>0</v>
      </c>
      <c r="I25" s="6" t="inlineStr">
        <is>
          <t>Pet Owner / Cộng đồng nuôi cún (10đ)</t>
        </is>
      </c>
      <c r="J25" s="56" t="n">
        <v>10</v>
      </c>
      <c r="K25" s="6" t="inlineStr">
        <is>
          <t>Chưa rõ giống (Cần quét Bio)</t>
        </is>
      </c>
      <c r="L25" s="56" t="n">
        <v>0</v>
      </c>
      <c r="M25" s="56" t="n">
        <v>5</v>
      </c>
      <c r="N25" s="6" t="inlineStr">
        <is>
          <t>Selling pet toys</t>
        </is>
      </c>
      <c r="O25" s="56">
        <f>IF(N25="Selling pet toys + Artificial grass/Pet toilets (TARGET)",15,IF(N25="Selling artificial grass/pet toilets (TARGET)",10,IF(N25="Selling pet toys",7,IF(N25="There's an Amazon link, but no target sales.",3,0))))</f>
        <v/>
      </c>
      <c r="P25" s="65">
        <f>H25+J25+L25+M25+O25</f>
        <v/>
      </c>
      <c r="Q25" s="71" t="inlineStr">
        <is>
          <t>Excluded: Chuỗi Siêu thị Bán lẻ Lớn (Mục 5.2)</t>
        </is>
      </c>
      <c r="R25" s="6" t="inlineStr">
        <is>
          <t>Khay vệ sinh chung cư (Indoor Potty) + Thảm cỏ ban công (Grass Patch) + Đồ chơi</t>
        </is>
      </c>
      <c r="S25" s="6" t="inlineStr">
        <is>
          <t>Tuyệt đối không đưa vào CRM (Vi phạm Bộ lọc Âm tính Mục 5)</t>
        </is>
      </c>
    </row>
    <row r="26">
      <c r="A26" s="59" t="n">
        <v>1532</v>
      </c>
      <c r="B26" s="15" t="inlineStr">
        <is>
          <t>Good Dog</t>
        </is>
      </c>
      <c r="C26" s="60" t="inlineStr">
        <is>
          <t>https://www.facebook.com/gooddog2018</t>
        </is>
      </c>
      <c r="D26" s="9" t="inlineStr">
        <is>
          <t>Cần quét Bio Fanpage</t>
        </is>
      </c>
      <c r="E26" s="59" t="inlineStr">
        <is>
          <t>15/11/2021 19:42:18</t>
        </is>
      </c>
      <c r="F26" s="59" t="inlineStr">
        <is>
          <t>4 năm trước</t>
        </is>
      </c>
      <c r="G26" s="61" t="n">
        <v>1460</v>
      </c>
      <c r="H26" s="62" t="n">
        <v>0</v>
      </c>
      <c r="I26" s="9" t="inlineStr">
        <is>
          <t>Pet Owner / Cộng đồng nuôi cún (10đ)</t>
        </is>
      </c>
      <c r="J26" s="62" t="n">
        <v>10</v>
      </c>
      <c r="K26" s="9" t="inlineStr">
        <is>
          <t>Chưa rõ giống (Cần quét Bio)</t>
        </is>
      </c>
      <c r="L26" s="62" t="n">
        <v>0</v>
      </c>
      <c r="M26" s="62" t="n">
        <v>0</v>
      </c>
      <c r="N26" s="9" t="inlineStr">
        <is>
          <t>Amazon link not found</t>
        </is>
      </c>
      <c r="O26" s="62">
        <f>IF(N26="Selling pet toys + Artificial grass/Pet toilets (TARGET)",15,IF(N26="Selling artificial grass/pet toilets (TARGET)",10,IF(N26="Selling pet toys",7,IF(N26="There's an Amazon link, but no target sales.",3,0))))</f>
        <v/>
      </c>
      <c r="P26" s="67">
        <f>H26+J26+L26+M26+O26</f>
        <v/>
      </c>
      <c r="Q26" s="68">
        <f>IF(OR(H26=0,P26&lt;30),"Tier D (Đóng băng)",IF(P26&gt;=85,"Tier S (Kim Cương: 85-100đ)",IF(P26&gt;=70,"Tier A (Vàng: 70-84đ)",IF(P26&gt;=61,"Tier B+ / Cấp A (Hot Lead: 61-69đ)",IF(P26&gt;=50,"Tier B (Bạc: 50-60đ)","Tier C (Đồng: 30-49đ)")))))</f>
        <v/>
      </c>
      <c r="R26" s="9" t="inlineStr">
        <is>
          <t>Khay vệ sinh chung cư (Indoor Potty) + Thảm cỏ ban công (Grass Patch) + Đồ chơi</t>
        </is>
      </c>
      <c r="S26" s="9" t="inlineStr">
        <is>
          <t>Đóng băng tương tác (&gt;30 ngày): Lưu trữ chờ kích hoạt lại, không tốn tài nguyên Sales</t>
        </is>
      </c>
    </row>
  </sheetData>
  <autoFilter ref="A4:S26"/>
  <conditionalFormatting sqref="P5:P26">
    <cfRule type="colorScale" priority="1">
      <colorScale>
        <cfvo type="num" val="30"/>
        <cfvo type="num" val="61"/>
        <cfvo type="num" val="85"/>
        <color rgb="00FEE2E2"/>
        <color rgb="00FEF3C7"/>
        <color rgb="00A7F3D0"/>
      </colorScale>
    </cfRule>
  </conditionalFormatting>
  <dataValidations count="1">
    <dataValidation sqref="N5:N26" showDropDown="0" showInputMessage="0" showErrorMessage="0" allowBlank="1" type="list">
      <formula1>"Selling pet toys + Artificial grass/Pet toilets (TARGET),Selling artificial grass/pet toilets (TARGET),Selling pet toys,There's an Amazon link, but no target sales.,Amazon link not found"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6" customWidth="1" min="4" max="4"/>
    <col width="20" customWidth="1" min="5" max="5"/>
    <col width="18" customWidth="1" min="6" max="6"/>
    <col width="14" customWidth="1" min="7" max="7"/>
    <col width="14" customWidth="1" min="8" max="8"/>
    <col width="34" customWidth="1" min="9" max="9"/>
    <col width="13" customWidth="1" min="10" max="10"/>
    <col width="32" customWidth="1" min="11" max="11"/>
    <col width="14" customWidth="1" min="12" max="12"/>
    <col width="14" customWidth="1" min="13" max="13"/>
    <col width="38" customWidth="1" min="14" max="14"/>
    <col width="14" customWidth="1" min="15" max="15"/>
    <col width="15" customWidth="1" min="16" max="16"/>
    <col width="28" customWidth="1" min="17" max="17"/>
    <col width="48" customWidth="1" min="18" max="18"/>
    <col width="52" customWidth="1" min="19" max="19"/>
  </cols>
  <sheetData>
    <row r="1">
      <c r="A1" s="1" t="inlineStr">
        <is>
          <t>DANH SÁCH ĐỐI TÁC QUỐC TẾ LƯU TRỮ MỞ RỘNG GIAI ĐOẠN 2 (INTERNATIONAL / FUTURE EXPANSION)</t>
        </is>
      </c>
    </row>
    <row r="2">
      <c r="A2" s="2" t="inlineStr">
        <is>
          <t>Tổng cộng: 216 hồ sơ ngoài nước Mỹ (Canada, Úc, UK, Châu Âu, Châu Á...) | Tuyệt đối không chuyển sang đội Sales Telesale Giai đoạn 1</t>
        </is>
      </c>
    </row>
    <row r="4" ht="28" customHeight="1">
      <c r="A4" s="5" t="inlineStr">
        <is>
          <t>STT Gốc</t>
        </is>
      </c>
      <c r="B4" s="5" t="inlineStr">
        <is>
          <t>Tên Profile / Fanpage</t>
        </is>
      </c>
      <c r="C4" s="5" t="inlineStr">
        <is>
          <t>URL Facebook</t>
        </is>
      </c>
      <c r="D4" s="5" t="inlineStr">
        <is>
          <t>Website</t>
        </is>
      </c>
      <c r="E4" s="5" t="inlineStr">
        <is>
          <t>Thời gian Đăng gần nhất</t>
        </is>
      </c>
      <c r="F4" s="5" t="inlineStr">
        <is>
          <t>Thời gian Tương đối</t>
        </is>
      </c>
      <c r="G4" s="5" t="inlineStr">
        <is>
          <t>Số ngày (lastActiveDays)</t>
        </is>
      </c>
      <c r="H4" s="5" t="inlineStr">
        <is>
          <t>Điểm Tương tác (Recency 0-35)</t>
        </is>
      </c>
      <c r="I4" s="5" t="inlineStr">
        <is>
          <t>Phân loại ICP (ICP Segment)</t>
        </is>
      </c>
      <c r="J4" s="5" t="inlineStr">
        <is>
          <t>Điểm ICP (10-30)</t>
        </is>
      </c>
      <c r="K4" s="5" t="inlineStr">
        <is>
          <t>Giống Chó Nhận diện (Breed)</t>
        </is>
      </c>
      <c r="L4" s="5" t="inlineStr">
        <is>
          <t>Điểm Giống (Breed 0-15)</t>
        </is>
      </c>
      <c r="M4" s="5" t="inlineStr">
        <is>
          <t>Điểm Hạ tầng (Infra 0-10)</t>
        </is>
      </c>
      <c r="N4" s="5" t="inlineStr">
        <is>
          <t>Trạng thái Amazon (Amazon Status)</t>
        </is>
      </c>
      <c r="O4" s="5" t="inlineStr">
        <is>
          <t>Điểm Amazon (0-15)</t>
        </is>
      </c>
      <c r="P4" s="5" t="inlineStr">
        <is>
          <t>Tổng Điểm (Lead Score)</t>
        </is>
      </c>
      <c r="Q4" s="5" t="inlineStr">
        <is>
          <t>Phân hạng (Tier)</t>
        </is>
      </c>
      <c r="R4" s="5" t="inlineStr">
        <is>
          <t>Phân loại Nhu cầu Sản phẩm</t>
        </is>
      </c>
      <c r="S4" s="5" t="inlineStr">
        <is>
          <t>Hành động Sales / Kịch bản</t>
        </is>
      </c>
    </row>
    <row r="5">
      <c r="A5" s="53" t="n">
        <v>5610</v>
      </c>
      <c r="B5" s="12" t="inlineStr">
        <is>
          <t>The Lloydminster Pet Pad Inc</t>
        </is>
      </c>
      <c r="C5" s="54" t="inlineStr">
        <is>
          <t>https://www.facebook.com/lloydminsterpetpad</t>
        </is>
      </c>
      <c r="D5" s="6" t="inlineStr">
        <is>
          <t>Cần quét Bio Fanpage</t>
        </is>
      </c>
      <c r="E5" s="53" t="inlineStr">
        <is>
          <t>13/10/2026 09:28:58</t>
        </is>
      </c>
      <c r="F5" s="53" t="inlineStr">
        <is>
          <t>1 giờ trước</t>
        </is>
      </c>
      <c r="G5" s="55" t="n">
        <v>0.04</v>
      </c>
      <c r="H5" s="56" t="n">
        <v>35</v>
      </c>
      <c r="I5" s="6" t="inlineStr">
        <is>
          <t>Dog Breeder / Trại nhân giống (28-30đ)</t>
        </is>
      </c>
      <c r="J5" s="56" t="n">
        <v>28</v>
      </c>
      <c r="K5" s="6" t="inlineStr">
        <is>
          <t>Chưa rõ giống (Cần quét Bio)</t>
        </is>
      </c>
      <c r="L5" s="56" t="n">
        <v>0</v>
      </c>
      <c r="M5" s="56" t="n">
        <v>10</v>
      </c>
      <c r="N5" s="6" t="inlineStr">
        <is>
          <t>Selling artificial grass/pet toilets (TARGET)</t>
        </is>
      </c>
      <c r="O5" s="56">
        <f>IF(N5="Selling pet toys + Artificial grass/Pet toilets (TARGET)",15,IF(N5="Selling artificial grass/pet toilets (TARGET)",10,IF(N5="Selling pet toys",7,IF(N5="There's an Amazon link, but no target sales.",3,0))))</f>
        <v/>
      </c>
      <c r="P5" s="65">
        <f>H5+J5+L5+M5+O5</f>
        <v/>
      </c>
      <c r="Q5" s="71" t="inlineStr">
        <is>
          <t>International / Future Expansion</t>
        </is>
      </c>
      <c r="R5" s="6" t="inlineStr">
        <is>
          <t>Trọn gói Take-Home Starter Kit V2/V3 (Cỏ nhân tạo + Khay Potty + Đồ chơi cún con)</t>
        </is>
      </c>
      <c r="S5" s="6" t="inlineStr">
        <is>
          <t>Gắn cờ International / Future Expansion - Không gọi Telesale giai đoạn 1</t>
        </is>
      </c>
    </row>
    <row r="6">
      <c r="A6" s="59" t="n">
        <v>834</v>
      </c>
      <c r="B6" s="15" t="inlineStr">
        <is>
          <t>Capo D'Italia team Rottweiler Kennel</t>
        </is>
      </c>
      <c r="C6" s="60" t="inlineStr">
        <is>
          <t>https://www.facebook.com/profile.php?id=61594713178854</t>
        </is>
      </c>
      <c r="D6" s="9" t="inlineStr">
        <is>
          <t>Cần quét Bio Fanpage</t>
        </is>
      </c>
      <c r="E6" s="59" t="inlineStr">
        <is>
          <t>13/10/2026 01:18:34</t>
        </is>
      </c>
      <c r="F6" s="59" t="inlineStr">
        <is>
          <t>1 giờ trước</t>
        </is>
      </c>
      <c r="G6" s="61" t="n">
        <v>0.04</v>
      </c>
      <c r="H6" s="62" t="n">
        <v>35</v>
      </c>
      <c r="I6" s="9" t="inlineStr">
        <is>
          <t>Dog Breeder / Trại chó chuyên nghiệp (28-30đ)</t>
        </is>
      </c>
      <c r="J6" s="62" t="n">
        <v>30</v>
      </c>
      <c r="K6" s="9" t="inlineStr">
        <is>
          <t>Rottweiler</t>
        </is>
      </c>
      <c r="L6" s="62" t="n">
        <v>10</v>
      </c>
      <c r="M6" s="62" t="n">
        <v>5</v>
      </c>
      <c r="N6" s="9" t="inlineStr">
        <is>
          <t>Amazon link not found</t>
        </is>
      </c>
      <c r="O6" s="62">
        <f>IF(N6="Selling pet toys + Artificial grass/Pet toilets (TARGET)",15,IF(N6="Selling artificial grass/pet toilets (TARGET)",10,IF(N6="Selling pet toys",7,IF(N6="There's an Amazon link, but no target sales.",3,0))))</f>
        <v/>
      </c>
      <c r="P6" s="67">
        <f>H6+J6+L6+M6+O6</f>
        <v/>
      </c>
      <c r="Q6" s="70" t="inlineStr">
        <is>
          <t>International / Future Expansion</t>
        </is>
      </c>
      <c r="R6" s="9" t="inlineStr">
        <is>
          <t>Trọn gói Take-Home Starter Kit V2/V3 (Cỏ nhân tạo + Khay Potty + Đồ chơi Teething/Snuggle)</t>
        </is>
      </c>
      <c r="S6" s="9" t="inlineStr">
        <is>
          <t>Gắn cờ International / Future Expansion - Không gọi Telesale giai đoạn 1</t>
        </is>
      </c>
    </row>
    <row r="7">
      <c r="A7" s="53" t="n">
        <v>84</v>
      </c>
      <c r="B7" s="12" t="inlineStr">
        <is>
          <t>TRK - Tirmizi Rottweiler Kennel</t>
        </is>
      </c>
      <c r="C7" s="54" t="inlineStr">
        <is>
          <t>https://www.facebook.com/tirmizi.kennel</t>
        </is>
      </c>
      <c r="D7" s="6" t="inlineStr">
        <is>
          <t>Cần quét Bio Fanpage</t>
        </is>
      </c>
      <c r="E7" s="53" t="inlineStr">
        <is>
          <t>13/10/2026 00:41:40</t>
        </is>
      </c>
      <c r="F7" s="53" t="inlineStr">
        <is>
          <t>22 phút trước</t>
        </is>
      </c>
      <c r="G7" s="55" t="n">
        <v>0.02</v>
      </c>
      <c r="H7" s="56" t="n">
        <v>35</v>
      </c>
      <c r="I7" s="6" t="inlineStr">
        <is>
          <t>Dog Breeder / Trại chó chuyên nghiệp (28-30đ)</t>
        </is>
      </c>
      <c r="J7" s="56" t="n">
        <v>30</v>
      </c>
      <c r="K7" s="6" t="inlineStr">
        <is>
          <t>Rottweiler</t>
        </is>
      </c>
      <c r="L7" s="56" t="n">
        <v>10</v>
      </c>
      <c r="M7" s="56" t="n">
        <v>5</v>
      </c>
      <c r="N7" s="6" t="inlineStr">
        <is>
          <t>Amazon link not found</t>
        </is>
      </c>
      <c r="O7" s="56">
        <f>IF(N7="Selling pet toys + Artificial grass/Pet toilets (TARGET)",15,IF(N7="Selling artificial grass/pet toilets (TARGET)",10,IF(N7="Selling pet toys",7,IF(N7="There's an Amazon link, but no target sales.",3,0))))</f>
        <v/>
      </c>
      <c r="P7" s="65">
        <f>H7+J7+L7+M7+O7</f>
        <v/>
      </c>
      <c r="Q7" s="71" t="inlineStr">
        <is>
          <t>International / Future Expansion</t>
        </is>
      </c>
      <c r="R7" s="6" t="inlineStr">
        <is>
          <t>Trọn gói Take-Home Starter Kit V2/V3 (Cỏ nhân tạo + Khay Potty + Đồ chơi Teething/Snuggle)</t>
        </is>
      </c>
      <c r="S7" s="6" t="inlineStr">
        <is>
          <t>Gắn cờ International / Future Expansion - Không gọi Telesale giai đoạn 1</t>
        </is>
      </c>
    </row>
    <row r="8">
      <c r="A8" s="59" t="n">
        <v>1645</v>
      </c>
      <c r="B8" s="15" t="inlineStr">
        <is>
          <t>Herbal pet supplies</t>
        </is>
      </c>
      <c r="C8" s="60" t="inlineStr">
        <is>
          <t>https://www.facebook.com/herbalpetsupplies.co.uk</t>
        </is>
      </c>
      <c r="D8" s="9" t="inlineStr">
        <is>
          <t>Cần quét Bio Fanpage</t>
        </is>
      </c>
      <c r="E8" s="59" t="inlineStr">
        <is>
          <t>12/10/2026 22:19:41</t>
        </is>
      </c>
      <c r="F8" s="59" t="inlineStr">
        <is>
          <t>5 giờ trước</t>
        </is>
      </c>
      <c r="G8" s="61" t="n">
        <v>0.21</v>
      </c>
      <c r="H8" s="62" t="n">
        <v>32</v>
      </c>
      <c r="I8" s="9" t="inlineStr">
        <is>
          <t>Dog Breeder / Trại nhân giống (28-30đ)</t>
        </is>
      </c>
      <c r="J8" s="62" t="n">
        <v>28</v>
      </c>
      <c r="K8" s="9" t="inlineStr">
        <is>
          <t>Chưa rõ giống (Cần quét Bio)</t>
        </is>
      </c>
      <c r="L8" s="62" t="n">
        <v>0</v>
      </c>
      <c r="M8" s="62" t="n">
        <v>10</v>
      </c>
      <c r="N8" s="9" t="inlineStr">
        <is>
          <t>Selling pet toys</t>
        </is>
      </c>
      <c r="O8" s="62">
        <f>IF(N8="Selling pet toys + Artificial grass/Pet toilets (TARGET)",15,IF(N8="Selling artificial grass/pet toilets (TARGET)",10,IF(N8="Selling pet toys",7,IF(N8="There's an Amazon link, but no target sales.",3,0))))</f>
        <v/>
      </c>
      <c r="P8" s="67">
        <f>H8+J8+L8+M8+O8</f>
        <v/>
      </c>
      <c r="Q8" s="70" t="inlineStr">
        <is>
          <t>International / Future Expansion</t>
        </is>
      </c>
      <c r="R8" s="9" t="inlineStr">
        <is>
          <t>Trọn gói Take-Home Starter Kit V2/V3 (Cỏ nhân tạo + Khay Potty + Đồ chơi cún con)</t>
        </is>
      </c>
      <c r="S8" s="9" t="inlineStr">
        <is>
          <t>Gắn cờ International / Future Expansion - Không gọi Telesale giai đoạn 1</t>
        </is>
      </c>
    </row>
    <row r="9">
      <c r="A9" s="53" t="n">
        <v>3348</v>
      </c>
      <c r="B9" s="12" t="inlineStr">
        <is>
          <t>Von Haus Moon Rottweiler Kennel</t>
        </is>
      </c>
      <c r="C9" s="54" t="inlineStr">
        <is>
          <t>https://www.facebook.com/von.haus.moon</t>
        </is>
      </c>
      <c r="D9" s="6" t="inlineStr">
        <is>
          <t>Cần quét Bio Fanpage</t>
        </is>
      </c>
      <c r="E9" s="53" t="inlineStr">
        <is>
          <t>12/10/2026 07:56:17</t>
        </is>
      </c>
      <c r="F9" s="53" t="inlineStr">
        <is>
          <t>23 giờ trước</t>
        </is>
      </c>
      <c r="G9" s="55" t="n">
        <v>0.96</v>
      </c>
      <c r="H9" s="56" t="n">
        <v>32</v>
      </c>
      <c r="I9" s="6" t="inlineStr">
        <is>
          <t>Dog Breeder / Trại chó chuyên nghiệp (28-30đ)</t>
        </is>
      </c>
      <c r="J9" s="56" t="n">
        <v>30</v>
      </c>
      <c r="K9" s="6" t="inlineStr">
        <is>
          <t>Rottweiler</t>
        </is>
      </c>
      <c r="L9" s="56" t="n">
        <v>10</v>
      </c>
      <c r="M9" s="56" t="n">
        <v>5</v>
      </c>
      <c r="N9" s="6" t="inlineStr">
        <is>
          <t>Amazon link not found</t>
        </is>
      </c>
      <c r="O9" s="56">
        <f>IF(N9="Selling pet toys + Artificial grass/Pet toilets (TARGET)",15,IF(N9="Selling artificial grass/pet toilets (TARGET)",10,IF(N9="Selling pet toys",7,IF(N9="There's an Amazon link, but no target sales.",3,0))))</f>
        <v/>
      </c>
      <c r="P9" s="65">
        <f>H9+J9+L9+M9+O9</f>
        <v/>
      </c>
      <c r="Q9" s="71" t="inlineStr">
        <is>
          <t>International / Future Expansion</t>
        </is>
      </c>
      <c r="R9" s="6" t="inlineStr">
        <is>
          <t>Trọn gói Take-Home Starter Kit V2/V3 (Cỏ nhân tạo + Khay Potty + Đồ chơi Teething/Snuggle)</t>
        </is>
      </c>
      <c r="S9" s="6" t="inlineStr">
        <is>
          <t>Gắn cờ International / Future Expansion - Không gọi Telesale giai đoạn 1</t>
        </is>
      </c>
    </row>
    <row r="10">
      <c r="A10" s="59" t="n">
        <v>1872</v>
      </c>
      <c r="B10" s="15" t="inlineStr">
        <is>
          <t>Kennel berner sennenhund "Alexberns" - more than a kennel</t>
        </is>
      </c>
      <c r="C10" s="60" t="inlineStr">
        <is>
          <t>https://www.facebook.com/profile.php?id=100064752907265</t>
        </is>
      </c>
      <c r="D10" s="9" t="inlineStr">
        <is>
          <t>Cần quét Bio Fanpage</t>
        </is>
      </c>
      <c r="E10" s="59" t="inlineStr">
        <is>
          <t>13/10/2026 00:42:24</t>
        </is>
      </c>
      <c r="F10" s="59" t="inlineStr">
        <is>
          <t>3 giờ trước</t>
        </is>
      </c>
      <c r="G10" s="61" t="n">
        <v>0.12</v>
      </c>
      <c r="H10" s="62" t="n">
        <v>35</v>
      </c>
      <c r="I10" s="9" t="inlineStr">
        <is>
          <t>Dog Breeder / Trại chó chuyên nghiệp (28-30đ)</t>
        </is>
      </c>
      <c r="J10" s="62" t="n">
        <v>30</v>
      </c>
      <c r="K10" s="9" t="inlineStr">
        <is>
          <t>Bernese Mountain Dog</t>
        </is>
      </c>
      <c r="L10" s="62" t="n">
        <v>5</v>
      </c>
      <c r="M10" s="62" t="n">
        <v>5</v>
      </c>
      <c r="N10" s="9" t="inlineStr">
        <is>
          <t>Amazon link not found</t>
        </is>
      </c>
      <c r="O10" s="62">
        <f>IF(N10="Selling pet toys + Artificial grass/Pet toilets (TARGET)",15,IF(N10="Selling artificial grass/pet toilets (TARGET)",10,IF(N10="Selling pet toys",7,IF(N10="There's an Amazon link, but no target sales.",3,0))))</f>
        <v/>
      </c>
      <c r="P10" s="67">
        <f>H10+J10+L10+M10+O10</f>
        <v/>
      </c>
      <c r="Q10" s="70" t="inlineStr">
        <is>
          <t>International / Future Expansion</t>
        </is>
      </c>
      <c r="R10" s="9" t="inlineStr">
        <is>
          <t>Trọn gói Take-Home Starter Kit V2/V3 (Cỏ nhân tạo + Khay Potty + Đồ chơi Teething/Snuggle)</t>
        </is>
      </c>
      <c r="S10" s="9" t="inlineStr">
        <is>
          <t>Gắn cờ International / Future Expansion - Không gọi Telesale giai đoạn 1</t>
        </is>
      </c>
    </row>
    <row r="11">
      <c r="A11" s="53" t="n">
        <v>783</v>
      </c>
      <c r="B11" s="12" t="inlineStr">
        <is>
          <t>Bulldog Anglais De La Combe Rousse</t>
        </is>
      </c>
      <c r="C11" s="54" t="inlineStr">
        <is>
          <t>https://www.facebook.com/profile.php?id=100063469394842</t>
        </is>
      </c>
      <c r="D11" s="6" t="inlineStr">
        <is>
          <t>Cần quét Bio Fanpage</t>
        </is>
      </c>
      <c r="E11" s="53" t="inlineStr">
        <is>
          <t>13/10/2026 01:45:06</t>
        </is>
      </c>
      <c r="F11" s="53" t="inlineStr">
        <is>
          <t>34 phút trước</t>
        </is>
      </c>
      <c r="G11" s="55" t="n">
        <v>0.02</v>
      </c>
      <c r="H11" s="56" t="n">
        <v>35</v>
      </c>
      <c r="I11" s="6" t="inlineStr">
        <is>
          <t>Dog Breeder / Trại nhân giống (28-30đ)</t>
        </is>
      </c>
      <c r="J11" s="56" t="n">
        <v>28</v>
      </c>
      <c r="K11" s="6" t="inlineStr">
        <is>
          <t>English Bulldog</t>
        </is>
      </c>
      <c r="L11" s="56" t="n">
        <v>10</v>
      </c>
      <c r="M11" s="56" t="n">
        <v>0</v>
      </c>
      <c r="N11" s="6" t="inlineStr">
        <is>
          <t>Amazon link not found</t>
        </is>
      </c>
      <c r="O11" s="56">
        <f>IF(N11="Selling pet toys + Artificial grass/Pet toilets (TARGET)",15,IF(N11="Selling artificial grass/pet toilets (TARGET)",10,IF(N11="Selling pet toys",7,IF(N11="There's an Amazon link, but no target sales.",3,0))))</f>
        <v/>
      </c>
      <c r="P11" s="65">
        <f>H11+J11+L11+M11+O11</f>
        <v/>
      </c>
      <c r="Q11" s="71" t="inlineStr">
        <is>
          <t>International / Future Expansion</t>
        </is>
      </c>
      <c r="R11" s="6" t="inlineStr">
        <is>
          <t>Trọn gói Take-Home Starter Kit V2/V3 (Cỏ nhân tạo + Khay Potty + Đồ chơi cún con)</t>
        </is>
      </c>
      <c r="S11" s="6" t="inlineStr">
        <is>
          <t>Gắn cờ International / Future Expansion - Không gọi Telesale giai đoạn 1</t>
        </is>
      </c>
    </row>
    <row r="12">
      <c r="A12" s="59" t="n">
        <v>3344</v>
      </c>
      <c r="B12" s="15" t="inlineStr">
        <is>
          <t>Von Dadashov Doberman Kennel-ELGUN Dadashov</t>
        </is>
      </c>
      <c r="C12" s="60" t="inlineStr">
        <is>
          <t>https://www.facebook.com/profile.php?id=61584394978206</t>
        </is>
      </c>
      <c r="D12" s="9" t="inlineStr">
        <is>
          <t>Cần quét Bio Fanpage</t>
        </is>
      </c>
      <c r="E12" s="59" t="inlineStr">
        <is>
          <t>13/10/2026 01:58:05</t>
        </is>
      </c>
      <c r="F12" s="59" t="inlineStr">
        <is>
          <t>4 giờ trước</t>
        </is>
      </c>
      <c r="G12" s="61" t="n">
        <v>0.17</v>
      </c>
      <c r="H12" s="62" t="n">
        <v>32</v>
      </c>
      <c r="I12" s="9" t="inlineStr">
        <is>
          <t>Dog Breeder / Trại chó chuyên nghiệp (28-30đ)</t>
        </is>
      </c>
      <c r="J12" s="62" t="n">
        <v>30</v>
      </c>
      <c r="K12" s="9" t="inlineStr">
        <is>
          <t>Great Dane / Working Giant</t>
        </is>
      </c>
      <c r="L12" s="62" t="n">
        <v>5</v>
      </c>
      <c r="M12" s="62" t="n">
        <v>5</v>
      </c>
      <c r="N12" s="9" t="inlineStr">
        <is>
          <t>Amazon link not found</t>
        </is>
      </c>
      <c r="O12" s="62">
        <f>IF(N12="Selling pet toys + Artificial grass/Pet toilets (TARGET)",15,IF(N12="Selling artificial grass/pet toilets (TARGET)",10,IF(N12="Selling pet toys",7,IF(N12="There's an Amazon link, but no target sales.",3,0))))</f>
        <v/>
      </c>
      <c r="P12" s="67">
        <f>H12+J12+L12+M12+O12</f>
        <v/>
      </c>
      <c r="Q12" s="70" t="inlineStr">
        <is>
          <t>International / Future Expansion</t>
        </is>
      </c>
      <c r="R12" s="9" t="inlineStr">
        <is>
          <t>Trọn gói Take-Home Starter Kit V2/V3 (Cỏ nhân tạo + Khay Potty + Đồ chơi Teething/Snuggle)</t>
        </is>
      </c>
      <c r="S12" s="9" t="inlineStr">
        <is>
          <t>Gắn cờ International / Future Expansion - Không gọi Telesale giai đoạn 1</t>
        </is>
      </c>
    </row>
    <row r="13">
      <c r="A13" s="53" t="n">
        <v>2647</v>
      </c>
      <c r="B13" s="12" t="inlineStr">
        <is>
          <t>Psarna - Upper Carniola Shetland Sheepdog Kennel</t>
        </is>
      </c>
      <c r="C13" s="54" t="inlineStr">
        <is>
          <t>https://www.facebook.com/uppercarniolashelties</t>
        </is>
      </c>
      <c r="D13" s="6" t="inlineStr">
        <is>
          <t>Cần quét Bio Fanpage</t>
        </is>
      </c>
      <c r="E13" s="53" t="inlineStr">
        <is>
          <t>12/10/2026 22:28:12</t>
        </is>
      </c>
      <c r="F13" s="53" t="inlineStr">
        <is>
          <t>7 giờ trước</t>
        </is>
      </c>
      <c r="G13" s="55" t="n">
        <v>0.29</v>
      </c>
      <c r="H13" s="56" t="n">
        <v>32</v>
      </c>
      <c r="I13" s="6" t="inlineStr">
        <is>
          <t>Dog Breeder / Trại chó chuyên nghiệp (28-30đ)</t>
        </is>
      </c>
      <c r="J13" s="56" t="n">
        <v>30</v>
      </c>
      <c r="K13" s="6" t="inlineStr">
        <is>
          <t>Australian Shepherd / Herding</t>
        </is>
      </c>
      <c r="L13" s="56" t="n">
        <v>5</v>
      </c>
      <c r="M13" s="56" t="n">
        <v>5</v>
      </c>
      <c r="N13" s="6" t="inlineStr">
        <is>
          <t>Amazon link not found</t>
        </is>
      </c>
      <c r="O13" s="56">
        <f>IF(N13="Selling pet toys + Artificial grass/Pet toilets (TARGET)",15,IF(N13="Selling artificial grass/pet toilets (TARGET)",10,IF(N13="Selling pet toys",7,IF(N13="There's an Amazon link, but no target sales.",3,0))))</f>
        <v/>
      </c>
      <c r="P13" s="65">
        <f>H13+J13+L13+M13+O13</f>
        <v/>
      </c>
      <c r="Q13" s="71" t="inlineStr">
        <is>
          <t>International / Future Expansion</t>
        </is>
      </c>
      <c r="R13" s="6" t="inlineStr">
        <is>
          <t>Trọn gói Take-Home Starter Kit V2/V3 (Cỏ nhân tạo + Khay Potty + Đồ chơi Teething/Snuggle)</t>
        </is>
      </c>
      <c r="S13" s="6" t="inlineStr">
        <is>
          <t>Gắn cờ International / Future Expansion - Không gọi Telesale giai đoạn 1</t>
        </is>
      </c>
    </row>
    <row r="14">
      <c r="A14" s="59" t="n">
        <v>3502</v>
      </c>
      <c r="B14" s="15" t="inlineStr">
        <is>
          <t>จาว่า บีเกิ้ล Javabeagle Kennel</t>
        </is>
      </c>
      <c r="C14" s="60" t="inlineStr">
        <is>
          <t>https://www.facebook.com/JavabeagleKennel</t>
        </is>
      </c>
      <c r="D14" s="9" t="inlineStr">
        <is>
          <t>Cần quét Bio Fanpage</t>
        </is>
      </c>
      <c r="E14" s="59" t="inlineStr">
        <is>
          <t>12/10/2026 22:04:55</t>
        </is>
      </c>
      <c r="F14" s="59" t="inlineStr">
        <is>
          <t>9 giờ trước</t>
        </is>
      </c>
      <c r="G14" s="61" t="n">
        <v>0.38</v>
      </c>
      <c r="H14" s="62" t="n">
        <v>32</v>
      </c>
      <c r="I14" s="9" t="inlineStr">
        <is>
          <t>Dog Breeder / Trại chó chuyên nghiệp (28-30đ)</t>
        </is>
      </c>
      <c r="J14" s="62" t="n">
        <v>30</v>
      </c>
      <c r="K14" s="9" t="inlineStr">
        <is>
          <t>Hound / Beagle / Basset</t>
        </is>
      </c>
      <c r="L14" s="62" t="n">
        <v>5</v>
      </c>
      <c r="M14" s="62" t="n">
        <v>5</v>
      </c>
      <c r="N14" s="9" t="inlineStr">
        <is>
          <t>Amazon link not found</t>
        </is>
      </c>
      <c r="O14" s="62">
        <f>IF(N14="Selling pet toys + Artificial grass/Pet toilets (TARGET)",15,IF(N14="Selling artificial grass/pet toilets (TARGET)",10,IF(N14="Selling pet toys",7,IF(N14="There's an Amazon link, but no target sales.",3,0))))</f>
        <v/>
      </c>
      <c r="P14" s="67">
        <f>H14+J14+L14+M14+O14</f>
        <v/>
      </c>
      <c r="Q14" s="70" t="inlineStr">
        <is>
          <t>International / Future Expansion</t>
        </is>
      </c>
      <c r="R14" s="9" t="inlineStr">
        <is>
          <t>Trọn gói Take-Home Starter Kit V2/V3 (Cỏ nhân tạo + Khay Potty + Đồ chơi Teething/Snuggle)</t>
        </is>
      </c>
      <c r="S14" s="9" t="inlineStr">
        <is>
          <t>Gắn cờ International / Future Expansion - Không gọi Telesale giai đoạn 1</t>
        </is>
      </c>
    </row>
    <row r="15">
      <c r="A15" s="53" t="n">
        <v>3064</v>
      </c>
      <c r="B15" s="12" t="inlineStr">
        <is>
          <t>Tauro Kennel JP · Pomeranian · Maltese · Bichon Frise</t>
        </is>
      </c>
      <c r="C15" s="54" t="inlineStr">
        <is>
          <t>https://www.facebook.com/profile.php?id=61571757369339</t>
        </is>
      </c>
      <c r="D15" s="6" t="inlineStr">
        <is>
          <t>Cần quét Bio Fanpage</t>
        </is>
      </c>
      <c r="E15" s="53" t="inlineStr">
        <is>
          <t>12/10/2026 21:01:26</t>
        </is>
      </c>
      <c r="F15" s="53" t="inlineStr">
        <is>
          <t>9 giờ trước</t>
        </is>
      </c>
      <c r="G15" s="55" t="n">
        <v>0.38</v>
      </c>
      <c r="H15" s="56" t="n">
        <v>32</v>
      </c>
      <c r="I15" s="6" t="inlineStr">
        <is>
          <t>Dog Breeder / Trại chó chuyên nghiệp (28-30đ)</t>
        </is>
      </c>
      <c r="J15" s="56" t="n">
        <v>30</v>
      </c>
      <c r="K15" s="6" t="inlineStr">
        <is>
          <t>Husky / Malamute / Samoyed / Spitz, Chihuahua / Toy Companion</t>
        </is>
      </c>
      <c r="L15" s="56" t="n">
        <v>5</v>
      </c>
      <c r="M15" s="56" t="n">
        <v>5</v>
      </c>
      <c r="N15" s="6" t="inlineStr">
        <is>
          <t>Amazon link not found</t>
        </is>
      </c>
      <c r="O15" s="56">
        <f>IF(N15="Selling pet toys + Artificial grass/Pet toilets (TARGET)",15,IF(N15="Selling artificial grass/pet toilets (TARGET)",10,IF(N15="Selling pet toys",7,IF(N15="There's an Amazon link, but no target sales.",3,0))))</f>
        <v/>
      </c>
      <c r="P15" s="65">
        <f>H15+J15+L15+M15+O15</f>
        <v/>
      </c>
      <c r="Q15" s="71" t="inlineStr">
        <is>
          <t>International / Future Expansion</t>
        </is>
      </c>
      <c r="R15" s="6" t="inlineStr">
        <is>
          <t>Trọn gói Take-Home Starter Kit V2/V3 (Cỏ nhân tạo + Khay Potty + Đồ chơi Teething/Snuggle)</t>
        </is>
      </c>
      <c r="S15" s="6" t="inlineStr">
        <is>
          <t>Gắn cờ International / Future Expansion - Không gọi Telesale giai đoạn 1</t>
        </is>
      </c>
    </row>
    <row r="16">
      <c r="A16" s="59" t="n">
        <v>2804</v>
      </c>
      <c r="B16" s="15" t="inlineStr">
        <is>
          <t>S Almaznogo Ostrova kennel - Chihuahuas</t>
        </is>
      </c>
      <c r="C16" s="60" t="inlineStr">
        <is>
          <t>https://www.facebook.com/almazchihuas</t>
        </is>
      </c>
      <c r="D16" s="9" t="inlineStr">
        <is>
          <t>Cần quét Bio Fanpage</t>
        </is>
      </c>
      <c r="E16" s="59" t="inlineStr">
        <is>
          <t>12/10/2026 19:44:55</t>
        </is>
      </c>
      <c r="F16" s="59" t="inlineStr">
        <is>
          <t>10 giờ trước</t>
        </is>
      </c>
      <c r="G16" s="61" t="n">
        <v>0.42</v>
      </c>
      <c r="H16" s="62" t="n">
        <v>32</v>
      </c>
      <c r="I16" s="9" t="inlineStr">
        <is>
          <t>Dog Breeder / Trại chó chuyên nghiệp (28-30đ)</t>
        </is>
      </c>
      <c r="J16" s="62" t="n">
        <v>30</v>
      </c>
      <c r="K16" s="9" t="inlineStr">
        <is>
          <t>Chihuahua / Toy Companion</t>
        </is>
      </c>
      <c r="L16" s="62" t="n">
        <v>5</v>
      </c>
      <c r="M16" s="62" t="n">
        <v>5</v>
      </c>
      <c r="N16" s="9" t="inlineStr">
        <is>
          <t>Amazon link not found</t>
        </is>
      </c>
      <c r="O16" s="62">
        <f>IF(N16="Selling pet toys + Artificial grass/Pet toilets (TARGET)",15,IF(N16="Selling artificial grass/pet toilets (TARGET)",10,IF(N16="Selling pet toys",7,IF(N16="There's an Amazon link, but no target sales.",3,0))))</f>
        <v/>
      </c>
      <c r="P16" s="67">
        <f>H16+J16+L16+M16+O16</f>
        <v/>
      </c>
      <c r="Q16" s="70" t="inlineStr">
        <is>
          <t>International / Future Expansion</t>
        </is>
      </c>
      <c r="R16" s="9" t="inlineStr">
        <is>
          <t>Trọn gói Take-Home Starter Kit V2/V3 (Cỏ nhân tạo + Khay Potty + Đồ chơi Teething/Snuggle)</t>
        </is>
      </c>
      <c r="S16" s="9" t="inlineStr">
        <is>
          <t>Gắn cờ International / Future Expansion - Không gọi Telesale giai đoạn 1</t>
        </is>
      </c>
    </row>
    <row r="17">
      <c r="A17" s="53" t="n">
        <v>2277</v>
      </c>
      <c r="B17" s="12" t="inlineStr">
        <is>
          <t>Negraland Beagle Kennel</t>
        </is>
      </c>
      <c r="C17" s="54" t="inlineStr">
        <is>
          <t>https://www.facebook.com/negraland.dobermankennel</t>
        </is>
      </c>
      <c r="D17" s="6" t="inlineStr">
        <is>
          <t>Cần quét Bio Fanpage</t>
        </is>
      </c>
      <c r="E17" s="53" t="inlineStr">
        <is>
          <t>12/10/2026 17:12:23</t>
        </is>
      </c>
      <c r="F17" s="53" t="inlineStr">
        <is>
          <t>11 giờ trước</t>
        </is>
      </c>
      <c r="G17" s="55" t="n">
        <v>0.46</v>
      </c>
      <c r="H17" s="56" t="n">
        <v>32</v>
      </c>
      <c r="I17" s="6" t="inlineStr">
        <is>
          <t>Dog Breeder / Trại chó chuyên nghiệp (28-30đ)</t>
        </is>
      </c>
      <c r="J17" s="56" t="n">
        <v>30</v>
      </c>
      <c r="K17" s="6" t="inlineStr">
        <is>
          <t>Hound / Beagle / Basset, Great Dane / Working Giant</t>
        </is>
      </c>
      <c r="L17" s="56" t="n">
        <v>5</v>
      </c>
      <c r="M17" s="56" t="n">
        <v>5</v>
      </c>
      <c r="N17" s="6" t="inlineStr">
        <is>
          <t>Amazon link not found</t>
        </is>
      </c>
      <c r="O17" s="56">
        <f>IF(N17="Selling pet toys + Artificial grass/Pet toilets (TARGET)",15,IF(N17="Selling artificial grass/pet toilets (TARGET)",10,IF(N17="Selling pet toys",7,IF(N17="There's an Amazon link, but no target sales.",3,0))))</f>
        <v/>
      </c>
      <c r="P17" s="65">
        <f>H17+J17+L17+M17+O17</f>
        <v/>
      </c>
      <c r="Q17" s="71" t="inlineStr">
        <is>
          <t>International / Future Expansion</t>
        </is>
      </c>
      <c r="R17" s="6" t="inlineStr">
        <is>
          <t>Trọn gói Take-Home Starter Kit V2/V3 (Cỏ nhân tạo + Khay Potty + Đồ chơi Teething/Snuggle)</t>
        </is>
      </c>
      <c r="S17" s="6" t="inlineStr">
        <is>
          <t>Gắn cờ International / Future Expansion - Không gọi Telesale giai đoạn 1</t>
        </is>
      </c>
    </row>
    <row r="18">
      <c r="A18" s="59" t="n">
        <v>978</v>
      </c>
      <c r="B18" s="15" t="inlineStr">
        <is>
          <t>Custode del Trono Cane Corso Kennel</t>
        </is>
      </c>
      <c r="C18" s="60" t="inlineStr">
        <is>
          <t>https://www.facebook.com/custodedeltrono</t>
        </is>
      </c>
      <c r="D18" s="9" t="inlineStr">
        <is>
          <t>Cần quét Bio Fanpage</t>
        </is>
      </c>
      <c r="E18" s="59" t="inlineStr">
        <is>
          <t>12/10/2026 16:49:38</t>
        </is>
      </c>
      <c r="F18" s="59" t="inlineStr">
        <is>
          <t>9 giờ trước</t>
        </is>
      </c>
      <c r="G18" s="61" t="n">
        <v>0.38</v>
      </c>
      <c r="H18" s="62" t="n">
        <v>32</v>
      </c>
      <c r="I18" s="9" t="inlineStr">
        <is>
          <t>Dog Breeder / Trại chó chuyên nghiệp (28-30đ)</t>
        </is>
      </c>
      <c r="J18" s="62" t="n">
        <v>30</v>
      </c>
      <c r="K18" s="9" t="inlineStr">
        <is>
          <t>Cane Corso / Mastiff</t>
        </is>
      </c>
      <c r="L18" s="62" t="n">
        <v>5</v>
      </c>
      <c r="M18" s="62" t="n">
        <v>5</v>
      </c>
      <c r="N18" s="9" t="inlineStr">
        <is>
          <t>Amazon link not found</t>
        </is>
      </c>
      <c r="O18" s="62">
        <f>IF(N18="Selling pet toys + Artificial grass/Pet toilets (TARGET)",15,IF(N18="Selling artificial grass/pet toilets (TARGET)",10,IF(N18="Selling pet toys",7,IF(N18="There's an Amazon link, but no target sales.",3,0))))</f>
        <v/>
      </c>
      <c r="P18" s="67">
        <f>H18+J18+L18+M18+O18</f>
        <v/>
      </c>
      <c r="Q18" s="70" t="inlineStr">
        <is>
          <t>International / Future Expansion</t>
        </is>
      </c>
      <c r="R18" s="9" t="inlineStr">
        <is>
          <t>Trọn gói Take-Home Starter Kit V2/V3 (Cỏ nhân tạo + Khay Potty + Đồ chơi Teething/Snuggle)</t>
        </is>
      </c>
      <c r="S18" s="9" t="inlineStr">
        <is>
          <t>Gắn cờ International / Future Expansion - Không gọi Telesale giai đoạn 1</t>
        </is>
      </c>
    </row>
    <row r="19">
      <c r="A19" s="53" t="n">
        <v>3351</v>
      </c>
      <c r="B19" s="12" t="inlineStr">
        <is>
          <t>Von Reeves Rottweilers and Frenchies</t>
        </is>
      </c>
      <c r="C19" s="54" t="inlineStr">
        <is>
          <t>https://www.facebook.com/VonReevesRottweilers</t>
        </is>
      </c>
      <c r="D19" s="6" t="inlineStr">
        <is>
          <t>Cần quét Bio Fanpage</t>
        </is>
      </c>
      <c r="E19" s="53" t="inlineStr">
        <is>
          <t>12/10/2026 01:40:06</t>
        </is>
      </c>
      <c r="F19" s="53" t="inlineStr">
        <is>
          <t>1 ngày trước</t>
        </is>
      </c>
      <c r="G19" s="55" t="n">
        <v>1</v>
      </c>
      <c r="H19" s="56" t="n">
        <v>28</v>
      </c>
      <c r="I19" s="6" t="inlineStr">
        <is>
          <t>Dog Breeder / Trại chó chuyên nghiệp (28-30đ)</t>
        </is>
      </c>
      <c r="J19" s="56" t="n">
        <v>28</v>
      </c>
      <c r="K19" s="6" t="inlineStr">
        <is>
          <t>French Bulldog, Rottweiler</t>
        </is>
      </c>
      <c r="L19" s="56" t="n">
        <v>15</v>
      </c>
      <c r="M19" s="56" t="n">
        <v>0</v>
      </c>
      <c r="N19" s="6" t="inlineStr">
        <is>
          <t>Amazon link not found</t>
        </is>
      </c>
      <c r="O19" s="56">
        <f>IF(N19="Selling pet toys + Artificial grass/Pet toilets (TARGET)",15,IF(N19="Selling artificial grass/pet toilets (TARGET)",10,IF(N19="Selling pet toys",7,IF(N19="There's an Amazon link, but no target sales.",3,0))))</f>
        <v/>
      </c>
      <c r="P19" s="65">
        <f>H19+J19+L19+M19+O19</f>
        <v/>
      </c>
      <c r="Q19" s="71" t="inlineStr">
        <is>
          <t>International / Future Expansion</t>
        </is>
      </c>
      <c r="R19" s="6" t="inlineStr">
        <is>
          <t>Trọn gói Take-Home Starter Kit V2/V3 (Cỏ nhân tạo + Khay Potty + Đồ chơi Teething/Snuggle)</t>
        </is>
      </c>
      <c r="S19" s="6" t="inlineStr">
        <is>
          <t>Gắn cờ International / Future Expansion - Không gọi Telesale giai đoạn 1</t>
        </is>
      </c>
    </row>
    <row r="20">
      <c r="A20" s="59" t="n">
        <v>1446</v>
      </c>
      <c r="B20" s="15" t="inlineStr">
        <is>
          <t>Frenchie Store</t>
        </is>
      </c>
      <c r="C20" s="60" t="inlineStr">
        <is>
          <t>https://www.facebook.com/frenchiestoremy</t>
        </is>
      </c>
      <c r="D20" s="9" t="inlineStr">
        <is>
          <t>Cần quét Bio Fanpage</t>
        </is>
      </c>
      <c r="E20" s="59" t="inlineStr">
        <is>
          <t>11/10/2026 14:52:23</t>
        </is>
      </c>
      <c r="F20" s="59" t="inlineStr">
        <is>
          <t>1 ngày trước</t>
        </is>
      </c>
      <c r="G20" s="61" t="n">
        <v>1</v>
      </c>
      <c r="H20" s="62" t="n">
        <v>28</v>
      </c>
      <c r="I20" s="9" t="inlineStr">
        <is>
          <t>Dog Breeder / Trại nhân giống (28-30đ)</t>
        </is>
      </c>
      <c r="J20" s="62" t="n">
        <v>28</v>
      </c>
      <c r="K20" s="9" t="inlineStr">
        <is>
          <t>French Bulldog</t>
        </is>
      </c>
      <c r="L20" s="62" t="n">
        <v>10</v>
      </c>
      <c r="M20" s="62" t="n">
        <v>5</v>
      </c>
      <c r="N20" s="9" t="inlineStr">
        <is>
          <t>Amazon link not found</t>
        </is>
      </c>
      <c r="O20" s="62">
        <f>IF(N20="Selling pet toys + Artificial grass/Pet toilets (TARGET)",15,IF(N20="Selling artificial grass/pet toilets (TARGET)",10,IF(N20="Selling pet toys",7,IF(N20="There's an Amazon link, but no target sales.",3,0))))</f>
        <v/>
      </c>
      <c r="P20" s="67">
        <f>H20+J20+L20+M20+O20</f>
        <v/>
      </c>
      <c r="Q20" s="70" t="inlineStr">
        <is>
          <t>International / Future Expansion</t>
        </is>
      </c>
      <c r="R20" s="9" t="inlineStr">
        <is>
          <t>Trọn gói Take-Home Starter Kit V2/V3 (Cỏ nhân tạo + Khay Potty + Đồ chơi cún con)</t>
        </is>
      </c>
      <c r="S20" s="9" t="inlineStr">
        <is>
          <t>Gắn cờ International / Future Expansion - Không gọi Telesale giai đoạn 1</t>
        </is>
      </c>
    </row>
    <row r="21">
      <c r="A21" s="53" t="n">
        <v>4474</v>
      </c>
      <c r="B21" s="12" t="inlineStr">
        <is>
          <t>Legacy Golden kennel Costa Rica</t>
        </is>
      </c>
      <c r="C21" s="54" t="inlineStr">
        <is>
          <t>https://www.facebook.com/goldennretrievercostarica</t>
        </is>
      </c>
      <c r="D21" s="6" t="inlineStr">
        <is>
          <t>Cần quét Bio Fanpage</t>
        </is>
      </c>
      <c r="E21" s="53" t="inlineStr">
        <is>
          <t>13/10/2026 06:18:41</t>
        </is>
      </c>
      <c r="F21" s="53" t="inlineStr">
        <is>
          <t>2 giờ trước</t>
        </is>
      </c>
      <c r="G21" s="55" t="n">
        <v>0.08</v>
      </c>
      <c r="H21" s="56" t="n">
        <v>35</v>
      </c>
      <c r="I21" s="6" t="inlineStr">
        <is>
          <t>Dog Breeder / Trại chó chuyên nghiệp (28-30đ)</t>
        </is>
      </c>
      <c r="J21" s="56" t="n">
        <v>30</v>
      </c>
      <c r="K21" s="6" t="inlineStr">
        <is>
          <t>Chưa rõ giống (Cần quét Bio)</t>
        </is>
      </c>
      <c r="L21" s="56" t="n">
        <v>0</v>
      </c>
      <c r="M21" s="56" t="n">
        <v>5</v>
      </c>
      <c r="N21" s="6" t="inlineStr">
        <is>
          <t>Amazon link not found</t>
        </is>
      </c>
      <c r="O21" s="56">
        <f>IF(N21="Selling pet toys + Artificial grass/Pet toilets (TARGET)",15,IF(N21="Selling artificial grass/pet toilets (TARGET)",10,IF(N21="Selling pet toys",7,IF(N21="There's an Amazon link, but no target sales.",3,0))))</f>
        <v/>
      </c>
      <c r="P21" s="65">
        <f>H21+J21+L21+M21+O21</f>
        <v/>
      </c>
      <c r="Q21" s="71" t="inlineStr">
        <is>
          <t>International / Future Expansion</t>
        </is>
      </c>
      <c r="R21" s="6" t="inlineStr">
        <is>
          <t>Trọn gói Take-Home Starter Kit V2/V3 (Cỏ nhân tạo + Khay Potty + Đồ chơi Teething/Snuggle)</t>
        </is>
      </c>
      <c r="S21" s="6" t="inlineStr">
        <is>
          <t>Gắn cờ International / Future Expansion - Không gọi Telesale giai đoạn 1</t>
        </is>
      </c>
    </row>
    <row r="22">
      <c r="A22" s="59" t="n">
        <v>4809</v>
      </c>
      <c r="B22" s="15" t="inlineStr">
        <is>
          <t>Oceancrest French Bulldogs Australia</t>
        </is>
      </c>
      <c r="C22" s="60" t="inlineStr">
        <is>
          <t>https://www.facebook.com/SunshineCoastQueenslandFrenchBulldogs</t>
        </is>
      </c>
      <c r="D22" s="9" t="inlineStr">
        <is>
          <t>Cần quét Bio Fanpage</t>
        </is>
      </c>
      <c r="E22" s="59" t="inlineStr">
        <is>
          <t>13/10/2026 05:32:28</t>
        </is>
      </c>
      <c r="F22" s="59" t="inlineStr">
        <is>
          <t>4 giờ trước</t>
        </is>
      </c>
      <c r="G22" s="61" t="n">
        <v>0.17</v>
      </c>
      <c r="H22" s="62" t="n">
        <v>32</v>
      </c>
      <c r="I22" s="9" t="inlineStr">
        <is>
          <t>Dog Breeder / Trại chó chuyên nghiệp (28-30đ)</t>
        </is>
      </c>
      <c r="J22" s="62" t="n">
        <v>28</v>
      </c>
      <c r="K22" s="9" t="inlineStr">
        <is>
          <t>French Bulldog</t>
        </is>
      </c>
      <c r="L22" s="62" t="n">
        <v>10</v>
      </c>
      <c r="M22" s="62" t="n">
        <v>0</v>
      </c>
      <c r="N22" s="9" t="inlineStr">
        <is>
          <t>Amazon link not found</t>
        </is>
      </c>
      <c r="O22" s="62">
        <f>IF(N22="Selling pet toys + Artificial grass/Pet toilets (TARGET)",15,IF(N22="Selling artificial grass/pet toilets (TARGET)",10,IF(N22="Selling pet toys",7,IF(N22="There's an Amazon link, but no target sales.",3,0))))</f>
        <v/>
      </c>
      <c r="P22" s="67">
        <f>H22+J22+L22+M22+O22</f>
        <v/>
      </c>
      <c r="Q22" s="70" t="inlineStr">
        <is>
          <t>International / Future Expansion</t>
        </is>
      </c>
      <c r="R22" s="9" t="inlineStr">
        <is>
          <t>Trọn gói Take-Home Starter Kit V2/V3 (Cỏ nhân tạo + Khay Potty + Đồ chơi Teething/Snuggle)</t>
        </is>
      </c>
      <c r="S22" s="9" t="inlineStr">
        <is>
          <t>Gắn cờ International / Future Expansion - Không gọi Telesale giai đoạn 1</t>
        </is>
      </c>
    </row>
    <row r="23">
      <c r="A23" s="53" t="n">
        <v>3343</v>
      </c>
      <c r="B23" s="12" t="inlineStr">
        <is>
          <t>Von Bart Kennels LLC</t>
        </is>
      </c>
      <c r="C23" s="54" t="inlineStr">
        <is>
          <t>https://www.facebook.com/vonbartkennels</t>
        </is>
      </c>
      <c r="D23" s="6" t="inlineStr">
        <is>
          <t>Cần quét Bio Fanpage</t>
        </is>
      </c>
      <c r="E23" s="53" t="inlineStr">
        <is>
          <t>13/10/2026 05:30:54</t>
        </is>
      </c>
      <c r="F23" s="53" t="inlineStr">
        <is>
          <t>1 giờ trước</t>
        </is>
      </c>
      <c r="G23" s="55" t="n">
        <v>0.04</v>
      </c>
      <c r="H23" s="56" t="n">
        <v>35</v>
      </c>
      <c r="I23" s="6" t="inlineStr">
        <is>
          <t>Dog Breeder / Trại chó chuyên nghiệp (28-30đ)</t>
        </is>
      </c>
      <c r="J23" s="56" t="n">
        <v>30</v>
      </c>
      <c r="K23" s="6" t="inlineStr">
        <is>
          <t>Chưa rõ giống (Cần quét Bio)</t>
        </is>
      </c>
      <c r="L23" s="56" t="n">
        <v>0</v>
      </c>
      <c r="M23" s="56" t="n">
        <v>5</v>
      </c>
      <c r="N23" s="6" t="inlineStr">
        <is>
          <t>Amazon link not found</t>
        </is>
      </c>
      <c r="O23" s="56">
        <f>IF(N23="Selling pet toys + Artificial grass/Pet toilets (TARGET)",15,IF(N23="Selling artificial grass/pet toilets (TARGET)",10,IF(N23="Selling pet toys",7,IF(N23="There's an Amazon link, but no target sales.",3,0))))</f>
        <v/>
      </c>
      <c r="P23" s="65">
        <f>H23+J23+L23+M23+O23</f>
        <v/>
      </c>
      <c r="Q23" s="71" t="inlineStr">
        <is>
          <t>International / Future Expansion</t>
        </is>
      </c>
      <c r="R23" s="6" t="inlineStr">
        <is>
          <t>Trọn gói Take-Home Starter Kit V2/V3 (Cỏ nhân tạo + Khay Potty + Đồ chơi Teething/Snuggle)</t>
        </is>
      </c>
      <c r="S23" s="6" t="inlineStr">
        <is>
          <t>Gắn cờ International / Future Expansion - Không gọi Telesale giai đoạn 1</t>
        </is>
      </c>
    </row>
    <row r="24">
      <c r="A24" s="59" t="n">
        <v>4697</v>
      </c>
      <c r="B24" s="15" t="inlineStr">
        <is>
          <t>Moya’s Montaña Bullies</t>
        </is>
      </c>
      <c r="C24" s="60" t="inlineStr">
        <is>
          <t>https://www.facebook.com/profile.php?id=100088726666474</t>
        </is>
      </c>
      <c r="D24" s="9" t="inlineStr">
        <is>
          <t>Cần quét Bio Fanpage</t>
        </is>
      </c>
      <c r="E24" s="59" t="inlineStr">
        <is>
          <t>13/10/2026 02:00:22</t>
        </is>
      </c>
      <c r="F24" s="59" t="inlineStr">
        <is>
          <t>7 giờ trước</t>
        </is>
      </c>
      <c r="G24" s="61" t="n">
        <v>0.29</v>
      </c>
      <c r="H24" s="62" t="n">
        <v>32</v>
      </c>
      <c r="I24" s="9" t="inlineStr">
        <is>
          <t>Dog Breeder / Trại chó chuyên nghiệp (28-30đ)</t>
        </is>
      </c>
      <c r="J24" s="62" t="n">
        <v>28</v>
      </c>
      <c r="K24" s="9" t="inlineStr">
        <is>
          <t>American Bully / Bully</t>
        </is>
      </c>
      <c r="L24" s="62" t="n">
        <v>10</v>
      </c>
      <c r="M24" s="62" t="n">
        <v>0</v>
      </c>
      <c r="N24" s="9" t="inlineStr">
        <is>
          <t>Amazon link not found</t>
        </is>
      </c>
      <c r="O24" s="62">
        <f>IF(N24="Selling pet toys + Artificial grass/Pet toilets (TARGET)",15,IF(N24="Selling artificial grass/pet toilets (TARGET)",10,IF(N24="Selling pet toys",7,IF(N24="There's an Amazon link, but no target sales.",3,0))))</f>
        <v/>
      </c>
      <c r="P24" s="67">
        <f>H24+J24+L24+M24+O24</f>
        <v/>
      </c>
      <c r="Q24" s="70" t="inlineStr">
        <is>
          <t>International / Future Expansion</t>
        </is>
      </c>
      <c r="R24" s="9" t="inlineStr">
        <is>
          <t>Trọn gói Take-Home Starter Kit V2/V3 (Cỏ nhân tạo + Khay Potty + Đồ chơi Teething/Snuggle)</t>
        </is>
      </c>
      <c r="S24" s="9" t="inlineStr">
        <is>
          <t>Gắn cờ International / Future Expansion - Không gọi Telesale giai đoạn 1</t>
        </is>
      </c>
    </row>
    <row r="25">
      <c r="A25" s="53" t="n">
        <v>2759</v>
      </c>
      <c r="B25" s="12" t="inlineStr">
        <is>
          <t>RM’s Mad Bulldogz PH</t>
        </is>
      </c>
      <c r="C25" s="54" t="inlineStr">
        <is>
          <t>https://www.facebook.com/rmspridekennel</t>
        </is>
      </c>
      <c r="D25" s="6" t="inlineStr">
        <is>
          <t>Cần quét Bio Fanpage</t>
        </is>
      </c>
      <c r="E25" s="53" t="inlineStr">
        <is>
          <t>13/10/2026 00:30:23</t>
        </is>
      </c>
      <c r="F25" s="53" t="inlineStr">
        <is>
          <t>5 giờ trước</t>
        </is>
      </c>
      <c r="G25" s="55" t="n">
        <v>0.21</v>
      </c>
      <c r="H25" s="56" t="n">
        <v>32</v>
      </c>
      <c r="I25" s="6" t="inlineStr">
        <is>
          <t>Dog Breeder / Trại nhân giống (28-30đ)</t>
        </is>
      </c>
      <c r="J25" s="56" t="n">
        <v>28</v>
      </c>
      <c r="K25" s="6" t="inlineStr">
        <is>
          <t>English Bulldog</t>
        </is>
      </c>
      <c r="L25" s="56" t="n">
        <v>10</v>
      </c>
      <c r="M25" s="56" t="n">
        <v>0</v>
      </c>
      <c r="N25" s="6" t="inlineStr">
        <is>
          <t>Amazon link not found</t>
        </is>
      </c>
      <c r="O25" s="56">
        <f>IF(N25="Selling pet toys + Artificial grass/Pet toilets (TARGET)",15,IF(N25="Selling artificial grass/pet toilets (TARGET)",10,IF(N25="Selling pet toys",7,IF(N25="There's an Amazon link, but no target sales.",3,0))))</f>
        <v/>
      </c>
      <c r="P25" s="65">
        <f>H25+J25+L25+M25+O25</f>
        <v/>
      </c>
      <c r="Q25" s="71" t="inlineStr">
        <is>
          <t>International / Future Expansion</t>
        </is>
      </c>
      <c r="R25" s="6" t="inlineStr">
        <is>
          <t>Trọn gói Take-Home Starter Kit V2/V3 (Cỏ nhân tạo + Khay Potty + Đồ chơi cún con)</t>
        </is>
      </c>
      <c r="S25" s="6" t="inlineStr">
        <is>
          <t>Gắn cờ International / Future Expansion - Không gọi Telesale giai đoạn 1</t>
        </is>
      </c>
    </row>
    <row r="26">
      <c r="A26" s="59" t="n">
        <v>778</v>
      </c>
      <c r="B26" s="15" t="inlineStr">
        <is>
          <t>Buchan's Kennels Ltd</t>
        </is>
      </c>
      <c r="C26" s="60" t="inlineStr">
        <is>
          <t>https://www.facebook.com/buchankennels</t>
        </is>
      </c>
      <c r="D26" s="9" t="inlineStr">
        <is>
          <t>Cần quét Bio Fanpage</t>
        </is>
      </c>
      <c r="E26" s="59" t="inlineStr">
        <is>
          <t>12/10/2026 23:54:16</t>
        </is>
      </c>
      <c r="F26" s="59" t="inlineStr">
        <is>
          <t>2 giờ trước</t>
        </is>
      </c>
      <c r="G26" s="61" t="n">
        <v>0.08</v>
      </c>
      <c r="H26" s="62" t="n">
        <v>35</v>
      </c>
      <c r="I26" s="9" t="inlineStr">
        <is>
          <t>Dog Breeder / Trại chó chuyên nghiệp (28-30đ)</t>
        </is>
      </c>
      <c r="J26" s="62" t="n">
        <v>30</v>
      </c>
      <c r="K26" s="9" t="inlineStr">
        <is>
          <t>Chưa rõ giống (Cần quét Bio)</t>
        </is>
      </c>
      <c r="L26" s="62" t="n">
        <v>0</v>
      </c>
      <c r="M26" s="62" t="n">
        <v>5</v>
      </c>
      <c r="N26" s="9" t="inlineStr">
        <is>
          <t>Amazon link not found</t>
        </is>
      </c>
      <c r="O26" s="62">
        <f>IF(N26="Selling pet toys + Artificial grass/Pet toilets (TARGET)",15,IF(N26="Selling artificial grass/pet toilets (TARGET)",10,IF(N26="Selling pet toys",7,IF(N26="There's an Amazon link, but no target sales.",3,0))))</f>
        <v/>
      </c>
      <c r="P26" s="67">
        <f>H26+J26+L26+M26+O26</f>
        <v/>
      </c>
      <c r="Q26" s="70" t="inlineStr">
        <is>
          <t>International / Future Expansion</t>
        </is>
      </c>
      <c r="R26" s="9" t="inlineStr">
        <is>
          <t>Trọn gói Take-Home Starter Kit V2/V3 (Cỏ nhân tạo + Khay Potty + Đồ chơi Teething/Snuggle)</t>
        </is>
      </c>
      <c r="S26" s="9" t="inlineStr">
        <is>
          <t>Gắn cờ International / Future Expansion - Không gọi Telesale giai đoạn 1</t>
        </is>
      </c>
    </row>
    <row r="27">
      <c r="A27" s="53" t="n">
        <v>53</v>
      </c>
      <c r="B27" s="12" t="inlineStr">
        <is>
          <t>BM Kennels LTD</t>
        </is>
      </c>
      <c r="C27" s="54" t="inlineStr">
        <is>
          <t>https://www.facebook.com/BMkennelsLTD</t>
        </is>
      </c>
      <c r="D27" s="6" t="inlineStr">
        <is>
          <t>Cần quét Bio Fanpage</t>
        </is>
      </c>
      <c r="E27" s="53" t="inlineStr">
        <is>
          <t>12/10/2026 23:25:30</t>
        </is>
      </c>
      <c r="F27" s="53" t="inlineStr">
        <is>
          <t>1 giờ trước</t>
        </is>
      </c>
      <c r="G27" s="55" t="n">
        <v>0.04</v>
      </c>
      <c r="H27" s="56" t="n">
        <v>35</v>
      </c>
      <c r="I27" s="6" t="inlineStr">
        <is>
          <t>Dog Breeder / Trại chó chuyên nghiệp (28-30đ)</t>
        </is>
      </c>
      <c r="J27" s="56" t="n">
        <v>30</v>
      </c>
      <c r="K27" s="6" t="inlineStr">
        <is>
          <t>Chưa rõ giống (Cần quét Bio)</t>
        </is>
      </c>
      <c r="L27" s="56" t="n">
        <v>0</v>
      </c>
      <c r="M27" s="56" t="n">
        <v>5</v>
      </c>
      <c r="N27" s="6" t="inlineStr">
        <is>
          <t>Amazon link not found</t>
        </is>
      </c>
      <c r="O27" s="56">
        <f>IF(N27="Selling pet toys + Artificial grass/Pet toilets (TARGET)",15,IF(N27="Selling artificial grass/pet toilets (TARGET)",10,IF(N27="Selling pet toys",7,IF(N27="There's an Amazon link, but no target sales.",3,0))))</f>
        <v/>
      </c>
      <c r="P27" s="65">
        <f>H27+J27+L27+M27+O27</f>
        <v/>
      </c>
      <c r="Q27" s="71" t="inlineStr">
        <is>
          <t>International / Future Expansion</t>
        </is>
      </c>
      <c r="R27" s="6" t="inlineStr">
        <is>
          <t>Trọn gói Take-Home Starter Kit V2/V3 (Cỏ nhân tạo + Khay Potty + Đồ chơi Teething/Snuggle)</t>
        </is>
      </c>
      <c r="S27" s="6" t="inlineStr">
        <is>
          <t>Gắn cờ International / Future Expansion - Không gọi Telesale giai đoạn 1</t>
        </is>
      </c>
    </row>
    <row r="28">
      <c r="A28" s="59" t="n">
        <v>5060</v>
      </c>
      <c r="B28" s="15" t="inlineStr">
        <is>
          <t>Plush Puppy Australia</t>
        </is>
      </c>
      <c r="C28" s="60" t="inlineStr">
        <is>
          <t>https://www.facebook.com/PlushPuppyAustralia</t>
        </is>
      </c>
      <c r="D28" s="9" t="inlineStr">
        <is>
          <t>Cần quét Bio Fanpage</t>
        </is>
      </c>
      <c r="E28" s="59" t="inlineStr">
        <is>
          <t>13/10/2026 07:00:06</t>
        </is>
      </c>
      <c r="F28" s="59" t="inlineStr">
        <is>
          <t>3 giờ trước</t>
        </is>
      </c>
      <c r="G28" s="61" t="n">
        <v>0.12</v>
      </c>
      <c r="H28" s="62" t="n">
        <v>35</v>
      </c>
      <c r="I28" s="9" t="inlineStr">
        <is>
          <t>Dog Breeder / Trại chó chuyên nghiệp (28-30đ)</t>
        </is>
      </c>
      <c r="J28" s="62" t="n">
        <v>28</v>
      </c>
      <c r="K28" s="9" t="inlineStr">
        <is>
          <t>Chưa rõ giống (Cần quét Bio)</t>
        </is>
      </c>
      <c r="L28" s="62" t="n">
        <v>0</v>
      </c>
      <c r="M28" s="62" t="n">
        <v>5</v>
      </c>
      <c r="N28" s="9" t="inlineStr">
        <is>
          <t>Amazon link not found</t>
        </is>
      </c>
      <c r="O28" s="62">
        <f>IF(N28="Selling pet toys + Artificial grass/Pet toilets (TARGET)",15,IF(N28="Selling artificial grass/pet toilets (TARGET)",10,IF(N28="Selling pet toys",7,IF(N28="There's an Amazon link, but no target sales.",3,0))))</f>
        <v/>
      </c>
      <c r="P28" s="67">
        <f>H28+J28+L28+M28+O28</f>
        <v/>
      </c>
      <c r="Q28" s="70" t="inlineStr">
        <is>
          <t>International / Future Expansion</t>
        </is>
      </c>
      <c r="R28" s="9" t="inlineStr">
        <is>
          <t>Trọn gói Take-Home Starter Kit V2/V3 (Cỏ nhân tạo + Khay Potty + Đồ chơi Teething/Snuggle)</t>
        </is>
      </c>
      <c r="S28" s="9" t="inlineStr">
        <is>
          <t>Gắn cờ International / Future Expansion - Không gọi Telesale giai đoạn 1</t>
        </is>
      </c>
    </row>
    <row r="29">
      <c r="A29" s="53" t="n">
        <v>1940</v>
      </c>
      <c r="B29" s="12" t="inlineStr">
        <is>
          <t>Korea teacup puppy</t>
        </is>
      </c>
      <c r="C29" s="54" t="inlineStr">
        <is>
          <t>https://www.facebook.com/profile.php?id=61569052386808</t>
        </is>
      </c>
      <c r="D29" s="6" t="inlineStr">
        <is>
          <t>Cần quét Bio Fanpage</t>
        </is>
      </c>
      <c r="E29" s="53" t="inlineStr">
        <is>
          <t>13/10/2026 01:35:39</t>
        </is>
      </c>
      <c r="F29" s="53" t="inlineStr">
        <is>
          <t>2 giờ trước</t>
        </is>
      </c>
      <c r="G29" s="55" t="n">
        <v>0.08</v>
      </c>
      <c r="H29" s="56" t="n">
        <v>35</v>
      </c>
      <c r="I29" s="6" t="inlineStr">
        <is>
          <t>Dog Breeder / Trại chó chuyên nghiệp (28-30đ)</t>
        </is>
      </c>
      <c r="J29" s="56" t="n">
        <v>28</v>
      </c>
      <c r="K29" s="6" t="inlineStr">
        <is>
          <t>Chưa rõ giống (Cần quét Bio)</t>
        </is>
      </c>
      <c r="L29" s="56" t="n">
        <v>0</v>
      </c>
      <c r="M29" s="56" t="n">
        <v>5</v>
      </c>
      <c r="N29" s="6" t="inlineStr">
        <is>
          <t>Amazon link not found</t>
        </is>
      </c>
      <c r="O29" s="56">
        <f>IF(N29="Selling pet toys + Artificial grass/Pet toilets (TARGET)",15,IF(N29="Selling artificial grass/pet toilets (TARGET)",10,IF(N29="Selling pet toys",7,IF(N29="There's an Amazon link, but no target sales.",3,0))))</f>
        <v/>
      </c>
      <c r="P29" s="65">
        <f>H29+J29+L29+M29+O29</f>
        <v/>
      </c>
      <c r="Q29" s="71" t="inlineStr">
        <is>
          <t>International / Future Expansion</t>
        </is>
      </c>
      <c r="R29" s="6" t="inlineStr">
        <is>
          <t>Trọn gói Take-Home Starter Kit V2/V3 (Cỏ nhân tạo + Khay Potty + Đồ chơi Teething/Snuggle)</t>
        </is>
      </c>
      <c r="S29" s="6" t="inlineStr">
        <is>
          <t>Gắn cờ International / Future Expansion - Không gọi Telesale giai đoạn 1</t>
        </is>
      </c>
    </row>
    <row r="30">
      <c r="A30" s="59" t="n">
        <v>3204</v>
      </c>
      <c r="B30" s="15" t="inlineStr">
        <is>
          <t>Toilettage et boutique Puppy Country Inc.</t>
        </is>
      </c>
      <c r="C30" s="60" t="inlineStr">
        <is>
          <t>https://www.facebook.com/puppy.country.boutique</t>
        </is>
      </c>
      <c r="D30" s="9" t="inlineStr">
        <is>
          <t>Cần quét Bio Fanpage</t>
        </is>
      </c>
      <c r="E30" s="59" t="inlineStr">
        <is>
          <t>12/10/2026 05:00:00</t>
        </is>
      </c>
      <c r="F30" s="59" t="inlineStr">
        <is>
          <t>1 ngày trước</t>
        </is>
      </c>
      <c r="G30" s="61" t="n">
        <v>1</v>
      </c>
      <c r="H30" s="62" t="n">
        <v>28</v>
      </c>
      <c r="I30" s="9" t="inlineStr">
        <is>
          <t>Dog Breeder / Trại chó chuyên nghiệp (28-30đ)</t>
        </is>
      </c>
      <c r="J30" s="62" t="n">
        <v>30</v>
      </c>
      <c r="K30" s="9" t="inlineStr">
        <is>
          <t>Chưa rõ giống (Cần quét Bio)</t>
        </is>
      </c>
      <c r="L30" s="62" t="n">
        <v>0</v>
      </c>
      <c r="M30" s="62" t="n">
        <v>10</v>
      </c>
      <c r="N30" s="9" t="inlineStr">
        <is>
          <t>Amazon link not found</t>
        </is>
      </c>
      <c r="O30" s="62">
        <f>IF(N30="Selling pet toys + Artificial grass/Pet toilets (TARGET)",15,IF(N30="Selling artificial grass/pet toilets (TARGET)",10,IF(N30="Selling pet toys",7,IF(N30="There's an Amazon link, but no target sales.",3,0))))</f>
        <v/>
      </c>
      <c r="P30" s="67">
        <f>H30+J30+L30+M30+O30</f>
        <v/>
      </c>
      <c r="Q30" s="70" t="inlineStr">
        <is>
          <t>International / Future Expansion</t>
        </is>
      </c>
      <c r="R30" s="9" t="inlineStr">
        <is>
          <t>Trọn gói Take-Home Starter Kit V2/V3 (Cỏ nhân tạo + Khay Potty + Đồ chơi Teething/Snuggle)</t>
        </is>
      </c>
      <c r="S30" s="9" t="inlineStr">
        <is>
          <t>Gắn cờ International / Future Expansion - Không gọi Telesale giai đoạn 1</t>
        </is>
      </c>
    </row>
    <row r="31">
      <c r="A31" s="53" t="n">
        <v>1043</v>
      </c>
      <c r="B31" s="12" t="inlineStr">
        <is>
          <t>Doberman kennel Di grande Zoi</t>
        </is>
      </c>
      <c r="C31" s="54" t="inlineStr">
        <is>
          <t>https://www.facebook.com/Digrandezoi</t>
        </is>
      </c>
      <c r="D31" s="6" t="inlineStr">
        <is>
          <t>Cần quét Bio Fanpage</t>
        </is>
      </c>
      <c r="E31" s="53" t="inlineStr">
        <is>
          <t>11/10/2026 23:05:57</t>
        </is>
      </c>
      <c r="F31" s="53" t="inlineStr">
        <is>
          <t>1 ngày trước</t>
        </is>
      </c>
      <c r="G31" s="55" t="n">
        <v>1</v>
      </c>
      <c r="H31" s="56" t="n">
        <v>28</v>
      </c>
      <c r="I31" s="6" t="inlineStr">
        <is>
          <t>Dog Breeder / Trại chó chuyên nghiệp (28-30đ)</t>
        </is>
      </c>
      <c r="J31" s="56" t="n">
        <v>30</v>
      </c>
      <c r="K31" s="6" t="inlineStr">
        <is>
          <t>Great Dane / Working Giant</t>
        </is>
      </c>
      <c r="L31" s="56" t="n">
        <v>5</v>
      </c>
      <c r="M31" s="56" t="n">
        <v>5</v>
      </c>
      <c r="N31" s="6" t="inlineStr">
        <is>
          <t>Amazon link not found</t>
        </is>
      </c>
      <c r="O31" s="56">
        <f>IF(N31="Selling pet toys + Artificial grass/Pet toilets (TARGET)",15,IF(N31="Selling artificial grass/pet toilets (TARGET)",10,IF(N31="Selling pet toys",7,IF(N31="There's an Amazon link, but no target sales.",3,0))))</f>
        <v/>
      </c>
      <c r="P31" s="65">
        <f>H31+J31+L31+M31+O31</f>
        <v/>
      </c>
      <c r="Q31" s="71" t="inlineStr">
        <is>
          <t>International / Future Expansion</t>
        </is>
      </c>
      <c r="R31" s="6" t="inlineStr">
        <is>
          <t>Trọn gói Take-Home Starter Kit V2/V3 (Cỏ nhân tạo + Khay Potty + Đồ chơi Teething/Snuggle)</t>
        </is>
      </c>
      <c r="S31" s="6" t="inlineStr">
        <is>
          <t>Gắn cờ International / Future Expansion - Không gọi Telesale giai đoạn 1</t>
        </is>
      </c>
    </row>
    <row r="32">
      <c r="A32" s="59" t="n">
        <v>1517</v>
      </c>
      <c r="B32" s="15" t="inlineStr">
        <is>
          <t>Godzha Megobrebi Aussie &amp; Bernese Kennel</t>
        </is>
      </c>
      <c r="C32" s="60" t="inlineStr">
        <is>
          <t>https://www.facebook.com/profile.php?id=61586522400235</t>
        </is>
      </c>
      <c r="D32" s="9" t="inlineStr">
        <is>
          <t>Cần quét Bio Fanpage</t>
        </is>
      </c>
      <c r="E32" s="59" t="inlineStr">
        <is>
          <t>11/10/2026 22:01:47</t>
        </is>
      </c>
      <c r="F32" s="59" t="inlineStr">
        <is>
          <t>1 ngày trước</t>
        </is>
      </c>
      <c r="G32" s="61" t="n">
        <v>1</v>
      </c>
      <c r="H32" s="62" t="n">
        <v>28</v>
      </c>
      <c r="I32" s="9" t="inlineStr">
        <is>
          <t>Dog Breeder / Trại chó chuyên nghiệp (28-30đ)</t>
        </is>
      </c>
      <c r="J32" s="62" t="n">
        <v>30</v>
      </c>
      <c r="K32" s="9" t="inlineStr">
        <is>
          <t>Bernese Mountain Dog, Australian Shepherd / Herding</t>
        </is>
      </c>
      <c r="L32" s="62" t="n">
        <v>5</v>
      </c>
      <c r="M32" s="62" t="n">
        <v>5</v>
      </c>
      <c r="N32" s="9" t="inlineStr">
        <is>
          <t>Amazon link not found</t>
        </is>
      </c>
      <c r="O32" s="62">
        <f>IF(N32="Selling pet toys + Artificial grass/Pet toilets (TARGET)",15,IF(N32="Selling artificial grass/pet toilets (TARGET)",10,IF(N32="Selling pet toys",7,IF(N32="There's an Amazon link, but no target sales.",3,0))))</f>
        <v/>
      </c>
      <c r="P32" s="67">
        <f>H32+J32+L32+M32+O32</f>
        <v/>
      </c>
      <c r="Q32" s="70" t="inlineStr">
        <is>
          <t>International / Future Expansion</t>
        </is>
      </c>
      <c r="R32" s="9" t="inlineStr">
        <is>
          <t>Trọn gói Take-Home Starter Kit V2/V3 (Cỏ nhân tạo + Khay Potty + Đồ chơi Teething/Snuggle)</t>
        </is>
      </c>
      <c r="S32" s="9" t="inlineStr">
        <is>
          <t>Gắn cờ International / Future Expansion - Không gọi Telesale giai đoạn 1</t>
        </is>
      </c>
    </row>
    <row r="33">
      <c r="A33" s="53" t="n">
        <v>824</v>
      </c>
      <c r="B33" s="12" t="inlineStr">
        <is>
          <t>Cane Corso Silver Lake Kojic Kennel</t>
        </is>
      </c>
      <c r="C33" s="54" t="inlineStr">
        <is>
          <t>https://www.facebook.com/silverlakeojickenel</t>
        </is>
      </c>
      <c r="D33" s="6" t="inlineStr">
        <is>
          <t>Cần quét Bio Fanpage</t>
        </is>
      </c>
      <c r="E33" s="53" t="inlineStr">
        <is>
          <t>11/10/2026 20:01:56</t>
        </is>
      </c>
      <c r="F33" s="53" t="inlineStr">
        <is>
          <t>1 ngày trước</t>
        </is>
      </c>
      <c r="G33" s="55" t="n">
        <v>1</v>
      </c>
      <c r="H33" s="56" t="n">
        <v>28</v>
      </c>
      <c r="I33" s="6" t="inlineStr">
        <is>
          <t>Dog Breeder / Trại chó chuyên nghiệp (28-30đ)</t>
        </is>
      </c>
      <c r="J33" s="56" t="n">
        <v>30</v>
      </c>
      <c r="K33" s="6" t="inlineStr">
        <is>
          <t>Cane Corso / Mastiff</t>
        </is>
      </c>
      <c r="L33" s="56" t="n">
        <v>5</v>
      </c>
      <c r="M33" s="56" t="n">
        <v>5</v>
      </c>
      <c r="N33" s="6" t="inlineStr">
        <is>
          <t>Amazon link not found</t>
        </is>
      </c>
      <c r="O33" s="56">
        <f>IF(N33="Selling pet toys + Artificial grass/Pet toilets (TARGET)",15,IF(N33="Selling artificial grass/pet toilets (TARGET)",10,IF(N33="Selling pet toys",7,IF(N33="There's an Amazon link, but no target sales.",3,0))))</f>
        <v/>
      </c>
      <c r="P33" s="65">
        <f>H33+J33+L33+M33+O33</f>
        <v/>
      </c>
      <c r="Q33" s="71" t="inlineStr">
        <is>
          <t>International / Future Expansion</t>
        </is>
      </c>
      <c r="R33" s="6" t="inlineStr">
        <is>
          <t>Trọn gói Take-Home Starter Kit V2/V3 (Cỏ nhân tạo + Khay Potty + Đồ chơi Teething/Snuggle)</t>
        </is>
      </c>
      <c r="S33" s="6" t="inlineStr">
        <is>
          <t>Gắn cờ International / Future Expansion - Không gọi Telesale giai đoạn 1</t>
        </is>
      </c>
    </row>
    <row r="34">
      <c r="A34" s="59" t="n">
        <v>359</v>
      </c>
      <c r="B34" s="15" t="inlineStr">
        <is>
          <t>AkDeniz kennel Chinese Crested Dog</t>
        </is>
      </c>
      <c r="C34" s="60" t="inlineStr">
        <is>
          <t>https://www.facebook.com/profile.php?id=100063550593617</t>
        </is>
      </c>
      <c r="D34" s="9" t="inlineStr">
        <is>
          <t>Cần quét Bio Fanpage</t>
        </is>
      </c>
      <c r="E34" s="59" t="inlineStr">
        <is>
          <t>11/10/2026 19:33:13</t>
        </is>
      </c>
      <c r="F34" s="59" t="inlineStr">
        <is>
          <t>1 ngày trước</t>
        </is>
      </c>
      <c r="G34" s="61" t="n">
        <v>1</v>
      </c>
      <c r="H34" s="62" t="n">
        <v>28</v>
      </c>
      <c r="I34" s="9" t="inlineStr">
        <is>
          <t>Dog Breeder / Trại chó chuyên nghiệp (28-30đ)</t>
        </is>
      </c>
      <c r="J34" s="62" t="n">
        <v>30</v>
      </c>
      <c r="K34" s="9" t="inlineStr">
        <is>
          <t>Chihuahua / Toy Companion</t>
        </is>
      </c>
      <c r="L34" s="62" t="n">
        <v>5</v>
      </c>
      <c r="M34" s="62" t="n">
        <v>5</v>
      </c>
      <c r="N34" s="9" t="inlineStr">
        <is>
          <t>Amazon link not found</t>
        </is>
      </c>
      <c r="O34" s="62">
        <f>IF(N34="Selling pet toys + Artificial grass/Pet toilets (TARGET)",15,IF(N34="Selling artificial grass/pet toilets (TARGET)",10,IF(N34="Selling pet toys",7,IF(N34="There's an Amazon link, but no target sales.",3,0))))</f>
        <v/>
      </c>
      <c r="P34" s="67">
        <f>H34+J34+L34+M34+O34</f>
        <v/>
      </c>
      <c r="Q34" s="70" t="inlineStr">
        <is>
          <t>International / Future Expansion</t>
        </is>
      </c>
      <c r="R34" s="9" t="inlineStr">
        <is>
          <t>Trọn gói Take-Home Starter Kit V2/V3 (Cỏ nhân tạo + Khay Potty + Đồ chơi Teething/Snuggle)</t>
        </is>
      </c>
      <c r="S34" s="9" t="inlineStr">
        <is>
          <t>Gắn cờ International / Future Expansion - Không gọi Telesale giai đoạn 1</t>
        </is>
      </c>
    </row>
    <row r="35">
      <c r="A35" s="53" t="n">
        <v>587</v>
      </c>
      <c r="B35" s="12" t="inlineStr">
        <is>
          <t>Bantam Shepherd's kennel: tiibetinterrierit &amp; whippet</t>
        </is>
      </c>
      <c r="C35" s="54" t="inlineStr">
        <is>
          <t>https://www.facebook.com/bantamshepherds</t>
        </is>
      </c>
      <c r="D35" s="6" t="inlineStr">
        <is>
          <t>Cần quét Bio Fanpage</t>
        </is>
      </c>
      <c r="E35" s="53" t="inlineStr">
        <is>
          <t>11/10/2026 18:31:12</t>
        </is>
      </c>
      <c r="F35" s="53" t="inlineStr">
        <is>
          <t>1 ngày trước</t>
        </is>
      </c>
      <c r="G35" s="55" t="n">
        <v>1</v>
      </c>
      <c r="H35" s="56" t="n">
        <v>28</v>
      </c>
      <c r="I35" s="6" t="inlineStr">
        <is>
          <t>Dog Breeder / Trại chó chuyên nghiệp (28-30đ)</t>
        </is>
      </c>
      <c r="J35" s="56" t="n">
        <v>30</v>
      </c>
      <c r="K35" s="6" t="inlineStr">
        <is>
          <t>Terrier (Jack Russell/Yorkie/Boston/Staffy), Hound / Beagle / Basset</t>
        </is>
      </c>
      <c r="L35" s="56" t="n">
        <v>5</v>
      </c>
      <c r="M35" s="56" t="n">
        <v>5</v>
      </c>
      <c r="N35" s="6" t="inlineStr">
        <is>
          <t>Amazon link not found</t>
        </is>
      </c>
      <c r="O35" s="56">
        <f>IF(N35="Selling pet toys + Artificial grass/Pet toilets (TARGET)",15,IF(N35="Selling artificial grass/pet toilets (TARGET)",10,IF(N35="Selling pet toys",7,IF(N35="There's an Amazon link, but no target sales.",3,0))))</f>
        <v/>
      </c>
      <c r="P35" s="65">
        <f>H35+J35+L35+M35+O35</f>
        <v/>
      </c>
      <c r="Q35" s="71" t="inlineStr">
        <is>
          <t>International / Future Expansion</t>
        </is>
      </c>
      <c r="R35" s="6" t="inlineStr">
        <is>
          <t>Trọn gói Take-Home Starter Kit V2/V3 (Cỏ nhân tạo + Khay Potty + Đồ chơi Teething/Snuggle)</t>
        </is>
      </c>
      <c r="S35" s="6" t="inlineStr">
        <is>
          <t>Gắn cờ International / Future Expansion - Không gọi Telesale giai đoạn 1</t>
        </is>
      </c>
    </row>
    <row r="36">
      <c r="A36" s="59" t="n">
        <v>3485</v>
      </c>
      <c r="B36" s="15" t="inlineStr">
        <is>
          <t>Zöldmáli Wirehaired Vizsla Kennel</t>
        </is>
      </c>
      <c r="C36" s="60" t="inlineStr">
        <is>
          <t>https://www.facebook.com/zoldmali.kennel</t>
        </is>
      </c>
      <c r="D36" s="9" t="inlineStr">
        <is>
          <t>Cần quét Bio Fanpage</t>
        </is>
      </c>
      <c r="E36" s="59" t="inlineStr">
        <is>
          <t>10/10/2026 03:13:38</t>
        </is>
      </c>
      <c r="F36" s="59" t="inlineStr">
        <is>
          <t>3 ngày trước</t>
        </is>
      </c>
      <c r="G36" s="61" t="n">
        <v>3</v>
      </c>
      <c r="H36" s="62" t="n">
        <v>28</v>
      </c>
      <c r="I36" s="9" t="inlineStr">
        <is>
          <t>Dog Breeder / Trại chó chuyên nghiệp (28-30đ)</t>
        </is>
      </c>
      <c r="J36" s="62" t="n">
        <v>30</v>
      </c>
      <c r="K36" s="9" t="inlineStr">
        <is>
          <t>Spaniel / Gun Dog / Retriever</t>
        </is>
      </c>
      <c r="L36" s="62" t="n">
        <v>5</v>
      </c>
      <c r="M36" s="62" t="n">
        <v>5</v>
      </c>
      <c r="N36" s="9" t="inlineStr">
        <is>
          <t>Amazon link not found</t>
        </is>
      </c>
      <c r="O36" s="62">
        <f>IF(N36="Selling pet toys + Artificial grass/Pet toilets (TARGET)",15,IF(N36="Selling artificial grass/pet toilets (TARGET)",10,IF(N36="Selling pet toys",7,IF(N36="There's an Amazon link, but no target sales.",3,0))))</f>
        <v/>
      </c>
      <c r="P36" s="67">
        <f>H36+J36+L36+M36+O36</f>
        <v/>
      </c>
      <c r="Q36" s="70" t="inlineStr">
        <is>
          <t>International / Future Expansion</t>
        </is>
      </c>
      <c r="R36" s="9" t="inlineStr">
        <is>
          <t>Trọn gói Take-Home Starter Kit V2/V3 (Cỏ nhân tạo + Khay Potty + Đồ chơi Teething/Snuggle)</t>
        </is>
      </c>
      <c r="S36" s="9" t="inlineStr">
        <is>
          <t>Gắn cờ International / Future Expansion - Không gọi Telesale giai đoạn 1</t>
        </is>
      </c>
    </row>
    <row r="37">
      <c r="A37" s="53" t="n">
        <v>3352</v>
      </c>
      <c r="B37" s="12" t="inlineStr">
        <is>
          <t>Von Schwarz Doberman Kennel</t>
        </is>
      </c>
      <c r="C37" s="54" t="inlineStr">
        <is>
          <t>https://www.facebook.com/vonschwarzdobermanns</t>
        </is>
      </c>
      <c r="D37" s="6" t="inlineStr">
        <is>
          <t>Cần quét Bio Fanpage</t>
        </is>
      </c>
      <c r="E37" s="53" t="inlineStr">
        <is>
          <t>09/10/2026 22:56:56</t>
        </is>
      </c>
      <c r="F37" s="53" t="inlineStr">
        <is>
          <t>3 ngày trước</t>
        </is>
      </c>
      <c r="G37" s="55" t="n">
        <v>3</v>
      </c>
      <c r="H37" s="56" t="n">
        <v>28</v>
      </c>
      <c r="I37" s="6" t="inlineStr">
        <is>
          <t>Dog Breeder / Trại chó chuyên nghiệp (28-30đ)</t>
        </is>
      </c>
      <c r="J37" s="56" t="n">
        <v>30</v>
      </c>
      <c r="K37" s="6" t="inlineStr">
        <is>
          <t>Great Dane / Working Giant</t>
        </is>
      </c>
      <c r="L37" s="56" t="n">
        <v>5</v>
      </c>
      <c r="M37" s="56" t="n">
        <v>5</v>
      </c>
      <c r="N37" s="6" t="inlineStr">
        <is>
          <t>Amazon link not found</t>
        </is>
      </c>
      <c r="O37" s="56">
        <f>IF(N37="Selling pet toys + Artificial grass/Pet toilets (TARGET)",15,IF(N37="Selling artificial grass/pet toilets (TARGET)",10,IF(N37="Selling pet toys",7,IF(N37="There's an Amazon link, but no target sales.",3,0))))</f>
        <v/>
      </c>
      <c r="P37" s="65">
        <f>H37+J37+L37+M37+O37</f>
        <v/>
      </c>
      <c r="Q37" s="71" t="inlineStr">
        <is>
          <t>International / Future Expansion</t>
        </is>
      </c>
      <c r="R37" s="6" t="inlineStr">
        <is>
          <t>Trọn gói Take-Home Starter Kit V2/V3 (Cỏ nhân tạo + Khay Potty + Đồ chơi Teething/Snuggle)</t>
        </is>
      </c>
      <c r="S37" s="6" t="inlineStr">
        <is>
          <t>Gắn cờ International / Future Expansion - Không gọi Telesale giai đoạn 1</t>
        </is>
      </c>
    </row>
    <row r="38">
      <c r="A38" s="59" t="n">
        <v>3493</v>
      </c>
      <c r="B38" s="15" t="inlineStr">
        <is>
          <t>Кінологічна Спілка України - Ukrainian Kennel Union</t>
        </is>
      </c>
      <c r="C38" s="60" t="inlineStr">
        <is>
          <t>https://www.facebook.com/ukrainiankennelunionofficial</t>
        </is>
      </c>
      <c r="D38" s="9" t="inlineStr">
        <is>
          <t>Cần quét Bio Fanpage</t>
        </is>
      </c>
      <c r="E38" s="59" t="inlineStr">
        <is>
          <t>09/10/2026 16:32:51</t>
        </is>
      </c>
      <c r="F38" s="59" t="inlineStr">
        <is>
          <t>3 ngày trước</t>
        </is>
      </c>
      <c r="G38" s="61" t="n">
        <v>3</v>
      </c>
      <c r="H38" s="62" t="n">
        <v>28</v>
      </c>
      <c r="I38" s="9" t="inlineStr">
        <is>
          <t>Dog Breeder / Trại chó chuyên nghiệp (28-30đ)</t>
        </is>
      </c>
      <c r="J38" s="62" t="n">
        <v>30</v>
      </c>
      <c r="K38" s="9" t="inlineStr">
        <is>
          <t>Chưa rõ giống (Cần quét Bio)</t>
        </is>
      </c>
      <c r="L38" s="62" t="n">
        <v>0</v>
      </c>
      <c r="M38" s="62" t="n">
        <v>10</v>
      </c>
      <c r="N38" s="9" t="inlineStr">
        <is>
          <t>Amazon link not found</t>
        </is>
      </c>
      <c r="O38" s="62">
        <f>IF(N38="Selling pet toys + Artificial grass/Pet toilets (TARGET)",15,IF(N38="Selling artificial grass/pet toilets (TARGET)",10,IF(N38="Selling pet toys",7,IF(N38="There's an Amazon link, but no target sales.",3,0))))</f>
        <v/>
      </c>
      <c r="P38" s="67">
        <f>H38+J38+L38+M38+O38</f>
        <v/>
      </c>
      <c r="Q38" s="70" t="inlineStr">
        <is>
          <t>International / Future Expansion</t>
        </is>
      </c>
      <c r="R38" s="9" t="inlineStr">
        <is>
          <t>Trọn gói Take-Home Starter Kit V2/V3 (Cỏ nhân tạo + Khay Potty + Đồ chơi Teething/Snuggle)</t>
        </is>
      </c>
      <c r="S38" s="9" t="inlineStr">
        <is>
          <t>Gắn cờ International / Future Expansion - Không gọi Telesale giai đoạn 1</t>
        </is>
      </c>
    </row>
    <row r="39">
      <c r="A39" s="53" t="n">
        <v>80</v>
      </c>
      <c r="B39" s="12" t="inlineStr">
        <is>
          <t>SwissRidge Kennels</t>
        </is>
      </c>
      <c r="C39" s="54" t="inlineStr">
        <is>
          <t>https://www.facebook.com/swissridgekennels</t>
        </is>
      </c>
      <c r="D39" s="6" t="inlineStr">
        <is>
          <t>Cần quét Bio Fanpage</t>
        </is>
      </c>
      <c r="E39" s="53" t="inlineStr">
        <is>
          <t>12/10/2026 20:00:17</t>
        </is>
      </c>
      <c r="F39" s="53" t="inlineStr">
        <is>
          <t>5 giờ trước</t>
        </is>
      </c>
      <c r="G39" s="55" t="n">
        <v>0.21</v>
      </c>
      <c r="H39" s="56" t="n">
        <v>32</v>
      </c>
      <c r="I39" s="6" t="inlineStr">
        <is>
          <t>Dog Breeder / Trại chó chuyên nghiệp (28-30đ)</t>
        </is>
      </c>
      <c r="J39" s="56" t="n">
        <v>30</v>
      </c>
      <c r="K39" s="6" t="inlineStr">
        <is>
          <t>Chưa rõ giống (Cần quét Bio)</t>
        </is>
      </c>
      <c r="L39" s="56" t="n">
        <v>0</v>
      </c>
      <c r="M39" s="56" t="n">
        <v>5</v>
      </c>
      <c r="N39" s="6" t="inlineStr">
        <is>
          <t>Amazon link not found</t>
        </is>
      </c>
      <c r="O39" s="56">
        <f>IF(N39="Selling pet toys + Artificial grass/Pet toilets (TARGET)",15,IF(N39="Selling artificial grass/pet toilets (TARGET)",10,IF(N39="Selling pet toys",7,IF(N39="There's an Amazon link, but no target sales.",3,0))))</f>
        <v/>
      </c>
      <c r="P39" s="65">
        <f>H39+J39+L39+M39+O39</f>
        <v/>
      </c>
      <c r="Q39" s="71" t="inlineStr">
        <is>
          <t>International / Future Expansion</t>
        </is>
      </c>
      <c r="R39" s="6" t="inlineStr">
        <is>
          <t>Trọn gói Take-Home Starter Kit V2/V3 (Cỏ nhân tạo + Khay Potty + Đồ chơi Teething/Snuggle)</t>
        </is>
      </c>
      <c r="S39" s="6" t="inlineStr">
        <is>
          <t>Gắn cờ International / Future Expansion - Không gọi Telesale giai đoạn 1</t>
        </is>
      </c>
    </row>
    <row r="40">
      <c r="A40" s="59" t="n">
        <v>1623</v>
      </c>
      <c r="B40" s="15" t="inlineStr">
        <is>
          <t>Haus Der Wut Kennels</t>
        </is>
      </c>
      <c r="C40" s="60" t="inlineStr">
        <is>
          <t>https://www.facebook.com/profile.php?id=100085091804856</t>
        </is>
      </c>
      <c r="D40" s="9" t="inlineStr">
        <is>
          <t>Cần quét Bio Fanpage</t>
        </is>
      </c>
      <c r="E40" s="59" t="inlineStr">
        <is>
          <t>12/10/2026 19:15:05</t>
        </is>
      </c>
      <c r="F40" s="59" t="inlineStr">
        <is>
          <t>8 giờ trước</t>
        </is>
      </c>
      <c r="G40" s="61" t="n">
        <v>0.33</v>
      </c>
      <c r="H40" s="62" t="n">
        <v>32</v>
      </c>
      <c r="I40" s="9" t="inlineStr">
        <is>
          <t>Dog Breeder / Trại chó chuyên nghiệp (28-30đ)</t>
        </is>
      </c>
      <c r="J40" s="62" t="n">
        <v>30</v>
      </c>
      <c r="K40" s="9" t="inlineStr">
        <is>
          <t>Chưa rõ giống (Cần quét Bio)</t>
        </is>
      </c>
      <c r="L40" s="62" t="n">
        <v>0</v>
      </c>
      <c r="M40" s="62" t="n">
        <v>5</v>
      </c>
      <c r="N40" s="9" t="inlineStr">
        <is>
          <t>Amazon link not found</t>
        </is>
      </c>
      <c r="O40" s="62">
        <f>IF(N40="Selling pet toys + Artificial grass/Pet toilets (TARGET)",15,IF(N40="Selling artificial grass/pet toilets (TARGET)",10,IF(N40="Selling pet toys",7,IF(N40="There's an Amazon link, but no target sales.",3,0))))</f>
        <v/>
      </c>
      <c r="P40" s="67">
        <f>H40+J40+L40+M40+O40</f>
        <v/>
      </c>
      <c r="Q40" s="70" t="inlineStr">
        <is>
          <t>International / Future Expansion</t>
        </is>
      </c>
      <c r="R40" s="9" t="inlineStr">
        <is>
          <t>Trọn gói Take-Home Starter Kit V2/V3 (Cỏ nhân tạo + Khay Potty + Đồ chơi Teething/Snuggle)</t>
        </is>
      </c>
      <c r="S40" s="9" t="inlineStr">
        <is>
          <t>Gắn cờ International / Future Expansion - Không gọi Telesale giai đoạn 1</t>
        </is>
      </c>
    </row>
    <row r="41">
      <c r="A41" s="53" t="n">
        <v>3279</v>
      </c>
      <c r="B41" s="12" t="inlineStr">
        <is>
          <t>Vadim Komarov Kennel Unserbund</t>
        </is>
      </c>
      <c r="C41" s="54" t="inlineStr">
        <is>
          <t>https://www.facebook.com/unserbund</t>
        </is>
      </c>
      <c r="D41" s="6" t="inlineStr">
        <is>
          <t>Cần quét Bio Fanpage</t>
        </is>
      </c>
      <c r="E41" s="53" t="inlineStr">
        <is>
          <t>12/10/2026 18:36:44</t>
        </is>
      </c>
      <c r="F41" s="53" t="inlineStr">
        <is>
          <t>12 giờ trước</t>
        </is>
      </c>
      <c r="G41" s="55" t="n">
        <v>0.5</v>
      </c>
      <c r="H41" s="56" t="n">
        <v>32</v>
      </c>
      <c r="I41" s="6" t="inlineStr">
        <is>
          <t>Dog Breeder / Trại chó chuyên nghiệp (28-30đ)</t>
        </is>
      </c>
      <c r="J41" s="56" t="n">
        <v>30</v>
      </c>
      <c r="K41" s="6" t="inlineStr">
        <is>
          <t>Chưa rõ giống (Cần quét Bio)</t>
        </is>
      </c>
      <c r="L41" s="56" t="n">
        <v>0</v>
      </c>
      <c r="M41" s="56" t="n">
        <v>5</v>
      </c>
      <c r="N41" s="6" t="inlineStr">
        <is>
          <t>Amazon link not found</t>
        </is>
      </c>
      <c r="O41" s="56">
        <f>IF(N41="Selling pet toys + Artificial grass/Pet toilets (TARGET)",15,IF(N41="Selling artificial grass/pet toilets (TARGET)",10,IF(N41="Selling pet toys",7,IF(N41="There's an Amazon link, but no target sales.",3,0))))</f>
        <v/>
      </c>
      <c r="P41" s="65">
        <f>H41+J41+L41+M41+O41</f>
        <v/>
      </c>
      <c r="Q41" s="71" t="inlineStr">
        <is>
          <t>International / Future Expansion</t>
        </is>
      </c>
      <c r="R41" s="6" t="inlineStr">
        <is>
          <t>Trọn gói Take-Home Starter Kit V2/V3 (Cỏ nhân tạo + Khay Potty + Đồ chơi Teething/Snuggle)</t>
        </is>
      </c>
      <c r="S41" s="6" t="inlineStr">
        <is>
          <t>Gắn cờ International / Future Expansion - Không gọi Telesale giai đoạn 1</t>
        </is>
      </c>
    </row>
    <row r="42">
      <c r="A42" s="59" t="n">
        <v>3507</v>
      </c>
      <c r="B42" s="15" t="inlineStr">
        <is>
          <t>ฟาร์มสุนัขโกลเด้น JoeGolden Kennel</t>
        </is>
      </c>
      <c r="C42" s="60" t="inlineStr">
        <is>
          <t>https://www.facebook.com/profile.php?id=100063608917401</t>
        </is>
      </c>
      <c r="D42" s="9" t="inlineStr">
        <is>
          <t>Cần quét Bio Fanpage</t>
        </is>
      </c>
      <c r="E42" s="59" t="inlineStr">
        <is>
          <t>12/10/2026 10:49:25</t>
        </is>
      </c>
      <c r="F42" s="59" t="inlineStr">
        <is>
          <t>20 giờ trước</t>
        </is>
      </c>
      <c r="G42" s="61" t="n">
        <v>0.83</v>
      </c>
      <c r="H42" s="62" t="n">
        <v>32</v>
      </c>
      <c r="I42" s="9" t="inlineStr">
        <is>
          <t>Dog Breeder / Trại chó chuyên nghiệp (28-30đ)</t>
        </is>
      </c>
      <c r="J42" s="62" t="n">
        <v>30</v>
      </c>
      <c r="K42" s="9" t="inlineStr">
        <is>
          <t>Chưa rõ giống (Cần quét Bio)</t>
        </is>
      </c>
      <c r="L42" s="62" t="n">
        <v>0</v>
      </c>
      <c r="M42" s="62" t="n">
        <v>5</v>
      </c>
      <c r="N42" s="9" t="inlineStr">
        <is>
          <t>Amazon link not found</t>
        </is>
      </c>
      <c r="O42" s="62">
        <f>IF(N42="Selling pet toys + Artificial grass/Pet toilets (TARGET)",15,IF(N42="Selling artificial grass/pet toilets (TARGET)",10,IF(N42="Selling pet toys",7,IF(N42="There's an Amazon link, but no target sales.",3,0))))</f>
        <v/>
      </c>
      <c r="P42" s="67">
        <f>H42+J42+L42+M42+O42</f>
        <v/>
      </c>
      <c r="Q42" s="70" t="inlineStr">
        <is>
          <t>International / Future Expansion</t>
        </is>
      </c>
      <c r="R42" s="9" t="inlineStr">
        <is>
          <t>Trọn gói Take-Home Starter Kit V2/V3 (Cỏ nhân tạo + Khay Potty + Đồ chơi Teething/Snuggle)</t>
        </is>
      </c>
      <c r="S42" s="9" t="inlineStr">
        <is>
          <t>Gắn cờ International / Future Expansion - Không gọi Telesale giai đoạn 1</t>
        </is>
      </c>
    </row>
    <row r="43">
      <c r="A43" s="53" t="n">
        <v>2406</v>
      </c>
      <c r="B43" s="12" t="inlineStr">
        <is>
          <t>Pattes adorables frenchie</t>
        </is>
      </c>
      <c r="C43" s="54" t="inlineStr">
        <is>
          <t>https://www.facebook.com/profile.php?id=100080465882512</t>
        </is>
      </c>
      <c r="D43" s="6" t="inlineStr">
        <is>
          <t>Cần quét Bio Fanpage</t>
        </is>
      </c>
      <c r="E43" s="53" t="inlineStr">
        <is>
          <t>11/10/2026 21:46:48</t>
        </is>
      </c>
      <c r="F43" s="53" t="inlineStr">
        <is>
          <t>1 ngày trước</t>
        </is>
      </c>
      <c r="G43" s="55" t="n">
        <v>1</v>
      </c>
      <c r="H43" s="56" t="n">
        <v>28</v>
      </c>
      <c r="I43" s="6" t="inlineStr">
        <is>
          <t>Dog Breeder / Trại nhân giống (28-30đ)</t>
        </is>
      </c>
      <c r="J43" s="56" t="n">
        <v>28</v>
      </c>
      <c r="K43" s="6" t="inlineStr">
        <is>
          <t>French Bulldog</t>
        </is>
      </c>
      <c r="L43" s="56" t="n">
        <v>10</v>
      </c>
      <c r="M43" s="56" t="n">
        <v>0</v>
      </c>
      <c r="N43" s="6" t="inlineStr">
        <is>
          <t>Amazon link not found</t>
        </is>
      </c>
      <c r="O43" s="56">
        <f>IF(N43="Selling pet toys + Artificial grass/Pet toilets (TARGET)",15,IF(N43="Selling artificial grass/pet toilets (TARGET)",10,IF(N43="Selling pet toys",7,IF(N43="There's an Amazon link, but no target sales.",3,0))))</f>
        <v/>
      </c>
      <c r="P43" s="65">
        <f>H43+J43+L43+M43+O43</f>
        <v/>
      </c>
      <c r="Q43" s="71" t="inlineStr">
        <is>
          <t>International / Future Expansion</t>
        </is>
      </c>
      <c r="R43" s="6" t="inlineStr">
        <is>
          <t>Trọn gói Take-Home Starter Kit V2/V3 (Cỏ nhân tạo + Khay Potty + Đồ chơi cún con)</t>
        </is>
      </c>
      <c r="S43" s="6" t="inlineStr">
        <is>
          <t>Gắn cờ International / Future Expansion - Không gọi Telesale giai đoạn 1</t>
        </is>
      </c>
    </row>
    <row r="44">
      <c r="A44" s="59" t="n">
        <v>1496</v>
      </c>
      <c r="B44" s="15" t="inlineStr">
        <is>
          <t>German Shepherd Dog in China</t>
        </is>
      </c>
      <c r="C44" s="60" t="inlineStr">
        <is>
          <t>https://www.facebook.com/profile.php?id=100082016169569</t>
        </is>
      </c>
      <c r="D44" s="9" t="inlineStr">
        <is>
          <t>Cần quét Bio Fanpage</t>
        </is>
      </c>
      <c r="E44" s="59" t="inlineStr">
        <is>
          <t>11/10/2026 06:33:33</t>
        </is>
      </c>
      <c r="F44" s="59" t="inlineStr">
        <is>
          <t>1 ngày trước</t>
        </is>
      </c>
      <c r="G44" s="61" t="n">
        <v>1</v>
      </c>
      <c r="H44" s="62" t="n">
        <v>28</v>
      </c>
      <c r="I44" s="9" t="inlineStr">
        <is>
          <t>Dog Breeder / Trại nhân giống (28-30đ)</t>
        </is>
      </c>
      <c r="J44" s="62" t="n">
        <v>28</v>
      </c>
      <c r="K44" s="9" t="inlineStr">
        <is>
          <t>German Shepherd</t>
        </is>
      </c>
      <c r="L44" s="62" t="n">
        <v>10</v>
      </c>
      <c r="M44" s="62" t="n">
        <v>0</v>
      </c>
      <c r="N44" s="9" t="inlineStr">
        <is>
          <t>Amazon link not found</t>
        </is>
      </c>
      <c r="O44" s="62">
        <f>IF(N44="Selling pet toys + Artificial grass/Pet toilets (TARGET)",15,IF(N44="Selling artificial grass/pet toilets (TARGET)",10,IF(N44="Selling pet toys",7,IF(N44="There's an Amazon link, but no target sales.",3,0))))</f>
        <v/>
      </c>
      <c r="P44" s="67">
        <f>H44+J44+L44+M44+O44</f>
        <v/>
      </c>
      <c r="Q44" s="70" t="inlineStr">
        <is>
          <t>International / Future Expansion</t>
        </is>
      </c>
      <c r="R44" s="9" t="inlineStr">
        <is>
          <t>Trọn gói Take-Home Starter Kit V2/V3 (Cỏ nhân tạo + Khay Potty + Đồ chơi cún con)</t>
        </is>
      </c>
      <c r="S44" s="9" t="inlineStr">
        <is>
          <t>Gắn cờ International / Future Expansion - Không gọi Telesale giai đoạn 1</t>
        </is>
      </c>
    </row>
    <row r="45">
      <c r="A45" s="53" t="n">
        <v>1433</v>
      </c>
      <c r="B45" s="12" t="inlineStr">
        <is>
          <t>French Bulldog Awareness Group of Perth, Western Australia</t>
        </is>
      </c>
      <c r="C45" s="54" t="inlineStr">
        <is>
          <t>https://www.facebook.com/PerthFrenchBulldogAwarenessGroupofWA</t>
        </is>
      </c>
      <c r="D45" s="6" t="inlineStr">
        <is>
          <t>Cần quét Bio Fanpage</t>
        </is>
      </c>
      <c r="E45" s="53" t="inlineStr">
        <is>
          <t>10/10/2026 18:56:04</t>
        </is>
      </c>
      <c r="F45" s="53" t="inlineStr">
        <is>
          <t>2 ngày trước</t>
        </is>
      </c>
      <c r="G45" s="55" t="n">
        <v>2</v>
      </c>
      <c r="H45" s="56" t="n">
        <v>28</v>
      </c>
      <c r="I45" s="6" t="inlineStr">
        <is>
          <t>Dog Breeder / Trại nhân giống (28-30đ)</t>
        </is>
      </c>
      <c r="J45" s="56" t="n">
        <v>28</v>
      </c>
      <c r="K45" s="6" t="inlineStr">
        <is>
          <t>French Bulldog</t>
        </is>
      </c>
      <c r="L45" s="56" t="n">
        <v>10</v>
      </c>
      <c r="M45" s="56" t="n">
        <v>0</v>
      </c>
      <c r="N45" s="6" t="inlineStr">
        <is>
          <t>Amazon link not found</t>
        </is>
      </c>
      <c r="O45" s="56">
        <f>IF(N45="Selling pet toys + Artificial grass/Pet toilets (TARGET)",15,IF(N45="Selling artificial grass/pet toilets (TARGET)",10,IF(N45="Selling pet toys",7,IF(N45="There's an Amazon link, but no target sales.",3,0))))</f>
        <v/>
      </c>
      <c r="P45" s="65">
        <f>H45+J45+L45+M45+O45</f>
        <v/>
      </c>
      <c r="Q45" s="71" t="inlineStr">
        <is>
          <t>International / Future Expansion</t>
        </is>
      </c>
      <c r="R45" s="6" t="inlineStr">
        <is>
          <t>Trọn gói Take-Home Starter Kit V2/V3 (Cỏ nhân tạo + Khay Potty + Đồ chơi cún con)</t>
        </is>
      </c>
      <c r="S45" s="6" t="inlineStr">
        <is>
          <t>Gắn cờ International / Future Expansion - Không gọi Telesale giai đoạn 1</t>
        </is>
      </c>
    </row>
    <row r="46">
      <c r="A46" s="59" t="n">
        <v>1664</v>
      </c>
      <c r="B46" s="15" t="inlineStr">
        <is>
          <t>Hodowla Puppy Love Yorkshire Terrier &amp; Pomeranian</t>
        </is>
      </c>
      <c r="C46" s="60" t="inlineStr">
        <is>
          <t>https://www.facebook.com/profile.php?id=100063554951460</t>
        </is>
      </c>
      <c r="D46" s="9" t="inlineStr">
        <is>
          <t>Cần quét Bio Fanpage</t>
        </is>
      </c>
      <c r="E46" s="59" t="inlineStr">
        <is>
          <t>10/10/2026 18:21:57</t>
        </is>
      </c>
      <c r="F46" s="59" t="inlineStr">
        <is>
          <t>2 ngày trước</t>
        </is>
      </c>
      <c r="G46" s="61" t="n">
        <v>2</v>
      </c>
      <c r="H46" s="62" t="n">
        <v>28</v>
      </c>
      <c r="I46" s="9" t="inlineStr">
        <is>
          <t>Dog Breeder / Trại chó chuyên nghiệp (28-30đ)</t>
        </is>
      </c>
      <c r="J46" s="62" t="n">
        <v>28</v>
      </c>
      <c r="K46" s="9" t="inlineStr">
        <is>
          <t>Terrier (Jack Russell/Yorkie/Boston/Staffy), Husky / Malamute / Samoyed / Spitz</t>
        </is>
      </c>
      <c r="L46" s="62" t="n">
        <v>5</v>
      </c>
      <c r="M46" s="62" t="n">
        <v>5</v>
      </c>
      <c r="N46" s="9" t="inlineStr">
        <is>
          <t>Amazon link not found</t>
        </is>
      </c>
      <c r="O46" s="62">
        <f>IF(N46="Selling pet toys + Artificial grass/Pet toilets (TARGET)",15,IF(N46="Selling artificial grass/pet toilets (TARGET)",10,IF(N46="Selling pet toys",7,IF(N46="There's an Amazon link, but no target sales.",3,0))))</f>
        <v/>
      </c>
      <c r="P46" s="67">
        <f>H46+J46+L46+M46+O46</f>
        <v/>
      </c>
      <c r="Q46" s="70" t="inlineStr">
        <is>
          <t>International / Future Expansion</t>
        </is>
      </c>
      <c r="R46" s="9" t="inlineStr">
        <is>
          <t>Trọn gói Take-Home Starter Kit V2/V3 (Cỏ nhân tạo + Khay Potty + Đồ chơi Teething/Snuggle)</t>
        </is>
      </c>
      <c r="S46" s="9" t="inlineStr">
        <is>
          <t>Gắn cờ International / Future Expansion - Không gọi Telesale giai đoạn 1</t>
        </is>
      </c>
    </row>
    <row r="47">
      <c r="A47" s="53" t="n">
        <v>2666</v>
      </c>
      <c r="B47" s="12" t="inlineStr">
        <is>
          <t>Puppy Smile House พุดเดิ้ล ฯลฯ</t>
        </is>
      </c>
      <c r="C47" s="54" t="inlineStr">
        <is>
          <t>https://www.facebook.com/profile.php?id=100064771360160</t>
        </is>
      </c>
      <c r="D47" s="6" t="inlineStr">
        <is>
          <t>Cần quét Bio Fanpage</t>
        </is>
      </c>
      <c r="E47" s="53" t="inlineStr">
        <is>
          <t>12/10/2026 20:50:32</t>
        </is>
      </c>
      <c r="F47" s="53" t="inlineStr">
        <is>
          <t>8 giờ trước</t>
        </is>
      </c>
      <c r="G47" s="55" t="n">
        <v>0.33</v>
      </c>
      <c r="H47" s="56" t="n">
        <v>32</v>
      </c>
      <c r="I47" s="6" t="inlineStr">
        <is>
          <t>Dog Breeder / Trại chó chuyên nghiệp (28-30đ)</t>
        </is>
      </c>
      <c r="J47" s="56" t="n">
        <v>28</v>
      </c>
      <c r="K47" s="6" t="inlineStr">
        <is>
          <t>Chưa rõ giống (Cần quét Bio)</t>
        </is>
      </c>
      <c r="L47" s="56" t="n">
        <v>0</v>
      </c>
      <c r="M47" s="56" t="n">
        <v>5</v>
      </c>
      <c r="N47" s="6" t="inlineStr">
        <is>
          <t>Amazon link not found</t>
        </is>
      </c>
      <c r="O47" s="56">
        <f>IF(N47="Selling pet toys + Artificial grass/Pet toilets (TARGET)",15,IF(N47="Selling artificial grass/pet toilets (TARGET)",10,IF(N47="Selling pet toys",7,IF(N47="There's an Amazon link, but no target sales.",3,0))))</f>
        <v/>
      </c>
      <c r="P47" s="65">
        <f>H47+J47+L47+M47+O47</f>
        <v/>
      </c>
      <c r="Q47" s="71" t="inlineStr">
        <is>
          <t>International / Future Expansion</t>
        </is>
      </c>
      <c r="R47" s="6" t="inlineStr">
        <is>
          <t>Trọn gói Take-Home Starter Kit V2/V3 (Cỏ nhân tạo + Khay Potty + Đồ chơi Teething/Snuggle)</t>
        </is>
      </c>
      <c r="S47" s="6" t="inlineStr">
        <is>
          <t>Gắn cờ International / Future Expansion - Không gọi Telesale giai đoạn 1</t>
        </is>
      </c>
    </row>
    <row r="48">
      <c r="A48" s="59" t="n">
        <v>627</v>
      </c>
      <c r="B48" s="15" t="inlineStr">
        <is>
          <t>Belnois Bernese Mountain Dogs - Les Bouviers Bernois Belnois</t>
        </is>
      </c>
      <c r="C48" s="60" t="inlineStr">
        <is>
          <t>https://www.facebook.com/profile.php?id=100064574956737</t>
        </is>
      </c>
      <c r="D48" s="9" t="inlineStr">
        <is>
          <t>Cần quét Bio Fanpage</t>
        </is>
      </c>
      <c r="E48" s="59" t="inlineStr">
        <is>
          <t>12/10/2026 19:06:25</t>
        </is>
      </c>
      <c r="F48" s="59" t="inlineStr">
        <is>
          <t>6 giờ trước</t>
        </is>
      </c>
      <c r="G48" s="61" t="n">
        <v>0.25</v>
      </c>
      <c r="H48" s="62" t="n">
        <v>32</v>
      </c>
      <c r="I48" s="9" t="inlineStr">
        <is>
          <t>Dog Breeder / Trại chó chuyên nghiệp (28-30đ)</t>
        </is>
      </c>
      <c r="J48" s="62" t="n">
        <v>28</v>
      </c>
      <c r="K48" s="9" t="inlineStr">
        <is>
          <t>Bernese Mountain Dog</t>
        </is>
      </c>
      <c r="L48" s="62" t="n">
        <v>5</v>
      </c>
      <c r="M48" s="62" t="n">
        <v>0</v>
      </c>
      <c r="N48" s="9" t="inlineStr">
        <is>
          <t>Amazon link not found</t>
        </is>
      </c>
      <c r="O48" s="62">
        <f>IF(N48="Selling pet toys + Artificial grass/Pet toilets (TARGET)",15,IF(N48="Selling artificial grass/pet toilets (TARGET)",10,IF(N48="Selling pet toys",7,IF(N48="There's an Amazon link, but no target sales.",3,0))))</f>
        <v/>
      </c>
      <c r="P48" s="67">
        <f>H48+J48+L48+M48+O48</f>
        <v/>
      </c>
      <c r="Q48" s="70" t="inlineStr">
        <is>
          <t>International / Future Expansion</t>
        </is>
      </c>
      <c r="R48" s="9" t="inlineStr">
        <is>
          <t>Trọn gói Take-Home Starter Kit V2/V3 (Cỏ nhân tạo + Khay Potty + Đồ chơi Teething/Snuggle)</t>
        </is>
      </c>
      <c r="S48" s="9" t="inlineStr">
        <is>
          <t>Gắn cờ International / Future Expansion - Không gọi Telesale giai đoạn 1</t>
        </is>
      </c>
    </row>
    <row r="49">
      <c r="A49" s="53" t="n">
        <v>1569</v>
      </c>
      <c r="B49" s="12" t="inlineStr">
        <is>
          <t>Greyhound Trust</t>
        </is>
      </c>
      <c r="C49" s="54" t="inlineStr">
        <is>
          <t>https://www.facebook.com/greyhoundtrust</t>
        </is>
      </c>
      <c r="D49" s="6" t="inlineStr">
        <is>
          <t>Cần quét Bio Fanpage</t>
        </is>
      </c>
      <c r="E49" s="53" t="inlineStr">
        <is>
          <t>12/10/2026 17:01:04</t>
        </is>
      </c>
      <c r="F49" s="53" t="inlineStr">
        <is>
          <t>10 giờ trước</t>
        </is>
      </c>
      <c r="G49" s="55" t="n">
        <v>0.42</v>
      </c>
      <c r="H49" s="56" t="n">
        <v>32</v>
      </c>
      <c r="I49" s="6" t="inlineStr">
        <is>
          <t>Dog Breeder / Trại nhân giống (28-30đ)</t>
        </is>
      </c>
      <c r="J49" s="56" t="n">
        <v>28</v>
      </c>
      <c r="K49" s="6" t="inlineStr">
        <is>
          <t>Hound / Beagle / Basset</t>
        </is>
      </c>
      <c r="L49" s="56" t="n">
        <v>5</v>
      </c>
      <c r="M49" s="56" t="n">
        <v>0</v>
      </c>
      <c r="N49" s="6" t="inlineStr">
        <is>
          <t>Amazon link not found</t>
        </is>
      </c>
      <c r="O49" s="56">
        <f>IF(N49="Selling pet toys + Artificial grass/Pet toilets (TARGET)",15,IF(N49="Selling artificial grass/pet toilets (TARGET)",10,IF(N49="Selling pet toys",7,IF(N49="There's an Amazon link, but no target sales.",3,0))))</f>
        <v/>
      </c>
      <c r="P49" s="65">
        <f>H49+J49+L49+M49+O49</f>
        <v/>
      </c>
      <c r="Q49" s="71" t="inlineStr">
        <is>
          <t>International / Future Expansion</t>
        </is>
      </c>
      <c r="R49" s="6" t="inlineStr">
        <is>
          <t>Trọn gói Take-Home Starter Kit V2/V3 (Cỏ nhân tạo + Khay Potty + Đồ chơi cún con)</t>
        </is>
      </c>
      <c r="S49" s="6" t="inlineStr">
        <is>
          <t>Gắn cờ International / Future Expansion - Không gọi Telesale giai đoạn 1</t>
        </is>
      </c>
    </row>
    <row r="50">
      <c r="A50" s="59" t="n">
        <v>208</v>
      </c>
      <c r="B50" s="15" t="inlineStr">
        <is>
          <t>La Petite Frog</t>
        </is>
      </c>
      <c r="C50" s="60" t="inlineStr">
        <is>
          <t>https://www.facebook.com/www.lapetitefrog.co.uk</t>
        </is>
      </c>
      <c r="D50" s="9" t="inlineStr">
        <is>
          <t>Cần quét Bio Fanpage</t>
        </is>
      </c>
      <c r="E50" s="59" t="inlineStr">
        <is>
          <t>12/10/2026 14:47:36</t>
        </is>
      </c>
      <c r="F50" s="59" t="inlineStr">
        <is>
          <t>10 giờ trước</t>
        </is>
      </c>
      <c r="G50" s="61" t="n">
        <v>0.42</v>
      </c>
      <c r="H50" s="62" t="n">
        <v>32</v>
      </c>
      <c r="I50" s="9" t="inlineStr">
        <is>
          <t>Dog Breeder / Trại nhân giống (28-30đ)</t>
        </is>
      </c>
      <c r="J50" s="62" t="n">
        <v>28</v>
      </c>
      <c r="K50" s="9" t="inlineStr">
        <is>
          <t>Chưa rõ giống (Cần quét Bio)</t>
        </is>
      </c>
      <c r="L50" s="62" t="n">
        <v>0</v>
      </c>
      <c r="M50" s="62" t="n">
        <v>5</v>
      </c>
      <c r="N50" s="9" t="inlineStr">
        <is>
          <t>Amazon link not found</t>
        </is>
      </c>
      <c r="O50" s="62">
        <f>IF(N50="Selling pet toys + Artificial grass/Pet toilets (TARGET)",15,IF(N50="Selling artificial grass/pet toilets (TARGET)",10,IF(N50="Selling pet toys",7,IF(N50="There's an Amazon link, but no target sales.",3,0))))</f>
        <v/>
      </c>
      <c r="P50" s="67">
        <f>H50+J50+L50+M50+O50</f>
        <v/>
      </c>
      <c r="Q50" s="70" t="inlineStr">
        <is>
          <t>International / Future Expansion</t>
        </is>
      </c>
      <c r="R50" s="9" t="inlineStr">
        <is>
          <t>Trọn gói Take-Home Starter Kit V2/V3 (Cỏ nhân tạo + Khay Potty + Đồ chơi cún con)</t>
        </is>
      </c>
      <c r="S50" s="9" t="inlineStr">
        <is>
          <t>Gắn cờ International / Future Expansion - Không gọi Telesale giai đoạn 1</t>
        </is>
      </c>
    </row>
    <row r="51">
      <c r="A51" s="53" t="n">
        <v>114</v>
      </c>
      <c r="B51" s="12" t="inlineStr">
        <is>
          <t>Berner Sennenhunde von den Helvetiern am Erbach</t>
        </is>
      </c>
      <c r="C51" s="54" t="inlineStr">
        <is>
          <t>https://www.facebook.com/profile.php?id=100064627010906</t>
        </is>
      </c>
      <c r="D51" s="6" t="inlineStr">
        <is>
          <t>Cần quét Bio Fanpage</t>
        </is>
      </c>
      <c r="E51" s="53" t="inlineStr">
        <is>
          <t>12/10/2026 04:51:39</t>
        </is>
      </c>
      <c r="F51" s="53" t="inlineStr">
        <is>
          <t>20 giờ trước</t>
        </is>
      </c>
      <c r="G51" s="55" t="n">
        <v>0.83</v>
      </c>
      <c r="H51" s="56" t="n">
        <v>32</v>
      </c>
      <c r="I51" s="6" t="inlineStr">
        <is>
          <t>Dog Breeder / Trại nhân giống (28-30đ)</t>
        </is>
      </c>
      <c r="J51" s="56" t="n">
        <v>28</v>
      </c>
      <c r="K51" s="6" t="inlineStr">
        <is>
          <t>Bernese Mountain Dog</t>
        </is>
      </c>
      <c r="L51" s="56" t="n">
        <v>5</v>
      </c>
      <c r="M51" s="56" t="n">
        <v>0</v>
      </c>
      <c r="N51" s="6" t="inlineStr">
        <is>
          <t>Amazon link not found</t>
        </is>
      </c>
      <c r="O51" s="56">
        <f>IF(N51="Selling pet toys + Artificial grass/Pet toilets (TARGET)",15,IF(N51="Selling artificial grass/pet toilets (TARGET)",10,IF(N51="Selling pet toys",7,IF(N51="There's an Amazon link, but no target sales.",3,0))))</f>
        <v/>
      </c>
      <c r="P51" s="65">
        <f>H51+J51+L51+M51+O51</f>
        <v/>
      </c>
      <c r="Q51" s="71" t="inlineStr">
        <is>
          <t>International / Future Expansion</t>
        </is>
      </c>
      <c r="R51" s="6" t="inlineStr">
        <is>
          <t>Trọn gói Take-Home Starter Kit V2/V3 (Cỏ nhân tạo + Khay Potty + Đồ chơi cún con)</t>
        </is>
      </c>
      <c r="S51" s="6" t="inlineStr">
        <is>
          <t>Gắn cờ International / Future Expansion - Không gọi Telesale giai đoạn 1</t>
        </is>
      </c>
    </row>
    <row r="52">
      <c r="A52" s="59" t="n">
        <v>2583</v>
      </c>
      <c r="B52" s="15" t="inlineStr">
        <is>
          <t>Planet of paws kennel  (Šišanje i nega pasa)</t>
        </is>
      </c>
      <c r="C52" s="60" t="inlineStr">
        <is>
          <t>https://www.facebook.com/planetofpawsaa</t>
        </is>
      </c>
      <c r="D52" s="9" t="inlineStr">
        <is>
          <t>Cần quét Bio Fanpage</t>
        </is>
      </c>
      <c r="E52" s="59" t="inlineStr">
        <is>
          <t>12/10/2026 04:38:08</t>
        </is>
      </c>
      <c r="F52" s="59" t="inlineStr">
        <is>
          <t>1 ngày trước</t>
        </is>
      </c>
      <c r="G52" s="61" t="n">
        <v>1</v>
      </c>
      <c r="H52" s="62" t="n">
        <v>28</v>
      </c>
      <c r="I52" s="9" t="inlineStr">
        <is>
          <t>Dog Breeder / Trại chó chuyên nghiệp (28-30đ)</t>
        </is>
      </c>
      <c r="J52" s="62" t="n">
        <v>30</v>
      </c>
      <c r="K52" s="9" t="inlineStr">
        <is>
          <t>Chưa rõ giống (Cần quét Bio)</t>
        </is>
      </c>
      <c r="L52" s="62" t="n">
        <v>0</v>
      </c>
      <c r="M52" s="62" t="n">
        <v>5</v>
      </c>
      <c r="N52" s="9" t="inlineStr">
        <is>
          <t>Amazon link not found</t>
        </is>
      </c>
      <c r="O52" s="62">
        <f>IF(N52="Selling pet toys + Artificial grass/Pet toilets (TARGET)",15,IF(N52="Selling artificial grass/pet toilets (TARGET)",10,IF(N52="Selling pet toys",7,IF(N52="There's an Amazon link, but no target sales.",3,0))))</f>
        <v/>
      </c>
      <c r="P52" s="67">
        <f>H52+J52+L52+M52+O52</f>
        <v/>
      </c>
      <c r="Q52" s="70" t="inlineStr">
        <is>
          <t>International / Future Expansion</t>
        </is>
      </c>
      <c r="R52" s="9" t="inlineStr">
        <is>
          <t>Trọn gói Take-Home Starter Kit V2/V3 (Cỏ nhân tạo + Khay Potty + Đồ chơi Teething/Snuggle)</t>
        </is>
      </c>
      <c r="S52" s="9" t="inlineStr">
        <is>
          <t>Gắn cờ International / Future Expansion - Không gọi Telesale giai đoạn 1</t>
        </is>
      </c>
    </row>
    <row r="53">
      <c r="A53" s="53" t="n">
        <v>2657</v>
      </c>
      <c r="B53" s="12" t="inlineStr">
        <is>
          <t>Puppies &amp; Yoga Birmingham</t>
        </is>
      </c>
      <c r="C53" s="54" t="inlineStr">
        <is>
          <t>https://www.facebook.com/profile.php?id=61560761705695</t>
        </is>
      </c>
      <c r="D53" s="6" t="inlineStr">
        <is>
          <t>Cần quét Bio Fanpage</t>
        </is>
      </c>
      <c r="E53" s="53" t="inlineStr">
        <is>
          <t>11/10/2026 23:35:29</t>
        </is>
      </c>
      <c r="F53" s="53" t="inlineStr">
        <is>
          <t>1 ngày trước</t>
        </is>
      </c>
      <c r="G53" s="55" t="n">
        <v>1</v>
      </c>
      <c r="H53" s="56" t="n">
        <v>28</v>
      </c>
      <c r="I53" s="6" t="inlineStr">
        <is>
          <t>Dog Breeder / Trại chó chuyên nghiệp (28-30đ)</t>
        </is>
      </c>
      <c r="J53" s="56" t="n">
        <v>30</v>
      </c>
      <c r="K53" s="6" t="inlineStr">
        <is>
          <t>Chưa rõ giống (Cần quét Bio)</t>
        </is>
      </c>
      <c r="L53" s="56" t="n">
        <v>0</v>
      </c>
      <c r="M53" s="56" t="n">
        <v>5</v>
      </c>
      <c r="N53" s="6" t="inlineStr">
        <is>
          <t>Amazon link not found</t>
        </is>
      </c>
      <c r="O53" s="56">
        <f>IF(N53="Selling pet toys + Artificial grass/Pet toilets (TARGET)",15,IF(N53="Selling artificial grass/pet toilets (TARGET)",10,IF(N53="Selling pet toys",7,IF(N53="There's an Amazon link, but no target sales.",3,0))))</f>
        <v/>
      </c>
      <c r="P53" s="65">
        <f>H53+J53+L53+M53+O53</f>
        <v/>
      </c>
      <c r="Q53" s="71" t="inlineStr">
        <is>
          <t>International / Future Expansion</t>
        </is>
      </c>
      <c r="R53" s="6" t="inlineStr">
        <is>
          <t>Trọn gói Take-Home Starter Kit V2/V3 (Cỏ nhân tạo + Khay Potty + Đồ chơi Teething/Snuggle)</t>
        </is>
      </c>
      <c r="S53" s="6" t="inlineStr">
        <is>
          <t>Gắn cờ International / Future Expansion - Không gọi Telesale giai đoạn 1</t>
        </is>
      </c>
    </row>
    <row r="54">
      <c r="A54" s="59" t="n">
        <v>604</v>
      </c>
      <c r="B54" s="15" t="inlineStr">
        <is>
          <t>Bay du Nord kennel</t>
        </is>
      </c>
      <c r="C54" s="60" t="inlineStr">
        <is>
          <t>https://www.facebook.com/baydunord</t>
        </is>
      </c>
      <c r="D54" s="9" t="inlineStr">
        <is>
          <t>Cần quét Bio Fanpage</t>
        </is>
      </c>
      <c r="E54" s="59" t="inlineStr">
        <is>
          <t>09/10/2026 22:38:25</t>
        </is>
      </c>
      <c r="F54" s="59" t="inlineStr">
        <is>
          <t>3 ngày trước</t>
        </is>
      </c>
      <c r="G54" s="61" t="n">
        <v>3</v>
      </c>
      <c r="H54" s="62" t="n">
        <v>28</v>
      </c>
      <c r="I54" s="9" t="inlineStr">
        <is>
          <t>Dog Breeder / Trại chó chuyên nghiệp (28-30đ)</t>
        </is>
      </c>
      <c r="J54" s="62" t="n">
        <v>30</v>
      </c>
      <c r="K54" s="9" t="inlineStr">
        <is>
          <t>Chưa rõ giống (Cần quét Bio)</t>
        </is>
      </c>
      <c r="L54" s="62" t="n">
        <v>0</v>
      </c>
      <c r="M54" s="62" t="n">
        <v>5</v>
      </c>
      <c r="N54" s="9" t="inlineStr">
        <is>
          <t>Amazon link not found</t>
        </is>
      </c>
      <c r="O54" s="62">
        <f>IF(N54="Selling pet toys + Artificial grass/Pet toilets (TARGET)",15,IF(N54="Selling artificial grass/pet toilets (TARGET)",10,IF(N54="Selling pet toys",7,IF(N54="There's an Amazon link, but no target sales.",3,0))))</f>
        <v/>
      </c>
      <c r="P54" s="67">
        <f>H54+J54+L54+M54+O54</f>
        <v/>
      </c>
      <c r="Q54" s="70" t="inlineStr">
        <is>
          <t>International / Future Expansion</t>
        </is>
      </c>
      <c r="R54" s="9" t="inlineStr">
        <is>
          <t>Trọn gói Take-Home Starter Kit V2/V3 (Cỏ nhân tạo + Khay Potty + Đồ chơi Teething/Snuggle)</t>
        </is>
      </c>
      <c r="S54" s="9" t="inlineStr">
        <is>
          <t>Gắn cờ International / Future Expansion - Không gọi Telesale giai đoạn 1</t>
        </is>
      </c>
    </row>
    <row r="55">
      <c r="A55" s="53" t="n">
        <v>692</v>
      </c>
      <c r="B55" s="12" t="inlineStr">
        <is>
          <t>Blackdown Hills Puppy and Dog Activity Park</t>
        </is>
      </c>
      <c r="C55" s="54" t="inlineStr">
        <is>
          <t>https://www.facebook.com/blackdownhillspuppydogpark</t>
        </is>
      </c>
      <c r="D55" s="6" t="inlineStr">
        <is>
          <t>Cần quét Bio Fanpage</t>
        </is>
      </c>
      <c r="E55" s="53" t="inlineStr">
        <is>
          <t>13/10/2026 00:31:08</t>
        </is>
      </c>
      <c r="F55" s="53" t="inlineStr">
        <is>
          <t>1 giờ trước</t>
        </is>
      </c>
      <c r="G55" s="55" t="n">
        <v>0.04</v>
      </c>
      <c r="H55" s="56" t="n">
        <v>35</v>
      </c>
      <c r="I55" s="6" t="inlineStr">
        <is>
          <t>Pet Boarding / Huấn luyện K9 &amp; Dịch vụ (20-22đ)</t>
        </is>
      </c>
      <c r="J55" s="56" t="n">
        <v>22</v>
      </c>
      <c r="K55" s="6" t="inlineStr">
        <is>
          <t>Chưa rõ giống (Cần quét Bio)</t>
        </is>
      </c>
      <c r="L55" s="56" t="n">
        <v>0</v>
      </c>
      <c r="M55" s="56" t="n">
        <v>5</v>
      </c>
      <c r="N55" s="6" t="inlineStr">
        <is>
          <t>Amazon link not found</t>
        </is>
      </c>
      <c r="O55" s="56">
        <f>IF(N55="Selling pet toys + Artificial grass/Pet toilets (TARGET)",15,IF(N55="Selling artificial grass/pet toilets (TARGET)",10,IF(N55="Selling pet toys",7,IF(N55="There's an Amazon link, but no target sales.",3,0))))</f>
        <v/>
      </c>
      <c r="P55" s="65">
        <f>H55+J55+L55+M55+O55</f>
        <v/>
      </c>
      <c r="Q55" s="71" t="inlineStr">
        <is>
          <t>International / Future Expansion</t>
        </is>
      </c>
      <c r="R55" s="6" t="inlineStr">
        <is>
          <t>Cỏ nhân tạo sân chơi/huấn luyện (Dog Turf) + Đồ chơi nhai chịu lực (KONG/Chew Toys)</t>
        </is>
      </c>
      <c r="S55" s="6" t="inlineStr">
        <is>
          <t>Gắn cờ International / Future Expansion - Không gọi Telesale giai đoạn 1</t>
        </is>
      </c>
    </row>
    <row r="56">
      <c r="A56" s="59" t="n">
        <v>2008</v>
      </c>
      <c r="B56" s="15" t="inlineStr">
        <is>
          <t>Les Cockers du Pays des Petits Chenapans</t>
        </is>
      </c>
      <c r="C56" s="60" t="inlineStr">
        <is>
          <t>https://www.facebook.com/profile.php?id=100063486701461</t>
        </is>
      </c>
      <c r="D56" s="9" t="inlineStr">
        <is>
          <t>Cần quét Bio Fanpage</t>
        </is>
      </c>
      <c r="E56" s="59" t="inlineStr">
        <is>
          <t>11/10/2026 23:18:47</t>
        </is>
      </c>
      <c r="F56" s="59" t="inlineStr">
        <is>
          <t>1 ngày trước</t>
        </is>
      </c>
      <c r="G56" s="61" t="n">
        <v>1</v>
      </c>
      <c r="H56" s="62" t="n">
        <v>28</v>
      </c>
      <c r="I56" s="9" t="inlineStr">
        <is>
          <t>Dog Breeder / Trại nhân giống (28-30đ)</t>
        </is>
      </c>
      <c r="J56" s="62" t="n">
        <v>28</v>
      </c>
      <c r="K56" s="9" t="inlineStr">
        <is>
          <t>Spaniel / Gun Dog / Retriever</t>
        </is>
      </c>
      <c r="L56" s="62" t="n">
        <v>5</v>
      </c>
      <c r="M56" s="62" t="n">
        <v>0</v>
      </c>
      <c r="N56" s="9" t="inlineStr">
        <is>
          <t>Amazon link not found</t>
        </is>
      </c>
      <c r="O56" s="62">
        <f>IF(N56="Selling pet toys + Artificial grass/Pet toilets (TARGET)",15,IF(N56="Selling artificial grass/pet toilets (TARGET)",10,IF(N56="Selling pet toys",7,IF(N56="There's an Amazon link, but no target sales.",3,0))))</f>
        <v/>
      </c>
      <c r="P56" s="67">
        <f>H56+J56+L56+M56+O56</f>
        <v/>
      </c>
      <c r="Q56" s="70" t="inlineStr">
        <is>
          <t>International / Future Expansion</t>
        </is>
      </c>
      <c r="R56" s="9" t="inlineStr">
        <is>
          <t>Trọn gói Take-Home Starter Kit V2/V3 (Cỏ nhân tạo + Khay Potty + Đồ chơi cún con)</t>
        </is>
      </c>
      <c r="S56" s="9" t="inlineStr">
        <is>
          <t>Gắn cờ International / Future Expansion - Không gọi Telesale giai đoạn 1</t>
        </is>
      </c>
    </row>
    <row r="57">
      <c r="A57" s="53" t="n">
        <v>33</v>
      </c>
      <c r="B57" s="12" t="inlineStr">
        <is>
          <t>Alpenspirit bouvier bernois - bernese mountain dog</t>
        </is>
      </c>
      <c r="C57" s="54" t="inlineStr">
        <is>
          <t>https://www.facebook.com/Alpenspirit</t>
        </is>
      </c>
      <c r="D57" s="6" t="inlineStr">
        <is>
          <t>Cần quét Bio Fanpage</t>
        </is>
      </c>
      <c r="E57" s="53" t="inlineStr">
        <is>
          <t>09/10/2026 19:44:16</t>
        </is>
      </c>
      <c r="F57" s="53" t="inlineStr">
        <is>
          <t>3 ngày trước</t>
        </is>
      </c>
      <c r="G57" s="55" t="n">
        <v>3</v>
      </c>
      <c r="H57" s="56" t="n">
        <v>28</v>
      </c>
      <c r="I57" s="6" t="inlineStr">
        <is>
          <t>Dog Breeder / Trại chó chuyên nghiệp (28-30đ)</t>
        </is>
      </c>
      <c r="J57" s="56" t="n">
        <v>28</v>
      </c>
      <c r="K57" s="6" t="inlineStr">
        <is>
          <t>Bernese Mountain Dog</t>
        </is>
      </c>
      <c r="L57" s="56" t="n">
        <v>5</v>
      </c>
      <c r="M57" s="56" t="n">
        <v>0</v>
      </c>
      <c r="N57" s="6" t="inlineStr">
        <is>
          <t>Amazon link not found</t>
        </is>
      </c>
      <c r="O57" s="56">
        <f>IF(N57="Selling pet toys + Artificial grass/Pet toilets (TARGET)",15,IF(N57="Selling artificial grass/pet toilets (TARGET)",10,IF(N57="Selling pet toys",7,IF(N57="There's an Amazon link, but no target sales.",3,0))))</f>
        <v/>
      </c>
      <c r="P57" s="65">
        <f>H57+J57+L57+M57+O57</f>
        <v/>
      </c>
      <c r="Q57" s="71" t="inlineStr">
        <is>
          <t>International / Future Expansion</t>
        </is>
      </c>
      <c r="R57" s="6" t="inlineStr">
        <is>
          <t>Trọn gói Take-Home Starter Kit V2/V3 (Cỏ nhân tạo + Khay Potty + Đồ chơi Teething/Snuggle)</t>
        </is>
      </c>
      <c r="S57" s="6" t="inlineStr">
        <is>
          <t>Gắn cờ International / Future Expansion - Không gọi Telesale giai đoạn 1</t>
        </is>
      </c>
    </row>
    <row r="58">
      <c r="A58" s="59" t="n">
        <v>2252</v>
      </c>
      <c r="B58" s="15" t="inlineStr">
        <is>
          <t>Nakoa Cane Corso Kennel New Zealand</t>
        </is>
      </c>
      <c r="C58" s="60" t="inlineStr">
        <is>
          <t>https://www.facebook.com/NakoaCaneCorso</t>
        </is>
      </c>
      <c r="D58" s="9" t="inlineStr">
        <is>
          <t>Cần quét Bio Fanpage</t>
        </is>
      </c>
      <c r="E58" s="59" t="inlineStr">
        <is>
          <t>07/10/2026 05:13:20</t>
        </is>
      </c>
      <c r="F58" s="59" t="inlineStr">
        <is>
          <t>5 ngày trước</t>
        </is>
      </c>
      <c r="G58" s="61" t="n">
        <v>5</v>
      </c>
      <c r="H58" s="62" t="n">
        <v>20</v>
      </c>
      <c r="I58" s="9" t="inlineStr">
        <is>
          <t>Dog Breeder / Trại chó chuyên nghiệp (28-30đ)</t>
        </is>
      </c>
      <c r="J58" s="62" t="n">
        <v>30</v>
      </c>
      <c r="K58" s="9" t="inlineStr">
        <is>
          <t>Cane Corso / Mastiff</t>
        </is>
      </c>
      <c r="L58" s="62" t="n">
        <v>5</v>
      </c>
      <c r="M58" s="62" t="n">
        <v>5</v>
      </c>
      <c r="N58" s="9" t="inlineStr">
        <is>
          <t>Amazon link not found</t>
        </is>
      </c>
      <c r="O58" s="62">
        <f>IF(N58="Selling pet toys + Artificial grass/Pet toilets (TARGET)",15,IF(N58="Selling artificial grass/pet toilets (TARGET)",10,IF(N58="Selling pet toys",7,IF(N58="There's an Amazon link, but no target sales.",3,0))))</f>
        <v/>
      </c>
      <c r="P58" s="67">
        <f>H58+J58+L58+M58+O58</f>
        <v/>
      </c>
      <c r="Q58" s="70" t="inlineStr">
        <is>
          <t>International / Future Expansion</t>
        </is>
      </c>
      <c r="R58" s="9" t="inlineStr">
        <is>
          <t>Trọn gói Take-Home Starter Kit V2/V3 (Cỏ nhân tạo + Khay Potty + Đồ chơi Teething/Snuggle)</t>
        </is>
      </c>
      <c r="S58" s="9" t="inlineStr">
        <is>
          <t>Gắn cờ International / Future Expansion - Không gọi Telesale giai đoạn 1</t>
        </is>
      </c>
    </row>
    <row r="59">
      <c r="A59" s="53" t="n">
        <v>1952</v>
      </c>
      <c r="B59" s="12" t="inlineStr">
        <is>
          <t>L'Or Noir de Paris - Bouledogue Français</t>
        </is>
      </c>
      <c r="C59" s="54" t="inlineStr">
        <is>
          <t>https://www.facebook.com/bouledoguesfrancais77</t>
        </is>
      </c>
      <c r="D59" s="6" t="inlineStr">
        <is>
          <t>Cần quét Bio Fanpage</t>
        </is>
      </c>
      <c r="E59" s="53" t="inlineStr">
        <is>
          <t>08/10/2026 01:30:12</t>
        </is>
      </c>
      <c r="F59" s="53" t="inlineStr">
        <is>
          <t>5 ngày trước</t>
        </is>
      </c>
      <c r="G59" s="55" t="n">
        <v>5</v>
      </c>
      <c r="H59" s="56" t="n">
        <v>20</v>
      </c>
      <c r="I59" s="6" t="inlineStr">
        <is>
          <t>Dog Breeder / Trại nhân giống (28-30đ)</t>
        </is>
      </c>
      <c r="J59" s="56" t="n">
        <v>28</v>
      </c>
      <c r="K59" s="6" t="inlineStr">
        <is>
          <t>French Bulldog</t>
        </is>
      </c>
      <c r="L59" s="56" t="n">
        <v>10</v>
      </c>
      <c r="M59" s="56" t="n">
        <v>0</v>
      </c>
      <c r="N59" s="6" t="inlineStr">
        <is>
          <t>Amazon link not found</t>
        </is>
      </c>
      <c r="O59" s="56">
        <f>IF(N59="Selling pet toys + Artificial grass/Pet toilets (TARGET)",15,IF(N59="Selling artificial grass/pet toilets (TARGET)",10,IF(N59="Selling pet toys",7,IF(N59="There's an Amazon link, but no target sales.",3,0))))</f>
        <v/>
      </c>
      <c r="P59" s="65">
        <f>H59+J59+L59+M59+O59</f>
        <v/>
      </c>
      <c r="Q59" s="71" t="inlineStr">
        <is>
          <t>International / Future Expansion</t>
        </is>
      </c>
      <c r="R59" s="6" t="inlineStr">
        <is>
          <t>Trọn gói Take-Home Starter Kit V2/V3 (Cỏ nhân tạo + Khay Potty + Đồ chơi cún con)</t>
        </is>
      </c>
      <c r="S59" s="6" t="inlineStr">
        <is>
          <t>Gắn cờ International / Future Expansion - Không gọi Telesale giai đoạn 1</t>
        </is>
      </c>
    </row>
    <row r="60">
      <c r="A60" s="59" t="n">
        <v>3387</v>
      </c>
      <c r="B60" s="15" t="inlineStr">
        <is>
          <t>Wembholt Bulldogs England</t>
        </is>
      </c>
      <c r="C60" s="60" t="inlineStr">
        <is>
          <t>https://www.facebook.com/wembholtbulldogs.england</t>
        </is>
      </c>
      <c r="D60" s="9" t="inlineStr">
        <is>
          <t>Cần quét Bio Fanpage</t>
        </is>
      </c>
      <c r="E60" s="59" t="inlineStr">
        <is>
          <t>02/10/2026 02:14:06</t>
        </is>
      </c>
      <c r="F60" s="59" t="inlineStr">
        <is>
          <t>1 tuần trước</t>
        </is>
      </c>
      <c r="G60" s="61" t="n">
        <v>7</v>
      </c>
      <c r="H60" s="62" t="n">
        <v>20</v>
      </c>
      <c r="I60" s="9" t="inlineStr">
        <is>
          <t>Dog Breeder / Trại chó chuyên nghiệp (28-30đ)</t>
        </is>
      </c>
      <c r="J60" s="62" t="n">
        <v>28</v>
      </c>
      <c r="K60" s="9" t="inlineStr">
        <is>
          <t>English Bulldog</t>
        </is>
      </c>
      <c r="L60" s="62" t="n">
        <v>10</v>
      </c>
      <c r="M60" s="62" t="n">
        <v>0</v>
      </c>
      <c r="N60" s="9" t="inlineStr">
        <is>
          <t>Amazon link not found</t>
        </is>
      </c>
      <c r="O60" s="62">
        <f>IF(N60="Selling pet toys + Artificial grass/Pet toilets (TARGET)",15,IF(N60="Selling artificial grass/pet toilets (TARGET)",10,IF(N60="Selling pet toys",7,IF(N60="There's an Amazon link, but no target sales.",3,0))))</f>
        <v/>
      </c>
      <c r="P60" s="67">
        <f>H60+J60+L60+M60+O60</f>
        <v/>
      </c>
      <c r="Q60" s="70" t="inlineStr">
        <is>
          <t>International / Future Expansion</t>
        </is>
      </c>
      <c r="R60" s="9" t="inlineStr">
        <is>
          <t>Trọn gói Take-Home Starter Kit V2/V3 (Cỏ nhân tạo + Khay Potty + Đồ chơi Teething/Snuggle)</t>
        </is>
      </c>
      <c r="S60" s="9" t="inlineStr">
        <is>
          <t>Gắn cờ International / Future Expansion - Không gọi Telesale giai đoạn 1</t>
        </is>
      </c>
    </row>
    <row r="61">
      <c r="A61" s="53" t="n">
        <v>4046</v>
      </c>
      <c r="B61" s="12" t="inlineStr">
        <is>
          <t>Guard Dog Training Centre</t>
        </is>
      </c>
      <c r="C61" s="54" t="inlineStr">
        <is>
          <t>https://www.facebook.com/GuardDogTrainingCentre</t>
        </is>
      </c>
      <c r="D61" s="6" t="inlineStr">
        <is>
          <t>Cần quét Bio Fanpage</t>
        </is>
      </c>
      <c r="E61" s="53" t="inlineStr">
        <is>
          <t>13/10/2026 06:58:59</t>
        </is>
      </c>
      <c r="F61" s="53" t="inlineStr">
        <is>
          <t>1 giờ trước</t>
        </is>
      </c>
      <c r="G61" s="55" t="n">
        <v>0.04</v>
      </c>
      <c r="H61" s="56" t="n">
        <v>35</v>
      </c>
      <c r="I61" s="6" t="inlineStr">
        <is>
          <t>Pet Boarding / Huấn luyện K9 &amp; Dịch vụ (20-22đ)</t>
        </is>
      </c>
      <c r="J61" s="56" t="n">
        <v>22</v>
      </c>
      <c r="K61" s="6" t="inlineStr">
        <is>
          <t>Chưa rõ giống (Cần quét Bio)</t>
        </is>
      </c>
      <c r="L61" s="56" t="n">
        <v>0</v>
      </c>
      <c r="M61" s="56" t="n">
        <v>0</v>
      </c>
      <c r="N61" s="6" t="inlineStr">
        <is>
          <t>Amazon link not found</t>
        </is>
      </c>
      <c r="O61" s="56">
        <f>IF(N61="Selling pet toys + Artificial grass/Pet toilets (TARGET)",15,IF(N61="Selling artificial grass/pet toilets (TARGET)",10,IF(N61="Selling pet toys",7,IF(N61="There's an Amazon link, but no target sales.",3,0))))</f>
        <v/>
      </c>
      <c r="P61" s="65">
        <f>H61+J61+L61+M61+O61</f>
        <v/>
      </c>
      <c r="Q61" s="71" t="inlineStr">
        <is>
          <t>International / Future Expansion</t>
        </is>
      </c>
      <c r="R61" s="6" t="inlineStr">
        <is>
          <t>Cỏ nhân tạo sân chơi/huấn luyện (Dog Turf) + Đồ chơi nhai chịu lực (KONG/Chew Toys)</t>
        </is>
      </c>
      <c r="S61" s="6" t="inlineStr">
        <is>
          <t>Gắn cờ International / Future Expansion - Không gọi Telesale giai đoạn 1</t>
        </is>
      </c>
    </row>
    <row r="62">
      <c r="A62" s="59" t="n">
        <v>1264</v>
      </c>
      <c r="B62" s="15" t="inlineStr">
        <is>
          <t>Edamentus K9 Training - szkoła dla psów Ostrołęka</t>
        </is>
      </c>
      <c r="C62" s="60" t="inlineStr">
        <is>
          <t>https://www.facebook.com/edamentusK9training</t>
        </is>
      </c>
      <c r="D62" s="9" t="inlineStr">
        <is>
          <t>Cần quét Bio Fanpage</t>
        </is>
      </c>
      <c r="E62" s="59" t="inlineStr">
        <is>
          <t>13/10/2026 00:48:11</t>
        </is>
      </c>
      <c r="F62" s="59" t="inlineStr">
        <is>
          <t>2 giờ trước</t>
        </is>
      </c>
      <c r="G62" s="61" t="n">
        <v>0.08</v>
      </c>
      <c r="H62" s="62" t="n">
        <v>35</v>
      </c>
      <c r="I62" s="9" t="inlineStr">
        <is>
          <t>Pet Boarding / Huấn luyện K9 &amp; Dịch vụ (20-22đ)</t>
        </is>
      </c>
      <c r="J62" s="62" t="n">
        <v>22</v>
      </c>
      <c r="K62" s="9" t="inlineStr">
        <is>
          <t>Chưa rõ giống (Cần quét Bio)</t>
        </is>
      </c>
      <c r="L62" s="62" t="n">
        <v>0</v>
      </c>
      <c r="M62" s="62" t="n">
        <v>0</v>
      </c>
      <c r="N62" s="9" t="inlineStr">
        <is>
          <t>Amazon link not found</t>
        </is>
      </c>
      <c r="O62" s="62">
        <f>IF(N62="Selling pet toys + Artificial grass/Pet toilets (TARGET)",15,IF(N62="Selling artificial grass/pet toilets (TARGET)",10,IF(N62="Selling pet toys",7,IF(N62="There's an Amazon link, but no target sales.",3,0))))</f>
        <v/>
      </c>
      <c r="P62" s="67">
        <f>H62+J62+L62+M62+O62</f>
        <v/>
      </c>
      <c r="Q62" s="70" t="inlineStr">
        <is>
          <t>International / Future Expansion</t>
        </is>
      </c>
      <c r="R62" s="9" t="inlineStr">
        <is>
          <t>Cỏ nhân tạo sân chơi/huấn luyện (Dog Turf) + Đồ chơi nhai chịu lực (KONG/Chew Toys)</t>
        </is>
      </c>
      <c r="S62" s="9" t="inlineStr">
        <is>
          <t>Gắn cờ International / Future Expansion - Không gọi Telesale giai đoạn 1</t>
        </is>
      </c>
    </row>
    <row r="63">
      <c r="A63" s="53" t="n">
        <v>1285</v>
      </c>
      <c r="B63" s="12" t="inlineStr">
        <is>
          <t>England Gundog Team</t>
        </is>
      </c>
      <c r="C63" s="54" t="inlineStr">
        <is>
          <t>https://www.facebook.com/profile.php?id=61585423213668</t>
        </is>
      </c>
      <c r="D63" s="6" t="inlineStr">
        <is>
          <t>Cần quét Bio Fanpage</t>
        </is>
      </c>
      <c r="E63" s="53" t="inlineStr">
        <is>
          <t>12/10/2026 21:34:23</t>
        </is>
      </c>
      <c r="F63" s="53" t="inlineStr">
        <is>
          <t>5 giờ trước</t>
        </is>
      </c>
      <c r="G63" s="55" t="n">
        <v>0.21</v>
      </c>
      <c r="H63" s="56" t="n">
        <v>32</v>
      </c>
      <c r="I63" s="6" t="inlineStr">
        <is>
          <t>Pet Boarding / Huấn luyện K9 &amp; Dịch vụ (20-22đ)</t>
        </is>
      </c>
      <c r="J63" s="56" t="n">
        <v>20</v>
      </c>
      <c r="K63" s="6" t="inlineStr">
        <is>
          <t>Spaniel / Gun Dog / Retriever</t>
        </is>
      </c>
      <c r="L63" s="56" t="n">
        <v>5</v>
      </c>
      <c r="M63" s="56" t="n">
        <v>0</v>
      </c>
      <c r="N63" s="6" t="inlineStr">
        <is>
          <t>Amazon link not found</t>
        </is>
      </c>
      <c r="O63" s="56">
        <f>IF(N63="Selling pet toys + Artificial grass/Pet toilets (TARGET)",15,IF(N63="Selling artificial grass/pet toilets (TARGET)",10,IF(N63="Selling pet toys",7,IF(N63="There's an Amazon link, but no target sales.",3,0))))</f>
        <v/>
      </c>
      <c r="P63" s="65">
        <f>H63+J63+L63+M63+O63</f>
        <v/>
      </c>
      <c r="Q63" s="71" t="inlineStr">
        <is>
          <t>International / Future Expansion</t>
        </is>
      </c>
      <c r="R63" s="6" t="inlineStr">
        <is>
          <t>Cỏ nhân tạo sân chơi/huấn luyện (Dog Turf) + Đồ chơi nhai chịu lực (KONG/Chew Toys)</t>
        </is>
      </c>
      <c r="S63" s="6" t="inlineStr">
        <is>
          <t>Gắn cờ International / Future Expansion - Không gọi Telesale giai đoạn 1</t>
        </is>
      </c>
    </row>
    <row r="64">
      <c r="A64" s="59" t="n">
        <v>924</v>
      </c>
      <c r="B64" s="15" t="inlineStr">
        <is>
          <t>Cocker's Angel - Cocker Spaniel rescue Italia</t>
        </is>
      </c>
      <c r="C64" s="60" t="inlineStr">
        <is>
          <t>https://www.facebook.com/CockersAngelODV</t>
        </is>
      </c>
      <c r="D64" s="9" t="inlineStr">
        <is>
          <t>Cần quét Bio Fanpage</t>
        </is>
      </c>
      <c r="E64" s="59" t="inlineStr">
        <is>
          <t>13/10/2026 02:19:07</t>
        </is>
      </c>
      <c r="F64" s="59" t="inlineStr">
        <is>
          <t>16 phút trước</t>
        </is>
      </c>
      <c r="G64" s="61" t="n">
        <v>0.01</v>
      </c>
      <c r="H64" s="62" t="n">
        <v>35</v>
      </c>
      <c r="I64" s="9" t="inlineStr">
        <is>
          <t>Pet Rescue / Trạm cứu trợ (14-16đ)</t>
        </is>
      </c>
      <c r="J64" s="62" t="n">
        <v>16</v>
      </c>
      <c r="K64" s="9" t="inlineStr">
        <is>
          <t>Spaniel / Gun Dog / Retriever</t>
        </is>
      </c>
      <c r="L64" s="62" t="n">
        <v>5</v>
      </c>
      <c r="M64" s="62" t="n">
        <v>0</v>
      </c>
      <c r="N64" s="9" t="inlineStr">
        <is>
          <t>Amazon link not found</t>
        </is>
      </c>
      <c r="O64" s="62">
        <f>IF(N64="Selling pet toys + Artificial grass/Pet toilets (TARGET)",15,IF(N64="Selling artificial grass/pet toilets (TARGET)",10,IF(N64="Selling pet toys",7,IF(N64="There's an Amazon link, but no target sales.",3,0))))</f>
        <v/>
      </c>
      <c r="P64" s="67">
        <f>H64+J64+L64+M64+O64</f>
        <v/>
      </c>
      <c r="Q64" s="70" t="inlineStr">
        <is>
          <t>International / Future Expansion</t>
        </is>
      </c>
      <c r="R64" s="9" t="inlineStr">
        <is>
          <t>Nhà vệ sinh &amp; Tã lót (Potty Tray / Pee Pads) + Cỏ nhân tạo lót chuồng</t>
        </is>
      </c>
      <c r="S64" s="9" t="inlineStr">
        <is>
          <t>Gắn cờ International / Future Expansion - Không gọi Telesale giai đoạn 1</t>
        </is>
      </c>
    </row>
    <row r="65">
      <c r="A65" s="53" t="n">
        <v>819</v>
      </c>
      <c r="B65" s="12" t="inlineStr">
        <is>
          <t>Canadian Chihuahua Rescue and Transport (CCRT)</t>
        </is>
      </c>
      <c r="C65" s="54" t="inlineStr">
        <is>
          <t>https://www.facebook.com/CCRT.Rescue</t>
        </is>
      </c>
      <c r="D65" s="6" t="inlineStr">
        <is>
          <t>Cần quét Bio Fanpage</t>
        </is>
      </c>
      <c r="E65" s="53" t="inlineStr">
        <is>
          <t>13/10/2026 02:15:28</t>
        </is>
      </c>
      <c r="F65" s="53" t="inlineStr">
        <is>
          <t>8 phút trước</t>
        </is>
      </c>
      <c r="G65" s="55" t="n">
        <v>0.01</v>
      </c>
      <c r="H65" s="56" t="n">
        <v>35</v>
      </c>
      <c r="I65" s="6" t="inlineStr">
        <is>
          <t>Pet Rescue / Trạm cứu trợ (14-16đ)</t>
        </is>
      </c>
      <c r="J65" s="56" t="n">
        <v>16</v>
      </c>
      <c r="K65" s="6" t="inlineStr">
        <is>
          <t>Chihuahua / Toy Companion</t>
        </is>
      </c>
      <c r="L65" s="56" t="n">
        <v>5</v>
      </c>
      <c r="M65" s="56" t="n">
        <v>0</v>
      </c>
      <c r="N65" s="6" t="inlineStr">
        <is>
          <t>Amazon link not found</t>
        </is>
      </c>
      <c r="O65" s="56">
        <f>IF(N65="Selling pet toys + Artificial grass/Pet toilets (TARGET)",15,IF(N65="Selling artificial grass/pet toilets (TARGET)",10,IF(N65="Selling pet toys",7,IF(N65="There's an Amazon link, but no target sales.",3,0))))</f>
        <v/>
      </c>
      <c r="P65" s="65">
        <f>H65+J65+L65+M65+O65</f>
        <v/>
      </c>
      <c r="Q65" s="71" t="inlineStr">
        <is>
          <t>International / Future Expansion</t>
        </is>
      </c>
      <c r="R65" s="6" t="inlineStr">
        <is>
          <t>Nhà vệ sinh &amp; Tã lót (Potty Tray / Pee Pads) + Cỏ nhân tạo lót chuồng</t>
        </is>
      </c>
      <c r="S65" s="6" t="inlineStr">
        <is>
          <t>Gắn cờ International / Future Expansion - Không gọi Telesale giai đoạn 1</t>
        </is>
      </c>
    </row>
    <row r="66">
      <c r="A66" s="59" t="n">
        <v>1629</v>
      </c>
      <c r="B66" s="15" t="inlineStr">
        <is>
          <t>Hawkesbury Lawn &amp; Garden Care</t>
        </is>
      </c>
      <c r="C66" s="60" t="inlineStr">
        <is>
          <t>https://www.facebook.com/profile.php?id=61573738175475</t>
        </is>
      </c>
      <c r="D66" s="9" t="inlineStr">
        <is>
          <t>Cần quét Bio Fanpage</t>
        </is>
      </c>
      <c r="E66" s="59" t="inlineStr">
        <is>
          <t>11/10/2026 17:17:03</t>
        </is>
      </c>
      <c r="F66" s="59" t="inlineStr">
        <is>
          <t>1 ngày trước</t>
        </is>
      </c>
      <c r="G66" s="61" t="n">
        <v>1</v>
      </c>
      <c r="H66" s="62" t="n">
        <v>28</v>
      </c>
      <c r="I66" s="9" t="inlineStr">
        <is>
          <t>Pet Boarding / Huấn luyện K9 &amp; Dịch vụ (20-22đ)</t>
        </is>
      </c>
      <c r="J66" s="62" t="n">
        <v>22</v>
      </c>
      <c r="K66" s="9" t="inlineStr">
        <is>
          <t>Chưa rõ giống (Cần quét Bio)</t>
        </is>
      </c>
      <c r="L66" s="62" t="n">
        <v>0</v>
      </c>
      <c r="M66" s="62" t="n">
        <v>5</v>
      </c>
      <c r="N66" s="9" t="inlineStr">
        <is>
          <t>Amazon link not found</t>
        </is>
      </c>
      <c r="O66" s="62">
        <f>IF(N66="Selling pet toys + Artificial grass/Pet toilets (TARGET)",15,IF(N66="Selling artificial grass/pet toilets (TARGET)",10,IF(N66="Selling pet toys",7,IF(N66="There's an Amazon link, but no target sales.",3,0))))</f>
        <v/>
      </c>
      <c r="P66" s="67">
        <f>H66+J66+L66+M66+O66</f>
        <v/>
      </c>
      <c r="Q66" s="70" t="inlineStr">
        <is>
          <t>International / Future Expansion</t>
        </is>
      </c>
      <c r="R66" s="9" t="inlineStr">
        <is>
          <t>Cỏ nhân tạo sân chơi/huấn luyện (Dog Turf) + Đồ chơi nhai chịu lực (KONG/Chew Toys)</t>
        </is>
      </c>
      <c r="S66" s="9" t="inlineStr">
        <is>
          <t>Gắn cờ International / Future Expansion - Không gọi Telesale giai đoạn 1</t>
        </is>
      </c>
    </row>
    <row r="67">
      <c r="A67" s="53" t="n">
        <v>2803</v>
      </c>
      <c r="B67" s="12" t="inlineStr">
        <is>
          <t>Rêve Des Loups Bleus Kennel</t>
        </is>
      </c>
      <c r="C67" s="54" t="inlineStr">
        <is>
          <t>https://www.facebook.com/OLD.INUIT.DOG</t>
        </is>
      </c>
      <c r="D67" s="6" t="inlineStr">
        <is>
          <t>Cần quét Bio Fanpage</t>
        </is>
      </c>
      <c r="E67" s="53" t="inlineStr">
        <is>
          <t>08/10/2026 13:10:10</t>
        </is>
      </c>
      <c r="F67" s="53" t="inlineStr">
        <is>
          <t>4 ngày trước</t>
        </is>
      </c>
      <c r="G67" s="55" t="n">
        <v>4</v>
      </c>
      <c r="H67" s="56" t="n">
        <v>20</v>
      </c>
      <c r="I67" s="6" t="inlineStr">
        <is>
          <t>Dog Breeder / Trại chó chuyên nghiệp (28-30đ)</t>
        </is>
      </c>
      <c r="J67" s="56" t="n">
        <v>30</v>
      </c>
      <c r="K67" s="6" t="inlineStr">
        <is>
          <t>Chưa rõ giống (Cần quét Bio)</t>
        </is>
      </c>
      <c r="L67" s="56" t="n">
        <v>0</v>
      </c>
      <c r="M67" s="56" t="n">
        <v>5</v>
      </c>
      <c r="N67" s="6" t="inlineStr">
        <is>
          <t>Amazon link not found</t>
        </is>
      </c>
      <c r="O67" s="56">
        <f>IF(N67="Selling pet toys + Artificial grass/Pet toilets (TARGET)",15,IF(N67="Selling artificial grass/pet toilets (TARGET)",10,IF(N67="Selling pet toys",7,IF(N67="There's an Amazon link, but no target sales.",3,0))))</f>
        <v/>
      </c>
      <c r="P67" s="65">
        <f>H67+J67+L67+M67+O67</f>
        <v/>
      </c>
      <c r="Q67" s="71" t="inlineStr">
        <is>
          <t>International / Future Expansion</t>
        </is>
      </c>
      <c r="R67" s="6" t="inlineStr">
        <is>
          <t>Trọn gói Take-Home Starter Kit V2/V3 (Cỏ nhân tạo + Khay Potty + Đồ chơi Teething/Snuggle)</t>
        </is>
      </c>
      <c r="S67" s="6" t="inlineStr">
        <is>
          <t>Gắn cờ International / Future Expansion - Không gọi Telesale giai đoạn 1</t>
        </is>
      </c>
    </row>
    <row r="68">
      <c r="A68" s="59" t="n">
        <v>3347</v>
      </c>
      <c r="B68" s="15" t="inlineStr">
        <is>
          <t>Von Goedehaus Kennels and Dog Training</t>
        </is>
      </c>
      <c r="C68" s="60" t="inlineStr">
        <is>
          <t>https://www.facebook.com/VGHKennels</t>
        </is>
      </c>
      <c r="D68" s="9" t="inlineStr">
        <is>
          <t>Cần quét Bio Fanpage</t>
        </is>
      </c>
      <c r="E68" s="59" t="inlineStr">
        <is>
          <t>06/10/2026 08:50:01</t>
        </is>
      </c>
      <c r="F68" s="59" t="inlineStr">
        <is>
          <t>6 ngày trước</t>
        </is>
      </c>
      <c r="G68" s="61" t="n">
        <v>6</v>
      </c>
      <c r="H68" s="62" t="n">
        <v>20</v>
      </c>
      <c r="I68" s="9" t="inlineStr">
        <is>
          <t>Dog Breeder / Trại chó chuyên nghiệp (28-30đ)</t>
        </is>
      </c>
      <c r="J68" s="62" t="n">
        <v>30</v>
      </c>
      <c r="K68" s="9" t="inlineStr">
        <is>
          <t>Chưa rõ giống (Cần quét Bio)</t>
        </is>
      </c>
      <c r="L68" s="62" t="n">
        <v>0</v>
      </c>
      <c r="M68" s="62" t="n">
        <v>5</v>
      </c>
      <c r="N68" s="9" t="inlineStr">
        <is>
          <t>Amazon link not found</t>
        </is>
      </c>
      <c r="O68" s="62">
        <f>IF(N68="Selling pet toys + Artificial grass/Pet toilets (TARGET)",15,IF(N68="Selling artificial grass/pet toilets (TARGET)",10,IF(N68="Selling pet toys",7,IF(N68="There's an Amazon link, but no target sales.",3,0))))</f>
        <v/>
      </c>
      <c r="P68" s="67">
        <f>H68+J68+L68+M68+O68</f>
        <v/>
      </c>
      <c r="Q68" s="70" t="inlineStr">
        <is>
          <t>International / Future Expansion</t>
        </is>
      </c>
      <c r="R68" s="9" t="inlineStr">
        <is>
          <t>Trọn gói Take-Home Starter Kit V2/V3 (Cỏ nhân tạo + Khay Potty + Đồ chơi Teething/Snuggle)</t>
        </is>
      </c>
      <c r="S68" s="9" t="inlineStr">
        <is>
          <t>Gắn cờ International / Future Expansion - Không gọi Telesale giai đoạn 1</t>
        </is>
      </c>
    </row>
    <row r="69">
      <c r="A69" s="53" t="n">
        <v>3341</v>
      </c>
      <c r="B69" s="12" t="inlineStr">
        <is>
          <t>Vom Lillibruke Strass Kennel</t>
        </is>
      </c>
      <c r="C69" s="54" t="inlineStr">
        <is>
          <t>https://www.facebook.com/stuckeyshepherds</t>
        </is>
      </c>
      <c r="D69" s="6" t="inlineStr">
        <is>
          <t>Cần quét Bio Fanpage</t>
        </is>
      </c>
      <c r="E69" s="53" t="inlineStr">
        <is>
          <t>06/10/2026 08:17:10</t>
        </is>
      </c>
      <c r="F69" s="53" t="inlineStr">
        <is>
          <t>6 ngày trước</t>
        </is>
      </c>
      <c r="G69" s="55" t="n">
        <v>6</v>
      </c>
      <c r="H69" s="56" t="n">
        <v>20</v>
      </c>
      <c r="I69" s="6" t="inlineStr">
        <is>
          <t>Dog Breeder / Trại chó chuyên nghiệp (28-30đ)</t>
        </is>
      </c>
      <c r="J69" s="56" t="n">
        <v>30</v>
      </c>
      <c r="K69" s="6" t="inlineStr">
        <is>
          <t>Chưa rõ giống (Cần quét Bio)</t>
        </is>
      </c>
      <c r="L69" s="56" t="n">
        <v>0</v>
      </c>
      <c r="M69" s="56" t="n">
        <v>5</v>
      </c>
      <c r="N69" s="6" t="inlineStr">
        <is>
          <t>Amazon link not found</t>
        </is>
      </c>
      <c r="O69" s="56">
        <f>IF(N69="Selling pet toys + Artificial grass/Pet toilets (TARGET)",15,IF(N69="Selling artificial grass/pet toilets (TARGET)",10,IF(N69="Selling pet toys",7,IF(N69="There's an Amazon link, but no target sales.",3,0))))</f>
        <v/>
      </c>
      <c r="P69" s="65">
        <f>H69+J69+L69+M69+O69</f>
        <v/>
      </c>
      <c r="Q69" s="71" t="inlineStr">
        <is>
          <t>International / Future Expansion</t>
        </is>
      </c>
      <c r="R69" s="6" t="inlineStr">
        <is>
          <t>Trọn gói Take-Home Starter Kit V2/V3 (Cỏ nhân tạo + Khay Potty + Đồ chơi Teething/Snuggle)</t>
        </is>
      </c>
      <c r="S69" s="6" t="inlineStr">
        <is>
          <t>Gắn cờ International / Future Expansion - Không gọi Telesale giai đoạn 1</t>
        </is>
      </c>
    </row>
    <row r="70">
      <c r="A70" s="59" t="n">
        <v>1888</v>
      </c>
      <c r="B70" s="15" t="inlineStr">
        <is>
          <t>Kennel Kaiserküsse</t>
        </is>
      </c>
      <c r="C70" s="60" t="inlineStr">
        <is>
          <t>https://www.facebook.com/fenjasellinorstaxar</t>
        </is>
      </c>
      <c r="D70" s="9" t="inlineStr">
        <is>
          <t>Cần quét Bio Fanpage</t>
        </is>
      </c>
      <c r="E70" s="59" t="inlineStr">
        <is>
          <t>04/10/2026 14:53:36</t>
        </is>
      </c>
      <c r="F70" s="59" t="inlineStr">
        <is>
          <t>1 tuần trước</t>
        </is>
      </c>
      <c r="G70" s="61" t="n">
        <v>7</v>
      </c>
      <c r="H70" s="62" t="n">
        <v>20</v>
      </c>
      <c r="I70" s="9" t="inlineStr">
        <is>
          <t>Dog Breeder / Trại chó chuyên nghiệp (28-30đ)</t>
        </is>
      </c>
      <c r="J70" s="62" t="n">
        <v>30</v>
      </c>
      <c r="K70" s="9" t="inlineStr">
        <is>
          <t>Chưa rõ giống (Cần quét Bio)</t>
        </is>
      </c>
      <c r="L70" s="62" t="n">
        <v>0</v>
      </c>
      <c r="M70" s="62" t="n">
        <v>5</v>
      </c>
      <c r="N70" s="9" t="inlineStr">
        <is>
          <t>Amazon link not found</t>
        </is>
      </c>
      <c r="O70" s="62">
        <f>IF(N70="Selling pet toys + Artificial grass/Pet toilets (TARGET)",15,IF(N70="Selling artificial grass/pet toilets (TARGET)",10,IF(N70="Selling pet toys",7,IF(N70="There's an Amazon link, but no target sales.",3,0))))</f>
        <v/>
      </c>
      <c r="P70" s="67">
        <f>H70+J70+L70+M70+O70</f>
        <v/>
      </c>
      <c r="Q70" s="70" t="inlineStr">
        <is>
          <t>International / Future Expansion</t>
        </is>
      </c>
      <c r="R70" s="9" t="inlineStr">
        <is>
          <t>Trọn gói Take-Home Starter Kit V2/V3 (Cỏ nhân tạo + Khay Potty + Đồ chơi Teething/Snuggle)</t>
        </is>
      </c>
      <c r="S70" s="9" t="inlineStr">
        <is>
          <t>Gắn cờ International / Future Expansion - Không gọi Telesale giai đoạn 1</t>
        </is>
      </c>
    </row>
    <row r="71">
      <c r="A71" s="53" t="n">
        <v>948</v>
      </c>
      <c r="B71" s="12" t="inlineStr">
        <is>
          <t>Country K9 Club LTD</t>
        </is>
      </c>
      <c r="C71" s="54" t="inlineStr">
        <is>
          <t>https://www.facebook.com/profile.php?id=100064812093604</t>
        </is>
      </c>
      <c r="D71" s="6" t="inlineStr">
        <is>
          <t>Cần quét Bio Fanpage</t>
        </is>
      </c>
      <c r="E71" s="53" t="inlineStr">
        <is>
          <t>12/10/2026 21:29:56</t>
        </is>
      </c>
      <c r="F71" s="53" t="inlineStr">
        <is>
          <t>5 giờ trước</t>
        </is>
      </c>
      <c r="G71" s="55" t="n">
        <v>0.21</v>
      </c>
      <c r="H71" s="56" t="n">
        <v>32</v>
      </c>
      <c r="I71" s="6" t="inlineStr">
        <is>
          <t>Pet Boarding / Huấn luyện K9 &amp; Dịch vụ (20-22đ)</t>
        </is>
      </c>
      <c r="J71" s="56" t="n">
        <v>22</v>
      </c>
      <c r="K71" s="6" t="inlineStr">
        <is>
          <t>Chưa rõ giống (Cần quét Bio)</t>
        </is>
      </c>
      <c r="L71" s="56" t="n">
        <v>0</v>
      </c>
      <c r="M71" s="56" t="n">
        <v>0</v>
      </c>
      <c r="N71" s="6" t="inlineStr">
        <is>
          <t>Amazon link not found</t>
        </is>
      </c>
      <c r="O71" s="56">
        <f>IF(N71="Selling pet toys + Artificial grass/Pet toilets (TARGET)",15,IF(N71="Selling artificial grass/pet toilets (TARGET)",10,IF(N71="Selling pet toys",7,IF(N71="There's an Amazon link, but no target sales.",3,0))))</f>
        <v/>
      </c>
      <c r="P71" s="65">
        <f>H71+J71+L71+M71+O71</f>
        <v/>
      </c>
      <c r="Q71" s="71" t="inlineStr">
        <is>
          <t>International / Future Expansion</t>
        </is>
      </c>
      <c r="R71" s="6" t="inlineStr">
        <is>
          <t>Cỏ nhân tạo sân chơi/huấn luyện (Dog Turf) + Đồ chơi nhai chịu lực (KONG/Chew Toys)</t>
        </is>
      </c>
      <c r="S71" s="6" t="inlineStr">
        <is>
          <t>Gắn cờ International / Future Expansion - Không gọi Telesale giai đoạn 1</t>
        </is>
      </c>
    </row>
    <row r="72">
      <c r="A72" s="59" t="n">
        <v>1819</v>
      </c>
      <c r="B72" s="15" t="inlineStr">
        <is>
          <t>K9 Perros de Búsqueda y Rescate</t>
        </is>
      </c>
      <c r="C72" s="60" t="inlineStr">
        <is>
          <t>https://www.facebook.com/k9perrosdebusquedayrescate</t>
        </is>
      </c>
      <c r="D72" s="9" t="inlineStr">
        <is>
          <t>Cần quét Bio Fanpage</t>
        </is>
      </c>
      <c r="E72" s="59" t="inlineStr">
        <is>
          <t>12/10/2026 17:18:03</t>
        </is>
      </c>
      <c r="F72" s="59" t="inlineStr">
        <is>
          <t>10 giờ trước</t>
        </is>
      </c>
      <c r="G72" s="61" t="n">
        <v>0.42</v>
      </c>
      <c r="H72" s="62" t="n">
        <v>32</v>
      </c>
      <c r="I72" s="9" t="inlineStr">
        <is>
          <t>Pet Boarding / Huấn luyện K9 &amp; Dịch vụ (20-22đ)</t>
        </is>
      </c>
      <c r="J72" s="62" t="n">
        <v>22</v>
      </c>
      <c r="K72" s="9" t="inlineStr">
        <is>
          <t>Chưa rõ giống (Cần quét Bio)</t>
        </is>
      </c>
      <c r="L72" s="62" t="n">
        <v>0</v>
      </c>
      <c r="M72" s="62" t="n">
        <v>0</v>
      </c>
      <c r="N72" s="9" t="inlineStr">
        <is>
          <t>Amazon link not found</t>
        </is>
      </c>
      <c r="O72" s="62">
        <f>IF(N72="Selling pet toys + Artificial grass/Pet toilets (TARGET)",15,IF(N72="Selling artificial grass/pet toilets (TARGET)",10,IF(N72="Selling pet toys",7,IF(N72="There's an Amazon link, but no target sales.",3,0))))</f>
        <v/>
      </c>
      <c r="P72" s="67">
        <f>H72+J72+L72+M72+O72</f>
        <v/>
      </c>
      <c r="Q72" s="70" t="inlineStr">
        <is>
          <t>International / Future Expansion</t>
        </is>
      </c>
      <c r="R72" s="9" t="inlineStr">
        <is>
          <t>Cỏ nhân tạo sân chơi/huấn luyện (Dog Turf) + Đồ chơi nhai chịu lực (KONG/Chew Toys)</t>
        </is>
      </c>
      <c r="S72" s="9" t="inlineStr">
        <is>
          <t>Gắn cờ International / Future Expansion - Không gọi Telesale giai đoạn 1</t>
        </is>
      </c>
    </row>
    <row r="73">
      <c r="A73" s="53" t="n">
        <v>1827</v>
      </c>
      <c r="B73" s="12" t="inlineStr">
        <is>
          <t>K9 USAR THAILAND</t>
        </is>
      </c>
      <c r="C73" s="54" t="inlineStr">
        <is>
          <t>https://www.facebook.com/k9usarthailand</t>
        </is>
      </c>
      <c r="D73" s="6" t="inlineStr">
        <is>
          <t>Cần quét Bio Fanpage</t>
        </is>
      </c>
      <c r="E73" s="53" t="inlineStr">
        <is>
          <t>12/10/2026 11:49:48</t>
        </is>
      </c>
      <c r="F73" s="53" t="inlineStr">
        <is>
          <t>16 giờ trước</t>
        </is>
      </c>
      <c r="G73" s="55" t="n">
        <v>0.67</v>
      </c>
      <c r="H73" s="56" t="n">
        <v>32</v>
      </c>
      <c r="I73" s="6" t="inlineStr">
        <is>
          <t>Pet Boarding / Huấn luyện K9 &amp; Dịch vụ (20-22đ)</t>
        </is>
      </c>
      <c r="J73" s="56" t="n">
        <v>22</v>
      </c>
      <c r="K73" s="6" t="inlineStr">
        <is>
          <t>Chưa rõ giống (Cần quét Bio)</t>
        </is>
      </c>
      <c r="L73" s="56" t="n">
        <v>0</v>
      </c>
      <c r="M73" s="56" t="n">
        <v>0</v>
      </c>
      <c r="N73" s="6" t="inlineStr">
        <is>
          <t>Amazon link not found</t>
        </is>
      </c>
      <c r="O73" s="56">
        <f>IF(N73="Selling pet toys + Artificial grass/Pet toilets (TARGET)",15,IF(N73="Selling artificial grass/pet toilets (TARGET)",10,IF(N73="Selling pet toys",7,IF(N73="There's an Amazon link, but no target sales.",3,0))))</f>
        <v/>
      </c>
      <c r="P73" s="65">
        <f>H73+J73+L73+M73+O73</f>
        <v/>
      </c>
      <c r="Q73" s="71" t="inlineStr">
        <is>
          <t>International / Future Expansion</t>
        </is>
      </c>
      <c r="R73" s="6" t="inlineStr">
        <is>
          <t>Cỏ nhân tạo sân chơi/huấn luyện (Dog Turf) + Đồ chơi nhai chịu lực (KONG/Chew Toys)</t>
        </is>
      </c>
      <c r="S73" s="6" t="inlineStr">
        <is>
          <t>Gắn cờ International / Future Expansion - Không gọi Telesale giai đoạn 1</t>
        </is>
      </c>
    </row>
    <row r="74">
      <c r="A74" s="59" t="n">
        <v>3123</v>
      </c>
      <c r="B74" s="15" t="inlineStr">
        <is>
          <t>The German Shepherd Rescue Alliance Australia</t>
        </is>
      </c>
      <c r="C74" s="60" t="inlineStr">
        <is>
          <t>https://www.facebook.com/thegermanshepherdrescueallianceaustralia</t>
        </is>
      </c>
      <c r="D74" s="9" t="inlineStr">
        <is>
          <t>Cần quét Bio Fanpage</t>
        </is>
      </c>
      <c r="E74" s="59" t="inlineStr">
        <is>
          <t>11/10/2026 04:50:40</t>
        </is>
      </c>
      <c r="F74" s="59" t="inlineStr">
        <is>
          <t>2 ngày trước</t>
        </is>
      </c>
      <c r="G74" s="61" t="n">
        <v>2</v>
      </c>
      <c r="H74" s="62" t="n">
        <v>28</v>
      </c>
      <c r="I74" s="9" t="inlineStr">
        <is>
          <t>Pet Rescue / Trạm cứu trợ (14-16đ)</t>
        </is>
      </c>
      <c r="J74" s="62" t="n">
        <v>16</v>
      </c>
      <c r="K74" s="9" t="inlineStr">
        <is>
          <t>German Shepherd</t>
        </is>
      </c>
      <c r="L74" s="62" t="n">
        <v>10</v>
      </c>
      <c r="M74" s="62" t="n">
        <v>0</v>
      </c>
      <c r="N74" s="9" t="inlineStr">
        <is>
          <t>Amazon link not found</t>
        </is>
      </c>
      <c r="O74" s="62">
        <f>IF(N74="Selling pet toys + Artificial grass/Pet toilets (TARGET)",15,IF(N74="Selling artificial grass/pet toilets (TARGET)",10,IF(N74="Selling pet toys",7,IF(N74="There's an Amazon link, but no target sales.",3,0))))</f>
        <v/>
      </c>
      <c r="P74" s="67">
        <f>H74+J74+L74+M74+O74</f>
        <v/>
      </c>
      <c r="Q74" s="70" t="inlineStr">
        <is>
          <t>International / Future Expansion</t>
        </is>
      </c>
      <c r="R74" s="9" t="inlineStr">
        <is>
          <t>Nhà vệ sinh &amp; Tã lót (Potty Tray / Pee Pads) + Cỏ nhân tạo lót chuồng</t>
        </is>
      </c>
      <c r="S74" s="9" t="inlineStr">
        <is>
          <t>Gắn cờ International / Future Expansion - Không gọi Telesale giai đoạn 1</t>
        </is>
      </c>
    </row>
    <row r="75">
      <c r="A75" s="53" t="n">
        <v>2653</v>
      </c>
      <c r="B75" s="12" t="inlineStr">
        <is>
          <t>Pug Rescue South Africa</t>
        </is>
      </c>
      <c r="C75" s="54" t="inlineStr">
        <is>
          <t>https://www.facebook.com/PugRescueSA</t>
        </is>
      </c>
      <c r="D75" s="6" t="inlineStr">
        <is>
          <t>Cần quét Bio Fanpage</t>
        </is>
      </c>
      <c r="E75" s="53" t="inlineStr">
        <is>
          <t>12/10/2026 22:52:41</t>
        </is>
      </c>
      <c r="F75" s="53" t="inlineStr">
        <is>
          <t>6 giờ trước</t>
        </is>
      </c>
      <c r="G75" s="55" t="n">
        <v>0.25</v>
      </c>
      <c r="H75" s="56" t="n">
        <v>32</v>
      </c>
      <c r="I75" s="6" t="inlineStr">
        <is>
          <t>Pet Rescue / Trạm cứu trợ (14-16đ)</t>
        </is>
      </c>
      <c r="J75" s="56" t="n">
        <v>16</v>
      </c>
      <c r="K75" s="6" t="inlineStr">
        <is>
          <t>Pug</t>
        </is>
      </c>
      <c r="L75" s="56" t="n">
        <v>5</v>
      </c>
      <c r="M75" s="56" t="n">
        <v>0</v>
      </c>
      <c r="N75" s="6" t="inlineStr">
        <is>
          <t>Amazon link not found</t>
        </is>
      </c>
      <c r="O75" s="56">
        <f>IF(N75="Selling pet toys + Artificial grass/Pet toilets (TARGET)",15,IF(N75="Selling artificial grass/pet toilets (TARGET)",10,IF(N75="Selling pet toys",7,IF(N75="There's an Amazon link, but no target sales.",3,0))))</f>
        <v/>
      </c>
      <c r="P75" s="65">
        <f>H75+J75+L75+M75+O75</f>
        <v/>
      </c>
      <c r="Q75" s="71" t="inlineStr">
        <is>
          <t>International / Future Expansion</t>
        </is>
      </c>
      <c r="R75" s="6" t="inlineStr">
        <is>
          <t>Nhà vệ sinh &amp; Tã lót (Potty Tray / Pee Pads) + Cỏ nhân tạo lót chuồng</t>
        </is>
      </c>
      <c r="S75" s="6" t="inlineStr">
        <is>
          <t>Gắn cờ International / Future Expansion - Không gọi Telesale giai đoạn 1</t>
        </is>
      </c>
    </row>
    <row r="76">
      <c r="A76" s="59" t="n">
        <v>743</v>
      </c>
      <c r="B76" s="15" t="inlineStr">
        <is>
          <t>Boston Terrier Rescue South Africa</t>
        </is>
      </c>
      <c r="C76" s="60" t="inlineStr">
        <is>
          <t>https://www.facebook.com/BostonTerrierSA</t>
        </is>
      </c>
      <c r="D76" s="9" t="inlineStr">
        <is>
          <t>Cần quét Bio Fanpage</t>
        </is>
      </c>
      <c r="E76" s="59" t="inlineStr">
        <is>
          <t>12/10/2026 20:50:23</t>
        </is>
      </c>
      <c r="F76" s="59" t="inlineStr">
        <is>
          <t>5 giờ trước</t>
        </is>
      </c>
      <c r="G76" s="61" t="n">
        <v>0.21</v>
      </c>
      <c r="H76" s="62" t="n">
        <v>32</v>
      </c>
      <c r="I76" s="9" t="inlineStr">
        <is>
          <t>Pet Rescue / Trạm cứu trợ (14-16đ)</t>
        </is>
      </c>
      <c r="J76" s="62" t="n">
        <v>16</v>
      </c>
      <c r="K76" s="9" t="inlineStr">
        <is>
          <t>Terrier (Jack Russell/Yorkie/Boston/Staffy)</t>
        </is>
      </c>
      <c r="L76" s="62" t="n">
        <v>5</v>
      </c>
      <c r="M76" s="62" t="n">
        <v>0</v>
      </c>
      <c r="N76" s="9" t="inlineStr">
        <is>
          <t>Amazon link not found</t>
        </is>
      </c>
      <c r="O76" s="62">
        <f>IF(N76="Selling pet toys + Artificial grass/Pet toilets (TARGET)",15,IF(N76="Selling artificial grass/pet toilets (TARGET)",10,IF(N76="Selling pet toys",7,IF(N76="There's an Amazon link, but no target sales.",3,0))))</f>
        <v/>
      </c>
      <c r="P76" s="67">
        <f>H76+J76+L76+M76+O76</f>
        <v/>
      </c>
      <c r="Q76" s="70" t="inlineStr">
        <is>
          <t>International / Future Expansion</t>
        </is>
      </c>
      <c r="R76" s="9" t="inlineStr">
        <is>
          <t>Nhà vệ sinh &amp; Tã lót (Potty Tray / Pee Pads) + Cỏ nhân tạo lót chuồng</t>
        </is>
      </c>
      <c r="S76" s="9" t="inlineStr">
        <is>
          <t>Gắn cờ International / Future Expansion - Không gọi Telesale giai đoạn 1</t>
        </is>
      </c>
    </row>
    <row r="77">
      <c r="A77" s="53" t="n">
        <v>1609</v>
      </c>
      <c r="B77" s="12" t="inlineStr">
        <is>
          <t>Happy Hounds Scottish Borders Ltd</t>
        </is>
      </c>
      <c r="C77" s="54" t="inlineStr">
        <is>
          <t>https://www.facebook.com/HappyhoundsScottishBorders</t>
        </is>
      </c>
      <c r="D77" s="6" t="inlineStr">
        <is>
          <t>Cần quét Bio Fanpage</t>
        </is>
      </c>
      <c r="E77" s="53" t="inlineStr">
        <is>
          <t>08/10/2026 15:16:16</t>
        </is>
      </c>
      <c r="F77" s="53" t="inlineStr">
        <is>
          <t>4 ngày trước</t>
        </is>
      </c>
      <c r="G77" s="55" t="n">
        <v>4</v>
      </c>
      <c r="H77" s="56" t="n">
        <v>20</v>
      </c>
      <c r="I77" s="6" t="inlineStr">
        <is>
          <t>Dog Breeder / Trại chó chuyên nghiệp (28-30đ)</t>
        </is>
      </c>
      <c r="J77" s="56" t="n">
        <v>28</v>
      </c>
      <c r="K77" s="6" t="inlineStr">
        <is>
          <t>Hound / Beagle / Basset</t>
        </is>
      </c>
      <c r="L77" s="56" t="n">
        <v>5</v>
      </c>
      <c r="M77" s="56" t="n">
        <v>0</v>
      </c>
      <c r="N77" s="6" t="inlineStr">
        <is>
          <t>Amazon link not found</t>
        </is>
      </c>
      <c r="O77" s="56">
        <f>IF(N77="Selling pet toys + Artificial grass/Pet toilets (TARGET)",15,IF(N77="Selling artificial grass/pet toilets (TARGET)",10,IF(N77="Selling pet toys",7,IF(N77="There's an Amazon link, but no target sales.",3,0))))</f>
        <v/>
      </c>
      <c r="P77" s="65">
        <f>H77+J77+L77+M77+O77</f>
        <v/>
      </c>
      <c r="Q77" s="71" t="inlineStr">
        <is>
          <t>International / Future Expansion</t>
        </is>
      </c>
      <c r="R77" s="6" t="inlineStr">
        <is>
          <t>Trọn gói Take-Home Starter Kit V2/V3 (Cỏ nhân tạo + Khay Potty + Đồ chơi Teething/Snuggle)</t>
        </is>
      </c>
      <c r="S77" s="6" t="inlineStr">
        <is>
          <t>Gắn cờ International / Future Expansion - Không gọi Telesale giai đoạn 1</t>
        </is>
      </c>
    </row>
    <row r="78">
      <c r="A78" s="59" t="n">
        <v>3345</v>
      </c>
      <c r="B78" s="15" t="inlineStr">
        <is>
          <t>Von Decker Rottweiler Kennel</t>
        </is>
      </c>
      <c r="C78" s="60" t="inlineStr">
        <is>
          <t>https://www.facebook.com/profile.php?id=61565647241374</t>
        </is>
      </c>
      <c r="D78" s="9" t="inlineStr">
        <is>
          <t>Cần quét Bio Fanpage</t>
        </is>
      </c>
      <c r="E78" s="59" t="inlineStr">
        <is>
          <t>17/09/2026 23:20:14</t>
        </is>
      </c>
      <c r="F78" s="59" t="inlineStr">
        <is>
          <t>3 tuần trước</t>
        </is>
      </c>
      <c r="G78" s="61" t="n">
        <v>21</v>
      </c>
      <c r="H78" s="62" t="n">
        <v>8</v>
      </c>
      <c r="I78" s="9" t="inlineStr">
        <is>
          <t>Dog Breeder / Trại chó chuyên nghiệp (28-30đ)</t>
        </is>
      </c>
      <c r="J78" s="62" t="n">
        <v>30</v>
      </c>
      <c r="K78" s="9" t="inlineStr">
        <is>
          <t>Rottweiler</t>
        </is>
      </c>
      <c r="L78" s="62" t="n">
        <v>10</v>
      </c>
      <c r="M78" s="62" t="n">
        <v>5</v>
      </c>
      <c r="N78" s="9" t="inlineStr">
        <is>
          <t>Amazon link not found</t>
        </is>
      </c>
      <c r="O78" s="62">
        <f>IF(N78="Selling pet toys + Artificial grass/Pet toilets (TARGET)",15,IF(N78="Selling artificial grass/pet toilets (TARGET)",10,IF(N78="Selling pet toys",7,IF(N78="There's an Amazon link, but no target sales.",3,0))))</f>
        <v/>
      </c>
      <c r="P78" s="67">
        <f>H78+J78+L78+M78+O78</f>
        <v/>
      </c>
      <c r="Q78" s="70" t="inlineStr">
        <is>
          <t>International / Future Expansion</t>
        </is>
      </c>
      <c r="R78" s="9" t="inlineStr">
        <is>
          <t>Trọn gói Take-Home Starter Kit V2/V3 (Cỏ nhân tạo + Khay Potty + Đồ chơi Teething/Snuggle)</t>
        </is>
      </c>
      <c r="S78" s="9" t="inlineStr">
        <is>
          <t>Gắn cờ International / Future Expansion - Không gọi Telesale giai đoạn 1</t>
        </is>
      </c>
    </row>
    <row r="79">
      <c r="A79" s="53" t="n">
        <v>5127</v>
      </c>
      <c r="B79" s="12" t="inlineStr">
        <is>
          <t>Pugs Life México  (Gaby la neni pug)</t>
        </is>
      </c>
      <c r="C79" s="54" t="inlineStr">
        <is>
          <t>https://www.facebook.com/PugsLifeMexico</t>
        </is>
      </c>
      <c r="D79" s="6" t="inlineStr">
        <is>
          <t>Cần quét Bio Fanpage</t>
        </is>
      </c>
      <c r="E79" s="53" t="inlineStr">
        <is>
          <t>13/10/2026 09:47:40</t>
        </is>
      </c>
      <c r="F79" s="53" t="inlineStr">
        <is>
          <t>22 phút trước</t>
        </is>
      </c>
      <c r="G79" s="55" t="n">
        <v>0.02</v>
      </c>
      <c r="H79" s="56" t="n">
        <v>35</v>
      </c>
      <c r="I79" s="6" t="inlineStr">
        <is>
          <t>Pet Owner / Kênh cá nhân thú cưng (10đ)</t>
        </is>
      </c>
      <c r="J79" s="56" t="n">
        <v>10</v>
      </c>
      <c r="K79" s="6" t="inlineStr">
        <is>
          <t>Pug</t>
        </is>
      </c>
      <c r="L79" s="56" t="n">
        <v>5</v>
      </c>
      <c r="M79" s="56" t="n">
        <v>0</v>
      </c>
      <c r="N79" s="6" t="inlineStr">
        <is>
          <t>Amazon link not found</t>
        </is>
      </c>
      <c r="O79" s="56">
        <f>IF(N79="Selling pet toys + Artificial grass/Pet toilets (TARGET)",15,IF(N79="Selling artificial grass/pet toilets (TARGET)",10,IF(N79="Selling pet toys",7,IF(N79="There's an Amazon link, but no target sales.",3,0))))</f>
        <v/>
      </c>
      <c r="P79" s="65">
        <f>H79+J79+L79+M79+O79</f>
        <v/>
      </c>
      <c r="Q79" s="71" t="inlineStr">
        <is>
          <t>International / Future Expansion</t>
        </is>
      </c>
      <c r="R79" s="6" t="inlineStr">
        <is>
          <t>Khay vệ sinh trong nhà (Indoor Dog Potty) + Đồ chơi thú cưng lẻ</t>
        </is>
      </c>
      <c r="S79" s="6" t="inlineStr">
        <is>
          <t>Gắn cờ International / Future Expansion - Không gọi Telesale giai đoạn 1</t>
        </is>
      </c>
    </row>
    <row r="80">
      <c r="A80" s="59" t="n">
        <v>280</v>
      </c>
      <c r="B80" s="15" t="inlineStr">
        <is>
          <t>The Kennel Association of Thailand</t>
        </is>
      </c>
      <c r="C80" s="60" t="inlineStr">
        <is>
          <t>https://www.facebook.com/TheKennelClubOfThailand</t>
        </is>
      </c>
      <c r="D80" s="9" t="inlineStr">
        <is>
          <t>Cần quét Bio Fanpage</t>
        </is>
      </c>
      <c r="E80" s="59" t="inlineStr">
        <is>
          <t>23/09/2026 14:16:45</t>
        </is>
      </c>
      <c r="F80" s="59" t="inlineStr">
        <is>
          <t>2 tuần trước</t>
        </is>
      </c>
      <c r="G80" s="61" t="n">
        <v>14</v>
      </c>
      <c r="H80" s="62" t="n">
        <v>15</v>
      </c>
      <c r="I80" s="9" t="inlineStr">
        <is>
          <t>Dog Breeder / Trại chó chuyên nghiệp (28-30đ)</t>
        </is>
      </c>
      <c r="J80" s="62" t="n">
        <v>30</v>
      </c>
      <c r="K80" s="9" t="inlineStr">
        <is>
          <t>Chưa rõ giống (Cần quét Bio)</t>
        </is>
      </c>
      <c r="L80" s="62" t="n">
        <v>0</v>
      </c>
      <c r="M80" s="62" t="n">
        <v>5</v>
      </c>
      <c r="N80" s="9" t="inlineStr">
        <is>
          <t>Amazon link not found</t>
        </is>
      </c>
      <c r="O80" s="62">
        <f>IF(N80="Selling pet toys + Artificial grass/Pet toilets (TARGET)",15,IF(N80="Selling artificial grass/pet toilets (TARGET)",10,IF(N80="Selling pet toys",7,IF(N80="There's an Amazon link, but no target sales.",3,0))))</f>
        <v/>
      </c>
      <c r="P80" s="67">
        <f>H80+J80+L80+M80+O80</f>
        <v/>
      </c>
      <c r="Q80" s="70" t="inlineStr">
        <is>
          <t>International / Future Expansion</t>
        </is>
      </c>
      <c r="R80" s="9" t="inlineStr">
        <is>
          <t>Trọn gói Take-Home Starter Kit V2/V3 (Cỏ nhân tạo + Khay Potty + Đồ chơi Teething/Snuggle)</t>
        </is>
      </c>
      <c r="S80" s="9" t="inlineStr">
        <is>
          <t>Gắn cờ International / Future Expansion - Không gọi Telesale giai đoạn 1</t>
        </is>
      </c>
    </row>
    <row r="81">
      <c r="A81" s="53" t="n">
        <v>5179</v>
      </c>
      <c r="B81" s="12" t="inlineStr">
        <is>
          <t>Rebel Rescue South Korea</t>
        </is>
      </c>
      <c r="C81" s="54" t="inlineStr">
        <is>
          <t>https://www.facebook.com/RebelRescueSK</t>
        </is>
      </c>
      <c r="D81" s="6" t="inlineStr">
        <is>
          <t>Cần quét Bio Fanpage</t>
        </is>
      </c>
      <c r="E81" s="53" t="inlineStr">
        <is>
          <t>13/10/2026 08:00:40</t>
        </is>
      </c>
      <c r="F81" s="53" t="inlineStr">
        <is>
          <t>2 giờ trước</t>
        </is>
      </c>
      <c r="G81" s="55" t="n">
        <v>0.08</v>
      </c>
      <c r="H81" s="56" t="n">
        <v>35</v>
      </c>
      <c r="I81" s="6" t="inlineStr">
        <is>
          <t>Pet Rescue / Trạm cứu trợ (14-16đ)</t>
        </is>
      </c>
      <c r="J81" s="56" t="n">
        <v>14</v>
      </c>
      <c r="K81" s="6" t="inlineStr">
        <is>
          <t>Chưa rõ giống (Cần quét Bio)</t>
        </is>
      </c>
      <c r="L81" s="56" t="n">
        <v>0</v>
      </c>
      <c r="M81" s="56" t="n">
        <v>0</v>
      </c>
      <c r="N81" s="6" t="inlineStr">
        <is>
          <t>Amazon link not found</t>
        </is>
      </c>
      <c r="O81" s="56">
        <f>IF(N81="Selling pet toys + Artificial grass/Pet toilets (TARGET)",15,IF(N81="Selling artificial grass/pet toilets (TARGET)",10,IF(N81="Selling pet toys",7,IF(N81="There's an Amazon link, but no target sales.",3,0))))</f>
        <v/>
      </c>
      <c r="P81" s="65">
        <f>H81+J81+L81+M81+O81</f>
        <v/>
      </c>
      <c r="Q81" s="71" t="inlineStr">
        <is>
          <t>International / Future Expansion</t>
        </is>
      </c>
      <c r="R81" s="6" t="inlineStr">
        <is>
          <t>Nhà vệ sinh &amp; Tã lót (Potty Tray / Pee Pads) + Cỏ nhân tạo lót chuồng</t>
        </is>
      </c>
      <c r="S81" s="6" t="inlineStr">
        <is>
          <t>Gắn cờ International / Future Expansion - Không gọi Telesale giai đoạn 1</t>
        </is>
      </c>
    </row>
    <row r="82">
      <c r="A82" s="59" t="n">
        <v>928</v>
      </c>
      <c r="B82" s="15" t="inlineStr">
        <is>
          <t>Collie Rescue League of New England</t>
        </is>
      </c>
      <c r="C82" s="60" t="inlineStr">
        <is>
          <t>https://www.facebook.com/CollieRescueLeague</t>
        </is>
      </c>
      <c r="D82" s="9" t="inlineStr">
        <is>
          <t>Cần quét Bio Fanpage</t>
        </is>
      </c>
      <c r="E82" s="59" t="inlineStr">
        <is>
          <t>11/10/2026 22:58:37</t>
        </is>
      </c>
      <c r="F82" s="59" t="inlineStr">
        <is>
          <t>1 ngày trước</t>
        </is>
      </c>
      <c r="G82" s="61" t="n">
        <v>1</v>
      </c>
      <c r="H82" s="62" t="n">
        <v>28</v>
      </c>
      <c r="I82" s="9" t="inlineStr">
        <is>
          <t>Pet Rescue / Trạm cứu trợ (14-16đ)</t>
        </is>
      </c>
      <c r="J82" s="62" t="n">
        <v>16</v>
      </c>
      <c r="K82" s="9" t="inlineStr">
        <is>
          <t>Australian Shepherd / Herding</t>
        </is>
      </c>
      <c r="L82" s="62" t="n">
        <v>5</v>
      </c>
      <c r="M82" s="62" t="n">
        <v>0</v>
      </c>
      <c r="N82" s="9" t="inlineStr">
        <is>
          <t>Amazon link not found</t>
        </is>
      </c>
      <c r="O82" s="62">
        <f>IF(N82="Selling pet toys + Artificial grass/Pet toilets (TARGET)",15,IF(N82="Selling artificial grass/pet toilets (TARGET)",10,IF(N82="Selling pet toys",7,IF(N82="There's an Amazon link, but no target sales.",3,0))))</f>
        <v/>
      </c>
      <c r="P82" s="67">
        <f>H82+J82+L82+M82+O82</f>
        <v/>
      </c>
      <c r="Q82" s="70" t="inlineStr">
        <is>
          <t>International / Future Expansion</t>
        </is>
      </c>
      <c r="R82" s="9" t="inlineStr">
        <is>
          <t>Nhà vệ sinh &amp; Tã lót (Potty Tray / Pee Pads) + Cỏ nhân tạo lót chuồng</t>
        </is>
      </c>
      <c r="S82" s="9" t="inlineStr">
        <is>
          <t>Gắn cờ International / Future Expansion - Không gọi Telesale giai đoạn 1</t>
        </is>
      </c>
    </row>
    <row r="83">
      <c r="A83" s="53" t="n">
        <v>1050</v>
      </c>
      <c r="B83" s="12" t="inlineStr">
        <is>
          <t>Dog Barn Yorkshire</t>
        </is>
      </c>
      <c r="C83" s="54" t="inlineStr">
        <is>
          <t>https://www.facebook.com/profile.php?id=61564811071651</t>
        </is>
      </c>
      <c r="D83" s="6" t="inlineStr">
        <is>
          <t>Cần quét Bio Fanpage</t>
        </is>
      </c>
      <c r="E83" s="53" t="inlineStr">
        <is>
          <t>24/09/2026 13:09:37</t>
        </is>
      </c>
      <c r="F83" s="53" t="inlineStr">
        <is>
          <t>2 tuần trước</t>
        </is>
      </c>
      <c r="G83" s="55" t="n">
        <v>14</v>
      </c>
      <c r="H83" s="56" t="n">
        <v>15</v>
      </c>
      <c r="I83" s="6" t="inlineStr">
        <is>
          <t>Dog Breeder / Trại nhân giống (28-30đ)</t>
        </is>
      </c>
      <c r="J83" s="56" t="n">
        <v>28</v>
      </c>
      <c r="K83" s="6" t="inlineStr">
        <is>
          <t>Terrier (Jack Russell/Yorkie/Boston/Staffy)</t>
        </is>
      </c>
      <c r="L83" s="56" t="n">
        <v>5</v>
      </c>
      <c r="M83" s="56" t="n">
        <v>0</v>
      </c>
      <c r="N83" s="6" t="inlineStr">
        <is>
          <t>Amazon link not found</t>
        </is>
      </c>
      <c r="O83" s="56">
        <f>IF(N83="Selling pet toys + Artificial grass/Pet toilets (TARGET)",15,IF(N83="Selling artificial grass/pet toilets (TARGET)",10,IF(N83="Selling pet toys",7,IF(N83="There's an Amazon link, but no target sales.",3,0))))</f>
        <v/>
      </c>
      <c r="P83" s="65">
        <f>H83+J83+L83+M83+O83</f>
        <v/>
      </c>
      <c r="Q83" s="71" t="inlineStr">
        <is>
          <t>International / Future Expansion</t>
        </is>
      </c>
      <c r="R83" s="6" t="inlineStr">
        <is>
          <t>Trọn gói Take-Home Starter Kit V2/V3 (Cỏ nhân tạo + Khay Potty + Đồ chơi cún con)</t>
        </is>
      </c>
      <c r="S83" s="6" t="inlineStr">
        <is>
          <t>Gắn cờ International / Future Expansion - Không gọi Telesale giai đoạn 1</t>
        </is>
      </c>
    </row>
    <row r="84">
      <c r="A84" s="59" t="n">
        <v>2537</v>
      </c>
      <c r="B84" s="15" t="inlineStr">
        <is>
          <t>Pets UK</t>
        </is>
      </c>
      <c r="C84" s="60" t="inlineStr">
        <is>
          <t>https://www.facebook.com/petsukofficial</t>
        </is>
      </c>
      <c r="D84" s="9" t="inlineStr">
        <is>
          <t>Cần quét Bio Fanpage</t>
        </is>
      </c>
      <c r="E84" s="59" t="inlineStr">
        <is>
          <t>12/10/2026 22:30:23</t>
        </is>
      </c>
      <c r="F84" s="59" t="inlineStr">
        <is>
          <t>6 giờ trước</t>
        </is>
      </c>
      <c r="G84" s="61" t="n">
        <v>0.25</v>
      </c>
      <c r="H84" s="62" t="n">
        <v>32</v>
      </c>
      <c r="I84" s="9" t="inlineStr">
        <is>
          <t>Pet Owner / Cộng đồng nuôi cún (10đ)</t>
        </is>
      </c>
      <c r="J84" s="62" t="n">
        <v>10</v>
      </c>
      <c r="K84" s="9" t="inlineStr">
        <is>
          <t>Chưa rõ giống (Cần quét Bio)</t>
        </is>
      </c>
      <c r="L84" s="62" t="n">
        <v>0</v>
      </c>
      <c r="M84" s="62" t="n">
        <v>5</v>
      </c>
      <c r="N84" s="9" t="inlineStr">
        <is>
          <t>Amazon link not found</t>
        </is>
      </c>
      <c r="O84" s="62">
        <f>IF(N84="Selling pet toys + Artificial grass/Pet toilets (TARGET)",15,IF(N84="Selling artificial grass/pet toilets (TARGET)",10,IF(N84="Selling pet toys",7,IF(N84="There's an Amazon link, but no target sales.",3,0))))</f>
        <v/>
      </c>
      <c r="P84" s="67">
        <f>H84+J84+L84+M84+O84</f>
        <v/>
      </c>
      <c r="Q84" s="70" t="inlineStr">
        <is>
          <t>International / Future Expansion</t>
        </is>
      </c>
      <c r="R84" s="9" t="inlineStr">
        <is>
          <t>Khay vệ sinh chung cư (Indoor Potty) + Thảm cỏ ban công (Grass Patch) + Đồ chơi</t>
        </is>
      </c>
      <c r="S84" s="9" t="inlineStr">
        <is>
          <t>Gắn cờ International / Future Expansion - Không gọi Telesale giai đoạn 1</t>
        </is>
      </c>
    </row>
    <row r="85">
      <c r="A85" s="53" t="n">
        <v>2082</v>
      </c>
      <c r="B85" s="12" t="inlineStr">
        <is>
          <t>Lộc Pet Shop</t>
        </is>
      </c>
      <c r="C85" s="54" t="inlineStr">
        <is>
          <t>https://www.facebook.com/locpetshopbr</t>
        </is>
      </c>
      <c r="D85" s="6" t="inlineStr">
        <is>
          <t>Cần quét Bio Fanpage</t>
        </is>
      </c>
      <c r="E85" s="53" t="inlineStr">
        <is>
          <t>12/10/2026 21:37:51</t>
        </is>
      </c>
      <c r="F85" s="53" t="inlineStr">
        <is>
          <t>7 giờ trước</t>
        </is>
      </c>
      <c r="G85" s="55" t="n">
        <v>0.29</v>
      </c>
      <c r="H85" s="56" t="n">
        <v>32</v>
      </c>
      <c r="I85" s="6" t="inlineStr">
        <is>
          <t>Pet Owner / Cộng đồng nuôi cún (10đ)</t>
        </is>
      </c>
      <c r="J85" s="56" t="n">
        <v>10</v>
      </c>
      <c r="K85" s="6" t="inlineStr">
        <is>
          <t>Chưa rõ giống (Cần quét Bio)</t>
        </is>
      </c>
      <c r="L85" s="56" t="n">
        <v>0</v>
      </c>
      <c r="M85" s="56" t="n">
        <v>5</v>
      </c>
      <c r="N85" s="6" t="inlineStr">
        <is>
          <t>Amazon link not found</t>
        </is>
      </c>
      <c r="O85" s="56">
        <f>IF(N85="Selling pet toys + Artificial grass/Pet toilets (TARGET)",15,IF(N85="Selling artificial grass/pet toilets (TARGET)",10,IF(N85="Selling pet toys",7,IF(N85="There's an Amazon link, but no target sales.",3,0))))</f>
        <v/>
      </c>
      <c r="P85" s="65">
        <f>H85+J85+L85+M85+O85</f>
        <v/>
      </c>
      <c r="Q85" s="71" t="inlineStr">
        <is>
          <t>International / Future Expansion</t>
        </is>
      </c>
      <c r="R85" s="6" t="inlineStr">
        <is>
          <t>Khay vệ sinh chung cư (Indoor Potty) + Thảm cỏ ban công (Grass Patch) + Đồ chơi</t>
        </is>
      </c>
      <c r="S85" s="6" t="inlineStr">
        <is>
          <t>Gắn cờ International / Future Expansion - Không gọi Telesale giai đoạn 1</t>
        </is>
      </c>
    </row>
    <row r="86">
      <c r="A86" s="59" t="n">
        <v>2524</v>
      </c>
      <c r="B86" s="15" t="inlineStr">
        <is>
          <t>petprofi.com.ua - интернет зоомагазин</t>
        </is>
      </c>
      <c r="C86" s="60" t="inlineStr">
        <is>
          <t>https://www.facebook.com/petprofi.com.ua</t>
        </is>
      </c>
      <c r="D86" s="9" t="inlineStr">
        <is>
          <t>https://petprofi.com</t>
        </is>
      </c>
      <c r="E86" s="59" t="inlineStr">
        <is>
          <t>12/10/2026 20:26:35</t>
        </is>
      </c>
      <c r="F86" s="59" t="inlineStr">
        <is>
          <t>9 giờ trước</t>
        </is>
      </c>
      <c r="G86" s="61" t="n">
        <v>0.38</v>
      </c>
      <c r="H86" s="62" t="n">
        <v>32</v>
      </c>
      <c r="I86" s="9" t="inlineStr">
        <is>
          <t>Pet Owner / Cộng đồng nuôi cún (10đ)</t>
        </is>
      </c>
      <c r="J86" s="62" t="n">
        <v>10</v>
      </c>
      <c r="K86" s="9" t="inlineStr">
        <is>
          <t>Chưa rõ giống (Cần quét Bio)</t>
        </is>
      </c>
      <c r="L86" s="62" t="n">
        <v>0</v>
      </c>
      <c r="M86" s="62" t="n">
        <v>5</v>
      </c>
      <c r="N86" s="9" t="inlineStr">
        <is>
          <t>Amazon link not found</t>
        </is>
      </c>
      <c r="O86" s="62">
        <f>IF(N86="Selling pet toys + Artificial grass/Pet toilets (TARGET)",15,IF(N86="Selling artificial grass/pet toilets (TARGET)",10,IF(N86="Selling pet toys",7,IF(N86="There's an Amazon link, but no target sales.",3,0))))</f>
        <v/>
      </c>
      <c r="P86" s="67">
        <f>H86+J86+L86+M86+O86</f>
        <v/>
      </c>
      <c r="Q86" s="70" t="inlineStr">
        <is>
          <t>International / Future Expansion</t>
        </is>
      </c>
      <c r="R86" s="9" t="inlineStr">
        <is>
          <t>Khay vệ sinh chung cư (Indoor Potty) + Thảm cỏ ban công (Grass Patch) + Đồ chơi</t>
        </is>
      </c>
      <c r="S86" s="9" t="inlineStr">
        <is>
          <t>Gắn cờ International / Future Expansion - Không gọi Telesale giai đoạn 1</t>
        </is>
      </c>
    </row>
    <row r="87">
      <c r="A87" s="53" t="n">
        <v>555</v>
      </c>
      <c r="B87" s="12" t="inlineStr">
        <is>
          <t>Auckland Puppy Rescue</t>
        </is>
      </c>
      <c r="C87" s="54" t="inlineStr">
        <is>
          <t>https://www.facebook.com/aucklandpuppyrescue</t>
        </is>
      </c>
      <c r="D87" s="6" t="inlineStr">
        <is>
          <t>Cần quét Bio Fanpage</t>
        </is>
      </c>
      <c r="E87" s="53" t="inlineStr">
        <is>
          <t>11/10/2026 12:45:02</t>
        </is>
      </c>
      <c r="F87" s="53" t="inlineStr">
        <is>
          <t>1 ngày trước</t>
        </is>
      </c>
      <c r="G87" s="55" t="n">
        <v>1</v>
      </c>
      <c r="H87" s="56" t="n">
        <v>28</v>
      </c>
      <c r="I87" s="6" t="inlineStr">
        <is>
          <t>Pet Rescue / Trạm cứu trợ (14-16đ)</t>
        </is>
      </c>
      <c r="J87" s="56" t="n">
        <v>14</v>
      </c>
      <c r="K87" s="6" t="inlineStr">
        <is>
          <t>Chưa rõ giống (Cần quét Bio)</t>
        </is>
      </c>
      <c r="L87" s="56" t="n">
        <v>0</v>
      </c>
      <c r="M87" s="56" t="n">
        <v>5</v>
      </c>
      <c r="N87" s="6" t="inlineStr">
        <is>
          <t>Amazon link not found</t>
        </is>
      </c>
      <c r="O87" s="56">
        <f>IF(N87="Selling pet toys + Artificial grass/Pet toilets (TARGET)",15,IF(N87="Selling artificial grass/pet toilets (TARGET)",10,IF(N87="Selling pet toys",7,IF(N87="There's an Amazon link, but no target sales.",3,0))))</f>
        <v/>
      </c>
      <c r="P87" s="65">
        <f>H87+J87+L87+M87+O87</f>
        <v/>
      </c>
      <c r="Q87" s="71" t="inlineStr">
        <is>
          <t>International / Future Expansion</t>
        </is>
      </c>
      <c r="R87" s="6" t="inlineStr">
        <is>
          <t>Nhà vệ sinh &amp; Tã lót (Potty Tray / Pee Pads) + Cỏ nhân tạo lót chuồng</t>
        </is>
      </c>
      <c r="S87" s="6" t="inlineStr">
        <is>
          <t>Gắn cờ International / Future Expansion - Không gọi Telesale giai đoạn 1</t>
        </is>
      </c>
    </row>
    <row r="88">
      <c r="A88" s="59" t="n">
        <v>3508</v>
      </c>
      <c r="B88" s="15" t="inlineStr">
        <is>
          <t>รับฝึกและจัดระบบสุนัข K9 Set Up Academy</t>
        </is>
      </c>
      <c r="C88" s="60" t="inlineStr">
        <is>
          <t>https://www.facebook.com/profile.php?id=61585693112332</t>
        </is>
      </c>
      <c r="D88" s="9" t="inlineStr">
        <is>
          <t>Cần quét Bio Fanpage</t>
        </is>
      </c>
      <c r="E88" s="59" t="inlineStr">
        <is>
          <t>08/10/2026 13:59:45</t>
        </is>
      </c>
      <c r="F88" s="59" t="inlineStr">
        <is>
          <t>4 ngày trước</t>
        </is>
      </c>
      <c r="G88" s="61" t="n">
        <v>4</v>
      </c>
      <c r="H88" s="62" t="n">
        <v>20</v>
      </c>
      <c r="I88" s="9" t="inlineStr">
        <is>
          <t>Pet Boarding / Huấn luyện K9 &amp; Dịch vụ (20-22đ)</t>
        </is>
      </c>
      <c r="J88" s="62" t="n">
        <v>22</v>
      </c>
      <c r="K88" s="9" t="inlineStr">
        <is>
          <t>Chưa rõ giống (Cần quét Bio)</t>
        </is>
      </c>
      <c r="L88" s="62" t="n">
        <v>0</v>
      </c>
      <c r="M88" s="62" t="n">
        <v>5</v>
      </c>
      <c r="N88" s="9" t="inlineStr">
        <is>
          <t>Amazon link not found</t>
        </is>
      </c>
      <c r="O88" s="62">
        <f>IF(N88="Selling pet toys + Artificial grass/Pet toilets (TARGET)",15,IF(N88="Selling artificial grass/pet toilets (TARGET)",10,IF(N88="Selling pet toys",7,IF(N88="There's an Amazon link, but no target sales.",3,0))))</f>
        <v/>
      </c>
      <c r="P88" s="67">
        <f>H88+J88+L88+M88+O88</f>
        <v/>
      </c>
      <c r="Q88" s="70" t="inlineStr">
        <is>
          <t>International / Future Expansion</t>
        </is>
      </c>
      <c r="R88" s="9" t="inlineStr">
        <is>
          <t>Cỏ nhân tạo sân chơi/huấn luyện (Dog Turf) + Đồ chơi nhai chịu lực (KONG/Chew Toys)</t>
        </is>
      </c>
      <c r="S88" s="9" t="inlineStr">
        <is>
          <t>Gắn cờ International / Future Expansion - Không gọi Telesale giai đoạn 1</t>
        </is>
      </c>
    </row>
    <row r="89">
      <c r="A89" s="53" t="n">
        <v>553</v>
      </c>
      <c r="B89" s="12" t="inlineStr">
        <is>
          <t>Auckland Airport Pet Services</t>
        </is>
      </c>
      <c r="C89" s="54" t="inlineStr">
        <is>
          <t>https://www.facebook.com/aucklandairportpets</t>
        </is>
      </c>
      <c r="D89" s="6" t="inlineStr">
        <is>
          <t>Cần quét Bio Fanpage</t>
        </is>
      </c>
      <c r="E89" s="53" t="inlineStr">
        <is>
          <t>02/10/2026 01:12:36</t>
        </is>
      </c>
      <c r="F89" s="53" t="inlineStr">
        <is>
          <t>1 tuần trước</t>
        </is>
      </c>
      <c r="G89" s="55" t="n">
        <v>7</v>
      </c>
      <c r="H89" s="56" t="n">
        <v>20</v>
      </c>
      <c r="I89" s="6" t="inlineStr">
        <is>
          <t>Pet Boarding / Huấn luyện K9 &amp; Dịch vụ (20-22đ)</t>
        </is>
      </c>
      <c r="J89" s="56" t="n">
        <v>22</v>
      </c>
      <c r="K89" s="6" t="inlineStr">
        <is>
          <t>Chưa rõ giống (Cần quét Bio)</t>
        </is>
      </c>
      <c r="L89" s="56" t="n">
        <v>0</v>
      </c>
      <c r="M89" s="56" t="n">
        <v>5</v>
      </c>
      <c r="N89" s="6" t="inlineStr">
        <is>
          <t>Amazon link not found</t>
        </is>
      </c>
      <c r="O89" s="56">
        <f>IF(N89="Selling pet toys + Artificial grass/Pet toilets (TARGET)",15,IF(N89="Selling artificial grass/pet toilets (TARGET)",10,IF(N89="Selling pet toys",7,IF(N89="There's an Amazon link, but no target sales.",3,0))))</f>
        <v/>
      </c>
      <c r="P89" s="65">
        <f>H89+J89+L89+M89+O89</f>
        <v/>
      </c>
      <c r="Q89" s="71" t="inlineStr">
        <is>
          <t>International / Future Expansion</t>
        </is>
      </c>
      <c r="R89" s="6" t="inlineStr">
        <is>
          <t>Cỏ nhân tạo sân chơi/huấn luyện (Dog Turf) + Đồ chơi nhai chịu lực (KONG/Chew Toys)</t>
        </is>
      </c>
      <c r="S89" s="6" t="inlineStr">
        <is>
          <t>Gắn cờ International / Future Expansion - Không gọi Telesale giai đoạn 1</t>
        </is>
      </c>
    </row>
    <row r="90">
      <c r="A90" s="59" t="n">
        <v>2109</v>
      </c>
      <c r="B90" s="15" t="inlineStr">
        <is>
          <t>Malaysia Independent Animal Rescue</t>
        </is>
      </c>
      <c r="C90" s="60" t="inlineStr">
        <is>
          <t>https://www.facebook.com/MIARRescue</t>
        </is>
      </c>
      <c r="D90" s="9" t="inlineStr">
        <is>
          <t>Cần quét Bio Fanpage</t>
        </is>
      </c>
      <c r="E90" s="59" t="inlineStr">
        <is>
          <t>12/10/2026 20:57:23</t>
        </is>
      </c>
      <c r="F90" s="59" t="inlineStr">
        <is>
          <t>7 giờ trước</t>
        </is>
      </c>
      <c r="G90" s="61" t="n">
        <v>0.29</v>
      </c>
      <c r="H90" s="62" t="n">
        <v>32</v>
      </c>
      <c r="I90" s="9" t="inlineStr">
        <is>
          <t>Pet Rescue / Trạm cứu trợ (14-16đ)</t>
        </is>
      </c>
      <c r="J90" s="62" t="n">
        <v>14</v>
      </c>
      <c r="K90" s="9" t="inlineStr">
        <is>
          <t>Chưa rõ giống (Cần quét Bio)</t>
        </is>
      </c>
      <c r="L90" s="62" t="n">
        <v>0</v>
      </c>
      <c r="M90" s="62" t="n">
        <v>0</v>
      </c>
      <c r="N90" s="9" t="inlineStr">
        <is>
          <t>Amazon link not found</t>
        </is>
      </c>
      <c r="O90" s="62">
        <f>IF(N90="Selling pet toys + Artificial grass/Pet toilets (TARGET)",15,IF(N90="Selling artificial grass/pet toilets (TARGET)",10,IF(N90="Selling pet toys",7,IF(N90="There's an Amazon link, but no target sales.",3,0))))</f>
        <v/>
      </c>
      <c r="P90" s="67">
        <f>H90+J90+L90+M90+O90</f>
        <v/>
      </c>
      <c r="Q90" s="70" t="inlineStr">
        <is>
          <t>International / Future Expansion</t>
        </is>
      </c>
      <c r="R90" s="9" t="inlineStr">
        <is>
          <t>Nhà vệ sinh &amp; Tã lót (Potty Tray / Pee Pads) + Cỏ nhân tạo lót chuồng</t>
        </is>
      </c>
      <c r="S90" s="9" t="inlineStr">
        <is>
          <t>Gắn cờ International / Future Expansion - Không gọi Telesale giai đoạn 1</t>
        </is>
      </c>
    </row>
    <row r="91">
      <c r="A91" s="53" t="n">
        <v>1780</v>
      </c>
      <c r="B91" s="12" t="inlineStr">
        <is>
          <t>Josiane Mythique Frenchies Brière</t>
        </is>
      </c>
      <c r="C91" s="54" t="inlineStr">
        <is>
          <t>https://www.facebook.com/profile.php?id=100008766332900</t>
        </is>
      </c>
      <c r="D91" s="6" t="inlineStr">
        <is>
          <t>Cần quét Bio Fanpage</t>
        </is>
      </c>
      <c r="E91" s="53" t="inlineStr">
        <is>
          <t>22/09/2026 00:24:53</t>
        </is>
      </c>
      <c r="F91" s="53" t="inlineStr">
        <is>
          <t>3 tuần trước</t>
        </is>
      </c>
      <c r="G91" s="55" t="n">
        <v>21</v>
      </c>
      <c r="H91" s="56" t="n">
        <v>8</v>
      </c>
      <c r="I91" s="6" t="inlineStr">
        <is>
          <t>Dog Breeder / Trại chó chuyên nghiệp (28-30đ)</t>
        </is>
      </c>
      <c r="J91" s="56" t="n">
        <v>28</v>
      </c>
      <c r="K91" s="6" t="inlineStr">
        <is>
          <t>French Bulldog</t>
        </is>
      </c>
      <c r="L91" s="56" t="n">
        <v>10</v>
      </c>
      <c r="M91" s="56" t="n">
        <v>0</v>
      </c>
      <c r="N91" s="6" t="inlineStr">
        <is>
          <t>Amazon link not found</t>
        </is>
      </c>
      <c r="O91" s="56">
        <f>IF(N91="Selling pet toys + Artificial grass/Pet toilets (TARGET)",15,IF(N91="Selling artificial grass/pet toilets (TARGET)",10,IF(N91="Selling pet toys",7,IF(N91="There's an Amazon link, but no target sales.",3,0))))</f>
        <v/>
      </c>
      <c r="P91" s="65">
        <f>H91+J91+L91+M91+O91</f>
        <v/>
      </c>
      <c r="Q91" s="71" t="inlineStr">
        <is>
          <t>International / Future Expansion</t>
        </is>
      </c>
      <c r="R91" s="6" t="inlineStr">
        <is>
          <t>Trọn gói Take-Home Starter Kit V2/V3 (Cỏ nhân tạo + Khay Potty + Đồ chơi Teething/Snuggle)</t>
        </is>
      </c>
      <c r="S91" s="6" t="inlineStr">
        <is>
          <t>Gắn cờ International / Future Expansion - Không gọi Telesale giai đoạn 1</t>
        </is>
      </c>
    </row>
    <row r="92">
      <c r="A92" s="59" t="n">
        <v>791</v>
      </c>
      <c r="B92" s="15" t="inlineStr">
        <is>
          <t>Bulldogs del Boquerón</t>
        </is>
      </c>
      <c r="C92" s="60" t="inlineStr">
        <is>
          <t>https://www.facebook.com/bulldogsdelboqueron</t>
        </is>
      </c>
      <c r="D92" s="9" t="inlineStr">
        <is>
          <t>Cần quét Bio Fanpage</t>
        </is>
      </c>
      <c r="E92" s="59" t="inlineStr">
        <is>
          <t>20/09/2026 19:47:33</t>
        </is>
      </c>
      <c r="F92" s="59" t="inlineStr">
        <is>
          <t>3 tuần trước</t>
        </is>
      </c>
      <c r="G92" s="61" t="n">
        <v>21</v>
      </c>
      <c r="H92" s="62" t="n">
        <v>8</v>
      </c>
      <c r="I92" s="9" t="inlineStr">
        <is>
          <t>Dog Breeder / Trại chó chuyên nghiệp (28-30đ)</t>
        </is>
      </c>
      <c r="J92" s="62" t="n">
        <v>28</v>
      </c>
      <c r="K92" s="9" t="inlineStr">
        <is>
          <t>English Bulldog</t>
        </is>
      </c>
      <c r="L92" s="62" t="n">
        <v>10</v>
      </c>
      <c r="M92" s="62" t="n">
        <v>0</v>
      </c>
      <c r="N92" s="9" t="inlineStr">
        <is>
          <t>Amazon link not found</t>
        </is>
      </c>
      <c r="O92" s="62">
        <f>IF(N92="Selling pet toys + Artificial grass/Pet toilets (TARGET)",15,IF(N92="Selling artificial grass/pet toilets (TARGET)",10,IF(N92="Selling pet toys",7,IF(N92="There's an Amazon link, but no target sales.",3,0))))</f>
        <v/>
      </c>
      <c r="P92" s="67">
        <f>H92+J92+L92+M92+O92</f>
        <v/>
      </c>
      <c r="Q92" s="70" t="inlineStr">
        <is>
          <t>International / Future Expansion</t>
        </is>
      </c>
      <c r="R92" s="9" t="inlineStr">
        <is>
          <t>Trọn gói Take-Home Starter Kit V2/V3 (Cỏ nhân tạo + Khay Potty + Đồ chơi Teething/Snuggle)</t>
        </is>
      </c>
      <c r="S92" s="9" t="inlineStr">
        <is>
          <t>Gắn cờ International / Future Expansion - Không gọi Telesale giai đoạn 1</t>
        </is>
      </c>
    </row>
    <row r="93">
      <c r="A93" s="53" t="n">
        <v>2402</v>
      </c>
      <c r="B93" s="12" t="inlineStr">
        <is>
          <t>Passion Frenchies / Élevage de bouledogue français</t>
        </is>
      </c>
      <c r="C93" s="54" t="inlineStr">
        <is>
          <t>https://www.facebook.com/passionfrenchiess</t>
        </is>
      </c>
      <c r="D93" s="6" t="inlineStr">
        <is>
          <t>Cần quét Bio Fanpage</t>
        </is>
      </c>
      <c r="E93" s="53" t="inlineStr">
        <is>
          <t>19/09/2026 19:20:12</t>
        </is>
      </c>
      <c r="F93" s="53" t="inlineStr">
        <is>
          <t>3 tuần trước</t>
        </is>
      </c>
      <c r="G93" s="55" t="n">
        <v>21</v>
      </c>
      <c r="H93" s="56" t="n">
        <v>8</v>
      </c>
      <c r="I93" s="6" t="inlineStr">
        <is>
          <t>Dog Breeder / Trại chó chuyên nghiệp (28-30đ)</t>
        </is>
      </c>
      <c r="J93" s="56" t="n">
        <v>28</v>
      </c>
      <c r="K93" s="6" t="inlineStr">
        <is>
          <t>French Bulldog</t>
        </is>
      </c>
      <c r="L93" s="56" t="n">
        <v>10</v>
      </c>
      <c r="M93" s="56" t="n">
        <v>0</v>
      </c>
      <c r="N93" s="6" t="inlineStr">
        <is>
          <t>Amazon link not found</t>
        </is>
      </c>
      <c r="O93" s="56">
        <f>IF(N93="Selling pet toys + Artificial grass/Pet toilets (TARGET)",15,IF(N93="Selling artificial grass/pet toilets (TARGET)",10,IF(N93="Selling pet toys",7,IF(N93="There's an Amazon link, but no target sales.",3,0))))</f>
        <v/>
      </c>
      <c r="P93" s="65">
        <f>H93+J93+L93+M93+O93</f>
        <v/>
      </c>
      <c r="Q93" s="71" t="inlineStr">
        <is>
          <t>International / Future Expansion</t>
        </is>
      </c>
      <c r="R93" s="6" t="inlineStr">
        <is>
          <t>Trọn gói Take-Home Starter Kit V2/V3 (Cỏ nhân tạo + Khay Potty + Đồ chơi Teething/Snuggle)</t>
        </is>
      </c>
      <c r="S93" s="6" t="inlineStr">
        <is>
          <t>Gắn cờ International / Future Expansion - Không gọi Telesale giai đoạn 1</t>
        </is>
      </c>
    </row>
    <row r="94">
      <c r="A94" s="59" t="n">
        <v>1452</v>
      </c>
      <c r="B94" s="15" t="inlineStr">
        <is>
          <t>Frenchies de l’Île</t>
        </is>
      </c>
      <c r="C94" s="60" t="inlineStr">
        <is>
          <t>https://www.facebook.com/frenchiesdelile</t>
        </is>
      </c>
      <c r="D94" s="9" t="inlineStr">
        <is>
          <t>Cần quét Bio Fanpage</t>
        </is>
      </c>
      <c r="E94" s="59" t="inlineStr">
        <is>
          <t>15/09/2026 20:12:33</t>
        </is>
      </c>
      <c r="F94" s="59" t="inlineStr">
        <is>
          <t>3 tuần trước</t>
        </is>
      </c>
      <c r="G94" s="61" t="n">
        <v>21</v>
      </c>
      <c r="H94" s="62" t="n">
        <v>8</v>
      </c>
      <c r="I94" s="9" t="inlineStr">
        <is>
          <t>Dog Breeder / Trại chó chuyên nghiệp (28-30đ)</t>
        </is>
      </c>
      <c r="J94" s="62" t="n">
        <v>28</v>
      </c>
      <c r="K94" s="9" t="inlineStr">
        <is>
          <t>French Bulldog</t>
        </is>
      </c>
      <c r="L94" s="62" t="n">
        <v>10</v>
      </c>
      <c r="M94" s="62" t="n">
        <v>0</v>
      </c>
      <c r="N94" s="9" t="inlineStr">
        <is>
          <t>Amazon link not found</t>
        </is>
      </c>
      <c r="O94" s="62">
        <f>IF(N94="Selling pet toys + Artificial grass/Pet toilets (TARGET)",15,IF(N94="Selling artificial grass/pet toilets (TARGET)",10,IF(N94="Selling pet toys",7,IF(N94="There's an Amazon link, but no target sales.",3,0))))</f>
        <v/>
      </c>
      <c r="P94" s="67">
        <f>H94+J94+L94+M94+O94</f>
        <v/>
      </c>
      <c r="Q94" s="70" t="inlineStr">
        <is>
          <t>International / Future Expansion</t>
        </is>
      </c>
      <c r="R94" s="9" t="inlineStr">
        <is>
          <t>Trọn gói Take-Home Starter Kit V2/V3 (Cỏ nhân tạo + Khay Potty + Đồ chơi Teething/Snuggle)</t>
        </is>
      </c>
      <c r="S94" s="9" t="inlineStr">
        <is>
          <t>Gắn cờ International / Future Expansion - Không gọi Telesale giai đoạn 1</t>
        </is>
      </c>
    </row>
    <row r="95">
      <c r="A95" s="53" t="n">
        <v>3488</v>
      </c>
      <c r="B95" s="12" t="inlineStr">
        <is>
          <t>Élevage Bulldog Signature</t>
        </is>
      </c>
      <c r="C95" s="54" t="inlineStr">
        <is>
          <t>https://www.facebook.com/profile.php?id=61559622055421</t>
        </is>
      </c>
      <c r="D95" s="6" t="inlineStr">
        <is>
          <t>Cần quét Bio Fanpage</t>
        </is>
      </c>
      <c r="E95" s="53" t="inlineStr">
        <is>
          <t>15/09/2026 07:09:22</t>
        </is>
      </c>
      <c r="F95" s="53" t="inlineStr">
        <is>
          <t>4 tuần trước</t>
        </is>
      </c>
      <c r="G95" s="55" t="n">
        <v>28</v>
      </c>
      <c r="H95" s="56" t="n">
        <v>8</v>
      </c>
      <c r="I95" s="6" t="inlineStr">
        <is>
          <t>Dog Breeder / Trại nhân giống (28-30đ)</t>
        </is>
      </c>
      <c r="J95" s="56" t="n">
        <v>28</v>
      </c>
      <c r="K95" s="6" t="inlineStr">
        <is>
          <t>English Bulldog</t>
        </is>
      </c>
      <c r="L95" s="56" t="n">
        <v>10</v>
      </c>
      <c r="M95" s="56" t="n">
        <v>0</v>
      </c>
      <c r="N95" s="6" t="inlineStr">
        <is>
          <t>Amazon link not found</t>
        </is>
      </c>
      <c r="O95" s="56">
        <f>IF(N95="Selling pet toys + Artificial grass/Pet toilets (TARGET)",15,IF(N95="Selling artificial grass/pet toilets (TARGET)",10,IF(N95="Selling pet toys",7,IF(N95="There's an Amazon link, but no target sales.",3,0))))</f>
        <v/>
      </c>
      <c r="P95" s="65">
        <f>H95+J95+L95+M95+O95</f>
        <v/>
      </c>
      <c r="Q95" s="71" t="inlineStr">
        <is>
          <t>International / Future Expansion</t>
        </is>
      </c>
      <c r="R95" s="6" t="inlineStr">
        <is>
          <t>Trọn gói Take-Home Starter Kit V2/V3 (Cỏ nhân tạo + Khay Potty + Đồ chơi cún con)</t>
        </is>
      </c>
      <c r="S95" s="6" t="inlineStr">
        <is>
          <t>Gắn cờ International / Future Expansion - Không gọi Telesale giai đoạn 1</t>
        </is>
      </c>
    </row>
    <row r="96">
      <c r="A96" s="59" t="n">
        <v>5985</v>
      </c>
      <c r="B96" s="15" t="inlineStr">
        <is>
          <t>เพ็ทพาเพลิน-petpaplearn</t>
        </is>
      </c>
      <c r="C96" s="60" t="inlineStr">
        <is>
          <t>https://www.facebook.com/petsocialfun</t>
        </is>
      </c>
      <c r="D96" s="9" t="inlineStr">
        <is>
          <t>Cần quét Bio Fanpage</t>
        </is>
      </c>
      <c r="E96" s="59" t="inlineStr">
        <is>
          <t>13/10/2026 11:30:28</t>
        </is>
      </c>
      <c r="F96" s="59" t="inlineStr">
        <is>
          <t>14 phút trước</t>
        </is>
      </c>
      <c r="G96" s="61" t="n">
        <v>0.01</v>
      </c>
      <c r="H96" s="62" t="n">
        <v>35</v>
      </c>
      <c r="I96" s="9" t="inlineStr">
        <is>
          <t>Pet Owner / Cộng đồng nuôi cún (10đ)</t>
        </is>
      </c>
      <c r="J96" s="62" t="n">
        <v>10</v>
      </c>
      <c r="K96" s="9" t="inlineStr">
        <is>
          <t>Chưa rõ giống (Cần quét Bio)</t>
        </is>
      </c>
      <c r="L96" s="62" t="n">
        <v>0</v>
      </c>
      <c r="M96" s="62" t="n">
        <v>0</v>
      </c>
      <c r="N96" s="9" t="inlineStr">
        <is>
          <t>Amazon link not found</t>
        </is>
      </c>
      <c r="O96" s="62">
        <f>IF(N96="Selling pet toys + Artificial grass/Pet toilets (TARGET)",15,IF(N96="Selling artificial grass/pet toilets (TARGET)",10,IF(N96="Selling pet toys",7,IF(N96="There's an Amazon link, but no target sales.",3,0))))</f>
        <v/>
      </c>
      <c r="P96" s="67">
        <f>H96+J96+L96+M96+O96</f>
        <v/>
      </c>
      <c r="Q96" s="70" t="inlineStr">
        <is>
          <t>International / Future Expansion</t>
        </is>
      </c>
      <c r="R96" s="9" t="inlineStr">
        <is>
          <t>Khay vệ sinh chung cư (Indoor Potty) + Thảm cỏ ban công (Grass Patch) + Đồ chơi</t>
        </is>
      </c>
      <c r="S96" s="9" t="inlineStr">
        <is>
          <t>Gắn cờ International / Future Expansion - Không gọi Telesale giai đoạn 1</t>
        </is>
      </c>
    </row>
    <row r="97">
      <c r="A97" s="53" t="n">
        <v>5977</v>
      </c>
      <c r="B97" s="12" t="inlineStr">
        <is>
          <t>พาน้องหมาเที่ยว (Dog Tour)</t>
        </is>
      </c>
      <c r="C97" s="54" t="inlineStr">
        <is>
          <t>https://www.facebook.com/DogTour</t>
        </is>
      </c>
      <c r="D97" s="6" t="inlineStr">
        <is>
          <t>Cần quét Bio Fanpage</t>
        </is>
      </c>
      <c r="E97" s="53" t="inlineStr">
        <is>
          <t>13/10/2026 10:17:46</t>
        </is>
      </c>
      <c r="F97" s="53" t="inlineStr">
        <is>
          <t>1 giờ trước</t>
        </is>
      </c>
      <c r="G97" s="55" t="n">
        <v>0.04</v>
      </c>
      <c r="H97" s="56" t="n">
        <v>35</v>
      </c>
      <c r="I97" s="6" t="inlineStr">
        <is>
          <t>Pet Owner / Cộng đồng nuôi cún (10đ)</t>
        </is>
      </c>
      <c r="J97" s="56" t="n">
        <v>10</v>
      </c>
      <c r="K97" s="6" t="inlineStr">
        <is>
          <t>Chưa rõ giống (Cần quét Bio)</t>
        </is>
      </c>
      <c r="L97" s="56" t="n">
        <v>0</v>
      </c>
      <c r="M97" s="56" t="n">
        <v>0</v>
      </c>
      <c r="N97" s="6" t="inlineStr">
        <is>
          <t>Amazon link not found</t>
        </is>
      </c>
      <c r="O97" s="56">
        <f>IF(N97="Selling pet toys + Artificial grass/Pet toilets (TARGET)",15,IF(N97="Selling artificial grass/pet toilets (TARGET)",10,IF(N97="Selling pet toys",7,IF(N97="There's an Amazon link, but no target sales.",3,0))))</f>
        <v/>
      </c>
      <c r="P97" s="65">
        <f>H97+J97+L97+M97+O97</f>
        <v/>
      </c>
      <c r="Q97" s="71" t="inlineStr">
        <is>
          <t>International / Future Expansion</t>
        </is>
      </c>
      <c r="R97" s="6" t="inlineStr">
        <is>
          <t>Khay vệ sinh chung cư (Indoor Potty) + Thảm cỏ ban công (Grass Patch) + Đồ chơi</t>
        </is>
      </c>
      <c r="S97" s="6" t="inlineStr">
        <is>
          <t>Gắn cờ International / Future Expansion - Không gọi Telesale giai đoạn 1</t>
        </is>
      </c>
    </row>
    <row r="98">
      <c r="A98" s="59" t="n">
        <v>4852</v>
      </c>
      <c r="B98" s="15" t="inlineStr">
        <is>
          <t>OurDogs Ireland</t>
        </is>
      </c>
      <c r="C98" s="60" t="inlineStr">
        <is>
          <t>https://www.facebook.com/OurDogsIre</t>
        </is>
      </c>
      <c r="D98" s="9" t="inlineStr">
        <is>
          <t>Cần quét Bio Fanpage</t>
        </is>
      </c>
      <c r="E98" s="59" t="inlineStr">
        <is>
          <t>13/10/2026 07:04:51</t>
        </is>
      </c>
      <c r="F98" s="59" t="inlineStr">
        <is>
          <t>2 giờ trước</t>
        </is>
      </c>
      <c r="G98" s="61" t="n">
        <v>0.08</v>
      </c>
      <c r="H98" s="62" t="n">
        <v>35</v>
      </c>
      <c r="I98" s="9" t="inlineStr">
        <is>
          <t>Pet Owner / Cộng đồng nuôi cún (10đ)</t>
        </is>
      </c>
      <c r="J98" s="62" t="n">
        <v>10</v>
      </c>
      <c r="K98" s="9" t="inlineStr">
        <is>
          <t>Chưa rõ giống (Cần quét Bio)</t>
        </is>
      </c>
      <c r="L98" s="62" t="n">
        <v>0</v>
      </c>
      <c r="M98" s="62" t="n">
        <v>0</v>
      </c>
      <c r="N98" s="9" t="inlineStr">
        <is>
          <t>Amazon link not found</t>
        </is>
      </c>
      <c r="O98" s="62">
        <f>IF(N98="Selling pet toys + Artificial grass/Pet toilets (TARGET)",15,IF(N98="Selling artificial grass/pet toilets (TARGET)",10,IF(N98="Selling pet toys",7,IF(N98="There's an Amazon link, but no target sales.",3,0))))</f>
        <v/>
      </c>
      <c r="P98" s="67">
        <f>H98+J98+L98+M98+O98</f>
        <v/>
      </c>
      <c r="Q98" s="70" t="inlineStr">
        <is>
          <t>International / Future Expansion</t>
        </is>
      </c>
      <c r="R98" s="9" t="inlineStr">
        <is>
          <t>Khay vệ sinh chung cư (Indoor Potty) + Thảm cỏ ban công (Grass Patch) + Đồ chơi</t>
        </is>
      </c>
      <c r="S98" s="9" t="inlineStr">
        <is>
          <t>Gắn cờ International / Future Expansion - Không gọi Telesale giai đoạn 1</t>
        </is>
      </c>
    </row>
    <row r="99">
      <c r="A99" s="53" t="n">
        <v>5066</v>
      </c>
      <c r="B99" s="12" t="inlineStr">
        <is>
          <t>Police Dog Unit - NSW Police Force</t>
        </is>
      </c>
      <c r="C99" s="54" t="inlineStr">
        <is>
          <t>https://www.facebook.com/NSWPFDogUnit</t>
        </is>
      </c>
      <c r="D99" s="6" t="inlineStr">
        <is>
          <t>Cần quét Bio Fanpage</t>
        </is>
      </c>
      <c r="E99" s="53" t="inlineStr">
        <is>
          <t>13/10/2026 07:02:03</t>
        </is>
      </c>
      <c r="F99" s="53" t="inlineStr">
        <is>
          <t>3 giờ trước</t>
        </is>
      </c>
      <c r="G99" s="55" t="n">
        <v>0.12</v>
      </c>
      <c r="H99" s="56" t="n">
        <v>35</v>
      </c>
      <c r="I99" s="6" t="inlineStr">
        <is>
          <t>Pet Owner / Cộng đồng nuôi cún (10đ)</t>
        </is>
      </c>
      <c r="J99" s="56" t="n">
        <v>10</v>
      </c>
      <c r="K99" s="6" t="inlineStr">
        <is>
          <t>Chưa rõ giống (Cần quét Bio)</t>
        </is>
      </c>
      <c r="L99" s="56" t="n">
        <v>0</v>
      </c>
      <c r="M99" s="56" t="n">
        <v>0</v>
      </c>
      <c r="N99" s="6" t="inlineStr">
        <is>
          <t>Amazon link not found</t>
        </is>
      </c>
      <c r="O99" s="56">
        <f>IF(N99="Selling pet toys + Artificial grass/Pet toilets (TARGET)",15,IF(N99="Selling artificial grass/pet toilets (TARGET)",10,IF(N99="Selling pet toys",7,IF(N99="There's an Amazon link, but no target sales.",3,0))))</f>
        <v/>
      </c>
      <c r="P99" s="65">
        <f>H99+J99+L99+M99+O99</f>
        <v/>
      </c>
      <c r="Q99" s="71" t="inlineStr">
        <is>
          <t>International / Future Expansion</t>
        </is>
      </c>
      <c r="R99" s="6" t="inlineStr">
        <is>
          <t>Khay vệ sinh chung cư (Indoor Potty) + Thảm cỏ ban công (Grass Patch) + Đồ chơi</t>
        </is>
      </c>
      <c r="S99" s="6" t="inlineStr">
        <is>
          <t>Gắn cờ International / Future Expansion - Không gọi Telesale giai đoạn 1</t>
        </is>
      </c>
    </row>
    <row r="100">
      <c r="A100" s="59" t="n">
        <v>3650</v>
      </c>
      <c r="B100" s="15" t="inlineStr">
        <is>
          <t>Dogs Queensland</t>
        </is>
      </c>
      <c r="C100" s="60" t="inlineStr">
        <is>
          <t>https://www.facebook.com/DogsQueensland</t>
        </is>
      </c>
      <c r="D100" s="9" t="inlineStr">
        <is>
          <t>Cần quét Bio Fanpage</t>
        </is>
      </c>
      <c r="E100" s="59" t="inlineStr">
        <is>
          <t>13/10/2026 07:00:07</t>
        </is>
      </c>
      <c r="F100" s="59" t="inlineStr">
        <is>
          <t>29 phút trước</t>
        </is>
      </c>
      <c r="G100" s="61" t="n">
        <v>0.02</v>
      </c>
      <c r="H100" s="62" t="n">
        <v>35</v>
      </c>
      <c r="I100" s="9" t="inlineStr">
        <is>
          <t>Pet Owner / Cộng đồng nuôi cún (10đ)</t>
        </is>
      </c>
      <c r="J100" s="62" t="n">
        <v>10</v>
      </c>
      <c r="K100" s="9" t="inlineStr">
        <is>
          <t>Chưa rõ giống (Cần quét Bio)</t>
        </is>
      </c>
      <c r="L100" s="62" t="n">
        <v>0</v>
      </c>
      <c r="M100" s="62" t="n">
        <v>0</v>
      </c>
      <c r="N100" s="9" t="inlineStr">
        <is>
          <t>Amazon link not found</t>
        </is>
      </c>
      <c r="O100" s="62">
        <f>IF(N100="Selling pet toys + Artificial grass/Pet toilets (TARGET)",15,IF(N100="Selling artificial grass/pet toilets (TARGET)",10,IF(N100="Selling pet toys",7,IF(N100="There's an Amazon link, but no target sales.",3,0))))</f>
        <v/>
      </c>
      <c r="P100" s="67">
        <f>H100+J100+L100+M100+O100</f>
        <v/>
      </c>
      <c r="Q100" s="70" t="inlineStr">
        <is>
          <t>International / Future Expansion</t>
        </is>
      </c>
      <c r="R100" s="9" t="inlineStr">
        <is>
          <t>Khay vệ sinh chung cư (Indoor Potty) + Thảm cỏ ban công (Grass Patch) + Đồ chơi</t>
        </is>
      </c>
      <c r="S100" s="9" t="inlineStr">
        <is>
          <t>Gắn cờ International / Future Expansion - Không gọi Telesale giai đoạn 1</t>
        </is>
      </c>
    </row>
    <row r="101">
      <c r="A101" s="53" t="n">
        <v>3284</v>
      </c>
      <c r="B101" s="12" t="inlineStr">
        <is>
          <t>Vancouver, BC - Lost Dogs, Cats &amp; Pets - PawBoost</t>
        </is>
      </c>
      <c r="C101" s="54" t="inlineStr">
        <is>
          <t>https://www.facebook.com/LostPetsVancouverBC</t>
        </is>
      </c>
      <c r="D101" s="6" t="inlineStr">
        <is>
          <t>Cần quét Bio Fanpage</t>
        </is>
      </c>
      <c r="E101" s="53" t="inlineStr">
        <is>
          <t>13/10/2026 02:56:33</t>
        </is>
      </c>
      <c r="F101" s="53" t="inlineStr">
        <is>
          <t>3 giờ trước</t>
        </is>
      </c>
      <c r="G101" s="55" t="n">
        <v>0.12</v>
      </c>
      <c r="H101" s="56" t="n">
        <v>35</v>
      </c>
      <c r="I101" s="6" t="inlineStr">
        <is>
          <t>Pet Owner / Cộng đồng nuôi cún (10đ)</t>
        </is>
      </c>
      <c r="J101" s="56" t="n">
        <v>10</v>
      </c>
      <c r="K101" s="6" t="inlineStr">
        <is>
          <t>Chưa rõ giống (Cần quét Bio)</t>
        </is>
      </c>
      <c r="L101" s="56" t="n">
        <v>0</v>
      </c>
      <c r="M101" s="56" t="n">
        <v>0</v>
      </c>
      <c r="N101" s="6" t="inlineStr">
        <is>
          <t>Amazon link not found</t>
        </is>
      </c>
      <c r="O101" s="56">
        <f>IF(N101="Selling pet toys + Artificial grass/Pet toilets (TARGET)",15,IF(N101="Selling artificial grass/pet toilets (TARGET)",10,IF(N101="Selling pet toys",7,IF(N101="There's an Amazon link, but no target sales.",3,0))))</f>
        <v/>
      </c>
      <c r="P101" s="65">
        <f>H101+J101+L101+M101+O101</f>
        <v/>
      </c>
      <c r="Q101" s="71" t="inlineStr">
        <is>
          <t>International / Future Expansion</t>
        </is>
      </c>
      <c r="R101" s="6" t="inlineStr">
        <is>
          <t>Khay vệ sinh chung cư (Indoor Potty) + Thảm cỏ ban công (Grass Patch) + Đồ chơi</t>
        </is>
      </c>
      <c r="S101" s="6" t="inlineStr">
        <is>
          <t>Gắn cờ International / Future Expansion - Không gọi Telesale giai đoạn 1</t>
        </is>
      </c>
    </row>
    <row r="102">
      <c r="A102" s="59" t="n">
        <v>1272</v>
      </c>
      <c r="B102" s="15" t="inlineStr">
        <is>
          <t>Elevage des petites pattes du causse</t>
        </is>
      </c>
      <c r="C102" s="60" t="inlineStr">
        <is>
          <t>https://www.facebook.com/petitepattesducausses</t>
        </is>
      </c>
      <c r="D102" s="9" t="inlineStr">
        <is>
          <t>Cần quét Bio Fanpage</t>
        </is>
      </c>
      <c r="E102" s="59" t="inlineStr">
        <is>
          <t>13/10/2026 01:40:30</t>
        </is>
      </c>
      <c r="F102" s="59" t="inlineStr">
        <is>
          <t>1 giờ trước</t>
        </is>
      </c>
      <c r="G102" s="61" t="n">
        <v>0.04</v>
      </c>
      <c r="H102" s="62" t="n">
        <v>35</v>
      </c>
      <c r="I102" s="9" t="inlineStr">
        <is>
          <t>Pet Owner / Cộng đồng nuôi cún (10đ)</t>
        </is>
      </c>
      <c r="J102" s="62" t="n">
        <v>10</v>
      </c>
      <c r="K102" s="9" t="inlineStr">
        <is>
          <t>Chưa rõ giống (Cần quét Bio)</t>
        </is>
      </c>
      <c r="L102" s="62" t="n">
        <v>0</v>
      </c>
      <c r="M102" s="62" t="n">
        <v>0</v>
      </c>
      <c r="N102" s="9" t="inlineStr">
        <is>
          <t>Amazon link not found</t>
        </is>
      </c>
      <c r="O102" s="62">
        <f>IF(N102="Selling pet toys + Artificial grass/Pet toilets (TARGET)",15,IF(N102="Selling artificial grass/pet toilets (TARGET)",10,IF(N102="Selling pet toys",7,IF(N102="There's an Amazon link, but no target sales.",3,0))))</f>
        <v/>
      </c>
      <c r="P102" s="67">
        <f>H102+J102+L102+M102+O102</f>
        <v/>
      </c>
      <c r="Q102" s="70" t="inlineStr">
        <is>
          <t>International / Future Expansion</t>
        </is>
      </c>
      <c r="R102" s="9" t="inlineStr">
        <is>
          <t>Khay vệ sinh chung cư (Indoor Potty) + Thảm cỏ ban công (Grass Patch) + Đồ chơi</t>
        </is>
      </c>
      <c r="S102" s="9" t="inlineStr">
        <is>
          <t>Gắn cờ International / Future Expansion - Không gọi Telesale giai đoạn 1</t>
        </is>
      </c>
    </row>
    <row r="103">
      <c r="A103" s="53" t="n">
        <v>820</v>
      </c>
      <c r="B103" s="12" t="inlineStr">
        <is>
          <t>Canadian Doodle Puppies</t>
        </is>
      </c>
      <c r="C103" s="54" t="inlineStr">
        <is>
          <t>https://www.facebook.com/profile.php?id=100057141082902</t>
        </is>
      </c>
      <c r="D103" s="6" t="inlineStr">
        <is>
          <t>Cần quét Bio Fanpage</t>
        </is>
      </c>
      <c r="E103" s="53" t="inlineStr">
        <is>
          <t>08/08/2026 10:02:39</t>
        </is>
      </c>
      <c r="F103" s="53" t="inlineStr">
        <is>
          <t>2 tháng trước</t>
        </is>
      </c>
      <c r="G103" s="55" t="n">
        <v>60</v>
      </c>
      <c r="H103" s="56" t="n">
        <v>0</v>
      </c>
      <c r="I103" s="6" t="inlineStr">
        <is>
          <t>Dog Breeder / Trại chó chuyên nghiệp (28-30đ)</t>
        </is>
      </c>
      <c r="J103" s="56" t="n">
        <v>30</v>
      </c>
      <c r="K103" s="6" t="inlineStr">
        <is>
          <t>Goldendoodle</t>
        </is>
      </c>
      <c r="L103" s="56" t="n">
        <v>10</v>
      </c>
      <c r="M103" s="56" t="n">
        <v>5</v>
      </c>
      <c r="N103" s="6" t="inlineStr">
        <is>
          <t>Amazon link not found</t>
        </is>
      </c>
      <c r="O103" s="56">
        <f>IF(N103="Selling pet toys + Artificial grass/Pet toilets (TARGET)",15,IF(N103="Selling artificial grass/pet toilets (TARGET)",10,IF(N103="Selling pet toys",7,IF(N103="There's an Amazon link, but no target sales.",3,0))))</f>
        <v/>
      </c>
      <c r="P103" s="65">
        <f>H103+J103+L103+M103+O103</f>
        <v/>
      </c>
      <c r="Q103" s="71" t="inlineStr">
        <is>
          <t>International / Future Expansion</t>
        </is>
      </c>
      <c r="R103" s="6" t="inlineStr">
        <is>
          <t>Trọn gói Take-Home Starter Kit V2/V3 (Cỏ nhân tạo + Khay Potty + Đồ chơi Teething/Snuggle)</t>
        </is>
      </c>
      <c r="S103" s="6" t="inlineStr">
        <is>
          <t>Gắn cờ International / Future Expansion - Không gọi Telesale giai đoạn 1</t>
        </is>
      </c>
    </row>
    <row r="104">
      <c r="A104" s="59" t="n">
        <v>3346</v>
      </c>
      <c r="B104" s="15" t="inlineStr">
        <is>
          <t>Von Der Hing Rottweiler Kennel</t>
        </is>
      </c>
      <c r="C104" s="60" t="inlineStr">
        <is>
          <t>https://www.facebook.com/profile.php?id=100063754461950</t>
        </is>
      </c>
      <c r="D104" s="9" t="inlineStr">
        <is>
          <t>Cần quét Bio Fanpage</t>
        </is>
      </c>
      <c r="E104" s="59" t="inlineStr">
        <is>
          <t>21/07/2026 03:09:16</t>
        </is>
      </c>
      <c r="F104" s="59" t="inlineStr">
        <is>
          <t>2 tháng trước</t>
        </is>
      </c>
      <c r="G104" s="61" t="n">
        <v>60</v>
      </c>
      <c r="H104" s="62" t="n">
        <v>0</v>
      </c>
      <c r="I104" s="9" t="inlineStr">
        <is>
          <t>Dog Breeder / Trại chó chuyên nghiệp (28-30đ)</t>
        </is>
      </c>
      <c r="J104" s="62" t="n">
        <v>30</v>
      </c>
      <c r="K104" s="9" t="inlineStr">
        <is>
          <t>Rottweiler</t>
        </is>
      </c>
      <c r="L104" s="62" t="n">
        <v>10</v>
      </c>
      <c r="M104" s="62" t="n">
        <v>5</v>
      </c>
      <c r="N104" s="9" t="inlineStr">
        <is>
          <t>Amazon link not found</t>
        </is>
      </c>
      <c r="O104" s="62">
        <f>IF(N104="Selling pet toys + Artificial grass/Pet toilets (TARGET)",15,IF(N104="Selling artificial grass/pet toilets (TARGET)",10,IF(N104="Selling pet toys",7,IF(N104="There's an Amazon link, but no target sales.",3,0))))</f>
        <v/>
      </c>
      <c r="P104" s="67">
        <f>H104+J104+L104+M104+O104</f>
        <v/>
      </c>
      <c r="Q104" s="70" t="inlineStr">
        <is>
          <t>International / Future Expansion</t>
        </is>
      </c>
      <c r="R104" s="9" t="inlineStr">
        <is>
          <t>Trọn gói Take-Home Starter Kit V2/V3 (Cỏ nhân tạo + Khay Potty + Đồ chơi Teething/Snuggle)</t>
        </is>
      </c>
      <c r="S104" s="9" t="inlineStr">
        <is>
          <t>Gắn cờ International / Future Expansion - Không gọi Telesale giai đoạn 1</t>
        </is>
      </c>
    </row>
    <row r="105">
      <c r="A105" s="53" t="n">
        <v>3339</v>
      </c>
      <c r="B105" s="12" t="inlineStr">
        <is>
          <t>Vom Hause Imperial Rottweiler Kennel</t>
        </is>
      </c>
      <c r="C105" s="54" t="inlineStr">
        <is>
          <t>https://www.facebook.com/vomhauseimperial</t>
        </is>
      </c>
      <c r="D105" s="6" t="inlineStr">
        <is>
          <t>Cần quét Bio Fanpage</t>
        </is>
      </c>
      <c r="E105" s="53" t="inlineStr">
        <is>
          <t>20/11/2022 07:17:12</t>
        </is>
      </c>
      <c r="F105" s="53" t="inlineStr">
        <is>
          <t>3 năm trước</t>
        </is>
      </c>
      <c r="G105" s="55" t="n">
        <v>1095</v>
      </c>
      <c r="H105" s="56" t="n">
        <v>0</v>
      </c>
      <c r="I105" s="6" t="inlineStr">
        <is>
          <t>Dog Breeder / Trại chó chuyên nghiệp (28-30đ)</t>
        </is>
      </c>
      <c r="J105" s="56" t="n">
        <v>30</v>
      </c>
      <c r="K105" s="6" t="inlineStr">
        <is>
          <t>Rottweiler</t>
        </is>
      </c>
      <c r="L105" s="56" t="n">
        <v>10</v>
      </c>
      <c r="M105" s="56" t="n">
        <v>5</v>
      </c>
      <c r="N105" s="6" t="inlineStr">
        <is>
          <t>Amazon link not found</t>
        </is>
      </c>
      <c r="O105" s="56">
        <f>IF(N105="Selling pet toys + Artificial grass/Pet toilets (TARGET)",15,IF(N105="Selling artificial grass/pet toilets (TARGET)",10,IF(N105="Selling pet toys",7,IF(N105="There's an Amazon link, but no target sales.",3,0))))</f>
        <v/>
      </c>
      <c r="P105" s="65">
        <f>H105+J105+L105+M105+O105</f>
        <v/>
      </c>
      <c r="Q105" s="71" t="inlineStr">
        <is>
          <t>International / Future Expansion</t>
        </is>
      </c>
      <c r="R105" s="6" t="inlineStr">
        <is>
          <t>Trọn gói Take-Home Starter Kit V2/V3 (Cỏ nhân tạo + Khay Potty + Đồ chơi Teething/Snuggle)</t>
        </is>
      </c>
      <c r="S105" s="6" t="inlineStr">
        <is>
          <t>Gắn cờ International / Future Expansion - Không gọi Telesale giai đoạn 1</t>
        </is>
      </c>
    </row>
    <row r="106">
      <c r="A106" s="59" t="n">
        <v>3342</v>
      </c>
      <c r="B106" s="15" t="inlineStr">
        <is>
          <t>Vom TommyRott Rottweiler Kennel</t>
        </is>
      </c>
      <c r="C106" s="60" t="inlineStr">
        <is>
          <t>https://www.facebook.com/vomtommyrott.rottweilerkennel</t>
        </is>
      </c>
      <c r="D106" s="9" t="inlineStr">
        <is>
          <t>Cần quét Bio Fanpage</t>
        </is>
      </c>
      <c r="E106" s="59" t="inlineStr">
        <is>
          <t>Không tìm thấy bài viết</t>
        </is>
      </c>
      <c r="F106" s="59" t="inlineStr">
        <is>
          <t>Không có bài</t>
        </is>
      </c>
      <c r="G106" s="61" t="n">
        <v>999</v>
      </c>
      <c r="H106" s="62" t="n">
        <v>0</v>
      </c>
      <c r="I106" s="9" t="inlineStr">
        <is>
          <t>Dog Breeder / Trại chó chuyên nghiệp (28-30đ)</t>
        </is>
      </c>
      <c r="J106" s="62" t="n">
        <v>30</v>
      </c>
      <c r="K106" s="9" t="inlineStr">
        <is>
          <t>Rottweiler</t>
        </is>
      </c>
      <c r="L106" s="62" t="n">
        <v>10</v>
      </c>
      <c r="M106" s="62" t="n">
        <v>5</v>
      </c>
      <c r="N106" s="9" t="inlineStr">
        <is>
          <t>Amazon link not found</t>
        </is>
      </c>
      <c r="O106" s="62">
        <f>IF(N106="Selling pet toys + Artificial grass/Pet toilets (TARGET)",15,IF(N106="Selling artificial grass/pet toilets (TARGET)",10,IF(N106="Selling pet toys",7,IF(N106="There's an Amazon link, but no target sales.",3,0))))</f>
        <v/>
      </c>
      <c r="P106" s="67">
        <f>H106+J106+L106+M106+O106</f>
        <v/>
      </c>
      <c r="Q106" s="70" t="inlineStr">
        <is>
          <t>International / Future Expansion</t>
        </is>
      </c>
      <c r="R106" s="9" t="inlineStr">
        <is>
          <t>Trọn gói Take-Home Starter Kit V2/V3 (Cỏ nhân tạo + Khay Potty + Đồ chơi Teething/Snuggle)</t>
        </is>
      </c>
      <c r="S106" s="9" t="inlineStr">
        <is>
          <t>Gắn cờ International / Future Expansion - Không gọi Telesale giai đoạn 1</t>
        </is>
      </c>
    </row>
    <row r="107">
      <c r="A107" s="53" t="n">
        <v>2571</v>
      </c>
      <c r="B107" s="12" t="inlineStr">
        <is>
          <t>Pig Dog Supplies</t>
        </is>
      </c>
      <c r="C107" s="54" t="inlineStr">
        <is>
          <t>https://www.facebook.com/PigDogSupplies.Australia</t>
        </is>
      </c>
      <c r="D107" s="6" t="inlineStr">
        <is>
          <t>Cần quét Bio Fanpage</t>
        </is>
      </c>
      <c r="E107" s="53" t="inlineStr">
        <is>
          <t>11/10/2026 05:10:33</t>
        </is>
      </c>
      <c r="F107" s="53" t="inlineStr">
        <is>
          <t>2 ngày trước</t>
        </is>
      </c>
      <c r="G107" s="55" t="n">
        <v>2</v>
      </c>
      <c r="H107" s="56" t="n">
        <v>28</v>
      </c>
      <c r="I107" s="6" t="inlineStr">
        <is>
          <t>Pet Owner / Cộng đồng nuôi cún (10đ)</t>
        </is>
      </c>
      <c r="J107" s="56" t="n">
        <v>10</v>
      </c>
      <c r="K107" s="6" t="inlineStr">
        <is>
          <t>Chưa rõ giống (Cần quét Bio)</t>
        </is>
      </c>
      <c r="L107" s="56" t="n">
        <v>0</v>
      </c>
      <c r="M107" s="56" t="n">
        <v>5</v>
      </c>
      <c r="N107" s="6" t="inlineStr">
        <is>
          <t>Amazon link not found</t>
        </is>
      </c>
      <c r="O107" s="56">
        <f>IF(N107="Selling pet toys + Artificial grass/Pet toilets (TARGET)",15,IF(N107="Selling artificial grass/pet toilets (TARGET)",10,IF(N107="Selling pet toys",7,IF(N107="There's an Amazon link, but no target sales.",3,0))))</f>
        <v/>
      </c>
      <c r="P107" s="65">
        <f>H107+J107+L107+M107+O107</f>
        <v/>
      </c>
      <c r="Q107" s="71" t="inlineStr">
        <is>
          <t>International / Future Expansion</t>
        </is>
      </c>
      <c r="R107" s="6" t="inlineStr">
        <is>
          <t>Khay vệ sinh chung cư (Indoor Potty) + Thảm cỏ ban công (Grass Patch) + Đồ chơi</t>
        </is>
      </c>
      <c r="S107" s="6" t="inlineStr">
        <is>
          <t>Gắn cờ International / Future Expansion - Không gọi Telesale giai đoạn 1</t>
        </is>
      </c>
    </row>
    <row r="108">
      <c r="A108" s="59" t="n">
        <v>2480</v>
      </c>
      <c r="B108" s="15" t="inlineStr">
        <is>
          <t>PetBuddy PH</t>
        </is>
      </c>
      <c r="C108" s="60" t="inlineStr">
        <is>
          <t>https://www.facebook.com/petbuddyphofficial</t>
        </is>
      </c>
      <c r="D108" s="9" t="inlineStr">
        <is>
          <t>Cần quét Bio Fanpage</t>
        </is>
      </c>
      <c r="E108" s="59" t="inlineStr">
        <is>
          <t>10/10/2026 19:16:05</t>
        </is>
      </c>
      <c r="F108" s="59" t="inlineStr">
        <is>
          <t>2 ngày trước</t>
        </is>
      </c>
      <c r="G108" s="61" t="n">
        <v>2</v>
      </c>
      <c r="H108" s="62" t="n">
        <v>28</v>
      </c>
      <c r="I108" s="9" t="inlineStr">
        <is>
          <t>Pet Owner / Cộng đồng nuôi cún (10đ)</t>
        </is>
      </c>
      <c r="J108" s="62" t="n">
        <v>10</v>
      </c>
      <c r="K108" s="9" t="inlineStr">
        <is>
          <t>Chưa rõ giống (Cần quét Bio)</t>
        </is>
      </c>
      <c r="L108" s="62" t="n">
        <v>0</v>
      </c>
      <c r="M108" s="62" t="n">
        <v>5</v>
      </c>
      <c r="N108" s="9" t="inlineStr">
        <is>
          <t>Amazon link not found</t>
        </is>
      </c>
      <c r="O108" s="62">
        <f>IF(N108="Selling pet toys + Artificial grass/Pet toilets (TARGET)",15,IF(N108="Selling artificial grass/pet toilets (TARGET)",10,IF(N108="Selling pet toys",7,IF(N108="There's an Amazon link, but no target sales.",3,0))))</f>
        <v/>
      </c>
      <c r="P108" s="67">
        <f>H108+J108+L108+M108+O108</f>
        <v/>
      </c>
      <c r="Q108" s="70" t="inlineStr">
        <is>
          <t>International / Future Expansion</t>
        </is>
      </c>
      <c r="R108" s="9" t="inlineStr">
        <is>
          <t>Khay vệ sinh chung cư (Indoor Potty) + Thảm cỏ ban công (Grass Patch) + Đồ chơi</t>
        </is>
      </c>
      <c r="S108" s="9" t="inlineStr">
        <is>
          <t>Gắn cờ International / Future Expansion - Không gọi Telesale giai đoạn 1</t>
        </is>
      </c>
    </row>
    <row r="109">
      <c r="A109" s="53" t="n">
        <v>3487</v>
      </c>
      <c r="B109" s="12" t="inlineStr">
        <is>
          <t>éduca-dog</t>
        </is>
      </c>
      <c r="C109" s="54" t="inlineStr">
        <is>
          <t>https://www.facebook.com/profile.php?id=61553046643462</t>
        </is>
      </c>
      <c r="D109" s="6" t="inlineStr">
        <is>
          <t>Cần quét Bio Fanpage</t>
        </is>
      </c>
      <c r="E109" s="53" t="inlineStr">
        <is>
          <t>13/10/2026 00:39:42</t>
        </is>
      </c>
      <c r="F109" s="53" t="inlineStr">
        <is>
          <t>6 giờ trước</t>
        </is>
      </c>
      <c r="G109" s="55" t="n">
        <v>0.25</v>
      </c>
      <c r="H109" s="56" t="n">
        <v>32</v>
      </c>
      <c r="I109" s="6" t="inlineStr">
        <is>
          <t>Pet Owner / Cộng đồng nuôi cún (10đ)</t>
        </is>
      </c>
      <c r="J109" s="56" t="n">
        <v>10</v>
      </c>
      <c r="K109" s="6" t="inlineStr">
        <is>
          <t>Chưa rõ giống (Cần quét Bio)</t>
        </is>
      </c>
      <c r="L109" s="56" t="n">
        <v>0</v>
      </c>
      <c r="M109" s="56" t="n">
        <v>0</v>
      </c>
      <c r="N109" s="6" t="inlineStr">
        <is>
          <t>Amazon link not found</t>
        </is>
      </c>
      <c r="O109" s="56">
        <f>IF(N109="Selling pet toys + Artificial grass/Pet toilets (TARGET)",15,IF(N109="Selling artificial grass/pet toilets (TARGET)",10,IF(N109="Selling pet toys",7,IF(N109="There's an Amazon link, but no target sales.",3,0))))</f>
        <v/>
      </c>
      <c r="P109" s="65">
        <f>H109+J109+L109+M109+O109</f>
        <v/>
      </c>
      <c r="Q109" s="71" t="inlineStr">
        <is>
          <t>International / Future Expansion</t>
        </is>
      </c>
      <c r="R109" s="6" t="inlineStr">
        <is>
          <t>Khay vệ sinh chung cư (Indoor Potty) + Thảm cỏ ban công (Grass Patch) + Đồ chơi</t>
        </is>
      </c>
      <c r="S109" s="6" t="inlineStr">
        <is>
          <t>Gắn cờ International / Future Expansion - Không gọi Telesale giai đoạn 1</t>
        </is>
      </c>
    </row>
    <row r="110">
      <c r="A110" s="59" t="n">
        <v>3264</v>
      </c>
      <c r="B110" s="15" t="inlineStr">
        <is>
          <t>Unique Dogbeds Ltd</t>
        </is>
      </c>
      <c r="C110" s="60" t="inlineStr">
        <is>
          <t>https://www.facebook.com/uniquedogbeds</t>
        </is>
      </c>
      <c r="D110" s="9" t="inlineStr">
        <is>
          <t>Cần quét Bio Fanpage</t>
        </is>
      </c>
      <c r="E110" s="59" t="inlineStr">
        <is>
          <t>13/10/2026 00:26:49</t>
        </is>
      </c>
      <c r="F110" s="59" t="inlineStr">
        <is>
          <t>6 giờ trước</t>
        </is>
      </c>
      <c r="G110" s="61" t="n">
        <v>0.25</v>
      </c>
      <c r="H110" s="62" t="n">
        <v>32</v>
      </c>
      <c r="I110" s="9" t="inlineStr">
        <is>
          <t>Pet Owner / Cộng đồng nuôi cún (10đ)</t>
        </is>
      </c>
      <c r="J110" s="62" t="n">
        <v>10</v>
      </c>
      <c r="K110" s="9" t="inlineStr">
        <is>
          <t>Chưa rõ giống (Cần quét Bio)</t>
        </is>
      </c>
      <c r="L110" s="62" t="n">
        <v>0</v>
      </c>
      <c r="M110" s="62" t="n">
        <v>0</v>
      </c>
      <c r="N110" s="9" t="inlineStr">
        <is>
          <t>Amazon link not found</t>
        </is>
      </c>
      <c r="O110" s="62">
        <f>IF(N110="Selling pet toys + Artificial grass/Pet toilets (TARGET)",15,IF(N110="Selling artificial grass/pet toilets (TARGET)",10,IF(N110="Selling pet toys",7,IF(N110="There's an Amazon link, but no target sales.",3,0))))</f>
        <v/>
      </c>
      <c r="P110" s="67">
        <f>H110+J110+L110+M110+O110</f>
        <v/>
      </c>
      <c r="Q110" s="70" t="inlineStr">
        <is>
          <t>International / Future Expansion</t>
        </is>
      </c>
      <c r="R110" s="9" t="inlineStr">
        <is>
          <t>Khay vệ sinh chung cư (Indoor Potty) + Thảm cỏ ban công (Grass Patch) + Đồ chơi</t>
        </is>
      </c>
      <c r="S110" s="9" t="inlineStr">
        <is>
          <t>Gắn cờ International / Future Expansion - Không gọi Telesale giai đoạn 1</t>
        </is>
      </c>
    </row>
    <row r="111">
      <c r="A111" s="53" t="n">
        <v>2519</v>
      </c>
      <c r="B111" s="12" t="inlineStr">
        <is>
          <t>Petlog UK</t>
        </is>
      </c>
      <c r="C111" s="54" t="inlineStr">
        <is>
          <t>https://www.facebook.com/PetlogUK</t>
        </is>
      </c>
      <c r="D111" s="6" t="inlineStr">
        <is>
          <t>Cần quét Bio Fanpage</t>
        </is>
      </c>
      <c r="E111" s="53" t="inlineStr">
        <is>
          <t>12/10/2026 21:33:37</t>
        </is>
      </c>
      <c r="F111" s="53" t="inlineStr">
        <is>
          <t>7 giờ trước</t>
        </is>
      </c>
      <c r="G111" s="55" t="n">
        <v>0.29</v>
      </c>
      <c r="H111" s="56" t="n">
        <v>32</v>
      </c>
      <c r="I111" s="6" t="inlineStr">
        <is>
          <t>Pet Owner / Cộng đồng nuôi cún (10đ)</t>
        </is>
      </c>
      <c r="J111" s="56" t="n">
        <v>10</v>
      </c>
      <c r="K111" s="6" t="inlineStr">
        <is>
          <t>Chưa rõ giống (Cần quét Bio)</t>
        </is>
      </c>
      <c r="L111" s="56" t="n">
        <v>0</v>
      </c>
      <c r="M111" s="56" t="n">
        <v>0</v>
      </c>
      <c r="N111" s="6" t="inlineStr">
        <is>
          <t>Amazon link not found</t>
        </is>
      </c>
      <c r="O111" s="56">
        <f>IF(N111="Selling pet toys + Artificial grass/Pet toilets (TARGET)",15,IF(N111="Selling artificial grass/pet toilets (TARGET)",10,IF(N111="Selling pet toys",7,IF(N111="There's an Amazon link, but no target sales.",3,0))))</f>
        <v/>
      </c>
      <c r="P111" s="65">
        <f>H111+J111+L111+M111+O111</f>
        <v/>
      </c>
      <c r="Q111" s="71" t="inlineStr">
        <is>
          <t>International / Future Expansion</t>
        </is>
      </c>
      <c r="R111" s="6" t="inlineStr">
        <is>
          <t>Khay vệ sinh chung cư (Indoor Potty) + Thảm cỏ ban công (Grass Patch) + Đồ chơi</t>
        </is>
      </c>
      <c r="S111" s="6" t="inlineStr">
        <is>
          <t>Gắn cờ International / Future Expansion - Không gọi Telesale giai đoạn 1</t>
        </is>
      </c>
    </row>
    <row r="112">
      <c r="A112" s="59" t="n">
        <v>825</v>
      </c>
      <c r="B112" s="15" t="inlineStr">
        <is>
          <t>Canil D'Andrea Love Dog</t>
        </is>
      </c>
      <c r="C112" s="60" t="inlineStr">
        <is>
          <t>https://www.facebook.com/dandrealovedog</t>
        </is>
      </c>
      <c r="D112" s="9" t="inlineStr">
        <is>
          <t>Cần quét Bio Fanpage</t>
        </is>
      </c>
      <c r="E112" s="59" t="inlineStr">
        <is>
          <t>12/10/2026 20:18:06</t>
        </is>
      </c>
      <c r="F112" s="59" t="inlineStr">
        <is>
          <t>6 giờ trước</t>
        </is>
      </c>
      <c r="G112" s="61" t="n">
        <v>0.25</v>
      </c>
      <c r="H112" s="62" t="n">
        <v>32</v>
      </c>
      <c r="I112" s="9" t="inlineStr">
        <is>
          <t>Pet Owner / Cộng đồng nuôi cún (10đ)</t>
        </is>
      </c>
      <c r="J112" s="62" t="n">
        <v>10</v>
      </c>
      <c r="K112" s="9" t="inlineStr">
        <is>
          <t>Chưa rõ giống (Cần quét Bio)</t>
        </is>
      </c>
      <c r="L112" s="62" t="n">
        <v>0</v>
      </c>
      <c r="M112" s="62" t="n">
        <v>0</v>
      </c>
      <c r="N112" s="9" t="inlineStr">
        <is>
          <t>Amazon link not found</t>
        </is>
      </c>
      <c r="O112" s="62">
        <f>IF(N112="Selling pet toys + Artificial grass/Pet toilets (TARGET)",15,IF(N112="Selling artificial grass/pet toilets (TARGET)",10,IF(N112="Selling pet toys",7,IF(N112="There's an Amazon link, but no target sales.",3,0))))</f>
        <v/>
      </c>
      <c r="P112" s="67">
        <f>H112+J112+L112+M112+O112</f>
        <v/>
      </c>
      <c r="Q112" s="70" t="inlineStr">
        <is>
          <t>International / Future Expansion</t>
        </is>
      </c>
      <c r="R112" s="9" t="inlineStr">
        <is>
          <t>Khay vệ sinh chung cư (Indoor Potty) + Thảm cỏ ban công (Grass Patch) + Đồ chơi</t>
        </is>
      </c>
      <c r="S112" s="9" t="inlineStr">
        <is>
          <t>Gắn cờ International / Future Expansion - Không gọi Telesale giai đoạn 1</t>
        </is>
      </c>
    </row>
    <row r="113">
      <c r="A113" s="53" t="n">
        <v>2083</v>
      </c>
      <c r="B113" s="12" t="inlineStr">
        <is>
          <t>Lộc PetBà Rịa</t>
        </is>
      </c>
      <c r="C113" s="54" t="inlineStr">
        <is>
          <t>https://www.facebook.com/locpetbaria</t>
        </is>
      </c>
      <c r="D113" s="6" t="inlineStr">
        <is>
          <t>Cần quét Bio Fanpage</t>
        </is>
      </c>
      <c r="E113" s="53" t="inlineStr">
        <is>
          <t>12/10/2026 20:00:44</t>
        </is>
      </c>
      <c r="F113" s="53" t="inlineStr">
        <is>
          <t>8 giờ trước</t>
        </is>
      </c>
      <c r="G113" s="55" t="n">
        <v>0.33</v>
      </c>
      <c r="H113" s="56" t="n">
        <v>32</v>
      </c>
      <c r="I113" s="6" t="inlineStr">
        <is>
          <t>Pet Owner / Cộng đồng nuôi cún (10đ)</t>
        </is>
      </c>
      <c r="J113" s="56" t="n">
        <v>10</v>
      </c>
      <c r="K113" s="6" t="inlineStr">
        <is>
          <t>Chưa rõ giống (Cần quét Bio)</t>
        </is>
      </c>
      <c r="L113" s="56" t="n">
        <v>0</v>
      </c>
      <c r="M113" s="56" t="n">
        <v>0</v>
      </c>
      <c r="N113" s="6" t="inlineStr">
        <is>
          <t>Amazon link not found</t>
        </is>
      </c>
      <c r="O113" s="56">
        <f>IF(N113="Selling pet toys + Artificial grass/Pet toilets (TARGET)",15,IF(N113="Selling artificial grass/pet toilets (TARGET)",10,IF(N113="Selling pet toys",7,IF(N113="There's an Amazon link, but no target sales.",3,0))))</f>
        <v/>
      </c>
      <c r="P113" s="65">
        <f>H113+J113+L113+M113+O113</f>
        <v/>
      </c>
      <c r="Q113" s="71" t="inlineStr">
        <is>
          <t>International / Future Expansion</t>
        </is>
      </c>
      <c r="R113" s="6" t="inlineStr">
        <is>
          <t>Khay vệ sinh chung cư (Indoor Potty) + Thảm cỏ ban công (Grass Patch) + Đồ chơi</t>
        </is>
      </c>
      <c r="S113" s="6" t="inlineStr">
        <is>
          <t>Gắn cờ International / Future Expansion - Không gọi Telesale giai đoạn 1</t>
        </is>
      </c>
    </row>
    <row r="114">
      <c r="A114" s="59" t="n">
        <v>1102</v>
      </c>
      <c r="B114" s="15" t="inlineStr">
        <is>
          <t>Dog Town อาณาจักรคนรักน้องหมา</t>
        </is>
      </c>
      <c r="C114" s="60" t="inlineStr">
        <is>
          <t>https://www.facebook.com/DogTown2017</t>
        </is>
      </c>
      <c r="D114" s="9" t="inlineStr">
        <is>
          <t>Cần quét Bio Fanpage</t>
        </is>
      </c>
      <c r="E114" s="59" t="inlineStr">
        <is>
          <t>12/10/2026 19:02:47</t>
        </is>
      </c>
      <c r="F114" s="59" t="inlineStr">
        <is>
          <t>7 giờ trước</t>
        </is>
      </c>
      <c r="G114" s="61" t="n">
        <v>0.29</v>
      </c>
      <c r="H114" s="62" t="n">
        <v>32</v>
      </c>
      <c r="I114" s="9" t="inlineStr">
        <is>
          <t>Pet Owner / Cộng đồng nuôi cún (10đ)</t>
        </is>
      </c>
      <c r="J114" s="62" t="n">
        <v>10</v>
      </c>
      <c r="K114" s="9" t="inlineStr">
        <is>
          <t>Chưa rõ giống (Cần quét Bio)</t>
        </is>
      </c>
      <c r="L114" s="62" t="n">
        <v>0</v>
      </c>
      <c r="M114" s="62" t="n">
        <v>0</v>
      </c>
      <c r="N114" s="9" t="inlineStr">
        <is>
          <t>Amazon link not found</t>
        </is>
      </c>
      <c r="O114" s="62">
        <f>IF(N114="Selling pet toys + Artificial grass/Pet toilets (TARGET)",15,IF(N114="Selling artificial grass/pet toilets (TARGET)",10,IF(N114="Selling pet toys",7,IF(N114="There's an Amazon link, but no target sales.",3,0))))</f>
        <v/>
      </c>
      <c r="P114" s="67">
        <f>H114+J114+L114+M114+O114</f>
        <v/>
      </c>
      <c r="Q114" s="70" t="inlineStr">
        <is>
          <t>International / Future Expansion</t>
        </is>
      </c>
      <c r="R114" s="9" t="inlineStr">
        <is>
          <t>Khay vệ sinh chung cư (Indoor Potty) + Thảm cỏ ban công (Grass Patch) + Đồ chơi</t>
        </is>
      </c>
      <c r="S114" s="9" t="inlineStr">
        <is>
          <t>Gắn cờ International / Future Expansion - Không gọi Telesale giai đoạn 1</t>
        </is>
      </c>
    </row>
    <row r="115">
      <c r="A115" s="53" t="n">
        <v>735</v>
      </c>
      <c r="B115" s="12" t="inlineStr">
        <is>
          <t>Born To Dog - ฟาร์มสุนัขดัชชุน Import</t>
        </is>
      </c>
      <c r="C115" s="54" t="inlineStr">
        <is>
          <t>https://www.facebook.com/born2dog</t>
        </is>
      </c>
      <c r="D115" s="6" t="inlineStr">
        <is>
          <t>Cần quét Bio Fanpage</t>
        </is>
      </c>
      <c r="E115" s="53" t="inlineStr">
        <is>
          <t>12/10/2026 18:08:27</t>
        </is>
      </c>
      <c r="F115" s="53" t="inlineStr">
        <is>
          <t>8 giờ trước</t>
        </is>
      </c>
      <c r="G115" s="55" t="n">
        <v>0.33</v>
      </c>
      <c r="H115" s="56" t="n">
        <v>32</v>
      </c>
      <c r="I115" s="6" t="inlineStr">
        <is>
          <t>Pet Owner / Cộng đồng nuôi cún (10đ)</t>
        </is>
      </c>
      <c r="J115" s="56" t="n">
        <v>10</v>
      </c>
      <c r="K115" s="6" t="inlineStr">
        <is>
          <t>Chưa rõ giống (Cần quét Bio)</t>
        </is>
      </c>
      <c r="L115" s="56" t="n">
        <v>0</v>
      </c>
      <c r="M115" s="56" t="n">
        <v>0</v>
      </c>
      <c r="N115" s="6" t="inlineStr">
        <is>
          <t>Amazon link not found</t>
        </is>
      </c>
      <c r="O115" s="56">
        <f>IF(N115="Selling pet toys + Artificial grass/Pet toilets (TARGET)",15,IF(N115="Selling artificial grass/pet toilets (TARGET)",10,IF(N115="Selling pet toys",7,IF(N115="There's an Amazon link, but no target sales.",3,0))))</f>
        <v/>
      </c>
      <c r="P115" s="65">
        <f>H115+J115+L115+M115+O115</f>
        <v/>
      </c>
      <c r="Q115" s="71" t="inlineStr">
        <is>
          <t>International / Future Expansion</t>
        </is>
      </c>
      <c r="R115" s="6" t="inlineStr">
        <is>
          <t>Khay vệ sinh chung cư (Indoor Potty) + Thảm cỏ ban công (Grass Patch) + Đồ chơi</t>
        </is>
      </c>
      <c r="S115" s="6" t="inlineStr">
        <is>
          <t>Gắn cờ International / Future Expansion - Không gọi Telesale giai đoạn 1</t>
        </is>
      </c>
    </row>
    <row r="116">
      <c r="A116" s="59" t="n">
        <v>1579</v>
      </c>
      <c r="B116" s="15" t="inlineStr">
        <is>
          <t>Guide Dogs UK</t>
        </is>
      </c>
      <c r="C116" s="60" t="inlineStr">
        <is>
          <t>https://www.facebook.com/GuideDogsUK</t>
        </is>
      </c>
      <c r="D116" s="9" t="inlineStr">
        <is>
          <t>Cần quét Bio Fanpage</t>
        </is>
      </c>
      <c r="E116" s="59" t="inlineStr">
        <is>
          <t>12/10/2026 17:47:53</t>
        </is>
      </c>
      <c r="F116" s="59" t="inlineStr">
        <is>
          <t>9 giờ trước</t>
        </is>
      </c>
      <c r="G116" s="61" t="n">
        <v>0.38</v>
      </c>
      <c r="H116" s="62" t="n">
        <v>32</v>
      </c>
      <c r="I116" s="9" t="inlineStr">
        <is>
          <t>Pet Owner / Cộng đồng nuôi cún (10đ)</t>
        </is>
      </c>
      <c r="J116" s="62" t="n">
        <v>10</v>
      </c>
      <c r="K116" s="9" t="inlineStr">
        <is>
          <t>Chưa rõ giống (Cần quét Bio)</t>
        </is>
      </c>
      <c r="L116" s="62" t="n">
        <v>0</v>
      </c>
      <c r="M116" s="62" t="n">
        <v>0</v>
      </c>
      <c r="N116" s="9" t="inlineStr">
        <is>
          <t>Amazon link not found</t>
        </is>
      </c>
      <c r="O116" s="62">
        <f>IF(N116="Selling pet toys + Artificial grass/Pet toilets (TARGET)",15,IF(N116="Selling artificial grass/pet toilets (TARGET)",10,IF(N116="Selling pet toys",7,IF(N116="There's an Amazon link, but no target sales.",3,0))))</f>
        <v/>
      </c>
      <c r="P116" s="67">
        <f>H116+J116+L116+M116+O116</f>
        <v/>
      </c>
      <c r="Q116" s="70" t="inlineStr">
        <is>
          <t>International / Future Expansion</t>
        </is>
      </c>
      <c r="R116" s="9" t="inlineStr">
        <is>
          <t>Khay vệ sinh chung cư (Indoor Potty) + Thảm cỏ ban công (Grass Patch) + Đồ chơi</t>
        </is>
      </c>
      <c r="S116" s="9" t="inlineStr">
        <is>
          <t>Gắn cờ International / Future Expansion - Không gọi Telesale giai đoạn 1</t>
        </is>
      </c>
    </row>
    <row r="117">
      <c r="A117" s="53" t="n">
        <v>3519</v>
      </c>
      <c r="B117" s="12" t="inlineStr">
        <is>
          <t>寵物坊doggie.hk</t>
        </is>
      </c>
      <c r="C117" s="54" t="inlineStr">
        <is>
          <t>https://www.facebook.com/doggie.hk</t>
        </is>
      </c>
      <c r="D117" s="6" t="inlineStr">
        <is>
          <t>Cần quét Bio Fanpage</t>
        </is>
      </c>
      <c r="E117" s="53" t="inlineStr">
        <is>
          <t>12/10/2026 16:11:15</t>
        </is>
      </c>
      <c r="F117" s="53" t="inlineStr">
        <is>
          <t>15 giờ trước</t>
        </is>
      </c>
      <c r="G117" s="55" t="n">
        <v>0.62</v>
      </c>
      <c r="H117" s="56" t="n">
        <v>32</v>
      </c>
      <c r="I117" s="6" t="inlineStr">
        <is>
          <t>Pet Owner / Cộng đồng nuôi cún (10đ)</t>
        </is>
      </c>
      <c r="J117" s="56" t="n">
        <v>10</v>
      </c>
      <c r="K117" s="6" t="inlineStr">
        <is>
          <t>Chưa rõ giống (Cần quét Bio)</t>
        </is>
      </c>
      <c r="L117" s="56" t="n">
        <v>0</v>
      </c>
      <c r="M117" s="56" t="n">
        <v>0</v>
      </c>
      <c r="N117" s="6" t="inlineStr">
        <is>
          <t>Amazon link not found</t>
        </is>
      </c>
      <c r="O117" s="56">
        <f>IF(N117="Selling pet toys + Artificial grass/Pet toilets (TARGET)",15,IF(N117="Selling artificial grass/pet toilets (TARGET)",10,IF(N117="Selling pet toys",7,IF(N117="There's an Amazon link, but no target sales.",3,0))))</f>
        <v/>
      </c>
      <c r="P117" s="65">
        <f>H117+J117+L117+M117+O117</f>
        <v/>
      </c>
      <c r="Q117" s="71" t="inlineStr">
        <is>
          <t>International / Future Expansion</t>
        </is>
      </c>
      <c r="R117" s="6" t="inlineStr">
        <is>
          <t>Khay vệ sinh chung cư (Indoor Potty) + Thảm cỏ ban công (Grass Patch) + Đồ chơi</t>
        </is>
      </c>
      <c r="S117" s="6" t="inlineStr">
        <is>
          <t>Gắn cờ International / Future Expansion - Không gọi Telesale giai đoạn 1</t>
        </is>
      </c>
    </row>
    <row r="118">
      <c r="A118" s="59" t="n">
        <v>3489</v>
      </c>
      <c r="B118" s="15" t="inlineStr">
        <is>
          <t>Élevage des petits bouls</t>
        </is>
      </c>
      <c r="C118" s="60" t="inlineStr">
        <is>
          <t>https://www.facebook.com/ElevageDesPetitsBouls</t>
        </is>
      </c>
      <c r="D118" s="9" t="inlineStr">
        <is>
          <t>Cần quét Bio Fanpage</t>
        </is>
      </c>
      <c r="E118" s="59" t="inlineStr">
        <is>
          <t>12/10/2026 15:40:10</t>
        </is>
      </c>
      <c r="F118" s="59" t="inlineStr">
        <is>
          <t>15 giờ trước</t>
        </is>
      </c>
      <c r="G118" s="61" t="n">
        <v>0.62</v>
      </c>
      <c r="H118" s="62" t="n">
        <v>32</v>
      </c>
      <c r="I118" s="9" t="inlineStr">
        <is>
          <t>Pet Owner / Cộng đồng nuôi cún (10đ)</t>
        </is>
      </c>
      <c r="J118" s="62" t="n">
        <v>10</v>
      </c>
      <c r="K118" s="9" t="inlineStr">
        <is>
          <t>Chưa rõ giống (Cần quét Bio)</t>
        </is>
      </c>
      <c r="L118" s="62" t="n">
        <v>0</v>
      </c>
      <c r="M118" s="62" t="n">
        <v>0</v>
      </c>
      <c r="N118" s="9" t="inlineStr">
        <is>
          <t>Amazon link not found</t>
        </is>
      </c>
      <c r="O118" s="62">
        <f>IF(N118="Selling pet toys + Artificial grass/Pet toilets (TARGET)",15,IF(N118="Selling artificial grass/pet toilets (TARGET)",10,IF(N118="Selling pet toys",7,IF(N118="There's an Amazon link, but no target sales.",3,0))))</f>
        <v/>
      </c>
      <c r="P118" s="67">
        <f>H118+J118+L118+M118+O118</f>
        <v/>
      </c>
      <c r="Q118" s="70" t="inlineStr">
        <is>
          <t>International / Future Expansion</t>
        </is>
      </c>
      <c r="R118" s="9" t="inlineStr">
        <is>
          <t>Khay vệ sinh chung cư (Indoor Potty) + Thảm cỏ ban công (Grass Patch) + Đồ chơi</t>
        </is>
      </c>
      <c r="S118" s="9" t="inlineStr">
        <is>
          <t>Gắn cờ International / Future Expansion - Không gọi Telesale giai đoạn 1</t>
        </is>
      </c>
    </row>
    <row r="119">
      <c r="A119" s="53" t="n">
        <v>2464</v>
      </c>
      <c r="B119" s="12" t="inlineStr">
        <is>
          <t>Pet Scan - Animal Pregnancy Scanning East Of England</t>
        </is>
      </c>
      <c r="C119" s="54" t="inlineStr">
        <is>
          <t>https://www.facebook.com/petscannorfolk</t>
        </is>
      </c>
      <c r="D119" s="6" t="inlineStr">
        <is>
          <t>Cần quét Bio Fanpage</t>
        </is>
      </c>
      <c r="E119" s="53" t="inlineStr">
        <is>
          <t>12/10/2026 15:12:28</t>
        </is>
      </c>
      <c r="F119" s="53" t="inlineStr">
        <is>
          <t>14 giờ trước</t>
        </is>
      </c>
      <c r="G119" s="55" t="n">
        <v>0.58</v>
      </c>
      <c r="H119" s="56" t="n">
        <v>32</v>
      </c>
      <c r="I119" s="6" t="inlineStr">
        <is>
          <t>Pet Owner / Cộng đồng nuôi cún (10đ)</t>
        </is>
      </c>
      <c r="J119" s="56" t="n">
        <v>10</v>
      </c>
      <c r="K119" s="6" t="inlineStr">
        <is>
          <t>Chưa rõ giống (Cần quét Bio)</t>
        </is>
      </c>
      <c r="L119" s="56" t="n">
        <v>0</v>
      </c>
      <c r="M119" s="56" t="n">
        <v>0</v>
      </c>
      <c r="N119" s="6" t="inlineStr">
        <is>
          <t>Amazon link not found</t>
        </is>
      </c>
      <c r="O119" s="56">
        <f>IF(N119="Selling pet toys + Artificial grass/Pet toilets (TARGET)",15,IF(N119="Selling artificial grass/pet toilets (TARGET)",10,IF(N119="Selling pet toys",7,IF(N119="There's an Amazon link, but no target sales.",3,0))))</f>
        <v/>
      </c>
      <c r="P119" s="65">
        <f>H119+J119+L119+M119+O119</f>
        <v/>
      </c>
      <c r="Q119" s="71" t="inlineStr">
        <is>
          <t>International / Future Expansion</t>
        </is>
      </c>
      <c r="R119" s="6" t="inlineStr">
        <is>
          <t>Khay vệ sinh chung cư (Indoor Potty) + Thảm cỏ ban công (Grass Patch) + Đồ chơi</t>
        </is>
      </c>
      <c r="S119" s="6" t="inlineStr">
        <is>
          <t>Gắn cờ International / Future Expansion - Không gọi Telesale giai đoạn 1</t>
        </is>
      </c>
    </row>
    <row r="120">
      <c r="A120" s="59" t="n">
        <v>1475</v>
      </c>
      <c r="B120" s="15" t="inlineStr">
        <is>
          <t>Fundraising for Impounded Dogs - New Zealand</t>
        </is>
      </c>
      <c r="C120" s="60" t="inlineStr">
        <is>
          <t>https://www.facebook.com/fundraisingforimpoundeddogs</t>
        </is>
      </c>
      <c r="D120" s="9" t="inlineStr">
        <is>
          <t>Cần quét Bio Fanpage</t>
        </is>
      </c>
      <c r="E120" s="59" t="inlineStr">
        <is>
          <t>12/10/2026 15:09:24</t>
        </is>
      </c>
      <c r="F120" s="59" t="inlineStr">
        <is>
          <t>12 giờ trước</t>
        </is>
      </c>
      <c r="G120" s="61" t="n">
        <v>0.5</v>
      </c>
      <c r="H120" s="62" t="n">
        <v>32</v>
      </c>
      <c r="I120" s="9" t="inlineStr">
        <is>
          <t>Pet Owner / Cộng đồng nuôi cún (10đ)</t>
        </is>
      </c>
      <c r="J120" s="62" t="n">
        <v>10</v>
      </c>
      <c r="K120" s="9" t="inlineStr">
        <is>
          <t>Chưa rõ giống (Cần quét Bio)</t>
        </is>
      </c>
      <c r="L120" s="62" t="n">
        <v>0</v>
      </c>
      <c r="M120" s="62" t="n">
        <v>0</v>
      </c>
      <c r="N120" s="9" t="inlineStr">
        <is>
          <t>Amazon link not found</t>
        </is>
      </c>
      <c r="O120" s="62">
        <f>IF(N120="Selling pet toys + Artificial grass/Pet toilets (TARGET)",15,IF(N120="Selling artificial grass/pet toilets (TARGET)",10,IF(N120="Selling pet toys",7,IF(N120="There's an Amazon link, but no target sales.",3,0))))</f>
        <v/>
      </c>
      <c r="P120" s="67">
        <f>H120+J120+L120+M120+O120</f>
        <v/>
      </c>
      <c r="Q120" s="70" t="inlineStr">
        <is>
          <t>International / Future Expansion</t>
        </is>
      </c>
      <c r="R120" s="9" t="inlineStr">
        <is>
          <t>Khay vệ sinh chung cư (Indoor Potty) + Thảm cỏ ban công (Grass Patch) + Đồ chơi</t>
        </is>
      </c>
      <c r="S120" s="9" t="inlineStr">
        <is>
          <t>Gắn cờ International / Future Expansion - Không gọi Telesale giai đoạn 1</t>
        </is>
      </c>
    </row>
    <row r="121">
      <c r="A121" s="53" t="n">
        <v>3514</v>
      </c>
      <c r="B121" s="12" t="inlineStr">
        <is>
          <t>โรงงานขายส่งเบาะนอนสัตว์เลี้ยง LDPetBed.</t>
        </is>
      </c>
      <c r="C121" s="54" t="inlineStr">
        <is>
          <t>https://www.facebook.com/LDpetbed</t>
        </is>
      </c>
      <c r="D121" s="6" t="inlineStr">
        <is>
          <t>Cần quét Bio Fanpage</t>
        </is>
      </c>
      <c r="E121" s="53" t="inlineStr">
        <is>
          <t>12/10/2026 11:37:01</t>
        </is>
      </c>
      <c r="F121" s="53" t="inlineStr">
        <is>
          <t>19 giờ trước</t>
        </is>
      </c>
      <c r="G121" s="55" t="n">
        <v>0.79</v>
      </c>
      <c r="H121" s="56" t="n">
        <v>32</v>
      </c>
      <c r="I121" s="6" t="inlineStr">
        <is>
          <t>Pet Owner / Cộng đồng nuôi cún (10đ)</t>
        </is>
      </c>
      <c r="J121" s="56" t="n">
        <v>10</v>
      </c>
      <c r="K121" s="6" t="inlineStr">
        <is>
          <t>Chưa rõ giống (Cần quét Bio)</t>
        </is>
      </c>
      <c r="L121" s="56" t="n">
        <v>0</v>
      </c>
      <c r="M121" s="56" t="n">
        <v>0</v>
      </c>
      <c r="N121" s="6" t="inlineStr">
        <is>
          <t>Amazon link not found</t>
        </is>
      </c>
      <c r="O121" s="56">
        <f>IF(N121="Selling pet toys + Artificial grass/Pet toilets (TARGET)",15,IF(N121="Selling artificial grass/pet toilets (TARGET)",10,IF(N121="Selling pet toys",7,IF(N121="There's an Amazon link, but no target sales.",3,0))))</f>
        <v/>
      </c>
      <c r="P121" s="65">
        <f>H121+J121+L121+M121+O121</f>
        <v/>
      </c>
      <c r="Q121" s="71" t="inlineStr">
        <is>
          <t>International / Future Expansion</t>
        </is>
      </c>
      <c r="R121" s="6" t="inlineStr">
        <is>
          <t>Khay vệ sinh chung cư (Indoor Potty) + Thảm cỏ ban công (Grass Patch) + Đồ chơi</t>
        </is>
      </c>
      <c r="S121" s="6" t="inlineStr">
        <is>
          <t>Gắn cờ International / Future Expansion - Không gọi Telesale giai đoạn 1</t>
        </is>
      </c>
    </row>
    <row r="122">
      <c r="A122" s="59" t="n">
        <v>1161</v>
      </c>
      <c r="B122" s="15" t="inlineStr">
        <is>
          <t>Dogs Australia</t>
        </is>
      </c>
      <c r="C122" s="60" t="inlineStr">
        <is>
          <t>https://www.facebook.com/dogsaus</t>
        </is>
      </c>
      <c r="D122" s="9" t="inlineStr">
        <is>
          <t>Cần quét Bio Fanpage</t>
        </is>
      </c>
      <c r="E122" s="59" t="inlineStr">
        <is>
          <t>12/10/2026 09:38:57</t>
        </is>
      </c>
      <c r="F122" s="59" t="inlineStr">
        <is>
          <t>17 giờ trước</t>
        </is>
      </c>
      <c r="G122" s="61" t="n">
        <v>0.71</v>
      </c>
      <c r="H122" s="62" t="n">
        <v>32</v>
      </c>
      <c r="I122" s="9" t="inlineStr">
        <is>
          <t>Pet Owner / Cộng đồng nuôi cún (10đ)</t>
        </is>
      </c>
      <c r="J122" s="62" t="n">
        <v>10</v>
      </c>
      <c r="K122" s="9" t="inlineStr">
        <is>
          <t>Chưa rõ giống (Cần quét Bio)</t>
        </is>
      </c>
      <c r="L122" s="62" t="n">
        <v>0</v>
      </c>
      <c r="M122" s="62" t="n">
        <v>0</v>
      </c>
      <c r="N122" s="9" t="inlineStr">
        <is>
          <t>Amazon link not found</t>
        </is>
      </c>
      <c r="O122" s="62">
        <f>IF(N122="Selling pet toys + Artificial grass/Pet toilets (TARGET)",15,IF(N122="Selling artificial grass/pet toilets (TARGET)",10,IF(N122="Selling pet toys",7,IF(N122="There's an Amazon link, but no target sales.",3,0))))</f>
        <v/>
      </c>
      <c r="P122" s="67">
        <f>H122+J122+L122+M122+O122</f>
        <v/>
      </c>
      <c r="Q122" s="70" t="inlineStr">
        <is>
          <t>International / Future Expansion</t>
        </is>
      </c>
      <c r="R122" s="9" t="inlineStr">
        <is>
          <t>Khay vệ sinh chung cư (Indoor Potty) + Thảm cỏ ban công (Grass Patch) + Đồ chơi</t>
        </is>
      </c>
      <c r="S122" s="9" t="inlineStr">
        <is>
          <t>Gắn cờ International / Future Expansion - Không gọi Telesale giai đoạn 1</t>
        </is>
      </c>
    </row>
    <row r="123">
      <c r="A123" s="53" t="n">
        <v>3504</v>
      </c>
      <c r="B123" s="12" t="inlineStr">
        <is>
          <t>บ้านและสวน Pets</t>
        </is>
      </c>
      <c r="C123" s="54" t="inlineStr">
        <is>
          <t>https://www.facebook.com/BaanlaesuanPets</t>
        </is>
      </c>
      <c r="D123" s="6" t="inlineStr">
        <is>
          <t>Cần quét Bio Fanpage</t>
        </is>
      </c>
      <c r="E123" s="53" t="inlineStr">
        <is>
          <t>12/10/2026 09:00:22</t>
        </is>
      </c>
      <c r="F123" s="53" t="inlineStr">
        <is>
          <t>22 giờ trước</t>
        </is>
      </c>
      <c r="G123" s="55" t="n">
        <v>0.92</v>
      </c>
      <c r="H123" s="56" t="n">
        <v>32</v>
      </c>
      <c r="I123" s="6" t="inlineStr">
        <is>
          <t>Pet Owner / Cộng đồng nuôi cún (10đ)</t>
        </is>
      </c>
      <c r="J123" s="56" t="n">
        <v>10</v>
      </c>
      <c r="K123" s="6" t="inlineStr">
        <is>
          <t>Chưa rõ giống (Cần quét Bio)</t>
        </is>
      </c>
      <c r="L123" s="56" t="n">
        <v>0</v>
      </c>
      <c r="M123" s="56" t="n">
        <v>0</v>
      </c>
      <c r="N123" s="6" t="inlineStr">
        <is>
          <t>Amazon link not found</t>
        </is>
      </c>
      <c r="O123" s="56">
        <f>IF(N123="Selling pet toys + Artificial grass/Pet toilets (TARGET)",15,IF(N123="Selling artificial grass/pet toilets (TARGET)",10,IF(N123="Selling pet toys",7,IF(N123="There's an Amazon link, but no target sales.",3,0))))</f>
        <v/>
      </c>
      <c r="P123" s="65">
        <f>H123+J123+L123+M123+O123</f>
        <v/>
      </c>
      <c r="Q123" s="71" t="inlineStr">
        <is>
          <t>International / Future Expansion</t>
        </is>
      </c>
      <c r="R123" s="6" t="inlineStr">
        <is>
          <t>Khay vệ sinh chung cư (Indoor Potty) + Thảm cỏ ban công (Grass Patch) + Đồ chơi</t>
        </is>
      </c>
      <c r="S123" s="6" t="inlineStr">
        <is>
          <t>Gắn cờ International / Future Expansion - Không gọi Telesale giai đoạn 1</t>
        </is>
      </c>
    </row>
    <row r="124">
      <c r="A124" s="59" t="n">
        <v>2945</v>
      </c>
      <c r="B124" s="15" t="inlineStr">
        <is>
          <t>South Auckland Animal Rescue</t>
        </is>
      </c>
      <c r="C124" s="60" t="inlineStr">
        <is>
          <t>https://www.facebook.com/profile.php?id=100064299807068</t>
        </is>
      </c>
      <c r="D124" s="9" t="inlineStr">
        <is>
          <t>Cần quét Bio Fanpage</t>
        </is>
      </c>
      <c r="E124" s="59" t="inlineStr">
        <is>
          <t>11/10/2026 09:08:47</t>
        </is>
      </c>
      <c r="F124" s="59" t="inlineStr">
        <is>
          <t>1 ngày trước</t>
        </is>
      </c>
      <c r="G124" s="61" t="n">
        <v>1</v>
      </c>
      <c r="H124" s="62" t="n">
        <v>28</v>
      </c>
      <c r="I124" s="9" t="inlineStr">
        <is>
          <t>Pet Rescue / Trạm cứu trợ (14-16đ)</t>
        </is>
      </c>
      <c r="J124" s="62" t="n">
        <v>14</v>
      </c>
      <c r="K124" s="9" t="inlineStr">
        <is>
          <t>Chưa rõ giống (Cần quét Bio)</t>
        </is>
      </c>
      <c r="L124" s="62" t="n">
        <v>0</v>
      </c>
      <c r="M124" s="62" t="n">
        <v>0</v>
      </c>
      <c r="N124" s="9" t="inlineStr">
        <is>
          <t>Amazon link not found</t>
        </is>
      </c>
      <c r="O124" s="62">
        <f>IF(N124="Selling pet toys + Artificial grass/Pet toilets (TARGET)",15,IF(N124="Selling artificial grass/pet toilets (TARGET)",10,IF(N124="Selling pet toys",7,IF(N124="There's an Amazon link, but no target sales.",3,0))))</f>
        <v/>
      </c>
      <c r="P124" s="67">
        <f>H124+J124+L124+M124+O124</f>
        <v/>
      </c>
      <c r="Q124" s="70" t="inlineStr">
        <is>
          <t>International / Future Expansion</t>
        </is>
      </c>
      <c r="R124" s="9" t="inlineStr">
        <is>
          <t>Nhà vệ sinh &amp; Tã lót (Potty Tray / Pee Pads) + Cỏ nhân tạo lót chuồng</t>
        </is>
      </c>
      <c r="S124" s="9" t="inlineStr">
        <is>
          <t>Gắn cờ International / Future Expansion - Không gọi Telesale giai đoạn 1</t>
        </is>
      </c>
    </row>
    <row r="125">
      <c r="A125" s="53" t="n">
        <v>891</v>
      </c>
      <c r="B125" s="12" t="inlineStr">
        <is>
          <t>Chinese Red Dog Aid UK</t>
        </is>
      </c>
      <c r="C125" s="54" t="inlineStr">
        <is>
          <t>https://www.facebook.com/CRDAidUK</t>
        </is>
      </c>
      <c r="D125" s="6" t="inlineStr">
        <is>
          <t>Cần quét Bio Fanpage</t>
        </is>
      </c>
      <c r="E125" s="53" t="inlineStr">
        <is>
          <t>09/10/2026 22:44:51</t>
        </is>
      </c>
      <c r="F125" s="53" t="inlineStr">
        <is>
          <t>3 ngày trước</t>
        </is>
      </c>
      <c r="G125" s="55" t="n">
        <v>3</v>
      </c>
      <c r="H125" s="56" t="n">
        <v>28</v>
      </c>
      <c r="I125" s="6" t="inlineStr">
        <is>
          <t>Pet Rescue / Trạm cứu trợ (14-16đ)</t>
        </is>
      </c>
      <c r="J125" s="56" t="n">
        <v>14</v>
      </c>
      <c r="K125" s="6" t="inlineStr">
        <is>
          <t>Chưa rõ giống (Cần quét Bio)</t>
        </is>
      </c>
      <c r="L125" s="56" t="n">
        <v>0</v>
      </c>
      <c r="M125" s="56" t="n">
        <v>0</v>
      </c>
      <c r="N125" s="6" t="inlineStr">
        <is>
          <t>Amazon link not found</t>
        </is>
      </c>
      <c r="O125" s="56">
        <f>IF(N125="Selling pet toys + Artificial grass/Pet toilets (TARGET)",15,IF(N125="Selling artificial grass/pet toilets (TARGET)",10,IF(N125="Selling pet toys",7,IF(N125="There's an Amazon link, but no target sales.",3,0))))</f>
        <v/>
      </c>
      <c r="P125" s="65">
        <f>H125+J125+L125+M125+O125</f>
        <v/>
      </c>
      <c r="Q125" s="71" t="inlineStr">
        <is>
          <t>International / Future Expansion</t>
        </is>
      </c>
      <c r="R125" s="6" t="inlineStr">
        <is>
          <t>Nhà vệ sinh &amp; Tã lót (Potty Tray / Pee Pads) + Cỏ nhân tạo lót chuồng</t>
        </is>
      </c>
      <c r="S125" s="6" t="inlineStr">
        <is>
          <t>Gắn cờ International / Future Expansion - Không gọi Telesale giai đoạn 1</t>
        </is>
      </c>
    </row>
    <row r="126">
      <c r="A126" s="59" t="n">
        <v>2284</v>
      </c>
      <c r="B126" s="15" t="inlineStr">
        <is>
          <t>New England Working Dogs</t>
        </is>
      </c>
      <c r="C126" s="60" t="inlineStr">
        <is>
          <t>https://www.facebook.com/newenglandworkingdogs</t>
        </is>
      </c>
      <c r="D126" s="9" t="inlineStr">
        <is>
          <t>Cần quét Bio Fanpage</t>
        </is>
      </c>
      <c r="E126" s="59" t="inlineStr">
        <is>
          <t>27/09/2026 23:15:04</t>
        </is>
      </c>
      <c r="F126" s="59" t="inlineStr">
        <is>
          <t>2 tuần trước</t>
        </is>
      </c>
      <c r="G126" s="61" t="n">
        <v>14</v>
      </c>
      <c r="H126" s="62" t="n">
        <v>15</v>
      </c>
      <c r="I126" s="9" t="inlineStr">
        <is>
          <t>Pet Boarding / Huấn luyện K9 &amp; Dịch vụ (20-22đ)</t>
        </is>
      </c>
      <c r="J126" s="62" t="n">
        <v>22</v>
      </c>
      <c r="K126" s="9" t="inlineStr">
        <is>
          <t>Chưa rõ giống (Cần quét Bio)</t>
        </is>
      </c>
      <c r="L126" s="62" t="n">
        <v>0</v>
      </c>
      <c r="M126" s="62" t="n">
        <v>5</v>
      </c>
      <c r="N126" s="9" t="inlineStr">
        <is>
          <t>Amazon link not found</t>
        </is>
      </c>
      <c r="O126" s="62">
        <f>IF(N126="Selling pet toys + Artificial grass/Pet toilets (TARGET)",15,IF(N126="Selling artificial grass/pet toilets (TARGET)",10,IF(N126="Selling pet toys",7,IF(N126="There's an Amazon link, but no target sales.",3,0))))</f>
        <v/>
      </c>
      <c r="P126" s="67">
        <f>H126+J126+L126+M126+O126</f>
        <v/>
      </c>
      <c r="Q126" s="70" t="inlineStr">
        <is>
          <t>International / Future Expansion</t>
        </is>
      </c>
      <c r="R126" s="9" t="inlineStr">
        <is>
          <t>Cỏ nhân tạo sân chơi/huấn luyện (Dog Turf) + Đồ chơi nhai chịu lực (KONG/Chew Toys)</t>
        </is>
      </c>
      <c r="S126" s="9" t="inlineStr">
        <is>
          <t>Gắn cờ International / Future Expansion - Không gọi Telesale giai đoạn 1</t>
        </is>
      </c>
    </row>
    <row r="127">
      <c r="A127" s="53" t="n">
        <v>1965</v>
      </c>
      <c r="B127" s="12" t="inlineStr">
        <is>
          <t>Labrador Retriever Rescue Scotland</t>
        </is>
      </c>
      <c r="C127" s="54" t="inlineStr">
        <is>
          <t>https://www.facebook.com/LRRSScio</t>
        </is>
      </c>
      <c r="D127" s="6" t="inlineStr">
        <is>
          <t>Cần quét Bio Fanpage</t>
        </is>
      </c>
      <c r="E127" s="53" t="inlineStr">
        <is>
          <t>28/09/2026 17:30:36</t>
        </is>
      </c>
      <c r="F127" s="53" t="inlineStr">
        <is>
          <t>2 tuần trước</t>
        </is>
      </c>
      <c r="G127" s="55" t="n">
        <v>14</v>
      </c>
      <c r="H127" s="56" t="n">
        <v>15</v>
      </c>
      <c r="I127" s="6" t="inlineStr">
        <is>
          <t>Pet Rescue / Trạm cứu trợ (14-16đ)</t>
        </is>
      </c>
      <c r="J127" s="56" t="n">
        <v>16</v>
      </c>
      <c r="K127" s="6" t="inlineStr">
        <is>
          <t>Labrador</t>
        </is>
      </c>
      <c r="L127" s="56" t="n">
        <v>10</v>
      </c>
      <c r="M127" s="56" t="n">
        <v>0</v>
      </c>
      <c r="N127" s="6" t="inlineStr">
        <is>
          <t>Amazon link not found</t>
        </is>
      </c>
      <c r="O127" s="56">
        <f>IF(N127="Selling pet toys + Artificial grass/Pet toilets (TARGET)",15,IF(N127="Selling artificial grass/pet toilets (TARGET)",10,IF(N127="Selling pet toys",7,IF(N127="There's an Amazon link, but no target sales.",3,0))))</f>
        <v/>
      </c>
      <c r="P127" s="65">
        <f>H127+J127+L127+M127+O127</f>
        <v/>
      </c>
      <c r="Q127" s="71" t="inlineStr">
        <is>
          <t>International / Future Expansion</t>
        </is>
      </c>
      <c r="R127" s="6" t="inlineStr">
        <is>
          <t>Nhà vệ sinh &amp; Tã lót (Potty Tray / Pee Pads) + Cỏ nhân tạo lót chuồng</t>
        </is>
      </c>
      <c r="S127" s="6" t="inlineStr">
        <is>
          <t>Gắn cờ International / Future Expansion - Không gọi Telesale giai đoạn 1</t>
        </is>
      </c>
    </row>
    <row r="128">
      <c r="A128" s="59" t="n">
        <v>3028</v>
      </c>
      <c r="B128" s="15" t="inlineStr">
        <is>
          <t>Surrey Dog School</t>
        </is>
      </c>
      <c r="C128" s="60" t="inlineStr">
        <is>
          <t>https://www.facebook.com/surreydogschool</t>
        </is>
      </c>
      <c r="D128" s="9" t="inlineStr">
        <is>
          <t>Cần quét Bio Fanpage</t>
        </is>
      </c>
      <c r="E128" s="59" t="inlineStr">
        <is>
          <t>01/10/2026 00:15:25</t>
        </is>
      </c>
      <c r="F128" s="59" t="inlineStr">
        <is>
          <t>1 tuần trước</t>
        </is>
      </c>
      <c r="G128" s="61" t="n">
        <v>7</v>
      </c>
      <c r="H128" s="62" t="n">
        <v>20</v>
      </c>
      <c r="I128" s="9" t="inlineStr">
        <is>
          <t>Pet Boarding / Huấn luyện K9 &amp; Dịch vụ (20-22đ)</t>
        </is>
      </c>
      <c r="J128" s="62" t="n">
        <v>20</v>
      </c>
      <c r="K128" s="9" t="inlineStr">
        <is>
          <t>Chưa rõ giống (Cần quét Bio)</t>
        </is>
      </c>
      <c r="L128" s="62" t="n">
        <v>0</v>
      </c>
      <c r="M128" s="62" t="n">
        <v>0</v>
      </c>
      <c r="N128" s="9" t="inlineStr">
        <is>
          <t>Amazon link not found</t>
        </is>
      </c>
      <c r="O128" s="62">
        <f>IF(N128="Selling pet toys + Artificial grass/Pet toilets (TARGET)",15,IF(N128="Selling artificial grass/pet toilets (TARGET)",10,IF(N128="Selling pet toys",7,IF(N128="There's an Amazon link, but no target sales.",3,0))))</f>
        <v/>
      </c>
      <c r="P128" s="67">
        <f>H128+J128+L128+M128+O128</f>
        <v/>
      </c>
      <c r="Q128" s="70" t="inlineStr">
        <is>
          <t>International / Future Expansion</t>
        </is>
      </c>
      <c r="R128" s="9" t="inlineStr">
        <is>
          <t>Cỏ nhân tạo sân chơi/huấn luyện (Dog Turf) + Đồ chơi nhai chịu lực (KONG/Chew Toys)</t>
        </is>
      </c>
      <c r="S128" s="9" t="inlineStr">
        <is>
          <t>Gắn cờ International / Future Expansion - Không gọi Telesale giai đoạn 1</t>
        </is>
      </c>
    </row>
    <row r="129">
      <c r="A129" s="53" t="n">
        <v>3250</v>
      </c>
      <c r="B129" s="12" t="inlineStr">
        <is>
          <t>Trại Chó Cảnh Quang Tèo - Husky Kennel</t>
        </is>
      </c>
      <c r="C129" s="54" t="inlineStr">
        <is>
          <t>https://www.facebook.com/traichocanhquangteo</t>
        </is>
      </c>
      <c r="D129" s="6" t="inlineStr">
        <is>
          <t>Cần quét Bio Fanpage</t>
        </is>
      </c>
      <c r="E129" s="53" t="inlineStr">
        <is>
          <t>08/08/2026 16:02:46</t>
        </is>
      </c>
      <c r="F129" s="53" t="inlineStr">
        <is>
          <t>2 tháng trước</t>
        </is>
      </c>
      <c r="G129" s="55" t="n">
        <v>60</v>
      </c>
      <c r="H129" s="56" t="n">
        <v>0</v>
      </c>
      <c r="I129" s="6" t="inlineStr">
        <is>
          <t>Dog Breeder / Trại chó chuyên nghiệp (28-30đ)</t>
        </is>
      </c>
      <c r="J129" s="56" t="n">
        <v>30</v>
      </c>
      <c r="K129" s="6" t="inlineStr">
        <is>
          <t>Husky / Malamute / Samoyed / Spitz</t>
        </is>
      </c>
      <c r="L129" s="56" t="n">
        <v>5</v>
      </c>
      <c r="M129" s="56" t="n">
        <v>5</v>
      </c>
      <c r="N129" s="6" t="inlineStr">
        <is>
          <t>Amazon link not found</t>
        </is>
      </c>
      <c r="O129" s="56">
        <f>IF(N129="Selling pet toys + Artificial grass/Pet toilets (TARGET)",15,IF(N129="Selling artificial grass/pet toilets (TARGET)",10,IF(N129="Selling pet toys",7,IF(N129="There's an Amazon link, but no target sales.",3,0))))</f>
        <v/>
      </c>
      <c r="P129" s="65">
        <f>H129+J129+L129+M129+O129</f>
        <v/>
      </c>
      <c r="Q129" s="71" t="inlineStr">
        <is>
          <t>International / Future Expansion</t>
        </is>
      </c>
      <c r="R129" s="6" t="inlineStr">
        <is>
          <t>Trọn gói Take-Home Starter Kit V2/V3 (Cỏ nhân tạo + Khay Potty + Đồ chơi Teething/Snuggle)</t>
        </is>
      </c>
      <c r="S129" s="6" t="inlineStr">
        <is>
          <t>Gắn cờ International / Future Expansion - Không gọi Telesale giai đoạn 1</t>
        </is>
      </c>
    </row>
    <row r="130">
      <c r="A130" s="59" t="n">
        <v>3014</v>
      </c>
      <c r="B130" s="15" t="inlineStr">
        <is>
          <t>Stéphanie Mcgraw DogMom</t>
        </is>
      </c>
      <c r="C130" s="60" t="inlineStr">
        <is>
          <t>https://www.facebook.com/stephanie.mcgraw.dogmom</t>
        </is>
      </c>
      <c r="D130" s="9" t="inlineStr">
        <is>
          <t>Cần quét Bio Fanpage</t>
        </is>
      </c>
      <c r="E130" s="59" t="inlineStr">
        <is>
          <t>12/10/2026 03:24:07</t>
        </is>
      </c>
      <c r="F130" s="59" t="inlineStr">
        <is>
          <t>1 ngày trước</t>
        </is>
      </c>
      <c r="G130" s="61" t="n">
        <v>1</v>
      </c>
      <c r="H130" s="62" t="n">
        <v>28</v>
      </c>
      <c r="I130" s="9" t="inlineStr">
        <is>
          <t>Pet Owner / Cộng đồng nuôi cún (10đ)</t>
        </is>
      </c>
      <c r="J130" s="62" t="n">
        <v>10</v>
      </c>
      <c r="K130" s="9" t="inlineStr">
        <is>
          <t>Chưa rõ giống (Cần quét Bio)</t>
        </is>
      </c>
      <c r="L130" s="62" t="n">
        <v>0</v>
      </c>
      <c r="M130" s="62" t="n">
        <v>0</v>
      </c>
      <c r="N130" s="9" t="inlineStr">
        <is>
          <t>Amazon link not found</t>
        </is>
      </c>
      <c r="O130" s="62">
        <f>IF(N130="Selling pet toys + Artificial grass/Pet toilets (TARGET)",15,IF(N130="Selling artificial grass/pet toilets (TARGET)",10,IF(N130="Selling pet toys",7,IF(N130="There's an Amazon link, but no target sales.",3,0))))</f>
        <v/>
      </c>
      <c r="P130" s="67">
        <f>H130+J130+L130+M130+O130</f>
        <v/>
      </c>
      <c r="Q130" s="70" t="inlineStr">
        <is>
          <t>International / Future Expansion</t>
        </is>
      </c>
      <c r="R130" s="9" t="inlineStr">
        <is>
          <t>Khay vệ sinh chung cư (Indoor Potty) + Thảm cỏ ban công (Grass Patch) + Đồ chơi</t>
        </is>
      </c>
      <c r="S130" s="9" t="inlineStr">
        <is>
          <t>Gắn cờ International / Future Expansion - Không gọi Telesale giai đoạn 1</t>
        </is>
      </c>
    </row>
    <row r="131">
      <c r="A131" s="53" t="n">
        <v>150</v>
      </c>
      <c r="B131" s="12" t="inlineStr">
        <is>
          <t>Dog Shows Hungary</t>
        </is>
      </c>
      <c r="C131" s="54" t="inlineStr">
        <is>
          <t>https://www.facebook.com/HungarianKennelClubDogshows</t>
        </is>
      </c>
      <c r="D131" s="6" t="inlineStr">
        <is>
          <t>Cần quét Bio Fanpage</t>
        </is>
      </c>
      <c r="E131" s="53" t="inlineStr">
        <is>
          <t>12/10/2026 00:36:33</t>
        </is>
      </c>
      <c r="F131" s="53" t="inlineStr">
        <is>
          <t>1 ngày trước</t>
        </is>
      </c>
      <c r="G131" s="55" t="n">
        <v>1</v>
      </c>
      <c r="H131" s="56" t="n">
        <v>28</v>
      </c>
      <c r="I131" s="6" t="inlineStr">
        <is>
          <t>Pet Owner / Cộng đồng nuôi cún (10đ)</t>
        </is>
      </c>
      <c r="J131" s="56" t="n">
        <v>10</v>
      </c>
      <c r="K131" s="6" t="inlineStr">
        <is>
          <t>Chưa rõ giống (Cần quét Bio)</t>
        </is>
      </c>
      <c r="L131" s="56" t="n">
        <v>0</v>
      </c>
      <c r="M131" s="56" t="n">
        <v>0</v>
      </c>
      <c r="N131" s="6" t="inlineStr">
        <is>
          <t>Amazon link not found</t>
        </is>
      </c>
      <c r="O131" s="56">
        <f>IF(N131="Selling pet toys + Artificial grass/Pet toilets (TARGET)",15,IF(N131="Selling artificial grass/pet toilets (TARGET)",10,IF(N131="Selling pet toys",7,IF(N131="There's an Amazon link, but no target sales.",3,0))))</f>
        <v/>
      </c>
      <c r="P131" s="65">
        <f>H131+J131+L131+M131+O131</f>
        <v/>
      </c>
      <c r="Q131" s="71" t="inlineStr">
        <is>
          <t>International / Future Expansion</t>
        </is>
      </c>
      <c r="R131" s="6" t="inlineStr">
        <is>
          <t>Khay vệ sinh chung cư (Indoor Potty) + Thảm cỏ ban công (Grass Patch) + Đồ chơi</t>
        </is>
      </c>
      <c r="S131" s="6" t="inlineStr">
        <is>
          <t>Gắn cờ International / Future Expansion - Không gọi Telesale giai đoạn 1</t>
        </is>
      </c>
    </row>
    <row r="132">
      <c r="A132" s="59" t="n">
        <v>3405</v>
      </c>
      <c r="B132" s="15" t="inlineStr">
        <is>
          <t>Whitebullbordeauxkennel-Petrény Dezső</t>
        </is>
      </c>
      <c r="C132" s="60" t="inlineStr">
        <is>
          <t>https://www.facebook.com/profile.php?id=100081060047779</t>
        </is>
      </c>
      <c r="D132" s="9" t="inlineStr">
        <is>
          <t>Cần quét Bio Fanpage</t>
        </is>
      </c>
      <c r="E132" s="59" t="inlineStr">
        <is>
          <t>11/10/2026 23:31:11</t>
        </is>
      </c>
      <c r="F132" s="59" t="inlineStr">
        <is>
          <t>1 ngày trước</t>
        </is>
      </c>
      <c r="G132" s="61" t="n">
        <v>1</v>
      </c>
      <c r="H132" s="62" t="n">
        <v>28</v>
      </c>
      <c r="I132" s="9" t="inlineStr">
        <is>
          <t>Pet Owner / Cộng đồng nuôi cún (10đ)</t>
        </is>
      </c>
      <c r="J132" s="62" t="n">
        <v>10</v>
      </c>
      <c r="K132" s="9" t="inlineStr">
        <is>
          <t>Chưa rõ giống (Cần quét Bio)</t>
        </is>
      </c>
      <c r="L132" s="62" t="n">
        <v>0</v>
      </c>
      <c r="M132" s="62" t="n">
        <v>0</v>
      </c>
      <c r="N132" s="9" t="inlineStr">
        <is>
          <t>Amazon link not found</t>
        </is>
      </c>
      <c r="O132" s="62">
        <f>IF(N132="Selling pet toys + Artificial grass/Pet toilets (TARGET)",15,IF(N132="Selling artificial grass/pet toilets (TARGET)",10,IF(N132="Selling pet toys",7,IF(N132="There's an Amazon link, but no target sales.",3,0))))</f>
        <v/>
      </c>
      <c r="P132" s="67">
        <f>H132+J132+L132+M132+O132</f>
        <v/>
      </c>
      <c r="Q132" s="70" t="inlineStr">
        <is>
          <t>International / Future Expansion</t>
        </is>
      </c>
      <c r="R132" s="9" t="inlineStr">
        <is>
          <t>Khay vệ sinh chung cư (Indoor Potty) + Thảm cỏ ban công (Grass Patch) + Đồ chơi</t>
        </is>
      </c>
      <c r="S132" s="9" t="inlineStr">
        <is>
          <t>Gắn cờ International / Future Expansion - Không gọi Telesale giai đoạn 1</t>
        </is>
      </c>
    </row>
    <row r="133">
      <c r="A133" s="53" t="n">
        <v>297</v>
      </c>
      <c r="B133" s="12" t="inlineStr">
        <is>
          <t>"Von Teufelhöhle" Showbulldogs</t>
        </is>
      </c>
      <c r="C133" s="54" t="inlineStr">
        <is>
          <t>https://www.facebook.com/VonTeufelhohleShowbulldogs</t>
        </is>
      </c>
      <c r="D133" s="6" t="inlineStr">
        <is>
          <t>Cần quét Bio Fanpage</t>
        </is>
      </c>
      <c r="E133" s="53" t="inlineStr">
        <is>
          <t>11/10/2026 22:13:52</t>
        </is>
      </c>
      <c r="F133" s="53" t="inlineStr">
        <is>
          <t>1 ngày trước</t>
        </is>
      </c>
      <c r="G133" s="55" t="n">
        <v>1</v>
      </c>
      <c r="H133" s="56" t="n">
        <v>28</v>
      </c>
      <c r="I133" s="6" t="inlineStr">
        <is>
          <t>Pet Owner / Cộng đồng nuôi cún (10đ)</t>
        </is>
      </c>
      <c r="J133" s="56" t="n">
        <v>10</v>
      </c>
      <c r="K133" s="6" t="inlineStr">
        <is>
          <t>Chưa rõ giống (Cần quét Bio)</t>
        </is>
      </c>
      <c r="L133" s="56" t="n">
        <v>0</v>
      </c>
      <c r="M133" s="56" t="n">
        <v>0</v>
      </c>
      <c r="N133" s="6" t="inlineStr">
        <is>
          <t>Amazon link not found</t>
        </is>
      </c>
      <c r="O133" s="56">
        <f>IF(N133="Selling pet toys + Artificial grass/Pet toilets (TARGET)",15,IF(N133="Selling artificial grass/pet toilets (TARGET)",10,IF(N133="Selling pet toys",7,IF(N133="There's an Amazon link, but no target sales.",3,0))))</f>
        <v/>
      </c>
      <c r="P133" s="65">
        <f>H133+J133+L133+M133+O133</f>
        <v/>
      </c>
      <c r="Q133" s="71" t="inlineStr">
        <is>
          <t>International / Future Expansion</t>
        </is>
      </c>
      <c r="R133" s="6" t="inlineStr">
        <is>
          <t>Khay vệ sinh chung cư (Indoor Potty) + Thảm cỏ ban công (Grass Patch) + Đồ chơi</t>
        </is>
      </c>
      <c r="S133" s="6" t="inlineStr">
        <is>
          <t>Gắn cờ International / Future Expansion - Không gọi Telesale giai đoạn 1</t>
        </is>
      </c>
    </row>
    <row r="134">
      <c r="A134" s="59" t="n">
        <v>59</v>
      </c>
      <c r="B134" s="15" t="inlineStr">
        <is>
          <t>DOGS NSW</t>
        </is>
      </c>
      <c r="C134" s="60" t="inlineStr">
        <is>
          <t>https://www.facebook.com/DOGSNSW</t>
        </is>
      </c>
      <c r="D134" s="9" t="inlineStr">
        <is>
          <t>Cần quét Bio Fanpage</t>
        </is>
      </c>
      <c r="E134" s="59" t="inlineStr">
        <is>
          <t>11/10/2026 06:00:06</t>
        </is>
      </c>
      <c r="F134" s="59" t="inlineStr">
        <is>
          <t>1 ngày trước</t>
        </is>
      </c>
      <c r="G134" s="61" t="n">
        <v>1</v>
      </c>
      <c r="H134" s="62" t="n">
        <v>28</v>
      </c>
      <c r="I134" s="9" t="inlineStr">
        <is>
          <t>Pet Owner / Cộng đồng nuôi cún (10đ)</t>
        </is>
      </c>
      <c r="J134" s="62" t="n">
        <v>10</v>
      </c>
      <c r="K134" s="9" t="inlineStr">
        <is>
          <t>Chưa rõ giống (Cần quét Bio)</t>
        </is>
      </c>
      <c r="L134" s="62" t="n">
        <v>0</v>
      </c>
      <c r="M134" s="62" t="n">
        <v>0</v>
      </c>
      <c r="N134" s="9" t="inlineStr">
        <is>
          <t>Amazon link not found</t>
        </is>
      </c>
      <c r="O134" s="62">
        <f>IF(N134="Selling pet toys + Artificial grass/Pet toilets (TARGET)",15,IF(N134="Selling artificial grass/pet toilets (TARGET)",10,IF(N134="Selling pet toys",7,IF(N134="There's an Amazon link, but no target sales.",3,0))))</f>
        <v/>
      </c>
      <c r="P134" s="67">
        <f>H134+J134+L134+M134+O134</f>
        <v/>
      </c>
      <c r="Q134" s="70" t="inlineStr">
        <is>
          <t>International / Future Expansion</t>
        </is>
      </c>
      <c r="R134" s="9" t="inlineStr">
        <is>
          <t>Khay vệ sinh chung cư (Indoor Potty) + Thảm cỏ ban công (Grass Patch) + Đồ chơi</t>
        </is>
      </c>
      <c r="S134" s="9" t="inlineStr">
        <is>
          <t>Gắn cờ International / Future Expansion - Không gọi Telesale giai đoạn 1</t>
        </is>
      </c>
    </row>
    <row r="135">
      <c r="A135" s="53" t="n">
        <v>420</v>
      </c>
      <c r="B135" s="12" t="inlineStr">
        <is>
          <t>AMVQ en pratique des petits animaux</t>
        </is>
      </c>
      <c r="C135" s="54" t="inlineStr">
        <is>
          <t>https://www.facebook.com/Amvqenpratiquedespetitsanimaux</t>
        </is>
      </c>
      <c r="D135" s="6" t="inlineStr">
        <is>
          <t>Cần quét Bio Fanpage</t>
        </is>
      </c>
      <c r="E135" s="53" t="inlineStr">
        <is>
          <t>10/10/2026 18:00:13</t>
        </is>
      </c>
      <c r="F135" s="53" t="inlineStr">
        <is>
          <t>2 ngày trước</t>
        </is>
      </c>
      <c r="G135" s="55" t="n">
        <v>2</v>
      </c>
      <c r="H135" s="56" t="n">
        <v>28</v>
      </c>
      <c r="I135" s="6" t="inlineStr">
        <is>
          <t>Pet Owner / Cộng đồng nuôi cún (10đ)</t>
        </is>
      </c>
      <c r="J135" s="56" t="n">
        <v>10</v>
      </c>
      <c r="K135" s="6" t="inlineStr">
        <is>
          <t>Chưa rõ giống (Cần quét Bio)</t>
        </is>
      </c>
      <c r="L135" s="56" t="n">
        <v>0</v>
      </c>
      <c r="M135" s="56" t="n">
        <v>0</v>
      </c>
      <c r="N135" s="6" t="inlineStr">
        <is>
          <t>Amazon link not found</t>
        </is>
      </c>
      <c r="O135" s="56">
        <f>IF(N135="Selling pet toys + Artificial grass/Pet toilets (TARGET)",15,IF(N135="Selling artificial grass/pet toilets (TARGET)",10,IF(N135="Selling pet toys",7,IF(N135="There's an Amazon link, but no target sales.",3,0))))</f>
        <v/>
      </c>
      <c r="P135" s="65">
        <f>H135+J135+L135+M135+O135</f>
        <v/>
      </c>
      <c r="Q135" s="71" t="inlineStr">
        <is>
          <t>International / Future Expansion</t>
        </is>
      </c>
      <c r="R135" s="6" t="inlineStr">
        <is>
          <t>Khay vệ sinh chung cư (Indoor Potty) + Thảm cỏ ban công (Grass Patch) + Đồ chơi</t>
        </is>
      </c>
      <c r="S135" s="6" t="inlineStr">
        <is>
          <t>Gắn cờ International / Future Expansion - Không gọi Telesale giai đoạn 1</t>
        </is>
      </c>
    </row>
    <row r="136">
      <c r="A136" s="59" t="n">
        <v>50</v>
      </c>
      <c r="B136" s="15" t="inlineStr">
        <is>
          <t>Assistance Dogs Australia</t>
        </is>
      </c>
      <c r="C136" s="60" t="inlineStr">
        <is>
          <t>https://www.facebook.com/assistancedogsaustralia</t>
        </is>
      </c>
      <c r="D136" s="9" t="inlineStr">
        <is>
          <t>Cần quét Bio Fanpage</t>
        </is>
      </c>
      <c r="E136" s="59" t="inlineStr">
        <is>
          <t>10/10/2026 04:55:02</t>
        </is>
      </c>
      <c r="F136" s="59" t="inlineStr">
        <is>
          <t>2 ngày trước</t>
        </is>
      </c>
      <c r="G136" s="61" t="n">
        <v>2</v>
      </c>
      <c r="H136" s="62" t="n">
        <v>28</v>
      </c>
      <c r="I136" s="9" t="inlineStr">
        <is>
          <t>Pet Owner / Cộng đồng nuôi cún (10đ)</t>
        </is>
      </c>
      <c r="J136" s="62" t="n">
        <v>10</v>
      </c>
      <c r="K136" s="9" t="inlineStr">
        <is>
          <t>Chưa rõ giống (Cần quét Bio)</t>
        </is>
      </c>
      <c r="L136" s="62" t="n">
        <v>0</v>
      </c>
      <c r="M136" s="62" t="n">
        <v>0</v>
      </c>
      <c r="N136" s="9" t="inlineStr">
        <is>
          <t>Amazon link not found</t>
        </is>
      </c>
      <c r="O136" s="62">
        <f>IF(N136="Selling pet toys + Artificial grass/Pet toilets (TARGET)",15,IF(N136="Selling artificial grass/pet toilets (TARGET)",10,IF(N136="Selling pet toys",7,IF(N136="There's an Amazon link, but no target sales.",3,0))))</f>
        <v/>
      </c>
      <c r="P136" s="67">
        <f>H136+J136+L136+M136+O136</f>
        <v/>
      </c>
      <c r="Q136" s="70" t="inlineStr">
        <is>
          <t>International / Future Expansion</t>
        </is>
      </c>
      <c r="R136" s="9" t="inlineStr">
        <is>
          <t>Khay vệ sinh chung cư (Indoor Potty) + Thảm cỏ ban công (Grass Patch) + Đồ chơi</t>
        </is>
      </c>
      <c r="S136" s="9" t="inlineStr">
        <is>
          <t>Gắn cờ International / Future Expansion - Không gọi Telesale giai đoạn 1</t>
        </is>
      </c>
    </row>
    <row r="137">
      <c r="A137" s="53" t="n">
        <v>3511</v>
      </c>
      <c r="B137" s="12" t="inlineStr">
        <is>
          <t>อาหารสุนัข MY PETS</t>
        </is>
      </c>
      <c r="C137" s="54" t="inlineStr">
        <is>
          <t>https://www.facebook.com/mypets.thailand</t>
        </is>
      </c>
      <c r="D137" s="6" t="inlineStr">
        <is>
          <t>Cần quét Bio Fanpage</t>
        </is>
      </c>
      <c r="E137" s="53" t="inlineStr">
        <is>
          <t>09/10/2026 13:42:28</t>
        </is>
      </c>
      <c r="F137" s="53" t="inlineStr">
        <is>
          <t>3 ngày trước</t>
        </is>
      </c>
      <c r="G137" s="55" t="n">
        <v>3</v>
      </c>
      <c r="H137" s="56" t="n">
        <v>28</v>
      </c>
      <c r="I137" s="6" t="inlineStr">
        <is>
          <t>Pet Owner / Cộng đồng nuôi cún (10đ)</t>
        </is>
      </c>
      <c r="J137" s="56" t="n">
        <v>10</v>
      </c>
      <c r="K137" s="6" t="inlineStr">
        <is>
          <t>Chưa rõ giống (Cần quét Bio)</t>
        </is>
      </c>
      <c r="L137" s="56" t="n">
        <v>0</v>
      </c>
      <c r="M137" s="56" t="n">
        <v>0</v>
      </c>
      <c r="N137" s="6" t="inlineStr">
        <is>
          <t>Amazon link not found</t>
        </is>
      </c>
      <c r="O137" s="56">
        <f>IF(N137="Selling pet toys + Artificial grass/Pet toilets (TARGET)",15,IF(N137="Selling artificial grass/pet toilets (TARGET)",10,IF(N137="Selling pet toys",7,IF(N137="There's an Amazon link, but no target sales.",3,0))))</f>
        <v/>
      </c>
      <c r="P137" s="65">
        <f>H137+J137+L137+M137+O137</f>
        <v/>
      </c>
      <c r="Q137" s="71" t="inlineStr">
        <is>
          <t>International / Future Expansion</t>
        </is>
      </c>
      <c r="R137" s="6" t="inlineStr">
        <is>
          <t>Khay vệ sinh chung cư (Indoor Potty) + Thảm cỏ ban công (Grass Patch) + Đồ chơi</t>
        </is>
      </c>
      <c r="S137" s="6" t="inlineStr">
        <is>
          <t>Gắn cờ International / Future Expansion - Không gọi Telesale giai đoạn 1</t>
        </is>
      </c>
    </row>
    <row r="138">
      <c r="A138" s="59" t="n">
        <v>3518</v>
      </c>
      <c r="B138" s="15" t="inlineStr">
        <is>
          <t>โรงเรียนสอนตัดขนสุนัขแมว Perfectdog</t>
        </is>
      </c>
      <c r="C138" s="60" t="inlineStr">
        <is>
          <t>https://www.facebook.com/Perfectdoggroomingschool</t>
        </is>
      </c>
      <c r="D138" s="9" t="inlineStr">
        <is>
          <t>Cần quét Bio Fanpage</t>
        </is>
      </c>
      <c r="E138" s="59" t="inlineStr">
        <is>
          <t>09/10/2026 10:01:25</t>
        </is>
      </c>
      <c r="F138" s="59" t="inlineStr">
        <is>
          <t>3 ngày trước</t>
        </is>
      </c>
      <c r="G138" s="61" t="n">
        <v>3</v>
      </c>
      <c r="H138" s="62" t="n">
        <v>28</v>
      </c>
      <c r="I138" s="9" t="inlineStr">
        <is>
          <t>Pet Owner / Cộng đồng nuôi cún (10đ)</t>
        </is>
      </c>
      <c r="J138" s="62" t="n">
        <v>10</v>
      </c>
      <c r="K138" s="9" t="inlineStr">
        <is>
          <t>Chưa rõ giống (Cần quét Bio)</t>
        </is>
      </c>
      <c r="L138" s="62" t="n">
        <v>0</v>
      </c>
      <c r="M138" s="62" t="n">
        <v>0</v>
      </c>
      <c r="N138" s="9" t="inlineStr">
        <is>
          <t>Amazon link not found</t>
        </is>
      </c>
      <c r="O138" s="62">
        <f>IF(N138="Selling pet toys + Artificial grass/Pet toilets (TARGET)",15,IF(N138="Selling artificial grass/pet toilets (TARGET)",10,IF(N138="Selling pet toys",7,IF(N138="There's an Amazon link, but no target sales.",3,0))))</f>
        <v/>
      </c>
      <c r="P138" s="67">
        <f>H138+J138+L138+M138+O138</f>
        <v/>
      </c>
      <c r="Q138" s="70" t="inlineStr">
        <is>
          <t>International / Future Expansion</t>
        </is>
      </c>
      <c r="R138" s="9" t="inlineStr">
        <is>
          <t>Khay vệ sinh chung cư (Indoor Potty) + Thảm cỏ ban công (Grass Patch) + Đồ chơi</t>
        </is>
      </c>
      <c r="S138" s="9" t="inlineStr">
        <is>
          <t>Gắn cờ International / Future Expansion - Không gọi Telesale giai đoạn 1</t>
        </is>
      </c>
    </row>
    <row r="139">
      <c r="A139" s="53" t="n">
        <v>892</v>
      </c>
      <c r="B139" s="12" t="inlineStr">
        <is>
          <t>Chinook Dog Centre</t>
        </is>
      </c>
      <c r="C139" s="54" t="inlineStr">
        <is>
          <t>https://www.facebook.com/ChinookDogCentre</t>
        </is>
      </c>
      <c r="D139" s="6" t="inlineStr">
        <is>
          <t>Cần quét Bio Fanpage</t>
        </is>
      </c>
      <c r="E139" s="53" t="inlineStr">
        <is>
          <t>09/10/2026 05:04:16</t>
        </is>
      </c>
      <c r="F139" s="53" t="inlineStr">
        <is>
          <t>3 ngày trước</t>
        </is>
      </c>
      <c r="G139" s="55" t="n">
        <v>3</v>
      </c>
      <c r="H139" s="56" t="n">
        <v>28</v>
      </c>
      <c r="I139" s="6" t="inlineStr">
        <is>
          <t>Pet Owner / Cộng đồng nuôi cún (10đ)</t>
        </is>
      </c>
      <c r="J139" s="56" t="n">
        <v>10</v>
      </c>
      <c r="K139" s="6" t="inlineStr">
        <is>
          <t>Chưa rõ giống (Cần quét Bio)</t>
        </is>
      </c>
      <c r="L139" s="56" t="n">
        <v>0</v>
      </c>
      <c r="M139" s="56" t="n">
        <v>0</v>
      </c>
      <c r="N139" s="6" t="inlineStr">
        <is>
          <t>Amazon link not found</t>
        </is>
      </c>
      <c r="O139" s="56">
        <f>IF(N139="Selling pet toys + Artificial grass/Pet toilets (TARGET)",15,IF(N139="Selling artificial grass/pet toilets (TARGET)",10,IF(N139="Selling pet toys",7,IF(N139="There's an Amazon link, but no target sales.",3,0))))</f>
        <v/>
      </c>
      <c r="P139" s="65">
        <f>H139+J139+L139+M139+O139</f>
        <v/>
      </c>
      <c r="Q139" s="71" t="inlineStr">
        <is>
          <t>International / Future Expansion</t>
        </is>
      </c>
      <c r="R139" s="6" t="inlineStr">
        <is>
          <t>Khay vệ sinh chung cư (Indoor Potty) + Thảm cỏ ban công (Grass Patch) + Đồ chơi</t>
        </is>
      </c>
      <c r="S139" s="6" t="inlineStr">
        <is>
          <t>Gắn cờ International / Future Expansion - Không gọi Telesale giai đoạn 1</t>
        </is>
      </c>
    </row>
    <row r="140">
      <c r="A140" s="59" t="n">
        <v>1968</v>
      </c>
      <c r="B140" s="15" t="inlineStr">
        <is>
          <t>Labradors De La Tour Farmina</t>
        </is>
      </c>
      <c r="C140" s="60" t="inlineStr">
        <is>
          <t>https://www.facebook.com/latourfarmina</t>
        </is>
      </c>
      <c r="D140" s="9" t="inlineStr">
        <is>
          <t>Cần quét Bio Fanpage</t>
        </is>
      </c>
      <c r="E140" s="59" t="inlineStr">
        <is>
          <t>24/08/2026 17:18:05</t>
        </is>
      </c>
      <c r="F140" s="59" t="inlineStr">
        <is>
          <t>1 tháng trước</t>
        </is>
      </c>
      <c r="G140" s="61" t="n">
        <v>30</v>
      </c>
      <c r="H140" s="62" t="n">
        <v>0</v>
      </c>
      <c r="I140" s="9" t="inlineStr">
        <is>
          <t>Dog Breeder / Trại nhân giống (28-30đ)</t>
        </is>
      </c>
      <c r="J140" s="62" t="n">
        <v>28</v>
      </c>
      <c r="K140" s="9" t="inlineStr">
        <is>
          <t>Labrador</t>
        </is>
      </c>
      <c r="L140" s="62" t="n">
        <v>10</v>
      </c>
      <c r="M140" s="62" t="n">
        <v>0</v>
      </c>
      <c r="N140" s="9" t="inlineStr">
        <is>
          <t>Amazon link not found</t>
        </is>
      </c>
      <c r="O140" s="62">
        <f>IF(N140="Selling pet toys + Artificial grass/Pet toilets (TARGET)",15,IF(N140="Selling artificial grass/pet toilets (TARGET)",10,IF(N140="Selling pet toys",7,IF(N140="There's an Amazon link, but no target sales.",3,0))))</f>
        <v/>
      </c>
      <c r="P140" s="67">
        <f>H140+J140+L140+M140+O140</f>
        <v/>
      </c>
      <c r="Q140" s="70" t="inlineStr">
        <is>
          <t>International / Future Expansion</t>
        </is>
      </c>
      <c r="R140" s="9" t="inlineStr">
        <is>
          <t>Trọn gói Take-Home Starter Kit V2/V3 (Cỏ nhân tạo + Khay Potty + Đồ chơi cún con)</t>
        </is>
      </c>
      <c r="S140" s="9" t="inlineStr">
        <is>
          <t>Gắn cờ International / Future Expansion - Không gọi Telesale giai đoạn 1</t>
        </is>
      </c>
    </row>
    <row r="141">
      <c r="A141" s="53" t="n">
        <v>3278</v>
      </c>
      <c r="B141" s="12" t="inlineStr">
        <is>
          <t>V&amp;C Vincent Bullies Malaysia - American BULLY</t>
        </is>
      </c>
      <c r="C141" s="54" t="inlineStr">
        <is>
          <t>https://www.facebook.com/Vincent28122Bully</t>
        </is>
      </c>
      <c r="D141" s="6" t="inlineStr">
        <is>
          <t>Cần quét Bio Fanpage</t>
        </is>
      </c>
      <c r="E141" s="53" t="inlineStr">
        <is>
          <t>25/05/2026 19:24:12</t>
        </is>
      </c>
      <c r="F141" s="53" t="inlineStr">
        <is>
          <t>4 tháng trước</t>
        </is>
      </c>
      <c r="G141" s="55" t="n">
        <v>120</v>
      </c>
      <c r="H141" s="56" t="n">
        <v>0</v>
      </c>
      <c r="I141" s="6" t="inlineStr">
        <is>
          <t>Dog Breeder / Trại chó chuyên nghiệp (28-30đ)</t>
        </is>
      </c>
      <c r="J141" s="56" t="n">
        <v>28</v>
      </c>
      <c r="K141" s="6" t="inlineStr">
        <is>
          <t>American Bully / Bully</t>
        </is>
      </c>
      <c r="L141" s="56" t="n">
        <v>10</v>
      </c>
      <c r="M141" s="56" t="n">
        <v>0</v>
      </c>
      <c r="N141" s="6" t="inlineStr">
        <is>
          <t>Amazon link not found</t>
        </is>
      </c>
      <c r="O141" s="56">
        <f>IF(N141="Selling pet toys + Artificial grass/Pet toilets (TARGET)",15,IF(N141="Selling artificial grass/pet toilets (TARGET)",10,IF(N141="Selling pet toys",7,IF(N141="There's an Amazon link, but no target sales.",3,0))))</f>
        <v/>
      </c>
      <c r="P141" s="65">
        <f>H141+J141+L141+M141+O141</f>
        <v/>
      </c>
      <c r="Q141" s="71" t="inlineStr">
        <is>
          <t>International / Future Expansion</t>
        </is>
      </c>
      <c r="R141" s="6" t="inlineStr">
        <is>
          <t>Trọn gói Take-Home Starter Kit V2/V3 (Cỏ nhân tạo + Khay Potty + Đồ chơi Teething/Snuggle)</t>
        </is>
      </c>
      <c r="S141" s="6" t="inlineStr">
        <is>
          <t>Gắn cờ International / Future Expansion - Không gọi Telesale giai đoạn 1</t>
        </is>
      </c>
    </row>
    <row r="142">
      <c r="A142" s="59" t="n">
        <v>2107</v>
      </c>
      <c r="B142" s="15" t="inlineStr">
        <is>
          <t>Maison Edson Elevage Bulldog Anglais</t>
        </is>
      </c>
      <c r="C142" s="60" t="inlineStr">
        <is>
          <t>https://www.facebook.com/profile.php?id=61573884274017</t>
        </is>
      </c>
      <c r="D142" s="9" t="inlineStr">
        <is>
          <t>Cần quét Bio Fanpage</t>
        </is>
      </c>
      <c r="E142" s="59" t="inlineStr">
        <is>
          <t>07/04/2026 02:57:43</t>
        </is>
      </c>
      <c r="F142" s="59" t="inlineStr">
        <is>
          <t>6 tháng trước</t>
        </is>
      </c>
      <c r="G142" s="61" t="n">
        <v>180</v>
      </c>
      <c r="H142" s="62" t="n">
        <v>0</v>
      </c>
      <c r="I142" s="9" t="inlineStr">
        <is>
          <t>Dog Breeder / Trại nhân giống (28-30đ)</t>
        </is>
      </c>
      <c r="J142" s="62" t="n">
        <v>28</v>
      </c>
      <c r="K142" s="9" t="inlineStr">
        <is>
          <t>English Bulldog</t>
        </is>
      </c>
      <c r="L142" s="62" t="n">
        <v>10</v>
      </c>
      <c r="M142" s="62" t="n">
        <v>0</v>
      </c>
      <c r="N142" s="9" t="inlineStr">
        <is>
          <t>Amazon link not found</t>
        </is>
      </c>
      <c r="O142" s="62">
        <f>IF(N142="Selling pet toys + Artificial grass/Pet toilets (TARGET)",15,IF(N142="Selling artificial grass/pet toilets (TARGET)",10,IF(N142="Selling pet toys",7,IF(N142="There's an Amazon link, but no target sales.",3,0))))</f>
        <v/>
      </c>
      <c r="P142" s="67">
        <f>H142+J142+L142+M142+O142</f>
        <v/>
      </c>
      <c r="Q142" s="70" t="inlineStr">
        <is>
          <t>International / Future Expansion</t>
        </is>
      </c>
      <c r="R142" s="9" t="inlineStr">
        <is>
          <t>Trọn gói Take-Home Starter Kit V2/V3 (Cỏ nhân tạo + Khay Potty + Đồ chơi cún con)</t>
        </is>
      </c>
      <c r="S142" s="9" t="inlineStr">
        <is>
          <t>Gắn cờ International / Future Expansion - Không gọi Telesale giai đoạn 1</t>
        </is>
      </c>
    </row>
    <row r="143">
      <c r="A143" s="53" t="n">
        <v>785</v>
      </c>
      <c r="B143" s="12" t="inlineStr">
        <is>
          <t>Bulldog Forever Club France</t>
        </is>
      </c>
      <c r="C143" s="54" t="inlineStr">
        <is>
          <t>https://www.facebook.com/profile.php?id=100069222401673</t>
        </is>
      </c>
      <c r="D143" s="6" t="inlineStr">
        <is>
          <t>Cần quét Bio Fanpage</t>
        </is>
      </c>
      <c r="E143" s="53" t="inlineStr">
        <is>
          <t>09/03/2026 20:37:30</t>
        </is>
      </c>
      <c r="F143" s="53" t="inlineStr">
        <is>
          <t>7 tháng trước</t>
        </is>
      </c>
      <c r="G143" s="55" t="n">
        <v>210</v>
      </c>
      <c r="H143" s="56" t="n">
        <v>0</v>
      </c>
      <c r="I143" s="6" t="inlineStr">
        <is>
          <t>Dog Breeder / Trại nhân giống (28-30đ)</t>
        </is>
      </c>
      <c r="J143" s="56" t="n">
        <v>28</v>
      </c>
      <c r="K143" s="6" t="inlineStr">
        <is>
          <t>English Bulldog</t>
        </is>
      </c>
      <c r="L143" s="56" t="n">
        <v>10</v>
      </c>
      <c r="M143" s="56" t="n">
        <v>0</v>
      </c>
      <c r="N143" s="6" t="inlineStr">
        <is>
          <t>Amazon link not found</t>
        </is>
      </c>
      <c r="O143" s="56">
        <f>IF(N143="Selling pet toys + Artificial grass/Pet toilets (TARGET)",15,IF(N143="Selling artificial grass/pet toilets (TARGET)",10,IF(N143="Selling pet toys",7,IF(N143="There's an Amazon link, but no target sales.",3,0))))</f>
        <v/>
      </c>
      <c r="P143" s="65">
        <f>H143+J143+L143+M143+O143</f>
        <v/>
      </c>
      <c r="Q143" s="71" t="inlineStr">
        <is>
          <t>International / Future Expansion</t>
        </is>
      </c>
      <c r="R143" s="6" t="inlineStr">
        <is>
          <t>Trọn gói Take-Home Starter Kit V2/V3 (Cỏ nhân tạo + Khay Potty + Đồ chơi cún con)</t>
        </is>
      </c>
      <c r="S143" s="6" t="inlineStr">
        <is>
          <t>Gắn cờ International / Future Expansion - Không gọi Telesale giai đoạn 1</t>
        </is>
      </c>
    </row>
    <row r="144">
      <c r="A144" s="59" t="n">
        <v>3490</v>
      </c>
      <c r="B144" s="15" t="inlineStr">
        <is>
          <t>Élevage Summum Frenchie  (Éleveur de Bouledogues Français)</t>
        </is>
      </c>
      <c r="C144" s="60" t="inlineStr">
        <is>
          <t>https://www.facebook.com/profile.php?id=100064852321702</t>
        </is>
      </c>
      <c r="D144" s="9" t="inlineStr">
        <is>
          <t>Cần quét Bio Fanpage</t>
        </is>
      </c>
      <c r="E144" s="59" t="inlineStr">
        <is>
          <t>05/03/2026 02:23:38</t>
        </is>
      </c>
      <c r="F144" s="59" t="inlineStr">
        <is>
          <t>7 tháng trước</t>
        </is>
      </c>
      <c r="G144" s="61" t="n">
        <v>210</v>
      </c>
      <c r="H144" s="62" t="n">
        <v>0</v>
      </c>
      <c r="I144" s="9" t="inlineStr">
        <is>
          <t>Dog Breeder / Trại nhân giống (28-30đ)</t>
        </is>
      </c>
      <c r="J144" s="62" t="n">
        <v>28</v>
      </c>
      <c r="K144" s="9" t="inlineStr">
        <is>
          <t>French Bulldog</t>
        </is>
      </c>
      <c r="L144" s="62" t="n">
        <v>10</v>
      </c>
      <c r="M144" s="62" t="n">
        <v>0</v>
      </c>
      <c r="N144" s="9" t="inlineStr">
        <is>
          <t>Amazon link not found</t>
        </is>
      </c>
      <c r="O144" s="62">
        <f>IF(N144="Selling pet toys + Artificial grass/Pet toilets (TARGET)",15,IF(N144="Selling artificial grass/pet toilets (TARGET)",10,IF(N144="Selling pet toys",7,IF(N144="There's an Amazon link, but no target sales.",3,0))))</f>
        <v/>
      </c>
      <c r="P144" s="67">
        <f>H144+J144+L144+M144+O144</f>
        <v/>
      </c>
      <c r="Q144" s="70" t="inlineStr">
        <is>
          <t>International / Future Expansion</t>
        </is>
      </c>
      <c r="R144" s="9" t="inlineStr">
        <is>
          <t>Trọn gói Take-Home Starter Kit V2/V3 (Cỏ nhân tạo + Khay Potty + Đồ chơi cún con)</t>
        </is>
      </c>
      <c r="S144" s="9" t="inlineStr">
        <is>
          <t>Gắn cờ International / Future Expansion - Không gọi Telesale giai đoạn 1</t>
        </is>
      </c>
    </row>
    <row r="145">
      <c r="A145" s="53" t="n">
        <v>786</v>
      </c>
      <c r="B145" s="12" t="inlineStr">
        <is>
          <t>Bulldog Inglese Le Perle del Sud</t>
        </is>
      </c>
      <c r="C145" s="54" t="inlineStr">
        <is>
          <t>https://www.facebook.com/leperledelsud.it</t>
        </is>
      </c>
      <c r="D145" s="6" t="inlineStr">
        <is>
          <t>Cần quét Bio Fanpage</t>
        </is>
      </c>
      <c r="E145" s="53" t="inlineStr">
        <is>
          <t>22/11/2025 17:43:06</t>
        </is>
      </c>
      <c r="F145" s="53" t="inlineStr">
        <is>
          <t>10 tháng trước</t>
        </is>
      </c>
      <c r="G145" s="55" t="n">
        <v>300</v>
      </c>
      <c r="H145" s="56" t="n">
        <v>0</v>
      </c>
      <c r="I145" s="6" t="inlineStr">
        <is>
          <t>Dog Breeder / Trại nhân giống (28-30đ)</t>
        </is>
      </c>
      <c r="J145" s="56" t="n">
        <v>28</v>
      </c>
      <c r="K145" s="6" t="inlineStr">
        <is>
          <t>English Bulldog</t>
        </is>
      </c>
      <c r="L145" s="56" t="n">
        <v>10</v>
      </c>
      <c r="M145" s="56" t="n">
        <v>0</v>
      </c>
      <c r="N145" s="6" t="inlineStr">
        <is>
          <t>Amazon link not found</t>
        </is>
      </c>
      <c r="O145" s="56">
        <f>IF(N145="Selling pet toys + Artificial grass/Pet toilets (TARGET)",15,IF(N145="Selling artificial grass/pet toilets (TARGET)",10,IF(N145="Selling pet toys",7,IF(N145="There's an Amazon link, but no target sales.",3,0))))</f>
        <v/>
      </c>
      <c r="P145" s="65">
        <f>H145+J145+L145+M145+O145</f>
        <v/>
      </c>
      <c r="Q145" s="71" t="inlineStr">
        <is>
          <t>International / Future Expansion</t>
        </is>
      </c>
      <c r="R145" s="6" t="inlineStr">
        <is>
          <t>Trọn gói Take-Home Starter Kit V2/V3 (Cỏ nhân tạo + Khay Potty + Đồ chơi cún con)</t>
        </is>
      </c>
      <c r="S145" s="6" t="inlineStr">
        <is>
          <t>Gắn cờ International / Future Expansion - Không gọi Telesale giai đoạn 1</t>
        </is>
      </c>
    </row>
    <row r="146">
      <c r="A146" s="59" t="n">
        <v>1325</v>
      </c>
      <c r="B146" s="15" t="inlineStr">
        <is>
          <t>Famous Frenchies Australia</t>
        </is>
      </c>
      <c r="C146" s="60" t="inlineStr">
        <is>
          <t>https://www.facebook.com/famousfrenchiesaustralia</t>
        </is>
      </c>
      <c r="D146" s="9" t="inlineStr">
        <is>
          <t>Cần quét Bio Fanpage</t>
        </is>
      </c>
      <c r="E146" s="59" t="inlineStr">
        <is>
          <t>05/08/2025 08:39:57</t>
        </is>
      </c>
      <c r="F146" s="59" t="inlineStr">
        <is>
          <t>1 năm trước</t>
        </is>
      </c>
      <c r="G146" s="61" t="n">
        <v>365</v>
      </c>
      <c r="H146" s="62" t="n">
        <v>0</v>
      </c>
      <c r="I146" s="9" t="inlineStr">
        <is>
          <t>Dog Breeder / Trại chó chuyên nghiệp (28-30đ)</t>
        </is>
      </c>
      <c r="J146" s="62" t="n">
        <v>28</v>
      </c>
      <c r="K146" s="9" t="inlineStr">
        <is>
          <t>French Bulldog</t>
        </is>
      </c>
      <c r="L146" s="62" t="n">
        <v>10</v>
      </c>
      <c r="M146" s="62" t="n">
        <v>0</v>
      </c>
      <c r="N146" s="9" t="inlineStr">
        <is>
          <t>Amazon link not found</t>
        </is>
      </c>
      <c r="O146" s="62">
        <f>IF(N146="Selling pet toys + Artificial grass/Pet toilets (TARGET)",15,IF(N146="Selling artificial grass/pet toilets (TARGET)",10,IF(N146="Selling pet toys",7,IF(N146="There's an Amazon link, but no target sales.",3,0))))</f>
        <v/>
      </c>
      <c r="P146" s="67">
        <f>H146+J146+L146+M146+O146</f>
        <v/>
      </c>
      <c r="Q146" s="70" t="inlineStr">
        <is>
          <t>International / Future Expansion</t>
        </is>
      </c>
      <c r="R146" s="9" t="inlineStr">
        <is>
          <t>Trọn gói Take-Home Starter Kit V2/V3 (Cỏ nhân tạo + Khay Potty + Đồ chơi Teething/Snuggle)</t>
        </is>
      </c>
      <c r="S146" s="9" t="inlineStr">
        <is>
          <t>Gắn cờ International / Future Expansion - Không gọi Telesale giai đoạn 1</t>
        </is>
      </c>
    </row>
    <row r="147">
      <c r="A147" s="53" t="n">
        <v>658</v>
      </c>
      <c r="B147" s="12" t="inlineStr">
        <is>
          <t>BEST FRENCHIES-élevage de bouledogues français</t>
        </is>
      </c>
      <c r="C147" s="54" t="inlineStr">
        <is>
          <t>https://www.facebook.com/MYBESTFRENCHIE</t>
        </is>
      </c>
      <c r="D147" s="6" t="inlineStr">
        <is>
          <t>Cần quét Bio Fanpage</t>
        </is>
      </c>
      <c r="E147" s="53" t="inlineStr">
        <is>
          <t>15/07/2025 03:33:24</t>
        </is>
      </c>
      <c r="F147" s="53" t="inlineStr">
        <is>
          <t>1 năm trước</t>
        </is>
      </c>
      <c r="G147" s="55" t="n">
        <v>365</v>
      </c>
      <c r="H147" s="56" t="n">
        <v>0</v>
      </c>
      <c r="I147" s="6" t="inlineStr">
        <is>
          <t>Dog Breeder / Trại chó chuyên nghiệp (28-30đ)</t>
        </is>
      </c>
      <c r="J147" s="56" t="n">
        <v>28</v>
      </c>
      <c r="K147" s="6" t="inlineStr">
        <is>
          <t>French Bulldog</t>
        </is>
      </c>
      <c r="L147" s="56" t="n">
        <v>10</v>
      </c>
      <c r="M147" s="56" t="n">
        <v>0</v>
      </c>
      <c r="N147" s="6" t="inlineStr">
        <is>
          <t>Amazon link not found</t>
        </is>
      </c>
      <c r="O147" s="56">
        <f>IF(N147="Selling pet toys + Artificial grass/Pet toilets (TARGET)",15,IF(N147="Selling artificial grass/pet toilets (TARGET)",10,IF(N147="Selling pet toys",7,IF(N147="There's an Amazon link, but no target sales.",3,0))))</f>
        <v/>
      </c>
      <c r="P147" s="65">
        <f>H147+J147+L147+M147+O147</f>
        <v/>
      </c>
      <c r="Q147" s="71" t="inlineStr">
        <is>
          <t>International / Future Expansion</t>
        </is>
      </c>
      <c r="R147" s="6" t="inlineStr">
        <is>
          <t>Trọn gói Take-Home Starter Kit V2/V3 (Cỏ nhân tạo + Khay Potty + Đồ chơi Teething/Snuggle)</t>
        </is>
      </c>
      <c r="S147" s="6" t="inlineStr">
        <is>
          <t>Gắn cờ International / Future Expansion - Không gọi Telesale giai đoạn 1</t>
        </is>
      </c>
    </row>
    <row r="148">
      <c r="A148" s="59" t="n">
        <v>538</v>
      </c>
      <c r="B148" s="15" t="inlineStr">
        <is>
          <t>Asociación de Bulldog Inglés - ABI</t>
        </is>
      </c>
      <c r="C148" s="60" t="inlineStr">
        <is>
          <t>https://www.facebook.com/profile.php?id=100077385414825</t>
        </is>
      </c>
      <c r="D148" s="9" t="inlineStr">
        <is>
          <t>Cần quét Bio Fanpage</t>
        </is>
      </c>
      <c r="E148" s="59" t="inlineStr">
        <is>
          <t>30/09/2024 01:16:12</t>
        </is>
      </c>
      <c r="F148" s="59" t="inlineStr">
        <is>
          <t>2 năm trước</t>
        </is>
      </c>
      <c r="G148" s="61" t="n">
        <v>730</v>
      </c>
      <c r="H148" s="62" t="n">
        <v>0</v>
      </c>
      <c r="I148" s="9" t="inlineStr">
        <is>
          <t>Dog Breeder / Trại nhân giống (28-30đ)</t>
        </is>
      </c>
      <c r="J148" s="62" t="n">
        <v>28</v>
      </c>
      <c r="K148" s="9" t="inlineStr">
        <is>
          <t>English Bulldog</t>
        </is>
      </c>
      <c r="L148" s="62" t="n">
        <v>10</v>
      </c>
      <c r="M148" s="62" t="n">
        <v>0</v>
      </c>
      <c r="N148" s="9" t="inlineStr">
        <is>
          <t>Amazon link not found</t>
        </is>
      </c>
      <c r="O148" s="62">
        <f>IF(N148="Selling pet toys + Artificial grass/Pet toilets (TARGET)",15,IF(N148="Selling artificial grass/pet toilets (TARGET)",10,IF(N148="Selling pet toys",7,IF(N148="There's an Amazon link, but no target sales.",3,0))))</f>
        <v/>
      </c>
      <c r="P148" s="67">
        <f>H148+J148+L148+M148+O148</f>
        <v/>
      </c>
      <c r="Q148" s="70" t="inlineStr">
        <is>
          <t>International / Future Expansion</t>
        </is>
      </c>
      <c r="R148" s="9" t="inlineStr">
        <is>
          <t>Trọn gói Take-Home Starter Kit V2/V3 (Cỏ nhân tạo + Khay Potty + Đồ chơi cún con)</t>
        </is>
      </c>
      <c r="S148" s="9" t="inlineStr">
        <is>
          <t>Gắn cờ International / Future Expansion - Không gọi Telesale giai đoạn 1</t>
        </is>
      </c>
    </row>
    <row r="149">
      <c r="A149" s="53" t="n">
        <v>1880</v>
      </c>
      <c r="B149" s="12" t="inlineStr">
        <is>
          <t>KENNEL DEL SACRO FIUME</t>
        </is>
      </c>
      <c r="C149" s="54" t="inlineStr">
        <is>
          <t>https://www.facebook.com/kenneldelsacrofiume</t>
        </is>
      </c>
      <c r="D149" s="6" t="inlineStr">
        <is>
          <t>Cần quét Bio Fanpage</t>
        </is>
      </c>
      <c r="E149" s="53" t="inlineStr">
        <is>
          <t>12/09/2026 23:14:25</t>
        </is>
      </c>
      <c r="F149" s="53" t="inlineStr">
        <is>
          <t>1 tháng trước</t>
        </is>
      </c>
      <c r="G149" s="55" t="n">
        <v>30</v>
      </c>
      <c r="H149" s="56" t="n">
        <v>0</v>
      </c>
      <c r="I149" s="6" t="inlineStr">
        <is>
          <t>Dog Breeder / Trại chó chuyên nghiệp (28-30đ)</t>
        </is>
      </c>
      <c r="J149" s="56" t="n">
        <v>30</v>
      </c>
      <c r="K149" s="6" t="inlineStr">
        <is>
          <t>Chưa rõ giống (Cần quét Bio)</t>
        </is>
      </c>
      <c r="L149" s="56" t="n">
        <v>0</v>
      </c>
      <c r="M149" s="56" t="n">
        <v>5</v>
      </c>
      <c r="N149" s="6" t="inlineStr">
        <is>
          <t>Amazon link not found</t>
        </is>
      </c>
      <c r="O149" s="56">
        <f>IF(N149="Selling pet toys + Artificial grass/Pet toilets (TARGET)",15,IF(N149="Selling artificial grass/pet toilets (TARGET)",10,IF(N149="Selling pet toys",7,IF(N149="There's an Amazon link, but no target sales.",3,0))))</f>
        <v/>
      </c>
      <c r="P149" s="65">
        <f>H149+J149+L149+M149+O149</f>
        <v/>
      </c>
      <c r="Q149" s="71" t="inlineStr">
        <is>
          <t>International / Future Expansion</t>
        </is>
      </c>
      <c r="R149" s="6" t="inlineStr">
        <is>
          <t>Trọn gói Take-Home Starter Kit V2/V3 (Cỏ nhân tạo + Khay Potty + Đồ chơi Teething/Snuggle)</t>
        </is>
      </c>
      <c r="S149" s="6" t="inlineStr">
        <is>
          <t>Gắn cờ International / Future Expansion - Không gọi Telesale giai đoạn 1</t>
        </is>
      </c>
    </row>
    <row r="150">
      <c r="A150" s="59" t="n">
        <v>1910</v>
      </c>
      <c r="B150" s="15" t="inlineStr">
        <is>
          <t>Kennel Vom Jolacic</t>
        </is>
      </c>
      <c r="C150" s="60" t="inlineStr">
        <is>
          <t>https://www.facebook.com/profile.php?id=100067471381317</t>
        </is>
      </c>
      <c r="D150" s="9" t="inlineStr">
        <is>
          <t>Cần quét Bio Fanpage</t>
        </is>
      </c>
      <c r="E150" s="59" t="inlineStr">
        <is>
          <t>07/06/2026 01:54:52</t>
        </is>
      </c>
      <c r="F150" s="59" t="inlineStr">
        <is>
          <t>4 tháng trước</t>
        </is>
      </c>
      <c r="G150" s="61" t="n">
        <v>120</v>
      </c>
      <c r="H150" s="62" t="n">
        <v>0</v>
      </c>
      <c r="I150" s="9" t="inlineStr">
        <is>
          <t>Dog Breeder / Trại chó chuyên nghiệp (28-30đ)</t>
        </is>
      </c>
      <c r="J150" s="62" t="n">
        <v>30</v>
      </c>
      <c r="K150" s="9" t="inlineStr">
        <is>
          <t>Chưa rõ giống (Cần quét Bio)</t>
        </is>
      </c>
      <c r="L150" s="62" t="n">
        <v>0</v>
      </c>
      <c r="M150" s="62" t="n">
        <v>5</v>
      </c>
      <c r="N150" s="9" t="inlineStr">
        <is>
          <t>Amazon link not found</t>
        </is>
      </c>
      <c r="O150" s="62">
        <f>IF(N150="Selling pet toys + Artificial grass/Pet toilets (TARGET)",15,IF(N150="Selling artificial grass/pet toilets (TARGET)",10,IF(N150="Selling pet toys",7,IF(N150="There's an Amazon link, but no target sales.",3,0))))</f>
        <v/>
      </c>
      <c r="P150" s="67">
        <f>H150+J150+L150+M150+O150</f>
        <v/>
      </c>
      <c r="Q150" s="70" t="inlineStr">
        <is>
          <t>International / Future Expansion</t>
        </is>
      </c>
      <c r="R150" s="9" t="inlineStr">
        <is>
          <t>Trọn gói Take-Home Starter Kit V2/V3 (Cỏ nhân tạo + Khay Potty + Đồ chơi Teething/Snuggle)</t>
        </is>
      </c>
      <c r="S150" s="9" t="inlineStr">
        <is>
          <t>Gắn cờ International / Future Expansion - Không gọi Telesale giai đoạn 1</t>
        </is>
      </c>
    </row>
    <row r="151">
      <c r="A151" s="53" t="n">
        <v>1911</v>
      </c>
      <c r="B151" s="12" t="inlineStr">
        <is>
          <t>Kennel Von Der avalkan</t>
        </is>
      </c>
      <c r="C151" s="54" t="inlineStr">
        <is>
          <t>https://www.facebook.com/profile.php?id=100069515074033</t>
        </is>
      </c>
      <c r="D151" s="6" t="inlineStr">
        <is>
          <t>Cần quét Bio Fanpage</t>
        </is>
      </c>
      <c r="E151" s="53" t="inlineStr">
        <is>
          <t>29/12/2025 21:06:21</t>
        </is>
      </c>
      <c r="F151" s="53" t="inlineStr">
        <is>
          <t>9 tháng trước</t>
        </is>
      </c>
      <c r="G151" s="55" t="n">
        <v>270</v>
      </c>
      <c r="H151" s="56" t="n">
        <v>0</v>
      </c>
      <c r="I151" s="6" t="inlineStr">
        <is>
          <t>Dog Breeder / Trại chó chuyên nghiệp (28-30đ)</t>
        </is>
      </c>
      <c r="J151" s="56" t="n">
        <v>30</v>
      </c>
      <c r="K151" s="6" t="inlineStr">
        <is>
          <t>Chưa rõ giống (Cần quét Bio)</t>
        </is>
      </c>
      <c r="L151" s="56" t="n">
        <v>0</v>
      </c>
      <c r="M151" s="56" t="n">
        <v>5</v>
      </c>
      <c r="N151" s="6" t="inlineStr">
        <is>
          <t>Amazon link not found</t>
        </is>
      </c>
      <c r="O151" s="56">
        <f>IF(N151="Selling pet toys + Artificial grass/Pet toilets (TARGET)",15,IF(N151="Selling artificial grass/pet toilets (TARGET)",10,IF(N151="Selling pet toys",7,IF(N151="There's an Amazon link, but no target sales.",3,0))))</f>
        <v/>
      </c>
      <c r="P151" s="65">
        <f>H151+J151+L151+M151+O151</f>
        <v/>
      </c>
      <c r="Q151" s="71" t="inlineStr">
        <is>
          <t>International / Future Expansion</t>
        </is>
      </c>
      <c r="R151" s="6" t="inlineStr">
        <is>
          <t>Trọn gói Take-Home Starter Kit V2/V3 (Cỏ nhân tạo + Khay Potty + Đồ chơi Teething/Snuggle)</t>
        </is>
      </c>
      <c r="S151" s="6" t="inlineStr">
        <is>
          <t>Gắn cờ International / Future Expansion - Không gọi Telesale giai đoạn 1</t>
        </is>
      </c>
    </row>
    <row r="152">
      <c r="A152" s="59" t="n">
        <v>3340</v>
      </c>
      <c r="B152" s="15" t="inlineStr">
        <is>
          <t>Vom Hausser Kennel</t>
        </is>
      </c>
      <c r="C152" s="60" t="inlineStr">
        <is>
          <t>https://www.facebook.com/VomHausserKennel</t>
        </is>
      </c>
      <c r="D152" s="9" t="inlineStr">
        <is>
          <t>Cần quét Bio Fanpage</t>
        </is>
      </c>
      <c r="E152" s="59" t="inlineStr">
        <is>
          <t>12/10/2025 07:24:05</t>
        </is>
      </c>
      <c r="F152" s="59" t="inlineStr">
        <is>
          <t>1 năm trước</t>
        </is>
      </c>
      <c r="G152" s="61" t="n">
        <v>365</v>
      </c>
      <c r="H152" s="62" t="n">
        <v>0</v>
      </c>
      <c r="I152" s="9" t="inlineStr">
        <is>
          <t>Dog Breeder / Trại chó chuyên nghiệp (28-30đ)</t>
        </is>
      </c>
      <c r="J152" s="62" t="n">
        <v>30</v>
      </c>
      <c r="K152" s="9" t="inlineStr">
        <is>
          <t>Chưa rõ giống (Cần quét Bio)</t>
        </is>
      </c>
      <c r="L152" s="62" t="n">
        <v>0</v>
      </c>
      <c r="M152" s="62" t="n">
        <v>5</v>
      </c>
      <c r="N152" s="9" t="inlineStr">
        <is>
          <t>Amazon link not found</t>
        </is>
      </c>
      <c r="O152" s="62">
        <f>IF(N152="Selling pet toys + Artificial grass/Pet toilets (TARGET)",15,IF(N152="Selling artificial grass/pet toilets (TARGET)",10,IF(N152="Selling pet toys",7,IF(N152="There's an Amazon link, but no target sales.",3,0))))</f>
        <v/>
      </c>
      <c r="P152" s="67">
        <f>H152+J152+L152+M152+O152</f>
        <v/>
      </c>
      <c r="Q152" s="70" t="inlineStr">
        <is>
          <t>International / Future Expansion</t>
        </is>
      </c>
      <c r="R152" s="9" t="inlineStr">
        <is>
          <t>Trọn gói Take-Home Starter Kit V2/V3 (Cỏ nhân tạo + Khay Potty + Đồ chơi Teething/Snuggle)</t>
        </is>
      </c>
      <c r="S152" s="9" t="inlineStr">
        <is>
          <t>Gắn cờ International / Future Expansion - Không gọi Telesale giai đoạn 1</t>
        </is>
      </c>
    </row>
    <row r="153">
      <c r="A153" s="53" t="n">
        <v>1853</v>
      </c>
      <c r="B153" s="12" t="inlineStr">
        <is>
          <t>Kavkaz Angel Kennel - Caucasian Shepherds Australia</t>
        </is>
      </c>
      <c r="C153" s="54" t="inlineStr">
        <is>
          <t>https://www.facebook.com/profile.php?id=100066585679625</t>
        </is>
      </c>
      <c r="D153" s="6" t="inlineStr">
        <is>
          <t>Cần quét Bio Fanpage</t>
        </is>
      </c>
      <c r="E153" s="53" t="inlineStr">
        <is>
          <t>03/08/2024 03:43:05</t>
        </is>
      </c>
      <c r="F153" s="53" t="inlineStr">
        <is>
          <t>2 năm trước</t>
        </is>
      </c>
      <c r="G153" s="55" t="n">
        <v>730</v>
      </c>
      <c r="H153" s="56" t="n">
        <v>0</v>
      </c>
      <c r="I153" s="6" t="inlineStr">
        <is>
          <t>Dog Breeder / Trại chó chuyên nghiệp (28-30đ)</t>
        </is>
      </c>
      <c r="J153" s="56" t="n">
        <v>30</v>
      </c>
      <c r="K153" s="6" t="inlineStr">
        <is>
          <t>Chưa rõ giống (Cần quét Bio)</t>
        </is>
      </c>
      <c r="L153" s="56" t="n">
        <v>0</v>
      </c>
      <c r="M153" s="56" t="n">
        <v>5</v>
      </c>
      <c r="N153" s="6" t="inlineStr">
        <is>
          <t>Amazon link not found</t>
        </is>
      </c>
      <c r="O153" s="56">
        <f>IF(N153="Selling pet toys + Artificial grass/Pet toilets (TARGET)",15,IF(N153="Selling artificial grass/pet toilets (TARGET)",10,IF(N153="Selling pet toys",7,IF(N153="There's an Amazon link, but no target sales.",3,0))))</f>
        <v/>
      </c>
      <c r="P153" s="65">
        <f>H153+J153+L153+M153+O153</f>
        <v/>
      </c>
      <c r="Q153" s="71" t="inlineStr">
        <is>
          <t>International / Future Expansion</t>
        </is>
      </c>
      <c r="R153" s="6" t="inlineStr">
        <is>
          <t>Trọn gói Take-Home Starter Kit V2/V3 (Cỏ nhân tạo + Khay Potty + Đồ chơi Teething/Snuggle)</t>
        </is>
      </c>
      <c r="S153" s="6" t="inlineStr">
        <is>
          <t>Gắn cờ International / Future Expansion - Không gọi Telesale giai đoạn 1</t>
        </is>
      </c>
    </row>
    <row r="154">
      <c r="A154" s="59" t="n">
        <v>905</v>
      </c>
      <c r="B154" s="15" t="inlineStr">
        <is>
          <t>CKU - China Kennel Union</t>
        </is>
      </c>
      <c r="C154" s="60" t="inlineStr">
        <is>
          <t>https://www.facebook.com/CKU.ChinaKennelUnion</t>
        </is>
      </c>
      <c r="D154" s="9" t="inlineStr">
        <is>
          <t>Cần quét Bio Fanpage</t>
        </is>
      </c>
      <c r="E154" s="59" t="inlineStr">
        <is>
          <t>23/07/2024 21:16:55</t>
        </is>
      </c>
      <c r="F154" s="59" t="inlineStr">
        <is>
          <t>2 năm trước</t>
        </is>
      </c>
      <c r="G154" s="61" t="n">
        <v>730</v>
      </c>
      <c r="H154" s="62" t="n">
        <v>0</v>
      </c>
      <c r="I154" s="9" t="inlineStr">
        <is>
          <t>Dog Breeder / Trại chó chuyên nghiệp (28-30đ)</t>
        </is>
      </c>
      <c r="J154" s="62" t="n">
        <v>30</v>
      </c>
      <c r="K154" s="9" t="inlineStr">
        <is>
          <t>Chưa rõ giống (Cần quét Bio)</t>
        </is>
      </c>
      <c r="L154" s="62" t="n">
        <v>0</v>
      </c>
      <c r="M154" s="62" t="n">
        <v>5</v>
      </c>
      <c r="N154" s="9" t="inlineStr">
        <is>
          <t>Amazon link not found</t>
        </is>
      </c>
      <c r="O154" s="62">
        <f>IF(N154="Selling pet toys + Artificial grass/Pet toilets (TARGET)",15,IF(N154="Selling artificial grass/pet toilets (TARGET)",10,IF(N154="Selling pet toys",7,IF(N154="There's an Amazon link, but no target sales.",3,0))))</f>
        <v/>
      </c>
      <c r="P154" s="67">
        <f>H154+J154+L154+M154+O154</f>
        <v/>
      </c>
      <c r="Q154" s="70" t="inlineStr">
        <is>
          <t>International / Future Expansion</t>
        </is>
      </c>
      <c r="R154" s="9" t="inlineStr">
        <is>
          <t>Trọn gói Take-Home Starter Kit V2/V3 (Cỏ nhân tạo + Khay Potty + Đồ chơi Teething/Snuggle)</t>
        </is>
      </c>
      <c r="S154" s="9" t="inlineStr">
        <is>
          <t>Gắn cờ International / Future Expansion - Không gọi Telesale giai đoạn 1</t>
        </is>
      </c>
    </row>
    <row r="155">
      <c r="A155" s="53" t="n">
        <v>3350</v>
      </c>
      <c r="B155" s="12" t="inlineStr">
        <is>
          <t>von Odod Kennel</t>
        </is>
      </c>
      <c r="C155" s="54" t="inlineStr">
        <is>
          <t>https://www.facebook.com/profile.php?id=100084453919906</t>
        </is>
      </c>
      <c r="D155" s="6" t="inlineStr">
        <is>
          <t>Cần quét Bio Fanpage</t>
        </is>
      </c>
      <c r="E155" s="53" t="inlineStr">
        <is>
          <t>08/10/2023 20:10:36</t>
        </is>
      </c>
      <c r="F155" s="53" t="inlineStr">
        <is>
          <t>3 năm trước</t>
        </is>
      </c>
      <c r="G155" s="55" t="n">
        <v>1095</v>
      </c>
      <c r="H155" s="56" t="n">
        <v>0</v>
      </c>
      <c r="I155" s="6" t="inlineStr">
        <is>
          <t>Dog Breeder / Trại chó chuyên nghiệp (28-30đ)</t>
        </is>
      </c>
      <c r="J155" s="56" t="n">
        <v>30</v>
      </c>
      <c r="K155" s="6" t="inlineStr">
        <is>
          <t>Chưa rõ giống (Cần quét Bio)</t>
        </is>
      </c>
      <c r="L155" s="56" t="n">
        <v>0</v>
      </c>
      <c r="M155" s="56" t="n">
        <v>5</v>
      </c>
      <c r="N155" s="6" t="inlineStr">
        <is>
          <t>Amazon link not found</t>
        </is>
      </c>
      <c r="O155" s="56">
        <f>IF(N155="Selling pet toys + Artificial grass/Pet toilets (TARGET)",15,IF(N155="Selling artificial grass/pet toilets (TARGET)",10,IF(N155="Selling pet toys",7,IF(N155="There's an Amazon link, but no target sales.",3,0))))</f>
        <v/>
      </c>
      <c r="P155" s="65">
        <f>H155+J155+L155+M155+O155</f>
        <v/>
      </c>
      <c r="Q155" s="71" t="inlineStr">
        <is>
          <t>International / Future Expansion</t>
        </is>
      </c>
      <c r="R155" s="6" t="inlineStr">
        <is>
          <t>Trọn gói Take-Home Starter Kit V2/V3 (Cỏ nhân tạo + Khay Potty + Đồ chơi Teething/Snuggle)</t>
        </is>
      </c>
      <c r="S155" s="6" t="inlineStr">
        <is>
          <t>Gắn cờ International / Future Expansion - Không gọi Telesale giai đoạn 1</t>
        </is>
      </c>
    </row>
    <row r="156">
      <c r="A156" s="59" t="n">
        <v>2676</v>
      </c>
      <c r="B156" s="15" t="inlineStr">
        <is>
          <t>Pérez Kennel Bulls</t>
        </is>
      </c>
      <c r="C156" s="60" t="inlineStr">
        <is>
          <t>https://www.facebook.com/profile.php?id=100063582342386</t>
        </is>
      </c>
      <c r="D156" s="9" t="inlineStr">
        <is>
          <t>Cần quét Bio Fanpage</t>
        </is>
      </c>
      <c r="E156" s="59" t="inlineStr">
        <is>
          <t>12/07/2023 23:01:22</t>
        </is>
      </c>
      <c r="F156" s="59" t="inlineStr">
        <is>
          <t>3 năm trước</t>
        </is>
      </c>
      <c r="G156" s="61" t="n">
        <v>1095</v>
      </c>
      <c r="H156" s="62" t="n">
        <v>0</v>
      </c>
      <c r="I156" s="9" t="inlineStr">
        <is>
          <t>Dog Breeder / Trại chó chuyên nghiệp (28-30đ)</t>
        </is>
      </c>
      <c r="J156" s="62" t="n">
        <v>30</v>
      </c>
      <c r="K156" s="9" t="inlineStr">
        <is>
          <t>Chưa rõ giống (Cần quét Bio)</t>
        </is>
      </c>
      <c r="L156" s="62" t="n">
        <v>0</v>
      </c>
      <c r="M156" s="62" t="n">
        <v>5</v>
      </c>
      <c r="N156" s="9" t="inlineStr">
        <is>
          <t>Amazon link not found</t>
        </is>
      </c>
      <c r="O156" s="62">
        <f>IF(N156="Selling pet toys + Artificial grass/Pet toilets (TARGET)",15,IF(N156="Selling artificial grass/pet toilets (TARGET)",10,IF(N156="Selling pet toys",7,IF(N156="There's an Amazon link, but no target sales.",3,0))))</f>
        <v/>
      </c>
      <c r="P156" s="67">
        <f>H156+J156+L156+M156+O156</f>
        <v/>
      </c>
      <c r="Q156" s="70" t="inlineStr">
        <is>
          <t>International / Future Expansion</t>
        </is>
      </c>
      <c r="R156" s="9" t="inlineStr">
        <is>
          <t>Trọn gói Take-Home Starter Kit V2/V3 (Cỏ nhân tạo + Khay Potty + Đồ chơi Teething/Snuggle)</t>
        </is>
      </c>
      <c r="S156" s="9" t="inlineStr">
        <is>
          <t>Gắn cờ International / Future Expansion - Không gọi Telesale giai đoạn 1</t>
        </is>
      </c>
    </row>
    <row r="157">
      <c r="A157" s="53" t="n">
        <v>1877</v>
      </c>
      <c r="B157" s="12" t="inlineStr">
        <is>
          <t>Kennel Da Cova Do Trasno</t>
        </is>
      </c>
      <c r="C157" s="54" t="inlineStr">
        <is>
          <t>https://www.facebook.com/profile.php?id=100076601445207</t>
        </is>
      </c>
      <c r="D157" s="6" t="inlineStr">
        <is>
          <t>Cần quét Bio Fanpage</t>
        </is>
      </c>
      <c r="E157" s="53" t="inlineStr">
        <is>
          <t>27/05/2023 14:09:22</t>
        </is>
      </c>
      <c r="F157" s="53" t="inlineStr">
        <is>
          <t>3 năm trước</t>
        </is>
      </c>
      <c r="G157" s="55" t="n">
        <v>1095</v>
      </c>
      <c r="H157" s="56" t="n">
        <v>0</v>
      </c>
      <c r="I157" s="6" t="inlineStr">
        <is>
          <t>Dog Breeder / Trại chó chuyên nghiệp (28-30đ)</t>
        </is>
      </c>
      <c r="J157" s="56" t="n">
        <v>30</v>
      </c>
      <c r="K157" s="6" t="inlineStr">
        <is>
          <t>Chưa rõ giống (Cần quét Bio)</t>
        </is>
      </c>
      <c r="L157" s="56" t="n">
        <v>0</v>
      </c>
      <c r="M157" s="56" t="n">
        <v>5</v>
      </c>
      <c r="N157" s="6" t="inlineStr">
        <is>
          <t>Amazon link not found</t>
        </is>
      </c>
      <c r="O157" s="56">
        <f>IF(N157="Selling pet toys + Artificial grass/Pet toilets (TARGET)",15,IF(N157="Selling artificial grass/pet toilets (TARGET)",10,IF(N157="Selling pet toys",7,IF(N157="There's an Amazon link, but no target sales.",3,0))))</f>
        <v/>
      </c>
      <c r="P157" s="65">
        <f>H157+J157+L157+M157+O157</f>
        <v/>
      </c>
      <c r="Q157" s="71" t="inlineStr">
        <is>
          <t>International / Future Expansion</t>
        </is>
      </c>
      <c r="R157" s="6" t="inlineStr">
        <is>
          <t>Trọn gói Take-Home Starter Kit V2/V3 (Cỏ nhân tạo + Khay Potty + Đồ chơi Teething/Snuggle)</t>
        </is>
      </c>
      <c r="S157" s="6" t="inlineStr">
        <is>
          <t>Gắn cờ International / Future Expansion - Không gọi Telesale giai đoạn 1</t>
        </is>
      </c>
    </row>
    <row r="158">
      <c r="A158" s="59" t="n">
        <v>386</v>
      </c>
      <c r="B158" s="15" t="inlineStr">
        <is>
          <t>Allevamento Cane da Montagna dei Pirenei kennel</t>
        </is>
      </c>
      <c r="C158" s="60" t="inlineStr">
        <is>
          <t>https://www.facebook.com/guardianodeipirenei</t>
        </is>
      </c>
      <c r="D158" s="9" t="inlineStr">
        <is>
          <t>Cần quét Bio Fanpage</t>
        </is>
      </c>
      <c r="E158" s="59" t="inlineStr">
        <is>
          <t>16/05/2023 02:11:00</t>
        </is>
      </c>
      <c r="F158" s="59" t="inlineStr">
        <is>
          <t>16 Tháng 5, 2023 lúc 02:11</t>
        </is>
      </c>
      <c r="G158" s="61" t="n">
        <v>365</v>
      </c>
      <c r="H158" s="62" t="n">
        <v>0</v>
      </c>
      <c r="I158" s="9" t="inlineStr">
        <is>
          <t>Dog Breeder / Trại chó chuyên nghiệp (28-30đ)</t>
        </is>
      </c>
      <c r="J158" s="62" t="n">
        <v>30</v>
      </c>
      <c r="K158" s="9" t="inlineStr">
        <is>
          <t>Chưa rõ giống (Cần quét Bio)</t>
        </is>
      </c>
      <c r="L158" s="62" t="n">
        <v>0</v>
      </c>
      <c r="M158" s="62" t="n">
        <v>5</v>
      </c>
      <c r="N158" s="9" t="inlineStr">
        <is>
          <t>Amazon link not found</t>
        </is>
      </c>
      <c r="O158" s="62">
        <f>IF(N158="Selling pet toys + Artificial grass/Pet toilets (TARGET)",15,IF(N158="Selling artificial grass/pet toilets (TARGET)",10,IF(N158="Selling pet toys",7,IF(N158="There's an Amazon link, but no target sales.",3,0))))</f>
        <v/>
      </c>
      <c r="P158" s="67">
        <f>H158+J158+L158+M158+O158</f>
        <v/>
      </c>
      <c r="Q158" s="70" t="inlineStr">
        <is>
          <t>International / Future Expansion</t>
        </is>
      </c>
      <c r="R158" s="9" t="inlineStr">
        <is>
          <t>Trọn gói Take-Home Starter Kit V2/V3 (Cỏ nhân tạo + Khay Potty + Đồ chơi Teething/Snuggle)</t>
        </is>
      </c>
      <c r="S158" s="9" t="inlineStr">
        <is>
          <t>Gắn cờ International / Future Expansion - Không gọi Telesale giai đoạn 1</t>
        </is>
      </c>
    </row>
    <row r="159">
      <c r="A159" s="53" t="n">
        <v>3349</v>
      </c>
      <c r="B159" s="12" t="inlineStr">
        <is>
          <t>Von Kopfe Schutzengel Kennels</t>
        </is>
      </c>
      <c r="C159" s="54" t="inlineStr">
        <is>
          <t>https://www.facebook.com/vonkopfeschutzengel</t>
        </is>
      </c>
      <c r="D159" s="6" t="inlineStr">
        <is>
          <t>Cần quét Bio Fanpage</t>
        </is>
      </c>
      <c r="E159" s="53" t="inlineStr">
        <is>
          <t>02/11/2022 06:26:48</t>
        </is>
      </c>
      <c r="F159" s="53" t="inlineStr">
        <is>
          <t>3 năm trước</t>
        </is>
      </c>
      <c r="G159" s="55" t="n">
        <v>1095</v>
      </c>
      <c r="H159" s="56" t="n">
        <v>0</v>
      </c>
      <c r="I159" s="6" t="inlineStr">
        <is>
          <t>Dog Breeder / Trại chó chuyên nghiệp (28-30đ)</t>
        </is>
      </c>
      <c r="J159" s="56" t="n">
        <v>30</v>
      </c>
      <c r="K159" s="6" t="inlineStr">
        <is>
          <t>Chưa rõ giống (Cần quét Bio)</t>
        </is>
      </c>
      <c r="L159" s="56" t="n">
        <v>0</v>
      </c>
      <c r="M159" s="56" t="n">
        <v>5</v>
      </c>
      <c r="N159" s="6" t="inlineStr">
        <is>
          <t>Amazon link not found</t>
        </is>
      </c>
      <c r="O159" s="56">
        <f>IF(N159="Selling pet toys + Artificial grass/Pet toilets (TARGET)",15,IF(N159="Selling artificial grass/pet toilets (TARGET)",10,IF(N159="Selling pet toys",7,IF(N159="There's an Amazon link, but no target sales.",3,0))))</f>
        <v/>
      </c>
      <c r="P159" s="65">
        <f>H159+J159+L159+M159+O159</f>
        <v/>
      </c>
      <c r="Q159" s="71" t="inlineStr">
        <is>
          <t>International / Future Expansion</t>
        </is>
      </c>
      <c r="R159" s="6" t="inlineStr">
        <is>
          <t>Trọn gói Take-Home Starter Kit V2/V3 (Cỏ nhân tạo + Khay Potty + Đồ chơi Teething/Snuggle)</t>
        </is>
      </c>
      <c r="S159" s="6" t="inlineStr">
        <is>
          <t>Gắn cờ International / Future Expansion - Không gọi Telesale giai đoạn 1</t>
        </is>
      </c>
    </row>
    <row r="160">
      <c r="A160" s="59" t="n">
        <v>1205</v>
      </c>
      <c r="B160" s="15" t="inlineStr">
        <is>
          <t>Dogue Del Garda Kennel</t>
        </is>
      </c>
      <c r="C160" s="60" t="inlineStr">
        <is>
          <t>https://www.facebook.com/dogue.delgarda</t>
        </is>
      </c>
      <c r="D160" s="9" t="inlineStr">
        <is>
          <t>Cần quét Bio Fanpage</t>
        </is>
      </c>
      <c r="E160" s="59" t="inlineStr">
        <is>
          <t>14/05/2022 16:03:46</t>
        </is>
      </c>
      <c r="F160" s="59" t="inlineStr">
        <is>
          <t>4 năm trước</t>
        </is>
      </c>
      <c r="G160" s="61" t="n">
        <v>1460</v>
      </c>
      <c r="H160" s="62" t="n">
        <v>0</v>
      </c>
      <c r="I160" s="9" t="inlineStr">
        <is>
          <t>Dog Breeder / Trại chó chuyên nghiệp (28-30đ)</t>
        </is>
      </c>
      <c r="J160" s="62" t="n">
        <v>30</v>
      </c>
      <c r="K160" s="9" t="inlineStr">
        <is>
          <t>Chưa rõ giống (Cần quét Bio)</t>
        </is>
      </c>
      <c r="L160" s="62" t="n">
        <v>0</v>
      </c>
      <c r="M160" s="62" t="n">
        <v>5</v>
      </c>
      <c r="N160" s="9" t="inlineStr">
        <is>
          <t>Amazon link not found</t>
        </is>
      </c>
      <c r="O160" s="62">
        <f>IF(N160="Selling pet toys + Artificial grass/Pet toilets (TARGET)",15,IF(N160="Selling artificial grass/pet toilets (TARGET)",10,IF(N160="Selling pet toys",7,IF(N160="There's an Amazon link, but no target sales.",3,0))))</f>
        <v/>
      </c>
      <c r="P160" s="67">
        <f>H160+J160+L160+M160+O160</f>
        <v/>
      </c>
      <c r="Q160" s="70" t="inlineStr">
        <is>
          <t>International / Future Expansion</t>
        </is>
      </c>
      <c r="R160" s="9" t="inlineStr">
        <is>
          <t>Trọn gói Take-Home Starter Kit V2/V3 (Cỏ nhân tạo + Khay Potty + Đồ chơi Teething/Snuggle)</t>
        </is>
      </c>
      <c r="S160" s="9" t="inlineStr">
        <is>
          <t>Gắn cờ International / Future Expansion - Không gọi Telesale giai đoạn 1</t>
        </is>
      </c>
    </row>
    <row r="161">
      <c r="A161" s="53" t="n">
        <v>2857</v>
      </c>
      <c r="B161" s="12" t="inlineStr">
        <is>
          <t>Sennenhund Rossii kennel</t>
        </is>
      </c>
      <c r="C161" s="54" t="inlineStr">
        <is>
          <t>https://www.facebook.com/SennenhundRossii</t>
        </is>
      </c>
      <c r="D161" s="6" t="inlineStr">
        <is>
          <t>Cần quét Bio Fanpage</t>
        </is>
      </c>
      <c r="E161" s="53" t="inlineStr">
        <is>
          <t>03/01/2021 04:37:32</t>
        </is>
      </c>
      <c r="F161" s="53" t="inlineStr">
        <is>
          <t>5 năm trước</t>
        </is>
      </c>
      <c r="G161" s="55" t="n">
        <v>1825</v>
      </c>
      <c r="H161" s="56" t="n">
        <v>0</v>
      </c>
      <c r="I161" s="6" t="inlineStr">
        <is>
          <t>Dog Breeder / Trại chó chuyên nghiệp (28-30đ)</t>
        </is>
      </c>
      <c r="J161" s="56" t="n">
        <v>30</v>
      </c>
      <c r="K161" s="6" t="inlineStr">
        <is>
          <t>Chưa rõ giống (Cần quét Bio)</t>
        </is>
      </c>
      <c r="L161" s="56" t="n">
        <v>0</v>
      </c>
      <c r="M161" s="56" t="n">
        <v>5</v>
      </c>
      <c r="N161" s="6" t="inlineStr">
        <is>
          <t>Amazon link not found</t>
        </is>
      </c>
      <c r="O161" s="56">
        <f>IF(N161="Selling pet toys + Artificial grass/Pet toilets (TARGET)",15,IF(N161="Selling artificial grass/pet toilets (TARGET)",10,IF(N161="Selling pet toys",7,IF(N161="There's an Amazon link, but no target sales.",3,0))))</f>
        <v/>
      </c>
      <c r="P161" s="65">
        <f>H161+J161+L161+M161+O161</f>
        <v/>
      </c>
      <c r="Q161" s="71" t="inlineStr">
        <is>
          <t>International / Future Expansion</t>
        </is>
      </c>
      <c r="R161" s="6" t="inlineStr">
        <is>
          <t>Trọn gói Take-Home Starter Kit V2/V3 (Cỏ nhân tạo + Khay Potty + Đồ chơi Teething/Snuggle)</t>
        </is>
      </c>
      <c r="S161" s="6" t="inlineStr">
        <is>
          <t>Gắn cờ International / Future Expansion - Không gọi Telesale giai đoạn 1</t>
        </is>
      </c>
    </row>
    <row r="162">
      <c r="A162" s="59" t="n">
        <v>2811</v>
      </c>
      <c r="B162" s="15" t="inlineStr">
        <is>
          <t>Saigola Mastines Del Pirineo Kennel</t>
        </is>
      </c>
      <c r="C162" s="60" t="inlineStr">
        <is>
          <t>https://www.facebook.com/Saigola72</t>
        </is>
      </c>
      <c r="D162" s="9" t="inlineStr">
        <is>
          <t>Cần quét Bio Fanpage</t>
        </is>
      </c>
      <c r="E162" s="59" t="inlineStr">
        <is>
          <t>03/07/2020 15:57:04</t>
        </is>
      </c>
      <c r="F162" s="59" t="inlineStr">
        <is>
          <t>6 năm trước</t>
        </is>
      </c>
      <c r="G162" s="61" t="n">
        <v>2190</v>
      </c>
      <c r="H162" s="62" t="n">
        <v>0</v>
      </c>
      <c r="I162" s="9" t="inlineStr">
        <is>
          <t>Dog Breeder / Trại chó chuyên nghiệp (28-30đ)</t>
        </is>
      </c>
      <c r="J162" s="62" t="n">
        <v>30</v>
      </c>
      <c r="K162" s="9" t="inlineStr">
        <is>
          <t>Chưa rõ giống (Cần quét Bio)</t>
        </is>
      </c>
      <c r="L162" s="62" t="n">
        <v>0</v>
      </c>
      <c r="M162" s="62" t="n">
        <v>5</v>
      </c>
      <c r="N162" s="9" t="inlineStr">
        <is>
          <t>Amazon link not found</t>
        </is>
      </c>
      <c r="O162" s="62">
        <f>IF(N162="Selling pet toys + Artificial grass/Pet toilets (TARGET)",15,IF(N162="Selling artificial grass/pet toilets (TARGET)",10,IF(N162="Selling pet toys",7,IF(N162="There's an Amazon link, but no target sales.",3,0))))</f>
        <v/>
      </c>
      <c r="P162" s="67">
        <f>H162+J162+L162+M162+O162</f>
        <v/>
      </c>
      <c r="Q162" s="70" t="inlineStr">
        <is>
          <t>International / Future Expansion</t>
        </is>
      </c>
      <c r="R162" s="9" t="inlineStr">
        <is>
          <t>Trọn gói Take-Home Starter Kit V2/V3 (Cỏ nhân tạo + Khay Potty + Đồ chơi Teething/Snuggle)</t>
        </is>
      </c>
      <c r="S162" s="9" t="inlineStr">
        <is>
          <t>Gắn cờ International / Future Expansion - Không gọi Telesale giai đoạn 1</t>
        </is>
      </c>
    </row>
    <row r="163">
      <c r="A163" s="53" t="n">
        <v>764</v>
      </c>
      <c r="B163" s="12" t="inlineStr">
        <is>
          <t>Brisbane Valley Farm &amp; Pet</t>
        </is>
      </c>
      <c r="C163" s="54" t="inlineStr">
        <is>
          <t>https://www.facebook.com/profile.php?id=61578161463898</t>
        </is>
      </c>
      <c r="D163" s="6" t="inlineStr">
        <is>
          <t>Cần quét Bio Fanpage</t>
        </is>
      </c>
      <c r="E163" s="53" t="inlineStr">
        <is>
          <t>07/09/2026 14:16:35</t>
        </is>
      </c>
      <c r="F163" s="53" t="inlineStr">
        <is>
          <t>1 tháng trước</t>
        </is>
      </c>
      <c r="G163" s="55" t="n">
        <v>30</v>
      </c>
      <c r="H163" s="56" t="n">
        <v>0</v>
      </c>
      <c r="I163" s="6" t="inlineStr">
        <is>
          <t>Dog Breeder / Trại nhân giống (28-30đ)</t>
        </is>
      </c>
      <c r="J163" s="56" t="n">
        <v>28</v>
      </c>
      <c r="K163" s="6" t="inlineStr">
        <is>
          <t>Chưa rõ giống (Cần quét Bio)</t>
        </is>
      </c>
      <c r="L163" s="56" t="n">
        <v>0</v>
      </c>
      <c r="M163" s="56" t="n">
        <v>5</v>
      </c>
      <c r="N163" s="6" t="inlineStr">
        <is>
          <t>Amazon link not found</t>
        </is>
      </c>
      <c r="O163" s="56">
        <f>IF(N163="Selling pet toys + Artificial grass/Pet toilets (TARGET)",15,IF(N163="Selling artificial grass/pet toilets (TARGET)",10,IF(N163="Selling pet toys",7,IF(N163="There's an Amazon link, but no target sales.",3,0))))</f>
        <v/>
      </c>
      <c r="P163" s="65">
        <f>H163+J163+L163+M163+O163</f>
        <v/>
      </c>
      <c r="Q163" s="71" t="inlineStr">
        <is>
          <t>International / Future Expansion</t>
        </is>
      </c>
      <c r="R163" s="6" t="inlineStr">
        <is>
          <t>Trọn gói Take-Home Starter Kit V2/V3 (Cỏ nhân tạo + Khay Potty + Đồ chơi cún con)</t>
        </is>
      </c>
      <c r="S163" s="6" t="inlineStr">
        <is>
          <t>Gắn cờ International / Future Expansion - Không gọi Telesale giai đoạn 1</t>
        </is>
      </c>
    </row>
    <row r="164">
      <c r="A164" s="59" t="n">
        <v>1269</v>
      </c>
      <c r="B164" s="15" t="inlineStr">
        <is>
          <t>Elevage de berger anglais Bagatelle Old English Sheepdog</t>
        </is>
      </c>
      <c r="C164" s="60" t="inlineStr">
        <is>
          <t>https://www.facebook.com/bagatelleberger</t>
        </is>
      </c>
      <c r="D164" s="9" t="inlineStr">
        <is>
          <t>Cần quét Bio Fanpage</t>
        </is>
      </c>
      <c r="E164" s="59" t="inlineStr">
        <is>
          <t>07/05/2026 22:20:33</t>
        </is>
      </c>
      <c r="F164" s="59" t="inlineStr">
        <is>
          <t>5 tháng trước</t>
        </is>
      </c>
      <c r="G164" s="61" t="n">
        <v>150</v>
      </c>
      <c r="H164" s="62" t="n">
        <v>0</v>
      </c>
      <c r="I164" s="9" t="inlineStr">
        <is>
          <t>Dog Breeder / Trại nhân giống (28-30đ)</t>
        </is>
      </c>
      <c r="J164" s="62" t="n">
        <v>28</v>
      </c>
      <c r="K164" s="9" t="inlineStr">
        <is>
          <t>Australian Shepherd / Herding</t>
        </is>
      </c>
      <c r="L164" s="62" t="n">
        <v>5</v>
      </c>
      <c r="M164" s="62" t="n">
        <v>0</v>
      </c>
      <c r="N164" s="9" t="inlineStr">
        <is>
          <t>Amazon link not found</t>
        </is>
      </c>
      <c r="O164" s="62">
        <f>IF(N164="Selling pet toys + Artificial grass/Pet toilets (TARGET)",15,IF(N164="Selling artificial grass/pet toilets (TARGET)",10,IF(N164="Selling pet toys",7,IF(N164="There's an Amazon link, but no target sales.",3,0))))</f>
        <v/>
      </c>
      <c r="P164" s="67">
        <f>H164+J164+L164+M164+O164</f>
        <v/>
      </c>
      <c r="Q164" s="70" t="inlineStr">
        <is>
          <t>International / Future Expansion</t>
        </is>
      </c>
      <c r="R164" s="9" t="inlineStr">
        <is>
          <t>Trọn gói Take-Home Starter Kit V2/V3 (Cỏ nhân tạo + Khay Potty + Đồ chơi cún con)</t>
        </is>
      </c>
      <c r="S164" s="9" t="inlineStr">
        <is>
          <t>Gắn cờ International / Future Expansion - Không gọi Telesale giai đoạn 1</t>
        </is>
      </c>
    </row>
    <row r="165">
      <c r="A165" s="53" t="n">
        <v>319</v>
      </c>
      <c r="B165" s="12" t="inlineStr">
        <is>
          <t>A/A Bouvier Bernois &amp; Pug</t>
        </is>
      </c>
      <c r="C165" s="54" t="inlineStr">
        <is>
          <t>https://www.facebook.com/admfscebo</t>
        </is>
      </c>
      <c r="D165" s="6" t="inlineStr">
        <is>
          <t>Cần quét Bio Fanpage</t>
        </is>
      </c>
      <c r="E165" s="53" t="inlineStr">
        <is>
          <t>29/10/2025 08:11:18</t>
        </is>
      </c>
      <c r="F165" s="53" t="inlineStr">
        <is>
          <t>11 tháng trước</t>
        </is>
      </c>
      <c r="G165" s="55" t="n">
        <v>330</v>
      </c>
      <c r="H165" s="56" t="n">
        <v>0</v>
      </c>
      <c r="I165" s="6" t="inlineStr">
        <is>
          <t>Dog Breeder / Trại nhân giống (28-30đ)</t>
        </is>
      </c>
      <c r="J165" s="56" t="n">
        <v>28</v>
      </c>
      <c r="K165" s="6" t="inlineStr">
        <is>
          <t>Pug, Bernese Mountain Dog</t>
        </is>
      </c>
      <c r="L165" s="56" t="n">
        <v>5</v>
      </c>
      <c r="M165" s="56" t="n">
        <v>0</v>
      </c>
      <c r="N165" s="6" t="inlineStr">
        <is>
          <t>Amazon link not found</t>
        </is>
      </c>
      <c r="O165" s="56">
        <f>IF(N165="Selling pet toys + Artificial grass/Pet toilets (TARGET)",15,IF(N165="Selling artificial grass/pet toilets (TARGET)",10,IF(N165="Selling pet toys",7,IF(N165="There's an Amazon link, but no target sales.",3,0))))</f>
        <v/>
      </c>
      <c r="P165" s="65">
        <f>H165+J165+L165+M165+O165</f>
        <v/>
      </c>
      <c r="Q165" s="71" t="inlineStr">
        <is>
          <t>International / Future Expansion</t>
        </is>
      </c>
      <c r="R165" s="6" t="inlineStr">
        <is>
          <t>Trọn gói Take-Home Starter Kit V2/V3 (Cỏ nhân tạo + Khay Potty + Đồ chơi cún con)</t>
        </is>
      </c>
      <c r="S165" s="6" t="inlineStr">
        <is>
          <t>Gắn cờ International / Future Expansion - Không gọi Telesale giai đoạn 1</t>
        </is>
      </c>
    </row>
    <row r="166">
      <c r="A166" s="59" t="n">
        <v>748</v>
      </c>
      <c r="B166" s="15" t="inlineStr">
        <is>
          <t>Boxerkennel van het BoksRox</t>
        </is>
      </c>
      <c r="C166" s="60" t="inlineStr">
        <is>
          <t>https://www.facebook.com/boksrox</t>
        </is>
      </c>
      <c r="D166" s="9" t="inlineStr">
        <is>
          <t>Cần quét Bio Fanpage</t>
        </is>
      </c>
      <c r="E166" s="59" t="inlineStr">
        <is>
          <t>03/05/2022 04:12:38</t>
        </is>
      </c>
      <c r="F166" s="59" t="inlineStr">
        <is>
          <t>4 năm trước</t>
        </is>
      </c>
      <c r="G166" s="61" t="n">
        <v>1460</v>
      </c>
      <c r="H166" s="62" t="n">
        <v>0</v>
      </c>
      <c r="I166" s="9" t="inlineStr">
        <is>
          <t>Dog Breeder / Trại nhân giống (28-30đ)</t>
        </is>
      </c>
      <c r="J166" s="62" t="n">
        <v>28</v>
      </c>
      <c r="K166" s="9" t="inlineStr">
        <is>
          <t>Great Dane / Working Giant</t>
        </is>
      </c>
      <c r="L166" s="62" t="n">
        <v>5</v>
      </c>
      <c r="M166" s="62" t="n">
        <v>0</v>
      </c>
      <c r="N166" s="9" t="inlineStr">
        <is>
          <t>Amazon link not found</t>
        </is>
      </c>
      <c r="O166" s="62">
        <f>IF(N166="Selling pet toys + Artificial grass/Pet toilets (TARGET)",15,IF(N166="Selling artificial grass/pet toilets (TARGET)",10,IF(N166="Selling pet toys",7,IF(N166="There's an Amazon link, but no target sales.",3,0))))</f>
        <v/>
      </c>
      <c r="P166" s="67">
        <f>H166+J166+L166+M166+O166</f>
        <v/>
      </c>
      <c r="Q166" s="70" t="inlineStr">
        <is>
          <t>International / Future Expansion</t>
        </is>
      </c>
      <c r="R166" s="9" t="inlineStr">
        <is>
          <t>Trọn gói Take-Home Starter Kit V2/V3 (Cỏ nhân tạo + Khay Potty + Đồ chơi cún con)</t>
        </is>
      </c>
      <c r="S166" s="9" t="inlineStr">
        <is>
          <t>Gắn cờ International / Future Expansion - Không gọi Telesale giai đoạn 1</t>
        </is>
      </c>
    </row>
    <row r="167">
      <c r="A167" s="53" t="n">
        <v>2674</v>
      </c>
      <c r="B167" s="12" t="inlineStr">
        <is>
          <t>Push Puppy косметика для собак</t>
        </is>
      </c>
      <c r="C167" s="54" t="inlineStr">
        <is>
          <t>https://www.facebook.com/profile.php?id=100064149605757</t>
        </is>
      </c>
      <c r="D167" s="6" t="inlineStr">
        <is>
          <t>Cần quét Bio Fanpage</t>
        </is>
      </c>
      <c r="E167" s="53" t="inlineStr">
        <is>
          <t>18/03/2021 15:28:17</t>
        </is>
      </c>
      <c r="F167" s="53" t="inlineStr">
        <is>
          <t>5 năm trước</t>
        </is>
      </c>
      <c r="G167" s="55" t="n">
        <v>1825</v>
      </c>
      <c r="H167" s="56" t="n">
        <v>0</v>
      </c>
      <c r="I167" s="6" t="inlineStr">
        <is>
          <t>Dog Breeder / Trại chó chuyên nghiệp (28-30đ)</t>
        </is>
      </c>
      <c r="J167" s="56" t="n">
        <v>28</v>
      </c>
      <c r="K167" s="6" t="inlineStr">
        <is>
          <t>Chưa rõ giống (Cần quét Bio)</t>
        </is>
      </c>
      <c r="L167" s="56" t="n">
        <v>0</v>
      </c>
      <c r="M167" s="56" t="n">
        <v>5</v>
      </c>
      <c r="N167" s="6" t="inlineStr">
        <is>
          <t>Amazon link not found</t>
        </is>
      </c>
      <c r="O167" s="56">
        <f>IF(N167="Selling pet toys + Artificial grass/Pet toilets (TARGET)",15,IF(N167="Selling artificial grass/pet toilets (TARGET)",10,IF(N167="Selling pet toys",7,IF(N167="There's an Amazon link, but no target sales.",3,0))))</f>
        <v/>
      </c>
      <c r="P167" s="65">
        <f>H167+J167+L167+M167+O167</f>
        <v/>
      </c>
      <c r="Q167" s="71" t="inlineStr">
        <is>
          <t>International / Future Expansion</t>
        </is>
      </c>
      <c r="R167" s="6" t="inlineStr">
        <is>
          <t>Trọn gói Take-Home Starter Kit V2/V3 (Cỏ nhân tạo + Khay Potty + Đồ chơi Teething/Snuggle)</t>
        </is>
      </c>
      <c r="S167" s="6" t="inlineStr">
        <is>
          <t>Gắn cờ International / Future Expansion - Không gọi Telesale giai đoạn 1</t>
        </is>
      </c>
    </row>
    <row r="168">
      <c r="A168" s="59" t="n">
        <v>946</v>
      </c>
      <c r="B168" s="15" t="inlineStr">
        <is>
          <t>Cotonfield Dog Centre</t>
        </is>
      </c>
      <c r="C168" s="60" t="inlineStr">
        <is>
          <t>https://www.facebook.com/CotonfieldDogCentre</t>
        </is>
      </c>
      <c r="D168" s="9" t="inlineStr">
        <is>
          <t>Cần quét Bio Fanpage</t>
        </is>
      </c>
      <c r="E168" s="59" t="inlineStr">
        <is>
          <t>Không tìm thấy bài viết</t>
        </is>
      </c>
      <c r="F168" s="59" t="inlineStr">
        <is>
          <t>Không có bài</t>
        </is>
      </c>
      <c r="G168" s="61" t="n">
        <v>999</v>
      </c>
      <c r="H168" s="62" t="n">
        <v>0</v>
      </c>
      <c r="I168" s="9" t="inlineStr">
        <is>
          <t>Dog Breeder / Trại nhân giống (28-30đ)</t>
        </is>
      </c>
      <c r="J168" s="62" t="n">
        <v>28</v>
      </c>
      <c r="K168" s="9" t="inlineStr">
        <is>
          <t>Chihuahua / Toy Companion</t>
        </is>
      </c>
      <c r="L168" s="62" t="n">
        <v>5</v>
      </c>
      <c r="M168" s="62" t="n">
        <v>0</v>
      </c>
      <c r="N168" s="9" t="inlineStr">
        <is>
          <t>Amazon link not found</t>
        </is>
      </c>
      <c r="O168" s="62">
        <f>IF(N168="Selling pet toys + Artificial grass/Pet toilets (TARGET)",15,IF(N168="Selling artificial grass/pet toilets (TARGET)",10,IF(N168="Selling pet toys",7,IF(N168="There's an Amazon link, but no target sales.",3,0))))</f>
        <v/>
      </c>
      <c r="P168" s="67">
        <f>H168+J168+L168+M168+O168</f>
        <v/>
      </c>
      <c r="Q168" s="70" t="inlineStr">
        <is>
          <t>International / Future Expansion</t>
        </is>
      </c>
      <c r="R168" s="9" t="inlineStr">
        <is>
          <t>Trọn gói Take-Home Starter Kit V2/V3 (Cỏ nhân tạo + Khay Potty + Đồ chơi cún con)</t>
        </is>
      </c>
      <c r="S168" s="9" t="inlineStr">
        <is>
          <t>Gắn cờ International / Future Expansion - Không gọi Telesale giai đoạn 1</t>
        </is>
      </c>
    </row>
    <row r="169">
      <c r="A169" s="53" t="n">
        <v>2125</v>
      </c>
      <c r="B169" s="12" t="inlineStr">
        <is>
          <t>Marlaw Irish Wolfhounds Scotland</t>
        </is>
      </c>
      <c r="C169" s="54" t="inlineStr">
        <is>
          <t>https://www.facebook.com/marlawirishwolfhounds.scotland</t>
        </is>
      </c>
      <c r="D169" s="6" t="inlineStr">
        <is>
          <t>Cần quét Bio Fanpage</t>
        </is>
      </c>
      <c r="E169" s="53" t="inlineStr">
        <is>
          <t>Không tìm thấy bài viết</t>
        </is>
      </c>
      <c r="F169" s="53" t="inlineStr">
        <is>
          <t>Không có bài</t>
        </is>
      </c>
      <c r="G169" s="55" t="n">
        <v>999</v>
      </c>
      <c r="H169" s="56" t="n">
        <v>0</v>
      </c>
      <c r="I169" s="6" t="inlineStr">
        <is>
          <t>Dog Breeder / Trại nhân giống (28-30đ)</t>
        </is>
      </c>
      <c r="J169" s="56" t="n">
        <v>28</v>
      </c>
      <c r="K169" s="6" t="inlineStr">
        <is>
          <t>Hound / Beagle / Basset</t>
        </is>
      </c>
      <c r="L169" s="56" t="n">
        <v>5</v>
      </c>
      <c r="M169" s="56" t="n">
        <v>0</v>
      </c>
      <c r="N169" s="6" t="inlineStr">
        <is>
          <t>Amazon link not found</t>
        </is>
      </c>
      <c r="O169" s="56">
        <f>IF(N169="Selling pet toys + Artificial grass/Pet toilets (TARGET)",15,IF(N169="Selling artificial grass/pet toilets (TARGET)",10,IF(N169="Selling pet toys",7,IF(N169="There's an Amazon link, but no target sales.",3,0))))</f>
        <v/>
      </c>
      <c r="P169" s="65">
        <f>H169+J169+L169+M169+O169</f>
        <v/>
      </c>
      <c r="Q169" s="71" t="inlineStr">
        <is>
          <t>International / Future Expansion</t>
        </is>
      </c>
      <c r="R169" s="6" t="inlineStr">
        <is>
          <t>Trọn gói Take-Home Starter Kit V2/V3 (Cỏ nhân tạo + Khay Potty + Đồ chơi cún con)</t>
        </is>
      </c>
      <c r="S169" s="6" t="inlineStr">
        <is>
          <t>Gắn cờ International / Future Expansion - Không gọi Telesale giai đoạn 1</t>
        </is>
      </c>
    </row>
    <row r="170">
      <c r="A170" s="59" t="n">
        <v>2138</v>
      </c>
      <c r="B170" s="15" t="inlineStr">
        <is>
          <t>MAXI PET România</t>
        </is>
      </c>
      <c r="C170" s="60" t="inlineStr">
        <is>
          <t>https://www.facebook.com/maxipetromania</t>
        </is>
      </c>
      <c r="D170" s="9" t="inlineStr">
        <is>
          <t>Cần quét Bio Fanpage</t>
        </is>
      </c>
      <c r="E170" s="59" t="inlineStr">
        <is>
          <t>07/10/2026 19:12:44</t>
        </is>
      </c>
      <c r="F170" s="59" t="inlineStr">
        <is>
          <t>5 ngày trước</t>
        </is>
      </c>
      <c r="G170" s="61" t="n">
        <v>5</v>
      </c>
      <c r="H170" s="62" t="n">
        <v>20</v>
      </c>
      <c r="I170" s="9" t="inlineStr">
        <is>
          <t>Pet Owner / Cộng đồng nuôi cún (10đ)</t>
        </is>
      </c>
      <c r="J170" s="62" t="n">
        <v>10</v>
      </c>
      <c r="K170" s="9" t="inlineStr">
        <is>
          <t>Chưa rõ giống (Cần quét Bio)</t>
        </is>
      </c>
      <c r="L170" s="62" t="n">
        <v>0</v>
      </c>
      <c r="M170" s="62" t="n">
        <v>0</v>
      </c>
      <c r="N170" s="9" t="inlineStr">
        <is>
          <t>Amazon link not found</t>
        </is>
      </c>
      <c r="O170" s="62">
        <f>IF(N170="Selling pet toys + Artificial grass/Pet toilets (TARGET)",15,IF(N170="Selling artificial grass/pet toilets (TARGET)",10,IF(N170="Selling pet toys",7,IF(N170="There's an Amazon link, but no target sales.",3,0))))</f>
        <v/>
      </c>
      <c r="P170" s="67">
        <f>H170+J170+L170+M170+O170</f>
        <v/>
      </c>
      <c r="Q170" s="70" t="inlineStr">
        <is>
          <t>International / Future Expansion</t>
        </is>
      </c>
      <c r="R170" s="9" t="inlineStr">
        <is>
          <t>Khay vệ sinh chung cư (Indoor Potty) + Thảm cỏ ban công (Grass Patch) + Đồ chơi</t>
        </is>
      </c>
      <c r="S170" s="9" t="inlineStr">
        <is>
          <t>Gắn cờ International / Future Expansion - Không gọi Telesale giai đoạn 1</t>
        </is>
      </c>
    </row>
    <row r="171">
      <c r="A171" s="53" t="n">
        <v>544</v>
      </c>
      <c r="B171" s="12" t="inlineStr">
        <is>
          <t>Astrapi Pet transport Canada and USA</t>
        </is>
      </c>
      <c r="C171" s="54" t="inlineStr">
        <is>
          <t>https://www.facebook.com/profile.php?id=100083450252324</t>
        </is>
      </c>
      <c r="D171" s="6" t="inlineStr">
        <is>
          <t>Cần quét Bio Fanpage</t>
        </is>
      </c>
      <c r="E171" s="53" t="inlineStr">
        <is>
          <t>07/10/2026 08:20:34</t>
        </is>
      </c>
      <c r="F171" s="53" t="inlineStr">
        <is>
          <t>5 ngày trước</t>
        </is>
      </c>
      <c r="G171" s="55" t="n">
        <v>5</v>
      </c>
      <c r="H171" s="56" t="n">
        <v>20</v>
      </c>
      <c r="I171" s="6" t="inlineStr">
        <is>
          <t>Pet Owner / Cộng đồng nuôi cún (10đ)</t>
        </is>
      </c>
      <c r="J171" s="56" t="n">
        <v>10</v>
      </c>
      <c r="K171" s="6" t="inlineStr">
        <is>
          <t>Chưa rõ giống (Cần quét Bio)</t>
        </is>
      </c>
      <c r="L171" s="56" t="n">
        <v>0</v>
      </c>
      <c r="M171" s="56" t="n">
        <v>0</v>
      </c>
      <c r="N171" s="6" t="inlineStr">
        <is>
          <t>Amazon link not found</t>
        </is>
      </c>
      <c r="O171" s="56">
        <f>IF(N171="Selling pet toys + Artificial grass/Pet toilets (TARGET)",15,IF(N171="Selling artificial grass/pet toilets (TARGET)",10,IF(N171="Selling pet toys",7,IF(N171="There's an Amazon link, but no target sales.",3,0))))</f>
        <v/>
      </c>
      <c r="P171" s="65">
        <f>H171+J171+L171+M171+O171</f>
        <v/>
      </c>
      <c r="Q171" s="71" t="inlineStr">
        <is>
          <t>International / Future Expansion</t>
        </is>
      </c>
      <c r="R171" s="6" t="inlineStr">
        <is>
          <t>Khay vệ sinh chung cư (Indoor Potty) + Thảm cỏ ban công (Grass Patch) + Đồ chơi</t>
        </is>
      </c>
      <c r="S171" s="6" t="inlineStr">
        <is>
          <t>Gắn cờ International / Future Expansion - Không gọi Telesale giai đoạn 1</t>
        </is>
      </c>
    </row>
    <row r="172">
      <c r="A172" s="59" t="n">
        <v>1204</v>
      </c>
      <c r="B172" s="15" t="inlineStr">
        <is>
          <t>Dogue de Bordeaux LOF "Du Chant Du Cœur "</t>
        </is>
      </c>
      <c r="C172" s="60" t="inlineStr">
        <is>
          <t>https://www.facebook.com/profile.php?id=100064633695952</t>
        </is>
      </c>
      <c r="D172" s="9" t="inlineStr">
        <is>
          <t>Cần quét Bio Fanpage</t>
        </is>
      </c>
      <c r="E172" s="59" t="inlineStr">
        <is>
          <t>06/10/2026 16:52:14</t>
        </is>
      </c>
      <c r="F172" s="59" t="inlineStr">
        <is>
          <t>6 ngày trước</t>
        </is>
      </c>
      <c r="G172" s="61" t="n">
        <v>6</v>
      </c>
      <c r="H172" s="62" t="n">
        <v>20</v>
      </c>
      <c r="I172" s="9" t="inlineStr">
        <is>
          <t>Pet Owner / Cộng đồng nuôi cún (10đ)</t>
        </is>
      </c>
      <c r="J172" s="62" t="n">
        <v>10</v>
      </c>
      <c r="K172" s="9" t="inlineStr">
        <is>
          <t>Chưa rõ giống (Cần quét Bio)</t>
        </is>
      </c>
      <c r="L172" s="62" t="n">
        <v>0</v>
      </c>
      <c r="M172" s="62" t="n">
        <v>0</v>
      </c>
      <c r="N172" s="9" t="inlineStr">
        <is>
          <t>Amazon link not found</t>
        </is>
      </c>
      <c r="O172" s="62">
        <f>IF(N172="Selling pet toys + Artificial grass/Pet toilets (TARGET)",15,IF(N172="Selling artificial grass/pet toilets (TARGET)",10,IF(N172="Selling pet toys",7,IF(N172="There's an Amazon link, but no target sales.",3,0))))</f>
        <v/>
      </c>
      <c r="P172" s="67">
        <f>H172+J172+L172+M172+O172</f>
        <v/>
      </c>
      <c r="Q172" s="70" t="inlineStr">
        <is>
          <t>International / Future Expansion</t>
        </is>
      </c>
      <c r="R172" s="9" t="inlineStr">
        <is>
          <t>Khay vệ sinh chung cư (Indoor Potty) + Thảm cỏ ban công (Grass Patch) + Đồ chơi</t>
        </is>
      </c>
      <c r="S172" s="9" t="inlineStr">
        <is>
          <t>Gắn cờ International / Future Expansion - Không gọi Telesale giai đoạn 1</t>
        </is>
      </c>
    </row>
    <row r="173">
      <c r="A173" s="53" t="n">
        <v>556</v>
      </c>
      <c r="B173" s="12" t="inlineStr">
        <is>
          <t>Aumigas do Pet</t>
        </is>
      </c>
      <c r="C173" s="54" t="inlineStr">
        <is>
          <t>https://www.facebook.com/aumigasdopet</t>
        </is>
      </c>
      <c r="D173" s="6" t="inlineStr">
        <is>
          <t>Cần quét Bio Fanpage</t>
        </is>
      </c>
      <c r="E173" s="53" t="inlineStr">
        <is>
          <t>05/10/2026 20:54:52</t>
        </is>
      </c>
      <c r="F173" s="53" t="inlineStr">
        <is>
          <t>1 tuần trước</t>
        </is>
      </c>
      <c r="G173" s="55" t="n">
        <v>7</v>
      </c>
      <c r="H173" s="56" t="n">
        <v>20</v>
      </c>
      <c r="I173" s="6" t="inlineStr">
        <is>
          <t>Pet Owner / Cộng đồng nuôi cún (10đ)</t>
        </is>
      </c>
      <c r="J173" s="56" t="n">
        <v>10</v>
      </c>
      <c r="K173" s="6" t="inlineStr">
        <is>
          <t>Chưa rõ giống (Cần quét Bio)</t>
        </is>
      </c>
      <c r="L173" s="56" t="n">
        <v>0</v>
      </c>
      <c r="M173" s="56" t="n">
        <v>0</v>
      </c>
      <c r="N173" s="6" t="inlineStr">
        <is>
          <t>Amazon link not found</t>
        </is>
      </c>
      <c r="O173" s="56">
        <f>IF(N173="Selling pet toys + Artificial grass/Pet toilets (TARGET)",15,IF(N173="Selling artificial grass/pet toilets (TARGET)",10,IF(N173="Selling pet toys",7,IF(N173="There's an Amazon link, but no target sales.",3,0))))</f>
        <v/>
      </c>
      <c r="P173" s="65">
        <f>H173+J173+L173+M173+O173</f>
        <v/>
      </c>
      <c r="Q173" s="71" t="inlineStr">
        <is>
          <t>International / Future Expansion</t>
        </is>
      </c>
      <c r="R173" s="6" t="inlineStr">
        <is>
          <t>Khay vệ sinh chung cư (Indoor Potty) + Thảm cỏ ban công (Grass Patch) + Đồ chơi</t>
        </is>
      </c>
      <c r="S173" s="6" t="inlineStr">
        <is>
          <t>Gắn cờ International / Future Expansion - Không gọi Telesale giai đoạn 1</t>
        </is>
      </c>
    </row>
    <row r="174">
      <c r="A174" s="59" t="n">
        <v>2441</v>
      </c>
      <c r="B174" s="15" t="inlineStr">
        <is>
          <t>PET ART Romania</t>
        </is>
      </c>
      <c r="C174" s="60" t="inlineStr">
        <is>
          <t>https://www.facebook.com/PetArtRomania</t>
        </is>
      </c>
      <c r="D174" s="9" t="inlineStr">
        <is>
          <t>Cần quét Bio Fanpage</t>
        </is>
      </c>
      <c r="E174" s="59" t="inlineStr">
        <is>
          <t>05/10/2026 15:41:34</t>
        </is>
      </c>
      <c r="F174" s="59" t="inlineStr">
        <is>
          <t>1 tuần trước</t>
        </is>
      </c>
      <c r="G174" s="61" t="n">
        <v>7</v>
      </c>
      <c r="H174" s="62" t="n">
        <v>20</v>
      </c>
      <c r="I174" s="9" t="inlineStr">
        <is>
          <t>Pet Owner / Cộng đồng nuôi cún (10đ)</t>
        </is>
      </c>
      <c r="J174" s="62" t="n">
        <v>10</v>
      </c>
      <c r="K174" s="9" t="inlineStr">
        <is>
          <t>Chưa rõ giống (Cần quét Bio)</t>
        </is>
      </c>
      <c r="L174" s="62" t="n">
        <v>0</v>
      </c>
      <c r="M174" s="62" t="n">
        <v>0</v>
      </c>
      <c r="N174" s="9" t="inlineStr">
        <is>
          <t>Amazon link not found</t>
        </is>
      </c>
      <c r="O174" s="62">
        <f>IF(N174="Selling pet toys + Artificial grass/Pet toilets (TARGET)",15,IF(N174="Selling artificial grass/pet toilets (TARGET)",10,IF(N174="Selling pet toys",7,IF(N174="There's an Amazon link, but no target sales.",3,0))))</f>
        <v/>
      </c>
      <c r="P174" s="67">
        <f>H174+J174+L174+M174+O174</f>
        <v/>
      </c>
      <c r="Q174" s="70" t="inlineStr">
        <is>
          <t>International / Future Expansion</t>
        </is>
      </c>
      <c r="R174" s="9" t="inlineStr">
        <is>
          <t>Khay vệ sinh chung cư (Indoor Potty) + Thảm cỏ ban công (Grass Patch) + Đồ chơi</t>
        </is>
      </c>
      <c r="S174" s="9" t="inlineStr">
        <is>
          <t>Gắn cờ International / Future Expansion - Không gọi Telesale giai đoạn 1</t>
        </is>
      </c>
    </row>
    <row r="175">
      <c r="A175" s="53" t="n">
        <v>2529</v>
      </c>
      <c r="B175" s="12" t="inlineStr">
        <is>
          <t>Petra Mladen Modrušan  (vom Hause Edelstein)</t>
        </is>
      </c>
      <c r="C175" s="54" t="inlineStr">
        <is>
          <t>https://www.facebook.com/hause.edelstein</t>
        </is>
      </c>
      <c r="D175" s="6" t="inlineStr">
        <is>
          <t>Cần quét Bio Fanpage</t>
        </is>
      </c>
      <c r="E175" s="53" t="inlineStr">
        <is>
          <t>04/10/2026 01:16:38</t>
        </is>
      </c>
      <c r="F175" s="53" t="inlineStr">
        <is>
          <t>1 tuần trước</t>
        </is>
      </c>
      <c r="G175" s="55" t="n">
        <v>7</v>
      </c>
      <c r="H175" s="56" t="n">
        <v>20</v>
      </c>
      <c r="I175" s="6" t="inlineStr">
        <is>
          <t>Pet Owner / Cộng đồng nuôi cún (10đ)</t>
        </is>
      </c>
      <c r="J175" s="56" t="n">
        <v>10</v>
      </c>
      <c r="K175" s="6" t="inlineStr">
        <is>
          <t>Chưa rõ giống (Cần quét Bio)</t>
        </is>
      </c>
      <c r="L175" s="56" t="n">
        <v>0</v>
      </c>
      <c r="M175" s="56" t="n">
        <v>0</v>
      </c>
      <c r="N175" s="6" t="inlineStr">
        <is>
          <t>Amazon link not found</t>
        </is>
      </c>
      <c r="O175" s="56">
        <f>IF(N175="Selling pet toys + Artificial grass/Pet toilets (TARGET)",15,IF(N175="Selling artificial grass/pet toilets (TARGET)",10,IF(N175="Selling pet toys",7,IF(N175="There's an Amazon link, but no target sales.",3,0))))</f>
        <v/>
      </c>
      <c r="P175" s="65">
        <f>H175+J175+L175+M175+O175</f>
        <v/>
      </c>
      <c r="Q175" s="71" t="inlineStr">
        <is>
          <t>International / Future Expansion</t>
        </is>
      </c>
      <c r="R175" s="6" t="inlineStr">
        <is>
          <t>Khay vệ sinh chung cư (Indoor Potty) + Thảm cỏ ban công (Grass Patch) + Đồ chơi</t>
        </is>
      </c>
      <c r="S175" s="6" t="inlineStr">
        <is>
          <t>Gắn cờ International / Future Expansion - Không gọi Telesale giai đoạn 1</t>
        </is>
      </c>
    </row>
    <row r="176">
      <c r="A176" s="59" t="n">
        <v>2223</v>
      </c>
      <c r="B176" s="15" t="inlineStr">
        <is>
          <t>Move My Pets Australia</t>
        </is>
      </c>
      <c r="C176" s="60" t="inlineStr">
        <is>
          <t>https://www.facebook.com/profile.php?id=100057165831282</t>
        </is>
      </c>
      <c r="D176" s="9" t="inlineStr">
        <is>
          <t>Cần quét Bio Fanpage</t>
        </is>
      </c>
      <c r="E176" s="59" t="inlineStr">
        <is>
          <t>03/10/2026 17:08:31</t>
        </is>
      </c>
      <c r="F176" s="59" t="inlineStr">
        <is>
          <t>1 tuần trước</t>
        </is>
      </c>
      <c r="G176" s="61" t="n">
        <v>7</v>
      </c>
      <c r="H176" s="62" t="n">
        <v>20</v>
      </c>
      <c r="I176" s="9" t="inlineStr">
        <is>
          <t>Pet Owner / Cộng đồng nuôi cún (10đ)</t>
        </is>
      </c>
      <c r="J176" s="62" t="n">
        <v>10</v>
      </c>
      <c r="K176" s="9" t="inlineStr">
        <is>
          <t>Chưa rõ giống (Cần quét Bio)</t>
        </is>
      </c>
      <c r="L176" s="62" t="n">
        <v>0</v>
      </c>
      <c r="M176" s="62" t="n">
        <v>0</v>
      </c>
      <c r="N176" s="9" t="inlineStr">
        <is>
          <t>Amazon link not found</t>
        </is>
      </c>
      <c r="O176" s="62">
        <f>IF(N176="Selling pet toys + Artificial grass/Pet toilets (TARGET)",15,IF(N176="Selling artificial grass/pet toilets (TARGET)",10,IF(N176="Selling pet toys",7,IF(N176="There's an Amazon link, but no target sales.",3,0))))</f>
        <v/>
      </c>
      <c r="P176" s="67">
        <f>H176+J176+L176+M176+O176</f>
        <v/>
      </c>
      <c r="Q176" s="70" t="inlineStr">
        <is>
          <t>International / Future Expansion</t>
        </is>
      </c>
      <c r="R176" s="9" t="inlineStr">
        <is>
          <t>Khay vệ sinh chung cư (Indoor Potty) + Thảm cỏ ban công (Grass Patch) + Đồ chơi</t>
        </is>
      </c>
      <c r="S176" s="9" t="inlineStr">
        <is>
          <t>Gắn cờ International / Future Expansion - Không gọi Telesale giai đoạn 1</t>
        </is>
      </c>
    </row>
    <row r="177">
      <c r="A177" s="53" t="n">
        <v>2687</v>
      </c>
      <c r="B177" s="12" t="inlineStr">
        <is>
          <t>Ragdoll chatterie des petits museaux</t>
        </is>
      </c>
      <c r="C177" s="54" t="inlineStr">
        <is>
          <t>https://www.facebook.com/chatteriedespetitsmuseaux</t>
        </is>
      </c>
      <c r="D177" s="6" t="inlineStr">
        <is>
          <t>Cần quét Bio Fanpage</t>
        </is>
      </c>
      <c r="E177" s="53" t="inlineStr">
        <is>
          <t>02/10/2026 22:20:58</t>
        </is>
      </c>
      <c r="F177" s="53" t="inlineStr">
        <is>
          <t>1 tuần trước</t>
        </is>
      </c>
      <c r="G177" s="55" t="n">
        <v>7</v>
      </c>
      <c r="H177" s="56" t="n">
        <v>20</v>
      </c>
      <c r="I177" s="6" t="inlineStr">
        <is>
          <t>Pet Owner / Cộng đồng nuôi cún (10đ)</t>
        </is>
      </c>
      <c r="J177" s="56" t="n">
        <v>10</v>
      </c>
      <c r="K177" s="6" t="inlineStr">
        <is>
          <t>Chưa rõ giống (Cần quét Bio)</t>
        </is>
      </c>
      <c r="L177" s="56" t="n">
        <v>0</v>
      </c>
      <c r="M177" s="56" t="n">
        <v>0</v>
      </c>
      <c r="N177" s="6" t="inlineStr">
        <is>
          <t>Amazon link not found</t>
        </is>
      </c>
      <c r="O177" s="56">
        <f>IF(N177="Selling pet toys + Artificial grass/Pet toilets (TARGET)",15,IF(N177="Selling artificial grass/pet toilets (TARGET)",10,IF(N177="Selling pet toys",7,IF(N177="There's an Amazon link, but no target sales.",3,0))))</f>
        <v/>
      </c>
      <c r="P177" s="65">
        <f>H177+J177+L177+M177+O177</f>
        <v/>
      </c>
      <c r="Q177" s="71" t="inlineStr">
        <is>
          <t>International / Future Expansion</t>
        </is>
      </c>
      <c r="R177" s="6" t="inlineStr">
        <is>
          <t>Khay vệ sinh chung cư (Indoor Potty) + Thảm cỏ ban công (Grass Patch) + Đồ chơi</t>
        </is>
      </c>
      <c r="S177" s="6" t="inlineStr">
        <is>
          <t>Gắn cờ International / Future Expansion - Không gọi Telesale giai đoạn 1</t>
        </is>
      </c>
    </row>
    <row r="178">
      <c r="A178" s="59" t="n">
        <v>3203</v>
      </c>
      <c r="B178" s="15" t="inlineStr">
        <is>
          <t>Toilettage Dogswell</t>
        </is>
      </c>
      <c r="C178" s="60" t="inlineStr">
        <is>
          <t>https://www.facebook.com/profile.php?id=61553860357939</t>
        </is>
      </c>
      <c r="D178" s="9" t="inlineStr">
        <is>
          <t>Cần quét Bio Fanpage</t>
        </is>
      </c>
      <c r="E178" s="59" t="inlineStr">
        <is>
          <t>29/09/2026 20:02:33</t>
        </is>
      </c>
      <c r="F178" s="59" t="inlineStr">
        <is>
          <t>1 tuần trước</t>
        </is>
      </c>
      <c r="G178" s="61" t="n">
        <v>7</v>
      </c>
      <c r="H178" s="62" t="n">
        <v>20</v>
      </c>
      <c r="I178" s="9" t="inlineStr">
        <is>
          <t>Pet Owner / Cộng đồng nuôi cún (10đ)</t>
        </is>
      </c>
      <c r="J178" s="62" t="n">
        <v>10</v>
      </c>
      <c r="K178" s="9" t="inlineStr">
        <is>
          <t>Chưa rõ giống (Cần quét Bio)</t>
        </is>
      </c>
      <c r="L178" s="62" t="n">
        <v>0</v>
      </c>
      <c r="M178" s="62" t="n">
        <v>0</v>
      </c>
      <c r="N178" s="9" t="inlineStr">
        <is>
          <t>Amazon link not found</t>
        </is>
      </c>
      <c r="O178" s="62">
        <f>IF(N178="Selling pet toys + Artificial grass/Pet toilets (TARGET)",15,IF(N178="Selling artificial grass/pet toilets (TARGET)",10,IF(N178="Selling pet toys",7,IF(N178="There's an Amazon link, but no target sales.",3,0))))</f>
        <v/>
      </c>
      <c r="P178" s="67">
        <f>H178+J178+L178+M178+O178</f>
        <v/>
      </c>
      <c r="Q178" s="70" t="inlineStr">
        <is>
          <t>International / Future Expansion</t>
        </is>
      </c>
      <c r="R178" s="9" t="inlineStr">
        <is>
          <t>Khay vệ sinh chung cư (Indoor Potty) + Thảm cỏ ban công (Grass Patch) + Đồ chơi</t>
        </is>
      </c>
      <c r="S178" s="9" t="inlineStr">
        <is>
          <t>Gắn cờ International / Future Expansion - Không gọi Telesale giai đoạn 1</t>
        </is>
      </c>
    </row>
    <row r="179">
      <c r="A179" s="53" t="n">
        <v>3208</v>
      </c>
      <c r="B179" s="12" t="inlineStr">
        <is>
          <t>Top Dog Center Aleksandra Szydłowska</t>
        </is>
      </c>
      <c r="C179" s="54" t="inlineStr">
        <is>
          <t>https://www.facebook.com/TopDogCenterA.Szydlowska</t>
        </is>
      </c>
      <c r="D179" s="6" t="inlineStr">
        <is>
          <t>Cần quét Bio Fanpage</t>
        </is>
      </c>
      <c r="E179" s="53" t="inlineStr">
        <is>
          <t>27/10/2025 14:33:35</t>
        </is>
      </c>
      <c r="F179" s="53" t="inlineStr">
        <is>
          <t>11 tháng trước</t>
        </is>
      </c>
      <c r="G179" s="55" t="n">
        <v>330</v>
      </c>
      <c r="H179" s="56" t="n">
        <v>0</v>
      </c>
      <c r="I179" s="6" t="inlineStr">
        <is>
          <t>Pet Boarding / Huấn luyện K9 &amp; Dịch vụ (20-22đ)</t>
        </is>
      </c>
      <c r="J179" s="56" t="n">
        <v>22</v>
      </c>
      <c r="K179" s="6" t="inlineStr">
        <is>
          <t>Chưa rõ giống (Cần quét Bio)</t>
        </is>
      </c>
      <c r="L179" s="56" t="n">
        <v>0</v>
      </c>
      <c r="M179" s="56" t="n">
        <v>5</v>
      </c>
      <c r="N179" s="6" t="inlineStr">
        <is>
          <t>Amazon link not found</t>
        </is>
      </c>
      <c r="O179" s="56">
        <f>IF(N179="Selling pet toys + Artificial grass/Pet toilets (TARGET)",15,IF(N179="Selling artificial grass/pet toilets (TARGET)",10,IF(N179="Selling pet toys",7,IF(N179="There's an Amazon link, but no target sales.",3,0))))</f>
        <v/>
      </c>
      <c r="P179" s="65">
        <f>H179+J179+L179+M179+O179</f>
        <v/>
      </c>
      <c r="Q179" s="71" t="inlineStr">
        <is>
          <t>International / Future Expansion</t>
        </is>
      </c>
      <c r="R179" s="6" t="inlineStr">
        <is>
          <t>Cỏ nhân tạo sân chơi/huấn luyện (Dog Turf) + Đồ chơi nhai chịu lực (KONG/Chew Toys)</t>
        </is>
      </c>
      <c r="S179" s="6" t="inlineStr">
        <is>
          <t>Gắn cờ International / Future Expansion - Không gọi Telesale giai đoạn 1</t>
        </is>
      </c>
    </row>
    <row r="180">
      <c r="A180" s="59" t="n">
        <v>1282</v>
      </c>
      <c r="B180" s="15" t="inlineStr">
        <is>
          <t>Emmi-Pet Toothbrush UK.</t>
        </is>
      </c>
      <c r="C180" s="60" t="inlineStr">
        <is>
          <t>https://www.facebook.com/EMMIPETTOOTHBRUSHLADYKARENCHAPMAN</t>
        </is>
      </c>
      <c r="D180" s="9" t="inlineStr">
        <is>
          <t>Cần quét Bio Fanpage</t>
        </is>
      </c>
      <c r="E180" s="59" t="inlineStr">
        <is>
          <t>28/09/2026 17:10:35</t>
        </is>
      </c>
      <c r="F180" s="59" t="inlineStr">
        <is>
          <t>2 tuần trước</t>
        </is>
      </c>
      <c r="G180" s="61" t="n">
        <v>14</v>
      </c>
      <c r="H180" s="62" t="n">
        <v>15</v>
      </c>
      <c r="I180" s="9" t="inlineStr">
        <is>
          <t>Pet Owner / Cộng đồng nuôi cún (10đ)</t>
        </is>
      </c>
      <c r="J180" s="62" t="n">
        <v>10</v>
      </c>
      <c r="K180" s="9" t="inlineStr">
        <is>
          <t>Chưa rõ giống (Cần quét Bio)</t>
        </is>
      </c>
      <c r="L180" s="62" t="n">
        <v>0</v>
      </c>
      <c r="M180" s="62" t="n">
        <v>0</v>
      </c>
      <c r="N180" s="9" t="inlineStr">
        <is>
          <t>Amazon link not found</t>
        </is>
      </c>
      <c r="O180" s="62">
        <f>IF(N180="Selling pet toys + Artificial grass/Pet toilets (TARGET)",15,IF(N180="Selling artificial grass/pet toilets (TARGET)",10,IF(N180="Selling pet toys",7,IF(N180="There's an Amazon link, but no target sales.",3,0))))</f>
        <v/>
      </c>
      <c r="P180" s="67">
        <f>H180+J180+L180+M180+O180</f>
        <v/>
      </c>
      <c r="Q180" s="70" t="inlineStr">
        <is>
          <t>International / Future Expansion</t>
        </is>
      </c>
      <c r="R180" s="9" t="inlineStr">
        <is>
          <t>Khay vệ sinh chung cư (Indoor Potty) + Thảm cỏ ban công (Grass Patch) + Đồ chơi</t>
        </is>
      </c>
      <c r="S180" s="9" t="inlineStr">
        <is>
          <t>Gắn cờ International / Future Expansion - Không gọi Telesale giai đoạn 1</t>
        </is>
      </c>
    </row>
    <row r="181">
      <c r="A181" s="53" t="n">
        <v>2408</v>
      </c>
      <c r="B181" s="12" t="inlineStr">
        <is>
          <t>Pawfè - Pet Friendly Cafe, คาเฟ่สัตว์เลี้ยงเข้าได้</t>
        </is>
      </c>
      <c r="C181" s="54" t="inlineStr">
        <is>
          <t>https://www.facebook.com/profile.php?id=61572486785956</t>
        </is>
      </c>
      <c r="D181" s="6" t="inlineStr">
        <is>
          <t>Cần quét Bio Fanpage</t>
        </is>
      </c>
      <c r="E181" s="53" t="inlineStr">
        <is>
          <t>28/09/2026 09:00:58</t>
        </is>
      </c>
      <c r="F181" s="53" t="inlineStr">
        <is>
          <t>2 tuần trước</t>
        </is>
      </c>
      <c r="G181" s="55" t="n">
        <v>14</v>
      </c>
      <c r="H181" s="56" t="n">
        <v>15</v>
      </c>
      <c r="I181" s="6" t="inlineStr">
        <is>
          <t>Pet Owner / Cộng đồng nuôi cún (10đ)</t>
        </is>
      </c>
      <c r="J181" s="56" t="n">
        <v>10</v>
      </c>
      <c r="K181" s="6" t="inlineStr">
        <is>
          <t>Chưa rõ giống (Cần quét Bio)</t>
        </is>
      </c>
      <c r="L181" s="56" t="n">
        <v>0</v>
      </c>
      <c r="M181" s="56" t="n">
        <v>0</v>
      </c>
      <c r="N181" s="6" t="inlineStr">
        <is>
          <t>Amazon link not found</t>
        </is>
      </c>
      <c r="O181" s="56">
        <f>IF(N181="Selling pet toys + Artificial grass/Pet toilets (TARGET)",15,IF(N181="Selling artificial grass/pet toilets (TARGET)",10,IF(N181="Selling pet toys",7,IF(N181="There's an Amazon link, but no target sales.",3,0))))</f>
        <v/>
      </c>
      <c r="P181" s="65">
        <f>H181+J181+L181+M181+O181</f>
        <v/>
      </c>
      <c r="Q181" s="71" t="inlineStr">
        <is>
          <t>International / Future Expansion</t>
        </is>
      </c>
      <c r="R181" s="6" t="inlineStr">
        <is>
          <t>Khay vệ sinh chung cư (Indoor Potty) + Thảm cỏ ban công (Grass Patch) + Đồ chơi</t>
        </is>
      </c>
      <c r="S181" s="6" t="inlineStr">
        <is>
          <t>Gắn cờ International / Future Expansion - Không gọi Telesale giai đoạn 1</t>
        </is>
      </c>
    </row>
    <row r="182">
      <c r="A182" s="59" t="n">
        <v>2343</v>
      </c>
      <c r="B182" s="15" t="inlineStr">
        <is>
          <t>Oh My Dog - éducateur canin Nantes</t>
        </is>
      </c>
      <c r="C182" s="60" t="inlineStr">
        <is>
          <t>https://www.facebook.com/ohmydog44</t>
        </is>
      </c>
      <c r="D182" s="9" t="inlineStr">
        <is>
          <t>Cần quét Bio Fanpage</t>
        </is>
      </c>
      <c r="E182" s="59" t="inlineStr">
        <is>
          <t>22/09/2026 15:11:49</t>
        </is>
      </c>
      <c r="F182" s="59" t="inlineStr">
        <is>
          <t>2 tuần trước</t>
        </is>
      </c>
      <c r="G182" s="61" t="n">
        <v>14</v>
      </c>
      <c r="H182" s="62" t="n">
        <v>15</v>
      </c>
      <c r="I182" s="9" t="inlineStr">
        <is>
          <t>Pet Owner / Cộng đồng nuôi cún (10đ)</t>
        </is>
      </c>
      <c r="J182" s="62" t="n">
        <v>10</v>
      </c>
      <c r="K182" s="9" t="inlineStr">
        <is>
          <t>Chưa rõ giống (Cần quét Bio)</t>
        </is>
      </c>
      <c r="L182" s="62" t="n">
        <v>0</v>
      </c>
      <c r="M182" s="62" t="n">
        <v>0</v>
      </c>
      <c r="N182" s="9" t="inlineStr">
        <is>
          <t>Amazon link not found</t>
        </is>
      </c>
      <c r="O182" s="62">
        <f>IF(N182="Selling pet toys + Artificial grass/Pet toilets (TARGET)",15,IF(N182="Selling artificial grass/pet toilets (TARGET)",10,IF(N182="Selling pet toys",7,IF(N182="There's an Amazon link, but no target sales.",3,0))))</f>
        <v/>
      </c>
      <c r="P182" s="67">
        <f>H182+J182+L182+M182+O182</f>
        <v/>
      </c>
      <c r="Q182" s="70" t="inlineStr">
        <is>
          <t>International / Future Expansion</t>
        </is>
      </c>
      <c r="R182" s="9" t="inlineStr">
        <is>
          <t>Khay vệ sinh chung cư (Indoor Potty) + Thảm cỏ ban công (Grass Patch) + Đồ chơi</t>
        </is>
      </c>
      <c r="S182" s="9" t="inlineStr">
        <is>
          <t>Gắn cờ International / Future Expansion - Không gọi Telesale giai đoạn 1</t>
        </is>
      </c>
    </row>
    <row r="183">
      <c r="A183" s="53" t="n">
        <v>2948</v>
      </c>
      <c r="B183" s="12" t="inlineStr">
        <is>
          <t>South West Scotland Gundog Association Show</t>
        </is>
      </c>
      <c r="C183" s="54" t="inlineStr">
        <is>
          <t>https://www.facebook.com/SouthWestScotlandGundogAssociationShow</t>
        </is>
      </c>
      <c r="D183" s="6" t="inlineStr">
        <is>
          <t>Cần quét Bio Fanpage</t>
        </is>
      </c>
      <c r="E183" s="53" t="inlineStr">
        <is>
          <t>11/09/2026 15:39:56</t>
        </is>
      </c>
      <c r="F183" s="53" t="inlineStr">
        <is>
          <t>1 tháng trước</t>
        </is>
      </c>
      <c r="G183" s="55" t="n">
        <v>30</v>
      </c>
      <c r="H183" s="56" t="n">
        <v>0</v>
      </c>
      <c r="I183" s="6" t="inlineStr">
        <is>
          <t>Pet Boarding / Huấn luyện K9 &amp; Dịch vụ (20-22đ)</t>
        </is>
      </c>
      <c r="J183" s="56" t="n">
        <v>20</v>
      </c>
      <c r="K183" s="6" t="inlineStr">
        <is>
          <t>Spaniel / Gun Dog / Retriever</t>
        </is>
      </c>
      <c r="L183" s="56" t="n">
        <v>5</v>
      </c>
      <c r="M183" s="56" t="n">
        <v>0</v>
      </c>
      <c r="N183" s="6" t="inlineStr">
        <is>
          <t>Amazon link not found</t>
        </is>
      </c>
      <c r="O183" s="56">
        <f>IF(N183="Selling pet toys + Artificial grass/Pet toilets (TARGET)",15,IF(N183="Selling artificial grass/pet toilets (TARGET)",10,IF(N183="Selling pet toys",7,IF(N183="There's an Amazon link, but no target sales.",3,0))))</f>
        <v/>
      </c>
      <c r="P183" s="65">
        <f>H183+J183+L183+M183+O183</f>
        <v/>
      </c>
      <c r="Q183" s="71" t="inlineStr">
        <is>
          <t>International / Future Expansion</t>
        </is>
      </c>
      <c r="R183" s="6" t="inlineStr">
        <is>
          <t>Cỏ nhân tạo sân chơi/huấn luyện (Dog Turf) + Đồ chơi nhai chịu lực (KONG/Chew Toys)</t>
        </is>
      </c>
      <c r="S183" s="6" t="inlineStr">
        <is>
          <t>Gắn cờ International / Future Expansion - Không gọi Telesale giai đoạn 1</t>
        </is>
      </c>
    </row>
    <row r="184">
      <c r="A184" s="59" t="n">
        <v>681</v>
      </c>
      <c r="B184" s="15" t="inlineStr">
        <is>
          <t>Birmingham &amp; District Gundog &amp; Terrier Club</t>
        </is>
      </c>
      <c r="C184" s="60" t="inlineStr">
        <is>
          <t>https://www.facebook.com/bgandt</t>
        </is>
      </c>
      <c r="D184" s="9" t="inlineStr">
        <is>
          <t>Cần quét Bio Fanpage</t>
        </is>
      </c>
      <c r="E184" s="59" t="inlineStr">
        <is>
          <t>01/10/2025 06:17:28</t>
        </is>
      </c>
      <c r="F184" s="59" t="inlineStr">
        <is>
          <t>1 năm trước</t>
        </is>
      </c>
      <c r="G184" s="61" t="n">
        <v>365</v>
      </c>
      <c r="H184" s="62" t="n">
        <v>0</v>
      </c>
      <c r="I184" s="9" t="inlineStr">
        <is>
          <t>Pet Boarding / Huấn luyện K9 &amp; Dịch vụ (20-22đ)</t>
        </is>
      </c>
      <c r="J184" s="62" t="n">
        <v>20</v>
      </c>
      <c r="K184" s="9" t="inlineStr">
        <is>
          <t>Terrier (Jack Russell/Yorkie/Boston/Staffy), Spaniel / Gun Dog / Retriever</t>
        </is>
      </c>
      <c r="L184" s="62" t="n">
        <v>5</v>
      </c>
      <c r="M184" s="62" t="n">
        <v>0</v>
      </c>
      <c r="N184" s="9" t="inlineStr">
        <is>
          <t>Amazon link not found</t>
        </is>
      </c>
      <c r="O184" s="62">
        <f>IF(N184="Selling pet toys + Artificial grass/Pet toilets (TARGET)",15,IF(N184="Selling artificial grass/pet toilets (TARGET)",10,IF(N184="Selling pet toys",7,IF(N184="There's an Amazon link, but no target sales.",3,0))))</f>
        <v/>
      </c>
      <c r="P184" s="67">
        <f>H184+J184+L184+M184+O184</f>
        <v/>
      </c>
      <c r="Q184" s="70" t="inlineStr">
        <is>
          <t>International / Future Expansion</t>
        </is>
      </c>
      <c r="R184" s="9" t="inlineStr">
        <is>
          <t>Cỏ nhân tạo sân chơi/huấn luyện (Dog Turf) + Đồ chơi nhai chịu lực (KONG/Chew Toys)</t>
        </is>
      </c>
      <c r="S184" s="9" t="inlineStr">
        <is>
          <t>Gắn cờ International / Future Expansion - Không gọi Telesale giai đoạn 1</t>
        </is>
      </c>
    </row>
    <row r="185">
      <c r="A185" s="53" t="n">
        <v>3500</v>
      </c>
      <c r="B185" s="12" t="inlineStr">
        <is>
          <t>تدريب جميع انواع الكلاب الكابتن احمد K9 لتدريب كلاب الحراسه</t>
        </is>
      </c>
      <c r="C185" s="54" t="inlineStr">
        <is>
          <t>https://www.facebook.com/amakarona12345</t>
        </is>
      </c>
      <c r="D185" s="6" t="inlineStr">
        <is>
          <t>Cần quét Bio Fanpage</t>
        </is>
      </c>
      <c r="E185" s="53" t="inlineStr">
        <is>
          <t>26/04/2020 15:39:54</t>
        </is>
      </c>
      <c r="F185" s="53" t="inlineStr">
        <is>
          <t>6 năm trước</t>
        </is>
      </c>
      <c r="G185" s="55" t="n">
        <v>2190</v>
      </c>
      <c r="H185" s="56" t="n">
        <v>0</v>
      </c>
      <c r="I185" s="6" t="inlineStr">
        <is>
          <t>Pet Boarding / Huấn luyện K9 &amp; Dịch vụ (20-22đ)</t>
        </is>
      </c>
      <c r="J185" s="56" t="n">
        <v>22</v>
      </c>
      <c r="K185" s="6" t="inlineStr">
        <is>
          <t>Chưa rõ giống (Cần quét Bio)</t>
        </is>
      </c>
      <c r="L185" s="56" t="n">
        <v>0</v>
      </c>
      <c r="M185" s="56" t="n">
        <v>0</v>
      </c>
      <c r="N185" s="6" t="inlineStr">
        <is>
          <t>Amazon link not found</t>
        </is>
      </c>
      <c r="O185" s="56">
        <f>IF(N185="Selling pet toys + Artificial grass/Pet toilets (TARGET)",15,IF(N185="Selling artificial grass/pet toilets (TARGET)",10,IF(N185="Selling pet toys",7,IF(N185="There's an Amazon link, but no target sales.",3,0))))</f>
        <v/>
      </c>
      <c r="P185" s="65">
        <f>H185+J185+L185+M185+O185</f>
        <v/>
      </c>
      <c r="Q185" s="71" t="inlineStr">
        <is>
          <t>International / Future Expansion</t>
        </is>
      </c>
      <c r="R185" s="6" t="inlineStr">
        <is>
          <t>Cỏ nhân tạo sân chơi/huấn luyện (Dog Turf) + Đồ chơi nhai chịu lực (KONG/Chew Toys)</t>
        </is>
      </c>
      <c r="S185" s="6" t="inlineStr">
        <is>
          <t>Gắn cờ International / Future Expansion - Không gọi Telesale giai đoạn 1</t>
        </is>
      </c>
    </row>
    <row r="186">
      <c r="A186" s="59" t="n">
        <v>2330</v>
      </c>
      <c r="B186" s="15" t="inlineStr">
        <is>
          <t>NOWDA Northwestern Ontario Working Dog Association</t>
        </is>
      </c>
      <c r="C186" s="60" t="inlineStr">
        <is>
          <t>https://www.facebook.com/profile.php?id=61555479712055</t>
        </is>
      </c>
      <c r="D186" s="9" t="inlineStr">
        <is>
          <t>Cần quét Bio Fanpage</t>
        </is>
      </c>
      <c r="E186" s="59" t="inlineStr">
        <is>
          <t>19/10/2025 09:26:50</t>
        </is>
      </c>
      <c r="F186" s="59" t="inlineStr">
        <is>
          <t>11 tháng trước</t>
        </is>
      </c>
      <c r="G186" s="61" t="n">
        <v>330</v>
      </c>
      <c r="H186" s="62" t="n">
        <v>0</v>
      </c>
      <c r="I186" s="9" t="inlineStr">
        <is>
          <t>Pet Boarding / Huấn luyện K9 &amp; Dịch vụ (20-22đ)</t>
        </is>
      </c>
      <c r="J186" s="62" t="n">
        <v>20</v>
      </c>
      <c r="K186" s="9" t="inlineStr">
        <is>
          <t>Chưa rõ giống (Cần quét Bio)</t>
        </is>
      </c>
      <c r="L186" s="62" t="n">
        <v>0</v>
      </c>
      <c r="M186" s="62" t="n">
        <v>0</v>
      </c>
      <c r="N186" s="9" t="inlineStr">
        <is>
          <t>Amazon link not found</t>
        </is>
      </c>
      <c r="O186" s="62">
        <f>IF(N186="Selling pet toys + Artificial grass/Pet toilets (TARGET)",15,IF(N186="Selling artificial grass/pet toilets (TARGET)",10,IF(N186="Selling pet toys",7,IF(N186="There's an Amazon link, but no target sales.",3,0))))</f>
        <v/>
      </c>
      <c r="P186" s="67">
        <f>H186+J186+L186+M186+O186</f>
        <v/>
      </c>
      <c r="Q186" s="70" t="inlineStr">
        <is>
          <t>International / Future Expansion</t>
        </is>
      </c>
      <c r="R186" s="9" t="inlineStr">
        <is>
          <t>Cỏ nhân tạo sân chơi/huấn luyện (Dog Turf) + Đồ chơi nhai chịu lực (KONG/Chew Toys)</t>
        </is>
      </c>
      <c r="S186" s="9" t="inlineStr">
        <is>
          <t>Gắn cờ International / Future Expansion - Không gọi Telesale giai đoạn 1</t>
        </is>
      </c>
    </row>
    <row r="187">
      <c r="A187" s="53" t="n">
        <v>3446</v>
      </c>
      <c r="B187" s="12" t="inlineStr">
        <is>
          <t>Woof Ltd - Professional Dog Walking Service</t>
        </is>
      </c>
      <c r="C187" s="54" t="inlineStr">
        <is>
          <t>https://www.facebook.com/WoofLtd</t>
        </is>
      </c>
      <c r="D187" s="6" t="inlineStr">
        <is>
          <t>Cần quét Bio Fanpage</t>
        </is>
      </c>
      <c r="E187" s="53" t="inlineStr">
        <is>
          <t>10/04/2025 19:56:39</t>
        </is>
      </c>
      <c r="F187" s="53" t="inlineStr">
        <is>
          <t>1 năm trước</t>
        </is>
      </c>
      <c r="G187" s="55" t="n">
        <v>365</v>
      </c>
      <c r="H187" s="56" t="n">
        <v>0</v>
      </c>
      <c r="I187" s="6" t="inlineStr">
        <is>
          <t>Pet Boarding / Huấn luyện K9 &amp; Dịch vụ (20-22đ)</t>
        </is>
      </c>
      <c r="J187" s="56" t="n">
        <v>20</v>
      </c>
      <c r="K187" s="6" t="inlineStr">
        <is>
          <t>Chưa rõ giống (Cần quét Bio)</t>
        </is>
      </c>
      <c r="L187" s="56" t="n">
        <v>0</v>
      </c>
      <c r="M187" s="56" t="n">
        <v>0</v>
      </c>
      <c r="N187" s="6" t="inlineStr">
        <is>
          <t>Amazon link not found</t>
        </is>
      </c>
      <c r="O187" s="56">
        <f>IF(N187="Selling pet toys + Artificial grass/Pet toilets (TARGET)",15,IF(N187="Selling artificial grass/pet toilets (TARGET)",10,IF(N187="Selling pet toys",7,IF(N187="There's an Amazon link, but no target sales.",3,0))))</f>
        <v/>
      </c>
      <c r="P187" s="65">
        <f>H187+J187+L187+M187+O187</f>
        <v/>
      </c>
      <c r="Q187" s="71" t="inlineStr">
        <is>
          <t>International / Future Expansion</t>
        </is>
      </c>
      <c r="R187" s="6" t="inlineStr">
        <is>
          <t>Cỏ nhân tạo sân chơi/huấn luyện (Dog Turf) + Đồ chơi nhai chịu lực (KONG/Chew Toys)</t>
        </is>
      </c>
      <c r="S187" s="6" t="inlineStr">
        <is>
          <t>Gắn cờ International / Future Expansion - Không gọi Telesale giai đoạn 1</t>
        </is>
      </c>
    </row>
    <row r="188">
      <c r="A188" s="59" t="n">
        <v>561</v>
      </c>
      <c r="B188" s="15" t="inlineStr">
        <is>
          <t>Australia shepherd puppies for adoption</t>
        </is>
      </c>
      <c r="C188" s="60" t="inlineStr">
        <is>
          <t>https://www.facebook.com/profile.php?id=61593011305328</t>
        </is>
      </c>
      <c r="D188" s="9" t="inlineStr">
        <is>
          <t>Cần quét Bio Fanpage</t>
        </is>
      </c>
      <c r="E188" s="59" t="inlineStr">
        <is>
          <t>05/08/2026 07:14:12</t>
        </is>
      </c>
      <c r="F188" s="59" t="inlineStr">
        <is>
          <t>2 tháng trước</t>
        </is>
      </c>
      <c r="G188" s="61" t="n">
        <v>60</v>
      </c>
      <c r="H188" s="62" t="n">
        <v>0</v>
      </c>
      <c r="I188" s="9" t="inlineStr">
        <is>
          <t>Pet Rescue / Trạm cứu trợ (14-16đ)</t>
        </is>
      </c>
      <c r="J188" s="62" t="n">
        <v>14</v>
      </c>
      <c r="K188" s="9" t="inlineStr">
        <is>
          <t>Chưa rõ giống (Cần quét Bio)</t>
        </is>
      </c>
      <c r="L188" s="62" t="n">
        <v>0</v>
      </c>
      <c r="M188" s="62" t="n">
        <v>5</v>
      </c>
      <c r="N188" s="9" t="inlineStr">
        <is>
          <t>Amazon link not found</t>
        </is>
      </c>
      <c r="O188" s="62">
        <f>IF(N188="Selling pet toys + Artificial grass/Pet toilets (TARGET)",15,IF(N188="Selling artificial grass/pet toilets (TARGET)",10,IF(N188="Selling pet toys",7,IF(N188="There's an Amazon link, but no target sales.",3,0))))</f>
        <v/>
      </c>
      <c r="P188" s="67">
        <f>H188+J188+L188+M188+O188</f>
        <v/>
      </c>
      <c r="Q188" s="70" t="inlineStr">
        <is>
          <t>International / Future Expansion</t>
        </is>
      </c>
      <c r="R188" s="9" t="inlineStr">
        <is>
          <t>Nhà vệ sinh &amp; Tã lót (Potty Tray / Pee Pads) + Cỏ nhân tạo lót chuồng</t>
        </is>
      </c>
      <c r="S188" s="9" t="inlineStr">
        <is>
          <t>Gắn cờ International / Future Expansion - Không gọi Telesale giai đoạn 1</t>
        </is>
      </c>
    </row>
    <row r="189">
      <c r="A189" s="53" t="n">
        <v>2471</v>
      </c>
      <c r="B189" s="12" t="inlineStr">
        <is>
          <t>Pet Travel - Xuất Nhập Khẩu Thú Cưng Quốc Tế</t>
        </is>
      </c>
      <c r="C189" s="54" t="inlineStr">
        <is>
          <t>https://www.facebook.com/vietnampettravel</t>
        </is>
      </c>
      <c r="D189" s="6" t="inlineStr">
        <is>
          <t>Cần quét Bio Fanpage</t>
        </is>
      </c>
      <c r="E189" s="53" t="inlineStr">
        <is>
          <t>16/09/2026 17:40:29</t>
        </is>
      </c>
      <c r="F189" s="53" t="inlineStr">
        <is>
          <t>3 tuần trước</t>
        </is>
      </c>
      <c r="G189" s="55" t="n">
        <v>21</v>
      </c>
      <c r="H189" s="56" t="n">
        <v>8</v>
      </c>
      <c r="I189" s="6" t="inlineStr">
        <is>
          <t>Pet Owner / Cộng đồng nuôi cún (10đ)</t>
        </is>
      </c>
      <c r="J189" s="56" t="n">
        <v>10</v>
      </c>
      <c r="K189" s="6" t="inlineStr">
        <is>
          <t>Chưa rõ giống (Cần quét Bio)</t>
        </is>
      </c>
      <c r="L189" s="56" t="n">
        <v>0</v>
      </c>
      <c r="M189" s="56" t="n">
        <v>0</v>
      </c>
      <c r="N189" s="6" t="inlineStr">
        <is>
          <t>Amazon link not found</t>
        </is>
      </c>
      <c r="O189" s="56">
        <f>IF(N189="Selling pet toys + Artificial grass/Pet toilets (TARGET)",15,IF(N189="Selling artificial grass/pet toilets (TARGET)",10,IF(N189="Selling pet toys",7,IF(N189="There's an Amazon link, but no target sales.",3,0))))</f>
        <v/>
      </c>
      <c r="P189" s="65">
        <f>H189+J189+L189+M189+O189</f>
        <v/>
      </c>
      <c r="Q189" s="71" t="inlineStr">
        <is>
          <t>International / Future Expansion</t>
        </is>
      </c>
      <c r="R189" s="6" t="inlineStr">
        <is>
          <t>Khay vệ sinh chung cư (Indoor Potty) + Thảm cỏ ban công (Grass Patch) + Đồ chơi</t>
        </is>
      </c>
      <c r="S189" s="6" t="inlineStr">
        <is>
          <t>Gắn cờ International / Future Expansion - Không gọi Telesale giai đoạn 1</t>
        </is>
      </c>
    </row>
    <row r="190">
      <c r="A190" s="59" t="n">
        <v>3081</v>
      </c>
      <c r="B190" s="15" t="inlineStr">
        <is>
          <t>THAILAND INTERNATIONAL DOG SHOW</t>
        </is>
      </c>
      <c r="C190" s="60" t="inlineStr">
        <is>
          <t>https://www.facebook.com/ThailandInternationalDogShow</t>
        </is>
      </c>
      <c r="D190" s="9" t="inlineStr">
        <is>
          <t>Cần quét Bio Fanpage</t>
        </is>
      </c>
      <c r="E190" s="59" t="inlineStr">
        <is>
          <t>16/09/2026 15:24:01</t>
        </is>
      </c>
      <c r="F190" s="59" t="inlineStr">
        <is>
          <t>3 tuần trước</t>
        </is>
      </c>
      <c r="G190" s="61" t="n">
        <v>21</v>
      </c>
      <c r="H190" s="62" t="n">
        <v>8</v>
      </c>
      <c r="I190" s="9" t="inlineStr">
        <is>
          <t>Pet Owner / Cộng đồng nuôi cún (10đ)</t>
        </is>
      </c>
      <c r="J190" s="62" t="n">
        <v>10</v>
      </c>
      <c r="K190" s="9" t="inlineStr">
        <is>
          <t>Chưa rõ giống (Cần quét Bio)</t>
        </is>
      </c>
      <c r="L190" s="62" t="n">
        <v>0</v>
      </c>
      <c r="M190" s="62" t="n">
        <v>0</v>
      </c>
      <c r="N190" s="9" t="inlineStr">
        <is>
          <t>Amazon link not found</t>
        </is>
      </c>
      <c r="O190" s="62">
        <f>IF(N190="Selling pet toys + Artificial grass/Pet toilets (TARGET)",15,IF(N190="Selling artificial grass/pet toilets (TARGET)",10,IF(N190="Selling pet toys",7,IF(N190="There's an Amazon link, but no target sales.",3,0))))</f>
        <v/>
      </c>
      <c r="P190" s="67">
        <f>H190+J190+L190+M190+O190</f>
        <v/>
      </c>
      <c r="Q190" s="70" t="inlineStr">
        <is>
          <t>International / Future Expansion</t>
        </is>
      </c>
      <c r="R190" s="9" t="inlineStr">
        <is>
          <t>Khay vệ sinh chung cư (Indoor Potty) + Thảm cỏ ban công (Grass Patch) + Đồ chơi</t>
        </is>
      </c>
      <c r="S190" s="9" t="inlineStr">
        <is>
          <t>Gắn cờ International / Future Expansion - Không gọi Telesale giai đoạn 1</t>
        </is>
      </c>
    </row>
    <row r="191">
      <c r="A191" s="53" t="n">
        <v>1972</v>
      </c>
      <c r="B191" s="12" t="inlineStr">
        <is>
          <t>Laizhou Hong dogs Australia</t>
        </is>
      </c>
      <c r="C191" s="54" t="inlineStr">
        <is>
          <t>https://www.facebook.com/profile.php?id=100095217068973</t>
        </is>
      </c>
      <c r="D191" s="6" t="inlineStr">
        <is>
          <t>Cần quét Bio Fanpage</t>
        </is>
      </c>
      <c r="E191" s="53" t="inlineStr">
        <is>
          <t>15/09/2026 07:36:59</t>
        </is>
      </c>
      <c r="F191" s="53" t="inlineStr">
        <is>
          <t>3 tuần trước</t>
        </is>
      </c>
      <c r="G191" s="55" t="n">
        <v>21</v>
      </c>
      <c r="H191" s="56" t="n">
        <v>8</v>
      </c>
      <c r="I191" s="6" t="inlineStr">
        <is>
          <t>Pet Owner / Cộng đồng nuôi cún (10đ)</t>
        </is>
      </c>
      <c r="J191" s="56" t="n">
        <v>10</v>
      </c>
      <c r="K191" s="6" t="inlineStr">
        <is>
          <t>Chưa rõ giống (Cần quét Bio)</t>
        </is>
      </c>
      <c r="L191" s="56" t="n">
        <v>0</v>
      </c>
      <c r="M191" s="56" t="n">
        <v>0</v>
      </c>
      <c r="N191" s="6" t="inlineStr">
        <is>
          <t>Amazon link not found</t>
        </is>
      </c>
      <c r="O191" s="56">
        <f>IF(N191="Selling pet toys + Artificial grass/Pet toilets (TARGET)",15,IF(N191="Selling artificial grass/pet toilets (TARGET)",10,IF(N191="Selling pet toys",7,IF(N191="There's an Amazon link, but no target sales.",3,0))))</f>
        <v/>
      </c>
      <c r="P191" s="65">
        <f>H191+J191+L191+M191+O191</f>
        <v/>
      </c>
      <c r="Q191" s="71" t="inlineStr">
        <is>
          <t>International / Future Expansion</t>
        </is>
      </c>
      <c r="R191" s="6" t="inlineStr">
        <is>
          <t>Khay vệ sinh chung cư (Indoor Potty) + Thảm cỏ ban công (Grass Patch) + Đồ chơi</t>
        </is>
      </c>
      <c r="S191" s="6" t="inlineStr">
        <is>
          <t>Gắn cờ International / Future Expansion - Không gọi Telesale giai đoạn 1</t>
        </is>
      </c>
    </row>
    <row r="192">
      <c r="A192" s="59" t="n">
        <v>3319</v>
      </c>
      <c r="B192" s="15" t="inlineStr">
        <is>
          <t>Vickking du Val de Médicis - Dogue de Bordeaux</t>
        </is>
      </c>
      <c r="C192" s="60" t="inlineStr">
        <is>
          <t>https://www.facebook.com/vickkingofficial</t>
        </is>
      </c>
      <c r="D192" s="9" t="inlineStr">
        <is>
          <t>Cần quét Bio Fanpage</t>
        </is>
      </c>
      <c r="E192" s="59" t="inlineStr">
        <is>
          <t>26/08/2026 18:24:01</t>
        </is>
      </c>
      <c r="F192" s="59" t="inlineStr">
        <is>
          <t>1 tháng trước</t>
        </is>
      </c>
      <c r="G192" s="61" t="n">
        <v>30</v>
      </c>
      <c r="H192" s="62" t="n">
        <v>0</v>
      </c>
      <c r="I192" s="9" t="inlineStr">
        <is>
          <t>Pet Owner / Cộng đồng nuôi cún (10đ)</t>
        </is>
      </c>
      <c r="J192" s="62" t="n">
        <v>10</v>
      </c>
      <c r="K192" s="9" t="inlineStr">
        <is>
          <t>Chưa rõ giống (Cần quét Bio)</t>
        </is>
      </c>
      <c r="L192" s="62" t="n">
        <v>0</v>
      </c>
      <c r="M192" s="62" t="n">
        <v>5</v>
      </c>
      <c r="N192" s="9" t="inlineStr">
        <is>
          <t>Amazon link not found</t>
        </is>
      </c>
      <c r="O192" s="62">
        <f>IF(N192="Selling pet toys + Artificial grass/Pet toilets (TARGET)",15,IF(N192="Selling artificial grass/pet toilets (TARGET)",10,IF(N192="Selling pet toys",7,IF(N192="There's an Amazon link, but no target sales.",3,0))))</f>
        <v/>
      </c>
      <c r="P192" s="67">
        <f>H192+J192+L192+M192+O192</f>
        <v/>
      </c>
      <c r="Q192" s="70" t="inlineStr">
        <is>
          <t>International / Future Expansion</t>
        </is>
      </c>
      <c r="R192" s="9" t="inlineStr">
        <is>
          <t>Khay vệ sinh chung cư (Indoor Potty) + Thảm cỏ ban công (Grass Patch) + Đồ chơi</t>
        </is>
      </c>
      <c r="S192" s="9" t="inlineStr">
        <is>
          <t>Gắn cờ International / Future Expansion - Không gọi Telesale giai đoạn 1</t>
        </is>
      </c>
    </row>
    <row r="193">
      <c r="A193" s="53" t="n">
        <v>3175</v>
      </c>
      <c r="B193" s="12" t="inlineStr">
        <is>
          <t>The Yellow Dog Company .uk</t>
        </is>
      </c>
      <c r="C193" s="54" t="inlineStr">
        <is>
          <t>https://www.facebook.com/TheYellowDogCompany</t>
        </is>
      </c>
      <c r="D193" s="6" t="inlineStr">
        <is>
          <t>Cần quét Bio Fanpage</t>
        </is>
      </c>
      <c r="E193" s="53" t="inlineStr">
        <is>
          <t>23/06/2021 21:15:18</t>
        </is>
      </c>
      <c r="F193" s="53" t="inlineStr">
        <is>
          <t>5 năm trước</t>
        </is>
      </c>
      <c r="G193" s="55" t="n">
        <v>1825</v>
      </c>
      <c r="H193" s="56" t="n">
        <v>0</v>
      </c>
      <c r="I193" s="6" t="inlineStr">
        <is>
          <t>Pet Owner / Cộng đồng nuôi cún (10đ)</t>
        </is>
      </c>
      <c r="J193" s="56" t="n">
        <v>10</v>
      </c>
      <c r="K193" s="6" t="inlineStr">
        <is>
          <t>Chưa rõ giống (Cần quét Bio)</t>
        </is>
      </c>
      <c r="L193" s="56" t="n">
        <v>0</v>
      </c>
      <c r="M193" s="56" t="n">
        <v>5</v>
      </c>
      <c r="N193" s="6" t="inlineStr">
        <is>
          <t>Amazon link not found</t>
        </is>
      </c>
      <c r="O193" s="56">
        <f>IF(N193="Selling pet toys + Artificial grass/Pet toilets (TARGET)",15,IF(N193="Selling artificial grass/pet toilets (TARGET)",10,IF(N193="Selling pet toys",7,IF(N193="There's an Amazon link, but no target sales.",3,0))))</f>
        <v/>
      </c>
      <c r="P193" s="65">
        <f>H193+J193+L193+M193+O193</f>
        <v/>
      </c>
      <c r="Q193" s="71" t="inlineStr">
        <is>
          <t>International / Future Expansion</t>
        </is>
      </c>
      <c r="R193" s="6" t="inlineStr">
        <is>
          <t>Khay vệ sinh chung cư (Indoor Potty) + Thảm cỏ ban công (Grass Patch) + Đồ chơi</t>
        </is>
      </c>
      <c r="S193" s="6" t="inlineStr">
        <is>
          <t>Gắn cờ International / Future Expansion - Không gọi Telesale giai đoạn 1</t>
        </is>
      </c>
    </row>
    <row r="194">
      <c r="A194" s="59" t="n">
        <v>763</v>
      </c>
      <c r="B194" s="15" t="inlineStr">
        <is>
          <t>Brisbane The Rescue</t>
        </is>
      </c>
      <c r="C194" s="60" t="inlineStr">
        <is>
          <t>https://www.facebook.com/brisbane.the.rescue</t>
        </is>
      </c>
      <c r="D194" s="9" t="inlineStr">
        <is>
          <t>Cần quét Bio Fanpage</t>
        </is>
      </c>
      <c r="E194" s="59" t="inlineStr">
        <is>
          <t>06/09/2025 06:27:38</t>
        </is>
      </c>
      <c r="F194" s="59" t="inlineStr">
        <is>
          <t>1 năm trước</t>
        </is>
      </c>
      <c r="G194" s="61" t="n">
        <v>365</v>
      </c>
      <c r="H194" s="62" t="n">
        <v>0</v>
      </c>
      <c r="I194" s="9" t="inlineStr">
        <is>
          <t>Pet Rescue / Trạm cứu trợ (14-16đ)</t>
        </is>
      </c>
      <c r="J194" s="62" t="n">
        <v>14</v>
      </c>
      <c r="K194" s="9" t="inlineStr">
        <is>
          <t>Chưa rõ giống (Cần quét Bio)</t>
        </is>
      </c>
      <c r="L194" s="62" t="n">
        <v>0</v>
      </c>
      <c r="M194" s="62" t="n">
        <v>0</v>
      </c>
      <c r="N194" s="9" t="inlineStr">
        <is>
          <t>Amazon link not found</t>
        </is>
      </c>
      <c r="O194" s="62">
        <f>IF(N194="Selling pet toys + Artificial grass/Pet toilets (TARGET)",15,IF(N194="Selling artificial grass/pet toilets (TARGET)",10,IF(N194="Selling pet toys",7,IF(N194="There's an Amazon link, but no target sales.",3,0))))</f>
        <v/>
      </c>
      <c r="P194" s="67">
        <f>H194+J194+L194+M194+O194</f>
        <v/>
      </c>
      <c r="Q194" s="70" t="inlineStr">
        <is>
          <t>International / Future Expansion</t>
        </is>
      </c>
      <c r="R194" s="9" t="inlineStr">
        <is>
          <t>Nhà vệ sinh &amp; Tã lót (Potty Tray / Pee Pads) + Cỏ nhân tạo lót chuồng</t>
        </is>
      </c>
      <c r="S194" s="9" t="inlineStr">
        <is>
          <t>Gắn cờ International / Future Expansion - Không gọi Telesale giai đoạn 1</t>
        </is>
      </c>
    </row>
    <row r="195">
      <c r="A195" s="53" t="n">
        <v>2732</v>
      </c>
      <c r="B195" s="12" t="inlineStr">
        <is>
          <t>Rescue Montagna dei Pirenei Italia</t>
        </is>
      </c>
      <c r="C195" s="54" t="inlineStr">
        <is>
          <t>https://www.facebook.com/rescuemontagnadeipirenei</t>
        </is>
      </c>
      <c r="D195" s="6" t="inlineStr">
        <is>
          <t>Cần quét Bio Fanpage</t>
        </is>
      </c>
      <c r="E195" s="53" t="inlineStr">
        <is>
          <t>22/11/2022 13:40:00</t>
        </is>
      </c>
      <c r="F195" s="53" t="inlineStr">
        <is>
          <t>3 năm trước</t>
        </is>
      </c>
      <c r="G195" s="55" t="n">
        <v>1095</v>
      </c>
      <c r="H195" s="56" t="n">
        <v>0</v>
      </c>
      <c r="I195" s="6" t="inlineStr">
        <is>
          <t>Pet Rescue / Trạm cứu trợ (14-16đ)</t>
        </is>
      </c>
      <c r="J195" s="56" t="n">
        <v>14</v>
      </c>
      <c r="K195" s="6" t="inlineStr">
        <is>
          <t>Chưa rõ giống (Cần quét Bio)</t>
        </is>
      </c>
      <c r="L195" s="56" t="n">
        <v>0</v>
      </c>
      <c r="M195" s="56" t="n">
        <v>0</v>
      </c>
      <c r="N195" s="6" t="inlineStr">
        <is>
          <t>Amazon link not found</t>
        </is>
      </c>
      <c r="O195" s="56">
        <f>IF(N195="Selling pet toys + Artificial grass/Pet toilets (TARGET)",15,IF(N195="Selling artificial grass/pet toilets (TARGET)",10,IF(N195="Selling pet toys",7,IF(N195="There's an Amazon link, but no target sales.",3,0))))</f>
        <v/>
      </c>
      <c r="P195" s="65">
        <f>H195+J195+L195+M195+O195</f>
        <v/>
      </c>
      <c r="Q195" s="71" t="inlineStr">
        <is>
          <t>International / Future Expansion</t>
        </is>
      </c>
      <c r="R195" s="6" t="inlineStr">
        <is>
          <t>Nhà vệ sinh &amp; Tã lót (Potty Tray / Pee Pads) + Cỏ nhân tạo lót chuồng</t>
        </is>
      </c>
      <c r="S195" s="6" t="inlineStr">
        <is>
          <t>Gắn cờ International / Future Expansion - Không gọi Telesale giai đoạn 1</t>
        </is>
      </c>
    </row>
    <row r="196">
      <c r="A196" s="59" t="n">
        <v>2435</v>
      </c>
      <c r="B196" s="15" t="inlineStr">
        <is>
          <t>Perth Dog Partner  (บริการฝึกสุนัขที่บ้าน)</t>
        </is>
      </c>
      <c r="C196" s="60" t="inlineStr">
        <is>
          <t>https://www.facebook.com/profile.php?id=61578006201093</t>
        </is>
      </c>
      <c r="D196" s="9" t="inlineStr">
        <is>
          <t>Cần quét Bio Fanpage</t>
        </is>
      </c>
      <c r="E196" s="59" t="inlineStr">
        <is>
          <t>13/09/2026 00:13:17</t>
        </is>
      </c>
      <c r="F196" s="59" t="inlineStr">
        <is>
          <t>1 tháng trước</t>
        </is>
      </c>
      <c r="G196" s="61" t="n">
        <v>30</v>
      </c>
      <c r="H196" s="62" t="n">
        <v>0</v>
      </c>
      <c r="I196" s="9" t="inlineStr">
        <is>
          <t>Pet Owner / Cộng đồng nuôi cún (10đ)</t>
        </is>
      </c>
      <c r="J196" s="62" t="n">
        <v>10</v>
      </c>
      <c r="K196" s="9" t="inlineStr">
        <is>
          <t>Chưa rõ giống (Cần quét Bio)</t>
        </is>
      </c>
      <c r="L196" s="62" t="n">
        <v>0</v>
      </c>
      <c r="M196" s="62" t="n">
        <v>0</v>
      </c>
      <c r="N196" s="9" t="inlineStr">
        <is>
          <t>Amazon link not found</t>
        </is>
      </c>
      <c r="O196" s="62">
        <f>IF(N196="Selling pet toys + Artificial grass/Pet toilets (TARGET)",15,IF(N196="Selling artificial grass/pet toilets (TARGET)",10,IF(N196="Selling pet toys",7,IF(N196="There's an Amazon link, but no target sales.",3,0))))</f>
        <v/>
      </c>
      <c r="P196" s="67">
        <f>H196+J196+L196+M196+O196</f>
        <v/>
      </c>
      <c r="Q196" s="70" t="inlineStr">
        <is>
          <t>International / Future Expansion</t>
        </is>
      </c>
      <c r="R196" s="9" t="inlineStr">
        <is>
          <t>Khay vệ sinh chung cư (Indoor Potty) + Thảm cỏ ban công (Grass Patch) + Đồ chơi</t>
        </is>
      </c>
      <c r="S196" s="9" t="inlineStr">
        <is>
          <t>Gắn cờ International / Future Expansion - Không gọi Telesale giai đoạn 1</t>
        </is>
      </c>
    </row>
    <row r="197">
      <c r="A197" s="53" t="n">
        <v>2522</v>
      </c>
      <c r="B197" s="12" t="inlineStr">
        <is>
          <t>Petpig's minnesotai törpemalacok</t>
        </is>
      </c>
      <c r="C197" s="54" t="inlineStr">
        <is>
          <t>https://www.facebook.com/profile.php?id=100089090832023</t>
        </is>
      </c>
      <c r="D197" s="6" t="inlineStr">
        <is>
          <t>Cần quét Bio Fanpage</t>
        </is>
      </c>
      <c r="E197" s="53" t="inlineStr">
        <is>
          <t>09/09/2026 11:30:44</t>
        </is>
      </c>
      <c r="F197" s="53" t="inlineStr">
        <is>
          <t>1 tháng trước</t>
        </is>
      </c>
      <c r="G197" s="55" t="n">
        <v>30</v>
      </c>
      <c r="H197" s="56" t="n">
        <v>0</v>
      </c>
      <c r="I197" s="6" t="inlineStr">
        <is>
          <t>Pet Owner / Cộng đồng nuôi cún (10đ)</t>
        </is>
      </c>
      <c r="J197" s="56" t="n">
        <v>10</v>
      </c>
      <c r="K197" s="6" t="inlineStr">
        <is>
          <t>Chưa rõ giống (Cần quét Bio)</t>
        </is>
      </c>
      <c r="L197" s="56" t="n">
        <v>0</v>
      </c>
      <c r="M197" s="56" t="n">
        <v>0</v>
      </c>
      <c r="N197" s="6" t="inlineStr">
        <is>
          <t>Amazon link not found</t>
        </is>
      </c>
      <c r="O197" s="56">
        <f>IF(N197="Selling pet toys + Artificial grass/Pet toilets (TARGET)",15,IF(N197="Selling artificial grass/pet toilets (TARGET)",10,IF(N197="Selling pet toys",7,IF(N197="There's an Amazon link, but no target sales.",3,0))))</f>
        <v/>
      </c>
      <c r="P197" s="65">
        <f>H197+J197+L197+M197+O197</f>
        <v/>
      </c>
      <c r="Q197" s="71" t="inlineStr">
        <is>
          <t>International / Future Expansion</t>
        </is>
      </c>
      <c r="R197" s="6" t="inlineStr">
        <is>
          <t>Khay vệ sinh chung cư (Indoor Potty) + Thảm cỏ ban công (Grass Patch) + Đồ chơi</t>
        </is>
      </c>
      <c r="S197" s="6" t="inlineStr">
        <is>
          <t>Gắn cờ International / Future Expansion - Không gọi Telesale giai đoạn 1</t>
        </is>
      </c>
    </row>
    <row r="198">
      <c r="A198" s="59" t="n">
        <v>1150</v>
      </c>
      <c r="B198" s="15" t="inlineStr">
        <is>
          <t>Dogoteka Polska</t>
        </is>
      </c>
      <c r="C198" s="60" t="inlineStr">
        <is>
          <t>https://www.facebook.com/profile.php?id=100063587020255</t>
        </is>
      </c>
      <c r="D198" s="9" t="inlineStr">
        <is>
          <t>Cần quét Bio Fanpage</t>
        </is>
      </c>
      <c r="E198" s="59" t="inlineStr">
        <is>
          <t>08/09/2026 00:16:02</t>
        </is>
      </c>
      <c r="F198" s="59" t="inlineStr">
        <is>
          <t>1 tháng trước</t>
        </is>
      </c>
      <c r="G198" s="61" t="n">
        <v>30</v>
      </c>
      <c r="H198" s="62" t="n">
        <v>0</v>
      </c>
      <c r="I198" s="9" t="inlineStr">
        <is>
          <t>Pet Owner / Cộng đồng nuôi cún (10đ)</t>
        </is>
      </c>
      <c r="J198" s="62" t="n">
        <v>10</v>
      </c>
      <c r="K198" s="9" t="inlineStr">
        <is>
          <t>Chưa rõ giống (Cần quét Bio)</t>
        </is>
      </c>
      <c r="L198" s="62" t="n">
        <v>0</v>
      </c>
      <c r="M198" s="62" t="n">
        <v>0</v>
      </c>
      <c r="N198" s="9" t="inlineStr">
        <is>
          <t>Amazon link not found</t>
        </is>
      </c>
      <c r="O198" s="62">
        <f>IF(N198="Selling pet toys + Artificial grass/Pet toilets (TARGET)",15,IF(N198="Selling artificial grass/pet toilets (TARGET)",10,IF(N198="Selling pet toys",7,IF(N198="There's an Amazon link, but no target sales.",3,0))))</f>
        <v/>
      </c>
      <c r="P198" s="67">
        <f>H198+J198+L198+M198+O198</f>
        <v/>
      </c>
      <c r="Q198" s="70" t="inlineStr">
        <is>
          <t>International / Future Expansion</t>
        </is>
      </c>
      <c r="R198" s="9" t="inlineStr">
        <is>
          <t>Khay vệ sinh chung cư (Indoor Potty) + Thảm cỏ ban công (Grass Patch) + Đồ chơi</t>
        </is>
      </c>
      <c r="S198" s="9" t="inlineStr">
        <is>
          <t>Gắn cờ International / Future Expansion - Không gọi Telesale giai đoạn 1</t>
        </is>
      </c>
    </row>
    <row r="199">
      <c r="A199" s="53" t="n">
        <v>1769</v>
      </c>
      <c r="B199" s="12" t="inlineStr">
        <is>
          <t>Jo &amp; Dog Éducateur canin comportementaliste</t>
        </is>
      </c>
      <c r="C199" s="54" t="inlineStr">
        <is>
          <t>https://www.facebook.com/Jo.And.Dog.Educateur.Canin</t>
        </is>
      </c>
      <c r="D199" s="6" t="inlineStr">
        <is>
          <t>Cần quét Bio Fanpage</t>
        </is>
      </c>
      <c r="E199" s="53" t="inlineStr">
        <is>
          <t>30/08/2026 16:57:09</t>
        </is>
      </c>
      <c r="F199" s="53" t="inlineStr">
        <is>
          <t>1 tháng trước</t>
        </is>
      </c>
      <c r="G199" s="55" t="n">
        <v>30</v>
      </c>
      <c r="H199" s="56" t="n">
        <v>0</v>
      </c>
      <c r="I199" s="6" t="inlineStr">
        <is>
          <t>Pet Owner / Cộng đồng nuôi cún (10đ)</t>
        </is>
      </c>
      <c r="J199" s="56" t="n">
        <v>10</v>
      </c>
      <c r="K199" s="6" t="inlineStr">
        <is>
          <t>Chưa rõ giống (Cần quét Bio)</t>
        </is>
      </c>
      <c r="L199" s="56" t="n">
        <v>0</v>
      </c>
      <c r="M199" s="56" t="n">
        <v>0</v>
      </c>
      <c r="N199" s="6" t="inlineStr">
        <is>
          <t>Amazon link not found</t>
        </is>
      </c>
      <c r="O199" s="56">
        <f>IF(N199="Selling pet toys + Artificial grass/Pet toilets (TARGET)",15,IF(N199="Selling artificial grass/pet toilets (TARGET)",10,IF(N199="Selling pet toys",7,IF(N199="There's an Amazon link, but no target sales.",3,0))))</f>
        <v/>
      </c>
      <c r="P199" s="65">
        <f>H199+J199+L199+M199+O199</f>
        <v/>
      </c>
      <c r="Q199" s="71" t="inlineStr">
        <is>
          <t>International / Future Expansion</t>
        </is>
      </c>
      <c r="R199" s="6" t="inlineStr">
        <is>
          <t>Khay vệ sinh chung cư (Indoor Potty) + Thảm cỏ ban công (Grass Patch) + Đồ chơi</t>
        </is>
      </c>
      <c r="S199" s="6" t="inlineStr">
        <is>
          <t>Gắn cờ International / Future Expansion - Không gọi Telesale giai đoạn 1</t>
        </is>
      </c>
    </row>
    <row r="200">
      <c r="A200" s="59" t="n">
        <v>3509</v>
      </c>
      <c r="B200" s="15" t="inlineStr">
        <is>
          <t>สุราษฎร์ด็อกโฮม surat dog home</t>
        </is>
      </c>
      <c r="C200" s="60" t="inlineStr">
        <is>
          <t>https://www.facebook.com/profile.php?id=100076474027593</t>
        </is>
      </c>
      <c r="D200" s="9" t="inlineStr">
        <is>
          <t>Cần quét Bio Fanpage</t>
        </is>
      </c>
      <c r="E200" s="59" t="inlineStr">
        <is>
          <t>21/08/2026 21:36:30</t>
        </is>
      </c>
      <c r="F200" s="59" t="inlineStr">
        <is>
          <t>1 tháng trước</t>
        </is>
      </c>
      <c r="G200" s="61" t="n">
        <v>30</v>
      </c>
      <c r="H200" s="62" t="n">
        <v>0</v>
      </c>
      <c r="I200" s="9" t="inlineStr">
        <is>
          <t>Pet Owner / Cộng đồng nuôi cún (10đ)</t>
        </is>
      </c>
      <c r="J200" s="62" t="n">
        <v>10</v>
      </c>
      <c r="K200" s="9" t="inlineStr">
        <is>
          <t>Chưa rõ giống (Cần quét Bio)</t>
        </is>
      </c>
      <c r="L200" s="62" t="n">
        <v>0</v>
      </c>
      <c r="M200" s="62" t="n">
        <v>0</v>
      </c>
      <c r="N200" s="9" t="inlineStr">
        <is>
          <t>Amazon link not found</t>
        </is>
      </c>
      <c r="O200" s="62">
        <f>IF(N200="Selling pet toys + Artificial grass/Pet toilets (TARGET)",15,IF(N200="Selling artificial grass/pet toilets (TARGET)",10,IF(N200="Selling pet toys",7,IF(N200="There's an Amazon link, but no target sales.",3,0))))</f>
        <v/>
      </c>
      <c r="P200" s="67">
        <f>H200+J200+L200+M200+O200</f>
        <v/>
      </c>
      <c r="Q200" s="70" t="inlineStr">
        <is>
          <t>International / Future Expansion</t>
        </is>
      </c>
      <c r="R200" s="9" t="inlineStr">
        <is>
          <t>Khay vệ sinh chung cư (Indoor Potty) + Thảm cỏ ban công (Grass Patch) + Đồ chơi</t>
        </is>
      </c>
      <c r="S200" s="9" t="inlineStr">
        <is>
          <t>Gắn cờ International / Future Expansion - Không gọi Telesale giai đoạn 1</t>
        </is>
      </c>
    </row>
    <row r="201">
      <c r="A201" s="53" t="n">
        <v>972</v>
      </c>
      <c r="B201" s="12" t="inlineStr">
        <is>
          <t>Création V. Petits plaisirs sucrés</t>
        </is>
      </c>
      <c r="C201" s="54" t="inlineStr">
        <is>
          <t>https://www.facebook.com/profile.php?id=100070480833239</t>
        </is>
      </c>
      <c r="D201" s="6" t="inlineStr">
        <is>
          <t>Cần quét Bio Fanpage</t>
        </is>
      </c>
      <c r="E201" s="53" t="inlineStr">
        <is>
          <t>31/07/2026 19:08:28</t>
        </is>
      </c>
      <c r="F201" s="53" t="inlineStr">
        <is>
          <t>2 tháng trước</t>
        </is>
      </c>
      <c r="G201" s="55" t="n">
        <v>60</v>
      </c>
      <c r="H201" s="56" t="n">
        <v>0</v>
      </c>
      <c r="I201" s="6" t="inlineStr">
        <is>
          <t>Pet Owner / Cộng đồng nuôi cún (10đ)</t>
        </is>
      </c>
      <c r="J201" s="56" t="n">
        <v>10</v>
      </c>
      <c r="K201" s="6" t="inlineStr">
        <is>
          <t>Chưa rõ giống (Cần quét Bio)</t>
        </is>
      </c>
      <c r="L201" s="56" t="n">
        <v>0</v>
      </c>
      <c r="M201" s="56" t="n">
        <v>0</v>
      </c>
      <c r="N201" s="6" t="inlineStr">
        <is>
          <t>Amazon link not found</t>
        </is>
      </c>
      <c r="O201" s="56">
        <f>IF(N201="Selling pet toys + Artificial grass/Pet toilets (TARGET)",15,IF(N201="Selling artificial grass/pet toilets (TARGET)",10,IF(N201="Selling pet toys",7,IF(N201="There's an Amazon link, but no target sales.",3,0))))</f>
        <v/>
      </c>
      <c r="P201" s="65">
        <f>H201+J201+L201+M201+O201</f>
        <v/>
      </c>
      <c r="Q201" s="71" t="inlineStr">
        <is>
          <t>International / Future Expansion</t>
        </is>
      </c>
      <c r="R201" s="6" t="inlineStr">
        <is>
          <t>Khay vệ sinh chung cư (Indoor Potty) + Thảm cỏ ban công (Grass Patch) + Đồ chơi</t>
        </is>
      </c>
      <c r="S201" s="6" t="inlineStr">
        <is>
          <t>Gắn cờ International / Future Expansion - Không gọi Telesale giai đoạn 1</t>
        </is>
      </c>
    </row>
    <row r="202">
      <c r="A202" s="59" t="n">
        <v>2373</v>
      </c>
      <c r="B202" s="15" t="inlineStr">
        <is>
          <t>Orijen Pet Food México</t>
        </is>
      </c>
      <c r="C202" s="60" t="inlineStr">
        <is>
          <t>https://www.facebook.com/ORIJENPetFoodMexico</t>
        </is>
      </c>
      <c r="D202" s="9" t="inlineStr">
        <is>
          <t>Cần quét Bio Fanpage</t>
        </is>
      </c>
      <c r="E202" s="59" t="inlineStr">
        <is>
          <t>28/07/2026 22:07:09</t>
        </is>
      </c>
      <c r="F202" s="59" t="inlineStr">
        <is>
          <t>2 tháng trước</t>
        </is>
      </c>
      <c r="G202" s="61" t="n">
        <v>60</v>
      </c>
      <c r="H202" s="62" t="n">
        <v>0</v>
      </c>
      <c r="I202" s="9" t="inlineStr">
        <is>
          <t>Pet Owner / Cộng đồng nuôi cún (10đ)</t>
        </is>
      </c>
      <c r="J202" s="62" t="n">
        <v>10</v>
      </c>
      <c r="K202" s="9" t="inlineStr">
        <is>
          <t>Chưa rõ giống (Cần quét Bio)</t>
        </is>
      </c>
      <c r="L202" s="62" t="n">
        <v>0</v>
      </c>
      <c r="M202" s="62" t="n">
        <v>0</v>
      </c>
      <c r="N202" s="9" t="inlineStr">
        <is>
          <t>Amazon link not found</t>
        </is>
      </c>
      <c r="O202" s="62">
        <f>IF(N202="Selling pet toys + Artificial grass/Pet toilets (TARGET)",15,IF(N202="Selling artificial grass/pet toilets (TARGET)",10,IF(N202="Selling pet toys",7,IF(N202="There's an Amazon link, but no target sales.",3,0))))</f>
        <v/>
      </c>
      <c r="P202" s="67">
        <f>H202+J202+L202+M202+O202</f>
        <v/>
      </c>
      <c r="Q202" s="70" t="inlineStr">
        <is>
          <t>International / Future Expansion</t>
        </is>
      </c>
      <c r="R202" s="9" t="inlineStr">
        <is>
          <t>Khay vệ sinh chung cư (Indoor Potty) + Thảm cỏ ban công (Grass Patch) + Đồ chơi</t>
        </is>
      </c>
      <c r="S202" s="9" t="inlineStr">
        <is>
          <t>Gắn cờ International / Future Expansion - Không gọi Telesale giai đoạn 1</t>
        </is>
      </c>
    </row>
    <row r="203">
      <c r="A203" s="53" t="n">
        <v>3499</v>
      </c>
      <c r="B203" s="12" t="inlineStr">
        <is>
          <t>Я Люблю Собак - I Love Dogs</t>
        </is>
      </c>
      <c r="C203" s="54" t="inlineStr">
        <is>
          <t>https://www.facebook.com/u.love.dog</t>
        </is>
      </c>
      <c r="D203" s="6" t="inlineStr">
        <is>
          <t>Cần quét Bio Fanpage</t>
        </is>
      </c>
      <c r="E203" s="53" t="inlineStr">
        <is>
          <t>11/06/2026 14:19:25</t>
        </is>
      </c>
      <c r="F203" s="53" t="inlineStr">
        <is>
          <t>4 tháng trước</t>
        </is>
      </c>
      <c r="G203" s="55" t="n">
        <v>120</v>
      </c>
      <c r="H203" s="56" t="n">
        <v>0</v>
      </c>
      <c r="I203" s="6" t="inlineStr">
        <is>
          <t>Pet Owner / Cộng đồng nuôi cún (10đ)</t>
        </is>
      </c>
      <c r="J203" s="56" t="n">
        <v>10</v>
      </c>
      <c r="K203" s="6" t="inlineStr">
        <is>
          <t>Chưa rõ giống (Cần quét Bio)</t>
        </is>
      </c>
      <c r="L203" s="56" t="n">
        <v>0</v>
      </c>
      <c r="M203" s="56" t="n">
        <v>0</v>
      </c>
      <c r="N203" s="6" t="inlineStr">
        <is>
          <t>Amazon link not found</t>
        </is>
      </c>
      <c r="O203" s="56">
        <f>IF(N203="Selling pet toys + Artificial grass/Pet toilets (TARGET)",15,IF(N203="Selling artificial grass/pet toilets (TARGET)",10,IF(N203="Selling pet toys",7,IF(N203="There's an Amazon link, but no target sales.",3,0))))</f>
        <v/>
      </c>
      <c r="P203" s="65">
        <f>H203+J203+L203+M203+O203</f>
        <v/>
      </c>
      <c r="Q203" s="71" t="inlineStr">
        <is>
          <t>International / Future Expansion</t>
        </is>
      </c>
      <c r="R203" s="6" t="inlineStr">
        <is>
          <t>Khay vệ sinh chung cư (Indoor Potty) + Thảm cỏ ban công (Grass Patch) + Đồ chơi</t>
        </is>
      </c>
      <c r="S203" s="6" t="inlineStr">
        <is>
          <t>Gắn cờ International / Future Expansion - Không gọi Telesale giai đoạn 1</t>
        </is>
      </c>
    </row>
    <row r="204">
      <c r="A204" s="59" t="n">
        <v>616</v>
      </c>
      <c r="B204" s="15" t="inlineStr">
        <is>
          <t>Beauty Dogs Mobile Pflege für Hunde und Katzen</t>
        </is>
      </c>
      <c r="C204" s="60" t="inlineStr">
        <is>
          <t>https://www.facebook.com/BeautyDogsMobilePflegeFuerHundeKatzen</t>
        </is>
      </c>
      <c r="D204" s="9" t="inlineStr">
        <is>
          <t>Cần quét Bio Fanpage</t>
        </is>
      </c>
      <c r="E204" s="59" t="inlineStr">
        <is>
          <t>09/04/2026 15:29:25</t>
        </is>
      </c>
      <c r="F204" s="59" t="inlineStr">
        <is>
          <t>6 tháng trước</t>
        </is>
      </c>
      <c r="G204" s="61" t="n">
        <v>180</v>
      </c>
      <c r="H204" s="62" t="n">
        <v>0</v>
      </c>
      <c r="I204" s="9" t="inlineStr">
        <is>
          <t>Pet Owner / Cộng đồng nuôi cún (10đ)</t>
        </is>
      </c>
      <c r="J204" s="62" t="n">
        <v>10</v>
      </c>
      <c r="K204" s="9" t="inlineStr">
        <is>
          <t>Chưa rõ giống (Cần quét Bio)</t>
        </is>
      </c>
      <c r="L204" s="62" t="n">
        <v>0</v>
      </c>
      <c r="M204" s="62" t="n">
        <v>0</v>
      </c>
      <c r="N204" s="9" t="inlineStr">
        <is>
          <t>Amazon link not found</t>
        </is>
      </c>
      <c r="O204" s="62">
        <f>IF(N204="Selling pet toys + Artificial grass/Pet toilets (TARGET)",15,IF(N204="Selling artificial grass/pet toilets (TARGET)",10,IF(N204="Selling pet toys",7,IF(N204="There's an Amazon link, but no target sales.",3,0))))</f>
        <v/>
      </c>
      <c r="P204" s="67">
        <f>H204+J204+L204+M204+O204</f>
        <v/>
      </c>
      <c r="Q204" s="70" t="inlineStr">
        <is>
          <t>International / Future Expansion</t>
        </is>
      </c>
      <c r="R204" s="9" t="inlineStr">
        <is>
          <t>Khay vệ sinh chung cư (Indoor Potty) + Thảm cỏ ban công (Grass Patch) + Đồ chơi</t>
        </is>
      </c>
      <c r="S204" s="9" t="inlineStr">
        <is>
          <t>Gắn cờ International / Future Expansion - Không gọi Telesale giai đoạn 1</t>
        </is>
      </c>
    </row>
    <row r="205">
      <c r="A205" s="53" t="n">
        <v>2982</v>
      </c>
      <c r="B205" s="12" t="inlineStr">
        <is>
          <t>Spólka z Krzywego Koła hodowla Buldogów Angielskich</t>
        </is>
      </c>
      <c r="C205" s="54" t="inlineStr">
        <is>
          <t>https://www.facebook.com/profile.php?id=100063610718510</t>
        </is>
      </c>
      <c r="D205" s="6" t="inlineStr">
        <is>
          <t>Cần quét Bio Fanpage</t>
        </is>
      </c>
      <c r="E205" s="53" t="inlineStr">
        <is>
          <t>16/03/2026 19:26:57</t>
        </is>
      </c>
      <c r="F205" s="53" t="inlineStr">
        <is>
          <t>7 tháng trước</t>
        </is>
      </c>
      <c r="G205" s="55" t="n">
        <v>210</v>
      </c>
      <c r="H205" s="56" t="n">
        <v>0</v>
      </c>
      <c r="I205" s="6" t="inlineStr">
        <is>
          <t>Pet Owner / Cộng đồng nuôi cún (10đ)</t>
        </is>
      </c>
      <c r="J205" s="56" t="n">
        <v>10</v>
      </c>
      <c r="K205" s="6" t="inlineStr">
        <is>
          <t>Chưa rõ giống (Cần quét Bio)</t>
        </is>
      </c>
      <c r="L205" s="56" t="n">
        <v>0</v>
      </c>
      <c r="M205" s="56" t="n">
        <v>0</v>
      </c>
      <c r="N205" s="6" t="inlineStr">
        <is>
          <t>Amazon link not found</t>
        </is>
      </c>
      <c r="O205" s="56">
        <f>IF(N205="Selling pet toys + Artificial grass/Pet toilets (TARGET)",15,IF(N205="Selling artificial grass/pet toilets (TARGET)",10,IF(N205="Selling pet toys",7,IF(N205="There's an Amazon link, but no target sales.",3,0))))</f>
        <v/>
      </c>
      <c r="P205" s="65">
        <f>H205+J205+L205+M205+O205</f>
        <v/>
      </c>
      <c r="Q205" s="71" t="inlineStr">
        <is>
          <t>International / Future Expansion</t>
        </is>
      </c>
      <c r="R205" s="6" t="inlineStr">
        <is>
          <t>Khay vệ sinh chung cư (Indoor Potty) + Thảm cỏ ban công (Grass Patch) + Đồ chơi</t>
        </is>
      </c>
      <c r="S205" s="6" t="inlineStr">
        <is>
          <t>Gắn cờ International / Future Expansion - Không gọi Telesale giai đoạn 1</t>
        </is>
      </c>
    </row>
    <row r="206">
      <c r="A206" s="59" t="n">
        <v>3495</v>
      </c>
      <c r="B206" s="15" t="inlineStr">
        <is>
          <t>Московская сторожевая в Украине / Moscow Watchdog in Ukraine</t>
        </is>
      </c>
      <c r="C206" s="60" t="inlineStr">
        <is>
          <t>https://www.facebook.com/profile.php?id=100047723055700</t>
        </is>
      </c>
      <c r="D206" s="9" t="inlineStr">
        <is>
          <t>Cần quét Bio Fanpage</t>
        </is>
      </c>
      <c r="E206" s="59" t="inlineStr">
        <is>
          <t>06/03/2026 19:20:10</t>
        </is>
      </c>
      <c r="F206" s="59" t="inlineStr">
        <is>
          <t>7 tháng trước</t>
        </is>
      </c>
      <c r="G206" s="61" t="n">
        <v>210</v>
      </c>
      <c r="H206" s="62" t="n">
        <v>0</v>
      </c>
      <c r="I206" s="9" t="inlineStr">
        <is>
          <t>Pet Owner / Cộng đồng nuôi cún (10đ)</t>
        </is>
      </c>
      <c r="J206" s="62" t="n">
        <v>10</v>
      </c>
      <c r="K206" s="9" t="inlineStr">
        <is>
          <t>Chưa rõ giống (Cần quét Bio)</t>
        </is>
      </c>
      <c r="L206" s="62" t="n">
        <v>0</v>
      </c>
      <c r="M206" s="62" t="n">
        <v>0</v>
      </c>
      <c r="N206" s="9" t="inlineStr">
        <is>
          <t>Amazon link not found</t>
        </is>
      </c>
      <c r="O206" s="62">
        <f>IF(N206="Selling pet toys + Artificial grass/Pet toilets (TARGET)",15,IF(N206="Selling artificial grass/pet toilets (TARGET)",10,IF(N206="Selling pet toys",7,IF(N206="There's an Amazon link, but no target sales.",3,0))))</f>
        <v/>
      </c>
      <c r="P206" s="67">
        <f>H206+J206+L206+M206+O206</f>
        <v/>
      </c>
      <c r="Q206" s="70" t="inlineStr">
        <is>
          <t>International / Future Expansion</t>
        </is>
      </c>
      <c r="R206" s="9" t="inlineStr">
        <is>
          <t>Khay vệ sinh chung cư (Indoor Potty) + Thảm cỏ ban công (Grass Patch) + Đồ chơi</t>
        </is>
      </c>
      <c r="S206" s="9" t="inlineStr">
        <is>
          <t>Gắn cờ International / Future Expansion - Không gọi Telesale giai đoạn 1</t>
        </is>
      </c>
    </row>
    <row r="207">
      <c r="A207" s="53" t="n">
        <v>590</v>
      </c>
      <c r="B207" s="12" t="inlineStr">
        <is>
          <t>BARK BITE Dog Treats ขนมสุนัขอบแห้ง</t>
        </is>
      </c>
      <c r="C207" s="54" t="inlineStr">
        <is>
          <t>https://www.facebook.com/profile.php?id=61574491448539</t>
        </is>
      </c>
      <c r="D207" s="6" t="inlineStr">
        <is>
          <t>Cần quét Bio Fanpage</t>
        </is>
      </c>
      <c r="E207" s="53" t="inlineStr">
        <is>
          <t>22/10/2025 10:50:05</t>
        </is>
      </c>
      <c r="F207" s="53" t="inlineStr">
        <is>
          <t>11 tháng trước</t>
        </is>
      </c>
      <c r="G207" s="55" t="n">
        <v>330</v>
      </c>
      <c r="H207" s="56" t="n">
        <v>0</v>
      </c>
      <c r="I207" s="6" t="inlineStr">
        <is>
          <t>Pet Owner / Cộng đồng nuôi cún (10đ)</t>
        </is>
      </c>
      <c r="J207" s="56" t="n">
        <v>10</v>
      </c>
      <c r="K207" s="6" t="inlineStr">
        <is>
          <t>Chưa rõ giống (Cần quét Bio)</t>
        </is>
      </c>
      <c r="L207" s="56" t="n">
        <v>0</v>
      </c>
      <c r="M207" s="56" t="n">
        <v>0</v>
      </c>
      <c r="N207" s="6" t="inlineStr">
        <is>
          <t>Amazon link not found</t>
        </is>
      </c>
      <c r="O207" s="56">
        <f>IF(N207="Selling pet toys + Artificial grass/Pet toilets (TARGET)",15,IF(N207="Selling artificial grass/pet toilets (TARGET)",10,IF(N207="Selling pet toys",7,IF(N207="There's an Amazon link, but no target sales.",3,0))))</f>
        <v/>
      </c>
      <c r="P207" s="65">
        <f>H207+J207+L207+M207+O207</f>
        <v/>
      </c>
      <c r="Q207" s="71" t="inlineStr">
        <is>
          <t>International / Future Expansion</t>
        </is>
      </c>
      <c r="R207" s="6" t="inlineStr">
        <is>
          <t>Khay vệ sinh chung cư (Indoor Potty) + Thảm cỏ ban công (Grass Patch) + Đồ chơi</t>
        </is>
      </c>
      <c r="S207" s="6" t="inlineStr">
        <is>
          <t>Gắn cờ International / Future Expansion - Không gọi Telesale giai đoạn 1</t>
        </is>
      </c>
    </row>
    <row r="208">
      <c r="A208" s="59" t="n">
        <v>1138</v>
      </c>
      <c r="B208" s="15" t="inlineStr">
        <is>
          <t>Dogilike รู้จริงเรื่องน้องหมา</t>
        </is>
      </c>
      <c r="C208" s="60" t="inlineStr">
        <is>
          <t>https://www.facebook.com/Dogilike</t>
        </is>
      </c>
      <c r="D208" s="9" t="inlineStr">
        <is>
          <t>Cần quét Bio Fanpage</t>
        </is>
      </c>
      <c r="E208" s="59" t="inlineStr">
        <is>
          <t>29/08/2025 10:36:31</t>
        </is>
      </c>
      <c r="F208" s="59" t="inlineStr">
        <is>
          <t>1 năm trước</t>
        </is>
      </c>
      <c r="G208" s="61" t="n">
        <v>365</v>
      </c>
      <c r="H208" s="62" t="n">
        <v>0</v>
      </c>
      <c r="I208" s="9" t="inlineStr">
        <is>
          <t>Pet Owner / Cộng đồng nuôi cún (10đ)</t>
        </is>
      </c>
      <c r="J208" s="62" t="n">
        <v>10</v>
      </c>
      <c r="K208" s="9" t="inlineStr">
        <is>
          <t>Chưa rõ giống (Cần quét Bio)</t>
        </is>
      </c>
      <c r="L208" s="62" t="n">
        <v>0</v>
      </c>
      <c r="M208" s="62" t="n">
        <v>0</v>
      </c>
      <c r="N208" s="9" t="inlineStr">
        <is>
          <t>Amazon link not found</t>
        </is>
      </c>
      <c r="O208" s="62">
        <f>IF(N208="Selling pet toys + Artificial grass/Pet toilets (TARGET)",15,IF(N208="Selling artificial grass/pet toilets (TARGET)",10,IF(N208="Selling pet toys",7,IF(N208="There's an Amazon link, but no target sales.",3,0))))</f>
        <v/>
      </c>
      <c r="P208" s="67">
        <f>H208+J208+L208+M208+O208</f>
        <v/>
      </c>
      <c r="Q208" s="70" t="inlineStr">
        <is>
          <t>International / Future Expansion</t>
        </is>
      </c>
      <c r="R208" s="9" t="inlineStr">
        <is>
          <t>Khay vệ sinh chung cư (Indoor Potty) + Thảm cỏ ban công (Grass Patch) + Đồ chơi</t>
        </is>
      </c>
      <c r="S208" s="9" t="inlineStr">
        <is>
          <t>Gắn cờ International / Future Expansion - Không gọi Telesale giai đoạn 1</t>
        </is>
      </c>
    </row>
    <row r="209">
      <c r="A209" s="53" t="n">
        <v>3370</v>
      </c>
      <c r="B209" s="12" t="inlineStr">
        <is>
          <t>Wash Dog Desenzano</t>
        </is>
      </c>
      <c r="C209" s="54" t="inlineStr">
        <is>
          <t>https://www.facebook.com/100094549806231</t>
        </is>
      </c>
      <c r="D209" s="6" t="inlineStr">
        <is>
          <t>Cần quét Bio Fanpage</t>
        </is>
      </c>
      <c r="E209" s="53" t="inlineStr">
        <is>
          <t>31/07/2025 00:15:38</t>
        </is>
      </c>
      <c r="F209" s="53" t="inlineStr">
        <is>
          <t>1 năm trước</t>
        </is>
      </c>
      <c r="G209" s="55" t="n">
        <v>365</v>
      </c>
      <c r="H209" s="56" t="n">
        <v>0</v>
      </c>
      <c r="I209" s="6" t="inlineStr">
        <is>
          <t>Pet Owner / Cộng đồng nuôi cún (10đ)</t>
        </is>
      </c>
      <c r="J209" s="56" t="n">
        <v>10</v>
      </c>
      <c r="K209" s="6" t="inlineStr">
        <is>
          <t>Chưa rõ giống (Cần quét Bio)</t>
        </is>
      </c>
      <c r="L209" s="56" t="n">
        <v>0</v>
      </c>
      <c r="M209" s="56" t="n">
        <v>0</v>
      </c>
      <c r="N209" s="6" t="inlineStr">
        <is>
          <t>Amazon link not found</t>
        </is>
      </c>
      <c r="O209" s="56">
        <f>IF(N209="Selling pet toys + Artificial grass/Pet toilets (TARGET)",15,IF(N209="Selling artificial grass/pet toilets (TARGET)",10,IF(N209="Selling pet toys",7,IF(N209="There's an Amazon link, but no target sales.",3,0))))</f>
        <v/>
      </c>
      <c r="P209" s="65">
        <f>H209+J209+L209+M209+O209</f>
        <v/>
      </c>
      <c r="Q209" s="71" t="inlineStr">
        <is>
          <t>International / Future Expansion</t>
        </is>
      </c>
      <c r="R209" s="6" t="inlineStr">
        <is>
          <t>Khay vệ sinh chung cư (Indoor Potty) + Thảm cỏ ban công (Grass Patch) + Đồ chơi</t>
        </is>
      </c>
      <c r="S209" s="6" t="inlineStr">
        <is>
          <t>Gắn cờ International / Future Expansion - Không gọi Telesale giai đoạn 1</t>
        </is>
      </c>
    </row>
    <row r="210">
      <c r="A210" s="59" t="n">
        <v>2427</v>
      </c>
      <c r="B210" s="15" t="inlineStr">
        <is>
          <t>Pensiune Canină Cluj Scooby-Dog</t>
        </is>
      </c>
      <c r="C210" s="60" t="inlineStr">
        <is>
          <t>https://www.facebook.com/profile.php?id=61556460231013</t>
        </is>
      </c>
      <c r="D210" s="9" t="inlineStr">
        <is>
          <t>Cần quét Bio Fanpage</t>
        </is>
      </c>
      <c r="E210" s="59" t="inlineStr">
        <is>
          <t>03/07/2025 01:55:59</t>
        </is>
      </c>
      <c r="F210" s="59" t="inlineStr">
        <is>
          <t>1 năm trước</t>
        </is>
      </c>
      <c r="G210" s="61" t="n">
        <v>365</v>
      </c>
      <c r="H210" s="62" t="n">
        <v>0</v>
      </c>
      <c r="I210" s="9" t="inlineStr">
        <is>
          <t>Pet Owner / Cộng đồng nuôi cún (10đ)</t>
        </is>
      </c>
      <c r="J210" s="62" t="n">
        <v>10</v>
      </c>
      <c r="K210" s="9" t="inlineStr">
        <is>
          <t>Chưa rõ giống (Cần quét Bio)</t>
        </is>
      </c>
      <c r="L210" s="62" t="n">
        <v>0</v>
      </c>
      <c r="M210" s="62" t="n">
        <v>0</v>
      </c>
      <c r="N210" s="9" t="inlineStr">
        <is>
          <t>Amazon link not found</t>
        </is>
      </c>
      <c r="O210" s="62">
        <f>IF(N210="Selling pet toys + Artificial grass/Pet toilets (TARGET)",15,IF(N210="Selling artificial grass/pet toilets (TARGET)",10,IF(N210="Selling pet toys",7,IF(N210="There's an Amazon link, but no target sales.",3,0))))</f>
        <v/>
      </c>
      <c r="P210" s="67">
        <f>H210+J210+L210+M210+O210</f>
        <v/>
      </c>
      <c r="Q210" s="70" t="inlineStr">
        <is>
          <t>International / Future Expansion</t>
        </is>
      </c>
      <c r="R210" s="9" t="inlineStr">
        <is>
          <t>Khay vệ sinh chung cư (Indoor Potty) + Thảm cỏ ban công (Grass Patch) + Đồ chơi</t>
        </is>
      </c>
      <c r="S210" s="9" t="inlineStr">
        <is>
          <t>Gắn cờ International / Future Expansion - Không gọi Telesale giai đoạn 1</t>
        </is>
      </c>
    </row>
    <row r="211">
      <c r="A211" s="53" t="n">
        <v>1596</v>
      </c>
      <c r="B211" s="12" t="inlineStr">
        <is>
          <t>Handling &amp; trip "Doggy Life" - поездки на выставки</t>
        </is>
      </c>
      <c r="C211" s="54" t="inlineStr">
        <is>
          <t>https://www.facebook.com/doggylife.ru</t>
        </is>
      </c>
      <c r="D211" s="6" t="inlineStr">
        <is>
          <t>Cần quét Bio Fanpage</t>
        </is>
      </c>
      <c r="E211" s="53" t="inlineStr">
        <is>
          <t>27/01/2025 08:59:53</t>
        </is>
      </c>
      <c r="F211" s="53" t="inlineStr">
        <is>
          <t>1 năm trước</t>
        </is>
      </c>
      <c r="G211" s="55" t="n">
        <v>365</v>
      </c>
      <c r="H211" s="56" t="n">
        <v>0</v>
      </c>
      <c r="I211" s="6" t="inlineStr">
        <is>
          <t>Pet Owner / Kênh cá nhân thú cưng (10đ)</t>
        </is>
      </c>
      <c r="J211" s="56" t="n">
        <v>10</v>
      </c>
      <c r="K211" s="6" t="inlineStr">
        <is>
          <t>Chưa rõ giống (Cần quét Bio)</t>
        </is>
      </c>
      <c r="L211" s="56" t="n">
        <v>0</v>
      </c>
      <c r="M211" s="56" t="n">
        <v>0</v>
      </c>
      <c r="N211" s="6" t="inlineStr">
        <is>
          <t>Amazon link not found</t>
        </is>
      </c>
      <c r="O211" s="56">
        <f>IF(N211="Selling pet toys + Artificial grass/Pet toilets (TARGET)",15,IF(N211="Selling artificial grass/pet toilets (TARGET)",10,IF(N211="Selling pet toys",7,IF(N211="There's an Amazon link, but no target sales.",3,0))))</f>
        <v/>
      </c>
      <c r="P211" s="65">
        <f>H211+J211+L211+M211+O211</f>
        <v/>
      </c>
      <c r="Q211" s="71" t="inlineStr">
        <is>
          <t>International / Future Expansion</t>
        </is>
      </c>
      <c r="R211" s="6" t="inlineStr">
        <is>
          <t>Khay vệ sinh trong nhà (Indoor Dog Potty) + Đồ chơi thú cưng lẻ</t>
        </is>
      </c>
      <c r="S211" s="6" t="inlineStr">
        <is>
          <t>Gắn cờ International / Future Expansion - Không gọi Telesale giai đoạn 1</t>
        </is>
      </c>
    </row>
    <row r="212">
      <c r="A212" s="59" t="n">
        <v>2551</v>
      </c>
      <c r="B212" s="15" t="inlineStr">
        <is>
          <t>PETspot Australia</t>
        </is>
      </c>
      <c r="C212" s="60" t="inlineStr">
        <is>
          <t>https://www.facebook.com/PETspotAU</t>
        </is>
      </c>
      <c r="D212" s="9" t="inlineStr">
        <is>
          <t>Cần quét Bio Fanpage</t>
        </is>
      </c>
      <c r="E212" s="59" t="inlineStr">
        <is>
          <t>27/06/2024 17:00:00</t>
        </is>
      </c>
      <c r="F212" s="59" t="inlineStr">
        <is>
          <t>2 năm trước</t>
        </is>
      </c>
      <c r="G212" s="61" t="n">
        <v>730</v>
      </c>
      <c r="H212" s="62" t="n">
        <v>0</v>
      </c>
      <c r="I212" s="9" t="inlineStr">
        <is>
          <t>Pet Owner / Cộng đồng nuôi cún (10đ)</t>
        </is>
      </c>
      <c r="J212" s="62" t="n">
        <v>10</v>
      </c>
      <c r="K212" s="9" t="inlineStr">
        <is>
          <t>Chưa rõ giống (Cần quét Bio)</t>
        </is>
      </c>
      <c r="L212" s="62" t="n">
        <v>0</v>
      </c>
      <c r="M212" s="62" t="n">
        <v>0</v>
      </c>
      <c r="N212" s="9" t="inlineStr">
        <is>
          <t>Amazon link not found</t>
        </is>
      </c>
      <c r="O212" s="62">
        <f>IF(N212="Selling pet toys + Artificial grass/Pet toilets (TARGET)",15,IF(N212="Selling artificial grass/pet toilets (TARGET)",10,IF(N212="Selling pet toys",7,IF(N212="There's an Amazon link, but no target sales.",3,0))))</f>
        <v/>
      </c>
      <c r="P212" s="67">
        <f>H212+J212+L212+M212+O212</f>
        <v/>
      </c>
      <c r="Q212" s="70" t="inlineStr">
        <is>
          <t>International / Future Expansion</t>
        </is>
      </c>
      <c r="R212" s="9" t="inlineStr">
        <is>
          <t>Khay vệ sinh chung cư (Indoor Potty) + Thảm cỏ ban công (Grass Patch) + Đồ chơi</t>
        </is>
      </c>
      <c r="S212" s="9" t="inlineStr">
        <is>
          <t>Gắn cờ International / Future Expansion - Không gọi Telesale giai đoạn 1</t>
        </is>
      </c>
    </row>
    <row r="213">
      <c r="A213" s="53" t="n">
        <v>3496</v>
      </c>
      <c r="B213" s="12" t="inlineStr">
        <is>
          <t>Страница «I love dogs»</t>
        </is>
      </c>
      <c r="C213" s="54" t="inlineStr">
        <is>
          <t>https://www.facebook.com/I.love.dogssssss</t>
        </is>
      </c>
      <c r="D213" s="6" t="inlineStr">
        <is>
          <t>Cần quét Bio Fanpage</t>
        </is>
      </c>
      <c r="E213" s="53" t="inlineStr">
        <is>
          <t>08/09/2023 03:27:35</t>
        </is>
      </c>
      <c r="F213" s="53" t="inlineStr">
        <is>
          <t>3 năm trước</t>
        </is>
      </c>
      <c r="G213" s="55" t="n">
        <v>1095</v>
      </c>
      <c r="H213" s="56" t="n">
        <v>0</v>
      </c>
      <c r="I213" s="6" t="inlineStr">
        <is>
          <t>Pet Owner / Cộng đồng nuôi cún (10đ)</t>
        </is>
      </c>
      <c r="J213" s="56" t="n">
        <v>10</v>
      </c>
      <c r="K213" s="6" t="inlineStr">
        <is>
          <t>Chưa rõ giống (Cần quét Bio)</t>
        </is>
      </c>
      <c r="L213" s="56" t="n">
        <v>0</v>
      </c>
      <c r="M213" s="56" t="n">
        <v>0</v>
      </c>
      <c r="N213" s="6" t="inlineStr">
        <is>
          <t>Amazon link not found</t>
        </is>
      </c>
      <c r="O213" s="56">
        <f>IF(N213="Selling pet toys + Artificial grass/Pet toilets (TARGET)",15,IF(N213="Selling artificial grass/pet toilets (TARGET)",10,IF(N213="Selling pet toys",7,IF(N213="There's an Amazon link, but no target sales.",3,0))))</f>
        <v/>
      </c>
      <c r="P213" s="65">
        <f>H213+J213+L213+M213+O213</f>
        <v/>
      </c>
      <c r="Q213" s="71" t="inlineStr">
        <is>
          <t>International / Future Expansion</t>
        </is>
      </c>
      <c r="R213" s="6" t="inlineStr">
        <is>
          <t>Khay vệ sinh chung cư (Indoor Potty) + Thảm cỏ ban công (Grass Patch) + Đồ chơi</t>
        </is>
      </c>
      <c r="S213" s="6" t="inlineStr">
        <is>
          <t>Gắn cờ International / Future Expansion - Không gọi Telesale giai đoạn 1</t>
        </is>
      </c>
    </row>
    <row r="214">
      <c r="A214" s="59" t="n">
        <v>3497</v>
      </c>
      <c r="B214" s="15" t="inlineStr">
        <is>
          <t>Фотоконкурс Bestpetsawards</t>
        </is>
      </c>
      <c r="C214" s="60" t="inlineStr">
        <is>
          <t>https://www.facebook.com/bestpetsawards</t>
        </is>
      </c>
      <c r="D214" s="9" t="inlineStr">
        <is>
          <t>Cần quét Bio Fanpage</t>
        </is>
      </c>
      <c r="E214" s="59" t="inlineStr">
        <is>
          <t>30/08/2023 05:41:06</t>
        </is>
      </c>
      <c r="F214" s="59" t="inlineStr">
        <is>
          <t>3 năm trước</t>
        </is>
      </c>
      <c r="G214" s="61" t="n">
        <v>1095</v>
      </c>
      <c r="H214" s="62" t="n">
        <v>0</v>
      </c>
      <c r="I214" s="9" t="inlineStr">
        <is>
          <t>Pet Owner / Cộng đồng nuôi cún (10đ)</t>
        </is>
      </c>
      <c r="J214" s="62" t="n">
        <v>10</v>
      </c>
      <c r="K214" s="9" t="inlineStr">
        <is>
          <t>Chưa rõ giống (Cần quét Bio)</t>
        </is>
      </c>
      <c r="L214" s="62" t="n">
        <v>0</v>
      </c>
      <c r="M214" s="62" t="n">
        <v>0</v>
      </c>
      <c r="N214" s="9" t="inlineStr">
        <is>
          <t>Amazon link not found</t>
        </is>
      </c>
      <c r="O214" s="62">
        <f>IF(N214="Selling pet toys + Artificial grass/Pet toilets (TARGET)",15,IF(N214="Selling artificial grass/pet toilets (TARGET)",10,IF(N214="Selling pet toys",7,IF(N214="There's an Amazon link, but no target sales.",3,0))))</f>
        <v/>
      </c>
      <c r="P214" s="67">
        <f>H214+J214+L214+M214+O214</f>
        <v/>
      </c>
      <c r="Q214" s="70" t="inlineStr">
        <is>
          <t>International / Future Expansion</t>
        </is>
      </c>
      <c r="R214" s="9" t="inlineStr">
        <is>
          <t>Khay vệ sinh chung cư (Indoor Potty) + Thảm cỏ ban công (Grass Patch) + Đồ chơi</t>
        </is>
      </c>
      <c r="S214" s="9" t="inlineStr">
        <is>
          <t>Gắn cờ International / Future Expansion - Không gọi Telesale giai đoạn 1</t>
        </is>
      </c>
    </row>
    <row r="215">
      <c r="A215" s="53" t="n">
        <v>3491</v>
      </c>
      <c r="B215" s="12" t="inlineStr">
        <is>
          <t>ГМЗ "Петергоф". The Peterhof Museum Reserve</t>
        </is>
      </c>
      <c r="C215" s="54" t="inlineStr">
        <is>
          <t>https://www.facebook.com/peterhof.museum</t>
        </is>
      </c>
      <c r="D215" s="6" t="inlineStr">
        <is>
          <t>Cần quét Bio Fanpage</t>
        </is>
      </c>
      <c r="E215" s="53" t="inlineStr">
        <is>
          <t>02/03/2022 19:34:10</t>
        </is>
      </c>
      <c r="F215" s="53" t="inlineStr">
        <is>
          <t>4 năm trước</t>
        </is>
      </c>
      <c r="G215" s="55" t="n">
        <v>1460</v>
      </c>
      <c r="H215" s="56" t="n">
        <v>0</v>
      </c>
      <c r="I215" s="6" t="inlineStr">
        <is>
          <t>Pet Owner / Cộng đồng nuôi cún (10đ)</t>
        </is>
      </c>
      <c r="J215" s="56" t="n">
        <v>10</v>
      </c>
      <c r="K215" s="6" t="inlineStr">
        <is>
          <t>Chưa rõ giống (Cần quét Bio)</t>
        </is>
      </c>
      <c r="L215" s="56" t="n">
        <v>0</v>
      </c>
      <c r="M215" s="56" t="n">
        <v>0</v>
      </c>
      <c r="N215" s="6" t="inlineStr">
        <is>
          <t>Amazon link not found</t>
        </is>
      </c>
      <c r="O215" s="56">
        <f>IF(N215="Selling pet toys + Artificial grass/Pet toilets (TARGET)",15,IF(N215="Selling artificial grass/pet toilets (TARGET)",10,IF(N215="Selling pet toys",7,IF(N215="There's an Amazon link, but no target sales.",3,0))))</f>
        <v/>
      </c>
      <c r="P215" s="65">
        <f>H215+J215+L215+M215+O215</f>
        <v/>
      </c>
      <c r="Q215" s="71" t="inlineStr">
        <is>
          <t>International / Future Expansion</t>
        </is>
      </c>
      <c r="R215" s="6" t="inlineStr">
        <is>
          <t>Khay vệ sinh chung cư (Indoor Potty) + Thảm cỏ ban công (Grass Patch) + Đồ chơi</t>
        </is>
      </c>
      <c r="S215" s="6" t="inlineStr">
        <is>
          <t>Gắn cờ International / Future Expansion - Không gọi Telesale giai đoạn 1</t>
        </is>
      </c>
    </row>
    <row r="216">
      <c r="A216" s="59" t="n">
        <v>2052</v>
      </c>
      <c r="B216" s="15" t="inlineStr">
        <is>
          <t>LookDog бренд товаров для животных.</t>
        </is>
      </c>
      <c r="C216" s="60" t="inlineStr">
        <is>
          <t>https://www.facebook.com/lookdog.ru</t>
        </is>
      </c>
      <c r="D216" s="9" t="inlineStr">
        <is>
          <t>Cần quét Bio Fanpage</t>
        </is>
      </c>
      <c r="E216" s="59" t="inlineStr">
        <is>
          <t>27/01/2022 16:17:13</t>
        </is>
      </c>
      <c r="F216" s="59" t="inlineStr">
        <is>
          <t>4 năm trước</t>
        </is>
      </c>
      <c r="G216" s="61" t="n">
        <v>1460</v>
      </c>
      <c r="H216" s="62" t="n">
        <v>0</v>
      </c>
      <c r="I216" s="9" t="inlineStr">
        <is>
          <t>Pet Owner / Cộng đồng nuôi cún (10đ)</t>
        </is>
      </c>
      <c r="J216" s="62" t="n">
        <v>10</v>
      </c>
      <c r="K216" s="9" t="inlineStr">
        <is>
          <t>Chưa rõ giống (Cần quét Bio)</t>
        </is>
      </c>
      <c r="L216" s="62" t="n">
        <v>0</v>
      </c>
      <c r="M216" s="62" t="n">
        <v>0</v>
      </c>
      <c r="N216" s="9" t="inlineStr">
        <is>
          <t>Amazon link not found</t>
        </is>
      </c>
      <c r="O216" s="62">
        <f>IF(N216="Selling pet toys + Artificial grass/Pet toilets (TARGET)",15,IF(N216="Selling artificial grass/pet toilets (TARGET)",10,IF(N216="Selling pet toys",7,IF(N216="There's an Amazon link, but no target sales.",3,0))))</f>
        <v/>
      </c>
      <c r="P216" s="67">
        <f>H216+J216+L216+M216+O216</f>
        <v/>
      </c>
      <c r="Q216" s="70" t="inlineStr">
        <is>
          <t>International / Future Expansion</t>
        </is>
      </c>
      <c r="R216" s="9" t="inlineStr">
        <is>
          <t>Khay vệ sinh chung cư (Indoor Potty) + Thảm cỏ ban công (Grass Patch) + Đồ chơi</t>
        </is>
      </c>
      <c r="S216" s="9" t="inlineStr">
        <is>
          <t>Gắn cờ International / Future Expansion - Không gọi Telesale giai đoạn 1</t>
        </is>
      </c>
    </row>
    <row r="217">
      <c r="A217" s="53" t="n">
        <v>2506</v>
      </c>
      <c r="B217" s="12" t="inlineStr">
        <is>
          <t>Petfood - зоотовары с доставкой до двери</t>
        </is>
      </c>
      <c r="C217" s="54" t="inlineStr">
        <is>
          <t>https://www.facebook.com/Trainerodessaua</t>
        </is>
      </c>
      <c r="D217" s="6" t="inlineStr">
        <is>
          <t>Cần quét Bio Fanpage</t>
        </is>
      </c>
      <c r="E217" s="53" t="inlineStr">
        <is>
          <t>27/08/2021 20:35:25</t>
        </is>
      </c>
      <c r="F217" s="53" t="inlineStr">
        <is>
          <t>5 năm trước</t>
        </is>
      </c>
      <c r="G217" s="55" t="n">
        <v>1825</v>
      </c>
      <c r="H217" s="56" t="n">
        <v>0</v>
      </c>
      <c r="I217" s="6" t="inlineStr">
        <is>
          <t>Pet Owner / Cộng đồng nuôi cún (10đ)</t>
        </is>
      </c>
      <c r="J217" s="56" t="n">
        <v>10</v>
      </c>
      <c r="K217" s="6" t="inlineStr">
        <is>
          <t>Chưa rõ giống (Cần quét Bio)</t>
        </is>
      </c>
      <c r="L217" s="56" t="n">
        <v>0</v>
      </c>
      <c r="M217" s="56" t="n">
        <v>0</v>
      </c>
      <c r="N217" s="6" t="inlineStr">
        <is>
          <t>Amazon link not found</t>
        </is>
      </c>
      <c r="O217" s="56">
        <f>IF(N217="Selling pet toys + Artificial grass/Pet toilets (TARGET)",15,IF(N217="Selling artificial grass/pet toilets (TARGET)",10,IF(N217="Selling pet toys",7,IF(N217="There's an Amazon link, but no target sales.",3,0))))</f>
        <v/>
      </c>
      <c r="P217" s="65">
        <f>H217+J217+L217+M217+O217</f>
        <v/>
      </c>
      <c r="Q217" s="71" t="inlineStr">
        <is>
          <t>International / Future Expansion</t>
        </is>
      </c>
      <c r="R217" s="6" t="inlineStr">
        <is>
          <t>Khay vệ sinh chung cư (Indoor Potty) + Thảm cỏ ban công (Grass Patch) + Đồ chơi</t>
        </is>
      </c>
      <c r="S217" s="6" t="inlineStr">
        <is>
          <t>Gắn cờ International / Future Expansion - Không gọi Telesale giai đoạn 1</t>
        </is>
      </c>
    </row>
    <row r="218">
      <c r="A218" s="59" t="n">
        <v>861</v>
      </c>
      <c r="B218" s="15" t="inlineStr">
        <is>
          <t>CCI Facility Dog Peru IV</t>
        </is>
      </c>
      <c r="C218" s="60" t="inlineStr">
        <is>
          <t>https://www.facebook.com/peruthepup</t>
        </is>
      </c>
      <c r="D218" s="9" t="inlineStr">
        <is>
          <t>Cần quét Bio Fanpage</t>
        </is>
      </c>
      <c r="E218" s="59" t="inlineStr">
        <is>
          <t>11/10/2020 09:30:05</t>
        </is>
      </c>
      <c r="F218" s="59" t="inlineStr">
        <is>
          <t>6 năm trước</t>
        </is>
      </c>
      <c r="G218" s="61" t="n">
        <v>2190</v>
      </c>
      <c r="H218" s="62" t="n">
        <v>0</v>
      </c>
      <c r="I218" s="9" t="inlineStr">
        <is>
          <t>Pet Owner / Cộng đồng nuôi cún (10đ)</t>
        </is>
      </c>
      <c r="J218" s="62" t="n">
        <v>10</v>
      </c>
      <c r="K218" s="9" t="inlineStr">
        <is>
          <t>Chưa rõ giống (Cần quét Bio)</t>
        </is>
      </c>
      <c r="L218" s="62" t="n">
        <v>0</v>
      </c>
      <c r="M218" s="62" t="n">
        <v>0</v>
      </c>
      <c r="N218" s="9" t="inlineStr">
        <is>
          <t>Amazon link not found</t>
        </is>
      </c>
      <c r="O218" s="62">
        <f>IF(N218="Selling pet toys + Artificial grass/Pet toilets (TARGET)",15,IF(N218="Selling artificial grass/pet toilets (TARGET)",10,IF(N218="Selling pet toys",7,IF(N218="There's an Amazon link, but no target sales.",3,0))))</f>
        <v/>
      </c>
      <c r="P218" s="67">
        <f>H218+J218+L218+M218+O218</f>
        <v/>
      </c>
      <c r="Q218" s="70" t="inlineStr">
        <is>
          <t>International / Future Expansion</t>
        </is>
      </c>
      <c r="R218" s="9" t="inlineStr">
        <is>
          <t>Khay vệ sinh chung cư (Indoor Potty) + Thảm cỏ ban công (Grass Patch) + Đồ chơi</t>
        </is>
      </c>
      <c r="S218" s="9" t="inlineStr">
        <is>
          <t>Gắn cờ International / Future Expansion - Không gọi Telesale giai đoạn 1</t>
        </is>
      </c>
    </row>
    <row r="219">
      <c r="A219" s="53" t="n">
        <v>3492</v>
      </c>
      <c r="B219" s="12" t="inlineStr">
        <is>
          <t>Журнал "питомцы - Pets"</t>
        </is>
      </c>
      <c r="C219" s="54" t="inlineStr">
        <is>
          <t>https://www.facebook.com/pitomcy.ua</t>
        </is>
      </c>
      <c r="D219" s="6" t="inlineStr">
        <is>
          <t>Cần quét Bio Fanpage</t>
        </is>
      </c>
      <c r="E219" s="53" t="inlineStr">
        <is>
          <t>Không tìm thấy bài viết</t>
        </is>
      </c>
      <c r="F219" s="53" t="inlineStr">
        <is>
          <t>Không có bài</t>
        </is>
      </c>
      <c r="G219" s="55" t="n">
        <v>999</v>
      </c>
      <c r="H219" s="56" t="n">
        <v>0</v>
      </c>
      <c r="I219" s="6" t="inlineStr">
        <is>
          <t>Pet Owner / Cộng đồng nuôi cún (10đ)</t>
        </is>
      </c>
      <c r="J219" s="56" t="n">
        <v>10</v>
      </c>
      <c r="K219" s="6" t="inlineStr">
        <is>
          <t>Chưa rõ giống (Cần quét Bio)</t>
        </is>
      </c>
      <c r="L219" s="56" t="n">
        <v>0</v>
      </c>
      <c r="M219" s="56" t="n">
        <v>0</v>
      </c>
      <c r="N219" s="6" t="inlineStr">
        <is>
          <t>Amazon link not found</t>
        </is>
      </c>
      <c r="O219" s="56">
        <f>IF(N219="Selling pet toys + Artificial grass/Pet toilets (TARGET)",15,IF(N219="Selling artificial grass/pet toilets (TARGET)",10,IF(N219="Selling pet toys",7,IF(N219="There's an Amazon link, but no target sales.",3,0))))</f>
        <v/>
      </c>
      <c r="P219" s="65">
        <f>H219+J219+L219+M219+O219</f>
        <v/>
      </c>
      <c r="Q219" s="71" t="inlineStr">
        <is>
          <t>International / Future Expansion</t>
        </is>
      </c>
      <c r="R219" s="6" t="inlineStr">
        <is>
          <t>Khay vệ sinh chung cư (Indoor Potty) + Thảm cỏ ban công (Grass Patch) + Đồ chơi</t>
        </is>
      </c>
      <c r="S219" s="6" t="inlineStr">
        <is>
          <t>Gắn cờ International / Future Expansion - Không gọi Telesale giai đoạn 1</t>
        </is>
      </c>
    </row>
    <row r="220">
      <c r="A220" s="59" t="n">
        <v>3498</v>
      </c>
      <c r="B220" s="15" t="inlineStr">
        <is>
          <t>ХотьDog.by</t>
        </is>
      </c>
      <c r="C220" s="60" t="inlineStr">
        <is>
          <t>https://www.facebook.com/profile.php?id=100075630085857</t>
        </is>
      </c>
      <c r="D220" s="9" t="inlineStr">
        <is>
          <t>Cần quét Bio Fanpage</t>
        </is>
      </c>
      <c r="E220" s="59" t="inlineStr">
        <is>
          <t>Không tìm thấy bài viết</t>
        </is>
      </c>
      <c r="F220" s="59" t="inlineStr">
        <is>
          <t>Không có bài</t>
        </is>
      </c>
      <c r="G220" s="61" t="n">
        <v>999</v>
      </c>
      <c r="H220" s="62" t="n">
        <v>0</v>
      </c>
      <c r="I220" s="9" t="inlineStr">
        <is>
          <t>Pet Owner / Cộng đồng nuôi cún (10đ)</t>
        </is>
      </c>
      <c r="J220" s="62" t="n">
        <v>10</v>
      </c>
      <c r="K220" s="9" t="inlineStr">
        <is>
          <t>Chưa rõ giống (Cần quét Bio)</t>
        </is>
      </c>
      <c r="L220" s="62" t="n">
        <v>0</v>
      </c>
      <c r="M220" s="62" t="n">
        <v>0</v>
      </c>
      <c r="N220" s="9" t="inlineStr">
        <is>
          <t>Amazon link not found</t>
        </is>
      </c>
      <c r="O220" s="62">
        <f>IF(N220="Selling pet toys + Artificial grass/Pet toilets (TARGET)",15,IF(N220="Selling artificial grass/pet toilets (TARGET)",10,IF(N220="Selling pet toys",7,IF(N220="There's an Amazon link, but no target sales.",3,0))))</f>
        <v/>
      </c>
      <c r="P220" s="67">
        <f>H220+J220+L220+M220+O220</f>
        <v/>
      </c>
      <c r="Q220" s="70" t="inlineStr">
        <is>
          <t>International / Future Expansion</t>
        </is>
      </c>
      <c r="R220" s="9" t="inlineStr">
        <is>
          <t>Khay vệ sinh chung cư (Indoor Potty) + Thảm cỏ ban công (Grass Patch) + Đồ chơi</t>
        </is>
      </c>
      <c r="S220" s="9" t="inlineStr">
        <is>
          <t>Gắn cờ International / Future Expansion - Không gọi Telesale giai đoạn 1</t>
        </is>
      </c>
    </row>
  </sheetData>
  <autoFilter ref="A4:S220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6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6" customWidth="1" min="4" max="4"/>
    <col width="20" customWidth="1" min="5" max="5"/>
    <col width="18" customWidth="1" min="6" max="6"/>
    <col width="14" customWidth="1" min="7" max="7"/>
    <col width="14" customWidth="1" min="8" max="8"/>
    <col width="34" customWidth="1" min="9" max="9"/>
    <col width="13" customWidth="1" min="10" max="10"/>
    <col width="32" customWidth="1" min="11" max="11"/>
    <col width="14" customWidth="1" min="12" max="12"/>
    <col width="14" customWidth="1" min="13" max="13"/>
    <col width="38" customWidth="1" min="14" max="14"/>
    <col width="14" customWidth="1" min="15" max="15"/>
    <col width="15" customWidth="1" min="16" max="16"/>
    <col width="28" customWidth="1" min="17" max="17"/>
    <col width="48" customWidth="1" min="18" max="18"/>
    <col width="52" customWidth="1" min="19" max="19"/>
  </cols>
  <sheetData>
    <row r="1">
      <c r="A1" s="1" t="inlineStr">
        <is>
          <t>DANH SÁCH LOẠI TRỪ ÂM TÍNH (NEGATIVE EXCLUSION FILTERS - MỤC 5 SKILL.MD)</t>
        </is>
      </c>
    </row>
    <row r="2">
      <c r="A2" s="2" t="inlineStr">
        <is>
          <t>Tổng cộng: 960 hồ sơ phi khách hàng (Hiệp hội AKC/UKC/FCI, Siêu thị lớn, Kênh Meme, Thú y/DNA, FB User ẩn danh, Ngành khác) - Không đưa vào CRM</t>
        </is>
      </c>
    </row>
    <row r="4" ht="28" customHeight="1">
      <c r="A4" s="5" t="inlineStr">
        <is>
          <t>STT Gốc</t>
        </is>
      </c>
      <c r="B4" s="5" t="inlineStr">
        <is>
          <t>Tên Profile / Fanpage</t>
        </is>
      </c>
      <c r="C4" s="5" t="inlineStr">
        <is>
          <t>URL Facebook</t>
        </is>
      </c>
      <c r="D4" s="5" t="inlineStr">
        <is>
          <t>Website</t>
        </is>
      </c>
      <c r="E4" s="5" t="inlineStr">
        <is>
          <t>Thời gian Đăng gần nhất</t>
        </is>
      </c>
      <c r="F4" s="5" t="inlineStr">
        <is>
          <t>Thời gian Tương đối</t>
        </is>
      </c>
      <c r="G4" s="5" t="inlineStr">
        <is>
          <t>Số ngày (lastActiveDays)</t>
        </is>
      </c>
      <c r="H4" s="5" t="inlineStr">
        <is>
          <t>Điểm Tương tác (Recency 0-35)</t>
        </is>
      </c>
      <c r="I4" s="5" t="inlineStr">
        <is>
          <t>Phân loại ICP (ICP Segment)</t>
        </is>
      </c>
      <c r="J4" s="5" t="inlineStr">
        <is>
          <t>Điểm ICP (10-30)</t>
        </is>
      </c>
      <c r="K4" s="5" t="inlineStr">
        <is>
          <t>Giống Chó Nhận diện (Breed)</t>
        </is>
      </c>
      <c r="L4" s="5" t="inlineStr">
        <is>
          <t>Điểm Giống (Breed 0-15)</t>
        </is>
      </c>
      <c r="M4" s="5" t="inlineStr">
        <is>
          <t>Điểm Hạ tầng (Infra 0-10)</t>
        </is>
      </c>
      <c r="N4" s="5" t="inlineStr">
        <is>
          <t>Trạng thái Amazon (Amazon Status)</t>
        </is>
      </c>
      <c r="O4" s="5" t="inlineStr">
        <is>
          <t>Điểm Amazon (0-15)</t>
        </is>
      </c>
      <c r="P4" s="5" t="inlineStr">
        <is>
          <t>Tổng Điểm (Lead Score)</t>
        </is>
      </c>
      <c r="Q4" s="5" t="inlineStr">
        <is>
          <t>Phân hạng (Tier)</t>
        </is>
      </c>
      <c r="R4" s="5" t="inlineStr">
        <is>
          <t>Phân loại Nhu cầu Sản phẩm</t>
        </is>
      </c>
      <c r="S4" s="5" t="inlineStr">
        <is>
          <t>Hành động Sales / Kịch bản</t>
        </is>
      </c>
    </row>
    <row r="5">
      <c r="A5" s="53" t="n">
        <v>96</v>
      </c>
      <c r="B5" s="12" t="inlineStr">
        <is>
          <t>American Bully Kennel Club - ABKC</t>
        </is>
      </c>
      <c r="C5" s="54" t="inlineStr">
        <is>
          <t>https://www.facebook.com/TheABKC</t>
        </is>
      </c>
      <c r="D5" s="6" t="inlineStr">
        <is>
          <t>Cần quét Bio Fanpage</t>
        </is>
      </c>
      <c r="E5" s="53" t="inlineStr">
        <is>
          <t>12/10/2026 10:07:34</t>
        </is>
      </c>
      <c r="F5" s="53" t="inlineStr">
        <is>
          <t>14 giờ trước</t>
        </is>
      </c>
      <c r="G5" s="55" t="n">
        <v>0.58</v>
      </c>
      <c r="H5" s="56" t="n">
        <v>32</v>
      </c>
      <c r="I5" s="6" t="inlineStr">
        <is>
          <t>Dog Breeder / Trại chó chuyên nghiệp (28-30đ)</t>
        </is>
      </c>
      <c r="J5" s="56" t="n">
        <v>30</v>
      </c>
      <c r="K5" s="6" t="inlineStr">
        <is>
          <t>American Bully / Bully</t>
        </is>
      </c>
      <c r="L5" s="56" t="n">
        <v>10</v>
      </c>
      <c r="M5" s="56" t="n">
        <v>5</v>
      </c>
      <c r="N5" s="6" t="inlineStr">
        <is>
          <t>Amazon link not found</t>
        </is>
      </c>
      <c r="O5" s="56">
        <f>IF(N5="Selling pet toys + Artificial grass/Pet toilets (TARGET)",15,IF(N5="Selling artificial grass/pet toilets (TARGET)",10,IF(N5="Selling pet toys",7,IF(N5="There's an Amazon link, but no target sales.",3,0))))</f>
        <v/>
      </c>
      <c r="P5" s="65">
        <f>H5+J5+L5+M5+O5</f>
        <v/>
      </c>
      <c r="Q5" s="71" t="inlineStr">
        <is>
          <t>Excluded: Hiệp hội &amp; CLB Phả hệ (Mục 5.1)</t>
        </is>
      </c>
      <c r="R5" s="6" t="inlineStr">
        <is>
          <t>Trọn gói Take-Home Starter Kit V2/V3 (Cỏ nhân tạo + Khay Potty + Đồ chơi Teething/Snuggle)</t>
        </is>
      </c>
      <c r="S5" s="6" t="inlineStr">
        <is>
          <t>Tuyệt đối không đưa vào CRM (Vi phạm Bộ lọc Âm tính Mục 5)</t>
        </is>
      </c>
    </row>
    <row r="6">
      <c r="A6" s="59" t="n">
        <v>788</v>
      </c>
      <c r="B6" s="15" t="inlineStr">
        <is>
          <t>Bulldog Roofing</t>
        </is>
      </c>
      <c r="C6" s="60" t="inlineStr">
        <is>
          <t>https://www.facebook.com/Bulldog.Roofing.Co</t>
        </is>
      </c>
      <c r="D6" s="9" t="inlineStr">
        <is>
          <t>Cần quét Bio Fanpage</t>
        </is>
      </c>
      <c r="E6" s="59" t="inlineStr">
        <is>
          <t>12/10/2026 20:12:00</t>
        </is>
      </c>
      <c r="F6" s="59" t="inlineStr">
        <is>
          <t>6 giờ trước</t>
        </is>
      </c>
      <c r="G6" s="61" t="n">
        <v>0.25</v>
      </c>
      <c r="H6" s="62" t="n">
        <v>32</v>
      </c>
      <c r="I6" s="9" t="inlineStr">
        <is>
          <t>Dog Breeder / Trại nhân giống (28-30đ)</t>
        </is>
      </c>
      <c r="J6" s="62" t="n">
        <v>28</v>
      </c>
      <c r="K6" s="9" t="inlineStr">
        <is>
          <t>English Bulldog</t>
        </is>
      </c>
      <c r="L6" s="62" t="n">
        <v>10</v>
      </c>
      <c r="M6" s="62" t="n">
        <v>5</v>
      </c>
      <c r="N6" s="9" t="inlineStr">
        <is>
          <t>Amazon link not found</t>
        </is>
      </c>
      <c r="O6" s="62">
        <f>IF(N6="Selling pet toys + Artificial grass/Pet toilets (TARGET)",15,IF(N6="Selling artificial grass/pet toilets (TARGET)",10,IF(N6="Selling pet toys",7,IF(N6="There's an Amazon link, but no target sales.",3,0))))</f>
        <v/>
      </c>
      <c r="P6" s="67">
        <f>H6+J6+L6+M6+O6</f>
        <v/>
      </c>
      <c r="Q6" s="70" t="inlineStr">
        <is>
          <t>Excluded: Ngành nghề Khác (Phi Cún cưng)</t>
        </is>
      </c>
      <c r="R6" s="9" t="inlineStr">
        <is>
          <t>Trọn gói Take-Home Starter Kit V2/V3 (Cỏ nhân tạo + Khay Potty + Đồ chơi cún con)</t>
        </is>
      </c>
      <c r="S6" s="9" t="inlineStr">
        <is>
          <t>Tuyệt đối không đưa vào CRM (Vi phạm Bộ lọc Âm tính Mục 5)</t>
        </is>
      </c>
    </row>
    <row r="7">
      <c r="A7" s="53" t="n">
        <v>3899</v>
      </c>
      <c r="B7" s="12" t="inlineStr">
        <is>
          <t>Foxhound Bee Co</t>
        </is>
      </c>
      <c r="C7" s="54" t="inlineStr">
        <is>
          <t>https://www.facebook.com/foxhoundbeeco</t>
        </is>
      </c>
      <c r="D7" s="6" t="inlineStr">
        <is>
          <t>Cần quét Bio Fanpage</t>
        </is>
      </c>
      <c r="E7" s="53" t="inlineStr">
        <is>
          <t>13/10/2026 05:00:06</t>
        </is>
      </c>
      <c r="F7" s="53" t="inlineStr">
        <is>
          <t>2 giờ trước</t>
        </is>
      </c>
      <c r="G7" s="55" t="n">
        <v>0.08</v>
      </c>
      <c r="H7" s="56" t="n">
        <v>35</v>
      </c>
      <c r="I7" s="6" t="inlineStr">
        <is>
          <t>Dog Breeder / Trại nhân giống (28-30đ)</t>
        </is>
      </c>
      <c r="J7" s="56" t="n">
        <v>28</v>
      </c>
      <c r="K7" s="6" t="inlineStr">
        <is>
          <t>Hound / Beagle / Basset</t>
        </is>
      </c>
      <c r="L7" s="56" t="n">
        <v>5</v>
      </c>
      <c r="M7" s="56" t="n">
        <v>5</v>
      </c>
      <c r="N7" s="6" t="inlineStr">
        <is>
          <t>Amazon link not found</t>
        </is>
      </c>
      <c r="O7" s="56">
        <f>IF(N7="Selling pet toys + Artificial grass/Pet toilets (TARGET)",15,IF(N7="Selling artificial grass/pet toilets (TARGET)",10,IF(N7="Selling pet toys",7,IF(N7="There's an Amazon link, but no target sales.",3,0))))</f>
        <v/>
      </c>
      <c r="P7" s="65">
        <f>H7+J7+L7+M7+O7</f>
        <v/>
      </c>
      <c r="Q7" s="71" t="inlineStr">
        <is>
          <t>Excluded: Ngành nghề Khác (Phi Cún cưng)</t>
        </is>
      </c>
      <c r="R7" s="6" t="inlineStr">
        <is>
          <t>Trọn gói Take-Home Starter Kit V2/V3 (Cỏ nhân tạo + Khay Potty + Đồ chơi cún con)</t>
        </is>
      </c>
      <c r="S7" s="6" t="inlineStr">
        <is>
          <t>Tuyệt đối không đưa vào CRM (Vi phạm Bộ lọc Âm tính Mục 5)</t>
        </is>
      </c>
    </row>
    <row r="8">
      <c r="A8" s="59" t="n">
        <v>1288</v>
      </c>
      <c r="B8" s="15" t="inlineStr">
        <is>
          <t>English Bulldog Club France</t>
        </is>
      </c>
      <c r="C8" s="60" t="inlineStr">
        <is>
          <t>https://www.facebook.com/profile.php?id=61560584383020</t>
        </is>
      </c>
      <c r="D8" s="9" t="inlineStr">
        <is>
          <t>Cần quét Bio Fanpage</t>
        </is>
      </c>
      <c r="E8" s="59" t="inlineStr">
        <is>
          <t>13/10/2026 00:50:43</t>
        </is>
      </c>
      <c r="F8" s="59" t="inlineStr">
        <is>
          <t>2 giờ trước</t>
        </is>
      </c>
      <c r="G8" s="61" t="n">
        <v>0.08</v>
      </c>
      <c r="H8" s="62" t="n">
        <v>35</v>
      </c>
      <c r="I8" s="9" t="inlineStr">
        <is>
          <t>Dog Breeder / Trại nhân giống (28-30đ)</t>
        </is>
      </c>
      <c r="J8" s="62" t="n">
        <v>28</v>
      </c>
      <c r="K8" s="9" t="inlineStr">
        <is>
          <t>English Bulldog</t>
        </is>
      </c>
      <c r="L8" s="62" t="n">
        <v>10</v>
      </c>
      <c r="M8" s="62" t="n">
        <v>0</v>
      </c>
      <c r="N8" s="9" t="inlineStr">
        <is>
          <t>Amazon link not found</t>
        </is>
      </c>
      <c r="O8" s="62">
        <f>IF(N8="Selling pet toys + Artificial grass/Pet toilets (TARGET)",15,IF(N8="Selling artificial grass/pet toilets (TARGET)",10,IF(N8="Selling pet toys",7,IF(N8="There's an Amazon link, but no target sales.",3,0))))</f>
        <v/>
      </c>
      <c r="P8" s="67">
        <f>H8+J8+L8+M8+O8</f>
        <v/>
      </c>
      <c r="Q8" s="70" t="inlineStr">
        <is>
          <t>Excluded: Hiệp hội &amp; CLB Phả hệ (Mục 5.1)</t>
        </is>
      </c>
      <c r="R8" s="9" t="inlineStr">
        <is>
          <t>Trọn gói Take-Home Starter Kit V2/V3 (Cỏ nhân tạo + Khay Potty + Đồ chơi cún con)</t>
        </is>
      </c>
      <c r="S8" s="9" t="inlineStr">
        <is>
          <t>Tuyệt đối không đưa vào CRM (Vi phạm Bộ lọc Âm tính Mục 5)</t>
        </is>
      </c>
    </row>
    <row r="9">
      <c r="A9" s="53" t="n">
        <v>1523</v>
      </c>
      <c r="B9" s="12" t="inlineStr">
        <is>
          <t>Golden Retriever Dog Club of the Ozarks</t>
        </is>
      </c>
      <c r="C9" s="54" t="inlineStr">
        <is>
          <t>https://www.facebook.com/Goldenretrievercluboftheozarks</t>
        </is>
      </c>
      <c r="D9" s="6" t="inlineStr">
        <is>
          <t>Cần quét Bio Fanpage</t>
        </is>
      </c>
      <c r="E9" s="53" t="inlineStr">
        <is>
          <t>13/10/2026 00:48:09</t>
        </is>
      </c>
      <c r="F9" s="53" t="inlineStr">
        <is>
          <t>2 giờ trước</t>
        </is>
      </c>
      <c r="G9" s="55" t="n">
        <v>0.08</v>
      </c>
      <c r="H9" s="56" t="n">
        <v>35</v>
      </c>
      <c r="I9" s="6" t="inlineStr">
        <is>
          <t>Dog Breeder / Trại nhân giống (28-30đ)</t>
        </is>
      </c>
      <c r="J9" s="56" t="n">
        <v>28</v>
      </c>
      <c r="K9" s="6" t="inlineStr">
        <is>
          <t>Golden Retriever</t>
        </is>
      </c>
      <c r="L9" s="56" t="n">
        <v>10</v>
      </c>
      <c r="M9" s="56" t="n">
        <v>0</v>
      </c>
      <c r="N9" s="6" t="inlineStr">
        <is>
          <t>Amazon link not found</t>
        </is>
      </c>
      <c r="O9" s="56">
        <f>IF(N9="Selling pet toys + Artificial grass/Pet toilets (TARGET)",15,IF(N9="Selling artificial grass/pet toilets (TARGET)",10,IF(N9="Selling pet toys",7,IF(N9="There's an Amazon link, but no target sales.",3,0))))</f>
        <v/>
      </c>
      <c r="P9" s="65">
        <f>H9+J9+L9+M9+O9</f>
        <v/>
      </c>
      <c r="Q9" s="71" t="inlineStr">
        <is>
          <t>Excluded: Hiệp hội &amp; CLB Phả hệ (Mục 5.1)</t>
        </is>
      </c>
      <c r="R9" s="6" t="inlineStr">
        <is>
          <t>Trọn gói Take-Home Starter Kit V2/V3 (Cỏ nhân tạo + Khay Potty + Đồ chơi cún con)</t>
        </is>
      </c>
      <c r="S9" s="6" t="inlineStr">
        <is>
          <t>Tuyệt đối không đưa vào CRM (Vi phạm Bộ lọc Âm tính Mục 5)</t>
        </is>
      </c>
    </row>
    <row r="10">
      <c r="A10" s="59" t="n">
        <v>409</v>
      </c>
      <c r="B10" s="15" t="inlineStr">
        <is>
          <t>American Farm Company</t>
        </is>
      </c>
      <c r="C10" s="60" t="inlineStr">
        <is>
          <t>https://www.facebook.com/americanfarmcompany</t>
        </is>
      </c>
      <c r="D10" s="9" t="inlineStr">
        <is>
          <t>Cần quét Bio Fanpage</t>
        </is>
      </c>
      <c r="E10" s="59" t="inlineStr">
        <is>
          <t>13/10/2026 00:44:44</t>
        </is>
      </c>
      <c r="F10" s="59" t="inlineStr">
        <is>
          <t>54 phút trước</t>
        </is>
      </c>
      <c r="G10" s="61" t="n">
        <v>0.04</v>
      </c>
      <c r="H10" s="62" t="n">
        <v>35</v>
      </c>
      <c r="I10" s="9" t="inlineStr">
        <is>
          <t>Dog Breeder / Trại nhân giống (28-30đ)</t>
        </is>
      </c>
      <c r="J10" s="62" t="n">
        <v>28</v>
      </c>
      <c r="K10" s="9" t="inlineStr">
        <is>
          <t>Chưa rõ giống (Cần quét Bio)</t>
        </is>
      </c>
      <c r="L10" s="62" t="n">
        <v>0</v>
      </c>
      <c r="M10" s="62" t="n">
        <v>10</v>
      </c>
      <c r="N10" s="9" t="inlineStr">
        <is>
          <t>Amazon link not found</t>
        </is>
      </c>
      <c r="O10" s="62">
        <f>IF(N10="Selling pet toys + Artificial grass/Pet toilets (TARGET)",15,IF(N10="Selling artificial grass/pet toilets (TARGET)",10,IF(N10="Selling pet toys",7,IF(N10="There's an Amazon link, but no target sales.",3,0))))</f>
        <v/>
      </c>
      <c r="P10" s="67">
        <f>H10+J10+L10+M10+O10</f>
        <v/>
      </c>
      <c r="Q10" s="70" t="inlineStr">
        <is>
          <t>Excluded: Trang Chung / Không rõ Ngách Cún cưng</t>
        </is>
      </c>
      <c r="R10" s="9" t="inlineStr">
        <is>
          <t>Trọn gói Take-Home Starter Kit V2/V3 (Cỏ nhân tạo + Khay Potty + Đồ chơi cún con)</t>
        </is>
      </c>
      <c r="S10" s="9" t="inlineStr">
        <is>
          <t>Tuyệt đối không đưa vào CRM (Vi phạm Bộ lọc Âm tính Mục 5)</t>
        </is>
      </c>
    </row>
    <row r="11">
      <c r="A11" s="53" t="n">
        <v>3280</v>
      </c>
      <c r="B11" s="12" t="inlineStr">
        <is>
          <t>Valarti FCI Rottweiler Kennel</t>
        </is>
      </c>
      <c r="C11" s="54" t="inlineStr">
        <is>
          <t>https://www.facebook.com/valartikennel</t>
        </is>
      </c>
      <c r="D11" s="6" t="inlineStr">
        <is>
          <t>Cần quét Bio Fanpage</t>
        </is>
      </c>
      <c r="E11" s="53" t="inlineStr">
        <is>
          <t>11/10/2026 13:46:01</t>
        </is>
      </c>
      <c r="F11" s="53" t="inlineStr">
        <is>
          <t>1 ngày trước</t>
        </is>
      </c>
      <c r="G11" s="55" t="n">
        <v>1</v>
      </c>
      <c r="H11" s="56" t="n">
        <v>28</v>
      </c>
      <c r="I11" s="6" t="inlineStr">
        <is>
          <t>Dog Breeder / Trại chó chuyên nghiệp (28-30đ)</t>
        </is>
      </c>
      <c r="J11" s="56" t="n">
        <v>30</v>
      </c>
      <c r="K11" s="6" t="inlineStr">
        <is>
          <t>Rottweiler</t>
        </is>
      </c>
      <c r="L11" s="56" t="n">
        <v>10</v>
      </c>
      <c r="M11" s="56" t="n">
        <v>5</v>
      </c>
      <c r="N11" s="6" t="inlineStr">
        <is>
          <t>Amazon link not found</t>
        </is>
      </c>
      <c r="O11" s="56">
        <f>IF(N11="Selling pet toys + Artificial grass/Pet toilets (TARGET)",15,IF(N11="Selling artificial grass/pet toilets (TARGET)",10,IF(N11="Selling pet toys",7,IF(N11="There's an Amazon link, but no target sales.",3,0))))</f>
        <v/>
      </c>
      <c r="P11" s="65">
        <f>H11+J11+L11+M11+O11</f>
        <v/>
      </c>
      <c r="Q11" s="71" t="inlineStr">
        <is>
          <t>Excluded: Hiệp hội &amp; CLB Phả hệ (Mục 5.1)</t>
        </is>
      </c>
      <c r="R11" s="6" t="inlineStr">
        <is>
          <t>Trọn gói Take-Home Starter Kit V2/V3 (Cỏ nhân tạo + Khay Potty + Đồ chơi Teething/Snuggle)</t>
        </is>
      </c>
      <c r="S11" s="6" t="inlineStr">
        <is>
          <t>Tuyệt đối không đưa vào CRM (Vi phạm Bộ lọc Âm tính Mục 5)</t>
        </is>
      </c>
    </row>
    <row r="12">
      <c r="A12" s="59" t="n">
        <v>1963</v>
      </c>
      <c r="B12" s="15" t="inlineStr">
        <is>
          <t>Labrador retriever kennel "Ambasadorius" - FCI</t>
        </is>
      </c>
      <c r="C12" s="60" t="inlineStr">
        <is>
          <t>https://www.facebook.com/LabradorRetrieverKennelAmbasadoriusFci</t>
        </is>
      </c>
      <c r="D12" s="9" t="inlineStr">
        <is>
          <t>Cần quét Bio Fanpage</t>
        </is>
      </c>
      <c r="E12" s="59" t="inlineStr">
        <is>
          <t>09/10/2026 22:55:05</t>
        </is>
      </c>
      <c r="F12" s="59" t="inlineStr">
        <is>
          <t>3 ngày trước</t>
        </is>
      </c>
      <c r="G12" s="61" t="n">
        <v>3</v>
      </c>
      <c r="H12" s="62" t="n">
        <v>28</v>
      </c>
      <c r="I12" s="9" t="inlineStr">
        <is>
          <t>Dog Breeder / Trại chó chuyên nghiệp (28-30đ)</t>
        </is>
      </c>
      <c r="J12" s="62" t="n">
        <v>30</v>
      </c>
      <c r="K12" s="9" t="inlineStr">
        <is>
          <t>Labrador</t>
        </is>
      </c>
      <c r="L12" s="62" t="n">
        <v>10</v>
      </c>
      <c r="M12" s="62" t="n">
        <v>5</v>
      </c>
      <c r="N12" s="9" t="inlineStr">
        <is>
          <t>Amazon link not found</t>
        </is>
      </c>
      <c r="O12" s="62">
        <f>IF(N12="Selling pet toys + Artificial grass/Pet toilets (TARGET)",15,IF(N12="Selling artificial grass/pet toilets (TARGET)",10,IF(N12="Selling pet toys",7,IF(N12="There's an Amazon link, but no target sales.",3,0))))</f>
        <v/>
      </c>
      <c r="P12" s="67">
        <f>H12+J12+L12+M12+O12</f>
        <v/>
      </c>
      <c r="Q12" s="70" t="inlineStr">
        <is>
          <t>Excluded: Hiệp hội &amp; CLB Phả hệ (Mục 5.1)</t>
        </is>
      </c>
      <c r="R12" s="9" t="inlineStr">
        <is>
          <t>Trọn gói Take-Home Starter Kit V2/V3 (Cỏ nhân tạo + Khay Potty + Đồ chơi Teething/Snuggle)</t>
        </is>
      </c>
      <c r="S12" s="9" t="inlineStr">
        <is>
          <t>Tuyệt đối không đưa vào CRM (Vi phạm Bộ lọc Âm tính Mục 5)</t>
        </is>
      </c>
    </row>
    <row r="13">
      <c r="A13" s="53" t="n">
        <v>214</v>
      </c>
      <c r="B13" s="12" t="inlineStr">
        <is>
          <t>Look4dog.com - FCI purebred dogs and kennels search</t>
        </is>
      </c>
      <c r="C13" s="54" t="inlineStr">
        <is>
          <t>https://www.facebook.com/Look4dog</t>
        </is>
      </c>
      <c r="D13" s="6" t="inlineStr">
        <is>
          <t>https://look4dog.com</t>
        </is>
      </c>
      <c r="E13" s="53" t="inlineStr">
        <is>
          <t>12/10/2026 17:09:17</t>
        </is>
      </c>
      <c r="F13" s="53" t="inlineStr">
        <is>
          <t>8 giờ trước</t>
        </is>
      </c>
      <c r="G13" s="55" t="n">
        <v>0.33</v>
      </c>
      <c r="H13" s="56" t="n">
        <v>32</v>
      </c>
      <c r="I13" s="6" t="inlineStr">
        <is>
          <t>Dog Breeder / Trại chó chuyên nghiệp (28-30đ)</t>
        </is>
      </c>
      <c r="J13" s="56" t="n">
        <v>30</v>
      </c>
      <c r="K13" s="6" t="inlineStr">
        <is>
          <t>Chưa rõ giống (Cần quét Bio)</t>
        </is>
      </c>
      <c r="L13" s="56" t="n">
        <v>0</v>
      </c>
      <c r="M13" s="56" t="n">
        <v>10</v>
      </c>
      <c r="N13" s="6" t="inlineStr">
        <is>
          <t>Amazon link not found</t>
        </is>
      </c>
      <c r="O13" s="56">
        <f>IF(N13="Selling pet toys + Artificial grass/Pet toilets (TARGET)",15,IF(N13="Selling artificial grass/pet toilets (TARGET)",10,IF(N13="Selling pet toys",7,IF(N13="There's an Amazon link, but no target sales.",3,0))))</f>
        <v/>
      </c>
      <c r="P13" s="65">
        <f>H13+J13+L13+M13+O13</f>
        <v/>
      </c>
      <c r="Q13" s="71" t="inlineStr">
        <is>
          <t>Excluded: Hiệp hội &amp; CLB Phả hệ (Mục 5.1)</t>
        </is>
      </c>
      <c r="R13" s="6" t="inlineStr">
        <is>
          <t>Trọn gói Take-Home Starter Kit V2/V3 (Cỏ nhân tạo + Khay Potty + Đồ chơi Teething/Snuggle)</t>
        </is>
      </c>
      <c r="S13" s="6" t="inlineStr">
        <is>
          <t>Tuyệt đối không đưa vào CRM (Vi phạm Bộ lọc Âm tính Mục 5)</t>
        </is>
      </c>
    </row>
    <row r="14">
      <c r="A14" s="59" t="n">
        <v>3478</v>
      </c>
      <c r="B14" s="15" t="inlineStr">
        <is>
          <t>Zakatek Izi - SHIBA Kennel ZKwP/FCI</t>
        </is>
      </c>
      <c r="C14" s="60" t="inlineStr">
        <is>
          <t>https://www.facebook.com/zakatekizi</t>
        </is>
      </c>
      <c r="D14" s="9" t="inlineStr">
        <is>
          <t>Cần quét Bio Fanpage</t>
        </is>
      </c>
      <c r="E14" s="59" t="inlineStr">
        <is>
          <t>12/10/2026 13:10:43</t>
        </is>
      </c>
      <c r="F14" s="59" t="inlineStr">
        <is>
          <t>17 giờ trước</t>
        </is>
      </c>
      <c r="G14" s="61" t="n">
        <v>0.71</v>
      </c>
      <c r="H14" s="62" t="n">
        <v>32</v>
      </c>
      <c r="I14" s="9" t="inlineStr">
        <is>
          <t>Dog Breeder / Trại chó chuyên nghiệp (28-30đ)</t>
        </is>
      </c>
      <c r="J14" s="62" t="n">
        <v>30</v>
      </c>
      <c r="K14" s="9" t="inlineStr">
        <is>
          <t>Husky / Malamute / Samoyed / Spitz</t>
        </is>
      </c>
      <c r="L14" s="62" t="n">
        <v>5</v>
      </c>
      <c r="M14" s="62" t="n">
        <v>5</v>
      </c>
      <c r="N14" s="9" t="inlineStr">
        <is>
          <t>Amazon link not found</t>
        </is>
      </c>
      <c r="O14" s="62">
        <f>IF(N14="Selling pet toys + Artificial grass/Pet toilets (TARGET)",15,IF(N14="Selling artificial grass/pet toilets (TARGET)",10,IF(N14="Selling pet toys",7,IF(N14="There's an Amazon link, but no target sales.",3,0))))</f>
        <v/>
      </c>
      <c r="P14" s="67">
        <f>H14+J14+L14+M14+O14</f>
        <v/>
      </c>
      <c r="Q14" s="70" t="inlineStr">
        <is>
          <t>Excluded: Hiệp hội &amp; CLB Phả hệ (Mục 5.1)</t>
        </is>
      </c>
      <c r="R14" s="9" t="inlineStr">
        <is>
          <t>Trọn gói Take-Home Starter Kit V2/V3 (Cỏ nhân tạo + Khay Potty + Đồ chơi Teething/Snuggle)</t>
        </is>
      </c>
      <c r="S14" s="9" t="inlineStr">
        <is>
          <t>Tuyệt đối không đưa vào CRM (Vi phạm Bộ lọc Âm tính Mục 5)</t>
        </is>
      </c>
    </row>
    <row r="15">
      <c r="A15" s="53" t="n">
        <v>107</v>
      </c>
      <c r="B15" s="12" t="inlineStr">
        <is>
          <t>Baltas Vėjas- Podenco Ibicenco FCI Kennel</t>
        </is>
      </c>
      <c r="C15" s="54" t="inlineStr">
        <is>
          <t>https://www.facebook.com/www.Ibizanhounds.de</t>
        </is>
      </c>
      <c r="D15" s="6" t="inlineStr">
        <is>
          <t>Cần quét Bio Fanpage</t>
        </is>
      </c>
      <c r="E15" s="53" t="inlineStr">
        <is>
          <t>12/10/2026 03:59:45</t>
        </is>
      </c>
      <c r="F15" s="53" t="inlineStr">
        <is>
          <t>21 giờ trước</t>
        </is>
      </c>
      <c r="G15" s="55" t="n">
        <v>0.88</v>
      </c>
      <c r="H15" s="56" t="n">
        <v>32</v>
      </c>
      <c r="I15" s="6" t="inlineStr">
        <is>
          <t>Dog Breeder / Trại chó chuyên nghiệp (28-30đ)</t>
        </is>
      </c>
      <c r="J15" s="56" t="n">
        <v>30</v>
      </c>
      <c r="K15" s="6" t="inlineStr">
        <is>
          <t>Hound / Beagle / Basset</t>
        </is>
      </c>
      <c r="L15" s="56" t="n">
        <v>5</v>
      </c>
      <c r="M15" s="56" t="n">
        <v>5</v>
      </c>
      <c r="N15" s="6" t="inlineStr">
        <is>
          <t>Amazon link not found</t>
        </is>
      </c>
      <c r="O15" s="56">
        <f>IF(N15="Selling pet toys + Artificial grass/Pet toilets (TARGET)",15,IF(N15="Selling artificial grass/pet toilets (TARGET)",10,IF(N15="Selling pet toys",7,IF(N15="There's an Amazon link, but no target sales.",3,0))))</f>
        <v/>
      </c>
      <c r="P15" s="65">
        <f>H15+J15+L15+M15+O15</f>
        <v/>
      </c>
      <c r="Q15" s="71" t="inlineStr">
        <is>
          <t>Excluded: Hiệp hội &amp; CLB Phả hệ (Mục 5.1)</t>
        </is>
      </c>
      <c r="R15" s="6" t="inlineStr">
        <is>
          <t>Trọn gói Take-Home Starter Kit V2/V3 (Cỏ nhân tạo + Khay Potty + Đồ chơi Teething/Snuggle)</t>
        </is>
      </c>
      <c r="S15" s="6" t="inlineStr">
        <is>
          <t>Tuyệt đối không đưa vào CRM (Vi phạm Bộ lọc Âm tính Mục 5)</t>
        </is>
      </c>
    </row>
    <row r="16">
      <c r="A16" s="59" t="n">
        <v>1868</v>
      </c>
      <c r="B16" s="15" t="inlineStr">
        <is>
          <t>Kennel "z Chaty Leona" FCI</t>
        </is>
      </c>
      <c r="C16" s="60" t="inlineStr">
        <is>
          <t>https://www.facebook.com/kennelzchatyleona</t>
        </is>
      </c>
      <c r="D16" s="9" t="inlineStr">
        <is>
          <t>Cần quét Bio Fanpage</t>
        </is>
      </c>
      <c r="E16" s="59" t="inlineStr">
        <is>
          <t>13/10/2026 00:58:39</t>
        </is>
      </c>
      <c r="F16" s="59" t="inlineStr">
        <is>
          <t>3 giờ trước</t>
        </is>
      </c>
      <c r="G16" s="61" t="n">
        <v>0.12</v>
      </c>
      <c r="H16" s="62" t="n">
        <v>35</v>
      </c>
      <c r="I16" s="9" t="inlineStr">
        <is>
          <t>Dog Breeder / Trại chó chuyên nghiệp (28-30đ)</t>
        </is>
      </c>
      <c r="J16" s="62" t="n">
        <v>30</v>
      </c>
      <c r="K16" s="9" t="inlineStr">
        <is>
          <t>Chưa rõ giống (Cần quét Bio)</t>
        </is>
      </c>
      <c r="L16" s="62" t="n">
        <v>0</v>
      </c>
      <c r="M16" s="62" t="n">
        <v>5</v>
      </c>
      <c r="N16" s="9" t="inlineStr">
        <is>
          <t>Amazon link not found</t>
        </is>
      </c>
      <c r="O16" s="62">
        <f>IF(N16="Selling pet toys + Artificial grass/Pet toilets (TARGET)",15,IF(N16="Selling artificial grass/pet toilets (TARGET)",10,IF(N16="Selling pet toys",7,IF(N16="There's an Amazon link, but no target sales.",3,0))))</f>
        <v/>
      </c>
      <c r="P16" s="67">
        <f>H16+J16+L16+M16+O16</f>
        <v/>
      </c>
      <c r="Q16" s="70" t="inlineStr">
        <is>
          <t>Excluded: Hiệp hội &amp; CLB Phả hệ (Mục 5.1)</t>
        </is>
      </c>
      <c r="R16" s="9" t="inlineStr">
        <is>
          <t>Trọn gói Take-Home Starter Kit V2/V3 (Cỏ nhân tạo + Khay Potty + Đồ chơi Teething/Snuggle)</t>
        </is>
      </c>
      <c r="S16" s="9" t="inlineStr">
        <is>
          <t>Tuyệt đối không đưa vào CRM (Vi phạm Bộ lọc Âm tính Mục 5)</t>
        </is>
      </c>
    </row>
    <row r="17">
      <c r="A17" s="53" t="n">
        <v>2</v>
      </c>
      <c r="B17" s="12" t="inlineStr">
        <is>
          <t>Westminster Kennel Club Dog Show</t>
        </is>
      </c>
      <c r="C17" s="54" t="inlineStr">
        <is>
          <t>https://www.facebook.com/WKCDogShow</t>
        </is>
      </c>
      <c r="D17" s="6" t="inlineStr">
        <is>
          <t>Cần quét Bio Fanpage</t>
        </is>
      </c>
      <c r="E17" s="53" t="inlineStr">
        <is>
          <t>12/10/2026 21:00:36</t>
        </is>
      </c>
      <c r="F17" s="53" t="inlineStr">
        <is>
          <t>3 giờ trước</t>
        </is>
      </c>
      <c r="G17" s="55" t="n">
        <v>0.12</v>
      </c>
      <c r="H17" s="56" t="n">
        <v>35</v>
      </c>
      <c r="I17" s="6" t="inlineStr">
        <is>
          <t>Dog Breeder / Trại chó chuyên nghiệp (28-30đ)</t>
        </is>
      </c>
      <c r="J17" s="56" t="n">
        <v>30</v>
      </c>
      <c r="K17" s="6" t="inlineStr">
        <is>
          <t>Chưa rõ giống (Cần quét Bio)</t>
        </is>
      </c>
      <c r="L17" s="56" t="n">
        <v>0</v>
      </c>
      <c r="M17" s="56" t="n">
        <v>5</v>
      </c>
      <c r="N17" s="6" t="inlineStr">
        <is>
          <t>Amazon link not found</t>
        </is>
      </c>
      <c r="O17" s="56">
        <f>IF(N17="Selling pet toys + Artificial grass/Pet toilets (TARGET)",15,IF(N17="Selling artificial grass/pet toilets (TARGET)",10,IF(N17="Selling pet toys",7,IF(N17="There's an Amazon link, but no target sales.",3,0))))</f>
        <v/>
      </c>
      <c r="P17" s="65">
        <f>H17+J17+L17+M17+O17</f>
        <v/>
      </c>
      <c r="Q17" s="71" t="inlineStr">
        <is>
          <t>Excluded: Hiệp hội &amp; CLB Phả hệ (Mục 5.1)</t>
        </is>
      </c>
      <c r="R17" s="6" t="inlineStr">
        <is>
          <t>Trọn gói Take-Home Starter Kit V2/V3 (Cỏ nhân tạo + Khay Potty + Đồ chơi Teething/Snuggle)</t>
        </is>
      </c>
      <c r="S17" s="6" t="inlineStr">
        <is>
          <t>Tuyệt đối không đưa vào CRM (Vi phạm Bộ lọc Âm tính Mục 5)</t>
        </is>
      </c>
    </row>
    <row r="18">
      <c r="A18" s="59" t="n">
        <v>2177</v>
      </c>
      <c r="B18" s="15" t="inlineStr">
        <is>
          <t>Midwest Veterinary Supply, Inc.</t>
        </is>
      </c>
      <c r="C18" s="60" t="inlineStr">
        <is>
          <t>https://www.facebook.com/midwestveterinarysupply</t>
        </is>
      </c>
      <c r="D18" s="9" t="inlineStr">
        <is>
          <t>Cần quét Bio Fanpage</t>
        </is>
      </c>
      <c r="E18" s="59" t="inlineStr">
        <is>
          <t>12/10/2026 20:43:19</t>
        </is>
      </c>
      <c r="F18" s="59" t="inlineStr">
        <is>
          <t>8 giờ trước</t>
        </is>
      </c>
      <c r="G18" s="61" t="n">
        <v>0.33</v>
      </c>
      <c r="H18" s="62" t="n">
        <v>32</v>
      </c>
      <c r="I18" s="9" t="inlineStr">
        <is>
          <t>Dog Breeder / Trại nhân giống (28-30đ)</t>
        </is>
      </c>
      <c r="J18" s="62" t="n">
        <v>28</v>
      </c>
      <c r="K18" s="9" t="inlineStr">
        <is>
          <t>Chưa rõ giống (Cần quét Bio)</t>
        </is>
      </c>
      <c r="L18" s="62" t="n">
        <v>0</v>
      </c>
      <c r="M18" s="62" t="n">
        <v>10</v>
      </c>
      <c r="N18" s="9" t="inlineStr">
        <is>
          <t>Amazon link not found</t>
        </is>
      </c>
      <c r="O18" s="62">
        <f>IF(N18="Selling pet toys + Artificial grass/Pet toilets (TARGET)",15,IF(N18="Selling artificial grass/pet toilets (TARGET)",10,IF(N18="Selling pet toys",7,IF(N18="There's an Amazon link, but no target sales.",3,0))))</f>
        <v/>
      </c>
      <c r="P18" s="67">
        <f>H18+J18+L18+M18+O18</f>
        <v/>
      </c>
      <c r="Q18" s="70" t="inlineStr">
        <is>
          <t>Excluded: Công ty Gen DNA &amp; Thú y (Mục 5.4)</t>
        </is>
      </c>
      <c r="R18" s="9" t="inlineStr">
        <is>
          <t>Trọn gói Take-Home Starter Kit V2/V3 (Cỏ nhân tạo + Khay Potty + Đồ chơi cún con)</t>
        </is>
      </c>
      <c r="S18" s="9" t="inlineStr">
        <is>
          <t>Tuyệt đối không đưa vào CRM (Vi phạm Bộ lọc Âm tính Mục 5)</t>
        </is>
      </c>
    </row>
    <row r="19">
      <c r="A19" s="53" t="n">
        <v>3125</v>
      </c>
      <c r="B19" s="12" t="inlineStr">
        <is>
          <t>The Good Farm Shop</t>
        </is>
      </c>
      <c r="C19" s="54" t="inlineStr">
        <is>
          <t>https://www.facebook.com/shopthegoodfarm</t>
        </is>
      </c>
      <c r="D19" s="6" t="inlineStr">
        <is>
          <t>Cần quét Bio Fanpage</t>
        </is>
      </c>
      <c r="E19" s="53" t="inlineStr">
        <is>
          <t>12/10/2026 11:22:35</t>
        </is>
      </c>
      <c r="F19" s="53" t="inlineStr">
        <is>
          <t>19 giờ trước</t>
        </is>
      </c>
      <c r="G19" s="55" t="n">
        <v>0.79</v>
      </c>
      <c r="H19" s="56" t="n">
        <v>32</v>
      </c>
      <c r="I19" s="6" t="inlineStr">
        <is>
          <t>Dog Breeder / Trại nhân giống (28-30đ)</t>
        </is>
      </c>
      <c r="J19" s="56" t="n">
        <v>28</v>
      </c>
      <c r="K19" s="6" t="inlineStr">
        <is>
          <t>Chưa rõ giống (Cần quét Bio)</t>
        </is>
      </c>
      <c r="L19" s="56" t="n">
        <v>0</v>
      </c>
      <c r="M19" s="56" t="n">
        <v>10</v>
      </c>
      <c r="N19" s="6" t="inlineStr">
        <is>
          <t>Amazon link not found</t>
        </is>
      </c>
      <c r="O19" s="56">
        <f>IF(N19="Selling pet toys + Artificial grass/Pet toilets (TARGET)",15,IF(N19="Selling artificial grass/pet toilets (TARGET)",10,IF(N19="Selling pet toys",7,IF(N19="There's an Amazon link, but no target sales.",3,0))))</f>
        <v/>
      </c>
      <c r="P19" s="65">
        <f>H19+J19+L19+M19+O19</f>
        <v/>
      </c>
      <c r="Q19" s="71" t="inlineStr">
        <is>
          <t>Excluded: Trang Chung / Không rõ Ngách Cún cưng</t>
        </is>
      </c>
      <c r="R19" s="6" t="inlineStr">
        <is>
          <t>Trọn gói Take-Home Starter Kit V2/V3 (Cỏ nhân tạo + Khay Potty + Đồ chơi cún con)</t>
        </is>
      </c>
      <c r="S19" s="6" t="inlineStr">
        <is>
          <t>Tuyệt đối không đưa vào CRM (Vi phạm Bộ lọc Âm tính Mục 5)</t>
        </is>
      </c>
    </row>
    <row r="20">
      <c r="A20" s="59" t="n">
        <v>5602</v>
      </c>
      <c r="B20" s="15" t="inlineStr">
        <is>
          <t>The Hideaway Farm</t>
        </is>
      </c>
      <c r="C20" s="60" t="inlineStr">
        <is>
          <t>https://www.facebook.com/TheHideawayFarmBonAquaTN</t>
        </is>
      </c>
      <c r="D20" s="9" t="inlineStr">
        <is>
          <t>Cần quét Bio Fanpage</t>
        </is>
      </c>
      <c r="E20" s="59" t="inlineStr">
        <is>
          <t>13/10/2026 09:32:11</t>
        </is>
      </c>
      <c r="F20" s="59" t="inlineStr">
        <is>
          <t>1 giờ trước</t>
        </is>
      </c>
      <c r="G20" s="61" t="n">
        <v>0.04</v>
      </c>
      <c r="H20" s="62" t="n">
        <v>35</v>
      </c>
      <c r="I20" s="9" t="inlineStr">
        <is>
          <t>Dog Breeder / Trại nhân giống (28-30đ)</t>
        </is>
      </c>
      <c r="J20" s="62" t="n">
        <v>28</v>
      </c>
      <c r="K20" s="9" t="inlineStr">
        <is>
          <t>Chưa rõ giống (Cần quét Bio)</t>
        </is>
      </c>
      <c r="L20" s="62" t="n">
        <v>0</v>
      </c>
      <c r="M20" s="62" t="n">
        <v>5</v>
      </c>
      <c r="N20" s="9" t="inlineStr">
        <is>
          <t>Amazon link not found</t>
        </is>
      </c>
      <c r="O20" s="62">
        <f>IF(N20="Selling pet toys + Artificial grass/Pet toilets (TARGET)",15,IF(N20="Selling artificial grass/pet toilets (TARGET)",10,IF(N20="Selling pet toys",7,IF(N20="There's an Amazon link, but no target sales.",3,0))))</f>
        <v/>
      </c>
      <c r="P20" s="67">
        <f>H20+J20+L20+M20+O20</f>
        <v/>
      </c>
      <c r="Q20" s="70" t="inlineStr">
        <is>
          <t>Excluded: Trang Chung / Không rõ Ngách Cún cưng</t>
        </is>
      </c>
      <c r="R20" s="9" t="inlineStr">
        <is>
          <t>Trọn gói Take-Home Starter Kit V2/V3 (Cỏ nhân tạo + Khay Potty + Đồ chơi cún con)</t>
        </is>
      </c>
      <c r="S20" s="9" t="inlineStr">
        <is>
          <t>Tuyệt đối không đưa vào CRM (Vi phạm Bộ lọc Âm tính Mục 5)</t>
        </is>
      </c>
    </row>
    <row r="21">
      <c r="A21" s="53" t="n">
        <v>5178</v>
      </c>
      <c r="B21" s="12" t="inlineStr">
        <is>
          <t>Rebel Hollow Farm 2</t>
        </is>
      </c>
      <c r="C21" s="54" t="inlineStr">
        <is>
          <t>https://www.facebook.com/RebelHollow</t>
        </is>
      </c>
      <c r="D21" s="6" t="inlineStr">
        <is>
          <t>Cần quét Bio Fanpage</t>
        </is>
      </c>
      <c r="E21" s="53" t="inlineStr">
        <is>
          <t>13/10/2026 08:15:54</t>
        </is>
      </c>
      <c r="F21" s="53" t="inlineStr">
        <is>
          <t>2 giờ trước</t>
        </is>
      </c>
      <c r="G21" s="55" t="n">
        <v>0.08</v>
      </c>
      <c r="H21" s="56" t="n">
        <v>35</v>
      </c>
      <c r="I21" s="6" t="inlineStr">
        <is>
          <t>Dog Breeder / Trại nhân giống (28-30đ)</t>
        </is>
      </c>
      <c r="J21" s="56" t="n">
        <v>28</v>
      </c>
      <c r="K21" s="6" t="inlineStr">
        <is>
          <t>Chưa rõ giống (Cần quét Bio)</t>
        </is>
      </c>
      <c r="L21" s="56" t="n">
        <v>0</v>
      </c>
      <c r="M21" s="56" t="n">
        <v>5</v>
      </c>
      <c r="N21" s="6" t="inlineStr">
        <is>
          <t>Amazon link not found</t>
        </is>
      </c>
      <c r="O21" s="56">
        <f>IF(N21="Selling pet toys + Artificial grass/Pet toilets (TARGET)",15,IF(N21="Selling artificial grass/pet toilets (TARGET)",10,IF(N21="Selling pet toys",7,IF(N21="There's an Amazon link, but no target sales.",3,0))))</f>
        <v/>
      </c>
      <c r="P21" s="65">
        <f>H21+J21+L21+M21+O21</f>
        <v/>
      </c>
      <c r="Q21" s="71" t="inlineStr">
        <is>
          <t>Excluded: Trang Chung / Không rõ Ngách Cún cưng</t>
        </is>
      </c>
      <c r="R21" s="6" t="inlineStr">
        <is>
          <t>Trọn gói Take-Home Starter Kit V2/V3 (Cỏ nhân tạo + Khay Potty + Đồ chơi cún con)</t>
        </is>
      </c>
      <c r="S21" s="6" t="inlineStr">
        <is>
          <t>Tuyệt đối không đưa vào CRM (Vi phạm Bộ lọc Âm tính Mục 5)</t>
        </is>
      </c>
    </row>
    <row r="22">
      <c r="A22" s="59" t="n">
        <v>5638</v>
      </c>
      <c r="B22" s="15" t="inlineStr">
        <is>
          <t>The Tucker Farm</t>
        </is>
      </c>
      <c r="C22" s="60" t="inlineStr">
        <is>
          <t>https://www.facebook.com/thetuckerfarm</t>
        </is>
      </c>
      <c r="D22" s="9" t="inlineStr">
        <is>
          <t>Cần quét Bio Fanpage</t>
        </is>
      </c>
      <c r="E22" s="59" t="inlineStr">
        <is>
          <t>13/10/2026 08:09:34</t>
        </is>
      </c>
      <c r="F22" s="59" t="inlineStr">
        <is>
          <t>2 giờ trước</t>
        </is>
      </c>
      <c r="G22" s="61" t="n">
        <v>0.08</v>
      </c>
      <c r="H22" s="62" t="n">
        <v>35</v>
      </c>
      <c r="I22" s="9" t="inlineStr">
        <is>
          <t>Dog Breeder / Trại nhân giống (28-30đ)</t>
        </is>
      </c>
      <c r="J22" s="62" t="n">
        <v>28</v>
      </c>
      <c r="K22" s="9" t="inlineStr">
        <is>
          <t>Chưa rõ giống (Cần quét Bio)</t>
        </is>
      </c>
      <c r="L22" s="62" t="n">
        <v>0</v>
      </c>
      <c r="M22" s="62" t="n">
        <v>5</v>
      </c>
      <c r="N22" s="9" t="inlineStr">
        <is>
          <t>Amazon link not found</t>
        </is>
      </c>
      <c r="O22" s="62">
        <f>IF(N22="Selling pet toys + Artificial grass/Pet toilets (TARGET)",15,IF(N22="Selling artificial grass/pet toilets (TARGET)",10,IF(N22="Selling pet toys",7,IF(N22="There's an Amazon link, but no target sales.",3,0))))</f>
        <v/>
      </c>
      <c r="P22" s="67">
        <f>H22+J22+L22+M22+O22</f>
        <v/>
      </c>
      <c r="Q22" s="70" t="inlineStr">
        <is>
          <t>Excluded: Trang Chung / Không rõ Ngách Cún cưng</t>
        </is>
      </c>
      <c r="R22" s="9" t="inlineStr">
        <is>
          <t>Trọn gói Take-Home Starter Kit V2/V3 (Cỏ nhân tạo + Khay Potty + Đồ chơi cún con)</t>
        </is>
      </c>
      <c r="S22" s="9" t="inlineStr">
        <is>
          <t>Tuyệt đối không đưa vào CRM (Vi phạm Bộ lọc Âm tính Mục 5)</t>
        </is>
      </c>
    </row>
    <row r="23">
      <c r="A23" s="53" t="n">
        <v>4743</v>
      </c>
      <c r="B23" s="12" t="inlineStr">
        <is>
          <t>Nature's Farmacy, Inc.</t>
        </is>
      </c>
      <c r="C23" s="54" t="inlineStr">
        <is>
          <t>https://www.facebook.com/NaturesFarmacyInc</t>
        </is>
      </c>
      <c r="D23" s="6" t="inlineStr">
        <is>
          <t>Cần quét Bio Fanpage</t>
        </is>
      </c>
      <c r="E23" s="53" t="inlineStr">
        <is>
          <t>13/10/2026 08:00:00</t>
        </is>
      </c>
      <c r="F23" s="53" t="inlineStr">
        <is>
          <t>1 giờ trước</t>
        </is>
      </c>
      <c r="G23" s="55" t="n">
        <v>0.04</v>
      </c>
      <c r="H23" s="56" t="n">
        <v>35</v>
      </c>
      <c r="I23" s="6" t="inlineStr">
        <is>
          <t>Dog Breeder / Trại nhân giống (28-30đ)</t>
        </is>
      </c>
      <c r="J23" s="56" t="n">
        <v>28</v>
      </c>
      <c r="K23" s="6" t="inlineStr">
        <is>
          <t>Chưa rõ giống (Cần quét Bio)</t>
        </is>
      </c>
      <c r="L23" s="56" t="n">
        <v>0</v>
      </c>
      <c r="M23" s="56" t="n">
        <v>5</v>
      </c>
      <c r="N23" s="6" t="inlineStr">
        <is>
          <t>Amazon link not found</t>
        </is>
      </c>
      <c r="O23" s="56">
        <f>IF(N23="Selling pet toys + Artificial grass/Pet toilets (TARGET)",15,IF(N23="Selling artificial grass/pet toilets (TARGET)",10,IF(N23="Selling pet toys",7,IF(N23="There's an Amazon link, but no target sales.",3,0))))</f>
        <v/>
      </c>
      <c r="P23" s="65">
        <f>H23+J23+L23+M23+O23</f>
        <v/>
      </c>
      <c r="Q23" s="71" t="inlineStr">
        <is>
          <t>Excluded: Trang Chung / Không rõ Ngách Cún cưng</t>
        </is>
      </c>
      <c r="R23" s="6" t="inlineStr">
        <is>
          <t>Trọn gói Take-Home Starter Kit V2/V3 (Cỏ nhân tạo + Khay Potty + Đồ chơi cún con)</t>
        </is>
      </c>
      <c r="S23" s="6" t="inlineStr">
        <is>
          <t>Tuyệt đối không đưa vào CRM (Vi phạm Bộ lọc Âm tính Mục 5)</t>
        </is>
      </c>
    </row>
    <row r="24">
      <c r="A24" s="59" t="n">
        <v>5292</v>
      </c>
      <c r="B24" s="15" t="inlineStr">
        <is>
          <t>Sandy Acres Farm</t>
        </is>
      </c>
      <c r="C24" s="60" t="inlineStr">
        <is>
          <t>https://www.facebook.com/SandyAcresFarms</t>
        </is>
      </c>
      <c r="D24" s="9" t="inlineStr">
        <is>
          <t>Cần quét Bio Fanpage</t>
        </is>
      </c>
      <c r="E24" s="59" t="inlineStr">
        <is>
          <t>13/10/2026 07:48:31</t>
        </is>
      </c>
      <c r="F24" s="59" t="inlineStr">
        <is>
          <t>2 giờ trước</t>
        </is>
      </c>
      <c r="G24" s="61" t="n">
        <v>0.08</v>
      </c>
      <c r="H24" s="62" t="n">
        <v>35</v>
      </c>
      <c r="I24" s="9" t="inlineStr">
        <is>
          <t>Dog Breeder / Trại nhân giống (28-30đ)</t>
        </is>
      </c>
      <c r="J24" s="62" t="n">
        <v>28</v>
      </c>
      <c r="K24" s="9" t="inlineStr">
        <is>
          <t>Chưa rõ giống (Cần quét Bio)</t>
        </is>
      </c>
      <c r="L24" s="62" t="n">
        <v>0</v>
      </c>
      <c r="M24" s="62" t="n">
        <v>5</v>
      </c>
      <c r="N24" s="9" t="inlineStr">
        <is>
          <t>Amazon link not found</t>
        </is>
      </c>
      <c r="O24" s="62">
        <f>IF(N24="Selling pet toys + Artificial grass/Pet toilets (TARGET)",15,IF(N24="Selling artificial grass/pet toilets (TARGET)",10,IF(N24="Selling pet toys",7,IF(N24="There's an Amazon link, but no target sales.",3,0))))</f>
        <v/>
      </c>
      <c r="P24" s="67">
        <f>H24+J24+L24+M24+O24</f>
        <v/>
      </c>
      <c r="Q24" s="70" t="inlineStr">
        <is>
          <t>Excluded: Trang Chung / Không rõ Ngách Cún cưng</t>
        </is>
      </c>
      <c r="R24" s="9" t="inlineStr">
        <is>
          <t>Trọn gói Take-Home Starter Kit V2/V3 (Cỏ nhân tạo + Khay Potty + Đồ chơi cún con)</t>
        </is>
      </c>
      <c r="S24" s="9" t="inlineStr">
        <is>
          <t>Tuyệt đối không đưa vào CRM (Vi phạm Bộ lọc Âm tính Mục 5)</t>
        </is>
      </c>
    </row>
    <row r="25">
      <c r="A25" s="53" t="n">
        <v>4033</v>
      </c>
      <c r="B25" s="12" t="inlineStr">
        <is>
          <t>Green Nature Farm</t>
        </is>
      </c>
      <c r="C25" s="54" t="inlineStr">
        <is>
          <t>https://www.facebook.com/Greennaturefarmreel</t>
        </is>
      </c>
      <c r="D25" s="6" t="inlineStr">
        <is>
          <t>Cần quét Bio Fanpage</t>
        </is>
      </c>
      <c r="E25" s="53" t="inlineStr">
        <is>
          <t>13/10/2026 07:30:39</t>
        </is>
      </c>
      <c r="F25" s="53" t="inlineStr">
        <is>
          <t>40 phút trước</t>
        </is>
      </c>
      <c r="G25" s="55" t="n">
        <v>0.03</v>
      </c>
      <c r="H25" s="56" t="n">
        <v>35</v>
      </c>
      <c r="I25" s="6" t="inlineStr">
        <is>
          <t>Dog Breeder / Trại nhân giống (28-30đ)</t>
        </is>
      </c>
      <c r="J25" s="56" t="n">
        <v>28</v>
      </c>
      <c r="K25" s="6" t="inlineStr">
        <is>
          <t>Chưa rõ giống (Cần quét Bio)</t>
        </is>
      </c>
      <c r="L25" s="56" t="n">
        <v>0</v>
      </c>
      <c r="M25" s="56" t="n">
        <v>5</v>
      </c>
      <c r="N25" s="6" t="inlineStr">
        <is>
          <t>Amazon link not found</t>
        </is>
      </c>
      <c r="O25" s="56">
        <f>IF(N25="Selling pet toys + Artificial grass/Pet toilets (TARGET)",15,IF(N25="Selling artificial grass/pet toilets (TARGET)",10,IF(N25="Selling pet toys",7,IF(N25="There's an Amazon link, but no target sales.",3,0))))</f>
        <v/>
      </c>
      <c r="P25" s="65">
        <f>H25+J25+L25+M25+O25</f>
        <v/>
      </c>
      <c r="Q25" s="71" t="inlineStr">
        <is>
          <t>Excluded: Trang Chung / Không rõ Ngách Cún cưng</t>
        </is>
      </c>
      <c r="R25" s="6" t="inlineStr">
        <is>
          <t>Trọn gói Take-Home Starter Kit V2/V3 (Cỏ nhân tạo + Khay Potty + Đồ chơi cún con)</t>
        </is>
      </c>
      <c r="S25" s="6" t="inlineStr">
        <is>
          <t>Tuyệt đối không đưa vào CRM (Vi phạm Bộ lọc Âm tính Mục 5)</t>
        </is>
      </c>
    </row>
    <row r="26">
      <c r="A26" s="59" t="n">
        <v>3809</v>
      </c>
      <c r="B26" s="15" t="inlineStr">
        <is>
          <t>Farm To Table Creations</t>
        </is>
      </c>
      <c r="C26" s="60" t="inlineStr">
        <is>
          <t>https://www.facebook.com/farmtotablecreations</t>
        </is>
      </c>
      <c r="D26" s="9" t="inlineStr">
        <is>
          <t>Cần quét Bio Fanpage</t>
        </is>
      </c>
      <c r="E26" s="59" t="inlineStr">
        <is>
          <t>13/10/2026 07:13:38</t>
        </is>
      </c>
      <c r="F26" s="59" t="inlineStr">
        <is>
          <t>33 phút trước</t>
        </is>
      </c>
      <c r="G26" s="61" t="n">
        <v>0.02</v>
      </c>
      <c r="H26" s="62" t="n">
        <v>35</v>
      </c>
      <c r="I26" s="9" t="inlineStr">
        <is>
          <t>Dog Breeder / Trại nhân giống (28-30đ)</t>
        </is>
      </c>
      <c r="J26" s="62" t="n">
        <v>28</v>
      </c>
      <c r="K26" s="9" t="inlineStr">
        <is>
          <t>Chưa rõ giống (Cần quét Bio)</t>
        </is>
      </c>
      <c r="L26" s="62" t="n">
        <v>0</v>
      </c>
      <c r="M26" s="62" t="n">
        <v>5</v>
      </c>
      <c r="N26" s="9" t="inlineStr">
        <is>
          <t>Amazon link not found</t>
        </is>
      </c>
      <c r="O26" s="62">
        <f>IF(N26="Selling pet toys + Artificial grass/Pet toilets (TARGET)",15,IF(N26="Selling artificial grass/pet toilets (TARGET)",10,IF(N26="Selling pet toys",7,IF(N26="There's an Amazon link, but no target sales.",3,0))))</f>
        <v/>
      </c>
      <c r="P26" s="67">
        <f>H26+J26+L26+M26+O26</f>
        <v/>
      </c>
      <c r="Q26" s="70" t="inlineStr">
        <is>
          <t>Excluded: Ngành nghề Khác (Phi Cún cưng)</t>
        </is>
      </c>
      <c r="R26" s="9" t="inlineStr">
        <is>
          <t>Trọn gói Take-Home Starter Kit V2/V3 (Cỏ nhân tạo + Khay Potty + Đồ chơi cún con)</t>
        </is>
      </c>
      <c r="S26" s="9" t="inlineStr">
        <is>
          <t>Tuyệt đối không đưa vào CRM (Vi phạm Bộ lọc Âm tính Mục 5)</t>
        </is>
      </c>
    </row>
    <row r="27">
      <c r="A27" s="53" t="n">
        <v>4854</v>
      </c>
      <c r="B27" s="12" t="inlineStr">
        <is>
          <t>Outskirts Farms</t>
        </is>
      </c>
      <c r="C27" s="54" t="inlineStr">
        <is>
          <t>https://www.facebook.com/outskirtsfarms</t>
        </is>
      </c>
      <c r="D27" s="6" t="inlineStr">
        <is>
          <t>Cần quét Bio Fanpage</t>
        </is>
      </c>
      <c r="E27" s="53" t="inlineStr">
        <is>
          <t>13/10/2026 06:30:18</t>
        </is>
      </c>
      <c r="F27" s="53" t="inlineStr">
        <is>
          <t>3 giờ trước</t>
        </is>
      </c>
      <c r="G27" s="55" t="n">
        <v>0.12</v>
      </c>
      <c r="H27" s="56" t="n">
        <v>35</v>
      </c>
      <c r="I27" s="6" t="inlineStr">
        <is>
          <t>Dog Breeder / Trại nhân giống (28-30đ)</t>
        </is>
      </c>
      <c r="J27" s="56" t="n">
        <v>28</v>
      </c>
      <c r="K27" s="6" t="inlineStr">
        <is>
          <t>Chưa rõ giống (Cần quét Bio)</t>
        </is>
      </c>
      <c r="L27" s="56" t="n">
        <v>0</v>
      </c>
      <c r="M27" s="56" t="n">
        <v>5</v>
      </c>
      <c r="N27" s="6" t="inlineStr">
        <is>
          <t>Amazon link not found</t>
        </is>
      </c>
      <c r="O27" s="56">
        <f>IF(N27="Selling pet toys + Artificial grass/Pet toilets (TARGET)",15,IF(N27="Selling artificial grass/pet toilets (TARGET)",10,IF(N27="Selling pet toys",7,IF(N27="There's an Amazon link, but no target sales.",3,0))))</f>
        <v/>
      </c>
      <c r="P27" s="65">
        <f>H27+J27+L27+M27+O27</f>
        <v/>
      </c>
      <c r="Q27" s="71" t="inlineStr">
        <is>
          <t>Excluded: Trang Chung / Không rõ Ngách Cún cưng</t>
        </is>
      </c>
      <c r="R27" s="6" t="inlineStr">
        <is>
          <t>Trọn gói Take-Home Starter Kit V2/V3 (Cỏ nhân tạo + Khay Potty + Đồ chơi cún con)</t>
        </is>
      </c>
      <c r="S27" s="6" t="inlineStr">
        <is>
          <t>Tuyệt đối không đưa vào CRM (Vi phạm Bộ lọc Âm tính Mục 5)</t>
        </is>
      </c>
    </row>
    <row r="28">
      <c r="A28" s="59" t="n">
        <v>4456</v>
      </c>
      <c r="B28" s="15" t="inlineStr">
        <is>
          <t>Lang Farm</t>
        </is>
      </c>
      <c r="C28" s="60" t="inlineStr">
        <is>
          <t>https://www.facebook.com/profile.php?id=61589350972494</t>
        </is>
      </c>
      <c r="D28" s="9" t="inlineStr">
        <is>
          <t>Cần quét Bio Fanpage</t>
        </is>
      </c>
      <c r="E28" s="59" t="inlineStr">
        <is>
          <t>13/10/2026 06:30:14</t>
        </is>
      </c>
      <c r="F28" s="59" t="inlineStr">
        <is>
          <t>2 giờ trước</t>
        </is>
      </c>
      <c r="G28" s="61" t="n">
        <v>0.08</v>
      </c>
      <c r="H28" s="62" t="n">
        <v>35</v>
      </c>
      <c r="I28" s="9" t="inlineStr">
        <is>
          <t>Dog Breeder / Trại nhân giống (28-30đ)</t>
        </is>
      </c>
      <c r="J28" s="62" t="n">
        <v>28</v>
      </c>
      <c r="K28" s="9" t="inlineStr">
        <is>
          <t>Chưa rõ giống (Cần quét Bio)</t>
        </is>
      </c>
      <c r="L28" s="62" t="n">
        <v>0</v>
      </c>
      <c r="M28" s="62" t="n">
        <v>5</v>
      </c>
      <c r="N28" s="9" t="inlineStr">
        <is>
          <t>Amazon link not found</t>
        </is>
      </c>
      <c r="O28" s="62">
        <f>IF(N28="Selling pet toys + Artificial grass/Pet toilets (TARGET)",15,IF(N28="Selling artificial grass/pet toilets (TARGET)",10,IF(N28="Selling pet toys",7,IF(N28="There's an Amazon link, but no target sales.",3,0))))</f>
        <v/>
      </c>
      <c r="P28" s="67">
        <f>H28+J28+L28+M28+O28</f>
        <v/>
      </c>
      <c r="Q28" s="70" t="inlineStr">
        <is>
          <t>Excluded: Trang Chung / Không rõ Ngách Cún cưng</t>
        </is>
      </c>
      <c r="R28" s="9" t="inlineStr">
        <is>
          <t>Trọn gói Take-Home Starter Kit V2/V3 (Cỏ nhân tạo + Khay Potty + Đồ chơi cún con)</t>
        </is>
      </c>
      <c r="S28" s="9" t="inlineStr">
        <is>
          <t>Tuyệt đối không đưa vào CRM (Vi phạm Bộ lọc Âm tính Mục 5)</t>
        </is>
      </c>
    </row>
    <row r="29">
      <c r="A29" s="53" t="n">
        <v>4151</v>
      </c>
      <c r="B29" s="12" t="inlineStr">
        <is>
          <t>HoneyHil Farms - Ella’s Market</t>
        </is>
      </c>
      <c r="C29" s="54" t="inlineStr">
        <is>
          <t>https://www.facebook.com/profile.php?id=61556253429966</t>
        </is>
      </c>
      <c r="D29" s="6" t="inlineStr">
        <is>
          <t>Cần quét Bio Fanpage</t>
        </is>
      </c>
      <c r="E29" s="53" t="inlineStr">
        <is>
          <t>13/10/2026 06:14:45</t>
        </is>
      </c>
      <c r="F29" s="53" t="inlineStr">
        <is>
          <t>2 giờ trước</t>
        </is>
      </c>
      <c r="G29" s="55" t="n">
        <v>0.08</v>
      </c>
      <c r="H29" s="56" t="n">
        <v>35</v>
      </c>
      <c r="I29" s="6" t="inlineStr">
        <is>
          <t>Dog Breeder / Trại nhân giống (28-30đ)</t>
        </is>
      </c>
      <c r="J29" s="56" t="n">
        <v>28</v>
      </c>
      <c r="K29" s="6" t="inlineStr">
        <is>
          <t>Chưa rõ giống (Cần quét Bio)</t>
        </is>
      </c>
      <c r="L29" s="56" t="n">
        <v>0</v>
      </c>
      <c r="M29" s="56" t="n">
        <v>5</v>
      </c>
      <c r="N29" s="6" t="inlineStr">
        <is>
          <t>Amazon link not found</t>
        </is>
      </c>
      <c r="O29" s="56">
        <f>IF(N29="Selling pet toys + Artificial grass/Pet toilets (TARGET)",15,IF(N29="Selling artificial grass/pet toilets (TARGET)",10,IF(N29="Selling pet toys",7,IF(N29="There's an Amazon link, but no target sales.",3,0))))</f>
        <v/>
      </c>
      <c r="P29" s="65">
        <f>H29+J29+L29+M29+O29</f>
        <v/>
      </c>
      <c r="Q29" s="71" t="inlineStr">
        <is>
          <t>Excluded: Trang Chung / Không rõ Ngách Cún cưng</t>
        </is>
      </c>
      <c r="R29" s="6" t="inlineStr">
        <is>
          <t>Trọn gói Take-Home Starter Kit V2/V3 (Cỏ nhân tạo + Khay Potty + Đồ chơi cún con)</t>
        </is>
      </c>
      <c r="S29" s="6" t="inlineStr">
        <is>
          <t>Tuyệt đối không đưa vào CRM (Vi phạm Bộ lọc Âm tính Mục 5)</t>
        </is>
      </c>
    </row>
    <row r="30">
      <c r="A30" s="59" t="n">
        <v>3867</v>
      </c>
      <c r="B30" s="15" t="inlineStr">
        <is>
          <t>Five Oaks Farm</t>
        </is>
      </c>
      <c r="C30" s="60" t="inlineStr">
        <is>
          <t>https://www.facebook.com/FiveOaksFarmAL</t>
        </is>
      </c>
      <c r="D30" s="9" t="inlineStr">
        <is>
          <t>Cần quét Bio Fanpage</t>
        </is>
      </c>
      <c r="E30" s="59" t="inlineStr">
        <is>
          <t>13/10/2026 05:43:19</t>
        </is>
      </c>
      <c r="F30" s="59" t="inlineStr">
        <is>
          <t>2 giờ trước</t>
        </is>
      </c>
      <c r="G30" s="61" t="n">
        <v>0.08</v>
      </c>
      <c r="H30" s="62" t="n">
        <v>35</v>
      </c>
      <c r="I30" s="9" t="inlineStr">
        <is>
          <t>Dog Breeder / Trại nhân giống (28-30đ)</t>
        </is>
      </c>
      <c r="J30" s="62" t="n">
        <v>28</v>
      </c>
      <c r="K30" s="9" t="inlineStr">
        <is>
          <t>Chưa rõ giống (Cần quét Bio)</t>
        </is>
      </c>
      <c r="L30" s="62" t="n">
        <v>0</v>
      </c>
      <c r="M30" s="62" t="n">
        <v>5</v>
      </c>
      <c r="N30" s="9" t="inlineStr">
        <is>
          <t>Amazon link not found</t>
        </is>
      </c>
      <c r="O30" s="62">
        <f>IF(N30="Selling pet toys + Artificial grass/Pet toilets (TARGET)",15,IF(N30="Selling artificial grass/pet toilets (TARGET)",10,IF(N30="Selling pet toys",7,IF(N30="There's an Amazon link, but no target sales.",3,0))))</f>
        <v/>
      </c>
      <c r="P30" s="67">
        <f>H30+J30+L30+M30+O30</f>
        <v/>
      </c>
      <c r="Q30" s="70" t="inlineStr">
        <is>
          <t>Excluded: Trang Chung / Không rõ Ngách Cún cưng</t>
        </is>
      </c>
      <c r="R30" s="9" t="inlineStr">
        <is>
          <t>Trọn gói Take-Home Starter Kit V2/V3 (Cỏ nhân tạo + Khay Potty + Đồ chơi cún con)</t>
        </is>
      </c>
      <c r="S30" s="9" t="inlineStr">
        <is>
          <t>Tuyệt đối không đưa vào CRM (Vi phạm Bộ lọc Âm tính Mục 5)</t>
        </is>
      </c>
    </row>
    <row r="31">
      <c r="A31" s="53" t="n">
        <v>4565</v>
      </c>
      <c r="B31" s="12" t="inlineStr">
        <is>
          <t>Mad Mares Farm</t>
        </is>
      </c>
      <c r="C31" s="54" t="inlineStr">
        <is>
          <t>https://www.facebook.com/MadMaresFarm</t>
        </is>
      </c>
      <c r="D31" s="6" t="inlineStr">
        <is>
          <t>Cần quét Bio Fanpage</t>
        </is>
      </c>
      <c r="E31" s="53" t="inlineStr">
        <is>
          <t>13/10/2026 05:39:14</t>
        </is>
      </c>
      <c r="F31" s="53" t="inlineStr">
        <is>
          <t>3 giờ trước</t>
        </is>
      </c>
      <c r="G31" s="55" t="n">
        <v>0.12</v>
      </c>
      <c r="H31" s="56" t="n">
        <v>35</v>
      </c>
      <c r="I31" s="6" t="inlineStr">
        <is>
          <t>Dog Breeder / Trại nhân giống (28-30đ)</t>
        </is>
      </c>
      <c r="J31" s="56" t="n">
        <v>28</v>
      </c>
      <c r="K31" s="6" t="inlineStr">
        <is>
          <t>Chưa rõ giống (Cần quét Bio)</t>
        </is>
      </c>
      <c r="L31" s="56" t="n">
        <v>0</v>
      </c>
      <c r="M31" s="56" t="n">
        <v>5</v>
      </c>
      <c r="N31" s="6" t="inlineStr">
        <is>
          <t>Amazon link not found</t>
        </is>
      </c>
      <c r="O31" s="56">
        <f>IF(N31="Selling pet toys + Artificial grass/Pet toilets (TARGET)",15,IF(N31="Selling artificial grass/pet toilets (TARGET)",10,IF(N31="Selling pet toys",7,IF(N31="There's an Amazon link, but no target sales.",3,0))))</f>
        <v/>
      </c>
      <c r="P31" s="65">
        <f>H31+J31+L31+M31+O31</f>
        <v/>
      </c>
      <c r="Q31" s="71" t="inlineStr">
        <is>
          <t>Excluded: Trang Chung / Không rõ Ngách Cún cưng</t>
        </is>
      </c>
      <c r="R31" s="6" t="inlineStr">
        <is>
          <t>Trọn gói Take-Home Starter Kit V2/V3 (Cỏ nhân tạo + Khay Potty + Đồ chơi cún con)</t>
        </is>
      </c>
      <c r="S31" s="6" t="inlineStr">
        <is>
          <t>Tuyệt đối không đưa vào CRM (Vi phạm Bộ lọc Âm tính Mục 5)</t>
        </is>
      </c>
    </row>
    <row r="32">
      <c r="A32" s="59" t="n">
        <v>2578</v>
      </c>
      <c r="B32" s="15" t="inlineStr">
        <is>
          <t>Piney Creek Farm KuneKunes</t>
        </is>
      </c>
      <c r="C32" s="60" t="inlineStr">
        <is>
          <t>https://www.facebook.com/ozarkmtnkunekune</t>
        </is>
      </c>
      <c r="D32" s="9" t="inlineStr">
        <is>
          <t>Cần quét Bio Fanpage</t>
        </is>
      </c>
      <c r="E32" s="59" t="inlineStr">
        <is>
          <t>13/10/2026 05:17:07</t>
        </is>
      </c>
      <c r="F32" s="59" t="inlineStr">
        <is>
          <t>16 phút trước</t>
        </is>
      </c>
      <c r="G32" s="61" t="n">
        <v>0.01</v>
      </c>
      <c r="H32" s="62" t="n">
        <v>35</v>
      </c>
      <c r="I32" s="9" t="inlineStr">
        <is>
          <t>Dog Breeder / Trại nhân giống (28-30đ)</t>
        </is>
      </c>
      <c r="J32" s="62" t="n">
        <v>28</v>
      </c>
      <c r="K32" s="9" t="inlineStr">
        <is>
          <t>Chưa rõ giống (Cần quét Bio)</t>
        </is>
      </c>
      <c r="L32" s="62" t="n">
        <v>0</v>
      </c>
      <c r="M32" s="62" t="n">
        <v>5</v>
      </c>
      <c r="N32" s="9" t="inlineStr">
        <is>
          <t>Amazon link not found</t>
        </is>
      </c>
      <c r="O32" s="62">
        <f>IF(N32="Selling pet toys + Artificial grass/Pet toilets (TARGET)",15,IF(N32="Selling artificial grass/pet toilets (TARGET)",10,IF(N32="Selling pet toys",7,IF(N32="There's an Amazon link, but no target sales.",3,0))))</f>
        <v/>
      </c>
      <c r="P32" s="67">
        <f>H32+J32+L32+M32+O32</f>
        <v/>
      </c>
      <c r="Q32" s="70" t="inlineStr">
        <is>
          <t>Excluded: Ngành nghề Khác (Phi Cún cưng)</t>
        </is>
      </c>
      <c r="R32" s="9" t="inlineStr">
        <is>
          <t>Trọn gói Take-Home Starter Kit V2/V3 (Cỏ nhân tạo + Khay Potty + Đồ chơi cún con)</t>
        </is>
      </c>
      <c r="S32" s="9" t="inlineStr">
        <is>
          <t>Tuyệt đối không đưa vào CRM (Vi phạm Bộ lọc Âm tính Mục 5)</t>
        </is>
      </c>
    </row>
    <row r="33">
      <c r="A33" s="53" t="n">
        <v>2756</v>
      </c>
      <c r="B33" s="12" t="inlineStr">
        <is>
          <t>River Rock Springs Farm</t>
        </is>
      </c>
      <c r="C33" s="54" t="inlineStr">
        <is>
          <t>https://www.facebook.com/riverrocksprings</t>
        </is>
      </c>
      <c r="D33" s="6" t="inlineStr">
        <is>
          <t>Cần quét Bio Fanpage</t>
        </is>
      </c>
      <c r="E33" s="53" t="inlineStr">
        <is>
          <t>13/10/2026 04:59:46</t>
        </is>
      </c>
      <c r="F33" s="53" t="inlineStr">
        <is>
          <t>52 phút trước</t>
        </is>
      </c>
      <c r="G33" s="55" t="n">
        <v>0.04</v>
      </c>
      <c r="H33" s="56" t="n">
        <v>35</v>
      </c>
      <c r="I33" s="6" t="inlineStr">
        <is>
          <t>Dog Breeder / Trại nhân giống (28-30đ)</t>
        </is>
      </c>
      <c r="J33" s="56" t="n">
        <v>28</v>
      </c>
      <c r="K33" s="6" t="inlineStr">
        <is>
          <t>Chưa rõ giống (Cần quét Bio)</t>
        </is>
      </c>
      <c r="L33" s="56" t="n">
        <v>0</v>
      </c>
      <c r="M33" s="56" t="n">
        <v>5</v>
      </c>
      <c r="N33" s="6" t="inlineStr">
        <is>
          <t>Amazon link not found</t>
        </is>
      </c>
      <c r="O33" s="56">
        <f>IF(N33="Selling pet toys + Artificial grass/Pet toilets (TARGET)",15,IF(N33="Selling artificial grass/pet toilets (TARGET)",10,IF(N33="Selling pet toys",7,IF(N33="There's an Amazon link, but no target sales.",3,0))))</f>
        <v/>
      </c>
      <c r="P33" s="65">
        <f>H33+J33+L33+M33+O33</f>
        <v/>
      </c>
      <c r="Q33" s="71" t="inlineStr">
        <is>
          <t>Excluded: Trang Chung / Không rõ Ngách Cún cưng</t>
        </is>
      </c>
      <c r="R33" s="6" t="inlineStr">
        <is>
          <t>Trọn gói Take-Home Starter Kit V2/V3 (Cỏ nhân tạo + Khay Potty + Đồ chơi cún con)</t>
        </is>
      </c>
      <c r="S33" s="6" t="inlineStr">
        <is>
          <t>Tuyệt đối không đưa vào CRM (Vi phạm Bộ lọc Âm tính Mục 5)</t>
        </is>
      </c>
    </row>
    <row r="34">
      <c r="A34" s="59" t="n">
        <v>2843</v>
      </c>
      <c r="B34" s="15" t="inlineStr">
        <is>
          <t>Schnepf Farms</t>
        </is>
      </c>
      <c r="C34" s="60" t="inlineStr">
        <is>
          <t>https://www.facebook.com/Schnepffarms</t>
        </is>
      </c>
      <c r="D34" s="9" t="inlineStr">
        <is>
          <t>Cần quét Bio Fanpage</t>
        </is>
      </c>
      <c r="E34" s="59" t="inlineStr">
        <is>
          <t>13/10/2026 04:25:28</t>
        </is>
      </c>
      <c r="F34" s="59" t="inlineStr">
        <is>
          <t>1 giờ trước</t>
        </is>
      </c>
      <c r="G34" s="61" t="n">
        <v>0.04</v>
      </c>
      <c r="H34" s="62" t="n">
        <v>35</v>
      </c>
      <c r="I34" s="9" t="inlineStr">
        <is>
          <t>Dog Breeder / Trại nhân giống (28-30đ)</t>
        </is>
      </c>
      <c r="J34" s="62" t="n">
        <v>28</v>
      </c>
      <c r="K34" s="9" t="inlineStr">
        <is>
          <t>Chưa rõ giống (Cần quét Bio)</t>
        </is>
      </c>
      <c r="L34" s="62" t="n">
        <v>0</v>
      </c>
      <c r="M34" s="62" t="n">
        <v>5</v>
      </c>
      <c r="N34" s="9" t="inlineStr">
        <is>
          <t>Amazon link not found</t>
        </is>
      </c>
      <c r="O34" s="62">
        <f>IF(N34="Selling pet toys + Artificial grass/Pet toilets (TARGET)",15,IF(N34="Selling artificial grass/pet toilets (TARGET)",10,IF(N34="Selling pet toys",7,IF(N34="There's an Amazon link, but no target sales.",3,0))))</f>
        <v/>
      </c>
      <c r="P34" s="67">
        <f>H34+J34+L34+M34+O34</f>
        <v/>
      </c>
      <c r="Q34" s="70" t="inlineStr">
        <is>
          <t>Excluded: Trang Chung / Không rõ Ngách Cún cưng</t>
        </is>
      </c>
      <c r="R34" s="9" t="inlineStr">
        <is>
          <t>Trọn gói Take-Home Starter Kit V2/V3 (Cỏ nhân tạo + Khay Potty + Đồ chơi cún con)</t>
        </is>
      </c>
      <c r="S34" s="9" t="inlineStr">
        <is>
          <t>Tuyệt đối không đưa vào CRM (Vi phạm Bộ lọc Âm tính Mục 5)</t>
        </is>
      </c>
    </row>
    <row r="35">
      <c r="A35" s="53" t="n">
        <v>2128</v>
      </c>
      <c r="B35" s="12" t="inlineStr">
        <is>
          <t>Marshallville Farms LLC</t>
        </is>
      </c>
      <c r="C35" s="54" t="inlineStr">
        <is>
          <t>https://www.facebook.com/marshallvillefarmsllc</t>
        </is>
      </c>
      <c r="D35" s="6" t="inlineStr">
        <is>
          <t>Cần quét Bio Fanpage</t>
        </is>
      </c>
      <c r="E35" s="53" t="inlineStr">
        <is>
          <t>13/10/2026 04:01:12</t>
        </is>
      </c>
      <c r="F35" s="53" t="inlineStr">
        <is>
          <t>43 phút trước</t>
        </is>
      </c>
      <c r="G35" s="55" t="n">
        <v>0.03</v>
      </c>
      <c r="H35" s="56" t="n">
        <v>35</v>
      </c>
      <c r="I35" s="6" t="inlineStr">
        <is>
          <t>Dog Breeder / Trại nhân giống (28-30đ)</t>
        </is>
      </c>
      <c r="J35" s="56" t="n">
        <v>28</v>
      </c>
      <c r="K35" s="6" t="inlineStr">
        <is>
          <t>Chưa rõ giống (Cần quét Bio)</t>
        </is>
      </c>
      <c r="L35" s="56" t="n">
        <v>0</v>
      </c>
      <c r="M35" s="56" t="n">
        <v>5</v>
      </c>
      <c r="N35" s="6" t="inlineStr">
        <is>
          <t>Amazon link not found</t>
        </is>
      </c>
      <c r="O35" s="56">
        <f>IF(N35="Selling pet toys + Artificial grass/Pet toilets (TARGET)",15,IF(N35="Selling artificial grass/pet toilets (TARGET)",10,IF(N35="Selling pet toys",7,IF(N35="There's an Amazon link, but no target sales.",3,0))))</f>
        <v/>
      </c>
      <c r="P35" s="65">
        <f>H35+J35+L35+M35+O35</f>
        <v/>
      </c>
      <c r="Q35" s="71" t="inlineStr">
        <is>
          <t>Excluded: Trang Chung / Không rõ Ngách Cún cưng</t>
        </is>
      </c>
      <c r="R35" s="6" t="inlineStr">
        <is>
          <t>Trọn gói Take-Home Starter Kit V2/V3 (Cỏ nhân tạo + Khay Potty + Đồ chơi cún con)</t>
        </is>
      </c>
      <c r="S35" s="6" t="inlineStr">
        <is>
          <t>Tuyệt đối không đưa vào CRM (Vi phạm Bộ lọc Âm tính Mục 5)</t>
        </is>
      </c>
    </row>
    <row r="36">
      <c r="A36" s="59" t="n">
        <v>1987</v>
      </c>
      <c r="B36" s="15" t="inlineStr">
        <is>
          <t>Larson Farms</t>
        </is>
      </c>
      <c r="C36" s="60" t="inlineStr">
        <is>
          <t>https://www.facebook.com/larson.farmscorrellmn</t>
        </is>
      </c>
      <c r="D36" s="9" t="inlineStr">
        <is>
          <t>Cần quét Bio Fanpage</t>
        </is>
      </c>
      <c r="E36" s="59" t="inlineStr">
        <is>
          <t>13/10/2026 04:00:17</t>
        </is>
      </c>
      <c r="F36" s="59" t="inlineStr">
        <is>
          <t>29 phút trước</t>
        </is>
      </c>
      <c r="G36" s="61" t="n">
        <v>0.02</v>
      </c>
      <c r="H36" s="62" t="n">
        <v>35</v>
      </c>
      <c r="I36" s="9" t="inlineStr">
        <is>
          <t>Dog Breeder / Trại nhân giống (28-30đ)</t>
        </is>
      </c>
      <c r="J36" s="62" t="n">
        <v>28</v>
      </c>
      <c r="K36" s="9" t="inlineStr">
        <is>
          <t>Chưa rõ giống (Cần quét Bio)</t>
        </is>
      </c>
      <c r="L36" s="62" t="n">
        <v>0</v>
      </c>
      <c r="M36" s="62" t="n">
        <v>5</v>
      </c>
      <c r="N36" s="9" t="inlineStr">
        <is>
          <t>Amazon link not found</t>
        </is>
      </c>
      <c r="O36" s="62">
        <f>IF(N36="Selling pet toys + Artificial grass/Pet toilets (TARGET)",15,IF(N36="Selling artificial grass/pet toilets (TARGET)",10,IF(N36="Selling pet toys",7,IF(N36="There's an Amazon link, but no target sales.",3,0))))</f>
        <v/>
      </c>
      <c r="P36" s="67">
        <f>H36+J36+L36+M36+O36</f>
        <v/>
      </c>
      <c r="Q36" s="70" t="inlineStr">
        <is>
          <t>Excluded: Trang Chung / Không rõ Ngách Cún cưng</t>
        </is>
      </c>
      <c r="R36" s="9" t="inlineStr">
        <is>
          <t>Trọn gói Take-Home Starter Kit V2/V3 (Cỏ nhân tạo + Khay Potty + Đồ chơi cún con)</t>
        </is>
      </c>
      <c r="S36" s="9" t="inlineStr">
        <is>
          <t>Tuyệt đối không đưa vào CRM (Vi phạm Bộ lọc Âm tính Mục 5)</t>
        </is>
      </c>
    </row>
    <row r="37">
      <c r="A37" s="53" t="n">
        <v>1431</v>
      </c>
      <c r="B37" s="12" t="inlineStr">
        <is>
          <t>Franklin Farm Waimauku</t>
        </is>
      </c>
      <c r="C37" s="54" t="inlineStr">
        <is>
          <t>https://www.facebook.com/franklinflowerfields</t>
        </is>
      </c>
      <c r="D37" s="6" t="inlineStr">
        <is>
          <t>Cần quét Bio Fanpage</t>
        </is>
      </c>
      <c r="E37" s="53" t="inlineStr">
        <is>
          <t>13/10/2026 03:26:09</t>
        </is>
      </c>
      <c r="F37" s="53" t="inlineStr">
        <is>
          <t>3 phút trước</t>
        </is>
      </c>
      <c r="G37" s="55" t="n">
        <v>0</v>
      </c>
      <c r="H37" s="56" t="n">
        <v>35</v>
      </c>
      <c r="I37" s="6" t="inlineStr">
        <is>
          <t>Dog Breeder / Trại nhân giống (28-30đ)</t>
        </is>
      </c>
      <c r="J37" s="56" t="n">
        <v>28</v>
      </c>
      <c r="K37" s="6" t="inlineStr">
        <is>
          <t>Chưa rõ giống (Cần quét Bio)</t>
        </is>
      </c>
      <c r="L37" s="56" t="n">
        <v>0</v>
      </c>
      <c r="M37" s="56" t="n">
        <v>5</v>
      </c>
      <c r="N37" s="6" t="inlineStr">
        <is>
          <t>Amazon link not found</t>
        </is>
      </c>
      <c r="O37" s="56">
        <f>IF(N37="Selling pet toys + Artificial grass/Pet toilets (TARGET)",15,IF(N37="Selling artificial grass/pet toilets (TARGET)",10,IF(N37="Selling pet toys",7,IF(N37="There's an Amazon link, but no target sales.",3,0))))</f>
        <v/>
      </c>
      <c r="P37" s="65">
        <f>H37+J37+L37+M37+O37</f>
        <v/>
      </c>
      <c r="Q37" s="71" t="inlineStr">
        <is>
          <t>Excluded: Ngành nghề Khác (Phi Cún cưng)</t>
        </is>
      </c>
      <c r="R37" s="6" t="inlineStr">
        <is>
          <t>Trọn gói Take-Home Starter Kit V2/V3 (Cỏ nhân tạo + Khay Potty + Đồ chơi cún con)</t>
        </is>
      </c>
      <c r="S37" s="6" t="inlineStr">
        <is>
          <t>Tuyệt đối không đưa vào CRM (Vi phạm Bộ lọc Âm tính Mục 5)</t>
        </is>
      </c>
    </row>
    <row r="38">
      <c r="A38" s="59" t="n">
        <v>1685</v>
      </c>
      <c r="B38" s="15" t="inlineStr">
        <is>
          <t>Horse &amp; Hound</t>
        </is>
      </c>
      <c r="C38" s="60" t="inlineStr">
        <is>
          <t>https://www.facebook.com/horseandhound</t>
        </is>
      </c>
      <c r="D38" s="9" t="inlineStr">
        <is>
          <t>Cần quét Bio Fanpage</t>
        </is>
      </c>
      <c r="E38" s="59" t="inlineStr">
        <is>
          <t>13/10/2026 03:05:54</t>
        </is>
      </c>
      <c r="F38" s="59" t="inlineStr">
        <is>
          <t>51 phút trước</t>
        </is>
      </c>
      <c r="G38" s="61" t="n">
        <v>0.04</v>
      </c>
      <c r="H38" s="62" t="n">
        <v>35</v>
      </c>
      <c r="I38" s="9" t="inlineStr">
        <is>
          <t>Dog Breeder / Trại nhân giống (28-30đ)</t>
        </is>
      </c>
      <c r="J38" s="62" t="n">
        <v>28</v>
      </c>
      <c r="K38" s="9" t="inlineStr">
        <is>
          <t>Hound / Beagle / Basset</t>
        </is>
      </c>
      <c r="L38" s="62" t="n">
        <v>5</v>
      </c>
      <c r="M38" s="62" t="n">
        <v>0</v>
      </c>
      <c r="N38" s="9" t="inlineStr">
        <is>
          <t>Amazon link not found</t>
        </is>
      </c>
      <c r="O38" s="62">
        <f>IF(N38="Selling pet toys + Artificial grass/Pet toilets (TARGET)",15,IF(N38="Selling artificial grass/pet toilets (TARGET)",10,IF(N38="Selling pet toys",7,IF(N38="There's an Amazon link, but no target sales.",3,0))))</f>
        <v/>
      </c>
      <c r="P38" s="67">
        <f>H38+J38+L38+M38+O38</f>
        <v/>
      </c>
      <c r="Q38" s="70" t="inlineStr">
        <is>
          <t>Excluded: Kênh Tin tức, Tạp chí &amp; Giải trí (Mục 5.3)</t>
        </is>
      </c>
      <c r="R38" s="9" t="inlineStr">
        <is>
          <t>Trọn gói Take-Home Starter Kit V2/V3 (Cỏ nhân tạo + Khay Potty + Đồ chơi cún con)</t>
        </is>
      </c>
      <c r="S38" s="9" t="inlineStr">
        <is>
          <t>Tuyệt đối không đưa vào CRM (Vi phạm Bộ lọc Âm tính Mục 5)</t>
        </is>
      </c>
    </row>
    <row r="39">
      <c r="A39" s="53" t="n">
        <v>2400</v>
      </c>
      <c r="B39" s="12" t="inlineStr">
        <is>
          <t>Passeport Animal Inc</t>
        </is>
      </c>
      <c r="C39" s="54" t="inlineStr">
        <is>
          <t>https://www.facebook.com/profile.php?id=61561531622717</t>
        </is>
      </c>
      <c r="D39" s="6" t="inlineStr">
        <is>
          <t>Cần quét Bio Fanpage</t>
        </is>
      </c>
      <c r="E39" s="53" t="inlineStr">
        <is>
          <t>13/10/2026 03:03:03</t>
        </is>
      </c>
      <c r="F39" s="53" t="inlineStr">
        <is>
          <t>2 giờ trước</t>
        </is>
      </c>
      <c r="G39" s="55" t="n">
        <v>0.08</v>
      </c>
      <c r="H39" s="56" t="n">
        <v>35</v>
      </c>
      <c r="I39" s="6" t="inlineStr">
        <is>
          <t>Dog Breeder / Trại nhân giống (28-30đ)</t>
        </is>
      </c>
      <c r="J39" s="56" t="n">
        <v>28</v>
      </c>
      <c r="K39" s="6" t="inlineStr">
        <is>
          <t>Chưa rõ giống (Cần quét Bio)</t>
        </is>
      </c>
      <c r="L39" s="56" t="n">
        <v>0</v>
      </c>
      <c r="M39" s="56" t="n">
        <v>5</v>
      </c>
      <c r="N39" s="6" t="inlineStr">
        <is>
          <t>Amazon link not found</t>
        </is>
      </c>
      <c r="O39" s="56">
        <f>IF(N39="Selling pet toys + Artificial grass/Pet toilets (TARGET)",15,IF(N39="Selling artificial grass/pet toilets (TARGET)",10,IF(N39="Selling pet toys",7,IF(N39="There's an Amazon link, but no target sales.",3,0))))</f>
        <v/>
      </c>
      <c r="P39" s="65">
        <f>H39+J39+L39+M39+O39</f>
        <v/>
      </c>
      <c r="Q39" s="71" t="inlineStr">
        <is>
          <t>Excluded: Trang Chung / Không rõ Ngách Cún cưng</t>
        </is>
      </c>
      <c r="R39" s="6" t="inlineStr">
        <is>
          <t>Trọn gói Take-Home Starter Kit V2/V3 (Cỏ nhân tạo + Khay Potty + Đồ chơi cún con)</t>
        </is>
      </c>
      <c r="S39" s="6" t="inlineStr">
        <is>
          <t>Tuyệt đối không đưa vào CRM (Vi phạm Bộ lọc Âm tính Mục 5)</t>
        </is>
      </c>
    </row>
    <row r="40">
      <c r="A40" s="59" t="n">
        <v>2317</v>
      </c>
      <c r="B40" s="15" t="inlineStr">
        <is>
          <t>Northcoast Bernese Mountain Dog Club of Ohio</t>
        </is>
      </c>
      <c r="C40" s="60" t="inlineStr">
        <is>
          <t>https://www.facebook.com/profile.php?id=100066763406548</t>
        </is>
      </c>
      <c r="D40" s="9" t="inlineStr">
        <is>
          <t>Cần quét Bio Fanpage</t>
        </is>
      </c>
      <c r="E40" s="59" t="inlineStr">
        <is>
          <t>13/10/2026 02:57:29</t>
        </is>
      </c>
      <c r="F40" s="59" t="inlineStr">
        <is>
          <t>2 giờ trước</t>
        </is>
      </c>
      <c r="G40" s="61" t="n">
        <v>0.08</v>
      </c>
      <c r="H40" s="62" t="n">
        <v>35</v>
      </c>
      <c r="I40" s="9" t="inlineStr">
        <is>
          <t>Dog Breeder / Trại chó chuyên nghiệp (28-30đ)</t>
        </is>
      </c>
      <c r="J40" s="62" t="n">
        <v>28</v>
      </c>
      <c r="K40" s="9" t="inlineStr">
        <is>
          <t>Bernese Mountain Dog</t>
        </is>
      </c>
      <c r="L40" s="62" t="n">
        <v>5</v>
      </c>
      <c r="M40" s="62" t="n">
        <v>0</v>
      </c>
      <c r="N40" s="9" t="inlineStr">
        <is>
          <t>Amazon link not found</t>
        </is>
      </c>
      <c r="O40" s="62">
        <f>IF(N40="Selling pet toys + Artificial grass/Pet toilets (TARGET)",15,IF(N40="Selling artificial grass/pet toilets (TARGET)",10,IF(N40="Selling pet toys",7,IF(N40="There's an Amazon link, but no target sales.",3,0))))</f>
        <v/>
      </c>
      <c r="P40" s="67">
        <f>H40+J40+L40+M40+O40</f>
        <v/>
      </c>
      <c r="Q40" s="70" t="inlineStr">
        <is>
          <t>Excluded: Hiệp hội &amp; CLB Phả hệ (Mục 5.1)</t>
        </is>
      </c>
      <c r="R40" s="9" t="inlineStr">
        <is>
          <t>Trọn gói Take-Home Starter Kit V2/V3 (Cỏ nhân tạo + Khay Potty + Đồ chơi Teething/Snuggle)</t>
        </is>
      </c>
      <c r="S40" s="9" t="inlineStr">
        <is>
          <t>Tuyệt đối không đưa vào CRM (Vi phạm Bộ lọc Âm tính Mục 5)</t>
        </is>
      </c>
    </row>
    <row r="41">
      <c r="A41" s="53" t="n">
        <v>1335</v>
      </c>
      <c r="B41" s="12" t="inlineStr">
        <is>
          <t>Farm Like a Lunatic</t>
        </is>
      </c>
      <c r="C41" s="54" t="inlineStr">
        <is>
          <t>https://www.facebook.com/profile.php?id=61586893430274</t>
        </is>
      </c>
      <c r="D41" s="6" t="inlineStr">
        <is>
          <t>Cần quét Bio Fanpage</t>
        </is>
      </c>
      <c r="E41" s="53" t="inlineStr">
        <is>
          <t>13/10/2026 02:40:59</t>
        </is>
      </c>
      <c r="F41" s="53" t="inlineStr">
        <is>
          <t>38 phút trước</t>
        </is>
      </c>
      <c r="G41" s="55" t="n">
        <v>0.03</v>
      </c>
      <c r="H41" s="56" t="n">
        <v>35</v>
      </c>
      <c r="I41" s="6" t="inlineStr">
        <is>
          <t>Dog Breeder / Trại nhân giống (28-30đ)</t>
        </is>
      </c>
      <c r="J41" s="56" t="n">
        <v>28</v>
      </c>
      <c r="K41" s="6" t="inlineStr">
        <is>
          <t>Chưa rõ giống (Cần quét Bio)</t>
        </is>
      </c>
      <c r="L41" s="56" t="n">
        <v>0</v>
      </c>
      <c r="M41" s="56" t="n">
        <v>5</v>
      </c>
      <c r="N41" s="6" t="inlineStr">
        <is>
          <t>Amazon link not found</t>
        </is>
      </c>
      <c r="O41" s="56">
        <f>IF(N41="Selling pet toys + Artificial grass/Pet toilets (TARGET)",15,IF(N41="Selling artificial grass/pet toilets (TARGET)",10,IF(N41="Selling pet toys",7,IF(N41="There's an Amazon link, but no target sales.",3,0))))</f>
        <v/>
      </c>
      <c r="P41" s="65">
        <f>H41+J41+L41+M41+O41</f>
        <v/>
      </c>
      <c r="Q41" s="71" t="inlineStr">
        <is>
          <t>Excluded: Trang Chung / Không rõ Ngách Cún cưng</t>
        </is>
      </c>
      <c r="R41" s="6" t="inlineStr">
        <is>
          <t>Trọn gói Take-Home Starter Kit V2/V3 (Cỏ nhân tạo + Khay Potty + Đồ chơi cún con)</t>
        </is>
      </c>
      <c r="S41" s="6" t="inlineStr">
        <is>
          <t>Tuyệt đối không đưa vào CRM (Vi phạm Bộ lọc Âm tính Mục 5)</t>
        </is>
      </c>
    </row>
    <row r="42">
      <c r="A42" s="59" t="n">
        <v>1640</v>
      </c>
      <c r="B42" s="15" t="inlineStr">
        <is>
          <t>Heidrich's Colorado Tree Farm Nursery</t>
        </is>
      </c>
      <c r="C42" s="60" t="inlineStr">
        <is>
          <t>https://www.facebook.com/HeidrichsCTFN</t>
        </is>
      </c>
      <c r="D42" s="9" t="inlineStr">
        <is>
          <t>Cần quét Bio Fanpage</t>
        </is>
      </c>
      <c r="E42" s="59" t="inlineStr">
        <is>
          <t>13/10/2026 01:18:36</t>
        </is>
      </c>
      <c r="F42" s="59" t="inlineStr">
        <is>
          <t>2 giờ trước</t>
        </is>
      </c>
      <c r="G42" s="61" t="n">
        <v>0.08</v>
      </c>
      <c r="H42" s="62" t="n">
        <v>35</v>
      </c>
      <c r="I42" s="9" t="inlineStr">
        <is>
          <t>Dog Breeder / Trại nhân giống (28-30đ)</t>
        </is>
      </c>
      <c r="J42" s="62" t="n">
        <v>28</v>
      </c>
      <c r="K42" s="9" t="inlineStr">
        <is>
          <t>Chưa rõ giống (Cần quét Bio)</t>
        </is>
      </c>
      <c r="L42" s="62" t="n">
        <v>0</v>
      </c>
      <c r="M42" s="62" t="n">
        <v>5</v>
      </c>
      <c r="N42" s="9" t="inlineStr">
        <is>
          <t>Amazon link not found</t>
        </is>
      </c>
      <c r="O42" s="62">
        <f>IF(N42="Selling pet toys + Artificial grass/Pet toilets (TARGET)",15,IF(N42="Selling artificial grass/pet toilets (TARGET)",10,IF(N42="Selling pet toys",7,IF(N42="There's an Amazon link, but no target sales.",3,0))))</f>
        <v/>
      </c>
      <c r="P42" s="67">
        <f>H42+J42+L42+M42+O42</f>
        <v/>
      </c>
      <c r="Q42" s="70" t="inlineStr">
        <is>
          <t>Excluded: Ngành nghề Khác (Phi Cún cưng)</t>
        </is>
      </c>
      <c r="R42" s="9" t="inlineStr">
        <is>
          <t>Trọn gói Take-Home Starter Kit V2/V3 (Cỏ nhân tạo + Khay Potty + Đồ chơi cún con)</t>
        </is>
      </c>
      <c r="S42" s="9" t="inlineStr">
        <is>
          <t>Tuyệt đối không đưa vào CRM (Vi phạm Bộ lọc Âm tính Mục 5)</t>
        </is>
      </c>
    </row>
    <row r="43">
      <c r="A43" s="53" t="n">
        <v>2005</v>
      </c>
      <c r="B43" s="12" t="inlineStr">
        <is>
          <t>Lemon Ledge Farm</t>
        </is>
      </c>
      <c r="C43" s="54" t="inlineStr">
        <is>
          <t>https://www.facebook.com/lemonledgefarm</t>
        </is>
      </c>
      <c r="D43" s="6" t="inlineStr">
        <is>
          <t>Cần quét Bio Fanpage</t>
        </is>
      </c>
      <c r="E43" s="53" t="inlineStr">
        <is>
          <t>13/10/2026 01:14:29</t>
        </is>
      </c>
      <c r="F43" s="53" t="inlineStr">
        <is>
          <t>3 giờ trước</t>
        </is>
      </c>
      <c r="G43" s="55" t="n">
        <v>0.12</v>
      </c>
      <c r="H43" s="56" t="n">
        <v>35</v>
      </c>
      <c r="I43" s="6" t="inlineStr">
        <is>
          <t>Dog Breeder / Trại nhân giống (28-30đ)</t>
        </is>
      </c>
      <c r="J43" s="56" t="n">
        <v>28</v>
      </c>
      <c r="K43" s="6" t="inlineStr">
        <is>
          <t>Chưa rõ giống (Cần quét Bio)</t>
        </is>
      </c>
      <c r="L43" s="56" t="n">
        <v>0</v>
      </c>
      <c r="M43" s="56" t="n">
        <v>5</v>
      </c>
      <c r="N43" s="6" t="inlineStr">
        <is>
          <t>Amazon link not found</t>
        </is>
      </c>
      <c r="O43" s="56">
        <f>IF(N43="Selling pet toys + Artificial grass/Pet toilets (TARGET)",15,IF(N43="Selling artificial grass/pet toilets (TARGET)",10,IF(N43="Selling pet toys",7,IF(N43="There's an Amazon link, but no target sales.",3,0))))</f>
        <v/>
      </c>
      <c r="P43" s="65">
        <f>H43+J43+L43+M43+O43</f>
        <v/>
      </c>
      <c r="Q43" s="71" t="inlineStr">
        <is>
          <t>Excluded: Trang Chung / Không rõ Ngách Cún cưng</t>
        </is>
      </c>
      <c r="R43" s="6" t="inlineStr">
        <is>
          <t>Trọn gói Take-Home Starter Kit V2/V3 (Cỏ nhân tạo + Khay Potty + Đồ chơi cún con)</t>
        </is>
      </c>
      <c r="S43" s="6" t="inlineStr">
        <is>
          <t>Tuyệt đối không đưa vào CRM (Vi phạm Bộ lọc Âm tính Mục 5)</t>
        </is>
      </c>
    </row>
    <row r="44">
      <c r="A44" s="59" t="n">
        <v>482</v>
      </c>
      <c r="B44" s="15" t="inlineStr">
        <is>
          <t>AnimAlert.co Namur</t>
        </is>
      </c>
      <c r="C44" s="60" t="inlineStr">
        <is>
          <t>https://www.facebook.com/profile.php?id=100064238667129</t>
        </is>
      </c>
      <c r="D44" s="9" t="inlineStr">
        <is>
          <t>Cần quét Bio Fanpage</t>
        </is>
      </c>
      <c r="E44" s="59" t="inlineStr">
        <is>
          <t>13/10/2026 01:07:44</t>
        </is>
      </c>
      <c r="F44" s="59" t="inlineStr">
        <is>
          <t>39 phút trước</t>
        </is>
      </c>
      <c r="G44" s="61" t="n">
        <v>0.03</v>
      </c>
      <c r="H44" s="62" t="n">
        <v>35</v>
      </c>
      <c r="I44" s="9" t="inlineStr">
        <is>
          <t>Dog Breeder / Trại nhân giống (28-30đ)</t>
        </is>
      </c>
      <c r="J44" s="62" t="n">
        <v>28</v>
      </c>
      <c r="K44" s="9" t="inlineStr">
        <is>
          <t>Chưa rõ giống (Cần quét Bio)</t>
        </is>
      </c>
      <c r="L44" s="62" t="n">
        <v>0</v>
      </c>
      <c r="M44" s="62" t="n">
        <v>5</v>
      </c>
      <c r="N44" s="9" t="inlineStr">
        <is>
          <t>Amazon link not found</t>
        </is>
      </c>
      <c r="O44" s="62">
        <f>IF(N44="Selling pet toys + Artificial grass/Pet toilets (TARGET)",15,IF(N44="Selling artificial grass/pet toilets (TARGET)",10,IF(N44="Selling pet toys",7,IF(N44="There's an Amazon link, but no target sales.",3,0))))</f>
        <v/>
      </c>
      <c r="P44" s="67">
        <f>H44+J44+L44+M44+O44</f>
        <v/>
      </c>
      <c r="Q44" s="70" t="inlineStr">
        <is>
          <t>Excluded: Trang Chung / Không rõ Ngách Cún cưng</t>
        </is>
      </c>
      <c r="R44" s="9" t="inlineStr">
        <is>
          <t>Trọn gói Take-Home Starter Kit V2/V3 (Cỏ nhân tạo + Khay Potty + Đồ chơi cún con)</t>
        </is>
      </c>
      <c r="S44" s="9" t="inlineStr">
        <is>
          <t>Tuyệt đối không đưa vào CRM (Vi phạm Bộ lọc Âm tính Mục 5)</t>
        </is>
      </c>
    </row>
    <row r="45">
      <c r="A45" s="53" t="n">
        <v>755</v>
      </c>
      <c r="B45" s="12" t="inlineStr">
        <is>
          <t>Briarwood Farms</t>
        </is>
      </c>
      <c r="C45" s="54" t="inlineStr">
        <is>
          <t>https://www.facebook.com/BriarwoodFarmsLLC</t>
        </is>
      </c>
      <c r="D45" s="6" t="inlineStr">
        <is>
          <t>Cần quét Bio Fanpage</t>
        </is>
      </c>
      <c r="E45" s="53" t="inlineStr">
        <is>
          <t>13/10/2026 01:02:45</t>
        </is>
      </c>
      <c r="F45" s="53" t="inlineStr">
        <is>
          <t>1 giờ trước</t>
        </is>
      </c>
      <c r="G45" s="55" t="n">
        <v>0.04</v>
      </c>
      <c r="H45" s="56" t="n">
        <v>35</v>
      </c>
      <c r="I45" s="6" t="inlineStr">
        <is>
          <t>Dog Breeder / Trại nhân giống (28-30đ)</t>
        </is>
      </c>
      <c r="J45" s="56" t="n">
        <v>28</v>
      </c>
      <c r="K45" s="6" t="inlineStr">
        <is>
          <t>Chưa rõ giống (Cần quét Bio)</t>
        </is>
      </c>
      <c r="L45" s="56" t="n">
        <v>0</v>
      </c>
      <c r="M45" s="56" t="n">
        <v>5</v>
      </c>
      <c r="N45" s="6" t="inlineStr">
        <is>
          <t>Amazon link not found</t>
        </is>
      </c>
      <c r="O45" s="56">
        <f>IF(N45="Selling pet toys + Artificial grass/Pet toilets (TARGET)",15,IF(N45="Selling artificial grass/pet toilets (TARGET)",10,IF(N45="Selling pet toys",7,IF(N45="There's an Amazon link, but no target sales.",3,0))))</f>
        <v/>
      </c>
      <c r="P45" s="65">
        <f>H45+J45+L45+M45+O45</f>
        <v/>
      </c>
      <c r="Q45" s="71" t="inlineStr">
        <is>
          <t>Excluded: Trang Chung / Không rõ Ngách Cún cưng</t>
        </is>
      </c>
      <c r="R45" s="6" t="inlineStr">
        <is>
          <t>Trọn gói Take-Home Starter Kit V2/V3 (Cỏ nhân tạo + Khay Potty + Đồ chơi cún con)</t>
        </is>
      </c>
      <c r="S45" s="6" t="inlineStr">
        <is>
          <t>Tuyệt đối không đưa vào CRM (Vi phạm Bộ lọc Âm tính Mục 5)</t>
        </is>
      </c>
    </row>
    <row r="46">
      <c r="A46" s="59" t="n">
        <v>1017</v>
      </c>
      <c r="B46" s="15" t="inlineStr">
        <is>
          <t>Deer Creek Farms</t>
        </is>
      </c>
      <c r="C46" s="60" t="inlineStr">
        <is>
          <t>https://www.facebook.com/profile.php?id=100066684035398</t>
        </is>
      </c>
      <c r="D46" s="9" t="inlineStr">
        <is>
          <t>Cần quét Bio Fanpage</t>
        </is>
      </c>
      <c r="E46" s="59" t="inlineStr">
        <is>
          <t>13/10/2026 00:29:30</t>
        </is>
      </c>
      <c r="F46" s="59" t="inlineStr">
        <is>
          <t>2 giờ trước</t>
        </is>
      </c>
      <c r="G46" s="61" t="n">
        <v>0.08</v>
      </c>
      <c r="H46" s="62" t="n">
        <v>35</v>
      </c>
      <c r="I46" s="9" t="inlineStr">
        <is>
          <t>Dog Breeder / Trại nhân giống (28-30đ)</t>
        </is>
      </c>
      <c r="J46" s="62" t="n">
        <v>28</v>
      </c>
      <c r="K46" s="9" t="inlineStr">
        <is>
          <t>Chưa rõ giống (Cần quét Bio)</t>
        </is>
      </c>
      <c r="L46" s="62" t="n">
        <v>0</v>
      </c>
      <c r="M46" s="62" t="n">
        <v>5</v>
      </c>
      <c r="N46" s="9" t="inlineStr">
        <is>
          <t>Amazon link not found</t>
        </is>
      </c>
      <c r="O46" s="62">
        <f>IF(N46="Selling pet toys + Artificial grass/Pet toilets (TARGET)",15,IF(N46="Selling artificial grass/pet toilets (TARGET)",10,IF(N46="Selling pet toys",7,IF(N46="There's an Amazon link, but no target sales.",3,0))))</f>
        <v/>
      </c>
      <c r="P46" s="67">
        <f>H46+J46+L46+M46+O46</f>
        <v/>
      </c>
      <c r="Q46" s="70" t="inlineStr">
        <is>
          <t>Excluded: Trang Chung / Không rõ Ngách Cún cưng</t>
        </is>
      </c>
      <c r="R46" s="9" t="inlineStr">
        <is>
          <t>Trọn gói Take-Home Starter Kit V2/V3 (Cỏ nhân tạo + Khay Potty + Đồ chơi cún con)</t>
        </is>
      </c>
      <c r="S46" s="9" t="inlineStr">
        <is>
          <t>Tuyệt đối không đưa vào CRM (Vi phạm Bộ lọc Âm tính Mục 5)</t>
        </is>
      </c>
    </row>
    <row r="47">
      <c r="A47" s="53" t="n">
        <v>952</v>
      </c>
      <c r="B47" s="12" t="inlineStr">
        <is>
          <t>Couple Berry Farms</t>
        </is>
      </c>
      <c r="C47" s="54" t="inlineStr">
        <is>
          <t>https://www.facebook.com/butchranchcolorado</t>
        </is>
      </c>
      <c r="D47" s="6" t="inlineStr">
        <is>
          <t>Cần quét Bio Fanpage</t>
        </is>
      </c>
      <c r="E47" s="53" t="inlineStr">
        <is>
          <t>13/10/2026 00:05:47</t>
        </is>
      </c>
      <c r="F47" s="53" t="inlineStr">
        <is>
          <t>2 giờ trước</t>
        </is>
      </c>
      <c r="G47" s="55" t="n">
        <v>0.08</v>
      </c>
      <c r="H47" s="56" t="n">
        <v>35</v>
      </c>
      <c r="I47" s="6" t="inlineStr">
        <is>
          <t>Dog Breeder / Trại nhân giống (28-30đ)</t>
        </is>
      </c>
      <c r="J47" s="56" t="n">
        <v>28</v>
      </c>
      <c r="K47" s="6" t="inlineStr">
        <is>
          <t>Chưa rõ giống (Cần quét Bio)</t>
        </is>
      </c>
      <c r="L47" s="56" t="n">
        <v>0</v>
      </c>
      <c r="M47" s="56" t="n">
        <v>5</v>
      </c>
      <c r="N47" s="6" t="inlineStr">
        <is>
          <t>Amazon link not found</t>
        </is>
      </c>
      <c r="O47" s="56">
        <f>IF(N47="Selling pet toys + Artificial grass/Pet toilets (TARGET)",15,IF(N47="Selling artificial grass/pet toilets (TARGET)",10,IF(N47="Selling pet toys",7,IF(N47="There's an Amazon link, but no target sales.",3,0))))</f>
        <v/>
      </c>
      <c r="P47" s="65">
        <f>H47+J47+L47+M47+O47</f>
        <v/>
      </c>
      <c r="Q47" s="71" t="inlineStr">
        <is>
          <t>Excluded: Ngành nghề Khác (Phi Cún cưng)</t>
        </is>
      </c>
      <c r="R47" s="6" t="inlineStr">
        <is>
          <t>Trọn gói Take-Home Starter Kit V2/V3 (Cỏ nhân tạo + Khay Potty + Đồ chơi cún con)</t>
        </is>
      </c>
      <c r="S47" s="6" t="inlineStr">
        <is>
          <t>Tuyệt đối không đưa vào CRM (Vi phạm Bộ lọc Âm tính Mục 5)</t>
        </is>
      </c>
    </row>
    <row r="48">
      <c r="A48" s="59" t="n">
        <v>57</v>
      </c>
      <c r="B48" s="15" t="inlineStr">
        <is>
          <t>Dalscone Farm</t>
        </is>
      </c>
      <c r="C48" s="60" t="inlineStr">
        <is>
          <t>https://www.facebook.com/dalscone</t>
        </is>
      </c>
      <c r="D48" s="9" t="inlineStr">
        <is>
          <t>Cần quét Bio Fanpage</t>
        </is>
      </c>
      <c r="E48" s="59" t="inlineStr">
        <is>
          <t>12/10/2026 23:18:45</t>
        </is>
      </c>
      <c r="F48" s="59" t="inlineStr">
        <is>
          <t>1 giờ trước</t>
        </is>
      </c>
      <c r="G48" s="61" t="n">
        <v>0.04</v>
      </c>
      <c r="H48" s="62" t="n">
        <v>35</v>
      </c>
      <c r="I48" s="9" t="inlineStr">
        <is>
          <t>Dog Breeder / Trại nhân giống (28-30đ)</t>
        </is>
      </c>
      <c r="J48" s="62" t="n">
        <v>28</v>
      </c>
      <c r="K48" s="9" t="inlineStr">
        <is>
          <t>Chưa rõ giống (Cần quét Bio)</t>
        </is>
      </c>
      <c r="L48" s="62" t="n">
        <v>0</v>
      </c>
      <c r="M48" s="62" t="n">
        <v>5</v>
      </c>
      <c r="N48" s="9" t="inlineStr">
        <is>
          <t>Amazon link not found</t>
        </is>
      </c>
      <c r="O48" s="62">
        <f>IF(N48="Selling pet toys + Artificial grass/Pet toilets (TARGET)",15,IF(N48="Selling artificial grass/pet toilets (TARGET)",10,IF(N48="Selling pet toys",7,IF(N48="There's an Amazon link, but no target sales.",3,0))))</f>
        <v/>
      </c>
      <c r="P48" s="67">
        <f>H48+J48+L48+M48+O48</f>
        <v/>
      </c>
      <c r="Q48" s="70" t="inlineStr">
        <is>
          <t>Excluded: Trang Chung / Không rõ Ngách Cún cưng</t>
        </is>
      </c>
      <c r="R48" s="9" t="inlineStr">
        <is>
          <t>Trọn gói Take-Home Starter Kit V2/V3 (Cỏ nhân tạo + Khay Potty + Đồ chơi cún con)</t>
        </is>
      </c>
      <c r="S48" s="9" t="inlineStr">
        <is>
          <t>Tuyệt đối không đưa vào CRM (Vi phạm Bộ lọc Âm tính Mục 5)</t>
        </is>
      </c>
    </row>
    <row r="49">
      <c r="A49" s="53" t="n">
        <v>271</v>
      </c>
      <c r="B49" s="12" t="inlineStr">
        <is>
          <t>Streamvale Farm</t>
        </is>
      </c>
      <c r="C49" s="54" t="inlineStr">
        <is>
          <t>https://www.facebook.com/StreamvaleFarm</t>
        </is>
      </c>
      <c r="D49" s="6" t="inlineStr">
        <is>
          <t>Cần quét Bio Fanpage</t>
        </is>
      </c>
      <c r="E49" s="53" t="inlineStr">
        <is>
          <t>12/10/2026 23:13:12</t>
        </is>
      </c>
      <c r="F49" s="53" t="inlineStr">
        <is>
          <t>2 giờ trước</t>
        </is>
      </c>
      <c r="G49" s="55" t="n">
        <v>0.08</v>
      </c>
      <c r="H49" s="56" t="n">
        <v>35</v>
      </c>
      <c r="I49" s="6" t="inlineStr">
        <is>
          <t>Dog Breeder / Trại nhân giống (28-30đ)</t>
        </is>
      </c>
      <c r="J49" s="56" t="n">
        <v>28</v>
      </c>
      <c r="K49" s="6" t="inlineStr">
        <is>
          <t>Chưa rõ giống (Cần quét Bio)</t>
        </is>
      </c>
      <c r="L49" s="56" t="n">
        <v>0</v>
      </c>
      <c r="M49" s="56" t="n">
        <v>5</v>
      </c>
      <c r="N49" s="6" t="inlineStr">
        <is>
          <t>Amazon link not found</t>
        </is>
      </c>
      <c r="O49" s="56">
        <f>IF(N49="Selling pet toys + Artificial grass/Pet toilets (TARGET)",15,IF(N49="Selling artificial grass/pet toilets (TARGET)",10,IF(N49="Selling pet toys",7,IF(N49="There's an Amazon link, but no target sales.",3,0))))</f>
        <v/>
      </c>
      <c r="P49" s="65">
        <f>H49+J49+L49+M49+O49</f>
        <v/>
      </c>
      <c r="Q49" s="71" t="inlineStr">
        <is>
          <t>Excluded: Trang Chung / Không rõ Ngách Cún cưng</t>
        </is>
      </c>
      <c r="R49" s="6" t="inlineStr">
        <is>
          <t>Trọn gói Take-Home Starter Kit V2/V3 (Cỏ nhân tạo + Khay Potty + Đồ chơi cún con)</t>
        </is>
      </c>
      <c r="S49" s="6" t="inlineStr">
        <is>
          <t>Tuyệt đối không đưa vào CRM (Vi phạm Bộ lọc Âm tính Mục 5)</t>
        </is>
      </c>
    </row>
    <row r="50">
      <c r="A50" s="59" t="n">
        <v>699</v>
      </c>
      <c r="B50" s="15" t="inlineStr">
        <is>
          <t>Blooms And Berries Farm Market</t>
        </is>
      </c>
      <c r="C50" s="60" t="inlineStr">
        <is>
          <t>https://www.facebook.com/bloomsandberries</t>
        </is>
      </c>
      <c r="D50" s="9" t="inlineStr">
        <is>
          <t>Cần quét Bio Fanpage</t>
        </is>
      </c>
      <c r="E50" s="59" t="inlineStr">
        <is>
          <t>12/10/2026 23:06:11</t>
        </is>
      </c>
      <c r="F50" s="59" t="inlineStr">
        <is>
          <t>3 giờ trước</t>
        </is>
      </c>
      <c r="G50" s="61" t="n">
        <v>0.12</v>
      </c>
      <c r="H50" s="62" t="n">
        <v>35</v>
      </c>
      <c r="I50" s="9" t="inlineStr">
        <is>
          <t>Dog Breeder / Trại nhân giống (28-30đ)</t>
        </is>
      </c>
      <c r="J50" s="62" t="n">
        <v>28</v>
      </c>
      <c r="K50" s="9" t="inlineStr">
        <is>
          <t>Chưa rõ giống (Cần quét Bio)</t>
        </is>
      </c>
      <c r="L50" s="62" t="n">
        <v>0</v>
      </c>
      <c r="M50" s="62" t="n">
        <v>5</v>
      </c>
      <c r="N50" s="9" t="inlineStr">
        <is>
          <t>Amazon link not found</t>
        </is>
      </c>
      <c r="O50" s="62">
        <f>IF(N50="Selling pet toys + Artificial grass/Pet toilets (TARGET)",15,IF(N50="Selling artificial grass/pet toilets (TARGET)",10,IF(N50="Selling pet toys",7,IF(N50="There's an Amazon link, but no target sales.",3,0))))</f>
        <v/>
      </c>
      <c r="P50" s="67">
        <f>H50+J50+L50+M50+O50</f>
        <v/>
      </c>
      <c r="Q50" s="70" t="inlineStr">
        <is>
          <t>Excluded: Ngành nghề Khác (Phi Cún cưng)</t>
        </is>
      </c>
      <c r="R50" s="9" t="inlineStr">
        <is>
          <t>Trọn gói Take-Home Starter Kit V2/V3 (Cỏ nhân tạo + Khay Potty + Đồ chơi cún con)</t>
        </is>
      </c>
      <c r="S50" s="9" t="inlineStr">
        <is>
          <t>Tuyệt đối không đưa vào CRM (Vi phạm Bộ lọc Âm tính Mục 5)</t>
        </is>
      </c>
    </row>
    <row r="51">
      <c r="A51" s="53" t="n">
        <v>802</v>
      </c>
      <c r="B51" s="12" t="inlineStr">
        <is>
          <t>C Watts Farms LLC owners Curtis and Patricia Watts</t>
        </is>
      </c>
      <c r="C51" s="54" t="inlineStr">
        <is>
          <t>https://www.facebook.com/curtpat351</t>
        </is>
      </c>
      <c r="D51" s="6" t="inlineStr">
        <is>
          <t>Cần quét Bio Fanpage</t>
        </is>
      </c>
      <c r="E51" s="53" t="inlineStr">
        <is>
          <t>12/10/2026 22:49:52</t>
        </is>
      </c>
      <c r="F51" s="53" t="inlineStr">
        <is>
          <t>3 giờ trước</t>
        </is>
      </c>
      <c r="G51" s="55" t="n">
        <v>0.12</v>
      </c>
      <c r="H51" s="56" t="n">
        <v>35</v>
      </c>
      <c r="I51" s="6" t="inlineStr">
        <is>
          <t>Dog Breeder / Trại nhân giống (28-30đ)</t>
        </is>
      </c>
      <c r="J51" s="56" t="n">
        <v>28</v>
      </c>
      <c r="K51" s="6" t="inlineStr">
        <is>
          <t>Chưa rõ giống (Cần quét Bio)</t>
        </is>
      </c>
      <c r="L51" s="56" t="n">
        <v>0</v>
      </c>
      <c r="M51" s="56" t="n">
        <v>5</v>
      </c>
      <c r="N51" s="6" t="inlineStr">
        <is>
          <t>Amazon link not found</t>
        </is>
      </c>
      <c r="O51" s="56">
        <f>IF(N51="Selling pet toys + Artificial grass/Pet toilets (TARGET)",15,IF(N51="Selling artificial grass/pet toilets (TARGET)",10,IF(N51="Selling pet toys",7,IF(N51="There's an Amazon link, but no target sales.",3,0))))</f>
        <v/>
      </c>
      <c r="P51" s="65">
        <f>H51+J51+L51+M51+O51</f>
        <v/>
      </c>
      <c r="Q51" s="71" t="inlineStr">
        <is>
          <t>Excluded: Trang Chung / Không rõ Ngách Cún cưng</t>
        </is>
      </c>
      <c r="R51" s="6" t="inlineStr">
        <is>
          <t>Trọn gói Take-Home Starter Kit V2/V3 (Cỏ nhân tạo + Khay Potty + Đồ chơi cún con)</t>
        </is>
      </c>
      <c r="S51" s="6" t="inlineStr">
        <is>
          <t>Tuyệt đối không đưa vào CRM (Vi phạm Bộ lọc Âm tính Mục 5)</t>
        </is>
      </c>
    </row>
    <row r="52">
      <c r="A52" s="59" t="n">
        <v>27</v>
      </c>
      <c r="B52" s="15" t="inlineStr">
        <is>
          <t>Our Dogs</t>
        </is>
      </c>
      <c r="C52" s="60" t="inlineStr">
        <is>
          <t>https://www.facebook.com/www.ourdogs.co.uk</t>
        </is>
      </c>
      <c r="D52" s="9" t="inlineStr">
        <is>
          <t>Cần quét Bio Fanpage</t>
        </is>
      </c>
      <c r="E52" s="59" t="inlineStr">
        <is>
          <t>12/10/2026 22:03:57</t>
        </is>
      </c>
      <c r="F52" s="59" t="inlineStr">
        <is>
          <t>2 giờ trước</t>
        </is>
      </c>
      <c r="G52" s="61" t="n">
        <v>0.08</v>
      </c>
      <c r="H52" s="62" t="n">
        <v>35</v>
      </c>
      <c r="I52" s="9" t="inlineStr">
        <is>
          <t>Dog Breeder / Trại nhân giống (28-30đ)</t>
        </is>
      </c>
      <c r="J52" s="62" t="n">
        <v>28</v>
      </c>
      <c r="K52" s="9" t="inlineStr">
        <is>
          <t>Chưa rõ giống (Cần quét Bio)</t>
        </is>
      </c>
      <c r="L52" s="62" t="n">
        <v>0</v>
      </c>
      <c r="M52" s="62" t="n">
        <v>5</v>
      </c>
      <c r="N52" s="9" t="inlineStr">
        <is>
          <t>Amazon link not found</t>
        </is>
      </c>
      <c r="O52" s="62">
        <f>IF(N52="Selling pet toys + Artificial grass/Pet toilets (TARGET)",15,IF(N52="Selling artificial grass/pet toilets (TARGET)",10,IF(N52="Selling pet toys",7,IF(N52="There's an Amazon link, but no target sales.",3,0))))</f>
        <v/>
      </c>
      <c r="P52" s="67">
        <f>H52+J52+L52+M52+O52</f>
        <v/>
      </c>
      <c r="Q52" s="70" t="inlineStr">
        <is>
          <t>Excluded: Kênh Tin tức, Tạp chí &amp; Giải trí (Mục 5.3)</t>
        </is>
      </c>
      <c r="R52" s="9" t="inlineStr">
        <is>
          <t>Trọn gói Take-Home Starter Kit V2/V3 (Cỏ nhân tạo + Khay Potty + Đồ chơi cún con)</t>
        </is>
      </c>
      <c r="S52" s="9" t="inlineStr">
        <is>
          <t>Tuyệt đối không đưa vào CRM (Vi phạm Bộ lọc Âm tính Mục 5)</t>
        </is>
      </c>
    </row>
    <row r="53">
      <c r="A53" s="53" t="n">
        <v>292</v>
      </c>
      <c r="B53" s="12" t="inlineStr">
        <is>
          <t>Willow Creek Farms</t>
        </is>
      </c>
      <c r="C53" s="54" t="inlineStr">
        <is>
          <t>https://www.facebook.com/willowcreekfarms17</t>
        </is>
      </c>
      <c r="D53" s="6" t="inlineStr">
        <is>
          <t>Cần quét Bio Fanpage</t>
        </is>
      </c>
      <c r="E53" s="53" t="inlineStr">
        <is>
          <t>12/10/2026 21:28:18</t>
        </is>
      </c>
      <c r="F53" s="53" t="inlineStr">
        <is>
          <t>3 giờ trước</t>
        </is>
      </c>
      <c r="G53" s="55" t="n">
        <v>0.12</v>
      </c>
      <c r="H53" s="56" t="n">
        <v>35</v>
      </c>
      <c r="I53" s="6" t="inlineStr">
        <is>
          <t>Dog Breeder / Trại nhân giống (28-30đ)</t>
        </is>
      </c>
      <c r="J53" s="56" t="n">
        <v>28</v>
      </c>
      <c r="K53" s="6" t="inlineStr">
        <is>
          <t>Chưa rõ giống (Cần quét Bio)</t>
        </is>
      </c>
      <c r="L53" s="56" t="n">
        <v>0</v>
      </c>
      <c r="M53" s="56" t="n">
        <v>5</v>
      </c>
      <c r="N53" s="6" t="inlineStr">
        <is>
          <t>Amazon link not found</t>
        </is>
      </c>
      <c r="O53" s="56">
        <f>IF(N53="Selling pet toys + Artificial grass/Pet toilets (TARGET)",15,IF(N53="Selling artificial grass/pet toilets (TARGET)",10,IF(N53="Selling pet toys",7,IF(N53="There's an Amazon link, but no target sales.",3,0))))</f>
        <v/>
      </c>
      <c r="P53" s="65">
        <f>H53+J53+L53+M53+O53</f>
        <v/>
      </c>
      <c r="Q53" s="71" t="inlineStr">
        <is>
          <t>Excluded: Trang Chung / Không rõ Ngách Cún cưng</t>
        </is>
      </c>
      <c r="R53" s="6" t="inlineStr">
        <is>
          <t>Trọn gói Take-Home Starter Kit V2/V3 (Cỏ nhân tạo + Khay Potty + Đồ chơi cún con)</t>
        </is>
      </c>
      <c r="S53" s="6" t="inlineStr">
        <is>
          <t>Tuyệt đối không đưa vào CRM (Vi phạm Bộ lọc Âm tính Mục 5)</t>
        </is>
      </c>
    </row>
    <row r="54">
      <c r="A54" s="59" t="n">
        <v>2970</v>
      </c>
      <c r="B54" s="15" t="inlineStr">
        <is>
          <t>Spitz FCI Kennel Bán-Boncida  (Baranyai Anna)</t>
        </is>
      </c>
      <c r="C54" s="60" t="inlineStr">
        <is>
          <t>https://www.facebook.com/bestspitz</t>
        </is>
      </c>
      <c r="D54" s="9" t="inlineStr">
        <is>
          <t>Cần quét Bio Fanpage</t>
        </is>
      </c>
      <c r="E54" s="59" t="inlineStr">
        <is>
          <t>12/10/2026 23:28:29</t>
        </is>
      </c>
      <c r="F54" s="59" t="inlineStr">
        <is>
          <t>6 giờ trước</t>
        </is>
      </c>
      <c r="G54" s="61" t="n">
        <v>0.25</v>
      </c>
      <c r="H54" s="62" t="n">
        <v>32</v>
      </c>
      <c r="I54" s="9" t="inlineStr">
        <is>
          <t>Dog Breeder / Trại chó chuyên nghiệp (28-30đ)</t>
        </is>
      </c>
      <c r="J54" s="62" t="n">
        <v>30</v>
      </c>
      <c r="K54" s="9" t="inlineStr">
        <is>
          <t>Chưa rõ giống (Cần quét Bio)</t>
        </is>
      </c>
      <c r="L54" s="62" t="n">
        <v>0</v>
      </c>
      <c r="M54" s="62" t="n">
        <v>5</v>
      </c>
      <c r="N54" s="9" t="inlineStr">
        <is>
          <t>Amazon link not found</t>
        </is>
      </c>
      <c r="O54" s="62">
        <f>IF(N54="Selling pet toys + Artificial grass/Pet toilets (TARGET)",15,IF(N54="Selling artificial grass/pet toilets (TARGET)",10,IF(N54="Selling pet toys",7,IF(N54="There's an Amazon link, but no target sales.",3,0))))</f>
        <v/>
      </c>
      <c r="P54" s="67">
        <f>H54+J54+L54+M54+O54</f>
        <v/>
      </c>
      <c r="Q54" s="70" t="inlineStr">
        <is>
          <t>Excluded: Hiệp hội &amp; CLB Phả hệ (Mục 5.1)</t>
        </is>
      </c>
      <c r="R54" s="9" t="inlineStr">
        <is>
          <t>Trọn gói Take-Home Starter Kit V2/V3 (Cỏ nhân tạo + Khay Potty + Đồ chơi Teething/Snuggle)</t>
        </is>
      </c>
      <c r="S54" s="9" t="inlineStr">
        <is>
          <t>Tuyệt đối không đưa vào CRM (Vi phạm Bộ lọc Âm tính Mục 5)</t>
        </is>
      </c>
    </row>
    <row r="55">
      <c r="A55" s="53" t="n">
        <v>2693</v>
      </c>
      <c r="B55" s="12" t="inlineStr">
        <is>
          <t>Rapid City Kennel Club, Inc.</t>
        </is>
      </c>
      <c r="C55" s="54" t="inlineStr">
        <is>
          <t>https://www.facebook.com/RapidCityKC</t>
        </is>
      </c>
      <c r="D55" s="6" t="inlineStr">
        <is>
          <t>Cần quét Bio Fanpage</t>
        </is>
      </c>
      <c r="E55" s="53" t="inlineStr">
        <is>
          <t>12/10/2026 23:26:40</t>
        </is>
      </c>
      <c r="F55" s="53" t="inlineStr">
        <is>
          <t>6 giờ trước</t>
        </is>
      </c>
      <c r="G55" s="55" t="n">
        <v>0.25</v>
      </c>
      <c r="H55" s="56" t="n">
        <v>32</v>
      </c>
      <c r="I55" s="6" t="inlineStr">
        <is>
          <t>Dog Breeder / Trại chó chuyên nghiệp (28-30đ)</t>
        </is>
      </c>
      <c r="J55" s="56" t="n">
        <v>30</v>
      </c>
      <c r="K55" s="6" t="inlineStr">
        <is>
          <t>Chưa rõ giống (Cần quét Bio)</t>
        </is>
      </c>
      <c r="L55" s="56" t="n">
        <v>0</v>
      </c>
      <c r="M55" s="56" t="n">
        <v>5</v>
      </c>
      <c r="N55" s="6" t="inlineStr">
        <is>
          <t>Amazon link not found</t>
        </is>
      </c>
      <c r="O55" s="56">
        <f>IF(N55="Selling pet toys + Artificial grass/Pet toilets (TARGET)",15,IF(N55="Selling artificial grass/pet toilets (TARGET)",10,IF(N55="Selling pet toys",7,IF(N55="There's an Amazon link, but no target sales.",3,0))))</f>
        <v/>
      </c>
      <c r="P55" s="65">
        <f>H55+J55+L55+M55+O55</f>
        <v/>
      </c>
      <c r="Q55" s="71" t="inlineStr">
        <is>
          <t>Excluded: Hiệp hội &amp; CLB Phả hệ (Mục 5.1)</t>
        </is>
      </c>
      <c r="R55" s="6" t="inlineStr">
        <is>
          <t>Trọn gói Take-Home Starter Kit V2/V3 (Cỏ nhân tạo + Khay Potty + Đồ chơi Teething/Snuggle)</t>
        </is>
      </c>
      <c r="S55" s="6" t="inlineStr">
        <is>
          <t>Tuyệt đối không đưa vào CRM (Vi phạm Bộ lọc Âm tính Mục 5)</t>
        </is>
      </c>
    </row>
    <row r="56">
      <c r="A56" s="59" t="n">
        <v>2356</v>
      </c>
      <c r="B56" s="15" t="inlineStr">
        <is>
          <t>Olean Kennel Club</t>
        </is>
      </c>
      <c r="C56" s="60" t="inlineStr">
        <is>
          <t>https://www.facebook.com/OleanKennelClub</t>
        </is>
      </c>
      <c r="D56" s="9" t="inlineStr">
        <is>
          <t>Cần quét Bio Fanpage</t>
        </is>
      </c>
      <c r="E56" s="59" t="inlineStr">
        <is>
          <t>12/10/2026 20:23:43</t>
        </is>
      </c>
      <c r="F56" s="59" t="inlineStr">
        <is>
          <t>8 giờ trước</t>
        </is>
      </c>
      <c r="G56" s="61" t="n">
        <v>0.33</v>
      </c>
      <c r="H56" s="62" t="n">
        <v>32</v>
      </c>
      <c r="I56" s="9" t="inlineStr">
        <is>
          <t>Dog Breeder / Trại chó chuyên nghiệp (28-30đ)</t>
        </is>
      </c>
      <c r="J56" s="62" t="n">
        <v>30</v>
      </c>
      <c r="K56" s="9" t="inlineStr">
        <is>
          <t>Chưa rõ giống (Cần quét Bio)</t>
        </is>
      </c>
      <c r="L56" s="62" t="n">
        <v>0</v>
      </c>
      <c r="M56" s="62" t="n">
        <v>5</v>
      </c>
      <c r="N56" s="9" t="inlineStr">
        <is>
          <t>Amazon link not found</t>
        </is>
      </c>
      <c r="O56" s="62">
        <f>IF(N56="Selling pet toys + Artificial grass/Pet toilets (TARGET)",15,IF(N56="Selling artificial grass/pet toilets (TARGET)",10,IF(N56="Selling pet toys",7,IF(N56="There's an Amazon link, but no target sales.",3,0))))</f>
        <v/>
      </c>
      <c r="P56" s="67">
        <f>H56+J56+L56+M56+O56</f>
        <v/>
      </c>
      <c r="Q56" s="70" t="inlineStr">
        <is>
          <t>Excluded: Hiệp hội &amp; CLB Phả hệ (Mục 5.1)</t>
        </is>
      </c>
      <c r="R56" s="9" t="inlineStr">
        <is>
          <t>Trọn gói Take-Home Starter Kit V2/V3 (Cỏ nhân tạo + Khay Potty + Đồ chơi Teething/Snuggle)</t>
        </is>
      </c>
      <c r="S56" s="9" t="inlineStr">
        <is>
          <t>Tuyệt đối không đưa vào CRM (Vi phạm Bộ lọc Âm tính Mục 5)</t>
        </is>
      </c>
    </row>
    <row r="57">
      <c r="A57" s="53" t="n">
        <v>3047</v>
      </c>
      <c r="B57" s="12" t="inlineStr">
        <is>
          <t>Szeles Vadűző Mudi Kennel FCI</t>
        </is>
      </c>
      <c r="C57" s="54" t="inlineStr">
        <is>
          <t>https://www.facebook.com/profile.php?id=100021732566470</t>
        </is>
      </c>
      <c r="D57" s="6" t="inlineStr">
        <is>
          <t>Cần quét Bio Fanpage</t>
        </is>
      </c>
      <c r="E57" s="53" t="inlineStr">
        <is>
          <t>12/10/2026 18:33:38</t>
        </is>
      </c>
      <c r="F57" s="53" t="inlineStr">
        <is>
          <t>11 giờ trước</t>
        </is>
      </c>
      <c r="G57" s="55" t="n">
        <v>0.46</v>
      </c>
      <c r="H57" s="56" t="n">
        <v>32</v>
      </c>
      <c r="I57" s="6" t="inlineStr">
        <is>
          <t>Dog Breeder / Trại chó chuyên nghiệp (28-30đ)</t>
        </is>
      </c>
      <c r="J57" s="56" t="n">
        <v>30</v>
      </c>
      <c r="K57" s="6" t="inlineStr">
        <is>
          <t>Chưa rõ giống (Cần quét Bio)</t>
        </is>
      </c>
      <c r="L57" s="56" t="n">
        <v>0</v>
      </c>
      <c r="M57" s="56" t="n">
        <v>5</v>
      </c>
      <c r="N57" s="6" t="inlineStr">
        <is>
          <t>Amazon link not found</t>
        </is>
      </c>
      <c r="O57" s="56">
        <f>IF(N57="Selling pet toys + Artificial grass/Pet toilets (TARGET)",15,IF(N57="Selling artificial grass/pet toilets (TARGET)",10,IF(N57="Selling pet toys",7,IF(N57="There's an Amazon link, but no target sales.",3,0))))</f>
        <v/>
      </c>
      <c r="P57" s="65">
        <f>H57+J57+L57+M57+O57</f>
        <v/>
      </c>
      <c r="Q57" s="71" t="inlineStr">
        <is>
          <t>Excluded: Hiệp hội &amp; CLB Phả hệ (Mục 5.1)</t>
        </is>
      </c>
      <c r="R57" s="6" t="inlineStr">
        <is>
          <t>Trọn gói Take-Home Starter Kit V2/V3 (Cỏ nhân tạo + Khay Potty + Đồ chơi Teething/Snuggle)</t>
        </is>
      </c>
      <c r="S57" s="6" t="inlineStr">
        <is>
          <t>Tuyệt đối không đưa vào CRM (Vi phạm Bộ lọc Âm tính Mục 5)</t>
        </is>
      </c>
    </row>
    <row r="58">
      <c r="A58" s="59" t="n">
        <v>752</v>
      </c>
      <c r="B58" s="15" t="inlineStr">
        <is>
          <t>Breeway Kennel FCI</t>
        </is>
      </c>
      <c r="C58" s="60" t="inlineStr">
        <is>
          <t>https://www.facebook.com/profile.php?id=61554855726846</t>
        </is>
      </c>
      <c r="D58" s="9" t="inlineStr">
        <is>
          <t>Cần quét Bio Fanpage</t>
        </is>
      </c>
      <c r="E58" s="59" t="inlineStr">
        <is>
          <t>12/10/2026 12:48:46</t>
        </is>
      </c>
      <c r="F58" s="59" t="inlineStr">
        <is>
          <t>13 giờ trước</t>
        </is>
      </c>
      <c r="G58" s="61" t="n">
        <v>0.54</v>
      </c>
      <c r="H58" s="62" t="n">
        <v>32</v>
      </c>
      <c r="I58" s="9" t="inlineStr">
        <is>
          <t>Dog Breeder / Trại chó chuyên nghiệp (28-30đ)</t>
        </is>
      </c>
      <c r="J58" s="62" t="n">
        <v>30</v>
      </c>
      <c r="K58" s="9" t="inlineStr">
        <is>
          <t>Chưa rõ giống (Cần quét Bio)</t>
        </is>
      </c>
      <c r="L58" s="62" t="n">
        <v>0</v>
      </c>
      <c r="M58" s="62" t="n">
        <v>5</v>
      </c>
      <c r="N58" s="9" t="inlineStr">
        <is>
          <t>Amazon link not found</t>
        </is>
      </c>
      <c r="O58" s="62">
        <f>IF(N58="Selling pet toys + Artificial grass/Pet toilets (TARGET)",15,IF(N58="Selling artificial grass/pet toilets (TARGET)",10,IF(N58="Selling pet toys",7,IF(N58="There's an Amazon link, but no target sales.",3,0))))</f>
        <v/>
      </c>
      <c r="P58" s="67">
        <f>H58+J58+L58+M58+O58</f>
        <v/>
      </c>
      <c r="Q58" s="70" t="inlineStr">
        <is>
          <t>Excluded: Hiệp hội &amp; CLB Phả hệ (Mục 5.1)</t>
        </is>
      </c>
      <c r="R58" s="9" t="inlineStr">
        <is>
          <t>Trọn gói Take-Home Starter Kit V2/V3 (Cỏ nhân tạo + Khay Potty + Đồ chơi Teething/Snuggle)</t>
        </is>
      </c>
      <c r="S58" s="9" t="inlineStr">
        <is>
          <t>Tuyệt đối không đưa vào CRM (Vi phạm Bộ lọc Âm tính Mục 5)</t>
        </is>
      </c>
    </row>
    <row r="59">
      <c r="A59" s="53" t="n">
        <v>186</v>
      </c>
      <c r="B59" s="12" t="inlineStr">
        <is>
          <t>Home Farm Shop- Beeches Meats</t>
        </is>
      </c>
      <c r="C59" s="54" t="inlineStr">
        <is>
          <t>https://www.facebook.com/profile.php?id=100087405154569</t>
        </is>
      </c>
      <c r="D59" s="6" t="inlineStr">
        <is>
          <t>Cần quét Bio Fanpage</t>
        </is>
      </c>
      <c r="E59" s="53" t="inlineStr">
        <is>
          <t>11/10/2026 01:35:13</t>
        </is>
      </c>
      <c r="F59" s="53" t="inlineStr">
        <is>
          <t>1 ngày trước</t>
        </is>
      </c>
      <c r="G59" s="55" t="n">
        <v>1</v>
      </c>
      <c r="H59" s="56" t="n">
        <v>28</v>
      </c>
      <c r="I59" s="6" t="inlineStr">
        <is>
          <t>Dog Breeder / Trại nhân giống (28-30đ)</t>
        </is>
      </c>
      <c r="J59" s="56" t="n">
        <v>28</v>
      </c>
      <c r="K59" s="6" t="inlineStr">
        <is>
          <t>Chưa rõ giống (Cần quét Bio)</t>
        </is>
      </c>
      <c r="L59" s="56" t="n">
        <v>0</v>
      </c>
      <c r="M59" s="56" t="n">
        <v>10</v>
      </c>
      <c r="N59" s="6" t="inlineStr">
        <is>
          <t>Amazon link not found</t>
        </is>
      </c>
      <c r="O59" s="56">
        <f>IF(N59="Selling pet toys + Artificial grass/Pet toilets (TARGET)",15,IF(N59="Selling artificial grass/pet toilets (TARGET)",10,IF(N59="Selling pet toys",7,IF(N59="There's an Amazon link, but no target sales.",3,0))))</f>
        <v/>
      </c>
      <c r="P59" s="65">
        <f>H59+J59+L59+M59+O59</f>
        <v/>
      </c>
      <c r="Q59" s="71" t="inlineStr">
        <is>
          <t>Excluded: Ngành nghề Khác (Phi Cún cưng)</t>
        </is>
      </c>
      <c r="R59" s="6" t="inlineStr">
        <is>
          <t>Trọn gói Take-Home Starter Kit V2/V3 (Cỏ nhân tạo + Khay Potty + Đồ chơi cún con)</t>
        </is>
      </c>
      <c r="S59" s="6" t="inlineStr">
        <is>
          <t>Tuyệt đối không đưa vào CRM (Vi phạm Bộ lọc Âm tính Mục 5)</t>
        </is>
      </c>
    </row>
    <row r="60">
      <c r="A60" s="59" t="n">
        <v>5490</v>
      </c>
      <c r="B60" s="15" t="inlineStr">
        <is>
          <t>Sunny Chestnut Farm</t>
        </is>
      </c>
      <c r="C60" s="60" t="inlineStr">
        <is>
          <t>https://www.facebook.com/profile.php?id=100075886577624</t>
        </is>
      </c>
      <c r="D60" s="9" t="inlineStr">
        <is>
          <t>Cần quét Bio Fanpage</t>
        </is>
      </c>
      <c r="E60" s="59" t="inlineStr">
        <is>
          <t>13/10/2026 06:31:23</t>
        </is>
      </c>
      <c r="F60" s="59" t="inlineStr">
        <is>
          <t>4 giờ trước</t>
        </is>
      </c>
      <c r="G60" s="61" t="n">
        <v>0.17</v>
      </c>
      <c r="H60" s="62" t="n">
        <v>32</v>
      </c>
      <c r="I60" s="9" t="inlineStr">
        <is>
          <t>Dog Breeder / Trại nhân giống (28-30đ)</t>
        </is>
      </c>
      <c r="J60" s="62" t="n">
        <v>28</v>
      </c>
      <c r="K60" s="9" t="inlineStr">
        <is>
          <t>Chưa rõ giống (Cần quét Bio)</t>
        </is>
      </c>
      <c r="L60" s="62" t="n">
        <v>0</v>
      </c>
      <c r="M60" s="62" t="n">
        <v>5</v>
      </c>
      <c r="N60" s="9" t="inlineStr">
        <is>
          <t>Amazon link not found</t>
        </is>
      </c>
      <c r="O60" s="62">
        <f>IF(N60="Selling pet toys + Artificial grass/Pet toilets (TARGET)",15,IF(N60="Selling artificial grass/pet toilets (TARGET)",10,IF(N60="Selling pet toys",7,IF(N60="There's an Amazon link, but no target sales.",3,0))))</f>
        <v/>
      </c>
      <c r="P60" s="67">
        <f>H60+J60+L60+M60+O60</f>
        <v/>
      </c>
      <c r="Q60" s="70" t="inlineStr">
        <is>
          <t>Excluded: Trang Chung / Không rõ Ngách Cún cưng</t>
        </is>
      </c>
      <c r="R60" s="9" t="inlineStr">
        <is>
          <t>Trọn gói Take-Home Starter Kit V2/V3 (Cỏ nhân tạo + Khay Potty + Đồ chơi cún con)</t>
        </is>
      </c>
      <c r="S60" s="9" t="inlineStr">
        <is>
          <t>Tuyệt đối không đưa vào CRM (Vi phạm Bộ lọc Âm tính Mục 5)</t>
        </is>
      </c>
    </row>
    <row r="61">
      <c r="A61" s="53" t="n">
        <v>5171</v>
      </c>
      <c r="B61" s="12" t="inlineStr">
        <is>
          <t>RAW FARM</t>
        </is>
      </c>
      <c r="C61" s="54" t="inlineStr">
        <is>
          <t>https://www.facebook.com/RAWFARMUSA</t>
        </is>
      </c>
      <c r="D61" s="6" t="inlineStr">
        <is>
          <t>Cần quét Bio Fanpage</t>
        </is>
      </c>
      <c r="E61" s="53" t="inlineStr">
        <is>
          <t>13/10/2026 06:11:12</t>
        </is>
      </c>
      <c r="F61" s="53" t="inlineStr">
        <is>
          <t>4 giờ trước</t>
        </is>
      </c>
      <c r="G61" s="55" t="n">
        <v>0.17</v>
      </c>
      <c r="H61" s="56" t="n">
        <v>32</v>
      </c>
      <c r="I61" s="6" t="inlineStr">
        <is>
          <t>Dog Breeder / Trại nhân giống (28-30đ)</t>
        </is>
      </c>
      <c r="J61" s="56" t="n">
        <v>28</v>
      </c>
      <c r="K61" s="6" t="inlineStr">
        <is>
          <t>Chưa rõ giống (Cần quét Bio)</t>
        </is>
      </c>
      <c r="L61" s="56" t="n">
        <v>0</v>
      </c>
      <c r="M61" s="56" t="n">
        <v>5</v>
      </c>
      <c r="N61" s="6" t="inlineStr">
        <is>
          <t>Amazon link not found</t>
        </is>
      </c>
      <c r="O61" s="56">
        <f>IF(N61="Selling pet toys + Artificial grass/Pet toilets (TARGET)",15,IF(N61="Selling artificial grass/pet toilets (TARGET)",10,IF(N61="Selling pet toys",7,IF(N61="There's an Amazon link, but no target sales.",3,0))))</f>
        <v/>
      </c>
      <c r="P61" s="65">
        <f>H61+J61+L61+M61+O61</f>
        <v/>
      </c>
      <c r="Q61" s="71" t="inlineStr">
        <is>
          <t>Excluded: Ngành nghề Khác (Phi Cún cưng)</t>
        </is>
      </c>
      <c r="R61" s="6" t="inlineStr">
        <is>
          <t>Trọn gói Take-Home Starter Kit V2/V3 (Cỏ nhân tạo + Khay Potty + Đồ chơi cún con)</t>
        </is>
      </c>
      <c r="S61" s="6" t="inlineStr">
        <is>
          <t>Tuyệt đối không đưa vào CRM (Vi phạm Bộ lọc Âm tính Mục 5)</t>
        </is>
      </c>
    </row>
    <row r="62">
      <c r="A62" s="59" t="n">
        <v>4155</v>
      </c>
      <c r="B62" s="15" t="inlineStr">
        <is>
          <t>Hoot Owl Farm</t>
        </is>
      </c>
      <c r="C62" s="60" t="inlineStr">
        <is>
          <t>https://www.facebook.com/HootOwlFarm</t>
        </is>
      </c>
      <c r="D62" s="9" t="inlineStr">
        <is>
          <t>Cần quét Bio Fanpage</t>
        </is>
      </c>
      <c r="E62" s="59" t="inlineStr">
        <is>
          <t>13/10/2026 04:11:08</t>
        </is>
      </c>
      <c r="F62" s="59" t="inlineStr">
        <is>
          <t>4 giờ trước</t>
        </is>
      </c>
      <c r="G62" s="61" t="n">
        <v>0.17</v>
      </c>
      <c r="H62" s="62" t="n">
        <v>32</v>
      </c>
      <c r="I62" s="9" t="inlineStr">
        <is>
          <t>Dog Breeder / Trại nhân giống (28-30đ)</t>
        </is>
      </c>
      <c r="J62" s="62" t="n">
        <v>28</v>
      </c>
      <c r="K62" s="9" t="inlineStr">
        <is>
          <t>Chưa rõ giống (Cần quét Bio)</t>
        </is>
      </c>
      <c r="L62" s="62" t="n">
        <v>0</v>
      </c>
      <c r="M62" s="62" t="n">
        <v>5</v>
      </c>
      <c r="N62" s="9" t="inlineStr">
        <is>
          <t>Amazon link not found</t>
        </is>
      </c>
      <c r="O62" s="62">
        <f>IF(N62="Selling pet toys + Artificial grass/Pet toilets (TARGET)",15,IF(N62="Selling artificial grass/pet toilets (TARGET)",10,IF(N62="Selling pet toys",7,IF(N62="There's an Amazon link, but no target sales.",3,0))))</f>
        <v/>
      </c>
      <c r="P62" s="67">
        <f>H62+J62+L62+M62+O62</f>
        <v/>
      </c>
      <c r="Q62" s="70" t="inlineStr">
        <is>
          <t>Excluded: Trang Chung / Không rõ Ngách Cún cưng</t>
        </is>
      </c>
      <c r="R62" s="9" t="inlineStr">
        <is>
          <t>Trọn gói Take-Home Starter Kit V2/V3 (Cỏ nhân tạo + Khay Potty + Đồ chơi cún con)</t>
        </is>
      </c>
      <c r="S62" s="9" t="inlineStr">
        <is>
          <t>Tuyệt đối không đưa vào CRM (Vi phạm Bộ lọc Âm tính Mục 5)</t>
        </is>
      </c>
    </row>
    <row r="63">
      <c r="A63" s="53" t="n">
        <v>3408</v>
      </c>
      <c r="B63" s="12" t="inlineStr">
        <is>
          <t>Whitepepper Farms Homestead</t>
        </is>
      </c>
      <c r="C63" s="54" t="inlineStr">
        <is>
          <t>https://www.facebook.com/Whitepepperfarms</t>
        </is>
      </c>
      <c r="D63" s="6" t="inlineStr">
        <is>
          <t>Cần quét Bio Fanpage</t>
        </is>
      </c>
      <c r="E63" s="53" t="inlineStr">
        <is>
          <t>13/10/2026 01:09:09</t>
        </is>
      </c>
      <c r="F63" s="53" t="inlineStr">
        <is>
          <t>5 giờ trước</t>
        </is>
      </c>
      <c r="G63" s="55" t="n">
        <v>0.21</v>
      </c>
      <c r="H63" s="56" t="n">
        <v>32</v>
      </c>
      <c r="I63" s="6" t="inlineStr">
        <is>
          <t>Dog Breeder / Trại nhân giống (28-30đ)</t>
        </is>
      </c>
      <c r="J63" s="56" t="n">
        <v>28</v>
      </c>
      <c r="K63" s="6" t="inlineStr">
        <is>
          <t>Chưa rõ giống (Cần quét Bio)</t>
        </is>
      </c>
      <c r="L63" s="56" t="n">
        <v>0</v>
      </c>
      <c r="M63" s="56" t="n">
        <v>5</v>
      </c>
      <c r="N63" s="6" t="inlineStr">
        <is>
          <t>Amazon link not found</t>
        </is>
      </c>
      <c r="O63" s="56">
        <f>IF(N63="Selling pet toys + Artificial grass/Pet toilets (TARGET)",15,IF(N63="Selling artificial grass/pet toilets (TARGET)",10,IF(N63="Selling pet toys",7,IF(N63="There's an Amazon link, but no target sales.",3,0))))</f>
        <v/>
      </c>
      <c r="P63" s="65">
        <f>H63+J63+L63+M63+O63</f>
        <v/>
      </c>
      <c r="Q63" s="71" t="inlineStr">
        <is>
          <t>Excluded: Trang Chung / Không rõ Ngách Cún cưng</t>
        </is>
      </c>
      <c r="R63" s="6" t="inlineStr">
        <is>
          <t>Trọn gói Take-Home Starter Kit V2/V3 (Cỏ nhân tạo + Khay Potty + Đồ chơi cún con)</t>
        </is>
      </c>
      <c r="S63" s="6" t="inlineStr">
        <is>
          <t>Tuyệt đối không đưa vào CRM (Vi phạm Bộ lọc Âm tính Mục 5)</t>
        </is>
      </c>
    </row>
    <row r="64">
      <c r="A64" s="59" t="n">
        <v>3298</v>
      </c>
      <c r="B64" s="15" t="inlineStr">
        <is>
          <t>Vertuccio Farms</t>
        </is>
      </c>
      <c r="C64" s="60" t="inlineStr">
        <is>
          <t>https://www.facebook.com/Vertucciofarms</t>
        </is>
      </c>
      <c r="D64" s="9" t="inlineStr">
        <is>
          <t>Cần quét Bio Fanpage</t>
        </is>
      </c>
      <c r="E64" s="59" t="inlineStr">
        <is>
          <t>13/10/2026 00:58:54</t>
        </is>
      </c>
      <c r="F64" s="59" t="inlineStr">
        <is>
          <t>5 giờ trước</t>
        </is>
      </c>
      <c r="G64" s="61" t="n">
        <v>0.21</v>
      </c>
      <c r="H64" s="62" t="n">
        <v>32</v>
      </c>
      <c r="I64" s="9" t="inlineStr">
        <is>
          <t>Dog Breeder / Trại nhân giống (28-30đ)</t>
        </is>
      </c>
      <c r="J64" s="62" t="n">
        <v>28</v>
      </c>
      <c r="K64" s="9" t="inlineStr">
        <is>
          <t>Chưa rõ giống (Cần quét Bio)</t>
        </is>
      </c>
      <c r="L64" s="62" t="n">
        <v>0</v>
      </c>
      <c r="M64" s="62" t="n">
        <v>5</v>
      </c>
      <c r="N64" s="9" t="inlineStr">
        <is>
          <t>Amazon link not found</t>
        </is>
      </c>
      <c r="O64" s="62">
        <f>IF(N64="Selling pet toys + Artificial grass/Pet toilets (TARGET)",15,IF(N64="Selling artificial grass/pet toilets (TARGET)",10,IF(N64="Selling pet toys",7,IF(N64="There's an Amazon link, but no target sales.",3,0))))</f>
        <v/>
      </c>
      <c r="P64" s="67">
        <f>H64+J64+L64+M64+O64</f>
        <v/>
      </c>
      <c r="Q64" s="70" t="inlineStr">
        <is>
          <t>Excluded: Trang Chung / Không rõ Ngách Cún cưng</t>
        </is>
      </c>
      <c r="R64" s="9" t="inlineStr">
        <is>
          <t>Trọn gói Take-Home Starter Kit V2/V3 (Cỏ nhân tạo + Khay Potty + Đồ chơi cún con)</t>
        </is>
      </c>
      <c r="S64" s="9" t="inlineStr">
        <is>
          <t>Tuyệt đối không đưa vào CRM (Vi phạm Bộ lọc Âm tính Mục 5)</t>
        </is>
      </c>
    </row>
    <row r="65">
      <c r="A65" s="53" t="n">
        <v>2087</v>
      </c>
      <c r="B65" s="12" t="inlineStr">
        <is>
          <t>Maan Farms Country Experience &amp; Estate Winery</t>
        </is>
      </c>
      <c r="C65" s="54" t="inlineStr">
        <is>
          <t>https://www.facebook.com/MaanFarms</t>
        </is>
      </c>
      <c r="D65" s="6" t="inlineStr">
        <is>
          <t>Cần quét Bio Fanpage</t>
        </is>
      </c>
      <c r="E65" s="53" t="inlineStr">
        <is>
          <t>13/10/2026 00:00:16</t>
        </is>
      </c>
      <c r="F65" s="53" t="inlineStr">
        <is>
          <t>4 giờ trước</t>
        </is>
      </c>
      <c r="G65" s="55" t="n">
        <v>0.17</v>
      </c>
      <c r="H65" s="56" t="n">
        <v>32</v>
      </c>
      <c r="I65" s="6" t="inlineStr">
        <is>
          <t>Dog Breeder / Trại nhân giống (28-30đ)</t>
        </is>
      </c>
      <c r="J65" s="56" t="n">
        <v>28</v>
      </c>
      <c r="K65" s="6" t="inlineStr">
        <is>
          <t>Chưa rõ giống (Cần quét Bio)</t>
        </is>
      </c>
      <c r="L65" s="56" t="n">
        <v>0</v>
      </c>
      <c r="M65" s="56" t="n">
        <v>5</v>
      </c>
      <c r="N65" s="6" t="inlineStr">
        <is>
          <t>Amazon link not found</t>
        </is>
      </c>
      <c r="O65" s="56">
        <f>IF(N65="Selling pet toys + Artificial grass/Pet toilets (TARGET)",15,IF(N65="Selling artificial grass/pet toilets (TARGET)",10,IF(N65="Selling pet toys",7,IF(N65="There's an Amazon link, but no target sales.",3,0))))</f>
        <v/>
      </c>
      <c r="P65" s="65">
        <f>H65+J65+L65+M65+O65</f>
        <v/>
      </c>
      <c r="Q65" s="71" t="inlineStr">
        <is>
          <t>Excluded: Ngành nghề Khác (Phi Cún cưng)</t>
        </is>
      </c>
      <c r="R65" s="6" t="inlineStr">
        <is>
          <t>Trọn gói Take-Home Starter Kit V2/V3 (Cỏ nhân tạo + Khay Potty + Đồ chơi cún con)</t>
        </is>
      </c>
      <c r="S65" s="6" t="inlineStr">
        <is>
          <t>Tuyệt đối không đưa vào CRM (Vi phạm Bộ lọc Âm tính Mục 5)</t>
        </is>
      </c>
    </row>
    <row r="66">
      <c r="A66" s="59" t="n">
        <v>1919</v>
      </c>
      <c r="B66" s="15" t="inlineStr">
        <is>
          <t>Kennon Kamp Farm</t>
        </is>
      </c>
      <c r="C66" s="60" t="inlineStr">
        <is>
          <t>https://www.facebook.com/KennonKamp</t>
        </is>
      </c>
      <c r="D66" s="9" t="inlineStr">
        <is>
          <t>Cần quét Bio Fanpage</t>
        </is>
      </c>
      <c r="E66" s="59" t="inlineStr">
        <is>
          <t>12/10/2026 23:13:18</t>
        </is>
      </c>
      <c r="F66" s="59" t="inlineStr">
        <is>
          <t>5 giờ trước</t>
        </is>
      </c>
      <c r="G66" s="61" t="n">
        <v>0.21</v>
      </c>
      <c r="H66" s="62" t="n">
        <v>32</v>
      </c>
      <c r="I66" s="9" t="inlineStr">
        <is>
          <t>Dog Breeder / Trại nhân giống (28-30đ)</t>
        </is>
      </c>
      <c r="J66" s="62" t="n">
        <v>28</v>
      </c>
      <c r="K66" s="9" t="inlineStr">
        <is>
          <t>Chưa rõ giống (Cần quét Bio)</t>
        </is>
      </c>
      <c r="L66" s="62" t="n">
        <v>0</v>
      </c>
      <c r="M66" s="62" t="n">
        <v>5</v>
      </c>
      <c r="N66" s="9" t="inlineStr">
        <is>
          <t>Amazon link not found</t>
        </is>
      </c>
      <c r="O66" s="62">
        <f>IF(N66="Selling pet toys + Artificial grass/Pet toilets (TARGET)",15,IF(N66="Selling artificial grass/pet toilets (TARGET)",10,IF(N66="Selling pet toys",7,IF(N66="There's an Amazon link, but no target sales.",3,0))))</f>
        <v/>
      </c>
      <c r="P66" s="67">
        <f>H66+J66+L66+M66+O66</f>
        <v/>
      </c>
      <c r="Q66" s="70" t="inlineStr">
        <is>
          <t>Excluded: Trang Chung / Không rõ Ngách Cún cưng</t>
        </is>
      </c>
      <c r="R66" s="9" t="inlineStr">
        <is>
          <t>Trọn gói Take-Home Starter Kit V2/V3 (Cỏ nhân tạo + Khay Potty + Đồ chơi cún con)</t>
        </is>
      </c>
      <c r="S66" s="9" t="inlineStr">
        <is>
          <t>Tuyệt đối không đưa vào CRM (Vi phạm Bộ lọc Âm tính Mục 5)</t>
        </is>
      </c>
    </row>
    <row r="67">
      <c r="A67" s="53" t="n">
        <v>3483</v>
      </c>
      <c r="B67" s="12" t="inlineStr">
        <is>
          <t>ZOE Farms</t>
        </is>
      </c>
      <c r="C67" s="54" t="inlineStr">
        <is>
          <t>https://www.facebook.com/zoefarmscanton</t>
        </is>
      </c>
      <c r="D67" s="6" t="inlineStr">
        <is>
          <t>Cần quét Bio Fanpage</t>
        </is>
      </c>
      <c r="E67" s="53" t="inlineStr">
        <is>
          <t>12/10/2026 22:41:40</t>
        </is>
      </c>
      <c r="F67" s="53" t="inlineStr">
        <is>
          <t>8 giờ trước</t>
        </is>
      </c>
      <c r="G67" s="55" t="n">
        <v>0.33</v>
      </c>
      <c r="H67" s="56" t="n">
        <v>32</v>
      </c>
      <c r="I67" s="6" t="inlineStr">
        <is>
          <t>Dog Breeder / Trại nhân giống (28-30đ)</t>
        </is>
      </c>
      <c r="J67" s="56" t="n">
        <v>28</v>
      </c>
      <c r="K67" s="6" t="inlineStr">
        <is>
          <t>Chưa rõ giống (Cần quét Bio)</t>
        </is>
      </c>
      <c r="L67" s="56" t="n">
        <v>0</v>
      </c>
      <c r="M67" s="56" t="n">
        <v>5</v>
      </c>
      <c r="N67" s="6" t="inlineStr">
        <is>
          <t>Amazon link not found</t>
        </is>
      </c>
      <c r="O67" s="56">
        <f>IF(N67="Selling pet toys + Artificial grass/Pet toilets (TARGET)",15,IF(N67="Selling artificial grass/pet toilets (TARGET)",10,IF(N67="Selling pet toys",7,IF(N67="There's an Amazon link, but no target sales.",3,0))))</f>
        <v/>
      </c>
      <c r="P67" s="65">
        <f>H67+J67+L67+M67+O67</f>
        <v/>
      </c>
      <c r="Q67" s="71" t="inlineStr">
        <is>
          <t>Excluded: Trang Chung / Không rõ Ngách Cún cưng</t>
        </is>
      </c>
      <c r="R67" s="6" t="inlineStr">
        <is>
          <t>Trọn gói Take-Home Starter Kit V2/V3 (Cỏ nhân tạo + Khay Potty + Đồ chơi cún con)</t>
        </is>
      </c>
      <c r="S67" s="6" t="inlineStr">
        <is>
          <t>Tuyệt đối không đưa vào CRM (Vi phạm Bộ lọc Âm tính Mục 5)</t>
        </is>
      </c>
    </row>
    <row r="68">
      <c r="A68" s="59" t="n">
        <v>1560</v>
      </c>
      <c r="B68" s="15" t="inlineStr">
        <is>
          <t>Green Hill Farm</t>
        </is>
      </c>
      <c r="C68" s="60" t="inlineStr">
        <is>
          <t>https://www.facebook.com/greenhillfarmsharpsburg</t>
        </is>
      </c>
      <c r="D68" s="9" t="inlineStr">
        <is>
          <t>Cần quét Bio Fanpage</t>
        </is>
      </c>
      <c r="E68" s="59" t="inlineStr">
        <is>
          <t>12/10/2026 22:40:59</t>
        </is>
      </c>
      <c r="F68" s="59" t="inlineStr">
        <is>
          <t>5 giờ trước</t>
        </is>
      </c>
      <c r="G68" s="61" t="n">
        <v>0.21</v>
      </c>
      <c r="H68" s="62" t="n">
        <v>32</v>
      </c>
      <c r="I68" s="9" t="inlineStr">
        <is>
          <t>Dog Breeder / Trại nhân giống (28-30đ)</t>
        </is>
      </c>
      <c r="J68" s="62" t="n">
        <v>28</v>
      </c>
      <c r="K68" s="9" t="inlineStr">
        <is>
          <t>Chưa rõ giống (Cần quét Bio)</t>
        </is>
      </c>
      <c r="L68" s="62" t="n">
        <v>0</v>
      </c>
      <c r="M68" s="62" t="n">
        <v>5</v>
      </c>
      <c r="N68" s="9" t="inlineStr">
        <is>
          <t>Amazon link not found</t>
        </is>
      </c>
      <c r="O68" s="62">
        <f>IF(N68="Selling pet toys + Artificial grass/Pet toilets (TARGET)",15,IF(N68="Selling artificial grass/pet toilets (TARGET)",10,IF(N68="Selling pet toys",7,IF(N68="There's an Amazon link, but no target sales.",3,0))))</f>
        <v/>
      </c>
      <c r="P68" s="67">
        <f>H68+J68+L68+M68+O68</f>
        <v/>
      </c>
      <c r="Q68" s="70" t="inlineStr">
        <is>
          <t>Excluded: Trang Chung / Không rõ Ngách Cún cưng</t>
        </is>
      </c>
      <c r="R68" s="9" t="inlineStr">
        <is>
          <t>Trọn gói Take-Home Starter Kit V2/V3 (Cỏ nhân tạo + Khay Potty + Đồ chơi cún con)</t>
        </is>
      </c>
      <c r="S68" s="9" t="inlineStr">
        <is>
          <t>Tuyệt đối không đưa vào CRM (Vi phạm Bộ lọc Âm tính Mục 5)</t>
        </is>
      </c>
    </row>
    <row r="69">
      <c r="A69" s="53" t="n">
        <v>1318</v>
      </c>
      <c r="B69" s="12" t="inlineStr">
        <is>
          <t>Fairview Farm</t>
        </is>
      </c>
      <c r="C69" s="54" t="inlineStr">
        <is>
          <t>https://www.facebook.com/HarvestingLightPhotography</t>
        </is>
      </c>
      <c r="D69" s="6" t="inlineStr">
        <is>
          <t>Cần quét Bio Fanpage</t>
        </is>
      </c>
      <c r="E69" s="53" t="inlineStr">
        <is>
          <t>12/10/2026 21:34:37</t>
        </is>
      </c>
      <c r="F69" s="53" t="inlineStr">
        <is>
          <t>5 giờ trước</t>
        </is>
      </c>
      <c r="G69" s="55" t="n">
        <v>0.21</v>
      </c>
      <c r="H69" s="56" t="n">
        <v>32</v>
      </c>
      <c r="I69" s="6" t="inlineStr">
        <is>
          <t>Dog Breeder / Trại nhân giống (28-30đ)</t>
        </is>
      </c>
      <c r="J69" s="56" t="n">
        <v>28</v>
      </c>
      <c r="K69" s="6" t="inlineStr">
        <is>
          <t>Chưa rõ giống (Cần quét Bio)</t>
        </is>
      </c>
      <c r="L69" s="56" t="n">
        <v>0</v>
      </c>
      <c r="M69" s="56" t="n">
        <v>5</v>
      </c>
      <c r="N69" s="6" t="inlineStr">
        <is>
          <t>Amazon link not found</t>
        </is>
      </c>
      <c r="O69" s="56">
        <f>IF(N69="Selling pet toys + Artificial grass/Pet toilets (TARGET)",15,IF(N69="Selling artificial grass/pet toilets (TARGET)",10,IF(N69="Selling pet toys",7,IF(N69="There's an Amazon link, but no target sales.",3,0))))</f>
        <v/>
      </c>
      <c r="P69" s="65">
        <f>H69+J69+L69+M69+O69</f>
        <v/>
      </c>
      <c r="Q69" s="71" t="inlineStr">
        <is>
          <t>Excluded: Trang Chung / Không rõ Ngách Cún cưng</t>
        </is>
      </c>
      <c r="R69" s="6" t="inlineStr">
        <is>
          <t>Trọn gói Take-Home Starter Kit V2/V3 (Cỏ nhân tạo + Khay Potty + Đồ chơi cún con)</t>
        </is>
      </c>
      <c r="S69" s="6" t="inlineStr">
        <is>
          <t>Tuyệt đối không đưa vào CRM (Vi phạm Bộ lọc Âm tính Mục 5)</t>
        </is>
      </c>
    </row>
    <row r="70">
      <c r="A70" s="59" t="n">
        <v>717</v>
      </c>
      <c r="B70" s="15" t="inlineStr">
        <is>
          <t>Bolt Farm Treehouse</t>
        </is>
      </c>
      <c r="C70" s="60" t="inlineStr">
        <is>
          <t>https://www.facebook.com/boltfarmtreehouse</t>
        </is>
      </c>
      <c r="D70" s="9" t="inlineStr">
        <is>
          <t>Cần quét Bio Fanpage</t>
        </is>
      </c>
      <c r="E70" s="59" t="inlineStr">
        <is>
          <t>12/10/2026 21:32:41</t>
        </is>
      </c>
      <c r="F70" s="59" t="inlineStr">
        <is>
          <t>4 giờ trước</t>
        </is>
      </c>
      <c r="G70" s="61" t="n">
        <v>0.17</v>
      </c>
      <c r="H70" s="62" t="n">
        <v>32</v>
      </c>
      <c r="I70" s="9" t="inlineStr">
        <is>
          <t>Dog Breeder / Trại nhân giống (28-30đ)</t>
        </is>
      </c>
      <c r="J70" s="62" t="n">
        <v>28</v>
      </c>
      <c r="K70" s="9" t="inlineStr">
        <is>
          <t>Chưa rõ giống (Cần quét Bio)</t>
        </is>
      </c>
      <c r="L70" s="62" t="n">
        <v>0</v>
      </c>
      <c r="M70" s="62" t="n">
        <v>5</v>
      </c>
      <c r="N70" s="9" t="inlineStr">
        <is>
          <t>Amazon link not found</t>
        </is>
      </c>
      <c r="O70" s="62">
        <f>IF(N70="Selling pet toys + Artificial grass/Pet toilets (TARGET)",15,IF(N70="Selling artificial grass/pet toilets (TARGET)",10,IF(N70="Selling pet toys",7,IF(N70="There's an Amazon link, but no target sales.",3,0))))</f>
        <v/>
      </c>
      <c r="P70" s="67">
        <f>H70+J70+L70+M70+O70</f>
        <v/>
      </c>
      <c r="Q70" s="70" t="inlineStr">
        <is>
          <t>Excluded: Ngành nghề Khác (Phi Cún cưng)</t>
        </is>
      </c>
      <c r="R70" s="9" t="inlineStr">
        <is>
          <t>Trọn gói Take-Home Starter Kit V2/V3 (Cỏ nhân tạo + Khay Potty + Đồ chơi cún con)</t>
        </is>
      </c>
      <c r="S70" s="9" t="inlineStr">
        <is>
          <t>Tuyệt đối không đưa vào CRM (Vi phạm Bộ lọc Âm tính Mục 5)</t>
        </is>
      </c>
    </row>
    <row r="71">
      <c r="A71" s="53" t="n">
        <v>1960</v>
      </c>
      <c r="B71" s="12" t="inlineStr">
        <is>
          <t>Laborde’s Feather Farm</t>
        </is>
      </c>
      <c r="C71" s="54" t="inlineStr">
        <is>
          <t>https://www.facebook.com/profile.php?id=61593871844752</t>
        </is>
      </c>
      <c r="D71" s="6" t="inlineStr">
        <is>
          <t>Cần quét Bio Fanpage</t>
        </is>
      </c>
      <c r="E71" s="53" t="inlineStr">
        <is>
          <t>12/10/2026 21:27:14</t>
        </is>
      </c>
      <c r="F71" s="53" t="inlineStr">
        <is>
          <t>6 giờ trước</t>
        </is>
      </c>
      <c r="G71" s="55" t="n">
        <v>0.25</v>
      </c>
      <c r="H71" s="56" t="n">
        <v>32</v>
      </c>
      <c r="I71" s="6" t="inlineStr">
        <is>
          <t>Dog Breeder / Trại nhân giống (28-30đ)</t>
        </is>
      </c>
      <c r="J71" s="56" t="n">
        <v>28</v>
      </c>
      <c r="K71" s="6" t="inlineStr">
        <is>
          <t>Chưa rõ giống (Cần quét Bio)</t>
        </is>
      </c>
      <c r="L71" s="56" t="n">
        <v>0</v>
      </c>
      <c r="M71" s="56" t="n">
        <v>5</v>
      </c>
      <c r="N71" s="6" t="inlineStr">
        <is>
          <t>Amazon link not found</t>
        </is>
      </c>
      <c r="O71" s="56">
        <f>IF(N71="Selling pet toys + Artificial grass/Pet toilets (TARGET)",15,IF(N71="Selling artificial grass/pet toilets (TARGET)",10,IF(N71="Selling pet toys",7,IF(N71="There's an Amazon link, but no target sales.",3,0))))</f>
        <v/>
      </c>
      <c r="P71" s="65">
        <f>H71+J71+L71+M71+O71</f>
        <v/>
      </c>
      <c r="Q71" s="71" t="inlineStr">
        <is>
          <t>Excluded: Ngành nghề Khác (Phi Cún cưng)</t>
        </is>
      </c>
      <c r="R71" s="6" t="inlineStr">
        <is>
          <t>Trọn gói Take-Home Starter Kit V2/V3 (Cỏ nhân tạo + Khay Potty + Đồ chơi cún con)</t>
        </is>
      </c>
      <c r="S71" s="6" t="inlineStr">
        <is>
          <t>Tuyệt đối không đưa vào CRM (Vi phạm Bộ lọc Âm tính Mục 5)</t>
        </is>
      </c>
    </row>
    <row r="72">
      <c r="A72" s="59" t="n">
        <v>725</v>
      </c>
      <c r="B72" s="15" t="inlineStr">
        <is>
          <t>Boots to Roots Family Farm</t>
        </is>
      </c>
      <c r="C72" s="60" t="inlineStr">
        <is>
          <t>https://www.facebook.com/profile.php?id=100084125586294</t>
        </is>
      </c>
      <c r="D72" s="9" t="inlineStr">
        <is>
          <t>Cần quét Bio Fanpage</t>
        </is>
      </c>
      <c r="E72" s="59" t="inlineStr">
        <is>
          <t>12/10/2026 21:12:35</t>
        </is>
      </c>
      <c r="F72" s="59" t="inlineStr">
        <is>
          <t>5 giờ trước</t>
        </is>
      </c>
      <c r="G72" s="61" t="n">
        <v>0.21</v>
      </c>
      <c r="H72" s="62" t="n">
        <v>32</v>
      </c>
      <c r="I72" s="9" t="inlineStr">
        <is>
          <t>Dog Breeder / Trại nhân giống (28-30đ)</t>
        </is>
      </c>
      <c r="J72" s="62" t="n">
        <v>28</v>
      </c>
      <c r="K72" s="9" t="inlineStr">
        <is>
          <t>Chưa rõ giống (Cần quét Bio)</t>
        </is>
      </c>
      <c r="L72" s="62" t="n">
        <v>0</v>
      </c>
      <c r="M72" s="62" t="n">
        <v>5</v>
      </c>
      <c r="N72" s="9" t="inlineStr">
        <is>
          <t>Amazon link not found</t>
        </is>
      </c>
      <c r="O72" s="62">
        <f>IF(N72="Selling pet toys + Artificial grass/Pet toilets (TARGET)",15,IF(N72="Selling artificial grass/pet toilets (TARGET)",10,IF(N72="Selling pet toys",7,IF(N72="There's an Amazon link, but no target sales.",3,0))))</f>
        <v/>
      </c>
      <c r="P72" s="67">
        <f>H72+J72+L72+M72+O72</f>
        <v/>
      </c>
      <c r="Q72" s="70" t="inlineStr">
        <is>
          <t>Excluded: Trang Chung / Không rõ Ngách Cún cưng</t>
        </is>
      </c>
      <c r="R72" s="9" t="inlineStr">
        <is>
          <t>Trọn gói Take-Home Starter Kit V2/V3 (Cỏ nhân tạo + Khay Potty + Đồ chơi cún con)</t>
        </is>
      </c>
      <c r="S72" s="9" t="inlineStr">
        <is>
          <t>Tuyệt đối không đưa vào CRM (Vi phạm Bộ lọc Âm tính Mục 5)</t>
        </is>
      </c>
    </row>
    <row r="73">
      <c r="A73" s="53" t="n">
        <v>233</v>
      </c>
      <c r="B73" s="12" t="inlineStr">
        <is>
          <t>North Fresh Farm</t>
        </is>
      </c>
      <c r="C73" s="54" t="inlineStr">
        <is>
          <t>https://www.facebook.com/NorthFreshFarm</t>
        </is>
      </c>
      <c r="D73" s="6" t="inlineStr">
        <is>
          <t>Cần quét Bio Fanpage</t>
        </is>
      </c>
      <c r="E73" s="53" t="inlineStr">
        <is>
          <t>12/10/2026 21:09:47</t>
        </is>
      </c>
      <c r="F73" s="53" t="inlineStr">
        <is>
          <t>4 giờ trước</t>
        </is>
      </c>
      <c r="G73" s="55" t="n">
        <v>0.17</v>
      </c>
      <c r="H73" s="56" t="n">
        <v>32</v>
      </c>
      <c r="I73" s="6" t="inlineStr">
        <is>
          <t>Dog Breeder / Trại nhân giống (28-30đ)</t>
        </is>
      </c>
      <c r="J73" s="56" t="n">
        <v>28</v>
      </c>
      <c r="K73" s="6" t="inlineStr">
        <is>
          <t>Chưa rõ giống (Cần quét Bio)</t>
        </is>
      </c>
      <c r="L73" s="56" t="n">
        <v>0</v>
      </c>
      <c r="M73" s="56" t="n">
        <v>5</v>
      </c>
      <c r="N73" s="6" t="inlineStr">
        <is>
          <t>Amazon link not found</t>
        </is>
      </c>
      <c r="O73" s="56">
        <f>IF(N73="Selling pet toys + Artificial grass/Pet toilets (TARGET)",15,IF(N73="Selling artificial grass/pet toilets (TARGET)",10,IF(N73="Selling pet toys",7,IF(N73="There's an Amazon link, but no target sales.",3,0))))</f>
        <v/>
      </c>
      <c r="P73" s="65">
        <f>H73+J73+L73+M73+O73</f>
        <v/>
      </c>
      <c r="Q73" s="71" t="inlineStr">
        <is>
          <t>Excluded: Trang Chung / Không rõ Ngách Cún cưng</t>
        </is>
      </c>
      <c r="R73" s="6" t="inlineStr">
        <is>
          <t>Trọn gói Take-Home Starter Kit V2/V3 (Cỏ nhân tạo + Khay Potty + Đồ chơi cún con)</t>
        </is>
      </c>
      <c r="S73" s="6" t="inlineStr">
        <is>
          <t>Tuyệt đối không đưa vào CRM (Vi phạm Bộ lọc Âm tính Mục 5)</t>
        </is>
      </c>
    </row>
    <row r="74">
      <c r="A74" s="59" t="n">
        <v>2881</v>
      </c>
      <c r="B74" s="15" t="inlineStr">
        <is>
          <t>Shemini Atzeret Farms</t>
        </is>
      </c>
      <c r="C74" s="60" t="inlineStr">
        <is>
          <t>https://www.facebook.com/sheminiatzeretfarms</t>
        </is>
      </c>
      <c r="D74" s="9" t="inlineStr">
        <is>
          <t>Cần quét Bio Fanpage</t>
        </is>
      </c>
      <c r="E74" s="59" t="inlineStr">
        <is>
          <t>12/10/2026 21:03:02</t>
        </is>
      </c>
      <c r="F74" s="59" t="inlineStr">
        <is>
          <t>9 giờ trước</t>
        </is>
      </c>
      <c r="G74" s="61" t="n">
        <v>0.38</v>
      </c>
      <c r="H74" s="62" t="n">
        <v>32</v>
      </c>
      <c r="I74" s="9" t="inlineStr">
        <is>
          <t>Dog Breeder / Trại nhân giống (28-30đ)</t>
        </is>
      </c>
      <c r="J74" s="62" t="n">
        <v>28</v>
      </c>
      <c r="K74" s="9" t="inlineStr">
        <is>
          <t>Chưa rõ giống (Cần quét Bio)</t>
        </is>
      </c>
      <c r="L74" s="62" t="n">
        <v>0</v>
      </c>
      <c r="M74" s="62" t="n">
        <v>5</v>
      </c>
      <c r="N74" s="9" t="inlineStr">
        <is>
          <t>Amazon link not found</t>
        </is>
      </c>
      <c r="O74" s="62">
        <f>IF(N74="Selling pet toys + Artificial grass/Pet toilets (TARGET)",15,IF(N74="Selling artificial grass/pet toilets (TARGET)",10,IF(N74="Selling pet toys",7,IF(N74="There's an Amazon link, but no target sales.",3,0))))</f>
        <v/>
      </c>
      <c r="P74" s="67">
        <f>H74+J74+L74+M74+O74</f>
        <v/>
      </c>
      <c r="Q74" s="70" t="inlineStr">
        <is>
          <t>Excluded: Trang Chung / Không rõ Ngách Cún cưng</t>
        </is>
      </c>
      <c r="R74" s="9" t="inlineStr">
        <is>
          <t>Trọn gói Take-Home Starter Kit V2/V3 (Cỏ nhân tạo + Khay Potty + Đồ chơi cún con)</t>
        </is>
      </c>
      <c r="S74" s="9" t="inlineStr">
        <is>
          <t>Tuyệt đối không đưa vào CRM (Vi phạm Bộ lọc Âm tính Mục 5)</t>
        </is>
      </c>
    </row>
    <row r="75">
      <c r="A75" s="53" t="n">
        <v>2601</v>
      </c>
      <c r="B75" s="12" t="inlineStr">
        <is>
          <t>Portage View Farm</t>
        </is>
      </c>
      <c r="C75" s="54" t="inlineStr">
        <is>
          <t>https://www.facebook.com/portageviewfarm</t>
        </is>
      </c>
      <c r="D75" s="6" t="inlineStr">
        <is>
          <t>Cần quét Bio Fanpage</t>
        </is>
      </c>
      <c r="E75" s="53" t="inlineStr">
        <is>
          <t>12/10/2026 21:00:27</t>
        </is>
      </c>
      <c r="F75" s="53" t="inlineStr">
        <is>
          <t>8 giờ trước</t>
        </is>
      </c>
      <c r="G75" s="55" t="n">
        <v>0.33</v>
      </c>
      <c r="H75" s="56" t="n">
        <v>32</v>
      </c>
      <c r="I75" s="6" t="inlineStr">
        <is>
          <t>Dog Breeder / Trại nhân giống (28-30đ)</t>
        </is>
      </c>
      <c r="J75" s="56" t="n">
        <v>28</v>
      </c>
      <c r="K75" s="6" t="inlineStr">
        <is>
          <t>Chưa rõ giống (Cần quét Bio)</t>
        </is>
      </c>
      <c r="L75" s="56" t="n">
        <v>0</v>
      </c>
      <c r="M75" s="56" t="n">
        <v>5</v>
      </c>
      <c r="N75" s="6" t="inlineStr">
        <is>
          <t>Amazon link not found</t>
        </is>
      </c>
      <c r="O75" s="56">
        <f>IF(N75="Selling pet toys + Artificial grass/Pet toilets (TARGET)",15,IF(N75="Selling artificial grass/pet toilets (TARGET)",10,IF(N75="Selling pet toys",7,IF(N75="There's an Amazon link, but no target sales.",3,0))))</f>
        <v/>
      </c>
      <c r="P75" s="65">
        <f>H75+J75+L75+M75+O75</f>
        <v/>
      </c>
      <c r="Q75" s="71" t="inlineStr">
        <is>
          <t>Excluded: Trang Chung / Không rõ Ngách Cún cưng</t>
        </is>
      </c>
      <c r="R75" s="6" t="inlineStr">
        <is>
          <t>Trọn gói Take-Home Starter Kit V2/V3 (Cỏ nhân tạo + Khay Potty + Đồ chơi cún con)</t>
        </is>
      </c>
      <c r="S75" s="6" t="inlineStr">
        <is>
          <t>Tuyệt đối không đưa vào CRM (Vi phạm Bộ lọc Âm tính Mục 5)</t>
        </is>
      </c>
    </row>
    <row r="76">
      <c r="A76" s="59" t="n">
        <v>1336</v>
      </c>
      <c r="B76" s="15" t="inlineStr">
        <is>
          <t>Farm To Freezer</t>
        </is>
      </c>
      <c r="C76" s="60" t="inlineStr">
        <is>
          <t>https://www.facebook.com/profile.php?id=61553849754008</t>
        </is>
      </c>
      <c r="D76" s="9" t="inlineStr">
        <is>
          <t>Cần quét Bio Fanpage</t>
        </is>
      </c>
      <c r="E76" s="59" t="inlineStr">
        <is>
          <t>12/10/2026 20:56:21</t>
        </is>
      </c>
      <c r="F76" s="59" t="inlineStr">
        <is>
          <t>6 giờ trước</t>
        </is>
      </c>
      <c r="G76" s="61" t="n">
        <v>0.25</v>
      </c>
      <c r="H76" s="62" t="n">
        <v>32</v>
      </c>
      <c r="I76" s="9" t="inlineStr">
        <is>
          <t>Dog Breeder / Trại nhân giống (28-30đ)</t>
        </is>
      </c>
      <c r="J76" s="62" t="n">
        <v>28</v>
      </c>
      <c r="K76" s="9" t="inlineStr">
        <is>
          <t>Chưa rõ giống (Cần quét Bio)</t>
        </is>
      </c>
      <c r="L76" s="62" t="n">
        <v>0</v>
      </c>
      <c r="M76" s="62" t="n">
        <v>5</v>
      </c>
      <c r="N76" s="9" t="inlineStr">
        <is>
          <t>Amazon link not found</t>
        </is>
      </c>
      <c r="O76" s="62">
        <f>IF(N76="Selling pet toys + Artificial grass/Pet toilets (TARGET)",15,IF(N76="Selling artificial grass/pet toilets (TARGET)",10,IF(N76="Selling pet toys",7,IF(N76="There's an Amazon link, but no target sales.",3,0))))</f>
        <v/>
      </c>
      <c r="P76" s="67">
        <f>H76+J76+L76+M76+O76</f>
        <v/>
      </c>
      <c r="Q76" s="70" t="inlineStr">
        <is>
          <t>Excluded: Ngành nghề Khác (Phi Cún cưng)</t>
        </is>
      </c>
      <c r="R76" s="9" t="inlineStr">
        <is>
          <t>Trọn gói Take-Home Starter Kit V2/V3 (Cỏ nhân tạo + Khay Potty + Đồ chơi cún con)</t>
        </is>
      </c>
      <c r="S76" s="9" t="inlineStr">
        <is>
          <t>Tuyệt đối không đưa vào CRM (Vi phạm Bộ lọc Âm tính Mục 5)</t>
        </is>
      </c>
    </row>
    <row r="77">
      <c r="A77" s="53" t="n">
        <v>845</v>
      </c>
      <c r="B77" s="12" t="inlineStr">
        <is>
          <t>Carm’s Farm</t>
        </is>
      </c>
      <c r="C77" s="54" t="inlineStr">
        <is>
          <t>https://www.facebook.com/profile.php?id=61566573076200</t>
        </is>
      </c>
      <c r="D77" s="6" t="inlineStr">
        <is>
          <t>Cần quét Bio Fanpage</t>
        </is>
      </c>
      <c r="E77" s="53" t="inlineStr">
        <is>
          <t>12/10/2026 20:19:42</t>
        </is>
      </c>
      <c r="F77" s="53" t="inlineStr">
        <is>
          <t>6 giờ trước</t>
        </is>
      </c>
      <c r="G77" s="55" t="n">
        <v>0.25</v>
      </c>
      <c r="H77" s="56" t="n">
        <v>32</v>
      </c>
      <c r="I77" s="6" t="inlineStr">
        <is>
          <t>Dog Breeder / Trại nhân giống (28-30đ)</t>
        </is>
      </c>
      <c r="J77" s="56" t="n">
        <v>28</v>
      </c>
      <c r="K77" s="6" t="inlineStr">
        <is>
          <t>Chưa rõ giống (Cần quét Bio)</t>
        </is>
      </c>
      <c r="L77" s="56" t="n">
        <v>0</v>
      </c>
      <c r="M77" s="56" t="n">
        <v>5</v>
      </c>
      <c r="N77" s="6" t="inlineStr">
        <is>
          <t>Amazon link not found</t>
        </is>
      </c>
      <c r="O77" s="56">
        <f>IF(N77="Selling pet toys + Artificial grass/Pet toilets (TARGET)",15,IF(N77="Selling artificial grass/pet toilets (TARGET)",10,IF(N77="Selling pet toys",7,IF(N77="There's an Amazon link, but no target sales.",3,0))))</f>
        <v/>
      </c>
      <c r="P77" s="65">
        <f>H77+J77+L77+M77+O77</f>
        <v/>
      </c>
      <c r="Q77" s="71" t="inlineStr">
        <is>
          <t>Excluded: Trang Chung / Không rõ Ngách Cún cưng</t>
        </is>
      </c>
      <c r="R77" s="6" t="inlineStr">
        <is>
          <t>Trọn gói Take-Home Starter Kit V2/V3 (Cỏ nhân tạo + Khay Potty + Đồ chơi cún con)</t>
        </is>
      </c>
      <c r="S77" s="6" t="inlineStr">
        <is>
          <t>Tuyệt đối không đưa vào CRM (Vi phạm Bộ lọc Âm tính Mục 5)</t>
        </is>
      </c>
    </row>
    <row r="78">
      <c r="A78" s="59" t="n">
        <v>115</v>
      </c>
      <c r="B78" s="15" t="inlineStr">
        <is>
          <t>Bernese Mountain Dog Club of America</t>
        </is>
      </c>
      <c r="C78" s="60" t="inlineStr">
        <is>
          <t>https://www.facebook.com/bmdca</t>
        </is>
      </c>
      <c r="D78" s="9" t="inlineStr">
        <is>
          <t>Cần quét Bio Fanpage</t>
        </is>
      </c>
      <c r="E78" s="59" t="inlineStr">
        <is>
          <t>12/10/2026 20:01:36</t>
        </is>
      </c>
      <c r="F78" s="59" t="inlineStr">
        <is>
          <t>5 giờ trước</t>
        </is>
      </c>
      <c r="G78" s="61" t="n">
        <v>0.21</v>
      </c>
      <c r="H78" s="62" t="n">
        <v>32</v>
      </c>
      <c r="I78" s="9" t="inlineStr">
        <is>
          <t>Dog Breeder / Trại chó chuyên nghiệp (28-30đ)</t>
        </is>
      </c>
      <c r="J78" s="62" t="n">
        <v>28</v>
      </c>
      <c r="K78" s="9" t="inlineStr">
        <is>
          <t>Bernese Mountain Dog</t>
        </is>
      </c>
      <c r="L78" s="62" t="n">
        <v>5</v>
      </c>
      <c r="M78" s="62" t="n">
        <v>0</v>
      </c>
      <c r="N78" s="9" t="inlineStr">
        <is>
          <t>Amazon link not found</t>
        </is>
      </c>
      <c r="O78" s="62">
        <f>IF(N78="Selling pet toys + Artificial grass/Pet toilets (TARGET)",15,IF(N78="Selling artificial grass/pet toilets (TARGET)",10,IF(N78="Selling pet toys",7,IF(N78="There's an Amazon link, but no target sales.",3,0))))</f>
        <v/>
      </c>
      <c r="P78" s="67">
        <f>H78+J78+L78+M78+O78</f>
        <v/>
      </c>
      <c r="Q78" s="70" t="inlineStr">
        <is>
          <t>Excluded: Hiệp hội &amp; CLB Phả hệ (Mục 5.1)</t>
        </is>
      </c>
      <c r="R78" s="9" t="inlineStr">
        <is>
          <t>Trọn gói Take-Home Starter Kit V2/V3 (Cỏ nhân tạo + Khay Potty + Đồ chơi Teething/Snuggle)</t>
        </is>
      </c>
      <c r="S78" s="9" t="inlineStr">
        <is>
          <t>Tuyệt đối không đưa vào CRM (Vi phạm Bộ lọc Âm tính Mục 5)</t>
        </is>
      </c>
    </row>
    <row r="79">
      <c r="A79" s="53" t="n">
        <v>3466</v>
      </c>
      <c r="B79" s="12" t="inlineStr">
        <is>
          <t>Yoder Family Farms Duroc Pork</t>
        </is>
      </c>
      <c r="C79" s="54" t="inlineStr">
        <is>
          <t>https://www.facebook.com/profile.php?id=100057570544328</t>
        </is>
      </c>
      <c r="D79" s="6" t="inlineStr">
        <is>
          <t>Cần quét Bio Fanpage</t>
        </is>
      </c>
      <c r="E79" s="53" t="inlineStr">
        <is>
          <t>12/10/2026 19:59:26</t>
        </is>
      </c>
      <c r="F79" s="53" t="inlineStr">
        <is>
          <t>11 giờ trước</t>
        </is>
      </c>
      <c r="G79" s="55" t="n">
        <v>0.46</v>
      </c>
      <c r="H79" s="56" t="n">
        <v>32</v>
      </c>
      <c r="I79" s="6" t="inlineStr">
        <is>
          <t>Dog Breeder / Trại nhân giống (28-30đ)</t>
        </is>
      </c>
      <c r="J79" s="56" t="n">
        <v>28</v>
      </c>
      <c r="K79" s="6" t="inlineStr">
        <is>
          <t>Chưa rõ giống (Cần quét Bio)</t>
        </is>
      </c>
      <c r="L79" s="56" t="n">
        <v>0</v>
      </c>
      <c r="M79" s="56" t="n">
        <v>5</v>
      </c>
      <c r="N79" s="6" t="inlineStr">
        <is>
          <t>Amazon link not found</t>
        </is>
      </c>
      <c r="O79" s="56">
        <f>IF(N79="Selling pet toys + Artificial grass/Pet toilets (TARGET)",15,IF(N79="Selling artificial grass/pet toilets (TARGET)",10,IF(N79="Selling pet toys",7,IF(N79="There's an Amazon link, but no target sales.",3,0))))</f>
        <v/>
      </c>
      <c r="P79" s="65">
        <f>H79+J79+L79+M79+O79</f>
        <v/>
      </c>
      <c r="Q79" s="71" t="inlineStr">
        <is>
          <t>Excluded: Ngành nghề Khác (Phi Cún cưng)</t>
        </is>
      </c>
      <c r="R79" s="6" t="inlineStr">
        <is>
          <t>Trọn gói Take-Home Starter Kit V2/V3 (Cỏ nhân tạo + Khay Potty + Đồ chơi cún con)</t>
        </is>
      </c>
      <c r="S79" s="6" t="inlineStr">
        <is>
          <t>Tuyệt đối không đưa vào CRM (Vi phạm Bộ lọc Âm tính Mục 5)</t>
        </is>
      </c>
    </row>
    <row r="80">
      <c r="A80" s="59" t="n">
        <v>3029</v>
      </c>
      <c r="B80" s="15" t="inlineStr">
        <is>
          <t>Susan Rosales - State Farm Insurance Agent</t>
        </is>
      </c>
      <c r="C80" s="60" t="inlineStr">
        <is>
          <t>https://www.facebook.com/SusanKirkRosalesStateFarm</t>
        </is>
      </c>
      <c r="D80" s="9" t="inlineStr">
        <is>
          <t>Cần quét Bio Fanpage</t>
        </is>
      </c>
      <c r="E80" s="59" t="inlineStr">
        <is>
          <t>12/10/2026 19:57:19</t>
        </is>
      </c>
      <c r="F80" s="59" t="inlineStr">
        <is>
          <t>10 giờ trước</t>
        </is>
      </c>
      <c r="G80" s="61" t="n">
        <v>0.42</v>
      </c>
      <c r="H80" s="62" t="n">
        <v>32</v>
      </c>
      <c r="I80" s="9" t="inlineStr">
        <is>
          <t>Dog Breeder / Trại nhân giống (28-30đ)</t>
        </is>
      </c>
      <c r="J80" s="62" t="n">
        <v>28</v>
      </c>
      <c r="K80" s="9" t="inlineStr">
        <is>
          <t>Chưa rõ giống (Cần quét Bio)</t>
        </is>
      </c>
      <c r="L80" s="62" t="n">
        <v>0</v>
      </c>
      <c r="M80" s="62" t="n">
        <v>5</v>
      </c>
      <c r="N80" s="9" t="inlineStr">
        <is>
          <t>Amazon link not found</t>
        </is>
      </c>
      <c r="O80" s="62">
        <f>IF(N80="Selling pet toys + Artificial grass/Pet toilets (TARGET)",15,IF(N80="Selling artificial grass/pet toilets (TARGET)",10,IF(N80="Selling pet toys",7,IF(N80="There's an Amazon link, but no target sales.",3,0))))</f>
        <v/>
      </c>
      <c r="P80" s="67">
        <f>H80+J80+L80+M80+O80</f>
        <v/>
      </c>
      <c r="Q80" s="70" t="inlineStr">
        <is>
          <t>Excluded: Ngành nghề Khác (Phi Cún cưng)</t>
        </is>
      </c>
      <c r="R80" s="9" t="inlineStr">
        <is>
          <t>Trọn gói Take-Home Starter Kit V2/V3 (Cỏ nhân tạo + Khay Potty + Đồ chơi cún con)</t>
        </is>
      </c>
      <c r="S80" s="9" t="inlineStr">
        <is>
          <t>Tuyệt đối không đưa vào CRM (Vi phạm Bộ lọc Âm tính Mục 5)</t>
        </is>
      </c>
    </row>
    <row r="81">
      <c r="A81" s="53" t="n">
        <v>1562</v>
      </c>
      <c r="B81" s="12" t="inlineStr">
        <is>
          <t>Green Pastures Farm</t>
        </is>
      </c>
      <c r="C81" s="54" t="inlineStr">
        <is>
          <t>https://www.facebook.com/profile.php?id=100057525735137</t>
        </is>
      </c>
      <c r="D81" s="6" t="inlineStr">
        <is>
          <t>Cần quét Bio Fanpage</t>
        </is>
      </c>
      <c r="E81" s="53" t="inlineStr">
        <is>
          <t>12/10/2026 19:22:31</t>
        </is>
      </c>
      <c r="F81" s="53" t="inlineStr">
        <is>
          <t>8 giờ trước</t>
        </is>
      </c>
      <c r="G81" s="55" t="n">
        <v>0.33</v>
      </c>
      <c r="H81" s="56" t="n">
        <v>32</v>
      </c>
      <c r="I81" s="6" t="inlineStr">
        <is>
          <t>Dog Breeder / Trại nhân giống (28-30đ)</t>
        </is>
      </c>
      <c r="J81" s="56" t="n">
        <v>28</v>
      </c>
      <c r="K81" s="6" t="inlineStr">
        <is>
          <t>Chưa rõ giống (Cần quét Bio)</t>
        </is>
      </c>
      <c r="L81" s="56" t="n">
        <v>0</v>
      </c>
      <c r="M81" s="56" t="n">
        <v>5</v>
      </c>
      <c r="N81" s="6" t="inlineStr">
        <is>
          <t>Amazon link not found</t>
        </is>
      </c>
      <c r="O81" s="56">
        <f>IF(N81="Selling pet toys + Artificial grass/Pet toilets (TARGET)",15,IF(N81="Selling artificial grass/pet toilets (TARGET)",10,IF(N81="Selling pet toys",7,IF(N81="There's an Amazon link, but no target sales.",3,0))))</f>
        <v/>
      </c>
      <c r="P81" s="65">
        <f>H81+J81+L81+M81+O81</f>
        <v/>
      </c>
      <c r="Q81" s="71" t="inlineStr">
        <is>
          <t>Excluded: Trang Chung / Không rõ Ngách Cún cưng</t>
        </is>
      </c>
      <c r="R81" s="6" t="inlineStr">
        <is>
          <t>Trọn gói Take-Home Starter Kit V2/V3 (Cỏ nhân tạo + Khay Potty + Đồ chơi cún con)</t>
        </is>
      </c>
      <c r="S81" s="6" t="inlineStr">
        <is>
          <t>Tuyệt đối không đưa vào CRM (Vi phạm Bộ lọc Âm tính Mục 5)</t>
        </is>
      </c>
    </row>
    <row r="82">
      <c r="A82" s="59" t="n">
        <v>511</v>
      </c>
      <c r="B82" s="15" t="inlineStr">
        <is>
          <t>Ardross Farm</t>
        </is>
      </c>
      <c r="C82" s="60" t="inlineStr">
        <is>
          <t>https://www.facebook.com/ArdrossFarm</t>
        </is>
      </c>
      <c r="D82" s="9" t="inlineStr">
        <is>
          <t>Cần quét Bio Fanpage</t>
        </is>
      </c>
      <c r="E82" s="59" t="inlineStr">
        <is>
          <t>12/10/2026 15:27:37</t>
        </is>
      </c>
      <c r="F82" s="59" t="inlineStr">
        <is>
          <t>10 giờ trước</t>
        </is>
      </c>
      <c r="G82" s="61" t="n">
        <v>0.42</v>
      </c>
      <c r="H82" s="62" t="n">
        <v>32</v>
      </c>
      <c r="I82" s="9" t="inlineStr">
        <is>
          <t>Dog Breeder / Trại nhân giống (28-30đ)</t>
        </is>
      </c>
      <c r="J82" s="62" t="n">
        <v>28</v>
      </c>
      <c r="K82" s="9" t="inlineStr">
        <is>
          <t>Chưa rõ giống (Cần quét Bio)</t>
        </is>
      </c>
      <c r="L82" s="62" t="n">
        <v>0</v>
      </c>
      <c r="M82" s="62" t="n">
        <v>5</v>
      </c>
      <c r="N82" s="9" t="inlineStr">
        <is>
          <t>Amazon link not found</t>
        </is>
      </c>
      <c r="O82" s="62">
        <f>IF(N82="Selling pet toys + Artificial grass/Pet toilets (TARGET)",15,IF(N82="Selling artificial grass/pet toilets (TARGET)",10,IF(N82="Selling pet toys",7,IF(N82="There's an Amazon link, but no target sales.",3,0))))</f>
        <v/>
      </c>
      <c r="P82" s="67">
        <f>H82+J82+L82+M82+O82</f>
        <v/>
      </c>
      <c r="Q82" s="70" t="inlineStr">
        <is>
          <t>Excluded: Trang Chung / Không rõ Ngách Cún cưng</t>
        </is>
      </c>
      <c r="R82" s="9" t="inlineStr">
        <is>
          <t>Trọn gói Take-Home Starter Kit V2/V3 (Cỏ nhân tạo + Khay Potty + Đồ chơi cún con)</t>
        </is>
      </c>
      <c r="S82" s="9" t="inlineStr">
        <is>
          <t>Tuyệt đối không đưa vào CRM (Vi phạm Bộ lọc Âm tính Mục 5)</t>
        </is>
      </c>
    </row>
    <row r="83">
      <c r="A83" s="53" t="n">
        <v>2710</v>
      </c>
      <c r="B83" s="12" t="inlineStr">
        <is>
          <t>Red Doc Farm</t>
        </is>
      </c>
      <c r="C83" s="54" t="inlineStr">
        <is>
          <t>https://www.facebook.com/RedDocFarm</t>
        </is>
      </c>
      <c r="D83" s="6" t="inlineStr">
        <is>
          <t>Cần quét Bio Fanpage</t>
        </is>
      </c>
      <c r="E83" s="53" t="inlineStr">
        <is>
          <t>12/10/2026 11:31:56</t>
        </is>
      </c>
      <c r="F83" s="53" t="inlineStr">
        <is>
          <t>18 giờ trước</t>
        </is>
      </c>
      <c r="G83" s="55" t="n">
        <v>0.75</v>
      </c>
      <c r="H83" s="56" t="n">
        <v>32</v>
      </c>
      <c r="I83" s="6" t="inlineStr">
        <is>
          <t>Dog Breeder / Trại nhân giống (28-30đ)</t>
        </is>
      </c>
      <c r="J83" s="56" t="n">
        <v>28</v>
      </c>
      <c r="K83" s="6" t="inlineStr">
        <is>
          <t>Chưa rõ giống (Cần quét Bio)</t>
        </is>
      </c>
      <c r="L83" s="56" t="n">
        <v>0</v>
      </c>
      <c r="M83" s="56" t="n">
        <v>5</v>
      </c>
      <c r="N83" s="6" t="inlineStr">
        <is>
          <t>Amazon link not found</t>
        </is>
      </c>
      <c r="O83" s="56">
        <f>IF(N83="Selling pet toys + Artificial grass/Pet toilets (TARGET)",15,IF(N83="Selling artificial grass/pet toilets (TARGET)",10,IF(N83="Selling pet toys",7,IF(N83="There's an Amazon link, but no target sales.",3,0))))</f>
        <v/>
      </c>
      <c r="P83" s="65">
        <f>H83+J83+L83+M83+O83</f>
        <v/>
      </c>
      <c r="Q83" s="71" t="inlineStr">
        <is>
          <t>Excluded: Trang Chung / Không rõ Ngách Cún cưng</t>
        </is>
      </c>
      <c r="R83" s="6" t="inlineStr">
        <is>
          <t>Trọn gói Take-Home Starter Kit V2/V3 (Cỏ nhân tạo + Khay Potty + Đồ chơi cún con)</t>
        </is>
      </c>
      <c r="S83" s="6" t="inlineStr">
        <is>
          <t>Tuyệt đối không đưa vào CRM (Vi phạm Bộ lọc Âm tính Mục 5)</t>
        </is>
      </c>
    </row>
    <row r="84">
      <c r="A84" s="59" t="n">
        <v>432</v>
      </c>
      <c r="B84" s="15" t="inlineStr">
        <is>
          <t>Anderson’s Homesteading Farm</t>
        </is>
      </c>
      <c r="C84" s="60" t="inlineStr">
        <is>
          <t>https://www.facebook.com/profile.php?id=61595242371143</t>
        </is>
      </c>
      <c r="D84" s="9" t="inlineStr">
        <is>
          <t>Cần quét Bio Fanpage</t>
        </is>
      </c>
      <c r="E84" s="59" t="inlineStr">
        <is>
          <t>12/10/2026 09:21:00</t>
        </is>
      </c>
      <c r="F84" s="59" t="inlineStr">
        <is>
          <t>16 giờ trước</t>
        </is>
      </c>
      <c r="G84" s="61" t="n">
        <v>0.67</v>
      </c>
      <c r="H84" s="62" t="n">
        <v>32</v>
      </c>
      <c r="I84" s="9" t="inlineStr">
        <is>
          <t>Dog Breeder / Trại nhân giống (28-30đ)</t>
        </is>
      </c>
      <c r="J84" s="62" t="n">
        <v>28</v>
      </c>
      <c r="K84" s="9" t="inlineStr">
        <is>
          <t>Chưa rõ giống (Cần quét Bio)</t>
        </is>
      </c>
      <c r="L84" s="62" t="n">
        <v>0</v>
      </c>
      <c r="M84" s="62" t="n">
        <v>5</v>
      </c>
      <c r="N84" s="9" t="inlineStr">
        <is>
          <t>Amazon link not found</t>
        </is>
      </c>
      <c r="O84" s="62">
        <f>IF(N84="Selling pet toys + Artificial grass/Pet toilets (TARGET)",15,IF(N84="Selling artificial grass/pet toilets (TARGET)",10,IF(N84="Selling pet toys",7,IF(N84="There's an Amazon link, but no target sales.",3,0))))</f>
        <v/>
      </c>
      <c r="P84" s="67">
        <f>H84+J84+L84+M84+O84</f>
        <v/>
      </c>
      <c r="Q84" s="70" t="inlineStr">
        <is>
          <t>Excluded: Trang Chung / Không rõ Ngách Cún cưng</t>
        </is>
      </c>
      <c r="R84" s="9" t="inlineStr">
        <is>
          <t>Trọn gói Take-Home Starter Kit V2/V3 (Cỏ nhân tạo + Khay Potty + Đồ chơi cún con)</t>
        </is>
      </c>
      <c r="S84" s="9" t="inlineStr">
        <is>
          <t>Tuyệt đối không đưa vào CRM (Vi phạm Bộ lọc Âm tính Mục 5)</t>
        </is>
      </c>
    </row>
    <row r="85">
      <c r="A85" s="53" t="n">
        <v>3019</v>
      </c>
      <c r="B85" s="12" t="inlineStr">
        <is>
          <t>Sunset Ridge Farms LLC</t>
        </is>
      </c>
      <c r="C85" s="54" t="inlineStr">
        <is>
          <t>https://www.facebook.com/profile.php?id=61584656129735</t>
        </is>
      </c>
      <c r="D85" s="6" t="inlineStr">
        <is>
          <t>Cần quét Bio Fanpage</t>
        </is>
      </c>
      <c r="E85" s="53" t="inlineStr">
        <is>
          <t>12/10/2026 08:50:15</t>
        </is>
      </c>
      <c r="F85" s="53" t="inlineStr">
        <is>
          <t>21 giờ trước</t>
        </is>
      </c>
      <c r="G85" s="55" t="n">
        <v>0.88</v>
      </c>
      <c r="H85" s="56" t="n">
        <v>32</v>
      </c>
      <c r="I85" s="6" t="inlineStr">
        <is>
          <t>Dog Breeder / Trại nhân giống (28-30đ)</t>
        </is>
      </c>
      <c r="J85" s="56" t="n">
        <v>28</v>
      </c>
      <c r="K85" s="6" t="inlineStr">
        <is>
          <t>Chưa rõ giống (Cần quét Bio)</t>
        </is>
      </c>
      <c r="L85" s="56" t="n">
        <v>0</v>
      </c>
      <c r="M85" s="56" t="n">
        <v>5</v>
      </c>
      <c r="N85" s="6" t="inlineStr">
        <is>
          <t>Amazon link not found</t>
        </is>
      </c>
      <c r="O85" s="56">
        <f>IF(N85="Selling pet toys + Artificial grass/Pet toilets (TARGET)",15,IF(N85="Selling artificial grass/pet toilets (TARGET)",10,IF(N85="Selling pet toys",7,IF(N85="There's an Amazon link, but no target sales.",3,0))))</f>
        <v/>
      </c>
      <c r="P85" s="65">
        <f>H85+J85+L85+M85+O85</f>
        <v/>
      </c>
      <c r="Q85" s="71" t="inlineStr">
        <is>
          <t>Excluded: Trang Chung / Không rõ Ngách Cún cưng</t>
        </is>
      </c>
      <c r="R85" s="6" t="inlineStr">
        <is>
          <t>Trọn gói Take-Home Starter Kit V2/V3 (Cỏ nhân tạo + Khay Potty + Đồ chơi cún con)</t>
        </is>
      </c>
      <c r="S85" s="6" t="inlineStr">
        <is>
          <t>Tuyệt đối không đưa vào CRM (Vi phạm Bộ lọc Âm tính Mục 5)</t>
        </is>
      </c>
    </row>
    <row r="86">
      <c r="A86" s="59" t="n">
        <v>334</v>
      </c>
      <c r="B86" s="15" t="inlineStr">
        <is>
          <t>ACEC Farm and Market</t>
        </is>
      </c>
      <c r="C86" s="60" t="inlineStr">
        <is>
          <t>https://www.facebook.com/profile.php?id=100057693698251</t>
        </is>
      </c>
      <c r="D86" s="9" t="inlineStr">
        <is>
          <t>Cần quét Bio Fanpage</t>
        </is>
      </c>
      <c r="E86" s="59" t="inlineStr">
        <is>
          <t>12/10/2026 08:05:39</t>
        </is>
      </c>
      <c r="F86" s="59" t="inlineStr">
        <is>
          <t>17 giờ trước</t>
        </is>
      </c>
      <c r="G86" s="61" t="n">
        <v>0.71</v>
      </c>
      <c r="H86" s="62" t="n">
        <v>32</v>
      </c>
      <c r="I86" s="9" t="inlineStr">
        <is>
          <t>Dog Breeder / Trại nhân giống (28-30đ)</t>
        </is>
      </c>
      <c r="J86" s="62" t="n">
        <v>28</v>
      </c>
      <c r="K86" s="9" t="inlineStr">
        <is>
          <t>Chưa rõ giống (Cần quét Bio)</t>
        </is>
      </c>
      <c r="L86" s="62" t="n">
        <v>0</v>
      </c>
      <c r="M86" s="62" t="n">
        <v>5</v>
      </c>
      <c r="N86" s="9" t="inlineStr">
        <is>
          <t>Amazon link not found</t>
        </is>
      </c>
      <c r="O86" s="62">
        <f>IF(N86="Selling pet toys + Artificial grass/Pet toilets (TARGET)",15,IF(N86="Selling artificial grass/pet toilets (TARGET)",10,IF(N86="Selling pet toys",7,IF(N86="There's an Amazon link, but no target sales.",3,0))))</f>
        <v/>
      </c>
      <c r="P86" s="67">
        <f>H86+J86+L86+M86+O86</f>
        <v/>
      </c>
      <c r="Q86" s="70" t="inlineStr">
        <is>
          <t>Excluded: Trang Chung / Không rõ Ngách Cún cưng</t>
        </is>
      </c>
      <c r="R86" s="9" t="inlineStr">
        <is>
          <t>Trọn gói Take-Home Starter Kit V2/V3 (Cỏ nhân tạo + Khay Potty + Đồ chơi cún con)</t>
        </is>
      </c>
      <c r="S86" s="9" t="inlineStr">
        <is>
          <t>Tuyệt đối không đưa vào CRM (Vi phạm Bộ lọc Âm tính Mục 5)</t>
        </is>
      </c>
    </row>
    <row r="87">
      <c r="A87" s="53" t="n">
        <v>623</v>
      </c>
      <c r="B87" s="12" t="inlineStr">
        <is>
          <t>Belgian Sheepdog Club of America</t>
        </is>
      </c>
      <c r="C87" s="54" t="inlineStr">
        <is>
          <t>https://www.facebook.com/profile.php?id=100064268275801</t>
        </is>
      </c>
      <c r="D87" s="6" t="inlineStr">
        <is>
          <t>Cần quét Bio Fanpage</t>
        </is>
      </c>
      <c r="E87" s="53" t="inlineStr">
        <is>
          <t>12/10/2026 06:57:31</t>
        </is>
      </c>
      <c r="F87" s="53" t="inlineStr">
        <is>
          <t>19 giờ trước</t>
        </is>
      </c>
      <c r="G87" s="55" t="n">
        <v>0.79</v>
      </c>
      <c r="H87" s="56" t="n">
        <v>32</v>
      </c>
      <c r="I87" s="6" t="inlineStr">
        <is>
          <t>Dog Breeder / Trại nhân giống (28-30đ)</t>
        </is>
      </c>
      <c r="J87" s="56" t="n">
        <v>28</v>
      </c>
      <c r="K87" s="6" t="inlineStr">
        <is>
          <t>Australian Shepherd / Herding</t>
        </is>
      </c>
      <c r="L87" s="56" t="n">
        <v>5</v>
      </c>
      <c r="M87" s="56" t="n">
        <v>0</v>
      </c>
      <c r="N87" s="6" t="inlineStr">
        <is>
          <t>Amazon link not found</t>
        </is>
      </c>
      <c r="O87" s="56">
        <f>IF(N87="Selling pet toys + Artificial grass/Pet toilets (TARGET)",15,IF(N87="Selling artificial grass/pet toilets (TARGET)",10,IF(N87="Selling pet toys",7,IF(N87="There's an Amazon link, but no target sales.",3,0))))</f>
        <v/>
      </c>
      <c r="P87" s="65">
        <f>H87+J87+L87+M87+O87</f>
        <v/>
      </c>
      <c r="Q87" s="71" t="inlineStr">
        <is>
          <t>Excluded: Hiệp hội &amp; CLB Phả hệ (Mục 5.1)</t>
        </is>
      </c>
      <c r="R87" s="6" t="inlineStr">
        <is>
          <t>Trọn gói Take-Home Starter Kit V2/V3 (Cỏ nhân tạo + Khay Potty + Đồ chơi cún con)</t>
        </is>
      </c>
      <c r="S87" s="6" t="inlineStr">
        <is>
          <t>Tuyệt đối không đưa vào CRM (Vi phạm Bộ lọc Âm tính Mục 5)</t>
        </is>
      </c>
    </row>
    <row r="88">
      <c r="A88" s="59" t="n">
        <v>1319</v>
      </c>
      <c r="B88" s="15" t="inlineStr">
        <is>
          <t>Falco Flowers and Farm</t>
        </is>
      </c>
      <c r="C88" s="60" t="inlineStr">
        <is>
          <t>https://www.facebook.com/falcoflowers</t>
        </is>
      </c>
      <c r="D88" s="9" t="inlineStr">
        <is>
          <t>Cần quét Bio Fanpage</t>
        </is>
      </c>
      <c r="E88" s="59" t="inlineStr">
        <is>
          <t>12/10/2026 05:18:23</t>
        </is>
      </c>
      <c r="F88" s="59" t="inlineStr">
        <is>
          <t>21 giờ trước</t>
        </is>
      </c>
      <c r="G88" s="61" t="n">
        <v>0.88</v>
      </c>
      <c r="H88" s="62" t="n">
        <v>32</v>
      </c>
      <c r="I88" s="9" t="inlineStr">
        <is>
          <t>Dog Breeder / Trại nhân giống (28-30đ)</t>
        </is>
      </c>
      <c r="J88" s="62" t="n">
        <v>28</v>
      </c>
      <c r="K88" s="9" t="inlineStr">
        <is>
          <t>Chưa rõ giống (Cần quét Bio)</t>
        </is>
      </c>
      <c r="L88" s="62" t="n">
        <v>0</v>
      </c>
      <c r="M88" s="62" t="n">
        <v>5</v>
      </c>
      <c r="N88" s="9" t="inlineStr">
        <is>
          <t>Amazon link not found</t>
        </is>
      </c>
      <c r="O88" s="62">
        <f>IF(N88="Selling pet toys + Artificial grass/Pet toilets (TARGET)",15,IF(N88="Selling artificial grass/pet toilets (TARGET)",10,IF(N88="Selling pet toys",7,IF(N88="There's an Amazon link, but no target sales.",3,0))))</f>
        <v/>
      </c>
      <c r="P88" s="67">
        <f>H88+J88+L88+M88+O88</f>
        <v/>
      </c>
      <c r="Q88" s="70" t="inlineStr">
        <is>
          <t>Excluded: Ngành nghề Khác (Phi Cún cưng)</t>
        </is>
      </c>
      <c r="R88" s="9" t="inlineStr">
        <is>
          <t>Trọn gói Take-Home Starter Kit V2/V3 (Cỏ nhân tạo + Khay Potty + Đồ chơi cún con)</t>
        </is>
      </c>
      <c r="S88" s="9" t="inlineStr">
        <is>
          <t>Tuyệt đối không đưa vào CRM (Vi phạm Bộ lọc Âm tính Mục 5)</t>
        </is>
      </c>
    </row>
    <row r="89">
      <c r="A89" s="53" t="n">
        <v>2012</v>
      </c>
      <c r="B89" s="12" t="inlineStr">
        <is>
          <t>Lewis Farm Concord</t>
        </is>
      </c>
      <c r="C89" s="54" t="inlineStr">
        <is>
          <t>https://www.facebook.com/LewisFarmConcord</t>
        </is>
      </c>
      <c r="D89" s="6" t="inlineStr">
        <is>
          <t>Cần quét Bio Fanpage</t>
        </is>
      </c>
      <c r="E89" s="53" t="inlineStr">
        <is>
          <t>12/10/2026 04:50:20</t>
        </is>
      </c>
      <c r="F89" s="53" t="inlineStr">
        <is>
          <t>23 giờ trước</t>
        </is>
      </c>
      <c r="G89" s="55" t="n">
        <v>0.96</v>
      </c>
      <c r="H89" s="56" t="n">
        <v>32</v>
      </c>
      <c r="I89" s="6" t="inlineStr">
        <is>
          <t>Dog Breeder / Trại nhân giống (28-30đ)</t>
        </is>
      </c>
      <c r="J89" s="56" t="n">
        <v>28</v>
      </c>
      <c r="K89" s="6" t="inlineStr">
        <is>
          <t>Chưa rõ giống (Cần quét Bio)</t>
        </is>
      </c>
      <c r="L89" s="56" t="n">
        <v>0</v>
      </c>
      <c r="M89" s="56" t="n">
        <v>5</v>
      </c>
      <c r="N89" s="6" t="inlineStr">
        <is>
          <t>Amazon link not found</t>
        </is>
      </c>
      <c r="O89" s="56">
        <f>IF(N89="Selling pet toys + Artificial grass/Pet toilets (TARGET)",15,IF(N89="Selling artificial grass/pet toilets (TARGET)",10,IF(N89="Selling pet toys",7,IF(N89="There's an Amazon link, but no target sales.",3,0))))</f>
        <v/>
      </c>
      <c r="P89" s="65">
        <f>H89+J89+L89+M89+O89</f>
        <v/>
      </c>
      <c r="Q89" s="71" t="inlineStr">
        <is>
          <t>Excluded: Trang Chung / Không rõ Ngách Cún cưng</t>
        </is>
      </c>
      <c r="R89" s="6" t="inlineStr">
        <is>
          <t>Trọn gói Take-Home Starter Kit V2/V3 (Cỏ nhân tạo + Khay Potty + Đồ chơi cún con)</t>
        </is>
      </c>
      <c r="S89" s="6" t="inlineStr">
        <is>
          <t>Tuyệt đối không đưa vào CRM (Vi phạm Bộ lọc Âm tính Mục 5)</t>
        </is>
      </c>
    </row>
    <row r="90">
      <c r="A90" s="59" t="n">
        <v>358</v>
      </c>
      <c r="B90" s="15" t="inlineStr">
        <is>
          <t>AKC Coonhound Events</t>
        </is>
      </c>
      <c r="C90" s="60" t="inlineStr">
        <is>
          <t>https://www.facebook.com/akccoonhounds</t>
        </is>
      </c>
      <c r="D90" s="9" t="inlineStr">
        <is>
          <t>Cần quét Bio Fanpage</t>
        </is>
      </c>
      <c r="E90" s="59" t="inlineStr">
        <is>
          <t>12/10/2026 02:48:56</t>
        </is>
      </c>
      <c r="F90" s="59" t="inlineStr">
        <is>
          <t>22 giờ trước</t>
        </is>
      </c>
      <c r="G90" s="61" t="n">
        <v>0.92</v>
      </c>
      <c r="H90" s="62" t="n">
        <v>32</v>
      </c>
      <c r="I90" s="9" t="inlineStr">
        <is>
          <t>Dog Breeder / Trại chó chuyên nghiệp (28-30đ)</t>
        </is>
      </c>
      <c r="J90" s="62" t="n">
        <v>28</v>
      </c>
      <c r="K90" s="9" t="inlineStr">
        <is>
          <t>Hound / Beagle / Basset</t>
        </is>
      </c>
      <c r="L90" s="62" t="n">
        <v>5</v>
      </c>
      <c r="M90" s="62" t="n">
        <v>0</v>
      </c>
      <c r="N90" s="9" t="inlineStr">
        <is>
          <t>Amazon link not found</t>
        </is>
      </c>
      <c r="O90" s="62">
        <f>IF(N90="Selling pet toys + Artificial grass/Pet toilets (TARGET)",15,IF(N90="Selling artificial grass/pet toilets (TARGET)",10,IF(N90="Selling pet toys",7,IF(N90="There's an Amazon link, but no target sales.",3,0))))</f>
        <v/>
      </c>
      <c r="P90" s="67">
        <f>H90+J90+L90+M90+O90</f>
        <v/>
      </c>
      <c r="Q90" s="70" t="inlineStr">
        <is>
          <t>Excluded: Hiệp hội &amp; CLB Phả hệ (Mục 5.1)</t>
        </is>
      </c>
      <c r="R90" s="9" t="inlineStr">
        <is>
          <t>Trọn gói Take-Home Starter Kit V2/V3 (Cỏ nhân tạo + Khay Potty + Đồ chơi Teething/Snuggle)</t>
        </is>
      </c>
      <c r="S90" s="9" t="inlineStr">
        <is>
          <t>Tuyệt đối không đưa vào CRM (Vi phạm Bộ lọc Âm tính Mục 5)</t>
        </is>
      </c>
    </row>
    <row r="91">
      <c r="A91" s="53" t="n">
        <v>335</v>
      </c>
      <c r="B91" s="12" t="inlineStr">
        <is>
          <t>Acres of Grace Farm &amp; Homestead</t>
        </is>
      </c>
      <c r="C91" s="54" t="inlineStr">
        <is>
          <t>https://www.facebook.com/profile.php?id=61566848592262</t>
        </is>
      </c>
      <c r="D91" s="6" t="inlineStr">
        <is>
          <t>Cần quét Bio Fanpage</t>
        </is>
      </c>
      <c r="E91" s="53" t="inlineStr">
        <is>
          <t>12/10/2026 02:34:39</t>
        </is>
      </c>
      <c r="F91" s="53" t="inlineStr">
        <is>
          <t>22 giờ trước</t>
        </is>
      </c>
      <c r="G91" s="55" t="n">
        <v>0.92</v>
      </c>
      <c r="H91" s="56" t="n">
        <v>32</v>
      </c>
      <c r="I91" s="6" t="inlineStr">
        <is>
          <t>Dog Breeder / Trại nhân giống (28-30đ)</t>
        </is>
      </c>
      <c r="J91" s="56" t="n">
        <v>28</v>
      </c>
      <c r="K91" s="6" t="inlineStr">
        <is>
          <t>Chưa rõ giống (Cần quét Bio)</t>
        </is>
      </c>
      <c r="L91" s="56" t="n">
        <v>0</v>
      </c>
      <c r="M91" s="56" t="n">
        <v>5</v>
      </c>
      <c r="N91" s="6" t="inlineStr">
        <is>
          <t>Amazon link not found</t>
        </is>
      </c>
      <c r="O91" s="56">
        <f>IF(N91="Selling pet toys + Artificial grass/Pet toilets (TARGET)",15,IF(N91="Selling artificial grass/pet toilets (TARGET)",10,IF(N91="Selling pet toys",7,IF(N91="There's an Amazon link, but no target sales.",3,0))))</f>
        <v/>
      </c>
      <c r="P91" s="65">
        <f>H91+J91+L91+M91+O91</f>
        <v/>
      </c>
      <c r="Q91" s="71" t="inlineStr">
        <is>
          <t>Excluded: Trang Chung / Không rõ Ngách Cún cưng</t>
        </is>
      </c>
      <c r="R91" s="6" t="inlineStr">
        <is>
          <t>Trọn gói Take-Home Starter Kit V2/V3 (Cỏ nhân tạo + Khay Potty + Đồ chơi cún con)</t>
        </is>
      </c>
      <c r="S91" s="6" t="inlineStr">
        <is>
          <t>Tuyệt đối không đưa vào CRM (Vi phạm Bộ lọc Âm tính Mục 5)</t>
        </is>
      </c>
    </row>
    <row r="92">
      <c r="A92" s="59" t="n">
        <v>164</v>
      </c>
      <c r="B92" s="15" t="inlineStr">
        <is>
          <t>Elgin Nursery &amp; Tree Farms</t>
        </is>
      </c>
      <c r="C92" s="60" t="inlineStr">
        <is>
          <t>https://www.facebook.com/ElginNursery</t>
        </is>
      </c>
      <c r="D92" s="9" t="inlineStr">
        <is>
          <t>Cần quét Bio Fanpage</t>
        </is>
      </c>
      <c r="E92" s="59" t="inlineStr">
        <is>
          <t>12/10/2026 02:01:50</t>
        </is>
      </c>
      <c r="F92" s="59" t="inlineStr">
        <is>
          <t>23 giờ trước</t>
        </is>
      </c>
      <c r="G92" s="61" t="n">
        <v>0.96</v>
      </c>
      <c r="H92" s="62" t="n">
        <v>32</v>
      </c>
      <c r="I92" s="9" t="inlineStr">
        <is>
          <t>Dog Breeder / Trại nhân giống (28-30đ)</t>
        </is>
      </c>
      <c r="J92" s="62" t="n">
        <v>28</v>
      </c>
      <c r="K92" s="9" t="inlineStr">
        <is>
          <t>Chưa rõ giống (Cần quét Bio)</t>
        </is>
      </c>
      <c r="L92" s="62" t="n">
        <v>0</v>
      </c>
      <c r="M92" s="62" t="n">
        <v>5</v>
      </c>
      <c r="N92" s="9" t="inlineStr">
        <is>
          <t>Amazon link not found</t>
        </is>
      </c>
      <c r="O92" s="62">
        <f>IF(N92="Selling pet toys + Artificial grass/Pet toilets (TARGET)",15,IF(N92="Selling artificial grass/pet toilets (TARGET)",10,IF(N92="Selling pet toys",7,IF(N92="There's an Amazon link, but no target sales.",3,0))))</f>
        <v/>
      </c>
      <c r="P92" s="67">
        <f>H92+J92+L92+M92+O92</f>
        <v/>
      </c>
      <c r="Q92" s="70" t="inlineStr">
        <is>
          <t>Excluded: Ngành nghề Khác (Phi Cún cưng)</t>
        </is>
      </c>
      <c r="R92" s="9" t="inlineStr">
        <is>
          <t>Trọn gói Take-Home Starter Kit V2/V3 (Cỏ nhân tạo + Khay Potty + Đồ chơi cún con)</t>
        </is>
      </c>
      <c r="S92" s="9" t="inlineStr">
        <is>
          <t>Tuyệt đối không đưa vào CRM (Vi phạm Bộ lọc Âm tính Mục 5)</t>
        </is>
      </c>
    </row>
    <row r="93">
      <c r="A93" s="53" t="n">
        <v>3182</v>
      </c>
      <c r="B93" s="12" t="inlineStr">
        <is>
          <t>Three Rivers Kennel Club</t>
        </is>
      </c>
      <c r="C93" s="54" t="inlineStr">
        <is>
          <t>https://www.facebook.com/profile.php?id=100064851483979</t>
        </is>
      </c>
      <c r="D93" s="6" t="inlineStr">
        <is>
          <t>Cần quét Bio Fanpage</t>
        </is>
      </c>
      <c r="E93" s="53" t="inlineStr">
        <is>
          <t>11/10/2026 21:14:29</t>
        </is>
      </c>
      <c r="F93" s="53" t="inlineStr">
        <is>
          <t>1 ngày trước</t>
        </is>
      </c>
      <c r="G93" s="55" t="n">
        <v>1</v>
      </c>
      <c r="H93" s="56" t="n">
        <v>28</v>
      </c>
      <c r="I93" s="6" t="inlineStr">
        <is>
          <t>Dog Breeder / Trại chó chuyên nghiệp (28-30đ)</t>
        </is>
      </c>
      <c r="J93" s="56" t="n">
        <v>30</v>
      </c>
      <c r="K93" s="6" t="inlineStr">
        <is>
          <t>Chưa rõ giống (Cần quét Bio)</t>
        </is>
      </c>
      <c r="L93" s="56" t="n">
        <v>0</v>
      </c>
      <c r="M93" s="56" t="n">
        <v>5</v>
      </c>
      <c r="N93" s="6" t="inlineStr">
        <is>
          <t>Amazon link not found</t>
        </is>
      </c>
      <c r="O93" s="56">
        <f>IF(N93="Selling pet toys + Artificial grass/Pet toilets (TARGET)",15,IF(N93="Selling artificial grass/pet toilets (TARGET)",10,IF(N93="Selling pet toys",7,IF(N93="There's an Amazon link, but no target sales.",3,0))))</f>
        <v/>
      </c>
      <c r="P93" s="65">
        <f>H93+J93+L93+M93+O93</f>
        <v/>
      </c>
      <c r="Q93" s="71" t="inlineStr">
        <is>
          <t>Excluded: Hiệp hội &amp; CLB Phả hệ (Mục 5.1)</t>
        </is>
      </c>
      <c r="R93" s="6" t="inlineStr">
        <is>
          <t>Trọn gói Take-Home Starter Kit V2/V3 (Cỏ nhân tạo + Khay Potty + Đồ chơi Teething/Snuggle)</t>
        </is>
      </c>
      <c r="S93" s="6" t="inlineStr">
        <is>
          <t>Tuyệt đối không đưa vào CRM (Vi phạm Bộ lọc Âm tính Mục 5)</t>
        </is>
      </c>
    </row>
    <row r="94">
      <c r="A94" s="59" t="n">
        <v>581</v>
      </c>
      <c r="B94" s="15" t="inlineStr">
        <is>
          <t>Baltimore County Kennel Club</t>
        </is>
      </c>
      <c r="C94" s="60" t="inlineStr">
        <is>
          <t>https://www.facebook.com/BaltimoreCountyKennelClub</t>
        </is>
      </c>
      <c r="D94" s="9" t="inlineStr">
        <is>
          <t>Cần quét Bio Fanpage</t>
        </is>
      </c>
      <c r="E94" s="59" t="inlineStr">
        <is>
          <t>11/10/2026 07:34:35</t>
        </is>
      </c>
      <c r="F94" s="59" t="inlineStr">
        <is>
          <t>1 ngày trước</t>
        </is>
      </c>
      <c r="G94" s="61" t="n">
        <v>1</v>
      </c>
      <c r="H94" s="62" t="n">
        <v>28</v>
      </c>
      <c r="I94" s="9" t="inlineStr">
        <is>
          <t>Dog Breeder / Trại chó chuyên nghiệp (28-30đ)</t>
        </is>
      </c>
      <c r="J94" s="62" t="n">
        <v>30</v>
      </c>
      <c r="K94" s="9" t="inlineStr">
        <is>
          <t>Chưa rõ giống (Cần quét Bio)</t>
        </is>
      </c>
      <c r="L94" s="62" t="n">
        <v>0</v>
      </c>
      <c r="M94" s="62" t="n">
        <v>5</v>
      </c>
      <c r="N94" s="9" t="inlineStr">
        <is>
          <t>Amazon link not found</t>
        </is>
      </c>
      <c r="O94" s="62">
        <f>IF(N94="Selling pet toys + Artificial grass/Pet toilets (TARGET)",15,IF(N94="Selling artificial grass/pet toilets (TARGET)",10,IF(N94="Selling pet toys",7,IF(N94="There's an Amazon link, but no target sales.",3,0))))</f>
        <v/>
      </c>
      <c r="P94" s="67">
        <f>H94+J94+L94+M94+O94</f>
        <v/>
      </c>
      <c r="Q94" s="70" t="inlineStr">
        <is>
          <t>Excluded: Hiệp hội &amp; CLB Phả hệ (Mục 5.1)</t>
        </is>
      </c>
      <c r="R94" s="9" t="inlineStr">
        <is>
          <t>Trọn gói Take-Home Starter Kit V2/V3 (Cỏ nhân tạo + Khay Potty + Đồ chơi Teething/Snuggle)</t>
        </is>
      </c>
      <c r="S94" s="9" t="inlineStr">
        <is>
          <t>Tuyệt đối không đưa vào CRM (Vi phạm Bộ lọc Âm tính Mục 5)</t>
        </is>
      </c>
    </row>
    <row r="95">
      <c r="A95" s="53" t="n">
        <v>2015</v>
      </c>
      <c r="B95" s="12" t="inlineStr">
        <is>
          <t>LIFE SPARK kennel FCI</t>
        </is>
      </c>
      <c r="C95" s="54" t="inlineStr">
        <is>
          <t>https://www.facebook.com/Marynalifespark</t>
        </is>
      </c>
      <c r="D95" s="6" t="inlineStr">
        <is>
          <t>Cần quét Bio Fanpage</t>
        </is>
      </c>
      <c r="E95" s="53" t="inlineStr">
        <is>
          <t>10/10/2026 23:10:42</t>
        </is>
      </c>
      <c r="F95" s="53" t="inlineStr">
        <is>
          <t>2 ngày trước</t>
        </is>
      </c>
      <c r="G95" s="55" t="n">
        <v>2</v>
      </c>
      <c r="H95" s="56" t="n">
        <v>28</v>
      </c>
      <c r="I95" s="6" t="inlineStr">
        <is>
          <t>Dog Breeder / Trại chó chuyên nghiệp (28-30đ)</t>
        </is>
      </c>
      <c r="J95" s="56" t="n">
        <v>30</v>
      </c>
      <c r="K95" s="6" t="inlineStr">
        <is>
          <t>Chưa rõ giống (Cần quét Bio)</t>
        </is>
      </c>
      <c r="L95" s="56" t="n">
        <v>0</v>
      </c>
      <c r="M95" s="56" t="n">
        <v>5</v>
      </c>
      <c r="N95" s="6" t="inlineStr">
        <is>
          <t>Amazon link not found</t>
        </is>
      </c>
      <c r="O95" s="56">
        <f>IF(N95="Selling pet toys + Artificial grass/Pet toilets (TARGET)",15,IF(N95="Selling artificial grass/pet toilets (TARGET)",10,IF(N95="Selling pet toys",7,IF(N95="There's an Amazon link, but no target sales.",3,0))))</f>
        <v/>
      </c>
      <c r="P95" s="65">
        <f>H95+J95+L95+M95+O95</f>
        <v/>
      </c>
      <c r="Q95" s="71" t="inlineStr">
        <is>
          <t>Excluded: Hiệp hội &amp; CLB Phả hệ (Mục 5.1)</t>
        </is>
      </c>
      <c r="R95" s="6" t="inlineStr">
        <is>
          <t>Trọn gói Take-Home Starter Kit V2/V3 (Cỏ nhân tạo + Khay Potty + Đồ chơi Teething/Snuggle)</t>
        </is>
      </c>
      <c r="S95" s="6" t="inlineStr">
        <is>
          <t>Tuyệt đối không đưa vào CRM (Vi phạm Bộ lọc Âm tính Mục 5)</t>
        </is>
      </c>
    </row>
    <row r="96">
      <c r="A96" s="59" t="n">
        <v>1729</v>
      </c>
      <c r="B96" s="15" t="inlineStr">
        <is>
          <t>International Kennel Club of Chicago - IKC</t>
        </is>
      </c>
      <c r="C96" s="60" t="inlineStr">
        <is>
          <t>https://www.facebook.com/ikcchicago</t>
        </is>
      </c>
      <c r="D96" s="9" t="inlineStr">
        <is>
          <t>Cần quét Bio Fanpage</t>
        </is>
      </c>
      <c r="E96" s="59" t="inlineStr">
        <is>
          <t>10/10/2026 22:44:50</t>
        </is>
      </c>
      <c r="F96" s="59" t="inlineStr">
        <is>
          <t>2 ngày trước</t>
        </is>
      </c>
      <c r="G96" s="61" t="n">
        <v>2</v>
      </c>
      <c r="H96" s="62" t="n">
        <v>28</v>
      </c>
      <c r="I96" s="9" t="inlineStr">
        <is>
          <t>Dog Breeder / Trại chó chuyên nghiệp (28-30đ)</t>
        </is>
      </c>
      <c r="J96" s="62" t="n">
        <v>30</v>
      </c>
      <c r="K96" s="9" t="inlineStr">
        <is>
          <t>Chưa rõ giống (Cần quét Bio)</t>
        </is>
      </c>
      <c r="L96" s="62" t="n">
        <v>0</v>
      </c>
      <c r="M96" s="62" t="n">
        <v>5</v>
      </c>
      <c r="N96" s="9" t="inlineStr">
        <is>
          <t>Amazon link not found</t>
        </is>
      </c>
      <c r="O96" s="62">
        <f>IF(N96="Selling pet toys + Artificial grass/Pet toilets (TARGET)",15,IF(N96="Selling artificial grass/pet toilets (TARGET)",10,IF(N96="Selling pet toys",7,IF(N96="There's an Amazon link, but no target sales.",3,0))))</f>
        <v/>
      </c>
      <c r="P96" s="67">
        <f>H96+J96+L96+M96+O96</f>
        <v/>
      </c>
      <c r="Q96" s="70" t="inlineStr">
        <is>
          <t>Excluded: Hiệp hội &amp; CLB Phả hệ (Mục 5.1)</t>
        </is>
      </c>
      <c r="R96" s="9" t="inlineStr">
        <is>
          <t>Trọn gói Take-Home Starter Kit V2/V3 (Cỏ nhân tạo + Khay Potty + Đồ chơi Teething/Snuggle)</t>
        </is>
      </c>
      <c r="S96" s="9" t="inlineStr">
        <is>
          <t>Tuyệt đối không đưa vào CRM (Vi phạm Bộ lọc Âm tính Mục 5)</t>
        </is>
      </c>
    </row>
    <row r="97">
      <c r="A97" s="53" t="n">
        <v>257</v>
      </c>
      <c r="B97" s="12" t="inlineStr">
        <is>
          <t>Royal Kennel Club</t>
        </is>
      </c>
      <c r="C97" s="54" t="inlineStr">
        <is>
          <t>https://www.facebook.com/RoyalKennelClubUK</t>
        </is>
      </c>
      <c r="D97" s="6" t="inlineStr">
        <is>
          <t>Cần quét Bio Fanpage</t>
        </is>
      </c>
      <c r="E97" s="53" t="inlineStr">
        <is>
          <t>10/10/2026 13:00:33</t>
        </is>
      </c>
      <c r="F97" s="53" t="inlineStr">
        <is>
          <t>2 ngày trước</t>
        </is>
      </c>
      <c r="G97" s="55" t="n">
        <v>2</v>
      </c>
      <c r="H97" s="56" t="n">
        <v>28</v>
      </c>
      <c r="I97" s="6" t="inlineStr">
        <is>
          <t>Dog Breeder / Trại chó chuyên nghiệp (28-30đ)</t>
        </is>
      </c>
      <c r="J97" s="56" t="n">
        <v>30</v>
      </c>
      <c r="K97" s="6" t="inlineStr">
        <is>
          <t>Chưa rõ giống (Cần quét Bio)</t>
        </is>
      </c>
      <c r="L97" s="56" t="n">
        <v>0</v>
      </c>
      <c r="M97" s="56" t="n">
        <v>5</v>
      </c>
      <c r="N97" s="6" t="inlineStr">
        <is>
          <t>Amazon link not found</t>
        </is>
      </c>
      <c r="O97" s="56">
        <f>IF(N97="Selling pet toys + Artificial grass/Pet toilets (TARGET)",15,IF(N97="Selling artificial grass/pet toilets (TARGET)",10,IF(N97="Selling pet toys",7,IF(N97="There's an Amazon link, but no target sales.",3,0))))</f>
        <v/>
      </c>
      <c r="P97" s="65">
        <f>H97+J97+L97+M97+O97</f>
        <v/>
      </c>
      <c r="Q97" s="71" t="inlineStr">
        <is>
          <t>Excluded: Hiệp hội &amp; CLB Phả hệ (Mục 5.1)</t>
        </is>
      </c>
      <c r="R97" s="6" t="inlineStr">
        <is>
          <t>Trọn gói Take-Home Starter Kit V2/V3 (Cỏ nhân tạo + Khay Potty + Đồ chơi Teething/Snuggle)</t>
        </is>
      </c>
      <c r="S97" s="6" t="inlineStr">
        <is>
          <t>Tuyệt đối không đưa vào CRM (Vi phạm Bộ lọc Âm tính Mục 5)</t>
        </is>
      </c>
    </row>
    <row r="98">
      <c r="A98" s="59" t="n">
        <v>533</v>
      </c>
      <c r="B98" s="15" t="inlineStr">
        <is>
          <t>Asheville Kennel Club</t>
        </is>
      </c>
      <c r="C98" s="60" t="inlineStr">
        <is>
          <t>https://www.facebook.com/profile.php?id=100069191070307</t>
        </is>
      </c>
      <c r="D98" s="9" t="inlineStr">
        <is>
          <t>Cần quét Bio Fanpage</t>
        </is>
      </c>
      <c r="E98" s="59" t="inlineStr">
        <is>
          <t>10/10/2026 02:37:10</t>
        </is>
      </c>
      <c r="F98" s="59" t="inlineStr">
        <is>
          <t>2 ngày trước</t>
        </is>
      </c>
      <c r="G98" s="61" t="n">
        <v>2</v>
      </c>
      <c r="H98" s="62" t="n">
        <v>28</v>
      </c>
      <c r="I98" s="9" t="inlineStr">
        <is>
          <t>Dog Breeder / Trại chó chuyên nghiệp (28-30đ)</t>
        </is>
      </c>
      <c r="J98" s="62" t="n">
        <v>30</v>
      </c>
      <c r="K98" s="9" t="inlineStr">
        <is>
          <t>Chưa rõ giống (Cần quét Bio)</t>
        </is>
      </c>
      <c r="L98" s="62" t="n">
        <v>0</v>
      </c>
      <c r="M98" s="62" t="n">
        <v>5</v>
      </c>
      <c r="N98" s="9" t="inlineStr">
        <is>
          <t>Amazon link not found</t>
        </is>
      </c>
      <c r="O98" s="62">
        <f>IF(N98="Selling pet toys + Artificial grass/Pet toilets (TARGET)",15,IF(N98="Selling artificial grass/pet toilets (TARGET)",10,IF(N98="Selling pet toys",7,IF(N98="There's an Amazon link, but no target sales.",3,0))))</f>
        <v/>
      </c>
      <c r="P98" s="67">
        <f>H98+J98+L98+M98+O98</f>
        <v/>
      </c>
      <c r="Q98" s="70" t="inlineStr">
        <is>
          <t>Excluded: Hiệp hội &amp; CLB Phả hệ (Mục 5.1)</t>
        </is>
      </c>
      <c r="R98" s="9" t="inlineStr">
        <is>
          <t>Trọn gói Take-Home Starter Kit V2/V3 (Cỏ nhân tạo + Khay Potty + Đồ chơi Teething/Snuggle)</t>
        </is>
      </c>
      <c r="S98" s="9" t="inlineStr">
        <is>
          <t>Tuyệt đối không đưa vào CRM (Vi phạm Bộ lọc Âm tính Mục 5)</t>
        </is>
      </c>
    </row>
    <row r="99">
      <c r="A99" s="53" t="n">
        <v>2587</v>
      </c>
      <c r="B99" s="12" t="inlineStr">
        <is>
          <t>Plum Creek Kennel Club</t>
        </is>
      </c>
      <c r="C99" s="54" t="inlineStr">
        <is>
          <t>https://www.facebook.com/plumcreekkennelclub</t>
        </is>
      </c>
      <c r="D99" s="6" t="inlineStr">
        <is>
          <t>Cần quét Bio Fanpage</t>
        </is>
      </c>
      <c r="E99" s="53" t="inlineStr">
        <is>
          <t>09/10/2026 23:42:47</t>
        </is>
      </c>
      <c r="F99" s="53" t="inlineStr">
        <is>
          <t>3 ngày trước</t>
        </is>
      </c>
      <c r="G99" s="55" t="n">
        <v>3</v>
      </c>
      <c r="H99" s="56" t="n">
        <v>28</v>
      </c>
      <c r="I99" s="6" t="inlineStr">
        <is>
          <t>Dog Breeder / Trại chó chuyên nghiệp (28-30đ)</t>
        </is>
      </c>
      <c r="J99" s="56" t="n">
        <v>30</v>
      </c>
      <c r="K99" s="6" t="inlineStr">
        <is>
          <t>Chưa rõ giống (Cần quét Bio)</t>
        </is>
      </c>
      <c r="L99" s="56" t="n">
        <v>0</v>
      </c>
      <c r="M99" s="56" t="n">
        <v>5</v>
      </c>
      <c r="N99" s="6" t="inlineStr">
        <is>
          <t>Amazon link not found</t>
        </is>
      </c>
      <c r="O99" s="56">
        <f>IF(N99="Selling pet toys + Artificial grass/Pet toilets (TARGET)",15,IF(N99="Selling artificial grass/pet toilets (TARGET)",10,IF(N99="Selling pet toys",7,IF(N99="There's an Amazon link, but no target sales.",3,0))))</f>
        <v/>
      </c>
      <c r="P99" s="65">
        <f>H99+J99+L99+M99+O99</f>
        <v/>
      </c>
      <c r="Q99" s="71" t="inlineStr">
        <is>
          <t>Excluded: Hiệp hội &amp; CLB Phả hệ (Mục 5.1)</t>
        </is>
      </c>
      <c r="R99" s="6" t="inlineStr">
        <is>
          <t>Trọn gói Take-Home Starter Kit V2/V3 (Cỏ nhân tạo + Khay Potty + Đồ chơi Teething/Snuggle)</t>
        </is>
      </c>
      <c r="S99" s="6" t="inlineStr">
        <is>
          <t>Tuyệt đối không đưa vào CRM (Vi phạm Bộ lọc Âm tính Mục 5)</t>
        </is>
      </c>
    </row>
    <row r="100">
      <c r="A100" s="59" t="n">
        <v>225</v>
      </c>
      <c r="B100" s="15" t="inlineStr">
        <is>
          <t>Moroccan Kennel Club</t>
        </is>
      </c>
      <c r="C100" s="60" t="inlineStr">
        <is>
          <t>https://www.facebook.com/MoroccanKennelClub</t>
        </is>
      </c>
      <c r="D100" s="9" t="inlineStr">
        <is>
          <t>Cần quét Bio Fanpage</t>
        </is>
      </c>
      <c r="E100" s="59" t="inlineStr">
        <is>
          <t>09/10/2026 19:50:41</t>
        </is>
      </c>
      <c r="F100" s="59" t="inlineStr">
        <is>
          <t>3 ngày trước</t>
        </is>
      </c>
      <c r="G100" s="61" t="n">
        <v>3</v>
      </c>
      <c r="H100" s="62" t="n">
        <v>28</v>
      </c>
      <c r="I100" s="9" t="inlineStr">
        <is>
          <t>Dog Breeder / Trại chó chuyên nghiệp (28-30đ)</t>
        </is>
      </c>
      <c r="J100" s="62" t="n">
        <v>30</v>
      </c>
      <c r="K100" s="9" t="inlineStr">
        <is>
          <t>Chưa rõ giống (Cần quét Bio)</t>
        </is>
      </c>
      <c r="L100" s="62" t="n">
        <v>0</v>
      </c>
      <c r="M100" s="62" t="n">
        <v>5</v>
      </c>
      <c r="N100" s="9" t="inlineStr">
        <is>
          <t>Amazon link not found</t>
        </is>
      </c>
      <c r="O100" s="62">
        <f>IF(N100="Selling pet toys + Artificial grass/Pet toilets (TARGET)",15,IF(N100="Selling artificial grass/pet toilets (TARGET)",10,IF(N100="Selling pet toys",7,IF(N100="There's an Amazon link, but no target sales.",3,0))))</f>
        <v/>
      </c>
      <c r="P100" s="67">
        <f>H100+J100+L100+M100+O100</f>
        <v/>
      </c>
      <c r="Q100" s="70" t="inlineStr">
        <is>
          <t>Excluded: Hiệp hội &amp; CLB Phả hệ (Mục 5.1)</t>
        </is>
      </c>
      <c r="R100" s="9" t="inlineStr">
        <is>
          <t>Trọn gói Take-Home Starter Kit V2/V3 (Cỏ nhân tạo + Khay Potty + Đồ chơi Teething/Snuggle)</t>
        </is>
      </c>
      <c r="S100" s="9" t="inlineStr">
        <is>
          <t>Tuyệt đối không đưa vào CRM (Vi phạm Bộ lọc Âm tính Mục 5)</t>
        </is>
      </c>
    </row>
    <row r="101">
      <c r="A101" s="53" t="n">
        <v>2369</v>
      </c>
      <c r="B101" s="12" t="inlineStr">
        <is>
          <t>Oquirrh Mountain Kennel Club</t>
        </is>
      </c>
      <c r="C101" s="54" t="inlineStr">
        <is>
          <t>https://www.facebook.com/profile.php?id=61588199079844</t>
        </is>
      </c>
      <c r="D101" s="6" t="inlineStr">
        <is>
          <t>Cần quét Bio Fanpage</t>
        </is>
      </c>
      <c r="E101" s="53" t="inlineStr">
        <is>
          <t>09/10/2026 08:11:15</t>
        </is>
      </c>
      <c r="F101" s="53" t="inlineStr">
        <is>
          <t>3 ngày trước</t>
        </is>
      </c>
      <c r="G101" s="55" t="n">
        <v>3</v>
      </c>
      <c r="H101" s="56" t="n">
        <v>28</v>
      </c>
      <c r="I101" s="6" t="inlineStr">
        <is>
          <t>Dog Breeder / Trại chó chuyên nghiệp (28-30đ)</t>
        </is>
      </c>
      <c r="J101" s="56" t="n">
        <v>30</v>
      </c>
      <c r="K101" s="6" t="inlineStr">
        <is>
          <t>Chưa rõ giống (Cần quét Bio)</t>
        </is>
      </c>
      <c r="L101" s="56" t="n">
        <v>0</v>
      </c>
      <c r="M101" s="56" t="n">
        <v>5</v>
      </c>
      <c r="N101" s="6" t="inlineStr">
        <is>
          <t>Amazon link not found</t>
        </is>
      </c>
      <c r="O101" s="56">
        <f>IF(N101="Selling pet toys + Artificial grass/Pet toilets (TARGET)",15,IF(N101="Selling artificial grass/pet toilets (TARGET)",10,IF(N101="Selling pet toys",7,IF(N101="There's an Amazon link, but no target sales.",3,0))))</f>
        <v/>
      </c>
      <c r="P101" s="65">
        <f>H101+J101+L101+M101+O101</f>
        <v/>
      </c>
      <c r="Q101" s="71" t="inlineStr">
        <is>
          <t>Excluded: Hiệp hội &amp; CLB Phả hệ (Mục 5.1)</t>
        </is>
      </c>
      <c r="R101" s="6" t="inlineStr">
        <is>
          <t>Trọn gói Take-Home Starter Kit V2/V3 (Cỏ nhân tạo + Khay Potty + Đồ chơi Teething/Snuggle)</t>
        </is>
      </c>
      <c r="S101" s="6" t="inlineStr">
        <is>
          <t>Tuyệt đối không đưa vào CRM (Vi phạm Bộ lọc Âm tính Mục 5)</t>
        </is>
      </c>
    </row>
    <row r="102">
      <c r="A102" s="59" t="n">
        <v>1435</v>
      </c>
      <c r="B102" s="15" t="inlineStr">
        <is>
          <t>French Bulldog Club of Victoria Inc - Australia</t>
        </is>
      </c>
      <c r="C102" s="60" t="inlineStr">
        <is>
          <t>https://www.facebook.com/frenchbulldogclubofvictoria</t>
        </is>
      </c>
      <c r="D102" s="9" t="inlineStr">
        <is>
          <t>Cần quét Bio Fanpage</t>
        </is>
      </c>
      <c r="E102" s="59" t="inlineStr">
        <is>
          <t>07/10/2026 17:40:24</t>
        </is>
      </c>
      <c r="F102" s="59" t="inlineStr">
        <is>
          <t>5 ngày trước</t>
        </is>
      </c>
      <c r="G102" s="61" t="n">
        <v>5</v>
      </c>
      <c r="H102" s="62" t="n">
        <v>20</v>
      </c>
      <c r="I102" s="9" t="inlineStr">
        <is>
          <t>Dog Breeder / Trại nhân giống (28-30đ)</t>
        </is>
      </c>
      <c r="J102" s="62" t="n">
        <v>28</v>
      </c>
      <c r="K102" s="9" t="inlineStr">
        <is>
          <t>French Bulldog</t>
        </is>
      </c>
      <c r="L102" s="62" t="n">
        <v>10</v>
      </c>
      <c r="M102" s="62" t="n">
        <v>5</v>
      </c>
      <c r="N102" s="9" t="inlineStr">
        <is>
          <t>Amazon link not found</t>
        </is>
      </c>
      <c r="O102" s="62">
        <f>IF(N102="Selling pet toys + Artificial grass/Pet toilets (TARGET)",15,IF(N102="Selling artificial grass/pet toilets (TARGET)",10,IF(N102="Selling pet toys",7,IF(N102="There's an Amazon link, but no target sales.",3,0))))</f>
        <v/>
      </c>
      <c r="P102" s="67">
        <f>H102+J102+L102+M102+O102</f>
        <v/>
      </c>
      <c r="Q102" s="70" t="inlineStr">
        <is>
          <t>Excluded: Hiệp hội &amp; CLB Phả hệ (Mục 5.1)</t>
        </is>
      </c>
      <c r="R102" s="9" t="inlineStr">
        <is>
          <t>Trọn gói Take-Home Starter Kit V2/V3 (Cỏ nhân tạo + Khay Potty + Đồ chơi cún con)</t>
        </is>
      </c>
      <c r="S102" s="9" t="inlineStr">
        <is>
          <t>Tuyệt đối không đưa vào CRM (Vi phạm Bộ lọc Âm tính Mục 5)</t>
        </is>
      </c>
    </row>
    <row r="103">
      <c r="A103" s="53" t="n">
        <v>624</v>
      </c>
      <c r="B103" s="12" t="inlineStr">
        <is>
          <t>Bell's Strawberry Farm Doberman Fan Club</t>
        </is>
      </c>
      <c r="C103" s="54" t="inlineStr">
        <is>
          <t>https://www.facebook.com/BellsStrawberryFarmDobermanPuppies</t>
        </is>
      </c>
      <c r="D103" s="6" t="inlineStr">
        <is>
          <t>Cần quét Bio Fanpage</t>
        </is>
      </c>
      <c r="E103" s="53" t="inlineStr">
        <is>
          <t>06/10/2026 23:09:35</t>
        </is>
      </c>
      <c r="F103" s="53" t="inlineStr">
        <is>
          <t>6 ngày trước</t>
        </is>
      </c>
      <c r="G103" s="55" t="n">
        <v>6</v>
      </c>
      <c r="H103" s="56" t="n">
        <v>20</v>
      </c>
      <c r="I103" s="6" t="inlineStr">
        <is>
          <t>Dog Breeder / Trại nhân giống (28-30đ)</t>
        </is>
      </c>
      <c r="J103" s="56" t="n">
        <v>28</v>
      </c>
      <c r="K103" s="6" t="inlineStr">
        <is>
          <t>Great Dane / Working Giant</t>
        </is>
      </c>
      <c r="L103" s="56" t="n">
        <v>5</v>
      </c>
      <c r="M103" s="56" t="n">
        <v>10</v>
      </c>
      <c r="N103" s="6" t="inlineStr">
        <is>
          <t>Amazon link not found</t>
        </is>
      </c>
      <c r="O103" s="56">
        <f>IF(N103="Selling pet toys + Artificial grass/Pet toilets (TARGET)",15,IF(N103="Selling artificial grass/pet toilets (TARGET)",10,IF(N103="Selling pet toys",7,IF(N103="There's an Amazon link, but no target sales.",3,0))))</f>
        <v/>
      </c>
      <c r="P103" s="65">
        <f>H103+J103+L103+M103+O103</f>
        <v/>
      </c>
      <c r="Q103" s="71" t="inlineStr">
        <is>
          <t>Excluded: Ngành nghề Khác (Phi Cún cưng)</t>
        </is>
      </c>
      <c r="R103" s="6" t="inlineStr">
        <is>
          <t>Trọn gói Take-Home Starter Kit V2/V3 (Cỏ nhân tạo + Khay Potty + Đồ chơi cún con)</t>
        </is>
      </c>
      <c r="S103" s="6" t="inlineStr">
        <is>
          <t>Tuyệt đối không đưa vào CRM (Vi phạm Bộ lọc Âm tính Mục 5)</t>
        </is>
      </c>
    </row>
    <row r="104">
      <c r="A104" s="59" t="n">
        <v>2683</v>
      </c>
      <c r="B104" s="15" t="inlineStr">
        <is>
          <t>Queensland Bulldog Club Inc</t>
        </is>
      </c>
      <c r="C104" s="60" t="inlineStr">
        <is>
          <t>https://www.facebook.com/QLDBulldogClub</t>
        </is>
      </c>
      <c r="D104" s="9" t="inlineStr">
        <is>
          <t>Cần quét Bio Fanpage</t>
        </is>
      </c>
      <c r="E104" s="59" t="inlineStr">
        <is>
          <t>06/10/2026 15:46:25</t>
        </is>
      </c>
      <c r="F104" s="59" t="inlineStr">
        <is>
          <t>6 ngày trước</t>
        </is>
      </c>
      <c r="G104" s="61" t="n">
        <v>6</v>
      </c>
      <c r="H104" s="62" t="n">
        <v>20</v>
      </c>
      <c r="I104" s="9" t="inlineStr">
        <is>
          <t>Dog Breeder / Trại nhân giống (28-30đ)</t>
        </is>
      </c>
      <c r="J104" s="62" t="n">
        <v>28</v>
      </c>
      <c r="K104" s="9" t="inlineStr">
        <is>
          <t>English Bulldog</t>
        </is>
      </c>
      <c r="L104" s="62" t="n">
        <v>10</v>
      </c>
      <c r="M104" s="62" t="n">
        <v>5</v>
      </c>
      <c r="N104" s="9" t="inlineStr">
        <is>
          <t>Amazon link not found</t>
        </is>
      </c>
      <c r="O104" s="62">
        <f>IF(N104="Selling pet toys + Artificial grass/Pet toilets (TARGET)",15,IF(N104="Selling artificial grass/pet toilets (TARGET)",10,IF(N104="Selling pet toys",7,IF(N104="There's an Amazon link, but no target sales.",3,0))))</f>
        <v/>
      </c>
      <c r="P104" s="67">
        <f>H104+J104+L104+M104+O104</f>
        <v/>
      </c>
      <c r="Q104" s="70" t="inlineStr">
        <is>
          <t>Excluded: Hiệp hội &amp; CLB Phả hệ (Mục 5.1)</t>
        </is>
      </c>
      <c r="R104" s="9" t="inlineStr">
        <is>
          <t>Trọn gói Take-Home Starter Kit V2/V3 (Cỏ nhân tạo + Khay Potty + Đồ chơi cún con)</t>
        </is>
      </c>
      <c r="S104" s="9" t="inlineStr">
        <is>
          <t>Tuyệt đối không đưa vào CRM (Vi phạm Bộ lọc Âm tính Mục 5)</t>
        </is>
      </c>
    </row>
    <row r="105">
      <c r="A105" s="53" t="n">
        <v>4227</v>
      </c>
      <c r="B105" s="12" t="inlineStr">
        <is>
          <t>Jarrettsville Vet Center</t>
        </is>
      </c>
      <c r="C105" s="54" t="inlineStr">
        <is>
          <t>https://www.facebook.com/JarrettsvilleVet</t>
        </is>
      </c>
      <c r="D105" s="6" t="inlineStr">
        <is>
          <t>Cần quét Bio Fanpage</t>
        </is>
      </c>
      <c r="E105" s="53" t="inlineStr">
        <is>
          <t>13/10/2026 08:00:23</t>
        </is>
      </c>
      <c r="F105" s="53" t="inlineStr">
        <is>
          <t>32 phút trước</t>
        </is>
      </c>
      <c r="G105" s="55" t="n">
        <v>0.02</v>
      </c>
      <c r="H105" s="56" t="n">
        <v>35</v>
      </c>
      <c r="I105" s="6" t="inlineStr">
        <is>
          <t>Pet Boarding / Huấn luyện K9 &amp; Dịch vụ (20-22đ)</t>
        </is>
      </c>
      <c r="J105" s="56" t="n">
        <v>22</v>
      </c>
      <c r="K105" s="6" t="inlineStr">
        <is>
          <t>Chưa rõ giống (Cần quét Bio)</t>
        </is>
      </c>
      <c r="L105" s="56" t="n">
        <v>0</v>
      </c>
      <c r="M105" s="56" t="n">
        <v>5</v>
      </c>
      <c r="N105" s="6" t="inlineStr">
        <is>
          <t>Amazon link not found</t>
        </is>
      </c>
      <c r="O105" s="56">
        <f>IF(N105="Selling pet toys + Artificial grass/Pet toilets (TARGET)",15,IF(N105="Selling artificial grass/pet toilets (TARGET)",10,IF(N105="Selling pet toys",7,IF(N105="There's an Amazon link, but no target sales.",3,0))))</f>
        <v/>
      </c>
      <c r="P105" s="65">
        <f>H105+J105+L105+M105+O105</f>
        <v/>
      </c>
      <c r="Q105" s="71" t="inlineStr">
        <is>
          <t>Excluded: Trang Chung / Không rõ Ngách Cún cưng</t>
        </is>
      </c>
      <c r="R105" s="6" t="inlineStr">
        <is>
          <t>Cỏ nhân tạo sân chơi/huấn luyện (Dog Turf) + Đồ chơi nhai chịu lực (KONG/Chew Toys)</t>
        </is>
      </c>
      <c r="S105" s="6" t="inlineStr">
        <is>
          <t>Tuyệt đối không đưa vào CRM (Vi phạm Bộ lọc Âm tính Mục 5)</t>
        </is>
      </c>
    </row>
    <row r="106">
      <c r="A106" s="59" t="n">
        <v>3929</v>
      </c>
      <c r="B106" s="15" t="inlineStr">
        <is>
          <t>Fresno Animal Center Transfer Network</t>
        </is>
      </c>
      <c r="C106" s="60" t="inlineStr">
        <is>
          <t>https://www.facebook.com/profile.php?id=61567819224253</t>
        </is>
      </c>
      <c r="D106" s="9" t="inlineStr">
        <is>
          <t>Cần quét Bio Fanpage</t>
        </is>
      </c>
      <c r="E106" s="59" t="inlineStr">
        <is>
          <t>13/10/2026 05:13:46</t>
        </is>
      </c>
      <c r="F106" s="59" t="inlineStr">
        <is>
          <t>2 giờ trước</t>
        </is>
      </c>
      <c r="G106" s="61" t="n">
        <v>0.08</v>
      </c>
      <c r="H106" s="62" t="n">
        <v>35</v>
      </c>
      <c r="I106" s="9" t="inlineStr">
        <is>
          <t>Pet Boarding / Huấn luyện K9 &amp; Dịch vụ (20-22đ)</t>
        </is>
      </c>
      <c r="J106" s="62" t="n">
        <v>22</v>
      </c>
      <c r="K106" s="9" t="inlineStr">
        <is>
          <t>Chưa rõ giống (Cần quét Bio)</t>
        </is>
      </c>
      <c r="L106" s="62" t="n">
        <v>0</v>
      </c>
      <c r="M106" s="62" t="n">
        <v>5</v>
      </c>
      <c r="N106" s="9" t="inlineStr">
        <is>
          <t>Amazon link not found</t>
        </is>
      </c>
      <c r="O106" s="62">
        <f>IF(N106="Selling pet toys + Artificial grass/Pet toilets (TARGET)",15,IF(N106="Selling artificial grass/pet toilets (TARGET)",10,IF(N106="Selling pet toys",7,IF(N106="There's an Amazon link, but no target sales.",3,0))))</f>
        <v/>
      </c>
      <c r="P106" s="67">
        <f>H106+J106+L106+M106+O106</f>
        <v/>
      </c>
      <c r="Q106" s="70" t="inlineStr">
        <is>
          <t>Excluded: Trang Chung / Không rõ Ngách Cún cưng</t>
        </is>
      </c>
      <c r="R106" s="9" t="inlineStr">
        <is>
          <t>Cỏ nhân tạo sân chơi/huấn luyện (Dog Turf) + Đồ chơi nhai chịu lực (KONG/Chew Toys)</t>
        </is>
      </c>
      <c r="S106" s="9" t="inlineStr">
        <is>
          <t>Tuyệt đối không đưa vào CRM (Vi phạm Bộ lọc Âm tính Mục 5)</t>
        </is>
      </c>
    </row>
    <row r="107">
      <c r="A107" s="53" t="n">
        <v>2285</v>
      </c>
      <c r="B107" s="12" t="inlineStr">
        <is>
          <t>New Frontier Animal Medical Center</t>
        </is>
      </c>
      <c r="C107" s="54" t="inlineStr">
        <is>
          <t>https://www.facebook.com/NewFrontierAnimalMedicalCenter</t>
        </is>
      </c>
      <c r="D107" s="6" t="inlineStr">
        <is>
          <t>Cần quét Bio Fanpage</t>
        </is>
      </c>
      <c r="E107" s="53" t="inlineStr">
        <is>
          <t>13/10/2026 03:07:05</t>
        </is>
      </c>
      <c r="F107" s="53" t="inlineStr">
        <is>
          <t>1 giờ trước</t>
        </is>
      </c>
      <c r="G107" s="55" t="n">
        <v>0.04</v>
      </c>
      <c r="H107" s="56" t="n">
        <v>35</v>
      </c>
      <c r="I107" s="6" t="inlineStr">
        <is>
          <t>Pet Boarding / Huấn luyện K9 &amp; Dịch vụ (20-22đ)</t>
        </is>
      </c>
      <c r="J107" s="56" t="n">
        <v>22</v>
      </c>
      <c r="K107" s="6" t="inlineStr">
        <is>
          <t>Chưa rõ giống (Cần quét Bio)</t>
        </is>
      </c>
      <c r="L107" s="56" t="n">
        <v>0</v>
      </c>
      <c r="M107" s="56" t="n">
        <v>5</v>
      </c>
      <c r="N107" s="6" t="inlineStr">
        <is>
          <t>Amazon link not found</t>
        </is>
      </c>
      <c r="O107" s="56">
        <f>IF(N107="Selling pet toys + Artificial grass/Pet toilets (TARGET)",15,IF(N107="Selling artificial grass/pet toilets (TARGET)",10,IF(N107="Selling pet toys",7,IF(N107="There's an Amazon link, but no target sales.",3,0))))</f>
        <v/>
      </c>
      <c r="P107" s="65">
        <f>H107+J107+L107+M107+O107</f>
        <v/>
      </c>
      <c r="Q107" s="71" t="inlineStr">
        <is>
          <t>Excluded: Trang Chung / Không rõ Ngách Cún cưng</t>
        </is>
      </c>
      <c r="R107" s="6" t="inlineStr">
        <is>
          <t>Cỏ nhân tạo sân chơi/huấn luyện (Dog Turf) + Đồ chơi nhai chịu lực (KONG/Chew Toys)</t>
        </is>
      </c>
      <c r="S107" s="6" t="inlineStr">
        <is>
          <t>Tuyệt đối không đưa vào CRM (Vi phạm Bộ lọc Âm tính Mục 5)</t>
        </is>
      </c>
    </row>
    <row r="108">
      <c r="A108" s="59" t="n">
        <v>955</v>
      </c>
      <c r="B108" s="15" t="inlineStr">
        <is>
          <t>Crawford County Career and Technical Center</t>
        </is>
      </c>
      <c r="C108" s="60" t="inlineStr">
        <is>
          <t>https://www.facebook.com/CrawfordTechCenter</t>
        </is>
      </c>
      <c r="D108" s="9" t="inlineStr">
        <is>
          <t>Cần quét Bio Fanpage</t>
        </is>
      </c>
      <c r="E108" s="59" t="inlineStr">
        <is>
          <t>13/10/2026 02:26:58</t>
        </is>
      </c>
      <c r="F108" s="59" t="inlineStr">
        <is>
          <t>11 phút trước</t>
        </is>
      </c>
      <c r="G108" s="61" t="n">
        <v>0.01</v>
      </c>
      <c r="H108" s="62" t="n">
        <v>35</v>
      </c>
      <c r="I108" s="9" t="inlineStr">
        <is>
          <t>Pet Boarding / Huấn luyện K9 &amp; Dịch vụ (20-22đ)</t>
        </is>
      </c>
      <c r="J108" s="62" t="n">
        <v>22</v>
      </c>
      <c r="K108" s="9" t="inlineStr">
        <is>
          <t>Chưa rõ giống (Cần quét Bio)</t>
        </is>
      </c>
      <c r="L108" s="62" t="n">
        <v>0</v>
      </c>
      <c r="M108" s="62" t="n">
        <v>5</v>
      </c>
      <c r="N108" s="9" t="inlineStr">
        <is>
          <t>Amazon link not found</t>
        </is>
      </c>
      <c r="O108" s="62">
        <f>IF(N108="Selling pet toys + Artificial grass/Pet toilets (TARGET)",15,IF(N108="Selling artificial grass/pet toilets (TARGET)",10,IF(N108="Selling pet toys",7,IF(N108="There's an Amazon link, but no target sales.",3,0))))</f>
        <v/>
      </c>
      <c r="P108" s="67">
        <f>H108+J108+L108+M108+O108</f>
        <v/>
      </c>
      <c r="Q108" s="70" t="inlineStr">
        <is>
          <t>Excluded: Trang Chung / Không rõ Ngách Cún cưng</t>
        </is>
      </c>
      <c r="R108" s="9" t="inlineStr">
        <is>
          <t>Cỏ nhân tạo sân chơi/huấn luyện (Dog Turf) + Đồ chơi nhai chịu lực (KONG/Chew Toys)</t>
        </is>
      </c>
      <c r="S108" s="9" t="inlineStr">
        <is>
          <t>Tuyệt đối không đưa vào CRM (Vi phạm Bộ lọc Âm tính Mục 5)</t>
        </is>
      </c>
    </row>
    <row r="109">
      <c r="A109" s="53" t="n">
        <v>1456</v>
      </c>
      <c r="B109" s="12" t="inlineStr">
        <is>
          <t>Fresno Animal Center</t>
        </is>
      </c>
      <c r="C109" s="54" t="inlineStr">
        <is>
          <t>https://www.facebook.com/FresnoAnimalCenter</t>
        </is>
      </c>
      <c r="D109" s="6" t="inlineStr">
        <is>
          <t>Cần quét Bio Fanpage</t>
        </is>
      </c>
      <c r="E109" s="53" t="inlineStr">
        <is>
          <t>13/10/2026 00:35:12</t>
        </is>
      </c>
      <c r="F109" s="53" t="inlineStr">
        <is>
          <t>2 giờ trước</t>
        </is>
      </c>
      <c r="G109" s="55" t="n">
        <v>0.08</v>
      </c>
      <c r="H109" s="56" t="n">
        <v>35</v>
      </c>
      <c r="I109" s="6" t="inlineStr">
        <is>
          <t>Pet Boarding / Huấn luyện K9 &amp; Dịch vụ (20-22đ)</t>
        </is>
      </c>
      <c r="J109" s="56" t="n">
        <v>22</v>
      </c>
      <c r="K109" s="6" t="inlineStr">
        <is>
          <t>Chưa rõ giống (Cần quét Bio)</t>
        </is>
      </c>
      <c r="L109" s="56" t="n">
        <v>0</v>
      </c>
      <c r="M109" s="56" t="n">
        <v>5</v>
      </c>
      <c r="N109" s="6" t="inlineStr">
        <is>
          <t>Amazon link not found</t>
        </is>
      </c>
      <c r="O109" s="56">
        <f>IF(N109="Selling pet toys + Artificial grass/Pet toilets (TARGET)",15,IF(N109="Selling artificial grass/pet toilets (TARGET)",10,IF(N109="Selling pet toys",7,IF(N109="There's an Amazon link, but no target sales.",3,0))))</f>
        <v/>
      </c>
      <c r="P109" s="65">
        <f>H109+J109+L109+M109+O109</f>
        <v/>
      </c>
      <c r="Q109" s="71" t="inlineStr">
        <is>
          <t>Excluded: Trang Chung / Không rõ Ngách Cún cưng</t>
        </is>
      </c>
      <c r="R109" s="6" t="inlineStr">
        <is>
          <t>Cỏ nhân tạo sân chơi/huấn luyện (Dog Turf) + Đồ chơi nhai chịu lực (KONG/Chew Toys)</t>
        </is>
      </c>
      <c r="S109" s="6" t="inlineStr">
        <is>
          <t>Tuyệt đối không đưa vào CRM (Vi phạm Bộ lọc Âm tính Mục 5)</t>
        </is>
      </c>
    </row>
    <row r="110">
      <c r="A110" s="59" t="n">
        <v>3126</v>
      </c>
      <c r="B110" s="15" t="inlineStr">
        <is>
          <t>The Good Place Farm</t>
        </is>
      </c>
      <c r="C110" s="60" t="inlineStr">
        <is>
          <t>https://www.facebook.com/profile.php?id=100094575615499</t>
        </is>
      </c>
      <c r="D110" s="9" t="inlineStr">
        <is>
          <t>Cần quét Bio Fanpage</t>
        </is>
      </c>
      <c r="E110" s="59" t="inlineStr">
        <is>
          <t>12/10/2026 06:28:59</t>
        </is>
      </c>
      <c r="F110" s="59" t="inlineStr">
        <is>
          <t>1 ngày trước</t>
        </is>
      </c>
      <c r="G110" s="61" t="n">
        <v>1</v>
      </c>
      <c r="H110" s="62" t="n">
        <v>28</v>
      </c>
      <c r="I110" s="9" t="inlineStr">
        <is>
          <t>Dog Breeder / Trại nhân giống (28-30đ)</t>
        </is>
      </c>
      <c r="J110" s="62" t="n">
        <v>28</v>
      </c>
      <c r="K110" s="9" t="inlineStr">
        <is>
          <t>Chưa rõ giống (Cần quét Bio)</t>
        </is>
      </c>
      <c r="L110" s="62" t="n">
        <v>0</v>
      </c>
      <c r="M110" s="62" t="n">
        <v>5</v>
      </c>
      <c r="N110" s="9" t="inlineStr">
        <is>
          <t>Amazon link not found</t>
        </is>
      </c>
      <c r="O110" s="62">
        <f>IF(N110="Selling pet toys + Artificial grass/Pet toilets (TARGET)",15,IF(N110="Selling artificial grass/pet toilets (TARGET)",10,IF(N110="Selling pet toys",7,IF(N110="There's an Amazon link, but no target sales.",3,0))))</f>
        <v/>
      </c>
      <c r="P110" s="67">
        <f>H110+J110+L110+M110+O110</f>
        <v/>
      </c>
      <c r="Q110" s="70" t="inlineStr">
        <is>
          <t>Excluded: Trang Chung / Không rõ Ngách Cún cưng</t>
        </is>
      </c>
      <c r="R110" s="9" t="inlineStr">
        <is>
          <t>Trọn gói Take-Home Starter Kit V2/V3 (Cỏ nhân tạo + Khay Potty + Đồ chơi cún con)</t>
        </is>
      </c>
      <c r="S110" s="9" t="inlineStr">
        <is>
          <t>Tuyệt đối không đưa vào CRM (Vi phạm Bộ lọc Âm tính Mục 5)</t>
        </is>
      </c>
    </row>
    <row r="111">
      <c r="A111" s="53" t="n">
        <v>1855</v>
      </c>
      <c r="B111" s="12" t="inlineStr">
        <is>
          <t>KC Farms</t>
        </is>
      </c>
      <c r="C111" s="54" t="inlineStr">
        <is>
          <t>https://www.facebook.com/KCFarmstn</t>
        </is>
      </c>
      <c r="D111" s="6" t="inlineStr">
        <is>
          <t>Cần quét Bio Fanpage</t>
        </is>
      </c>
      <c r="E111" s="53" t="inlineStr">
        <is>
          <t>12/10/2026 04:10:14</t>
        </is>
      </c>
      <c r="F111" s="53" t="inlineStr">
        <is>
          <t>1 ngày trước</t>
        </is>
      </c>
      <c r="G111" s="55" t="n">
        <v>1</v>
      </c>
      <c r="H111" s="56" t="n">
        <v>28</v>
      </c>
      <c r="I111" s="6" t="inlineStr">
        <is>
          <t>Dog Breeder / Trại nhân giống (28-30đ)</t>
        </is>
      </c>
      <c r="J111" s="56" t="n">
        <v>28</v>
      </c>
      <c r="K111" s="6" t="inlineStr">
        <is>
          <t>Chưa rõ giống (Cần quét Bio)</t>
        </is>
      </c>
      <c r="L111" s="56" t="n">
        <v>0</v>
      </c>
      <c r="M111" s="56" t="n">
        <v>5</v>
      </c>
      <c r="N111" s="6" t="inlineStr">
        <is>
          <t>Amazon link not found</t>
        </is>
      </c>
      <c r="O111" s="56">
        <f>IF(N111="Selling pet toys + Artificial grass/Pet toilets (TARGET)",15,IF(N111="Selling artificial grass/pet toilets (TARGET)",10,IF(N111="Selling pet toys",7,IF(N111="There's an Amazon link, but no target sales.",3,0))))</f>
        <v/>
      </c>
      <c r="P111" s="65">
        <f>H111+J111+L111+M111+O111</f>
        <v/>
      </c>
      <c r="Q111" s="71" t="inlineStr">
        <is>
          <t>Excluded: Trang Chung / Không rõ Ngách Cún cưng</t>
        </is>
      </c>
      <c r="R111" s="6" t="inlineStr">
        <is>
          <t>Trọn gói Take-Home Starter Kit V2/V3 (Cỏ nhân tạo + Khay Potty + Đồ chơi cún con)</t>
        </is>
      </c>
      <c r="S111" s="6" t="inlineStr">
        <is>
          <t>Tuyệt đối không đưa vào CRM (Vi phạm Bộ lọc Âm tính Mục 5)</t>
        </is>
      </c>
    </row>
    <row r="112">
      <c r="A112" s="59" t="n">
        <v>2132</v>
      </c>
      <c r="B112" s="15" t="inlineStr">
        <is>
          <t>Matthews Legacy Farm</t>
        </is>
      </c>
      <c r="C112" s="60" t="inlineStr">
        <is>
          <t>https://www.facebook.com/MatthewsLegacyFarm</t>
        </is>
      </c>
      <c r="D112" s="9" t="inlineStr">
        <is>
          <t>Cần quét Bio Fanpage</t>
        </is>
      </c>
      <c r="E112" s="59" t="inlineStr">
        <is>
          <t>12/10/2026 03:49:35</t>
        </is>
      </c>
      <c r="F112" s="59" t="inlineStr">
        <is>
          <t>1 ngày trước</t>
        </is>
      </c>
      <c r="G112" s="61" t="n">
        <v>1</v>
      </c>
      <c r="H112" s="62" t="n">
        <v>28</v>
      </c>
      <c r="I112" s="9" t="inlineStr">
        <is>
          <t>Dog Breeder / Trại nhân giống (28-30đ)</t>
        </is>
      </c>
      <c r="J112" s="62" t="n">
        <v>28</v>
      </c>
      <c r="K112" s="9" t="inlineStr">
        <is>
          <t>Chưa rõ giống (Cần quét Bio)</t>
        </is>
      </c>
      <c r="L112" s="62" t="n">
        <v>0</v>
      </c>
      <c r="M112" s="62" t="n">
        <v>5</v>
      </c>
      <c r="N112" s="9" t="inlineStr">
        <is>
          <t>Amazon link not found</t>
        </is>
      </c>
      <c r="O112" s="62">
        <f>IF(N112="Selling pet toys + Artificial grass/Pet toilets (TARGET)",15,IF(N112="Selling artificial grass/pet toilets (TARGET)",10,IF(N112="Selling pet toys",7,IF(N112="There's an Amazon link, but no target sales.",3,0))))</f>
        <v/>
      </c>
      <c r="P112" s="67">
        <f>H112+J112+L112+M112+O112</f>
        <v/>
      </c>
      <c r="Q112" s="70" t="inlineStr">
        <is>
          <t>Excluded: Trang Chung / Không rõ Ngách Cún cưng</t>
        </is>
      </c>
      <c r="R112" s="9" t="inlineStr">
        <is>
          <t>Trọn gói Take-Home Starter Kit V2/V3 (Cỏ nhân tạo + Khay Potty + Đồ chơi cún con)</t>
        </is>
      </c>
      <c r="S112" s="9" t="inlineStr">
        <is>
          <t>Tuyệt đối không đưa vào CRM (Vi phạm Bộ lọc Âm tính Mục 5)</t>
        </is>
      </c>
    </row>
    <row r="113">
      <c r="A113" s="53" t="n">
        <v>1636</v>
      </c>
      <c r="B113" s="12" t="inlineStr">
        <is>
          <t>Heartland Bernese Mountain Dog Club</t>
        </is>
      </c>
      <c r="C113" s="54" t="inlineStr">
        <is>
          <t>https://www.facebook.com/profile.php?id=100057435250415</t>
        </is>
      </c>
      <c r="D113" s="6" t="inlineStr">
        <is>
          <t>Cần quét Bio Fanpage</t>
        </is>
      </c>
      <c r="E113" s="53" t="inlineStr">
        <is>
          <t>12/10/2026 02:24:24</t>
        </is>
      </c>
      <c r="F113" s="53" t="inlineStr">
        <is>
          <t>1 ngày trước</t>
        </is>
      </c>
      <c r="G113" s="55" t="n">
        <v>1</v>
      </c>
      <c r="H113" s="56" t="n">
        <v>28</v>
      </c>
      <c r="I113" s="6" t="inlineStr">
        <is>
          <t>Dog Breeder / Trại chó chuyên nghiệp (28-30đ)</t>
        </is>
      </c>
      <c r="J113" s="56" t="n">
        <v>28</v>
      </c>
      <c r="K113" s="6" t="inlineStr">
        <is>
          <t>Bernese Mountain Dog</t>
        </is>
      </c>
      <c r="L113" s="56" t="n">
        <v>5</v>
      </c>
      <c r="M113" s="56" t="n">
        <v>0</v>
      </c>
      <c r="N113" s="6" t="inlineStr">
        <is>
          <t>Amazon link not found</t>
        </is>
      </c>
      <c r="O113" s="56">
        <f>IF(N113="Selling pet toys + Artificial grass/Pet toilets (TARGET)",15,IF(N113="Selling artificial grass/pet toilets (TARGET)",10,IF(N113="Selling pet toys",7,IF(N113="There's an Amazon link, but no target sales.",3,0))))</f>
        <v/>
      </c>
      <c r="P113" s="65">
        <f>H113+J113+L113+M113+O113</f>
        <v/>
      </c>
      <c r="Q113" s="71" t="inlineStr">
        <is>
          <t>Excluded: Hiệp hội &amp; CLB Phả hệ (Mục 5.1)</t>
        </is>
      </c>
      <c r="R113" s="6" t="inlineStr">
        <is>
          <t>Trọn gói Take-Home Starter Kit V2/V3 (Cỏ nhân tạo + Khay Potty + Đồ chơi Teething/Snuggle)</t>
        </is>
      </c>
      <c r="S113" s="6" t="inlineStr">
        <is>
          <t>Tuyệt đối không đưa vào CRM (Vi phạm Bộ lọc Âm tính Mục 5)</t>
        </is>
      </c>
    </row>
    <row r="114">
      <c r="A114" s="59" t="n">
        <v>1545</v>
      </c>
      <c r="B114" s="15" t="inlineStr">
        <is>
          <t>Granja Farms</t>
        </is>
      </c>
      <c r="C114" s="60" t="inlineStr">
        <is>
          <t>https://www.facebook.com/granjavillacabras</t>
        </is>
      </c>
      <c r="D114" s="9" t="inlineStr">
        <is>
          <t>Cần quét Bio Fanpage</t>
        </is>
      </c>
      <c r="E114" s="59" t="inlineStr">
        <is>
          <t>12/10/2026 01:40:12</t>
        </is>
      </c>
      <c r="F114" s="59" t="inlineStr">
        <is>
          <t>1 ngày trước</t>
        </is>
      </c>
      <c r="G114" s="61" t="n">
        <v>1</v>
      </c>
      <c r="H114" s="62" t="n">
        <v>28</v>
      </c>
      <c r="I114" s="9" t="inlineStr">
        <is>
          <t>Dog Breeder / Trại nhân giống (28-30đ)</t>
        </is>
      </c>
      <c r="J114" s="62" t="n">
        <v>28</v>
      </c>
      <c r="K114" s="9" t="inlineStr">
        <is>
          <t>Chưa rõ giống (Cần quét Bio)</t>
        </is>
      </c>
      <c r="L114" s="62" t="n">
        <v>0</v>
      </c>
      <c r="M114" s="62" t="n">
        <v>5</v>
      </c>
      <c r="N114" s="9" t="inlineStr">
        <is>
          <t>Amazon link not found</t>
        </is>
      </c>
      <c r="O114" s="62">
        <f>IF(N114="Selling pet toys + Artificial grass/Pet toilets (TARGET)",15,IF(N114="Selling artificial grass/pet toilets (TARGET)",10,IF(N114="Selling pet toys",7,IF(N114="There's an Amazon link, but no target sales.",3,0))))</f>
        <v/>
      </c>
      <c r="P114" s="67">
        <f>H114+J114+L114+M114+O114</f>
        <v/>
      </c>
      <c r="Q114" s="70" t="inlineStr">
        <is>
          <t>Excluded: Trang Chung / Không rõ Ngách Cún cưng</t>
        </is>
      </c>
      <c r="R114" s="9" t="inlineStr">
        <is>
          <t>Trọn gói Take-Home Starter Kit V2/V3 (Cỏ nhân tạo + Khay Potty + Đồ chơi cún con)</t>
        </is>
      </c>
      <c r="S114" s="9" t="inlineStr">
        <is>
          <t>Tuyệt đối không đưa vào CRM (Vi phạm Bộ lọc Âm tính Mục 5)</t>
        </is>
      </c>
    </row>
    <row r="115">
      <c r="A115" s="53" t="n">
        <v>2215</v>
      </c>
      <c r="B115" s="12" t="inlineStr">
        <is>
          <t>Mossburn Community Farm</t>
        </is>
      </c>
      <c r="C115" s="54" t="inlineStr">
        <is>
          <t>https://www.facebook.com/MossburnCommunityFarm</t>
        </is>
      </c>
      <c r="D115" s="6" t="inlineStr">
        <is>
          <t>Cần quét Bio Fanpage</t>
        </is>
      </c>
      <c r="E115" s="53" t="inlineStr">
        <is>
          <t>12/10/2026 01:05:17</t>
        </is>
      </c>
      <c r="F115" s="53" t="inlineStr">
        <is>
          <t>1 ngày trước</t>
        </is>
      </c>
      <c r="G115" s="55" t="n">
        <v>1</v>
      </c>
      <c r="H115" s="56" t="n">
        <v>28</v>
      </c>
      <c r="I115" s="6" t="inlineStr">
        <is>
          <t>Dog Breeder / Trại nhân giống (28-30đ)</t>
        </is>
      </c>
      <c r="J115" s="56" t="n">
        <v>28</v>
      </c>
      <c r="K115" s="6" t="inlineStr">
        <is>
          <t>Chưa rõ giống (Cần quét Bio)</t>
        </is>
      </c>
      <c r="L115" s="56" t="n">
        <v>0</v>
      </c>
      <c r="M115" s="56" t="n">
        <v>5</v>
      </c>
      <c r="N115" s="6" t="inlineStr">
        <is>
          <t>Amazon link not found</t>
        </is>
      </c>
      <c r="O115" s="56">
        <f>IF(N115="Selling pet toys + Artificial grass/Pet toilets (TARGET)",15,IF(N115="Selling artificial grass/pet toilets (TARGET)",10,IF(N115="Selling pet toys",7,IF(N115="There's an Amazon link, but no target sales.",3,0))))</f>
        <v/>
      </c>
      <c r="P115" s="65">
        <f>H115+J115+L115+M115+O115</f>
        <v/>
      </c>
      <c r="Q115" s="71" t="inlineStr">
        <is>
          <t>Excluded: Trang Chung / Không rõ Ngách Cún cưng</t>
        </is>
      </c>
      <c r="R115" s="6" t="inlineStr">
        <is>
          <t>Trọn gói Take-Home Starter Kit V2/V3 (Cỏ nhân tạo + Khay Potty + Đồ chơi cún con)</t>
        </is>
      </c>
      <c r="S115" s="6" t="inlineStr">
        <is>
          <t>Tuyệt đối không đưa vào CRM (Vi phạm Bộ lọc Âm tính Mục 5)</t>
        </is>
      </c>
    </row>
    <row r="116">
      <c r="A116" s="59" t="n">
        <v>1386</v>
      </c>
      <c r="B116" s="15" t="inlineStr">
        <is>
          <t>FireWater Farms</t>
        </is>
      </c>
      <c r="C116" s="60" t="inlineStr">
        <is>
          <t>https://www.facebook.com/FireWaterFarms</t>
        </is>
      </c>
      <c r="D116" s="9" t="inlineStr">
        <is>
          <t>Cần quét Bio Fanpage</t>
        </is>
      </c>
      <c r="E116" s="59" t="inlineStr">
        <is>
          <t>11/10/2026 23:22:31</t>
        </is>
      </c>
      <c r="F116" s="59" t="inlineStr">
        <is>
          <t>1 ngày trước</t>
        </is>
      </c>
      <c r="G116" s="61" t="n">
        <v>1</v>
      </c>
      <c r="H116" s="62" t="n">
        <v>28</v>
      </c>
      <c r="I116" s="9" t="inlineStr">
        <is>
          <t>Dog Breeder / Trại nhân giống (28-30đ)</t>
        </is>
      </c>
      <c r="J116" s="62" t="n">
        <v>28</v>
      </c>
      <c r="K116" s="9" t="inlineStr">
        <is>
          <t>Chưa rõ giống (Cần quét Bio)</t>
        </is>
      </c>
      <c r="L116" s="62" t="n">
        <v>0</v>
      </c>
      <c r="M116" s="62" t="n">
        <v>5</v>
      </c>
      <c r="N116" s="9" t="inlineStr">
        <is>
          <t>Amazon link not found</t>
        </is>
      </c>
      <c r="O116" s="62">
        <f>IF(N116="Selling pet toys + Artificial grass/Pet toilets (TARGET)",15,IF(N116="Selling artificial grass/pet toilets (TARGET)",10,IF(N116="Selling pet toys",7,IF(N116="There's an Amazon link, but no target sales.",3,0))))</f>
        <v/>
      </c>
      <c r="P116" s="67">
        <f>H116+J116+L116+M116+O116</f>
        <v/>
      </c>
      <c r="Q116" s="70" t="inlineStr">
        <is>
          <t>Excluded: Trang Chung / Không rõ Ngách Cún cưng</t>
        </is>
      </c>
      <c r="R116" s="9" t="inlineStr">
        <is>
          <t>Trọn gói Take-Home Starter Kit V2/V3 (Cỏ nhân tạo + Khay Potty + Đồ chơi cún con)</t>
        </is>
      </c>
      <c r="S116" s="9" t="inlineStr">
        <is>
          <t>Tuyệt đối không đưa vào CRM (Vi phạm Bộ lọc Âm tính Mục 5)</t>
        </is>
      </c>
    </row>
    <row r="117">
      <c r="A117" s="53" t="n">
        <v>3337</v>
      </c>
      <c r="B117" s="12" t="inlineStr">
        <is>
          <t>Vogelsberg Family Farm</t>
        </is>
      </c>
      <c r="C117" s="54" t="inlineStr">
        <is>
          <t>https://www.facebook.com/vogelsbergfamilyfarm</t>
        </is>
      </c>
      <c r="D117" s="6" t="inlineStr">
        <is>
          <t>Cần quét Bio Fanpage</t>
        </is>
      </c>
      <c r="E117" s="53" t="inlineStr">
        <is>
          <t>11/10/2026 22:30:38</t>
        </is>
      </c>
      <c r="F117" s="53" t="inlineStr">
        <is>
          <t>1 ngày trước</t>
        </is>
      </c>
      <c r="G117" s="55" t="n">
        <v>1</v>
      </c>
      <c r="H117" s="56" t="n">
        <v>28</v>
      </c>
      <c r="I117" s="6" t="inlineStr">
        <is>
          <t>Dog Breeder / Trại nhân giống (28-30đ)</t>
        </is>
      </c>
      <c r="J117" s="56" t="n">
        <v>28</v>
      </c>
      <c r="K117" s="6" t="inlineStr">
        <is>
          <t>Chưa rõ giống (Cần quét Bio)</t>
        </is>
      </c>
      <c r="L117" s="56" t="n">
        <v>0</v>
      </c>
      <c r="M117" s="56" t="n">
        <v>5</v>
      </c>
      <c r="N117" s="6" t="inlineStr">
        <is>
          <t>Amazon link not found</t>
        </is>
      </c>
      <c r="O117" s="56">
        <f>IF(N117="Selling pet toys + Artificial grass/Pet toilets (TARGET)",15,IF(N117="Selling artificial grass/pet toilets (TARGET)",10,IF(N117="Selling pet toys",7,IF(N117="There's an Amazon link, but no target sales.",3,0))))</f>
        <v/>
      </c>
      <c r="P117" s="65">
        <f>H117+J117+L117+M117+O117</f>
        <v/>
      </c>
      <c r="Q117" s="71" t="inlineStr">
        <is>
          <t>Excluded: Trang Chung / Không rõ Ngách Cún cưng</t>
        </is>
      </c>
      <c r="R117" s="6" t="inlineStr">
        <is>
          <t>Trọn gói Take-Home Starter Kit V2/V3 (Cỏ nhân tạo + Khay Potty + Đồ chơi cún con)</t>
        </is>
      </c>
      <c r="S117" s="6" t="inlineStr">
        <is>
          <t>Tuyệt đối không đưa vào CRM (Vi phạm Bộ lọc Âm tính Mục 5)</t>
        </is>
      </c>
    </row>
    <row r="118">
      <c r="A118" s="59" t="n">
        <v>1304</v>
      </c>
      <c r="B118" s="15" t="inlineStr">
        <is>
          <t>Eves Hill Farm</t>
        </is>
      </c>
      <c r="C118" s="60" t="inlineStr">
        <is>
          <t>https://www.facebook.com/eveshillfarm</t>
        </is>
      </c>
      <c r="D118" s="9" t="inlineStr">
        <is>
          <t>Cần quét Bio Fanpage</t>
        </is>
      </c>
      <c r="E118" s="59" t="inlineStr">
        <is>
          <t>11/10/2026 22:09:24</t>
        </is>
      </c>
      <c r="F118" s="59" t="inlineStr">
        <is>
          <t>1 ngày trước</t>
        </is>
      </c>
      <c r="G118" s="61" t="n">
        <v>1</v>
      </c>
      <c r="H118" s="62" t="n">
        <v>28</v>
      </c>
      <c r="I118" s="9" t="inlineStr">
        <is>
          <t>Dog Breeder / Trại nhân giống (28-30đ)</t>
        </is>
      </c>
      <c r="J118" s="62" t="n">
        <v>28</v>
      </c>
      <c r="K118" s="9" t="inlineStr">
        <is>
          <t>Chưa rõ giống (Cần quét Bio)</t>
        </is>
      </c>
      <c r="L118" s="62" t="n">
        <v>0</v>
      </c>
      <c r="M118" s="62" t="n">
        <v>5</v>
      </c>
      <c r="N118" s="9" t="inlineStr">
        <is>
          <t>Amazon link not found</t>
        </is>
      </c>
      <c r="O118" s="62">
        <f>IF(N118="Selling pet toys + Artificial grass/Pet toilets (TARGET)",15,IF(N118="Selling artificial grass/pet toilets (TARGET)",10,IF(N118="Selling pet toys",7,IF(N118="There's an Amazon link, but no target sales.",3,0))))</f>
        <v/>
      </c>
      <c r="P118" s="67">
        <f>H118+J118+L118+M118+O118</f>
        <v/>
      </c>
      <c r="Q118" s="70" t="inlineStr">
        <is>
          <t>Excluded: Trang Chung / Không rõ Ngách Cún cưng</t>
        </is>
      </c>
      <c r="R118" s="9" t="inlineStr">
        <is>
          <t>Trọn gói Take-Home Starter Kit V2/V3 (Cỏ nhân tạo + Khay Potty + Đồ chơi cún con)</t>
        </is>
      </c>
      <c r="S118" s="9" t="inlineStr">
        <is>
          <t>Tuyệt đối không đưa vào CRM (Vi phạm Bộ lọc Âm tính Mục 5)</t>
        </is>
      </c>
    </row>
    <row r="119">
      <c r="A119" s="53" t="n">
        <v>396</v>
      </c>
      <c r="B119" s="12" t="inlineStr">
        <is>
          <t>Als Melons Farm Market and Greenhouse - Conneaut Lake</t>
        </is>
      </c>
      <c r="C119" s="54" t="inlineStr">
        <is>
          <t>https://www.facebook.com/alsmelons</t>
        </is>
      </c>
      <c r="D119" s="6" t="inlineStr">
        <is>
          <t>Cần quét Bio Fanpage</t>
        </is>
      </c>
      <c r="E119" s="53" t="inlineStr">
        <is>
          <t>11/10/2026 21:42:52</t>
        </is>
      </c>
      <c r="F119" s="53" t="inlineStr">
        <is>
          <t>1 ngày trước</t>
        </is>
      </c>
      <c r="G119" s="55" t="n">
        <v>1</v>
      </c>
      <c r="H119" s="56" t="n">
        <v>28</v>
      </c>
      <c r="I119" s="6" t="inlineStr">
        <is>
          <t>Dog Breeder / Trại nhân giống (28-30đ)</t>
        </is>
      </c>
      <c r="J119" s="56" t="n">
        <v>28</v>
      </c>
      <c r="K119" s="6" t="inlineStr">
        <is>
          <t>Chưa rõ giống (Cần quét Bio)</t>
        </is>
      </c>
      <c r="L119" s="56" t="n">
        <v>0</v>
      </c>
      <c r="M119" s="56" t="n">
        <v>5</v>
      </c>
      <c r="N119" s="6" t="inlineStr">
        <is>
          <t>Amazon link not found</t>
        </is>
      </c>
      <c r="O119" s="56">
        <f>IF(N119="Selling pet toys + Artificial grass/Pet toilets (TARGET)",15,IF(N119="Selling artificial grass/pet toilets (TARGET)",10,IF(N119="Selling pet toys",7,IF(N119="There's an Amazon link, but no target sales.",3,0))))</f>
        <v/>
      </c>
      <c r="P119" s="65">
        <f>H119+J119+L119+M119+O119</f>
        <v/>
      </c>
      <c r="Q119" s="71" t="inlineStr">
        <is>
          <t>Excluded: Trang Chung / Không rõ Ngách Cún cưng</t>
        </is>
      </c>
      <c r="R119" s="6" t="inlineStr">
        <is>
          <t>Trọn gói Take-Home Starter Kit V2/V3 (Cỏ nhân tạo + Khay Potty + Đồ chơi cún con)</t>
        </is>
      </c>
      <c r="S119" s="6" t="inlineStr">
        <is>
          <t>Tuyệt đối không đưa vào CRM (Vi phạm Bộ lọc Âm tính Mục 5)</t>
        </is>
      </c>
    </row>
    <row r="120">
      <c r="A120" s="59" t="n">
        <v>597</v>
      </c>
      <c r="B120" s="15" t="inlineStr">
        <is>
          <t>Barrington Lodge Vet Clinic</t>
        </is>
      </c>
      <c r="C120" s="60" t="inlineStr">
        <is>
          <t>https://www.facebook.com/barringtonlodgevetclinic.co.uk</t>
        </is>
      </c>
      <c r="D120" s="9" t="inlineStr">
        <is>
          <t>Cần quét Bio Fanpage</t>
        </is>
      </c>
      <c r="E120" s="59" t="inlineStr">
        <is>
          <t>11/10/2026 19:44:24</t>
        </is>
      </c>
      <c r="F120" s="59" t="inlineStr">
        <is>
          <t>1 ngày trước</t>
        </is>
      </c>
      <c r="G120" s="61" t="n">
        <v>1</v>
      </c>
      <c r="H120" s="62" t="n">
        <v>28</v>
      </c>
      <c r="I120" s="9" t="inlineStr">
        <is>
          <t>Dog Breeder / Trại nhân giống (28-30đ)</t>
        </is>
      </c>
      <c r="J120" s="62" t="n">
        <v>28</v>
      </c>
      <c r="K120" s="9" t="inlineStr">
        <is>
          <t>Chưa rõ giống (Cần quét Bio)</t>
        </is>
      </c>
      <c r="L120" s="62" t="n">
        <v>0</v>
      </c>
      <c r="M120" s="62" t="n">
        <v>5</v>
      </c>
      <c r="N120" s="9" t="inlineStr">
        <is>
          <t>Amazon link not found</t>
        </is>
      </c>
      <c r="O120" s="62">
        <f>IF(N120="Selling pet toys + Artificial grass/Pet toilets (TARGET)",15,IF(N120="Selling artificial grass/pet toilets (TARGET)",10,IF(N120="Selling pet toys",7,IF(N120="There's an Amazon link, but no target sales.",3,0))))</f>
        <v/>
      </c>
      <c r="P120" s="67">
        <f>H120+J120+L120+M120+O120</f>
        <v/>
      </c>
      <c r="Q120" s="70" t="inlineStr">
        <is>
          <t>Excluded: Công ty Gen DNA &amp; Thú y (Mục 5.4)</t>
        </is>
      </c>
      <c r="R120" s="9" t="inlineStr">
        <is>
          <t>Trọn gói Take-Home Starter Kit V2/V3 (Cỏ nhân tạo + Khay Potty + Đồ chơi cún con)</t>
        </is>
      </c>
      <c r="S120" s="9" t="inlineStr">
        <is>
          <t>Tuyệt đối không đưa vào CRM (Vi phạm Bộ lọc Âm tính Mục 5)</t>
        </is>
      </c>
    </row>
    <row r="121">
      <c r="A121" s="53" t="n">
        <v>676</v>
      </c>
      <c r="B121" s="12" t="inlineStr">
        <is>
          <t>Binsamad Farm  (บินสมัดฟาร์ม)</t>
        </is>
      </c>
      <c r="C121" s="54" t="inlineStr">
        <is>
          <t>https://www.facebook.com/binsamad.farm</t>
        </is>
      </c>
      <c r="D121" s="6" t="inlineStr">
        <is>
          <t>Cần quét Bio Fanpage</t>
        </is>
      </c>
      <c r="E121" s="53" t="inlineStr">
        <is>
          <t>11/10/2026 19:40:27</t>
        </is>
      </c>
      <c r="F121" s="53" t="inlineStr">
        <is>
          <t>1 ngày trước</t>
        </is>
      </c>
      <c r="G121" s="55" t="n">
        <v>1</v>
      </c>
      <c r="H121" s="56" t="n">
        <v>28</v>
      </c>
      <c r="I121" s="6" t="inlineStr">
        <is>
          <t>Dog Breeder / Trại nhân giống (28-30đ)</t>
        </is>
      </c>
      <c r="J121" s="56" t="n">
        <v>28</v>
      </c>
      <c r="K121" s="6" t="inlineStr">
        <is>
          <t>Chưa rõ giống (Cần quét Bio)</t>
        </is>
      </c>
      <c r="L121" s="56" t="n">
        <v>0</v>
      </c>
      <c r="M121" s="56" t="n">
        <v>5</v>
      </c>
      <c r="N121" s="6" t="inlineStr">
        <is>
          <t>Amazon link not found</t>
        </is>
      </c>
      <c r="O121" s="56">
        <f>IF(N121="Selling pet toys + Artificial grass/Pet toilets (TARGET)",15,IF(N121="Selling artificial grass/pet toilets (TARGET)",10,IF(N121="Selling pet toys",7,IF(N121="There's an Amazon link, but no target sales.",3,0))))</f>
        <v/>
      </c>
      <c r="P121" s="65">
        <f>H121+J121+L121+M121+O121</f>
        <v/>
      </c>
      <c r="Q121" s="71" t="inlineStr">
        <is>
          <t>Excluded: Trang Chung / Không rõ Ngách Cún cưng</t>
        </is>
      </c>
      <c r="R121" s="6" t="inlineStr">
        <is>
          <t>Trọn gói Take-Home Starter Kit V2/V3 (Cỏ nhân tạo + Khay Potty + Đồ chơi cún con)</t>
        </is>
      </c>
      <c r="S121" s="6" t="inlineStr">
        <is>
          <t>Tuyệt đối không đưa vào CRM (Vi phạm Bộ lọc Âm tính Mục 5)</t>
        </is>
      </c>
    </row>
    <row r="122">
      <c r="A122" s="59" t="n">
        <v>368</v>
      </c>
      <c r="B122" s="15" t="inlineStr">
        <is>
          <t>Alexa Langeland- State Farm Agent</t>
        </is>
      </c>
      <c r="C122" s="60" t="inlineStr">
        <is>
          <t>https://www.facebook.com/myinsurancealexa</t>
        </is>
      </c>
      <c r="D122" s="9" t="inlineStr">
        <is>
          <t>Cần quét Bio Fanpage</t>
        </is>
      </c>
      <c r="E122" s="59" t="inlineStr">
        <is>
          <t>11/10/2026 18:36:29</t>
        </is>
      </c>
      <c r="F122" s="59" t="inlineStr">
        <is>
          <t>1 ngày trước</t>
        </is>
      </c>
      <c r="G122" s="61" t="n">
        <v>1</v>
      </c>
      <c r="H122" s="62" t="n">
        <v>28</v>
      </c>
      <c r="I122" s="9" t="inlineStr">
        <is>
          <t>Dog Breeder / Trại nhân giống (28-30đ)</t>
        </is>
      </c>
      <c r="J122" s="62" t="n">
        <v>28</v>
      </c>
      <c r="K122" s="9" t="inlineStr">
        <is>
          <t>Chưa rõ giống (Cần quét Bio)</t>
        </is>
      </c>
      <c r="L122" s="62" t="n">
        <v>0</v>
      </c>
      <c r="M122" s="62" t="n">
        <v>5</v>
      </c>
      <c r="N122" s="9" t="inlineStr">
        <is>
          <t>Amazon link not found</t>
        </is>
      </c>
      <c r="O122" s="62">
        <f>IF(N122="Selling pet toys + Artificial grass/Pet toilets (TARGET)",15,IF(N122="Selling artificial grass/pet toilets (TARGET)",10,IF(N122="Selling pet toys",7,IF(N122="There's an Amazon link, but no target sales.",3,0))))</f>
        <v/>
      </c>
      <c r="P122" s="67">
        <f>H122+J122+L122+M122+O122</f>
        <v/>
      </c>
      <c r="Q122" s="70" t="inlineStr">
        <is>
          <t>Excluded: Ngành nghề Khác (Phi Cún cưng)</t>
        </is>
      </c>
      <c r="R122" s="9" t="inlineStr">
        <is>
          <t>Trọn gói Take-Home Starter Kit V2/V3 (Cỏ nhân tạo + Khay Potty + Đồ chơi cún con)</t>
        </is>
      </c>
      <c r="S122" s="9" t="inlineStr">
        <is>
          <t>Tuyệt đối không đưa vào CRM (Vi phạm Bộ lọc Âm tính Mục 5)</t>
        </is>
      </c>
    </row>
    <row r="123">
      <c r="A123" s="53" t="n">
        <v>1330</v>
      </c>
      <c r="B123" s="12" t="inlineStr">
        <is>
          <t>Far farm away</t>
        </is>
      </c>
      <c r="C123" s="54" t="inlineStr">
        <is>
          <t>https://www.facebook.com/profile.php?id=61591464338033</t>
        </is>
      </c>
      <c r="D123" s="6" t="inlineStr">
        <is>
          <t>Cần quét Bio Fanpage</t>
        </is>
      </c>
      <c r="E123" s="53" t="inlineStr">
        <is>
          <t>11/10/2026 13:21:39</t>
        </is>
      </c>
      <c r="F123" s="53" t="inlineStr">
        <is>
          <t>1 ngày trước</t>
        </is>
      </c>
      <c r="G123" s="55" t="n">
        <v>1</v>
      </c>
      <c r="H123" s="56" t="n">
        <v>28</v>
      </c>
      <c r="I123" s="6" t="inlineStr">
        <is>
          <t>Dog Breeder / Trại nhân giống (28-30đ)</t>
        </is>
      </c>
      <c r="J123" s="56" t="n">
        <v>28</v>
      </c>
      <c r="K123" s="6" t="inlineStr">
        <is>
          <t>Chưa rõ giống (Cần quét Bio)</t>
        </is>
      </c>
      <c r="L123" s="56" t="n">
        <v>0</v>
      </c>
      <c r="M123" s="56" t="n">
        <v>5</v>
      </c>
      <c r="N123" s="6" t="inlineStr">
        <is>
          <t>Amazon link not found</t>
        </is>
      </c>
      <c r="O123" s="56">
        <f>IF(N123="Selling pet toys + Artificial grass/Pet toilets (TARGET)",15,IF(N123="Selling artificial grass/pet toilets (TARGET)",10,IF(N123="Selling pet toys",7,IF(N123="There's an Amazon link, but no target sales.",3,0))))</f>
        <v/>
      </c>
      <c r="P123" s="65">
        <f>H123+J123+L123+M123+O123</f>
        <v/>
      </c>
      <c r="Q123" s="71" t="inlineStr">
        <is>
          <t>Excluded: Trang Chung / Không rõ Ngách Cún cưng</t>
        </is>
      </c>
      <c r="R123" s="6" t="inlineStr">
        <is>
          <t>Trọn gói Take-Home Starter Kit V2/V3 (Cỏ nhân tạo + Khay Potty + Đồ chơi cún con)</t>
        </is>
      </c>
      <c r="S123" s="6" t="inlineStr">
        <is>
          <t>Tuyệt đối không đưa vào CRM (Vi phạm Bộ lọc Âm tính Mục 5)</t>
        </is>
      </c>
    </row>
    <row r="124">
      <c r="A124" s="59" t="n">
        <v>3059</v>
      </c>
      <c r="B124" s="15" t="inlineStr">
        <is>
          <t>Tara Farms</t>
        </is>
      </c>
      <c r="C124" s="60" t="inlineStr">
        <is>
          <t>https://www.facebook.com/profile.php?id=61553678341842</t>
        </is>
      </c>
      <c r="D124" s="9" t="inlineStr">
        <is>
          <t>Cần quét Bio Fanpage</t>
        </is>
      </c>
      <c r="E124" s="59" t="inlineStr">
        <is>
          <t>11/10/2026 13:01:18</t>
        </is>
      </c>
      <c r="F124" s="59" t="inlineStr">
        <is>
          <t>1 ngày trước</t>
        </is>
      </c>
      <c r="G124" s="61" t="n">
        <v>1</v>
      </c>
      <c r="H124" s="62" t="n">
        <v>28</v>
      </c>
      <c r="I124" s="9" t="inlineStr">
        <is>
          <t>Dog Breeder / Trại nhân giống (28-30đ)</t>
        </is>
      </c>
      <c r="J124" s="62" t="n">
        <v>28</v>
      </c>
      <c r="K124" s="9" t="inlineStr">
        <is>
          <t>Chưa rõ giống (Cần quét Bio)</t>
        </is>
      </c>
      <c r="L124" s="62" t="n">
        <v>0</v>
      </c>
      <c r="M124" s="62" t="n">
        <v>5</v>
      </c>
      <c r="N124" s="9" t="inlineStr">
        <is>
          <t>Amazon link not found</t>
        </is>
      </c>
      <c r="O124" s="62">
        <f>IF(N124="Selling pet toys + Artificial grass/Pet toilets (TARGET)",15,IF(N124="Selling artificial grass/pet toilets (TARGET)",10,IF(N124="Selling pet toys",7,IF(N124="There's an Amazon link, but no target sales.",3,0))))</f>
        <v/>
      </c>
      <c r="P124" s="67">
        <f>H124+J124+L124+M124+O124</f>
        <v/>
      </c>
      <c r="Q124" s="70" t="inlineStr">
        <is>
          <t>Excluded: Trang Chung / Không rõ Ngách Cún cưng</t>
        </is>
      </c>
      <c r="R124" s="9" t="inlineStr">
        <is>
          <t>Trọn gói Take-Home Starter Kit V2/V3 (Cỏ nhân tạo + Khay Potty + Đồ chơi cún con)</t>
        </is>
      </c>
      <c r="S124" s="9" t="inlineStr">
        <is>
          <t>Tuyệt đối không đưa vào CRM (Vi phạm Bộ lọc Âm tính Mục 5)</t>
        </is>
      </c>
    </row>
    <row r="125">
      <c r="A125" s="53" t="n">
        <v>347</v>
      </c>
      <c r="B125" s="12" t="inlineStr">
        <is>
          <t>Adventures Of Action Farms</t>
        </is>
      </c>
      <c r="C125" s="54" t="inlineStr">
        <is>
          <t>https://www.facebook.com/profile.php?id=61594066406582</t>
        </is>
      </c>
      <c r="D125" s="6" t="inlineStr">
        <is>
          <t>Cần quét Bio Fanpage</t>
        </is>
      </c>
      <c r="E125" s="53" t="inlineStr">
        <is>
          <t>11/10/2026 10:19:02</t>
        </is>
      </c>
      <c r="F125" s="53" t="inlineStr">
        <is>
          <t>1 ngày trước</t>
        </is>
      </c>
      <c r="G125" s="55" t="n">
        <v>1</v>
      </c>
      <c r="H125" s="56" t="n">
        <v>28</v>
      </c>
      <c r="I125" s="6" t="inlineStr">
        <is>
          <t>Dog Breeder / Trại nhân giống (28-30đ)</t>
        </is>
      </c>
      <c r="J125" s="56" t="n">
        <v>28</v>
      </c>
      <c r="K125" s="6" t="inlineStr">
        <is>
          <t>Chưa rõ giống (Cần quét Bio)</t>
        </is>
      </c>
      <c r="L125" s="56" t="n">
        <v>0</v>
      </c>
      <c r="M125" s="56" t="n">
        <v>5</v>
      </c>
      <c r="N125" s="6" t="inlineStr">
        <is>
          <t>Amazon link not found</t>
        </is>
      </c>
      <c r="O125" s="56">
        <f>IF(N125="Selling pet toys + Artificial grass/Pet toilets (TARGET)",15,IF(N125="Selling artificial grass/pet toilets (TARGET)",10,IF(N125="Selling pet toys",7,IF(N125="There's an Amazon link, but no target sales.",3,0))))</f>
        <v/>
      </c>
      <c r="P125" s="65">
        <f>H125+J125+L125+M125+O125</f>
        <v/>
      </c>
      <c r="Q125" s="71" t="inlineStr">
        <is>
          <t>Excluded: Trang Chung / Không rõ Ngách Cún cưng</t>
        </is>
      </c>
      <c r="R125" s="6" t="inlineStr">
        <is>
          <t>Trọn gói Take-Home Starter Kit V2/V3 (Cỏ nhân tạo + Khay Potty + Đồ chơi cún con)</t>
        </is>
      </c>
      <c r="S125" s="6" t="inlineStr">
        <is>
          <t>Tuyệt đối không đưa vào CRM (Vi phạm Bộ lọc Âm tính Mục 5)</t>
        </is>
      </c>
    </row>
    <row r="126">
      <c r="A126" s="59" t="n">
        <v>1563</v>
      </c>
      <c r="B126" s="15" t="inlineStr">
        <is>
          <t>Greenfire Farms</t>
        </is>
      </c>
      <c r="C126" s="60" t="inlineStr">
        <is>
          <t>https://www.facebook.com/greenfirefarms</t>
        </is>
      </c>
      <c r="D126" s="9" t="inlineStr">
        <is>
          <t>Cần quét Bio Fanpage</t>
        </is>
      </c>
      <c r="E126" s="59" t="inlineStr">
        <is>
          <t>11/10/2026 10:13:21</t>
        </is>
      </c>
      <c r="F126" s="59" t="inlineStr">
        <is>
          <t>1 ngày trước</t>
        </is>
      </c>
      <c r="G126" s="61" t="n">
        <v>1</v>
      </c>
      <c r="H126" s="62" t="n">
        <v>28</v>
      </c>
      <c r="I126" s="9" t="inlineStr">
        <is>
          <t>Dog Breeder / Trại nhân giống (28-30đ)</t>
        </is>
      </c>
      <c r="J126" s="62" t="n">
        <v>28</v>
      </c>
      <c r="K126" s="9" t="inlineStr">
        <is>
          <t>Chưa rõ giống (Cần quét Bio)</t>
        </is>
      </c>
      <c r="L126" s="62" t="n">
        <v>0</v>
      </c>
      <c r="M126" s="62" t="n">
        <v>5</v>
      </c>
      <c r="N126" s="9" t="inlineStr">
        <is>
          <t>Amazon link not found</t>
        </is>
      </c>
      <c r="O126" s="62">
        <f>IF(N126="Selling pet toys + Artificial grass/Pet toilets (TARGET)",15,IF(N126="Selling artificial grass/pet toilets (TARGET)",10,IF(N126="Selling pet toys",7,IF(N126="There's an Amazon link, but no target sales.",3,0))))</f>
        <v/>
      </c>
      <c r="P126" s="67">
        <f>H126+J126+L126+M126+O126</f>
        <v/>
      </c>
      <c r="Q126" s="70" t="inlineStr">
        <is>
          <t>Excluded: Trang Chung / Không rõ Ngách Cún cưng</t>
        </is>
      </c>
      <c r="R126" s="9" t="inlineStr">
        <is>
          <t>Trọn gói Take-Home Starter Kit V2/V3 (Cỏ nhân tạo + Khay Potty + Đồ chơi cún con)</t>
        </is>
      </c>
      <c r="S126" s="9" t="inlineStr">
        <is>
          <t>Tuyệt đối không đưa vào CRM (Vi phạm Bộ lọc Âm tính Mục 5)</t>
        </is>
      </c>
    </row>
    <row r="127">
      <c r="A127" s="53" t="n">
        <v>270</v>
      </c>
      <c r="B127" s="12" t="inlineStr">
        <is>
          <t>Stonewall Farm</t>
        </is>
      </c>
      <c r="C127" s="54" t="inlineStr">
        <is>
          <t>https://www.facebook.com/StonewallFarmNH</t>
        </is>
      </c>
      <c r="D127" s="6" t="inlineStr">
        <is>
          <t>Cần quét Bio Fanpage</t>
        </is>
      </c>
      <c r="E127" s="53" t="inlineStr">
        <is>
          <t>11/10/2026 07:00:08</t>
        </is>
      </c>
      <c r="F127" s="53" t="inlineStr">
        <is>
          <t>1 ngày trước</t>
        </is>
      </c>
      <c r="G127" s="55" t="n">
        <v>1</v>
      </c>
      <c r="H127" s="56" t="n">
        <v>28</v>
      </c>
      <c r="I127" s="6" t="inlineStr">
        <is>
          <t>Dog Breeder / Trại nhân giống (28-30đ)</t>
        </is>
      </c>
      <c r="J127" s="56" t="n">
        <v>28</v>
      </c>
      <c r="K127" s="6" t="inlineStr">
        <is>
          <t>Chưa rõ giống (Cần quét Bio)</t>
        </is>
      </c>
      <c r="L127" s="56" t="n">
        <v>0</v>
      </c>
      <c r="M127" s="56" t="n">
        <v>5</v>
      </c>
      <c r="N127" s="6" t="inlineStr">
        <is>
          <t>Amazon link not found</t>
        </is>
      </c>
      <c r="O127" s="56">
        <f>IF(N127="Selling pet toys + Artificial grass/Pet toilets (TARGET)",15,IF(N127="Selling artificial grass/pet toilets (TARGET)",10,IF(N127="Selling pet toys",7,IF(N127="There's an Amazon link, but no target sales.",3,0))))</f>
        <v/>
      </c>
      <c r="P127" s="65">
        <f>H127+J127+L127+M127+O127</f>
        <v/>
      </c>
      <c r="Q127" s="71" t="inlineStr">
        <is>
          <t>Excluded: Trang Chung / Không rõ Ngách Cún cưng</t>
        </is>
      </c>
      <c r="R127" s="6" t="inlineStr">
        <is>
          <t>Trọn gói Take-Home Starter Kit V2/V3 (Cỏ nhân tạo + Khay Potty + Đồ chơi cún con)</t>
        </is>
      </c>
      <c r="S127" s="6" t="inlineStr">
        <is>
          <t>Tuyệt đối không đưa vào CRM (Vi phạm Bộ lọc Âm tính Mục 5)</t>
        </is>
      </c>
    </row>
    <row r="128">
      <c r="A128" s="59" t="n">
        <v>293</v>
      </c>
      <c r="B128" s="15" t="inlineStr">
        <is>
          <t>WoollyShire Farm</t>
        </is>
      </c>
      <c r="C128" s="60" t="inlineStr">
        <is>
          <t>https://www.facebook.com/woollyshirefarm</t>
        </is>
      </c>
      <c r="D128" s="9" t="inlineStr">
        <is>
          <t>Cần quét Bio Fanpage</t>
        </is>
      </c>
      <c r="E128" s="59" t="inlineStr">
        <is>
          <t>11/10/2026 06:56:59</t>
        </is>
      </c>
      <c r="F128" s="59" t="inlineStr">
        <is>
          <t>1 ngày trước</t>
        </is>
      </c>
      <c r="G128" s="61" t="n">
        <v>1</v>
      </c>
      <c r="H128" s="62" t="n">
        <v>28</v>
      </c>
      <c r="I128" s="9" t="inlineStr">
        <is>
          <t>Dog Breeder / Trại nhân giống (28-30đ)</t>
        </is>
      </c>
      <c r="J128" s="62" t="n">
        <v>28</v>
      </c>
      <c r="K128" s="9" t="inlineStr">
        <is>
          <t>Chưa rõ giống (Cần quét Bio)</t>
        </is>
      </c>
      <c r="L128" s="62" t="n">
        <v>0</v>
      </c>
      <c r="M128" s="62" t="n">
        <v>5</v>
      </c>
      <c r="N128" s="9" t="inlineStr">
        <is>
          <t>Amazon link not found</t>
        </is>
      </c>
      <c r="O128" s="62">
        <f>IF(N128="Selling pet toys + Artificial grass/Pet toilets (TARGET)",15,IF(N128="Selling artificial grass/pet toilets (TARGET)",10,IF(N128="Selling pet toys",7,IF(N128="There's an Amazon link, but no target sales.",3,0))))</f>
        <v/>
      </c>
      <c r="P128" s="67">
        <f>H128+J128+L128+M128+O128</f>
        <v/>
      </c>
      <c r="Q128" s="70" t="inlineStr">
        <is>
          <t>Excluded: Trang Chung / Không rõ Ngách Cún cưng</t>
        </is>
      </c>
      <c r="R128" s="9" t="inlineStr">
        <is>
          <t>Trọn gói Take-Home Starter Kit V2/V3 (Cỏ nhân tạo + Khay Potty + Đồ chơi cún con)</t>
        </is>
      </c>
      <c r="S128" s="9" t="inlineStr">
        <is>
          <t>Tuyệt đối không đưa vào CRM (Vi phạm Bộ lọc Âm tính Mục 5)</t>
        </is>
      </c>
    </row>
    <row r="129">
      <c r="A129" s="53" t="n">
        <v>2368</v>
      </c>
      <c r="B129" s="12" t="inlineStr">
        <is>
          <t>Opotiki Society for the Care of Animals Inc.</t>
        </is>
      </c>
      <c r="C129" s="54" t="inlineStr">
        <is>
          <t>https://www.facebook.com/profile.php?id=100071108545336</t>
        </is>
      </c>
      <c r="D129" s="6" t="inlineStr">
        <is>
          <t>Cần quét Bio Fanpage</t>
        </is>
      </c>
      <c r="E129" s="53" t="inlineStr">
        <is>
          <t>11/10/2026 06:54:48</t>
        </is>
      </c>
      <c r="F129" s="53" t="inlineStr">
        <is>
          <t>1 ngày trước</t>
        </is>
      </c>
      <c r="G129" s="55" t="n">
        <v>1</v>
      </c>
      <c r="H129" s="56" t="n">
        <v>28</v>
      </c>
      <c r="I129" s="6" t="inlineStr">
        <is>
          <t>Dog Breeder / Trại nhân giống (28-30đ)</t>
        </is>
      </c>
      <c r="J129" s="56" t="n">
        <v>28</v>
      </c>
      <c r="K129" s="6" t="inlineStr">
        <is>
          <t>Chưa rõ giống (Cần quét Bio)</t>
        </is>
      </c>
      <c r="L129" s="56" t="n">
        <v>0</v>
      </c>
      <c r="M129" s="56" t="n">
        <v>5</v>
      </c>
      <c r="N129" s="6" t="inlineStr">
        <is>
          <t>Amazon link not found</t>
        </is>
      </c>
      <c r="O129" s="56">
        <f>IF(N129="Selling pet toys + Artificial grass/Pet toilets (TARGET)",15,IF(N129="Selling artificial grass/pet toilets (TARGET)",10,IF(N129="Selling pet toys",7,IF(N129="There's an Amazon link, but no target sales.",3,0))))</f>
        <v/>
      </c>
      <c r="P129" s="65">
        <f>H129+J129+L129+M129+O129</f>
        <v/>
      </c>
      <c r="Q129" s="71" t="inlineStr">
        <is>
          <t>Excluded: Trang Chung / Không rõ Ngách Cún cưng</t>
        </is>
      </c>
      <c r="R129" s="6" t="inlineStr">
        <is>
          <t>Trọn gói Take-Home Starter Kit V2/V3 (Cỏ nhân tạo + Khay Potty + Đồ chơi cún con)</t>
        </is>
      </c>
      <c r="S129" s="6" t="inlineStr">
        <is>
          <t>Tuyệt đối không đưa vào CRM (Vi phạm Bộ lọc Âm tính Mục 5)</t>
        </is>
      </c>
    </row>
    <row r="130">
      <c r="A130" s="59" t="n">
        <v>1555</v>
      </c>
      <c r="B130" s="15" t="inlineStr">
        <is>
          <t>Greater Orange Park Dog Club, Inc.</t>
        </is>
      </c>
      <c r="C130" s="60" t="inlineStr">
        <is>
          <t>https://www.facebook.com/profile.php?id=100029619591597</t>
        </is>
      </c>
      <c r="D130" s="9" t="inlineStr">
        <is>
          <t>Cần quét Bio Fanpage</t>
        </is>
      </c>
      <c r="E130" s="59" t="inlineStr">
        <is>
          <t>11/10/2026 05:16:35</t>
        </is>
      </c>
      <c r="F130" s="59" t="inlineStr">
        <is>
          <t>1 ngày trước</t>
        </is>
      </c>
      <c r="G130" s="61" t="n">
        <v>1</v>
      </c>
      <c r="H130" s="62" t="n">
        <v>28</v>
      </c>
      <c r="I130" s="9" t="inlineStr">
        <is>
          <t>Dog Breeder / Trại nhân giống (28-30đ)</t>
        </is>
      </c>
      <c r="J130" s="62" t="n">
        <v>28</v>
      </c>
      <c r="K130" s="9" t="inlineStr">
        <is>
          <t>Chưa rõ giống (Cần quét Bio)</t>
        </is>
      </c>
      <c r="L130" s="62" t="n">
        <v>0</v>
      </c>
      <c r="M130" s="62" t="n">
        <v>5</v>
      </c>
      <c r="N130" s="9" t="inlineStr">
        <is>
          <t>Amazon link not found</t>
        </is>
      </c>
      <c r="O130" s="62">
        <f>IF(N130="Selling pet toys + Artificial grass/Pet toilets (TARGET)",15,IF(N130="Selling artificial grass/pet toilets (TARGET)",10,IF(N130="Selling pet toys",7,IF(N130="There's an Amazon link, but no target sales.",3,0))))</f>
        <v/>
      </c>
      <c r="P130" s="67">
        <f>H130+J130+L130+M130+O130</f>
        <v/>
      </c>
      <c r="Q130" s="70" t="inlineStr">
        <is>
          <t>Excluded: Hiệp hội &amp; CLB Phả hệ (Mục 5.1)</t>
        </is>
      </c>
      <c r="R130" s="9" t="inlineStr">
        <is>
          <t>Trọn gói Take-Home Starter Kit V2/V3 (Cỏ nhân tạo + Khay Potty + Đồ chơi cún con)</t>
        </is>
      </c>
      <c r="S130" s="9" t="inlineStr">
        <is>
          <t>Tuyệt đối không đưa vào CRM (Vi phạm Bộ lọc Âm tính Mục 5)</t>
        </is>
      </c>
    </row>
    <row r="131">
      <c r="A131" s="53" t="n">
        <v>2778</v>
      </c>
      <c r="B131" s="12" t="inlineStr">
        <is>
          <t>Roots and Refuge Farm</t>
        </is>
      </c>
      <c r="C131" s="54" t="inlineStr">
        <is>
          <t>https://www.facebook.com/rootsandrefugefarm</t>
        </is>
      </c>
      <c r="D131" s="6" t="inlineStr">
        <is>
          <t>Cần quét Bio Fanpage</t>
        </is>
      </c>
      <c r="E131" s="53" t="inlineStr">
        <is>
          <t>11/10/2026 04:15:18</t>
        </is>
      </c>
      <c r="F131" s="53" t="inlineStr">
        <is>
          <t>2 ngày trước</t>
        </is>
      </c>
      <c r="G131" s="55" t="n">
        <v>2</v>
      </c>
      <c r="H131" s="56" t="n">
        <v>28</v>
      </c>
      <c r="I131" s="6" t="inlineStr">
        <is>
          <t>Dog Breeder / Trại nhân giống (28-30đ)</t>
        </is>
      </c>
      <c r="J131" s="56" t="n">
        <v>28</v>
      </c>
      <c r="K131" s="6" t="inlineStr">
        <is>
          <t>Chưa rõ giống (Cần quét Bio)</t>
        </is>
      </c>
      <c r="L131" s="56" t="n">
        <v>0</v>
      </c>
      <c r="M131" s="56" t="n">
        <v>5</v>
      </c>
      <c r="N131" s="6" t="inlineStr">
        <is>
          <t>Amazon link not found</t>
        </is>
      </c>
      <c r="O131" s="56">
        <f>IF(N131="Selling pet toys + Artificial grass/Pet toilets (TARGET)",15,IF(N131="Selling artificial grass/pet toilets (TARGET)",10,IF(N131="Selling pet toys",7,IF(N131="There's an Amazon link, but no target sales.",3,0))))</f>
        <v/>
      </c>
      <c r="P131" s="65">
        <f>H131+J131+L131+M131+O131</f>
        <v/>
      </c>
      <c r="Q131" s="71" t="inlineStr">
        <is>
          <t>Excluded: Trang Chung / Không rõ Ngách Cún cưng</t>
        </is>
      </c>
      <c r="R131" s="6" t="inlineStr">
        <is>
          <t>Trọn gói Take-Home Starter Kit V2/V3 (Cỏ nhân tạo + Khay Potty + Đồ chơi cún con)</t>
        </is>
      </c>
      <c r="S131" s="6" t="inlineStr">
        <is>
          <t>Tuyệt đối không đưa vào CRM (Vi phạm Bộ lọc Âm tính Mục 5)</t>
        </is>
      </c>
    </row>
    <row r="132">
      <c r="A132" s="59" t="n">
        <v>690</v>
      </c>
      <c r="B132" s="15" t="inlineStr">
        <is>
          <t>Black Sheep Farm &amp; Rabbitry</t>
        </is>
      </c>
      <c r="C132" s="60" t="inlineStr">
        <is>
          <t>https://www.facebook.com/profile.php?id=100086984787598</t>
        </is>
      </c>
      <c r="D132" s="9" t="inlineStr">
        <is>
          <t>Cần quét Bio Fanpage</t>
        </is>
      </c>
      <c r="E132" s="59" t="inlineStr">
        <is>
          <t>11/10/2026 03:13:04</t>
        </is>
      </c>
      <c r="F132" s="59" t="inlineStr">
        <is>
          <t>1 ngày trước</t>
        </is>
      </c>
      <c r="G132" s="61" t="n">
        <v>1</v>
      </c>
      <c r="H132" s="62" t="n">
        <v>28</v>
      </c>
      <c r="I132" s="9" t="inlineStr">
        <is>
          <t>Dog Breeder / Trại nhân giống (28-30đ)</t>
        </is>
      </c>
      <c r="J132" s="62" t="n">
        <v>28</v>
      </c>
      <c r="K132" s="9" t="inlineStr">
        <is>
          <t>Chưa rõ giống (Cần quét Bio)</t>
        </is>
      </c>
      <c r="L132" s="62" t="n">
        <v>0</v>
      </c>
      <c r="M132" s="62" t="n">
        <v>5</v>
      </c>
      <c r="N132" s="9" t="inlineStr">
        <is>
          <t>Amazon link not found</t>
        </is>
      </c>
      <c r="O132" s="62">
        <f>IF(N132="Selling pet toys + Artificial grass/Pet toilets (TARGET)",15,IF(N132="Selling artificial grass/pet toilets (TARGET)",10,IF(N132="Selling pet toys",7,IF(N132="There's an Amazon link, but no target sales.",3,0))))</f>
        <v/>
      </c>
      <c r="P132" s="67">
        <f>H132+J132+L132+M132+O132</f>
        <v/>
      </c>
      <c r="Q132" s="70" t="inlineStr">
        <is>
          <t>Excluded: Ngành nghề Khác (Phi Cún cưng)</t>
        </is>
      </c>
      <c r="R132" s="9" t="inlineStr">
        <is>
          <t>Trọn gói Take-Home Starter Kit V2/V3 (Cỏ nhân tạo + Khay Potty + Đồ chơi cún con)</t>
        </is>
      </c>
      <c r="S132" s="9" t="inlineStr">
        <is>
          <t>Tuyệt đối không đưa vào CRM (Vi phạm Bộ lọc Âm tính Mục 5)</t>
        </is>
      </c>
    </row>
    <row r="133">
      <c r="A133" s="53" t="n">
        <v>3425</v>
      </c>
      <c r="B133" s="12" t="inlineStr">
        <is>
          <t>Windy Acres Farm</t>
        </is>
      </c>
      <c r="C133" s="54" t="inlineStr">
        <is>
          <t>https://www.facebook.com/profile.php?id=100081188983809</t>
        </is>
      </c>
      <c r="D133" s="6" t="inlineStr">
        <is>
          <t>Cần quét Bio Fanpage</t>
        </is>
      </c>
      <c r="E133" s="53" t="inlineStr">
        <is>
          <t>10/10/2026 22:42:47</t>
        </is>
      </c>
      <c r="F133" s="53" t="inlineStr">
        <is>
          <t>2 ngày trước</t>
        </is>
      </c>
      <c r="G133" s="55" t="n">
        <v>2</v>
      </c>
      <c r="H133" s="56" t="n">
        <v>28</v>
      </c>
      <c r="I133" s="6" t="inlineStr">
        <is>
          <t>Dog Breeder / Trại nhân giống (28-30đ)</t>
        </is>
      </c>
      <c r="J133" s="56" t="n">
        <v>28</v>
      </c>
      <c r="K133" s="6" t="inlineStr">
        <is>
          <t>Chưa rõ giống (Cần quét Bio)</t>
        </is>
      </c>
      <c r="L133" s="56" t="n">
        <v>0</v>
      </c>
      <c r="M133" s="56" t="n">
        <v>5</v>
      </c>
      <c r="N133" s="6" t="inlineStr">
        <is>
          <t>Amazon link not found</t>
        </is>
      </c>
      <c r="O133" s="56">
        <f>IF(N133="Selling pet toys + Artificial grass/Pet toilets (TARGET)",15,IF(N133="Selling artificial grass/pet toilets (TARGET)",10,IF(N133="Selling pet toys",7,IF(N133="There's an Amazon link, but no target sales.",3,0))))</f>
        <v/>
      </c>
      <c r="P133" s="65">
        <f>H133+J133+L133+M133+O133</f>
        <v/>
      </c>
      <c r="Q133" s="71" t="inlineStr">
        <is>
          <t>Excluded: Trang Chung / Không rõ Ngách Cún cưng</t>
        </is>
      </c>
      <c r="R133" s="6" t="inlineStr">
        <is>
          <t>Trọn gói Take-Home Starter Kit V2/V3 (Cỏ nhân tạo + Khay Potty + Đồ chơi cún con)</t>
        </is>
      </c>
      <c r="S133" s="6" t="inlineStr">
        <is>
          <t>Tuyệt đối không đưa vào CRM (Vi phạm Bộ lọc Âm tính Mục 5)</t>
        </is>
      </c>
    </row>
    <row r="134">
      <c r="A134" s="59" t="n">
        <v>1676</v>
      </c>
      <c r="B134" s="15" t="inlineStr">
        <is>
          <t>Honey Apple Farm</t>
        </is>
      </c>
      <c r="C134" s="60" t="inlineStr">
        <is>
          <t>https://www.facebook.com/HoneyAppleFarms</t>
        </is>
      </c>
      <c r="D134" s="9" t="inlineStr">
        <is>
          <t>Cần quét Bio Fanpage</t>
        </is>
      </c>
      <c r="E134" s="59" t="inlineStr">
        <is>
          <t>10/10/2026 19:33:56</t>
        </is>
      </c>
      <c r="F134" s="59" t="inlineStr">
        <is>
          <t>2 ngày trước</t>
        </is>
      </c>
      <c r="G134" s="61" t="n">
        <v>2</v>
      </c>
      <c r="H134" s="62" t="n">
        <v>28</v>
      </c>
      <c r="I134" s="9" t="inlineStr">
        <is>
          <t>Dog Breeder / Trại nhân giống (28-30đ)</t>
        </is>
      </c>
      <c r="J134" s="62" t="n">
        <v>28</v>
      </c>
      <c r="K134" s="9" t="inlineStr">
        <is>
          <t>Chưa rõ giống (Cần quét Bio)</t>
        </is>
      </c>
      <c r="L134" s="62" t="n">
        <v>0</v>
      </c>
      <c r="M134" s="62" t="n">
        <v>5</v>
      </c>
      <c r="N134" s="9" t="inlineStr">
        <is>
          <t>Amazon link not found</t>
        </is>
      </c>
      <c r="O134" s="62">
        <f>IF(N134="Selling pet toys + Artificial grass/Pet toilets (TARGET)",15,IF(N134="Selling artificial grass/pet toilets (TARGET)",10,IF(N134="Selling pet toys",7,IF(N134="There's an Amazon link, but no target sales.",3,0))))</f>
        <v/>
      </c>
      <c r="P134" s="67">
        <f>H134+J134+L134+M134+O134</f>
        <v/>
      </c>
      <c r="Q134" s="70" t="inlineStr">
        <is>
          <t>Excluded: Trang Chung / Không rõ Ngách Cún cưng</t>
        </is>
      </c>
      <c r="R134" s="9" t="inlineStr">
        <is>
          <t>Trọn gói Take-Home Starter Kit V2/V3 (Cỏ nhân tạo + Khay Potty + Đồ chơi cún con)</t>
        </is>
      </c>
      <c r="S134" s="9" t="inlineStr">
        <is>
          <t>Tuyệt đối không đưa vào CRM (Vi phạm Bộ lọc Âm tính Mục 5)</t>
        </is>
      </c>
    </row>
    <row r="135">
      <c r="A135" s="53" t="n">
        <v>632</v>
      </c>
      <c r="B135" s="12" t="inlineStr">
        <is>
          <t>Berge Farms</t>
        </is>
      </c>
      <c r="C135" s="54" t="inlineStr">
        <is>
          <t>https://www.facebook.com/bergefarms34</t>
        </is>
      </c>
      <c r="D135" s="6" t="inlineStr">
        <is>
          <t>Cần quét Bio Fanpage</t>
        </is>
      </c>
      <c r="E135" s="53" t="inlineStr">
        <is>
          <t>10/10/2026 18:59:37</t>
        </is>
      </c>
      <c r="F135" s="53" t="inlineStr">
        <is>
          <t>2 ngày trước</t>
        </is>
      </c>
      <c r="G135" s="55" t="n">
        <v>2</v>
      </c>
      <c r="H135" s="56" t="n">
        <v>28</v>
      </c>
      <c r="I135" s="6" t="inlineStr">
        <is>
          <t>Dog Breeder / Trại nhân giống (28-30đ)</t>
        </is>
      </c>
      <c r="J135" s="56" t="n">
        <v>28</v>
      </c>
      <c r="K135" s="6" t="inlineStr">
        <is>
          <t>Chưa rõ giống (Cần quét Bio)</t>
        </is>
      </c>
      <c r="L135" s="56" t="n">
        <v>0</v>
      </c>
      <c r="M135" s="56" t="n">
        <v>5</v>
      </c>
      <c r="N135" s="6" t="inlineStr">
        <is>
          <t>Amazon link not found</t>
        </is>
      </c>
      <c r="O135" s="56">
        <f>IF(N135="Selling pet toys + Artificial grass/Pet toilets (TARGET)",15,IF(N135="Selling artificial grass/pet toilets (TARGET)",10,IF(N135="Selling pet toys",7,IF(N135="There's an Amazon link, but no target sales.",3,0))))</f>
        <v/>
      </c>
      <c r="P135" s="65">
        <f>H135+J135+L135+M135+O135</f>
        <v/>
      </c>
      <c r="Q135" s="71" t="inlineStr">
        <is>
          <t>Excluded: Trang Chung / Không rõ Ngách Cún cưng</t>
        </is>
      </c>
      <c r="R135" s="6" t="inlineStr">
        <is>
          <t>Trọn gói Take-Home Starter Kit V2/V3 (Cỏ nhân tạo + Khay Potty + Đồ chơi cún con)</t>
        </is>
      </c>
      <c r="S135" s="6" t="inlineStr">
        <is>
          <t>Tuyệt đối không đưa vào CRM (Vi phạm Bộ lọc Âm tính Mục 5)</t>
        </is>
      </c>
    </row>
    <row r="136">
      <c r="A136" s="59" t="n">
        <v>2358</v>
      </c>
      <c r="B136" s="15" t="inlineStr">
        <is>
          <t>Oliméga Ferme • Farm</t>
        </is>
      </c>
      <c r="C136" s="60" t="inlineStr">
        <is>
          <t>https://www.facebook.com/olimegafarm</t>
        </is>
      </c>
      <c r="D136" s="9" t="inlineStr">
        <is>
          <t>Cần quét Bio Fanpage</t>
        </is>
      </c>
      <c r="E136" s="59" t="inlineStr">
        <is>
          <t>10/10/2026 02:49:40</t>
        </is>
      </c>
      <c r="F136" s="59" t="inlineStr">
        <is>
          <t>3 ngày trước</t>
        </is>
      </c>
      <c r="G136" s="61" t="n">
        <v>3</v>
      </c>
      <c r="H136" s="62" t="n">
        <v>28</v>
      </c>
      <c r="I136" s="9" t="inlineStr">
        <is>
          <t>Dog Breeder / Trại nhân giống (28-30đ)</t>
        </is>
      </c>
      <c r="J136" s="62" t="n">
        <v>28</v>
      </c>
      <c r="K136" s="9" t="inlineStr">
        <is>
          <t>Chưa rõ giống (Cần quét Bio)</t>
        </is>
      </c>
      <c r="L136" s="62" t="n">
        <v>0</v>
      </c>
      <c r="M136" s="62" t="n">
        <v>5</v>
      </c>
      <c r="N136" s="9" t="inlineStr">
        <is>
          <t>Amazon link not found</t>
        </is>
      </c>
      <c r="O136" s="62">
        <f>IF(N136="Selling pet toys + Artificial grass/Pet toilets (TARGET)",15,IF(N136="Selling artificial grass/pet toilets (TARGET)",10,IF(N136="Selling pet toys",7,IF(N136="There's an Amazon link, but no target sales.",3,0))))</f>
        <v/>
      </c>
      <c r="P136" s="67">
        <f>H136+J136+L136+M136+O136</f>
        <v/>
      </c>
      <c r="Q136" s="70" t="inlineStr">
        <is>
          <t>Excluded: Trang Chung / Không rõ Ngách Cún cưng</t>
        </is>
      </c>
      <c r="R136" s="9" t="inlineStr">
        <is>
          <t>Trọn gói Take-Home Starter Kit V2/V3 (Cỏ nhân tạo + Khay Potty + Đồ chơi cún con)</t>
        </is>
      </c>
      <c r="S136" s="9" t="inlineStr">
        <is>
          <t>Tuyệt đối không đưa vào CRM (Vi phạm Bộ lọc Âm tính Mục 5)</t>
        </is>
      </c>
    </row>
    <row r="137">
      <c r="A137" s="53" t="n">
        <v>3374</v>
      </c>
      <c r="B137" s="12" t="inlineStr">
        <is>
          <t>Watson Farms Meat Processing &amp; Market LLC</t>
        </is>
      </c>
      <c r="C137" s="54" t="inlineStr">
        <is>
          <t>https://www.facebook.com/WatsonFarmsProcessing</t>
        </is>
      </c>
      <c r="D137" s="6" t="inlineStr">
        <is>
          <t>Cần quét Bio Fanpage</t>
        </is>
      </c>
      <c r="E137" s="53" t="inlineStr">
        <is>
          <t>10/10/2026 02:01:24</t>
        </is>
      </c>
      <c r="F137" s="53" t="inlineStr">
        <is>
          <t>3 ngày trước</t>
        </is>
      </c>
      <c r="G137" s="55" t="n">
        <v>3</v>
      </c>
      <c r="H137" s="56" t="n">
        <v>28</v>
      </c>
      <c r="I137" s="6" t="inlineStr">
        <is>
          <t>Dog Breeder / Trại nhân giống (28-30đ)</t>
        </is>
      </c>
      <c r="J137" s="56" t="n">
        <v>28</v>
      </c>
      <c r="K137" s="6" t="inlineStr">
        <is>
          <t>Chưa rõ giống (Cần quét Bio)</t>
        </is>
      </c>
      <c r="L137" s="56" t="n">
        <v>0</v>
      </c>
      <c r="M137" s="56" t="n">
        <v>5</v>
      </c>
      <c r="N137" s="6" t="inlineStr">
        <is>
          <t>Amazon link not found</t>
        </is>
      </c>
      <c r="O137" s="56">
        <f>IF(N137="Selling pet toys + Artificial grass/Pet toilets (TARGET)",15,IF(N137="Selling artificial grass/pet toilets (TARGET)",10,IF(N137="Selling pet toys",7,IF(N137="There's an Amazon link, but no target sales.",3,0))))</f>
        <v/>
      </c>
      <c r="P137" s="65">
        <f>H137+J137+L137+M137+O137</f>
        <v/>
      </c>
      <c r="Q137" s="71" t="inlineStr">
        <is>
          <t>Excluded: Trang Chung / Không rõ Ngách Cún cưng</t>
        </is>
      </c>
      <c r="R137" s="6" t="inlineStr">
        <is>
          <t>Trọn gói Take-Home Starter Kit V2/V3 (Cỏ nhân tạo + Khay Potty + Đồ chơi cún con)</t>
        </is>
      </c>
      <c r="S137" s="6" t="inlineStr">
        <is>
          <t>Tuyệt đối không đưa vào CRM (Vi phạm Bộ lọc Âm tính Mục 5)</t>
        </is>
      </c>
    </row>
    <row r="138">
      <c r="A138" s="59" t="n">
        <v>2348</v>
      </c>
      <c r="B138" s="15" t="inlineStr">
        <is>
          <t>Old English Sheepdog Club of America - OESCA</t>
        </is>
      </c>
      <c r="C138" s="60" t="inlineStr">
        <is>
          <t>https://www.facebook.com/OESclubUSA</t>
        </is>
      </c>
      <c r="D138" s="9" t="inlineStr">
        <is>
          <t>Cần quét Bio Fanpage</t>
        </is>
      </c>
      <c r="E138" s="59" t="inlineStr">
        <is>
          <t>10/10/2026 01:50:39</t>
        </is>
      </c>
      <c r="F138" s="59" t="inlineStr">
        <is>
          <t>3 ngày trước</t>
        </is>
      </c>
      <c r="G138" s="61" t="n">
        <v>3</v>
      </c>
      <c r="H138" s="62" t="n">
        <v>28</v>
      </c>
      <c r="I138" s="9" t="inlineStr">
        <is>
          <t>Dog Breeder / Trại nhân giống (28-30đ)</t>
        </is>
      </c>
      <c r="J138" s="62" t="n">
        <v>28</v>
      </c>
      <c r="K138" s="9" t="inlineStr">
        <is>
          <t>Australian Shepherd / Herding</t>
        </is>
      </c>
      <c r="L138" s="62" t="n">
        <v>5</v>
      </c>
      <c r="M138" s="62" t="n">
        <v>0</v>
      </c>
      <c r="N138" s="9" t="inlineStr">
        <is>
          <t>Amazon link not found</t>
        </is>
      </c>
      <c r="O138" s="62">
        <f>IF(N138="Selling pet toys + Artificial grass/Pet toilets (TARGET)",15,IF(N138="Selling artificial grass/pet toilets (TARGET)",10,IF(N138="Selling pet toys",7,IF(N138="There's an Amazon link, but no target sales.",3,0))))</f>
        <v/>
      </c>
      <c r="P138" s="67">
        <f>H138+J138+L138+M138+O138</f>
        <v/>
      </c>
      <c r="Q138" s="70" t="inlineStr">
        <is>
          <t>Excluded: Hiệp hội &amp; CLB Phả hệ (Mục 5.1)</t>
        </is>
      </c>
      <c r="R138" s="9" t="inlineStr">
        <is>
          <t>Trọn gói Take-Home Starter Kit V2/V3 (Cỏ nhân tạo + Khay Potty + Đồ chơi cún con)</t>
        </is>
      </c>
      <c r="S138" s="9" t="inlineStr">
        <is>
          <t>Tuyệt đối không đưa vào CRM (Vi phạm Bộ lọc Âm tính Mục 5)</t>
        </is>
      </c>
    </row>
    <row r="139">
      <c r="A139" s="53" t="n">
        <v>1503</v>
      </c>
      <c r="B139" s="12" t="inlineStr">
        <is>
          <t>Gingue Family Farm</t>
        </is>
      </c>
      <c r="C139" s="54" t="inlineStr">
        <is>
          <t>https://www.facebook.com/GingueFamilyFarm</t>
        </is>
      </c>
      <c r="D139" s="6" t="inlineStr">
        <is>
          <t>Cần quét Bio Fanpage</t>
        </is>
      </c>
      <c r="E139" s="53" t="inlineStr">
        <is>
          <t>10/10/2026 00:52:16</t>
        </is>
      </c>
      <c r="F139" s="53" t="inlineStr">
        <is>
          <t>3 ngày trước</t>
        </is>
      </c>
      <c r="G139" s="55" t="n">
        <v>3</v>
      </c>
      <c r="H139" s="56" t="n">
        <v>28</v>
      </c>
      <c r="I139" s="6" t="inlineStr">
        <is>
          <t>Dog Breeder / Trại nhân giống (28-30đ)</t>
        </is>
      </c>
      <c r="J139" s="56" t="n">
        <v>28</v>
      </c>
      <c r="K139" s="6" t="inlineStr">
        <is>
          <t>Chưa rõ giống (Cần quét Bio)</t>
        </is>
      </c>
      <c r="L139" s="56" t="n">
        <v>0</v>
      </c>
      <c r="M139" s="56" t="n">
        <v>5</v>
      </c>
      <c r="N139" s="6" t="inlineStr">
        <is>
          <t>Amazon link not found</t>
        </is>
      </c>
      <c r="O139" s="56">
        <f>IF(N139="Selling pet toys + Artificial grass/Pet toilets (TARGET)",15,IF(N139="Selling artificial grass/pet toilets (TARGET)",10,IF(N139="Selling pet toys",7,IF(N139="There's an Amazon link, but no target sales.",3,0))))</f>
        <v/>
      </c>
      <c r="P139" s="65">
        <f>H139+J139+L139+M139+O139</f>
        <v/>
      </c>
      <c r="Q139" s="71" t="inlineStr">
        <is>
          <t>Excluded: Trang Chung / Không rõ Ngách Cún cưng</t>
        </is>
      </c>
      <c r="R139" s="6" t="inlineStr">
        <is>
          <t>Trọn gói Take-Home Starter Kit V2/V3 (Cỏ nhân tạo + Khay Potty + Đồ chơi cún con)</t>
        </is>
      </c>
      <c r="S139" s="6" t="inlineStr">
        <is>
          <t>Tuyệt đối không đưa vào CRM (Vi phạm Bộ lọc Âm tính Mục 5)</t>
        </is>
      </c>
    </row>
    <row r="140">
      <c r="A140" s="59" t="n">
        <v>3324</v>
      </c>
      <c r="B140" s="15" t="inlineStr">
        <is>
          <t>Vilchis All Around Home Care LLC</t>
        </is>
      </c>
      <c r="C140" s="60" t="inlineStr">
        <is>
          <t>https://www.facebook.com/vilchishomecare</t>
        </is>
      </c>
      <c r="D140" s="9" t="inlineStr">
        <is>
          <t>Cần quét Bio Fanpage</t>
        </is>
      </c>
      <c r="E140" s="59" t="inlineStr">
        <is>
          <t>10/10/2026 00:10:57</t>
        </is>
      </c>
      <c r="F140" s="59" t="inlineStr">
        <is>
          <t>3 ngày trước</t>
        </is>
      </c>
      <c r="G140" s="61" t="n">
        <v>3</v>
      </c>
      <c r="H140" s="62" t="n">
        <v>28</v>
      </c>
      <c r="I140" s="9" t="inlineStr">
        <is>
          <t>Dog Breeder / Trại nhân giống (28-30đ)</t>
        </is>
      </c>
      <c r="J140" s="62" t="n">
        <v>28</v>
      </c>
      <c r="K140" s="9" t="inlineStr">
        <is>
          <t>Chưa rõ giống (Cần quét Bio)</t>
        </is>
      </c>
      <c r="L140" s="62" t="n">
        <v>0</v>
      </c>
      <c r="M140" s="62" t="n">
        <v>5</v>
      </c>
      <c r="N140" s="9" t="inlineStr">
        <is>
          <t>Amazon link not found</t>
        </is>
      </c>
      <c r="O140" s="62">
        <f>IF(N140="Selling pet toys + Artificial grass/Pet toilets (TARGET)",15,IF(N140="Selling artificial grass/pet toilets (TARGET)",10,IF(N140="Selling pet toys",7,IF(N140="There's an Amazon link, but no target sales.",3,0))))</f>
        <v/>
      </c>
      <c r="P140" s="67">
        <f>H140+J140+L140+M140+O140</f>
        <v/>
      </c>
      <c r="Q140" s="70" t="inlineStr">
        <is>
          <t>Excluded: Trang Chung / Không rõ Ngách Cún cưng</t>
        </is>
      </c>
      <c r="R140" s="9" t="inlineStr">
        <is>
          <t>Trọn gói Take-Home Starter Kit V2/V3 (Cỏ nhân tạo + Khay Potty + Đồ chơi cún con)</t>
        </is>
      </c>
      <c r="S140" s="9" t="inlineStr">
        <is>
          <t>Tuyệt đối không đưa vào CRM (Vi phạm Bộ lọc Âm tính Mục 5)</t>
        </is>
      </c>
    </row>
    <row r="141">
      <c r="A141" s="53" t="n">
        <v>211</v>
      </c>
      <c r="B141" s="12" t="inlineStr">
        <is>
          <t>Legendary StarDust Farm</t>
        </is>
      </c>
      <c r="C141" s="54" t="inlineStr">
        <is>
          <t>https://www.facebook.com/LegendaryStardustborders</t>
        </is>
      </c>
      <c r="D141" s="6" t="inlineStr">
        <is>
          <t>Cần quét Bio Fanpage</t>
        </is>
      </c>
      <c r="E141" s="53" t="inlineStr">
        <is>
          <t>09/10/2026 23:55:41</t>
        </is>
      </c>
      <c r="F141" s="53" t="inlineStr">
        <is>
          <t>3 ngày trước</t>
        </is>
      </c>
      <c r="G141" s="55" t="n">
        <v>3</v>
      </c>
      <c r="H141" s="56" t="n">
        <v>28</v>
      </c>
      <c r="I141" s="6" t="inlineStr">
        <is>
          <t>Dog Breeder / Trại nhân giống (28-30đ)</t>
        </is>
      </c>
      <c r="J141" s="56" t="n">
        <v>28</v>
      </c>
      <c r="K141" s="6" t="inlineStr">
        <is>
          <t>Chưa rõ giống (Cần quét Bio)</t>
        </is>
      </c>
      <c r="L141" s="56" t="n">
        <v>0</v>
      </c>
      <c r="M141" s="56" t="n">
        <v>5</v>
      </c>
      <c r="N141" s="6" t="inlineStr">
        <is>
          <t>Amazon link not found</t>
        </is>
      </c>
      <c r="O141" s="56">
        <f>IF(N141="Selling pet toys + Artificial grass/Pet toilets (TARGET)",15,IF(N141="Selling artificial grass/pet toilets (TARGET)",10,IF(N141="Selling pet toys",7,IF(N141="There's an Amazon link, but no target sales.",3,0))))</f>
        <v/>
      </c>
      <c r="P141" s="65">
        <f>H141+J141+L141+M141+O141</f>
        <v/>
      </c>
      <c r="Q141" s="71" t="inlineStr">
        <is>
          <t>Excluded: Trang Chung / Không rõ Ngách Cún cưng</t>
        </is>
      </c>
      <c r="R141" s="6" t="inlineStr">
        <is>
          <t>Trọn gói Take-Home Starter Kit V2/V3 (Cỏ nhân tạo + Khay Potty + Đồ chơi cún con)</t>
        </is>
      </c>
      <c r="S141" s="6" t="inlineStr">
        <is>
          <t>Tuyệt đối không đưa vào CRM (Vi phạm Bộ lọc Âm tính Mục 5)</t>
        </is>
      </c>
    </row>
    <row r="142">
      <c r="A142" s="59" t="n">
        <v>2088</v>
      </c>
      <c r="B142" s="15" t="inlineStr">
        <is>
          <t>Mabee Farm Historic Site - SCHS</t>
        </is>
      </c>
      <c r="C142" s="60" t="inlineStr">
        <is>
          <t>https://www.facebook.com/mabeefarm</t>
        </is>
      </c>
      <c r="D142" s="9" t="inlineStr">
        <is>
          <t>Cần quét Bio Fanpage</t>
        </is>
      </c>
      <c r="E142" s="59" t="inlineStr">
        <is>
          <t>09/10/2026 22:18:44</t>
        </is>
      </c>
      <c r="F142" s="59" t="inlineStr">
        <is>
          <t>3 ngày trước</t>
        </is>
      </c>
      <c r="G142" s="61" t="n">
        <v>3</v>
      </c>
      <c r="H142" s="62" t="n">
        <v>28</v>
      </c>
      <c r="I142" s="9" t="inlineStr">
        <is>
          <t>Dog Breeder / Trại nhân giống (28-30đ)</t>
        </is>
      </c>
      <c r="J142" s="62" t="n">
        <v>28</v>
      </c>
      <c r="K142" s="9" t="inlineStr">
        <is>
          <t>Chưa rõ giống (Cần quét Bio)</t>
        </is>
      </c>
      <c r="L142" s="62" t="n">
        <v>0</v>
      </c>
      <c r="M142" s="62" t="n">
        <v>5</v>
      </c>
      <c r="N142" s="9" t="inlineStr">
        <is>
          <t>Amazon link not found</t>
        </is>
      </c>
      <c r="O142" s="62">
        <f>IF(N142="Selling pet toys + Artificial grass/Pet toilets (TARGET)",15,IF(N142="Selling artificial grass/pet toilets (TARGET)",10,IF(N142="Selling pet toys",7,IF(N142="There's an Amazon link, but no target sales.",3,0))))</f>
        <v/>
      </c>
      <c r="P142" s="67">
        <f>H142+J142+L142+M142+O142</f>
        <v/>
      </c>
      <c r="Q142" s="70" t="inlineStr">
        <is>
          <t>Excluded: Trang Chung / Không rõ Ngách Cún cưng</t>
        </is>
      </c>
      <c r="R142" s="9" t="inlineStr">
        <is>
          <t>Trọn gói Take-Home Starter Kit V2/V3 (Cỏ nhân tạo + Khay Potty + Đồ chơi cún con)</t>
        </is>
      </c>
      <c r="S142" s="9" t="inlineStr">
        <is>
          <t>Tuyệt đối không đưa vào CRM (Vi phạm Bộ lọc Âm tính Mục 5)</t>
        </is>
      </c>
    </row>
    <row r="143">
      <c r="A143" s="53" t="n">
        <v>1746</v>
      </c>
      <c r="B143" s="12" t="inlineStr">
        <is>
          <t>J.T. Tree Farm, LLC</t>
        </is>
      </c>
      <c r="C143" s="54" t="inlineStr">
        <is>
          <t>https://www.facebook.com/JTTreefarm</t>
        </is>
      </c>
      <c r="D143" s="6" t="inlineStr">
        <is>
          <t>Cần quét Bio Fanpage</t>
        </is>
      </c>
      <c r="E143" s="53" t="inlineStr">
        <is>
          <t>09/10/2026 21:59:33</t>
        </is>
      </c>
      <c r="F143" s="53" t="inlineStr">
        <is>
          <t>3 ngày trước</t>
        </is>
      </c>
      <c r="G143" s="55" t="n">
        <v>3</v>
      </c>
      <c r="H143" s="56" t="n">
        <v>28</v>
      </c>
      <c r="I143" s="6" t="inlineStr">
        <is>
          <t>Dog Breeder / Trại nhân giống (28-30đ)</t>
        </is>
      </c>
      <c r="J143" s="56" t="n">
        <v>28</v>
      </c>
      <c r="K143" s="6" t="inlineStr">
        <is>
          <t>Chưa rõ giống (Cần quét Bio)</t>
        </is>
      </c>
      <c r="L143" s="56" t="n">
        <v>0</v>
      </c>
      <c r="M143" s="56" t="n">
        <v>5</v>
      </c>
      <c r="N143" s="6" t="inlineStr">
        <is>
          <t>Amazon link not found</t>
        </is>
      </c>
      <c r="O143" s="56">
        <f>IF(N143="Selling pet toys + Artificial grass/Pet toilets (TARGET)",15,IF(N143="Selling artificial grass/pet toilets (TARGET)",10,IF(N143="Selling pet toys",7,IF(N143="There's an Amazon link, but no target sales.",3,0))))</f>
        <v/>
      </c>
      <c r="P143" s="65">
        <f>H143+J143+L143+M143+O143</f>
        <v/>
      </c>
      <c r="Q143" s="71" t="inlineStr">
        <is>
          <t>Excluded: Ngành nghề Khác (Phi Cún cưng)</t>
        </is>
      </c>
      <c r="R143" s="6" t="inlineStr">
        <is>
          <t>Trọn gói Take-Home Starter Kit V2/V3 (Cỏ nhân tạo + Khay Potty + Đồ chơi cún con)</t>
        </is>
      </c>
      <c r="S143" s="6" t="inlineStr">
        <is>
          <t>Tuyệt đối không đưa vào CRM (Vi phạm Bộ lọc Âm tính Mục 5)</t>
        </is>
      </c>
    </row>
    <row r="144">
      <c r="A144" s="59" t="n">
        <v>2977</v>
      </c>
      <c r="B144" s="15" t="inlineStr">
        <is>
          <t>Spot-On Farm</t>
        </is>
      </c>
      <c r="C144" s="60" t="inlineStr">
        <is>
          <t>https://www.facebook.com/spotonfarmgirl</t>
        </is>
      </c>
      <c r="D144" s="9" t="inlineStr">
        <is>
          <t>Cần quét Bio Fanpage</t>
        </is>
      </c>
      <c r="E144" s="59" t="inlineStr">
        <is>
          <t>09/10/2026 21:26:00</t>
        </is>
      </c>
      <c r="F144" s="59" t="inlineStr">
        <is>
          <t>3 ngày trước</t>
        </is>
      </c>
      <c r="G144" s="61" t="n">
        <v>3</v>
      </c>
      <c r="H144" s="62" t="n">
        <v>28</v>
      </c>
      <c r="I144" s="9" t="inlineStr">
        <is>
          <t>Dog Breeder / Trại nhân giống (28-30đ)</t>
        </is>
      </c>
      <c r="J144" s="62" t="n">
        <v>28</v>
      </c>
      <c r="K144" s="9" t="inlineStr">
        <is>
          <t>Chưa rõ giống (Cần quét Bio)</t>
        </is>
      </c>
      <c r="L144" s="62" t="n">
        <v>0</v>
      </c>
      <c r="M144" s="62" t="n">
        <v>5</v>
      </c>
      <c r="N144" s="9" t="inlineStr">
        <is>
          <t>Amazon link not found</t>
        </is>
      </c>
      <c r="O144" s="62">
        <f>IF(N144="Selling pet toys + Artificial grass/Pet toilets (TARGET)",15,IF(N144="Selling artificial grass/pet toilets (TARGET)",10,IF(N144="Selling pet toys",7,IF(N144="There's an Amazon link, but no target sales.",3,0))))</f>
        <v/>
      </c>
      <c r="P144" s="67">
        <f>H144+J144+L144+M144+O144</f>
        <v/>
      </c>
      <c r="Q144" s="70" t="inlineStr">
        <is>
          <t>Excluded: Trang Chung / Không rõ Ngách Cún cưng</t>
        </is>
      </c>
      <c r="R144" s="9" t="inlineStr">
        <is>
          <t>Trọn gói Take-Home Starter Kit V2/V3 (Cỏ nhân tạo + Khay Potty + Đồ chơi cún con)</t>
        </is>
      </c>
      <c r="S144" s="9" t="inlineStr">
        <is>
          <t>Tuyệt đối không đưa vào CRM (Vi phạm Bộ lọc Âm tính Mục 5)</t>
        </is>
      </c>
    </row>
    <row r="145">
      <c r="A145" s="53" t="n">
        <v>70</v>
      </c>
      <c r="B145" s="12" t="inlineStr">
        <is>
          <t>Nuvet Labs</t>
        </is>
      </c>
      <c r="C145" s="54" t="inlineStr">
        <is>
          <t>https://www.facebook.com/NuvetLabsOfficial</t>
        </is>
      </c>
      <c r="D145" s="6" t="inlineStr">
        <is>
          <t>Cần quét Bio Fanpage</t>
        </is>
      </c>
      <c r="E145" s="53" t="inlineStr">
        <is>
          <t>09/10/2026 19:00:44</t>
        </is>
      </c>
      <c r="F145" s="53" t="inlineStr">
        <is>
          <t>3 ngày trước</t>
        </is>
      </c>
      <c r="G145" s="55" t="n">
        <v>3</v>
      </c>
      <c r="H145" s="56" t="n">
        <v>28</v>
      </c>
      <c r="I145" s="6" t="inlineStr">
        <is>
          <t>Dog Breeder / Trại chó chuyên nghiệp (28-30đ)</t>
        </is>
      </c>
      <c r="J145" s="56" t="n">
        <v>28</v>
      </c>
      <c r="K145" s="6" t="inlineStr">
        <is>
          <t>Chưa rõ giống (Cần quét Bio)</t>
        </is>
      </c>
      <c r="L145" s="56" t="n">
        <v>0</v>
      </c>
      <c r="M145" s="56" t="n">
        <v>5</v>
      </c>
      <c r="N145" s="6" t="inlineStr">
        <is>
          <t>Amazon link not found</t>
        </is>
      </c>
      <c r="O145" s="56">
        <f>IF(N145="Selling pet toys + Artificial grass/Pet toilets (TARGET)",15,IF(N145="Selling artificial grass/pet toilets (TARGET)",10,IF(N145="Selling pet toys",7,IF(N145="There's an Amazon link, but no target sales.",3,0))))</f>
        <v/>
      </c>
      <c r="P145" s="65">
        <f>H145+J145+L145+M145+O145</f>
        <v/>
      </c>
      <c r="Q145" s="71" t="inlineStr">
        <is>
          <t>Excluded: Công ty Gen DNA &amp; Thú y (Mục 5.4)</t>
        </is>
      </c>
      <c r="R145" s="6" t="inlineStr">
        <is>
          <t>Trọn gói Take-Home Starter Kit V2/V3 (Cỏ nhân tạo + Khay Potty + Đồ chơi Teething/Snuggle)</t>
        </is>
      </c>
      <c r="S145" s="6" t="inlineStr">
        <is>
          <t>Tuyệt đối không đưa vào CRM (Vi phạm Bộ lọc Âm tính Mục 5)</t>
        </is>
      </c>
    </row>
    <row r="146">
      <c r="A146" s="59" t="n">
        <v>737</v>
      </c>
      <c r="B146" s="15" t="inlineStr">
        <is>
          <t>Boss Farms</t>
        </is>
      </c>
      <c r="C146" s="60" t="inlineStr">
        <is>
          <t>https://www.facebook.com/BossFarmsFamily</t>
        </is>
      </c>
      <c r="D146" s="9" t="inlineStr">
        <is>
          <t>Cần quét Bio Fanpage</t>
        </is>
      </c>
      <c r="E146" s="59" t="inlineStr">
        <is>
          <t>09/10/2026 07:19:52</t>
        </is>
      </c>
      <c r="F146" s="59" t="inlineStr">
        <is>
          <t>3 ngày trước</t>
        </is>
      </c>
      <c r="G146" s="61" t="n">
        <v>3</v>
      </c>
      <c r="H146" s="62" t="n">
        <v>28</v>
      </c>
      <c r="I146" s="9" t="inlineStr">
        <is>
          <t>Dog Breeder / Trại nhân giống (28-30đ)</t>
        </is>
      </c>
      <c r="J146" s="62" t="n">
        <v>28</v>
      </c>
      <c r="K146" s="9" t="inlineStr">
        <is>
          <t>Chưa rõ giống (Cần quét Bio)</t>
        </is>
      </c>
      <c r="L146" s="62" t="n">
        <v>0</v>
      </c>
      <c r="M146" s="62" t="n">
        <v>5</v>
      </c>
      <c r="N146" s="9" t="inlineStr">
        <is>
          <t>Amazon link not found</t>
        </is>
      </c>
      <c r="O146" s="62">
        <f>IF(N146="Selling pet toys + Artificial grass/Pet toilets (TARGET)",15,IF(N146="Selling artificial grass/pet toilets (TARGET)",10,IF(N146="Selling pet toys",7,IF(N146="There's an Amazon link, but no target sales.",3,0))))</f>
        <v/>
      </c>
      <c r="P146" s="67">
        <f>H146+J146+L146+M146+O146</f>
        <v/>
      </c>
      <c r="Q146" s="70" t="inlineStr">
        <is>
          <t>Excluded: Trang Chung / Không rõ Ngách Cún cưng</t>
        </is>
      </c>
      <c r="R146" s="9" t="inlineStr">
        <is>
          <t>Trọn gói Take-Home Starter Kit V2/V3 (Cỏ nhân tạo + Khay Potty + Đồ chơi cún con)</t>
        </is>
      </c>
      <c r="S146" s="9" t="inlineStr">
        <is>
          <t>Tuyệt đối không đưa vào CRM (Vi phạm Bộ lọc Âm tính Mục 5)</t>
        </is>
      </c>
    </row>
    <row r="147">
      <c r="A147" s="53" t="n">
        <v>645</v>
      </c>
      <c r="B147" s="12" t="inlineStr">
        <is>
          <t>Bernese Mountain Dog Club of Victoria Inc. Australia</t>
        </is>
      </c>
      <c r="C147" s="54" t="inlineStr">
        <is>
          <t>https://www.facebook.com/bmdcv</t>
        </is>
      </c>
      <c r="D147" s="6" t="inlineStr">
        <is>
          <t>Cần quét Bio Fanpage</t>
        </is>
      </c>
      <c r="E147" s="53" t="inlineStr">
        <is>
          <t>07/10/2026 08:39:10</t>
        </is>
      </c>
      <c r="F147" s="53" t="inlineStr">
        <is>
          <t>5 ngày trước</t>
        </is>
      </c>
      <c r="G147" s="55" t="n">
        <v>5</v>
      </c>
      <c r="H147" s="56" t="n">
        <v>20</v>
      </c>
      <c r="I147" s="6" t="inlineStr">
        <is>
          <t>Dog Breeder / Trại chó chuyên nghiệp (28-30đ)</t>
        </is>
      </c>
      <c r="J147" s="56" t="n">
        <v>30</v>
      </c>
      <c r="K147" s="6" t="inlineStr">
        <is>
          <t>Bernese Mountain Dog</t>
        </is>
      </c>
      <c r="L147" s="56" t="n">
        <v>5</v>
      </c>
      <c r="M147" s="56" t="n">
        <v>5</v>
      </c>
      <c r="N147" s="6" t="inlineStr">
        <is>
          <t>Amazon link not found</t>
        </is>
      </c>
      <c r="O147" s="56">
        <f>IF(N147="Selling pet toys + Artificial grass/Pet toilets (TARGET)",15,IF(N147="Selling artificial grass/pet toilets (TARGET)",10,IF(N147="Selling pet toys",7,IF(N147="There's an Amazon link, but no target sales.",3,0))))</f>
        <v/>
      </c>
      <c r="P147" s="65">
        <f>H147+J147+L147+M147+O147</f>
        <v/>
      </c>
      <c r="Q147" s="71" t="inlineStr">
        <is>
          <t>Excluded: Hiệp hội &amp; CLB Phả hệ (Mục 5.1)</t>
        </is>
      </c>
      <c r="R147" s="6" t="inlineStr">
        <is>
          <t>Trọn gói Take-Home Starter Kit V2/V3 (Cỏ nhân tạo + Khay Potty + Đồ chơi Teething/Snuggle)</t>
        </is>
      </c>
      <c r="S147" s="6" t="inlineStr">
        <is>
          <t>Tuyệt đối không đưa vào CRM (Vi phạm Bộ lọc Âm tính Mục 5)</t>
        </is>
      </c>
    </row>
    <row r="148">
      <c r="A148" s="59" t="n">
        <v>3180</v>
      </c>
      <c r="B148" s="15" t="inlineStr">
        <is>
          <t>Three Oaks Veterinary Wellness Center</t>
        </is>
      </c>
      <c r="C148" s="60" t="inlineStr">
        <is>
          <t>https://www.facebook.com/threeoaksvet</t>
        </is>
      </c>
      <c r="D148" s="9" t="inlineStr">
        <is>
          <t>Cần quét Bio Fanpage</t>
        </is>
      </c>
      <c r="E148" s="59" t="inlineStr">
        <is>
          <t>13/10/2026 02:30:11</t>
        </is>
      </c>
      <c r="F148" s="59" t="inlineStr">
        <is>
          <t>4 giờ trước</t>
        </is>
      </c>
      <c r="G148" s="61" t="n">
        <v>0.17</v>
      </c>
      <c r="H148" s="62" t="n">
        <v>32</v>
      </c>
      <c r="I148" s="9" t="inlineStr">
        <is>
          <t>Pet Boarding / Huấn luyện K9 &amp; Dịch vụ (20-22đ)</t>
        </is>
      </c>
      <c r="J148" s="62" t="n">
        <v>22</v>
      </c>
      <c r="K148" s="9" t="inlineStr">
        <is>
          <t>Chưa rõ giống (Cần quét Bio)</t>
        </is>
      </c>
      <c r="L148" s="62" t="n">
        <v>0</v>
      </c>
      <c r="M148" s="62" t="n">
        <v>5</v>
      </c>
      <c r="N148" s="9" t="inlineStr">
        <is>
          <t>Amazon link not found</t>
        </is>
      </c>
      <c r="O148" s="62">
        <f>IF(N148="Selling pet toys + Artificial grass/Pet toilets (TARGET)",15,IF(N148="Selling artificial grass/pet toilets (TARGET)",10,IF(N148="Selling pet toys",7,IF(N148="There's an Amazon link, but no target sales.",3,0))))</f>
        <v/>
      </c>
      <c r="P148" s="67">
        <f>H148+J148+L148+M148+O148</f>
        <v/>
      </c>
      <c r="Q148" s="70" t="inlineStr">
        <is>
          <t>Excluded: Công ty Gen DNA &amp; Thú y (Mục 5.4)</t>
        </is>
      </c>
      <c r="R148" s="9" t="inlineStr">
        <is>
          <t>Cỏ nhân tạo sân chơi/huấn luyện (Dog Turf) + Đồ chơi nhai chịu lực (KONG/Chew Toys)</t>
        </is>
      </c>
      <c r="S148" s="9" t="inlineStr">
        <is>
          <t>Tuyệt đối không đưa vào CRM (Vi phạm Bộ lọc Âm tính Mục 5)</t>
        </is>
      </c>
    </row>
    <row r="149">
      <c r="A149" s="53" t="n">
        <v>3289</v>
      </c>
      <c r="B149" s="12" t="inlineStr">
        <is>
          <t>VCA Animal Medical Center of Pasadena</t>
        </is>
      </c>
      <c r="C149" s="54" t="inlineStr">
        <is>
          <t>https://www.facebook.com/VCAAnimalMedicalCenterofPasadena</t>
        </is>
      </c>
      <c r="D149" s="6" t="inlineStr">
        <is>
          <t>Cần quét Bio Fanpage</t>
        </is>
      </c>
      <c r="E149" s="53" t="inlineStr">
        <is>
          <t>12/10/2026 21:00:01</t>
        </is>
      </c>
      <c r="F149" s="53" t="inlineStr">
        <is>
          <t>9 giờ trước</t>
        </is>
      </c>
      <c r="G149" s="55" t="n">
        <v>0.38</v>
      </c>
      <c r="H149" s="56" t="n">
        <v>32</v>
      </c>
      <c r="I149" s="6" t="inlineStr">
        <is>
          <t>Pet Boarding / Huấn luyện K9 &amp; Dịch vụ (20-22đ)</t>
        </is>
      </c>
      <c r="J149" s="56" t="n">
        <v>22</v>
      </c>
      <c r="K149" s="6" t="inlineStr">
        <is>
          <t>Chưa rõ giống (Cần quét Bio)</t>
        </is>
      </c>
      <c r="L149" s="56" t="n">
        <v>0</v>
      </c>
      <c r="M149" s="56" t="n">
        <v>5</v>
      </c>
      <c r="N149" s="6" t="inlineStr">
        <is>
          <t>Amazon link not found</t>
        </is>
      </c>
      <c r="O149" s="56">
        <f>IF(N149="Selling pet toys + Artificial grass/Pet toilets (TARGET)",15,IF(N149="Selling artificial grass/pet toilets (TARGET)",10,IF(N149="Selling pet toys",7,IF(N149="There's an Amazon link, but no target sales.",3,0))))</f>
        <v/>
      </c>
      <c r="P149" s="65">
        <f>H149+J149+L149+M149+O149</f>
        <v/>
      </c>
      <c r="Q149" s="71" t="inlineStr">
        <is>
          <t>Excluded: Trang Chung / Không rõ Ngách Cún cưng</t>
        </is>
      </c>
      <c r="R149" s="6" t="inlineStr">
        <is>
          <t>Cỏ nhân tạo sân chơi/huấn luyện (Dog Turf) + Đồ chơi nhai chịu lực (KONG/Chew Toys)</t>
        </is>
      </c>
      <c r="S149" s="6" t="inlineStr">
        <is>
          <t>Tuyệt đối không đưa vào CRM (Vi phạm Bộ lọc Âm tính Mục 5)</t>
        </is>
      </c>
    </row>
    <row r="150">
      <c r="A150" s="59" t="n">
        <v>12</v>
      </c>
      <c r="B150" s="15" t="inlineStr">
        <is>
          <t>Leading Edge Dog Show Academy</t>
        </is>
      </c>
      <c r="C150" s="60" t="inlineStr">
        <is>
          <t>https://www.facebook.com/dogshowacademy</t>
        </is>
      </c>
      <c r="D150" s="9" t="inlineStr">
        <is>
          <t>Cần quét Bio Fanpage</t>
        </is>
      </c>
      <c r="E150" s="59" t="inlineStr">
        <is>
          <t>12/10/2026 18:19:34</t>
        </is>
      </c>
      <c r="F150" s="59" t="inlineStr">
        <is>
          <t>6 giờ trước</t>
        </is>
      </c>
      <c r="G150" s="61" t="n">
        <v>0.25</v>
      </c>
      <c r="H150" s="62" t="n">
        <v>32</v>
      </c>
      <c r="I150" s="9" t="inlineStr">
        <is>
          <t>Pet Boarding / Huấn luyện K9 &amp; Dịch vụ (20-22đ)</t>
        </is>
      </c>
      <c r="J150" s="62" t="n">
        <v>22</v>
      </c>
      <c r="K150" s="9" t="inlineStr">
        <is>
          <t>Chưa rõ giống (Cần quét Bio)</t>
        </is>
      </c>
      <c r="L150" s="62" t="n">
        <v>0</v>
      </c>
      <c r="M150" s="62" t="n">
        <v>5</v>
      </c>
      <c r="N150" s="9" t="inlineStr">
        <is>
          <t>Amazon link not found</t>
        </is>
      </c>
      <c r="O150" s="62">
        <f>IF(N150="Selling pet toys + Artificial grass/Pet toilets (TARGET)",15,IF(N150="Selling artificial grass/pet toilets (TARGET)",10,IF(N150="Selling pet toys",7,IF(N150="There's an Amazon link, but no target sales.",3,0))))</f>
        <v/>
      </c>
      <c r="P150" s="67">
        <f>H150+J150+L150+M150+O150</f>
        <v/>
      </c>
      <c r="Q150" s="70" t="inlineStr">
        <is>
          <t>Excluded: Kênh Tin tức, Tạp chí &amp; Giải trí (Mục 5.3)</t>
        </is>
      </c>
      <c r="R150" s="9" t="inlineStr">
        <is>
          <t>Cỏ nhân tạo sân chơi/huấn luyện (Dog Turf) + Đồ chơi nhai chịu lực (KONG/Chew Toys)</t>
        </is>
      </c>
      <c r="S150" s="9" t="inlineStr">
        <is>
          <t>Tuyệt đối không đưa vào CRM (Vi phạm Bộ lọc Âm tính Mục 5)</t>
        </is>
      </c>
    </row>
    <row r="151">
      <c r="A151" s="53" t="n">
        <v>504</v>
      </c>
      <c r="B151" s="12" t="inlineStr">
        <is>
          <t>Apollo Animal Hospital and Wellness Center</t>
        </is>
      </c>
      <c r="C151" s="54" t="inlineStr">
        <is>
          <t>https://www.facebook.com/apollo.animal</t>
        </is>
      </c>
      <c r="D151" s="6" t="inlineStr">
        <is>
          <t>Cần quét Bio Fanpage</t>
        </is>
      </c>
      <c r="E151" s="53" t="inlineStr">
        <is>
          <t>12/10/2026 10:00:16</t>
        </is>
      </c>
      <c r="F151" s="53" t="inlineStr">
        <is>
          <t>15 giờ trước</t>
        </is>
      </c>
      <c r="G151" s="55" t="n">
        <v>0.62</v>
      </c>
      <c r="H151" s="56" t="n">
        <v>32</v>
      </c>
      <c r="I151" s="6" t="inlineStr">
        <is>
          <t>Pet Boarding / Huấn luyện K9 &amp; Dịch vụ (20-22đ)</t>
        </is>
      </c>
      <c r="J151" s="56" t="n">
        <v>22</v>
      </c>
      <c r="K151" s="6" t="inlineStr">
        <is>
          <t>Chưa rõ giống (Cần quét Bio)</t>
        </is>
      </c>
      <c r="L151" s="56" t="n">
        <v>0</v>
      </c>
      <c r="M151" s="56" t="n">
        <v>5</v>
      </c>
      <c r="N151" s="6" t="inlineStr">
        <is>
          <t>Amazon link not found</t>
        </is>
      </c>
      <c r="O151" s="56">
        <f>IF(N151="Selling pet toys + Artificial grass/Pet toilets (TARGET)",15,IF(N151="Selling artificial grass/pet toilets (TARGET)",10,IF(N151="Selling pet toys",7,IF(N151="There's an Amazon link, but no target sales.",3,0))))</f>
        <v/>
      </c>
      <c r="P151" s="65">
        <f>H151+J151+L151+M151+O151</f>
        <v/>
      </c>
      <c r="Q151" s="71" t="inlineStr">
        <is>
          <t>Excluded: Công ty Gen DNA &amp; Thú y (Mục 5.4)</t>
        </is>
      </c>
      <c r="R151" s="6" t="inlineStr">
        <is>
          <t>Cỏ nhân tạo sân chơi/huấn luyện (Dog Turf) + Đồ chơi nhai chịu lực (KONG/Chew Toys)</t>
        </is>
      </c>
      <c r="S151" s="6" t="inlineStr">
        <is>
          <t>Tuyệt đối không đưa vào CRM (Vi phạm Bộ lọc Âm tính Mục 5)</t>
        </is>
      </c>
    </row>
    <row r="152">
      <c r="A152" s="59" t="n">
        <v>3113</v>
      </c>
      <c r="B152" s="15" t="inlineStr">
        <is>
          <t>The Drake Center for Veterinary Care</t>
        </is>
      </c>
      <c r="C152" s="60" t="inlineStr">
        <is>
          <t>https://www.facebook.com/thedrakecenter</t>
        </is>
      </c>
      <c r="D152" s="9" t="inlineStr">
        <is>
          <t>Cần quét Bio Fanpage</t>
        </is>
      </c>
      <c r="E152" s="59" t="inlineStr">
        <is>
          <t>12/10/2026 08:28:10</t>
        </is>
      </c>
      <c r="F152" s="59" t="inlineStr">
        <is>
          <t>22 giờ trước</t>
        </is>
      </c>
      <c r="G152" s="61" t="n">
        <v>0.92</v>
      </c>
      <c r="H152" s="62" t="n">
        <v>32</v>
      </c>
      <c r="I152" s="9" t="inlineStr">
        <is>
          <t>Pet Boarding / Huấn luyện K9 &amp; Dịch vụ (20-22đ)</t>
        </is>
      </c>
      <c r="J152" s="62" t="n">
        <v>22</v>
      </c>
      <c r="K152" s="9" t="inlineStr">
        <is>
          <t>Chưa rõ giống (Cần quét Bio)</t>
        </is>
      </c>
      <c r="L152" s="62" t="n">
        <v>0</v>
      </c>
      <c r="M152" s="62" t="n">
        <v>5</v>
      </c>
      <c r="N152" s="9" t="inlineStr">
        <is>
          <t>Amazon link not found</t>
        </is>
      </c>
      <c r="O152" s="62">
        <f>IF(N152="Selling pet toys + Artificial grass/Pet toilets (TARGET)",15,IF(N152="Selling artificial grass/pet toilets (TARGET)",10,IF(N152="Selling pet toys",7,IF(N152="There's an Amazon link, but no target sales.",3,0))))</f>
        <v/>
      </c>
      <c r="P152" s="67">
        <f>H152+J152+L152+M152+O152</f>
        <v/>
      </c>
      <c r="Q152" s="70" t="inlineStr">
        <is>
          <t>Excluded: Công ty Gen DNA &amp; Thú y (Mục 5.4)</t>
        </is>
      </c>
      <c r="R152" s="9" t="inlineStr">
        <is>
          <t>Cỏ nhân tạo sân chơi/huấn luyện (Dog Turf) + Đồ chơi nhai chịu lực (KONG/Chew Toys)</t>
        </is>
      </c>
      <c r="S152" s="9" t="inlineStr">
        <is>
          <t>Tuyệt đối không đưa vào CRM (Vi phạm Bộ lọc Âm tính Mục 5)</t>
        </is>
      </c>
    </row>
    <row r="153">
      <c r="A153" s="53" t="n">
        <v>1333</v>
      </c>
      <c r="B153" s="12" t="inlineStr">
        <is>
          <t>Farm and Home Supply - Springfield East (Springfield East)</t>
        </is>
      </c>
      <c r="C153" s="54" t="inlineStr">
        <is>
          <t>https://www.facebook.com/fhspringfieldeast</t>
        </is>
      </c>
      <c r="D153" s="6" t="inlineStr">
        <is>
          <t>Cần quét Bio Fanpage</t>
        </is>
      </c>
      <c r="E153" s="53" t="inlineStr">
        <is>
          <t>08/10/2026 03:07:38</t>
        </is>
      </c>
      <c r="F153" s="53" t="inlineStr">
        <is>
          <t>5 ngày trước</t>
        </is>
      </c>
      <c r="G153" s="55" t="n">
        <v>5</v>
      </c>
      <c r="H153" s="56" t="n">
        <v>20</v>
      </c>
      <c r="I153" s="6" t="inlineStr">
        <is>
          <t>Dog Breeder / Trại nhân giống (28-30đ)</t>
        </is>
      </c>
      <c r="J153" s="56" t="n">
        <v>28</v>
      </c>
      <c r="K153" s="6" t="inlineStr">
        <is>
          <t>Chưa rõ giống (Cần quét Bio)</t>
        </is>
      </c>
      <c r="L153" s="56" t="n">
        <v>0</v>
      </c>
      <c r="M153" s="56" t="n">
        <v>10</v>
      </c>
      <c r="N153" s="6" t="inlineStr">
        <is>
          <t>Amazon link not found</t>
        </is>
      </c>
      <c r="O153" s="56">
        <f>IF(N153="Selling pet toys + Artificial grass/Pet toilets (TARGET)",15,IF(N153="Selling artificial grass/pet toilets (TARGET)",10,IF(N153="Selling pet toys",7,IF(N153="There's an Amazon link, but no target sales.",3,0))))</f>
        <v/>
      </c>
      <c r="P153" s="65">
        <f>H153+J153+L153+M153+O153</f>
        <v/>
      </c>
      <c r="Q153" s="71" t="inlineStr">
        <is>
          <t>Excluded: Trang Chung / Không rõ Ngách Cún cưng</t>
        </is>
      </c>
      <c r="R153" s="6" t="inlineStr">
        <is>
          <t>Trọn gói Take-Home Starter Kit V2/V3 (Cỏ nhân tạo + Khay Potty + Đồ chơi cún con)</t>
        </is>
      </c>
      <c r="S153" s="6" t="inlineStr">
        <is>
          <t>Tuyệt đối không đưa vào CRM (Vi phạm Bộ lọc Âm tính Mục 5)</t>
        </is>
      </c>
    </row>
    <row r="154">
      <c r="A154" s="59" t="n">
        <v>799</v>
      </c>
      <c r="B154" s="15" t="inlineStr">
        <is>
          <t>Butterhof's Farm &amp; Home Supply</t>
        </is>
      </c>
      <c r="C154" s="60" t="inlineStr">
        <is>
          <t>https://www.facebook.com/Butterhofs</t>
        </is>
      </c>
      <c r="D154" s="9" t="inlineStr">
        <is>
          <t>Cần quét Bio Fanpage</t>
        </is>
      </c>
      <c r="E154" s="59" t="inlineStr">
        <is>
          <t>07/10/2026 06:32:07</t>
        </is>
      </c>
      <c r="F154" s="59" t="inlineStr">
        <is>
          <t>5 ngày trước</t>
        </is>
      </c>
      <c r="G154" s="61" t="n">
        <v>5</v>
      </c>
      <c r="H154" s="62" t="n">
        <v>20</v>
      </c>
      <c r="I154" s="9" t="inlineStr">
        <is>
          <t>Dog Breeder / Trại nhân giống (28-30đ)</t>
        </is>
      </c>
      <c r="J154" s="62" t="n">
        <v>28</v>
      </c>
      <c r="K154" s="9" t="inlineStr">
        <is>
          <t>Chưa rõ giống (Cần quét Bio)</t>
        </is>
      </c>
      <c r="L154" s="62" t="n">
        <v>0</v>
      </c>
      <c r="M154" s="62" t="n">
        <v>10</v>
      </c>
      <c r="N154" s="9" t="inlineStr">
        <is>
          <t>Amazon link not found</t>
        </is>
      </c>
      <c r="O154" s="62">
        <f>IF(N154="Selling pet toys + Artificial grass/Pet toilets (TARGET)",15,IF(N154="Selling artificial grass/pet toilets (TARGET)",10,IF(N154="Selling pet toys",7,IF(N154="There's an Amazon link, but no target sales.",3,0))))</f>
        <v/>
      </c>
      <c r="P154" s="67">
        <f>H154+J154+L154+M154+O154</f>
        <v/>
      </c>
      <c r="Q154" s="70" t="inlineStr">
        <is>
          <t>Excluded: Trang Chung / Không rõ Ngách Cún cưng</t>
        </is>
      </c>
      <c r="R154" s="9" t="inlineStr">
        <is>
          <t>Trọn gói Take-Home Starter Kit V2/V3 (Cỏ nhân tạo + Khay Potty + Đồ chơi cún con)</t>
        </is>
      </c>
      <c r="S154" s="9" t="inlineStr">
        <is>
          <t>Tuyệt đối không đưa vào CRM (Vi phạm Bộ lọc Âm tính Mục 5)</t>
        </is>
      </c>
    </row>
    <row r="155">
      <c r="A155" s="53" t="n">
        <v>2319</v>
      </c>
      <c r="B155" s="12" t="inlineStr">
        <is>
          <t>Northern Bernese Mountain Dog Club UK</t>
        </is>
      </c>
      <c r="C155" s="54" t="inlineStr">
        <is>
          <t>https://www.facebook.com/nbmdc.org.uk</t>
        </is>
      </c>
      <c r="D155" s="6" t="inlineStr">
        <is>
          <t>Cần quét Bio Fanpage</t>
        </is>
      </c>
      <c r="E155" s="53" t="inlineStr">
        <is>
          <t>01/10/2026 21:07:42</t>
        </is>
      </c>
      <c r="F155" s="53" t="inlineStr">
        <is>
          <t>1 tuần trước</t>
        </is>
      </c>
      <c r="G155" s="55" t="n">
        <v>7</v>
      </c>
      <c r="H155" s="56" t="n">
        <v>20</v>
      </c>
      <c r="I155" s="6" t="inlineStr">
        <is>
          <t>Dog Breeder / Trại chó chuyên nghiệp (28-30đ)</t>
        </is>
      </c>
      <c r="J155" s="56" t="n">
        <v>28</v>
      </c>
      <c r="K155" s="6" t="inlineStr">
        <is>
          <t>Bernese Mountain Dog</t>
        </is>
      </c>
      <c r="L155" s="56" t="n">
        <v>5</v>
      </c>
      <c r="M155" s="56" t="n">
        <v>5</v>
      </c>
      <c r="N155" s="6" t="inlineStr">
        <is>
          <t>Amazon link not found</t>
        </is>
      </c>
      <c r="O155" s="56">
        <f>IF(N155="Selling pet toys + Artificial grass/Pet toilets (TARGET)",15,IF(N155="Selling artificial grass/pet toilets (TARGET)",10,IF(N155="Selling pet toys",7,IF(N155="There's an Amazon link, but no target sales.",3,0))))</f>
        <v/>
      </c>
      <c r="P155" s="65">
        <f>H155+J155+L155+M155+O155</f>
        <v/>
      </c>
      <c r="Q155" s="71" t="inlineStr">
        <is>
          <t>Excluded: Hiệp hội &amp; CLB Phả hệ (Mục 5.1)</t>
        </is>
      </c>
      <c r="R155" s="6" t="inlineStr">
        <is>
          <t>Trọn gói Take-Home Starter Kit V2/V3 (Cỏ nhân tạo + Khay Potty + Đồ chơi Teething/Snuggle)</t>
        </is>
      </c>
      <c r="S155" s="6" t="inlineStr">
        <is>
          <t>Tuyệt đối không đưa vào CRM (Vi phạm Bộ lọc Âm tính Mục 5)</t>
        </is>
      </c>
    </row>
    <row r="156">
      <c r="A156" s="59" t="n">
        <v>2118</v>
      </c>
      <c r="B156" s="15" t="inlineStr">
        <is>
          <t>Mann's Best Friend Veterinary Services, LLC</t>
        </is>
      </c>
      <c r="C156" s="60" t="inlineStr">
        <is>
          <t>https://www.facebook.com/profile.php?id=61563779918472</t>
        </is>
      </c>
      <c r="D156" s="9" t="inlineStr">
        <is>
          <t>Cần quét Bio Fanpage</t>
        </is>
      </c>
      <c r="E156" s="59" t="inlineStr">
        <is>
          <t>30/09/2026 19:38:23</t>
        </is>
      </c>
      <c r="F156" s="59" t="inlineStr">
        <is>
          <t>1 tuần trước</t>
        </is>
      </c>
      <c r="G156" s="61" t="n">
        <v>7</v>
      </c>
      <c r="H156" s="62" t="n">
        <v>20</v>
      </c>
      <c r="I156" s="9" t="inlineStr">
        <is>
          <t>Dog Breeder / Trại nhân giống (28-30đ)</t>
        </is>
      </c>
      <c r="J156" s="62" t="n">
        <v>28</v>
      </c>
      <c r="K156" s="9" t="inlineStr">
        <is>
          <t>Chưa rõ giống (Cần quét Bio)</t>
        </is>
      </c>
      <c r="L156" s="62" t="n">
        <v>0</v>
      </c>
      <c r="M156" s="62" t="n">
        <v>10</v>
      </c>
      <c r="N156" s="9" t="inlineStr">
        <is>
          <t>Amazon link not found</t>
        </is>
      </c>
      <c r="O156" s="62">
        <f>IF(N156="Selling pet toys + Artificial grass/Pet toilets (TARGET)",15,IF(N156="Selling artificial grass/pet toilets (TARGET)",10,IF(N156="Selling pet toys",7,IF(N156="There's an Amazon link, but no target sales.",3,0))))</f>
        <v/>
      </c>
      <c r="P156" s="67">
        <f>H156+J156+L156+M156+O156</f>
        <v/>
      </c>
      <c r="Q156" s="70" t="inlineStr">
        <is>
          <t>Excluded: Công ty Gen DNA &amp; Thú y (Mục 5.4)</t>
        </is>
      </c>
      <c r="R156" s="9" t="inlineStr">
        <is>
          <t>Trọn gói Take-Home Starter Kit V2/V3 (Cỏ nhân tạo + Khay Potty + Đồ chơi cún con)</t>
        </is>
      </c>
      <c r="S156" s="9" t="inlineStr">
        <is>
          <t>Tuyệt đối không đưa vào CRM (Vi phạm Bộ lọc Âm tính Mục 5)</t>
        </is>
      </c>
    </row>
    <row r="157">
      <c r="A157" s="53" t="n">
        <v>2171</v>
      </c>
      <c r="B157" s="12" t="inlineStr">
        <is>
          <t>Mid Herts Gundog Club</t>
        </is>
      </c>
      <c r="C157" s="54" t="inlineStr">
        <is>
          <t>https://www.facebook.com/MidHertsGundogClub</t>
        </is>
      </c>
      <c r="D157" s="6" t="inlineStr">
        <is>
          <t>Cần quét Bio Fanpage</t>
        </is>
      </c>
      <c r="E157" s="53" t="inlineStr">
        <is>
          <t>12/10/2026 13:44:55</t>
        </is>
      </c>
      <c r="F157" s="53" t="inlineStr">
        <is>
          <t>15 giờ trước</t>
        </is>
      </c>
      <c r="G157" s="55" t="n">
        <v>0.62</v>
      </c>
      <c r="H157" s="56" t="n">
        <v>32</v>
      </c>
      <c r="I157" s="6" t="inlineStr">
        <is>
          <t>Pet Boarding / Huấn luyện K9 &amp; Dịch vụ (20-22đ)</t>
        </is>
      </c>
      <c r="J157" s="56" t="n">
        <v>20</v>
      </c>
      <c r="K157" s="6" t="inlineStr">
        <is>
          <t>Spaniel / Gun Dog / Retriever</t>
        </is>
      </c>
      <c r="L157" s="56" t="n">
        <v>5</v>
      </c>
      <c r="M157" s="56" t="n">
        <v>0</v>
      </c>
      <c r="N157" s="6" t="inlineStr">
        <is>
          <t>Amazon link not found</t>
        </is>
      </c>
      <c r="O157" s="56">
        <f>IF(N157="Selling pet toys + Artificial grass/Pet toilets (TARGET)",15,IF(N157="Selling artificial grass/pet toilets (TARGET)",10,IF(N157="Selling pet toys",7,IF(N157="There's an Amazon link, but no target sales.",3,0))))</f>
        <v/>
      </c>
      <c r="P157" s="65">
        <f>H157+J157+L157+M157+O157</f>
        <v/>
      </c>
      <c r="Q157" s="71" t="inlineStr">
        <is>
          <t>Excluded: Hiệp hội &amp; CLB Phả hệ (Mục 5.1)</t>
        </is>
      </c>
      <c r="R157" s="6" t="inlineStr">
        <is>
          <t>Cỏ nhân tạo sân chơi/huấn luyện (Dog Turf) + Đồ chơi nhai chịu lực (KONG/Chew Toys)</t>
        </is>
      </c>
      <c r="S157" s="6" t="inlineStr">
        <is>
          <t>Tuyệt đối không đưa vào CRM (Vi phạm Bộ lọc Âm tính Mục 5)</t>
        </is>
      </c>
    </row>
    <row r="158">
      <c r="A158" s="59" t="n">
        <v>5667</v>
      </c>
      <c r="B158" s="15" t="inlineStr">
        <is>
          <t>TMMA Farms &amp; Sanctuary</t>
        </is>
      </c>
      <c r="C158" s="60" t="inlineStr">
        <is>
          <t>https://www.facebook.com/tmmafarms</t>
        </is>
      </c>
      <c r="D158" s="9" t="inlineStr">
        <is>
          <t>Cần quét Bio Fanpage</t>
        </is>
      </c>
      <c r="E158" s="59" t="inlineStr">
        <is>
          <t>13/10/2026 08:52:39</t>
        </is>
      </c>
      <c r="F158" s="59" t="inlineStr">
        <is>
          <t>2 giờ trước</t>
        </is>
      </c>
      <c r="G158" s="61" t="n">
        <v>0.08</v>
      </c>
      <c r="H158" s="62" t="n">
        <v>35</v>
      </c>
      <c r="I158" s="9" t="inlineStr">
        <is>
          <t>Pet Rescue / Trạm cứu trợ (14-16đ)</t>
        </is>
      </c>
      <c r="J158" s="62" t="n">
        <v>16</v>
      </c>
      <c r="K158" s="9" t="inlineStr">
        <is>
          <t>Chưa rõ giống (Cần quét Bio)</t>
        </is>
      </c>
      <c r="L158" s="62" t="n">
        <v>0</v>
      </c>
      <c r="M158" s="62" t="n">
        <v>5</v>
      </c>
      <c r="N158" s="9" t="inlineStr">
        <is>
          <t>Amazon link not found</t>
        </is>
      </c>
      <c r="O158" s="62">
        <f>IF(N158="Selling pet toys + Artificial grass/Pet toilets (TARGET)",15,IF(N158="Selling artificial grass/pet toilets (TARGET)",10,IF(N158="Selling pet toys",7,IF(N158="There's an Amazon link, but no target sales.",3,0))))</f>
        <v/>
      </c>
      <c r="P158" s="67">
        <f>H158+J158+L158+M158+O158</f>
        <v/>
      </c>
      <c r="Q158" s="70" t="inlineStr">
        <is>
          <t>Excluded: Trang Chung / Không rõ Ngách Cún cưng</t>
        </is>
      </c>
      <c r="R158" s="9" t="inlineStr">
        <is>
          <t>Nhà vệ sinh &amp; Tã lót (Potty Tray / Pee Pads) + Cỏ nhân tạo lót chuồng</t>
        </is>
      </c>
      <c r="S158" s="9" t="inlineStr">
        <is>
          <t>Tuyệt đối không đưa vào CRM (Vi phạm Bộ lọc Âm tính Mục 5)</t>
        </is>
      </c>
    </row>
    <row r="159">
      <c r="A159" s="53" t="n">
        <v>3935</v>
      </c>
      <c r="B159" s="12" t="inlineStr">
        <is>
          <t>Friends of Homeless Animals, INC of RI</t>
        </is>
      </c>
      <c r="C159" s="54" t="inlineStr">
        <is>
          <t>https://www.facebook.com/friendsoha</t>
        </is>
      </c>
      <c r="D159" s="6" t="inlineStr">
        <is>
          <t>Cần quét Bio Fanpage</t>
        </is>
      </c>
      <c r="E159" s="53" t="inlineStr">
        <is>
          <t>13/10/2026 04:12:03</t>
        </is>
      </c>
      <c r="F159" s="53" t="inlineStr">
        <is>
          <t>3 giờ trước</t>
        </is>
      </c>
      <c r="G159" s="55" t="n">
        <v>0.12</v>
      </c>
      <c r="H159" s="56" t="n">
        <v>35</v>
      </c>
      <c r="I159" s="6" t="inlineStr">
        <is>
          <t>Pet Rescue / Trạm cứu trợ (14-16đ)</t>
        </is>
      </c>
      <c r="J159" s="56" t="n">
        <v>16</v>
      </c>
      <c r="K159" s="6" t="inlineStr">
        <is>
          <t>Chưa rõ giống (Cần quét Bio)</t>
        </is>
      </c>
      <c r="L159" s="56" t="n">
        <v>0</v>
      </c>
      <c r="M159" s="56" t="n">
        <v>5</v>
      </c>
      <c r="N159" s="6" t="inlineStr">
        <is>
          <t>Amazon link not found</t>
        </is>
      </c>
      <c r="O159" s="56">
        <f>IF(N159="Selling pet toys + Artificial grass/Pet toilets (TARGET)",15,IF(N159="Selling artificial grass/pet toilets (TARGET)",10,IF(N159="Selling pet toys",7,IF(N159="There's an Amazon link, but no target sales.",3,0))))</f>
        <v/>
      </c>
      <c r="P159" s="65">
        <f>H159+J159+L159+M159+O159</f>
        <v/>
      </c>
      <c r="Q159" s="71" t="inlineStr">
        <is>
          <t>Excluded: Trang Chung / Không rõ Ngách Cún cưng</t>
        </is>
      </c>
      <c r="R159" s="6" t="inlineStr">
        <is>
          <t>Nhà vệ sinh &amp; Tã lót (Potty Tray / Pee Pads) + Cỏ nhân tạo lót chuồng</t>
        </is>
      </c>
      <c r="S159" s="6" t="inlineStr">
        <is>
          <t>Tuyệt đối không đưa vào CRM (Vi phạm Bộ lọc Âm tính Mục 5)</t>
        </is>
      </c>
    </row>
    <row r="160">
      <c r="A160" s="59" t="n">
        <v>7</v>
      </c>
      <c r="B160" s="15" t="inlineStr">
        <is>
          <t>AKC Family Dog</t>
        </is>
      </c>
      <c r="C160" s="60" t="inlineStr">
        <is>
          <t>https://www.facebook.com/akcfamilydog</t>
        </is>
      </c>
      <c r="D160" s="9" t="inlineStr">
        <is>
          <t>Cần quét Bio Fanpage</t>
        </is>
      </c>
      <c r="E160" s="59" t="inlineStr">
        <is>
          <t>10/10/2026 00:21:19</t>
        </is>
      </c>
      <c r="F160" s="59" t="inlineStr">
        <is>
          <t>3 ngày trước</t>
        </is>
      </c>
      <c r="G160" s="61" t="n">
        <v>3</v>
      </c>
      <c r="H160" s="62" t="n">
        <v>28</v>
      </c>
      <c r="I160" s="9" t="inlineStr">
        <is>
          <t>Dog Breeder / Trại chó chuyên nghiệp (28-30đ)</t>
        </is>
      </c>
      <c r="J160" s="62" t="n">
        <v>28</v>
      </c>
      <c r="K160" s="9" t="inlineStr">
        <is>
          <t>Chưa rõ giống (Cần quét Bio)</t>
        </is>
      </c>
      <c r="L160" s="62" t="n">
        <v>0</v>
      </c>
      <c r="M160" s="62" t="n">
        <v>0</v>
      </c>
      <c r="N160" s="9" t="inlineStr">
        <is>
          <t>Amazon link not found</t>
        </is>
      </c>
      <c r="O160" s="62">
        <f>IF(N160="Selling pet toys + Artificial grass/Pet toilets (TARGET)",15,IF(N160="Selling artificial grass/pet toilets (TARGET)",10,IF(N160="Selling pet toys",7,IF(N160="There's an Amazon link, but no target sales.",3,0))))</f>
        <v/>
      </c>
      <c r="P160" s="67">
        <f>H160+J160+L160+M160+O160</f>
        <v/>
      </c>
      <c r="Q160" s="70" t="inlineStr">
        <is>
          <t>Excluded: Hiệp hội &amp; CLB Phả hệ (Mục 5.1)</t>
        </is>
      </c>
      <c r="R160" s="9" t="inlineStr">
        <is>
          <t>Trọn gói Take-Home Starter Kit V2/V3 (Cỏ nhân tạo + Khay Potty + Đồ chơi Teething/Snuggle)</t>
        </is>
      </c>
      <c r="S160" s="9" t="inlineStr">
        <is>
          <t>Tuyệt đối không đưa vào CRM (Vi phạm Bộ lọc Âm tính Mục 5)</t>
        </is>
      </c>
    </row>
    <row r="161">
      <c r="A161" s="53" t="n">
        <v>5569</v>
      </c>
      <c r="B161" s="12" t="inlineStr">
        <is>
          <t>The Daycare Teacher Stories</t>
        </is>
      </c>
      <c r="C161" s="54" t="inlineStr">
        <is>
          <t>https://www.facebook.com/TheDaycareTeacher</t>
        </is>
      </c>
      <c r="D161" s="6" t="inlineStr">
        <is>
          <t>Cần quét Bio Fanpage</t>
        </is>
      </c>
      <c r="E161" s="53" t="inlineStr">
        <is>
          <t>13/10/2026 09:00:45</t>
        </is>
      </c>
      <c r="F161" s="53" t="inlineStr">
        <is>
          <t>1 giờ trước</t>
        </is>
      </c>
      <c r="G161" s="55" t="n">
        <v>0.04</v>
      </c>
      <c r="H161" s="56" t="n">
        <v>35</v>
      </c>
      <c r="I161" s="6" t="inlineStr">
        <is>
          <t>Pet Boarding / Huấn luyện K9 &amp; Dịch vụ (20-22đ)</t>
        </is>
      </c>
      <c r="J161" s="56" t="n">
        <v>20</v>
      </c>
      <c r="K161" s="6" t="inlineStr">
        <is>
          <t>Chưa rõ giống (Cần quét Bio)</t>
        </is>
      </c>
      <c r="L161" s="56" t="n">
        <v>0</v>
      </c>
      <c r="M161" s="56" t="n">
        <v>0</v>
      </c>
      <c r="N161" s="6" t="inlineStr">
        <is>
          <t>Amazon link not found</t>
        </is>
      </c>
      <c r="O161" s="56">
        <f>IF(N161="Selling pet toys + Artificial grass/Pet toilets (TARGET)",15,IF(N161="Selling artificial grass/pet toilets (TARGET)",10,IF(N161="Selling pet toys",7,IF(N161="There's an Amazon link, but no target sales.",3,0))))</f>
        <v/>
      </c>
      <c r="P161" s="65">
        <f>H161+J161+L161+M161+O161</f>
        <v/>
      </c>
      <c r="Q161" s="71" t="inlineStr">
        <is>
          <t>Excluded: Kênh Tin tức, Tạp chí &amp; Giải trí (Mục 5.3)</t>
        </is>
      </c>
      <c r="R161" s="6" t="inlineStr">
        <is>
          <t>Cỏ nhân tạo sân chơi/huấn luyện (Dog Turf) + Đồ chơi nhai chịu lực (KONG/Chew Toys)</t>
        </is>
      </c>
      <c r="S161" s="6" t="inlineStr">
        <is>
          <t>Tuyệt đối không đưa vào CRM (Vi phạm Bộ lọc Âm tính Mục 5)</t>
        </is>
      </c>
    </row>
    <row r="162">
      <c r="A162" s="59" t="n">
        <v>5563</v>
      </c>
      <c r="B162" s="15" t="inlineStr">
        <is>
          <t>The Bulldog Club of America</t>
        </is>
      </c>
      <c r="C162" s="60" t="inlineStr">
        <is>
          <t>https://www.facebook.com/bulldogclubofamerica</t>
        </is>
      </c>
      <c r="D162" s="9" t="inlineStr">
        <is>
          <t>Cần quét Bio Fanpage</t>
        </is>
      </c>
      <c r="E162" s="59" t="inlineStr">
        <is>
          <t>13/10/2026 07:12:45</t>
        </is>
      </c>
      <c r="F162" s="59" t="inlineStr">
        <is>
          <t>3 giờ trước</t>
        </is>
      </c>
      <c r="G162" s="61" t="n">
        <v>0.12</v>
      </c>
      <c r="H162" s="62" t="n">
        <v>35</v>
      </c>
      <c r="I162" s="9" t="inlineStr">
        <is>
          <t>Pet Owner / Kênh cá nhân thú cưng (10đ)</t>
        </is>
      </c>
      <c r="J162" s="62" t="n">
        <v>10</v>
      </c>
      <c r="K162" s="9" t="inlineStr">
        <is>
          <t>English Bulldog</t>
        </is>
      </c>
      <c r="L162" s="62" t="n">
        <v>10</v>
      </c>
      <c r="M162" s="62" t="n">
        <v>0</v>
      </c>
      <c r="N162" s="9" t="inlineStr">
        <is>
          <t>Amazon link not found</t>
        </is>
      </c>
      <c r="O162" s="62">
        <f>IF(N162="Selling pet toys + Artificial grass/Pet toilets (TARGET)",15,IF(N162="Selling artificial grass/pet toilets (TARGET)",10,IF(N162="Selling pet toys",7,IF(N162="There's an Amazon link, but no target sales.",3,0))))</f>
        <v/>
      </c>
      <c r="P162" s="67">
        <f>H162+J162+L162+M162+O162</f>
        <v/>
      </c>
      <c r="Q162" s="70" t="inlineStr">
        <is>
          <t>Excluded: Hiệp hội &amp; CLB Phả hệ (Mục 5.1)</t>
        </is>
      </c>
      <c r="R162" s="9" t="inlineStr">
        <is>
          <t>Khay vệ sinh trong nhà (Indoor Dog Potty) + Đồ chơi thú cưng lẻ</t>
        </is>
      </c>
      <c r="S162" s="9" t="inlineStr">
        <is>
          <t>Tuyệt đối không đưa vào CRM (Vi phạm Bộ lọc Âm tính Mục 5)</t>
        </is>
      </c>
    </row>
    <row r="163">
      <c r="A163" s="53" t="n">
        <v>762</v>
      </c>
      <c r="B163" s="12" t="inlineStr">
        <is>
          <t>Brightside Animal Center</t>
        </is>
      </c>
      <c r="C163" s="54" t="inlineStr">
        <is>
          <t>https://www.facebook.com/brightsideanimals</t>
        </is>
      </c>
      <c r="D163" s="6" t="inlineStr">
        <is>
          <t>Cần quét Bio Fanpage</t>
        </is>
      </c>
      <c r="E163" s="53" t="inlineStr">
        <is>
          <t>12/10/2026 01:00:55</t>
        </is>
      </c>
      <c r="F163" s="53" t="inlineStr">
        <is>
          <t>1 ngày trước</t>
        </is>
      </c>
      <c r="G163" s="55" t="n">
        <v>1</v>
      </c>
      <c r="H163" s="56" t="n">
        <v>28</v>
      </c>
      <c r="I163" s="6" t="inlineStr">
        <is>
          <t>Pet Boarding / Huấn luyện K9 &amp; Dịch vụ (20-22đ)</t>
        </is>
      </c>
      <c r="J163" s="56" t="n">
        <v>22</v>
      </c>
      <c r="K163" s="6" t="inlineStr">
        <is>
          <t>Chưa rõ giống (Cần quét Bio)</t>
        </is>
      </c>
      <c r="L163" s="56" t="n">
        <v>0</v>
      </c>
      <c r="M163" s="56" t="n">
        <v>5</v>
      </c>
      <c r="N163" s="6" t="inlineStr">
        <is>
          <t>Amazon link not found</t>
        </is>
      </c>
      <c r="O163" s="56">
        <f>IF(N163="Selling pet toys + Artificial grass/Pet toilets (TARGET)",15,IF(N163="Selling artificial grass/pet toilets (TARGET)",10,IF(N163="Selling pet toys",7,IF(N163="There's an Amazon link, but no target sales.",3,0))))</f>
        <v/>
      </c>
      <c r="P163" s="65">
        <f>H163+J163+L163+M163+O163</f>
        <v/>
      </c>
      <c r="Q163" s="71" t="inlineStr">
        <is>
          <t>Excluded: Trang Chung / Không rõ Ngách Cún cưng</t>
        </is>
      </c>
      <c r="R163" s="6" t="inlineStr">
        <is>
          <t>Cỏ nhân tạo sân chơi/huấn luyện (Dog Turf) + Đồ chơi nhai chịu lực (KONG/Chew Toys)</t>
        </is>
      </c>
      <c r="S163" s="6" t="inlineStr">
        <is>
          <t>Tuyệt đối không đưa vào CRM (Vi phạm Bộ lọc Âm tính Mục 5)</t>
        </is>
      </c>
    </row>
    <row r="164">
      <c r="A164" s="59" t="n">
        <v>520</v>
      </c>
      <c r="B164" s="15" t="inlineStr">
        <is>
          <t>Armando Lawn Care Weed Control &amp; Fertilization</t>
        </is>
      </c>
      <c r="C164" s="60" t="inlineStr">
        <is>
          <t>https://www.facebook.com/profile.php?id=61558065184377</t>
        </is>
      </c>
      <c r="D164" s="9" t="inlineStr">
        <is>
          <t>Cần quét Bio Fanpage</t>
        </is>
      </c>
      <c r="E164" s="59" t="inlineStr">
        <is>
          <t>11/10/2026 07:29:19</t>
        </is>
      </c>
      <c r="F164" s="59" t="inlineStr">
        <is>
          <t>1 ngày trước</t>
        </is>
      </c>
      <c r="G164" s="61" t="n">
        <v>1</v>
      </c>
      <c r="H164" s="62" t="n">
        <v>28</v>
      </c>
      <c r="I164" s="9" t="inlineStr">
        <is>
          <t>Pet Boarding / Huấn luyện K9 &amp; Dịch vụ (20-22đ)</t>
        </is>
      </c>
      <c r="J164" s="62" t="n">
        <v>22</v>
      </c>
      <c r="K164" s="9" t="inlineStr">
        <is>
          <t>Chưa rõ giống (Cần quét Bio)</t>
        </is>
      </c>
      <c r="L164" s="62" t="n">
        <v>0</v>
      </c>
      <c r="M164" s="62" t="n">
        <v>5</v>
      </c>
      <c r="N164" s="9" t="inlineStr">
        <is>
          <t>Amazon link not found</t>
        </is>
      </c>
      <c r="O164" s="62">
        <f>IF(N164="Selling pet toys + Artificial grass/Pet toilets (TARGET)",15,IF(N164="Selling artificial grass/pet toilets (TARGET)",10,IF(N164="Selling pet toys",7,IF(N164="There's an Amazon link, but no target sales.",3,0))))</f>
        <v/>
      </c>
      <c r="P164" s="67">
        <f>H164+J164+L164+M164+O164</f>
        <v/>
      </c>
      <c r="Q164" s="70" t="inlineStr">
        <is>
          <t>Excluded: Ngành nghề Khác (Phi Cún cưng)</t>
        </is>
      </c>
      <c r="R164" s="9" t="inlineStr">
        <is>
          <t>Cỏ nhân tạo sân chơi/huấn luyện (Dog Turf) + Đồ chơi nhai chịu lực (KONG/Chew Toys)</t>
        </is>
      </c>
      <c r="S164" s="9" t="inlineStr">
        <is>
          <t>Tuyệt đối không đưa vào CRM (Vi phạm Bộ lọc Âm tính Mục 5)</t>
        </is>
      </c>
    </row>
    <row r="165">
      <c r="A165" s="53" t="n">
        <v>3292</v>
      </c>
      <c r="B165" s="12" t="inlineStr">
        <is>
          <t>VCA Veterinary Specialty &amp; Emergency Center of Kalamazoo</t>
        </is>
      </c>
      <c r="C165" s="54" t="inlineStr">
        <is>
          <t>https://www.facebook.com/VCAVeterinarySpecialtyEmergencyCenterofKalamazoo</t>
        </is>
      </c>
      <c r="D165" s="6" t="inlineStr">
        <is>
          <t>Cần quét Bio Fanpage</t>
        </is>
      </c>
      <c r="E165" s="53" t="inlineStr">
        <is>
          <t>10/10/2026 22:00:01</t>
        </is>
      </c>
      <c r="F165" s="53" t="inlineStr">
        <is>
          <t>2 ngày trước</t>
        </is>
      </c>
      <c r="G165" s="55" t="n">
        <v>2</v>
      </c>
      <c r="H165" s="56" t="n">
        <v>28</v>
      </c>
      <c r="I165" s="6" t="inlineStr">
        <is>
          <t>Pet Boarding / Huấn luyện K9 &amp; Dịch vụ (20-22đ)</t>
        </is>
      </c>
      <c r="J165" s="56" t="n">
        <v>22</v>
      </c>
      <c r="K165" s="6" t="inlineStr">
        <is>
          <t>Chưa rõ giống (Cần quét Bio)</t>
        </is>
      </c>
      <c r="L165" s="56" t="n">
        <v>0</v>
      </c>
      <c r="M165" s="56" t="n">
        <v>5</v>
      </c>
      <c r="N165" s="6" t="inlineStr">
        <is>
          <t>Amazon link not found</t>
        </is>
      </c>
      <c r="O165" s="56">
        <f>IF(N165="Selling pet toys + Artificial grass/Pet toilets (TARGET)",15,IF(N165="Selling artificial grass/pet toilets (TARGET)",10,IF(N165="Selling pet toys",7,IF(N165="There's an Amazon link, but no target sales.",3,0))))</f>
        <v/>
      </c>
      <c r="P165" s="65">
        <f>H165+J165+L165+M165+O165</f>
        <v/>
      </c>
      <c r="Q165" s="71" t="inlineStr">
        <is>
          <t>Excluded: Công ty Gen DNA &amp; Thú y (Mục 5.4)</t>
        </is>
      </c>
      <c r="R165" s="6" t="inlineStr">
        <is>
          <t>Cỏ nhân tạo sân chơi/huấn luyện (Dog Turf) + Đồ chơi nhai chịu lực (KONG/Chew Toys)</t>
        </is>
      </c>
      <c r="S165" s="6" t="inlineStr">
        <is>
          <t>Tuyệt đối không đưa vào CRM (Vi phạm Bộ lọc Âm tính Mục 5)</t>
        </is>
      </c>
    </row>
    <row r="166">
      <c r="A166" s="59" t="n">
        <v>951</v>
      </c>
      <c r="B166" s="15" t="inlineStr">
        <is>
          <t>County of Los Angeles Palmdale Animal Care Center</t>
        </is>
      </c>
      <c r="C166" s="60" t="inlineStr">
        <is>
          <t>https://www.facebook.com/PalmdaleAnimalsLACo</t>
        </is>
      </c>
      <c r="D166" s="9" t="inlineStr">
        <is>
          <t>Cần quét Bio Fanpage</t>
        </is>
      </c>
      <c r="E166" s="59" t="inlineStr">
        <is>
          <t>09/10/2026 07:03:47</t>
        </is>
      </c>
      <c r="F166" s="59" t="inlineStr">
        <is>
          <t>3 ngày trước</t>
        </is>
      </c>
      <c r="G166" s="61" t="n">
        <v>3</v>
      </c>
      <c r="H166" s="62" t="n">
        <v>28</v>
      </c>
      <c r="I166" s="9" t="inlineStr">
        <is>
          <t>Pet Boarding / Huấn luyện K9 &amp; Dịch vụ (20-22đ)</t>
        </is>
      </c>
      <c r="J166" s="62" t="n">
        <v>22</v>
      </c>
      <c r="K166" s="9" t="inlineStr">
        <is>
          <t>Chưa rõ giống (Cần quét Bio)</t>
        </is>
      </c>
      <c r="L166" s="62" t="n">
        <v>0</v>
      </c>
      <c r="M166" s="62" t="n">
        <v>5</v>
      </c>
      <c r="N166" s="9" t="inlineStr">
        <is>
          <t>Amazon link not found</t>
        </is>
      </c>
      <c r="O166" s="62">
        <f>IF(N166="Selling pet toys + Artificial grass/Pet toilets (TARGET)",15,IF(N166="Selling artificial grass/pet toilets (TARGET)",10,IF(N166="Selling pet toys",7,IF(N166="There's an Amazon link, but no target sales.",3,0))))</f>
        <v/>
      </c>
      <c r="P166" s="67">
        <f>H166+J166+L166+M166+O166</f>
        <v/>
      </c>
      <c r="Q166" s="70" t="inlineStr">
        <is>
          <t>Excluded: Trang Chung / Không rõ Ngách Cún cưng</t>
        </is>
      </c>
      <c r="R166" s="9" t="inlineStr">
        <is>
          <t>Cỏ nhân tạo sân chơi/huấn luyện (Dog Turf) + Đồ chơi nhai chịu lực (KONG/Chew Toys)</t>
        </is>
      </c>
      <c r="S166" s="9" t="inlineStr">
        <is>
          <t>Tuyệt đối không đưa vào CRM (Vi phạm Bộ lọc Âm tính Mục 5)</t>
        </is>
      </c>
    </row>
    <row r="167">
      <c r="A167" s="53" t="n">
        <v>419</v>
      </c>
      <c r="B167" s="12" t="inlineStr">
        <is>
          <t>Amory Animal Resource Center</t>
        </is>
      </c>
      <c r="C167" s="54" t="inlineStr">
        <is>
          <t>https://www.facebook.com/profile.php?id=61574830820966</t>
        </is>
      </c>
      <c r="D167" s="6" t="inlineStr">
        <is>
          <t>Cần quét Bio Fanpage</t>
        </is>
      </c>
      <c r="E167" s="53" t="inlineStr">
        <is>
          <t>09/10/2026 06:06:36</t>
        </is>
      </c>
      <c r="F167" s="53" t="inlineStr">
        <is>
          <t>3 ngày trước</t>
        </is>
      </c>
      <c r="G167" s="55" t="n">
        <v>3</v>
      </c>
      <c r="H167" s="56" t="n">
        <v>28</v>
      </c>
      <c r="I167" s="6" t="inlineStr">
        <is>
          <t>Pet Boarding / Huấn luyện K9 &amp; Dịch vụ (20-22đ)</t>
        </is>
      </c>
      <c r="J167" s="56" t="n">
        <v>22</v>
      </c>
      <c r="K167" s="6" t="inlineStr">
        <is>
          <t>Chưa rõ giống (Cần quét Bio)</t>
        </is>
      </c>
      <c r="L167" s="56" t="n">
        <v>0</v>
      </c>
      <c r="M167" s="56" t="n">
        <v>5</v>
      </c>
      <c r="N167" s="6" t="inlineStr">
        <is>
          <t>Amazon link not found</t>
        </is>
      </c>
      <c r="O167" s="56">
        <f>IF(N167="Selling pet toys + Artificial grass/Pet toilets (TARGET)",15,IF(N167="Selling artificial grass/pet toilets (TARGET)",10,IF(N167="Selling pet toys",7,IF(N167="There's an Amazon link, but no target sales.",3,0))))</f>
        <v/>
      </c>
      <c r="P167" s="65">
        <f>H167+J167+L167+M167+O167</f>
        <v/>
      </c>
      <c r="Q167" s="71" t="inlineStr">
        <is>
          <t>Excluded: Trang Chung / Không rõ Ngách Cún cưng</t>
        </is>
      </c>
      <c r="R167" s="6" t="inlineStr">
        <is>
          <t>Cỏ nhân tạo sân chơi/huấn luyện (Dog Turf) + Đồ chơi nhai chịu lực (KONG/Chew Toys)</t>
        </is>
      </c>
      <c r="S167" s="6" t="inlineStr">
        <is>
          <t>Tuyệt đối không đưa vào CRM (Vi phạm Bộ lọc Âm tính Mục 5)</t>
        </is>
      </c>
    </row>
    <row r="168">
      <c r="A168" s="59" t="n">
        <v>55</v>
      </c>
      <c r="B168" s="15" t="inlineStr">
        <is>
          <t>Canadian Kennel Club</t>
        </is>
      </c>
      <c r="C168" s="60" t="inlineStr">
        <is>
          <t>https://www.facebook.com/CKC4thedogs</t>
        </is>
      </c>
      <c r="D168" s="9" t="inlineStr">
        <is>
          <t>Cần quét Bio Fanpage</t>
        </is>
      </c>
      <c r="E168" s="59" t="inlineStr">
        <is>
          <t>08/10/2026 23:03:33</t>
        </is>
      </c>
      <c r="F168" s="59" t="inlineStr">
        <is>
          <t>4 ngày trước</t>
        </is>
      </c>
      <c r="G168" s="61" t="n">
        <v>4</v>
      </c>
      <c r="H168" s="62" t="n">
        <v>20</v>
      </c>
      <c r="I168" s="9" t="inlineStr">
        <is>
          <t>Dog Breeder / Trại chó chuyên nghiệp (28-30đ)</t>
        </is>
      </c>
      <c r="J168" s="62" t="n">
        <v>30</v>
      </c>
      <c r="K168" s="9" t="inlineStr">
        <is>
          <t>Chưa rõ giống (Cần quét Bio)</t>
        </is>
      </c>
      <c r="L168" s="62" t="n">
        <v>0</v>
      </c>
      <c r="M168" s="62" t="n">
        <v>5</v>
      </c>
      <c r="N168" s="9" t="inlineStr">
        <is>
          <t>Amazon link not found</t>
        </is>
      </c>
      <c r="O168" s="62">
        <f>IF(N168="Selling pet toys + Artificial grass/Pet toilets (TARGET)",15,IF(N168="Selling artificial grass/pet toilets (TARGET)",10,IF(N168="Selling pet toys",7,IF(N168="There's an Amazon link, but no target sales.",3,0))))</f>
        <v/>
      </c>
      <c r="P168" s="67">
        <f>H168+J168+L168+M168+O168</f>
        <v/>
      </c>
      <c r="Q168" s="70" t="inlineStr">
        <is>
          <t>Excluded: Hiệp hội &amp; CLB Phả hệ (Mục 5.1)</t>
        </is>
      </c>
      <c r="R168" s="9" t="inlineStr">
        <is>
          <t>Trọn gói Take-Home Starter Kit V2/V3 (Cỏ nhân tạo + Khay Potty + Đồ chơi Teething/Snuggle)</t>
        </is>
      </c>
      <c r="S168" s="9" t="inlineStr">
        <is>
          <t>Tuyệt đối không đưa vào CRM (Vi phạm Bộ lọc Âm tính Mục 5)</t>
        </is>
      </c>
    </row>
    <row r="169">
      <c r="A169" s="53" t="n">
        <v>2213</v>
      </c>
      <c r="B169" s="12" t="inlineStr">
        <is>
          <t>Morris and Essex Kennel Club</t>
        </is>
      </c>
      <c r="C169" s="54" t="inlineStr">
        <is>
          <t>https://www.facebook.com/MorrisandEssexKennelClub</t>
        </is>
      </c>
      <c r="D169" s="6" t="inlineStr">
        <is>
          <t>Cần quét Bio Fanpage</t>
        </is>
      </c>
      <c r="E169" s="53" t="inlineStr">
        <is>
          <t>07/10/2026 23:34:55</t>
        </is>
      </c>
      <c r="F169" s="53" t="inlineStr">
        <is>
          <t>5 ngày trước</t>
        </is>
      </c>
      <c r="G169" s="55" t="n">
        <v>5</v>
      </c>
      <c r="H169" s="56" t="n">
        <v>20</v>
      </c>
      <c r="I169" s="6" t="inlineStr">
        <is>
          <t>Dog Breeder / Trại chó chuyên nghiệp (28-30đ)</t>
        </is>
      </c>
      <c r="J169" s="56" t="n">
        <v>30</v>
      </c>
      <c r="K169" s="6" t="inlineStr">
        <is>
          <t>Chưa rõ giống (Cần quét Bio)</t>
        </is>
      </c>
      <c r="L169" s="56" t="n">
        <v>0</v>
      </c>
      <c r="M169" s="56" t="n">
        <v>5</v>
      </c>
      <c r="N169" s="6" t="inlineStr">
        <is>
          <t>Amazon link not found</t>
        </is>
      </c>
      <c r="O169" s="56">
        <f>IF(N169="Selling pet toys + Artificial grass/Pet toilets (TARGET)",15,IF(N169="Selling artificial grass/pet toilets (TARGET)",10,IF(N169="Selling pet toys",7,IF(N169="There's an Amazon link, but no target sales.",3,0))))</f>
        <v/>
      </c>
      <c r="P169" s="65">
        <f>H169+J169+L169+M169+O169</f>
        <v/>
      </c>
      <c r="Q169" s="71" t="inlineStr">
        <is>
          <t>Excluded: Hiệp hội &amp; CLB Phả hệ (Mục 5.1)</t>
        </is>
      </c>
      <c r="R169" s="6" t="inlineStr">
        <is>
          <t>Trọn gói Take-Home Starter Kit V2/V3 (Cỏ nhân tạo + Khay Potty + Đồ chơi Teething/Snuggle)</t>
        </is>
      </c>
      <c r="S169" s="6" t="inlineStr">
        <is>
          <t>Tuyệt đối không đưa vào CRM (Vi phạm Bộ lọc Âm tính Mục 5)</t>
        </is>
      </c>
    </row>
    <row r="170">
      <c r="A170" s="59" t="n">
        <v>2829</v>
      </c>
      <c r="B170" s="15" t="inlineStr">
        <is>
          <t>Saratoga New York Kennel Club</t>
        </is>
      </c>
      <c r="C170" s="60" t="inlineStr">
        <is>
          <t>https://www.facebook.com/saratoganewyorkkennelclub</t>
        </is>
      </c>
      <c r="D170" s="9" t="inlineStr">
        <is>
          <t>Cần quét Bio Fanpage</t>
        </is>
      </c>
      <c r="E170" s="59" t="inlineStr">
        <is>
          <t>07/10/2026 18:55:06</t>
        </is>
      </c>
      <c r="F170" s="59" t="inlineStr">
        <is>
          <t>5 ngày trước</t>
        </is>
      </c>
      <c r="G170" s="61" t="n">
        <v>5</v>
      </c>
      <c r="H170" s="62" t="n">
        <v>20</v>
      </c>
      <c r="I170" s="9" t="inlineStr">
        <is>
          <t>Dog Breeder / Trại chó chuyên nghiệp (28-30đ)</t>
        </is>
      </c>
      <c r="J170" s="62" t="n">
        <v>30</v>
      </c>
      <c r="K170" s="9" t="inlineStr">
        <is>
          <t>Chưa rõ giống (Cần quét Bio)</t>
        </is>
      </c>
      <c r="L170" s="62" t="n">
        <v>0</v>
      </c>
      <c r="M170" s="62" t="n">
        <v>5</v>
      </c>
      <c r="N170" s="9" t="inlineStr">
        <is>
          <t>Amazon link not found</t>
        </is>
      </c>
      <c r="O170" s="62">
        <f>IF(N170="Selling pet toys + Artificial grass/Pet toilets (TARGET)",15,IF(N170="Selling artificial grass/pet toilets (TARGET)",10,IF(N170="Selling pet toys",7,IF(N170="There's an Amazon link, but no target sales.",3,0))))</f>
        <v/>
      </c>
      <c r="P170" s="67">
        <f>H170+J170+L170+M170+O170</f>
        <v/>
      </c>
      <c r="Q170" s="70" t="inlineStr">
        <is>
          <t>Excluded: Hiệp hội &amp; CLB Phả hệ (Mục 5.1)</t>
        </is>
      </c>
      <c r="R170" s="9" t="inlineStr">
        <is>
          <t>Trọn gói Take-Home Starter Kit V2/V3 (Cỏ nhân tạo + Khay Potty + Đồ chơi Teething/Snuggle)</t>
        </is>
      </c>
      <c r="S170" s="9" t="inlineStr">
        <is>
          <t>Tuyệt đối không đưa vào CRM (Vi phạm Bộ lọc Âm tính Mục 5)</t>
        </is>
      </c>
    </row>
    <row r="171">
      <c r="A171" s="53" t="n">
        <v>3056</v>
      </c>
      <c r="B171" s="12" t="inlineStr">
        <is>
          <t>Tampa Bay Kennel Club</t>
        </is>
      </c>
      <c r="C171" s="54" t="inlineStr">
        <is>
          <t>https://www.facebook.com/profile.php?id=100064575348706</t>
        </is>
      </c>
      <c r="D171" s="6" t="inlineStr">
        <is>
          <t>Cần quét Bio Fanpage</t>
        </is>
      </c>
      <c r="E171" s="53" t="inlineStr">
        <is>
          <t>07/10/2026 13:14:37</t>
        </is>
      </c>
      <c r="F171" s="53" t="inlineStr">
        <is>
          <t>5 ngày trước</t>
        </is>
      </c>
      <c r="G171" s="55" t="n">
        <v>5</v>
      </c>
      <c r="H171" s="56" t="n">
        <v>20</v>
      </c>
      <c r="I171" s="6" t="inlineStr">
        <is>
          <t>Dog Breeder / Trại chó chuyên nghiệp (28-30đ)</t>
        </is>
      </c>
      <c r="J171" s="56" t="n">
        <v>30</v>
      </c>
      <c r="K171" s="6" t="inlineStr">
        <is>
          <t>Chưa rõ giống (Cần quét Bio)</t>
        </is>
      </c>
      <c r="L171" s="56" t="n">
        <v>0</v>
      </c>
      <c r="M171" s="56" t="n">
        <v>5</v>
      </c>
      <c r="N171" s="6" t="inlineStr">
        <is>
          <t>Amazon link not found</t>
        </is>
      </c>
      <c r="O171" s="56">
        <f>IF(N171="Selling pet toys + Artificial grass/Pet toilets (TARGET)",15,IF(N171="Selling artificial grass/pet toilets (TARGET)",10,IF(N171="Selling pet toys",7,IF(N171="There's an Amazon link, but no target sales.",3,0))))</f>
        <v/>
      </c>
      <c r="P171" s="65">
        <f>H171+J171+L171+M171+O171</f>
        <v/>
      </c>
      <c r="Q171" s="71" t="inlineStr">
        <is>
          <t>Excluded: Hiệp hội &amp; CLB Phả hệ (Mục 5.1)</t>
        </is>
      </c>
      <c r="R171" s="6" t="inlineStr">
        <is>
          <t>Trọn gói Take-Home Starter Kit V2/V3 (Cỏ nhân tạo + Khay Potty + Đồ chơi Teething/Snuggle)</t>
        </is>
      </c>
      <c r="S171" s="6" t="inlineStr">
        <is>
          <t>Tuyệt đối không đưa vào CRM (Vi phạm Bộ lọc Âm tính Mục 5)</t>
        </is>
      </c>
    </row>
    <row r="172">
      <c r="A172" s="59" t="n">
        <v>3144</v>
      </c>
      <c r="B172" s="15" t="inlineStr">
        <is>
          <t>The Ottawa Kennel Club</t>
        </is>
      </c>
      <c r="C172" s="60" t="inlineStr">
        <is>
          <t>https://www.facebook.com/Ottawakennelclub</t>
        </is>
      </c>
      <c r="D172" s="9" t="inlineStr">
        <is>
          <t>Cần quét Bio Fanpage</t>
        </is>
      </c>
      <c r="E172" s="59" t="inlineStr">
        <is>
          <t>06/10/2026 20:45:41</t>
        </is>
      </c>
      <c r="F172" s="59" t="inlineStr">
        <is>
          <t>6 ngày trước</t>
        </is>
      </c>
      <c r="G172" s="61" t="n">
        <v>6</v>
      </c>
      <c r="H172" s="62" t="n">
        <v>20</v>
      </c>
      <c r="I172" s="9" t="inlineStr">
        <is>
          <t>Dog Breeder / Trại chó chuyên nghiệp (28-30đ)</t>
        </is>
      </c>
      <c r="J172" s="62" t="n">
        <v>30</v>
      </c>
      <c r="K172" s="9" t="inlineStr">
        <is>
          <t>Chưa rõ giống (Cần quét Bio)</t>
        </is>
      </c>
      <c r="L172" s="62" t="n">
        <v>0</v>
      </c>
      <c r="M172" s="62" t="n">
        <v>5</v>
      </c>
      <c r="N172" s="9" t="inlineStr">
        <is>
          <t>Amazon link not found</t>
        </is>
      </c>
      <c r="O172" s="62">
        <f>IF(N172="Selling pet toys + Artificial grass/Pet toilets (TARGET)",15,IF(N172="Selling artificial grass/pet toilets (TARGET)",10,IF(N172="Selling pet toys",7,IF(N172="There's an Amazon link, but no target sales.",3,0))))</f>
        <v/>
      </c>
      <c r="P172" s="67">
        <f>H172+J172+L172+M172+O172</f>
        <v/>
      </c>
      <c r="Q172" s="70" t="inlineStr">
        <is>
          <t>Excluded: Hiệp hội &amp; CLB Phả hệ (Mục 5.1)</t>
        </is>
      </c>
      <c r="R172" s="9" t="inlineStr">
        <is>
          <t>Trọn gói Take-Home Starter Kit V2/V3 (Cỏ nhân tạo + Khay Potty + Đồ chơi Teething/Snuggle)</t>
        </is>
      </c>
      <c r="S172" s="9" t="inlineStr">
        <is>
          <t>Tuyệt đối không đưa vào CRM (Vi phạm Bộ lọc Âm tính Mục 5)</t>
        </is>
      </c>
    </row>
    <row r="173">
      <c r="A173" s="53" t="n">
        <v>2815</v>
      </c>
      <c r="B173" s="12" t="inlineStr">
        <is>
          <t>Salta Kennel Club</t>
        </is>
      </c>
      <c r="C173" s="54" t="inlineStr">
        <is>
          <t>https://www.facebook.com/saltakennelclub</t>
        </is>
      </c>
      <c r="D173" s="6" t="inlineStr">
        <is>
          <t>Cần quét Bio Fanpage</t>
        </is>
      </c>
      <c r="E173" s="53" t="inlineStr">
        <is>
          <t>06/10/2026 06:58:48</t>
        </is>
      </c>
      <c r="F173" s="53" t="inlineStr">
        <is>
          <t>6 ngày trước</t>
        </is>
      </c>
      <c r="G173" s="55" t="n">
        <v>6</v>
      </c>
      <c r="H173" s="56" t="n">
        <v>20</v>
      </c>
      <c r="I173" s="6" t="inlineStr">
        <is>
          <t>Dog Breeder / Trại chó chuyên nghiệp (28-30đ)</t>
        </is>
      </c>
      <c r="J173" s="56" t="n">
        <v>30</v>
      </c>
      <c r="K173" s="6" t="inlineStr">
        <is>
          <t>Chưa rõ giống (Cần quét Bio)</t>
        </is>
      </c>
      <c r="L173" s="56" t="n">
        <v>0</v>
      </c>
      <c r="M173" s="56" t="n">
        <v>5</v>
      </c>
      <c r="N173" s="6" t="inlineStr">
        <is>
          <t>Amazon link not found</t>
        </is>
      </c>
      <c r="O173" s="56">
        <f>IF(N173="Selling pet toys + Artificial grass/Pet toilets (TARGET)",15,IF(N173="Selling artificial grass/pet toilets (TARGET)",10,IF(N173="Selling pet toys",7,IF(N173="There's an Amazon link, but no target sales.",3,0))))</f>
        <v/>
      </c>
      <c r="P173" s="65">
        <f>H173+J173+L173+M173+O173</f>
        <v/>
      </c>
      <c r="Q173" s="71" t="inlineStr">
        <is>
          <t>Excluded: Hiệp hội &amp; CLB Phả hệ (Mục 5.1)</t>
        </is>
      </c>
      <c r="R173" s="6" t="inlineStr">
        <is>
          <t>Trọn gói Take-Home Starter Kit V2/V3 (Cỏ nhân tạo + Khay Potty + Đồ chơi Teething/Snuggle)</t>
        </is>
      </c>
      <c r="S173" s="6" t="inlineStr">
        <is>
          <t>Tuyệt đối không đưa vào CRM (Vi phạm Bộ lọc Âm tính Mục 5)</t>
        </is>
      </c>
    </row>
    <row r="174">
      <c r="A174" s="59" t="n">
        <v>1875</v>
      </c>
      <c r="B174" s="15" t="inlineStr">
        <is>
          <t>Kennel Club Jujuy</t>
        </is>
      </c>
      <c r="C174" s="60" t="inlineStr">
        <is>
          <t>https://www.facebook.com/jujuy.kennel</t>
        </is>
      </c>
      <c r="D174" s="9" t="inlineStr">
        <is>
          <t>Cần quét Bio Fanpage</t>
        </is>
      </c>
      <c r="E174" s="59" t="inlineStr">
        <is>
          <t>06/10/2026 02:34:04</t>
        </is>
      </c>
      <c r="F174" s="59" t="inlineStr">
        <is>
          <t>1 tuần trước</t>
        </is>
      </c>
      <c r="G174" s="61" t="n">
        <v>7</v>
      </c>
      <c r="H174" s="62" t="n">
        <v>20</v>
      </c>
      <c r="I174" s="9" t="inlineStr">
        <is>
          <t>Dog Breeder / Trại chó chuyên nghiệp (28-30đ)</t>
        </is>
      </c>
      <c r="J174" s="62" t="n">
        <v>30</v>
      </c>
      <c r="K174" s="9" t="inlineStr">
        <is>
          <t>Chưa rõ giống (Cần quét Bio)</t>
        </is>
      </c>
      <c r="L174" s="62" t="n">
        <v>0</v>
      </c>
      <c r="M174" s="62" t="n">
        <v>5</v>
      </c>
      <c r="N174" s="9" t="inlineStr">
        <is>
          <t>Amazon link not found</t>
        </is>
      </c>
      <c r="O174" s="62">
        <f>IF(N174="Selling pet toys + Artificial grass/Pet toilets (TARGET)",15,IF(N174="Selling artificial grass/pet toilets (TARGET)",10,IF(N174="Selling pet toys",7,IF(N174="There's an Amazon link, but no target sales.",3,0))))</f>
        <v/>
      </c>
      <c r="P174" s="67">
        <f>H174+J174+L174+M174+O174</f>
        <v/>
      </c>
      <c r="Q174" s="70" t="inlineStr">
        <is>
          <t>Excluded: Hiệp hội &amp; CLB Phả hệ (Mục 5.1)</t>
        </is>
      </c>
      <c r="R174" s="9" t="inlineStr">
        <is>
          <t>Trọn gói Take-Home Starter Kit V2/V3 (Cỏ nhân tạo + Khay Potty + Đồ chơi Teething/Snuggle)</t>
        </is>
      </c>
      <c r="S174" s="9" t="inlineStr">
        <is>
          <t>Tuyệt đối không đưa vào CRM (Vi phạm Bộ lọc Âm tính Mục 5)</t>
        </is>
      </c>
    </row>
    <row r="175">
      <c r="A175" s="53" t="n">
        <v>2847</v>
      </c>
      <c r="B175" s="12" t="inlineStr">
        <is>
          <t>Scottish Kennel Club</t>
        </is>
      </c>
      <c r="C175" s="54" t="inlineStr">
        <is>
          <t>https://www.facebook.com/scottishkennelclub</t>
        </is>
      </c>
      <c r="D175" s="6" t="inlineStr">
        <is>
          <t>Cần quét Bio Fanpage</t>
        </is>
      </c>
      <c r="E175" s="53" t="inlineStr">
        <is>
          <t>05/10/2026 22:21:09</t>
        </is>
      </c>
      <c r="F175" s="53" t="inlineStr">
        <is>
          <t>1 tuần trước</t>
        </is>
      </c>
      <c r="G175" s="55" t="n">
        <v>7</v>
      </c>
      <c r="H175" s="56" t="n">
        <v>20</v>
      </c>
      <c r="I175" s="6" t="inlineStr">
        <is>
          <t>Dog Breeder / Trại chó chuyên nghiệp (28-30đ)</t>
        </is>
      </c>
      <c r="J175" s="56" t="n">
        <v>30</v>
      </c>
      <c r="K175" s="6" t="inlineStr">
        <is>
          <t>Chưa rõ giống (Cần quét Bio)</t>
        </is>
      </c>
      <c r="L175" s="56" t="n">
        <v>0</v>
      </c>
      <c r="M175" s="56" t="n">
        <v>5</v>
      </c>
      <c r="N175" s="6" t="inlineStr">
        <is>
          <t>Amazon link not found</t>
        </is>
      </c>
      <c r="O175" s="56">
        <f>IF(N175="Selling pet toys + Artificial grass/Pet toilets (TARGET)",15,IF(N175="Selling artificial grass/pet toilets (TARGET)",10,IF(N175="Selling pet toys",7,IF(N175="There's an Amazon link, but no target sales.",3,0))))</f>
        <v/>
      </c>
      <c r="P175" s="65">
        <f>H175+J175+L175+M175+O175</f>
        <v/>
      </c>
      <c r="Q175" s="71" t="inlineStr">
        <is>
          <t>Excluded: Hiệp hội &amp; CLB Phả hệ (Mục 5.1)</t>
        </is>
      </c>
      <c r="R175" s="6" t="inlineStr">
        <is>
          <t>Trọn gói Take-Home Starter Kit V2/V3 (Cỏ nhân tạo + Khay Potty + Đồ chơi Teething/Snuggle)</t>
        </is>
      </c>
      <c r="S175" s="6" t="inlineStr">
        <is>
          <t>Tuyệt đối không đưa vào CRM (Vi phạm Bộ lọc Âm tính Mục 5)</t>
        </is>
      </c>
    </row>
    <row r="176">
      <c r="A176" s="59" t="n">
        <v>3002</v>
      </c>
      <c r="B176" s="15" t="inlineStr">
        <is>
          <t>Stone City Kennel Club</t>
        </is>
      </c>
      <c r="C176" s="60" t="inlineStr">
        <is>
          <t>https://www.facebook.com/profile.php?id=100049057791778</t>
        </is>
      </c>
      <c r="D176" s="9" t="inlineStr">
        <is>
          <t>Cần quét Bio Fanpage</t>
        </is>
      </c>
      <c r="E176" s="59" t="inlineStr">
        <is>
          <t>05/10/2026 21:32:10</t>
        </is>
      </c>
      <c r="F176" s="59" t="inlineStr">
        <is>
          <t>1 tuần trước</t>
        </is>
      </c>
      <c r="G176" s="61" t="n">
        <v>7</v>
      </c>
      <c r="H176" s="62" t="n">
        <v>20</v>
      </c>
      <c r="I176" s="9" t="inlineStr">
        <is>
          <t>Dog Breeder / Trại chó chuyên nghiệp (28-30đ)</t>
        </is>
      </c>
      <c r="J176" s="62" t="n">
        <v>30</v>
      </c>
      <c r="K176" s="9" t="inlineStr">
        <is>
          <t>Chưa rõ giống (Cần quét Bio)</t>
        </is>
      </c>
      <c r="L176" s="62" t="n">
        <v>0</v>
      </c>
      <c r="M176" s="62" t="n">
        <v>5</v>
      </c>
      <c r="N176" s="9" t="inlineStr">
        <is>
          <t>Amazon link not found</t>
        </is>
      </c>
      <c r="O176" s="62">
        <f>IF(N176="Selling pet toys + Artificial grass/Pet toilets (TARGET)",15,IF(N176="Selling artificial grass/pet toilets (TARGET)",10,IF(N176="Selling pet toys",7,IF(N176="There's an Amazon link, but no target sales.",3,0))))</f>
        <v/>
      </c>
      <c r="P176" s="67">
        <f>H176+J176+L176+M176+O176</f>
        <v/>
      </c>
      <c r="Q176" s="70" t="inlineStr">
        <is>
          <t>Excluded: Hiệp hội &amp; CLB Phả hệ (Mục 5.1)</t>
        </is>
      </c>
      <c r="R176" s="9" t="inlineStr">
        <is>
          <t>Trọn gói Take-Home Starter Kit V2/V3 (Cỏ nhân tạo + Khay Potty + Đồ chơi Teething/Snuggle)</t>
        </is>
      </c>
      <c r="S176" s="9" t="inlineStr">
        <is>
          <t>Tuyệt đối không đưa vào CRM (Vi phạm Bộ lọc Âm tính Mục 5)</t>
        </is>
      </c>
    </row>
    <row r="177">
      <c r="A177" s="53" t="n">
        <v>104</v>
      </c>
      <c r="B177" s="12" t="inlineStr">
        <is>
          <t>Asociatia Chinologica Romana - Romanian Kennel Club</t>
        </is>
      </c>
      <c r="C177" s="54" t="inlineStr">
        <is>
          <t>https://www.facebook.com/AsociatiaChinologicaRomanaACHR</t>
        </is>
      </c>
      <c r="D177" s="6" t="inlineStr">
        <is>
          <t>Cần quét Bio Fanpage</t>
        </is>
      </c>
      <c r="E177" s="53" t="inlineStr">
        <is>
          <t>05/10/2026 18:59:13</t>
        </is>
      </c>
      <c r="F177" s="53" t="inlineStr">
        <is>
          <t>1 tuần trước</t>
        </is>
      </c>
      <c r="G177" s="55" t="n">
        <v>7</v>
      </c>
      <c r="H177" s="56" t="n">
        <v>20</v>
      </c>
      <c r="I177" s="6" t="inlineStr">
        <is>
          <t>Dog Breeder / Trại chó chuyên nghiệp (28-30đ)</t>
        </is>
      </c>
      <c r="J177" s="56" t="n">
        <v>30</v>
      </c>
      <c r="K177" s="6" t="inlineStr">
        <is>
          <t>Chưa rõ giống (Cần quét Bio)</t>
        </is>
      </c>
      <c r="L177" s="56" t="n">
        <v>0</v>
      </c>
      <c r="M177" s="56" t="n">
        <v>5</v>
      </c>
      <c r="N177" s="6" t="inlineStr">
        <is>
          <t>Amazon link not found</t>
        </is>
      </c>
      <c r="O177" s="56">
        <f>IF(N177="Selling pet toys + Artificial grass/Pet toilets (TARGET)",15,IF(N177="Selling artificial grass/pet toilets (TARGET)",10,IF(N177="Selling pet toys",7,IF(N177="There's an Amazon link, but no target sales.",3,0))))</f>
        <v/>
      </c>
      <c r="P177" s="65">
        <f>H177+J177+L177+M177+O177</f>
        <v/>
      </c>
      <c r="Q177" s="71" t="inlineStr">
        <is>
          <t>Excluded: Hiệp hội &amp; CLB Phả hệ (Mục 5.1)</t>
        </is>
      </c>
      <c r="R177" s="6" t="inlineStr">
        <is>
          <t>Trọn gói Take-Home Starter Kit V2/V3 (Cỏ nhân tạo + Khay Potty + Đồ chơi Teething/Snuggle)</t>
        </is>
      </c>
      <c r="S177" s="6" t="inlineStr">
        <is>
          <t>Tuyệt đối không đưa vào CRM (Vi phạm Bộ lọc Âm tính Mục 5)</t>
        </is>
      </c>
    </row>
    <row r="178">
      <c r="A178" s="59" t="n">
        <v>682</v>
      </c>
      <c r="B178" s="15" t="inlineStr">
        <is>
          <t>Birmingham Kennel Club</t>
        </is>
      </c>
      <c r="C178" s="60" t="inlineStr">
        <is>
          <t>https://www.facebook.com/birminghamkc</t>
        </is>
      </c>
      <c r="D178" s="9" t="inlineStr">
        <is>
          <t>Cần quét Bio Fanpage</t>
        </is>
      </c>
      <c r="E178" s="59" t="inlineStr">
        <is>
          <t>03/10/2026 02:29:25</t>
        </is>
      </c>
      <c r="F178" s="59" t="inlineStr">
        <is>
          <t>1 tuần trước</t>
        </is>
      </c>
      <c r="G178" s="61" t="n">
        <v>7</v>
      </c>
      <c r="H178" s="62" t="n">
        <v>20</v>
      </c>
      <c r="I178" s="9" t="inlineStr">
        <is>
          <t>Dog Breeder / Trại chó chuyên nghiệp (28-30đ)</t>
        </is>
      </c>
      <c r="J178" s="62" t="n">
        <v>30</v>
      </c>
      <c r="K178" s="9" t="inlineStr">
        <is>
          <t>Chưa rõ giống (Cần quét Bio)</t>
        </is>
      </c>
      <c r="L178" s="62" t="n">
        <v>0</v>
      </c>
      <c r="M178" s="62" t="n">
        <v>5</v>
      </c>
      <c r="N178" s="9" t="inlineStr">
        <is>
          <t>Amazon link not found</t>
        </is>
      </c>
      <c r="O178" s="62">
        <f>IF(N178="Selling pet toys + Artificial grass/Pet toilets (TARGET)",15,IF(N178="Selling artificial grass/pet toilets (TARGET)",10,IF(N178="Selling pet toys",7,IF(N178="There's an Amazon link, but no target sales.",3,0))))</f>
        <v/>
      </c>
      <c r="P178" s="67">
        <f>H178+J178+L178+M178+O178</f>
        <v/>
      </c>
      <c r="Q178" s="70" t="inlineStr">
        <is>
          <t>Excluded: Hiệp hội &amp; CLB Phả hệ (Mục 5.1)</t>
        </is>
      </c>
      <c r="R178" s="9" t="inlineStr">
        <is>
          <t>Trọn gói Take-Home Starter Kit V2/V3 (Cỏ nhân tạo + Khay Potty + Đồ chơi Teething/Snuggle)</t>
        </is>
      </c>
      <c r="S178" s="9" t="inlineStr">
        <is>
          <t>Tuyệt đối không đưa vào CRM (Vi phạm Bộ lọc Âm tính Mục 5)</t>
        </is>
      </c>
    </row>
    <row r="179">
      <c r="A179" s="53" t="n">
        <v>2727</v>
      </c>
      <c r="B179" s="12" t="inlineStr">
        <is>
          <t>Reno Kennel Club</t>
        </is>
      </c>
      <c r="C179" s="54" t="inlineStr">
        <is>
          <t>https://www.facebook.com/renokennelclub</t>
        </is>
      </c>
      <c r="D179" s="6" t="inlineStr">
        <is>
          <t>Cần quét Bio Fanpage</t>
        </is>
      </c>
      <c r="E179" s="53" t="inlineStr">
        <is>
          <t>02/10/2026 23:30:11</t>
        </is>
      </c>
      <c r="F179" s="53" t="inlineStr">
        <is>
          <t>1 tuần trước</t>
        </is>
      </c>
      <c r="G179" s="55" t="n">
        <v>7</v>
      </c>
      <c r="H179" s="56" t="n">
        <v>20</v>
      </c>
      <c r="I179" s="6" t="inlineStr">
        <is>
          <t>Dog Breeder / Trại chó chuyên nghiệp (28-30đ)</t>
        </is>
      </c>
      <c r="J179" s="56" t="n">
        <v>30</v>
      </c>
      <c r="K179" s="6" t="inlineStr">
        <is>
          <t>Chưa rõ giống (Cần quét Bio)</t>
        </is>
      </c>
      <c r="L179" s="56" t="n">
        <v>0</v>
      </c>
      <c r="M179" s="56" t="n">
        <v>5</v>
      </c>
      <c r="N179" s="6" t="inlineStr">
        <is>
          <t>Amazon link not found</t>
        </is>
      </c>
      <c r="O179" s="56">
        <f>IF(N179="Selling pet toys + Artificial grass/Pet toilets (TARGET)",15,IF(N179="Selling artificial grass/pet toilets (TARGET)",10,IF(N179="Selling pet toys",7,IF(N179="There's an Amazon link, but no target sales.",3,0))))</f>
        <v/>
      </c>
      <c r="P179" s="65">
        <f>H179+J179+L179+M179+O179</f>
        <v/>
      </c>
      <c r="Q179" s="71" t="inlineStr">
        <is>
          <t>Excluded: Hiệp hội &amp; CLB Phả hệ (Mục 5.1)</t>
        </is>
      </c>
      <c r="R179" s="6" t="inlineStr">
        <is>
          <t>Trọn gói Take-Home Starter Kit V2/V3 (Cỏ nhân tạo + Khay Potty + Đồ chơi Teething/Snuggle)</t>
        </is>
      </c>
      <c r="S179" s="6" t="inlineStr">
        <is>
          <t>Tuyệt đối không đưa vào CRM (Vi phạm Bộ lọc Âm tính Mục 5)</t>
        </is>
      </c>
    </row>
    <row r="180">
      <c r="A180" s="59" t="n">
        <v>911</v>
      </c>
      <c r="B180" s="15" t="inlineStr">
        <is>
          <t>Clemson Kennel Club</t>
        </is>
      </c>
      <c r="C180" s="60" t="inlineStr">
        <is>
          <t>https://www.facebook.com/clemsonkennelclub</t>
        </is>
      </c>
      <c r="D180" s="9" t="inlineStr">
        <is>
          <t>Cần quét Bio Fanpage</t>
        </is>
      </c>
      <c r="E180" s="59" t="inlineStr">
        <is>
          <t>02/10/2026 22:53:13</t>
        </is>
      </c>
      <c r="F180" s="59" t="inlineStr">
        <is>
          <t>1 tuần trước</t>
        </is>
      </c>
      <c r="G180" s="61" t="n">
        <v>7</v>
      </c>
      <c r="H180" s="62" t="n">
        <v>20</v>
      </c>
      <c r="I180" s="9" t="inlineStr">
        <is>
          <t>Dog Breeder / Trại chó chuyên nghiệp (28-30đ)</t>
        </is>
      </c>
      <c r="J180" s="62" t="n">
        <v>30</v>
      </c>
      <c r="K180" s="9" t="inlineStr">
        <is>
          <t>Chưa rõ giống (Cần quét Bio)</t>
        </is>
      </c>
      <c r="L180" s="62" t="n">
        <v>0</v>
      </c>
      <c r="M180" s="62" t="n">
        <v>5</v>
      </c>
      <c r="N180" s="9" t="inlineStr">
        <is>
          <t>Amazon link not found</t>
        </is>
      </c>
      <c r="O180" s="62">
        <f>IF(N180="Selling pet toys + Artificial grass/Pet toilets (TARGET)",15,IF(N180="Selling artificial grass/pet toilets (TARGET)",10,IF(N180="Selling pet toys",7,IF(N180="There's an Amazon link, but no target sales.",3,0))))</f>
        <v/>
      </c>
      <c r="P180" s="67">
        <f>H180+J180+L180+M180+O180</f>
        <v/>
      </c>
      <c r="Q180" s="70" t="inlineStr">
        <is>
          <t>Excluded: Hiệp hội &amp; CLB Phả hệ (Mục 5.1)</t>
        </is>
      </c>
      <c r="R180" s="9" t="inlineStr">
        <is>
          <t>Trọn gói Take-Home Starter Kit V2/V3 (Cỏ nhân tạo + Khay Potty + Đồ chơi Teething/Snuggle)</t>
        </is>
      </c>
      <c r="S180" s="9" t="inlineStr">
        <is>
          <t>Tuyệt đối không đưa vào CRM (Vi phạm Bộ lọc Âm tính Mục 5)</t>
        </is>
      </c>
    </row>
    <row r="181">
      <c r="A181" s="53" t="n">
        <v>889</v>
      </c>
      <c r="B181" s="12" t="inlineStr">
        <is>
          <t>Cheyenne Kennel Club</t>
        </is>
      </c>
      <c r="C181" s="54" t="inlineStr">
        <is>
          <t>https://www.facebook.com/CheyenneKennelClub</t>
        </is>
      </c>
      <c r="D181" s="6" t="inlineStr">
        <is>
          <t>Cần quét Bio Fanpage</t>
        </is>
      </c>
      <c r="E181" s="53" t="inlineStr">
        <is>
          <t>01/10/2026 05:35:49</t>
        </is>
      </c>
      <c r="F181" s="53" t="inlineStr">
        <is>
          <t>1 tuần trước</t>
        </is>
      </c>
      <c r="G181" s="55" t="n">
        <v>7</v>
      </c>
      <c r="H181" s="56" t="n">
        <v>20</v>
      </c>
      <c r="I181" s="6" t="inlineStr">
        <is>
          <t>Dog Breeder / Trại chó chuyên nghiệp (28-30đ)</t>
        </is>
      </c>
      <c r="J181" s="56" t="n">
        <v>30</v>
      </c>
      <c r="K181" s="6" t="inlineStr">
        <is>
          <t>Chưa rõ giống (Cần quét Bio)</t>
        </is>
      </c>
      <c r="L181" s="56" t="n">
        <v>0</v>
      </c>
      <c r="M181" s="56" t="n">
        <v>5</v>
      </c>
      <c r="N181" s="6" t="inlineStr">
        <is>
          <t>Amazon link not found</t>
        </is>
      </c>
      <c r="O181" s="56">
        <f>IF(N181="Selling pet toys + Artificial grass/Pet toilets (TARGET)",15,IF(N181="Selling artificial grass/pet toilets (TARGET)",10,IF(N181="Selling pet toys",7,IF(N181="There's an Amazon link, but no target sales.",3,0))))</f>
        <v/>
      </c>
      <c r="P181" s="65">
        <f>H181+J181+L181+M181+O181</f>
        <v/>
      </c>
      <c r="Q181" s="71" t="inlineStr">
        <is>
          <t>Excluded: Hiệp hội &amp; CLB Phả hệ (Mục 5.1)</t>
        </is>
      </c>
      <c r="R181" s="6" t="inlineStr">
        <is>
          <t>Trọn gói Take-Home Starter Kit V2/V3 (Cỏ nhân tạo + Khay Potty + Đồ chơi Teething/Snuggle)</t>
        </is>
      </c>
      <c r="S181" s="6" t="inlineStr">
        <is>
          <t>Tuyệt đối không đưa vào CRM (Vi phạm Bộ lọc Âm tính Mục 5)</t>
        </is>
      </c>
    </row>
    <row r="182">
      <c r="A182" s="59" t="n">
        <v>720</v>
      </c>
      <c r="B182" s="15" t="inlineStr">
        <is>
          <t>Bonanza Kennel Club</t>
        </is>
      </c>
      <c r="C182" s="60" t="inlineStr">
        <is>
          <t>https://www.facebook.com/profile.php?id=100057407051014</t>
        </is>
      </c>
      <c r="D182" s="9" t="inlineStr">
        <is>
          <t>Cần quét Bio Fanpage</t>
        </is>
      </c>
      <c r="E182" s="59" t="inlineStr">
        <is>
          <t>01/10/2026 01:58:41</t>
        </is>
      </c>
      <c r="F182" s="59" t="inlineStr">
        <is>
          <t>1 tuần trước</t>
        </is>
      </c>
      <c r="G182" s="61" t="n">
        <v>7</v>
      </c>
      <c r="H182" s="62" t="n">
        <v>20</v>
      </c>
      <c r="I182" s="9" t="inlineStr">
        <is>
          <t>Dog Breeder / Trại chó chuyên nghiệp (28-30đ)</t>
        </is>
      </c>
      <c r="J182" s="62" t="n">
        <v>30</v>
      </c>
      <c r="K182" s="9" t="inlineStr">
        <is>
          <t>Chưa rõ giống (Cần quét Bio)</t>
        </is>
      </c>
      <c r="L182" s="62" t="n">
        <v>0</v>
      </c>
      <c r="M182" s="62" t="n">
        <v>5</v>
      </c>
      <c r="N182" s="9" t="inlineStr">
        <is>
          <t>Amazon link not found</t>
        </is>
      </c>
      <c r="O182" s="62">
        <f>IF(N182="Selling pet toys + Artificial grass/Pet toilets (TARGET)",15,IF(N182="Selling artificial grass/pet toilets (TARGET)",10,IF(N182="Selling pet toys",7,IF(N182="There's an Amazon link, but no target sales.",3,0))))</f>
        <v/>
      </c>
      <c r="P182" s="67">
        <f>H182+J182+L182+M182+O182</f>
        <v/>
      </c>
      <c r="Q182" s="70" t="inlineStr">
        <is>
          <t>Excluded: Hiệp hội &amp; CLB Phả hệ (Mục 5.1)</t>
        </is>
      </c>
      <c r="R182" s="9" t="inlineStr">
        <is>
          <t>Trọn gói Take-Home Starter Kit V2/V3 (Cỏ nhân tạo + Khay Potty + Đồ chơi Teething/Snuggle)</t>
        </is>
      </c>
      <c r="S182" s="9" t="inlineStr">
        <is>
          <t>Tuyệt đối không đưa vào CRM (Vi phạm Bộ lọc Âm tính Mục 5)</t>
        </is>
      </c>
    </row>
    <row r="183">
      <c r="A183" s="53" t="n">
        <v>1022</v>
      </c>
      <c r="B183" s="12" t="inlineStr">
        <is>
          <t>Deni Stefano Poodles Kennel FCI 08/2022</t>
        </is>
      </c>
      <c r="C183" s="54" t="inlineStr">
        <is>
          <t>https://www.facebook.com/profile.php?id=100077290000374</t>
        </is>
      </c>
      <c r="D183" s="6" t="inlineStr">
        <is>
          <t>Cần quét Bio Fanpage</t>
        </is>
      </c>
      <c r="E183" s="53" t="inlineStr">
        <is>
          <t>23/09/2026 17:23:05</t>
        </is>
      </c>
      <c r="F183" s="53" t="inlineStr">
        <is>
          <t>2 tuần trước</t>
        </is>
      </c>
      <c r="G183" s="55" t="n">
        <v>14</v>
      </c>
      <c r="H183" s="56" t="n">
        <v>15</v>
      </c>
      <c r="I183" s="6" t="inlineStr">
        <is>
          <t>Dog Breeder / Trại chó chuyên nghiệp (28-30đ)</t>
        </is>
      </c>
      <c r="J183" s="56" t="n">
        <v>30</v>
      </c>
      <c r="K183" s="6" t="inlineStr">
        <is>
          <t>Poodle (Standard/Mini/Toy)</t>
        </is>
      </c>
      <c r="L183" s="56" t="n">
        <v>5</v>
      </c>
      <c r="M183" s="56" t="n">
        <v>5</v>
      </c>
      <c r="N183" s="6" t="inlineStr">
        <is>
          <t>Amazon link not found</t>
        </is>
      </c>
      <c r="O183" s="56">
        <f>IF(N183="Selling pet toys + Artificial grass/Pet toilets (TARGET)",15,IF(N183="Selling artificial grass/pet toilets (TARGET)",10,IF(N183="Selling pet toys",7,IF(N183="There's an Amazon link, but no target sales.",3,0))))</f>
        <v/>
      </c>
      <c r="P183" s="65">
        <f>H183+J183+L183+M183+O183</f>
        <v/>
      </c>
      <c r="Q183" s="71" t="inlineStr">
        <is>
          <t>Excluded: Hiệp hội &amp; CLB Phả hệ (Mục 5.1)</t>
        </is>
      </c>
      <c r="R183" s="6" t="inlineStr">
        <is>
          <t>Trọn gói Take-Home Starter Kit V2/V3 (Cỏ nhân tạo + Khay Potty + Đồ chơi Teething/Snuggle)</t>
        </is>
      </c>
      <c r="S183" s="6" t="inlineStr">
        <is>
          <t>Tuyệt đối không đưa vào CRM (Vi phạm Bộ lọc Âm tính Mục 5)</t>
        </is>
      </c>
    </row>
    <row r="184">
      <c r="A184" s="59" t="n">
        <v>1567</v>
      </c>
      <c r="B184" s="15" t="inlineStr">
        <is>
          <t>Greenville Kennel Club</t>
        </is>
      </c>
      <c r="C184" s="60" t="inlineStr">
        <is>
          <t>https://www.facebook.com/GreenvilleKC.Org</t>
        </is>
      </c>
      <c r="D184" s="9" t="inlineStr">
        <is>
          <t>Cần quét Bio Fanpage</t>
        </is>
      </c>
      <c r="E184" s="59" t="inlineStr">
        <is>
          <t>22/09/2026 06:48:35</t>
        </is>
      </c>
      <c r="F184" s="59" t="inlineStr">
        <is>
          <t>2 tuần trước</t>
        </is>
      </c>
      <c r="G184" s="61" t="n">
        <v>14</v>
      </c>
      <c r="H184" s="62" t="n">
        <v>15</v>
      </c>
      <c r="I184" s="9" t="inlineStr">
        <is>
          <t>Dog Breeder / Trại chó chuyên nghiệp (28-30đ)</t>
        </is>
      </c>
      <c r="J184" s="62" t="n">
        <v>30</v>
      </c>
      <c r="K184" s="9" t="inlineStr">
        <is>
          <t>Chưa rõ giống (Cần quét Bio)</t>
        </is>
      </c>
      <c r="L184" s="62" t="n">
        <v>0</v>
      </c>
      <c r="M184" s="62" t="n">
        <v>10</v>
      </c>
      <c r="N184" s="9" t="inlineStr">
        <is>
          <t>Amazon link not found</t>
        </is>
      </c>
      <c r="O184" s="62">
        <f>IF(N184="Selling pet toys + Artificial grass/Pet toilets (TARGET)",15,IF(N184="Selling artificial grass/pet toilets (TARGET)",10,IF(N184="Selling pet toys",7,IF(N184="There's an Amazon link, but no target sales.",3,0))))</f>
        <v/>
      </c>
      <c r="P184" s="67">
        <f>H184+J184+L184+M184+O184</f>
        <v/>
      </c>
      <c r="Q184" s="70" t="inlineStr">
        <is>
          <t>Excluded: Hiệp hội &amp; CLB Phả hệ (Mục 5.1)</t>
        </is>
      </c>
      <c r="R184" s="9" t="inlineStr">
        <is>
          <t>Trọn gói Take-Home Starter Kit V2/V3 (Cỏ nhân tạo + Khay Potty + Đồ chơi Teething/Snuggle)</t>
        </is>
      </c>
      <c r="S184" s="9" t="inlineStr">
        <is>
          <t>Tuyệt đối không đưa vào CRM (Vi phạm Bộ lọc Âm tính Mục 5)</t>
        </is>
      </c>
    </row>
    <row r="185">
      <c r="A185" s="53" t="n">
        <v>3297</v>
      </c>
      <c r="B185" s="12" t="inlineStr">
        <is>
          <t>Ventura County Animal Services</t>
        </is>
      </c>
      <c r="C185" s="54" t="inlineStr">
        <is>
          <t>https://www.facebook.com/VCAnimalServices</t>
        </is>
      </c>
      <c r="D185" s="6" t="inlineStr">
        <is>
          <t>Cần quét Bio Fanpage</t>
        </is>
      </c>
      <c r="E185" s="53" t="inlineStr">
        <is>
          <t>13/10/2026 06:16:42</t>
        </is>
      </c>
      <c r="F185" s="53" t="inlineStr">
        <is>
          <t>34 phút trước</t>
        </is>
      </c>
      <c r="G185" s="55" t="n">
        <v>0.02</v>
      </c>
      <c r="H185" s="56" t="n">
        <v>35</v>
      </c>
      <c r="I185" s="6" t="inlineStr">
        <is>
          <t>Pet Rescue / Trạm cứu trợ (14-16đ)</t>
        </is>
      </c>
      <c r="J185" s="56" t="n">
        <v>14</v>
      </c>
      <c r="K185" s="6" t="inlineStr">
        <is>
          <t>Chưa rõ giống (Cần quét Bio)</t>
        </is>
      </c>
      <c r="L185" s="56" t="n">
        <v>0</v>
      </c>
      <c r="M185" s="56" t="n">
        <v>5</v>
      </c>
      <c r="N185" s="6" t="inlineStr">
        <is>
          <t>Amazon link not found</t>
        </is>
      </c>
      <c r="O185" s="56">
        <f>IF(N185="Selling pet toys + Artificial grass/Pet toilets (TARGET)",15,IF(N185="Selling artificial grass/pet toilets (TARGET)",10,IF(N185="Selling pet toys",7,IF(N185="There's an Amazon link, but no target sales.",3,0))))</f>
        <v/>
      </c>
      <c r="P185" s="65">
        <f>H185+J185+L185+M185+O185</f>
        <v/>
      </c>
      <c r="Q185" s="71" t="inlineStr">
        <is>
          <t>Excluded: Trang Chung / Không rõ Ngách Cún cưng</t>
        </is>
      </c>
      <c r="R185" s="6" t="inlineStr">
        <is>
          <t>Nhà vệ sinh &amp; Tã lót (Potty Tray / Pee Pads) + Cỏ nhân tạo lót chuồng</t>
        </is>
      </c>
      <c r="S185" s="6" t="inlineStr">
        <is>
          <t>Tuyệt đối không đưa vào CRM (Vi phạm Bộ lọc Âm tính Mục 5)</t>
        </is>
      </c>
    </row>
    <row r="186">
      <c r="A186" s="59" t="n">
        <v>4632</v>
      </c>
      <c r="B186" s="15" t="inlineStr">
        <is>
          <t>Memphis Animal Services</t>
        </is>
      </c>
      <c r="C186" s="60" t="inlineStr">
        <is>
          <t>https://www.facebook.com/memphisanimalservices</t>
        </is>
      </c>
      <c r="D186" s="9" t="inlineStr">
        <is>
          <t>Cần quét Bio Fanpage</t>
        </is>
      </c>
      <c r="E186" s="59" t="inlineStr">
        <is>
          <t>13/10/2026 05:23:06</t>
        </is>
      </c>
      <c r="F186" s="59" t="inlineStr">
        <is>
          <t>3 giờ trước</t>
        </is>
      </c>
      <c r="G186" s="61" t="n">
        <v>0.12</v>
      </c>
      <c r="H186" s="62" t="n">
        <v>35</v>
      </c>
      <c r="I186" s="9" t="inlineStr">
        <is>
          <t>Pet Rescue / Trạm cứu trợ (14-16đ)</t>
        </is>
      </c>
      <c r="J186" s="62" t="n">
        <v>14</v>
      </c>
      <c r="K186" s="9" t="inlineStr">
        <is>
          <t>Chưa rõ giống (Cần quét Bio)</t>
        </is>
      </c>
      <c r="L186" s="62" t="n">
        <v>0</v>
      </c>
      <c r="M186" s="62" t="n">
        <v>5</v>
      </c>
      <c r="N186" s="9" t="inlineStr">
        <is>
          <t>Amazon link not found</t>
        </is>
      </c>
      <c r="O186" s="62">
        <f>IF(N186="Selling pet toys + Artificial grass/Pet toilets (TARGET)",15,IF(N186="Selling artificial grass/pet toilets (TARGET)",10,IF(N186="Selling pet toys",7,IF(N186="There's an Amazon link, but no target sales.",3,0))))</f>
        <v/>
      </c>
      <c r="P186" s="67">
        <f>H186+J186+L186+M186+O186</f>
        <v/>
      </c>
      <c r="Q186" s="70" t="inlineStr">
        <is>
          <t>Excluded: Trang Chung / Không rõ Ngách Cún cưng</t>
        </is>
      </c>
      <c r="R186" s="9" t="inlineStr">
        <is>
          <t>Nhà vệ sinh &amp; Tã lót (Potty Tray / Pee Pads) + Cỏ nhân tạo lót chuồng</t>
        </is>
      </c>
      <c r="S186" s="9" t="inlineStr">
        <is>
          <t>Tuyệt đối không đưa vào CRM (Vi phạm Bộ lọc Âm tính Mục 5)</t>
        </is>
      </c>
    </row>
    <row r="187">
      <c r="A187" s="53" t="n">
        <v>901</v>
      </c>
      <c r="B187" s="12" t="inlineStr">
        <is>
          <t>City of Hot Springs Animal Services</t>
        </is>
      </c>
      <c r="C187" s="54" t="inlineStr">
        <is>
          <t>https://www.facebook.com/HotSpringsAnimalServices</t>
        </is>
      </c>
      <c r="D187" s="6" t="inlineStr">
        <is>
          <t>Cần quét Bio Fanpage</t>
        </is>
      </c>
      <c r="E187" s="53" t="inlineStr">
        <is>
          <t>13/10/2026 02:01:10</t>
        </is>
      </c>
      <c r="F187" s="53" t="inlineStr">
        <is>
          <t>31 phút trước</t>
        </is>
      </c>
      <c r="G187" s="55" t="n">
        <v>0.02</v>
      </c>
      <c r="H187" s="56" t="n">
        <v>35</v>
      </c>
      <c r="I187" s="6" t="inlineStr">
        <is>
          <t>Pet Rescue / Trạm cứu trợ (14-16đ)</t>
        </is>
      </c>
      <c r="J187" s="56" t="n">
        <v>14</v>
      </c>
      <c r="K187" s="6" t="inlineStr">
        <is>
          <t>Chưa rõ giống (Cần quét Bio)</t>
        </is>
      </c>
      <c r="L187" s="56" t="n">
        <v>0</v>
      </c>
      <c r="M187" s="56" t="n">
        <v>5</v>
      </c>
      <c r="N187" s="6" t="inlineStr">
        <is>
          <t>Amazon link not found</t>
        </is>
      </c>
      <c r="O187" s="56">
        <f>IF(N187="Selling pet toys + Artificial grass/Pet toilets (TARGET)",15,IF(N187="Selling artificial grass/pet toilets (TARGET)",10,IF(N187="Selling pet toys",7,IF(N187="There's an Amazon link, but no target sales.",3,0))))</f>
        <v/>
      </c>
      <c r="P187" s="65">
        <f>H187+J187+L187+M187+O187</f>
        <v/>
      </c>
      <c r="Q187" s="71" t="inlineStr">
        <is>
          <t>Excluded: Trang Chung / Không rõ Ngách Cún cưng</t>
        </is>
      </c>
      <c r="R187" s="6" t="inlineStr">
        <is>
          <t>Nhà vệ sinh &amp; Tã lót (Potty Tray / Pee Pads) + Cỏ nhân tạo lót chuồng</t>
        </is>
      </c>
      <c r="S187" s="6" t="inlineStr">
        <is>
          <t>Tuyệt đối không đưa vào CRM (Vi phạm Bộ lọc Âm tính Mục 5)</t>
        </is>
      </c>
    </row>
    <row r="188">
      <c r="A188" s="59" t="n">
        <v>965</v>
      </c>
      <c r="B188" s="15" t="inlineStr">
        <is>
          <t>Critter Creek Farm Sanctuary</t>
        </is>
      </c>
      <c r="C188" s="60" t="inlineStr">
        <is>
          <t>https://www.facebook.com/CritterCreekFarmSanctuary</t>
        </is>
      </c>
      <c r="D188" s="9" t="inlineStr">
        <is>
          <t>Cần quét Bio Fanpage</t>
        </is>
      </c>
      <c r="E188" s="59" t="inlineStr">
        <is>
          <t>12/10/2026 21:57:11</t>
        </is>
      </c>
      <c r="F188" s="59" t="inlineStr">
        <is>
          <t>4 giờ trước</t>
        </is>
      </c>
      <c r="G188" s="61" t="n">
        <v>0.17</v>
      </c>
      <c r="H188" s="62" t="n">
        <v>32</v>
      </c>
      <c r="I188" s="9" t="inlineStr">
        <is>
          <t>Pet Rescue / Trạm cứu trợ (14-16đ)</t>
        </is>
      </c>
      <c r="J188" s="62" t="n">
        <v>16</v>
      </c>
      <c r="K188" s="9" t="inlineStr">
        <is>
          <t>Chưa rõ giống (Cần quét Bio)</t>
        </is>
      </c>
      <c r="L188" s="62" t="n">
        <v>0</v>
      </c>
      <c r="M188" s="62" t="n">
        <v>5</v>
      </c>
      <c r="N188" s="9" t="inlineStr">
        <is>
          <t>Amazon link not found</t>
        </is>
      </c>
      <c r="O188" s="62">
        <f>IF(N188="Selling pet toys + Artificial grass/Pet toilets (TARGET)",15,IF(N188="Selling artificial grass/pet toilets (TARGET)",10,IF(N188="Selling pet toys",7,IF(N188="There's an Amazon link, but no target sales.",3,0))))</f>
        <v/>
      </c>
      <c r="P188" s="67">
        <f>H188+J188+L188+M188+O188</f>
        <v/>
      </c>
      <c r="Q188" s="70" t="inlineStr">
        <is>
          <t>Excluded: Trang Chung / Không rõ Ngách Cún cưng</t>
        </is>
      </c>
      <c r="R188" s="9" t="inlineStr">
        <is>
          <t>Nhà vệ sinh &amp; Tã lót (Potty Tray / Pee Pads) + Cỏ nhân tạo lót chuồng</t>
        </is>
      </c>
      <c r="S188" s="9" t="inlineStr">
        <is>
          <t>Tuyệt đối không đưa vào CRM (Vi phạm Bộ lọc Âm tính Mục 5)</t>
        </is>
      </c>
    </row>
    <row r="189">
      <c r="A189" s="53" t="n">
        <v>3005</v>
      </c>
      <c r="B189" s="12" t="inlineStr">
        <is>
          <t>Stoney Acres FarmSanctuary  (Sanctuary)</t>
        </is>
      </c>
      <c r="C189" s="54" t="inlineStr">
        <is>
          <t>https://www.facebook.com/stoneyacressanctuary</t>
        </is>
      </c>
      <c r="D189" s="6" t="inlineStr">
        <is>
          <t>Cần quét Bio Fanpage</t>
        </is>
      </c>
      <c r="E189" s="53" t="inlineStr">
        <is>
          <t>12/10/2026 07:17:30</t>
        </is>
      </c>
      <c r="F189" s="53" t="inlineStr">
        <is>
          <t>23 giờ trước</t>
        </is>
      </c>
      <c r="G189" s="55" t="n">
        <v>0.96</v>
      </c>
      <c r="H189" s="56" t="n">
        <v>32</v>
      </c>
      <c r="I189" s="6" t="inlineStr">
        <is>
          <t>Pet Rescue / Trạm cứu trợ (14-16đ)</t>
        </is>
      </c>
      <c r="J189" s="56" t="n">
        <v>16</v>
      </c>
      <c r="K189" s="6" t="inlineStr">
        <is>
          <t>Chưa rõ giống (Cần quét Bio)</t>
        </is>
      </c>
      <c r="L189" s="56" t="n">
        <v>0</v>
      </c>
      <c r="M189" s="56" t="n">
        <v>5</v>
      </c>
      <c r="N189" s="6" t="inlineStr">
        <is>
          <t>Amazon link not found</t>
        </is>
      </c>
      <c r="O189" s="56">
        <f>IF(N189="Selling pet toys + Artificial grass/Pet toilets (TARGET)",15,IF(N189="Selling artificial grass/pet toilets (TARGET)",10,IF(N189="Selling pet toys",7,IF(N189="There's an Amazon link, but no target sales.",3,0))))</f>
        <v/>
      </c>
      <c r="P189" s="65">
        <f>H189+J189+L189+M189+O189</f>
        <v/>
      </c>
      <c r="Q189" s="71" t="inlineStr">
        <is>
          <t>Excluded: Trang Chung / Không rõ Ngách Cún cưng</t>
        </is>
      </c>
      <c r="R189" s="6" t="inlineStr">
        <is>
          <t>Nhà vệ sinh &amp; Tã lót (Potty Tray / Pee Pads) + Cỏ nhân tạo lót chuồng</t>
        </is>
      </c>
      <c r="S189" s="6" t="inlineStr">
        <is>
          <t>Tuyệt đối không đưa vào CRM (Vi phạm Bộ lọc Âm tính Mục 5)</t>
        </is>
      </c>
    </row>
    <row r="190">
      <c r="A190" s="59" t="n">
        <v>766</v>
      </c>
      <c r="B190" s="15" t="inlineStr">
        <is>
          <t>Brook &amp; Bramble Farm</t>
        </is>
      </c>
      <c r="C190" s="60" t="inlineStr">
        <is>
          <t>https://www.facebook.com/profile.php?id=100069164662224</t>
        </is>
      </c>
      <c r="D190" s="9" t="inlineStr">
        <is>
          <t>Cần quét Bio Fanpage</t>
        </is>
      </c>
      <c r="E190" s="59" t="inlineStr">
        <is>
          <t>09/10/2026 01:37:37</t>
        </is>
      </c>
      <c r="F190" s="59" t="inlineStr">
        <is>
          <t>4 ngày trước</t>
        </is>
      </c>
      <c r="G190" s="61" t="n">
        <v>4</v>
      </c>
      <c r="H190" s="62" t="n">
        <v>20</v>
      </c>
      <c r="I190" s="9" t="inlineStr">
        <is>
          <t>Dog Breeder / Trại nhân giống (28-30đ)</t>
        </is>
      </c>
      <c r="J190" s="62" t="n">
        <v>28</v>
      </c>
      <c r="K190" s="9" t="inlineStr">
        <is>
          <t>Chưa rõ giống (Cần quét Bio)</t>
        </is>
      </c>
      <c r="L190" s="62" t="n">
        <v>0</v>
      </c>
      <c r="M190" s="62" t="n">
        <v>5</v>
      </c>
      <c r="N190" s="9" t="inlineStr">
        <is>
          <t>Amazon link not found</t>
        </is>
      </c>
      <c r="O190" s="62">
        <f>IF(N190="Selling pet toys + Artificial grass/Pet toilets (TARGET)",15,IF(N190="Selling artificial grass/pet toilets (TARGET)",10,IF(N190="Selling pet toys",7,IF(N190="There's an Amazon link, but no target sales.",3,0))))</f>
        <v/>
      </c>
      <c r="P190" s="67">
        <f>H190+J190+L190+M190+O190</f>
        <v/>
      </c>
      <c r="Q190" s="70" t="inlineStr">
        <is>
          <t>Excluded: Trang Chung / Không rõ Ngách Cún cưng</t>
        </is>
      </c>
      <c r="R190" s="9" t="inlineStr">
        <is>
          <t>Trọn gói Take-Home Starter Kit V2/V3 (Cỏ nhân tạo + Khay Potty + Đồ chơi cún con)</t>
        </is>
      </c>
      <c r="S190" s="9" t="inlineStr">
        <is>
          <t>Tuyệt đối không đưa vào CRM (Vi phạm Bộ lọc Âm tính Mục 5)</t>
        </is>
      </c>
    </row>
    <row r="191">
      <c r="A191" s="53" t="n">
        <v>514</v>
      </c>
      <c r="B191" s="12" t="inlineStr">
        <is>
          <t>Arizona Worm Farm</t>
        </is>
      </c>
      <c r="C191" s="54" t="inlineStr">
        <is>
          <t>https://www.facebook.com/arizonawormfarm</t>
        </is>
      </c>
      <c r="D191" s="6" t="inlineStr">
        <is>
          <t>Cần quét Bio Fanpage</t>
        </is>
      </c>
      <c r="E191" s="53" t="inlineStr">
        <is>
          <t>09/10/2026 00:49:38</t>
        </is>
      </c>
      <c r="F191" s="53" t="inlineStr">
        <is>
          <t>4 ngày trước</t>
        </is>
      </c>
      <c r="G191" s="55" t="n">
        <v>4</v>
      </c>
      <c r="H191" s="56" t="n">
        <v>20</v>
      </c>
      <c r="I191" s="6" t="inlineStr">
        <is>
          <t>Dog Breeder / Trại nhân giống (28-30đ)</t>
        </is>
      </c>
      <c r="J191" s="56" t="n">
        <v>28</v>
      </c>
      <c r="K191" s="6" t="inlineStr">
        <is>
          <t>Chưa rõ giống (Cần quét Bio)</t>
        </is>
      </c>
      <c r="L191" s="56" t="n">
        <v>0</v>
      </c>
      <c r="M191" s="56" t="n">
        <v>5</v>
      </c>
      <c r="N191" s="6" t="inlineStr">
        <is>
          <t>Amazon link not found</t>
        </is>
      </c>
      <c r="O191" s="56">
        <f>IF(N191="Selling pet toys + Artificial grass/Pet toilets (TARGET)",15,IF(N191="Selling artificial grass/pet toilets (TARGET)",10,IF(N191="Selling pet toys",7,IF(N191="There's an Amazon link, but no target sales.",3,0))))</f>
        <v/>
      </c>
      <c r="P191" s="65">
        <f>H191+J191+L191+M191+O191</f>
        <v/>
      </c>
      <c r="Q191" s="71" t="inlineStr">
        <is>
          <t>Excluded: Trang Chung / Không rõ Ngách Cún cưng</t>
        </is>
      </c>
      <c r="R191" s="6" t="inlineStr">
        <is>
          <t>Trọn gói Take-Home Starter Kit V2/V3 (Cỏ nhân tạo + Khay Potty + Đồ chơi cún con)</t>
        </is>
      </c>
      <c r="S191" s="6" t="inlineStr">
        <is>
          <t>Tuyệt đối không đưa vào CRM (Vi phạm Bộ lọc Âm tính Mục 5)</t>
        </is>
      </c>
    </row>
    <row r="192">
      <c r="A192" s="59" t="n">
        <v>995</v>
      </c>
      <c r="B192" s="15" t="inlineStr">
        <is>
          <t>Dakota Farms &amp; Homestead</t>
        </is>
      </c>
      <c r="C192" s="60" t="inlineStr">
        <is>
          <t>https://www.facebook.com/profile.php?id=61553776349557</t>
        </is>
      </c>
      <c r="D192" s="9" t="inlineStr">
        <is>
          <t>Cần quét Bio Fanpage</t>
        </is>
      </c>
      <c r="E192" s="59" t="inlineStr">
        <is>
          <t>08/10/2026 23:48:09</t>
        </is>
      </c>
      <c r="F192" s="59" t="inlineStr">
        <is>
          <t>4 ngày trước</t>
        </is>
      </c>
      <c r="G192" s="61" t="n">
        <v>4</v>
      </c>
      <c r="H192" s="62" t="n">
        <v>20</v>
      </c>
      <c r="I192" s="9" t="inlineStr">
        <is>
          <t>Dog Breeder / Trại nhân giống (28-30đ)</t>
        </is>
      </c>
      <c r="J192" s="62" t="n">
        <v>28</v>
      </c>
      <c r="K192" s="9" t="inlineStr">
        <is>
          <t>Chưa rõ giống (Cần quét Bio)</t>
        </is>
      </c>
      <c r="L192" s="62" t="n">
        <v>0</v>
      </c>
      <c r="M192" s="62" t="n">
        <v>5</v>
      </c>
      <c r="N192" s="9" t="inlineStr">
        <is>
          <t>Amazon link not found</t>
        </is>
      </c>
      <c r="O192" s="62">
        <f>IF(N192="Selling pet toys + Artificial grass/Pet toilets (TARGET)",15,IF(N192="Selling artificial grass/pet toilets (TARGET)",10,IF(N192="Selling pet toys",7,IF(N192="There's an Amazon link, but no target sales.",3,0))))</f>
        <v/>
      </c>
      <c r="P192" s="67">
        <f>H192+J192+L192+M192+O192</f>
        <v/>
      </c>
      <c r="Q192" s="70" t="inlineStr">
        <is>
          <t>Excluded: Trang Chung / Không rõ Ngách Cún cưng</t>
        </is>
      </c>
      <c r="R192" s="9" t="inlineStr">
        <is>
          <t>Trọn gói Take-Home Starter Kit V2/V3 (Cỏ nhân tạo + Khay Potty + Đồ chơi cún con)</t>
        </is>
      </c>
      <c r="S192" s="9" t="inlineStr">
        <is>
          <t>Tuyệt đối không đưa vào CRM (Vi phạm Bộ lọc Âm tính Mục 5)</t>
        </is>
      </c>
    </row>
    <row r="193">
      <c r="A193" s="53" t="n">
        <v>1658</v>
      </c>
      <c r="B193" s="12" t="inlineStr">
        <is>
          <t>Hilltop Farm Tennessee</t>
        </is>
      </c>
      <c r="C193" s="54" t="inlineStr">
        <is>
          <t>https://www.facebook.com/HilltopFarmTN</t>
        </is>
      </c>
      <c r="D193" s="6" t="inlineStr">
        <is>
          <t>Cần quét Bio Fanpage</t>
        </is>
      </c>
      <c r="E193" s="53" t="inlineStr">
        <is>
          <t>08/10/2026 23:08:34</t>
        </is>
      </c>
      <c r="F193" s="53" t="inlineStr">
        <is>
          <t>4 ngày trước</t>
        </is>
      </c>
      <c r="G193" s="55" t="n">
        <v>4</v>
      </c>
      <c r="H193" s="56" t="n">
        <v>20</v>
      </c>
      <c r="I193" s="6" t="inlineStr">
        <is>
          <t>Dog Breeder / Trại nhân giống (28-30đ)</t>
        </is>
      </c>
      <c r="J193" s="56" t="n">
        <v>28</v>
      </c>
      <c r="K193" s="6" t="inlineStr">
        <is>
          <t>Chưa rõ giống (Cần quét Bio)</t>
        </is>
      </c>
      <c r="L193" s="56" t="n">
        <v>0</v>
      </c>
      <c r="M193" s="56" t="n">
        <v>5</v>
      </c>
      <c r="N193" s="6" t="inlineStr">
        <is>
          <t>Amazon link not found</t>
        </is>
      </c>
      <c r="O193" s="56">
        <f>IF(N193="Selling pet toys + Artificial grass/Pet toilets (TARGET)",15,IF(N193="Selling artificial grass/pet toilets (TARGET)",10,IF(N193="Selling pet toys",7,IF(N193="There's an Amazon link, but no target sales.",3,0))))</f>
        <v/>
      </c>
      <c r="P193" s="65">
        <f>H193+J193+L193+M193+O193</f>
        <v/>
      </c>
      <c r="Q193" s="71" t="inlineStr">
        <is>
          <t>Excluded: Trang Chung / Không rõ Ngách Cún cưng</t>
        </is>
      </c>
      <c r="R193" s="6" t="inlineStr">
        <is>
          <t>Trọn gói Take-Home Starter Kit V2/V3 (Cỏ nhân tạo + Khay Potty + Đồ chơi cún con)</t>
        </is>
      </c>
      <c r="S193" s="6" t="inlineStr">
        <is>
          <t>Tuyệt đối không đưa vào CRM (Vi phạm Bộ lọc Âm tính Mục 5)</t>
        </is>
      </c>
    </row>
    <row r="194">
      <c r="A194" s="59" t="n">
        <v>113</v>
      </c>
      <c r="B194" s="15" t="inlineStr">
        <is>
          <t>Bernard's Farm</t>
        </is>
      </c>
      <c r="C194" s="60" t="inlineStr">
        <is>
          <t>https://www.facebook.com/bernardsfarmuk</t>
        </is>
      </c>
      <c r="D194" s="9" t="inlineStr">
        <is>
          <t>Cần quét Bio Fanpage</t>
        </is>
      </c>
      <c r="E194" s="59" t="inlineStr">
        <is>
          <t>08/10/2026 20:31:36</t>
        </is>
      </c>
      <c r="F194" s="59" t="inlineStr">
        <is>
          <t>4 ngày trước</t>
        </is>
      </c>
      <c r="G194" s="61" t="n">
        <v>4</v>
      </c>
      <c r="H194" s="62" t="n">
        <v>20</v>
      </c>
      <c r="I194" s="9" t="inlineStr">
        <is>
          <t>Dog Breeder / Trại nhân giống (28-30đ)</t>
        </is>
      </c>
      <c r="J194" s="62" t="n">
        <v>28</v>
      </c>
      <c r="K194" s="9" t="inlineStr">
        <is>
          <t>Chưa rõ giống (Cần quét Bio)</t>
        </is>
      </c>
      <c r="L194" s="62" t="n">
        <v>0</v>
      </c>
      <c r="M194" s="62" t="n">
        <v>5</v>
      </c>
      <c r="N194" s="9" t="inlineStr">
        <is>
          <t>Amazon link not found</t>
        </is>
      </c>
      <c r="O194" s="62">
        <f>IF(N194="Selling pet toys + Artificial grass/Pet toilets (TARGET)",15,IF(N194="Selling artificial grass/pet toilets (TARGET)",10,IF(N194="Selling pet toys",7,IF(N194="There's an Amazon link, but no target sales.",3,0))))</f>
        <v/>
      </c>
      <c r="P194" s="67">
        <f>H194+J194+L194+M194+O194</f>
        <v/>
      </c>
      <c r="Q194" s="70" t="inlineStr">
        <is>
          <t>Excluded: Trang Chung / Không rõ Ngách Cún cưng</t>
        </is>
      </c>
      <c r="R194" s="9" t="inlineStr">
        <is>
          <t>Trọn gói Take-Home Starter Kit V2/V3 (Cỏ nhân tạo + Khay Potty + Đồ chơi cún con)</t>
        </is>
      </c>
      <c r="S194" s="9" t="inlineStr">
        <is>
          <t>Tuyệt đối không đưa vào CRM (Vi phạm Bộ lọc Âm tính Mục 5)</t>
        </is>
      </c>
    </row>
    <row r="195">
      <c r="A195" s="53" t="n">
        <v>1536</v>
      </c>
      <c r="B195" s="12" t="inlineStr">
        <is>
          <t>Gould Creek Farm</t>
        </is>
      </c>
      <c r="C195" s="54" t="inlineStr">
        <is>
          <t>https://www.facebook.com/profile.php?id=61557894448339</t>
        </is>
      </c>
      <c r="D195" s="6" t="inlineStr">
        <is>
          <t>Cần quét Bio Fanpage</t>
        </is>
      </c>
      <c r="E195" s="53" t="inlineStr">
        <is>
          <t>08/10/2026 19:58:46</t>
        </is>
      </c>
      <c r="F195" s="53" t="inlineStr">
        <is>
          <t>4 ngày trước</t>
        </is>
      </c>
      <c r="G195" s="55" t="n">
        <v>4</v>
      </c>
      <c r="H195" s="56" t="n">
        <v>20</v>
      </c>
      <c r="I195" s="6" t="inlineStr">
        <is>
          <t>Dog Breeder / Trại nhân giống (28-30đ)</t>
        </is>
      </c>
      <c r="J195" s="56" t="n">
        <v>28</v>
      </c>
      <c r="K195" s="6" t="inlineStr">
        <is>
          <t>Chưa rõ giống (Cần quét Bio)</t>
        </is>
      </c>
      <c r="L195" s="56" t="n">
        <v>0</v>
      </c>
      <c r="M195" s="56" t="n">
        <v>5</v>
      </c>
      <c r="N195" s="6" t="inlineStr">
        <is>
          <t>Amazon link not found</t>
        </is>
      </c>
      <c r="O195" s="56">
        <f>IF(N195="Selling pet toys + Artificial grass/Pet toilets (TARGET)",15,IF(N195="Selling artificial grass/pet toilets (TARGET)",10,IF(N195="Selling pet toys",7,IF(N195="There's an Amazon link, but no target sales.",3,0))))</f>
        <v/>
      </c>
      <c r="P195" s="65">
        <f>H195+J195+L195+M195+O195</f>
        <v/>
      </c>
      <c r="Q195" s="71" t="inlineStr">
        <is>
          <t>Excluded: Trang Chung / Không rõ Ngách Cún cưng</t>
        </is>
      </c>
      <c r="R195" s="6" t="inlineStr">
        <is>
          <t>Trọn gói Take-Home Starter Kit V2/V3 (Cỏ nhân tạo + Khay Potty + Đồ chơi cún con)</t>
        </is>
      </c>
      <c r="S195" s="6" t="inlineStr">
        <is>
          <t>Tuyệt đối không đưa vào CRM (Vi phạm Bộ lọc Âm tính Mục 5)</t>
        </is>
      </c>
    </row>
    <row r="196">
      <c r="A196" s="59" t="n">
        <v>132</v>
      </c>
      <c r="B196" s="15" t="inlineStr">
        <is>
          <t>Chattahoochee Valley Bernese Mountain Dog Club</t>
        </is>
      </c>
      <c r="C196" s="60" t="inlineStr">
        <is>
          <t>https://www.facebook.com/CVBMDC</t>
        </is>
      </c>
      <c r="D196" s="9" t="inlineStr">
        <is>
          <t>Cần quét Bio Fanpage</t>
        </is>
      </c>
      <c r="E196" s="59" t="inlineStr">
        <is>
          <t>08/10/2026 07:39:00</t>
        </is>
      </c>
      <c r="F196" s="59" t="inlineStr">
        <is>
          <t>4 ngày trước</t>
        </is>
      </c>
      <c r="G196" s="61" t="n">
        <v>4</v>
      </c>
      <c r="H196" s="62" t="n">
        <v>20</v>
      </c>
      <c r="I196" s="9" t="inlineStr">
        <is>
          <t>Dog Breeder / Trại chó chuyên nghiệp (28-30đ)</t>
        </is>
      </c>
      <c r="J196" s="62" t="n">
        <v>28</v>
      </c>
      <c r="K196" s="9" t="inlineStr">
        <is>
          <t>Bernese Mountain Dog</t>
        </is>
      </c>
      <c r="L196" s="62" t="n">
        <v>5</v>
      </c>
      <c r="M196" s="62" t="n">
        <v>0</v>
      </c>
      <c r="N196" s="9" t="inlineStr">
        <is>
          <t>Amazon link not found</t>
        </is>
      </c>
      <c r="O196" s="62">
        <f>IF(N196="Selling pet toys + Artificial grass/Pet toilets (TARGET)",15,IF(N196="Selling artificial grass/pet toilets (TARGET)",10,IF(N196="Selling pet toys",7,IF(N196="There's an Amazon link, but no target sales.",3,0))))</f>
        <v/>
      </c>
      <c r="P196" s="67">
        <f>H196+J196+L196+M196+O196</f>
        <v/>
      </c>
      <c r="Q196" s="70" t="inlineStr">
        <is>
          <t>Excluded: Hiệp hội &amp; CLB Phả hệ (Mục 5.1)</t>
        </is>
      </c>
      <c r="R196" s="9" t="inlineStr">
        <is>
          <t>Trọn gói Take-Home Starter Kit V2/V3 (Cỏ nhân tạo + Khay Potty + Đồ chơi Teething/Snuggle)</t>
        </is>
      </c>
      <c r="S196" s="9" t="inlineStr">
        <is>
          <t>Tuyệt đối không đưa vào CRM (Vi phạm Bộ lọc Âm tính Mục 5)</t>
        </is>
      </c>
    </row>
    <row r="197">
      <c r="A197" s="53" t="n">
        <v>1930</v>
      </c>
      <c r="B197" s="12" t="inlineStr">
        <is>
          <t>Kingsdale Farm Guest House - Bakony</t>
        </is>
      </c>
      <c r="C197" s="54" t="inlineStr">
        <is>
          <t>https://www.facebook.com/100095293235988</t>
        </is>
      </c>
      <c r="D197" s="6" t="inlineStr">
        <is>
          <t>Cần quét Bio Fanpage</t>
        </is>
      </c>
      <c r="E197" s="53" t="inlineStr">
        <is>
          <t>08/10/2026 01:13:38</t>
        </is>
      </c>
      <c r="F197" s="53" t="inlineStr">
        <is>
          <t>5 ngày trước</t>
        </is>
      </c>
      <c r="G197" s="55" t="n">
        <v>5</v>
      </c>
      <c r="H197" s="56" t="n">
        <v>20</v>
      </c>
      <c r="I197" s="6" t="inlineStr">
        <is>
          <t>Dog Breeder / Trại nhân giống (28-30đ)</t>
        </is>
      </c>
      <c r="J197" s="56" t="n">
        <v>28</v>
      </c>
      <c r="K197" s="6" t="inlineStr">
        <is>
          <t>Chưa rõ giống (Cần quét Bio)</t>
        </is>
      </c>
      <c r="L197" s="56" t="n">
        <v>0</v>
      </c>
      <c r="M197" s="56" t="n">
        <v>5</v>
      </c>
      <c r="N197" s="6" t="inlineStr">
        <is>
          <t>Amazon link not found</t>
        </is>
      </c>
      <c r="O197" s="56">
        <f>IF(N197="Selling pet toys + Artificial grass/Pet toilets (TARGET)",15,IF(N197="Selling artificial grass/pet toilets (TARGET)",10,IF(N197="Selling pet toys",7,IF(N197="There's an Amazon link, but no target sales.",3,0))))</f>
        <v/>
      </c>
      <c r="P197" s="65">
        <f>H197+J197+L197+M197+O197</f>
        <v/>
      </c>
      <c r="Q197" s="71" t="inlineStr">
        <is>
          <t>Excluded: Ngành nghề Khác (Phi Cún cưng)</t>
        </is>
      </c>
      <c r="R197" s="6" t="inlineStr">
        <is>
          <t>Trọn gói Take-Home Starter Kit V2/V3 (Cỏ nhân tạo + Khay Potty + Đồ chơi cún con)</t>
        </is>
      </c>
      <c r="S197" s="6" t="inlineStr">
        <is>
          <t>Tuyệt đối không đưa vào CRM (Vi phạm Bộ lọc Âm tính Mục 5)</t>
        </is>
      </c>
    </row>
    <row r="198">
      <c r="A198" s="59" t="n">
        <v>3187</v>
      </c>
      <c r="B198" s="15" t="inlineStr">
        <is>
          <t>Tice Farms</t>
        </is>
      </c>
      <c r="C198" s="60" t="inlineStr">
        <is>
          <t>https://www.facebook.com/ticefamilyfarms</t>
        </is>
      </c>
      <c r="D198" s="9" t="inlineStr">
        <is>
          <t>Cần quét Bio Fanpage</t>
        </is>
      </c>
      <c r="E198" s="59" t="inlineStr">
        <is>
          <t>08/10/2026 00:30:42</t>
        </is>
      </c>
      <c r="F198" s="59" t="inlineStr">
        <is>
          <t>5 ngày trước</t>
        </is>
      </c>
      <c r="G198" s="61" t="n">
        <v>5</v>
      </c>
      <c r="H198" s="62" t="n">
        <v>20</v>
      </c>
      <c r="I198" s="9" t="inlineStr">
        <is>
          <t>Dog Breeder / Trại nhân giống (28-30đ)</t>
        </is>
      </c>
      <c r="J198" s="62" t="n">
        <v>28</v>
      </c>
      <c r="K198" s="9" t="inlineStr">
        <is>
          <t>Chưa rõ giống (Cần quét Bio)</t>
        </is>
      </c>
      <c r="L198" s="62" t="n">
        <v>0</v>
      </c>
      <c r="M198" s="62" t="n">
        <v>5</v>
      </c>
      <c r="N198" s="9" t="inlineStr">
        <is>
          <t>Amazon link not found</t>
        </is>
      </c>
      <c r="O198" s="62">
        <f>IF(N198="Selling pet toys + Artificial grass/Pet toilets (TARGET)",15,IF(N198="Selling artificial grass/pet toilets (TARGET)",10,IF(N198="Selling pet toys",7,IF(N198="There's an Amazon link, but no target sales.",3,0))))</f>
        <v/>
      </c>
      <c r="P198" s="67">
        <f>H198+J198+L198+M198+O198</f>
        <v/>
      </c>
      <c r="Q198" s="70" t="inlineStr">
        <is>
          <t>Excluded: Trang Chung / Không rõ Ngách Cún cưng</t>
        </is>
      </c>
      <c r="R198" s="9" t="inlineStr">
        <is>
          <t>Trọn gói Take-Home Starter Kit V2/V3 (Cỏ nhân tạo + Khay Potty + Đồ chơi cún con)</t>
        </is>
      </c>
      <c r="S198" s="9" t="inlineStr">
        <is>
          <t>Tuyệt đối không đưa vào CRM (Vi phạm Bộ lọc Âm tính Mục 5)</t>
        </is>
      </c>
    </row>
    <row r="199">
      <c r="A199" s="53" t="n">
        <v>3039</v>
      </c>
      <c r="B199" s="12" t="inlineStr">
        <is>
          <t>Swan Farm Akhal-Tekes</t>
        </is>
      </c>
      <c r="C199" s="54" t="inlineStr">
        <is>
          <t>https://www.facebook.com/SwanFarmAkhalTekes</t>
        </is>
      </c>
      <c r="D199" s="6" t="inlineStr">
        <is>
          <t>Cần quét Bio Fanpage</t>
        </is>
      </c>
      <c r="E199" s="53" t="inlineStr">
        <is>
          <t>07/10/2026 08:13:55</t>
        </is>
      </c>
      <c r="F199" s="53" t="inlineStr">
        <is>
          <t>5 ngày trước</t>
        </is>
      </c>
      <c r="G199" s="55" t="n">
        <v>5</v>
      </c>
      <c r="H199" s="56" t="n">
        <v>20</v>
      </c>
      <c r="I199" s="6" t="inlineStr">
        <is>
          <t>Dog Breeder / Trại nhân giống (28-30đ)</t>
        </is>
      </c>
      <c r="J199" s="56" t="n">
        <v>28</v>
      </c>
      <c r="K199" s="6" t="inlineStr">
        <is>
          <t>Chưa rõ giống (Cần quét Bio)</t>
        </is>
      </c>
      <c r="L199" s="56" t="n">
        <v>0</v>
      </c>
      <c r="M199" s="56" t="n">
        <v>5</v>
      </c>
      <c r="N199" s="6" t="inlineStr">
        <is>
          <t>Amazon link not found</t>
        </is>
      </c>
      <c r="O199" s="56">
        <f>IF(N199="Selling pet toys + Artificial grass/Pet toilets (TARGET)",15,IF(N199="Selling artificial grass/pet toilets (TARGET)",10,IF(N199="Selling pet toys",7,IF(N199="There's an Amazon link, but no target sales.",3,0))))</f>
        <v/>
      </c>
      <c r="P199" s="65">
        <f>H199+J199+L199+M199+O199</f>
        <v/>
      </c>
      <c r="Q199" s="71" t="inlineStr">
        <is>
          <t>Excluded: Trang Chung / Không rõ Ngách Cún cưng</t>
        </is>
      </c>
      <c r="R199" s="6" t="inlineStr">
        <is>
          <t>Trọn gói Take-Home Starter Kit V2/V3 (Cỏ nhân tạo + Khay Potty + Đồ chơi cún con)</t>
        </is>
      </c>
      <c r="S199" s="6" t="inlineStr">
        <is>
          <t>Tuyệt đối không đưa vào CRM (Vi phạm Bộ lọc Âm tính Mục 5)</t>
        </is>
      </c>
    </row>
    <row r="200">
      <c r="A200" s="59" t="n">
        <v>1757</v>
      </c>
      <c r="B200" s="15" t="inlineStr">
        <is>
          <t>JD Farms</t>
        </is>
      </c>
      <c r="C200" s="60" t="inlineStr">
        <is>
          <t>https://www.facebook.com/profile.php?id=61557542270571</t>
        </is>
      </c>
      <c r="D200" s="9" t="inlineStr">
        <is>
          <t>Cần quét Bio Fanpage</t>
        </is>
      </c>
      <c r="E200" s="59" t="inlineStr">
        <is>
          <t>07/10/2026 07:15:35</t>
        </is>
      </c>
      <c r="F200" s="59" t="inlineStr">
        <is>
          <t>5 ngày trước</t>
        </is>
      </c>
      <c r="G200" s="61" t="n">
        <v>5</v>
      </c>
      <c r="H200" s="62" t="n">
        <v>20</v>
      </c>
      <c r="I200" s="9" t="inlineStr">
        <is>
          <t>Dog Breeder / Trại nhân giống (28-30đ)</t>
        </is>
      </c>
      <c r="J200" s="62" t="n">
        <v>28</v>
      </c>
      <c r="K200" s="9" t="inlineStr">
        <is>
          <t>Chưa rõ giống (Cần quét Bio)</t>
        </is>
      </c>
      <c r="L200" s="62" t="n">
        <v>0</v>
      </c>
      <c r="M200" s="62" t="n">
        <v>5</v>
      </c>
      <c r="N200" s="9" t="inlineStr">
        <is>
          <t>Amazon link not found</t>
        </is>
      </c>
      <c r="O200" s="62">
        <f>IF(N200="Selling pet toys + Artificial grass/Pet toilets (TARGET)",15,IF(N200="Selling artificial grass/pet toilets (TARGET)",10,IF(N200="Selling pet toys",7,IF(N200="There's an Amazon link, but no target sales.",3,0))))</f>
        <v/>
      </c>
      <c r="P200" s="67">
        <f>H200+J200+L200+M200+O200</f>
        <v/>
      </c>
      <c r="Q200" s="70" t="inlineStr">
        <is>
          <t>Excluded: Trang Chung / Không rõ Ngách Cún cưng</t>
        </is>
      </c>
      <c r="R200" s="9" t="inlineStr">
        <is>
          <t>Trọn gói Take-Home Starter Kit V2/V3 (Cỏ nhân tạo + Khay Potty + Đồ chơi cún con)</t>
        </is>
      </c>
      <c r="S200" s="9" t="inlineStr">
        <is>
          <t>Tuyệt đối không đưa vào CRM (Vi phạm Bộ lọc Âm tính Mục 5)</t>
        </is>
      </c>
    </row>
    <row r="201">
      <c r="A201" s="53" t="n">
        <v>3095</v>
      </c>
      <c r="B201" s="12" t="inlineStr">
        <is>
          <t>The Camden Horse &amp; Hound</t>
        </is>
      </c>
      <c r="C201" s="54" t="inlineStr">
        <is>
          <t>https://www.facebook.com/chhexpo</t>
        </is>
      </c>
      <c r="D201" s="6" t="inlineStr">
        <is>
          <t>Cần quét Bio Fanpage</t>
        </is>
      </c>
      <c r="E201" s="53" t="inlineStr">
        <is>
          <t>07/10/2026 05:33:08</t>
        </is>
      </c>
      <c r="F201" s="53" t="inlineStr">
        <is>
          <t>6 ngày trước</t>
        </is>
      </c>
      <c r="G201" s="55" t="n">
        <v>6</v>
      </c>
      <c r="H201" s="56" t="n">
        <v>20</v>
      </c>
      <c r="I201" s="6" t="inlineStr">
        <is>
          <t>Dog Breeder / Trại nhân giống (28-30đ)</t>
        </is>
      </c>
      <c r="J201" s="56" t="n">
        <v>28</v>
      </c>
      <c r="K201" s="6" t="inlineStr">
        <is>
          <t>Hound / Beagle / Basset</t>
        </is>
      </c>
      <c r="L201" s="56" t="n">
        <v>5</v>
      </c>
      <c r="M201" s="56" t="n">
        <v>0</v>
      </c>
      <c r="N201" s="6" t="inlineStr">
        <is>
          <t>Amazon link not found</t>
        </is>
      </c>
      <c r="O201" s="56">
        <f>IF(N201="Selling pet toys + Artificial grass/Pet toilets (TARGET)",15,IF(N201="Selling artificial grass/pet toilets (TARGET)",10,IF(N201="Selling pet toys",7,IF(N201="There's an Amazon link, but no target sales.",3,0))))</f>
        <v/>
      </c>
      <c r="P201" s="65">
        <f>H201+J201+L201+M201+O201</f>
        <v/>
      </c>
      <c r="Q201" s="71" t="inlineStr">
        <is>
          <t>Excluded: Kênh Tin tức, Tạp chí &amp; Giải trí (Mục 5.3)</t>
        </is>
      </c>
      <c r="R201" s="6" t="inlineStr">
        <is>
          <t>Trọn gói Take-Home Starter Kit V2/V3 (Cỏ nhân tạo + Khay Potty + Đồ chơi cún con)</t>
        </is>
      </c>
      <c r="S201" s="6" t="inlineStr">
        <is>
          <t>Tuyệt đối không đưa vào CRM (Vi phạm Bộ lọc Âm tính Mục 5)</t>
        </is>
      </c>
    </row>
    <row r="202">
      <c r="A202" s="59" t="n">
        <v>938</v>
      </c>
      <c r="B202" s="15" t="inlineStr">
        <is>
          <t>CopperHead Farms</t>
        </is>
      </c>
      <c r="C202" s="60" t="inlineStr">
        <is>
          <t>https://www.facebook.com/profile.php?id=100087629554573</t>
        </is>
      </c>
      <c r="D202" s="9" t="inlineStr">
        <is>
          <t>Cần quét Bio Fanpage</t>
        </is>
      </c>
      <c r="E202" s="59" t="inlineStr">
        <is>
          <t>06/10/2026 17:06:37</t>
        </is>
      </c>
      <c r="F202" s="59" t="inlineStr">
        <is>
          <t>6 ngày trước</t>
        </is>
      </c>
      <c r="G202" s="61" t="n">
        <v>6</v>
      </c>
      <c r="H202" s="62" t="n">
        <v>20</v>
      </c>
      <c r="I202" s="9" t="inlineStr">
        <is>
          <t>Dog Breeder / Trại nhân giống (28-30đ)</t>
        </is>
      </c>
      <c r="J202" s="62" t="n">
        <v>28</v>
      </c>
      <c r="K202" s="9" t="inlineStr">
        <is>
          <t>Chưa rõ giống (Cần quét Bio)</t>
        </is>
      </c>
      <c r="L202" s="62" t="n">
        <v>0</v>
      </c>
      <c r="M202" s="62" t="n">
        <v>5</v>
      </c>
      <c r="N202" s="9" t="inlineStr">
        <is>
          <t>Amazon link not found</t>
        </is>
      </c>
      <c r="O202" s="62">
        <f>IF(N202="Selling pet toys + Artificial grass/Pet toilets (TARGET)",15,IF(N202="Selling artificial grass/pet toilets (TARGET)",10,IF(N202="Selling pet toys",7,IF(N202="There's an Amazon link, but no target sales.",3,0))))</f>
        <v/>
      </c>
      <c r="P202" s="67">
        <f>H202+J202+L202+M202+O202</f>
        <v/>
      </c>
      <c r="Q202" s="70" t="inlineStr">
        <is>
          <t>Excluded: Trang Chung / Không rõ Ngách Cún cưng</t>
        </is>
      </c>
      <c r="R202" s="9" t="inlineStr">
        <is>
          <t>Trọn gói Take-Home Starter Kit V2/V3 (Cỏ nhân tạo + Khay Potty + Đồ chơi cún con)</t>
        </is>
      </c>
      <c r="S202" s="9" t="inlineStr">
        <is>
          <t>Tuyệt đối không đưa vào CRM (Vi phạm Bộ lọc Âm tính Mục 5)</t>
        </is>
      </c>
    </row>
    <row r="203">
      <c r="A203" s="53" t="n">
        <v>3006</v>
      </c>
      <c r="B203" s="12" t="inlineStr">
        <is>
          <t>Stoney Creek Farm</t>
        </is>
      </c>
      <c r="C203" s="54" t="inlineStr">
        <is>
          <t>https://www.facebook.com/stoneycreekfarmminigoats</t>
        </is>
      </c>
      <c r="D203" s="6" t="inlineStr">
        <is>
          <t>Cần quét Bio Fanpage</t>
        </is>
      </c>
      <c r="E203" s="53" t="inlineStr">
        <is>
          <t>06/10/2026 15:43:06</t>
        </is>
      </c>
      <c r="F203" s="53" t="inlineStr">
        <is>
          <t>6 ngày trước</t>
        </is>
      </c>
      <c r="G203" s="55" t="n">
        <v>6</v>
      </c>
      <c r="H203" s="56" t="n">
        <v>20</v>
      </c>
      <c r="I203" s="6" t="inlineStr">
        <is>
          <t>Dog Breeder / Trại nhân giống (28-30đ)</t>
        </is>
      </c>
      <c r="J203" s="56" t="n">
        <v>28</v>
      </c>
      <c r="K203" s="6" t="inlineStr">
        <is>
          <t>Chưa rõ giống (Cần quét Bio)</t>
        </is>
      </c>
      <c r="L203" s="56" t="n">
        <v>0</v>
      </c>
      <c r="M203" s="56" t="n">
        <v>5</v>
      </c>
      <c r="N203" s="6" t="inlineStr">
        <is>
          <t>Amazon link not found</t>
        </is>
      </c>
      <c r="O203" s="56">
        <f>IF(N203="Selling pet toys + Artificial grass/Pet toilets (TARGET)",15,IF(N203="Selling artificial grass/pet toilets (TARGET)",10,IF(N203="Selling pet toys",7,IF(N203="There's an Amazon link, but no target sales.",3,0))))</f>
        <v/>
      </c>
      <c r="P203" s="65">
        <f>H203+J203+L203+M203+O203</f>
        <v/>
      </c>
      <c r="Q203" s="71" t="inlineStr">
        <is>
          <t>Excluded: Trang Chung / Không rõ Ngách Cún cưng</t>
        </is>
      </c>
      <c r="R203" s="6" t="inlineStr">
        <is>
          <t>Trọn gói Take-Home Starter Kit V2/V3 (Cỏ nhân tạo + Khay Potty + Đồ chơi cún con)</t>
        </is>
      </c>
      <c r="S203" s="6" t="inlineStr">
        <is>
          <t>Tuyệt đối không đưa vào CRM (Vi phạm Bộ lọc Âm tính Mục 5)</t>
        </is>
      </c>
    </row>
    <row r="204">
      <c r="A204" s="59" t="n">
        <v>644</v>
      </c>
      <c r="B204" s="15" t="inlineStr">
        <is>
          <t>Bernese Mountain Dog Club of SW Ontario</t>
        </is>
      </c>
      <c r="C204" s="60" t="inlineStr">
        <is>
          <t>https://www.facebook.com/profile.php?id=100064251087049</t>
        </is>
      </c>
      <c r="D204" s="9" t="inlineStr">
        <is>
          <t>Cần quét Bio Fanpage</t>
        </is>
      </c>
      <c r="E204" s="59" t="inlineStr">
        <is>
          <t>06/10/2026 00:24:12</t>
        </is>
      </c>
      <c r="F204" s="59" t="inlineStr">
        <is>
          <t>1 tuần trước</t>
        </is>
      </c>
      <c r="G204" s="61" t="n">
        <v>7</v>
      </c>
      <c r="H204" s="62" t="n">
        <v>20</v>
      </c>
      <c r="I204" s="9" t="inlineStr">
        <is>
          <t>Dog Breeder / Trại chó chuyên nghiệp (28-30đ)</t>
        </is>
      </c>
      <c r="J204" s="62" t="n">
        <v>28</v>
      </c>
      <c r="K204" s="9" t="inlineStr">
        <is>
          <t>Bernese Mountain Dog</t>
        </is>
      </c>
      <c r="L204" s="62" t="n">
        <v>5</v>
      </c>
      <c r="M204" s="62" t="n">
        <v>0</v>
      </c>
      <c r="N204" s="9" t="inlineStr">
        <is>
          <t>Amazon link not found</t>
        </is>
      </c>
      <c r="O204" s="62">
        <f>IF(N204="Selling pet toys + Artificial grass/Pet toilets (TARGET)",15,IF(N204="Selling artificial grass/pet toilets (TARGET)",10,IF(N204="Selling pet toys",7,IF(N204="There's an Amazon link, but no target sales.",3,0))))</f>
        <v/>
      </c>
      <c r="P204" s="67">
        <f>H204+J204+L204+M204+O204</f>
        <v/>
      </c>
      <c r="Q204" s="70" t="inlineStr">
        <is>
          <t>Excluded: Hiệp hội &amp; CLB Phả hệ (Mục 5.1)</t>
        </is>
      </c>
      <c r="R204" s="9" t="inlineStr">
        <is>
          <t>Trọn gói Take-Home Starter Kit V2/V3 (Cỏ nhân tạo + Khay Potty + Đồ chơi Teething/Snuggle)</t>
        </is>
      </c>
      <c r="S204" s="9" t="inlineStr">
        <is>
          <t>Tuyệt đối không đưa vào CRM (Vi phạm Bộ lọc Âm tính Mục 5)</t>
        </is>
      </c>
    </row>
    <row r="205">
      <c r="A205" s="53" t="n">
        <v>734</v>
      </c>
      <c r="B205" s="12" t="inlineStr">
        <is>
          <t>Bordomax Farm</t>
        </is>
      </c>
      <c r="C205" s="54" t="inlineStr">
        <is>
          <t>https://www.facebook.com/bordomax.farm</t>
        </is>
      </c>
      <c r="D205" s="6" t="inlineStr">
        <is>
          <t>Cần quét Bio Fanpage</t>
        </is>
      </c>
      <c r="E205" s="53" t="inlineStr">
        <is>
          <t>05/10/2026 20:17:52</t>
        </is>
      </c>
      <c r="F205" s="53" t="inlineStr">
        <is>
          <t>1 tuần trước</t>
        </is>
      </c>
      <c r="G205" s="55" t="n">
        <v>7</v>
      </c>
      <c r="H205" s="56" t="n">
        <v>20</v>
      </c>
      <c r="I205" s="6" t="inlineStr">
        <is>
          <t>Dog Breeder / Trại nhân giống (28-30đ)</t>
        </is>
      </c>
      <c r="J205" s="56" t="n">
        <v>28</v>
      </c>
      <c r="K205" s="6" t="inlineStr">
        <is>
          <t>Chưa rõ giống (Cần quét Bio)</t>
        </is>
      </c>
      <c r="L205" s="56" t="n">
        <v>0</v>
      </c>
      <c r="M205" s="56" t="n">
        <v>5</v>
      </c>
      <c r="N205" s="6" t="inlineStr">
        <is>
          <t>Amazon link not found</t>
        </is>
      </c>
      <c r="O205" s="56">
        <f>IF(N205="Selling pet toys + Artificial grass/Pet toilets (TARGET)",15,IF(N205="Selling artificial grass/pet toilets (TARGET)",10,IF(N205="Selling pet toys",7,IF(N205="There's an Amazon link, but no target sales.",3,0))))</f>
        <v/>
      </c>
      <c r="P205" s="65">
        <f>H205+J205+L205+M205+O205</f>
        <v/>
      </c>
      <c r="Q205" s="71" t="inlineStr">
        <is>
          <t>Excluded: Trang Chung / Không rõ Ngách Cún cưng</t>
        </is>
      </c>
      <c r="R205" s="6" t="inlineStr">
        <is>
          <t>Trọn gói Take-Home Starter Kit V2/V3 (Cỏ nhân tạo + Khay Potty + Đồ chơi cún con)</t>
        </is>
      </c>
      <c r="S205" s="6" t="inlineStr">
        <is>
          <t>Tuyệt đối không đưa vào CRM (Vi phạm Bộ lọc Âm tính Mục 5)</t>
        </is>
      </c>
    </row>
    <row r="206">
      <c r="A206" s="59" t="n">
        <v>2940</v>
      </c>
      <c r="B206" s="15" t="inlineStr">
        <is>
          <t>Soul Ridge Farm</t>
        </is>
      </c>
      <c r="C206" s="60" t="inlineStr">
        <is>
          <t>https://www.facebook.com/Soulridgefarm</t>
        </is>
      </c>
      <c r="D206" s="9" t="inlineStr">
        <is>
          <t>Cần quét Bio Fanpage</t>
        </is>
      </c>
      <c r="E206" s="59" t="inlineStr">
        <is>
          <t>05/10/2026 12:05:50</t>
        </is>
      </c>
      <c r="F206" s="59" t="inlineStr">
        <is>
          <t>1 tuần trước</t>
        </is>
      </c>
      <c r="G206" s="61" t="n">
        <v>7</v>
      </c>
      <c r="H206" s="62" t="n">
        <v>20</v>
      </c>
      <c r="I206" s="9" t="inlineStr">
        <is>
          <t>Dog Breeder / Trại nhân giống (28-30đ)</t>
        </is>
      </c>
      <c r="J206" s="62" t="n">
        <v>28</v>
      </c>
      <c r="K206" s="9" t="inlineStr">
        <is>
          <t>Chưa rõ giống (Cần quét Bio)</t>
        </is>
      </c>
      <c r="L206" s="62" t="n">
        <v>0</v>
      </c>
      <c r="M206" s="62" t="n">
        <v>5</v>
      </c>
      <c r="N206" s="9" t="inlineStr">
        <is>
          <t>Amazon link not found</t>
        </is>
      </c>
      <c r="O206" s="62">
        <f>IF(N206="Selling pet toys + Artificial grass/Pet toilets (TARGET)",15,IF(N206="Selling artificial grass/pet toilets (TARGET)",10,IF(N206="Selling pet toys",7,IF(N206="There's an Amazon link, but no target sales.",3,0))))</f>
        <v/>
      </c>
      <c r="P206" s="67">
        <f>H206+J206+L206+M206+O206</f>
        <v/>
      </c>
      <c r="Q206" s="70" t="inlineStr">
        <is>
          <t>Excluded: Trang Chung / Không rõ Ngách Cún cưng</t>
        </is>
      </c>
      <c r="R206" s="9" t="inlineStr">
        <is>
          <t>Trọn gói Take-Home Starter Kit V2/V3 (Cỏ nhân tạo + Khay Potty + Đồ chơi cún con)</t>
        </is>
      </c>
      <c r="S206" s="9" t="inlineStr">
        <is>
          <t>Tuyệt đối không đưa vào CRM (Vi phạm Bộ lọc Âm tính Mục 5)</t>
        </is>
      </c>
    </row>
    <row r="207">
      <c r="A207" s="53" t="n">
        <v>759</v>
      </c>
      <c r="B207" s="12" t="inlineStr">
        <is>
          <t>Briggs Farm</t>
        </is>
      </c>
      <c r="C207" s="54" t="inlineStr">
        <is>
          <t>https://www.facebook.com/briggsfarmmaine</t>
        </is>
      </c>
      <c r="D207" s="6" t="inlineStr">
        <is>
          <t>Cần quét Bio Fanpage</t>
        </is>
      </c>
      <c r="E207" s="53" t="inlineStr">
        <is>
          <t>05/10/2026 06:35:38</t>
        </is>
      </c>
      <c r="F207" s="53" t="inlineStr">
        <is>
          <t>1 tuần trước</t>
        </is>
      </c>
      <c r="G207" s="55" t="n">
        <v>7</v>
      </c>
      <c r="H207" s="56" t="n">
        <v>20</v>
      </c>
      <c r="I207" s="6" t="inlineStr">
        <is>
          <t>Dog Breeder / Trại nhân giống (28-30đ)</t>
        </is>
      </c>
      <c r="J207" s="56" t="n">
        <v>28</v>
      </c>
      <c r="K207" s="6" t="inlineStr">
        <is>
          <t>Chưa rõ giống (Cần quét Bio)</t>
        </is>
      </c>
      <c r="L207" s="56" t="n">
        <v>0</v>
      </c>
      <c r="M207" s="56" t="n">
        <v>5</v>
      </c>
      <c r="N207" s="6" t="inlineStr">
        <is>
          <t>Amazon link not found</t>
        </is>
      </c>
      <c r="O207" s="56">
        <f>IF(N207="Selling pet toys + Artificial grass/Pet toilets (TARGET)",15,IF(N207="Selling artificial grass/pet toilets (TARGET)",10,IF(N207="Selling pet toys",7,IF(N207="There's an Amazon link, but no target sales.",3,0))))</f>
        <v/>
      </c>
      <c r="P207" s="65">
        <f>H207+J207+L207+M207+O207</f>
        <v/>
      </c>
      <c r="Q207" s="71" t="inlineStr">
        <is>
          <t>Excluded: Trang Chung / Không rõ Ngách Cún cưng</t>
        </is>
      </c>
      <c r="R207" s="6" t="inlineStr">
        <is>
          <t>Trọn gói Take-Home Starter Kit V2/V3 (Cỏ nhân tạo + Khay Potty + Đồ chơi cún con)</t>
        </is>
      </c>
      <c r="S207" s="6" t="inlineStr">
        <is>
          <t>Tuyệt đối không đưa vào CRM (Vi phạm Bộ lọc Âm tính Mục 5)</t>
        </is>
      </c>
    </row>
    <row r="208">
      <c r="A208" s="59" t="n">
        <v>1544</v>
      </c>
      <c r="B208" s="15" t="inlineStr">
        <is>
          <t>Grandview Mountain Strawberry Farm</t>
        </is>
      </c>
      <c r="C208" s="60" t="inlineStr">
        <is>
          <t>https://www.facebook.com/grandviewmtnstrwbrryfarm</t>
        </is>
      </c>
      <c r="D208" s="9" t="inlineStr">
        <is>
          <t>Cần quét Bio Fanpage</t>
        </is>
      </c>
      <c r="E208" s="59" t="inlineStr">
        <is>
          <t>05/10/2026 04:02:44</t>
        </is>
      </c>
      <c r="F208" s="59" t="inlineStr">
        <is>
          <t>1 tuần trước</t>
        </is>
      </c>
      <c r="G208" s="61" t="n">
        <v>7</v>
      </c>
      <c r="H208" s="62" t="n">
        <v>20</v>
      </c>
      <c r="I208" s="9" t="inlineStr">
        <is>
          <t>Dog Breeder / Trại nhân giống (28-30đ)</t>
        </is>
      </c>
      <c r="J208" s="62" t="n">
        <v>28</v>
      </c>
      <c r="K208" s="9" t="inlineStr">
        <is>
          <t>Chưa rõ giống (Cần quét Bio)</t>
        </is>
      </c>
      <c r="L208" s="62" t="n">
        <v>0</v>
      </c>
      <c r="M208" s="62" t="n">
        <v>5</v>
      </c>
      <c r="N208" s="9" t="inlineStr">
        <is>
          <t>Amazon link not found</t>
        </is>
      </c>
      <c r="O208" s="62">
        <f>IF(N208="Selling pet toys + Artificial grass/Pet toilets (TARGET)",15,IF(N208="Selling artificial grass/pet toilets (TARGET)",10,IF(N208="Selling pet toys",7,IF(N208="There's an Amazon link, but no target sales.",3,0))))</f>
        <v/>
      </c>
      <c r="P208" s="67">
        <f>H208+J208+L208+M208+O208</f>
        <v/>
      </c>
      <c r="Q208" s="70" t="inlineStr">
        <is>
          <t>Excluded: Ngành nghề Khác (Phi Cún cưng)</t>
        </is>
      </c>
      <c r="R208" s="9" t="inlineStr">
        <is>
          <t>Trọn gói Take-Home Starter Kit V2/V3 (Cỏ nhân tạo + Khay Potty + Đồ chơi cún con)</t>
        </is>
      </c>
      <c r="S208" s="9" t="inlineStr">
        <is>
          <t>Tuyệt đối không đưa vào CRM (Vi phạm Bộ lọc Âm tính Mục 5)</t>
        </is>
      </c>
    </row>
    <row r="209">
      <c r="A209" s="53" t="n">
        <v>3438</v>
      </c>
      <c r="B209" s="12" t="inlineStr">
        <is>
          <t>Woodcock Creek Farm LLC</t>
        </is>
      </c>
      <c r="C209" s="54" t="inlineStr">
        <is>
          <t>https://www.facebook.com/woodcockcreekfarms</t>
        </is>
      </c>
      <c r="D209" s="6" t="inlineStr">
        <is>
          <t>Cần quét Bio Fanpage</t>
        </is>
      </c>
      <c r="E209" s="53" t="inlineStr">
        <is>
          <t>04/10/2026 23:03:55</t>
        </is>
      </c>
      <c r="F209" s="53" t="inlineStr">
        <is>
          <t>1 tuần trước</t>
        </is>
      </c>
      <c r="G209" s="55" t="n">
        <v>7</v>
      </c>
      <c r="H209" s="56" t="n">
        <v>20</v>
      </c>
      <c r="I209" s="6" t="inlineStr">
        <is>
          <t>Dog Breeder / Trại nhân giống (28-30đ)</t>
        </is>
      </c>
      <c r="J209" s="56" t="n">
        <v>28</v>
      </c>
      <c r="K209" s="6" t="inlineStr">
        <is>
          <t>Chưa rõ giống (Cần quét Bio)</t>
        </is>
      </c>
      <c r="L209" s="56" t="n">
        <v>0</v>
      </c>
      <c r="M209" s="56" t="n">
        <v>5</v>
      </c>
      <c r="N209" s="6" t="inlineStr">
        <is>
          <t>Amazon link not found</t>
        </is>
      </c>
      <c r="O209" s="56">
        <f>IF(N209="Selling pet toys + Artificial grass/Pet toilets (TARGET)",15,IF(N209="Selling artificial grass/pet toilets (TARGET)",10,IF(N209="Selling pet toys",7,IF(N209="There's an Amazon link, but no target sales.",3,0))))</f>
        <v/>
      </c>
      <c r="P209" s="65">
        <f>H209+J209+L209+M209+O209</f>
        <v/>
      </c>
      <c r="Q209" s="71" t="inlineStr">
        <is>
          <t>Excluded: Trang Chung / Không rõ Ngách Cún cưng</t>
        </is>
      </c>
      <c r="R209" s="6" t="inlineStr">
        <is>
          <t>Trọn gói Take-Home Starter Kit V2/V3 (Cỏ nhân tạo + Khay Potty + Đồ chơi cún con)</t>
        </is>
      </c>
      <c r="S209" s="6" t="inlineStr">
        <is>
          <t>Tuyệt đối không đưa vào CRM (Vi phạm Bộ lọc Âm tính Mục 5)</t>
        </is>
      </c>
    </row>
    <row r="210">
      <c r="A210" s="59" t="n">
        <v>642</v>
      </c>
      <c r="B210" s="15" t="inlineStr">
        <is>
          <t>Bernese Mountain Dog Club of Northern California</t>
        </is>
      </c>
      <c r="C210" s="60" t="inlineStr">
        <is>
          <t>https://www.facebook.com/bmdcnc</t>
        </is>
      </c>
      <c r="D210" s="9" t="inlineStr">
        <is>
          <t>Cần quét Bio Fanpage</t>
        </is>
      </c>
      <c r="E210" s="59" t="inlineStr">
        <is>
          <t>04/10/2026 15:17:14</t>
        </is>
      </c>
      <c r="F210" s="59" t="inlineStr">
        <is>
          <t>1 tuần trước</t>
        </is>
      </c>
      <c r="G210" s="61" t="n">
        <v>7</v>
      </c>
      <c r="H210" s="62" t="n">
        <v>20</v>
      </c>
      <c r="I210" s="9" t="inlineStr">
        <is>
          <t>Dog Breeder / Trại chó chuyên nghiệp (28-30đ)</t>
        </is>
      </c>
      <c r="J210" s="62" t="n">
        <v>28</v>
      </c>
      <c r="K210" s="9" t="inlineStr">
        <is>
          <t>Bernese Mountain Dog</t>
        </is>
      </c>
      <c r="L210" s="62" t="n">
        <v>5</v>
      </c>
      <c r="M210" s="62" t="n">
        <v>0</v>
      </c>
      <c r="N210" s="9" t="inlineStr">
        <is>
          <t>Amazon link not found</t>
        </is>
      </c>
      <c r="O210" s="62">
        <f>IF(N210="Selling pet toys + Artificial grass/Pet toilets (TARGET)",15,IF(N210="Selling artificial grass/pet toilets (TARGET)",10,IF(N210="Selling pet toys",7,IF(N210="There's an Amazon link, but no target sales.",3,0))))</f>
        <v/>
      </c>
      <c r="P210" s="67">
        <f>H210+J210+L210+M210+O210</f>
        <v/>
      </c>
      <c r="Q210" s="70" t="inlineStr">
        <is>
          <t>Excluded: Hiệp hội &amp; CLB Phả hệ (Mục 5.1)</t>
        </is>
      </c>
      <c r="R210" s="9" t="inlineStr">
        <is>
          <t>Trọn gói Take-Home Starter Kit V2/V3 (Cỏ nhân tạo + Khay Potty + Đồ chơi Teething/Snuggle)</t>
        </is>
      </c>
      <c r="S210" s="9" t="inlineStr">
        <is>
          <t>Tuyệt đối không đưa vào CRM (Vi phạm Bộ lọc Âm tính Mục 5)</t>
        </is>
      </c>
    </row>
    <row r="211">
      <c r="A211" s="53" t="n">
        <v>698</v>
      </c>
      <c r="B211" s="12" t="inlineStr">
        <is>
          <t>Blissful Farms LLC</t>
        </is>
      </c>
      <c r="C211" s="54" t="inlineStr">
        <is>
          <t>https://www.facebook.com/blissfulfarm</t>
        </is>
      </c>
      <c r="D211" s="6" t="inlineStr">
        <is>
          <t>Cần quét Bio Fanpage</t>
        </is>
      </c>
      <c r="E211" s="53" t="inlineStr">
        <is>
          <t>04/10/2026 06:00:01</t>
        </is>
      </c>
      <c r="F211" s="53" t="inlineStr">
        <is>
          <t>1 tuần trước</t>
        </is>
      </c>
      <c r="G211" s="55" t="n">
        <v>7</v>
      </c>
      <c r="H211" s="56" t="n">
        <v>20</v>
      </c>
      <c r="I211" s="6" t="inlineStr">
        <is>
          <t>Dog Breeder / Trại nhân giống (28-30đ)</t>
        </is>
      </c>
      <c r="J211" s="56" t="n">
        <v>28</v>
      </c>
      <c r="K211" s="6" t="inlineStr">
        <is>
          <t>Chưa rõ giống (Cần quét Bio)</t>
        </is>
      </c>
      <c r="L211" s="56" t="n">
        <v>0</v>
      </c>
      <c r="M211" s="56" t="n">
        <v>5</v>
      </c>
      <c r="N211" s="6" t="inlineStr">
        <is>
          <t>Amazon link not found</t>
        </is>
      </c>
      <c r="O211" s="56">
        <f>IF(N211="Selling pet toys + Artificial grass/Pet toilets (TARGET)",15,IF(N211="Selling artificial grass/pet toilets (TARGET)",10,IF(N211="Selling pet toys",7,IF(N211="There's an Amazon link, but no target sales.",3,0))))</f>
        <v/>
      </c>
      <c r="P211" s="65">
        <f>H211+J211+L211+M211+O211</f>
        <v/>
      </c>
      <c r="Q211" s="71" t="inlineStr">
        <is>
          <t>Excluded: Trang Chung / Không rõ Ngách Cún cưng</t>
        </is>
      </c>
      <c r="R211" s="6" t="inlineStr">
        <is>
          <t>Trọn gói Take-Home Starter Kit V2/V3 (Cỏ nhân tạo + Khay Potty + Đồ chơi cún con)</t>
        </is>
      </c>
      <c r="S211" s="6" t="inlineStr">
        <is>
          <t>Tuyệt đối không đưa vào CRM (Vi phạm Bộ lọc Âm tính Mục 5)</t>
        </is>
      </c>
    </row>
    <row r="212">
      <c r="A212" s="59" t="n">
        <v>1515</v>
      </c>
      <c r="B212" s="15" t="inlineStr">
        <is>
          <t>Goderie's Tree Farm</t>
        </is>
      </c>
      <c r="C212" s="60" t="inlineStr">
        <is>
          <t>https://www.facebook.com/goderiestreefarm</t>
        </is>
      </c>
      <c r="D212" s="9" t="inlineStr">
        <is>
          <t>Cần quét Bio Fanpage</t>
        </is>
      </c>
      <c r="E212" s="59" t="inlineStr">
        <is>
          <t>03/10/2026 22:01:34</t>
        </is>
      </c>
      <c r="F212" s="59" t="inlineStr">
        <is>
          <t>1 tuần trước</t>
        </is>
      </c>
      <c r="G212" s="61" t="n">
        <v>7</v>
      </c>
      <c r="H212" s="62" t="n">
        <v>20</v>
      </c>
      <c r="I212" s="9" t="inlineStr">
        <is>
          <t>Dog Breeder / Trại nhân giống (28-30đ)</t>
        </is>
      </c>
      <c r="J212" s="62" t="n">
        <v>28</v>
      </c>
      <c r="K212" s="9" t="inlineStr">
        <is>
          <t>Chưa rõ giống (Cần quét Bio)</t>
        </is>
      </c>
      <c r="L212" s="62" t="n">
        <v>0</v>
      </c>
      <c r="M212" s="62" t="n">
        <v>5</v>
      </c>
      <c r="N212" s="9" t="inlineStr">
        <is>
          <t>Amazon link not found</t>
        </is>
      </c>
      <c r="O212" s="62">
        <f>IF(N212="Selling pet toys + Artificial grass/Pet toilets (TARGET)",15,IF(N212="Selling artificial grass/pet toilets (TARGET)",10,IF(N212="Selling pet toys",7,IF(N212="There's an Amazon link, but no target sales.",3,0))))</f>
        <v/>
      </c>
      <c r="P212" s="67">
        <f>H212+J212+L212+M212+O212</f>
        <v/>
      </c>
      <c r="Q212" s="70" t="inlineStr">
        <is>
          <t>Excluded: Ngành nghề Khác (Phi Cún cưng)</t>
        </is>
      </c>
      <c r="R212" s="9" t="inlineStr">
        <is>
          <t>Trọn gói Take-Home Starter Kit V2/V3 (Cỏ nhân tạo + Khay Potty + Đồ chơi cún con)</t>
        </is>
      </c>
      <c r="S212" s="9" t="inlineStr">
        <is>
          <t>Tuyệt đối không đưa vào CRM (Vi phạm Bộ lọc Âm tính Mục 5)</t>
        </is>
      </c>
    </row>
    <row r="213">
      <c r="A213" s="53" t="n">
        <v>302</v>
      </c>
      <c r="B213" s="12" t="inlineStr">
        <is>
          <t>24Carrot Farm</t>
        </is>
      </c>
      <c r="C213" s="54" t="inlineStr">
        <is>
          <t>https://www.facebook.com/24carrot</t>
        </is>
      </c>
      <c r="D213" s="6" t="inlineStr">
        <is>
          <t>Cần quét Bio Fanpage</t>
        </is>
      </c>
      <c r="E213" s="53" t="inlineStr">
        <is>
          <t>03/10/2026 09:41:04</t>
        </is>
      </c>
      <c r="F213" s="53" t="inlineStr">
        <is>
          <t>1 tuần trước</t>
        </is>
      </c>
      <c r="G213" s="55" t="n">
        <v>7</v>
      </c>
      <c r="H213" s="56" t="n">
        <v>20</v>
      </c>
      <c r="I213" s="6" t="inlineStr">
        <is>
          <t>Dog Breeder / Trại nhân giống (28-30đ)</t>
        </is>
      </c>
      <c r="J213" s="56" t="n">
        <v>28</v>
      </c>
      <c r="K213" s="6" t="inlineStr">
        <is>
          <t>Chưa rõ giống (Cần quét Bio)</t>
        </is>
      </c>
      <c r="L213" s="56" t="n">
        <v>0</v>
      </c>
      <c r="M213" s="56" t="n">
        <v>5</v>
      </c>
      <c r="N213" s="6" t="inlineStr">
        <is>
          <t>Amazon link not found</t>
        </is>
      </c>
      <c r="O213" s="56">
        <f>IF(N213="Selling pet toys + Artificial grass/Pet toilets (TARGET)",15,IF(N213="Selling artificial grass/pet toilets (TARGET)",10,IF(N213="Selling pet toys",7,IF(N213="There's an Amazon link, but no target sales.",3,0))))</f>
        <v/>
      </c>
      <c r="P213" s="65">
        <f>H213+J213+L213+M213+O213</f>
        <v/>
      </c>
      <c r="Q213" s="71" t="inlineStr">
        <is>
          <t>Excluded: Trang Chung / Không rõ Ngách Cún cưng</t>
        </is>
      </c>
      <c r="R213" s="6" t="inlineStr">
        <is>
          <t>Trọn gói Take-Home Starter Kit V2/V3 (Cỏ nhân tạo + Khay Potty + Đồ chơi cún con)</t>
        </is>
      </c>
      <c r="S213" s="6" t="inlineStr">
        <is>
          <t>Tuyệt đối không đưa vào CRM (Vi phạm Bộ lọc Âm tính Mục 5)</t>
        </is>
      </c>
    </row>
    <row r="214">
      <c r="A214" s="59" t="n">
        <v>2162</v>
      </c>
      <c r="B214" s="15" t="inlineStr">
        <is>
          <t>Merriam Farm</t>
        </is>
      </c>
      <c r="C214" s="60" t="inlineStr">
        <is>
          <t>https://www.facebook.com/profile.php?id=61581074226771</t>
        </is>
      </c>
      <c r="D214" s="9" t="inlineStr">
        <is>
          <t>Cần quét Bio Fanpage</t>
        </is>
      </c>
      <c r="E214" s="59" t="inlineStr">
        <is>
          <t>03/10/2026 08:11:40</t>
        </is>
      </c>
      <c r="F214" s="59" t="inlineStr">
        <is>
          <t>1 tuần trước</t>
        </is>
      </c>
      <c r="G214" s="61" t="n">
        <v>7</v>
      </c>
      <c r="H214" s="62" t="n">
        <v>20</v>
      </c>
      <c r="I214" s="9" t="inlineStr">
        <is>
          <t>Dog Breeder / Trại nhân giống (28-30đ)</t>
        </is>
      </c>
      <c r="J214" s="62" t="n">
        <v>28</v>
      </c>
      <c r="K214" s="9" t="inlineStr">
        <is>
          <t>Chưa rõ giống (Cần quét Bio)</t>
        </is>
      </c>
      <c r="L214" s="62" t="n">
        <v>0</v>
      </c>
      <c r="M214" s="62" t="n">
        <v>5</v>
      </c>
      <c r="N214" s="9" t="inlineStr">
        <is>
          <t>Amazon link not found</t>
        </is>
      </c>
      <c r="O214" s="62">
        <f>IF(N214="Selling pet toys + Artificial grass/Pet toilets (TARGET)",15,IF(N214="Selling artificial grass/pet toilets (TARGET)",10,IF(N214="Selling pet toys",7,IF(N214="There's an Amazon link, but no target sales.",3,0))))</f>
        <v/>
      </c>
      <c r="P214" s="67">
        <f>H214+J214+L214+M214+O214</f>
        <v/>
      </c>
      <c r="Q214" s="70" t="inlineStr">
        <is>
          <t>Excluded: Trang Chung / Không rõ Ngách Cún cưng</t>
        </is>
      </c>
      <c r="R214" s="9" t="inlineStr">
        <is>
          <t>Trọn gói Take-Home Starter Kit V2/V3 (Cỏ nhân tạo + Khay Potty + Đồ chơi cún con)</t>
        </is>
      </c>
      <c r="S214" s="9" t="inlineStr">
        <is>
          <t>Tuyệt đối không đưa vào CRM (Vi phạm Bộ lọc Âm tính Mục 5)</t>
        </is>
      </c>
    </row>
    <row r="215">
      <c r="A215" s="53" t="n">
        <v>908</v>
      </c>
      <c r="B215" s="12" t="inlineStr">
        <is>
          <t>Clarks Cove Farm &amp; Inn</t>
        </is>
      </c>
      <c r="C215" s="54" t="inlineStr">
        <is>
          <t>https://www.facebook.com/ClarksCoveFarmInn</t>
        </is>
      </c>
      <c r="D215" s="6" t="inlineStr">
        <is>
          <t>Cần quét Bio Fanpage</t>
        </is>
      </c>
      <c r="E215" s="53" t="inlineStr">
        <is>
          <t>03/10/2026 04:57:20</t>
        </is>
      </c>
      <c r="F215" s="53" t="inlineStr">
        <is>
          <t>1 tuần trước</t>
        </is>
      </c>
      <c r="G215" s="55" t="n">
        <v>7</v>
      </c>
      <c r="H215" s="56" t="n">
        <v>20</v>
      </c>
      <c r="I215" s="6" t="inlineStr">
        <is>
          <t>Dog Breeder / Trại nhân giống (28-30đ)</t>
        </is>
      </c>
      <c r="J215" s="56" t="n">
        <v>28</v>
      </c>
      <c r="K215" s="6" t="inlineStr">
        <is>
          <t>Chưa rõ giống (Cần quét Bio)</t>
        </is>
      </c>
      <c r="L215" s="56" t="n">
        <v>0</v>
      </c>
      <c r="M215" s="56" t="n">
        <v>5</v>
      </c>
      <c r="N215" s="6" t="inlineStr">
        <is>
          <t>Amazon link not found</t>
        </is>
      </c>
      <c r="O215" s="56">
        <f>IF(N215="Selling pet toys + Artificial grass/Pet toilets (TARGET)",15,IF(N215="Selling artificial grass/pet toilets (TARGET)",10,IF(N215="Selling pet toys",7,IF(N215="There's an Amazon link, but no target sales.",3,0))))</f>
        <v/>
      </c>
      <c r="P215" s="65">
        <f>H215+J215+L215+M215+O215</f>
        <v/>
      </c>
      <c r="Q215" s="71" t="inlineStr">
        <is>
          <t>Excluded: Trang Chung / Không rõ Ngách Cún cưng</t>
        </is>
      </c>
      <c r="R215" s="6" t="inlineStr">
        <is>
          <t>Trọn gói Take-Home Starter Kit V2/V3 (Cỏ nhân tạo + Khay Potty + Đồ chơi cún con)</t>
        </is>
      </c>
      <c r="S215" s="6" t="inlineStr">
        <is>
          <t>Tuyệt đối không đưa vào CRM (Vi phạm Bộ lọc Âm tính Mục 5)</t>
        </is>
      </c>
    </row>
    <row r="216">
      <c r="A216" s="59" t="n">
        <v>2893</v>
      </c>
      <c r="B216" s="15" t="inlineStr">
        <is>
          <t>Sickler's Circle View Farm</t>
        </is>
      </c>
      <c r="C216" s="60" t="inlineStr">
        <is>
          <t>https://www.facebook.com/sicklerscircleviewfarm</t>
        </is>
      </c>
      <c r="D216" s="9" t="inlineStr">
        <is>
          <t>Cần quét Bio Fanpage</t>
        </is>
      </c>
      <c r="E216" s="59" t="inlineStr">
        <is>
          <t>02/10/2026 15:39:20</t>
        </is>
      </c>
      <c r="F216" s="59" t="inlineStr">
        <is>
          <t>1 tuần trước</t>
        </is>
      </c>
      <c r="G216" s="61" t="n">
        <v>7</v>
      </c>
      <c r="H216" s="62" t="n">
        <v>20</v>
      </c>
      <c r="I216" s="9" t="inlineStr">
        <is>
          <t>Dog Breeder / Trại nhân giống (28-30đ)</t>
        </is>
      </c>
      <c r="J216" s="62" t="n">
        <v>28</v>
      </c>
      <c r="K216" s="9" t="inlineStr">
        <is>
          <t>Chưa rõ giống (Cần quét Bio)</t>
        </is>
      </c>
      <c r="L216" s="62" t="n">
        <v>0</v>
      </c>
      <c r="M216" s="62" t="n">
        <v>5</v>
      </c>
      <c r="N216" s="9" t="inlineStr">
        <is>
          <t>Amazon link not found</t>
        </is>
      </c>
      <c r="O216" s="62">
        <f>IF(N216="Selling pet toys + Artificial grass/Pet toilets (TARGET)",15,IF(N216="Selling artificial grass/pet toilets (TARGET)",10,IF(N216="Selling pet toys",7,IF(N216="There's an Amazon link, but no target sales.",3,0))))</f>
        <v/>
      </c>
      <c r="P216" s="67">
        <f>H216+J216+L216+M216+O216</f>
        <v/>
      </c>
      <c r="Q216" s="70" t="inlineStr">
        <is>
          <t>Excluded: Trang Chung / Không rõ Ngách Cún cưng</t>
        </is>
      </c>
      <c r="R216" s="9" t="inlineStr">
        <is>
          <t>Trọn gói Take-Home Starter Kit V2/V3 (Cỏ nhân tạo + Khay Potty + Đồ chơi cún con)</t>
        </is>
      </c>
      <c r="S216" s="9" t="inlineStr">
        <is>
          <t>Tuyệt đối không đưa vào CRM (Vi phạm Bộ lọc Âm tính Mục 5)</t>
        </is>
      </c>
    </row>
    <row r="217">
      <c r="A217" s="53" t="n">
        <v>1331</v>
      </c>
      <c r="B217" s="12" t="inlineStr">
        <is>
          <t>FAR Wind Farm LLC</t>
        </is>
      </c>
      <c r="C217" s="54" t="inlineStr">
        <is>
          <t>https://www.facebook.com/FARWindFarmSmallMillMade</t>
        </is>
      </c>
      <c r="D217" s="6" t="inlineStr">
        <is>
          <t>Cần quét Bio Fanpage</t>
        </is>
      </c>
      <c r="E217" s="53" t="inlineStr">
        <is>
          <t>30/09/2026 23:32:12</t>
        </is>
      </c>
      <c r="F217" s="53" t="inlineStr">
        <is>
          <t>1 tuần trước</t>
        </is>
      </c>
      <c r="G217" s="55" t="n">
        <v>7</v>
      </c>
      <c r="H217" s="56" t="n">
        <v>20</v>
      </c>
      <c r="I217" s="6" t="inlineStr">
        <is>
          <t>Dog Breeder / Trại nhân giống (28-30đ)</t>
        </is>
      </c>
      <c r="J217" s="56" t="n">
        <v>28</v>
      </c>
      <c r="K217" s="6" t="inlineStr">
        <is>
          <t>Chưa rõ giống (Cần quét Bio)</t>
        </is>
      </c>
      <c r="L217" s="56" t="n">
        <v>0</v>
      </c>
      <c r="M217" s="56" t="n">
        <v>5</v>
      </c>
      <c r="N217" s="6" t="inlineStr">
        <is>
          <t>Amazon link not found</t>
        </is>
      </c>
      <c r="O217" s="56">
        <f>IF(N217="Selling pet toys + Artificial grass/Pet toilets (TARGET)",15,IF(N217="Selling artificial grass/pet toilets (TARGET)",10,IF(N217="Selling pet toys",7,IF(N217="There's an Amazon link, but no target sales.",3,0))))</f>
        <v/>
      </c>
      <c r="P217" s="65">
        <f>H217+J217+L217+M217+O217</f>
        <v/>
      </c>
      <c r="Q217" s="71" t="inlineStr">
        <is>
          <t>Excluded: Trang Chung / Không rõ Ngách Cún cưng</t>
        </is>
      </c>
      <c r="R217" s="6" t="inlineStr">
        <is>
          <t>Trọn gói Take-Home Starter Kit V2/V3 (Cỏ nhân tạo + Khay Potty + Đồ chơi cún con)</t>
        </is>
      </c>
      <c r="S217" s="6" t="inlineStr">
        <is>
          <t>Tuyệt đối không đưa vào CRM (Vi phạm Bộ lọc Âm tính Mục 5)</t>
        </is>
      </c>
    </row>
    <row r="218">
      <c r="A218" s="59" t="n">
        <v>2328</v>
      </c>
      <c r="B218" s="15" t="inlineStr">
        <is>
          <t>Novak Farms</t>
        </is>
      </c>
      <c r="C218" s="60" t="inlineStr">
        <is>
          <t>https://www.facebook.com/novakfarmswv</t>
        </is>
      </c>
      <c r="D218" s="9" t="inlineStr">
        <is>
          <t>Cần quét Bio Fanpage</t>
        </is>
      </c>
      <c r="E218" s="59" t="inlineStr">
        <is>
          <t>29/09/2026 07:02:08</t>
        </is>
      </c>
      <c r="F218" s="59" t="inlineStr">
        <is>
          <t>1 tuần trước</t>
        </is>
      </c>
      <c r="G218" s="61" t="n">
        <v>7</v>
      </c>
      <c r="H218" s="62" t="n">
        <v>20</v>
      </c>
      <c r="I218" s="9" t="inlineStr">
        <is>
          <t>Dog Breeder / Trại nhân giống (28-30đ)</t>
        </is>
      </c>
      <c r="J218" s="62" t="n">
        <v>28</v>
      </c>
      <c r="K218" s="9" t="inlineStr">
        <is>
          <t>Chưa rõ giống (Cần quét Bio)</t>
        </is>
      </c>
      <c r="L218" s="62" t="n">
        <v>0</v>
      </c>
      <c r="M218" s="62" t="n">
        <v>5</v>
      </c>
      <c r="N218" s="9" t="inlineStr">
        <is>
          <t>Amazon link not found</t>
        </is>
      </c>
      <c r="O218" s="62">
        <f>IF(N218="Selling pet toys + Artificial grass/Pet toilets (TARGET)",15,IF(N218="Selling artificial grass/pet toilets (TARGET)",10,IF(N218="Selling pet toys",7,IF(N218="There's an Amazon link, but no target sales.",3,0))))</f>
        <v/>
      </c>
      <c r="P218" s="67">
        <f>H218+J218+L218+M218+O218</f>
        <v/>
      </c>
      <c r="Q218" s="70" t="inlineStr">
        <is>
          <t>Excluded: Trang Chung / Không rõ Ngách Cún cưng</t>
        </is>
      </c>
      <c r="R218" s="9" t="inlineStr">
        <is>
          <t>Trọn gói Take-Home Starter Kit V2/V3 (Cỏ nhân tạo + Khay Potty + Đồ chơi cún con)</t>
        </is>
      </c>
      <c r="S218" s="9" t="inlineStr">
        <is>
          <t>Tuyệt đối không đưa vào CRM (Vi phạm Bộ lọc Âm tính Mục 5)</t>
        </is>
      </c>
    </row>
    <row r="219">
      <c r="A219" s="53" t="n">
        <v>1434</v>
      </c>
      <c r="B219" s="12" t="inlineStr">
        <is>
          <t>French Bulldog Club of NSW</t>
        </is>
      </c>
      <c r="C219" s="54" t="inlineStr">
        <is>
          <t>https://www.facebook.com/FrenchBulldogClubNSW</t>
        </is>
      </c>
      <c r="D219" s="6" t="inlineStr">
        <is>
          <t>Cần quét Bio Fanpage</t>
        </is>
      </c>
      <c r="E219" s="53" t="inlineStr">
        <is>
          <t>28/09/2026 06:43:20</t>
        </is>
      </c>
      <c r="F219" s="53" t="inlineStr">
        <is>
          <t>2 tuần trước</t>
        </is>
      </c>
      <c r="G219" s="55" t="n">
        <v>14</v>
      </c>
      <c r="H219" s="56" t="n">
        <v>15</v>
      </c>
      <c r="I219" s="6" t="inlineStr">
        <is>
          <t>Dog Breeder / Trại nhân giống (28-30đ)</t>
        </is>
      </c>
      <c r="J219" s="56" t="n">
        <v>28</v>
      </c>
      <c r="K219" s="6" t="inlineStr">
        <is>
          <t>French Bulldog</t>
        </is>
      </c>
      <c r="L219" s="56" t="n">
        <v>10</v>
      </c>
      <c r="M219" s="56" t="n">
        <v>0</v>
      </c>
      <c r="N219" s="6" t="inlineStr">
        <is>
          <t>Amazon link not found</t>
        </is>
      </c>
      <c r="O219" s="56">
        <f>IF(N219="Selling pet toys + Artificial grass/Pet toilets (TARGET)",15,IF(N219="Selling artificial grass/pet toilets (TARGET)",10,IF(N219="Selling pet toys",7,IF(N219="There's an Amazon link, but no target sales.",3,0))))</f>
        <v/>
      </c>
      <c r="P219" s="65">
        <f>H219+J219+L219+M219+O219</f>
        <v/>
      </c>
      <c r="Q219" s="71" t="inlineStr">
        <is>
          <t>Excluded: Hiệp hội &amp; CLB Phả hệ (Mục 5.1)</t>
        </is>
      </c>
      <c r="R219" s="6" t="inlineStr">
        <is>
          <t>Trọn gói Take-Home Starter Kit V2/V3 (Cỏ nhân tạo + Khay Potty + Đồ chơi cún con)</t>
        </is>
      </c>
      <c r="S219" s="6" t="inlineStr">
        <is>
          <t>Tuyệt đối không đưa vào CRM (Vi phạm Bộ lọc Âm tính Mục 5)</t>
        </is>
      </c>
    </row>
    <row r="220">
      <c r="A220" s="59" t="n">
        <v>2615</v>
      </c>
      <c r="B220" s="15" t="inlineStr">
        <is>
          <t>Precision Farm Services</t>
        </is>
      </c>
      <c r="C220" s="60" t="inlineStr">
        <is>
          <t>https://www.facebook.com/profile.php?id=61594836838388</t>
        </is>
      </c>
      <c r="D220" s="9" t="inlineStr">
        <is>
          <t>Cần quét Bio Fanpage</t>
        </is>
      </c>
      <c r="E220" s="59" t="inlineStr">
        <is>
          <t>26/09/2026 08:35:10</t>
        </is>
      </c>
      <c r="F220" s="59" t="inlineStr">
        <is>
          <t>2 tuần trước</t>
        </is>
      </c>
      <c r="G220" s="61" t="n">
        <v>14</v>
      </c>
      <c r="H220" s="62" t="n">
        <v>15</v>
      </c>
      <c r="I220" s="9" t="inlineStr">
        <is>
          <t>Dog Breeder / Trại nhân giống (28-30đ)</t>
        </is>
      </c>
      <c r="J220" s="62" t="n">
        <v>28</v>
      </c>
      <c r="K220" s="9" t="inlineStr">
        <is>
          <t>Chưa rõ giống (Cần quét Bio)</t>
        </is>
      </c>
      <c r="L220" s="62" t="n">
        <v>0</v>
      </c>
      <c r="M220" s="62" t="n">
        <v>10</v>
      </c>
      <c r="N220" s="9" t="inlineStr">
        <is>
          <t>Amazon link not found</t>
        </is>
      </c>
      <c r="O220" s="62">
        <f>IF(N220="Selling pet toys + Artificial grass/Pet toilets (TARGET)",15,IF(N220="Selling artificial grass/pet toilets (TARGET)",10,IF(N220="Selling pet toys",7,IF(N220="There's an Amazon link, but no target sales.",3,0))))</f>
        <v/>
      </c>
      <c r="P220" s="67">
        <f>H220+J220+L220+M220+O220</f>
        <v/>
      </c>
      <c r="Q220" s="70" t="inlineStr">
        <is>
          <t>Excluded: Trang Chung / Không rõ Ngách Cún cưng</t>
        </is>
      </c>
      <c r="R220" s="9" t="inlineStr">
        <is>
          <t>Trọn gói Take-Home Starter Kit V2/V3 (Cỏ nhân tạo + Khay Potty + Đồ chơi cún con)</t>
        </is>
      </c>
      <c r="S220" s="9" t="inlineStr">
        <is>
          <t>Tuyệt đối không đưa vào CRM (Vi phạm Bộ lọc Âm tính Mục 5)</t>
        </is>
      </c>
    </row>
    <row r="221">
      <c r="A221" s="53" t="n">
        <v>2068</v>
      </c>
      <c r="B221" s="12" t="inlineStr">
        <is>
          <t>LSU School of Veterinary Medicine</t>
        </is>
      </c>
      <c r="C221" s="54" t="inlineStr">
        <is>
          <t>https://www.facebook.com/LSUSVM</t>
        </is>
      </c>
      <c r="D221" s="6" t="inlineStr">
        <is>
          <t>Cần quét Bio Fanpage</t>
        </is>
      </c>
      <c r="E221" s="53" t="inlineStr">
        <is>
          <t>12/10/2026 21:25:53</t>
        </is>
      </c>
      <c r="F221" s="53" t="inlineStr">
        <is>
          <t>7 giờ trước</t>
        </is>
      </c>
      <c r="G221" s="55" t="n">
        <v>0.29</v>
      </c>
      <c r="H221" s="56" t="n">
        <v>32</v>
      </c>
      <c r="I221" s="6" t="inlineStr">
        <is>
          <t>Pet Boarding / Huấn luyện K9 &amp; Dịch vụ (20-22đ)</t>
        </is>
      </c>
      <c r="J221" s="56" t="n">
        <v>20</v>
      </c>
      <c r="K221" s="6" t="inlineStr">
        <is>
          <t>Chưa rõ giống (Cần quét Bio)</t>
        </is>
      </c>
      <c r="L221" s="56" t="n">
        <v>0</v>
      </c>
      <c r="M221" s="56" t="n">
        <v>0</v>
      </c>
      <c r="N221" s="6" t="inlineStr">
        <is>
          <t>Amazon link not found</t>
        </is>
      </c>
      <c r="O221" s="56">
        <f>IF(N221="Selling pet toys + Artificial grass/Pet toilets (TARGET)",15,IF(N221="Selling artificial grass/pet toilets (TARGET)",10,IF(N221="Selling pet toys",7,IF(N221="There's an Amazon link, but no target sales.",3,0))))</f>
        <v/>
      </c>
      <c r="P221" s="65">
        <f>H221+J221+L221+M221+O221</f>
        <v/>
      </c>
      <c r="Q221" s="71" t="inlineStr">
        <is>
          <t>Excluded: Công ty Gen DNA &amp; Thú y (Mục 5.4)</t>
        </is>
      </c>
      <c r="R221" s="6" t="inlineStr">
        <is>
          <t>Cỏ nhân tạo sân chơi/huấn luyện (Dog Turf) + Đồ chơi nhai chịu lực (KONG/Chew Toys)</t>
        </is>
      </c>
      <c r="S221" s="6" t="inlineStr">
        <is>
          <t>Tuyệt đối không đưa vào CRM (Vi phạm Bộ lọc Âm tính Mục 5)</t>
        </is>
      </c>
    </row>
    <row r="222">
      <c r="A222" s="59" t="n">
        <v>3373</v>
      </c>
      <c r="B222" s="15" t="inlineStr">
        <is>
          <t>Washoe County Regional Animal Services</t>
        </is>
      </c>
      <c r="C222" s="60" t="inlineStr">
        <is>
          <t>https://www.facebook.com/WashoeAnimals</t>
        </is>
      </c>
      <c r="D222" s="9" t="inlineStr">
        <is>
          <t>Cần quét Bio Fanpage</t>
        </is>
      </c>
      <c r="E222" s="59" t="inlineStr">
        <is>
          <t>12/10/2026 23:15:33</t>
        </is>
      </c>
      <c r="F222" s="59" t="inlineStr">
        <is>
          <t>7 giờ trước</t>
        </is>
      </c>
      <c r="G222" s="61" t="n">
        <v>0.29</v>
      </c>
      <c r="H222" s="62" t="n">
        <v>32</v>
      </c>
      <c r="I222" s="9" t="inlineStr">
        <is>
          <t>Pet Rescue / Trạm cứu trợ (14-16đ)</t>
        </is>
      </c>
      <c r="J222" s="62" t="n">
        <v>14</v>
      </c>
      <c r="K222" s="9" t="inlineStr">
        <is>
          <t>Chưa rõ giống (Cần quét Bio)</t>
        </is>
      </c>
      <c r="L222" s="62" t="n">
        <v>0</v>
      </c>
      <c r="M222" s="62" t="n">
        <v>5</v>
      </c>
      <c r="N222" s="9" t="inlineStr">
        <is>
          <t>Amazon link not found</t>
        </is>
      </c>
      <c r="O222" s="62">
        <f>IF(N222="Selling pet toys + Artificial grass/Pet toilets (TARGET)",15,IF(N222="Selling artificial grass/pet toilets (TARGET)",10,IF(N222="Selling pet toys",7,IF(N222="There's an Amazon link, but no target sales.",3,0))))</f>
        <v/>
      </c>
      <c r="P222" s="67">
        <f>H222+J222+L222+M222+O222</f>
        <v/>
      </c>
      <c r="Q222" s="70" t="inlineStr">
        <is>
          <t>Excluded: Trang Chung / Không rõ Ngách Cún cưng</t>
        </is>
      </c>
      <c r="R222" s="9" t="inlineStr">
        <is>
          <t>Nhà vệ sinh &amp; Tã lót (Potty Tray / Pee Pads) + Cỏ nhân tạo lót chuồng</t>
        </is>
      </c>
      <c r="S222" s="9" t="inlineStr">
        <is>
          <t>Tuyệt đối không đưa vào CRM (Vi phạm Bộ lọc Âm tính Mục 5)</t>
        </is>
      </c>
    </row>
    <row r="223">
      <c r="A223" s="53" t="n">
        <v>4618</v>
      </c>
      <c r="B223" s="12" t="inlineStr">
        <is>
          <t>McGeeEquineLivestockFarrierServiceandrescuecenter</t>
        </is>
      </c>
      <c r="C223" s="54" t="inlineStr">
        <is>
          <t>https://www.facebook.com/McGeeEquineLivestockFarrierServiceandrescuecenter</t>
        </is>
      </c>
      <c r="D223" s="6" t="inlineStr">
        <is>
          <t>Cần quét Bio Fanpage</t>
        </is>
      </c>
      <c r="E223" s="53" t="inlineStr">
        <is>
          <t>13/10/2026 09:02:09</t>
        </is>
      </c>
      <c r="F223" s="53" t="inlineStr">
        <is>
          <t>13 phút trước</t>
        </is>
      </c>
      <c r="G223" s="55" t="n">
        <v>0.01</v>
      </c>
      <c r="H223" s="56" t="n">
        <v>35</v>
      </c>
      <c r="I223" s="6" t="inlineStr">
        <is>
          <t>Pet Owner / Cộng đồng nuôi cún (10đ)</t>
        </is>
      </c>
      <c r="J223" s="56" t="n">
        <v>10</v>
      </c>
      <c r="K223" s="6" t="inlineStr">
        <is>
          <t>Chưa rõ giống (Cần quét Bio)</t>
        </is>
      </c>
      <c r="L223" s="56" t="n">
        <v>0</v>
      </c>
      <c r="M223" s="56" t="n">
        <v>5</v>
      </c>
      <c r="N223" s="6" t="inlineStr">
        <is>
          <t>Amazon link not found</t>
        </is>
      </c>
      <c r="O223" s="56">
        <f>IF(N223="Selling pet toys + Artificial grass/Pet toilets (TARGET)",15,IF(N223="Selling artificial grass/pet toilets (TARGET)",10,IF(N223="Selling pet toys",7,IF(N223="There's an Amazon link, but no target sales.",3,0))))</f>
        <v/>
      </c>
      <c r="P223" s="65">
        <f>H223+J223+L223+M223+O223</f>
        <v/>
      </c>
      <c r="Q223" s="71" t="inlineStr">
        <is>
          <t>Excluded: Ngành nghề Khác (Phi Cún cưng)</t>
        </is>
      </c>
      <c r="R223" s="6" t="inlineStr">
        <is>
          <t>Khay vệ sinh chung cư (Indoor Potty) + Thảm cỏ ban công (Grass Patch) + Đồ chơi</t>
        </is>
      </c>
      <c r="S223" s="6" t="inlineStr">
        <is>
          <t>Tuyệt đối không đưa vào CRM (Vi phạm Bộ lọc Âm tính Mục 5)</t>
        </is>
      </c>
    </row>
    <row r="224">
      <c r="A224" s="59" t="n">
        <v>3814</v>
      </c>
      <c r="B224" s="15" t="inlineStr">
        <is>
          <t>Farmer Millz</t>
        </is>
      </c>
      <c r="C224" s="60" t="inlineStr">
        <is>
          <t>https://www.facebook.com/normasbasketshop</t>
        </is>
      </c>
      <c r="D224" s="9" t="inlineStr">
        <is>
          <t>Cần quét Bio Fanpage</t>
        </is>
      </c>
      <c r="E224" s="59" t="inlineStr">
        <is>
          <t>13/10/2026 07:35:08</t>
        </is>
      </c>
      <c r="F224" s="59" t="inlineStr">
        <is>
          <t>12 phút trước</t>
        </is>
      </c>
      <c r="G224" s="61" t="n">
        <v>0.01</v>
      </c>
      <c r="H224" s="62" t="n">
        <v>35</v>
      </c>
      <c r="I224" s="9" t="inlineStr">
        <is>
          <t>Pet Owner / Cộng đồng nuôi cún (10đ)</t>
        </is>
      </c>
      <c r="J224" s="62" t="n">
        <v>10</v>
      </c>
      <c r="K224" s="9" t="inlineStr">
        <is>
          <t>Chưa rõ giống (Cần quét Bio)</t>
        </is>
      </c>
      <c r="L224" s="62" t="n">
        <v>0</v>
      </c>
      <c r="M224" s="62" t="n">
        <v>5</v>
      </c>
      <c r="N224" s="9" t="inlineStr">
        <is>
          <t>Amazon link not found</t>
        </is>
      </c>
      <c r="O224" s="62">
        <f>IF(N224="Selling pet toys + Artificial grass/Pet toilets (TARGET)",15,IF(N224="Selling artificial grass/pet toilets (TARGET)",10,IF(N224="Selling pet toys",7,IF(N224="There's an Amazon link, but no target sales.",3,0))))</f>
        <v/>
      </c>
      <c r="P224" s="67">
        <f>H224+J224+L224+M224+O224</f>
        <v/>
      </c>
      <c r="Q224" s="70" t="inlineStr">
        <is>
          <t>Excluded: Trang Chung / Không rõ Ngách Cún cưng</t>
        </is>
      </c>
      <c r="R224" s="9" t="inlineStr">
        <is>
          <t>Khay vệ sinh chung cư (Indoor Potty) + Thảm cỏ ban công (Grass Patch) + Đồ chơi</t>
        </is>
      </c>
      <c r="S224" s="9" t="inlineStr">
        <is>
          <t>Tuyệt đối không đưa vào CRM (Vi phạm Bộ lọc Âm tính Mục 5)</t>
        </is>
      </c>
    </row>
    <row r="225">
      <c r="A225" s="53" t="n">
        <v>2286</v>
      </c>
      <c r="B225" s="12" t="inlineStr">
        <is>
          <t>New York State Department of Veterans' Services</t>
        </is>
      </c>
      <c r="C225" s="54" t="inlineStr">
        <is>
          <t>https://www.facebook.com/NewYorkVeterans</t>
        </is>
      </c>
      <c r="D225" s="6" t="inlineStr">
        <is>
          <t>Cần quét Bio Fanpage</t>
        </is>
      </c>
      <c r="E225" s="53" t="inlineStr">
        <is>
          <t>13/10/2026 04:18:55</t>
        </is>
      </c>
      <c r="F225" s="53" t="inlineStr">
        <is>
          <t>42 phút trước</t>
        </is>
      </c>
      <c r="G225" s="55" t="n">
        <v>0.03</v>
      </c>
      <c r="H225" s="56" t="n">
        <v>35</v>
      </c>
      <c r="I225" s="6" t="inlineStr">
        <is>
          <t>Pet Owner / Cộng đồng nuôi cún (10đ)</t>
        </is>
      </c>
      <c r="J225" s="56" t="n">
        <v>10</v>
      </c>
      <c r="K225" s="6" t="inlineStr">
        <is>
          <t>Chưa rõ giống (Cần quét Bio)</t>
        </is>
      </c>
      <c r="L225" s="56" t="n">
        <v>0</v>
      </c>
      <c r="M225" s="56" t="n">
        <v>5</v>
      </c>
      <c r="N225" s="6" t="inlineStr">
        <is>
          <t>Amazon link not found</t>
        </is>
      </c>
      <c r="O225" s="56">
        <f>IF(N225="Selling pet toys + Artificial grass/Pet toilets (TARGET)",15,IF(N225="Selling artificial grass/pet toilets (TARGET)",10,IF(N225="Selling pet toys",7,IF(N225="There's an Amazon link, but no target sales.",3,0))))</f>
        <v/>
      </c>
      <c r="P225" s="65">
        <f>H225+J225+L225+M225+O225</f>
        <v/>
      </c>
      <c r="Q225" s="71" t="inlineStr">
        <is>
          <t>Excluded: Trang Chung / Không rõ Ngách Cún cưng</t>
        </is>
      </c>
      <c r="R225" s="6" t="inlineStr">
        <is>
          <t>Khay vệ sinh chung cư (Indoor Potty) + Thảm cỏ ban công (Grass Patch) + Đồ chơi</t>
        </is>
      </c>
      <c r="S225" s="6" t="inlineStr">
        <is>
          <t>Tuyệt đối không đưa vào CRM (Vi phạm Bộ lọc Âm tính Mục 5)</t>
        </is>
      </c>
    </row>
    <row r="226">
      <c r="A226" s="59" t="n">
        <v>2762</v>
      </c>
      <c r="B226" s="15" t="inlineStr">
        <is>
          <t>RobesonCountyAnimalProtectiveServices</t>
        </is>
      </c>
      <c r="C226" s="60" t="inlineStr">
        <is>
          <t>https://www.facebook.com/RobesonCountyAnimalProtectiveServices</t>
        </is>
      </c>
      <c r="D226" s="9" t="inlineStr">
        <is>
          <t>Cần quét Bio Fanpage</t>
        </is>
      </c>
      <c r="E226" s="59" t="inlineStr">
        <is>
          <t>13/10/2026 03:09:50</t>
        </is>
      </c>
      <c r="F226" s="59" t="inlineStr">
        <is>
          <t>2 giờ trước</t>
        </is>
      </c>
      <c r="G226" s="61" t="n">
        <v>0.08</v>
      </c>
      <c r="H226" s="62" t="n">
        <v>35</v>
      </c>
      <c r="I226" s="9" t="inlineStr">
        <is>
          <t>Pet Owner / Cộng đồng nuôi cún (10đ)</t>
        </is>
      </c>
      <c r="J226" s="62" t="n">
        <v>10</v>
      </c>
      <c r="K226" s="9" t="inlineStr">
        <is>
          <t>Chưa rõ giống (Cần quét Bio)</t>
        </is>
      </c>
      <c r="L226" s="62" t="n">
        <v>0</v>
      </c>
      <c r="M226" s="62" t="n">
        <v>5</v>
      </c>
      <c r="N226" s="9" t="inlineStr">
        <is>
          <t>Amazon link not found</t>
        </is>
      </c>
      <c r="O226" s="62">
        <f>IF(N226="Selling pet toys + Artificial grass/Pet toilets (TARGET)",15,IF(N226="Selling artificial grass/pet toilets (TARGET)",10,IF(N226="Selling pet toys",7,IF(N226="There's an Amazon link, but no target sales.",3,0))))</f>
        <v/>
      </c>
      <c r="P226" s="67">
        <f>H226+J226+L226+M226+O226</f>
        <v/>
      </c>
      <c r="Q226" s="70" t="inlineStr">
        <is>
          <t>Excluded: Trang Chung / Không rõ Ngách Cún cưng</t>
        </is>
      </c>
      <c r="R226" s="9" t="inlineStr">
        <is>
          <t>Khay vệ sinh chung cư (Indoor Potty) + Thảm cỏ ban công (Grass Patch) + Đồ chơi</t>
        </is>
      </c>
      <c r="S226" s="9" t="inlineStr">
        <is>
          <t>Tuyệt đối không đưa vào CRM (Vi phạm Bộ lọc Âm tính Mục 5)</t>
        </is>
      </c>
    </row>
    <row r="227">
      <c r="A227" s="53" t="n">
        <v>1976</v>
      </c>
      <c r="B227" s="12" t="inlineStr">
        <is>
          <t>Lakeland Veterinary Services</t>
        </is>
      </c>
      <c r="C227" s="54" t="inlineStr">
        <is>
          <t>https://www.facebook.com/lakelandvetservices</t>
        </is>
      </c>
      <c r="D227" s="6" t="inlineStr">
        <is>
          <t>Cần quét Bio Fanpage</t>
        </is>
      </c>
      <c r="E227" s="53" t="inlineStr">
        <is>
          <t>13/10/2026 01:22:12</t>
        </is>
      </c>
      <c r="F227" s="53" t="inlineStr">
        <is>
          <t>3 giờ trước</t>
        </is>
      </c>
      <c r="G227" s="55" t="n">
        <v>0.12</v>
      </c>
      <c r="H227" s="56" t="n">
        <v>35</v>
      </c>
      <c r="I227" s="6" t="inlineStr">
        <is>
          <t>Pet Owner / Cộng đồng nuôi cún (10đ)</t>
        </is>
      </c>
      <c r="J227" s="56" t="n">
        <v>10</v>
      </c>
      <c r="K227" s="6" t="inlineStr">
        <is>
          <t>Chưa rõ giống (Cần quét Bio)</t>
        </is>
      </c>
      <c r="L227" s="56" t="n">
        <v>0</v>
      </c>
      <c r="M227" s="56" t="n">
        <v>5</v>
      </c>
      <c r="N227" s="6" t="inlineStr">
        <is>
          <t>Amazon link not found</t>
        </is>
      </c>
      <c r="O227" s="56">
        <f>IF(N227="Selling pet toys + Artificial grass/Pet toilets (TARGET)",15,IF(N227="Selling artificial grass/pet toilets (TARGET)",10,IF(N227="Selling pet toys",7,IF(N227="There's an Amazon link, but no target sales.",3,0))))</f>
        <v/>
      </c>
      <c r="P227" s="65">
        <f>H227+J227+L227+M227+O227</f>
        <v/>
      </c>
      <c r="Q227" s="71" t="inlineStr">
        <is>
          <t>Excluded: Công ty Gen DNA &amp; Thú y (Mục 5.4)</t>
        </is>
      </c>
      <c r="R227" s="6" t="inlineStr">
        <is>
          <t>Khay vệ sinh chung cư (Indoor Potty) + Thảm cỏ ban công (Grass Patch) + Đồ chơi</t>
        </is>
      </c>
      <c r="S227" s="6" t="inlineStr">
        <is>
          <t>Tuyệt đối không đưa vào CRM (Vi phạm Bộ lọc Âm tính Mục 5)</t>
        </is>
      </c>
    </row>
    <row r="228">
      <c r="A228" s="59" t="n">
        <v>413</v>
      </c>
      <c r="B228" s="15" t="inlineStr">
        <is>
          <t>americanveteranscenter</t>
        </is>
      </c>
      <c r="C228" s="60" t="inlineStr">
        <is>
          <t>https://www.facebook.com/americanveteranscenter</t>
        </is>
      </c>
      <c r="D228" s="9" t="inlineStr">
        <is>
          <t>Cần quét Bio Fanpage</t>
        </is>
      </c>
      <c r="E228" s="59" t="inlineStr">
        <is>
          <t>13/10/2026 01:00:03</t>
        </is>
      </c>
      <c r="F228" s="59" t="inlineStr">
        <is>
          <t>39 phút trước</t>
        </is>
      </c>
      <c r="G228" s="61" t="n">
        <v>0.03</v>
      </c>
      <c r="H228" s="62" t="n">
        <v>35</v>
      </c>
      <c r="I228" s="9" t="inlineStr">
        <is>
          <t>Pet Owner / Cộng đồng nuôi cún (10đ)</t>
        </is>
      </c>
      <c r="J228" s="62" t="n">
        <v>10</v>
      </c>
      <c r="K228" s="9" t="inlineStr">
        <is>
          <t>Chưa rõ giống (Cần quét Bio)</t>
        </is>
      </c>
      <c r="L228" s="62" t="n">
        <v>0</v>
      </c>
      <c r="M228" s="62" t="n">
        <v>5</v>
      </c>
      <c r="N228" s="9" t="inlineStr">
        <is>
          <t>Amazon link not found</t>
        </is>
      </c>
      <c r="O228" s="62">
        <f>IF(N228="Selling pet toys + Artificial grass/Pet toilets (TARGET)",15,IF(N228="Selling artificial grass/pet toilets (TARGET)",10,IF(N228="Selling pet toys",7,IF(N228="There's an Amazon link, but no target sales.",3,0))))</f>
        <v/>
      </c>
      <c r="P228" s="67">
        <f>H228+J228+L228+M228+O228</f>
        <v/>
      </c>
      <c r="Q228" s="70" t="inlineStr">
        <is>
          <t>Excluded: Trang Chung / Không rõ Ngách Cún cưng</t>
        </is>
      </c>
      <c r="R228" s="9" t="inlineStr">
        <is>
          <t>Khay vệ sinh chung cư (Indoor Potty) + Thảm cỏ ban công (Grass Patch) + Đồ chơi</t>
        </is>
      </c>
      <c r="S228" s="9" t="inlineStr">
        <is>
          <t>Tuyệt đối không đưa vào CRM (Vi phạm Bộ lọc Âm tính Mục 5)</t>
        </is>
      </c>
    </row>
    <row r="229">
      <c r="A229" s="53" t="n">
        <v>2468</v>
      </c>
      <c r="B229" s="12" t="inlineStr">
        <is>
          <t>Pet Supplies Plus</t>
        </is>
      </c>
      <c r="C229" s="54" t="inlineStr">
        <is>
          <t>https://www.facebook.com/petsuppliesplus</t>
        </is>
      </c>
      <c r="D229" s="6" t="inlineStr">
        <is>
          <t>Cần quét Bio Fanpage</t>
        </is>
      </c>
      <c r="E229" s="53" t="inlineStr">
        <is>
          <t>11/10/2026 07:12:44</t>
        </is>
      </c>
      <c r="F229" s="53" t="inlineStr">
        <is>
          <t>1 ngày trước</t>
        </is>
      </c>
      <c r="G229" s="55" t="n">
        <v>1</v>
      </c>
      <c r="H229" s="56" t="n">
        <v>28</v>
      </c>
      <c r="I229" s="6" t="inlineStr">
        <is>
          <t>Pet Owner / Cộng đồng nuôi cún (10đ)</t>
        </is>
      </c>
      <c r="J229" s="56" t="n">
        <v>10</v>
      </c>
      <c r="K229" s="6" t="inlineStr">
        <is>
          <t>Chưa rõ giống (Cần quét Bio)</t>
        </is>
      </c>
      <c r="L229" s="56" t="n">
        <v>0</v>
      </c>
      <c r="M229" s="56" t="n">
        <v>5</v>
      </c>
      <c r="N229" s="6" t="inlineStr">
        <is>
          <t>Selling pet toys</t>
        </is>
      </c>
      <c r="O229" s="56">
        <f>IF(N229="Selling pet toys + Artificial grass/Pet toilets (TARGET)",15,IF(N229="Selling artificial grass/pet toilets (TARGET)",10,IF(N229="Selling pet toys",7,IF(N229="There's an Amazon link, but no target sales.",3,0))))</f>
        <v/>
      </c>
      <c r="P229" s="65">
        <f>H229+J229+L229+M229+O229</f>
        <v/>
      </c>
      <c r="Q229" s="71" t="inlineStr">
        <is>
          <t>Excluded: Chuỗi Siêu thị Bán lẻ Lớn (Mục 5.2)</t>
        </is>
      </c>
      <c r="R229" s="6" t="inlineStr">
        <is>
          <t>Khay vệ sinh chung cư (Indoor Potty) + Thảm cỏ ban công (Grass Patch) + Đồ chơi</t>
        </is>
      </c>
      <c r="S229" s="6" t="inlineStr">
        <is>
          <t>Tuyệt đối không đưa vào CRM (Vi phạm Bộ lọc Âm tính Mục 5)</t>
        </is>
      </c>
    </row>
    <row r="230">
      <c r="A230" s="59" t="n">
        <v>2040</v>
      </c>
      <c r="B230" s="15" t="inlineStr">
        <is>
          <t>Livramento Kennel CLUBE</t>
        </is>
      </c>
      <c r="C230" s="60" t="inlineStr">
        <is>
          <t>https://www.facebook.com/profile.php?id=100064395623869</t>
        </is>
      </c>
      <c r="D230" s="9" t="inlineStr">
        <is>
          <t>Cần quét Bio Fanpage</t>
        </is>
      </c>
      <c r="E230" s="59" t="inlineStr">
        <is>
          <t>24/09/2026 18:50:31</t>
        </is>
      </c>
      <c r="F230" s="59" t="inlineStr">
        <is>
          <t>2 tuần trước</t>
        </is>
      </c>
      <c r="G230" s="61" t="n">
        <v>14</v>
      </c>
      <c r="H230" s="62" t="n">
        <v>15</v>
      </c>
      <c r="I230" s="9" t="inlineStr">
        <is>
          <t>Dog Breeder / Trại chó chuyên nghiệp (28-30đ)</t>
        </is>
      </c>
      <c r="J230" s="62" t="n">
        <v>30</v>
      </c>
      <c r="K230" s="9" t="inlineStr">
        <is>
          <t>Chưa rõ giống (Cần quét Bio)</t>
        </is>
      </c>
      <c r="L230" s="62" t="n">
        <v>0</v>
      </c>
      <c r="M230" s="62" t="n">
        <v>5</v>
      </c>
      <c r="N230" s="9" t="inlineStr">
        <is>
          <t>Amazon link not found</t>
        </is>
      </c>
      <c r="O230" s="62">
        <f>IF(N230="Selling pet toys + Artificial grass/Pet toilets (TARGET)",15,IF(N230="Selling artificial grass/pet toilets (TARGET)",10,IF(N230="Selling pet toys",7,IF(N230="There's an Amazon link, but no target sales.",3,0))))</f>
        <v/>
      </c>
      <c r="P230" s="67">
        <f>H230+J230+L230+M230+O230</f>
        <v/>
      </c>
      <c r="Q230" s="70" t="inlineStr">
        <is>
          <t>Excluded: Hiệp hội &amp; CLB Phả hệ (Mục 5.1)</t>
        </is>
      </c>
      <c r="R230" s="9" t="inlineStr">
        <is>
          <t>Trọn gói Take-Home Starter Kit V2/V3 (Cỏ nhân tạo + Khay Potty + Đồ chơi Teething/Snuggle)</t>
        </is>
      </c>
      <c r="S230" s="9" t="inlineStr">
        <is>
          <t>Tuyệt đối không đưa vào CRM (Vi phạm Bộ lọc Âm tính Mục 5)</t>
        </is>
      </c>
    </row>
    <row r="231">
      <c r="A231" s="53" t="n">
        <v>1680</v>
      </c>
      <c r="B231" s="12" t="inlineStr">
        <is>
          <t>Hong Kong Kennel Club</t>
        </is>
      </c>
      <c r="C231" s="54" t="inlineStr">
        <is>
          <t>https://www.facebook.com/hkkennelclub</t>
        </is>
      </c>
      <c r="D231" s="6" t="inlineStr">
        <is>
          <t>Cần quét Bio Fanpage</t>
        </is>
      </c>
      <c r="E231" s="53" t="inlineStr">
        <is>
          <t>14/09/2026 18:25:06</t>
        </is>
      </c>
      <c r="F231" s="53" t="inlineStr">
        <is>
          <t>4 tuần trước</t>
        </is>
      </c>
      <c r="G231" s="55" t="n">
        <v>28</v>
      </c>
      <c r="H231" s="56" t="n">
        <v>8</v>
      </c>
      <c r="I231" s="6" t="inlineStr">
        <is>
          <t>Dog Breeder / Trại chó chuyên nghiệp (28-30đ)</t>
        </is>
      </c>
      <c r="J231" s="56" t="n">
        <v>30</v>
      </c>
      <c r="K231" s="6" t="inlineStr">
        <is>
          <t>Chưa rõ giống (Cần quét Bio)</t>
        </is>
      </c>
      <c r="L231" s="56" t="n">
        <v>0</v>
      </c>
      <c r="M231" s="56" t="n">
        <v>5</v>
      </c>
      <c r="N231" s="6" t="inlineStr">
        <is>
          <t>Selling pet toys</t>
        </is>
      </c>
      <c r="O231" s="56">
        <f>IF(N231="Selling pet toys + Artificial grass/Pet toilets (TARGET)",15,IF(N231="Selling artificial grass/pet toilets (TARGET)",10,IF(N231="Selling pet toys",7,IF(N231="There's an Amazon link, but no target sales.",3,0))))</f>
        <v/>
      </c>
      <c r="P231" s="65">
        <f>H231+J231+L231+M231+O231</f>
        <v/>
      </c>
      <c r="Q231" s="71" t="inlineStr">
        <is>
          <t>Excluded: Hiệp hội &amp; CLB Phả hệ (Mục 5.1)</t>
        </is>
      </c>
      <c r="R231" s="6" t="inlineStr">
        <is>
          <t>Trọn gói Take-Home Starter Kit V2/V3 (Cỏ nhân tạo + Khay Potty + Đồ chơi Teething/Snuggle)</t>
        </is>
      </c>
      <c r="S231" s="6" t="inlineStr">
        <is>
          <t>Tuyệt đối không đưa vào CRM (Vi phạm Bộ lọc Âm tính Mục 5)</t>
        </is>
      </c>
    </row>
    <row r="232">
      <c r="A232" s="59" t="n">
        <v>5706</v>
      </c>
      <c r="B232" s="15" t="inlineStr">
        <is>
          <t>Trio Animal Foundation</t>
        </is>
      </c>
      <c r="C232" s="60" t="inlineStr">
        <is>
          <t>https://www.facebook.com/TrioAnimalFoundation</t>
        </is>
      </c>
      <c r="D232" s="9" t="inlineStr">
        <is>
          <t>Cần quét Bio Fanpage</t>
        </is>
      </c>
      <c r="E232" s="59" t="inlineStr">
        <is>
          <t>13/10/2026 10:01:33</t>
        </is>
      </c>
      <c r="F232" s="59" t="inlineStr">
        <is>
          <t>1 giờ trước</t>
        </is>
      </c>
      <c r="G232" s="61" t="n">
        <v>0.04</v>
      </c>
      <c r="H232" s="62" t="n">
        <v>35</v>
      </c>
      <c r="I232" s="9" t="inlineStr">
        <is>
          <t>Pet Rescue / Trạm cứu trợ (14-16đ)</t>
        </is>
      </c>
      <c r="J232" s="62" t="n">
        <v>14</v>
      </c>
      <c r="K232" s="9" t="inlineStr">
        <is>
          <t>Chưa rõ giống (Cần quét Bio)</t>
        </is>
      </c>
      <c r="L232" s="62" t="n">
        <v>0</v>
      </c>
      <c r="M232" s="62" t="n">
        <v>0</v>
      </c>
      <c r="N232" s="9" t="inlineStr">
        <is>
          <t>Amazon link not found</t>
        </is>
      </c>
      <c r="O232" s="62">
        <f>IF(N232="Selling pet toys + Artificial grass/Pet toilets (TARGET)",15,IF(N232="Selling artificial grass/pet toilets (TARGET)",10,IF(N232="Selling pet toys",7,IF(N232="There's an Amazon link, but no target sales.",3,0))))</f>
        <v/>
      </c>
      <c r="P232" s="67">
        <f>H232+J232+L232+M232+O232</f>
        <v/>
      </c>
      <c r="Q232" s="70" t="inlineStr">
        <is>
          <t>Excluded: Trang Chung / Không rõ Ngách Cún cưng</t>
        </is>
      </c>
      <c r="R232" s="9" t="inlineStr">
        <is>
          <t>Nhà vệ sinh &amp; Tã lót (Potty Tray / Pee Pads) + Cỏ nhân tạo lót chuồng</t>
        </is>
      </c>
      <c r="S232" s="9" t="inlineStr">
        <is>
          <t>Tuyệt đối không đưa vào CRM (Vi phạm Bộ lọc Âm tính Mục 5)</t>
        </is>
      </c>
    </row>
    <row r="233">
      <c r="A233" s="53" t="n">
        <v>3938</v>
      </c>
      <c r="B233" s="12" t="inlineStr">
        <is>
          <t>Friends of Sangamon County Animal Control</t>
        </is>
      </c>
      <c r="C233" s="54" t="inlineStr">
        <is>
          <t>https://www.facebook.com/FriendsofSCAC</t>
        </is>
      </c>
      <c r="D233" s="6" t="inlineStr">
        <is>
          <t>Cần quét Bio Fanpage</t>
        </is>
      </c>
      <c r="E233" s="53" t="inlineStr">
        <is>
          <t>13/10/2026 05:12:13</t>
        </is>
      </c>
      <c r="F233" s="53" t="inlineStr">
        <is>
          <t>2 giờ trước</t>
        </is>
      </c>
      <c r="G233" s="55" t="n">
        <v>0.08</v>
      </c>
      <c r="H233" s="56" t="n">
        <v>35</v>
      </c>
      <c r="I233" s="6" t="inlineStr">
        <is>
          <t>Pet Rescue / Trạm cứu trợ (14-16đ)</t>
        </is>
      </c>
      <c r="J233" s="56" t="n">
        <v>14</v>
      </c>
      <c r="K233" s="6" t="inlineStr">
        <is>
          <t>Chưa rõ giống (Cần quét Bio)</t>
        </is>
      </c>
      <c r="L233" s="56" t="n">
        <v>0</v>
      </c>
      <c r="M233" s="56" t="n">
        <v>0</v>
      </c>
      <c r="N233" s="6" t="inlineStr">
        <is>
          <t>Amazon link not found</t>
        </is>
      </c>
      <c r="O233" s="56">
        <f>IF(N233="Selling pet toys + Artificial grass/Pet toilets (TARGET)",15,IF(N233="Selling artificial grass/pet toilets (TARGET)",10,IF(N233="Selling pet toys",7,IF(N233="There's an Amazon link, but no target sales.",3,0))))</f>
        <v/>
      </c>
      <c r="P233" s="65">
        <f>H233+J233+L233+M233+O233</f>
        <v/>
      </c>
      <c r="Q233" s="71" t="inlineStr">
        <is>
          <t>Excluded: Trang Chung / Không rõ Ngách Cún cưng</t>
        </is>
      </c>
      <c r="R233" s="6" t="inlineStr">
        <is>
          <t>Nhà vệ sinh &amp; Tã lót (Potty Tray / Pee Pads) + Cỏ nhân tạo lót chuồng</t>
        </is>
      </c>
      <c r="S233" s="6" t="inlineStr">
        <is>
          <t>Tuyệt đối không đưa vào CRM (Vi phạm Bộ lọc Âm tính Mục 5)</t>
        </is>
      </c>
    </row>
    <row r="234">
      <c r="A234" s="59" t="n">
        <v>3443</v>
      </c>
      <c r="B234" s="15" t="inlineStr">
        <is>
          <t>Woodstock Animal Foundation</t>
        </is>
      </c>
      <c r="C234" s="60" t="inlineStr">
        <is>
          <t>https://www.facebook.com/woodstockanimalfoundation</t>
        </is>
      </c>
      <c r="D234" s="9" t="inlineStr">
        <is>
          <t>Cần quét Bio Fanpage</t>
        </is>
      </c>
      <c r="E234" s="59" t="inlineStr">
        <is>
          <t>13/10/2026 04:51:25</t>
        </is>
      </c>
      <c r="F234" s="59" t="inlineStr">
        <is>
          <t>2 giờ trước</t>
        </is>
      </c>
      <c r="G234" s="61" t="n">
        <v>0.08</v>
      </c>
      <c r="H234" s="62" t="n">
        <v>35</v>
      </c>
      <c r="I234" s="9" t="inlineStr">
        <is>
          <t>Pet Rescue / Trạm cứu trợ (14-16đ)</t>
        </is>
      </c>
      <c r="J234" s="62" t="n">
        <v>14</v>
      </c>
      <c r="K234" s="9" t="inlineStr">
        <is>
          <t>Chưa rõ giống (Cần quét Bio)</t>
        </is>
      </c>
      <c r="L234" s="62" t="n">
        <v>0</v>
      </c>
      <c r="M234" s="62" t="n">
        <v>0</v>
      </c>
      <c r="N234" s="9" t="inlineStr">
        <is>
          <t>Amazon link not found</t>
        </is>
      </c>
      <c r="O234" s="62">
        <f>IF(N234="Selling pet toys + Artificial grass/Pet toilets (TARGET)",15,IF(N234="Selling artificial grass/pet toilets (TARGET)",10,IF(N234="Selling pet toys",7,IF(N234="There's an Amazon link, but no target sales.",3,0))))</f>
        <v/>
      </c>
      <c r="P234" s="67">
        <f>H234+J234+L234+M234+O234</f>
        <v/>
      </c>
      <c r="Q234" s="70" t="inlineStr">
        <is>
          <t>Excluded: Trang Chung / Không rõ Ngách Cún cưng</t>
        </is>
      </c>
      <c r="R234" s="9" t="inlineStr">
        <is>
          <t>Nhà vệ sinh &amp; Tã lót (Potty Tray / Pee Pads) + Cỏ nhân tạo lót chuồng</t>
        </is>
      </c>
      <c r="S234" s="9" t="inlineStr">
        <is>
          <t>Tuyệt đối không đưa vào CRM (Vi phạm Bộ lọc Âm tính Mục 5)</t>
        </is>
      </c>
    </row>
    <row r="235">
      <c r="A235" s="53" t="n">
        <v>1465</v>
      </c>
      <c r="B235" s="12" t="inlineStr">
        <is>
          <t>Friends of Marshall Animals</t>
        </is>
      </c>
      <c r="C235" s="54" t="inlineStr">
        <is>
          <t>https://www.facebook.com/FriendsOfMA</t>
        </is>
      </c>
      <c r="D235" s="6" t="inlineStr">
        <is>
          <t>Cần quét Bio Fanpage</t>
        </is>
      </c>
      <c r="E235" s="53" t="inlineStr">
        <is>
          <t>12/10/2026 23:55:02</t>
        </is>
      </c>
      <c r="F235" s="53" t="inlineStr">
        <is>
          <t>3 giờ trước</t>
        </is>
      </c>
      <c r="G235" s="55" t="n">
        <v>0.12</v>
      </c>
      <c r="H235" s="56" t="n">
        <v>35</v>
      </c>
      <c r="I235" s="6" t="inlineStr">
        <is>
          <t>Pet Rescue / Trạm cứu trợ (14-16đ)</t>
        </is>
      </c>
      <c r="J235" s="56" t="n">
        <v>14</v>
      </c>
      <c r="K235" s="6" t="inlineStr">
        <is>
          <t>Chưa rõ giống (Cần quét Bio)</t>
        </is>
      </c>
      <c r="L235" s="56" t="n">
        <v>0</v>
      </c>
      <c r="M235" s="56" t="n">
        <v>0</v>
      </c>
      <c r="N235" s="6" t="inlineStr">
        <is>
          <t>Amazon link not found</t>
        </is>
      </c>
      <c r="O235" s="56">
        <f>IF(N235="Selling pet toys + Artificial grass/Pet toilets (TARGET)",15,IF(N235="Selling artificial grass/pet toilets (TARGET)",10,IF(N235="Selling pet toys",7,IF(N235="There's an Amazon link, but no target sales.",3,0))))</f>
        <v/>
      </c>
      <c r="P235" s="65">
        <f>H235+J235+L235+M235+O235</f>
        <v/>
      </c>
      <c r="Q235" s="71" t="inlineStr">
        <is>
          <t>Excluded: Trang Chung / Không rõ Ngách Cún cưng</t>
        </is>
      </c>
      <c r="R235" s="6" t="inlineStr">
        <is>
          <t>Nhà vệ sinh &amp; Tã lót (Potty Tray / Pee Pads) + Cỏ nhân tạo lót chuồng</t>
        </is>
      </c>
      <c r="S235" s="6" t="inlineStr">
        <is>
          <t>Tuyệt đối không đưa vào CRM (Vi phạm Bộ lọc Âm tính Mục 5)</t>
        </is>
      </c>
    </row>
    <row r="236">
      <c r="A236" s="59" t="n">
        <v>3448</v>
      </c>
      <c r="B236" s="15" t="inlineStr">
        <is>
          <t>Working Dog Magazine</t>
        </is>
      </c>
      <c r="C236" s="60" t="inlineStr">
        <is>
          <t>https://www.facebook.com/workingdogmagazine</t>
        </is>
      </c>
      <c r="D236" s="9" t="inlineStr">
        <is>
          <t>Cần quét Bio Fanpage</t>
        </is>
      </c>
      <c r="E236" s="59" t="inlineStr">
        <is>
          <t>11/10/2026 18:36:13</t>
        </is>
      </c>
      <c r="F236" s="59" t="inlineStr">
        <is>
          <t>1 ngày trước</t>
        </is>
      </c>
      <c r="G236" s="61" t="n">
        <v>1</v>
      </c>
      <c r="H236" s="62" t="n">
        <v>28</v>
      </c>
      <c r="I236" s="9" t="inlineStr">
        <is>
          <t>Pet Boarding / Huấn luyện K9 &amp; Dịch vụ (20-22đ)</t>
        </is>
      </c>
      <c r="J236" s="62" t="n">
        <v>20</v>
      </c>
      <c r="K236" s="9" t="inlineStr">
        <is>
          <t>Chưa rõ giống (Cần quét Bio)</t>
        </is>
      </c>
      <c r="L236" s="62" t="n">
        <v>0</v>
      </c>
      <c r="M236" s="62" t="n">
        <v>0</v>
      </c>
      <c r="N236" s="9" t="inlineStr">
        <is>
          <t>Amazon link not found</t>
        </is>
      </c>
      <c r="O236" s="62">
        <f>IF(N236="Selling pet toys + Artificial grass/Pet toilets (TARGET)",15,IF(N236="Selling artificial grass/pet toilets (TARGET)",10,IF(N236="Selling pet toys",7,IF(N236="There's an Amazon link, but no target sales.",3,0))))</f>
        <v/>
      </c>
      <c r="P236" s="67">
        <f>H236+J236+L236+M236+O236</f>
        <v/>
      </c>
      <c r="Q236" s="70" t="inlineStr">
        <is>
          <t>Excluded: Kênh Tin tức, Tạp chí &amp; Giải trí (Mục 5.3)</t>
        </is>
      </c>
      <c r="R236" s="9" t="inlineStr">
        <is>
          <t>Cỏ nhân tạo sân chơi/huấn luyện (Dog Turf) + Đồ chơi nhai chịu lực (KONG/Chew Toys)</t>
        </is>
      </c>
      <c r="S236" s="9" t="inlineStr">
        <is>
          <t>Tuyệt đối không đưa vào CRM (Vi phạm Bộ lọc Âm tính Mục 5)</t>
        </is>
      </c>
    </row>
    <row r="237">
      <c r="A237" s="53" t="n">
        <v>3262</v>
      </c>
      <c r="B237" s="12" t="inlineStr">
        <is>
          <t>UC Davis Weill School of Veterinary Medicine</t>
        </is>
      </c>
      <c r="C237" s="54" t="inlineStr">
        <is>
          <t>https://www.facebook.com/UCDavisVetMed</t>
        </is>
      </c>
      <c r="D237" s="6" t="inlineStr">
        <is>
          <t>Cần quét Bio Fanpage</t>
        </is>
      </c>
      <c r="E237" s="53" t="inlineStr">
        <is>
          <t>11/10/2026 02:00:13</t>
        </is>
      </c>
      <c r="F237" s="53" t="inlineStr">
        <is>
          <t>2 ngày trước</t>
        </is>
      </c>
      <c r="G237" s="55" t="n">
        <v>2</v>
      </c>
      <c r="H237" s="56" t="n">
        <v>28</v>
      </c>
      <c r="I237" s="6" t="inlineStr">
        <is>
          <t>Pet Boarding / Huấn luyện K9 &amp; Dịch vụ (20-22đ)</t>
        </is>
      </c>
      <c r="J237" s="56" t="n">
        <v>20</v>
      </c>
      <c r="K237" s="6" t="inlineStr">
        <is>
          <t>Chưa rõ giống (Cần quét Bio)</t>
        </is>
      </c>
      <c r="L237" s="56" t="n">
        <v>0</v>
      </c>
      <c r="M237" s="56" t="n">
        <v>0</v>
      </c>
      <c r="N237" s="6" t="inlineStr">
        <is>
          <t>Amazon link not found</t>
        </is>
      </c>
      <c r="O237" s="56">
        <f>IF(N237="Selling pet toys + Artificial grass/Pet toilets (TARGET)",15,IF(N237="Selling artificial grass/pet toilets (TARGET)",10,IF(N237="Selling pet toys",7,IF(N237="There's an Amazon link, but no target sales.",3,0))))</f>
        <v/>
      </c>
      <c r="P237" s="65">
        <f>H237+J237+L237+M237+O237</f>
        <v/>
      </c>
      <c r="Q237" s="71" t="inlineStr">
        <is>
          <t>Excluded: Công ty Gen DNA &amp; Thú y (Mục 5.4)</t>
        </is>
      </c>
      <c r="R237" s="6" t="inlineStr">
        <is>
          <t>Cỏ nhân tạo sân chơi/huấn luyện (Dog Turf) + Đồ chơi nhai chịu lực (KONG/Chew Toys)</t>
        </is>
      </c>
      <c r="S237" s="6" t="inlineStr">
        <is>
          <t>Tuyệt đối không đưa vào CRM (Vi phạm Bộ lọc Âm tính Mục 5)</t>
        </is>
      </c>
    </row>
    <row r="238">
      <c r="A238" s="59" t="n">
        <v>643</v>
      </c>
      <c r="B238" s="15" t="inlineStr">
        <is>
          <t>Bernese Mountain Dog Club of Ontario</t>
        </is>
      </c>
      <c r="C238" s="60" t="inlineStr">
        <is>
          <t>https://www.facebook.com/BMDCO.ON.CA</t>
        </is>
      </c>
      <c r="D238" s="9" t="inlineStr">
        <is>
          <t>Cần quét Bio Fanpage</t>
        </is>
      </c>
      <c r="E238" s="59" t="inlineStr">
        <is>
          <t>28/09/2026 23:18:16</t>
        </is>
      </c>
      <c r="F238" s="59" t="inlineStr">
        <is>
          <t>2 tuần trước</t>
        </is>
      </c>
      <c r="G238" s="61" t="n">
        <v>14</v>
      </c>
      <c r="H238" s="62" t="n">
        <v>15</v>
      </c>
      <c r="I238" s="9" t="inlineStr">
        <is>
          <t>Dog Breeder / Trại chó chuyên nghiệp (28-30đ)</t>
        </is>
      </c>
      <c r="J238" s="62" t="n">
        <v>28</v>
      </c>
      <c r="K238" s="9" t="inlineStr">
        <is>
          <t>Bernese Mountain Dog</t>
        </is>
      </c>
      <c r="L238" s="62" t="n">
        <v>5</v>
      </c>
      <c r="M238" s="62" t="n">
        <v>0</v>
      </c>
      <c r="N238" s="9" t="inlineStr">
        <is>
          <t>Amazon link not found</t>
        </is>
      </c>
      <c r="O238" s="62">
        <f>IF(N238="Selling pet toys + Artificial grass/Pet toilets (TARGET)",15,IF(N238="Selling artificial grass/pet toilets (TARGET)",10,IF(N238="Selling pet toys",7,IF(N238="There's an Amazon link, but no target sales.",3,0))))</f>
        <v/>
      </c>
      <c r="P238" s="67">
        <f>H238+J238+L238+M238+O238</f>
        <v/>
      </c>
      <c r="Q238" s="70" t="inlineStr">
        <is>
          <t>Excluded: Hiệp hội &amp; CLB Phả hệ (Mục 5.1)</t>
        </is>
      </c>
      <c r="R238" s="9" t="inlineStr">
        <is>
          <t>Trọn gói Take-Home Starter Kit V2/V3 (Cỏ nhân tạo + Khay Potty + Đồ chơi Teething/Snuggle)</t>
        </is>
      </c>
      <c r="S238" s="9" t="inlineStr">
        <is>
          <t>Tuyệt đối không đưa vào CRM (Vi phạm Bộ lọc Âm tính Mục 5)</t>
        </is>
      </c>
    </row>
    <row r="239">
      <c r="A239" s="53" t="n">
        <v>304</v>
      </c>
      <c r="B239" s="12" t="inlineStr">
        <is>
          <t>3-Ring Farms</t>
        </is>
      </c>
      <c r="C239" s="54" t="inlineStr">
        <is>
          <t>https://www.facebook.com/profile.php?id=61554915112964</t>
        </is>
      </c>
      <c r="D239" s="6" t="inlineStr">
        <is>
          <t>Cần quét Bio Fanpage</t>
        </is>
      </c>
      <c r="E239" s="53" t="inlineStr">
        <is>
          <t>28/09/2026 06:47:01</t>
        </is>
      </c>
      <c r="F239" s="53" t="inlineStr">
        <is>
          <t>2 tuần trước</t>
        </is>
      </c>
      <c r="G239" s="55" t="n">
        <v>14</v>
      </c>
      <c r="H239" s="56" t="n">
        <v>15</v>
      </c>
      <c r="I239" s="6" t="inlineStr">
        <is>
          <t>Dog Breeder / Trại nhân giống (28-30đ)</t>
        </is>
      </c>
      <c r="J239" s="56" t="n">
        <v>28</v>
      </c>
      <c r="K239" s="6" t="inlineStr">
        <is>
          <t>Chưa rõ giống (Cần quét Bio)</t>
        </is>
      </c>
      <c r="L239" s="56" t="n">
        <v>0</v>
      </c>
      <c r="M239" s="56" t="n">
        <v>5</v>
      </c>
      <c r="N239" s="6" t="inlineStr">
        <is>
          <t>Amazon link not found</t>
        </is>
      </c>
      <c r="O239" s="56">
        <f>IF(N239="Selling pet toys + Artificial grass/Pet toilets (TARGET)",15,IF(N239="Selling artificial grass/pet toilets (TARGET)",10,IF(N239="Selling pet toys",7,IF(N239="There's an Amazon link, but no target sales.",3,0))))</f>
        <v/>
      </c>
      <c r="P239" s="65">
        <f>H239+J239+L239+M239+O239</f>
        <v/>
      </c>
      <c r="Q239" s="71" t="inlineStr">
        <is>
          <t>Excluded: Trang Chung / Không rõ Ngách Cún cưng</t>
        </is>
      </c>
      <c r="R239" s="6" t="inlineStr">
        <is>
          <t>Trọn gói Take-Home Starter Kit V2/V3 (Cỏ nhân tạo + Khay Potty + Đồ chơi cún con)</t>
        </is>
      </c>
      <c r="S239" s="6" t="inlineStr">
        <is>
          <t>Tuyệt đối không đưa vào CRM (Vi phạm Bộ lọc Âm tính Mục 5)</t>
        </is>
      </c>
    </row>
    <row r="240">
      <c r="A240" s="59" t="n">
        <v>238</v>
      </c>
      <c r="B240" s="15" t="inlineStr">
        <is>
          <t>Over and Under Farms</t>
        </is>
      </c>
      <c r="C240" s="60" t="inlineStr">
        <is>
          <t>https://www.facebook.com/profile.php?id=100042938839931</t>
        </is>
      </c>
      <c r="D240" s="9" t="inlineStr">
        <is>
          <t>Cần quét Bio Fanpage</t>
        </is>
      </c>
      <c r="E240" s="59" t="inlineStr">
        <is>
          <t>28/09/2026 01:41:24</t>
        </is>
      </c>
      <c r="F240" s="59" t="inlineStr">
        <is>
          <t>2 tuần trước</t>
        </is>
      </c>
      <c r="G240" s="61" t="n">
        <v>14</v>
      </c>
      <c r="H240" s="62" t="n">
        <v>15</v>
      </c>
      <c r="I240" s="9" t="inlineStr">
        <is>
          <t>Dog Breeder / Trại nhân giống (28-30đ)</t>
        </is>
      </c>
      <c r="J240" s="62" t="n">
        <v>28</v>
      </c>
      <c r="K240" s="9" t="inlineStr">
        <is>
          <t>Chưa rõ giống (Cần quét Bio)</t>
        </is>
      </c>
      <c r="L240" s="62" t="n">
        <v>0</v>
      </c>
      <c r="M240" s="62" t="n">
        <v>5</v>
      </c>
      <c r="N240" s="9" t="inlineStr">
        <is>
          <t>Amazon link not found</t>
        </is>
      </c>
      <c r="O240" s="62">
        <f>IF(N240="Selling pet toys + Artificial grass/Pet toilets (TARGET)",15,IF(N240="Selling artificial grass/pet toilets (TARGET)",10,IF(N240="Selling pet toys",7,IF(N240="There's an Amazon link, but no target sales.",3,0))))</f>
        <v/>
      </c>
      <c r="P240" s="67">
        <f>H240+J240+L240+M240+O240</f>
        <v/>
      </c>
      <c r="Q240" s="70" t="inlineStr">
        <is>
          <t>Excluded: Trang Chung / Không rõ Ngách Cún cưng</t>
        </is>
      </c>
      <c r="R240" s="9" t="inlineStr">
        <is>
          <t>Trọn gói Take-Home Starter Kit V2/V3 (Cỏ nhân tạo + Khay Potty + Đồ chơi cún con)</t>
        </is>
      </c>
      <c r="S240" s="9" t="inlineStr">
        <is>
          <t>Tuyệt đối không đưa vào CRM (Vi phạm Bộ lọc Âm tính Mục 5)</t>
        </is>
      </c>
    </row>
    <row r="241">
      <c r="A241" s="53" t="n">
        <v>661</v>
      </c>
      <c r="B241" s="12" t="inlineStr">
        <is>
          <t>Bi-Zi Farms</t>
        </is>
      </c>
      <c r="C241" s="54" t="inlineStr">
        <is>
          <t>https://www.facebook.com/profile.php?id=100064568776868</t>
        </is>
      </c>
      <c r="D241" s="6" t="inlineStr">
        <is>
          <t>Cần quét Bio Fanpage</t>
        </is>
      </c>
      <c r="E241" s="53" t="inlineStr">
        <is>
          <t>27/09/2026 06:07:52</t>
        </is>
      </c>
      <c r="F241" s="53" t="inlineStr">
        <is>
          <t>2 tuần trước</t>
        </is>
      </c>
      <c r="G241" s="55" t="n">
        <v>14</v>
      </c>
      <c r="H241" s="56" t="n">
        <v>15</v>
      </c>
      <c r="I241" s="6" t="inlineStr">
        <is>
          <t>Dog Breeder / Trại nhân giống (28-30đ)</t>
        </is>
      </c>
      <c r="J241" s="56" t="n">
        <v>28</v>
      </c>
      <c r="K241" s="6" t="inlineStr">
        <is>
          <t>Chưa rõ giống (Cần quét Bio)</t>
        </is>
      </c>
      <c r="L241" s="56" t="n">
        <v>0</v>
      </c>
      <c r="M241" s="56" t="n">
        <v>5</v>
      </c>
      <c r="N241" s="6" t="inlineStr">
        <is>
          <t>Amazon link not found</t>
        </is>
      </c>
      <c r="O241" s="56">
        <f>IF(N241="Selling pet toys + Artificial grass/Pet toilets (TARGET)",15,IF(N241="Selling artificial grass/pet toilets (TARGET)",10,IF(N241="Selling pet toys",7,IF(N241="There's an Amazon link, but no target sales.",3,0))))</f>
        <v/>
      </c>
      <c r="P241" s="65">
        <f>H241+J241+L241+M241+O241</f>
        <v/>
      </c>
      <c r="Q241" s="71" t="inlineStr">
        <is>
          <t>Excluded: Trang Chung / Không rõ Ngách Cún cưng</t>
        </is>
      </c>
      <c r="R241" s="6" t="inlineStr">
        <is>
          <t>Trọn gói Take-Home Starter Kit V2/V3 (Cỏ nhân tạo + Khay Potty + Đồ chơi cún con)</t>
        </is>
      </c>
      <c r="S241" s="6" t="inlineStr">
        <is>
          <t>Tuyệt đối không đưa vào CRM (Vi phạm Bộ lọc Âm tính Mục 5)</t>
        </is>
      </c>
    </row>
    <row r="242">
      <c r="A242" s="59" t="n">
        <v>204</v>
      </c>
      <c r="B242" s="15" t="inlineStr">
        <is>
          <t>Koazy Kove Farm</t>
        </is>
      </c>
      <c r="C242" s="60" t="inlineStr">
        <is>
          <t>https://www.facebook.com/profile.php?id=61572109524652</t>
        </is>
      </c>
      <c r="D242" s="9" t="inlineStr">
        <is>
          <t>Cần quét Bio Fanpage</t>
        </is>
      </c>
      <c r="E242" s="59" t="inlineStr">
        <is>
          <t>25/09/2026 04:34:49</t>
        </is>
      </c>
      <c r="F242" s="59" t="inlineStr">
        <is>
          <t>2 tuần trước</t>
        </is>
      </c>
      <c r="G242" s="61" t="n">
        <v>14</v>
      </c>
      <c r="H242" s="62" t="n">
        <v>15</v>
      </c>
      <c r="I242" s="9" t="inlineStr">
        <is>
          <t>Dog Breeder / Trại nhân giống (28-30đ)</t>
        </is>
      </c>
      <c r="J242" s="62" t="n">
        <v>28</v>
      </c>
      <c r="K242" s="9" t="inlineStr">
        <is>
          <t>Chưa rõ giống (Cần quét Bio)</t>
        </is>
      </c>
      <c r="L242" s="62" t="n">
        <v>0</v>
      </c>
      <c r="M242" s="62" t="n">
        <v>5</v>
      </c>
      <c r="N242" s="9" t="inlineStr">
        <is>
          <t>Amazon link not found</t>
        </is>
      </c>
      <c r="O242" s="62">
        <f>IF(N242="Selling pet toys + Artificial grass/Pet toilets (TARGET)",15,IF(N242="Selling artificial grass/pet toilets (TARGET)",10,IF(N242="Selling pet toys",7,IF(N242="There's an Amazon link, but no target sales.",3,0))))</f>
        <v/>
      </c>
      <c r="P242" s="67">
        <f>H242+J242+L242+M242+O242</f>
        <v/>
      </c>
      <c r="Q242" s="70" t="inlineStr">
        <is>
          <t>Excluded: Trang Chung / Không rõ Ngách Cún cưng</t>
        </is>
      </c>
      <c r="R242" s="9" t="inlineStr">
        <is>
          <t>Trọn gói Take-Home Starter Kit V2/V3 (Cỏ nhân tạo + Khay Potty + Đồ chơi cún con)</t>
        </is>
      </c>
      <c r="S242" s="9" t="inlineStr">
        <is>
          <t>Tuyệt đối không đưa vào CRM (Vi phạm Bộ lọc Âm tính Mục 5)</t>
        </is>
      </c>
    </row>
    <row r="243">
      <c r="A243" s="53" t="n">
        <v>3503</v>
      </c>
      <c r="B243" s="12" t="inlineStr">
        <is>
          <t>บีเกิ้ลหลากสี By TJ Farm -V2</t>
        </is>
      </c>
      <c r="C243" s="54" t="inlineStr">
        <is>
          <t>https://www.facebook.com/profile.php?id=61568248794021</t>
        </is>
      </c>
      <c r="D243" s="6" t="inlineStr">
        <is>
          <t>Cần quét Bio Fanpage</t>
        </is>
      </c>
      <c r="E243" s="53" t="inlineStr">
        <is>
          <t>24/09/2026 16:44:57</t>
        </is>
      </c>
      <c r="F243" s="53" t="inlineStr">
        <is>
          <t>2 tuần trước</t>
        </is>
      </c>
      <c r="G243" s="55" t="n">
        <v>14</v>
      </c>
      <c r="H243" s="56" t="n">
        <v>15</v>
      </c>
      <c r="I243" s="6" t="inlineStr">
        <is>
          <t>Dog Breeder / Trại nhân giống (28-30đ)</t>
        </is>
      </c>
      <c r="J243" s="56" t="n">
        <v>28</v>
      </c>
      <c r="K243" s="6" t="inlineStr">
        <is>
          <t>Chưa rõ giống (Cần quét Bio)</t>
        </is>
      </c>
      <c r="L243" s="56" t="n">
        <v>0</v>
      </c>
      <c r="M243" s="56" t="n">
        <v>5</v>
      </c>
      <c r="N243" s="6" t="inlineStr">
        <is>
          <t>Amazon link not found</t>
        </is>
      </c>
      <c r="O243" s="56">
        <f>IF(N243="Selling pet toys + Artificial grass/Pet toilets (TARGET)",15,IF(N243="Selling artificial grass/pet toilets (TARGET)",10,IF(N243="Selling pet toys",7,IF(N243="There's an Amazon link, but no target sales.",3,0))))</f>
        <v/>
      </c>
      <c r="P243" s="65">
        <f>H243+J243+L243+M243+O243</f>
        <v/>
      </c>
      <c r="Q243" s="71" t="inlineStr">
        <is>
          <t>Excluded: Trang Chung / Không rõ Ngách Cún cưng</t>
        </is>
      </c>
      <c r="R243" s="6" t="inlineStr">
        <is>
          <t>Trọn gói Take-Home Starter Kit V2/V3 (Cỏ nhân tạo + Khay Potty + Đồ chơi cún con)</t>
        </is>
      </c>
      <c r="S243" s="6" t="inlineStr">
        <is>
          <t>Tuyệt đối không đưa vào CRM (Vi phạm Bộ lọc Âm tính Mục 5)</t>
        </is>
      </c>
    </row>
    <row r="244">
      <c r="A244" s="59" t="n">
        <v>328</v>
      </c>
      <c r="B244" s="15" t="inlineStr">
        <is>
          <t>Able Tree Care LLC</t>
        </is>
      </c>
      <c r="C244" s="60" t="inlineStr">
        <is>
          <t>https://www.facebook.com/profile.php?id=61562500157426</t>
        </is>
      </c>
      <c r="D244" s="9" t="inlineStr">
        <is>
          <t>Cần quét Bio Fanpage</t>
        </is>
      </c>
      <c r="E244" s="59" t="inlineStr">
        <is>
          <t>24/09/2026 15:01:59</t>
        </is>
      </c>
      <c r="F244" s="59" t="inlineStr">
        <is>
          <t>2 tuần trước</t>
        </is>
      </c>
      <c r="G244" s="61" t="n">
        <v>14</v>
      </c>
      <c r="H244" s="62" t="n">
        <v>15</v>
      </c>
      <c r="I244" s="9" t="inlineStr">
        <is>
          <t>Dog Breeder / Trại nhân giống (28-30đ)</t>
        </is>
      </c>
      <c r="J244" s="62" t="n">
        <v>28</v>
      </c>
      <c r="K244" s="9" t="inlineStr">
        <is>
          <t>Chưa rõ giống (Cần quét Bio)</t>
        </is>
      </c>
      <c r="L244" s="62" t="n">
        <v>0</v>
      </c>
      <c r="M244" s="62" t="n">
        <v>5</v>
      </c>
      <c r="N244" s="9" t="inlineStr">
        <is>
          <t>Amazon link not found</t>
        </is>
      </c>
      <c r="O244" s="62">
        <f>IF(N244="Selling pet toys + Artificial grass/Pet toilets (TARGET)",15,IF(N244="Selling artificial grass/pet toilets (TARGET)",10,IF(N244="Selling pet toys",7,IF(N244="There's an Amazon link, but no target sales.",3,0))))</f>
        <v/>
      </c>
      <c r="P244" s="67">
        <f>H244+J244+L244+M244+O244</f>
        <v/>
      </c>
      <c r="Q244" s="70" t="inlineStr">
        <is>
          <t>Excluded: Trang Chung / Không rõ Ngách Cún cưng</t>
        </is>
      </c>
      <c r="R244" s="9" t="inlineStr">
        <is>
          <t>Trọn gói Take-Home Starter Kit V2/V3 (Cỏ nhân tạo + Khay Potty + Đồ chơi cún con)</t>
        </is>
      </c>
      <c r="S244" s="9" t="inlineStr">
        <is>
          <t>Tuyệt đối không đưa vào CRM (Vi phạm Bộ lọc Âm tính Mục 5)</t>
        </is>
      </c>
    </row>
    <row r="245">
      <c r="A245" s="53" t="n">
        <v>1627</v>
      </c>
      <c r="B245" s="12" t="inlineStr">
        <is>
          <t>Haven Heritage Farm &amp; Dairy</t>
        </is>
      </c>
      <c r="C245" s="54" t="inlineStr">
        <is>
          <t>https://www.facebook.com/HavenHeritageFarm</t>
        </is>
      </c>
      <c r="D245" s="6" t="inlineStr">
        <is>
          <t>Cần quét Bio Fanpage</t>
        </is>
      </c>
      <c r="E245" s="53" t="inlineStr">
        <is>
          <t>22/09/2026 22:26:50</t>
        </is>
      </c>
      <c r="F245" s="53" t="inlineStr">
        <is>
          <t>2 tuần trước</t>
        </is>
      </c>
      <c r="G245" s="55" t="n">
        <v>14</v>
      </c>
      <c r="H245" s="56" t="n">
        <v>15</v>
      </c>
      <c r="I245" s="6" t="inlineStr">
        <is>
          <t>Dog Breeder / Trại nhân giống (28-30đ)</t>
        </is>
      </c>
      <c r="J245" s="56" t="n">
        <v>28</v>
      </c>
      <c r="K245" s="6" t="inlineStr">
        <is>
          <t>Chưa rõ giống (Cần quét Bio)</t>
        </is>
      </c>
      <c r="L245" s="56" t="n">
        <v>0</v>
      </c>
      <c r="M245" s="56" t="n">
        <v>5</v>
      </c>
      <c r="N245" s="6" t="inlineStr">
        <is>
          <t>Amazon link not found</t>
        </is>
      </c>
      <c r="O245" s="56">
        <f>IF(N245="Selling pet toys + Artificial grass/Pet toilets (TARGET)",15,IF(N245="Selling artificial grass/pet toilets (TARGET)",10,IF(N245="Selling pet toys",7,IF(N245="There's an Amazon link, but no target sales.",3,0))))</f>
        <v/>
      </c>
      <c r="P245" s="65">
        <f>H245+J245+L245+M245+O245</f>
        <v/>
      </c>
      <c r="Q245" s="71" t="inlineStr">
        <is>
          <t>Excluded: Trang Chung / Không rõ Ngách Cún cưng</t>
        </is>
      </c>
      <c r="R245" s="6" t="inlineStr">
        <is>
          <t>Trọn gói Take-Home Starter Kit V2/V3 (Cỏ nhân tạo + Khay Potty + Đồ chơi cún con)</t>
        </is>
      </c>
      <c r="S245" s="6" t="inlineStr">
        <is>
          <t>Tuyệt đối không đưa vào CRM (Vi phạm Bộ lọc Âm tính Mục 5)</t>
        </is>
      </c>
    </row>
    <row r="246">
      <c r="A246" s="59" t="n">
        <v>1408</v>
      </c>
      <c r="B246" s="15" t="inlineStr">
        <is>
          <t>Fluffy Bottom Farm LLC</t>
        </is>
      </c>
      <c r="C246" s="60" t="inlineStr">
        <is>
          <t>https://www.facebook.com/profile.php?id=100090692052696</t>
        </is>
      </c>
      <c r="D246" s="9" t="inlineStr">
        <is>
          <t>Cần quét Bio Fanpage</t>
        </is>
      </c>
      <c r="E246" s="59" t="inlineStr">
        <is>
          <t>22/09/2026 21:27:17</t>
        </is>
      </c>
      <c r="F246" s="59" t="inlineStr">
        <is>
          <t>2 tuần trước</t>
        </is>
      </c>
      <c r="G246" s="61" t="n">
        <v>14</v>
      </c>
      <c r="H246" s="62" t="n">
        <v>15</v>
      </c>
      <c r="I246" s="9" t="inlineStr">
        <is>
          <t>Dog Breeder / Trại nhân giống (28-30đ)</t>
        </is>
      </c>
      <c r="J246" s="62" t="n">
        <v>28</v>
      </c>
      <c r="K246" s="9" t="inlineStr">
        <is>
          <t>Chưa rõ giống (Cần quét Bio)</t>
        </is>
      </c>
      <c r="L246" s="62" t="n">
        <v>0</v>
      </c>
      <c r="M246" s="62" t="n">
        <v>5</v>
      </c>
      <c r="N246" s="9" t="inlineStr">
        <is>
          <t>Amazon link not found</t>
        </is>
      </c>
      <c r="O246" s="62">
        <f>IF(N246="Selling pet toys + Artificial grass/Pet toilets (TARGET)",15,IF(N246="Selling artificial grass/pet toilets (TARGET)",10,IF(N246="Selling pet toys",7,IF(N246="There's an Amazon link, but no target sales.",3,0))))</f>
        <v/>
      </c>
      <c r="P246" s="67">
        <f>H246+J246+L246+M246+O246</f>
        <v/>
      </c>
      <c r="Q246" s="70" t="inlineStr">
        <is>
          <t>Excluded: Trang Chung / Không rõ Ngách Cún cưng</t>
        </is>
      </c>
      <c r="R246" s="9" t="inlineStr">
        <is>
          <t>Trọn gói Take-Home Starter Kit V2/V3 (Cỏ nhân tạo + Khay Potty + Đồ chơi cún con)</t>
        </is>
      </c>
      <c r="S246" s="9" t="inlineStr">
        <is>
          <t>Tuyệt đối không đưa vào CRM (Vi phạm Bộ lọc Âm tính Mục 5)</t>
        </is>
      </c>
    </row>
    <row r="247">
      <c r="A247" s="53" t="n">
        <v>401</v>
      </c>
      <c r="B247" s="12" t="inlineStr">
        <is>
          <t>Amber Sky Farm</t>
        </is>
      </c>
      <c r="C247" s="54" t="inlineStr">
        <is>
          <t>https://www.facebook.com/amberskyfarm</t>
        </is>
      </c>
      <c r="D247" s="6" t="inlineStr">
        <is>
          <t>Cần quét Bio Fanpage</t>
        </is>
      </c>
      <c r="E247" s="53" t="inlineStr">
        <is>
          <t>22/09/2026 02:02:58</t>
        </is>
      </c>
      <c r="F247" s="53" t="inlineStr">
        <is>
          <t>2 tuần trước</t>
        </is>
      </c>
      <c r="G247" s="55" t="n">
        <v>14</v>
      </c>
      <c r="H247" s="56" t="n">
        <v>15</v>
      </c>
      <c r="I247" s="6" t="inlineStr">
        <is>
          <t>Dog Breeder / Trại nhân giống (28-30đ)</t>
        </is>
      </c>
      <c r="J247" s="56" t="n">
        <v>28</v>
      </c>
      <c r="K247" s="6" t="inlineStr">
        <is>
          <t>Chưa rõ giống (Cần quét Bio)</t>
        </is>
      </c>
      <c r="L247" s="56" t="n">
        <v>0</v>
      </c>
      <c r="M247" s="56" t="n">
        <v>5</v>
      </c>
      <c r="N247" s="6" t="inlineStr">
        <is>
          <t>Amazon link not found</t>
        </is>
      </c>
      <c r="O247" s="56">
        <f>IF(N247="Selling pet toys + Artificial grass/Pet toilets (TARGET)",15,IF(N247="Selling artificial grass/pet toilets (TARGET)",10,IF(N247="Selling pet toys",7,IF(N247="There's an Amazon link, but no target sales.",3,0))))</f>
        <v/>
      </c>
      <c r="P247" s="65">
        <f>H247+J247+L247+M247+O247</f>
        <v/>
      </c>
      <c r="Q247" s="71" t="inlineStr">
        <is>
          <t>Excluded: Trang Chung / Không rõ Ngách Cún cưng</t>
        </is>
      </c>
      <c r="R247" s="6" t="inlineStr">
        <is>
          <t>Trọn gói Take-Home Starter Kit V2/V3 (Cỏ nhân tạo + Khay Potty + Đồ chơi cún con)</t>
        </is>
      </c>
      <c r="S247" s="6" t="inlineStr">
        <is>
          <t>Tuyệt đối không đưa vào CRM (Vi phạm Bộ lọc Âm tính Mục 5)</t>
        </is>
      </c>
    </row>
    <row r="248">
      <c r="A248" s="59" t="n">
        <v>2184</v>
      </c>
      <c r="B248" s="15" t="inlineStr">
        <is>
          <t>Millhouse Veterinary Services Ltd</t>
        </is>
      </c>
      <c r="C248" s="60" t="inlineStr">
        <is>
          <t>https://www.facebook.com/millhousevetservices</t>
        </is>
      </c>
      <c r="D248" s="9" t="inlineStr">
        <is>
          <t>Cần quét Bio Fanpage</t>
        </is>
      </c>
      <c r="E248" s="59" t="inlineStr">
        <is>
          <t>12/10/2026 23:23:27</t>
        </is>
      </c>
      <c r="F248" s="59" t="inlineStr">
        <is>
          <t>5 giờ trước</t>
        </is>
      </c>
      <c r="G248" s="61" t="n">
        <v>0.21</v>
      </c>
      <c r="H248" s="62" t="n">
        <v>32</v>
      </c>
      <c r="I248" s="9" t="inlineStr">
        <is>
          <t>Pet Owner / Cộng đồng nuôi cún (10đ)</t>
        </is>
      </c>
      <c r="J248" s="62" t="n">
        <v>10</v>
      </c>
      <c r="K248" s="9" t="inlineStr">
        <is>
          <t>Chưa rõ giống (Cần quét Bio)</t>
        </is>
      </c>
      <c r="L248" s="62" t="n">
        <v>0</v>
      </c>
      <c r="M248" s="62" t="n">
        <v>5</v>
      </c>
      <c r="N248" s="9" t="inlineStr">
        <is>
          <t>Amazon link not found</t>
        </is>
      </c>
      <c r="O248" s="62">
        <f>IF(N248="Selling pet toys + Artificial grass/Pet toilets (TARGET)",15,IF(N248="Selling artificial grass/pet toilets (TARGET)",10,IF(N248="Selling pet toys",7,IF(N248="There's an Amazon link, but no target sales.",3,0))))</f>
        <v/>
      </c>
      <c r="P248" s="67">
        <f>H248+J248+L248+M248+O248</f>
        <v/>
      </c>
      <c r="Q248" s="70" t="inlineStr">
        <is>
          <t>Excluded: Công ty Gen DNA &amp; Thú y (Mục 5.4)</t>
        </is>
      </c>
      <c r="R248" s="9" t="inlineStr">
        <is>
          <t>Khay vệ sinh chung cư (Indoor Potty) + Thảm cỏ ban công (Grass Patch) + Đồ chơi</t>
        </is>
      </c>
      <c r="S248" s="9" t="inlineStr">
        <is>
          <t>Tuyệt đối không đưa vào CRM (Vi phạm Bộ lọc Âm tính Mục 5)</t>
        </is>
      </c>
    </row>
    <row r="249">
      <c r="A249" s="53" t="n">
        <v>3312</v>
      </c>
      <c r="B249" s="12" t="inlineStr">
        <is>
          <t>Veterinary Emergency Services</t>
        </is>
      </c>
      <c r="C249" s="54" t="inlineStr">
        <is>
          <t>https://www.facebook.com/wecareallnight</t>
        </is>
      </c>
      <c r="D249" s="6" t="inlineStr">
        <is>
          <t>Cần quét Bio Fanpage</t>
        </is>
      </c>
      <c r="E249" s="53" t="inlineStr">
        <is>
          <t>12/10/2026 21:00:29</t>
        </is>
      </c>
      <c r="F249" s="53" t="inlineStr">
        <is>
          <t>9 giờ trước</t>
        </is>
      </c>
      <c r="G249" s="55" t="n">
        <v>0.38</v>
      </c>
      <c r="H249" s="56" t="n">
        <v>32</v>
      </c>
      <c r="I249" s="6" t="inlineStr">
        <is>
          <t>Pet Owner / Cộng đồng nuôi cún (10đ)</t>
        </is>
      </c>
      <c r="J249" s="56" t="n">
        <v>10</v>
      </c>
      <c r="K249" s="6" t="inlineStr">
        <is>
          <t>Chưa rõ giống (Cần quét Bio)</t>
        </is>
      </c>
      <c r="L249" s="56" t="n">
        <v>0</v>
      </c>
      <c r="M249" s="56" t="n">
        <v>5</v>
      </c>
      <c r="N249" s="6" t="inlineStr">
        <is>
          <t>Amazon link not found</t>
        </is>
      </c>
      <c r="O249" s="56">
        <f>IF(N249="Selling pet toys + Artificial grass/Pet toilets (TARGET)",15,IF(N249="Selling artificial grass/pet toilets (TARGET)",10,IF(N249="Selling pet toys",7,IF(N249="There's an Amazon link, but no target sales.",3,0))))</f>
        <v/>
      </c>
      <c r="P249" s="65">
        <f>H249+J249+L249+M249+O249</f>
        <v/>
      </c>
      <c r="Q249" s="71" t="inlineStr">
        <is>
          <t>Excluded: Công ty Gen DNA &amp; Thú y (Mục 5.4)</t>
        </is>
      </c>
      <c r="R249" s="6" t="inlineStr">
        <is>
          <t>Khay vệ sinh chung cư (Indoor Potty) + Thảm cỏ ban công (Grass Patch) + Đồ chơi</t>
        </is>
      </c>
      <c r="S249" s="6" t="inlineStr">
        <is>
          <t>Tuyệt đối không đưa vào CRM (Vi phạm Bộ lọc Âm tính Mục 5)</t>
        </is>
      </c>
    </row>
    <row r="250">
      <c r="A250" s="59" t="n">
        <v>5984</v>
      </c>
      <c r="B250" s="15" t="inlineStr">
        <is>
          <t>เชฟหมอปุ้ม : Bakery Online Clinic</t>
        </is>
      </c>
      <c r="C250" s="60" t="inlineStr">
        <is>
          <t>https://www.facebook.com/HomemadeHappinesscafe</t>
        </is>
      </c>
      <c r="D250" s="9" t="inlineStr">
        <is>
          <t>Cần quét Bio Fanpage</t>
        </is>
      </c>
      <c r="E250" s="59" t="inlineStr">
        <is>
          <t>12/10/2026 20:32:10</t>
        </is>
      </c>
      <c r="F250" s="59" t="inlineStr">
        <is>
          <t>15 giờ trước</t>
        </is>
      </c>
      <c r="G250" s="61" t="n">
        <v>0.62</v>
      </c>
      <c r="H250" s="62" t="n">
        <v>32</v>
      </c>
      <c r="I250" s="9" t="inlineStr">
        <is>
          <t>Pet Owner / Cộng đồng nuôi cún (10đ)</t>
        </is>
      </c>
      <c r="J250" s="62" t="n">
        <v>10</v>
      </c>
      <c r="K250" s="9" t="inlineStr">
        <is>
          <t>Chưa rõ giống (Cần quét Bio)</t>
        </is>
      </c>
      <c r="L250" s="62" t="n">
        <v>0</v>
      </c>
      <c r="M250" s="62" t="n">
        <v>5</v>
      </c>
      <c r="N250" s="9" t="inlineStr">
        <is>
          <t>Amazon link not found</t>
        </is>
      </c>
      <c r="O250" s="62">
        <f>IF(N250="Selling pet toys + Artificial grass/Pet toilets (TARGET)",15,IF(N250="Selling artificial grass/pet toilets (TARGET)",10,IF(N250="Selling pet toys",7,IF(N250="There's an Amazon link, but no target sales.",3,0))))</f>
        <v/>
      </c>
      <c r="P250" s="67">
        <f>H250+J250+L250+M250+O250</f>
        <v/>
      </c>
      <c r="Q250" s="70" t="inlineStr">
        <is>
          <t>Excluded: Trang Chung / Không rõ Ngách Cún cưng</t>
        </is>
      </c>
      <c r="R250" s="9" t="inlineStr">
        <is>
          <t>Khay vệ sinh chung cư (Indoor Potty) + Thảm cỏ ban công (Grass Patch) + Đồ chơi</t>
        </is>
      </c>
      <c r="S250" s="9" t="inlineStr">
        <is>
          <t>Tuyệt đối không đưa vào CRM (Vi phạm Bộ lọc Âm tính Mục 5)</t>
        </is>
      </c>
    </row>
    <row r="251">
      <c r="A251" s="53" t="n">
        <v>172</v>
      </c>
      <c r="B251" s="12" t="inlineStr">
        <is>
          <t>Fluffy Animals</t>
        </is>
      </c>
      <c r="C251" s="54" t="inlineStr">
        <is>
          <t>https://www.facebook.com/FluffyOfficial</t>
        </is>
      </c>
      <c r="D251" s="6" t="inlineStr">
        <is>
          <t>Cần quét Bio Fanpage</t>
        </is>
      </c>
      <c r="E251" s="53" t="inlineStr">
        <is>
          <t>12/10/2026 05:30:59</t>
        </is>
      </c>
      <c r="F251" s="53" t="inlineStr">
        <is>
          <t>19 giờ trước</t>
        </is>
      </c>
      <c r="G251" s="55" t="n">
        <v>0.79</v>
      </c>
      <c r="H251" s="56" t="n">
        <v>32</v>
      </c>
      <c r="I251" s="6" t="inlineStr">
        <is>
          <t>Pet Owner / Cộng đồng nuôi cún (10đ)</t>
        </is>
      </c>
      <c r="J251" s="56" t="n">
        <v>10</v>
      </c>
      <c r="K251" s="6" t="inlineStr">
        <is>
          <t>Chưa rõ giống (Cần quét Bio)</t>
        </is>
      </c>
      <c r="L251" s="56" t="n">
        <v>0</v>
      </c>
      <c r="M251" s="56" t="n">
        <v>5</v>
      </c>
      <c r="N251" s="6" t="inlineStr">
        <is>
          <t>Amazon link not found</t>
        </is>
      </c>
      <c r="O251" s="56">
        <f>IF(N251="Selling pet toys + Artificial grass/Pet toilets (TARGET)",15,IF(N251="Selling artificial grass/pet toilets (TARGET)",10,IF(N251="Selling pet toys",7,IF(N251="There's an Amazon link, but no target sales.",3,0))))</f>
        <v/>
      </c>
      <c r="P251" s="65">
        <f>H251+J251+L251+M251+O251</f>
        <v/>
      </c>
      <c r="Q251" s="71" t="inlineStr">
        <is>
          <t>Excluded: Trang Chung / Không rõ Ngách Cún cưng</t>
        </is>
      </c>
      <c r="R251" s="6" t="inlineStr">
        <is>
          <t>Khay vệ sinh chung cư (Indoor Potty) + Thảm cỏ ban công (Grass Patch) + Đồ chơi</t>
        </is>
      </c>
      <c r="S251" s="6" t="inlineStr">
        <is>
          <t>Tuyệt đối không đưa vào CRM (Vi phạm Bộ lọc Âm tính Mục 5)</t>
        </is>
      </c>
    </row>
    <row r="252">
      <c r="A252" s="59" t="n">
        <v>54</v>
      </c>
      <c r="B252" s="15" t="inlineStr">
        <is>
          <t>bondivetofficial</t>
        </is>
      </c>
      <c r="C252" s="60" t="inlineStr">
        <is>
          <t>https://www.facebook.com/bondivetofficial</t>
        </is>
      </c>
      <c r="D252" s="9" t="inlineStr">
        <is>
          <t>Cần quét Bio Fanpage</t>
        </is>
      </c>
      <c r="E252" s="59" t="inlineStr">
        <is>
          <t>12/10/2026 03:01:13</t>
        </is>
      </c>
      <c r="F252" s="59" t="inlineStr">
        <is>
          <t>21 giờ trước</t>
        </is>
      </c>
      <c r="G252" s="61" t="n">
        <v>0.88</v>
      </c>
      <c r="H252" s="62" t="n">
        <v>32</v>
      </c>
      <c r="I252" s="9" t="inlineStr">
        <is>
          <t>Pet Owner / Cộng đồng nuôi cún (10đ)</t>
        </is>
      </c>
      <c r="J252" s="62" t="n">
        <v>10</v>
      </c>
      <c r="K252" s="9" t="inlineStr">
        <is>
          <t>Chưa rõ giống (Cần quét Bio)</t>
        </is>
      </c>
      <c r="L252" s="62" t="n">
        <v>0</v>
      </c>
      <c r="M252" s="62" t="n">
        <v>5</v>
      </c>
      <c r="N252" s="9" t="inlineStr">
        <is>
          <t>Amazon link not found</t>
        </is>
      </c>
      <c r="O252" s="62">
        <f>IF(N252="Selling pet toys + Artificial grass/Pet toilets (TARGET)",15,IF(N252="Selling artificial grass/pet toilets (TARGET)",10,IF(N252="Selling pet toys",7,IF(N252="There's an Amazon link, but no target sales.",3,0))))</f>
        <v/>
      </c>
      <c r="P252" s="67">
        <f>H252+J252+L252+M252+O252</f>
        <v/>
      </c>
      <c r="Q252" s="70" t="inlineStr">
        <is>
          <t>Excluded: Trang Chung / Không rõ Ngách Cún cưng</t>
        </is>
      </c>
      <c r="R252" s="9" t="inlineStr">
        <is>
          <t>Khay vệ sinh chung cư (Indoor Potty) + Thảm cỏ ban công (Grass Patch) + Đồ chơi</t>
        </is>
      </c>
      <c r="S252" s="9" t="inlineStr">
        <is>
          <t>Tuyệt đối không đưa vào CRM (Vi phạm Bộ lọc Âm tính Mục 5)</t>
        </is>
      </c>
    </row>
    <row r="253">
      <c r="A253" s="53" t="n">
        <v>2581</v>
      </c>
      <c r="B253" s="12" t="inlineStr">
        <is>
          <t>Pitt County Animal Services</t>
        </is>
      </c>
      <c r="C253" s="54" t="inlineStr">
        <is>
          <t>https://www.facebook.com/PittCountyAnimalServices</t>
        </is>
      </c>
      <c r="D253" s="6" t="inlineStr">
        <is>
          <t>Cần quét Bio Fanpage</t>
        </is>
      </c>
      <c r="E253" s="53" t="inlineStr">
        <is>
          <t>10/10/2026 06:00:08</t>
        </is>
      </c>
      <c r="F253" s="53" t="inlineStr">
        <is>
          <t>2 ngày trước</t>
        </is>
      </c>
      <c r="G253" s="55" t="n">
        <v>2</v>
      </c>
      <c r="H253" s="56" t="n">
        <v>28</v>
      </c>
      <c r="I253" s="6" t="inlineStr">
        <is>
          <t>Pet Rescue / Trạm cứu trợ (14-16đ)</t>
        </is>
      </c>
      <c r="J253" s="56" t="n">
        <v>14</v>
      </c>
      <c r="K253" s="6" t="inlineStr">
        <is>
          <t>Chưa rõ giống (Cần quét Bio)</t>
        </is>
      </c>
      <c r="L253" s="56" t="n">
        <v>0</v>
      </c>
      <c r="M253" s="56" t="n">
        <v>5</v>
      </c>
      <c r="N253" s="6" t="inlineStr">
        <is>
          <t>Amazon link not found</t>
        </is>
      </c>
      <c r="O253" s="56">
        <f>IF(N253="Selling pet toys + Artificial grass/Pet toilets (TARGET)",15,IF(N253="Selling artificial grass/pet toilets (TARGET)",10,IF(N253="Selling pet toys",7,IF(N253="There's an Amazon link, but no target sales.",3,0))))</f>
        <v/>
      </c>
      <c r="P253" s="65">
        <f>H253+J253+L253+M253+O253</f>
        <v/>
      </c>
      <c r="Q253" s="71" t="inlineStr">
        <is>
          <t>Excluded: Trang Chung / Không rõ Ngách Cún cưng</t>
        </is>
      </c>
      <c r="R253" s="6" t="inlineStr">
        <is>
          <t>Nhà vệ sinh &amp; Tã lót (Potty Tray / Pee Pads) + Cỏ nhân tạo lót chuồng</t>
        </is>
      </c>
      <c r="S253" s="6" t="inlineStr">
        <is>
          <t>Tuyệt đối không đưa vào CRM (Vi phạm Bộ lọc Âm tính Mục 5)</t>
        </is>
      </c>
    </row>
    <row r="254">
      <c r="A254" s="59" t="n">
        <v>2374</v>
      </c>
      <c r="B254" s="15" t="inlineStr">
        <is>
          <t>Oshawa Animal Service Center  (Oshawa Animal Services)</t>
        </is>
      </c>
      <c r="C254" s="60" t="inlineStr">
        <is>
          <t>https://www.facebook.com/OshawaAnimalServices</t>
        </is>
      </c>
      <c r="D254" s="9" t="inlineStr">
        <is>
          <t>Cần quét Bio Fanpage</t>
        </is>
      </c>
      <c r="E254" s="59" t="inlineStr">
        <is>
          <t>10/10/2026 03:06:58</t>
        </is>
      </c>
      <c r="F254" s="59" t="inlineStr">
        <is>
          <t>3 ngày trước</t>
        </is>
      </c>
      <c r="G254" s="61" t="n">
        <v>3</v>
      </c>
      <c r="H254" s="62" t="n">
        <v>28</v>
      </c>
      <c r="I254" s="9" t="inlineStr">
        <is>
          <t>Pet Rescue / Trạm cứu trợ (14-16đ)</t>
        </is>
      </c>
      <c r="J254" s="62" t="n">
        <v>14</v>
      </c>
      <c r="K254" s="9" t="inlineStr">
        <is>
          <t>Chưa rõ giống (Cần quét Bio)</t>
        </is>
      </c>
      <c r="L254" s="62" t="n">
        <v>0</v>
      </c>
      <c r="M254" s="62" t="n">
        <v>5</v>
      </c>
      <c r="N254" s="9" t="inlineStr">
        <is>
          <t>Amazon link not found</t>
        </is>
      </c>
      <c r="O254" s="62">
        <f>IF(N254="Selling pet toys + Artificial grass/Pet toilets (TARGET)",15,IF(N254="Selling artificial grass/pet toilets (TARGET)",10,IF(N254="Selling pet toys",7,IF(N254="There's an Amazon link, but no target sales.",3,0))))</f>
        <v/>
      </c>
      <c r="P254" s="67">
        <f>H254+J254+L254+M254+O254</f>
        <v/>
      </c>
      <c r="Q254" s="70" t="inlineStr">
        <is>
          <t>Excluded: Trang Chung / Không rõ Ngách Cún cưng</t>
        </is>
      </c>
      <c r="R254" s="9" t="inlineStr">
        <is>
          <t>Nhà vệ sinh &amp; Tã lót (Potty Tray / Pee Pads) + Cỏ nhân tạo lót chuồng</t>
        </is>
      </c>
      <c r="S254" s="9" t="inlineStr">
        <is>
          <t>Tuyệt đối không đưa vào CRM (Vi phạm Bộ lọc Âm tính Mục 5)</t>
        </is>
      </c>
    </row>
    <row r="255">
      <c r="A255" s="53" t="n">
        <v>2608</v>
      </c>
      <c r="B255" s="12" t="inlineStr">
        <is>
          <t>PouK Skin Care Center</t>
        </is>
      </c>
      <c r="C255" s="54" t="inlineStr">
        <is>
          <t>https://www.facebook.com/profile.php?id=61559787986439</t>
        </is>
      </c>
      <c r="D255" s="6" t="inlineStr">
        <is>
          <t>Cần quét Bio Fanpage</t>
        </is>
      </c>
      <c r="E255" s="53" t="inlineStr">
        <is>
          <t>05/10/2026 04:28:28</t>
        </is>
      </c>
      <c r="F255" s="53" t="inlineStr">
        <is>
          <t>1 tuần trước</t>
        </is>
      </c>
      <c r="G255" s="55" t="n">
        <v>7</v>
      </c>
      <c r="H255" s="56" t="n">
        <v>20</v>
      </c>
      <c r="I255" s="6" t="inlineStr">
        <is>
          <t>Pet Boarding / Huấn luyện K9 &amp; Dịch vụ (20-22đ)</t>
        </is>
      </c>
      <c r="J255" s="56" t="n">
        <v>22</v>
      </c>
      <c r="K255" s="6" t="inlineStr">
        <is>
          <t>Chưa rõ giống (Cần quét Bio)</t>
        </is>
      </c>
      <c r="L255" s="56" t="n">
        <v>0</v>
      </c>
      <c r="M255" s="56" t="n">
        <v>5</v>
      </c>
      <c r="N255" s="6" t="inlineStr">
        <is>
          <t>Amazon link not found</t>
        </is>
      </c>
      <c r="O255" s="56">
        <f>IF(N255="Selling pet toys + Artificial grass/Pet toilets (TARGET)",15,IF(N255="Selling artificial grass/pet toilets (TARGET)",10,IF(N255="Selling pet toys",7,IF(N255="There's an Amazon link, but no target sales.",3,0))))</f>
        <v/>
      </c>
      <c r="P255" s="65">
        <f>H255+J255+L255+M255+O255</f>
        <v/>
      </c>
      <c r="Q255" s="71" t="inlineStr">
        <is>
          <t>Excluded: Trang Chung / Không rõ Ngách Cún cưng</t>
        </is>
      </c>
      <c r="R255" s="6" t="inlineStr">
        <is>
          <t>Cỏ nhân tạo sân chơi/huấn luyện (Dog Turf) + Đồ chơi nhai chịu lực (KONG/Chew Toys)</t>
        </is>
      </c>
      <c r="S255" s="6" t="inlineStr">
        <is>
          <t>Tuyệt đối không đưa vào CRM (Vi phạm Bộ lọc Âm tính Mục 5)</t>
        </is>
      </c>
    </row>
    <row r="256">
      <c r="A256" s="59" t="n">
        <v>2113</v>
      </c>
      <c r="B256" s="15" t="inlineStr">
        <is>
          <t>Mama's Cradle Animal Sanctuary</t>
        </is>
      </c>
      <c r="C256" s="60" t="inlineStr">
        <is>
          <t>https://www.facebook.com/profile.php?id=100077082312560</t>
        </is>
      </c>
      <c r="D256" s="9" t="inlineStr">
        <is>
          <t>Cần quét Bio Fanpage</t>
        </is>
      </c>
      <c r="E256" s="59" t="inlineStr">
        <is>
          <t>12/10/2026 20:27:11</t>
        </is>
      </c>
      <c r="F256" s="59" t="inlineStr">
        <is>
          <t>8 giờ trước</t>
        </is>
      </c>
      <c r="G256" s="61" t="n">
        <v>0.33</v>
      </c>
      <c r="H256" s="62" t="n">
        <v>32</v>
      </c>
      <c r="I256" s="9" t="inlineStr">
        <is>
          <t>Pet Rescue / Trạm cứu trợ (14-16đ)</t>
        </is>
      </c>
      <c r="J256" s="62" t="n">
        <v>14</v>
      </c>
      <c r="K256" s="9" t="inlineStr">
        <is>
          <t>Chưa rõ giống (Cần quét Bio)</t>
        </is>
      </c>
      <c r="L256" s="62" t="n">
        <v>0</v>
      </c>
      <c r="M256" s="62" t="n">
        <v>0</v>
      </c>
      <c r="N256" s="9" t="inlineStr">
        <is>
          <t>Amazon link not found</t>
        </is>
      </c>
      <c r="O256" s="62">
        <f>IF(N256="Selling pet toys + Artificial grass/Pet toilets (TARGET)",15,IF(N256="Selling artificial grass/pet toilets (TARGET)",10,IF(N256="Selling pet toys",7,IF(N256="There's an Amazon link, but no target sales.",3,0))))</f>
        <v/>
      </c>
      <c r="P256" s="67">
        <f>H256+J256+L256+M256+O256</f>
        <v/>
      </c>
      <c r="Q256" s="70" t="inlineStr">
        <is>
          <t>Excluded: Trang Chung / Không rõ Ngách Cún cưng</t>
        </is>
      </c>
      <c r="R256" s="9" t="inlineStr">
        <is>
          <t>Nhà vệ sinh &amp; Tã lót (Potty Tray / Pee Pads) + Cỏ nhân tạo lót chuồng</t>
        </is>
      </c>
      <c r="S256" s="9" t="inlineStr">
        <is>
          <t>Tuyệt đối không đưa vào CRM (Vi phạm Bộ lọc Âm tính Mục 5)</t>
        </is>
      </c>
    </row>
    <row r="257">
      <c r="A257" s="53" t="n">
        <v>443</v>
      </c>
      <c r="B257" s="12" t="inlineStr">
        <is>
          <t>Animal Aid Society</t>
        </is>
      </c>
      <c r="C257" s="54" t="inlineStr">
        <is>
          <t>https://www.facebook.com/AnimalAidSociety</t>
        </is>
      </c>
      <c r="D257" s="6" t="inlineStr">
        <is>
          <t>Cần quét Bio Fanpage</t>
        </is>
      </c>
      <c r="E257" s="53" t="inlineStr">
        <is>
          <t>12/10/2026 18:00:35</t>
        </is>
      </c>
      <c r="F257" s="53" t="inlineStr">
        <is>
          <t>7 giờ trước</t>
        </is>
      </c>
      <c r="G257" s="55" t="n">
        <v>0.29</v>
      </c>
      <c r="H257" s="56" t="n">
        <v>32</v>
      </c>
      <c r="I257" s="6" t="inlineStr">
        <is>
          <t>Pet Rescue / Trạm cứu trợ (14-16đ)</t>
        </is>
      </c>
      <c r="J257" s="56" t="n">
        <v>14</v>
      </c>
      <c r="K257" s="6" t="inlineStr">
        <is>
          <t>Chưa rõ giống (Cần quét Bio)</t>
        </is>
      </c>
      <c r="L257" s="56" t="n">
        <v>0</v>
      </c>
      <c r="M257" s="56" t="n">
        <v>0</v>
      </c>
      <c r="N257" s="6" t="inlineStr">
        <is>
          <t>Amazon link not found</t>
        </is>
      </c>
      <c r="O257" s="56">
        <f>IF(N257="Selling pet toys + Artificial grass/Pet toilets (TARGET)",15,IF(N257="Selling artificial grass/pet toilets (TARGET)",10,IF(N257="Selling pet toys",7,IF(N257="There's an Amazon link, but no target sales.",3,0))))</f>
        <v/>
      </c>
      <c r="P257" s="65">
        <f>H257+J257+L257+M257+O257</f>
        <v/>
      </c>
      <c r="Q257" s="71" t="inlineStr">
        <is>
          <t>Excluded: Trang Chung / Không rõ Ngách Cún cưng</t>
        </is>
      </c>
      <c r="R257" s="6" t="inlineStr">
        <is>
          <t>Nhà vệ sinh &amp; Tã lót (Potty Tray / Pee Pads) + Cỏ nhân tạo lót chuồng</t>
        </is>
      </c>
      <c r="S257" s="6" t="inlineStr">
        <is>
          <t>Tuyệt đối không đưa vào CRM (Vi phạm Bộ lọc Âm tính Mục 5)</t>
        </is>
      </c>
    </row>
    <row r="258">
      <c r="A258" s="59" t="n">
        <v>1495</v>
      </c>
      <c r="B258" s="15" t="inlineStr">
        <is>
          <t>German Shepherd Dog Club of Ireland</t>
        </is>
      </c>
      <c r="C258" s="60" t="inlineStr">
        <is>
          <t>https://www.facebook.com/GSDCI</t>
        </is>
      </c>
      <c r="D258" s="9" t="inlineStr">
        <is>
          <t>Cần quét Bio Fanpage</t>
        </is>
      </c>
      <c r="E258" s="59" t="inlineStr">
        <is>
          <t>20/09/2026 18:45:13</t>
        </is>
      </c>
      <c r="F258" s="59" t="inlineStr">
        <is>
          <t>3 tuần trước</t>
        </is>
      </c>
      <c r="G258" s="61" t="n">
        <v>21</v>
      </c>
      <c r="H258" s="62" t="n">
        <v>8</v>
      </c>
      <c r="I258" s="9" t="inlineStr">
        <is>
          <t>Dog Breeder / Trại nhân giống (28-30đ)</t>
        </is>
      </c>
      <c r="J258" s="62" t="n">
        <v>28</v>
      </c>
      <c r="K258" s="9" t="inlineStr">
        <is>
          <t>German Shepherd</t>
        </is>
      </c>
      <c r="L258" s="62" t="n">
        <v>10</v>
      </c>
      <c r="M258" s="62" t="n">
        <v>0</v>
      </c>
      <c r="N258" s="9" t="inlineStr">
        <is>
          <t>Amazon link not found</t>
        </is>
      </c>
      <c r="O258" s="62">
        <f>IF(N258="Selling pet toys + Artificial grass/Pet toilets (TARGET)",15,IF(N258="Selling artificial grass/pet toilets (TARGET)",10,IF(N258="Selling pet toys",7,IF(N258="There's an Amazon link, but no target sales.",3,0))))</f>
        <v/>
      </c>
      <c r="P258" s="67">
        <f>H258+J258+L258+M258+O258</f>
        <v/>
      </c>
      <c r="Q258" s="70" t="inlineStr">
        <is>
          <t>Excluded: Hiệp hội &amp; CLB Phả hệ (Mục 5.1)</t>
        </is>
      </c>
      <c r="R258" s="9" t="inlineStr">
        <is>
          <t>Trọn gói Take-Home Starter Kit V2/V3 (Cỏ nhân tạo + Khay Potty + Đồ chơi cún con)</t>
        </is>
      </c>
      <c r="S258" s="9" t="inlineStr">
        <is>
          <t>Tuyệt đối không đưa vào CRM (Vi phạm Bộ lọc Âm tính Mục 5)</t>
        </is>
      </c>
    </row>
    <row r="259">
      <c r="A259" s="53" t="n">
        <v>5559</v>
      </c>
      <c r="B259" s="12" t="inlineStr">
        <is>
          <t>thebbbteam</t>
        </is>
      </c>
      <c r="C259" s="54" t="inlineStr">
        <is>
          <t>https://www.facebook.com/thebbbteam</t>
        </is>
      </c>
      <c r="D259" s="6" t="inlineStr">
        <is>
          <t>Cần quét Bio Fanpage</t>
        </is>
      </c>
      <c r="E259" s="53" t="inlineStr">
        <is>
          <t>13/10/2026 10:46:26</t>
        </is>
      </c>
      <c r="F259" s="53" t="inlineStr">
        <is>
          <t>10 phút trước</t>
        </is>
      </c>
      <c r="G259" s="55" t="n">
        <v>0.01</v>
      </c>
      <c r="H259" s="56" t="n">
        <v>35</v>
      </c>
      <c r="I259" s="6" t="inlineStr">
        <is>
          <t>Pet Owner / Cộng đồng nuôi cún (10đ)</t>
        </is>
      </c>
      <c r="J259" s="56" t="n">
        <v>10</v>
      </c>
      <c r="K259" s="6" t="inlineStr">
        <is>
          <t>Chưa rõ giống (Cần quét Bio)</t>
        </is>
      </c>
      <c r="L259" s="56" t="n">
        <v>0</v>
      </c>
      <c r="M259" s="56" t="n">
        <v>0</v>
      </c>
      <c r="N259" s="6" t="inlineStr">
        <is>
          <t>Amazon link not found</t>
        </is>
      </c>
      <c r="O259" s="56">
        <f>IF(N259="Selling pet toys + Artificial grass/Pet toilets (TARGET)",15,IF(N259="Selling artificial grass/pet toilets (TARGET)",10,IF(N259="Selling pet toys",7,IF(N259="There's an Amazon link, but no target sales.",3,0))))</f>
        <v/>
      </c>
      <c r="P259" s="65">
        <f>H259+J259+L259+M259+O259</f>
        <v/>
      </c>
      <c r="Q259" s="71" t="inlineStr">
        <is>
          <t>Excluded: Trang Chung / Không rõ Ngách Cún cưng</t>
        </is>
      </c>
      <c r="R259" s="6" t="inlineStr">
        <is>
          <t>Khay vệ sinh chung cư (Indoor Potty) + Thảm cỏ ban công (Grass Patch) + Đồ chơi</t>
        </is>
      </c>
      <c r="S259" s="6" t="inlineStr">
        <is>
          <t>Tuyệt đối không đưa vào CRM (Vi phạm Bộ lọc Âm tính Mục 5)</t>
        </is>
      </c>
    </row>
    <row r="260">
      <c r="A260" s="59" t="n">
        <v>5937</v>
      </c>
      <c r="B260" s="15" t="inlineStr">
        <is>
          <t>yoveterinariooficial</t>
        </is>
      </c>
      <c r="C260" s="60" t="inlineStr">
        <is>
          <t>https://www.facebook.com/yoveterinariooficial</t>
        </is>
      </c>
      <c r="D260" s="9" t="inlineStr">
        <is>
          <t>Cần quét Bio Fanpage</t>
        </is>
      </c>
      <c r="E260" s="59" t="inlineStr">
        <is>
          <t>13/10/2026 10:25:38</t>
        </is>
      </c>
      <c r="F260" s="59" t="inlineStr">
        <is>
          <t>1 giờ trước</t>
        </is>
      </c>
      <c r="G260" s="61" t="n">
        <v>0.04</v>
      </c>
      <c r="H260" s="62" t="n">
        <v>35</v>
      </c>
      <c r="I260" s="9" t="inlineStr">
        <is>
          <t>Pet Owner / Cộng đồng nuôi cún (10đ)</t>
        </is>
      </c>
      <c r="J260" s="62" t="n">
        <v>10</v>
      </c>
      <c r="K260" s="9" t="inlineStr">
        <is>
          <t>Chưa rõ giống (Cần quét Bio)</t>
        </is>
      </c>
      <c r="L260" s="62" t="n">
        <v>0</v>
      </c>
      <c r="M260" s="62" t="n">
        <v>0</v>
      </c>
      <c r="N260" s="9" t="inlineStr">
        <is>
          <t>Amazon link not found</t>
        </is>
      </c>
      <c r="O260" s="62">
        <f>IF(N260="Selling pet toys + Artificial grass/Pet toilets (TARGET)",15,IF(N260="Selling artificial grass/pet toilets (TARGET)",10,IF(N260="Selling pet toys",7,IF(N260="There's an Amazon link, but no target sales.",3,0))))</f>
        <v/>
      </c>
      <c r="P260" s="67">
        <f>H260+J260+L260+M260+O260</f>
        <v/>
      </c>
      <c r="Q260" s="70" t="inlineStr">
        <is>
          <t>Excluded: Công ty Gen DNA &amp; Thú y (Mục 5.4)</t>
        </is>
      </c>
      <c r="R260" s="9" t="inlineStr">
        <is>
          <t>Khay vệ sinh chung cư (Indoor Potty) + Thảm cỏ ban công (Grass Patch) + Đồ chơi</t>
        </is>
      </c>
      <c r="S260" s="9" t="inlineStr">
        <is>
          <t>Tuyệt đối không đưa vào CRM (Vi phạm Bộ lọc Âm tính Mục 5)</t>
        </is>
      </c>
    </row>
    <row r="261">
      <c r="A261" s="53" t="n">
        <v>5384</v>
      </c>
      <c r="B261" s="12" t="inlineStr">
        <is>
          <t>Skincare RE Glow - Medan</t>
        </is>
      </c>
      <c r="C261" s="54" t="inlineStr">
        <is>
          <t>https://www.facebook.com/SkincareREGlowMedan</t>
        </is>
      </c>
      <c r="D261" s="6" t="inlineStr">
        <is>
          <t>Cần quét Bio Fanpage</t>
        </is>
      </c>
      <c r="E261" s="53" t="inlineStr">
        <is>
          <t>13/10/2026 10:23:50</t>
        </is>
      </c>
      <c r="F261" s="53" t="inlineStr">
        <is>
          <t>14 phút trước</t>
        </is>
      </c>
      <c r="G261" s="55" t="n">
        <v>0.01</v>
      </c>
      <c r="H261" s="56" t="n">
        <v>35</v>
      </c>
      <c r="I261" s="6" t="inlineStr">
        <is>
          <t>Pet Owner / Cộng đồng nuôi cún (10đ)</t>
        </is>
      </c>
      <c r="J261" s="56" t="n">
        <v>10</v>
      </c>
      <c r="K261" s="6" t="inlineStr">
        <is>
          <t>Chưa rõ giống (Cần quét Bio)</t>
        </is>
      </c>
      <c r="L261" s="56" t="n">
        <v>0</v>
      </c>
      <c r="M261" s="56" t="n">
        <v>0</v>
      </c>
      <c r="N261" s="6" t="inlineStr">
        <is>
          <t>Amazon link not found</t>
        </is>
      </c>
      <c r="O261" s="56">
        <f>IF(N261="Selling pet toys + Artificial grass/Pet toilets (TARGET)",15,IF(N261="Selling artificial grass/pet toilets (TARGET)",10,IF(N261="Selling pet toys",7,IF(N261="There's an Amazon link, but no target sales.",3,0))))</f>
        <v/>
      </c>
      <c r="P261" s="65">
        <f>H261+J261+L261+M261+O261</f>
        <v/>
      </c>
      <c r="Q261" s="71" t="inlineStr">
        <is>
          <t>Excluded: Ngành nghề Khác (Phi Cún cưng)</t>
        </is>
      </c>
      <c r="R261" s="6" t="inlineStr">
        <is>
          <t>Khay vệ sinh chung cư (Indoor Potty) + Thảm cỏ ban công (Grass Patch) + Đồ chơi</t>
        </is>
      </c>
      <c r="S261" s="6" t="inlineStr">
        <is>
          <t>Tuyệt đối không đưa vào CRM (Vi phạm Bộ lọc Âm tính Mục 5)</t>
        </is>
      </c>
    </row>
    <row r="262">
      <c r="A262" s="59" t="n">
        <v>5540</v>
      </c>
      <c r="B262" s="15" t="inlineStr">
        <is>
          <t>tdfhonestfarming</t>
        </is>
      </c>
      <c r="C262" s="60" t="inlineStr">
        <is>
          <t>https://www.facebook.com/tdfhonestfarming</t>
        </is>
      </c>
      <c r="D262" s="9" t="inlineStr">
        <is>
          <t>Cần quét Bio Fanpage</t>
        </is>
      </c>
      <c r="E262" s="59" t="inlineStr">
        <is>
          <t>13/10/2026 10:22:03</t>
        </is>
      </c>
      <c r="F262" s="59" t="inlineStr">
        <is>
          <t>33 phút trước</t>
        </is>
      </c>
      <c r="G262" s="61" t="n">
        <v>0.02</v>
      </c>
      <c r="H262" s="62" t="n">
        <v>35</v>
      </c>
      <c r="I262" s="9" t="inlineStr">
        <is>
          <t>Pet Owner / Cộng đồng nuôi cún (10đ)</t>
        </is>
      </c>
      <c r="J262" s="62" t="n">
        <v>10</v>
      </c>
      <c r="K262" s="9" t="inlineStr">
        <is>
          <t>Chưa rõ giống (Cần quét Bio)</t>
        </is>
      </c>
      <c r="L262" s="62" t="n">
        <v>0</v>
      </c>
      <c r="M262" s="62" t="n">
        <v>0</v>
      </c>
      <c r="N262" s="9" t="inlineStr">
        <is>
          <t>Amazon link not found</t>
        </is>
      </c>
      <c r="O262" s="62">
        <f>IF(N262="Selling pet toys + Artificial grass/Pet toilets (TARGET)",15,IF(N262="Selling artificial grass/pet toilets (TARGET)",10,IF(N262="Selling pet toys",7,IF(N262="There's an Amazon link, but no target sales.",3,0))))</f>
        <v/>
      </c>
      <c r="P262" s="67">
        <f>H262+J262+L262+M262+O262</f>
        <v/>
      </c>
      <c r="Q262" s="70" t="inlineStr">
        <is>
          <t>Excluded: Trang Chung / Không rõ Ngách Cún cưng</t>
        </is>
      </c>
      <c r="R262" s="9" t="inlineStr">
        <is>
          <t>Khay vệ sinh chung cư (Indoor Potty) + Thảm cỏ ban công (Grass Patch) + Đồ chơi</t>
        </is>
      </c>
      <c r="S262" s="9" t="inlineStr">
        <is>
          <t>Tuyệt đối không đưa vào CRM (Vi phạm Bộ lọc Âm tính Mục 5)</t>
        </is>
      </c>
    </row>
    <row r="263">
      <c r="A263" s="53" t="n">
        <v>5393</v>
      </c>
      <c r="B263" s="12" t="inlineStr">
        <is>
          <t>Smart Farming Hub</t>
        </is>
      </c>
      <c r="C263" s="54" t="inlineStr">
        <is>
          <t>https://www.facebook.com/profile.php?id=61587177208801</t>
        </is>
      </c>
      <c r="D263" s="6" t="inlineStr">
        <is>
          <t>Cần quét Bio Fanpage</t>
        </is>
      </c>
      <c r="E263" s="53" t="inlineStr">
        <is>
          <t>13/10/2026 10:14:18</t>
        </is>
      </c>
      <c r="F263" s="53" t="inlineStr">
        <is>
          <t>25 phút trước</t>
        </is>
      </c>
      <c r="G263" s="55" t="n">
        <v>0.02</v>
      </c>
      <c r="H263" s="56" t="n">
        <v>35</v>
      </c>
      <c r="I263" s="6" t="inlineStr">
        <is>
          <t>Pet Owner / Cộng đồng nuôi cún (10đ)</t>
        </is>
      </c>
      <c r="J263" s="56" t="n">
        <v>10</v>
      </c>
      <c r="K263" s="6" t="inlineStr">
        <is>
          <t>Chưa rõ giống (Cần quét Bio)</t>
        </is>
      </c>
      <c r="L263" s="56" t="n">
        <v>0</v>
      </c>
      <c r="M263" s="56" t="n">
        <v>0</v>
      </c>
      <c r="N263" s="6" t="inlineStr">
        <is>
          <t>Amazon link not found</t>
        </is>
      </c>
      <c r="O263" s="56">
        <f>IF(N263="Selling pet toys + Artificial grass/Pet toilets (TARGET)",15,IF(N263="Selling artificial grass/pet toilets (TARGET)",10,IF(N263="Selling pet toys",7,IF(N263="There's an Amazon link, but no target sales.",3,0))))</f>
        <v/>
      </c>
      <c r="P263" s="65">
        <f>H263+J263+L263+M263+O263</f>
        <v/>
      </c>
      <c r="Q263" s="71" t="inlineStr">
        <is>
          <t>Excluded: Trang Chung / Không rõ Ngách Cún cưng</t>
        </is>
      </c>
      <c r="R263" s="6" t="inlineStr">
        <is>
          <t>Khay vệ sinh chung cư (Indoor Potty) + Thảm cỏ ban công (Grass Patch) + Đồ chơi</t>
        </is>
      </c>
      <c r="S263" s="6" t="inlineStr">
        <is>
          <t>Tuyệt đối không đưa vào CRM (Vi phạm Bộ lọc Âm tính Mục 5)</t>
        </is>
      </c>
    </row>
    <row r="264">
      <c r="A264" s="59" t="n">
        <v>5829</v>
      </c>
      <c r="B264" s="15" t="inlineStr">
        <is>
          <t>Waco Downtown Farmers Market</t>
        </is>
      </c>
      <c r="C264" s="60" t="inlineStr">
        <is>
          <t>https://www.facebook.com/WacoDowntownFarmersMarket</t>
        </is>
      </c>
      <c r="D264" s="9" t="inlineStr">
        <is>
          <t>Cần quét Bio Fanpage</t>
        </is>
      </c>
      <c r="E264" s="59" t="inlineStr">
        <is>
          <t>13/10/2026 10:04:10</t>
        </is>
      </c>
      <c r="F264" s="59" t="inlineStr">
        <is>
          <t>1 giờ trước</t>
        </is>
      </c>
      <c r="G264" s="61" t="n">
        <v>0.04</v>
      </c>
      <c r="H264" s="62" t="n">
        <v>35</v>
      </c>
      <c r="I264" s="9" t="inlineStr">
        <is>
          <t>Pet Owner / Cộng đồng nuôi cún (10đ)</t>
        </is>
      </c>
      <c r="J264" s="62" t="n">
        <v>10</v>
      </c>
      <c r="K264" s="9" t="inlineStr">
        <is>
          <t>Chưa rõ giống (Cần quét Bio)</t>
        </is>
      </c>
      <c r="L264" s="62" t="n">
        <v>0</v>
      </c>
      <c r="M264" s="62" t="n">
        <v>0</v>
      </c>
      <c r="N264" s="9" t="inlineStr">
        <is>
          <t>Amazon link not found</t>
        </is>
      </c>
      <c r="O264" s="62">
        <f>IF(N264="Selling pet toys + Artificial grass/Pet toilets (TARGET)",15,IF(N264="Selling artificial grass/pet toilets (TARGET)",10,IF(N264="Selling pet toys",7,IF(N264="There's an Amazon link, but no target sales.",3,0))))</f>
        <v/>
      </c>
      <c r="P264" s="67">
        <f>H264+J264+L264+M264+O264</f>
        <v/>
      </c>
      <c r="Q264" s="70" t="inlineStr">
        <is>
          <t>Excluded: Ngành nghề Khác (Phi Cún cưng)</t>
        </is>
      </c>
      <c r="R264" s="9" t="inlineStr">
        <is>
          <t>Khay vệ sinh chung cư (Indoor Potty) + Thảm cỏ ban công (Grass Patch) + Đồ chơi</t>
        </is>
      </c>
      <c r="S264" s="9" t="inlineStr">
        <is>
          <t>Tuyệt đối không đưa vào CRM (Vi phạm Bộ lọc Âm tính Mục 5)</t>
        </is>
      </c>
    </row>
    <row r="265">
      <c r="A265" s="53" t="n">
        <v>5445</v>
      </c>
      <c r="B265" s="12" t="inlineStr">
        <is>
          <t>SpokAnimal C.A.R.E.</t>
        </is>
      </c>
      <c r="C265" s="54" t="inlineStr">
        <is>
          <t>https://www.facebook.com/SpokAnimal</t>
        </is>
      </c>
      <c r="D265" s="6" t="inlineStr">
        <is>
          <t>Cần quét Bio Fanpage</t>
        </is>
      </c>
      <c r="E265" s="53" t="inlineStr">
        <is>
          <t>13/10/2026 09:43:18</t>
        </is>
      </c>
      <c r="F265" s="53" t="inlineStr">
        <is>
          <t>1 giờ trước</t>
        </is>
      </c>
      <c r="G265" s="55" t="n">
        <v>0.04</v>
      </c>
      <c r="H265" s="56" t="n">
        <v>35</v>
      </c>
      <c r="I265" s="6" t="inlineStr">
        <is>
          <t>Pet Owner / Cộng đồng nuôi cún (10đ)</t>
        </is>
      </c>
      <c r="J265" s="56" t="n">
        <v>10</v>
      </c>
      <c r="K265" s="6" t="inlineStr">
        <is>
          <t>Chưa rõ giống (Cần quét Bio)</t>
        </is>
      </c>
      <c r="L265" s="56" t="n">
        <v>0</v>
      </c>
      <c r="M265" s="56" t="n">
        <v>0</v>
      </c>
      <c r="N265" s="6" t="inlineStr">
        <is>
          <t>Amazon link not found</t>
        </is>
      </c>
      <c r="O265" s="56">
        <f>IF(N265="Selling pet toys + Artificial grass/Pet toilets (TARGET)",15,IF(N265="Selling artificial grass/pet toilets (TARGET)",10,IF(N265="Selling pet toys",7,IF(N265="There's an Amazon link, but no target sales.",3,0))))</f>
        <v/>
      </c>
      <c r="P265" s="65">
        <f>H265+J265+L265+M265+O265</f>
        <v/>
      </c>
      <c r="Q265" s="71" t="inlineStr">
        <is>
          <t>Excluded: Trang Chung / Không rõ Ngách Cún cưng</t>
        </is>
      </c>
      <c r="R265" s="6" t="inlineStr">
        <is>
          <t>Khay vệ sinh chung cư (Indoor Potty) + Thảm cỏ ban công (Grass Patch) + Đồ chơi</t>
        </is>
      </c>
      <c r="S265" s="6" t="inlineStr">
        <is>
          <t>Tuyệt đối không đưa vào CRM (Vi phạm Bộ lọc Âm tính Mục 5)</t>
        </is>
      </c>
    </row>
    <row r="266">
      <c r="A266" s="59" t="n">
        <v>5247</v>
      </c>
      <c r="B266" s="15" t="inlineStr">
        <is>
          <t>Roman Farkaš - The Body &amp; Spinal Care</t>
        </is>
      </c>
      <c r="C266" s="60" t="inlineStr">
        <is>
          <t>https://www.facebook.com/TerapeutRomanFarkas</t>
        </is>
      </c>
      <c r="D266" s="9" t="inlineStr">
        <is>
          <t>Cần quét Bio Fanpage</t>
        </is>
      </c>
      <c r="E266" s="59" t="inlineStr">
        <is>
          <t>13/10/2026 09:38:18</t>
        </is>
      </c>
      <c r="F266" s="59" t="inlineStr">
        <is>
          <t>45 phút trước</t>
        </is>
      </c>
      <c r="G266" s="61" t="n">
        <v>0.03</v>
      </c>
      <c r="H266" s="62" t="n">
        <v>35</v>
      </c>
      <c r="I266" s="9" t="inlineStr">
        <is>
          <t>Pet Owner / Cộng đồng nuôi cún (10đ)</t>
        </is>
      </c>
      <c r="J266" s="62" t="n">
        <v>10</v>
      </c>
      <c r="K266" s="9" t="inlineStr">
        <is>
          <t>Chưa rõ giống (Cần quét Bio)</t>
        </is>
      </c>
      <c r="L266" s="62" t="n">
        <v>0</v>
      </c>
      <c r="M266" s="62" t="n">
        <v>0</v>
      </c>
      <c r="N266" s="9" t="inlineStr">
        <is>
          <t>Amazon link not found</t>
        </is>
      </c>
      <c r="O266" s="62">
        <f>IF(N266="Selling pet toys + Artificial grass/Pet toilets (TARGET)",15,IF(N266="Selling artificial grass/pet toilets (TARGET)",10,IF(N266="Selling pet toys",7,IF(N266="There's an Amazon link, but no target sales.",3,0))))</f>
        <v/>
      </c>
      <c r="P266" s="67">
        <f>H266+J266+L266+M266+O266</f>
        <v/>
      </c>
      <c r="Q266" s="70" t="inlineStr">
        <is>
          <t>Excluded: Ngành nghề Khác (Phi Cún cưng)</t>
        </is>
      </c>
      <c r="R266" s="9" t="inlineStr">
        <is>
          <t>Khay vệ sinh chung cư (Indoor Potty) + Thảm cỏ ban công (Grass Patch) + Đồ chơi</t>
        </is>
      </c>
      <c r="S266" s="9" t="inlineStr">
        <is>
          <t>Tuyệt đối không đưa vào CRM (Vi phạm Bộ lọc Âm tính Mục 5)</t>
        </is>
      </c>
    </row>
    <row r="267">
      <c r="A267" s="53" t="n">
        <v>5303</v>
      </c>
      <c r="B267" s="12" t="inlineStr">
        <is>
          <t>SausageDogCentral</t>
        </is>
      </c>
      <c r="C267" s="54" t="inlineStr">
        <is>
          <t>https://www.facebook.com/SausageDogCentral</t>
        </is>
      </c>
      <c r="D267" s="6" t="inlineStr">
        <is>
          <t>Cần quét Bio Fanpage</t>
        </is>
      </c>
      <c r="E267" s="53" t="inlineStr">
        <is>
          <t>13/10/2026 09:30:58</t>
        </is>
      </c>
      <c r="F267" s="53" t="inlineStr">
        <is>
          <t>58 phút trước</t>
        </is>
      </c>
      <c r="G267" s="55" t="n">
        <v>0.04</v>
      </c>
      <c r="H267" s="56" t="n">
        <v>35</v>
      </c>
      <c r="I267" s="6" t="inlineStr">
        <is>
          <t>Pet Owner / Cộng đồng nuôi cún (10đ)</t>
        </is>
      </c>
      <c r="J267" s="56" t="n">
        <v>10</v>
      </c>
      <c r="K267" s="6" t="inlineStr">
        <is>
          <t>Chưa rõ giống (Cần quét Bio)</t>
        </is>
      </c>
      <c r="L267" s="56" t="n">
        <v>0</v>
      </c>
      <c r="M267" s="56" t="n">
        <v>0</v>
      </c>
      <c r="N267" s="6" t="inlineStr">
        <is>
          <t>Amazon link not found</t>
        </is>
      </c>
      <c r="O267" s="56">
        <f>IF(N267="Selling pet toys + Artificial grass/Pet toilets (TARGET)",15,IF(N267="Selling artificial grass/pet toilets (TARGET)",10,IF(N267="Selling pet toys",7,IF(N267="There's an Amazon link, but no target sales.",3,0))))</f>
        <v/>
      </c>
      <c r="P267" s="65">
        <f>H267+J267+L267+M267+O267</f>
        <v/>
      </c>
      <c r="Q267" s="71" t="inlineStr">
        <is>
          <t>Excluded: Kênh Tin tức, Tạp chí &amp; Giải trí (Mục 5.3)</t>
        </is>
      </c>
      <c r="R267" s="6" t="inlineStr">
        <is>
          <t>Khay vệ sinh chung cư (Indoor Potty) + Thảm cỏ ban công (Grass Patch) + Đồ chơi</t>
        </is>
      </c>
      <c r="S267" s="6" t="inlineStr">
        <is>
          <t>Tuyệt đối không đưa vào CRM (Vi phạm Bộ lọc Âm tính Mục 5)</t>
        </is>
      </c>
    </row>
    <row r="268">
      <c r="A268" s="59" t="n">
        <v>4778</v>
      </c>
      <c r="B268" s="15" t="inlineStr">
        <is>
          <t>nomadsanimalencounter</t>
        </is>
      </c>
      <c r="C268" s="60" t="inlineStr">
        <is>
          <t>https://www.facebook.com/nomadsanimalencounter</t>
        </is>
      </c>
      <c r="D268" s="9" t="inlineStr">
        <is>
          <t>Cần quét Bio Fanpage</t>
        </is>
      </c>
      <c r="E268" s="59" t="inlineStr">
        <is>
          <t>13/10/2026 09:30:43</t>
        </is>
      </c>
      <c r="F268" s="59" t="inlineStr">
        <is>
          <t>1 phút trước</t>
        </is>
      </c>
      <c r="G268" s="61" t="n">
        <v>0</v>
      </c>
      <c r="H268" s="62" t="n">
        <v>35</v>
      </c>
      <c r="I268" s="9" t="inlineStr">
        <is>
          <t>Pet Owner / Cộng đồng nuôi cún (10đ)</t>
        </is>
      </c>
      <c r="J268" s="62" t="n">
        <v>10</v>
      </c>
      <c r="K268" s="9" t="inlineStr">
        <is>
          <t>Chưa rõ giống (Cần quét Bio)</t>
        </is>
      </c>
      <c r="L268" s="62" t="n">
        <v>0</v>
      </c>
      <c r="M268" s="62" t="n">
        <v>0</v>
      </c>
      <c r="N268" s="9" t="inlineStr">
        <is>
          <t>Amazon link not found</t>
        </is>
      </c>
      <c r="O268" s="62">
        <f>IF(N268="Selling pet toys + Artificial grass/Pet toilets (TARGET)",15,IF(N268="Selling artificial grass/pet toilets (TARGET)",10,IF(N268="Selling pet toys",7,IF(N268="There's an Amazon link, but no target sales.",3,0))))</f>
        <v/>
      </c>
      <c r="P268" s="67">
        <f>H268+J268+L268+M268+O268</f>
        <v/>
      </c>
      <c r="Q268" s="70" t="inlineStr">
        <is>
          <t>Excluded: Trang Chung / Không rõ Ngách Cún cưng</t>
        </is>
      </c>
      <c r="R268" s="9" t="inlineStr">
        <is>
          <t>Khay vệ sinh chung cư (Indoor Potty) + Thảm cỏ ban công (Grass Patch) + Đồ chơi</t>
        </is>
      </c>
      <c r="S268" s="9" t="inlineStr">
        <is>
          <t>Tuyệt đối không đưa vào CRM (Vi phạm Bộ lọc Âm tính Mục 5)</t>
        </is>
      </c>
    </row>
    <row r="269">
      <c r="A269" s="53" t="n">
        <v>4776</v>
      </c>
      <c r="B269" s="12" t="inlineStr">
        <is>
          <t>Facebook User</t>
        </is>
      </c>
      <c r="C269" s="54" t="inlineStr">
        <is>
          <t>https://www.facebook.com/profile.php?id=100088195686788</t>
        </is>
      </c>
      <c r="D269" s="6" t="inlineStr">
        <is>
          <t>Cần quét Bio Fanpage</t>
        </is>
      </c>
      <c r="E269" s="53" t="inlineStr">
        <is>
          <t>13/10/2026 09:30:37</t>
        </is>
      </c>
      <c r="F269" s="53" t="inlineStr">
        <is>
          <t>1 phút trước</t>
        </is>
      </c>
      <c r="G269" s="55" t="n">
        <v>0</v>
      </c>
      <c r="H269" s="56" t="n">
        <v>35</v>
      </c>
      <c r="I269" s="6" t="inlineStr">
        <is>
          <t>Pet Owner / Cộng đồng nuôi cún (10đ)</t>
        </is>
      </c>
      <c r="J269" s="56" t="n">
        <v>10</v>
      </c>
      <c r="K269" s="6" t="inlineStr">
        <is>
          <t>Chưa rõ giống (Cần quét Bio)</t>
        </is>
      </c>
      <c r="L269" s="56" t="n">
        <v>0</v>
      </c>
      <c r="M269" s="56" t="n">
        <v>0</v>
      </c>
      <c r="N269" s="6" t="inlineStr">
        <is>
          <t>Amazon link not found</t>
        </is>
      </c>
      <c r="O269" s="56">
        <f>IF(N269="Selling pet toys + Artificial grass/Pet toilets (TARGET)",15,IF(N269="Selling artificial grass/pet toilets (TARGET)",10,IF(N269="Selling pet toys",7,IF(N269="There's an Amazon link, but no target sales.",3,0))))</f>
        <v/>
      </c>
      <c r="P269" s="65">
        <f>H269+J269+L269+M269+O269</f>
        <v/>
      </c>
      <c r="Q269" s="71" t="inlineStr">
        <is>
          <t>Excluded: Hồ sơ Ẩn danh (Facebook User)</t>
        </is>
      </c>
      <c r="R269" s="6" t="inlineStr">
        <is>
          <t>Khay vệ sinh chung cư (Indoor Potty) + Thảm cỏ ban công (Grass Patch) + Đồ chơi</t>
        </is>
      </c>
      <c r="S269" s="6" t="inlineStr">
        <is>
          <t>Tuyệt đối không đưa vào CRM (Vi phạm Bộ lọc Âm tính Mục 5)</t>
        </is>
      </c>
    </row>
    <row r="270">
      <c r="A270" s="59" t="n">
        <v>4707</v>
      </c>
      <c r="B270" s="15" t="inlineStr">
        <is>
          <t>Mundo do Açaí &amp; Sorvetes</t>
        </is>
      </c>
      <c r="C270" s="60" t="inlineStr">
        <is>
          <t>https://www.facebook.com/mundodoacaisorvetes</t>
        </is>
      </c>
      <c r="D270" s="9" t="inlineStr">
        <is>
          <t>Cần quét Bio Fanpage</t>
        </is>
      </c>
      <c r="E270" s="59" t="inlineStr">
        <is>
          <t>13/10/2026 09:07:33</t>
        </is>
      </c>
      <c r="F270" s="59" t="inlineStr">
        <is>
          <t>17 phút trước</t>
        </is>
      </c>
      <c r="G270" s="61" t="n">
        <v>0.01</v>
      </c>
      <c r="H270" s="62" t="n">
        <v>35</v>
      </c>
      <c r="I270" s="9" t="inlineStr">
        <is>
          <t>Pet Owner / Cộng đồng nuôi cún (10đ)</t>
        </is>
      </c>
      <c r="J270" s="62" t="n">
        <v>10</v>
      </c>
      <c r="K270" s="9" t="inlineStr">
        <is>
          <t>Chưa rõ giống (Cần quét Bio)</t>
        </is>
      </c>
      <c r="L270" s="62" t="n">
        <v>0</v>
      </c>
      <c r="M270" s="62" t="n">
        <v>0</v>
      </c>
      <c r="N270" s="9" t="inlineStr">
        <is>
          <t>Amazon link not found</t>
        </is>
      </c>
      <c r="O270" s="62">
        <f>IF(N270="Selling pet toys + Artificial grass/Pet toilets (TARGET)",15,IF(N270="Selling artificial grass/pet toilets (TARGET)",10,IF(N270="Selling pet toys",7,IF(N270="There's an Amazon link, but no target sales.",3,0))))</f>
        <v/>
      </c>
      <c r="P270" s="67">
        <f>H270+J270+L270+M270+O270</f>
        <v/>
      </c>
      <c r="Q270" s="70" t="inlineStr">
        <is>
          <t>Excluded: Ngành nghề Khác (Phi Cún cưng)</t>
        </is>
      </c>
      <c r="R270" s="9" t="inlineStr">
        <is>
          <t>Khay vệ sinh chung cư (Indoor Potty) + Thảm cỏ ban công (Grass Patch) + Đồ chơi</t>
        </is>
      </c>
      <c r="S270" s="9" t="inlineStr">
        <is>
          <t>Tuyệt đối không đưa vào CRM (Vi phạm Bộ lọc Âm tính Mục 5)</t>
        </is>
      </c>
    </row>
    <row r="271">
      <c r="A271" s="53" t="n">
        <v>5854</v>
      </c>
      <c r="B271" s="12" t="inlineStr">
        <is>
          <t>Wecare ศูนย์บริการรถยนต์</t>
        </is>
      </c>
      <c r="C271" s="54" t="inlineStr">
        <is>
          <t>https://www.facebook.com/wecare.autos</t>
        </is>
      </c>
      <c r="D271" s="6" t="inlineStr">
        <is>
          <t>Cần quét Bio Fanpage</t>
        </is>
      </c>
      <c r="E271" s="53" t="inlineStr">
        <is>
          <t>13/10/2026 08:59:03</t>
        </is>
      </c>
      <c r="F271" s="53" t="inlineStr">
        <is>
          <t>2 giờ trước</t>
        </is>
      </c>
      <c r="G271" s="55" t="n">
        <v>0.08</v>
      </c>
      <c r="H271" s="56" t="n">
        <v>35</v>
      </c>
      <c r="I271" s="6" t="inlineStr">
        <is>
          <t>Pet Owner / Cộng đồng nuôi cún (10đ)</t>
        </is>
      </c>
      <c r="J271" s="56" t="n">
        <v>10</v>
      </c>
      <c r="K271" s="6" t="inlineStr">
        <is>
          <t>Chưa rõ giống (Cần quét Bio)</t>
        </is>
      </c>
      <c r="L271" s="56" t="n">
        <v>0</v>
      </c>
      <c r="M271" s="56" t="n">
        <v>0</v>
      </c>
      <c r="N271" s="6" t="inlineStr">
        <is>
          <t>Amazon link not found</t>
        </is>
      </c>
      <c r="O271" s="56">
        <f>IF(N271="Selling pet toys + Artificial grass/Pet toilets (TARGET)",15,IF(N271="Selling artificial grass/pet toilets (TARGET)",10,IF(N271="Selling pet toys",7,IF(N271="There's an Amazon link, but no target sales.",3,0))))</f>
        <v/>
      </c>
      <c r="P271" s="65">
        <f>H271+J271+L271+M271+O271</f>
        <v/>
      </c>
      <c r="Q271" s="71" t="inlineStr">
        <is>
          <t>Excluded: Ngành nghề Khác (Phi Cún cưng)</t>
        </is>
      </c>
      <c r="R271" s="6" t="inlineStr">
        <is>
          <t>Khay vệ sinh chung cư (Indoor Potty) + Thảm cỏ ban công (Grass Patch) + Đồ chơi</t>
        </is>
      </c>
      <c r="S271" s="6" t="inlineStr">
        <is>
          <t>Tuyệt đối không đưa vào CRM (Vi phạm Bộ lọc Âm tính Mục 5)</t>
        </is>
      </c>
    </row>
    <row r="272">
      <c r="A272" s="59" t="n">
        <v>4482</v>
      </c>
      <c r="B272" s="15" t="inlineStr">
        <is>
          <t>levette01</t>
        </is>
      </c>
      <c r="C272" s="60" t="inlineStr">
        <is>
          <t>https://www.facebook.com/levette01</t>
        </is>
      </c>
      <c r="D272" s="9" t="inlineStr">
        <is>
          <t>Cần quét Bio Fanpage</t>
        </is>
      </c>
      <c r="E272" s="59" t="inlineStr">
        <is>
          <t>13/10/2026 08:57:03</t>
        </is>
      </c>
      <c r="F272" s="59" t="inlineStr">
        <is>
          <t>3 phút trước</t>
        </is>
      </c>
      <c r="G272" s="61" t="n">
        <v>0</v>
      </c>
      <c r="H272" s="62" t="n">
        <v>35</v>
      </c>
      <c r="I272" s="9" t="inlineStr">
        <is>
          <t>Pet Owner / Cộng đồng nuôi cún (10đ)</t>
        </is>
      </c>
      <c r="J272" s="62" t="n">
        <v>10</v>
      </c>
      <c r="K272" s="9" t="inlineStr">
        <is>
          <t>Chưa rõ giống (Cần quét Bio)</t>
        </is>
      </c>
      <c r="L272" s="62" t="n">
        <v>0</v>
      </c>
      <c r="M272" s="62" t="n">
        <v>0</v>
      </c>
      <c r="N272" s="9" t="inlineStr">
        <is>
          <t>Amazon link not found</t>
        </is>
      </c>
      <c r="O272" s="62">
        <f>IF(N272="Selling pet toys + Artificial grass/Pet toilets (TARGET)",15,IF(N272="Selling artificial grass/pet toilets (TARGET)",10,IF(N272="Selling pet toys",7,IF(N272="There's an Amazon link, but no target sales.",3,0))))</f>
        <v/>
      </c>
      <c r="P272" s="67">
        <f>H272+J272+L272+M272+O272</f>
        <v/>
      </c>
      <c r="Q272" s="70" t="inlineStr">
        <is>
          <t>Excluded: Trang Chung / Không rõ Ngách Cún cưng</t>
        </is>
      </c>
      <c r="R272" s="9" t="inlineStr">
        <is>
          <t>Khay vệ sinh chung cư (Indoor Potty) + Thảm cỏ ban công (Grass Patch) + Đồ chơi</t>
        </is>
      </c>
      <c r="S272" s="9" t="inlineStr">
        <is>
          <t>Tuyệt đối không đưa vào CRM (Vi phạm Bộ lọc Âm tính Mục 5)</t>
        </is>
      </c>
    </row>
    <row r="273">
      <c r="A273" s="53" t="n">
        <v>4514</v>
      </c>
      <c r="B273" s="12" t="inlineStr">
        <is>
          <t>Lizzy Savetsky</t>
        </is>
      </c>
      <c r="C273" s="54" t="inlineStr">
        <is>
          <t>https://www.facebook.com/LizzySavetsky</t>
        </is>
      </c>
      <c r="D273" s="6" t="inlineStr">
        <is>
          <t>Cần quét Bio Fanpage</t>
        </is>
      </c>
      <c r="E273" s="53" t="inlineStr">
        <is>
          <t>13/10/2026 08:56:43</t>
        </is>
      </c>
      <c r="F273" s="53" t="inlineStr">
        <is>
          <t>6 phút trước</t>
        </is>
      </c>
      <c r="G273" s="55" t="n">
        <v>0</v>
      </c>
      <c r="H273" s="56" t="n">
        <v>35</v>
      </c>
      <c r="I273" s="6" t="inlineStr">
        <is>
          <t>Pet Owner / Cộng đồng nuôi cún (10đ)</t>
        </is>
      </c>
      <c r="J273" s="56" t="n">
        <v>10</v>
      </c>
      <c r="K273" s="6" t="inlineStr">
        <is>
          <t>Chưa rõ giống (Cần quét Bio)</t>
        </is>
      </c>
      <c r="L273" s="56" t="n">
        <v>0</v>
      </c>
      <c r="M273" s="56" t="n">
        <v>0</v>
      </c>
      <c r="N273" s="6" t="inlineStr">
        <is>
          <t>Amazon link not found</t>
        </is>
      </c>
      <c r="O273" s="56">
        <f>IF(N273="Selling pet toys + Artificial grass/Pet toilets (TARGET)",15,IF(N273="Selling artificial grass/pet toilets (TARGET)",10,IF(N273="Selling pet toys",7,IF(N273="There's an Amazon link, but no target sales.",3,0))))</f>
        <v/>
      </c>
      <c r="P273" s="65">
        <f>H273+J273+L273+M273+O273</f>
        <v/>
      </c>
      <c r="Q273" s="71" t="inlineStr">
        <is>
          <t>Excluded: Trang Chung / Không rõ Ngách Cún cưng</t>
        </is>
      </c>
      <c r="R273" s="6" t="inlineStr">
        <is>
          <t>Khay vệ sinh chung cư (Indoor Potty) + Thảm cỏ ban công (Grass Patch) + Đồ chơi</t>
        </is>
      </c>
      <c r="S273" s="6" t="inlineStr">
        <is>
          <t>Tuyệt đối không đưa vào CRM (Vi phạm Bộ lọc Âm tính Mục 5)</t>
        </is>
      </c>
    </row>
    <row r="274">
      <c r="A274" s="59" t="n">
        <v>5767</v>
      </c>
      <c r="B274" s="15" t="inlineStr">
        <is>
          <t>Velvet Buns Rabbitry</t>
        </is>
      </c>
      <c r="C274" s="60" t="inlineStr">
        <is>
          <t>https://www.facebook.com/profile.php?id=61593520525112</t>
        </is>
      </c>
      <c r="D274" s="9" t="inlineStr">
        <is>
          <t>Cần quét Bio Fanpage</t>
        </is>
      </c>
      <c r="E274" s="59" t="inlineStr">
        <is>
          <t>13/10/2026 08:24:14</t>
        </is>
      </c>
      <c r="F274" s="59" t="inlineStr">
        <is>
          <t>2 giờ trước</t>
        </is>
      </c>
      <c r="G274" s="61" t="n">
        <v>0.08</v>
      </c>
      <c r="H274" s="62" t="n">
        <v>35</v>
      </c>
      <c r="I274" s="9" t="inlineStr">
        <is>
          <t>Pet Owner / Cộng đồng nuôi cún (10đ)</t>
        </is>
      </c>
      <c r="J274" s="62" t="n">
        <v>10</v>
      </c>
      <c r="K274" s="9" t="inlineStr">
        <is>
          <t>Chưa rõ giống (Cần quét Bio)</t>
        </is>
      </c>
      <c r="L274" s="62" t="n">
        <v>0</v>
      </c>
      <c r="M274" s="62" t="n">
        <v>0</v>
      </c>
      <c r="N274" s="9" t="inlineStr">
        <is>
          <t>Amazon link not found</t>
        </is>
      </c>
      <c r="O274" s="62">
        <f>IF(N274="Selling pet toys + Artificial grass/Pet toilets (TARGET)",15,IF(N274="Selling artificial grass/pet toilets (TARGET)",10,IF(N274="Selling pet toys",7,IF(N274="There's an Amazon link, but no target sales.",3,0))))</f>
        <v/>
      </c>
      <c r="P274" s="67">
        <f>H274+J274+L274+M274+O274</f>
        <v/>
      </c>
      <c r="Q274" s="70" t="inlineStr">
        <is>
          <t>Excluded: Ngành nghề Khác (Phi Cún cưng)</t>
        </is>
      </c>
      <c r="R274" s="9" t="inlineStr">
        <is>
          <t>Khay vệ sinh chung cư (Indoor Potty) + Thảm cỏ ban công (Grass Patch) + Đồ chơi</t>
        </is>
      </c>
      <c r="S274" s="9" t="inlineStr">
        <is>
          <t>Tuyệt đối không đưa vào CRM (Vi phạm Bộ lọc Âm tính Mục 5)</t>
        </is>
      </c>
    </row>
    <row r="275">
      <c r="A275" s="53" t="n">
        <v>4921</v>
      </c>
      <c r="B275" s="12" t="inlineStr">
        <is>
          <t>Pet Food Express (Petaluma)</t>
        </is>
      </c>
      <c r="C275" s="54" t="inlineStr">
        <is>
          <t>https://www.facebook.com/PFEPetaluma</t>
        </is>
      </c>
      <c r="D275" s="6" t="inlineStr">
        <is>
          <t>Cần quét Bio Fanpage</t>
        </is>
      </c>
      <c r="E275" s="53" t="inlineStr">
        <is>
          <t>13/10/2026 08:21:02</t>
        </is>
      </c>
      <c r="F275" s="53" t="inlineStr">
        <is>
          <t>1 giờ trước</t>
        </is>
      </c>
      <c r="G275" s="55" t="n">
        <v>0.04</v>
      </c>
      <c r="H275" s="56" t="n">
        <v>35</v>
      </c>
      <c r="I275" s="6" t="inlineStr">
        <is>
          <t>Pet Owner / Cộng đồng nuôi cún (10đ)</t>
        </is>
      </c>
      <c r="J275" s="56" t="n">
        <v>10</v>
      </c>
      <c r="K275" s="6" t="inlineStr">
        <is>
          <t>Chưa rõ giống (Cần quét Bio)</t>
        </is>
      </c>
      <c r="L275" s="56" t="n">
        <v>0</v>
      </c>
      <c r="M275" s="56" t="n">
        <v>0</v>
      </c>
      <c r="N275" s="6" t="inlineStr">
        <is>
          <t>Amazon link not found</t>
        </is>
      </c>
      <c r="O275" s="56">
        <f>IF(N275="Selling pet toys + Artificial grass/Pet toilets (TARGET)",15,IF(N275="Selling artificial grass/pet toilets (TARGET)",10,IF(N275="Selling pet toys",7,IF(N275="There's an Amazon link, but no target sales.",3,0))))</f>
        <v/>
      </c>
      <c r="P275" s="65">
        <f>H275+J275+L275+M275+O275</f>
        <v/>
      </c>
      <c r="Q275" s="71" t="inlineStr">
        <is>
          <t>Excluded: Chuỗi Siêu thị Bán lẻ Lớn (Mục 5.2)</t>
        </is>
      </c>
      <c r="R275" s="6" t="inlineStr">
        <is>
          <t>Khay vệ sinh chung cư (Indoor Potty) + Thảm cỏ ban công (Grass Patch) + Đồ chơi</t>
        </is>
      </c>
      <c r="S275" s="6" t="inlineStr">
        <is>
          <t>Tuyệt đối không đưa vào CRM (Vi phạm Bộ lọc Âm tính Mục 5)</t>
        </is>
      </c>
    </row>
    <row r="276">
      <c r="A276" s="59" t="n">
        <v>5457</v>
      </c>
      <c r="B276" s="15" t="inlineStr">
        <is>
          <t>Stableside Farmstand</t>
        </is>
      </c>
      <c r="C276" s="60" t="inlineStr">
        <is>
          <t>https://www.facebook.com/stablesidefarmstand</t>
        </is>
      </c>
      <c r="D276" s="9" t="inlineStr">
        <is>
          <t>Cần quét Bio Fanpage</t>
        </is>
      </c>
      <c r="E276" s="59" t="inlineStr">
        <is>
          <t>13/10/2026 08:13:12</t>
        </is>
      </c>
      <c r="F276" s="59" t="inlineStr">
        <is>
          <t>2 giờ trước</t>
        </is>
      </c>
      <c r="G276" s="61" t="n">
        <v>0.08</v>
      </c>
      <c r="H276" s="62" t="n">
        <v>35</v>
      </c>
      <c r="I276" s="9" t="inlineStr">
        <is>
          <t>Pet Owner / Cộng đồng nuôi cún (10đ)</t>
        </is>
      </c>
      <c r="J276" s="62" t="n">
        <v>10</v>
      </c>
      <c r="K276" s="9" t="inlineStr">
        <is>
          <t>Chưa rõ giống (Cần quét Bio)</t>
        </is>
      </c>
      <c r="L276" s="62" t="n">
        <v>0</v>
      </c>
      <c r="M276" s="62" t="n">
        <v>0</v>
      </c>
      <c r="N276" s="9" t="inlineStr">
        <is>
          <t>Amazon link not found</t>
        </is>
      </c>
      <c r="O276" s="62">
        <f>IF(N276="Selling pet toys + Artificial grass/Pet toilets (TARGET)",15,IF(N276="Selling artificial grass/pet toilets (TARGET)",10,IF(N276="Selling pet toys",7,IF(N276="There's an Amazon link, but no target sales.",3,0))))</f>
        <v/>
      </c>
      <c r="P276" s="67">
        <f>H276+J276+L276+M276+O276</f>
        <v/>
      </c>
      <c r="Q276" s="70" t="inlineStr">
        <is>
          <t>Excluded: Trang Chung / Không rõ Ngách Cún cưng</t>
        </is>
      </c>
      <c r="R276" s="9" t="inlineStr">
        <is>
          <t>Khay vệ sinh chung cư (Indoor Potty) + Thảm cỏ ban công (Grass Patch) + Đồ chơi</t>
        </is>
      </c>
      <c r="S276" s="9" t="inlineStr">
        <is>
          <t>Tuyệt đối không đưa vào CRM (Vi phạm Bộ lọc Âm tính Mục 5)</t>
        </is>
      </c>
    </row>
    <row r="277">
      <c r="A277" s="53" t="n">
        <v>4177</v>
      </c>
      <c r="B277" s="12" t="inlineStr">
        <is>
          <t>ifreakingloveanimals</t>
        </is>
      </c>
      <c r="C277" s="54" t="inlineStr">
        <is>
          <t>https://www.facebook.com/ifreakingloveanimals</t>
        </is>
      </c>
      <c r="D277" s="6" t="inlineStr">
        <is>
          <t>Cần quét Bio Fanpage</t>
        </is>
      </c>
      <c r="E277" s="53" t="inlineStr">
        <is>
          <t>13/10/2026 08:00:48</t>
        </is>
      </c>
      <c r="F277" s="53" t="inlineStr">
        <is>
          <t>26 phút trước</t>
        </is>
      </c>
      <c r="G277" s="55" t="n">
        <v>0.02</v>
      </c>
      <c r="H277" s="56" t="n">
        <v>35</v>
      </c>
      <c r="I277" s="6" t="inlineStr">
        <is>
          <t>Pet Owner / Cộng đồng nuôi cún (10đ)</t>
        </is>
      </c>
      <c r="J277" s="56" t="n">
        <v>10</v>
      </c>
      <c r="K277" s="6" t="inlineStr">
        <is>
          <t>Chưa rõ giống (Cần quét Bio)</t>
        </is>
      </c>
      <c r="L277" s="56" t="n">
        <v>0</v>
      </c>
      <c r="M277" s="56" t="n">
        <v>0</v>
      </c>
      <c r="N277" s="6" t="inlineStr">
        <is>
          <t>Amazon link not found</t>
        </is>
      </c>
      <c r="O277" s="56">
        <f>IF(N277="Selling pet toys + Artificial grass/Pet toilets (TARGET)",15,IF(N277="Selling artificial grass/pet toilets (TARGET)",10,IF(N277="Selling pet toys",7,IF(N277="There's an Amazon link, but no target sales.",3,0))))</f>
        <v/>
      </c>
      <c r="P277" s="65">
        <f>H277+J277+L277+M277+O277</f>
        <v/>
      </c>
      <c r="Q277" s="71" t="inlineStr">
        <is>
          <t>Excluded: Trang Chung / Không rõ Ngách Cún cưng</t>
        </is>
      </c>
      <c r="R277" s="6" t="inlineStr">
        <is>
          <t>Khay vệ sinh chung cư (Indoor Potty) + Thảm cỏ ban công (Grass Patch) + Đồ chơi</t>
        </is>
      </c>
      <c r="S277" s="6" t="inlineStr">
        <is>
          <t>Tuyệt đối không đưa vào CRM (Vi phạm Bộ lọc Âm tính Mục 5)</t>
        </is>
      </c>
    </row>
    <row r="278">
      <c r="A278" s="59" t="n">
        <v>5202</v>
      </c>
      <c r="B278" s="15" t="inlineStr">
        <is>
          <t>Rescate Animal</t>
        </is>
      </c>
      <c r="C278" s="60" t="inlineStr">
        <is>
          <t>https://www.facebook.com/rescateanimal</t>
        </is>
      </c>
      <c r="D278" s="9" t="inlineStr">
        <is>
          <t>Cần quét Bio Fanpage</t>
        </is>
      </c>
      <c r="E278" s="59" t="inlineStr">
        <is>
          <t>13/10/2026 08:00:45</t>
        </is>
      </c>
      <c r="F278" s="59" t="inlineStr">
        <is>
          <t>2 giờ trước</t>
        </is>
      </c>
      <c r="G278" s="61" t="n">
        <v>0.08</v>
      </c>
      <c r="H278" s="62" t="n">
        <v>35</v>
      </c>
      <c r="I278" s="9" t="inlineStr">
        <is>
          <t>Pet Owner / Cộng đồng nuôi cún (10đ)</t>
        </is>
      </c>
      <c r="J278" s="62" t="n">
        <v>10</v>
      </c>
      <c r="K278" s="9" t="inlineStr">
        <is>
          <t>Chưa rõ giống (Cần quét Bio)</t>
        </is>
      </c>
      <c r="L278" s="62" t="n">
        <v>0</v>
      </c>
      <c r="M278" s="62" t="n">
        <v>0</v>
      </c>
      <c r="N278" s="9" t="inlineStr">
        <is>
          <t>Amazon link not found</t>
        </is>
      </c>
      <c r="O278" s="62">
        <f>IF(N278="Selling pet toys + Artificial grass/Pet toilets (TARGET)",15,IF(N278="Selling artificial grass/pet toilets (TARGET)",10,IF(N278="Selling pet toys",7,IF(N278="There's an Amazon link, but no target sales.",3,0))))</f>
        <v/>
      </c>
      <c r="P278" s="67">
        <f>H278+J278+L278+M278+O278</f>
        <v/>
      </c>
      <c r="Q278" s="70" t="inlineStr">
        <is>
          <t>Excluded: Trang Chung / Không rõ Ngách Cún cưng</t>
        </is>
      </c>
      <c r="R278" s="9" t="inlineStr">
        <is>
          <t>Khay vệ sinh chung cư (Indoor Potty) + Thảm cỏ ban công (Grass Patch) + Đồ chơi</t>
        </is>
      </c>
      <c r="S278" s="9" t="inlineStr">
        <is>
          <t>Tuyệt đối không đưa vào CRM (Vi phạm Bộ lọc Âm tính Mục 5)</t>
        </is>
      </c>
    </row>
    <row r="279">
      <c r="A279" s="53" t="n">
        <v>5555</v>
      </c>
      <c r="B279" s="12" t="inlineStr">
        <is>
          <t>The Aligned Clinic</t>
        </is>
      </c>
      <c r="C279" s="54" t="inlineStr">
        <is>
          <t>https://www.facebook.com/profile.php?id=100084840087398</t>
        </is>
      </c>
      <c r="D279" s="6" t="inlineStr">
        <is>
          <t>Cần quét Bio Fanpage</t>
        </is>
      </c>
      <c r="E279" s="53" t="inlineStr">
        <is>
          <t>13/10/2026 08:00:35</t>
        </is>
      </c>
      <c r="F279" s="53" t="inlineStr">
        <is>
          <t>2 giờ trước</t>
        </is>
      </c>
      <c r="G279" s="55" t="n">
        <v>0.08</v>
      </c>
      <c r="H279" s="56" t="n">
        <v>35</v>
      </c>
      <c r="I279" s="6" t="inlineStr">
        <is>
          <t>Pet Owner / Cộng đồng nuôi cún (10đ)</t>
        </is>
      </c>
      <c r="J279" s="56" t="n">
        <v>10</v>
      </c>
      <c r="K279" s="6" t="inlineStr">
        <is>
          <t>Chưa rõ giống (Cần quét Bio)</t>
        </is>
      </c>
      <c r="L279" s="56" t="n">
        <v>0</v>
      </c>
      <c r="M279" s="56" t="n">
        <v>0</v>
      </c>
      <c r="N279" s="6" t="inlineStr">
        <is>
          <t>Amazon link not found</t>
        </is>
      </c>
      <c r="O279" s="56">
        <f>IF(N279="Selling pet toys + Artificial grass/Pet toilets (TARGET)",15,IF(N279="Selling artificial grass/pet toilets (TARGET)",10,IF(N279="Selling pet toys",7,IF(N279="There's an Amazon link, but no target sales.",3,0))))</f>
        <v/>
      </c>
      <c r="P279" s="65">
        <f>H279+J279+L279+M279+O279</f>
        <v/>
      </c>
      <c r="Q279" s="71" t="inlineStr">
        <is>
          <t>Excluded: Trang Chung / Không rõ Ngách Cún cưng</t>
        </is>
      </c>
      <c r="R279" s="6" t="inlineStr">
        <is>
          <t>Khay vệ sinh chung cư (Indoor Potty) + Thảm cỏ ban công (Grass Patch) + Đồ chơi</t>
        </is>
      </c>
      <c r="S279" s="6" t="inlineStr">
        <is>
          <t>Tuyệt đối không đưa vào CRM (Vi phạm Bộ lọc Âm tính Mục 5)</t>
        </is>
      </c>
    </row>
    <row r="280">
      <c r="A280" s="59" t="n">
        <v>4063</v>
      </c>
      <c r="B280" s="15" t="inlineStr">
        <is>
          <t>Hairsmith Clinic</t>
        </is>
      </c>
      <c r="C280" s="60" t="inlineStr">
        <is>
          <t>https://www.facebook.com/hairsmithclinic</t>
        </is>
      </c>
      <c r="D280" s="9" t="inlineStr">
        <is>
          <t>Cần quét Bio Fanpage</t>
        </is>
      </c>
      <c r="E280" s="59" t="inlineStr">
        <is>
          <t>13/10/2026 08:00:25</t>
        </is>
      </c>
      <c r="F280" s="59" t="inlineStr">
        <is>
          <t>14 phút trước</t>
        </is>
      </c>
      <c r="G280" s="61" t="n">
        <v>0.01</v>
      </c>
      <c r="H280" s="62" t="n">
        <v>35</v>
      </c>
      <c r="I280" s="9" t="inlineStr">
        <is>
          <t>Pet Owner / Cộng đồng nuôi cún (10đ)</t>
        </is>
      </c>
      <c r="J280" s="62" t="n">
        <v>10</v>
      </c>
      <c r="K280" s="9" t="inlineStr">
        <is>
          <t>Chưa rõ giống (Cần quét Bio)</t>
        </is>
      </c>
      <c r="L280" s="62" t="n">
        <v>0</v>
      </c>
      <c r="M280" s="62" t="n">
        <v>0</v>
      </c>
      <c r="N280" s="9" t="inlineStr">
        <is>
          <t>Amazon link not found</t>
        </is>
      </c>
      <c r="O280" s="62">
        <f>IF(N280="Selling pet toys + Artificial grass/Pet toilets (TARGET)",15,IF(N280="Selling artificial grass/pet toilets (TARGET)",10,IF(N280="Selling pet toys",7,IF(N280="There's an Amazon link, but no target sales.",3,0))))</f>
        <v/>
      </c>
      <c r="P280" s="67">
        <f>H280+J280+L280+M280+O280</f>
        <v/>
      </c>
      <c r="Q280" s="70" t="inlineStr">
        <is>
          <t>Excluded: Trang Chung / Không rõ Ngách Cún cưng</t>
        </is>
      </c>
      <c r="R280" s="9" t="inlineStr">
        <is>
          <t>Khay vệ sinh chung cư (Indoor Potty) + Thảm cỏ ban công (Grass Patch) + Đồ chơi</t>
        </is>
      </c>
      <c r="S280" s="9" t="inlineStr">
        <is>
          <t>Tuyệt đối không đưa vào CRM (Vi phạm Bộ lọc Âm tính Mục 5)</t>
        </is>
      </c>
    </row>
    <row r="281">
      <c r="A281" s="53" t="n">
        <v>4773</v>
      </c>
      <c r="B281" s="12" t="inlineStr">
        <is>
          <t>TheeSingingBarber</t>
        </is>
      </c>
      <c r="C281" s="54" t="inlineStr">
        <is>
          <t>https://www.facebook.com/TheeSingingBarber</t>
        </is>
      </c>
      <c r="D281" s="6" t="inlineStr">
        <is>
          <t>Cần quét Bio Fanpage</t>
        </is>
      </c>
      <c r="E281" s="53" t="inlineStr">
        <is>
          <t>13/10/2026 07:53:19</t>
        </is>
      </c>
      <c r="F281" s="53" t="inlineStr">
        <is>
          <t>1 giờ trước</t>
        </is>
      </c>
      <c r="G281" s="55" t="n">
        <v>0.04</v>
      </c>
      <c r="H281" s="56" t="n">
        <v>35</v>
      </c>
      <c r="I281" s="6" t="inlineStr">
        <is>
          <t>Pet Owner / Cộng đồng nuôi cún (10đ)</t>
        </is>
      </c>
      <c r="J281" s="56" t="n">
        <v>10</v>
      </c>
      <c r="K281" s="6" t="inlineStr">
        <is>
          <t>Chưa rõ giống (Cần quét Bio)</t>
        </is>
      </c>
      <c r="L281" s="56" t="n">
        <v>0</v>
      </c>
      <c r="M281" s="56" t="n">
        <v>0</v>
      </c>
      <c r="N281" s="6" t="inlineStr">
        <is>
          <t>Amazon link not found</t>
        </is>
      </c>
      <c r="O281" s="56">
        <f>IF(N281="Selling pet toys + Artificial grass/Pet toilets (TARGET)",15,IF(N281="Selling artificial grass/pet toilets (TARGET)",10,IF(N281="Selling pet toys",7,IF(N281="There's an Amazon link, but no target sales.",3,0))))</f>
        <v/>
      </c>
      <c r="P281" s="65">
        <f>H281+J281+L281+M281+O281</f>
        <v/>
      </c>
      <c r="Q281" s="71" t="inlineStr">
        <is>
          <t>Excluded: Trang Chung / Không rõ Ngách Cún cưng</t>
        </is>
      </c>
      <c r="R281" s="6" t="inlineStr">
        <is>
          <t>Khay vệ sinh chung cư (Indoor Potty) + Thảm cỏ ban công (Grass Patch) + Đồ chơi</t>
        </is>
      </c>
      <c r="S281" s="6" t="inlineStr">
        <is>
          <t>Tuyệt đối không đưa vào CRM (Vi phạm Bộ lọc Âm tính Mục 5)</t>
        </is>
      </c>
    </row>
    <row r="282">
      <c r="A282" s="59" t="n">
        <v>3820</v>
      </c>
      <c r="B282" s="15" t="inlineStr">
        <is>
          <t>TheFarmersAlmanac</t>
        </is>
      </c>
      <c r="C282" s="60" t="inlineStr">
        <is>
          <t>https://www.facebook.com/TheFarmersAlmanac</t>
        </is>
      </c>
      <c r="D282" s="9" t="inlineStr">
        <is>
          <t>Cần quét Bio Fanpage</t>
        </is>
      </c>
      <c r="E282" s="59" t="inlineStr">
        <is>
          <t>13/10/2026 07:42:47</t>
        </is>
      </c>
      <c r="F282" s="59" t="inlineStr">
        <is>
          <t>5 phút trước</t>
        </is>
      </c>
      <c r="G282" s="61" t="n">
        <v>0</v>
      </c>
      <c r="H282" s="62" t="n">
        <v>35</v>
      </c>
      <c r="I282" s="9" t="inlineStr">
        <is>
          <t>Pet Owner / Cộng đồng nuôi cún (10đ)</t>
        </is>
      </c>
      <c r="J282" s="62" t="n">
        <v>10</v>
      </c>
      <c r="K282" s="9" t="inlineStr">
        <is>
          <t>Chưa rõ giống (Cần quét Bio)</t>
        </is>
      </c>
      <c r="L282" s="62" t="n">
        <v>0</v>
      </c>
      <c r="M282" s="62" t="n">
        <v>0</v>
      </c>
      <c r="N282" s="9" t="inlineStr">
        <is>
          <t>Amazon link not found</t>
        </is>
      </c>
      <c r="O282" s="62">
        <f>IF(N282="Selling pet toys + Artificial grass/Pet toilets (TARGET)",15,IF(N282="Selling artificial grass/pet toilets (TARGET)",10,IF(N282="Selling pet toys",7,IF(N282="There's an Amazon link, but no target sales.",3,0))))</f>
        <v/>
      </c>
      <c r="P282" s="67">
        <f>H282+J282+L282+M282+O282</f>
        <v/>
      </c>
      <c r="Q282" s="70" t="inlineStr">
        <is>
          <t>Excluded: Trang Chung / Không rõ Ngách Cún cưng</t>
        </is>
      </c>
      <c r="R282" s="9" t="inlineStr">
        <is>
          <t>Khay vệ sinh chung cư (Indoor Potty) + Thảm cỏ ban công (Grass Patch) + Đồ chơi</t>
        </is>
      </c>
      <c r="S282" s="9" t="inlineStr">
        <is>
          <t>Tuyệt đối không đưa vào CRM (Vi phạm Bộ lọc Âm tính Mục 5)</t>
        </is>
      </c>
    </row>
    <row r="283">
      <c r="A283" s="53" t="n">
        <v>4304</v>
      </c>
      <c r="B283" s="12" t="inlineStr">
        <is>
          <t>Ka Farmer PH</t>
        </is>
      </c>
      <c r="C283" s="54" t="inlineStr">
        <is>
          <t>https://www.facebook.com/profile.php?id=61576535632178</t>
        </is>
      </c>
      <c r="D283" s="6" t="inlineStr">
        <is>
          <t>Cần quét Bio Fanpage</t>
        </is>
      </c>
      <c r="E283" s="53" t="inlineStr">
        <is>
          <t>13/10/2026 07:42:10</t>
        </is>
      </c>
      <c r="F283" s="53" t="inlineStr">
        <is>
          <t>58 phút trước</t>
        </is>
      </c>
      <c r="G283" s="55" t="n">
        <v>0.04</v>
      </c>
      <c r="H283" s="56" t="n">
        <v>35</v>
      </c>
      <c r="I283" s="6" t="inlineStr">
        <is>
          <t>Pet Owner / Cộng đồng nuôi cún (10đ)</t>
        </is>
      </c>
      <c r="J283" s="56" t="n">
        <v>10</v>
      </c>
      <c r="K283" s="6" t="inlineStr">
        <is>
          <t>Chưa rõ giống (Cần quét Bio)</t>
        </is>
      </c>
      <c r="L283" s="56" t="n">
        <v>0</v>
      </c>
      <c r="M283" s="56" t="n">
        <v>0</v>
      </c>
      <c r="N283" s="6" t="inlineStr">
        <is>
          <t>Amazon link not found</t>
        </is>
      </c>
      <c r="O283" s="56">
        <f>IF(N283="Selling pet toys + Artificial grass/Pet toilets (TARGET)",15,IF(N283="Selling artificial grass/pet toilets (TARGET)",10,IF(N283="Selling pet toys",7,IF(N283="There's an Amazon link, but no target sales.",3,0))))</f>
        <v/>
      </c>
      <c r="P283" s="65">
        <f>H283+J283+L283+M283+O283</f>
        <v/>
      </c>
      <c r="Q283" s="71" t="inlineStr">
        <is>
          <t>Excluded: Trang Chung / Không rõ Ngách Cún cưng</t>
        </is>
      </c>
      <c r="R283" s="6" t="inlineStr">
        <is>
          <t>Khay vệ sinh chung cư (Indoor Potty) + Thảm cỏ ban công (Grass Patch) + Đồ chơi</t>
        </is>
      </c>
      <c r="S283" s="6" t="inlineStr">
        <is>
          <t>Tuyệt đối không đưa vào CRM (Vi phạm Bộ lọc Âm tính Mục 5)</t>
        </is>
      </c>
    </row>
    <row r="284">
      <c r="A284" s="59" t="n">
        <v>4969</v>
      </c>
      <c r="B284" s="15" t="inlineStr">
        <is>
          <t>fosterdadflipper</t>
        </is>
      </c>
      <c r="C284" s="60" t="inlineStr">
        <is>
          <t>https://www.facebook.com/fosterdadflipper</t>
        </is>
      </c>
      <c r="D284" s="9" t="inlineStr">
        <is>
          <t>Cần quét Bio Fanpage</t>
        </is>
      </c>
      <c r="E284" s="59" t="inlineStr">
        <is>
          <t>13/10/2026 07:41:06</t>
        </is>
      </c>
      <c r="F284" s="59" t="inlineStr">
        <is>
          <t>2 giờ trước</t>
        </is>
      </c>
      <c r="G284" s="61" t="n">
        <v>0.08</v>
      </c>
      <c r="H284" s="62" t="n">
        <v>35</v>
      </c>
      <c r="I284" s="9" t="inlineStr">
        <is>
          <t>Pet Owner / Cộng đồng nuôi cún (10đ)</t>
        </is>
      </c>
      <c r="J284" s="62" t="n">
        <v>10</v>
      </c>
      <c r="K284" s="9" t="inlineStr">
        <is>
          <t>Chưa rõ giống (Cần quét Bio)</t>
        </is>
      </c>
      <c r="L284" s="62" t="n">
        <v>0</v>
      </c>
      <c r="M284" s="62" t="n">
        <v>0</v>
      </c>
      <c r="N284" s="9" t="inlineStr">
        <is>
          <t>Amazon link not found</t>
        </is>
      </c>
      <c r="O284" s="62">
        <f>IF(N284="Selling pet toys + Artificial grass/Pet toilets (TARGET)",15,IF(N284="Selling artificial grass/pet toilets (TARGET)",10,IF(N284="Selling pet toys",7,IF(N284="There's an Amazon link, but no target sales.",3,0))))</f>
        <v/>
      </c>
      <c r="P284" s="67">
        <f>H284+J284+L284+M284+O284</f>
        <v/>
      </c>
      <c r="Q284" s="70" t="inlineStr">
        <is>
          <t>Excluded: Trang Chung / Không rõ Ngách Cún cưng</t>
        </is>
      </c>
      <c r="R284" s="9" t="inlineStr">
        <is>
          <t>Khay vệ sinh chung cư (Indoor Potty) + Thảm cỏ ban công (Grass Patch) + Đồ chơi</t>
        </is>
      </c>
      <c r="S284" s="9" t="inlineStr">
        <is>
          <t>Tuyệt đối không đưa vào CRM (Vi phạm Bộ lọc Âm tính Mục 5)</t>
        </is>
      </c>
    </row>
    <row r="285">
      <c r="A285" s="53" t="n">
        <v>5679</v>
      </c>
      <c r="B285" s="12" t="inlineStr">
        <is>
          <t>Toni Farmer’s Garden</t>
        </is>
      </c>
      <c r="C285" s="54" t="inlineStr">
        <is>
          <t>https://www.facebook.com/profile.php?id=100063617346642</t>
        </is>
      </c>
      <c r="D285" s="6" t="inlineStr">
        <is>
          <t>Cần quét Bio Fanpage</t>
        </is>
      </c>
      <c r="E285" s="53" t="inlineStr">
        <is>
          <t>13/10/2026 07:22:18</t>
        </is>
      </c>
      <c r="F285" s="53" t="inlineStr">
        <is>
          <t>3 giờ trước</t>
        </is>
      </c>
      <c r="G285" s="55" t="n">
        <v>0.12</v>
      </c>
      <c r="H285" s="56" t="n">
        <v>35</v>
      </c>
      <c r="I285" s="6" t="inlineStr">
        <is>
          <t>Pet Owner / Cộng đồng nuôi cún (10đ)</t>
        </is>
      </c>
      <c r="J285" s="56" t="n">
        <v>10</v>
      </c>
      <c r="K285" s="6" t="inlineStr">
        <is>
          <t>Chưa rõ giống (Cần quét Bio)</t>
        </is>
      </c>
      <c r="L285" s="56" t="n">
        <v>0</v>
      </c>
      <c r="M285" s="56" t="n">
        <v>0</v>
      </c>
      <c r="N285" s="6" t="inlineStr">
        <is>
          <t>Amazon link not found</t>
        </is>
      </c>
      <c r="O285" s="56">
        <f>IF(N285="Selling pet toys + Artificial grass/Pet toilets (TARGET)",15,IF(N285="Selling artificial grass/pet toilets (TARGET)",10,IF(N285="Selling pet toys",7,IF(N285="There's an Amazon link, but no target sales.",3,0))))</f>
        <v/>
      </c>
      <c r="P285" s="65">
        <f>H285+J285+L285+M285+O285</f>
        <v/>
      </c>
      <c r="Q285" s="71" t="inlineStr">
        <is>
          <t>Excluded: Trang Chung / Không rõ Ngách Cún cưng</t>
        </is>
      </c>
      <c r="R285" s="6" t="inlineStr">
        <is>
          <t>Khay vệ sinh chung cư (Indoor Potty) + Thảm cỏ ban công (Grass Patch) + Đồ chơi</t>
        </is>
      </c>
      <c r="S285" s="6" t="inlineStr">
        <is>
          <t>Tuyệt đối không đưa vào CRM (Vi phạm Bộ lọc Âm tính Mục 5)</t>
        </is>
      </c>
    </row>
    <row r="286">
      <c r="A286" s="59" t="n">
        <v>3841</v>
      </c>
      <c r="B286" s="15" t="inlineStr">
        <is>
          <t>Facebook User</t>
        </is>
      </c>
      <c r="C286" s="60" t="inlineStr">
        <is>
          <t>https://www.facebook.com/profile.php?id=61584338726411</t>
        </is>
      </c>
      <c r="D286" s="9" t="inlineStr">
        <is>
          <t>Cần quét Bio Fanpage</t>
        </is>
      </c>
      <c r="E286" s="59" t="inlineStr">
        <is>
          <t>13/10/2026 07:15:26</t>
        </is>
      </c>
      <c r="F286" s="59" t="inlineStr">
        <is>
          <t>35 phút trước</t>
        </is>
      </c>
      <c r="G286" s="61" t="n">
        <v>0.02</v>
      </c>
      <c r="H286" s="62" t="n">
        <v>35</v>
      </c>
      <c r="I286" s="9" t="inlineStr">
        <is>
          <t>Pet Owner / Cộng đồng nuôi cún (10đ)</t>
        </is>
      </c>
      <c r="J286" s="62" t="n">
        <v>10</v>
      </c>
      <c r="K286" s="9" t="inlineStr">
        <is>
          <t>Chưa rõ giống (Cần quét Bio)</t>
        </is>
      </c>
      <c r="L286" s="62" t="n">
        <v>0</v>
      </c>
      <c r="M286" s="62" t="n">
        <v>0</v>
      </c>
      <c r="N286" s="9" t="inlineStr">
        <is>
          <t>Amazon link not found</t>
        </is>
      </c>
      <c r="O286" s="62">
        <f>IF(N286="Selling pet toys + Artificial grass/Pet toilets (TARGET)",15,IF(N286="Selling artificial grass/pet toilets (TARGET)",10,IF(N286="Selling pet toys",7,IF(N286="There's an Amazon link, but no target sales.",3,0))))</f>
        <v/>
      </c>
      <c r="P286" s="67">
        <f>H286+J286+L286+M286+O286</f>
        <v/>
      </c>
      <c r="Q286" s="70" t="inlineStr">
        <is>
          <t>Excluded: Hồ sơ Ẩn danh (Facebook User)</t>
        </is>
      </c>
      <c r="R286" s="9" t="inlineStr">
        <is>
          <t>Khay vệ sinh chung cư (Indoor Potty) + Thảm cỏ ban công (Grass Patch) + Đồ chơi</t>
        </is>
      </c>
      <c r="S286" s="9" t="inlineStr">
        <is>
          <t>Tuyệt đối không đưa vào CRM (Vi phạm Bộ lọc Âm tính Mục 5)</t>
        </is>
      </c>
    </row>
    <row r="287">
      <c r="A287" s="53" t="n">
        <v>4747</v>
      </c>
      <c r="B287" s="12" t="inlineStr">
        <is>
          <t>NCStateVetMed</t>
        </is>
      </c>
      <c r="C287" s="54" t="inlineStr">
        <is>
          <t>https://www.facebook.com/NCStateVetMed</t>
        </is>
      </c>
      <c r="D287" s="6" t="inlineStr">
        <is>
          <t>Cần quét Bio Fanpage</t>
        </is>
      </c>
      <c r="E287" s="53" t="inlineStr">
        <is>
          <t>13/10/2026 07:01:47</t>
        </is>
      </c>
      <c r="F287" s="53" t="inlineStr">
        <is>
          <t>2 giờ trước</t>
        </is>
      </c>
      <c r="G287" s="55" t="n">
        <v>0.08</v>
      </c>
      <c r="H287" s="56" t="n">
        <v>35</v>
      </c>
      <c r="I287" s="6" t="inlineStr">
        <is>
          <t>Pet Owner / Cộng đồng nuôi cún (10đ)</t>
        </is>
      </c>
      <c r="J287" s="56" t="n">
        <v>10</v>
      </c>
      <c r="K287" s="6" t="inlineStr">
        <is>
          <t>Chưa rõ giống (Cần quét Bio)</t>
        </is>
      </c>
      <c r="L287" s="56" t="n">
        <v>0</v>
      </c>
      <c r="M287" s="56" t="n">
        <v>0</v>
      </c>
      <c r="N287" s="6" t="inlineStr">
        <is>
          <t>Amazon link not found</t>
        </is>
      </c>
      <c r="O287" s="56">
        <f>IF(N287="Selling pet toys + Artificial grass/Pet toilets (TARGET)",15,IF(N287="Selling artificial grass/pet toilets (TARGET)",10,IF(N287="Selling pet toys",7,IF(N287="There's an Amazon link, but no target sales.",3,0))))</f>
        <v/>
      </c>
      <c r="P287" s="65">
        <f>H287+J287+L287+M287+O287</f>
        <v/>
      </c>
      <c r="Q287" s="71" t="inlineStr">
        <is>
          <t>Excluded: Trang Chung / Không rõ Ngách Cún cưng</t>
        </is>
      </c>
      <c r="R287" s="6" t="inlineStr">
        <is>
          <t>Khay vệ sinh chung cư (Indoor Potty) + Thảm cỏ ban công (Grass Patch) + Đồ chơi</t>
        </is>
      </c>
      <c r="S287" s="6" t="inlineStr">
        <is>
          <t>Tuyệt đối không đưa vào CRM (Vi phạm Bộ lọc Âm tính Mục 5)</t>
        </is>
      </c>
    </row>
    <row r="288">
      <c r="A288" s="59" t="n">
        <v>3946</v>
      </c>
      <c r="B288" s="15" t="inlineStr">
        <is>
          <t>Fundación de Blanck. Protección Animal RD</t>
        </is>
      </c>
      <c r="C288" s="60" t="inlineStr">
        <is>
          <t>https://www.facebook.com/FundacionDeBlanckProteccionAnimal</t>
        </is>
      </c>
      <c r="D288" s="9" t="inlineStr">
        <is>
          <t>Cần quét Bio Fanpage</t>
        </is>
      </c>
      <c r="E288" s="59" t="inlineStr">
        <is>
          <t>13/10/2026 06:12:22</t>
        </is>
      </c>
      <c r="F288" s="59" t="inlineStr">
        <is>
          <t>1 giờ trước</t>
        </is>
      </c>
      <c r="G288" s="61" t="n">
        <v>0.04</v>
      </c>
      <c r="H288" s="62" t="n">
        <v>35</v>
      </c>
      <c r="I288" s="9" t="inlineStr">
        <is>
          <t>Pet Owner / Cộng đồng nuôi cún (10đ)</t>
        </is>
      </c>
      <c r="J288" s="62" t="n">
        <v>10</v>
      </c>
      <c r="K288" s="9" t="inlineStr">
        <is>
          <t>Chưa rõ giống (Cần quét Bio)</t>
        </is>
      </c>
      <c r="L288" s="62" t="n">
        <v>0</v>
      </c>
      <c r="M288" s="62" t="n">
        <v>0</v>
      </c>
      <c r="N288" s="9" t="inlineStr">
        <is>
          <t>Amazon link not found</t>
        </is>
      </c>
      <c r="O288" s="62">
        <f>IF(N288="Selling pet toys + Artificial grass/Pet toilets (TARGET)",15,IF(N288="Selling artificial grass/pet toilets (TARGET)",10,IF(N288="Selling pet toys",7,IF(N288="There's an Amazon link, but no target sales.",3,0))))</f>
        <v/>
      </c>
      <c r="P288" s="67">
        <f>H288+J288+L288+M288+O288</f>
        <v/>
      </c>
      <c r="Q288" s="70" t="inlineStr">
        <is>
          <t>Excluded: Trang Chung / Không rõ Ngách Cún cưng</t>
        </is>
      </c>
      <c r="R288" s="9" t="inlineStr">
        <is>
          <t>Khay vệ sinh chung cư (Indoor Potty) + Thảm cỏ ban công (Grass Patch) + Đồ chơi</t>
        </is>
      </c>
      <c r="S288" s="9" t="inlineStr">
        <is>
          <t>Tuyệt đối không đưa vào CRM (Vi phạm Bộ lọc Âm tính Mục 5)</t>
        </is>
      </c>
    </row>
    <row r="289">
      <c r="A289" s="53" t="n">
        <v>4774</v>
      </c>
      <c r="B289" s="12" t="inlineStr">
        <is>
          <t>Noahs Crossing- Vet</t>
        </is>
      </c>
      <c r="C289" s="54" t="inlineStr">
        <is>
          <t>https://www.facebook.com/noahs.crossingvet</t>
        </is>
      </c>
      <c r="D289" s="6" t="inlineStr">
        <is>
          <t>Cần quét Bio Fanpage</t>
        </is>
      </c>
      <c r="E289" s="53" t="inlineStr">
        <is>
          <t>13/10/2026 06:10:52</t>
        </is>
      </c>
      <c r="F289" s="53" t="inlineStr">
        <is>
          <t>3 giờ trước</t>
        </is>
      </c>
      <c r="G289" s="55" t="n">
        <v>0.12</v>
      </c>
      <c r="H289" s="56" t="n">
        <v>35</v>
      </c>
      <c r="I289" s="6" t="inlineStr">
        <is>
          <t>Pet Owner / Cộng đồng nuôi cún (10đ)</t>
        </is>
      </c>
      <c r="J289" s="56" t="n">
        <v>10</v>
      </c>
      <c r="K289" s="6" t="inlineStr">
        <is>
          <t>Chưa rõ giống (Cần quét Bio)</t>
        </is>
      </c>
      <c r="L289" s="56" t="n">
        <v>0</v>
      </c>
      <c r="M289" s="56" t="n">
        <v>0</v>
      </c>
      <c r="N289" s="6" t="inlineStr">
        <is>
          <t>Amazon link not found</t>
        </is>
      </c>
      <c r="O289" s="56">
        <f>IF(N289="Selling pet toys + Artificial grass/Pet toilets (TARGET)",15,IF(N289="Selling artificial grass/pet toilets (TARGET)",10,IF(N289="Selling pet toys",7,IF(N289="There's an Amazon link, but no target sales.",3,0))))</f>
        <v/>
      </c>
      <c r="P289" s="65">
        <f>H289+J289+L289+M289+O289</f>
        <v/>
      </c>
      <c r="Q289" s="71" t="inlineStr">
        <is>
          <t>Excluded: Trang Chung / Không rõ Ngách Cún cưng</t>
        </is>
      </c>
      <c r="R289" s="6" t="inlineStr">
        <is>
          <t>Khay vệ sinh chung cư (Indoor Potty) + Thảm cỏ ban công (Grass Patch) + Đồ chơi</t>
        </is>
      </c>
      <c r="S289" s="6" t="inlineStr">
        <is>
          <t>Tuyệt đối không đưa vào CRM (Vi phạm Bộ lọc Âm tính Mục 5)</t>
        </is>
      </c>
    </row>
    <row r="290">
      <c r="A290" s="59" t="n">
        <v>3269</v>
      </c>
      <c r="B290" s="15" t="inlineStr">
        <is>
          <t>University of Tennessee College of Veterinary Medicine</t>
        </is>
      </c>
      <c r="C290" s="60" t="inlineStr">
        <is>
          <t>https://www.facebook.com/UTCVM</t>
        </is>
      </c>
      <c r="D290" s="9" t="inlineStr">
        <is>
          <t>Cần quét Bio Fanpage</t>
        </is>
      </c>
      <c r="E290" s="59" t="inlineStr">
        <is>
          <t>13/10/2026 06:02:53</t>
        </is>
      </c>
      <c r="F290" s="59" t="inlineStr">
        <is>
          <t>45 phút trước</t>
        </is>
      </c>
      <c r="G290" s="61" t="n">
        <v>0.03</v>
      </c>
      <c r="H290" s="62" t="n">
        <v>35</v>
      </c>
      <c r="I290" s="9" t="inlineStr">
        <is>
          <t>Pet Owner / Cộng đồng nuôi cún (10đ)</t>
        </is>
      </c>
      <c r="J290" s="62" t="n">
        <v>10</v>
      </c>
      <c r="K290" s="9" t="inlineStr">
        <is>
          <t>Chưa rõ giống (Cần quét Bio)</t>
        </is>
      </c>
      <c r="L290" s="62" t="n">
        <v>0</v>
      </c>
      <c r="M290" s="62" t="n">
        <v>0</v>
      </c>
      <c r="N290" s="9" t="inlineStr">
        <is>
          <t>Amazon link not found</t>
        </is>
      </c>
      <c r="O290" s="62">
        <f>IF(N290="Selling pet toys + Artificial grass/Pet toilets (TARGET)",15,IF(N290="Selling artificial grass/pet toilets (TARGET)",10,IF(N290="Selling pet toys",7,IF(N290="There's an Amazon link, but no target sales.",3,0))))</f>
        <v/>
      </c>
      <c r="P290" s="67">
        <f>H290+J290+L290+M290+O290</f>
        <v/>
      </c>
      <c r="Q290" s="70" t="inlineStr">
        <is>
          <t>Excluded: Công ty Gen DNA &amp; Thú y (Mục 5.4)</t>
        </is>
      </c>
      <c r="R290" s="9" t="inlineStr">
        <is>
          <t>Khay vệ sinh chung cư (Indoor Potty) + Thảm cỏ ban công (Grass Patch) + Đồ chơi</t>
        </is>
      </c>
      <c r="S290" s="9" t="inlineStr">
        <is>
          <t>Tuyệt đối không đưa vào CRM (Vi phạm Bộ lọc Âm tính Mục 5)</t>
        </is>
      </c>
    </row>
    <row r="291">
      <c r="A291" s="53" t="n">
        <v>4786</v>
      </c>
      <c r="B291" s="12" t="inlineStr">
        <is>
          <t>theanimalleague</t>
        </is>
      </c>
      <c r="C291" s="54" t="inlineStr">
        <is>
          <t>https://www.facebook.com/theanimalleague</t>
        </is>
      </c>
      <c r="D291" s="6" t="inlineStr">
        <is>
          <t>Cần quét Bio Fanpage</t>
        </is>
      </c>
      <c r="E291" s="53" t="inlineStr">
        <is>
          <t>13/10/2026 06:02:10</t>
        </is>
      </c>
      <c r="F291" s="53" t="inlineStr">
        <is>
          <t>3 giờ trước</t>
        </is>
      </c>
      <c r="G291" s="55" t="n">
        <v>0.12</v>
      </c>
      <c r="H291" s="56" t="n">
        <v>35</v>
      </c>
      <c r="I291" s="6" t="inlineStr">
        <is>
          <t>Pet Owner / Cộng đồng nuôi cún (10đ)</t>
        </is>
      </c>
      <c r="J291" s="56" t="n">
        <v>10</v>
      </c>
      <c r="K291" s="6" t="inlineStr">
        <is>
          <t>Chưa rõ giống (Cần quét Bio)</t>
        </is>
      </c>
      <c r="L291" s="56" t="n">
        <v>0</v>
      </c>
      <c r="M291" s="56" t="n">
        <v>0</v>
      </c>
      <c r="N291" s="6" t="inlineStr">
        <is>
          <t>Amazon link not found</t>
        </is>
      </c>
      <c r="O291" s="56">
        <f>IF(N291="Selling pet toys + Artificial grass/Pet toilets (TARGET)",15,IF(N291="Selling artificial grass/pet toilets (TARGET)",10,IF(N291="Selling pet toys",7,IF(N291="There's an Amazon link, but no target sales.",3,0))))</f>
        <v/>
      </c>
      <c r="P291" s="65">
        <f>H291+J291+L291+M291+O291</f>
        <v/>
      </c>
      <c r="Q291" s="71" t="inlineStr">
        <is>
          <t>Excluded: Trang Chung / Không rõ Ngách Cún cưng</t>
        </is>
      </c>
      <c r="R291" s="6" t="inlineStr">
        <is>
          <t>Khay vệ sinh chung cư (Indoor Potty) + Thảm cỏ ban công (Grass Patch) + Đồ chơi</t>
        </is>
      </c>
      <c r="S291" s="6" t="inlineStr">
        <is>
          <t>Tuyệt đối không đưa vào CRM (Vi phạm Bộ lọc Âm tính Mục 5)</t>
        </is>
      </c>
    </row>
    <row r="292">
      <c r="A292" s="59" t="n">
        <v>3275</v>
      </c>
      <c r="B292" s="15" t="inlineStr">
        <is>
          <t>UselessFarmCanada</t>
        </is>
      </c>
      <c r="C292" s="60" t="inlineStr">
        <is>
          <t>https://www.facebook.com/UselessFarmCanada</t>
        </is>
      </c>
      <c r="D292" s="9" t="inlineStr">
        <is>
          <t>Cần quét Bio Fanpage</t>
        </is>
      </c>
      <c r="E292" s="59" t="inlineStr">
        <is>
          <t>13/10/2026 05:56:15</t>
        </is>
      </c>
      <c r="F292" s="59" t="inlineStr">
        <is>
          <t>52 phút trước</t>
        </is>
      </c>
      <c r="G292" s="61" t="n">
        <v>0.04</v>
      </c>
      <c r="H292" s="62" t="n">
        <v>35</v>
      </c>
      <c r="I292" s="9" t="inlineStr">
        <is>
          <t>Pet Owner / Cộng đồng nuôi cún (10đ)</t>
        </is>
      </c>
      <c r="J292" s="62" t="n">
        <v>10</v>
      </c>
      <c r="K292" s="9" t="inlineStr">
        <is>
          <t>Chưa rõ giống (Cần quét Bio)</t>
        </is>
      </c>
      <c r="L292" s="62" t="n">
        <v>0</v>
      </c>
      <c r="M292" s="62" t="n">
        <v>0</v>
      </c>
      <c r="N292" s="9" t="inlineStr">
        <is>
          <t>Amazon link not found</t>
        </is>
      </c>
      <c r="O292" s="62">
        <f>IF(N292="Selling pet toys + Artificial grass/Pet toilets (TARGET)",15,IF(N292="Selling artificial grass/pet toilets (TARGET)",10,IF(N292="Selling pet toys",7,IF(N292="There's an Amazon link, but no target sales.",3,0))))</f>
        <v/>
      </c>
      <c r="P292" s="67">
        <f>H292+J292+L292+M292+O292</f>
        <v/>
      </c>
      <c r="Q292" s="70" t="inlineStr">
        <is>
          <t>Excluded: Trang Chung / Không rõ Ngách Cún cưng</t>
        </is>
      </c>
      <c r="R292" s="9" t="inlineStr">
        <is>
          <t>Khay vệ sinh chung cư (Indoor Potty) + Thảm cỏ ban công (Grass Patch) + Đồ chơi</t>
        </is>
      </c>
      <c r="S292" s="9" t="inlineStr">
        <is>
          <t>Tuyệt đối không đưa vào CRM (Vi phạm Bộ lọc Âm tính Mục 5)</t>
        </is>
      </c>
    </row>
    <row r="293">
      <c r="A293" s="53" t="n">
        <v>3828</v>
      </c>
      <c r="B293" s="12" t="inlineStr">
        <is>
          <t>FarmtruckandAzn</t>
        </is>
      </c>
      <c r="C293" s="54" t="inlineStr">
        <is>
          <t>https://www.facebook.com/FarmtruckandAzn</t>
        </is>
      </c>
      <c r="D293" s="6" t="inlineStr">
        <is>
          <t>Cần quét Bio Fanpage</t>
        </is>
      </c>
      <c r="E293" s="53" t="inlineStr">
        <is>
          <t>13/10/2026 05:55:56</t>
        </is>
      </c>
      <c r="F293" s="53" t="inlineStr">
        <is>
          <t>1 giờ trước</t>
        </is>
      </c>
      <c r="G293" s="55" t="n">
        <v>0.04</v>
      </c>
      <c r="H293" s="56" t="n">
        <v>35</v>
      </c>
      <c r="I293" s="6" t="inlineStr">
        <is>
          <t>Pet Owner / Cộng đồng nuôi cún (10đ)</t>
        </is>
      </c>
      <c r="J293" s="56" t="n">
        <v>10</v>
      </c>
      <c r="K293" s="6" t="inlineStr">
        <is>
          <t>Chưa rõ giống (Cần quét Bio)</t>
        </is>
      </c>
      <c r="L293" s="56" t="n">
        <v>0</v>
      </c>
      <c r="M293" s="56" t="n">
        <v>0</v>
      </c>
      <c r="N293" s="6" t="inlineStr">
        <is>
          <t>Amazon link not found</t>
        </is>
      </c>
      <c r="O293" s="56">
        <f>IF(N293="Selling pet toys + Artificial grass/Pet toilets (TARGET)",15,IF(N293="Selling artificial grass/pet toilets (TARGET)",10,IF(N293="Selling pet toys",7,IF(N293="There's an Amazon link, but no target sales.",3,0))))</f>
        <v/>
      </c>
      <c r="P293" s="65">
        <f>H293+J293+L293+M293+O293</f>
        <v/>
      </c>
      <c r="Q293" s="71" t="inlineStr">
        <is>
          <t>Excluded: Trang Chung / Không rõ Ngách Cún cưng</t>
        </is>
      </c>
      <c r="R293" s="6" t="inlineStr">
        <is>
          <t>Khay vệ sinh chung cư (Indoor Potty) + Thảm cỏ ban công (Grass Patch) + Đồ chơi</t>
        </is>
      </c>
      <c r="S293" s="6" t="inlineStr">
        <is>
          <t>Tuyệt đối không đưa vào CRM (Vi phạm Bộ lọc Âm tính Mục 5)</t>
        </is>
      </c>
    </row>
    <row r="294">
      <c r="A294" s="59" t="n">
        <v>4851</v>
      </c>
      <c r="B294" s="15" t="inlineStr">
        <is>
          <t>Our Texas Farmhouse</t>
        </is>
      </c>
      <c r="C294" s="60" t="inlineStr">
        <is>
          <t>https://www.facebook.com/profile.php?id=61585868700188</t>
        </is>
      </c>
      <c r="D294" s="9" t="inlineStr">
        <is>
          <t>Cần quét Bio Fanpage</t>
        </is>
      </c>
      <c r="E294" s="59" t="inlineStr">
        <is>
          <t>13/10/2026 05:43:34</t>
        </is>
      </c>
      <c r="F294" s="59" t="inlineStr">
        <is>
          <t>3 giờ trước</t>
        </is>
      </c>
      <c r="G294" s="61" t="n">
        <v>0.12</v>
      </c>
      <c r="H294" s="62" t="n">
        <v>35</v>
      </c>
      <c r="I294" s="9" t="inlineStr">
        <is>
          <t>Pet Owner / Cộng đồng nuôi cún (10đ)</t>
        </is>
      </c>
      <c r="J294" s="62" t="n">
        <v>10</v>
      </c>
      <c r="K294" s="9" t="inlineStr">
        <is>
          <t>Chưa rõ giống (Cần quét Bio)</t>
        </is>
      </c>
      <c r="L294" s="62" t="n">
        <v>0</v>
      </c>
      <c r="M294" s="62" t="n">
        <v>0</v>
      </c>
      <c r="N294" s="9" t="inlineStr">
        <is>
          <t>Amazon link not found</t>
        </is>
      </c>
      <c r="O294" s="62">
        <f>IF(N294="Selling pet toys + Artificial grass/Pet toilets (TARGET)",15,IF(N294="Selling artificial grass/pet toilets (TARGET)",10,IF(N294="Selling pet toys",7,IF(N294="There's an Amazon link, but no target sales.",3,0))))</f>
        <v/>
      </c>
      <c r="P294" s="67">
        <f>H294+J294+L294+M294+O294</f>
        <v/>
      </c>
      <c r="Q294" s="70" t="inlineStr">
        <is>
          <t>Excluded: Trang Chung / Không rõ Ngách Cún cưng</t>
        </is>
      </c>
      <c r="R294" s="9" t="inlineStr">
        <is>
          <t>Khay vệ sinh chung cư (Indoor Potty) + Thảm cỏ ban công (Grass Patch) + Đồ chơi</t>
        </is>
      </c>
      <c r="S294" s="9" t="inlineStr">
        <is>
          <t>Tuyệt đối không đưa vào CRM (Vi phạm Bộ lọc Âm tính Mục 5)</t>
        </is>
      </c>
    </row>
    <row r="295">
      <c r="A295" s="53" t="n">
        <v>3695</v>
      </c>
      <c r="B295" s="12" t="inlineStr">
        <is>
          <t>Dr. Eduardo Nugra A - N&amp;H Vets</t>
        </is>
      </c>
      <c r="C295" s="54" t="inlineStr">
        <is>
          <t>https://www.facebook.com/dr.edunugra17</t>
        </is>
      </c>
      <c r="D295" s="6" t="inlineStr">
        <is>
          <t>Cần quét Bio Fanpage</t>
        </is>
      </c>
      <c r="E295" s="53" t="inlineStr">
        <is>
          <t>13/10/2026 05:38:17</t>
        </is>
      </c>
      <c r="F295" s="53" t="inlineStr">
        <is>
          <t>1 giờ trước</t>
        </is>
      </c>
      <c r="G295" s="55" t="n">
        <v>0.04</v>
      </c>
      <c r="H295" s="56" t="n">
        <v>35</v>
      </c>
      <c r="I295" s="6" t="inlineStr">
        <is>
          <t>Pet Owner / Cộng đồng nuôi cún (10đ)</t>
        </is>
      </c>
      <c r="J295" s="56" t="n">
        <v>10</v>
      </c>
      <c r="K295" s="6" t="inlineStr">
        <is>
          <t>Chưa rõ giống (Cần quét Bio)</t>
        </is>
      </c>
      <c r="L295" s="56" t="n">
        <v>0</v>
      </c>
      <c r="M295" s="56" t="n">
        <v>0</v>
      </c>
      <c r="N295" s="6" t="inlineStr">
        <is>
          <t>Amazon link not found</t>
        </is>
      </c>
      <c r="O295" s="56">
        <f>IF(N295="Selling pet toys + Artificial grass/Pet toilets (TARGET)",15,IF(N295="Selling artificial grass/pet toilets (TARGET)",10,IF(N295="Selling pet toys",7,IF(N295="There's an Amazon link, but no target sales.",3,0))))</f>
        <v/>
      </c>
      <c r="P295" s="65">
        <f>H295+J295+L295+M295+O295</f>
        <v/>
      </c>
      <c r="Q295" s="71" t="inlineStr">
        <is>
          <t>Excluded: Trang Chung / Không rõ Ngách Cún cưng</t>
        </is>
      </c>
      <c r="R295" s="6" t="inlineStr">
        <is>
          <t>Khay vệ sinh chung cư (Indoor Potty) + Thảm cỏ ban công (Grass Patch) + Đồ chơi</t>
        </is>
      </c>
      <c r="S295" s="6" t="inlineStr">
        <is>
          <t>Tuyệt đối không đưa vào CRM (Vi phạm Bộ lọc Âm tính Mục 5)</t>
        </is>
      </c>
    </row>
    <row r="296">
      <c r="A296" s="59" t="n">
        <v>3823</v>
      </c>
      <c r="B296" s="15" t="inlineStr">
        <is>
          <t>Farmhouse Tours</t>
        </is>
      </c>
      <c r="C296" s="60" t="inlineStr">
        <is>
          <t>https://www.facebook.com/profile.php?id=100057592234267</t>
        </is>
      </c>
      <c r="D296" s="9" t="inlineStr">
        <is>
          <t>Cần quét Bio Fanpage</t>
        </is>
      </c>
      <c r="E296" s="59" t="inlineStr">
        <is>
          <t>13/10/2026 05:02:37</t>
        </is>
      </c>
      <c r="F296" s="59" t="inlineStr">
        <is>
          <t>2 giờ trước</t>
        </is>
      </c>
      <c r="G296" s="61" t="n">
        <v>0.08</v>
      </c>
      <c r="H296" s="62" t="n">
        <v>35</v>
      </c>
      <c r="I296" s="9" t="inlineStr">
        <is>
          <t>Pet Owner / Cộng đồng nuôi cún (10đ)</t>
        </is>
      </c>
      <c r="J296" s="62" t="n">
        <v>10</v>
      </c>
      <c r="K296" s="9" t="inlineStr">
        <is>
          <t>Chưa rõ giống (Cần quét Bio)</t>
        </is>
      </c>
      <c r="L296" s="62" t="n">
        <v>0</v>
      </c>
      <c r="M296" s="62" t="n">
        <v>0</v>
      </c>
      <c r="N296" s="9" t="inlineStr">
        <is>
          <t>Amazon link not found</t>
        </is>
      </c>
      <c r="O296" s="62">
        <f>IF(N296="Selling pet toys + Artificial grass/Pet toilets (TARGET)",15,IF(N296="Selling artificial grass/pet toilets (TARGET)",10,IF(N296="Selling pet toys",7,IF(N296="There's an Amazon link, but no target sales.",3,0))))</f>
        <v/>
      </c>
      <c r="P296" s="67">
        <f>H296+J296+L296+M296+O296</f>
        <v/>
      </c>
      <c r="Q296" s="70" t="inlineStr">
        <is>
          <t>Excluded: Trang Chung / Không rõ Ngách Cún cưng</t>
        </is>
      </c>
      <c r="R296" s="9" t="inlineStr">
        <is>
          <t>Khay vệ sinh chung cư (Indoor Potty) + Thảm cỏ ban công (Grass Patch) + Đồ chơi</t>
        </is>
      </c>
      <c r="S296" s="9" t="inlineStr">
        <is>
          <t>Tuyệt đối không đưa vào CRM (Vi phạm Bộ lọc Âm tính Mục 5)</t>
        </is>
      </c>
    </row>
    <row r="297">
      <c r="A297" s="53" t="n">
        <v>3705</v>
      </c>
      <c r="B297" s="12" t="inlineStr">
        <is>
          <t>Drmurrayhospicevet</t>
        </is>
      </c>
      <c r="C297" s="54" t="inlineStr">
        <is>
          <t>https://www.facebook.com/drmurrayhospicevet</t>
        </is>
      </c>
      <c r="D297" s="6" t="inlineStr">
        <is>
          <t>Cần quét Bio Fanpage</t>
        </is>
      </c>
      <c r="E297" s="53" t="inlineStr">
        <is>
          <t>13/10/2026 05:02:10</t>
        </is>
      </c>
      <c r="F297" s="53" t="inlineStr">
        <is>
          <t>2 giờ trước</t>
        </is>
      </c>
      <c r="G297" s="55" t="n">
        <v>0.08</v>
      </c>
      <c r="H297" s="56" t="n">
        <v>35</v>
      </c>
      <c r="I297" s="6" t="inlineStr">
        <is>
          <t>Pet Owner / Cộng đồng nuôi cún (10đ)</t>
        </is>
      </c>
      <c r="J297" s="56" t="n">
        <v>10</v>
      </c>
      <c r="K297" s="6" t="inlineStr">
        <is>
          <t>Chưa rõ giống (Cần quét Bio)</t>
        </is>
      </c>
      <c r="L297" s="56" t="n">
        <v>0</v>
      </c>
      <c r="M297" s="56" t="n">
        <v>0</v>
      </c>
      <c r="N297" s="6" t="inlineStr">
        <is>
          <t>Amazon link not found</t>
        </is>
      </c>
      <c r="O297" s="56">
        <f>IF(N297="Selling pet toys + Artificial grass/Pet toilets (TARGET)",15,IF(N297="Selling artificial grass/pet toilets (TARGET)",10,IF(N297="Selling pet toys",7,IF(N297="There's an Amazon link, but no target sales.",3,0))))</f>
        <v/>
      </c>
      <c r="P297" s="65">
        <f>H297+J297+L297+M297+O297</f>
        <v/>
      </c>
      <c r="Q297" s="71" t="inlineStr">
        <is>
          <t>Excluded: Trang Chung / Không rõ Ngách Cún cưng</t>
        </is>
      </c>
      <c r="R297" s="6" t="inlineStr">
        <is>
          <t>Khay vệ sinh chung cư (Indoor Potty) + Thảm cỏ ban công (Grass Patch) + Đồ chơi</t>
        </is>
      </c>
      <c r="S297" s="6" t="inlineStr">
        <is>
          <t>Tuyệt đối không đưa vào CRM (Vi phạm Bộ lọc Âm tính Mục 5)</t>
        </is>
      </c>
    </row>
    <row r="298">
      <c r="A298" s="59" t="n">
        <v>3821</v>
      </c>
      <c r="B298" s="15" t="inlineStr">
        <is>
          <t>Farmhand Mike</t>
        </is>
      </c>
      <c r="C298" s="60" t="inlineStr">
        <is>
          <t>https://www.facebook.com/farmhandmike686</t>
        </is>
      </c>
      <c r="D298" s="9" t="inlineStr">
        <is>
          <t>Cần quét Bio Fanpage</t>
        </is>
      </c>
      <c r="E298" s="59" t="inlineStr">
        <is>
          <t>13/10/2026 05:00:06</t>
        </is>
      </c>
      <c r="F298" s="59" t="inlineStr">
        <is>
          <t>2 giờ trước</t>
        </is>
      </c>
      <c r="G298" s="61" t="n">
        <v>0.08</v>
      </c>
      <c r="H298" s="62" t="n">
        <v>35</v>
      </c>
      <c r="I298" s="9" t="inlineStr">
        <is>
          <t>Pet Owner / Cộng đồng nuôi cún (10đ)</t>
        </is>
      </c>
      <c r="J298" s="62" t="n">
        <v>10</v>
      </c>
      <c r="K298" s="9" t="inlineStr">
        <is>
          <t>Chưa rõ giống (Cần quét Bio)</t>
        </is>
      </c>
      <c r="L298" s="62" t="n">
        <v>0</v>
      </c>
      <c r="M298" s="62" t="n">
        <v>0</v>
      </c>
      <c r="N298" s="9" t="inlineStr">
        <is>
          <t>Amazon link not found</t>
        </is>
      </c>
      <c r="O298" s="62">
        <f>IF(N298="Selling pet toys + Artificial grass/Pet toilets (TARGET)",15,IF(N298="Selling artificial grass/pet toilets (TARGET)",10,IF(N298="Selling pet toys",7,IF(N298="There's an Amazon link, but no target sales.",3,0))))</f>
        <v/>
      </c>
      <c r="P298" s="67">
        <f>H298+J298+L298+M298+O298</f>
        <v/>
      </c>
      <c r="Q298" s="70" t="inlineStr">
        <is>
          <t>Excluded: Trang Chung / Không rõ Ngách Cún cưng</t>
        </is>
      </c>
      <c r="R298" s="9" t="inlineStr">
        <is>
          <t>Khay vệ sinh chung cư (Indoor Potty) + Thảm cỏ ban công (Grass Patch) + Đồ chơi</t>
        </is>
      </c>
      <c r="S298" s="9" t="inlineStr">
        <is>
          <t>Tuyệt đối không đưa vào CRM (Vi phạm Bộ lọc Âm tính Mục 5)</t>
        </is>
      </c>
    </row>
    <row r="299">
      <c r="A299" s="53" t="n">
        <v>3469</v>
      </c>
      <c r="B299" s="12" t="inlineStr">
        <is>
          <t>Young Farmer</t>
        </is>
      </c>
      <c r="C299" s="54" t="inlineStr">
        <is>
          <t>https://www.facebook.com/youngf4rmer</t>
        </is>
      </c>
      <c r="D299" s="6" t="inlineStr">
        <is>
          <t>Cần quét Bio Fanpage</t>
        </is>
      </c>
      <c r="E299" s="53" t="inlineStr">
        <is>
          <t>13/10/2026 04:58:07</t>
        </is>
      </c>
      <c r="F299" s="53" t="inlineStr">
        <is>
          <t>2 giờ trước</t>
        </is>
      </c>
      <c r="G299" s="55" t="n">
        <v>0.08</v>
      </c>
      <c r="H299" s="56" t="n">
        <v>35</v>
      </c>
      <c r="I299" s="6" t="inlineStr">
        <is>
          <t>Pet Owner / Cộng đồng nuôi cún (10đ)</t>
        </is>
      </c>
      <c r="J299" s="56" t="n">
        <v>10</v>
      </c>
      <c r="K299" s="6" t="inlineStr">
        <is>
          <t>Chưa rõ giống (Cần quét Bio)</t>
        </is>
      </c>
      <c r="L299" s="56" t="n">
        <v>0</v>
      </c>
      <c r="M299" s="56" t="n">
        <v>0</v>
      </c>
      <c r="N299" s="6" t="inlineStr">
        <is>
          <t>Amazon link not found</t>
        </is>
      </c>
      <c r="O299" s="56">
        <f>IF(N299="Selling pet toys + Artificial grass/Pet toilets (TARGET)",15,IF(N299="Selling artificial grass/pet toilets (TARGET)",10,IF(N299="Selling pet toys",7,IF(N299="There's an Amazon link, but no target sales.",3,0))))</f>
        <v/>
      </c>
      <c r="P299" s="65">
        <f>H299+J299+L299+M299+O299</f>
        <v/>
      </c>
      <c r="Q299" s="71" t="inlineStr">
        <is>
          <t>Excluded: Trang Chung / Không rõ Ngách Cún cưng</t>
        </is>
      </c>
      <c r="R299" s="6" t="inlineStr">
        <is>
          <t>Khay vệ sinh chung cư (Indoor Potty) + Thảm cỏ ban công (Grass Patch) + Đồ chơi</t>
        </is>
      </c>
      <c r="S299" s="6" t="inlineStr">
        <is>
          <t>Tuyệt đối không đưa vào CRM (Vi phạm Bộ lọc Âm tính Mục 5)</t>
        </is>
      </c>
    </row>
    <row r="300">
      <c r="A300" s="59" t="n">
        <v>2090</v>
      </c>
      <c r="B300" s="15" t="inlineStr">
        <is>
          <t>Macon Moves Animal Care</t>
        </is>
      </c>
      <c r="C300" s="60" t="inlineStr">
        <is>
          <t>https://www.facebook.com/profile.php?id=61576031116351</t>
        </is>
      </c>
      <c r="D300" s="9" t="inlineStr">
        <is>
          <t>Cần quét Bio Fanpage</t>
        </is>
      </c>
      <c r="E300" s="59" t="inlineStr">
        <is>
          <t>13/10/2026 04:35:53</t>
        </is>
      </c>
      <c r="F300" s="59" t="inlineStr">
        <is>
          <t>4 phút trước</t>
        </is>
      </c>
      <c r="G300" s="61" t="n">
        <v>0</v>
      </c>
      <c r="H300" s="62" t="n">
        <v>35</v>
      </c>
      <c r="I300" s="9" t="inlineStr">
        <is>
          <t>Pet Owner / Cộng đồng nuôi cún (10đ)</t>
        </is>
      </c>
      <c r="J300" s="62" t="n">
        <v>10</v>
      </c>
      <c r="K300" s="9" t="inlineStr">
        <is>
          <t>Chưa rõ giống (Cần quét Bio)</t>
        </is>
      </c>
      <c r="L300" s="62" t="n">
        <v>0</v>
      </c>
      <c r="M300" s="62" t="n">
        <v>0</v>
      </c>
      <c r="N300" s="9" t="inlineStr">
        <is>
          <t>Amazon link not found</t>
        </is>
      </c>
      <c r="O300" s="62">
        <f>IF(N300="Selling pet toys + Artificial grass/Pet toilets (TARGET)",15,IF(N300="Selling artificial grass/pet toilets (TARGET)",10,IF(N300="Selling pet toys",7,IF(N300="There's an Amazon link, but no target sales.",3,0))))</f>
        <v/>
      </c>
      <c r="P300" s="67">
        <f>H300+J300+L300+M300+O300</f>
        <v/>
      </c>
      <c r="Q300" s="70" t="inlineStr">
        <is>
          <t>Excluded: Trang Chung / Không rõ Ngách Cún cưng</t>
        </is>
      </c>
      <c r="R300" s="9" t="inlineStr">
        <is>
          <t>Khay vệ sinh chung cư (Indoor Potty) + Thảm cỏ ban công (Grass Patch) + Đồ chơi</t>
        </is>
      </c>
      <c r="S300" s="9" t="inlineStr">
        <is>
          <t>Tuyệt đối không đưa vào CRM (Vi phạm Bộ lọc Âm tính Mục 5)</t>
        </is>
      </c>
    </row>
    <row r="301">
      <c r="A301" s="53" t="n">
        <v>3467</v>
      </c>
      <c r="B301" s="12" t="inlineStr">
        <is>
          <t>YotuveTulaik</t>
        </is>
      </c>
      <c r="C301" s="54" t="inlineStr">
        <is>
          <t>https://www.facebook.com/profile.php?id=61565631253182</t>
        </is>
      </c>
      <c r="D301" s="6" t="inlineStr">
        <is>
          <t>Cần quét Bio Fanpage</t>
        </is>
      </c>
      <c r="E301" s="53" t="inlineStr">
        <is>
          <t>13/10/2026 04:32:28</t>
        </is>
      </c>
      <c r="F301" s="53" t="inlineStr">
        <is>
          <t>2 giờ trước</t>
        </is>
      </c>
      <c r="G301" s="55" t="n">
        <v>0.08</v>
      </c>
      <c r="H301" s="56" t="n">
        <v>35</v>
      </c>
      <c r="I301" s="6" t="inlineStr">
        <is>
          <t>Pet Owner / Cộng đồng nuôi cún (10đ)</t>
        </is>
      </c>
      <c r="J301" s="56" t="n">
        <v>10</v>
      </c>
      <c r="K301" s="6" t="inlineStr">
        <is>
          <t>Chưa rõ giống (Cần quét Bio)</t>
        </is>
      </c>
      <c r="L301" s="56" t="n">
        <v>0</v>
      </c>
      <c r="M301" s="56" t="n">
        <v>0</v>
      </c>
      <c r="N301" s="6" t="inlineStr">
        <is>
          <t>Amazon link not found</t>
        </is>
      </c>
      <c r="O301" s="56">
        <f>IF(N301="Selling pet toys + Artificial grass/Pet toilets (TARGET)",15,IF(N301="Selling artificial grass/pet toilets (TARGET)",10,IF(N301="Selling pet toys",7,IF(N301="There's an Amazon link, but no target sales.",3,0))))</f>
        <v/>
      </c>
      <c r="P301" s="65">
        <f>H301+J301+L301+M301+O301</f>
        <v/>
      </c>
      <c r="Q301" s="71" t="inlineStr">
        <is>
          <t>Excluded: Trang Chung / Không rõ Ngách Cún cưng</t>
        </is>
      </c>
      <c r="R301" s="6" t="inlineStr">
        <is>
          <t>Khay vệ sinh chung cư (Indoor Potty) + Thảm cỏ ban công (Grass Patch) + Đồ chơi</t>
        </is>
      </c>
      <c r="S301" s="6" t="inlineStr">
        <is>
          <t>Tuyệt đối không đưa vào CRM (Vi phạm Bộ lọc Âm tính Mục 5)</t>
        </is>
      </c>
    </row>
    <row r="302">
      <c r="A302" s="59" t="n">
        <v>3950</v>
      </c>
      <c r="B302" s="15" t="inlineStr">
        <is>
          <t>Fusion Veterinary Orthopedics</t>
        </is>
      </c>
      <c r="C302" s="60" t="inlineStr">
        <is>
          <t>https://www.facebook.com/fusionvetortho</t>
        </is>
      </c>
      <c r="D302" s="9" t="inlineStr">
        <is>
          <t>Cần quét Bio Fanpage</t>
        </is>
      </c>
      <c r="E302" s="59" t="inlineStr">
        <is>
          <t>13/10/2026 04:31:00</t>
        </is>
      </c>
      <c r="F302" s="59" t="inlineStr">
        <is>
          <t>3 giờ trước</t>
        </is>
      </c>
      <c r="G302" s="61" t="n">
        <v>0.12</v>
      </c>
      <c r="H302" s="62" t="n">
        <v>35</v>
      </c>
      <c r="I302" s="9" t="inlineStr">
        <is>
          <t>Pet Owner / Cộng đồng nuôi cún (10đ)</t>
        </is>
      </c>
      <c r="J302" s="62" t="n">
        <v>10</v>
      </c>
      <c r="K302" s="9" t="inlineStr">
        <is>
          <t>Chưa rõ giống (Cần quét Bio)</t>
        </is>
      </c>
      <c r="L302" s="62" t="n">
        <v>0</v>
      </c>
      <c r="M302" s="62" t="n">
        <v>0</v>
      </c>
      <c r="N302" s="9" t="inlineStr">
        <is>
          <t>Amazon link not found</t>
        </is>
      </c>
      <c r="O302" s="62">
        <f>IF(N302="Selling pet toys + Artificial grass/Pet toilets (TARGET)",15,IF(N302="Selling artificial grass/pet toilets (TARGET)",10,IF(N302="Selling pet toys",7,IF(N302="There's an Amazon link, but no target sales.",3,0))))</f>
        <v/>
      </c>
      <c r="P302" s="67">
        <f>H302+J302+L302+M302+O302</f>
        <v/>
      </c>
      <c r="Q302" s="70" t="inlineStr">
        <is>
          <t>Excluded: Công ty Gen DNA &amp; Thú y (Mục 5.4)</t>
        </is>
      </c>
      <c r="R302" s="9" t="inlineStr">
        <is>
          <t>Khay vệ sinh chung cư (Indoor Potty) + Thảm cỏ ban công (Grass Patch) + Đồ chơi</t>
        </is>
      </c>
      <c r="S302" s="9" t="inlineStr">
        <is>
          <t>Tuyệt đối không đưa vào CRM (Vi phạm Bộ lọc Âm tính Mục 5)</t>
        </is>
      </c>
    </row>
    <row r="303">
      <c r="A303" s="53" t="n">
        <v>3831</v>
      </c>
      <c r="B303" s="12" t="inlineStr">
        <is>
          <t>Faye Rogers Animal Communicator</t>
        </is>
      </c>
      <c r="C303" s="54" t="inlineStr">
        <is>
          <t>https://www.facebook.com/FayeRogersAnimalCommunicator</t>
        </is>
      </c>
      <c r="D303" s="6" t="inlineStr">
        <is>
          <t>Cần quét Bio Fanpage</t>
        </is>
      </c>
      <c r="E303" s="53" t="inlineStr">
        <is>
          <t>13/10/2026 04:27:24</t>
        </is>
      </c>
      <c r="F303" s="53" t="inlineStr">
        <is>
          <t>3 giờ trước</t>
        </is>
      </c>
      <c r="G303" s="55" t="n">
        <v>0.12</v>
      </c>
      <c r="H303" s="56" t="n">
        <v>35</v>
      </c>
      <c r="I303" s="6" t="inlineStr">
        <is>
          <t>Pet Owner / Cộng đồng nuôi cún (10đ)</t>
        </is>
      </c>
      <c r="J303" s="56" t="n">
        <v>10</v>
      </c>
      <c r="K303" s="6" t="inlineStr">
        <is>
          <t>Chưa rõ giống (Cần quét Bio)</t>
        </is>
      </c>
      <c r="L303" s="56" t="n">
        <v>0</v>
      </c>
      <c r="M303" s="56" t="n">
        <v>0</v>
      </c>
      <c r="N303" s="6" t="inlineStr">
        <is>
          <t>Amazon link not found</t>
        </is>
      </c>
      <c r="O303" s="56">
        <f>IF(N303="Selling pet toys + Artificial grass/Pet toilets (TARGET)",15,IF(N303="Selling artificial grass/pet toilets (TARGET)",10,IF(N303="Selling pet toys",7,IF(N303="There's an Amazon link, but no target sales.",3,0))))</f>
        <v/>
      </c>
      <c r="P303" s="65">
        <f>H303+J303+L303+M303+O303</f>
        <v/>
      </c>
      <c r="Q303" s="71" t="inlineStr">
        <is>
          <t>Excluded: Trang Chung / Không rõ Ngách Cún cưng</t>
        </is>
      </c>
      <c r="R303" s="6" t="inlineStr">
        <is>
          <t>Khay vệ sinh chung cư (Indoor Potty) + Thảm cỏ ban công (Grass Patch) + Đồ chơi</t>
        </is>
      </c>
      <c r="S303" s="6" t="inlineStr">
        <is>
          <t>Tuyệt đối không đưa vào CRM (Vi phạm Bộ lọc Âm tính Mục 5)</t>
        </is>
      </c>
    </row>
    <row r="304">
      <c r="A304" s="59" t="n">
        <v>2478</v>
      </c>
      <c r="B304" s="15" t="inlineStr">
        <is>
          <t>Petawawa Animal Hospital</t>
        </is>
      </c>
      <c r="C304" s="60" t="inlineStr">
        <is>
          <t>https://www.facebook.com/profile.php?id=100063639217161</t>
        </is>
      </c>
      <c r="D304" s="9" t="inlineStr">
        <is>
          <t>Cần quét Bio Fanpage</t>
        </is>
      </c>
      <c r="E304" s="59" t="inlineStr">
        <is>
          <t>13/10/2026 04:27:17</t>
        </is>
      </c>
      <c r="F304" s="59" t="inlineStr">
        <is>
          <t>55 phút trước</t>
        </is>
      </c>
      <c r="G304" s="61" t="n">
        <v>0.04</v>
      </c>
      <c r="H304" s="62" t="n">
        <v>35</v>
      </c>
      <c r="I304" s="9" t="inlineStr">
        <is>
          <t>Pet Owner / Cộng đồng nuôi cún (10đ)</t>
        </is>
      </c>
      <c r="J304" s="62" t="n">
        <v>10</v>
      </c>
      <c r="K304" s="9" t="inlineStr">
        <is>
          <t>Chưa rõ giống (Cần quét Bio)</t>
        </is>
      </c>
      <c r="L304" s="62" t="n">
        <v>0</v>
      </c>
      <c r="M304" s="62" t="n">
        <v>0</v>
      </c>
      <c r="N304" s="9" t="inlineStr">
        <is>
          <t>Amazon link not found</t>
        </is>
      </c>
      <c r="O304" s="62">
        <f>IF(N304="Selling pet toys + Artificial grass/Pet toilets (TARGET)",15,IF(N304="Selling artificial grass/pet toilets (TARGET)",10,IF(N304="Selling pet toys",7,IF(N304="There's an Amazon link, but no target sales.",3,0))))</f>
        <v/>
      </c>
      <c r="P304" s="67">
        <f>H304+J304+L304+M304+O304</f>
        <v/>
      </c>
      <c r="Q304" s="70" t="inlineStr">
        <is>
          <t>Excluded: Công ty Gen DNA &amp; Thú y (Mục 5.4)</t>
        </is>
      </c>
      <c r="R304" s="9" t="inlineStr">
        <is>
          <t>Khay vệ sinh chung cư (Indoor Potty) + Thảm cỏ ban công (Grass Patch) + Đồ chơi</t>
        </is>
      </c>
      <c r="S304" s="9" t="inlineStr">
        <is>
          <t>Tuyệt đối không đưa vào CRM (Vi phạm Bộ lọc Âm tính Mục 5)</t>
        </is>
      </c>
    </row>
    <row r="305">
      <c r="A305" s="53" t="n">
        <v>3331</v>
      </c>
      <c r="B305" s="12" t="inlineStr">
        <is>
          <t>Virginia Veterinary Specialty &amp; Emergency</t>
        </is>
      </c>
      <c r="C305" s="54" t="inlineStr">
        <is>
          <t>https://www.facebook.com/VaVetSpecialists</t>
        </is>
      </c>
      <c r="D305" s="6" t="inlineStr">
        <is>
          <t>Cần quét Bio Fanpage</t>
        </is>
      </c>
      <c r="E305" s="53" t="inlineStr">
        <is>
          <t>13/10/2026 04:11:03</t>
        </is>
      </c>
      <c r="F305" s="53" t="inlineStr">
        <is>
          <t>2 giờ trước</t>
        </is>
      </c>
      <c r="G305" s="55" t="n">
        <v>0.08</v>
      </c>
      <c r="H305" s="56" t="n">
        <v>35</v>
      </c>
      <c r="I305" s="6" t="inlineStr">
        <is>
          <t>Pet Owner / Cộng đồng nuôi cún (10đ)</t>
        </is>
      </c>
      <c r="J305" s="56" t="n">
        <v>10</v>
      </c>
      <c r="K305" s="6" t="inlineStr">
        <is>
          <t>Chưa rõ giống (Cần quét Bio)</t>
        </is>
      </c>
      <c r="L305" s="56" t="n">
        <v>0</v>
      </c>
      <c r="M305" s="56" t="n">
        <v>0</v>
      </c>
      <c r="N305" s="6" t="inlineStr">
        <is>
          <t>Amazon link not found</t>
        </is>
      </c>
      <c r="O305" s="56">
        <f>IF(N305="Selling pet toys + Artificial grass/Pet toilets (TARGET)",15,IF(N305="Selling artificial grass/pet toilets (TARGET)",10,IF(N305="Selling pet toys",7,IF(N305="There's an Amazon link, but no target sales.",3,0))))</f>
        <v/>
      </c>
      <c r="P305" s="65">
        <f>H305+J305+L305+M305+O305</f>
        <v/>
      </c>
      <c r="Q305" s="71" t="inlineStr">
        <is>
          <t>Excluded: Công ty Gen DNA &amp; Thú y (Mục 5.4)</t>
        </is>
      </c>
      <c r="R305" s="6" t="inlineStr">
        <is>
          <t>Khay vệ sinh chung cư (Indoor Potty) + Thảm cỏ ban công (Grass Patch) + Đồ chơi</t>
        </is>
      </c>
      <c r="S305" s="6" t="inlineStr">
        <is>
          <t>Tuyệt đối không đưa vào CRM (Vi phạm Bộ lọc Âm tính Mục 5)</t>
        </is>
      </c>
    </row>
    <row r="306">
      <c r="A306" s="59" t="n">
        <v>3052</v>
      </c>
      <c r="B306" s="15" t="inlineStr">
        <is>
          <t>Facebook User</t>
        </is>
      </c>
      <c r="C306" s="60" t="inlineStr">
        <is>
          <t>https://www.facebook.com/profile.php?id=61571672498214</t>
        </is>
      </c>
      <c r="D306" s="9" t="inlineStr">
        <is>
          <t>Cần quét Bio Fanpage</t>
        </is>
      </c>
      <c r="E306" s="59" t="inlineStr">
        <is>
          <t>13/10/2026 04:10:43</t>
        </is>
      </c>
      <c r="F306" s="59" t="inlineStr">
        <is>
          <t>2 giờ trước</t>
        </is>
      </c>
      <c r="G306" s="61" t="n">
        <v>0.08</v>
      </c>
      <c r="H306" s="62" t="n">
        <v>35</v>
      </c>
      <c r="I306" s="9" t="inlineStr">
        <is>
          <t>Pet Owner / Cộng đồng nuôi cún (10đ)</t>
        </is>
      </c>
      <c r="J306" s="62" t="n">
        <v>10</v>
      </c>
      <c r="K306" s="9" t="inlineStr">
        <is>
          <t>Chưa rõ giống (Cần quét Bio)</t>
        </is>
      </c>
      <c r="L306" s="62" t="n">
        <v>0</v>
      </c>
      <c r="M306" s="62" t="n">
        <v>0</v>
      </c>
      <c r="N306" s="9" t="inlineStr">
        <is>
          <t>Amazon link not found</t>
        </is>
      </c>
      <c r="O306" s="62">
        <f>IF(N306="Selling pet toys + Artificial grass/Pet toilets (TARGET)",15,IF(N306="Selling artificial grass/pet toilets (TARGET)",10,IF(N306="Selling pet toys",7,IF(N306="There's an Amazon link, but no target sales.",3,0))))</f>
        <v/>
      </c>
      <c r="P306" s="67">
        <f>H306+J306+L306+M306+O306</f>
        <v/>
      </c>
      <c r="Q306" s="70" t="inlineStr">
        <is>
          <t>Excluded: Hồ sơ Ẩn danh (Facebook User)</t>
        </is>
      </c>
      <c r="R306" s="9" t="inlineStr">
        <is>
          <t>Khay vệ sinh chung cư (Indoor Potty) + Thảm cỏ ban công (Grass Patch) + Đồ chơi</t>
        </is>
      </c>
      <c r="S306" s="9" t="inlineStr">
        <is>
          <t>Tuyệt đối không đưa vào CRM (Vi phạm Bộ lọc Âm tính Mục 5)</t>
        </is>
      </c>
    </row>
    <row r="307">
      <c r="A307" s="53" t="n">
        <v>2124</v>
      </c>
      <c r="B307" s="12" t="inlineStr">
        <is>
          <t>Mark Vette - Animal Behaviourist</t>
        </is>
      </c>
      <c r="C307" s="54" t="inlineStr">
        <is>
          <t>https://www.facebook.com/MarkVetteAnimalBehaviourist</t>
        </is>
      </c>
      <c r="D307" s="6" t="inlineStr">
        <is>
          <t>Cần quét Bio Fanpage</t>
        </is>
      </c>
      <c r="E307" s="53" t="inlineStr">
        <is>
          <t>13/10/2026 04:06:33</t>
        </is>
      </c>
      <c r="F307" s="53" t="inlineStr">
        <is>
          <t>37 phút trước</t>
        </is>
      </c>
      <c r="G307" s="55" t="n">
        <v>0.03</v>
      </c>
      <c r="H307" s="56" t="n">
        <v>35</v>
      </c>
      <c r="I307" s="6" t="inlineStr">
        <is>
          <t>Pet Owner / Cộng đồng nuôi cún (10đ)</t>
        </is>
      </c>
      <c r="J307" s="56" t="n">
        <v>10</v>
      </c>
      <c r="K307" s="6" t="inlineStr">
        <is>
          <t>Chưa rõ giống (Cần quét Bio)</t>
        </is>
      </c>
      <c r="L307" s="56" t="n">
        <v>0</v>
      </c>
      <c r="M307" s="56" t="n">
        <v>0</v>
      </c>
      <c r="N307" s="6" t="inlineStr">
        <is>
          <t>Amazon link not found</t>
        </is>
      </c>
      <c r="O307" s="56">
        <f>IF(N307="Selling pet toys + Artificial grass/Pet toilets (TARGET)",15,IF(N307="Selling artificial grass/pet toilets (TARGET)",10,IF(N307="Selling pet toys",7,IF(N307="There's an Amazon link, but no target sales.",3,0))))</f>
        <v/>
      </c>
      <c r="P307" s="65">
        <f>H307+J307+L307+M307+O307</f>
        <v/>
      </c>
      <c r="Q307" s="71" t="inlineStr">
        <is>
          <t>Excluded: Trang Chung / Không rõ Ngách Cún cưng</t>
        </is>
      </c>
      <c r="R307" s="6" t="inlineStr">
        <is>
          <t>Khay vệ sinh chung cư (Indoor Potty) + Thảm cỏ ban công (Grass Patch) + Đồ chơi</t>
        </is>
      </c>
      <c r="S307" s="6" t="inlineStr">
        <is>
          <t>Tuyệt đối không đưa vào CRM (Vi phạm Bộ lọc Âm tính Mục 5)</t>
        </is>
      </c>
    </row>
    <row r="308">
      <c r="A308" s="59" t="n">
        <v>2105</v>
      </c>
      <c r="B308" s="15" t="inlineStr">
        <is>
          <t>Main Street Vet</t>
        </is>
      </c>
      <c r="C308" s="60" t="inlineStr">
        <is>
          <t>https://www.facebook.com/mainstreetvetmadison</t>
        </is>
      </c>
      <c r="D308" s="9" t="inlineStr">
        <is>
          <t>Cần quét Bio Fanpage</t>
        </is>
      </c>
      <c r="E308" s="59" t="inlineStr">
        <is>
          <t>13/10/2026 04:04:07</t>
        </is>
      </c>
      <c r="F308" s="59" t="inlineStr">
        <is>
          <t>38 phút trước</t>
        </is>
      </c>
      <c r="G308" s="61" t="n">
        <v>0.03</v>
      </c>
      <c r="H308" s="62" t="n">
        <v>35</v>
      </c>
      <c r="I308" s="9" t="inlineStr">
        <is>
          <t>Pet Owner / Cộng đồng nuôi cún (10đ)</t>
        </is>
      </c>
      <c r="J308" s="62" t="n">
        <v>10</v>
      </c>
      <c r="K308" s="9" t="inlineStr">
        <is>
          <t>Chưa rõ giống (Cần quét Bio)</t>
        </is>
      </c>
      <c r="L308" s="62" t="n">
        <v>0</v>
      </c>
      <c r="M308" s="62" t="n">
        <v>0</v>
      </c>
      <c r="N308" s="9" t="inlineStr">
        <is>
          <t>Amazon link not found</t>
        </is>
      </c>
      <c r="O308" s="62">
        <f>IF(N308="Selling pet toys + Artificial grass/Pet toilets (TARGET)",15,IF(N308="Selling artificial grass/pet toilets (TARGET)",10,IF(N308="Selling pet toys",7,IF(N308="There's an Amazon link, but no target sales.",3,0))))</f>
        <v/>
      </c>
      <c r="P308" s="67">
        <f>H308+J308+L308+M308+O308</f>
        <v/>
      </c>
      <c r="Q308" s="70" t="inlineStr">
        <is>
          <t>Excluded: Trang Chung / Không rõ Ngách Cún cưng</t>
        </is>
      </c>
      <c r="R308" s="9" t="inlineStr">
        <is>
          <t>Khay vệ sinh chung cư (Indoor Potty) + Thảm cỏ ban công (Grass Patch) + Đồ chơi</t>
        </is>
      </c>
      <c r="S308" s="9" t="inlineStr">
        <is>
          <t>Tuyệt đối không đưa vào CRM (Vi phạm Bộ lọc Âm tính Mục 5)</t>
        </is>
      </c>
    </row>
    <row r="309">
      <c r="A309" s="53" t="n">
        <v>3817</v>
      </c>
      <c r="B309" s="12" t="inlineStr">
        <is>
          <t>Farmers Cooperative</t>
        </is>
      </c>
      <c r="C309" s="54" t="inlineStr">
        <is>
          <t>https://www.facebook.com/FarmersCooperative</t>
        </is>
      </c>
      <c r="D309" s="6" t="inlineStr">
        <is>
          <t>Cần quét Bio Fanpage</t>
        </is>
      </c>
      <c r="E309" s="53" t="inlineStr">
        <is>
          <t>13/10/2026 04:01:55</t>
        </is>
      </c>
      <c r="F309" s="53" t="inlineStr">
        <is>
          <t>3 giờ trước</t>
        </is>
      </c>
      <c r="G309" s="55" t="n">
        <v>0.12</v>
      </c>
      <c r="H309" s="56" t="n">
        <v>35</v>
      </c>
      <c r="I309" s="6" t="inlineStr">
        <is>
          <t>Pet Owner / Cộng đồng nuôi cún (10đ)</t>
        </is>
      </c>
      <c r="J309" s="56" t="n">
        <v>10</v>
      </c>
      <c r="K309" s="6" t="inlineStr">
        <is>
          <t>Chưa rõ giống (Cần quét Bio)</t>
        </is>
      </c>
      <c r="L309" s="56" t="n">
        <v>0</v>
      </c>
      <c r="M309" s="56" t="n">
        <v>0</v>
      </c>
      <c r="N309" s="6" t="inlineStr">
        <is>
          <t>Amazon link not found</t>
        </is>
      </c>
      <c r="O309" s="56">
        <f>IF(N309="Selling pet toys + Artificial grass/Pet toilets (TARGET)",15,IF(N309="Selling artificial grass/pet toilets (TARGET)",10,IF(N309="Selling pet toys",7,IF(N309="There's an Amazon link, but no target sales.",3,0))))</f>
        <v/>
      </c>
      <c r="P309" s="65">
        <f>H309+J309+L309+M309+O309</f>
        <v/>
      </c>
      <c r="Q309" s="71" t="inlineStr">
        <is>
          <t>Excluded: Trang Chung / Không rõ Ngách Cún cưng</t>
        </is>
      </c>
      <c r="R309" s="6" t="inlineStr">
        <is>
          <t>Khay vệ sinh chung cư (Indoor Potty) + Thảm cỏ ban công (Grass Patch) + Đồ chơi</t>
        </is>
      </c>
      <c r="S309" s="6" t="inlineStr">
        <is>
          <t>Tuyệt đối không đưa vào CRM (Vi phạm Bộ lọc Âm tính Mục 5)</t>
        </is>
      </c>
    </row>
    <row r="310">
      <c r="A310" s="59" t="n">
        <v>2260</v>
      </c>
      <c r="B310" s="15" t="inlineStr">
        <is>
          <t>nateandminion</t>
        </is>
      </c>
      <c r="C310" s="60" t="inlineStr">
        <is>
          <t>https://www.facebook.com/nateandminion</t>
        </is>
      </c>
      <c r="D310" s="9" t="inlineStr">
        <is>
          <t>Cần quét Bio Fanpage</t>
        </is>
      </c>
      <c r="E310" s="59" t="inlineStr">
        <is>
          <t>13/10/2026 04:00:59</t>
        </is>
      </c>
      <c r="F310" s="59" t="inlineStr">
        <is>
          <t>58 phút trước</t>
        </is>
      </c>
      <c r="G310" s="61" t="n">
        <v>0.04</v>
      </c>
      <c r="H310" s="62" t="n">
        <v>35</v>
      </c>
      <c r="I310" s="9" t="inlineStr">
        <is>
          <t>Pet Owner / Cộng đồng nuôi cún (10đ)</t>
        </is>
      </c>
      <c r="J310" s="62" t="n">
        <v>10</v>
      </c>
      <c r="K310" s="9" t="inlineStr">
        <is>
          <t>Chưa rõ giống (Cần quét Bio)</t>
        </is>
      </c>
      <c r="L310" s="62" t="n">
        <v>0</v>
      </c>
      <c r="M310" s="62" t="n">
        <v>0</v>
      </c>
      <c r="N310" s="9" t="inlineStr">
        <is>
          <t>Amazon link not found</t>
        </is>
      </c>
      <c r="O310" s="62">
        <f>IF(N310="Selling pet toys + Artificial grass/Pet toilets (TARGET)",15,IF(N310="Selling artificial grass/pet toilets (TARGET)",10,IF(N310="Selling pet toys",7,IF(N310="There's an Amazon link, but no target sales.",3,0))))</f>
        <v/>
      </c>
      <c r="P310" s="67">
        <f>H310+J310+L310+M310+O310</f>
        <v/>
      </c>
      <c r="Q310" s="70" t="inlineStr">
        <is>
          <t>Excluded: Trang Chung / Không rõ Ngách Cún cưng</t>
        </is>
      </c>
      <c r="R310" s="9" t="inlineStr">
        <is>
          <t>Khay vệ sinh chung cư (Indoor Potty) + Thảm cỏ ban công (Grass Patch) + Đồ chơi</t>
        </is>
      </c>
      <c r="S310" s="9" t="inlineStr">
        <is>
          <t>Tuyệt đối không đưa vào CRM (Vi phạm Bộ lọc Âm tính Mục 5)</t>
        </is>
      </c>
    </row>
    <row r="311">
      <c r="A311" s="53" t="n">
        <v>2261</v>
      </c>
      <c r="B311" s="12" t="inlineStr">
        <is>
          <t>National Animal News</t>
        </is>
      </c>
      <c r="C311" s="54" t="inlineStr">
        <is>
          <t>https://www.facebook.com/nationalanimalnews</t>
        </is>
      </c>
      <c r="D311" s="6" t="inlineStr">
        <is>
          <t>Cần quét Bio Fanpage</t>
        </is>
      </c>
      <c r="E311" s="53" t="inlineStr">
        <is>
          <t>13/10/2026 03:59:22</t>
        </is>
      </c>
      <c r="F311" s="53" t="inlineStr">
        <is>
          <t>59 phút trước</t>
        </is>
      </c>
      <c r="G311" s="55" t="n">
        <v>0.04</v>
      </c>
      <c r="H311" s="56" t="n">
        <v>35</v>
      </c>
      <c r="I311" s="6" t="inlineStr">
        <is>
          <t>Pet Owner / Cộng đồng nuôi cún (10đ)</t>
        </is>
      </c>
      <c r="J311" s="56" t="n">
        <v>10</v>
      </c>
      <c r="K311" s="6" t="inlineStr">
        <is>
          <t>Chưa rõ giống (Cần quét Bio)</t>
        </is>
      </c>
      <c r="L311" s="56" t="n">
        <v>0</v>
      </c>
      <c r="M311" s="56" t="n">
        <v>0</v>
      </c>
      <c r="N311" s="6" t="inlineStr">
        <is>
          <t>Amazon link not found</t>
        </is>
      </c>
      <c r="O311" s="56">
        <f>IF(N311="Selling pet toys + Artificial grass/Pet toilets (TARGET)",15,IF(N311="Selling artificial grass/pet toilets (TARGET)",10,IF(N311="Selling pet toys",7,IF(N311="There's an Amazon link, but no target sales.",3,0))))</f>
        <v/>
      </c>
      <c r="P311" s="65">
        <f>H311+J311+L311+M311+O311</f>
        <v/>
      </c>
      <c r="Q311" s="71" t="inlineStr">
        <is>
          <t>Excluded: Trang Chung / Không rõ Ngách Cún cưng</t>
        </is>
      </c>
      <c r="R311" s="6" t="inlineStr">
        <is>
          <t>Khay vệ sinh chung cư (Indoor Potty) + Thảm cỏ ban công (Grass Patch) + Đồ chơi</t>
        </is>
      </c>
      <c r="S311" s="6" t="inlineStr">
        <is>
          <t>Tuyệt đối không đưa vào CRM (Vi phạm Bộ lọc Âm tính Mục 5)</t>
        </is>
      </c>
    </row>
    <row r="312">
      <c r="A312" s="59" t="n">
        <v>3693</v>
      </c>
      <c r="B312" s="15" t="inlineStr">
        <is>
          <t>Dr Osuch Clinic</t>
        </is>
      </c>
      <c r="C312" s="60" t="inlineStr">
        <is>
          <t>https://www.facebook.com/drosuchclinic</t>
        </is>
      </c>
      <c r="D312" s="9" t="inlineStr">
        <is>
          <t>Cần quét Bio Fanpage</t>
        </is>
      </c>
      <c r="E312" s="59" t="inlineStr">
        <is>
          <t>13/10/2026 03:50:04</t>
        </is>
      </c>
      <c r="F312" s="59" t="inlineStr">
        <is>
          <t>3 giờ trước</t>
        </is>
      </c>
      <c r="G312" s="61" t="n">
        <v>0.12</v>
      </c>
      <c r="H312" s="62" t="n">
        <v>35</v>
      </c>
      <c r="I312" s="9" t="inlineStr">
        <is>
          <t>Pet Owner / Cộng đồng nuôi cún (10đ)</t>
        </is>
      </c>
      <c r="J312" s="62" t="n">
        <v>10</v>
      </c>
      <c r="K312" s="9" t="inlineStr">
        <is>
          <t>Chưa rõ giống (Cần quét Bio)</t>
        </is>
      </c>
      <c r="L312" s="62" t="n">
        <v>0</v>
      </c>
      <c r="M312" s="62" t="n">
        <v>0</v>
      </c>
      <c r="N312" s="9" t="inlineStr">
        <is>
          <t>Amazon link not found</t>
        </is>
      </c>
      <c r="O312" s="62">
        <f>IF(N312="Selling pet toys + Artificial grass/Pet toilets (TARGET)",15,IF(N312="Selling artificial grass/pet toilets (TARGET)",10,IF(N312="Selling pet toys",7,IF(N312="There's an Amazon link, but no target sales.",3,0))))</f>
        <v/>
      </c>
      <c r="P312" s="67">
        <f>H312+J312+L312+M312+O312</f>
        <v/>
      </c>
      <c r="Q312" s="70" t="inlineStr">
        <is>
          <t>Excluded: Trang Chung / Không rõ Ngách Cún cưng</t>
        </is>
      </c>
      <c r="R312" s="9" t="inlineStr">
        <is>
          <t>Khay vệ sinh chung cư (Indoor Potty) + Thảm cỏ ban công (Grass Patch) + Đồ chơi</t>
        </is>
      </c>
      <c r="S312" s="9" t="inlineStr">
        <is>
          <t>Tuyệt đối không đưa vào CRM (Vi phạm Bộ lọc Âm tính Mục 5)</t>
        </is>
      </c>
    </row>
    <row r="313">
      <c r="A313" s="53" t="n">
        <v>2643</v>
      </c>
      <c r="B313" s="12" t="inlineStr">
        <is>
          <t>Protectora de animales Os palleiros</t>
        </is>
      </c>
      <c r="C313" s="54" t="inlineStr">
        <is>
          <t>https://www.facebook.com/ospalleiros</t>
        </is>
      </c>
      <c r="D313" s="6" t="inlineStr">
        <is>
          <t>Cần quét Bio Fanpage</t>
        </is>
      </c>
      <c r="E313" s="53" t="inlineStr">
        <is>
          <t>13/10/2026 03:33:10</t>
        </is>
      </c>
      <c r="F313" s="53" t="inlineStr">
        <is>
          <t>2 giờ trước</t>
        </is>
      </c>
      <c r="G313" s="55" t="n">
        <v>0.08</v>
      </c>
      <c r="H313" s="56" t="n">
        <v>35</v>
      </c>
      <c r="I313" s="6" t="inlineStr">
        <is>
          <t>Pet Owner / Cộng đồng nuôi cún (10đ)</t>
        </is>
      </c>
      <c r="J313" s="56" t="n">
        <v>10</v>
      </c>
      <c r="K313" s="6" t="inlineStr">
        <is>
          <t>Chưa rõ giống (Cần quét Bio)</t>
        </is>
      </c>
      <c r="L313" s="56" t="n">
        <v>0</v>
      </c>
      <c r="M313" s="56" t="n">
        <v>0</v>
      </c>
      <c r="N313" s="6" t="inlineStr">
        <is>
          <t>Amazon link not found</t>
        </is>
      </c>
      <c r="O313" s="56">
        <f>IF(N313="Selling pet toys + Artificial grass/Pet toilets (TARGET)",15,IF(N313="Selling artificial grass/pet toilets (TARGET)",10,IF(N313="Selling pet toys",7,IF(N313="There's an Amazon link, but no target sales.",3,0))))</f>
        <v/>
      </c>
      <c r="P313" s="65">
        <f>H313+J313+L313+M313+O313</f>
        <v/>
      </c>
      <c r="Q313" s="71" t="inlineStr">
        <is>
          <t>Excluded: Trang Chung / Không rõ Ngách Cún cưng</t>
        </is>
      </c>
      <c r="R313" s="6" t="inlineStr">
        <is>
          <t>Khay vệ sinh chung cư (Indoor Potty) + Thảm cỏ ban công (Grass Patch) + Đồ chơi</t>
        </is>
      </c>
      <c r="S313" s="6" t="inlineStr">
        <is>
          <t>Tuyệt đối không đưa vào CRM (Vi phạm Bộ lọc Âm tính Mục 5)</t>
        </is>
      </c>
    </row>
    <row r="314">
      <c r="A314" s="59" t="n">
        <v>2958</v>
      </c>
      <c r="B314" s="15" t="inlineStr">
        <is>
          <t>Southpointe Veterinary Hospital</t>
        </is>
      </c>
      <c r="C314" s="60" t="inlineStr">
        <is>
          <t>https://www.facebook.com/southpointevet</t>
        </is>
      </c>
      <c r="D314" s="9" t="inlineStr">
        <is>
          <t>Cần quét Bio Fanpage</t>
        </is>
      </c>
      <c r="E314" s="59" t="inlineStr">
        <is>
          <t>13/10/2026 03:13:53</t>
        </is>
      </c>
      <c r="F314" s="59" t="inlineStr">
        <is>
          <t>3 giờ trước</t>
        </is>
      </c>
      <c r="G314" s="61" t="n">
        <v>0.12</v>
      </c>
      <c r="H314" s="62" t="n">
        <v>35</v>
      </c>
      <c r="I314" s="9" t="inlineStr">
        <is>
          <t>Pet Owner / Cộng đồng nuôi cún (10đ)</t>
        </is>
      </c>
      <c r="J314" s="62" t="n">
        <v>10</v>
      </c>
      <c r="K314" s="9" t="inlineStr">
        <is>
          <t>Chưa rõ giống (Cần quét Bio)</t>
        </is>
      </c>
      <c r="L314" s="62" t="n">
        <v>0</v>
      </c>
      <c r="M314" s="62" t="n">
        <v>0</v>
      </c>
      <c r="N314" s="9" t="inlineStr">
        <is>
          <t>Amazon link not found</t>
        </is>
      </c>
      <c r="O314" s="62">
        <f>IF(N314="Selling pet toys + Artificial grass/Pet toilets (TARGET)",15,IF(N314="Selling artificial grass/pet toilets (TARGET)",10,IF(N314="Selling pet toys",7,IF(N314="There's an Amazon link, but no target sales.",3,0))))</f>
        <v/>
      </c>
      <c r="P314" s="67">
        <f>H314+J314+L314+M314+O314</f>
        <v/>
      </c>
      <c r="Q314" s="70" t="inlineStr">
        <is>
          <t>Excluded: Công ty Gen DNA &amp; Thú y (Mục 5.4)</t>
        </is>
      </c>
      <c r="R314" s="9" t="inlineStr">
        <is>
          <t>Khay vệ sinh chung cư (Indoor Potty) + Thảm cỏ ban công (Grass Patch) + Đồ chơi</t>
        </is>
      </c>
      <c r="S314" s="9" t="inlineStr">
        <is>
          <t>Tuyệt đối không đưa vào CRM (Vi phạm Bộ lọc Âm tính Mục 5)</t>
        </is>
      </c>
    </row>
    <row r="315">
      <c r="A315" s="53" t="n">
        <v>1262</v>
      </c>
      <c r="B315" s="12" t="inlineStr">
        <is>
          <t>Eastford Veterinary Clinic</t>
        </is>
      </c>
      <c r="C315" s="54" t="inlineStr">
        <is>
          <t>https://www.facebook.com/profile.php?id=100050519453935</t>
        </is>
      </c>
      <c r="D315" s="6" t="inlineStr">
        <is>
          <t>Cần quét Bio Fanpage</t>
        </is>
      </c>
      <c r="E315" s="53" t="inlineStr">
        <is>
          <t>13/10/2026 03:05:01</t>
        </is>
      </c>
      <c r="F315" s="53" t="inlineStr">
        <is>
          <t>6 phút trước</t>
        </is>
      </c>
      <c r="G315" s="55" t="n">
        <v>0</v>
      </c>
      <c r="H315" s="56" t="n">
        <v>35</v>
      </c>
      <c r="I315" s="6" t="inlineStr">
        <is>
          <t>Pet Owner / Cộng đồng nuôi cún (10đ)</t>
        </is>
      </c>
      <c r="J315" s="56" t="n">
        <v>10</v>
      </c>
      <c r="K315" s="6" t="inlineStr">
        <is>
          <t>Chưa rõ giống (Cần quét Bio)</t>
        </is>
      </c>
      <c r="L315" s="56" t="n">
        <v>0</v>
      </c>
      <c r="M315" s="56" t="n">
        <v>0</v>
      </c>
      <c r="N315" s="6" t="inlineStr">
        <is>
          <t>Amazon link not found</t>
        </is>
      </c>
      <c r="O315" s="56">
        <f>IF(N315="Selling pet toys + Artificial grass/Pet toilets (TARGET)",15,IF(N315="Selling artificial grass/pet toilets (TARGET)",10,IF(N315="Selling pet toys",7,IF(N315="There's an Amazon link, but no target sales.",3,0))))</f>
        <v/>
      </c>
      <c r="P315" s="65">
        <f>H315+J315+L315+M315+O315</f>
        <v/>
      </c>
      <c r="Q315" s="71" t="inlineStr">
        <is>
          <t>Excluded: Công ty Gen DNA &amp; Thú y (Mục 5.4)</t>
        </is>
      </c>
      <c r="R315" s="6" t="inlineStr">
        <is>
          <t>Khay vệ sinh chung cư (Indoor Potty) + Thảm cỏ ban công (Grass Patch) + Đồ chơi</t>
        </is>
      </c>
      <c r="S315" s="6" t="inlineStr">
        <is>
          <t>Tuyệt đối không đưa vào CRM (Vi phạm Bộ lọc Âm tính Mục 5)</t>
        </is>
      </c>
    </row>
    <row r="316">
      <c r="A316" s="59" t="n">
        <v>3302</v>
      </c>
      <c r="B316" s="15" t="inlineStr">
        <is>
          <t>TheVetOnTheHill</t>
        </is>
      </c>
      <c r="C316" s="60" t="inlineStr">
        <is>
          <t>https://www.facebook.com/TheVetOnTheHill</t>
        </is>
      </c>
      <c r="D316" s="9" t="inlineStr">
        <is>
          <t>Cần quét Bio Fanpage</t>
        </is>
      </c>
      <c r="E316" s="59" t="inlineStr">
        <is>
          <t>13/10/2026 03:00:50</t>
        </is>
      </c>
      <c r="F316" s="59" t="inlineStr">
        <is>
          <t>3 giờ trước</t>
        </is>
      </c>
      <c r="G316" s="61" t="n">
        <v>0.12</v>
      </c>
      <c r="H316" s="62" t="n">
        <v>35</v>
      </c>
      <c r="I316" s="9" t="inlineStr">
        <is>
          <t>Pet Owner / Cộng đồng nuôi cún (10đ)</t>
        </is>
      </c>
      <c r="J316" s="62" t="n">
        <v>10</v>
      </c>
      <c r="K316" s="9" t="inlineStr">
        <is>
          <t>Chưa rõ giống (Cần quét Bio)</t>
        </is>
      </c>
      <c r="L316" s="62" t="n">
        <v>0</v>
      </c>
      <c r="M316" s="62" t="n">
        <v>0</v>
      </c>
      <c r="N316" s="9" t="inlineStr">
        <is>
          <t>Amazon link not found</t>
        </is>
      </c>
      <c r="O316" s="62">
        <f>IF(N316="Selling pet toys + Artificial grass/Pet toilets (TARGET)",15,IF(N316="Selling artificial grass/pet toilets (TARGET)",10,IF(N316="Selling pet toys",7,IF(N316="There's an Amazon link, but no target sales.",3,0))))</f>
        <v/>
      </c>
      <c r="P316" s="67">
        <f>H316+J316+L316+M316+O316</f>
        <v/>
      </c>
      <c r="Q316" s="70" t="inlineStr">
        <is>
          <t>Excluded: Trang Chung / Không rõ Ngách Cún cưng</t>
        </is>
      </c>
      <c r="R316" s="9" t="inlineStr">
        <is>
          <t>Khay vệ sinh chung cư (Indoor Potty) + Thảm cỏ ban công (Grass Patch) + Đồ chơi</t>
        </is>
      </c>
      <c r="S316" s="9" t="inlineStr">
        <is>
          <t>Tuyệt đối không đưa vào CRM (Vi phạm Bộ lọc Âm tính Mục 5)</t>
        </is>
      </c>
    </row>
    <row r="317">
      <c r="A317" s="53" t="n">
        <v>1371</v>
      </c>
      <c r="B317" s="12" t="inlineStr">
        <is>
          <t>Fetch Pet Insurance</t>
        </is>
      </c>
      <c r="C317" s="54" t="inlineStr">
        <is>
          <t>https://www.facebook.com/FetchPetInsurance</t>
        </is>
      </c>
      <c r="D317" s="6" t="inlineStr">
        <is>
          <t>Cần quét Bio Fanpage</t>
        </is>
      </c>
      <c r="E317" s="53" t="inlineStr">
        <is>
          <t>13/10/2026 02:31:37</t>
        </is>
      </c>
      <c r="F317" s="53" t="inlineStr">
        <is>
          <t>51 phút trước</t>
        </is>
      </c>
      <c r="G317" s="55" t="n">
        <v>0.04</v>
      </c>
      <c r="H317" s="56" t="n">
        <v>35</v>
      </c>
      <c r="I317" s="6" t="inlineStr">
        <is>
          <t>Pet Owner / Cộng đồng nuôi cún (10đ)</t>
        </is>
      </c>
      <c r="J317" s="56" t="n">
        <v>10</v>
      </c>
      <c r="K317" s="6" t="inlineStr">
        <is>
          <t>Chưa rõ giống (Cần quét Bio)</t>
        </is>
      </c>
      <c r="L317" s="56" t="n">
        <v>0</v>
      </c>
      <c r="M317" s="56" t="n">
        <v>0</v>
      </c>
      <c r="N317" s="6" t="inlineStr">
        <is>
          <t>Amazon link not found</t>
        </is>
      </c>
      <c r="O317" s="56">
        <f>IF(N317="Selling pet toys + Artificial grass/Pet toilets (TARGET)",15,IF(N317="Selling artificial grass/pet toilets (TARGET)",10,IF(N317="Selling pet toys",7,IF(N317="There's an Amazon link, but no target sales.",3,0))))</f>
        <v/>
      </c>
      <c r="P317" s="65">
        <f>H317+J317+L317+M317+O317</f>
        <v/>
      </c>
      <c r="Q317" s="71" t="inlineStr">
        <is>
          <t>Excluded: Ngành nghề Khác (Phi Cún cưng)</t>
        </is>
      </c>
      <c r="R317" s="6" t="inlineStr">
        <is>
          <t>Khay vệ sinh chung cư (Indoor Potty) + Thảm cỏ ban công (Grass Patch) + Đồ chơi</t>
        </is>
      </c>
      <c r="S317" s="6" t="inlineStr">
        <is>
          <t>Tuyệt đối không đưa vào CRM (Vi phạm Bộ lọc Âm tính Mục 5)</t>
        </is>
      </c>
    </row>
    <row r="318">
      <c r="A318" s="59" t="n">
        <v>903</v>
      </c>
      <c r="B318" s="15" t="inlineStr">
        <is>
          <t>CityVet</t>
        </is>
      </c>
      <c r="C318" s="60" t="inlineStr">
        <is>
          <t>https://www.facebook.com/CityVetUSA</t>
        </is>
      </c>
      <c r="D318" s="9" t="inlineStr">
        <is>
          <t>Cần quét Bio Fanpage</t>
        </is>
      </c>
      <c r="E318" s="59" t="inlineStr">
        <is>
          <t>13/10/2026 02:19:52</t>
        </is>
      </c>
      <c r="F318" s="59" t="inlineStr">
        <is>
          <t>13 phút trước</t>
        </is>
      </c>
      <c r="G318" s="61" t="n">
        <v>0.01</v>
      </c>
      <c r="H318" s="62" t="n">
        <v>35</v>
      </c>
      <c r="I318" s="9" t="inlineStr">
        <is>
          <t>Pet Owner / Cộng đồng nuôi cún (10đ)</t>
        </is>
      </c>
      <c r="J318" s="62" t="n">
        <v>10</v>
      </c>
      <c r="K318" s="9" t="inlineStr">
        <is>
          <t>Chưa rõ giống (Cần quét Bio)</t>
        </is>
      </c>
      <c r="L318" s="62" t="n">
        <v>0</v>
      </c>
      <c r="M318" s="62" t="n">
        <v>0</v>
      </c>
      <c r="N318" s="9" t="inlineStr">
        <is>
          <t>Amazon link not found</t>
        </is>
      </c>
      <c r="O318" s="62">
        <f>IF(N318="Selling pet toys + Artificial grass/Pet toilets (TARGET)",15,IF(N318="Selling artificial grass/pet toilets (TARGET)",10,IF(N318="Selling pet toys",7,IF(N318="There's an Amazon link, but no target sales.",3,0))))</f>
        <v/>
      </c>
      <c r="P318" s="67">
        <f>H318+J318+L318+M318+O318</f>
        <v/>
      </c>
      <c r="Q318" s="70" t="inlineStr">
        <is>
          <t>Excluded: Trang Chung / Không rõ Ngách Cún cưng</t>
        </is>
      </c>
      <c r="R318" s="9" t="inlineStr">
        <is>
          <t>Khay vệ sinh chung cư (Indoor Potty) + Thảm cỏ ban công (Grass Patch) + Đồ chơi</t>
        </is>
      </c>
      <c r="S318" s="9" t="inlineStr">
        <is>
          <t>Tuyệt đối không đưa vào CRM (Vi phạm Bộ lọc Âm tính Mục 5)</t>
        </is>
      </c>
    </row>
    <row r="319">
      <c r="A319" s="53" t="n">
        <v>2181</v>
      </c>
      <c r="B319" s="12" t="inlineStr">
        <is>
          <t>Mille Lacs County Animal Care &amp; Protection</t>
        </is>
      </c>
      <c r="C319" s="54" t="inlineStr">
        <is>
          <t>https://www.facebook.com/millelacscountyanimalcontrol</t>
        </is>
      </c>
      <c r="D319" s="6" t="inlineStr">
        <is>
          <t>Cần quét Bio Fanpage</t>
        </is>
      </c>
      <c r="E319" s="53" t="inlineStr">
        <is>
          <t>13/10/2026 02:16:05</t>
        </is>
      </c>
      <c r="F319" s="53" t="inlineStr">
        <is>
          <t>2 giờ trước</t>
        </is>
      </c>
      <c r="G319" s="55" t="n">
        <v>0.08</v>
      </c>
      <c r="H319" s="56" t="n">
        <v>35</v>
      </c>
      <c r="I319" s="6" t="inlineStr">
        <is>
          <t>Pet Owner / Cộng đồng nuôi cún (10đ)</t>
        </is>
      </c>
      <c r="J319" s="56" t="n">
        <v>10</v>
      </c>
      <c r="K319" s="6" t="inlineStr">
        <is>
          <t>Chưa rõ giống (Cần quét Bio)</t>
        </is>
      </c>
      <c r="L319" s="56" t="n">
        <v>0</v>
      </c>
      <c r="M319" s="56" t="n">
        <v>0</v>
      </c>
      <c r="N319" s="6" t="inlineStr">
        <is>
          <t>Amazon link not found</t>
        </is>
      </c>
      <c r="O319" s="56">
        <f>IF(N319="Selling pet toys + Artificial grass/Pet toilets (TARGET)",15,IF(N319="Selling artificial grass/pet toilets (TARGET)",10,IF(N319="Selling pet toys",7,IF(N319="There's an Amazon link, but no target sales.",3,0))))</f>
        <v/>
      </c>
      <c r="P319" s="65">
        <f>H319+J319+L319+M319+O319</f>
        <v/>
      </c>
      <c r="Q319" s="71" t="inlineStr">
        <is>
          <t>Excluded: Trang Chung / Không rõ Ngách Cún cưng</t>
        </is>
      </c>
      <c r="R319" s="6" t="inlineStr">
        <is>
          <t>Khay vệ sinh chung cư (Indoor Potty) + Thảm cỏ ban công (Grass Patch) + Đồ chơi</t>
        </is>
      </c>
      <c r="S319" s="6" t="inlineStr">
        <is>
          <t>Tuyệt đối không đưa vào CRM (Vi phạm Bộ lọc Âm tính Mục 5)</t>
        </is>
      </c>
    </row>
    <row r="320">
      <c r="A320" s="59" t="n">
        <v>1794</v>
      </c>
      <c r="B320" s="15" t="inlineStr">
        <is>
          <t>Just Animals</t>
        </is>
      </c>
      <c r="C320" s="60" t="inlineStr">
        <is>
          <t>https://www.facebook.com/profile.php?id=100087317267544</t>
        </is>
      </c>
      <c r="D320" s="9" t="inlineStr">
        <is>
          <t>Cần quét Bio Fanpage</t>
        </is>
      </c>
      <c r="E320" s="59" t="inlineStr">
        <is>
          <t>13/10/2026 01:46:43</t>
        </is>
      </c>
      <c r="F320" s="59" t="inlineStr">
        <is>
          <t>2 giờ trước</t>
        </is>
      </c>
      <c r="G320" s="61" t="n">
        <v>0.08</v>
      </c>
      <c r="H320" s="62" t="n">
        <v>35</v>
      </c>
      <c r="I320" s="9" t="inlineStr">
        <is>
          <t>Pet Owner / Cộng đồng nuôi cún (10đ)</t>
        </is>
      </c>
      <c r="J320" s="62" t="n">
        <v>10</v>
      </c>
      <c r="K320" s="9" t="inlineStr">
        <is>
          <t>Chưa rõ giống (Cần quét Bio)</t>
        </is>
      </c>
      <c r="L320" s="62" t="n">
        <v>0</v>
      </c>
      <c r="M320" s="62" t="n">
        <v>0</v>
      </c>
      <c r="N320" s="9" t="inlineStr">
        <is>
          <t>Amazon link not found</t>
        </is>
      </c>
      <c r="O320" s="62">
        <f>IF(N320="Selling pet toys + Artificial grass/Pet toilets (TARGET)",15,IF(N320="Selling artificial grass/pet toilets (TARGET)",10,IF(N320="Selling pet toys",7,IF(N320="There's an Amazon link, but no target sales.",3,0))))</f>
        <v/>
      </c>
      <c r="P320" s="67">
        <f>H320+J320+L320+M320+O320</f>
        <v/>
      </c>
      <c r="Q320" s="70" t="inlineStr">
        <is>
          <t>Excluded: Trang Chung / Không rõ Ngách Cún cưng</t>
        </is>
      </c>
      <c r="R320" s="9" t="inlineStr">
        <is>
          <t>Khay vệ sinh chung cư (Indoor Potty) + Thảm cỏ ban công (Grass Patch) + Đồ chơi</t>
        </is>
      </c>
      <c r="S320" s="9" t="inlineStr">
        <is>
          <t>Tuyệt đối không đưa vào CRM (Vi phạm Bộ lọc Âm tính Mục 5)</t>
        </is>
      </c>
    </row>
    <row r="321">
      <c r="A321" s="53" t="n">
        <v>1283</v>
      </c>
      <c r="B321" s="12" t="inlineStr">
        <is>
          <t>Encompass Farming</t>
        </is>
      </c>
      <c r="C321" s="54" t="inlineStr">
        <is>
          <t>https://www.facebook.com/profile.php?id=100095463375885</t>
        </is>
      </c>
      <c r="D321" s="6" t="inlineStr">
        <is>
          <t>Cần quét Bio Fanpage</t>
        </is>
      </c>
      <c r="E321" s="53" t="inlineStr">
        <is>
          <t>13/10/2026 01:45:48</t>
        </is>
      </c>
      <c r="F321" s="53" t="inlineStr">
        <is>
          <t>1 giờ trước</t>
        </is>
      </c>
      <c r="G321" s="55" t="n">
        <v>0.04</v>
      </c>
      <c r="H321" s="56" t="n">
        <v>35</v>
      </c>
      <c r="I321" s="6" t="inlineStr">
        <is>
          <t>Pet Owner / Cộng đồng nuôi cún (10đ)</t>
        </is>
      </c>
      <c r="J321" s="56" t="n">
        <v>10</v>
      </c>
      <c r="K321" s="6" t="inlineStr">
        <is>
          <t>Chưa rõ giống (Cần quét Bio)</t>
        </is>
      </c>
      <c r="L321" s="56" t="n">
        <v>0</v>
      </c>
      <c r="M321" s="56" t="n">
        <v>0</v>
      </c>
      <c r="N321" s="6" t="inlineStr">
        <is>
          <t>Amazon link not found</t>
        </is>
      </c>
      <c r="O321" s="56">
        <f>IF(N321="Selling pet toys + Artificial grass/Pet toilets (TARGET)",15,IF(N321="Selling artificial grass/pet toilets (TARGET)",10,IF(N321="Selling pet toys",7,IF(N321="There's an Amazon link, but no target sales.",3,0))))</f>
        <v/>
      </c>
      <c r="P321" s="65">
        <f>H321+J321+L321+M321+O321</f>
        <v/>
      </c>
      <c r="Q321" s="71" t="inlineStr">
        <is>
          <t>Excluded: Trang Chung / Không rõ Ngách Cún cưng</t>
        </is>
      </c>
      <c r="R321" s="6" t="inlineStr">
        <is>
          <t>Khay vệ sinh chung cư (Indoor Potty) + Thảm cỏ ban công (Grass Patch) + Đồ chơi</t>
        </is>
      </c>
      <c r="S321" s="6" t="inlineStr">
        <is>
          <t>Tuyệt đối không đưa vào CRM (Vi phạm Bộ lọc Âm tính Mục 5)</t>
        </is>
      </c>
    </row>
    <row r="322">
      <c r="A322" s="59" t="n">
        <v>484</v>
      </c>
      <c r="B322" s="15" t="inlineStr">
        <is>
          <t>Animales Lumbreras</t>
        </is>
      </c>
      <c r="C322" s="60" t="inlineStr">
        <is>
          <t>https://www.facebook.com/AnimalesLumbreras</t>
        </is>
      </c>
      <c r="D322" s="9" t="inlineStr">
        <is>
          <t>Cần quét Bio Fanpage</t>
        </is>
      </c>
      <c r="E322" s="59" t="inlineStr">
        <is>
          <t>13/10/2026 01:45:20</t>
        </is>
      </c>
      <c r="F322" s="59" t="inlineStr">
        <is>
          <t>1 phút trước</t>
        </is>
      </c>
      <c r="G322" s="61" t="n">
        <v>0</v>
      </c>
      <c r="H322" s="62" t="n">
        <v>35</v>
      </c>
      <c r="I322" s="9" t="inlineStr">
        <is>
          <t>Pet Owner / Cộng đồng nuôi cún (10đ)</t>
        </is>
      </c>
      <c r="J322" s="62" t="n">
        <v>10</v>
      </c>
      <c r="K322" s="9" t="inlineStr">
        <is>
          <t>Chưa rõ giống (Cần quét Bio)</t>
        </is>
      </c>
      <c r="L322" s="62" t="n">
        <v>0</v>
      </c>
      <c r="M322" s="62" t="n">
        <v>0</v>
      </c>
      <c r="N322" s="9" t="inlineStr">
        <is>
          <t>Amazon link not found</t>
        </is>
      </c>
      <c r="O322" s="62">
        <f>IF(N322="Selling pet toys + Artificial grass/Pet toilets (TARGET)",15,IF(N322="Selling artificial grass/pet toilets (TARGET)",10,IF(N322="Selling pet toys",7,IF(N322="There's an Amazon link, but no target sales.",3,0))))</f>
        <v/>
      </c>
      <c r="P322" s="67">
        <f>H322+J322+L322+M322+O322</f>
        <v/>
      </c>
      <c r="Q322" s="70" t="inlineStr">
        <is>
          <t>Excluded: Trang Chung / Không rõ Ngách Cún cưng</t>
        </is>
      </c>
      <c r="R322" s="9" t="inlineStr">
        <is>
          <t>Khay vệ sinh chung cư (Indoor Potty) + Thảm cỏ ban công (Grass Patch) + Đồ chơi</t>
        </is>
      </c>
      <c r="S322" s="9" t="inlineStr">
        <is>
          <t>Tuyệt đối không đưa vào CRM (Vi phạm Bộ lọc Âm tính Mục 5)</t>
        </is>
      </c>
    </row>
    <row r="323">
      <c r="A323" s="53" t="n">
        <v>2377</v>
      </c>
      <c r="B323" s="12" t="inlineStr">
        <is>
          <t>Our Farmacy</t>
        </is>
      </c>
      <c r="C323" s="54" t="inlineStr">
        <is>
          <t>https://www.facebook.com/mentalwellnessfarms</t>
        </is>
      </c>
      <c r="D323" s="6" t="inlineStr">
        <is>
          <t>Cần quét Bio Fanpage</t>
        </is>
      </c>
      <c r="E323" s="53" t="inlineStr">
        <is>
          <t>13/10/2026 01:43:04</t>
        </is>
      </c>
      <c r="F323" s="53" t="inlineStr">
        <is>
          <t>3 giờ trước</t>
        </is>
      </c>
      <c r="G323" s="55" t="n">
        <v>0.12</v>
      </c>
      <c r="H323" s="56" t="n">
        <v>35</v>
      </c>
      <c r="I323" s="6" t="inlineStr">
        <is>
          <t>Pet Owner / Cộng đồng nuôi cún (10đ)</t>
        </is>
      </c>
      <c r="J323" s="56" t="n">
        <v>10</v>
      </c>
      <c r="K323" s="6" t="inlineStr">
        <is>
          <t>Chưa rõ giống (Cần quét Bio)</t>
        </is>
      </c>
      <c r="L323" s="56" t="n">
        <v>0</v>
      </c>
      <c r="M323" s="56" t="n">
        <v>0</v>
      </c>
      <c r="N323" s="6" t="inlineStr">
        <is>
          <t>Amazon link not found</t>
        </is>
      </c>
      <c r="O323" s="56">
        <f>IF(N323="Selling pet toys + Artificial grass/Pet toilets (TARGET)",15,IF(N323="Selling artificial grass/pet toilets (TARGET)",10,IF(N323="Selling pet toys",7,IF(N323="There's an Amazon link, but no target sales.",3,0))))</f>
        <v/>
      </c>
      <c r="P323" s="65">
        <f>H323+J323+L323+M323+O323</f>
        <v/>
      </c>
      <c r="Q323" s="71" t="inlineStr">
        <is>
          <t>Excluded: Trang Chung / Không rõ Ngách Cún cưng</t>
        </is>
      </c>
      <c r="R323" s="6" t="inlineStr">
        <is>
          <t>Khay vệ sinh chung cư (Indoor Potty) + Thảm cỏ ban công (Grass Patch) + Đồ chơi</t>
        </is>
      </c>
      <c r="S323" s="6" t="inlineStr">
        <is>
          <t>Tuyệt đối không đưa vào CRM (Vi phạm Bộ lọc Âm tính Mục 5)</t>
        </is>
      </c>
    </row>
    <row r="324">
      <c r="A324" s="59" t="n">
        <v>2642</v>
      </c>
      <c r="B324" s="15" t="inlineStr">
        <is>
          <t>Protectora de animales LASA - La Sonrisa Animal de Sevilla</t>
        </is>
      </c>
      <c r="C324" s="60" t="inlineStr">
        <is>
          <t>https://www.facebook.com/Protectora.LASA.Sevilla</t>
        </is>
      </c>
      <c r="D324" s="9" t="inlineStr">
        <is>
          <t>Cần quét Bio Fanpage</t>
        </is>
      </c>
      <c r="E324" s="59" t="inlineStr">
        <is>
          <t>13/10/2026 01:41:32</t>
        </is>
      </c>
      <c r="F324" s="59" t="inlineStr">
        <is>
          <t>3 giờ trước</t>
        </is>
      </c>
      <c r="G324" s="61" t="n">
        <v>0.12</v>
      </c>
      <c r="H324" s="62" t="n">
        <v>35</v>
      </c>
      <c r="I324" s="9" t="inlineStr">
        <is>
          <t>Pet Owner / Cộng đồng nuôi cún (10đ)</t>
        </is>
      </c>
      <c r="J324" s="62" t="n">
        <v>10</v>
      </c>
      <c r="K324" s="9" t="inlineStr">
        <is>
          <t>Chưa rõ giống (Cần quét Bio)</t>
        </is>
      </c>
      <c r="L324" s="62" t="n">
        <v>0</v>
      </c>
      <c r="M324" s="62" t="n">
        <v>0</v>
      </c>
      <c r="N324" s="9" t="inlineStr">
        <is>
          <t>Amazon link not found</t>
        </is>
      </c>
      <c r="O324" s="62">
        <f>IF(N324="Selling pet toys + Artificial grass/Pet toilets (TARGET)",15,IF(N324="Selling artificial grass/pet toilets (TARGET)",10,IF(N324="Selling pet toys",7,IF(N324="There's an Amazon link, but no target sales.",3,0))))</f>
        <v/>
      </c>
      <c r="P324" s="67">
        <f>H324+J324+L324+M324+O324</f>
        <v/>
      </c>
      <c r="Q324" s="70" t="inlineStr">
        <is>
          <t>Excluded: Trang Chung / Không rõ Ngách Cún cưng</t>
        </is>
      </c>
      <c r="R324" s="9" t="inlineStr">
        <is>
          <t>Khay vệ sinh chung cư (Indoor Potty) + Thảm cỏ ban công (Grass Patch) + Đồ chơi</t>
        </is>
      </c>
      <c r="S324" s="9" t="inlineStr">
        <is>
          <t>Tuyệt đối không đưa vào CRM (Vi phạm Bộ lọc Âm tính Mục 5)</t>
        </is>
      </c>
    </row>
    <row r="325">
      <c r="A325" s="53" t="n">
        <v>1041</v>
      </c>
      <c r="B325" s="12" t="inlineStr">
        <is>
          <t>Disgruntled Vets</t>
        </is>
      </c>
      <c r="C325" s="54" t="inlineStr">
        <is>
          <t>https://www.facebook.com/DisgruntledVets</t>
        </is>
      </c>
      <c r="D325" s="6" t="inlineStr">
        <is>
          <t>Cần quét Bio Fanpage</t>
        </is>
      </c>
      <c r="E325" s="53" t="inlineStr">
        <is>
          <t>13/10/2026 01:30:04</t>
        </is>
      </c>
      <c r="F325" s="53" t="inlineStr">
        <is>
          <t>1 giờ trước</t>
        </is>
      </c>
      <c r="G325" s="55" t="n">
        <v>0.04</v>
      </c>
      <c r="H325" s="56" t="n">
        <v>35</v>
      </c>
      <c r="I325" s="6" t="inlineStr">
        <is>
          <t>Pet Owner / Cộng đồng nuôi cún (10đ)</t>
        </is>
      </c>
      <c r="J325" s="56" t="n">
        <v>10</v>
      </c>
      <c r="K325" s="6" t="inlineStr">
        <is>
          <t>Chưa rõ giống (Cần quét Bio)</t>
        </is>
      </c>
      <c r="L325" s="56" t="n">
        <v>0</v>
      </c>
      <c r="M325" s="56" t="n">
        <v>0</v>
      </c>
      <c r="N325" s="6" t="inlineStr">
        <is>
          <t>Amazon link not found</t>
        </is>
      </c>
      <c r="O325" s="56">
        <f>IF(N325="Selling pet toys + Artificial grass/Pet toilets (TARGET)",15,IF(N325="Selling artificial grass/pet toilets (TARGET)",10,IF(N325="Selling pet toys",7,IF(N325="There's an Amazon link, but no target sales.",3,0))))</f>
        <v/>
      </c>
      <c r="P325" s="65">
        <f>H325+J325+L325+M325+O325</f>
        <v/>
      </c>
      <c r="Q325" s="71" t="inlineStr">
        <is>
          <t>Excluded: Trang Chung / Không rõ Ngách Cún cưng</t>
        </is>
      </c>
      <c r="R325" s="6" t="inlineStr">
        <is>
          <t>Khay vệ sinh chung cư (Indoor Potty) + Thảm cỏ ban công (Grass Patch) + Đồ chơi</t>
        </is>
      </c>
      <c r="S325" s="6" t="inlineStr">
        <is>
          <t>Tuyệt đối không đưa vào CRM (Vi phạm Bộ lọc Âm tính Mục 5)</t>
        </is>
      </c>
    </row>
    <row r="326">
      <c r="A326" s="59" t="n">
        <v>2401</v>
      </c>
      <c r="B326" s="15" t="inlineStr">
        <is>
          <t>Passion animale</t>
        </is>
      </c>
      <c r="C326" s="60" t="inlineStr">
        <is>
          <t>https://www.facebook.com/lesanimauxstopmaltraitance</t>
        </is>
      </c>
      <c r="D326" s="9" t="inlineStr">
        <is>
          <t>Cần quét Bio Fanpage</t>
        </is>
      </c>
      <c r="E326" s="59" t="inlineStr">
        <is>
          <t>13/10/2026 01:25:19</t>
        </is>
      </c>
      <c r="F326" s="59" t="inlineStr">
        <is>
          <t>3 giờ trước</t>
        </is>
      </c>
      <c r="G326" s="61" t="n">
        <v>0.12</v>
      </c>
      <c r="H326" s="62" t="n">
        <v>35</v>
      </c>
      <c r="I326" s="9" t="inlineStr">
        <is>
          <t>Pet Owner / Cộng đồng nuôi cún (10đ)</t>
        </is>
      </c>
      <c r="J326" s="62" t="n">
        <v>10</v>
      </c>
      <c r="K326" s="9" t="inlineStr">
        <is>
          <t>Chưa rõ giống (Cần quét Bio)</t>
        </is>
      </c>
      <c r="L326" s="62" t="n">
        <v>0</v>
      </c>
      <c r="M326" s="62" t="n">
        <v>0</v>
      </c>
      <c r="N326" s="9" t="inlineStr">
        <is>
          <t>Amazon link not found</t>
        </is>
      </c>
      <c r="O326" s="62">
        <f>IF(N326="Selling pet toys + Artificial grass/Pet toilets (TARGET)",15,IF(N326="Selling artificial grass/pet toilets (TARGET)",10,IF(N326="Selling pet toys",7,IF(N326="There's an Amazon link, but no target sales.",3,0))))</f>
        <v/>
      </c>
      <c r="P326" s="67">
        <f>H326+J326+L326+M326+O326</f>
        <v/>
      </c>
      <c r="Q326" s="70" t="inlineStr">
        <is>
          <t>Excluded: Trang Chung / Không rõ Ngách Cún cưng</t>
        </is>
      </c>
      <c r="R326" s="9" t="inlineStr">
        <is>
          <t>Khay vệ sinh chung cư (Indoor Potty) + Thảm cỏ ban công (Grass Patch) + Đồ chơi</t>
        </is>
      </c>
      <c r="S326" s="9" t="inlineStr">
        <is>
          <t>Tuyệt đối không đưa vào CRM (Vi phạm Bộ lọc Âm tính Mục 5)</t>
        </is>
      </c>
    </row>
    <row r="327">
      <c r="A327" s="53" t="n">
        <v>2234</v>
      </c>
      <c r="B327" s="12" t="inlineStr">
        <is>
          <t>mundoanimalpagina</t>
        </is>
      </c>
      <c r="C327" s="54" t="inlineStr">
        <is>
          <t>https://www.facebook.com/mundoanimalpagina</t>
        </is>
      </c>
      <c r="D327" s="6" t="inlineStr">
        <is>
          <t>Cần quét Bio Fanpage</t>
        </is>
      </c>
      <c r="E327" s="53" t="inlineStr">
        <is>
          <t>13/10/2026 01:25:01</t>
        </is>
      </c>
      <c r="F327" s="53" t="inlineStr">
        <is>
          <t>3 giờ trước</t>
        </is>
      </c>
      <c r="G327" s="55" t="n">
        <v>0.12</v>
      </c>
      <c r="H327" s="56" t="n">
        <v>35</v>
      </c>
      <c r="I327" s="6" t="inlineStr">
        <is>
          <t>Pet Owner / Cộng đồng nuôi cún (10đ)</t>
        </is>
      </c>
      <c r="J327" s="56" t="n">
        <v>10</v>
      </c>
      <c r="K327" s="6" t="inlineStr">
        <is>
          <t>Chưa rõ giống (Cần quét Bio)</t>
        </is>
      </c>
      <c r="L327" s="56" t="n">
        <v>0</v>
      </c>
      <c r="M327" s="56" t="n">
        <v>0</v>
      </c>
      <c r="N327" s="6" t="inlineStr">
        <is>
          <t>Amazon link not found</t>
        </is>
      </c>
      <c r="O327" s="56">
        <f>IF(N327="Selling pet toys + Artificial grass/Pet toilets (TARGET)",15,IF(N327="Selling artificial grass/pet toilets (TARGET)",10,IF(N327="Selling pet toys",7,IF(N327="There's an Amazon link, but no target sales.",3,0))))</f>
        <v/>
      </c>
      <c r="P327" s="65">
        <f>H327+J327+L327+M327+O327</f>
        <v/>
      </c>
      <c r="Q327" s="71" t="inlineStr">
        <is>
          <t>Excluded: Trang Chung / Không rõ Ngách Cún cưng</t>
        </is>
      </c>
      <c r="R327" s="6" t="inlineStr">
        <is>
          <t>Khay vệ sinh chung cư (Indoor Potty) + Thảm cỏ ban công (Grass Patch) + Đồ chơi</t>
        </is>
      </c>
      <c r="S327" s="6" t="inlineStr">
        <is>
          <t>Tuyệt đối không đưa vào CRM (Vi phạm Bộ lọc Âm tính Mục 5)</t>
        </is>
      </c>
    </row>
    <row r="328">
      <c r="A328" s="59" t="n">
        <v>1010</v>
      </c>
      <c r="B328" s="15" t="inlineStr">
        <is>
          <t>Facebook User</t>
        </is>
      </c>
      <c r="C328" s="60" t="inlineStr">
        <is>
          <t>https://www.facebook.com/profile.php?id=61561902706482</t>
        </is>
      </c>
      <c r="D328" s="9" t="inlineStr">
        <is>
          <t>Cần quét Bio Fanpage</t>
        </is>
      </c>
      <c r="E328" s="59" t="inlineStr">
        <is>
          <t>13/10/2026 01:21:50</t>
        </is>
      </c>
      <c r="F328" s="59" t="inlineStr">
        <is>
          <t>1 giờ trước</t>
        </is>
      </c>
      <c r="G328" s="61" t="n">
        <v>0.04</v>
      </c>
      <c r="H328" s="62" t="n">
        <v>35</v>
      </c>
      <c r="I328" s="9" t="inlineStr">
        <is>
          <t>Pet Owner / Cộng đồng nuôi cún (10đ)</t>
        </is>
      </c>
      <c r="J328" s="62" t="n">
        <v>10</v>
      </c>
      <c r="K328" s="9" t="inlineStr">
        <is>
          <t>Chưa rõ giống (Cần quét Bio)</t>
        </is>
      </c>
      <c r="L328" s="62" t="n">
        <v>0</v>
      </c>
      <c r="M328" s="62" t="n">
        <v>0</v>
      </c>
      <c r="N328" s="9" t="inlineStr">
        <is>
          <t>Amazon link not found</t>
        </is>
      </c>
      <c r="O328" s="62">
        <f>IF(N328="Selling pet toys + Artificial grass/Pet toilets (TARGET)",15,IF(N328="Selling artificial grass/pet toilets (TARGET)",10,IF(N328="Selling pet toys",7,IF(N328="There's an Amazon link, but no target sales.",3,0))))</f>
        <v/>
      </c>
      <c r="P328" s="67">
        <f>H328+J328+L328+M328+O328</f>
        <v/>
      </c>
      <c r="Q328" s="70" t="inlineStr">
        <is>
          <t>Excluded: Hồ sơ Ẩn danh (Facebook User)</t>
        </is>
      </c>
      <c r="R328" s="9" t="inlineStr">
        <is>
          <t>Khay vệ sinh chung cư (Indoor Potty) + Thảm cỏ ban công (Grass Patch) + Đồ chơi</t>
        </is>
      </c>
      <c r="S328" s="9" t="inlineStr">
        <is>
          <t>Tuyệt đối không đưa vào CRM (Vi phạm Bộ lọc Âm tính Mục 5)</t>
        </is>
      </c>
    </row>
    <row r="329">
      <c r="A329" s="53" t="n">
        <v>471</v>
      </c>
      <c r="B329" s="12" t="inlineStr">
        <is>
          <t>AnimalPlanet</t>
        </is>
      </c>
      <c r="C329" s="54" t="inlineStr">
        <is>
          <t>https://www.facebook.com/AnimalPlanet</t>
        </is>
      </c>
      <c r="D329" s="6" t="inlineStr">
        <is>
          <t>Cần quét Bio Fanpage</t>
        </is>
      </c>
      <c r="E329" s="53" t="inlineStr">
        <is>
          <t>13/10/2026 01:01:06</t>
        </is>
      </c>
      <c r="F329" s="53" t="inlineStr">
        <is>
          <t>44 phút trước</t>
        </is>
      </c>
      <c r="G329" s="55" t="n">
        <v>0.03</v>
      </c>
      <c r="H329" s="56" t="n">
        <v>35</v>
      </c>
      <c r="I329" s="6" t="inlineStr">
        <is>
          <t>Pet Owner / Cộng đồng nuôi cún (10đ)</t>
        </is>
      </c>
      <c r="J329" s="56" t="n">
        <v>10</v>
      </c>
      <c r="K329" s="6" t="inlineStr">
        <is>
          <t>Chưa rõ giống (Cần quét Bio)</t>
        </is>
      </c>
      <c r="L329" s="56" t="n">
        <v>0</v>
      </c>
      <c r="M329" s="56" t="n">
        <v>0</v>
      </c>
      <c r="N329" s="6" t="inlineStr">
        <is>
          <t>Amazon link not found</t>
        </is>
      </c>
      <c r="O329" s="56">
        <f>IF(N329="Selling pet toys + Artificial grass/Pet toilets (TARGET)",15,IF(N329="Selling artificial grass/pet toilets (TARGET)",10,IF(N329="Selling pet toys",7,IF(N329="There's an Amazon link, but no target sales.",3,0))))</f>
        <v/>
      </c>
      <c r="P329" s="65">
        <f>H329+J329+L329+M329+O329</f>
        <v/>
      </c>
      <c r="Q329" s="71" t="inlineStr">
        <is>
          <t>Excluded: Trang Chung / Không rõ Ngách Cún cưng</t>
        </is>
      </c>
      <c r="R329" s="6" t="inlineStr">
        <is>
          <t>Khay vệ sinh chung cư (Indoor Potty) + Thảm cỏ ban công (Grass Patch) + Đồ chơi</t>
        </is>
      </c>
      <c r="S329" s="6" t="inlineStr">
        <is>
          <t>Tuyệt đối không đưa vào CRM (Vi phạm Bộ lọc Âm tính Mục 5)</t>
        </is>
      </c>
    </row>
    <row r="330">
      <c r="A330" s="59" t="n">
        <v>1347</v>
      </c>
      <c r="B330" s="15" t="inlineStr">
        <is>
          <t>Farmers Weekly</t>
        </is>
      </c>
      <c r="C330" s="60" t="inlineStr">
        <is>
          <t>https://www.facebook.com/farmersweeklyuk</t>
        </is>
      </c>
      <c r="D330" s="9" t="inlineStr">
        <is>
          <t>Cần quét Bio Fanpage</t>
        </is>
      </c>
      <c r="E330" s="59" t="inlineStr">
        <is>
          <t>13/10/2026 01:00:23</t>
        </is>
      </c>
      <c r="F330" s="59" t="inlineStr">
        <is>
          <t>2 giờ trước</t>
        </is>
      </c>
      <c r="G330" s="61" t="n">
        <v>0.08</v>
      </c>
      <c r="H330" s="62" t="n">
        <v>35</v>
      </c>
      <c r="I330" s="9" t="inlineStr">
        <is>
          <t>Pet Owner / Cộng đồng nuôi cún (10đ)</t>
        </is>
      </c>
      <c r="J330" s="62" t="n">
        <v>10</v>
      </c>
      <c r="K330" s="9" t="inlineStr">
        <is>
          <t>Chưa rõ giống (Cần quét Bio)</t>
        </is>
      </c>
      <c r="L330" s="62" t="n">
        <v>0</v>
      </c>
      <c r="M330" s="62" t="n">
        <v>0</v>
      </c>
      <c r="N330" s="9" t="inlineStr">
        <is>
          <t>Amazon link not found</t>
        </is>
      </c>
      <c r="O330" s="62">
        <f>IF(N330="Selling pet toys + Artificial grass/Pet toilets (TARGET)",15,IF(N330="Selling artificial grass/pet toilets (TARGET)",10,IF(N330="Selling pet toys",7,IF(N330="There's an Amazon link, but no target sales.",3,0))))</f>
        <v/>
      </c>
      <c r="P330" s="67">
        <f>H330+J330+L330+M330+O330</f>
        <v/>
      </c>
      <c r="Q330" s="70" t="inlineStr">
        <is>
          <t>Excluded: Trang Chung / Không rõ Ngách Cún cưng</t>
        </is>
      </c>
      <c r="R330" s="9" t="inlineStr">
        <is>
          <t>Khay vệ sinh chung cư (Indoor Potty) + Thảm cỏ ban công (Grass Patch) + Đồ chơi</t>
        </is>
      </c>
      <c r="S330" s="9" t="inlineStr">
        <is>
          <t>Tuyệt đối không đưa vào CRM (Vi phạm Bộ lọc Âm tính Mục 5)</t>
        </is>
      </c>
    </row>
    <row r="331">
      <c r="A331" s="53" t="n">
        <v>276</v>
      </c>
      <c r="B331" s="12" t="inlineStr">
        <is>
          <t>Taverham Vets</t>
        </is>
      </c>
      <c r="C331" s="54" t="inlineStr">
        <is>
          <t>https://www.facebook.com/Taverhamvet</t>
        </is>
      </c>
      <c r="D331" s="6" t="inlineStr">
        <is>
          <t>Cần quét Bio Fanpage</t>
        </is>
      </c>
      <c r="E331" s="53" t="inlineStr">
        <is>
          <t>13/10/2026 01:00:16</t>
        </is>
      </c>
      <c r="F331" s="53" t="inlineStr">
        <is>
          <t>24 phút trước</t>
        </is>
      </c>
      <c r="G331" s="55" t="n">
        <v>0.02</v>
      </c>
      <c r="H331" s="56" t="n">
        <v>35</v>
      </c>
      <c r="I331" s="6" t="inlineStr">
        <is>
          <t>Pet Owner / Cộng đồng nuôi cún (10đ)</t>
        </is>
      </c>
      <c r="J331" s="56" t="n">
        <v>10</v>
      </c>
      <c r="K331" s="6" t="inlineStr">
        <is>
          <t>Chưa rõ giống (Cần quét Bio)</t>
        </is>
      </c>
      <c r="L331" s="56" t="n">
        <v>0</v>
      </c>
      <c r="M331" s="56" t="n">
        <v>0</v>
      </c>
      <c r="N331" s="6" t="inlineStr">
        <is>
          <t>Amazon link not found</t>
        </is>
      </c>
      <c r="O331" s="56">
        <f>IF(N331="Selling pet toys + Artificial grass/Pet toilets (TARGET)",15,IF(N331="Selling artificial grass/pet toilets (TARGET)",10,IF(N331="Selling pet toys",7,IF(N331="There's an Amazon link, but no target sales.",3,0))))</f>
        <v/>
      </c>
      <c r="P331" s="65">
        <f>H331+J331+L331+M331+O331</f>
        <v/>
      </c>
      <c r="Q331" s="71" t="inlineStr">
        <is>
          <t>Excluded: Trang Chung / Không rõ Ngách Cún cưng</t>
        </is>
      </c>
      <c r="R331" s="6" t="inlineStr">
        <is>
          <t>Khay vệ sinh chung cư (Indoor Potty) + Thảm cỏ ban công (Grass Patch) + Đồ chơi</t>
        </is>
      </c>
      <c r="S331" s="6" t="inlineStr">
        <is>
          <t>Tuyệt đối không đưa vào CRM (Vi phạm Bộ lọc Âm tính Mục 5)</t>
        </is>
      </c>
    </row>
    <row r="332">
      <c r="A332" s="59" t="n">
        <v>127</v>
      </c>
      <c r="B332" s="15" t="inlineStr">
        <is>
          <t>BuzzFeedAnimals</t>
        </is>
      </c>
      <c r="C332" s="60" t="inlineStr">
        <is>
          <t>https://www.facebook.com/BuzzFeedAnimals</t>
        </is>
      </c>
      <c r="D332" s="9" t="inlineStr">
        <is>
          <t>Cần quét Bio Fanpage</t>
        </is>
      </c>
      <c r="E332" s="59" t="inlineStr">
        <is>
          <t>13/10/2026 01:00:07</t>
        </is>
      </c>
      <c r="F332" s="59" t="inlineStr">
        <is>
          <t>8 phút trước</t>
        </is>
      </c>
      <c r="G332" s="61" t="n">
        <v>0.01</v>
      </c>
      <c r="H332" s="62" t="n">
        <v>35</v>
      </c>
      <c r="I332" s="9" t="inlineStr">
        <is>
          <t>Pet Owner / Cộng đồng nuôi cún (10đ)</t>
        </is>
      </c>
      <c r="J332" s="62" t="n">
        <v>10</v>
      </c>
      <c r="K332" s="9" t="inlineStr">
        <is>
          <t>Chưa rõ giống (Cần quét Bio)</t>
        </is>
      </c>
      <c r="L332" s="62" t="n">
        <v>0</v>
      </c>
      <c r="M332" s="62" t="n">
        <v>0</v>
      </c>
      <c r="N332" s="9" t="inlineStr">
        <is>
          <t>Amazon link not found</t>
        </is>
      </c>
      <c r="O332" s="62">
        <f>IF(N332="Selling pet toys + Artificial grass/Pet toilets (TARGET)",15,IF(N332="Selling artificial grass/pet toilets (TARGET)",10,IF(N332="Selling pet toys",7,IF(N332="There's an Amazon link, but no target sales.",3,0))))</f>
        <v/>
      </c>
      <c r="P332" s="67">
        <f>H332+J332+L332+M332+O332</f>
        <v/>
      </c>
      <c r="Q332" s="70" t="inlineStr">
        <is>
          <t>Excluded: Trang Chung / Không rõ Ngách Cún cưng</t>
        </is>
      </c>
      <c r="R332" s="9" t="inlineStr">
        <is>
          <t>Khay vệ sinh chung cư (Indoor Potty) + Thảm cỏ ban công (Grass Patch) + Đồ chơi</t>
        </is>
      </c>
      <c r="S332" s="9" t="inlineStr">
        <is>
          <t>Tuyệt đối không đưa vào CRM (Vi phạm Bộ lọc Âm tính Mục 5)</t>
        </is>
      </c>
    </row>
    <row r="333">
      <c r="A333" s="53" t="n">
        <v>1428</v>
      </c>
      <c r="B333" s="12" t="inlineStr">
        <is>
          <t>FP Animal Therapy Centre</t>
        </is>
      </c>
      <c r="C333" s="54" t="inlineStr">
        <is>
          <t>https://www.facebook.com/FPAnimalTherapyCentre</t>
        </is>
      </c>
      <c r="D333" s="6" t="inlineStr">
        <is>
          <t>Cần quét Bio Fanpage</t>
        </is>
      </c>
      <c r="E333" s="53" t="inlineStr">
        <is>
          <t>13/10/2026 00:59:09</t>
        </is>
      </c>
      <c r="F333" s="53" t="inlineStr">
        <is>
          <t>2 giờ trước</t>
        </is>
      </c>
      <c r="G333" s="55" t="n">
        <v>0.08</v>
      </c>
      <c r="H333" s="56" t="n">
        <v>35</v>
      </c>
      <c r="I333" s="6" t="inlineStr">
        <is>
          <t>Pet Owner / Cộng đồng nuôi cún (10đ)</t>
        </is>
      </c>
      <c r="J333" s="56" t="n">
        <v>10</v>
      </c>
      <c r="K333" s="6" t="inlineStr">
        <is>
          <t>Chưa rõ giống (Cần quét Bio)</t>
        </is>
      </c>
      <c r="L333" s="56" t="n">
        <v>0</v>
      </c>
      <c r="M333" s="56" t="n">
        <v>0</v>
      </c>
      <c r="N333" s="6" t="inlineStr">
        <is>
          <t>Amazon link not found</t>
        </is>
      </c>
      <c r="O333" s="56">
        <f>IF(N333="Selling pet toys + Artificial grass/Pet toilets (TARGET)",15,IF(N333="Selling artificial grass/pet toilets (TARGET)",10,IF(N333="Selling pet toys",7,IF(N333="There's an Amazon link, but no target sales.",3,0))))</f>
        <v/>
      </c>
      <c r="P333" s="65">
        <f>H333+J333+L333+M333+O333</f>
        <v/>
      </c>
      <c r="Q333" s="71" t="inlineStr">
        <is>
          <t>Excluded: Trang Chung / Không rõ Ngách Cún cưng</t>
        </is>
      </c>
      <c r="R333" s="6" t="inlineStr">
        <is>
          <t>Khay vệ sinh chung cư (Indoor Potty) + Thảm cỏ ban công (Grass Patch) + Đồ chơi</t>
        </is>
      </c>
      <c r="S333" s="6" t="inlineStr">
        <is>
          <t>Tuyệt đối không đưa vào CRM (Vi phạm Bộ lọc Âm tính Mục 5)</t>
        </is>
      </c>
    </row>
    <row r="334">
      <c r="A334" s="59" t="n">
        <v>29</v>
      </c>
      <c r="B334" s="15" t="inlineStr">
        <is>
          <t>Pure Dog Talk</t>
        </is>
      </c>
      <c r="C334" s="60" t="inlineStr">
        <is>
          <t>https://www.facebook.com/PureDogTalk</t>
        </is>
      </c>
      <c r="D334" s="9" t="inlineStr">
        <is>
          <t>Cần quét Bio Fanpage</t>
        </is>
      </c>
      <c r="E334" s="59" t="inlineStr">
        <is>
          <t>13/10/2026 00:56:30</t>
        </is>
      </c>
      <c r="F334" s="59" t="inlineStr">
        <is>
          <t>1 phút trước</t>
        </is>
      </c>
      <c r="G334" s="61" t="n">
        <v>0</v>
      </c>
      <c r="H334" s="62" t="n">
        <v>35</v>
      </c>
      <c r="I334" s="9" t="inlineStr">
        <is>
          <t>Pet Owner / Cộng đồng nuôi cún (10đ)</t>
        </is>
      </c>
      <c r="J334" s="62" t="n">
        <v>10</v>
      </c>
      <c r="K334" s="9" t="inlineStr">
        <is>
          <t>Chưa rõ giống (Cần quét Bio)</t>
        </is>
      </c>
      <c r="L334" s="62" t="n">
        <v>0</v>
      </c>
      <c r="M334" s="62" t="n">
        <v>0</v>
      </c>
      <c r="N334" s="9" t="inlineStr">
        <is>
          <t>Amazon link not found</t>
        </is>
      </c>
      <c r="O334" s="62">
        <f>IF(N334="Selling pet toys + Artificial grass/Pet toilets (TARGET)",15,IF(N334="Selling artificial grass/pet toilets (TARGET)",10,IF(N334="Selling pet toys",7,IF(N334="There's an Amazon link, but no target sales.",3,0))))</f>
        <v/>
      </c>
      <c r="P334" s="67">
        <f>H334+J334+L334+M334+O334</f>
        <v/>
      </c>
      <c r="Q334" s="70" t="inlineStr">
        <is>
          <t>Excluded: Kênh Tin tức, Tạp chí &amp; Giải trí (Mục 5.3)</t>
        </is>
      </c>
      <c r="R334" s="9" t="inlineStr">
        <is>
          <t>Khay vệ sinh chung cư (Indoor Potty) + Thảm cỏ ban công (Grass Patch) + Đồ chơi</t>
        </is>
      </c>
      <c r="S334" s="9" t="inlineStr">
        <is>
          <t>Tuyệt đối không đưa vào CRM (Vi phạm Bộ lọc Âm tính Mục 5)</t>
        </is>
      </c>
    </row>
    <row r="335">
      <c r="A335" s="53" t="n">
        <v>1460</v>
      </c>
      <c r="B335" s="12" t="inlineStr">
        <is>
          <t>Friends for Animals of Metro Detroit</t>
        </is>
      </c>
      <c r="C335" s="54" t="inlineStr">
        <is>
          <t>https://www.facebook.com/MetroDetroitAnimals</t>
        </is>
      </c>
      <c r="D335" s="6" t="inlineStr">
        <is>
          <t>Cần quét Bio Fanpage</t>
        </is>
      </c>
      <c r="E335" s="53" t="inlineStr">
        <is>
          <t>13/10/2026 00:51:17</t>
        </is>
      </c>
      <c r="F335" s="53" t="inlineStr">
        <is>
          <t>2 giờ trước</t>
        </is>
      </c>
      <c r="G335" s="55" t="n">
        <v>0.08</v>
      </c>
      <c r="H335" s="56" t="n">
        <v>35</v>
      </c>
      <c r="I335" s="6" t="inlineStr">
        <is>
          <t>Pet Owner / Cộng đồng nuôi cún (10đ)</t>
        </is>
      </c>
      <c r="J335" s="56" t="n">
        <v>10</v>
      </c>
      <c r="K335" s="6" t="inlineStr">
        <is>
          <t>Chưa rõ giống (Cần quét Bio)</t>
        </is>
      </c>
      <c r="L335" s="56" t="n">
        <v>0</v>
      </c>
      <c r="M335" s="56" t="n">
        <v>0</v>
      </c>
      <c r="N335" s="6" t="inlineStr">
        <is>
          <t>Amazon link not found</t>
        </is>
      </c>
      <c r="O335" s="56">
        <f>IF(N335="Selling pet toys + Artificial grass/Pet toilets (TARGET)",15,IF(N335="Selling artificial grass/pet toilets (TARGET)",10,IF(N335="Selling pet toys",7,IF(N335="There's an Amazon link, but no target sales.",3,0))))</f>
        <v/>
      </c>
      <c r="P335" s="65">
        <f>H335+J335+L335+M335+O335</f>
        <v/>
      </c>
      <c r="Q335" s="71" t="inlineStr">
        <is>
          <t>Excluded: Trang Chung / Không rõ Ngách Cún cưng</t>
        </is>
      </c>
      <c r="R335" s="6" t="inlineStr">
        <is>
          <t>Khay vệ sinh chung cư (Indoor Potty) + Thảm cỏ ban công (Grass Patch) + Đồ chơi</t>
        </is>
      </c>
      <c r="S335" s="6" t="inlineStr">
        <is>
          <t>Tuyệt đối không đưa vào CRM (Vi phạm Bộ lọc Âm tính Mục 5)</t>
        </is>
      </c>
    </row>
    <row r="336">
      <c r="A336" s="59" t="n">
        <v>449</v>
      </c>
      <c r="B336" s="15" t="inlineStr">
        <is>
          <t>Animalchiropractorelite</t>
        </is>
      </c>
      <c r="C336" s="60" t="inlineStr">
        <is>
          <t>https://www.facebook.com/Animalchiropractorelite</t>
        </is>
      </c>
      <c r="D336" s="9" t="inlineStr">
        <is>
          <t>Cần quét Bio Fanpage</t>
        </is>
      </c>
      <c r="E336" s="59" t="inlineStr">
        <is>
          <t>13/10/2026 00:49:02</t>
        </is>
      </c>
      <c r="F336" s="59" t="inlineStr">
        <is>
          <t>54 phút trước</t>
        </is>
      </c>
      <c r="G336" s="61" t="n">
        <v>0.04</v>
      </c>
      <c r="H336" s="62" t="n">
        <v>35</v>
      </c>
      <c r="I336" s="9" t="inlineStr">
        <is>
          <t>Pet Owner / Cộng đồng nuôi cún (10đ)</t>
        </is>
      </c>
      <c r="J336" s="62" t="n">
        <v>10</v>
      </c>
      <c r="K336" s="9" t="inlineStr">
        <is>
          <t>Chưa rõ giống (Cần quét Bio)</t>
        </is>
      </c>
      <c r="L336" s="62" t="n">
        <v>0</v>
      </c>
      <c r="M336" s="62" t="n">
        <v>0</v>
      </c>
      <c r="N336" s="9" t="inlineStr">
        <is>
          <t>Amazon link not found</t>
        </is>
      </c>
      <c r="O336" s="62">
        <f>IF(N336="Selling pet toys + Artificial grass/Pet toilets (TARGET)",15,IF(N336="Selling artificial grass/pet toilets (TARGET)",10,IF(N336="Selling pet toys",7,IF(N336="There's an Amazon link, but no target sales.",3,0))))</f>
        <v/>
      </c>
      <c r="P336" s="67">
        <f>H336+J336+L336+M336+O336</f>
        <v/>
      </c>
      <c r="Q336" s="70" t="inlineStr">
        <is>
          <t>Excluded: Trang Chung / Không rõ Ngách Cún cưng</t>
        </is>
      </c>
      <c r="R336" s="9" t="inlineStr">
        <is>
          <t>Khay vệ sinh chung cư (Indoor Potty) + Thảm cỏ ban công (Grass Patch) + Đồ chơi</t>
        </is>
      </c>
      <c r="S336" s="9" t="inlineStr">
        <is>
          <t>Tuyệt đối không đưa vào CRM (Vi phạm Bộ lọc Âm tính Mục 5)</t>
        </is>
      </c>
    </row>
    <row r="337">
      <c r="A337" s="53" t="n">
        <v>338</v>
      </c>
      <c r="B337" s="12" t="inlineStr">
        <is>
          <t>ACTÜA-Asociación defensora de animales</t>
        </is>
      </c>
      <c r="C337" s="54" t="inlineStr">
        <is>
          <t>https://www.facebook.com/actua.animalista</t>
        </is>
      </c>
      <c r="D337" s="6" t="inlineStr">
        <is>
          <t>Cần quét Bio Fanpage</t>
        </is>
      </c>
      <c r="E337" s="53" t="inlineStr">
        <is>
          <t>13/10/2026 00:48:27</t>
        </is>
      </c>
      <c r="F337" s="53" t="inlineStr">
        <is>
          <t>43 phút trước</t>
        </is>
      </c>
      <c r="G337" s="55" t="n">
        <v>0.03</v>
      </c>
      <c r="H337" s="56" t="n">
        <v>35</v>
      </c>
      <c r="I337" s="6" t="inlineStr">
        <is>
          <t>Pet Owner / Cộng đồng nuôi cún (10đ)</t>
        </is>
      </c>
      <c r="J337" s="56" t="n">
        <v>10</v>
      </c>
      <c r="K337" s="6" t="inlineStr">
        <is>
          <t>Chưa rõ giống (Cần quét Bio)</t>
        </is>
      </c>
      <c r="L337" s="56" t="n">
        <v>0</v>
      </c>
      <c r="M337" s="56" t="n">
        <v>0</v>
      </c>
      <c r="N337" s="6" t="inlineStr">
        <is>
          <t>Amazon link not found</t>
        </is>
      </c>
      <c r="O337" s="56">
        <f>IF(N337="Selling pet toys + Artificial grass/Pet toilets (TARGET)",15,IF(N337="Selling artificial grass/pet toilets (TARGET)",10,IF(N337="Selling pet toys",7,IF(N337="There's an Amazon link, but no target sales.",3,0))))</f>
        <v/>
      </c>
      <c r="P337" s="65">
        <f>H337+J337+L337+M337+O337</f>
        <v/>
      </c>
      <c r="Q337" s="71" t="inlineStr">
        <is>
          <t>Excluded: Trang Chung / Không rõ Ngách Cún cưng</t>
        </is>
      </c>
      <c r="R337" s="6" t="inlineStr">
        <is>
          <t>Khay vệ sinh chung cư (Indoor Potty) + Thảm cỏ ban công (Grass Patch) + Đồ chơi</t>
        </is>
      </c>
      <c r="S337" s="6" t="inlineStr">
        <is>
          <t>Tuyệt đối không đưa vào CRM (Vi phạm Bộ lọc Âm tính Mục 5)</t>
        </is>
      </c>
    </row>
    <row r="338">
      <c r="A338" s="59" t="n">
        <v>10</v>
      </c>
      <c r="B338" s="15" t="inlineStr">
        <is>
          <t>National Purebred Dog Day</t>
        </is>
      </c>
      <c r="C338" s="60" t="inlineStr">
        <is>
          <t>https://www.facebook.com/NationalPurebredDogDay</t>
        </is>
      </c>
      <c r="D338" s="9" t="inlineStr">
        <is>
          <t>Cần quét Bio Fanpage</t>
        </is>
      </c>
      <c r="E338" s="59" t="inlineStr">
        <is>
          <t>13/10/2026 00:37:27</t>
        </is>
      </c>
      <c r="F338" s="59" t="inlineStr">
        <is>
          <t>18 phút trước</t>
        </is>
      </c>
      <c r="G338" s="61" t="n">
        <v>0.01</v>
      </c>
      <c r="H338" s="62" t="n">
        <v>35</v>
      </c>
      <c r="I338" s="9" t="inlineStr">
        <is>
          <t>Pet Owner / Cộng đồng nuôi cún (10đ)</t>
        </is>
      </c>
      <c r="J338" s="62" t="n">
        <v>10</v>
      </c>
      <c r="K338" s="9" t="inlineStr">
        <is>
          <t>Chưa rõ giống (Cần quét Bio)</t>
        </is>
      </c>
      <c r="L338" s="62" t="n">
        <v>0</v>
      </c>
      <c r="M338" s="62" t="n">
        <v>0</v>
      </c>
      <c r="N338" s="9" t="inlineStr">
        <is>
          <t>Amazon link not found</t>
        </is>
      </c>
      <c r="O338" s="62">
        <f>IF(N338="Selling pet toys + Artificial grass/Pet toilets (TARGET)",15,IF(N338="Selling artificial grass/pet toilets (TARGET)",10,IF(N338="Selling pet toys",7,IF(N338="There's an Amazon link, but no target sales.",3,0))))</f>
        <v/>
      </c>
      <c r="P338" s="67">
        <f>H338+J338+L338+M338+O338</f>
        <v/>
      </c>
      <c r="Q338" s="70" t="inlineStr">
        <is>
          <t>Excluded: Kênh Tin tức, Tạp chí &amp; Giải trí (Mục 5.3)</t>
        </is>
      </c>
      <c r="R338" s="9" t="inlineStr">
        <is>
          <t>Khay vệ sinh chung cư (Indoor Potty) + Thảm cỏ ban công (Grass Patch) + Đồ chơi</t>
        </is>
      </c>
      <c r="S338" s="9" t="inlineStr">
        <is>
          <t>Tuyệt đối không đưa vào CRM (Vi phạm Bộ lọc Âm tính Mục 5)</t>
        </is>
      </c>
    </row>
    <row r="339">
      <c r="A339" s="53" t="n">
        <v>34</v>
      </c>
      <c r="B339" s="12" t="inlineStr">
        <is>
          <t>Canadian Dog Fancier</t>
        </is>
      </c>
      <c r="C339" s="54" t="inlineStr">
        <is>
          <t>https://www.facebook.com/canadiandogfancier</t>
        </is>
      </c>
      <c r="D339" s="6" t="inlineStr">
        <is>
          <t>Cần quét Bio Fanpage</t>
        </is>
      </c>
      <c r="E339" s="53" t="inlineStr">
        <is>
          <t>13/10/2026 00:36:26</t>
        </is>
      </c>
      <c r="F339" s="53" t="inlineStr">
        <is>
          <t>22 phút trước</t>
        </is>
      </c>
      <c r="G339" s="55" t="n">
        <v>0.02</v>
      </c>
      <c r="H339" s="56" t="n">
        <v>35</v>
      </c>
      <c r="I339" s="6" t="inlineStr">
        <is>
          <t>Pet Owner / Cộng đồng nuôi cún (10đ)</t>
        </is>
      </c>
      <c r="J339" s="56" t="n">
        <v>10</v>
      </c>
      <c r="K339" s="6" t="inlineStr">
        <is>
          <t>Chưa rõ giống (Cần quét Bio)</t>
        </is>
      </c>
      <c r="L339" s="56" t="n">
        <v>0</v>
      </c>
      <c r="M339" s="56" t="n">
        <v>0</v>
      </c>
      <c r="N339" s="6" t="inlineStr">
        <is>
          <t>Amazon link not found</t>
        </is>
      </c>
      <c r="O339" s="56">
        <f>IF(N339="Selling pet toys + Artificial grass/Pet toilets (TARGET)",15,IF(N339="Selling artificial grass/pet toilets (TARGET)",10,IF(N339="Selling pet toys",7,IF(N339="There's an Amazon link, but no target sales.",3,0))))</f>
        <v/>
      </c>
      <c r="P339" s="65">
        <f>H339+J339+L339+M339+O339</f>
        <v/>
      </c>
      <c r="Q339" s="71" t="inlineStr">
        <is>
          <t>Excluded: Kênh Tin tức, Tạp chí &amp; Giải trí (Mục 5.3)</t>
        </is>
      </c>
      <c r="R339" s="6" t="inlineStr">
        <is>
          <t>Khay vệ sinh chung cư (Indoor Potty) + Thảm cỏ ban công (Grass Patch) + Đồ chơi</t>
        </is>
      </c>
      <c r="S339" s="6" t="inlineStr">
        <is>
          <t>Tuyệt đối không đưa vào CRM (Vi phạm Bộ lọc Âm tính Mục 5)</t>
        </is>
      </c>
    </row>
    <row r="340">
      <c r="A340" s="59" t="n">
        <v>252</v>
      </c>
      <c r="B340" s="15" t="inlineStr">
        <is>
          <t>Rescate Animal Del Sur</t>
        </is>
      </c>
      <c r="C340" s="60" t="inlineStr">
        <is>
          <t>https://www.facebook.com/profile.php?id=61555084228368</t>
        </is>
      </c>
      <c r="D340" s="9" t="inlineStr">
        <is>
          <t>Cần quét Bio Fanpage</t>
        </is>
      </c>
      <c r="E340" s="59" t="inlineStr">
        <is>
          <t>13/10/2026 00:30:17</t>
        </is>
      </c>
      <c r="F340" s="59" t="inlineStr">
        <is>
          <t>51 phút trước</t>
        </is>
      </c>
      <c r="G340" s="61" t="n">
        <v>0.04</v>
      </c>
      <c r="H340" s="62" t="n">
        <v>35</v>
      </c>
      <c r="I340" s="9" t="inlineStr">
        <is>
          <t>Pet Owner / Cộng đồng nuôi cún (10đ)</t>
        </is>
      </c>
      <c r="J340" s="62" t="n">
        <v>10</v>
      </c>
      <c r="K340" s="9" t="inlineStr">
        <is>
          <t>Chưa rõ giống (Cần quét Bio)</t>
        </is>
      </c>
      <c r="L340" s="62" t="n">
        <v>0</v>
      </c>
      <c r="M340" s="62" t="n">
        <v>0</v>
      </c>
      <c r="N340" s="9" t="inlineStr">
        <is>
          <t>Amazon link not found</t>
        </is>
      </c>
      <c r="O340" s="62">
        <f>IF(N340="Selling pet toys + Artificial grass/Pet toilets (TARGET)",15,IF(N340="Selling artificial grass/pet toilets (TARGET)",10,IF(N340="Selling pet toys",7,IF(N340="There's an Amazon link, but no target sales.",3,0))))</f>
        <v/>
      </c>
      <c r="P340" s="67">
        <f>H340+J340+L340+M340+O340</f>
        <v/>
      </c>
      <c r="Q340" s="70" t="inlineStr">
        <is>
          <t>Excluded: Trang Chung / Không rõ Ngách Cún cưng</t>
        </is>
      </c>
      <c r="R340" s="9" t="inlineStr">
        <is>
          <t>Khay vệ sinh chung cư (Indoor Potty) + Thảm cỏ ban công (Grass Patch) + Đồ chơi</t>
        </is>
      </c>
      <c r="S340" s="9" t="inlineStr">
        <is>
          <t>Tuyệt đối không đưa vào CRM (Vi phạm Bộ lọc Âm tính Mục 5)</t>
        </is>
      </c>
    </row>
    <row r="341">
      <c r="A341" s="53" t="n">
        <v>1642</v>
      </c>
      <c r="B341" s="12" t="inlineStr">
        <is>
          <t>Helping Animals Almanzora</t>
        </is>
      </c>
      <c r="C341" s="54" t="inlineStr">
        <is>
          <t>https://www.facebook.com/animalsalmanzora</t>
        </is>
      </c>
      <c r="D341" s="6" t="inlineStr">
        <is>
          <t>Cần quét Bio Fanpage</t>
        </is>
      </c>
      <c r="E341" s="53" t="inlineStr">
        <is>
          <t>13/10/2026 00:28:06</t>
        </is>
      </c>
      <c r="F341" s="53" t="inlineStr">
        <is>
          <t>3 giờ trước</t>
        </is>
      </c>
      <c r="G341" s="55" t="n">
        <v>0.12</v>
      </c>
      <c r="H341" s="56" t="n">
        <v>35</v>
      </c>
      <c r="I341" s="6" t="inlineStr">
        <is>
          <t>Pet Owner / Cộng đồng nuôi cún (10đ)</t>
        </is>
      </c>
      <c r="J341" s="56" t="n">
        <v>10</v>
      </c>
      <c r="K341" s="6" t="inlineStr">
        <is>
          <t>Chưa rõ giống (Cần quét Bio)</t>
        </is>
      </c>
      <c r="L341" s="56" t="n">
        <v>0</v>
      </c>
      <c r="M341" s="56" t="n">
        <v>0</v>
      </c>
      <c r="N341" s="6" t="inlineStr">
        <is>
          <t>Amazon link not found</t>
        </is>
      </c>
      <c r="O341" s="56">
        <f>IF(N341="Selling pet toys + Artificial grass/Pet toilets (TARGET)",15,IF(N341="Selling artificial grass/pet toilets (TARGET)",10,IF(N341="Selling pet toys",7,IF(N341="There's an Amazon link, but no target sales.",3,0))))</f>
        <v/>
      </c>
      <c r="P341" s="65">
        <f>H341+J341+L341+M341+O341</f>
        <v/>
      </c>
      <c r="Q341" s="71" t="inlineStr">
        <is>
          <t>Excluded: Trang Chung / Không rõ Ngách Cún cưng</t>
        </is>
      </c>
      <c r="R341" s="6" t="inlineStr">
        <is>
          <t>Khay vệ sinh chung cư (Indoor Potty) + Thảm cỏ ban công (Grass Patch) + Đồ chơi</t>
        </is>
      </c>
      <c r="S341" s="6" t="inlineStr">
        <is>
          <t>Tuyệt đối không đưa vào CRM (Vi phạm Bộ lọc Âm tính Mục 5)</t>
        </is>
      </c>
    </row>
    <row r="342">
      <c r="A342" s="59" t="n">
        <v>1761</v>
      </c>
      <c r="B342" s="15" t="inlineStr">
        <is>
          <t>Jessica's Animal Friends</t>
        </is>
      </c>
      <c r="C342" s="60" t="inlineStr">
        <is>
          <t>https://www.facebook.com/jessicasanimalfriends</t>
        </is>
      </c>
      <c r="D342" s="9" t="inlineStr">
        <is>
          <t>Cần quét Bio Fanpage</t>
        </is>
      </c>
      <c r="E342" s="59" t="inlineStr">
        <is>
          <t>13/10/2026 00:17:13</t>
        </is>
      </c>
      <c r="F342" s="59" t="inlineStr">
        <is>
          <t>3 giờ trước</t>
        </is>
      </c>
      <c r="G342" s="61" t="n">
        <v>0.12</v>
      </c>
      <c r="H342" s="62" t="n">
        <v>35</v>
      </c>
      <c r="I342" s="9" t="inlineStr">
        <is>
          <t>Pet Owner / Cộng đồng nuôi cún (10đ)</t>
        </is>
      </c>
      <c r="J342" s="62" t="n">
        <v>10</v>
      </c>
      <c r="K342" s="9" t="inlineStr">
        <is>
          <t>Chưa rõ giống (Cần quét Bio)</t>
        </is>
      </c>
      <c r="L342" s="62" t="n">
        <v>0</v>
      </c>
      <c r="M342" s="62" t="n">
        <v>0</v>
      </c>
      <c r="N342" s="9" t="inlineStr">
        <is>
          <t>Amazon link not found</t>
        </is>
      </c>
      <c r="O342" s="62">
        <f>IF(N342="Selling pet toys + Artificial grass/Pet toilets (TARGET)",15,IF(N342="Selling artificial grass/pet toilets (TARGET)",10,IF(N342="Selling pet toys",7,IF(N342="There's an Amazon link, but no target sales.",3,0))))</f>
        <v/>
      </c>
      <c r="P342" s="67">
        <f>H342+J342+L342+M342+O342</f>
        <v/>
      </c>
      <c r="Q342" s="70" t="inlineStr">
        <is>
          <t>Excluded: Trang Chung / Không rõ Ngách Cún cưng</t>
        </is>
      </c>
      <c r="R342" s="9" t="inlineStr">
        <is>
          <t>Khay vệ sinh chung cư (Indoor Potty) + Thảm cỏ ban công (Grass Patch) + Đồ chơi</t>
        </is>
      </c>
      <c r="S342" s="9" t="inlineStr">
        <is>
          <t>Tuyệt đối không đưa vào CRM (Vi phạm Bộ lọc Âm tính Mục 5)</t>
        </is>
      </c>
    </row>
    <row r="343">
      <c r="A343" s="53" t="n">
        <v>1040</v>
      </c>
      <c r="B343" s="12" t="inlineStr">
        <is>
          <t>Dirtfarmer</t>
        </is>
      </c>
      <c r="C343" s="54" t="inlineStr">
        <is>
          <t>https://www.facebook.com/profile.php?id=61575017161944</t>
        </is>
      </c>
      <c r="D343" s="6" t="inlineStr">
        <is>
          <t>Cần quét Bio Fanpage</t>
        </is>
      </c>
      <c r="E343" s="53" t="inlineStr">
        <is>
          <t>13/10/2026 00:06:55</t>
        </is>
      </c>
      <c r="F343" s="53" t="inlineStr">
        <is>
          <t>2 giờ trước</t>
        </is>
      </c>
      <c r="G343" s="55" t="n">
        <v>0.08</v>
      </c>
      <c r="H343" s="56" t="n">
        <v>35</v>
      </c>
      <c r="I343" s="6" t="inlineStr">
        <is>
          <t>Pet Owner / Cộng đồng nuôi cún (10đ)</t>
        </is>
      </c>
      <c r="J343" s="56" t="n">
        <v>10</v>
      </c>
      <c r="K343" s="6" t="inlineStr">
        <is>
          <t>Chưa rõ giống (Cần quét Bio)</t>
        </is>
      </c>
      <c r="L343" s="56" t="n">
        <v>0</v>
      </c>
      <c r="M343" s="56" t="n">
        <v>0</v>
      </c>
      <c r="N343" s="6" t="inlineStr">
        <is>
          <t>Amazon link not found</t>
        </is>
      </c>
      <c r="O343" s="56">
        <f>IF(N343="Selling pet toys + Artificial grass/Pet toilets (TARGET)",15,IF(N343="Selling artificial grass/pet toilets (TARGET)",10,IF(N343="Selling pet toys",7,IF(N343="There's an Amazon link, but no target sales.",3,0))))</f>
        <v/>
      </c>
      <c r="P343" s="65">
        <f>H343+J343+L343+M343+O343</f>
        <v/>
      </c>
      <c r="Q343" s="71" t="inlineStr">
        <is>
          <t>Excluded: Trang Chung / Không rõ Ngách Cún cưng</t>
        </is>
      </c>
      <c r="R343" s="6" t="inlineStr">
        <is>
          <t>Khay vệ sinh chung cư (Indoor Potty) + Thảm cỏ ban công (Grass Patch) + Đồ chơi</t>
        </is>
      </c>
      <c r="S343" s="6" t="inlineStr">
        <is>
          <t>Tuyệt đối không đưa vào CRM (Vi phạm Bộ lọc Âm tính Mục 5)</t>
        </is>
      </c>
    </row>
    <row r="344">
      <c r="A344" s="59" t="n">
        <v>838</v>
      </c>
      <c r="B344" s="15" t="inlineStr">
        <is>
          <t>CARE Vision Augenlaserkorrekturen</t>
        </is>
      </c>
      <c r="C344" s="60" t="inlineStr">
        <is>
          <t>https://www.facebook.com/CareVision.de</t>
        </is>
      </c>
      <c r="D344" s="9" t="inlineStr">
        <is>
          <t>Cần quét Bio Fanpage</t>
        </is>
      </c>
      <c r="E344" s="59" t="inlineStr">
        <is>
          <t>13/10/2026 00:01:17</t>
        </is>
      </c>
      <c r="F344" s="59" t="inlineStr">
        <is>
          <t>2 giờ trước</t>
        </is>
      </c>
      <c r="G344" s="61" t="n">
        <v>0.08</v>
      </c>
      <c r="H344" s="62" t="n">
        <v>35</v>
      </c>
      <c r="I344" s="9" t="inlineStr">
        <is>
          <t>Pet Owner / Cộng đồng nuôi cún (10đ)</t>
        </is>
      </c>
      <c r="J344" s="62" t="n">
        <v>10</v>
      </c>
      <c r="K344" s="9" t="inlineStr">
        <is>
          <t>Chưa rõ giống (Cần quét Bio)</t>
        </is>
      </c>
      <c r="L344" s="62" t="n">
        <v>0</v>
      </c>
      <c r="M344" s="62" t="n">
        <v>0</v>
      </c>
      <c r="N344" s="9" t="inlineStr">
        <is>
          <t>Amazon link not found</t>
        </is>
      </c>
      <c r="O344" s="62">
        <f>IF(N344="Selling pet toys + Artificial grass/Pet toilets (TARGET)",15,IF(N344="Selling artificial grass/pet toilets (TARGET)",10,IF(N344="Selling pet toys",7,IF(N344="There's an Amazon link, but no target sales.",3,0))))</f>
        <v/>
      </c>
      <c r="P344" s="67">
        <f>H344+J344+L344+M344+O344</f>
        <v/>
      </c>
      <c r="Q344" s="70" t="inlineStr">
        <is>
          <t>Excluded: Trang Chung / Không rõ Ngách Cún cưng</t>
        </is>
      </c>
      <c r="R344" s="9" t="inlineStr">
        <is>
          <t>Khay vệ sinh chung cư (Indoor Potty) + Thảm cỏ ban công (Grass Patch) + Đồ chơi</t>
        </is>
      </c>
      <c r="S344" s="9" t="inlineStr">
        <is>
          <t>Tuyệt đối không đưa vào CRM (Vi phạm Bộ lọc Âm tính Mục 5)</t>
        </is>
      </c>
    </row>
    <row r="345">
      <c r="A345" s="53" t="n">
        <v>490</v>
      </c>
      <c r="B345" s="12" t="inlineStr">
        <is>
          <t>Animals &amp; More</t>
        </is>
      </c>
      <c r="C345" s="54" t="inlineStr">
        <is>
          <t>https://www.facebook.com/momentsrwnd</t>
        </is>
      </c>
      <c r="D345" s="6" t="inlineStr">
        <is>
          <t>Cần quét Bio Fanpage</t>
        </is>
      </c>
      <c r="E345" s="53" t="inlineStr">
        <is>
          <t>13/10/2026 00:00:43</t>
        </is>
      </c>
      <c r="F345" s="53" t="inlineStr">
        <is>
          <t>1 giờ trước</t>
        </is>
      </c>
      <c r="G345" s="55" t="n">
        <v>0.04</v>
      </c>
      <c r="H345" s="56" t="n">
        <v>35</v>
      </c>
      <c r="I345" s="6" t="inlineStr">
        <is>
          <t>Pet Owner / Cộng đồng nuôi cún (10đ)</t>
        </is>
      </c>
      <c r="J345" s="56" t="n">
        <v>10</v>
      </c>
      <c r="K345" s="6" t="inlineStr">
        <is>
          <t>Chưa rõ giống (Cần quét Bio)</t>
        </is>
      </c>
      <c r="L345" s="56" t="n">
        <v>0</v>
      </c>
      <c r="M345" s="56" t="n">
        <v>0</v>
      </c>
      <c r="N345" s="6" t="inlineStr">
        <is>
          <t>Amazon link not found</t>
        </is>
      </c>
      <c r="O345" s="56">
        <f>IF(N345="Selling pet toys + Artificial grass/Pet toilets (TARGET)",15,IF(N345="Selling artificial grass/pet toilets (TARGET)",10,IF(N345="Selling pet toys",7,IF(N345="There's an Amazon link, but no target sales.",3,0))))</f>
        <v/>
      </c>
      <c r="P345" s="65">
        <f>H345+J345+L345+M345+O345</f>
        <v/>
      </c>
      <c r="Q345" s="71" t="inlineStr">
        <is>
          <t>Excluded: Trang Chung / Không rõ Ngách Cún cưng</t>
        </is>
      </c>
      <c r="R345" s="6" t="inlineStr">
        <is>
          <t>Khay vệ sinh chung cư (Indoor Potty) + Thảm cỏ ban công (Grass Patch) + Đồ chơi</t>
        </is>
      </c>
      <c r="S345" s="6" t="inlineStr">
        <is>
          <t>Tuyệt đối không đưa vào CRM (Vi phạm Bộ lọc Âm tính Mục 5)</t>
        </is>
      </c>
    </row>
    <row r="346">
      <c r="A346" s="59" t="n">
        <v>268</v>
      </c>
      <c r="B346" s="15" t="inlineStr">
        <is>
          <t>Spire Vets</t>
        </is>
      </c>
      <c r="C346" s="60" t="inlineStr">
        <is>
          <t>https://www.facebook.com/spirevets</t>
        </is>
      </c>
      <c r="D346" s="9" t="inlineStr">
        <is>
          <t>Cần quét Bio Fanpage</t>
        </is>
      </c>
      <c r="E346" s="59" t="inlineStr">
        <is>
          <t>13/10/2026 00:00:18</t>
        </is>
      </c>
      <c r="F346" s="59" t="inlineStr">
        <is>
          <t>1 giờ trước</t>
        </is>
      </c>
      <c r="G346" s="61" t="n">
        <v>0.04</v>
      </c>
      <c r="H346" s="62" t="n">
        <v>35</v>
      </c>
      <c r="I346" s="9" t="inlineStr">
        <is>
          <t>Pet Owner / Cộng đồng nuôi cún (10đ)</t>
        </is>
      </c>
      <c r="J346" s="62" t="n">
        <v>10</v>
      </c>
      <c r="K346" s="9" t="inlineStr">
        <is>
          <t>Chưa rõ giống (Cần quét Bio)</t>
        </is>
      </c>
      <c r="L346" s="62" t="n">
        <v>0</v>
      </c>
      <c r="M346" s="62" t="n">
        <v>0</v>
      </c>
      <c r="N346" s="9" t="inlineStr">
        <is>
          <t>Amazon link not found</t>
        </is>
      </c>
      <c r="O346" s="62">
        <f>IF(N346="Selling pet toys + Artificial grass/Pet toilets (TARGET)",15,IF(N346="Selling artificial grass/pet toilets (TARGET)",10,IF(N346="Selling pet toys",7,IF(N346="There's an Amazon link, but no target sales.",3,0))))</f>
        <v/>
      </c>
      <c r="P346" s="67">
        <f>H346+J346+L346+M346+O346</f>
        <v/>
      </c>
      <c r="Q346" s="70" t="inlineStr">
        <is>
          <t>Excluded: Trang Chung / Không rõ Ngách Cún cưng</t>
        </is>
      </c>
      <c r="R346" s="9" t="inlineStr">
        <is>
          <t>Khay vệ sinh chung cư (Indoor Potty) + Thảm cỏ ban công (Grass Patch) + Đồ chơi</t>
        </is>
      </c>
      <c r="S346" s="9" t="inlineStr">
        <is>
          <t>Tuyệt đối không đưa vào CRM (Vi phạm Bộ lọc Âm tính Mục 5)</t>
        </is>
      </c>
    </row>
    <row r="347">
      <c r="A347" s="53" t="n">
        <v>414</v>
      </c>
      <c r="B347" s="12" t="inlineStr">
        <is>
          <t>American Veterinary Medical Association (AVMA)</t>
        </is>
      </c>
      <c r="C347" s="54" t="inlineStr">
        <is>
          <t>https://www.facebook.com/avmavets</t>
        </is>
      </c>
      <c r="D347" s="6" t="inlineStr">
        <is>
          <t>Cần quét Bio Fanpage</t>
        </is>
      </c>
      <c r="E347" s="53" t="inlineStr">
        <is>
          <t>13/10/2026 00:00:16</t>
        </is>
      </c>
      <c r="F347" s="53" t="inlineStr">
        <is>
          <t>1 giờ trước</t>
        </is>
      </c>
      <c r="G347" s="55" t="n">
        <v>0.04</v>
      </c>
      <c r="H347" s="56" t="n">
        <v>35</v>
      </c>
      <c r="I347" s="6" t="inlineStr">
        <is>
          <t>Pet Owner / Cộng đồng nuôi cún (10đ)</t>
        </is>
      </c>
      <c r="J347" s="56" t="n">
        <v>10</v>
      </c>
      <c r="K347" s="6" t="inlineStr">
        <is>
          <t>Chưa rõ giống (Cần quét Bio)</t>
        </is>
      </c>
      <c r="L347" s="56" t="n">
        <v>0</v>
      </c>
      <c r="M347" s="56" t="n">
        <v>0</v>
      </c>
      <c r="N347" s="6" t="inlineStr">
        <is>
          <t>Amazon link not found</t>
        </is>
      </c>
      <c r="O347" s="56">
        <f>IF(N347="Selling pet toys + Artificial grass/Pet toilets (TARGET)",15,IF(N347="Selling artificial grass/pet toilets (TARGET)",10,IF(N347="Selling pet toys",7,IF(N347="There's an Amazon link, but no target sales.",3,0))))</f>
        <v/>
      </c>
      <c r="P347" s="65">
        <f>H347+J347+L347+M347+O347</f>
        <v/>
      </c>
      <c r="Q347" s="71" t="inlineStr">
        <is>
          <t>Excluded: Công ty Gen DNA &amp; Thú y (Mục 5.4)</t>
        </is>
      </c>
      <c r="R347" s="6" t="inlineStr">
        <is>
          <t>Khay vệ sinh chung cư (Indoor Potty) + Thảm cỏ ban công (Grass Patch) + Đồ chơi</t>
        </is>
      </c>
      <c r="S347" s="6" t="inlineStr">
        <is>
          <t>Tuyệt đối không đưa vào CRM (Vi phạm Bộ lọc Âm tính Mục 5)</t>
        </is>
      </c>
    </row>
    <row r="348">
      <c r="A348" s="59" t="n">
        <v>167</v>
      </c>
      <c r="B348" s="15" t="inlineStr">
        <is>
          <t>Family Friends Veterinary Hospital</t>
        </is>
      </c>
      <c r="C348" s="60" t="inlineStr">
        <is>
          <t>https://www.facebook.com/familyfriendsvet</t>
        </is>
      </c>
      <c r="D348" s="9" t="inlineStr">
        <is>
          <t>Cần quét Bio Fanpage</t>
        </is>
      </c>
      <c r="E348" s="59" t="inlineStr">
        <is>
          <t>13/10/2026 00:00:12</t>
        </is>
      </c>
      <c r="F348" s="59" t="inlineStr">
        <is>
          <t>1 giờ trước</t>
        </is>
      </c>
      <c r="G348" s="61" t="n">
        <v>0.04</v>
      </c>
      <c r="H348" s="62" t="n">
        <v>35</v>
      </c>
      <c r="I348" s="9" t="inlineStr">
        <is>
          <t>Pet Owner / Cộng đồng nuôi cún (10đ)</t>
        </is>
      </c>
      <c r="J348" s="62" t="n">
        <v>10</v>
      </c>
      <c r="K348" s="9" t="inlineStr">
        <is>
          <t>Chưa rõ giống (Cần quét Bio)</t>
        </is>
      </c>
      <c r="L348" s="62" t="n">
        <v>0</v>
      </c>
      <c r="M348" s="62" t="n">
        <v>0</v>
      </c>
      <c r="N348" s="9" t="inlineStr">
        <is>
          <t>Amazon link not found</t>
        </is>
      </c>
      <c r="O348" s="62">
        <f>IF(N348="Selling pet toys + Artificial grass/Pet toilets (TARGET)",15,IF(N348="Selling artificial grass/pet toilets (TARGET)",10,IF(N348="Selling pet toys",7,IF(N348="There's an Amazon link, but no target sales.",3,0))))</f>
        <v/>
      </c>
      <c r="P348" s="67">
        <f>H348+J348+L348+M348+O348</f>
        <v/>
      </c>
      <c r="Q348" s="70" t="inlineStr">
        <is>
          <t>Excluded: Công ty Gen DNA &amp; Thú y (Mục 5.4)</t>
        </is>
      </c>
      <c r="R348" s="9" t="inlineStr">
        <is>
          <t>Khay vệ sinh chung cư (Indoor Potty) + Thảm cỏ ban công (Grass Patch) + Đồ chơi</t>
        </is>
      </c>
      <c r="S348" s="9" t="inlineStr">
        <is>
          <t>Tuyệt đối không đưa vào CRM (Vi phạm Bộ lọc Âm tính Mục 5)</t>
        </is>
      </c>
    </row>
    <row r="349">
      <c r="A349" s="53" t="n">
        <v>843</v>
      </c>
      <c r="B349" s="12" t="inlineStr">
        <is>
          <t>Caring Ways Veterinary Clinic</t>
        </is>
      </c>
      <c r="C349" s="54" t="inlineStr">
        <is>
          <t>https://www.facebook.com/caringwayvets</t>
        </is>
      </c>
      <c r="D349" s="6" t="inlineStr">
        <is>
          <t>Cần quét Bio Fanpage</t>
        </is>
      </c>
      <c r="E349" s="53" t="inlineStr">
        <is>
          <t>13/10/2026 00:00:02</t>
        </is>
      </c>
      <c r="F349" s="53" t="inlineStr">
        <is>
          <t>2 giờ trước</t>
        </is>
      </c>
      <c r="G349" s="55" t="n">
        <v>0.08</v>
      </c>
      <c r="H349" s="56" t="n">
        <v>35</v>
      </c>
      <c r="I349" s="6" t="inlineStr">
        <is>
          <t>Pet Owner / Cộng đồng nuôi cún (10đ)</t>
        </is>
      </c>
      <c r="J349" s="56" t="n">
        <v>10</v>
      </c>
      <c r="K349" s="6" t="inlineStr">
        <is>
          <t>Chưa rõ giống (Cần quét Bio)</t>
        </is>
      </c>
      <c r="L349" s="56" t="n">
        <v>0</v>
      </c>
      <c r="M349" s="56" t="n">
        <v>0</v>
      </c>
      <c r="N349" s="6" t="inlineStr">
        <is>
          <t>Amazon link not found</t>
        </is>
      </c>
      <c r="O349" s="56">
        <f>IF(N349="Selling pet toys + Artificial grass/Pet toilets (TARGET)",15,IF(N349="Selling artificial grass/pet toilets (TARGET)",10,IF(N349="Selling pet toys",7,IF(N349="There's an Amazon link, but no target sales.",3,0))))</f>
        <v/>
      </c>
      <c r="P349" s="65">
        <f>H349+J349+L349+M349+O349</f>
        <v/>
      </c>
      <c r="Q349" s="71" t="inlineStr">
        <is>
          <t>Excluded: Công ty Gen DNA &amp; Thú y (Mục 5.4)</t>
        </is>
      </c>
      <c r="R349" s="6" t="inlineStr">
        <is>
          <t>Khay vệ sinh chung cư (Indoor Potty) + Thảm cỏ ban công (Grass Patch) + Đồ chơi</t>
        </is>
      </c>
      <c r="S349" s="6" t="inlineStr">
        <is>
          <t>Tuyệt đối không đưa vào CRM (Vi phạm Bộ lọc Âm tính Mục 5)</t>
        </is>
      </c>
    </row>
    <row r="350">
      <c r="A350" s="59" t="n">
        <v>36</v>
      </c>
      <c r="B350" s="15" t="inlineStr">
        <is>
          <t>Dog News</t>
        </is>
      </c>
      <c r="C350" s="60" t="inlineStr">
        <is>
          <t>https://www.facebook.com/DogNewsMag</t>
        </is>
      </c>
      <c r="D350" s="9" t="inlineStr">
        <is>
          <t>Cần quét Bio Fanpage</t>
        </is>
      </c>
      <c r="E350" s="59" t="inlineStr">
        <is>
          <t>12/10/2026 23:56:51</t>
        </is>
      </c>
      <c r="F350" s="59" t="inlineStr">
        <is>
          <t>1 giờ trước</t>
        </is>
      </c>
      <c r="G350" s="61" t="n">
        <v>0.04</v>
      </c>
      <c r="H350" s="62" t="n">
        <v>35</v>
      </c>
      <c r="I350" s="9" t="inlineStr">
        <is>
          <t>Pet Owner / Cộng đồng nuôi cún (10đ)</t>
        </is>
      </c>
      <c r="J350" s="62" t="n">
        <v>10</v>
      </c>
      <c r="K350" s="9" t="inlineStr">
        <is>
          <t>Chưa rõ giống (Cần quét Bio)</t>
        </is>
      </c>
      <c r="L350" s="62" t="n">
        <v>0</v>
      </c>
      <c r="M350" s="62" t="n">
        <v>0</v>
      </c>
      <c r="N350" s="9" t="inlineStr">
        <is>
          <t>Amazon link not found</t>
        </is>
      </c>
      <c r="O350" s="62">
        <f>IF(N350="Selling pet toys + Artificial grass/Pet toilets (TARGET)",15,IF(N350="Selling artificial grass/pet toilets (TARGET)",10,IF(N350="Selling pet toys",7,IF(N350="There's an Amazon link, but no target sales.",3,0))))</f>
        <v/>
      </c>
      <c r="P350" s="67">
        <f>H350+J350+L350+M350+O350</f>
        <v/>
      </c>
      <c r="Q350" s="70" t="inlineStr">
        <is>
          <t>Excluded: Kênh Tin tức, Tạp chí &amp; Giải trí (Mục 5.3)</t>
        </is>
      </c>
      <c r="R350" s="9" t="inlineStr">
        <is>
          <t>Khay vệ sinh chung cư (Indoor Potty) + Thảm cỏ ban công (Grass Patch) + Đồ chơi</t>
        </is>
      </c>
      <c r="S350" s="9" t="inlineStr">
        <is>
          <t>Tuyệt đối không đưa vào CRM (Vi phạm Bộ lọc Âm tính Mục 5)</t>
        </is>
      </c>
    </row>
    <row r="351">
      <c r="A351" s="53" t="n">
        <v>477</v>
      </c>
      <c r="B351" s="12" t="inlineStr">
        <is>
          <t>Animal Star Awards</t>
        </is>
      </c>
      <c r="C351" s="54" t="inlineStr">
        <is>
          <t>https://www.facebook.com/animalstarawards</t>
        </is>
      </c>
      <c r="D351" s="6" t="inlineStr">
        <is>
          <t>Cần quét Bio Fanpage</t>
        </is>
      </c>
      <c r="E351" s="53" t="inlineStr">
        <is>
          <t>12/10/2026 23:56:20</t>
        </is>
      </c>
      <c r="F351" s="53" t="inlineStr">
        <is>
          <t>1 giờ trước</t>
        </is>
      </c>
      <c r="G351" s="55" t="n">
        <v>0.04</v>
      </c>
      <c r="H351" s="56" t="n">
        <v>35</v>
      </c>
      <c r="I351" s="6" t="inlineStr">
        <is>
          <t>Pet Owner / Cộng đồng nuôi cún (10đ)</t>
        </is>
      </c>
      <c r="J351" s="56" t="n">
        <v>10</v>
      </c>
      <c r="K351" s="6" t="inlineStr">
        <is>
          <t>Chưa rõ giống (Cần quét Bio)</t>
        </is>
      </c>
      <c r="L351" s="56" t="n">
        <v>0</v>
      </c>
      <c r="M351" s="56" t="n">
        <v>0</v>
      </c>
      <c r="N351" s="6" t="inlineStr">
        <is>
          <t>Amazon link not found</t>
        </is>
      </c>
      <c r="O351" s="56">
        <f>IF(N351="Selling pet toys + Artificial grass/Pet toilets (TARGET)",15,IF(N351="Selling artificial grass/pet toilets (TARGET)",10,IF(N351="Selling pet toys",7,IF(N351="There's an Amazon link, but no target sales.",3,0))))</f>
        <v/>
      </c>
      <c r="P351" s="65">
        <f>H351+J351+L351+M351+O351</f>
        <v/>
      </c>
      <c r="Q351" s="71" t="inlineStr">
        <is>
          <t>Excluded: Trang Chung / Không rõ Ngách Cún cưng</t>
        </is>
      </c>
      <c r="R351" s="6" t="inlineStr">
        <is>
          <t>Khay vệ sinh chung cư (Indoor Potty) + Thảm cỏ ban công (Grass Patch) + Đồ chơi</t>
        </is>
      </c>
      <c r="S351" s="6" t="inlineStr">
        <is>
          <t>Tuyệt đối không đưa vào CRM (Vi phạm Bộ lọc Âm tính Mục 5)</t>
        </is>
      </c>
    </row>
    <row r="352">
      <c r="A352" s="59" t="n">
        <v>22</v>
      </c>
      <c r="B352" s="15" t="inlineStr">
        <is>
          <t>Fear Free Pets</t>
        </is>
      </c>
      <c r="C352" s="60" t="inlineStr">
        <is>
          <t>https://www.facebook.com/fearfreepets</t>
        </is>
      </c>
      <c r="D352" s="9" t="inlineStr">
        <is>
          <t>Cần quét Bio Fanpage</t>
        </is>
      </c>
      <c r="E352" s="59" t="inlineStr">
        <is>
          <t>12/10/2026 23:55:03</t>
        </is>
      </c>
      <c r="F352" s="59" t="inlineStr">
        <is>
          <t>1 giờ trước</t>
        </is>
      </c>
      <c r="G352" s="61" t="n">
        <v>0.04</v>
      </c>
      <c r="H352" s="62" t="n">
        <v>35</v>
      </c>
      <c r="I352" s="9" t="inlineStr">
        <is>
          <t>Pet Owner / Cộng đồng nuôi cún (10đ)</t>
        </is>
      </c>
      <c r="J352" s="62" t="n">
        <v>10</v>
      </c>
      <c r="K352" s="9" t="inlineStr">
        <is>
          <t>Chưa rõ giống (Cần quét Bio)</t>
        </is>
      </c>
      <c r="L352" s="62" t="n">
        <v>0</v>
      </c>
      <c r="M352" s="62" t="n">
        <v>0</v>
      </c>
      <c r="N352" s="9" t="inlineStr">
        <is>
          <t>Amazon link not found</t>
        </is>
      </c>
      <c r="O352" s="62">
        <f>IF(N352="Selling pet toys + Artificial grass/Pet toilets (TARGET)",15,IF(N352="Selling artificial grass/pet toilets (TARGET)",10,IF(N352="Selling pet toys",7,IF(N352="There's an Amazon link, but no target sales.",3,0))))</f>
        <v/>
      </c>
      <c r="P352" s="67">
        <f>H352+J352+L352+M352+O352</f>
        <v/>
      </c>
      <c r="Q352" s="70" t="inlineStr">
        <is>
          <t>Excluded: Công ty Gen DNA &amp; Thú y (Mục 5.4)</t>
        </is>
      </c>
      <c r="R352" s="9" t="inlineStr">
        <is>
          <t>Khay vệ sinh chung cư (Indoor Potty) + Thảm cỏ ban công (Grass Patch) + Đồ chơi</t>
        </is>
      </c>
      <c r="S352" s="9" t="inlineStr">
        <is>
          <t>Tuyệt đối không đưa vào CRM (Vi phạm Bộ lọc Âm tính Mục 5)</t>
        </is>
      </c>
    </row>
    <row r="353">
      <c r="A353" s="53" t="n">
        <v>1222</v>
      </c>
      <c r="B353" s="12" t="inlineStr">
        <is>
          <t>Dr. Andrew Jones - Veterinary Secrets</t>
        </is>
      </c>
      <c r="C353" s="54" t="inlineStr">
        <is>
          <t>https://www.facebook.com/veterinarysecrets</t>
        </is>
      </c>
      <c r="D353" s="6" t="inlineStr">
        <is>
          <t>Cần quét Bio Fanpage</t>
        </is>
      </c>
      <c r="E353" s="53" t="inlineStr">
        <is>
          <t>12/10/2026 23:54:35</t>
        </is>
      </c>
      <c r="F353" s="53" t="inlineStr">
        <is>
          <t>3 giờ trước</t>
        </is>
      </c>
      <c r="G353" s="55" t="n">
        <v>0.12</v>
      </c>
      <c r="H353" s="56" t="n">
        <v>35</v>
      </c>
      <c r="I353" s="6" t="inlineStr">
        <is>
          <t>Pet Owner / Cộng đồng nuôi cún (10đ)</t>
        </is>
      </c>
      <c r="J353" s="56" t="n">
        <v>10</v>
      </c>
      <c r="K353" s="6" t="inlineStr">
        <is>
          <t>Chưa rõ giống (Cần quét Bio)</t>
        </is>
      </c>
      <c r="L353" s="56" t="n">
        <v>0</v>
      </c>
      <c r="M353" s="56" t="n">
        <v>0</v>
      </c>
      <c r="N353" s="6" t="inlineStr">
        <is>
          <t>Amazon link not found</t>
        </is>
      </c>
      <c r="O353" s="56">
        <f>IF(N353="Selling pet toys + Artificial grass/Pet toilets (TARGET)",15,IF(N353="Selling artificial grass/pet toilets (TARGET)",10,IF(N353="Selling pet toys",7,IF(N353="There's an Amazon link, but no target sales.",3,0))))</f>
        <v/>
      </c>
      <c r="P353" s="65">
        <f>H353+J353+L353+M353+O353</f>
        <v/>
      </c>
      <c r="Q353" s="71" t="inlineStr">
        <is>
          <t>Excluded: Công ty Gen DNA &amp; Thú y (Mục 5.4)</t>
        </is>
      </c>
      <c r="R353" s="6" t="inlineStr">
        <is>
          <t>Khay vệ sinh chung cư (Indoor Potty) + Thảm cỏ ban công (Grass Patch) + Đồ chơi</t>
        </is>
      </c>
      <c r="S353" s="6" t="inlineStr">
        <is>
          <t>Tuyệt đối không đưa vào CRM (Vi phạm Bộ lọc Âm tính Mục 5)</t>
        </is>
      </c>
    </row>
    <row r="354">
      <c r="A354" s="59" t="n">
        <v>30</v>
      </c>
      <c r="B354" s="15" t="inlineStr">
        <is>
          <t>Facebook User</t>
        </is>
      </c>
      <c r="C354" s="60" t="inlineStr">
        <is>
          <t>https://www.facebook.com/profile.php?id=100063479921739</t>
        </is>
      </c>
      <c r="D354" s="9" t="inlineStr">
        <is>
          <t>Cần quét Bio Fanpage</t>
        </is>
      </c>
      <c r="E354" s="59" t="inlineStr">
        <is>
          <t>12/10/2026 23:51:31</t>
        </is>
      </c>
      <c r="F354" s="59" t="inlineStr">
        <is>
          <t>1 giờ trước</t>
        </is>
      </c>
      <c r="G354" s="61" t="n">
        <v>0.04</v>
      </c>
      <c r="H354" s="62" t="n">
        <v>35</v>
      </c>
      <c r="I354" s="9" t="inlineStr">
        <is>
          <t>Pet Owner / Cộng đồng nuôi cún (10đ)</t>
        </is>
      </c>
      <c r="J354" s="62" t="n">
        <v>10</v>
      </c>
      <c r="K354" s="9" t="inlineStr">
        <is>
          <t>Chưa rõ giống (Cần quét Bio)</t>
        </is>
      </c>
      <c r="L354" s="62" t="n">
        <v>0</v>
      </c>
      <c r="M354" s="62" t="n">
        <v>0</v>
      </c>
      <c r="N354" s="9" t="inlineStr">
        <is>
          <t>Amazon link not found</t>
        </is>
      </c>
      <c r="O354" s="62">
        <f>IF(N354="Selling pet toys + Artificial grass/Pet toilets (TARGET)",15,IF(N354="Selling artificial grass/pet toilets (TARGET)",10,IF(N354="Selling pet toys",7,IF(N354="There's an Amazon link, but no target sales.",3,0))))</f>
        <v/>
      </c>
      <c r="P354" s="67">
        <f>H354+J354+L354+M354+O354</f>
        <v/>
      </c>
      <c r="Q354" s="70" t="inlineStr">
        <is>
          <t>Excluded: Hồ sơ Ẩn danh (Facebook User)</t>
        </is>
      </c>
      <c r="R354" s="9" t="inlineStr">
        <is>
          <t>Khay vệ sinh chung cư (Indoor Potty) + Thảm cỏ ban công (Grass Patch) + Đồ chơi</t>
        </is>
      </c>
      <c r="S354" s="9" t="inlineStr">
        <is>
          <t>Tuyệt đối không đưa vào CRM (Vi phạm Bộ lọc Âm tính Mục 5)</t>
        </is>
      </c>
    </row>
    <row r="355">
      <c r="A355" s="53" t="n">
        <v>370</v>
      </c>
      <c r="B355" s="12" t="inlineStr">
        <is>
          <t>Alianza Animal Qro.</t>
        </is>
      </c>
      <c r="C355" s="54" t="inlineStr">
        <is>
          <t>https://www.facebook.com/profile.php?id=61555309449199</t>
        </is>
      </c>
      <c r="D355" s="6" t="inlineStr">
        <is>
          <t>Cần quét Bio Fanpage</t>
        </is>
      </c>
      <c r="E355" s="53" t="inlineStr">
        <is>
          <t>12/10/2026 23:40:20</t>
        </is>
      </c>
      <c r="F355" s="53" t="inlineStr">
        <is>
          <t>1 giờ trước</t>
        </is>
      </c>
      <c r="G355" s="55" t="n">
        <v>0.04</v>
      </c>
      <c r="H355" s="56" t="n">
        <v>35</v>
      </c>
      <c r="I355" s="6" t="inlineStr">
        <is>
          <t>Pet Owner / Cộng đồng nuôi cún (10đ)</t>
        </is>
      </c>
      <c r="J355" s="56" t="n">
        <v>10</v>
      </c>
      <c r="K355" s="6" t="inlineStr">
        <is>
          <t>Chưa rõ giống (Cần quét Bio)</t>
        </is>
      </c>
      <c r="L355" s="56" t="n">
        <v>0</v>
      </c>
      <c r="M355" s="56" t="n">
        <v>0</v>
      </c>
      <c r="N355" s="6" t="inlineStr">
        <is>
          <t>Amazon link not found</t>
        </is>
      </c>
      <c r="O355" s="56">
        <f>IF(N355="Selling pet toys + Artificial grass/Pet toilets (TARGET)",15,IF(N355="Selling artificial grass/pet toilets (TARGET)",10,IF(N355="Selling pet toys",7,IF(N355="There's an Amazon link, but no target sales.",3,0))))</f>
        <v/>
      </c>
      <c r="P355" s="65">
        <f>H355+J355+L355+M355+O355</f>
        <v/>
      </c>
      <c r="Q355" s="71" t="inlineStr">
        <is>
          <t>Excluded: Trang Chung / Không rõ Ngách Cún cưng</t>
        </is>
      </c>
      <c r="R355" s="6" t="inlineStr">
        <is>
          <t>Khay vệ sinh chung cư (Indoor Potty) + Thảm cỏ ban công (Grass Patch) + Đồ chơi</t>
        </is>
      </c>
      <c r="S355" s="6" t="inlineStr">
        <is>
          <t>Tuyệt đối không đưa vào CRM (Vi phạm Bộ lọc Âm tính Mục 5)</t>
        </is>
      </c>
    </row>
    <row r="356">
      <c r="A356" s="59" t="n">
        <v>836</v>
      </c>
      <c r="B356" s="15" t="inlineStr">
        <is>
          <t>Care and Share Food Bank for Southern Colorado</t>
        </is>
      </c>
      <c r="C356" s="60" t="inlineStr">
        <is>
          <t>https://www.facebook.com/careandsharefb</t>
        </is>
      </c>
      <c r="D356" s="9" t="inlineStr">
        <is>
          <t>Cần quét Bio Fanpage</t>
        </is>
      </c>
      <c r="E356" s="59" t="inlineStr">
        <is>
          <t>12/10/2026 23:39:23</t>
        </is>
      </c>
      <c r="F356" s="59" t="inlineStr">
        <is>
          <t>2 giờ trước</t>
        </is>
      </c>
      <c r="G356" s="61" t="n">
        <v>0.08</v>
      </c>
      <c r="H356" s="62" t="n">
        <v>35</v>
      </c>
      <c r="I356" s="9" t="inlineStr">
        <is>
          <t>Pet Owner / Cộng đồng nuôi cún (10đ)</t>
        </is>
      </c>
      <c r="J356" s="62" t="n">
        <v>10</v>
      </c>
      <c r="K356" s="9" t="inlineStr">
        <is>
          <t>Chưa rõ giống (Cần quét Bio)</t>
        </is>
      </c>
      <c r="L356" s="62" t="n">
        <v>0</v>
      </c>
      <c r="M356" s="62" t="n">
        <v>0</v>
      </c>
      <c r="N356" s="9" t="inlineStr">
        <is>
          <t>Amazon link not found</t>
        </is>
      </c>
      <c r="O356" s="62">
        <f>IF(N356="Selling pet toys + Artificial grass/Pet toilets (TARGET)",15,IF(N356="Selling artificial grass/pet toilets (TARGET)",10,IF(N356="Selling pet toys",7,IF(N356="There's an Amazon link, but no target sales.",3,0))))</f>
        <v/>
      </c>
      <c r="P356" s="67">
        <f>H356+J356+L356+M356+O356</f>
        <v/>
      </c>
      <c r="Q356" s="70" t="inlineStr">
        <is>
          <t>Excluded: Trang Chung / Không rõ Ngách Cún cưng</t>
        </is>
      </c>
      <c r="R356" s="9" t="inlineStr">
        <is>
          <t>Khay vệ sinh chung cư (Indoor Potty) + Thảm cỏ ban công (Grass Patch) + Đồ chơi</t>
        </is>
      </c>
      <c r="S356" s="9" t="inlineStr">
        <is>
          <t>Tuyệt đối không đưa vào CRM (Vi phạm Bộ lọc Âm tính Mục 5)</t>
        </is>
      </c>
    </row>
    <row r="357">
      <c r="A357" s="53" t="n">
        <v>950</v>
      </c>
      <c r="B357" s="12" t="inlineStr">
        <is>
          <t>County of Los Angeles Department of Animal Care and Control</t>
        </is>
      </c>
      <c r="C357" s="54" t="inlineStr">
        <is>
          <t>https://www.facebook.com/LACoAnimals</t>
        </is>
      </c>
      <c r="D357" s="6" t="inlineStr">
        <is>
          <t>Cần quét Bio Fanpage</t>
        </is>
      </c>
      <c r="E357" s="53" t="inlineStr">
        <is>
          <t>12/10/2026 23:37:56</t>
        </is>
      </c>
      <c r="F357" s="53" t="inlineStr">
        <is>
          <t>3 giờ trước</t>
        </is>
      </c>
      <c r="G357" s="55" t="n">
        <v>0.12</v>
      </c>
      <c r="H357" s="56" t="n">
        <v>35</v>
      </c>
      <c r="I357" s="6" t="inlineStr">
        <is>
          <t>Pet Owner / Cộng đồng nuôi cún (10đ)</t>
        </is>
      </c>
      <c r="J357" s="56" t="n">
        <v>10</v>
      </c>
      <c r="K357" s="6" t="inlineStr">
        <is>
          <t>Chưa rõ giống (Cần quét Bio)</t>
        </is>
      </c>
      <c r="L357" s="56" t="n">
        <v>0</v>
      </c>
      <c r="M357" s="56" t="n">
        <v>0</v>
      </c>
      <c r="N357" s="6" t="inlineStr">
        <is>
          <t>Amazon link not found</t>
        </is>
      </c>
      <c r="O357" s="56">
        <f>IF(N357="Selling pet toys + Artificial grass/Pet toilets (TARGET)",15,IF(N357="Selling artificial grass/pet toilets (TARGET)",10,IF(N357="Selling pet toys",7,IF(N357="There's an Amazon link, but no target sales.",3,0))))</f>
        <v/>
      </c>
      <c r="P357" s="65">
        <f>H357+J357+L357+M357+O357</f>
        <v/>
      </c>
      <c r="Q357" s="71" t="inlineStr">
        <is>
          <t>Excluded: Trang Chung / Không rõ Ngách Cún cưng</t>
        </is>
      </c>
      <c r="R357" s="6" t="inlineStr">
        <is>
          <t>Khay vệ sinh chung cư (Indoor Potty) + Thảm cỏ ban công (Grass Patch) + Đồ chơi</t>
        </is>
      </c>
      <c r="S357" s="6" t="inlineStr">
        <is>
          <t>Tuyệt đối không đưa vào CRM (Vi phạm Bộ lọc Âm tính Mục 5)</t>
        </is>
      </c>
    </row>
    <row r="358">
      <c r="A358" s="59" t="n">
        <v>540</v>
      </c>
      <c r="B358" s="15" t="inlineStr">
        <is>
          <t>Asociación The Animal's Home</t>
        </is>
      </c>
      <c r="C358" s="60" t="inlineStr">
        <is>
          <t>https://www.facebook.com/APAPTheAnimalsHome</t>
        </is>
      </c>
      <c r="D358" s="9" t="inlineStr">
        <is>
          <t>Cần quét Bio Fanpage</t>
        </is>
      </c>
      <c r="E358" s="59" t="inlineStr">
        <is>
          <t>12/10/2026 23:30:46</t>
        </is>
      </c>
      <c r="F358" s="59" t="inlineStr">
        <is>
          <t>2 giờ trước</t>
        </is>
      </c>
      <c r="G358" s="61" t="n">
        <v>0.08</v>
      </c>
      <c r="H358" s="62" t="n">
        <v>35</v>
      </c>
      <c r="I358" s="9" t="inlineStr">
        <is>
          <t>Pet Owner / Cộng đồng nuôi cún (10đ)</t>
        </is>
      </c>
      <c r="J358" s="62" t="n">
        <v>10</v>
      </c>
      <c r="K358" s="9" t="inlineStr">
        <is>
          <t>Chưa rõ giống (Cần quét Bio)</t>
        </is>
      </c>
      <c r="L358" s="62" t="n">
        <v>0</v>
      </c>
      <c r="M358" s="62" t="n">
        <v>0</v>
      </c>
      <c r="N358" s="9" t="inlineStr">
        <is>
          <t>Amazon link not found</t>
        </is>
      </c>
      <c r="O358" s="62">
        <f>IF(N358="Selling pet toys + Artificial grass/Pet toilets (TARGET)",15,IF(N358="Selling artificial grass/pet toilets (TARGET)",10,IF(N358="Selling pet toys",7,IF(N358="There's an Amazon link, but no target sales.",3,0))))</f>
        <v/>
      </c>
      <c r="P358" s="67">
        <f>H358+J358+L358+M358+O358</f>
        <v/>
      </c>
      <c r="Q358" s="70" t="inlineStr">
        <is>
          <t>Excluded: Trang Chung / Không rõ Ngách Cún cưng</t>
        </is>
      </c>
      <c r="R358" s="9" t="inlineStr">
        <is>
          <t>Khay vệ sinh chung cư (Indoor Potty) + Thảm cỏ ban công (Grass Patch) + Đồ chơi</t>
        </is>
      </c>
      <c r="S358" s="9" t="inlineStr">
        <is>
          <t>Tuyệt đối không đưa vào CRM (Vi phạm Bộ lọc Âm tính Mục 5)</t>
        </is>
      </c>
    </row>
    <row r="359">
      <c r="A359" s="53" t="n">
        <v>169</v>
      </c>
      <c r="B359" s="12" t="inlineStr">
        <is>
          <t>Farmhouse on Boone</t>
        </is>
      </c>
      <c r="C359" s="54" t="inlineStr">
        <is>
          <t>https://www.facebook.com/farmhouseonboone</t>
        </is>
      </c>
      <c r="D359" s="6" t="inlineStr">
        <is>
          <t>Cần quét Bio Fanpage</t>
        </is>
      </c>
      <c r="E359" s="53" t="inlineStr">
        <is>
          <t>12/10/2026 23:30:01</t>
        </is>
      </c>
      <c r="F359" s="53" t="inlineStr">
        <is>
          <t>1 giờ trước</t>
        </is>
      </c>
      <c r="G359" s="55" t="n">
        <v>0.04</v>
      </c>
      <c r="H359" s="56" t="n">
        <v>35</v>
      </c>
      <c r="I359" s="6" t="inlineStr">
        <is>
          <t>Pet Owner / Cộng đồng nuôi cún (10đ)</t>
        </is>
      </c>
      <c r="J359" s="56" t="n">
        <v>10</v>
      </c>
      <c r="K359" s="6" t="inlineStr">
        <is>
          <t>Chưa rõ giống (Cần quét Bio)</t>
        </is>
      </c>
      <c r="L359" s="56" t="n">
        <v>0</v>
      </c>
      <c r="M359" s="56" t="n">
        <v>0</v>
      </c>
      <c r="N359" s="6" t="inlineStr">
        <is>
          <t>Amazon link not found</t>
        </is>
      </c>
      <c r="O359" s="56">
        <f>IF(N359="Selling pet toys + Artificial grass/Pet toilets (TARGET)",15,IF(N359="Selling artificial grass/pet toilets (TARGET)",10,IF(N359="Selling pet toys",7,IF(N359="There's an Amazon link, but no target sales.",3,0))))</f>
        <v/>
      </c>
      <c r="P359" s="65">
        <f>H359+J359+L359+M359+O359</f>
        <v/>
      </c>
      <c r="Q359" s="71" t="inlineStr">
        <is>
          <t>Excluded: Trang Chung / Không rõ Ngách Cún cưng</t>
        </is>
      </c>
      <c r="R359" s="6" t="inlineStr">
        <is>
          <t>Khay vệ sinh chung cư (Indoor Potty) + Thảm cỏ ban công (Grass Patch) + Đồ chơi</t>
        </is>
      </c>
      <c r="S359" s="6" t="inlineStr">
        <is>
          <t>Tuyệt đối không đưa vào CRM (Vi phạm Bộ lọc Âm tính Mục 5)</t>
        </is>
      </c>
    </row>
    <row r="360">
      <c r="A360" s="59" t="n">
        <v>489</v>
      </c>
      <c r="B360" s="15" t="inlineStr">
        <is>
          <t>AnimAll</t>
        </is>
      </c>
      <c r="C360" s="60" t="inlineStr">
        <is>
          <t>https://www.facebook.com/animall.ua</t>
        </is>
      </c>
      <c r="D360" s="9" t="inlineStr">
        <is>
          <t>Cần quét Bio Fanpage</t>
        </is>
      </c>
      <c r="E360" s="59" t="inlineStr">
        <is>
          <t>12/10/2026 23:29:40</t>
        </is>
      </c>
      <c r="F360" s="59" t="inlineStr">
        <is>
          <t>2 giờ trước</t>
        </is>
      </c>
      <c r="G360" s="61" t="n">
        <v>0.08</v>
      </c>
      <c r="H360" s="62" t="n">
        <v>35</v>
      </c>
      <c r="I360" s="9" t="inlineStr">
        <is>
          <t>Pet Owner / Cộng đồng nuôi cún (10đ)</t>
        </is>
      </c>
      <c r="J360" s="62" t="n">
        <v>10</v>
      </c>
      <c r="K360" s="9" t="inlineStr">
        <is>
          <t>Chưa rõ giống (Cần quét Bio)</t>
        </is>
      </c>
      <c r="L360" s="62" t="n">
        <v>0</v>
      </c>
      <c r="M360" s="62" t="n">
        <v>0</v>
      </c>
      <c r="N360" s="9" t="inlineStr">
        <is>
          <t>Amazon link not found</t>
        </is>
      </c>
      <c r="O360" s="62">
        <f>IF(N360="Selling pet toys + Artificial grass/Pet toilets (TARGET)",15,IF(N360="Selling artificial grass/pet toilets (TARGET)",10,IF(N360="Selling pet toys",7,IF(N360="There's an Amazon link, but no target sales.",3,0))))</f>
        <v/>
      </c>
      <c r="P360" s="67">
        <f>H360+J360+L360+M360+O360</f>
        <v/>
      </c>
      <c r="Q360" s="70" t="inlineStr">
        <is>
          <t>Excluded: Trang Chung / Không rõ Ngách Cún cưng</t>
        </is>
      </c>
      <c r="R360" s="9" t="inlineStr">
        <is>
          <t>Khay vệ sinh chung cư (Indoor Potty) + Thảm cỏ ban công (Grass Patch) + Đồ chơi</t>
        </is>
      </c>
      <c r="S360" s="9" t="inlineStr">
        <is>
          <t>Tuyệt đối không đưa vào CRM (Vi phạm Bộ lọc Âm tính Mục 5)</t>
        </is>
      </c>
    </row>
    <row r="361">
      <c r="A361" s="53" t="n">
        <v>14</v>
      </c>
      <c r="B361" s="12" t="inlineStr">
        <is>
          <t>American Dog Fancier</t>
        </is>
      </c>
      <c r="C361" s="54" t="inlineStr">
        <is>
          <t>https://www.facebook.com/AmericanDogFancier</t>
        </is>
      </c>
      <c r="D361" s="6" t="inlineStr">
        <is>
          <t>Cần quét Bio Fanpage</t>
        </is>
      </c>
      <c r="E361" s="53" t="inlineStr">
        <is>
          <t>12/10/2026 23:28:04</t>
        </is>
      </c>
      <c r="F361" s="53" t="inlineStr">
        <is>
          <t>1 giờ trước</t>
        </is>
      </c>
      <c r="G361" s="55" t="n">
        <v>0.04</v>
      </c>
      <c r="H361" s="56" t="n">
        <v>35</v>
      </c>
      <c r="I361" s="6" t="inlineStr">
        <is>
          <t>Pet Owner / Cộng đồng nuôi cún (10đ)</t>
        </is>
      </c>
      <c r="J361" s="56" t="n">
        <v>10</v>
      </c>
      <c r="K361" s="6" t="inlineStr">
        <is>
          <t>Chưa rõ giống (Cần quét Bio)</t>
        </is>
      </c>
      <c r="L361" s="56" t="n">
        <v>0</v>
      </c>
      <c r="M361" s="56" t="n">
        <v>0</v>
      </c>
      <c r="N361" s="6" t="inlineStr">
        <is>
          <t>Amazon link not found</t>
        </is>
      </c>
      <c r="O361" s="56">
        <f>IF(N361="Selling pet toys + Artificial grass/Pet toilets (TARGET)",15,IF(N361="Selling artificial grass/pet toilets (TARGET)",10,IF(N361="Selling pet toys",7,IF(N361="There's an Amazon link, but no target sales.",3,0))))</f>
        <v/>
      </c>
      <c r="P361" s="65">
        <f>H361+J361+L361+M361+O361</f>
        <v/>
      </c>
      <c r="Q361" s="71" t="inlineStr">
        <is>
          <t>Excluded: Kênh Tin tức, Tạp chí &amp; Giải trí (Mục 5.3)</t>
        </is>
      </c>
      <c r="R361" s="6" t="inlineStr">
        <is>
          <t>Khay vệ sinh chung cư (Indoor Potty) + Thảm cỏ ban công (Grass Patch) + Đồ chơi</t>
        </is>
      </c>
      <c r="S361" s="6" t="inlineStr">
        <is>
          <t>Tuyệt đối không đưa vào CRM (Vi phạm Bộ lọc Âm tính Mục 5)</t>
        </is>
      </c>
    </row>
    <row r="362">
      <c r="A362" s="59" t="n">
        <v>474</v>
      </c>
      <c r="B362" s="15" t="inlineStr">
        <is>
          <t>Animal Prosthetics</t>
        </is>
      </c>
      <c r="C362" s="60" t="inlineStr">
        <is>
          <t>https://www.facebook.com/profile.php?id=100092406759321</t>
        </is>
      </c>
      <c r="D362" s="9" t="inlineStr">
        <is>
          <t>Cần quét Bio Fanpage</t>
        </is>
      </c>
      <c r="E362" s="59" t="inlineStr">
        <is>
          <t>12/10/2026 23:25:45</t>
        </is>
      </c>
      <c r="F362" s="59" t="inlineStr">
        <is>
          <t>2 giờ trước</t>
        </is>
      </c>
      <c r="G362" s="61" t="n">
        <v>0.08</v>
      </c>
      <c r="H362" s="62" t="n">
        <v>35</v>
      </c>
      <c r="I362" s="9" t="inlineStr">
        <is>
          <t>Pet Owner / Cộng đồng nuôi cún (10đ)</t>
        </is>
      </c>
      <c r="J362" s="62" t="n">
        <v>10</v>
      </c>
      <c r="K362" s="9" t="inlineStr">
        <is>
          <t>Chưa rõ giống (Cần quét Bio)</t>
        </is>
      </c>
      <c r="L362" s="62" t="n">
        <v>0</v>
      </c>
      <c r="M362" s="62" t="n">
        <v>0</v>
      </c>
      <c r="N362" s="9" t="inlineStr">
        <is>
          <t>Amazon link not found</t>
        </is>
      </c>
      <c r="O362" s="62">
        <f>IF(N362="Selling pet toys + Artificial grass/Pet toilets (TARGET)",15,IF(N362="Selling artificial grass/pet toilets (TARGET)",10,IF(N362="Selling pet toys",7,IF(N362="There's an Amazon link, but no target sales.",3,0))))</f>
        <v/>
      </c>
      <c r="P362" s="67">
        <f>H362+J362+L362+M362+O362</f>
        <v/>
      </c>
      <c r="Q362" s="70" t="inlineStr">
        <is>
          <t>Excluded: Trang Chung / Không rõ Ngách Cún cưng</t>
        </is>
      </c>
      <c r="R362" s="9" t="inlineStr">
        <is>
          <t>Khay vệ sinh chung cư (Indoor Potty) + Thảm cỏ ban công (Grass Patch) + Đồ chơi</t>
        </is>
      </c>
      <c r="S362" s="9" t="inlineStr">
        <is>
          <t>Tuyệt đối không đưa vào CRM (Vi phạm Bộ lọc Âm tính Mục 5)</t>
        </is>
      </c>
    </row>
    <row r="363">
      <c r="A363" s="53" t="n">
        <v>17</v>
      </c>
      <c r="B363" s="12" t="inlineStr">
        <is>
          <t>Petco</t>
        </is>
      </c>
      <c r="C363" s="54" t="inlineStr">
        <is>
          <t>https://www.facebook.com/Petco</t>
        </is>
      </c>
      <c r="D363" s="6" t="inlineStr">
        <is>
          <t>Cần quét Bio Fanpage</t>
        </is>
      </c>
      <c r="E363" s="53" t="inlineStr">
        <is>
          <t>12/10/2026 23:15:19</t>
        </is>
      </c>
      <c r="F363" s="53" t="inlineStr">
        <is>
          <t>1 giờ trước</t>
        </is>
      </c>
      <c r="G363" s="55" t="n">
        <v>0.04</v>
      </c>
      <c r="H363" s="56" t="n">
        <v>35</v>
      </c>
      <c r="I363" s="6" t="inlineStr">
        <is>
          <t>Pet Owner / Cộng đồng nuôi cún (10đ)</t>
        </is>
      </c>
      <c r="J363" s="56" t="n">
        <v>10</v>
      </c>
      <c r="K363" s="6" t="inlineStr">
        <is>
          <t>Chưa rõ giống (Cần quét Bio)</t>
        </is>
      </c>
      <c r="L363" s="56" t="n">
        <v>0</v>
      </c>
      <c r="M363" s="56" t="n">
        <v>0</v>
      </c>
      <c r="N363" s="6" t="inlineStr">
        <is>
          <t>Amazon link not found</t>
        </is>
      </c>
      <c r="O363" s="56">
        <f>IF(N363="Selling pet toys + Artificial grass/Pet toilets (TARGET)",15,IF(N363="Selling artificial grass/pet toilets (TARGET)",10,IF(N363="Selling pet toys",7,IF(N363="There's an Amazon link, but no target sales.",3,0))))</f>
        <v/>
      </c>
      <c r="P363" s="65">
        <f>H363+J363+L363+M363+O363</f>
        <v/>
      </c>
      <c r="Q363" s="71" t="inlineStr">
        <is>
          <t>Excluded: Chuỗi Siêu thị Bán lẻ Lớn (Mục 5.2)</t>
        </is>
      </c>
      <c r="R363" s="6" t="inlineStr">
        <is>
          <t>Khay vệ sinh chung cư (Indoor Potty) + Thảm cỏ ban công (Grass Patch) + Đồ chơi</t>
        </is>
      </c>
      <c r="S363" s="6" t="inlineStr">
        <is>
          <t>Tuyệt đối không đưa vào CRM (Vi phạm Bộ lọc Âm tính Mục 5)</t>
        </is>
      </c>
    </row>
    <row r="364">
      <c r="A364" s="59" t="n">
        <v>3</v>
      </c>
      <c r="B364" s="15" t="inlineStr">
        <is>
          <t>WeRateDogs</t>
        </is>
      </c>
      <c r="C364" s="60" t="inlineStr">
        <is>
          <t>https://www.facebook.com/WeRateDogs</t>
        </is>
      </c>
      <c r="D364" s="9" t="inlineStr">
        <is>
          <t>Cần quét Bio Fanpage</t>
        </is>
      </c>
      <c r="E364" s="59" t="inlineStr">
        <is>
          <t>12/10/2026 23:11:47</t>
        </is>
      </c>
      <c r="F364" s="59" t="inlineStr">
        <is>
          <t>1 giờ trước</t>
        </is>
      </c>
      <c r="G364" s="61" t="n">
        <v>0.04</v>
      </c>
      <c r="H364" s="62" t="n">
        <v>35</v>
      </c>
      <c r="I364" s="9" t="inlineStr">
        <is>
          <t>Pet Owner / Cộng đồng nuôi cún (10đ)</t>
        </is>
      </c>
      <c r="J364" s="62" t="n">
        <v>10</v>
      </c>
      <c r="K364" s="9" t="inlineStr">
        <is>
          <t>Chưa rõ giống (Cần quét Bio)</t>
        </is>
      </c>
      <c r="L364" s="62" t="n">
        <v>0</v>
      </c>
      <c r="M364" s="62" t="n">
        <v>0</v>
      </c>
      <c r="N364" s="9" t="inlineStr">
        <is>
          <t>Amazon link not found</t>
        </is>
      </c>
      <c r="O364" s="62">
        <f>IF(N364="Selling pet toys + Artificial grass/Pet toilets (TARGET)",15,IF(N364="Selling artificial grass/pet toilets (TARGET)",10,IF(N364="Selling pet toys",7,IF(N364="There's an Amazon link, but no target sales.",3,0))))</f>
        <v/>
      </c>
      <c r="P364" s="67">
        <f>H364+J364+L364+M364+O364</f>
        <v/>
      </c>
      <c r="Q364" s="70" t="inlineStr">
        <is>
          <t>Excluded: Kênh Tin tức, Tạp chí &amp; Giải trí (Mục 5.3)</t>
        </is>
      </c>
      <c r="R364" s="9" t="inlineStr">
        <is>
          <t>Khay vệ sinh chung cư (Indoor Potty) + Thảm cỏ ban công (Grass Patch) + Đồ chơi</t>
        </is>
      </c>
      <c r="S364" s="9" t="inlineStr">
        <is>
          <t>Tuyệt đối không đưa vào CRM (Vi phạm Bộ lọc Âm tính Mục 5)</t>
        </is>
      </c>
    </row>
    <row r="365">
      <c r="A365" s="53" t="n">
        <v>840</v>
      </c>
      <c r="B365" s="12" t="inlineStr">
        <is>
          <t>Carefree/Cave Creek Chamber of Commerce</t>
        </is>
      </c>
      <c r="C365" s="54" t="inlineStr">
        <is>
          <t>https://www.facebook.com/CarefreeCaveCreekChamberofCommerce</t>
        </is>
      </c>
      <c r="D365" s="6" t="inlineStr">
        <is>
          <t>Cần quét Bio Fanpage</t>
        </is>
      </c>
      <c r="E365" s="53" t="inlineStr">
        <is>
          <t>12/10/2026 23:01:56</t>
        </is>
      </c>
      <c r="F365" s="53" t="inlineStr">
        <is>
          <t>3 giờ trước</t>
        </is>
      </c>
      <c r="G365" s="55" t="n">
        <v>0.12</v>
      </c>
      <c r="H365" s="56" t="n">
        <v>35</v>
      </c>
      <c r="I365" s="6" t="inlineStr">
        <is>
          <t>Pet Owner / Cộng đồng nuôi cún (10đ)</t>
        </is>
      </c>
      <c r="J365" s="56" t="n">
        <v>10</v>
      </c>
      <c r="K365" s="6" t="inlineStr">
        <is>
          <t>Chưa rõ giống (Cần quét Bio)</t>
        </is>
      </c>
      <c r="L365" s="56" t="n">
        <v>0</v>
      </c>
      <c r="M365" s="56" t="n">
        <v>0</v>
      </c>
      <c r="N365" s="6" t="inlineStr">
        <is>
          <t>Amazon link not found</t>
        </is>
      </c>
      <c r="O365" s="56">
        <f>IF(N365="Selling pet toys + Artificial grass/Pet toilets (TARGET)",15,IF(N365="Selling artificial grass/pet toilets (TARGET)",10,IF(N365="Selling pet toys",7,IF(N365="There's an Amazon link, but no target sales.",3,0))))</f>
        <v/>
      </c>
      <c r="P365" s="65">
        <f>H365+J365+L365+M365+O365</f>
        <v/>
      </c>
      <c r="Q365" s="71" t="inlineStr">
        <is>
          <t>Excluded: Trang Chung / Không rõ Ngách Cún cưng</t>
        </is>
      </c>
      <c r="R365" s="6" t="inlineStr">
        <is>
          <t>Khay vệ sinh chung cư (Indoor Potty) + Thảm cỏ ban công (Grass Patch) + Đồ chơi</t>
        </is>
      </c>
      <c r="S365" s="6" t="inlineStr">
        <is>
          <t>Tuyệt đối không đưa vào CRM (Vi phạm Bộ lọc Âm tính Mục 5)</t>
        </is>
      </c>
    </row>
    <row r="366">
      <c r="A366" s="59" t="n">
        <v>193</v>
      </c>
      <c r="B366" s="15" t="inlineStr">
        <is>
          <t>I Love Veterinary Medicine</t>
        </is>
      </c>
      <c r="C366" s="60" t="inlineStr">
        <is>
          <t>https://www.facebook.com/iloveveterinary</t>
        </is>
      </c>
      <c r="D366" s="9" t="inlineStr">
        <is>
          <t>Cần quét Bio Fanpage</t>
        </is>
      </c>
      <c r="E366" s="59" t="inlineStr">
        <is>
          <t>12/10/2026 23:01:48</t>
        </is>
      </c>
      <c r="F366" s="59" t="inlineStr">
        <is>
          <t>2 giờ trước</t>
        </is>
      </c>
      <c r="G366" s="61" t="n">
        <v>0.08</v>
      </c>
      <c r="H366" s="62" t="n">
        <v>35</v>
      </c>
      <c r="I366" s="9" t="inlineStr">
        <is>
          <t>Pet Owner / Cộng đồng nuôi cún (10đ)</t>
        </is>
      </c>
      <c r="J366" s="62" t="n">
        <v>10</v>
      </c>
      <c r="K366" s="9" t="inlineStr">
        <is>
          <t>Chưa rõ giống (Cần quét Bio)</t>
        </is>
      </c>
      <c r="L366" s="62" t="n">
        <v>0</v>
      </c>
      <c r="M366" s="62" t="n">
        <v>0</v>
      </c>
      <c r="N366" s="9" t="inlineStr">
        <is>
          <t>Amazon link not found</t>
        </is>
      </c>
      <c r="O366" s="62">
        <f>IF(N366="Selling pet toys + Artificial grass/Pet toilets (TARGET)",15,IF(N366="Selling artificial grass/pet toilets (TARGET)",10,IF(N366="Selling pet toys",7,IF(N366="There's an Amazon link, but no target sales.",3,0))))</f>
        <v/>
      </c>
      <c r="P366" s="67">
        <f>H366+J366+L366+M366+O366</f>
        <v/>
      </c>
      <c r="Q366" s="70" t="inlineStr">
        <is>
          <t>Excluded: Công ty Gen DNA &amp; Thú y (Mục 5.4)</t>
        </is>
      </c>
      <c r="R366" s="9" t="inlineStr">
        <is>
          <t>Khay vệ sinh chung cư (Indoor Potty) + Thảm cỏ ban công (Grass Patch) + Đồ chơi</t>
        </is>
      </c>
      <c r="S366" s="9" t="inlineStr">
        <is>
          <t>Tuyệt đối không đưa vào CRM (Vi phạm Bộ lọc Âm tính Mục 5)</t>
        </is>
      </c>
    </row>
    <row r="367">
      <c r="A367" s="53" t="n">
        <v>961</v>
      </c>
      <c r="B367" s="12" t="inlineStr">
        <is>
          <t>Creekside Animal Clinic</t>
        </is>
      </c>
      <c r="C367" s="54" t="inlineStr">
        <is>
          <t>https://www.facebook.com/CreeksideAnimalClinicVernon</t>
        </is>
      </c>
      <c r="D367" s="6" t="inlineStr">
        <is>
          <t>Cần quét Bio Fanpage</t>
        </is>
      </c>
      <c r="E367" s="53" t="inlineStr">
        <is>
          <t>12/10/2026 23:00:05</t>
        </is>
      </c>
      <c r="F367" s="53" t="inlineStr">
        <is>
          <t>3 giờ trước</t>
        </is>
      </c>
      <c r="G367" s="55" t="n">
        <v>0.12</v>
      </c>
      <c r="H367" s="56" t="n">
        <v>35</v>
      </c>
      <c r="I367" s="6" t="inlineStr">
        <is>
          <t>Pet Owner / Cộng đồng nuôi cún (10đ)</t>
        </is>
      </c>
      <c r="J367" s="56" t="n">
        <v>10</v>
      </c>
      <c r="K367" s="6" t="inlineStr">
        <is>
          <t>Chưa rõ giống (Cần quét Bio)</t>
        </is>
      </c>
      <c r="L367" s="56" t="n">
        <v>0</v>
      </c>
      <c r="M367" s="56" t="n">
        <v>0</v>
      </c>
      <c r="N367" s="6" t="inlineStr">
        <is>
          <t>Amazon link not found</t>
        </is>
      </c>
      <c r="O367" s="56">
        <f>IF(N367="Selling pet toys + Artificial grass/Pet toilets (TARGET)",15,IF(N367="Selling artificial grass/pet toilets (TARGET)",10,IF(N367="Selling pet toys",7,IF(N367="There's an Amazon link, but no target sales.",3,0))))</f>
        <v/>
      </c>
      <c r="P367" s="65">
        <f>H367+J367+L367+M367+O367</f>
        <v/>
      </c>
      <c r="Q367" s="71" t="inlineStr">
        <is>
          <t>Excluded: Công ty Gen DNA &amp; Thú y (Mục 5.4)</t>
        </is>
      </c>
      <c r="R367" s="6" t="inlineStr">
        <is>
          <t>Khay vệ sinh chung cư (Indoor Potty) + Thảm cỏ ban công (Grass Patch) + Đồ chơi</t>
        </is>
      </c>
      <c r="S367" s="6" t="inlineStr">
        <is>
          <t>Tuyệt đối không đưa vào CRM (Vi phạm Bộ lọc Âm tính Mục 5)</t>
        </is>
      </c>
    </row>
    <row r="368">
      <c r="A368" s="59" t="n">
        <v>438</v>
      </c>
      <c r="B368" s="15" t="inlineStr">
        <is>
          <t>Angel's Animals - Holistic Care and Seminars</t>
        </is>
      </c>
      <c r="C368" s="60" t="inlineStr">
        <is>
          <t>https://www.facebook.com/AngelsAnimalsHolisticCareandSeminars</t>
        </is>
      </c>
      <c r="D368" s="9" t="inlineStr">
        <is>
          <t>Cần quét Bio Fanpage</t>
        </is>
      </c>
      <c r="E368" s="59" t="inlineStr">
        <is>
          <t>12/10/2026 22:48:55</t>
        </is>
      </c>
      <c r="F368" s="59" t="inlineStr">
        <is>
          <t>2 giờ trước</t>
        </is>
      </c>
      <c r="G368" s="61" t="n">
        <v>0.08</v>
      </c>
      <c r="H368" s="62" t="n">
        <v>35</v>
      </c>
      <c r="I368" s="9" t="inlineStr">
        <is>
          <t>Pet Owner / Cộng đồng nuôi cún (10đ)</t>
        </is>
      </c>
      <c r="J368" s="62" t="n">
        <v>10</v>
      </c>
      <c r="K368" s="9" t="inlineStr">
        <is>
          <t>Chưa rõ giống (Cần quét Bio)</t>
        </is>
      </c>
      <c r="L368" s="62" t="n">
        <v>0</v>
      </c>
      <c r="M368" s="62" t="n">
        <v>0</v>
      </c>
      <c r="N368" s="9" t="inlineStr">
        <is>
          <t>Amazon link not found</t>
        </is>
      </c>
      <c r="O368" s="62">
        <f>IF(N368="Selling pet toys + Artificial grass/Pet toilets (TARGET)",15,IF(N368="Selling artificial grass/pet toilets (TARGET)",10,IF(N368="Selling pet toys",7,IF(N368="There's an Amazon link, but no target sales.",3,0))))</f>
        <v/>
      </c>
      <c r="P368" s="67">
        <f>H368+J368+L368+M368+O368</f>
        <v/>
      </c>
      <c r="Q368" s="70" t="inlineStr">
        <is>
          <t>Excluded: Trang Chung / Không rõ Ngách Cún cưng</t>
        </is>
      </c>
      <c r="R368" s="9" t="inlineStr">
        <is>
          <t>Khay vệ sinh chung cư (Indoor Potty) + Thảm cỏ ban công (Grass Patch) + Đồ chơi</t>
        </is>
      </c>
      <c r="S368" s="9" t="inlineStr">
        <is>
          <t>Tuyệt đối không đưa vào CRM (Vi phạm Bộ lọc Âm tính Mục 5)</t>
        </is>
      </c>
    </row>
    <row r="369">
      <c r="A369" s="53" t="n">
        <v>453</v>
      </c>
      <c r="B369" s="12" t="inlineStr">
        <is>
          <t>AnimalEDventurePark</t>
        </is>
      </c>
      <c r="C369" s="54" t="inlineStr">
        <is>
          <t>https://www.facebook.com/AnimalEDventurePark</t>
        </is>
      </c>
      <c r="D369" s="6" t="inlineStr">
        <is>
          <t>Cần quét Bio Fanpage</t>
        </is>
      </c>
      <c r="E369" s="53" t="inlineStr">
        <is>
          <t>12/10/2026 22:38:04</t>
        </is>
      </c>
      <c r="F369" s="53" t="inlineStr">
        <is>
          <t>3 giờ trước</t>
        </is>
      </c>
      <c r="G369" s="55" t="n">
        <v>0.12</v>
      </c>
      <c r="H369" s="56" t="n">
        <v>35</v>
      </c>
      <c r="I369" s="6" t="inlineStr">
        <is>
          <t>Pet Owner / Cộng đồng nuôi cún (10đ)</t>
        </is>
      </c>
      <c r="J369" s="56" t="n">
        <v>10</v>
      </c>
      <c r="K369" s="6" t="inlineStr">
        <is>
          <t>Chưa rõ giống (Cần quét Bio)</t>
        </is>
      </c>
      <c r="L369" s="56" t="n">
        <v>0</v>
      </c>
      <c r="M369" s="56" t="n">
        <v>0</v>
      </c>
      <c r="N369" s="6" t="inlineStr">
        <is>
          <t>Amazon link not found</t>
        </is>
      </c>
      <c r="O369" s="56">
        <f>IF(N369="Selling pet toys + Artificial grass/Pet toilets (TARGET)",15,IF(N369="Selling artificial grass/pet toilets (TARGET)",10,IF(N369="Selling pet toys",7,IF(N369="There's an Amazon link, but no target sales.",3,0))))</f>
        <v/>
      </c>
      <c r="P369" s="65">
        <f>H369+J369+L369+M369+O369</f>
        <v/>
      </c>
      <c r="Q369" s="71" t="inlineStr">
        <is>
          <t>Excluded: Trang Chung / Không rõ Ngách Cún cưng</t>
        </is>
      </c>
      <c r="R369" s="6" t="inlineStr">
        <is>
          <t>Khay vệ sinh chung cư (Indoor Potty) + Thảm cỏ ban công (Grass Patch) + Đồ chơi</t>
        </is>
      </c>
      <c r="S369" s="6" t="inlineStr">
        <is>
          <t>Tuyệt đối không đưa vào CRM (Vi phạm Bộ lọc Âm tính Mục 5)</t>
        </is>
      </c>
    </row>
    <row r="370">
      <c r="A370" s="59" t="n">
        <v>226</v>
      </c>
      <c r="B370" s="15" t="inlineStr">
        <is>
          <t>Facebook User</t>
        </is>
      </c>
      <c r="C370" s="60" t="inlineStr">
        <is>
          <t>https://www.facebook.com/profile.php?id=61551797925417</t>
        </is>
      </c>
      <c r="D370" s="9" t="inlineStr">
        <is>
          <t>Cần quét Bio Fanpage</t>
        </is>
      </c>
      <c r="E370" s="59" t="inlineStr">
        <is>
          <t>12/10/2026 22:35:57</t>
        </is>
      </c>
      <c r="F370" s="59" t="inlineStr">
        <is>
          <t>2 giờ trước</t>
        </is>
      </c>
      <c r="G370" s="61" t="n">
        <v>0.08</v>
      </c>
      <c r="H370" s="62" t="n">
        <v>35</v>
      </c>
      <c r="I370" s="9" t="inlineStr">
        <is>
          <t>Pet Owner / Cộng đồng nuôi cún (10đ)</t>
        </is>
      </c>
      <c r="J370" s="62" t="n">
        <v>10</v>
      </c>
      <c r="K370" s="9" t="inlineStr">
        <is>
          <t>Chưa rõ giống (Cần quét Bio)</t>
        </is>
      </c>
      <c r="L370" s="62" t="n">
        <v>0</v>
      </c>
      <c r="M370" s="62" t="n">
        <v>0</v>
      </c>
      <c r="N370" s="9" t="inlineStr">
        <is>
          <t>Amazon link not found</t>
        </is>
      </c>
      <c r="O370" s="62">
        <f>IF(N370="Selling pet toys + Artificial grass/Pet toilets (TARGET)",15,IF(N370="Selling artificial grass/pet toilets (TARGET)",10,IF(N370="Selling pet toys",7,IF(N370="There's an Amazon link, but no target sales.",3,0))))</f>
        <v/>
      </c>
      <c r="P370" s="67">
        <f>H370+J370+L370+M370+O370</f>
        <v/>
      </c>
      <c r="Q370" s="70" t="inlineStr">
        <is>
          <t>Excluded: Hồ sơ Ẩn danh (Facebook User)</t>
        </is>
      </c>
      <c r="R370" s="9" t="inlineStr">
        <is>
          <t>Khay vệ sinh chung cư (Indoor Potty) + Thảm cỏ ban công (Grass Patch) + Đồ chơi</t>
        </is>
      </c>
      <c r="S370" s="9" t="inlineStr">
        <is>
          <t>Tuyệt đối không đưa vào CRM (Vi phạm Bộ lọc Âm tính Mục 5)</t>
        </is>
      </c>
    </row>
    <row r="371">
      <c r="A371" s="53" t="n">
        <v>498</v>
      </c>
      <c r="B371" s="12" t="inlineStr">
        <is>
          <t>Ann Arbor Animal Hospital</t>
        </is>
      </c>
      <c r="C371" s="54" t="inlineStr">
        <is>
          <t>https://www.facebook.com/AnnArborAnimalHospital</t>
        </is>
      </c>
      <c r="D371" s="6" t="inlineStr">
        <is>
          <t>Cần quét Bio Fanpage</t>
        </is>
      </c>
      <c r="E371" s="53" t="inlineStr">
        <is>
          <t>12/10/2026 22:05:03</t>
        </is>
      </c>
      <c r="F371" s="53" t="inlineStr">
        <is>
          <t>3 giờ trước</t>
        </is>
      </c>
      <c r="G371" s="55" t="n">
        <v>0.12</v>
      </c>
      <c r="H371" s="56" t="n">
        <v>35</v>
      </c>
      <c r="I371" s="6" t="inlineStr">
        <is>
          <t>Pet Owner / Cộng đồng nuôi cún (10đ)</t>
        </is>
      </c>
      <c r="J371" s="56" t="n">
        <v>10</v>
      </c>
      <c r="K371" s="6" t="inlineStr">
        <is>
          <t>Chưa rõ giống (Cần quét Bio)</t>
        </is>
      </c>
      <c r="L371" s="56" t="n">
        <v>0</v>
      </c>
      <c r="M371" s="56" t="n">
        <v>0</v>
      </c>
      <c r="N371" s="6" t="inlineStr">
        <is>
          <t>Amazon link not found</t>
        </is>
      </c>
      <c r="O371" s="56">
        <f>IF(N371="Selling pet toys + Artificial grass/Pet toilets (TARGET)",15,IF(N371="Selling artificial grass/pet toilets (TARGET)",10,IF(N371="Selling pet toys",7,IF(N371="There's an Amazon link, but no target sales.",3,0))))</f>
        <v/>
      </c>
      <c r="P371" s="65">
        <f>H371+J371+L371+M371+O371</f>
        <v/>
      </c>
      <c r="Q371" s="71" t="inlineStr">
        <is>
          <t>Excluded: Công ty Gen DNA &amp; Thú y (Mục 5.4)</t>
        </is>
      </c>
      <c r="R371" s="6" t="inlineStr">
        <is>
          <t>Khay vệ sinh chung cư (Indoor Potty) + Thảm cỏ ban công (Grass Patch) + Đồ chơi</t>
        </is>
      </c>
      <c r="S371" s="6" t="inlineStr">
        <is>
          <t>Tuyệt đối không đưa vào CRM (Vi phạm Bộ lọc Âm tính Mục 5)</t>
        </is>
      </c>
    </row>
    <row r="372">
      <c r="A372" s="59" t="n">
        <v>60</v>
      </c>
      <c r="B372" s="15" t="inlineStr">
        <is>
          <t>ErekaV</t>
        </is>
      </c>
      <c r="C372" s="60" t="inlineStr">
        <is>
          <t>https://www.facebook.com/ErekaV</t>
        </is>
      </c>
      <c r="D372" s="9" t="inlineStr">
        <is>
          <t>Cần quét Bio Fanpage</t>
        </is>
      </c>
      <c r="E372" s="59" t="inlineStr">
        <is>
          <t>12/10/2026 22:02:44</t>
        </is>
      </c>
      <c r="F372" s="59" t="inlineStr">
        <is>
          <t>2 giờ trước</t>
        </is>
      </c>
      <c r="G372" s="61" t="n">
        <v>0.08</v>
      </c>
      <c r="H372" s="62" t="n">
        <v>35</v>
      </c>
      <c r="I372" s="9" t="inlineStr">
        <is>
          <t>Pet Owner / Cộng đồng nuôi cún (10đ)</t>
        </is>
      </c>
      <c r="J372" s="62" t="n">
        <v>10</v>
      </c>
      <c r="K372" s="9" t="inlineStr">
        <is>
          <t>Chưa rõ giống (Cần quét Bio)</t>
        </is>
      </c>
      <c r="L372" s="62" t="n">
        <v>0</v>
      </c>
      <c r="M372" s="62" t="n">
        <v>0</v>
      </c>
      <c r="N372" s="9" t="inlineStr">
        <is>
          <t>Amazon link not found</t>
        </is>
      </c>
      <c r="O372" s="62">
        <f>IF(N372="Selling pet toys + Artificial grass/Pet toilets (TARGET)",15,IF(N372="Selling artificial grass/pet toilets (TARGET)",10,IF(N372="Selling pet toys",7,IF(N372="There's an Amazon link, but no target sales.",3,0))))</f>
        <v/>
      </c>
      <c r="P372" s="67">
        <f>H372+J372+L372+M372+O372</f>
        <v/>
      </c>
      <c r="Q372" s="70" t="inlineStr">
        <is>
          <t>Excluded: Trang Chung / Không rõ Ngách Cún cưng</t>
        </is>
      </c>
      <c r="R372" s="9" t="inlineStr">
        <is>
          <t>Khay vệ sinh chung cư (Indoor Potty) + Thảm cỏ ban công (Grass Patch) + Đồ chơi</t>
        </is>
      </c>
      <c r="S372" s="9" t="inlineStr">
        <is>
          <t>Tuyệt đối không đưa vào CRM (Vi phạm Bộ lọc Âm tính Mục 5)</t>
        </is>
      </c>
    </row>
    <row r="373">
      <c r="A373" s="53" t="n">
        <v>73</v>
      </c>
      <c r="B373" s="12" t="inlineStr">
        <is>
          <t>Petco.Mexico</t>
        </is>
      </c>
      <c r="C373" s="54" t="inlineStr">
        <is>
          <t>https://www.facebook.com/Petco.Mexico</t>
        </is>
      </c>
      <c r="D373" s="6" t="inlineStr">
        <is>
          <t>Cần quét Bio Fanpage</t>
        </is>
      </c>
      <c r="E373" s="53" t="inlineStr">
        <is>
          <t>12/10/2026 22:02:30</t>
        </is>
      </c>
      <c r="F373" s="53" t="inlineStr">
        <is>
          <t>3 giờ trước</t>
        </is>
      </c>
      <c r="G373" s="55" t="n">
        <v>0.12</v>
      </c>
      <c r="H373" s="56" t="n">
        <v>35</v>
      </c>
      <c r="I373" s="6" t="inlineStr">
        <is>
          <t>Pet Owner / Cộng đồng nuôi cún (10đ)</t>
        </is>
      </c>
      <c r="J373" s="56" t="n">
        <v>10</v>
      </c>
      <c r="K373" s="6" t="inlineStr">
        <is>
          <t>Chưa rõ giống (Cần quét Bio)</t>
        </is>
      </c>
      <c r="L373" s="56" t="n">
        <v>0</v>
      </c>
      <c r="M373" s="56" t="n">
        <v>0</v>
      </c>
      <c r="N373" s="6" t="inlineStr">
        <is>
          <t>Amazon link not found</t>
        </is>
      </c>
      <c r="O373" s="56">
        <f>IF(N373="Selling pet toys + Artificial grass/Pet toilets (TARGET)",15,IF(N373="Selling artificial grass/pet toilets (TARGET)",10,IF(N373="Selling pet toys",7,IF(N373="There's an Amazon link, but no target sales.",3,0))))</f>
        <v/>
      </c>
      <c r="P373" s="65">
        <f>H373+J373+L373+M373+O373</f>
        <v/>
      </c>
      <c r="Q373" s="71" t="inlineStr">
        <is>
          <t>Excluded: Chuỗi Siêu thị Bán lẻ Lớn (Mục 5.2)</t>
        </is>
      </c>
      <c r="R373" s="6" t="inlineStr">
        <is>
          <t>Khay vệ sinh chung cư (Indoor Potty) + Thảm cỏ ban công (Grass Patch) + Đồ chơi</t>
        </is>
      </c>
      <c r="S373" s="6" t="inlineStr">
        <is>
          <t>Tuyệt đối không đưa vào CRM (Vi phạm Bộ lọc Âm tính Mục 5)</t>
        </is>
      </c>
    </row>
    <row r="374">
      <c r="A374" s="59" t="n">
        <v>455</v>
      </c>
      <c r="B374" s="15" t="inlineStr">
        <is>
          <t>Animal EDventure Safari Staff Gone WILD</t>
        </is>
      </c>
      <c r="C374" s="60" t="inlineStr">
        <is>
          <t>https://www.facebook.com/AnimalEDventureSafari</t>
        </is>
      </c>
      <c r="D374" s="9" t="inlineStr">
        <is>
          <t>Cần quét Bio Fanpage</t>
        </is>
      </c>
      <c r="E374" s="59" t="inlineStr">
        <is>
          <t>12/10/2026 22:00:25</t>
        </is>
      </c>
      <c r="F374" s="59" t="inlineStr">
        <is>
          <t>3 giờ trước</t>
        </is>
      </c>
      <c r="G374" s="61" t="n">
        <v>0.12</v>
      </c>
      <c r="H374" s="62" t="n">
        <v>35</v>
      </c>
      <c r="I374" s="9" t="inlineStr">
        <is>
          <t>Pet Owner / Cộng đồng nuôi cún (10đ)</t>
        </is>
      </c>
      <c r="J374" s="62" t="n">
        <v>10</v>
      </c>
      <c r="K374" s="9" t="inlineStr">
        <is>
          <t>Chưa rõ giống (Cần quét Bio)</t>
        </is>
      </c>
      <c r="L374" s="62" t="n">
        <v>0</v>
      </c>
      <c r="M374" s="62" t="n">
        <v>0</v>
      </c>
      <c r="N374" s="9" t="inlineStr">
        <is>
          <t>Amazon link not found</t>
        </is>
      </c>
      <c r="O374" s="62">
        <f>IF(N374="Selling pet toys + Artificial grass/Pet toilets (TARGET)",15,IF(N374="Selling artificial grass/pet toilets (TARGET)",10,IF(N374="Selling pet toys",7,IF(N374="There's an Amazon link, but no target sales.",3,0))))</f>
        <v/>
      </c>
      <c r="P374" s="67">
        <f>H374+J374+L374+M374+O374</f>
        <v/>
      </c>
      <c r="Q374" s="70" t="inlineStr">
        <is>
          <t>Excluded: Trang Chung / Không rõ Ngách Cún cưng</t>
        </is>
      </c>
      <c r="R374" s="9" t="inlineStr">
        <is>
          <t>Khay vệ sinh chung cư (Indoor Potty) + Thảm cỏ ban công (Grass Patch) + Đồ chơi</t>
        </is>
      </c>
      <c r="S374" s="9" t="inlineStr">
        <is>
          <t>Tuyệt đối không đưa vào CRM (Vi phạm Bộ lọc Âm tính Mục 5)</t>
        </is>
      </c>
    </row>
    <row r="375">
      <c r="A375" s="53" t="n">
        <v>422</v>
      </c>
      <c r="B375" s="12" t="inlineStr">
        <is>
          <t>Facebook User</t>
        </is>
      </c>
      <c r="C375" s="54" t="inlineStr">
        <is>
          <t>https://www.facebook.com/profile.php?id=100091548831343</t>
        </is>
      </c>
      <c r="D375" s="6" t="inlineStr">
        <is>
          <t>Cần quét Bio Fanpage</t>
        </is>
      </c>
      <c r="E375" s="53" t="inlineStr">
        <is>
          <t>12/10/2026 21:58:57</t>
        </is>
      </c>
      <c r="F375" s="53" t="inlineStr">
        <is>
          <t>3 giờ trước</t>
        </is>
      </c>
      <c r="G375" s="55" t="n">
        <v>0.12</v>
      </c>
      <c r="H375" s="56" t="n">
        <v>35</v>
      </c>
      <c r="I375" s="6" t="inlineStr">
        <is>
          <t>Pet Owner / Cộng đồng nuôi cún (10đ)</t>
        </is>
      </c>
      <c r="J375" s="56" t="n">
        <v>10</v>
      </c>
      <c r="K375" s="6" t="inlineStr">
        <is>
          <t>Chưa rõ giống (Cần quét Bio)</t>
        </is>
      </c>
      <c r="L375" s="56" t="n">
        <v>0</v>
      </c>
      <c r="M375" s="56" t="n">
        <v>0</v>
      </c>
      <c r="N375" s="6" t="inlineStr">
        <is>
          <t>Amazon link not found</t>
        </is>
      </c>
      <c r="O375" s="56">
        <f>IF(N375="Selling pet toys + Artificial grass/Pet toilets (TARGET)",15,IF(N375="Selling artificial grass/pet toilets (TARGET)",10,IF(N375="Selling pet toys",7,IF(N375="There's an Amazon link, but no target sales.",3,0))))</f>
        <v/>
      </c>
      <c r="P375" s="65">
        <f>H375+J375+L375+M375+O375</f>
        <v/>
      </c>
      <c r="Q375" s="71" t="inlineStr">
        <is>
          <t>Excluded: Hồ sơ Ẩn danh (Facebook User)</t>
        </is>
      </c>
      <c r="R375" s="6" t="inlineStr">
        <is>
          <t>Khay vệ sinh chung cư (Indoor Potty) + Thảm cỏ ban công (Grass Patch) + Đồ chơi</t>
        </is>
      </c>
      <c r="S375" s="6" t="inlineStr">
        <is>
          <t>Tuyệt đối không đưa vào CRM (Vi phạm Bộ lọc Âm tính Mục 5)</t>
        </is>
      </c>
    </row>
    <row r="376">
      <c r="A376" s="59" t="n">
        <v>2563</v>
      </c>
      <c r="B376" s="15" t="inlineStr">
        <is>
          <t>Philippine Bully Kennel Club - PBKC</t>
        </is>
      </c>
      <c r="C376" s="60" t="inlineStr">
        <is>
          <t>https://www.facebook.com/PhilippineBullyKennelClub</t>
        </is>
      </c>
      <c r="D376" s="9" t="inlineStr">
        <is>
          <t>Cần quét Bio Fanpage</t>
        </is>
      </c>
      <c r="E376" s="59" t="inlineStr">
        <is>
          <t>04/08/2026 10:17:04</t>
        </is>
      </c>
      <c r="F376" s="59" t="inlineStr">
        <is>
          <t>2 tháng trước</t>
        </is>
      </c>
      <c r="G376" s="61" t="n">
        <v>60</v>
      </c>
      <c r="H376" s="62" t="n">
        <v>0</v>
      </c>
      <c r="I376" s="9" t="inlineStr">
        <is>
          <t>Dog Breeder / Trại chó chuyên nghiệp (28-30đ)</t>
        </is>
      </c>
      <c r="J376" s="62" t="n">
        <v>30</v>
      </c>
      <c r="K376" s="9" t="inlineStr">
        <is>
          <t>American Bully / Bully</t>
        </is>
      </c>
      <c r="L376" s="62" t="n">
        <v>10</v>
      </c>
      <c r="M376" s="62" t="n">
        <v>5</v>
      </c>
      <c r="N376" s="9" t="inlineStr">
        <is>
          <t>Amazon link not found</t>
        </is>
      </c>
      <c r="O376" s="62">
        <f>IF(N376="Selling pet toys + Artificial grass/Pet toilets (TARGET)",15,IF(N376="Selling artificial grass/pet toilets (TARGET)",10,IF(N376="Selling pet toys",7,IF(N376="There's an Amazon link, but no target sales.",3,0))))</f>
        <v/>
      </c>
      <c r="P376" s="67">
        <f>H376+J376+L376+M376+O376</f>
        <v/>
      </c>
      <c r="Q376" s="70" t="inlineStr">
        <is>
          <t>Excluded: Hiệp hội &amp; CLB Phả hệ (Mục 5.1)</t>
        </is>
      </c>
      <c r="R376" s="9" t="inlineStr">
        <is>
          <t>Trọn gói Take-Home Starter Kit V2/V3 (Cỏ nhân tạo + Khay Potty + Đồ chơi Teething/Snuggle)</t>
        </is>
      </c>
      <c r="S376" s="9" t="inlineStr">
        <is>
          <t>Tuyệt đối không đưa vào CRM (Vi phạm Bộ lọc Âm tính Mục 5)</t>
        </is>
      </c>
    </row>
    <row r="377">
      <c r="A377" s="53" t="n">
        <v>1964</v>
      </c>
      <c r="B377" s="12" t="inlineStr">
        <is>
          <t>Labrador retriever kennel "KOMPANIJA" (FCI)</t>
        </is>
      </c>
      <c r="C377" s="54" t="inlineStr">
        <is>
          <t>https://www.facebook.com/profile.php?id=100064492132109</t>
        </is>
      </c>
      <c r="D377" s="6" t="inlineStr">
        <is>
          <t>Cần quét Bio Fanpage</t>
        </is>
      </c>
      <c r="E377" s="53" t="inlineStr">
        <is>
          <t>25/02/2013 00:23:00</t>
        </is>
      </c>
      <c r="F377" s="53" t="inlineStr">
        <is>
          <t>25 Tháng 2, 2013 lúc 00:23</t>
        </is>
      </c>
      <c r="G377" s="55" t="n">
        <v>365</v>
      </c>
      <c r="H377" s="56" t="n">
        <v>0</v>
      </c>
      <c r="I377" s="6" t="inlineStr">
        <is>
          <t>Dog Breeder / Trại chó chuyên nghiệp (28-30đ)</t>
        </is>
      </c>
      <c r="J377" s="56" t="n">
        <v>30</v>
      </c>
      <c r="K377" s="6" t="inlineStr">
        <is>
          <t>Labrador</t>
        </is>
      </c>
      <c r="L377" s="56" t="n">
        <v>10</v>
      </c>
      <c r="M377" s="56" t="n">
        <v>5</v>
      </c>
      <c r="N377" s="6" t="inlineStr">
        <is>
          <t>Amazon link not found</t>
        </is>
      </c>
      <c r="O377" s="56">
        <f>IF(N377="Selling pet toys + Artificial grass/Pet toilets (TARGET)",15,IF(N377="Selling artificial grass/pet toilets (TARGET)",10,IF(N377="Selling pet toys",7,IF(N377="There's an Amazon link, but no target sales.",3,0))))</f>
        <v/>
      </c>
      <c r="P377" s="65">
        <f>H377+J377+L377+M377+O377</f>
        <v/>
      </c>
      <c r="Q377" s="71" t="inlineStr">
        <is>
          <t>Excluded: Hiệp hội &amp; CLB Phả hệ (Mục 5.1)</t>
        </is>
      </c>
      <c r="R377" s="6" t="inlineStr">
        <is>
          <t>Trọn gói Take-Home Starter Kit V2/V3 (Cỏ nhân tạo + Khay Potty + Đồ chơi Teething/Snuggle)</t>
        </is>
      </c>
      <c r="S377" s="6" t="inlineStr">
        <is>
          <t>Tuyệt đối không đưa vào CRM (Vi phạm Bộ lọc Âm tính Mục 5)</t>
        </is>
      </c>
    </row>
    <row r="378">
      <c r="A378" s="59" t="n">
        <v>2981</v>
      </c>
      <c r="B378" s="15" t="inlineStr">
        <is>
          <t>Sprouts Farmers Market (Mesa, AZ - Store# 5)</t>
        </is>
      </c>
      <c r="C378" s="60" t="inlineStr">
        <is>
          <t>https://www.facebook.com/SproutsMesaGilbertAndBrown</t>
        </is>
      </c>
      <c r="D378" s="9" t="inlineStr">
        <is>
          <t>Cần quét Bio Fanpage</t>
        </is>
      </c>
      <c r="E378" s="59" t="inlineStr">
        <is>
          <t>11/10/2026 23:21:15</t>
        </is>
      </c>
      <c r="F378" s="59" t="inlineStr">
        <is>
          <t>1 ngày trước</t>
        </is>
      </c>
      <c r="G378" s="61" t="n">
        <v>1</v>
      </c>
      <c r="H378" s="62" t="n">
        <v>28</v>
      </c>
      <c r="I378" s="9" t="inlineStr">
        <is>
          <t>Pet Owner / Cộng đồng nuôi cún (10đ)</t>
        </is>
      </c>
      <c r="J378" s="62" t="n">
        <v>10</v>
      </c>
      <c r="K378" s="9" t="inlineStr">
        <is>
          <t>Chưa rõ giống (Cần quét Bio)</t>
        </is>
      </c>
      <c r="L378" s="62" t="n">
        <v>0</v>
      </c>
      <c r="M378" s="62" t="n">
        <v>5</v>
      </c>
      <c r="N378" s="9" t="inlineStr">
        <is>
          <t>Amazon link not found</t>
        </is>
      </c>
      <c r="O378" s="62">
        <f>IF(N378="Selling pet toys + Artificial grass/Pet toilets (TARGET)",15,IF(N378="Selling artificial grass/pet toilets (TARGET)",10,IF(N378="Selling pet toys",7,IF(N378="There's an Amazon link, but no target sales.",3,0))))</f>
        <v/>
      </c>
      <c r="P378" s="67">
        <f>H378+J378+L378+M378+O378</f>
        <v/>
      </c>
      <c r="Q378" s="70" t="inlineStr">
        <is>
          <t>Excluded: Ngành nghề Khác (Phi Cún cưng)</t>
        </is>
      </c>
      <c r="R378" s="9" t="inlineStr">
        <is>
          <t>Khay vệ sinh chung cư (Indoor Potty) + Thảm cỏ ban công (Grass Patch) + Đồ chơi</t>
        </is>
      </c>
      <c r="S378" s="9" t="inlineStr">
        <is>
          <t>Tuyệt đối không đưa vào CRM (Vi phạm Bộ lọc Âm tính Mục 5)</t>
        </is>
      </c>
    </row>
    <row r="379">
      <c r="A379" s="53" t="n">
        <v>170</v>
      </c>
      <c r="B379" s="12" t="inlineStr">
        <is>
          <t>farmingscotland.com</t>
        </is>
      </c>
      <c r="C379" s="54" t="inlineStr">
        <is>
          <t>https://www.facebook.com/farmingscotland</t>
        </is>
      </c>
      <c r="D379" s="6" t="inlineStr">
        <is>
          <t>https://farmingscotland.com</t>
        </is>
      </c>
      <c r="E379" s="53" t="inlineStr">
        <is>
          <t>11/10/2026 21:27:31</t>
        </is>
      </c>
      <c r="F379" s="53" t="inlineStr">
        <is>
          <t>1 ngày trước</t>
        </is>
      </c>
      <c r="G379" s="55" t="n">
        <v>1</v>
      </c>
      <c r="H379" s="56" t="n">
        <v>28</v>
      </c>
      <c r="I379" s="6" t="inlineStr">
        <is>
          <t>Pet Owner / Cộng đồng nuôi cún (10đ)</t>
        </is>
      </c>
      <c r="J379" s="56" t="n">
        <v>10</v>
      </c>
      <c r="K379" s="6" t="inlineStr">
        <is>
          <t>Chưa rõ giống (Cần quét Bio)</t>
        </is>
      </c>
      <c r="L379" s="56" t="n">
        <v>0</v>
      </c>
      <c r="M379" s="56" t="n">
        <v>5</v>
      </c>
      <c r="N379" s="6" t="inlineStr">
        <is>
          <t>Amazon link not found</t>
        </is>
      </c>
      <c r="O379" s="56">
        <f>IF(N379="Selling pet toys + Artificial grass/Pet toilets (TARGET)",15,IF(N379="Selling artificial grass/pet toilets (TARGET)",10,IF(N379="Selling pet toys",7,IF(N379="There's an Amazon link, but no target sales.",3,0))))</f>
        <v/>
      </c>
      <c r="P379" s="65">
        <f>H379+J379+L379+M379+O379</f>
        <v/>
      </c>
      <c r="Q379" s="71" t="inlineStr">
        <is>
          <t>Excluded: Trang Chung / Không rõ Ngách Cún cưng</t>
        </is>
      </c>
      <c r="R379" s="6" t="inlineStr">
        <is>
          <t>Khay vệ sinh chung cư (Indoor Potty) + Thảm cỏ ban công (Grass Patch) + Đồ chơi</t>
        </is>
      </c>
      <c r="S379" s="6" t="inlineStr">
        <is>
          <t>Tuyệt đối không đưa vào CRM (Vi phạm Bộ lọc Âm tính Mục 5)</t>
        </is>
      </c>
    </row>
    <row r="380">
      <c r="A380" s="59" t="n">
        <v>1327</v>
      </c>
      <c r="B380" s="15" t="inlineStr">
        <is>
          <t>Fantastic Beasts Veterinary Services</t>
        </is>
      </c>
      <c r="C380" s="60" t="inlineStr">
        <is>
          <t>https://www.facebook.com/profile.php?id=100091003181219</t>
        </is>
      </c>
      <c r="D380" s="9" t="inlineStr">
        <is>
          <t>Cần quét Bio Fanpage</t>
        </is>
      </c>
      <c r="E380" s="59" t="inlineStr">
        <is>
          <t>11/10/2026 19:31:07</t>
        </is>
      </c>
      <c r="F380" s="59" t="inlineStr">
        <is>
          <t>1 ngày trước</t>
        </is>
      </c>
      <c r="G380" s="61" t="n">
        <v>1</v>
      </c>
      <c r="H380" s="62" t="n">
        <v>28</v>
      </c>
      <c r="I380" s="9" t="inlineStr">
        <is>
          <t>Pet Owner / Cộng đồng nuôi cún (10đ)</t>
        </is>
      </c>
      <c r="J380" s="62" t="n">
        <v>10</v>
      </c>
      <c r="K380" s="9" t="inlineStr">
        <is>
          <t>Chưa rõ giống (Cần quét Bio)</t>
        </is>
      </c>
      <c r="L380" s="62" t="n">
        <v>0</v>
      </c>
      <c r="M380" s="62" t="n">
        <v>5</v>
      </c>
      <c r="N380" s="9" t="inlineStr">
        <is>
          <t>Amazon link not found</t>
        </is>
      </c>
      <c r="O380" s="62">
        <f>IF(N380="Selling pet toys + Artificial grass/Pet toilets (TARGET)",15,IF(N380="Selling artificial grass/pet toilets (TARGET)",10,IF(N380="Selling pet toys",7,IF(N380="There's an Amazon link, but no target sales.",3,0))))</f>
        <v/>
      </c>
      <c r="P380" s="67">
        <f>H380+J380+L380+M380+O380</f>
        <v/>
      </c>
      <c r="Q380" s="70" t="inlineStr">
        <is>
          <t>Excluded: Công ty Gen DNA &amp; Thú y (Mục 5.4)</t>
        </is>
      </c>
      <c r="R380" s="9" t="inlineStr">
        <is>
          <t>Khay vệ sinh chung cư (Indoor Potty) + Thảm cỏ ban công (Grass Patch) + Đồ chơi</t>
        </is>
      </c>
      <c r="S380" s="9" t="inlineStr">
        <is>
          <t>Tuyệt đối không đưa vào CRM (Vi phạm Bộ lọc Âm tính Mục 5)</t>
        </is>
      </c>
    </row>
    <row r="381">
      <c r="A381" s="53" t="n">
        <v>1036</v>
      </c>
      <c r="B381" s="12" t="inlineStr">
        <is>
          <t>diddlysquatfarmshop</t>
        </is>
      </c>
      <c r="C381" s="54" t="inlineStr">
        <is>
          <t>https://www.facebook.com/diddlysquatfarmshop</t>
        </is>
      </c>
      <c r="D381" s="6" t="inlineStr">
        <is>
          <t>Cần quét Bio Fanpage</t>
        </is>
      </c>
      <c r="E381" s="53" t="inlineStr">
        <is>
          <t>11/10/2026 17:43:11</t>
        </is>
      </c>
      <c r="F381" s="53" t="inlineStr">
        <is>
          <t>1 ngày trước</t>
        </is>
      </c>
      <c r="G381" s="55" t="n">
        <v>1</v>
      </c>
      <c r="H381" s="56" t="n">
        <v>28</v>
      </c>
      <c r="I381" s="6" t="inlineStr">
        <is>
          <t>Pet Owner / Cộng đồng nuôi cún (10đ)</t>
        </is>
      </c>
      <c r="J381" s="56" t="n">
        <v>10</v>
      </c>
      <c r="K381" s="6" t="inlineStr">
        <is>
          <t>Chưa rõ giống (Cần quét Bio)</t>
        </is>
      </c>
      <c r="L381" s="56" t="n">
        <v>0</v>
      </c>
      <c r="M381" s="56" t="n">
        <v>5</v>
      </c>
      <c r="N381" s="6" t="inlineStr">
        <is>
          <t>Amazon link not found</t>
        </is>
      </c>
      <c r="O381" s="56">
        <f>IF(N381="Selling pet toys + Artificial grass/Pet toilets (TARGET)",15,IF(N381="Selling artificial grass/pet toilets (TARGET)",10,IF(N381="Selling pet toys",7,IF(N381="There's an Amazon link, but no target sales.",3,0))))</f>
        <v/>
      </c>
      <c r="P381" s="65">
        <f>H381+J381+L381+M381+O381</f>
        <v/>
      </c>
      <c r="Q381" s="71" t="inlineStr">
        <is>
          <t>Excluded: Trang Chung / Không rõ Ngách Cún cưng</t>
        </is>
      </c>
      <c r="R381" s="6" t="inlineStr">
        <is>
          <t>Khay vệ sinh chung cư (Indoor Potty) + Thảm cỏ ban công (Grass Patch) + Đồ chơi</t>
        </is>
      </c>
      <c r="S381" s="6" t="inlineStr">
        <is>
          <t>Tuyệt đối không đưa vào CRM (Vi phạm Bộ lọc Âm tính Mục 5)</t>
        </is>
      </c>
    </row>
    <row r="382">
      <c r="A382" s="59" t="n">
        <v>3484</v>
      </c>
      <c r="B382" s="15" t="inlineStr">
        <is>
          <t>ZymoxProducts</t>
        </is>
      </c>
      <c r="C382" s="60" t="inlineStr">
        <is>
          <t>https://www.facebook.com/ZymoxProducts</t>
        </is>
      </c>
      <c r="D382" s="9" t="inlineStr">
        <is>
          <t>Cần quét Bio Fanpage</t>
        </is>
      </c>
      <c r="E382" s="59" t="inlineStr">
        <is>
          <t>11/10/2026 00:38:26</t>
        </is>
      </c>
      <c r="F382" s="59" t="inlineStr">
        <is>
          <t>2 ngày trước</t>
        </is>
      </c>
      <c r="G382" s="61" t="n">
        <v>2</v>
      </c>
      <c r="H382" s="62" t="n">
        <v>28</v>
      </c>
      <c r="I382" s="9" t="inlineStr">
        <is>
          <t>Pet Owner / Cộng đồng nuôi cún (10đ)</t>
        </is>
      </c>
      <c r="J382" s="62" t="n">
        <v>10</v>
      </c>
      <c r="K382" s="9" t="inlineStr">
        <is>
          <t>Chưa rõ giống (Cần quét Bio)</t>
        </is>
      </c>
      <c r="L382" s="62" t="n">
        <v>0</v>
      </c>
      <c r="M382" s="62" t="n">
        <v>5</v>
      </c>
      <c r="N382" s="9" t="inlineStr">
        <is>
          <t>Amazon link not found</t>
        </is>
      </c>
      <c r="O382" s="62">
        <f>IF(N382="Selling pet toys + Artificial grass/Pet toilets (TARGET)",15,IF(N382="Selling artificial grass/pet toilets (TARGET)",10,IF(N382="Selling pet toys",7,IF(N382="There's an Amazon link, but no target sales.",3,0))))</f>
        <v/>
      </c>
      <c r="P382" s="67">
        <f>H382+J382+L382+M382+O382</f>
        <v/>
      </c>
      <c r="Q382" s="70" t="inlineStr">
        <is>
          <t>Excluded: Trang Chung / Không rõ Ngách Cún cưng</t>
        </is>
      </c>
      <c r="R382" s="9" t="inlineStr">
        <is>
          <t>Khay vệ sinh chung cư (Indoor Potty) + Thảm cỏ ban công (Grass Patch) + Đồ chơi</t>
        </is>
      </c>
      <c r="S382" s="9" t="inlineStr">
        <is>
          <t>Tuyệt đối không đưa vào CRM (Vi phạm Bộ lọc Âm tính Mục 5)</t>
        </is>
      </c>
    </row>
    <row r="383">
      <c r="A383" s="53" t="n">
        <v>1220</v>
      </c>
      <c r="B383" s="12" t="inlineStr">
        <is>
          <t>Dr Eberlys Pet Ally Veterinary Services</t>
        </is>
      </c>
      <c r="C383" s="54" t="inlineStr">
        <is>
          <t>https://www.facebook.com/profile.php?id=61566339334403</t>
        </is>
      </c>
      <c r="D383" s="6" t="inlineStr">
        <is>
          <t>Cần quét Bio Fanpage</t>
        </is>
      </c>
      <c r="E383" s="53" t="inlineStr">
        <is>
          <t>10/10/2026 20:27:23</t>
        </is>
      </c>
      <c r="F383" s="53" t="inlineStr">
        <is>
          <t>2 ngày trước</t>
        </is>
      </c>
      <c r="G383" s="55" t="n">
        <v>2</v>
      </c>
      <c r="H383" s="56" t="n">
        <v>28</v>
      </c>
      <c r="I383" s="6" t="inlineStr">
        <is>
          <t>Pet Owner / Cộng đồng nuôi cún (10đ)</t>
        </is>
      </c>
      <c r="J383" s="56" t="n">
        <v>10</v>
      </c>
      <c r="K383" s="6" t="inlineStr">
        <is>
          <t>Chưa rõ giống (Cần quét Bio)</t>
        </is>
      </c>
      <c r="L383" s="56" t="n">
        <v>0</v>
      </c>
      <c r="M383" s="56" t="n">
        <v>5</v>
      </c>
      <c r="N383" s="6" t="inlineStr">
        <is>
          <t>Amazon link not found</t>
        </is>
      </c>
      <c r="O383" s="56">
        <f>IF(N383="Selling pet toys + Artificial grass/Pet toilets (TARGET)",15,IF(N383="Selling artificial grass/pet toilets (TARGET)",10,IF(N383="Selling pet toys",7,IF(N383="There's an Amazon link, but no target sales.",3,0))))</f>
        <v/>
      </c>
      <c r="P383" s="65">
        <f>H383+J383+L383+M383+O383</f>
        <v/>
      </c>
      <c r="Q383" s="71" t="inlineStr">
        <is>
          <t>Excluded: Công ty Gen DNA &amp; Thú y (Mục 5.4)</t>
        </is>
      </c>
      <c r="R383" s="6" t="inlineStr">
        <is>
          <t>Khay vệ sinh chung cư (Indoor Potty) + Thảm cỏ ban công (Grass Patch) + Đồ chơi</t>
        </is>
      </c>
      <c r="S383" s="6" t="inlineStr">
        <is>
          <t>Tuyệt đối không đưa vào CRM (Vi phạm Bộ lọc Âm tính Mục 5)</t>
        </is>
      </c>
    </row>
    <row r="384">
      <c r="A384" s="59" t="n">
        <v>1986</v>
      </c>
      <c r="B384" s="15" t="inlineStr">
        <is>
          <t>Larose Clinic โปรแกรมปลูกผม FUE Micrograft DHI Longhair</t>
        </is>
      </c>
      <c r="C384" s="60" t="inlineStr">
        <is>
          <t>https://www.facebook.com/laroseclinichaircenter</t>
        </is>
      </c>
      <c r="D384" s="9" t="inlineStr">
        <is>
          <t>Cần quét Bio Fanpage</t>
        </is>
      </c>
      <c r="E384" s="59" t="inlineStr">
        <is>
          <t>10/10/2026 20:15:00</t>
        </is>
      </c>
      <c r="F384" s="59" t="inlineStr">
        <is>
          <t>2 ngày trước</t>
        </is>
      </c>
      <c r="G384" s="61" t="n">
        <v>2</v>
      </c>
      <c r="H384" s="62" t="n">
        <v>28</v>
      </c>
      <c r="I384" s="9" t="inlineStr">
        <is>
          <t>Pet Owner / Cộng đồng nuôi cún (10đ)</t>
        </is>
      </c>
      <c r="J384" s="62" t="n">
        <v>10</v>
      </c>
      <c r="K384" s="9" t="inlineStr">
        <is>
          <t>Chưa rõ giống (Cần quét Bio)</t>
        </is>
      </c>
      <c r="L384" s="62" t="n">
        <v>0</v>
      </c>
      <c r="M384" s="62" t="n">
        <v>5</v>
      </c>
      <c r="N384" s="9" t="inlineStr">
        <is>
          <t>Amazon link not found</t>
        </is>
      </c>
      <c r="O384" s="62">
        <f>IF(N384="Selling pet toys + Artificial grass/Pet toilets (TARGET)",15,IF(N384="Selling artificial grass/pet toilets (TARGET)",10,IF(N384="Selling pet toys",7,IF(N384="There's an Amazon link, but no target sales.",3,0))))</f>
        <v/>
      </c>
      <c r="P384" s="67">
        <f>H384+J384+L384+M384+O384</f>
        <v/>
      </c>
      <c r="Q384" s="70" t="inlineStr">
        <is>
          <t>Excluded: Trang Chung / Không rõ Ngách Cún cưng</t>
        </is>
      </c>
      <c r="R384" s="9" t="inlineStr">
        <is>
          <t>Khay vệ sinh chung cư (Indoor Potty) + Thảm cỏ ban công (Grass Patch) + Đồ chơi</t>
        </is>
      </c>
      <c r="S384" s="9" t="inlineStr">
        <is>
          <t>Tuyệt đối không đưa vào CRM (Vi phạm Bộ lọc Âm tính Mục 5)</t>
        </is>
      </c>
    </row>
    <row r="385">
      <c r="A385" s="53" t="n">
        <v>796</v>
      </c>
      <c r="B385" s="12" t="inlineStr">
        <is>
          <t>Bush Veterinary Services</t>
        </is>
      </c>
      <c r="C385" s="54" t="inlineStr">
        <is>
          <t>https://www.facebook.com/bushvet</t>
        </is>
      </c>
      <c r="D385" s="6" t="inlineStr">
        <is>
          <t>Cần quét Bio Fanpage</t>
        </is>
      </c>
      <c r="E385" s="53" t="inlineStr">
        <is>
          <t>09/10/2026 21:02:02</t>
        </is>
      </c>
      <c r="F385" s="53" t="inlineStr">
        <is>
          <t>3 ngày trước</t>
        </is>
      </c>
      <c r="G385" s="55" t="n">
        <v>3</v>
      </c>
      <c r="H385" s="56" t="n">
        <v>28</v>
      </c>
      <c r="I385" s="6" t="inlineStr">
        <is>
          <t>Pet Owner / Cộng đồng nuôi cún (10đ)</t>
        </is>
      </c>
      <c r="J385" s="56" t="n">
        <v>10</v>
      </c>
      <c r="K385" s="6" t="inlineStr">
        <is>
          <t>Chưa rõ giống (Cần quét Bio)</t>
        </is>
      </c>
      <c r="L385" s="56" t="n">
        <v>0</v>
      </c>
      <c r="M385" s="56" t="n">
        <v>5</v>
      </c>
      <c r="N385" s="6" t="inlineStr">
        <is>
          <t>Amazon link not found</t>
        </is>
      </c>
      <c r="O385" s="56">
        <f>IF(N385="Selling pet toys + Artificial grass/Pet toilets (TARGET)",15,IF(N385="Selling artificial grass/pet toilets (TARGET)",10,IF(N385="Selling pet toys",7,IF(N385="There's an Amazon link, but no target sales.",3,0))))</f>
        <v/>
      </c>
      <c r="P385" s="65">
        <f>H385+J385+L385+M385+O385</f>
        <v/>
      </c>
      <c r="Q385" s="71" t="inlineStr">
        <is>
          <t>Excluded: Công ty Gen DNA &amp; Thú y (Mục 5.4)</t>
        </is>
      </c>
      <c r="R385" s="6" t="inlineStr">
        <is>
          <t>Khay vệ sinh chung cư (Indoor Potty) + Thảm cỏ ban công (Grass Patch) + Đồ chơi</t>
        </is>
      </c>
      <c r="S385" s="6" t="inlineStr">
        <is>
          <t>Tuyệt đối không đưa vào CRM (Vi phạm Bộ lọc Âm tính Mục 5)</t>
        </is>
      </c>
    </row>
    <row r="386">
      <c r="A386" s="59" t="n">
        <v>1619</v>
      </c>
      <c r="B386" s="15" t="inlineStr">
        <is>
          <t>Hartwell Equine Veterinary Services</t>
        </is>
      </c>
      <c r="C386" s="60" t="inlineStr">
        <is>
          <t>https://www.facebook.com/hartwellequineveterinaryservices</t>
        </is>
      </c>
      <c r="D386" s="9" t="inlineStr">
        <is>
          <t>Cần quét Bio Fanpage</t>
        </is>
      </c>
      <c r="E386" s="59" t="inlineStr">
        <is>
          <t>09/10/2026 20:52:26</t>
        </is>
      </c>
      <c r="F386" s="59" t="inlineStr">
        <is>
          <t>3 ngày trước</t>
        </is>
      </c>
      <c r="G386" s="61" t="n">
        <v>3</v>
      </c>
      <c r="H386" s="62" t="n">
        <v>28</v>
      </c>
      <c r="I386" s="9" t="inlineStr">
        <is>
          <t>Pet Owner / Cộng đồng nuôi cún (10đ)</t>
        </is>
      </c>
      <c r="J386" s="62" t="n">
        <v>10</v>
      </c>
      <c r="K386" s="9" t="inlineStr">
        <is>
          <t>Chưa rõ giống (Cần quét Bio)</t>
        </is>
      </c>
      <c r="L386" s="62" t="n">
        <v>0</v>
      </c>
      <c r="M386" s="62" t="n">
        <v>5</v>
      </c>
      <c r="N386" s="9" t="inlineStr">
        <is>
          <t>Amazon link not found</t>
        </is>
      </c>
      <c r="O386" s="62">
        <f>IF(N386="Selling pet toys + Artificial grass/Pet toilets (TARGET)",15,IF(N386="Selling artificial grass/pet toilets (TARGET)",10,IF(N386="Selling pet toys",7,IF(N386="There's an Amazon link, but no target sales.",3,0))))</f>
        <v/>
      </c>
      <c r="P386" s="67">
        <f>H386+J386+L386+M386+O386</f>
        <v/>
      </c>
      <c r="Q386" s="70" t="inlineStr">
        <is>
          <t>Excluded: Công ty Gen DNA &amp; Thú y (Mục 5.4)</t>
        </is>
      </c>
      <c r="R386" s="9" t="inlineStr">
        <is>
          <t>Khay vệ sinh chung cư (Indoor Potty) + Thảm cỏ ban công (Grass Patch) + Đồ chơi</t>
        </is>
      </c>
      <c r="S386" s="9" t="inlineStr">
        <is>
          <t>Tuyệt đối không đưa vào CRM (Vi phạm Bộ lọc Âm tính Mục 5)</t>
        </is>
      </c>
    </row>
    <row r="387">
      <c r="A387" s="53" t="n">
        <v>1373</v>
      </c>
      <c r="B387" s="12" t="inlineStr">
        <is>
          <t>Fetch the Vet Mobile Veterinary Services</t>
        </is>
      </c>
      <c r="C387" s="54" t="inlineStr">
        <is>
          <t>https://www.facebook.com/FetchTheVetDVM</t>
        </is>
      </c>
      <c r="D387" s="6" t="inlineStr">
        <is>
          <t>Cần quét Bio Fanpage</t>
        </is>
      </c>
      <c r="E387" s="53" t="inlineStr">
        <is>
          <t>09/10/2026 04:28:44</t>
        </is>
      </c>
      <c r="F387" s="53" t="inlineStr">
        <is>
          <t>3 ngày trước</t>
        </is>
      </c>
      <c r="G387" s="55" t="n">
        <v>3</v>
      </c>
      <c r="H387" s="56" t="n">
        <v>28</v>
      </c>
      <c r="I387" s="6" t="inlineStr">
        <is>
          <t>Pet Owner / Cộng đồng nuôi cún (10đ)</t>
        </is>
      </c>
      <c r="J387" s="56" t="n">
        <v>10</v>
      </c>
      <c r="K387" s="6" t="inlineStr">
        <is>
          <t>Chưa rõ giống (Cần quét Bio)</t>
        </is>
      </c>
      <c r="L387" s="56" t="n">
        <v>0</v>
      </c>
      <c r="M387" s="56" t="n">
        <v>5</v>
      </c>
      <c r="N387" s="6" t="inlineStr">
        <is>
          <t>Amazon link not found</t>
        </is>
      </c>
      <c r="O387" s="56">
        <f>IF(N387="Selling pet toys + Artificial grass/Pet toilets (TARGET)",15,IF(N387="Selling artificial grass/pet toilets (TARGET)",10,IF(N387="Selling pet toys",7,IF(N387="There's an Amazon link, but no target sales.",3,0))))</f>
        <v/>
      </c>
      <c r="P387" s="65">
        <f>H387+J387+L387+M387+O387</f>
        <v/>
      </c>
      <c r="Q387" s="71" t="inlineStr">
        <is>
          <t>Excluded: Công ty Gen DNA &amp; Thú y (Mục 5.4)</t>
        </is>
      </c>
      <c r="R387" s="6" t="inlineStr">
        <is>
          <t>Khay vệ sinh chung cư (Indoor Potty) + Thảm cỏ ban công (Grass Patch) + Đồ chơi</t>
        </is>
      </c>
      <c r="S387" s="6" t="inlineStr">
        <is>
          <t>Tuyệt đối không đưa vào CRM (Vi phạm Bộ lọc Âm tính Mục 5)</t>
        </is>
      </c>
    </row>
    <row r="388">
      <c r="A388" s="59" t="n">
        <v>2207</v>
      </c>
      <c r="B388" s="15" t="inlineStr">
        <is>
          <t>Montgomery Kennel Club - Friends</t>
        </is>
      </c>
      <c r="C388" s="60" t="inlineStr">
        <is>
          <t>https://www.facebook.com/montgomerykennelclub</t>
        </is>
      </c>
      <c r="D388" s="9" t="inlineStr">
        <is>
          <t>Cần quét Bio Fanpage</t>
        </is>
      </c>
      <c r="E388" s="59" t="inlineStr">
        <is>
          <t>18/09/2026 22:45:24</t>
        </is>
      </c>
      <c r="F388" s="59" t="inlineStr">
        <is>
          <t>3 tuần trước</t>
        </is>
      </c>
      <c r="G388" s="61" t="n">
        <v>21</v>
      </c>
      <c r="H388" s="62" t="n">
        <v>8</v>
      </c>
      <c r="I388" s="9" t="inlineStr">
        <is>
          <t>Dog Breeder / Trại chó chuyên nghiệp (28-30đ)</t>
        </is>
      </c>
      <c r="J388" s="62" t="n">
        <v>30</v>
      </c>
      <c r="K388" s="9" t="inlineStr">
        <is>
          <t>Chưa rõ giống (Cần quét Bio)</t>
        </is>
      </c>
      <c r="L388" s="62" t="n">
        <v>0</v>
      </c>
      <c r="M388" s="62" t="n">
        <v>5</v>
      </c>
      <c r="N388" s="9" t="inlineStr">
        <is>
          <t>Amazon link not found</t>
        </is>
      </c>
      <c r="O388" s="62">
        <f>IF(N388="Selling pet toys + Artificial grass/Pet toilets (TARGET)",15,IF(N388="Selling artificial grass/pet toilets (TARGET)",10,IF(N388="Selling pet toys",7,IF(N388="There's an Amazon link, but no target sales.",3,0))))</f>
        <v/>
      </c>
      <c r="P388" s="67">
        <f>H388+J388+L388+M388+O388</f>
        <v/>
      </c>
      <c r="Q388" s="70" t="inlineStr">
        <is>
          <t>Excluded: Hiệp hội &amp; CLB Phả hệ (Mục 5.1)</t>
        </is>
      </c>
      <c r="R388" s="9" t="inlineStr">
        <is>
          <t>Trọn gói Take-Home Starter Kit V2/V3 (Cỏ nhân tạo + Khay Potty + Đồ chơi Teething/Snuggle)</t>
        </is>
      </c>
      <c r="S388" s="9" t="inlineStr">
        <is>
          <t>Tuyệt đối không đưa vào CRM (Vi phạm Bộ lọc Âm tính Mục 5)</t>
        </is>
      </c>
    </row>
    <row r="389">
      <c r="A389" s="53" t="n">
        <v>3133</v>
      </c>
      <c r="B389" s="12" t="inlineStr">
        <is>
          <t>The Huntsville Kennel Club, Inc</t>
        </is>
      </c>
      <c r="C389" s="54" t="inlineStr">
        <is>
          <t>https://www.facebook.com/profile.php?id=100064662072808</t>
        </is>
      </c>
      <c r="D389" s="6" t="inlineStr">
        <is>
          <t>Cần quét Bio Fanpage</t>
        </is>
      </c>
      <c r="E389" s="53" t="inlineStr">
        <is>
          <t>17/09/2026 22:32:59</t>
        </is>
      </c>
      <c r="F389" s="53" t="inlineStr">
        <is>
          <t>3 tuần trước</t>
        </is>
      </c>
      <c r="G389" s="55" t="n">
        <v>21</v>
      </c>
      <c r="H389" s="56" t="n">
        <v>8</v>
      </c>
      <c r="I389" s="6" t="inlineStr">
        <is>
          <t>Dog Breeder / Trại chó chuyên nghiệp (28-30đ)</t>
        </is>
      </c>
      <c r="J389" s="56" t="n">
        <v>30</v>
      </c>
      <c r="K389" s="6" t="inlineStr">
        <is>
          <t>Chưa rõ giống (Cần quét Bio)</t>
        </is>
      </c>
      <c r="L389" s="56" t="n">
        <v>0</v>
      </c>
      <c r="M389" s="56" t="n">
        <v>5</v>
      </c>
      <c r="N389" s="6" t="inlineStr">
        <is>
          <t>Amazon link not found</t>
        </is>
      </c>
      <c r="O389" s="56">
        <f>IF(N389="Selling pet toys + Artificial grass/Pet toilets (TARGET)",15,IF(N389="Selling artificial grass/pet toilets (TARGET)",10,IF(N389="Selling pet toys",7,IF(N389="There's an Amazon link, but no target sales.",3,0))))</f>
        <v/>
      </c>
      <c r="P389" s="65">
        <f>H389+J389+L389+M389+O389</f>
        <v/>
      </c>
      <c r="Q389" s="71" t="inlineStr">
        <is>
          <t>Excluded: Hiệp hội &amp; CLB Phả hệ (Mục 5.1)</t>
        </is>
      </c>
      <c r="R389" s="6" t="inlineStr">
        <is>
          <t>Trọn gói Take-Home Starter Kit V2/V3 (Cỏ nhân tạo + Khay Potty + Đồ chơi Teething/Snuggle)</t>
        </is>
      </c>
      <c r="S389" s="6" t="inlineStr">
        <is>
          <t>Tuyệt đối không đưa vào CRM (Vi phạm Bộ lọc Âm tính Mục 5)</t>
        </is>
      </c>
    </row>
    <row r="390">
      <c r="A390" s="59" t="n">
        <v>2832</v>
      </c>
      <c r="B390" s="15" t="inlineStr">
        <is>
          <t>Savannah Kennel Club - SKC</t>
        </is>
      </c>
      <c r="C390" s="60" t="inlineStr">
        <is>
          <t>https://www.facebook.com/Savannahkennelclub</t>
        </is>
      </c>
      <c r="D390" s="9" t="inlineStr">
        <is>
          <t>Cần quét Bio Fanpage</t>
        </is>
      </c>
      <c r="E390" s="59" t="inlineStr">
        <is>
          <t>14/09/2026 06:32:11</t>
        </is>
      </c>
      <c r="F390" s="59" t="inlineStr">
        <is>
          <t>4 tuần trước</t>
        </is>
      </c>
      <c r="G390" s="61" t="n">
        <v>28</v>
      </c>
      <c r="H390" s="62" t="n">
        <v>8</v>
      </c>
      <c r="I390" s="9" t="inlineStr">
        <is>
          <t>Dog Breeder / Trại chó chuyên nghiệp (28-30đ)</t>
        </is>
      </c>
      <c r="J390" s="62" t="n">
        <v>30</v>
      </c>
      <c r="K390" s="9" t="inlineStr">
        <is>
          <t>Chưa rõ giống (Cần quét Bio)</t>
        </is>
      </c>
      <c r="L390" s="62" t="n">
        <v>0</v>
      </c>
      <c r="M390" s="62" t="n">
        <v>5</v>
      </c>
      <c r="N390" s="9" t="inlineStr">
        <is>
          <t>Amazon link not found</t>
        </is>
      </c>
      <c r="O390" s="62">
        <f>IF(N390="Selling pet toys + Artificial grass/Pet toilets (TARGET)",15,IF(N390="Selling artificial grass/pet toilets (TARGET)",10,IF(N390="Selling pet toys",7,IF(N390="There's an Amazon link, but no target sales.",3,0))))</f>
        <v/>
      </c>
      <c r="P390" s="67">
        <f>H390+J390+L390+M390+O390</f>
        <v/>
      </c>
      <c r="Q390" s="70" t="inlineStr">
        <is>
          <t>Excluded: Hiệp hội &amp; CLB Phả hệ (Mục 5.1)</t>
        </is>
      </c>
      <c r="R390" s="9" t="inlineStr">
        <is>
          <t>Trọn gói Take-Home Starter Kit V2/V3 (Cỏ nhân tạo + Khay Potty + Đồ chơi Teething/Snuggle)</t>
        </is>
      </c>
      <c r="S390" s="9" t="inlineStr">
        <is>
          <t>Tuyệt đối không đưa vào CRM (Vi phạm Bộ lọc Âm tính Mục 5)</t>
        </is>
      </c>
    </row>
    <row r="391">
      <c r="A391" s="53" t="n">
        <v>4677</v>
      </c>
      <c r="B391" s="12" t="inlineStr">
        <is>
          <t>Montague Veterinary Clinic</t>
        </is>
      </c>
      <c r="C391" s="54" t="inlineStr">
        <is>
          <t>https://www.facebook.com/profile.php?id=100063922995540</t>
        </is>
      </c>
      <c r="D391" s="6" t="inlineStr">
        <is>
          <t>Cần quét Bio Fanpage</t>
        </is>
      </c>
      <c r="E391" s="53" t="inlineStr">
        <is>
          <t>13/10/2026 05:00:25</t>
        </is>
      </c>
      <c r="F391" s="53" t="inlineStr">
        <is>
          <t>4 giờ trước</t>
        </is>
      </c>
      <c r="G391" s="55" t="n">
        <v>0.17</v>
      </c>
      <c r="H391" s="56" t="n">
        <v>32</v>
      </c>
      <c r="I391" s="6" t="inlineStr">
        <is>
          <t>Pet Owner / Cộng đồng nuôi cún (10đ)</t>
        </is>
      </c>
      <c r="J391" s="56" t="n">
        <v>10</v>
      </c>
      <c r="K391" s="6" t="inlineStr">
        <is>
          <t>Chưa rõ giống (Cần quét Bio)</t>
        </is>
      </c>
      <c r="L391" s="56" t="n">
        <v>0</v>
      </c>
      <c r="M391" s="56" t="n">
        <v>0</v>
      </c>
      <c r="N391" s="6" t="inlineStr">
        <is>
          <t>Amazon link not found</t>
        </is>
      </c>
      <c r="O391" s="56">
        <f>IF(N391="Selling pet toys + Artificial grass/Pet toilets (TARGET)",15,IF(N391="Selling artificial grass/pet toilets (TARGET)",10,IF(N391="Selling pet toys",7,IF(N391="There's an Amazon link, but no target sales.",3,0))))</f>
        <v/>
      </c>
      <c r="P391" s="65">
        <f>H391+J391+L391+M391+O391</f>
        <v/>
      </c>
      <c r="Q391" s="71" t="inlineStr">
        <is>
          <t>Excluded: Công ty Gen DNA &amp; Thú y (Mục 5.4)</t>
        </is>
      </c>
      <c r="R391" s="6" t="inlineStr">
        <is>
          <t>Khay vệ sinh chung cư (Indoor Potty) + Thảm cỏ ban công (Grass Patch) + Đồ chơi</t>
        </is>
      </c>
      <c r="S391" s="6" t="inlineStr">
        <is>
          <t>Tuyệt đối không đưa vào CRM (Vi phạm Bộ lọc Âm tính Mục 5)</t>
        </is>
      </c>
    </row>
    <row r="392">
      <c r="A392" s="59" t="n">
        <v>3991</v>
      </c>
      <c r="B392" s="15" t="inlineStr">
        <is>
          <t>goldshawfarm</t>
        </is>
      </c>
      <c r="C392" s="60" t="inlineStr">
        <is>
          <t>https://www.facebook.com/goldshawfarm</t>
        </is>
      </c>
      <c r="D392" s="9" t="inlineStr">
        <is>
          <t>Cần quét Bio Fanpage</t>
        </is>
      </c>
      <c r="E392" s="59" t="inlineStr">
        <is>
          <t>13/10/2026 04:00:00</t>
        </is>
      </c>
      <c r="F392" s="59" t="inlineStr">
        <is>
          <t>4 giờ trước</t>
        </is>
      </c>
      <c r="G392" s="61" t="n">
        <v>0.17</v>
      </c>
      <c r="H392" s="62" t="n">
        <v>32</v>
      </c>
      <c r="I392" s="9" t="inlineStr">
        <is>
          <t>Pet Owner / Cộng đồng nuôi cún (10đ)</t>
        </is>
      </c>
      <c r="J392" s="62" t="n">
        <v>10</v>
      </c>
      <c r="K392" s="9" t="inlineStr">
        <is>
          <t>Chưa rõ giống (Cần quét Bio)</t>
        </is>
      </c>
      <c r="L392" s="62" t="n">
        <v>0</v>
      </c>
      <c r="M392" s="62" t="n">
        <v>0</v>
      </c>
      <c r="N392" s="9" t="inlineStr">
        <is>
          <t>Amazon link not found</t>
        </is>
      </c>
      <c r="O392" s="62">
        <f>IF(N392="Selling pet toys + Artificial grass/Pet toilets (TARGET)",15,IF(N392="Selling artificial grass/pet toilets (TARGET)",10,IF(N392="Selling pet toys",7,IF(N392="There's an Amazon link, but no target sales.",3,0))))</f>
        <v/>
      </c>
      <c r="P392" s="67">
        <f>H392+J392+L392+M392+O392</f>
        <v/>
      </c>
      <c r="Q392" s="70" t="inlineStr">
        <is>
          <t>Excluded: Trang Chung / Không rõ Ngách Cún cưng</t>
        </is>
      </c>
      <c r="R392" s="9" t="inlineStr">
        <is>
          <t>Khay vệ sinh chung cư (Indoor Potty) + Thảm cỏ ban công (Grass Patch) + Đồ chơi</t>
        </is>
      </c>
      <c r="S392" s="9" t="inlineStr">
        <is>
          <t>Tuyệt đối không đưa vào CRM (Vi phạm Bộ lọc Âm tính Mục 5)</t>
        </is>
      </c>
    </row>
    <row r="393">
      <c r="A393" s="53" t="n">
        <v>3816</v>
      </c>
      <c r="B393" s="12" t="inlineStr">
        <is>
          <t>Farmer Tim</t>
        </is>
      </c>
      <c r="C393" s="54" t="inlineStr">
        <is>
          <t>https://www.facebook.com/MayhavenFarms</t>
        </is>
      </c>
      <c r="D393" s="6" t="inlineStr">
        <is>
          <t>Cần quét Bio Fanpage</t>
        </is>
      </c>
      <c r="E393" s="53" t="inlineStr">
        <is>
          <t>13/10/2026 03:34:38</t>
        </is>
      </c>
      <c r="F393" s="53" t="inlineStr">
        <is>
          <t>4 giờ trước</t>
        </is>
      </c>
      <c r="G393" s="55" t="n">
        <v>0.17</v>
      </c>
      <c r="H393" s="56" t="n">
        <v>32</v>
      </c>
      <c r="I393" s="6" t="inlineStr">
        <is>
          <t>Pet Owner / Cộng đồng nuôi cún (10đ)</t>
        </is>
      </c>
      <c r="J393" s="56" t="n">
        <v>10</v>
      </c>
      <c r="K393" s="6" t="inlineStr">
        <is>
          <t>Chưa rõ giống (Cần quét Bio)</t>
        </is>
      </c>
      <c r="L393" s="56" t="n">
        <v>0</v>
      </c>
      <c r="M393" s="56" t="n">
        <v>0</v>
      </c>
      <c r="N393" s="6" t="inlineStr">
        <is>
          <t>Amazon link not found</t>
        </is>
      </c>
      <c r="O393" s="56">
        <f>IF(N393="Selling pet toys + Artificial grass/Pet toilets (TARGET)",15,IF(N393="Selling artificial grass/pet toilets (TARGET)",10,IF(N393="Selling pet toys",7,IF(N393="There's an Amazon link, but no target sales.",3,0))))</f>
        <v/>
      </c>
      <c r="P393" s="65">
        <f>H393+J393+L393+M393+O393</f>
        <v/>
      </c>
      <c r="Q393" s="71" t="inlineStr">
        <is>
          <t>Excluded: Trang Chung / Không rõ Ngách Cún cưng</t>
        </is>
      </c>
      <c r="R393" s="6" t="inlineStr">
        <is>
          <t>Khay vệ sinh chung cư (Indoor Potty) + Thảm cỏ ban công (Grass Patch) + Đồ chơi</t>
        </is>
      </c>
      <c r="S393" s="6" t="inlineStr">
        <is>
          <t>Tuyệt đối không đưa vào CRM (Vi phạm Bộ lọc Âm tính Mục 5)</t>
        </is>
      </c>
    </row>
    <row r="394">
      <c r="A394" s="59" t="n">
        <v>3335</v>
      </c>
      <c r="B394" s="15" t="inlineStr">
        <is>
          <t>Vitalyzdtv</t>
        </is>
      </c>
      <c r="C394" s="60" t="inlineStr">
        <is>
          <t>https://www.facebook.com/Vitalyzdtv</t>
        </is>
      </c>
      <c r="D394" s="9" t="inlineStr">
        <is>
          <t>Cần quét Bio Fanpage</t>
        </is>
      </c>
      <c r="E394" s="59" t="inlineStr">
        <is>
          <t>13/10/2026 02:29:43</t>
        </is>
      </c>
      <c r="F394" s="59" t="inlineStr">
        <is>
          <t>4 giờ trước</t>
        </is>
      </c>
      <c r="G394" s="61" t="n">
        <v>0.17</v>
      </c>
      <c r="H394" s="62" t="n">
        <v>32</v>
      </c>
      <c r="I394" s="9" t="inlineStr">
        <is>
          <t>Pet Owner / Cộng đồng nuôi cún (10đ)</t>
        </is>
      </c>
      <c r="J394" s="62" t="n">
        <v>10</v>
      </c>
      <c r="K394" s="9" t="inlineStr">
        <is>
          <t>Chưa rõ giống (Cần quét Bio)</t>
        </is>
      </c>
      <c r="L394" s="62" t="n">
        <v>0</v>
      </c>
      <c r="M394" s="62" t="n">
        <v>0</v>
      </c>
      <c r="N394" s="9" t="inlineStr">
        <is>
          <t>Amazon link not found</t>
        </is>
      </c>
      <c r="O394" s="62">
        <f>IF(N394="Selling pet toys + Artificial grass/Pet toilets (TARGET)",15,IF(N394="Selling artificial grass/pet toilets (TARGET)",10,IF(N394="Selling pet toys",7,IF(N394="There's an Amazon link, but no target sales.",3,0))))</f>
        <v/>
      </c>
      <c r="P394" s="67">
        <f>H394+J394+L394+M394+O394</f>
        <v/>
      </c>
      <c r="Q394" s="70" t="inlineStr">
        <is>
          <t>Excluded: Trang Chung / Không rõ Ngách Cún cưng</t>
        </is>
      </c>
      <c r="R394" s="9" t="inlineStr">
        <is>
          <t>Khay vệ sinh chung cư (Indoor Potty) + Thảm cỏ ban công (Grass Patch) + Đồ chơi</t>
        </is>
      </c>
      <c r="S394" s="9" t="inlineStr">
        <is>
          <t>Tuyệt đối không đưa vào CRM (Vi phạm Bộ lọc Âm tính Mục 5)</t>
        </is>
      </c>
    </row>
    <row r="395">
      <c r="A395" s="53" t="n">
        <v>3176</v>
      </c>
      <c r="B395" s="12" t="inlineStr">
        <is>
          <t>The.AnimalGal</t>
        </is>
      </c>
      <c r="C395" s="54" t="inlineStr">
        <is>
          <t>https://www.facebook.com/profile.php?id=100089198723785</t>
        </is>
      </c>
      <c r="D395" s="6" t="inlineStr">
        <is>
          <t>Cần quét Bio Fanpage</t>
        </is>
      </c>
      <c r="E395" s="53" t="inlineStr">
        <is>
          <t>13/10/2026 02:19:08</t>
        </is>
      </c>
      <c r="F395" s="53" t="inlineStr">
        <is>
          <t>4 giờ trước</t>
        </is>
      </c>
      <c r="G395" s="55" t="n">
        <v>0.17</v>
      </c>
      <c r="H395" s="56" t="n">
        <v>32</v>
      </c>
      <c r="I395" s="6" t="inlineStr">
        <is>
          <t>Pet Owner / Cộng đồng nuôi cún (10đ)</t>
        </is>
      </c>
      <c r="J395" s="56" t="n">
        <v>10</v>
      </c>
      <c r="K395" s="6" t="inlineStr">
        <is>
          <t>Chưa rõ giống (Cần quét Bio)</t>
        </is>
      </c>
      <c r="L395" s="56" t="n">
        <v>0</v>
      </c>
      <c r="M395" s="56" t="n">
        <v>0</v>
      </c>
      <c r="N395" s="6" t="inlineStr">
        <is>
          <t>Amazon link not found</t>
        </is>
      </c>
      <c r="O395" s="56">
        <f>IF(N395="Selling pet toys + Artificial grass/Pet toilets (TARGET)",15,IF(N395="Selling artificial grass/pet toilets (TARGET)",10,IF(N395="Selling pet toys",7,IF(N395="There's an Amazon link, but no target sales.",3,0))))</f>
        <v/>
      </c>
      <c r="P395" s="65">
        <f>H395+J395+L395+M395+O395</f>
        <v/>
      </c>
      <c r="Q395" s="71" t="inlineStr">
        <is>
          <t>Excluded: Trang Chung / Không rõ Ngách Cún cưng</t>
        </is>
      </c>
      <c r="R395" s="6" t="inlineStr">
        <is>
          <t>Khay vệ sinh chung cư (Indoor Potty) + Thảm cỏ ban công (Grass Patch) + Đồ chơi</t>
        </is>
      </c>
      <c r="S395" s="6" t="inlineStr">
        <is>
          <t>Tuyệt đối không đưa vào CRM (Vi phạm Bộ lọc Âm tính Mục 5)</t>
        </is>
      </c>
    </row>
    <row r="396">
      <c r="A396" s="59" t="n">
        <v>3300</v>
      </c>
      <c r="B396" s="15" t="inlineStr">
        <is>
          <t>Vet bedding at oakswarren</t>
        </is>
      </c>
      <c r="C396" s="60" t="inlineStr">
        <is>
          <t>https://www.facebook.com/oakswarren1</t>
        </is>
      </c>
      <c r="D396" s="9" t="inlineStr">
        <is>
          <t>Cần quét Bio Fanpage</t>
        </is>
      </c>
      <c r="E396" s="59" t="inlineStr">
        <is>
          <t>13/10/2026 02:01:48</t>
        </is>
      </c>
      <c r="F396" s="59" t="inlineStr">
        <is>
          <t>4 giờ trước</t>
        </is>
      </c>
      <c r="G396" s="61" t="n">
        <v>0.17</v>
      </c>
      <c r="H396" s="62" t="n">
        <v>32</v>
      </c>
      <c r="I396" s="9" t="inlineStr">
        <is>
          <t>Pet Owner / Cộng đồng nuôi cún (10đ)</t>
        </is>
      </c>
      <c r="J396" s="62" t="n">
        <v>10</v>
      </c>
      <c r="K396" s="9" t="inlineStr">
        <is>
          <t>Chưa rõ giống (Cần quét Bio)</t>
        </is>
      </c>
      <c r="L396" s="62" t="n">
        <v>0</v>
      </c>
      <c r="M396" s="62" t="n">
        <v>0</v>
      </c>
      <c r="N396" s="9" t="inlineStr">
        <is>
          <t>Amazon link not found</t>
        </is>
      </c>
      <c r="O396" s="62">
        <f>IF(N396="Selling pet toys + Artificial grass/Pet toilets (TARGET)",15,IF(N396="Selling artificial grass/pet toilets (TARGET)",10,IF(N396="Selling pet toys",7,IF(N396="There's an Amazon link, but no target sales.",3,0))))</f>
        <v/>
      </c>
      <c r="P396" s="67">
        <f>H396+J396+L396+M396+O396</f>
        <v/>
      </c>
      <c r="Q396" s="70" t="inlineStr">
        <is>
          <t>Excluded: Trang Chung / Không rõ Ngách Cún cưng</t>
        </is>
      </c>
      <c r="R396" s="9" t="inlineStr">
        <is>
          <t>Khay vệ sinh chung cư (Indoor Potty) + Thảm cỏ ban công (Grass Patch) + Đồ chơi</t>
        </is>
      </c>
      <c r="S396" s="9" t="inlineStr">
        <is>
          <t>Tuyệt đối không đưa vào CRM (Vi phạm Bộ lọc Âm tính Mục 5)</t>
        </is>
      </c>
    </row>
    <row r="397">
      <c r="A397" s="53" t="n">
        <v>2901</v>
      </c>
      <c r="B397" s="12" t="inlineStr">
        <is>
          <t>Silver Maple Veterinary Clinic</t>
        </is>
      </c>
      <c r="C397" s="54" t="inlineStr">
        <is>
          <t>https://www.facebook.com/100063649959197</t>
        </is>
      </c>
      <c r="D397" s="6" t="inlineStr">
        <is>
          <t>Cần quét Bio Fanpage</t>
        </is>
      </c>
      <c r="E397" s="53" t="inlineStr">
        <is>
          <t>13/10/2026 01:56:07</t>
        </is>
      </c>
      <c r="F397" s="53" t="inlineStr">
        <is>
          <t>4 giờ trước</t>
        </is>
      </c>
      <c r="G397" s="55" t="n">
        <v>0.17</v>
      </c>
      <c r="H397" s="56" t="n">
        <v>32</v>
      </c>
      <c r="I397" s="6" t="inlineStr">
        <is>
          <t>Pet Owner / Cộng đồng nuôi cún (10đ)</t>
        </is>
      </c>
      <c r="J397" s="56" t="n">
        <v>10</v>
      </c>
      <c r="K397" s="6" t="inlineStr">
        <is>
          <t>Chưa rõ giống (Cần quét Bio)</t>
        </is>
      </c>
      <c r="L397" s="56" t="n">
        <v>0</v>
      </c>
      <c r="M397" s="56" t="n">
        <v>0</v>
      </c>
      <c r="N397" s="6" t="inlineStr">
        <is>
          <t>Amazon link not found</t>
        </is>
      </c>
      <c r="O397" s="56">
        <f>IF(N397="Selling pet toys + Artificial grass/Pet toilets (TARGET)",15,IF(N397="Selling artificial grass/pet toilets (TARGET)",10,IF(N397="Selling pet toys",7,IF(N397="There's an Amazon link, but no target sales.",3,0))))</f>
        <v/>
      </c>
      <c r="P397" s="65">
        <f>H397+J397+L397+M397+O397</f>
        <v/>
      </c>
      <c r="Q397" s="71" t="inlineStr">
        <is>
          <t>Excluded: Công ty Gen DNA &amp; Thú y (Mục 5.4)</t>
        </is>
      </c>
      <c r="R397" s="6" t="inlineStr">
        <is>
          <t>Khay vệ sinh chung cư (Indoor Potty) + Thảm cỏ ban công (Grass Patch) + Đồ chơi</t>
        </is>
      </c>
      <c r="S397" s="6" t="inlineStr">
        <is>
          <t>Tuyệt đối không đưa vào CRM (Vi phạm Bộ lọc Âm tính Mục 5)</t>
        </is>
      </c>
    </row>
    <row r="398">
      <c r="A398" s="59" t="n">
        <v>3378</v>
      </c>
      <c r="B398" s="15" t="inlineStr">
        <is>
          <t>We Love Animals</t>
        </is>
      </c>
      <c r="C398" s="60" t="inlineStr">
        <is>
          <t>https://www.facebook.com/weloveanimalssv</t>
        </is>
      </c>
      <c r="D398" s="9" t="inlineStr">
        <is>
          <t>Cần quét Bio Fanpage</t>
        </is>
      </c>
      <c r="E398" s="59" t="inlineStr">
        <is>
          <t>13/10/2026 00:52:15</t>
        </is>
      </c>
      <c r="F398" s="59" t="inlineStr">
        <is>
          <t>6 giờ trước</t>
        </is>
      </c>
      <c r="G398" s="61" t="n">
        <v>0.25</v>
      </c>
      <c r="H398" s="62" t="n">
        <v>32</v>
      </c>
      <c r="I398" s="9" t="inlineStr">
        <is>
          <t>Pet Owner / Cộng đồng nuôi cún (10đ)</t>
        </is>
      </c>
      <c r="J398" s="62" t="n">
        <v>10</v>
      </c>
      <c r="K398" s="9" t="inlineStr">
        <is>
          <t>Chưa rõ giống (Cần quét Bio)</t>
        </is>
      </c>
      <c r="L398" s="62" t="n">
        <v>0</v>
      </c>
      <c r="M398" s="62" t="n">
        <v>0</v>
      </c>
      <c r="N398" s="9" t="inlineStr">
        <is>
          <t>Amazon link not found</t>
        </is>
      </c>
      <c r="O398" s="62">
        <f>IF(N398="Selling pet toys + Artificial grass/Pet toilets (TARGET)",15,IF(N398="Selling artificial grass/pet toilets (TARGET)",10,IF(N398="Selling pet toys",7,IF(N398="There's an Amazon link, but no target sales.",3,0))))</f>
        <v/>
      </c>
      <c r="P398" s="67">
        <f>H398+J398+L398+M398+O398</f>
        <v/>
      </c>
      <c r="Q398" s="70" t="inlineStr">
        <is>
          <t>Excluded: Trang Chung / Không rõ Ngách Cún cưng</t>
        </is>
      </c>
      <c r="R398" s="9" t="inlineStr">
        <is>
          <t>Khay vệ sinh chung cư (Indoor Potty) + Thảm cỏ ban công (Grass Patch) + Đồ chơi</t>
        </is>
      </c>
      <c r="S398" s="9" t="inlineStr">
        <is>
          <t>Tuyệt đối không đưa vào CRM (Vi phạm Bộ lọc Âm tính Mục 5)</t>
        </is>
      </c>
    </row>
    <row r="399">
      <c r="A399" s="53" t="n">
        <v>3315</v>
      </c>
      <c r="B399" s="12" t="inlineStr">
        <is>
          <t>Veterinary Voices UK</t>
        </is>
      </c>
      <c r="C399" s="54" t="inlineStr">
        <is>
          <t>https://www.facebook.com/veterinaryvoicesuk</t>
        </is>
      </c>
      <c r="D399" s="6" t="inlineStr">
        <is>
          <t>Cần quét Bio Fanpage</t>
        </is>
      </c>
      <c r="E399" s="53" t="inlineStr">
        <is>
          <t>13/10/2026 00:35:25</t>
        </is>
      </c>
      <c r="F399" s="53" t="inlineStr">
        <is>
          <t>6 giờ trước</t>
        </is>
      </c>
      <c r="G399" s="55" t="n">
        <v>0.25</v>
      </c>
      <c r="H399" s="56" t="n">
        <v>32</v>
      </c>
      <c r="I399" s="6" t="inlineStr">
        <is>
          <t>Pet Owner / Cộng đồng nuôi cún (10đ)</t>
        </is>
      </c>
      <c r="J399" s="56" t="n">
        <v>10</v>
      </c>
      <c r="K399" s="6" t="inlineStr">
        <is>
          <t>Chưa rõ giống (Cần quét Bio)</t>
        </is>
      </c>
      <c r="L399" s="56" t="n">
        <v>0</v>
      </c>
      <c r="M399" s="56" t="n">
        <v>0</v>
      </c>
      <c r="N399" s="6" t="inlineStr">
        <is>
          <t>Amazon link not found</t>
        </is>
      </c>
      <c r="O399" s="56">
        <f>IF(N399="Selling pet toys + Artificial grass/Pet toilets (TARGET)",15,IF(N399="Selling artificial grass/pet toilets (TARGET)",10,IF(N399="Selling pet toys",7,IF(N399="There's an Amazon link, but no target sales.",3,0))))</f>
        <v/>
      </c>
      <c r="P399" s="65">
        <f>H399+J399+L399+M399+O399</f>
        <v/>
      </c>
      <c r="Q399" s="71" t="inlineStr">
        <is>
          <t>Excluded: Công ty Gen DNA &amp; Thú y (Mục 5.4)</t>
        </is>
      </c>
      <c r="R399" s="6" t="inlineStr">
        <is>
          <t>Khay vệ sinh chung cư (Indoor Potty) + Thảm cỏ ban công (Grass Patch) + Đồ chơi</t>
        </is>
      </c>
      <c r="S399" s="6" t="inlineStr">
        <is>
          <t>Tuyệt đối không đưa vào CRM (Vi phạm Bộ lọc Âm tính Mục 5)</t>
        </is>
      </c>
    </row>
    <row r="400">
      <c r="A400" s="59" t="n">
        <v>2825</v>
      </c>
      <c r="B400" s="15" t="inlineStr">
        <is>
          <t>Santuario Compasión Animal</t>
        </is>
      </c>
      <c r="C400" s="60" t="inlineStr">
        <is>
          <t>https://www.facebook.com/santuariocompasionanimal</t>
        </is>
      </c>
      <c r="D400" s="9" t="inlineStr">
        <is>
          <t>Cần quét Bio Fanpage</t>
        </is>
      </c>
      <c r="E400" s="59" t="inlineStr">
        <is>
          <t>13/10/2026 00:29:16</t>
        </is>
      </c>
      <c r="F400" s="59" t="inlineStr">
        <is>
          <t>5 giờ trước</t>
        </is>
      </c>
      <c r="G400" s="61" t="n">
        <v>0.21</v>
      </c>
      <c r="H400" s="62" t="n">
        <v>32</v>
      </c>
      <c r="I400" s="9" t="inlineStr">
        <is>
          <t>Pet Owner / Cộng đồng nuôi cún (10đ)</t>
        </is>
      </c>
      <c r="J400" s="62" t="n">
        <v>10</v>
      </c>
      <c r="K400" s="9" t="inlineStr">
        <is>
          <t>Chưa rõ giống (Cần quét Bio)</t>
        </is>
      </c>
      <c r="L400" s="62" t="n">
        <v>0</v>
      </c>
      <c r="M400" s="62" t="n">
        <v>0</v>
      </c>
      <c r="N400" s="9" t="inlineStr">
        <is>
          <t>Amazon link not found</t>
        </is>
      </c>
      <c r="O400" s="62">
        <f>IF(N400="Selling pet toys + Artificial grass/Pet toilets (TARGET)",15,IF(N400="Selling artificial grass/pet toilets (TARGET)",10,IF(N400="Selling pet toys",7,IF(N400="There's an Amazon link, but no target sales.",3,0))))</f>
        <v/>
      </c>
      <c r="P400" s="67">
        <f>H400+J400+L400+M400+O400</f>
        <v/>
      </c>
      <c r="Q400" s="70" t="inlineStr">
        <is>
          <t>Excluded: Trang Chung / Không rõ Ngách Cún cưng</t>
        </is>
      </c>
      <c r="R400" s="9" t="inlineStr">
        <is>
          <t>Khay vệ sinh chung cư (Indoor Potty) + Thảm cỏ ban công (Grass Patch) + Đồ chơi</t>
        </is>
      </c>
      <c r="S400" s="9" t="inlineStr">
        <is>
          <t>Tuyệt đối không đưa vào CRM (Vi phạm Bộ lọc Âm tính Mục 5)</t>
        </is>
      </c>
    </row>
    <row r="401">
      <c r="A401" s="53" t="n">
        <v>2993</v>
      </c>
      <c r="B401" s="12" t="inlineStr">
        <is>
          <t>statefarm</t>
        </is>
      </c>
      <c r="C401" s="54" t="inlineStr">
        <is>
          <t>https://www.facebook.com/statefarm</t>
        </is>
      </c>
      <c r="D401" s="6" t="inlineStr">
        <is>
          <t>Cần quét Bio Fanpage</t>
        </is>
      </c>
      <c r="E401" s="53" t="inlineStr">
        <is>
          <t>13/10/2026 00:01:15</t>
        </is>
      </c>
      <c r="F401" s="53" t="inlineStr">
        <is>
          <t>6 giờ trước</t>
        </is>
      </c>
      <c r="G401" s="55" t="n">
        <v>0.25</v>
      </c>
      <c r="H401" s="56" t="n">
        <v>32</v>
      </c>
      <c r="I401" s="6" t="inlineStr">
        <is>
          <t>Pet Owner / Cộng đồng nuôi cún (10đ)</t>
        </is>
      </c>
      <c r="J401" s="56" t="n">
        <v>10</v>
      </c>
      <c r="K401" s="6" t="inlineStr">
        <is>
          <t>Chưa rõ giống (Cần quét Bio)</t>
        </is>
      </c>
      <c r="L401" s="56" t="n">
        <v>0</v>
      </c>
      <c r="M401" s="56" t="n">
        <v>0</v>
      </c>
      <c r="N401" s="6" t="inlineStr">
        <is>
          <t>Amazon link not found</t>
        </is>
      </c>
      <c r="O401" s="56">
        <f>IF(N401="Selling pet toys + Artificial grass/Pet toilets (TARGET)",15,IF(N401="Selling artificial grass/pet toilets (TARGET)",10,IF(N401="Selling pet toys",7,IF(N401="There's an Amazon link, but no target sales.",3,0))))</f>
        <v/>
      </c>
      <c r="P401" s="65">
        <f>H401+J401+L401+M401+O401</f>
        <v/>
      </c>
      <c r="Q401" s="71" t="inlineStr">
        <is>
          <t>Excluded: Trang Chung / Không rõ Ngách Cún cưng</t>
        </is>
      </c>
      <c r="R401" s="6" t="inlineStr">
        <is>
          <t>Khay vệ sinh chung cư (Indoor Potty) + Thảm cỏ ban công (Grass Patch) + Đồ chơi</t>
        </is>
      </c>
      <c r="S401" s="6" t="inlineStr">
        <is>
          <t>Tuyệt đối không đưa vào CRM (Vi phạm Bộ lọc Âm tính Mục 5)</t>
        </is>
      </c>
    </row>
    <row r="402">
      <c r="A402" s="59" t="n">
        <v>3439</v>
      </c>
      <c r="B402" s="15" t="inlineStr">
        <is>
          <t>Woodhaven Animal Hospital</t>
        </is>
      </c>
      <c r="C402" s="60" t="inlineStr">
        <is>
          <t>https://www.facebook.com/WoodhavenAnimalHosp</t>
        </is>
      </c>
      <c r="D402" s="9" t="inlineStr">
        <is>
          <t>Cần quét Bio Fanpage</t>
        </is>
      </c>
      <c r="E402" s="59" t="inlineStr">
        <is>
          <t>13/10/2026 00:00:08</t>
        </is>
      </c>
      <c r="F402" s="59" t="inlineStr">
        <is>
          <t>7 giờ trước</t>
        </is>
      </c>
      <c r="G402" s="61" t="n">
        <v>0.29</v>
      </c>
      <c r="H402" s="62" t="n">
        <v>32</v>
      </c>
      <c r="I402" s="9" t="inlineStr">
        <is>
          <t>Pet Owner / Cộng đồng nuôi cún (10đ)</t>
        </is>
      </c>
      <c r="J402" s="62" t="n">
        <v>10</v>
      </c>
      <c r="K402" s="9" t="inlineStr">
        <is>
          <t>Chưa rõ giống (Cần quét Bio)</t>
        </is>
      </c>
      <c r="L402" s="62" t="n">
        <v>0</v>
      </c>
      <c r="M402" s="62" t="n">
        <v>0</v>
      </c>
      <c r="N402" s="9" t="inlineStr">
        <is>
          <t>Amazon link not found</t>
        </is>
      </c>
      <c r="O402" s="62">
        <f>IF(N402="Selling pet toys + Artificial grass/Pet toilets (TARGET)",15,IF(N402="Selling artificial grass/pet toilets (TARGET)",10,IF(N402="Selling pet toys",7,IF(N402="There's an Amazon link, but no target sales.",3,0))))</f>
        <v/>
      </c>
      <c r="P402" s="67">
        <f>H402+J402+L402+M402+O402</f>
        <v/>
      </c>
      <c r="Q402" s="70" t="inlineStr">
        <is>
          <t>Excluded: Công ty Gen DNA &amp; Thú y (Mục 5.4)</t>
        </is>
      </c>
      <c r="R402" s="9" t="inlineStr">
        <is>
          <t>Khay vệ sinh chung cư (Indoor Potty) + Thảm cỏ ban công (Grass Patch) + Đồ chơi</t>
        </is>
      </c>
      <c r="S402" s="9" t="inlineStr">
        <is>
          <t>Tuyệt đối không đưa vào CRM (Vi phạm Bộ lọc Âm tính Mục 5)</t>
        </is>
      </c>
    </row>
    <row r="403">
      <c r="A403" s="53" t="n">
        <v>3377</v>
      </c>
      <c r="B403" s="12" t="inlineStr">
        <is>
          <t>We care about strays</t>
        </is>
      </c>
      <c r="C403" s="54" t="inlineStr">
        <is>
          <t>https://www.facebook.com/profile.php?id=100067685552184</t>
        </is>
      </c>
      <c r="D403" s="6" t="inlineStr">
        <is>
          <t>Cần quét Bio Fanpage</t>
        </is>
      </c>
      <c r="E403" s="53" t="inlineStr">
        <is>
          <t>12/10/2026 23:57:55</t>
        </is>
      </c>
      <c r="F403" s="53" t="inlineStr">
        <is>
          <t>7 giờ trước</t>
        </is>
      </c>
      <c r="G403" s="55" t="n">
        <v>0.29</v>
      </c>
      <c r="H403" s="56" t="n">
        <v>32</v>
      </c>
      <c r="I403" s="6" t="inlineStr">
        <is>
          <t>Pet Owner / Cộng đồng nuôi cún (10đ)</t>
        </is>
      </c>
      <c r="J403" s="56" t="n">
        <v>10</v>
      </c>
      <c r="K403" s="6" t="inlineStr">
        <is>
          <t>Chưa rõ giống (Cần quét Bio)</t>
        </is>
      </c>
      <c r="L403" s="56" t="n">
        <v>0</v>
      </c>
      <c r="M403" s="56" t="n">
        <v>0</v>
      </c>
      <c r="N403" s="6" t="inlineStr">
        <is>
          <t>Amazon link not found</t>
        </is>
      </c>
      <c r="O403" s="56">
        <f>IF(N403="Selling pet toys + Artificial grass/Pet toilets (TARGET)",15,IF(N403="Selling artificial grass/pet toilets (TARGET)",10,IF(N403="Selling pet toys",7,IF(N403="There's an Amazon link, but no target sales.",3,0))))</f>
        <v/>
      </c>
      <c r="P403" s="65">
        <f>H403+J403+L403+M403+O403</f>
        <v/>
      </c>
      <c r="Q403" s="71" t="inlineStr">
        <is>
          <t>Excluded: Trang Chung / Không rõ Ngách Cún cưng</t>
        </is>
      </c>
      <c r="R403" s="6" t="inlineStr">
        <is>
          <t>Khay vệ sinh chung cư (Indoor Potty) + Thảm cỏ ban công (Grass Patch) + Đồ chơi</t>
        </is>
      </c>
      <c r="S403" s="6" t="inlineStr">
        <is>
          <t>Tuyệt đối không đưa vào CRM (Vi phạm Bộ lọc Âm tính Mục 5)</t>
        </is>
      </c>
    </row>
    <row r="404">
      <c r="A404" s="59" t="n">
        <v>2686</v>
      </c>
      <c r="B404" s="15" t="inlineStr">
        <is>
          <t>Rackheath Vets</t>
        </is>
      </c>
      <c r="C404" s="60" t="inlineStr">
        <is>
          <t>https://www.facebook.com/RackheathVets</t>
        </is>
      </c>
      <c r="D404" s="9" t="inlineStr">
        <is>
          <t>Cần quét Bio Fanpage</t>
        </is>
      </c>
      <c r="E404" s="59" t="inlineStr">
        <is>
          <t>12/10/2026 23:30:06</t>
        </is>
      </c>
      <c r="F404" s="59" t="inlineStr">
        <is>
          <t>6 giờ trước</t>
        </is>
      </c>
      <c r="G404" s="61" t="n">
        <v>0.25</v>
      </c>
      <c r="H404" s="62" t="n">
        <v>32</v>
      </c>
      <c r="I404" s="9" t="inlineStr">
        <is>
          <t>Pet Owner / Cộng đồng nuôi cún (10đ)</t>
        </is>
      </c>
      <c r="J404" s="62" t="n">
        <v>10</v>
      </c>
      <c r="K404" s="9" t="inlineStr">
        <is>
          <t>Chưa rõ giống (Cần quét Bio)</t>
        </is>
      </c>
      <c r="L404" s="62" t="n">
        <v>0</v>
      </c>
      <c r="M404" s="62" t="n">
        <v>0</v>
      </c>
      <c r="N404" s="9" t="inlineStr">
        <is>
          <t>Amazon link not found</t>
        </is>
      </c>
      <c r="O404" s="62">
        <f>IF(N404="Selling pet toys + Artificial grass/Pet toilets (TARGET)",15,IF(N404="Selling artificial grass/pet toilets (TARGET)",10,IF(N404="Selling pet toys",7,IF(N404="There's an Amazon link, but no target sales.",3,0))))</f>
        <v/>
      </c>
      <c r="P404" s="67">
        <f>H404+J404+L404+M404+O404</f>
        <v/>
      </c>
      <c r="Q404" s="70" t="inlineStr">
        <is>
          <t>Excluded: Trang Chung / Không rõ Ngách Cún cưng</t>
        </is>
      </c>
      <c r="R404" s="9" t="inlineStr">
        <is>
          <t>Khay vệ sinh chung cư (Indoor Potty) + Thảm cỏ ban công (Grass Patch) + Đồ chơi</t>
        </is>
      </c>
      <c r="S404" s="9" t="inlineStr">
        <is>
          <t>Tuyệt đối không đưa vào CRM (Vi phạm Bộ lọc Âm tính Mục 5)</t>
        </is>
      </c>
    </row>
    <row r="405">
      <c r="A405" s="53" t="n">
        <v>2689</v>
      </c>
      <c r="B405" s="12" t="inlineStr">
        <is>
          <t>RainTree Veterinary Hospital</t>
        </is>
      </c>
      <c r="C405" s="54" t="inlineStr">
        <is>
          <t>https://www.facebook.com/raintreevetbc</t>
        </is>
      </c>
      <c r="D405" s="6" t="inlineStr">
        <is>
          <t>Cần quét Bio Fanpage</t>
        </is>
      </c>
      <c r="E405" s="53" t="inlineStr">
        <is>
          <t>12/10/2026 23:30:02</t>
        </is>
      </c>
      <c r="F405" s="53" t="inlineStr">
        <is>
          <t>6 giờ trước</t>
        </is>
      </c>
      <c r="G405" s="55" t="n">
        <v>0.25</v>
      </c>
      <c r="H405" s="56" t="n">
        <v>32</v>
      </c>
      <c r="I405" s="6" t="inlineStr">
        <is>
          <t>Pet Owner / Cộng đồng nuôi cún (10đ)</t>
        </is>
      </c>
      <c r="J405" s="56" t="n">
        <v>10</v>
      </c>
      <c r="K405" s="6" t="inlineStr">
        <is>
          <t>Chưa rõ giống (Cần quét Bio)</t>
        </is>
      </c>
      <c r="L405" s="56" t="n">
        <v>0</v>
      </c>
      <c r="M405" s="56" t="n">
        <v>0</v>
      </c>
      <c r="N405" s="6" t="inlineStr">
        <is>
          <t>Amazon link not found</t>
        </is>
      </c>
      <c r="O405" s="56">
        <f>IF(N405="Selling pet toys + Artificial grass/Pet toilets (TARGET)",15,IF(N405="Selling artificial grass/pet toilets (TARGET)",10,IF(N405="Selling pet toys",7,IF(N405="There's an Amazon link, but no target sales.",3,0))))</f>
        <v/>
      </c>
      <c r="P405" s="65">
        <f>H405+J405+L405+M405+O405</f>
        <v/>
      </c>
      <c r="Q405" s="71" t="inlineStr">
        <is>
          <t>Excluded: Công ty Gen DNA &amp; Thú y (Mục 5.4)</t>
        </is>
      </c>
      <c r="R405" s="6" t="inlineStr">
        <is>
          <t>Khay vệ sinh chung cư (Indoor Potty) + Thảm cỏ ban công (Grass Patch) + Đồ chơi</t>
        </is>
      </c>
      <c r="S405" s="6" t="inlineStr">
        <is>
          <t>Tuyệt đối không đưa vào CRM (Vi phạm Bộ lọc Âm tính Mục 5)</t>
        </is>
      </c>
    </row>
    <row r="406">
      <c r="A406" s="59" t="n">
        <v>2481</v>
      </c>
      <c r="B406" s="15" t="inlineStr">
        <is>
          <t>Petco (El Centro)</t>
        </is>
      </c>
      <c r="C406" s="60" t="inlineStr">
        <is>
          <t>https://www.facebook.com/PETCO1163</t>
        </is>
      </c>
      <c r="D406" s="9" t="inlineStr">
        <is>
          <t>Cần quét Bio Fanpage</t>
        </is>
      </c>
      <c r="E406" s="59" t="inlineStr">
        <is>
          <t>12/10/2026 23:15:19</t>
        </is>
      </c>
      <c r="F406" s="59" t="inlineStr">
        <is>
          <t>6 giờ trước</t>
        </is>
      </c>
      <c r="G406" s="61" t="n">
        <v>0.25</v>
      </c>
      <c r="H406" s="62" t="n">
        <v>32</v>
      </c>
      <c r="I406" s="9" t="inlineStr">
        <is>
          <t>Pet Owner / Cộng đồng nuôi cún (10đ)</t>
        </is>
      </c>
      <c r="J406" s="62" t="n">
        <v>10</v>
      </c>
      <c r="K406" s="9" t="inlineStr">
        <is>
          <t>Chưa rõ giống (Cần quét Bio)</t>
        </is>
      </c>
      <c r="L406" s="62" t="n">
        <v>0</v>
      </c>
      <c r="M406" s="62" t="n">
        <v>0</v>
      </c>
      <c r="N406" s="9" t="inlineStr">
        <is>
          <t>Amazon link not found</t>
        </is>
      </c>
      <c r="O406" s="62">
        <f>IF(N406="Selling pet toys + Artificial grass/Pet toilets (TARGET)",15,IF(N406="Selling artificial grass/pet toilets (TARGET)",10,IF(N406="Selling pet toys",7,IF(N406="There's an Amazon link, but no target sales.",3,0))))</f>
        <v/>
      </c>
      <c r="P406" s="67">
        <f>H406+J406+L406+M406+O406</f>
        <v/>
      </c>
      <c r="Q406" s="70" t="inlineStr">
        <is>
          <t>Excluded: Chuỗi Siêu thị Bán lẻ Lớn (Mục 5.2)</t>
        </is>
      </c>
      <c r="R406" s="9" t="inlineStr">
        <is>
          <t>Khay vệ sinh chung cư (Indoor Potty) + Thảm cỏ ban công (Grass Patch) + Đồ chơi</t>
        </is>
      </c>
      <c r="S406" s="9" t="inlineStr">
        <is>
          <t>Tuyệt đối không đưa vào CRM (Vi phạm Bộ lọc Âm tính Mục 5)</t>
        </is>
      </c>
    </row>
    <row r="407">
      <c r="A407" s="53" t="n">
        <v>2482</v>
      </c>
      <c r="B407" s="12" t="inlineStr">
        <is>
          <t>Petco (Brooksville)</t>
        </is>
      </c>
      <c r="C407" s="54" t="inlineStr">
        <is>
          <t>https://www.facebook.com/PETCO2768</t>
        </is>
      </c>
      <c r="D407" s="6" t="inlineStr">
        <is>
          <t>Cần quét Bio Fanpage</t>
        </is>
      </c>
      <c r="E407" s="53" t="inlineStr">
        <is>
          <t>12/10/2026 23:15:19</t>
        </is>
      </c>
      <c r="F407" s="53" t="inlineStr">
        <is>
          <t>6 giờ trước</t>
        </is>
      </c>
      <c r="G407" s="55" t="n">
        <v>0.25</v>
      </c>
      <c r="H407" s="56" t="n">
        <v>32</v>
      </c>
      <c r="I407" s="6" t="inlineStr">
        <is>
          <t>Pet Owner / Cộng đồng nuôi cún (10đ)</t>
        </is>
      </c>
      <c r="J407" s="56" t="n">
        <v>10</v>
      </c>
      <c r="K407" s="6" t="inlineStr">
        <is>
          <t>Chưa rõ giống (Cần quét Bio)</t>
        </is>
      </c>
      <c r="L407" s="56" t="n">
        <v>0</v>
      </c>
      <c r="M407" s="56" t="n">
        <v>0</v>
      </c>
      <c r="N407" s="6" t="inlineStr">
        <is>
          <t>Amazon link not found</t>
        </is>
      </c>
      <c r="O407" s="56">
        <f>IF(N407="Selling pet toys + Artificial grass/Pet toilets (TARGET)",15,IF(N407="Selling artificial grass/pet toilets (TARGET)",10,IF(N407="Selling pet toys",7,IF(N407="There's an Amazon link, but no target sales.",3,0))))</f>
        <v/>
      </c>
      <c r="P407" s="65">
        <f>H407+J407+L407+M407+O407</f>
        <v/>
      </c>
      <c r="Q407" s="71" t="inlineStr">
        <is>
          <t>Excluded: Chuỗi Siêu thị Bán lẻ Lớn (Mục 5.2)</t>
        </is>
      </c>
      <c r="R407" s="6" t="inlineStr">
        <is>
          <t>Khay vệ sinh chung cư (Indoor Potty) + Thảm cỏ ban công (Grass Patch) + Đồ chơi</t>
        </is>
      </c>
      <c r="S407" s="6" t="inlineStr">
        <is>
          <t>Tuyệt đối không đưa vào CRM (Vi phạm Bộ lọc Âm tính Mục 5)</t>
        </is>
      </c>
    </row>
    <row r="408">
      <c r="A408" s="59" t="n">
        <v>1275</v>
      </c>
      <c r="B408" s="15" t="inlineStr">
        <is>
          <t>Elizaveta Balova</t>
        </is>
      </c>
      <c r="C408" s="60" t="inlineStr">
        <is>
          <t>https://www.facebook.com/handlerliza</t>
        </is>
      </c>
      <c r="D408" s="9" t="inlineStr">
        <is>
          <t>Cần quét Bio Fanpage</t>
        </is>
      </c>
      <c r="E408" s="59" t="inlineStr">
        <is>
          <t>12/10/2026 23:07:40</t>
        </is>
      </c>
      <c r="F408" s="59" t="inlineStr">
        <is>
          <t>4 giờ trước</t>
        </is>
      </c>
      <c r="G408" s="61" t="n">
        <v>0.17</v>
      </c>
      <c r="H408" s="62" t="n">
        <v>32</v>
      </c>
      <c r="I408" s="9" t="inlineStr">
        <is>
          <t>Pet Owner / Cộng đồng nuôi cún (10đ)</t>
        </is>
      </c>
      <c r="J408" s="62" t="n">
        <v>10</v>
      </c>
      <c r="K408" s="9" t="inlineStr">
        <is>
          <t>Chưa rõ giống (Cần quét Bio)</t>
        </is>
      </c>
      <c r="L408" s="62" t="n">
        <v>0</v>
      </c>
      <c r="M408" s="62" t="n">
        <v>0</v>
      </c>
      <c r="N408" s="9" t="inlineStr">
        <is>
          <t>Amazon link not found</t>
        </is>
      </c>
      <c r="O408" s="62">
        <f>IF(N408="Selling pet toys + Artificial grass/Pet toilets (TARGET)",15,IF(N408="Selling artificial grass/pet toilets (TARGET)",10,IF(N408="Selling pet toys",7,IF(N408="There's an Amazon link, but no target sales.",3,0))))</f>
        <v/>
      </c>
      <c r="P408" s="67">
        <f>H408+J408+L408+M408+O408</f>
        <v/>
      </c>
      <c r="Q408" s="70" t="inlineStr">
        <is>
          <t>Excluded: Trang Chung / Không rõ Ngách Cún cưng</t>
        </is>
      </c>
      <c r="R408" s="9" t="inlineStr">
        <is>
          <t>Khay vệ sinh chung cư (Indoor Potty) + Thảm cỏ ban công (Grass Patch) + Đồ chơi</t>
        </is>
      </c>
      <c r="S408" s="9" t="inlineStr">
        <is>
          <t>Tuyệt đối không đưa vào CRM (Vi phạm Bộ lọc Âm tính Mục 5)</t>
        </is>
      </c>
    </row>
    <row r="409">
      <c r="A409" s="53" t="n">
        <v>3188</v>
      </c>
      <c r="B409" s="12" t="inlineStr">
        <is>
          <t>Tiendanimal</t>
        </is>
      </c>
      <c r="C409" s="54" t="inlineStr">
        <is>
          <t>https://www.facebook.com/tiendanimal</t>
        </is>
      </c>
      <c r="D409" s="6" t="inlineStr">
        <is>
          <t>Cần quét Bio Fanpage</t>
        </is>
      </c>
      <c r="E409" s="53" t="inlineStr">
        <is>
          <t>12/10/2026 23:02:23</t>
        </is>
      </c>
      <c r="F409" s="53" t="inlineStr">
        <is>
          <t>7 giờ trước</t>
        </is>
      </c>
      <c r="G409" s="55" t="n">
        <v>0.29</v>
      </c>
      <c r="H409" s="56" t="n">
        <v>32</v>
      </c>
      <c r="I409" s="6" t="inlineStr">
        <is>
          <t>Pet Owner / Cộng đồng nuôi cún (10đ)</t>
        </is>
      </c>
      <c r="J409" s="56" t="n">
        <v>10</v>
      </c>
      <c r="K409" s="6" t="inlineStr">
        <is>
          <t>Chưa rõ giống (Cần quét Bio)</t>
        </is>
      </c>
      <c r="L409" s="56" t="n">
        <v>0</v>
      </c>
      <c r="M409" s="56" t="n">
        <v>0</v>
      </c>
      <c r="N409" s="6" t="inlineStr">
        <is>
          <t>Amazon link not found</t>
        </is>
      </c>
      <c r="O409" s="56">
        <f>IF(N409="Selling pet toys + Artificial grass/Pet toilets (TARGET)",15,IF(N409="Selling artificial grass/pet toilets (TARGET)",10,IF(N409="Selling pet toys",7,IF(N409="There's an Amazon link, but no target sales.",3,0))))</f>
        <v/>
      </c>
      <c r="P409" s="65">
        <f>H409+J409+L409+M409+O409</f>
        <v/>
      </c>
      <c r="Q409" s="71" t="inlineStr">
        <is>
          <t>Excluded: Trang Chung / Không rõ Ngách Cún cưng</t>
        </is>
      </c>
      <c r="R409" s="6" t="inlineStr">
        <is>
          <t>Khay vệ sinh chung cư (Indoor Potty) + Thảm cỏ ban công (Grass Patch) + Đồ chơi</t>
        </is>
      </c>
      <c r="S409" s="6" t="inlineStr">
        <is>
          <t>Tuyệt đối không đưa vào CRM (Vi phạm Bộ lọc Âm tính Mục 5)</t>
        </is>
      </c>
    </row>
    <row r="410">
      <c r="A410" s="59" t="n">
        <v>3383</v>
      </c>
      <c r="B410" s="15" t="inlineStr">
        <is>
          <t>Wednesday Pier Farmers Market</t>
        </is>
      </c>
      <c r="C410" s="60" t="inlineStr">
        <is>
          <t>https://www.facebook.com/profile.php?id=61559952963784</t>
        </is>
      </c>
      <c r="D410" s="9" t="inlineStr">
        <is>
          <t>Cần quét Bio Fanpage</t>
        </is>
      </c>
      <c r="E410" s="59" t="inlineStr">
        <is>
          <t>12/10/2026 22:50:06</t>
        </is>
      </c>
      <c r="F410" s="59" t="inlineStr">
        <is>
          <t>8 giờ trước</t>
        </is>
      </c>
      <c r="G410" s="61" t="n">
        <v>0.33</v>
      </c>
      <c r="H410" s="62" t="n">
        <v>32</v>
      </c>
      <c r="I410" s="9" t="inlineStr">
        <is>
          <t>Pet Owner / Cộng đồng nuôi cún (10đ)</t>
        </is>
      </c>
      <c r="J410" s="62" t="n">
        <v>10</v>
      </c>
      <c r="K410" s="9" t="inlineStr">
        <is>
          <t>Chưa rõ giống (Cần quét Bio)</t>
        </is>
      </c>
      <c r="L410" s="62" t="n">
        <v>0</v>
      </c>
      <c r="M410" s="62" t="n">
        <v>0</v>
      </c>
      <c r="N410" s="9" t="inlineStr">
        <is>
          <t>Amazon link not found</t>
        </is>
      </c>
      <c r="O410" s="62">
        <f>IF(N410="Selling pet toys + Artificial grass/Pet toilets (TARGET)",15,IF(N410="Selling artificial grass/pet toilets (TARGET)",10,IF(N410="Selling pet toys",7,IF(N410="There's an Amazon link, but no target sales.",3,0))))</f>
        <v/>
      </c>
      <c r="P410" s="67">
        <f>H410+J410+L410+M410+O410</f>
        <v/>
      </c>
      <c r="Q410" s="70" t="inlineStr">
        <is>
          <t>Excluded: Ngành nghề Khác (Phi Cún cưng)</t>
        </is>
      </c>
      <c r="R410" s="9" t="inlineStr">
        <is>
          <t>Khay vệ sinh chung cư (Indoor Potty) + Thảm cỏ ban công (Grass Patch) + Đồ chơi</t>
        </is>
      </c>
      <c r="S410" s="9" t="inlineStr">
        <is>
          <t>Tuyệt đối không đưa vào CRM (Vi phạm Bộ lọc Âm tính Mục 5)</t>
        </is>
      </c>
    </row>
    <row r="411">
      <c r="A411" s="53" t="n">
        <v>3227</v>
      </c>
      <c r="B411" s="12" t="inlineStr">
        <is>
          <t>Travelers Care</t>
        </is>
      </c>
      <c r="C411" s="54" t="inlineStr">
        <is>
          <t>https://www.facebook.com/TravelersCare1</t>
        </is>
      </c>
      <c r="D411" s="6" t="inlineStr">
        <is>
          <t>Cần quét Bio Fanpage</t>
        </is>
      </c>
      <c r="E411" s="53" t="inlineStr">
        <is>
          <t>12/10/2026 22:48:33</t>
        </is>
      </c>
      <c r="F411" s="53" t="inlineStr">
        <is>
          <t>7 giờ trước</t>
        </is>
      </c>
      <c r="G411" s="55" t="n">
        <v>0.29</v>
      </c>
      <c r="H411" s="56" t="n">
        <v>32</v>
      </c>
      <c r="I411" s="6" t="inlineStr">
        <is>
          <t>Pet Owner / Cộng đồng nuôi cún (10đ)</t>
        </is>
      </c>
      <c r="J411" s="56" t="n">
        <v>10</v>
      </c>
      <c r="K411" s="6" t="inlineStr">
        <is>
          <t>Chưa rõ giống (Cần quét Bio)</t>
        </is>
      </c>
      <c r="L411" s="56" t="n">
        <v>0</v>
      </c>
      <c r="M411" s="56" t="n">
        <v>0</v>
      </c>
      <c r="N411" s="6" t="inlineStr">
        <is>
          <t>Amazon link not found</t>
        </is>
      </c>
      <c r="O411" s="56">
        <f>IF(N411="Selling pet toys + Artificial grass/Pet toilets (TARGET)",15,IF(N411="Selling artificial grass/pet toilets (TARGET)",10,IF(N411="Selling pet toys",7,IF(N411="There's an Amazon link, but no target sales.",3,0))))</f>
        <v/>
      </c>
      <c r="P411" s="65">
        <f>H411+J411+L411+M411+O411</f>
        <v/>
      </c>
      <c r="Q411" s="71" t="inlineStr">
        <is>
          <t>Excluded: Trang Chung / Không rõ Ngách Cún cưng</t>
        </is>
      </c>
      <c r="R411" s="6" t="inlineStr">
        <is>
          <t>Khay vệ sinh chung cư (Indoor Potty) + Thảm cỏ ban công (Grass Patch) + Đồ chơi</t>
        </is>
      </c>
      <c r="S411" s="6" t="inlineStr">
        <is>
          <t>Tuyệt đối không đưa vào CRM (Vi phạm Bộ lọc Âm tính Mục 5)</t>
        </is>
      </c>
    </row>
    <row r="412">
      <c r="A412" s="59" t="n">
        <v>2703</v>
      </c>
      <c r="B412" s="15" t="inlineStr">
        <is>
          <t>RDR Farma - Drogaria &amp; Perfumaria</t>
        </is>
      </c>
      <c r="C412" s="60" t="inlineStr">
        <is>
          <t>https://www.facebook.com/rdrfarma</t>
        </is>
      </c>
      <c r="D412" s="9" t="inlineStr">
        <is>
          <t>Cần quét Bio Fanpage</t>
        </is>
      </c>
      <c r="E412" s="59" t="inlineStr">
        <is>
          <t>12/10/2026 22:45:15</t>
        </is>
      </c>
      <c r="F412" s="59" t="inlineStr">
        <is>
          <t>7 giờ trước</t>
        </is>
      </c>
      <c r="G412" s="61" t="n">
        <v>0.29</v>
      </c>
      <c r="H412" s="62" t="n">
        <v>32</v>
      </c>
      <c r="I412" s="9" t="inlineStr">
        <is>
          <t>Pet Owner / Cộng đồng nuôi cún (10đ)</t>
        </is>
      </c>
      <c r="J412" s="62" t="n">
        <v>10</v>
      </c>
      <c r="K412" s="9" t="inlineStr">
        <is>
          <t>Chưa rõ giống (Cần quét Bio)</t>
        </is>
      </c>
      <c r="L412" s="62" t="n">
        <v>0</v>
      </c>
      <c r="M412" s="62" t="n">
        <v>0</v>
      </c>
      <c r="N412" s="9" t="inlineStr">
        <is>
          <t>Amazon link not found</t>
        </is>
      </c>
      <c r="O412" s="62">
        <f>IF(N412="Selling pet toys + Artificial grass/Pet toilets (TARGET)",15,IF(N412="Selling artificial grass/pet toilets (TARGET)",10,IF(N412="Selling pet toys",7,IF(N412="There's an Amazon link, but no target sales.",3,0))))</f>
        <v/>
      </c>
      <c r="P412" s="67">
        <f>H412+J412+L412+M412+O412</f>
        <v/>
      </c>
      <c r="Q412" s="70" t="inlineStr">
        <is>
          <t>Excluded: Trang Chung / Không rõ Ngách Cún cưng</t>
        </is>
      </c>
      <c r="R412" s="9" t="inlineStr">
        <is>
          <t>Khay vệ sinh chung cư (Indoor Potty) + Thảm cỏ ban công (Grass Patch) + Đồ chơi</t>
        </is>
      </c>
      <c r="S412" s="9" t="inlineStr">
        <is>
          <t>Tuyệt đối không đưa vào CRM (Vi phạm Bộ lọc Âm tính Mục 5)</t>
        </is>
      </c>
    </row>
    <row r="413">
      <c r="A413" s="53" t="n">
        <v>2102</v>
      </c>
      <c r="B413" s="12" t="inlineStr">
        <is>
          <t>Magnolia Veterinary Hospital</t>
        </is>
      </c>
      <c r="C413" s="54" t="inlineStr">
        <is>
          <t>https://www.facebook.com/magnoliaveterinaryhospital</t>
        </is>
      </c>
      <c r="D413" s="6" t="inlineStr">
        <is>
          <t>Cần quét Bio Fanpage</t>
        </is>
      </c>
      <c r="E413" s="53" t="inlineStr">
        <is>
          <t>12/10/2026 22:36:10</t>
        </is>
      </c>
      <c r="F413" s="53" t="inlineStr">
        <is>
          <t>6 giờ trước</t>
        </is>
      </c>
      <c r="G413" s="55" t="n">
        <v>0.25</v>
      </c>
      <c r="H413" s="56" t="n">
        <v>32</v>
      </c>
      <c r="I413" s="6" t="inlineStr">
        <is>
          <t>Pet Owner / Cộng đồng nuôi cún (10đ)</t>
        </is>
      </c>
      <c r="J413" s="56" t="n">
        <v>10</v>
      </c>
      <c r="K413" s="6" t="inlineStr">
        <is>
          <t>Chưa rõ giống (Cần quét Bio)</t>
        </is>
      </c>
      <c r="L413" s="56" t="n">
        <v>0</v>
      </c>
      <c r="M413" s="56" t="n">
        <v>0</v>
      </c>
      <c r="N413" s="6" t="inlineStr">
        <is>
          <t>Amazon link not found</t>
        </is>
      </c>
      <c r="O413" s="56">
        <f>IF(N413="Selling pet toys + Artificial grass/Pet toilets (TARGET)",15,IF(N413="Selling artificial grass/pet toilets (TARGET)",10,IF(N413="Selling pet toys",7,IF(N413="There's an Amazon link, but no target sales.",3,0))))</f>
        <v/>
      </c>
      <c r="P413" s="65">
        <f>H413+J413+L413+M413+O413</f>
        <v/>
      </c>
      <c r="Q413" s="71" t="inlineStr">
        <is>
          <t>Excluded: Công ty Gen DNA &amp; Thú y (Mục 5.4)</t>
        </is>
      </c>
      <c r="R413" s="6" t="inlineStr">
        <is>
          <t>Khay vệ sinh chung cư (Indoor Potty) + Thảm cỏ ban công (Grass Patch) + Đồ chơi</t>
        </is>
      </c>
      <c r="S413" s="6" t="inlineStr">
        <is>
          <t>Tuyệt đối không đưa vào CRM (Vi phạm Bộ lọc Âm tính Mục 5)</t>
        </is>
      </c>
    </row>
    <row r="414">
      <c r="A414" s="59" t="n">
        <v>1811</v>
      </c>
      <c r="B414" s="15" t="inlineStr">
        <is>
          <t>Facebook User</t>
        </is>
      </c>
      <c r="C414" s="60" t="inlineStr">
        <is>
          <t>https://www.facebook.com/profile.php?id=100083344730345</t>
        </is>
      </c>
      <c r="D414" s="9" t="inlineStr">
        <is>
          <t>Cần quét Bio Fanpage</t>
        </is>
      </c>
      <c r="E414" s="59" t="inlineStr">
        <is>
          <t>12/10/2026 22:15:48</t>
        </is>
      </c>
      <c r="F414" s="59" t="inlineStr">
        <is>
          <t>5 giờ trước</t>
        </is>
      </c>
      <c r="G414" s="61" t="n">
        <v>0.21</v>
      </c>
      <c r="H414" s="62" t="n">
        <v>32</v>
      </c>
      <c r="I414" s="9" t="inlineStr">
        <is>
          <t>Pet Owner / Cộng đồng nuôi cún (10đ)</t>
        </is>
      </c>
      <c r="J414" s="62" t="n">
        <v>10</v>
      </c>
      <c r="K414" s="9" t="inlineStr">
        <is>
          <t>Chưa rõ giống (Cần quét Bio)</t>
        </is>
      </c>
      <c r="L414" s="62" t="n">
        <v>0</v>
      </c>
      <c r="M414" s="62" t="n">
        <v>0</v>
      </c>
      <c r="N414" s="9" t="inlineStr">
        <is>
          <t>Amazon link not found</t>
        </is>
      </c>
      <c r="O414" s="62">
        <f>IF(N414="Selling pet toys + Artificial grass/Pet toilets (TARGET)",15,IF(N414="Selling artificial grass/pet toilets (TARGET)",10,IF(N414="Selling pet toys",7,IF(N414="There's an Amazon link, but no target sales.",3,0))))</f>
        <v/>
      </c>
      <c r="P414" s="67">
        <f>H414+J414+L414+M414+O414</f>
        <v/>
      </c>
      <c r="Q414" s="70" t="inlineStr">
        <is>
          <t>Excluded: Hồ sơ Ẩn danh (Facebook User)</t>
        </is>
      </c>
      <c r="R414" s="9" t="inlineStr">
        <is>
          <t>Khay vệ sinh chung cư (Indoor Potty) + Thảm cỏ ban công (Grass Patch) + Đồ chơi</t>
        </is>
      </c>
      <c r="S414" s="9" t="inlineStr">
        <is>
          <t>Tuyệt đối không đưa vào CRM (Vi phạm Bộ lọc Âm tính Mục 5)</t>
        </is>
      </c>
    </row>
    <row r="415">
      <c r="A415" s="53" t="n">
        <v>3293</v>
      </c>
      <c r="B415" s="12" t="inlineStr">
        <is>
          <t>VEGAnnArbor</t>
        </is>
      </c>
      <c r="C415" s="54" t="inlineStr">
        <is>
          <t>https://www.facebook.com/VEGAnnArbor</t>
        </is>
      </c>
      <c r="D415" s="6" t="inlineStr">
        <is>
          <t>Cần quét Bio Fanpage</t>
        </is>
      </c>
      <c r="E415" s="53" t="inlineStr">
        <is>
          <t>12/10/2026 22:14:58</t>
        </is>
      </c>
      <c r="F415" s="53" t="inlineStr">
        <is>
          <t>8 giờ trước</t>
        </is>
      </c>
      <c r="G415" s="55" t="n">
        <v>0.33</v>
      </c>
      <c r="H415" s="56" t="n">
        <v>32</v>
      </c>
      <c r="I415" s="6" t="inlineStr">
        <is>
          <t>Pet Owner / Cộng đồng nuôi cún (10đ)</t>
        </is>
      </c>
      <c r="J415" s="56" t="n">
        <v>10</v>
      </c>
      <c r="K415" s="6" t="inlineStr">
        <is>
          <t>Chưa rõ giống (Cần quét Bio)</t>
        </is>
      </c>
      <c r="L415" s="56" t="n">
        <v>0</v>
      </c>
      <c r="M415" s="56" t="n">
        <v>0</v>
      </c>
      <c r="N415" s="6" t="inlineStr">
        <is>
          <t>Amazon link not found</t>
        </is>
      </c>
      <c r="O415" s="56">
        <f>IF(N415="Selling pet toys + Artificial grass/Pet toilets (TARGET)",15,IF(N415="Selling artificial grass/pet toilets (TARGET)",10,IF(N415="Selling pet toys",7,IF(N415="There's an Amazon link, but no target sales.",3,0))))</f>
        <v/>
      </c>
      <c r="P415" s="65">
        <f>H415+J415+L415+M415+O415</f>
        <v/>
      </c>
      <c r="Q415" s="71" t="inlineStr">
        <is>
          <t>Excluded: Trang Chung / Không rõ Ngách Cún cưng</t>
        </is>
      </c>
      <c r="R415" s="6" t="inlineStr">
        <is>
          <t>Khay vệ sinh chung cư (Indoor Potty) + Thảm cỏ ban công (Grass Patch) + Đồ chơi</t>
        </is>
      </c>
      <c r="S415" s="6" t="inlineStr">
        <is>
          <t>Tuyệt đối không đưa vào CRM (Vi phạm Bộ lọc Âm tính Mục 5)</t>
        </is>
      </c>
    </row>
    <row r="416">
      <c r="A416" s="59" t="n">
        <v>1354</v>
      </c>
      <c r="B416" s="15" t="inlineStr">
        <is>
          <t>farming is life</t>
        </is>
      </c>
      <c r="C416" s="60" t="inlineStr">
        <is>
          <t>https://www.facebook.com/profile.php?id=61593692344392</t>
        </is>
      </c>
      <c r="D416" s="9" t="inlineStr">
        <is>
          <t>Cần quét Bio Fanpage</t>
        </is>
      </c>
      <c r="E416" s="59" t="inlineStr">
        <is>
          <t>12/10/2026 22:10:10</t>
        </is>
      </c>
      <c r="F416" s="59" t="inlineStr">
        <is>
          <t>5 giờ trước</t>
        </is>
      </c>
      <c r="G416" s="61" t="n">
        <v>0.21</v>
      </c>
      <c r="H416" s="62" t="n">
        <v>32</v>
      </c>
      <c r="I416" s="9" t="inlineStr">
        <is>
          <t>Pet Owner / Kênh cá nhân thú cưng (10đ)</t>
        </is>
      </c>
      <c r="J416" s="62" t="n">
        <v>10</v>
      </c>
      <c r="K416" s="9" t="inlineStr">
        <is>
          <t>Chưa rõ giống (Cần quét Bio)</t>
        </is>
      </c>
      <c r="L416" s="62" t="n">
        <v>0</v>
      </c>
      <c r="M416" s="62" t="n">
        <v>0</v>
      </c>
      <c r="N416" s="9" t="inlineStr">
        <is>
          <t>Amazon link not found</t>
        </is>
      </c>
      <c r="O416" s="62">
        <f>IF(N416="Selling pet toys + Artificial grass/Pet toilets (TARGET)",15,IF(N416="Selling artificial grass/pet toilets (TARGET)",10,IF(N416="Selling pet toys",7,IF(N416="There's an Amazon link, but no target sales.",3,0))))</f>
        <v/>
      </c>
      <c r="P416" s="67">
        <f>H416+J416+L416+M416+O416</f>
        <v/>
      </c>
      <c r="Q416" s="70" t="inlineStr">
        <is>
          <t>Excluded: Trang Chung / Không rõ Ngách Cún cưng</t>
        </is>
      </c>
      <c r="R416" s="9" t="inlineStr">
        <is>
          <t>Khay vệ sinh trong nhà (Indoor Dog Potty) + Đồ chơi thú cưng lẻ</t>
        </is>
      </c>
      <c r="S416" s="9" t="inlineStr">
        <is>
          <t>Tuyệt đối không đưa vào CRM (Vi phạm Bộ lọc Âm tính Mục 5)</t>
        </is>
      </c>
    </row>
    <row r="417">
      <c r="A417" s="53" t="n">
        <v>2499</v>
      </c>
      <c r="B417" s="12" t="inlineStr">
        <is>
          <t>Peter van Delft</t>
        </is>
      </c>
      <c r="C417" s="54" t="inlineStr">
        <is>
          <t>https://www.facebook.com/petervandelft.flowers</t>
        </is>
      </c>
      <c r="D417" s="6" t="inlineStr">
        <is>
          <t>Cần quét Bio Fanpage</t>
        </is>
      </c>
      <c r="E417" s="53" t="inlineStr">
        <is>
          <t>12/10/2026 22:09:35</t>
        </is>
      </c>
      <c r="F417" s="53" t="inlineStr">
        <is>
          <t>7 giờ trước</t>
        </is>
      </c>
      <c r="G417" s="55" t="n">
        <v>0.29</v>
      </c>
      <c r="H417" s="56" t="n">
        <v>32</v>
      </c>
      <c r="I417" s="6" t="inlineStr">
        <is>
          <t>Pet Owner / Cộng đồng nuôi cún (10đ)</t>
        </is>
      </c>
      <c r="J417" s="56" t="n">
        <v>10</v>
      </c>
      <c r="K417" s="6" t="inlineStr">
        <is>
          <t>Chưa rõ giống (Cần quét Bio)</t>
        </is>
      </c>
      <c r="L417" s="56" t="n">
        <v>0</v>
      </c>
      <c r="M417" s="56" t="n">
        <v>0</v>
      </c>
      <c r="N417" s="6" t="inlineStr">
        <is>
          <t>Amazon link not found</t>
        </is>
      </c>
      <c r="O417" s="56">
        <f>IF(N417="Selling pet toys + Artificial grass/Pet toilets (TARGET)",15,IF(N417="Selling artificial grass/pet toilets (TARGET)",10,IF(N417="Selling pet toys",7,IF(N417="There's an Amazon link, but no target sales.",3,0))))</f>
        <v/>
      </c>
      <c r="P417" s="65">
        <f>H417+J417+L417+M417+O417</f>
        <v/>
      </c>
      <c r="Q417" s="71" t="inlineStr">
        <is>
          <t>Excluded: Ngành nghề Khác (Phi Cún cưng)</t>
        </is>
      </c>
      <c r="R417" s="6" t="inlineStr">
        <is>
          <t>Khay vệ sinh chung cư (Indoor Potty) + Thảm cỏ ban công (Grass Patch) + Đồ chơi</t>
        </is>
      </c>
      <c r="S417" s="6" t="inlineStr">
        <is>
          <t>Tuyệt đối không đưa vào CRM (Vi phạm Bộ lọc Âm tính Mục 5)</t>
        </is>
      </c>
    </row>
    <row r="418">
      <c r="A418" s="59" t="n">
        <v>1352</v>
      </c>
      <c r="B418" s="15" t="inlineStr">
        <is>
          <t>Farmina North America</t>
        </is>
      </c>
      <c r="C418" s="60" t="inlineStr">
        <is>
          <t>https://www.facebook.com/FarminaNorthAmerica</t>
        </is>
      </c>
      <c r="D418" s="9" t="inlineStr">
        <is>
          <t>Cần quét Bio Fanpage</t>
        </is>
      </c>
      <c r="E418" s="59" t="inlineStr">
        <is>
          <t>12/10/2026 22:00:16</t>
        </is>
      </c>
      <c r="F418" s="59" t="inlineStr">
        <is>
          <t>5 giờ trước</t>
        </is>
      </c>
      <c r="G418" s="61" t="n">
        <v>0.21</v>
      </c>
      <c r="H418" s="62" t="n">
        <v>32</v>
      </c>
      <c r="I418" s="9" t="inlineStr">
        <is>
          <t>Pet Owner / Cộng đồng nuôi cún (10đ)</t>
        </is>
      </c>
      <c r="J418" s="62" t="n">
        <v>10</v>
      </c>
      <c r="K418" s="9" t="inlineStr">
        <is>
          <t>Chưa rõ giống (Cần quét Bio)</t>
        </is>
      </c>
      <c r="L418" s="62" t="n">
        <v>0</v>
      </c>
      <c r="M418" s="62" t="n">
        <v>0</v>
      </c>
      <c r="N418" s="9" t="inlineStr">
        <is>
          <t>Amazon link not found</t>
        </is>
      </c>
      <c r="O418" s="62">
        <f>IF(N418="Selling pet toys + Artificial grass/Pet toilets (TARGET)",15,IF(N418="Selling artificial grass/pet toilets (TARGET)",10,IF(N418="Selling pet toys",7,IF(N418="There's an Amazon link, but no target sales.",3,0))))</f>
        <v/>
      </c>
      <c r="P418" s="67">
        <f>H418+J418+L418+M418+O418</f>
        <v/>
      </c>
      <c r="Q418" s="70" t="inlineStr">
        <is>
          <t>Excluded: Trang Chung / Không rõ Ngách Cún cưng</t>
        </is>
      </c>
      <c r="R418" s="9" t="inlineStr">
        <is>
          <t>Khay vệ sinh chung cư (Indoor Potty) + Thảm cỏ ban công (Grass Patch) + Đồ chơi</t>
        </is>
      </c>
      <c r="S418" s="9" t="inlineStr">
        <is>
          <t>Tuyệt đối không đưa vào CRM (Vi phạm Bộ lọc Âm tính Mục 5)</t>
        </is>
      </c>
    </row>
    <row r="419">
      <c r="A419" s="53" t="n">
        <v>1266</v>
      </c>
      <c r="B419" s="12" t="inlineStr">
        <is>
          <t>Eduardo Veterinário</t>
        </is>
      </c>
      <c r="C419" s="54" t="inlineStr">
        <is>
          <t>https://www.facebook.com/eduardofumagalliveterinario</t>
        </is>
      </c>
      <c r="D419" s="6" t="inlineStr">
        <is>
          <t>Cần quét Bio Fanpage</t>
        </is>
      </c>
      <c r="E419" s="53" t="inlineStr">
        <is>
          <t>12/10/2026 21:58:58</t>
        </is>
      </c>
      <c r="F419" s="53" t="inlineStr">
        <is>
          <t>5 giờ trước</t>
        </is>
      </c>
      <c r="G419" s="55" t="n">
        <v>0.21</v>
      </c>
      <c r="H419" s="56" t="n">
        <v>32</v>
      </c>
      <c r="I419" s="6" t="inlineStr">
        <is>
          <t>Pet Owner / Cộng đồng nuôi cún (10đ)</t>
        </is>
      </c>
      <c r="J419" s="56" t="n">
        <v>10</v>
      </c>
      <c r="K419" s="6" t="inlineStr">
        <is>
          <t>Chưa rõ giống (Cần quét Bio)</t>
        </is>
      </c>
      <c r="L419" s="56" t="n">
        <v>0</v>
      </c>
      <c r="M419" s="56" t="n">
        <v>0</v>
      </c>
      <c r="N419" s="6" t="inlineStr">
        <is>
          <t>Amazon link not found</t>
        </is>
      </c>
      <c r="O419" s="56">
        <f>IF(N419="Selling pet toys + Artificial grass/Pet toilets (TARGET)",15,IF(N419="Selling artificial grass/pet toilets (TARGET)",10,IF(N419="Selling pet toys",7,IF(N419="There's an Amazon link, but no target sales.",3,0))))</f>
        <v/>
      </c>
      <c r="P419" s="65">
        <f>H419+J419+L419+M419+O419</f>
        <v/>
      </c>
      <c r="Q419" s="71" t="inlineStr">
        <is>
          <t>Excluded: Công ty Gen DNA &amp; Thú y (Mục 5.4)</t>
        </is>
      </c>
      <c r="R419" s="6" t="inlineStr">
        <is>
          <t>Khay vệ sinh chung cư (Indoor Potty) + Thảm cỏ ban công (Grass Patch) + Đồ chơi</t>
        </is>
      </c>
      <c r="S419" s="6" t="inlineStr">
        <is>
          <t>Tuyệt đối không đưa vào CRM (Vi phạm Bộ lọc Âm tính Mục 5)</t>
        </is>
      </c>
    </row>
    <row r="420">
      <c r="A420" s="59" t="n">
        <v>2281</v>
      </c>
      <c r="B420" s="15" t="inlineStr">
        <is>
          <t>Neus Candela Vet</t>
        </is>
      </c>
      <c r="C420" s="60" t="inlineStr">
        <is>
          <t>https://www.facebook.com/profile.php?id=100023966092575</t>
        </is>
      </c>
      <c r="D420" s="9" t="inlineStr">
        <is>
          <t>Cần quét Bio Fanpage</t>
        </is>
      </c>
      <c r="E420" s="59" t="inlineStr">
        <is>
          <t>12/10/2026 21:32:38</t>
        </is>
      </c>
      <c r="F420" s="59" t="inlineStr">
        <is>
          <t>7 giờ trước</t>
        </is>
      </c>
      <c r="G420" s="61" t="n">
        <v>0.29</v>
      </c>
      <c r="H420" s="62" t="n">
        <v>32</v>
      </c>
      <c r="I420" s="9" t="inlineStr">
        <is>
          <t>Pet Owner / Cộng đồng nuôi cún (10đ)</t>
        </is>
      </c>
      <c r="J420" s="62" t="n">
        <v>10</v>
      </c>
      <c r="K420" s="9" t="inlineStr">
        <is>
          <t>Chưa rõ giống (Cần quét Bio)</t>
        </is>
      </c>
      <c r="L420" s="62" t="n">
        <v>0</v>
      </c>
      <c r="M420" s="62" t="n">
        <v>0</v>
      </c>
      <c r="N420" s="9" t="inlineStr">
        <is>
          <t>Amazon link not found</t>
        </is>
      </c>
      <c r="O420" s="62">
        <f>IF(N420="Selling pet toys + Artificial grass/Pet toilets (TARGET)",15,IF(N420="Selling artificial grass/pet toilets (TARGET)",10,IF(N420="Selling pet toys",7,IF(N420="There's an Amazon link, but no target sales.",3,0))))</f>
        <v/>
      </c>
      <c r="P420" s="67">
        <f>H420+J420+L420+M420+O420</f>
        <v/>
      </c>
      <c r="Q420" s="70" t="inlineStr">
        <is>
          <t>Excluded: Trang Chung / Không rõ Ngách Cún cưng</t>
        </is>
      </c>
      <c r="R420" s="9" t="inlineStr">
        <is>
          <t>Khay vệ sinh chung cư (Indoor Potty) + Thảm cỏ ban công (Grass Patch) + Đồ chơi</t>
        </is>
      </c>
      <c r="S420" s="9" t="inlineStr">
        <is>
          <t>Tuyệt đối không đưa vào CRM (Vi phạm Bộ lọc Âm tính Mục 5)</t>
        </is>
      </c>
    </row>
    <row r="421">
      <c r="A421" s="53" t="n">
        <v>528</v>
      </c>
      <c r="B421" s="12" t="inlineStr">
        <is>
          <t>Artisan Blooms Farmhouse</t>
        </is>
      </c>
      <c r="C421" s="54" t="inlineStr">
        <is>
          <t>https://www.facebook.com/profile.php?id=61590825466160</t>
        </is>
      </c>
      <c r="D421" s="6" t="inlineStr">
        <is>
          <t>Cần quét Bio Fanpage</t>
        </is>
      </c>
      <c r="E421" s="53" t="inlineStr">
        <is>
          <t>12/10/2026 21:31:30</t>
        </is>
      </c>
      <c r="F421" s="53" t="inlineStr">
        <is>
          <t>4 giờ trước</t>
        </is>
      </c>
      <c r="G421" s="55" t="n">
        <v>0.17</v>
      </c>
      <c r="H421" s="56" t="n">
        <v>32</v>
      </c>
      <c r="I421" s="6" t="inlineStr">
        <is>
          <t>Pet Owner / Cộng đồng nuôi cún (10đ)</t>
        </is>
      </c>
      <c r="J421" s="56" t="n">
        <v>10</v>
      </c>
      <c r="K421" s="6" t="inlineStr">
        <is>
          <t>Chưa rõ giống (Cần quét Bio)</t>
        </is>
      </c>
      <c r="L421" s="56" t="n">
        <v>0</v>
      </c>
      <c r="M421" s="56" t="n">
        <v>0</v>
      </c>
      <c r="N421" s="6" t="inlineStr">
        <is>
          <t>Amazon link not found</t>
        </is>
      </c>
      <c r="O421" s="56">
        <f>IF(N421="Selling pet toys + Artificial grass/Pet toilets (TARGET)",15,IF(N421="Selling artificial grass/pet toilets (TARGET)",10,IF(N421="Selling pet toys",7,IF(N421="There's an Amazon link, but no target sales.",3,0))))</f>
        <v/>
      </c>
      <c r="P421" s="65">
        <f>H421+J421+L421+M421+O421</f>
        <v/>
      </c>
      <c r="Q421" s="71" t="inlineStr">
        <is>
          <t>Excluded: Trang Chung / Không rõ Ngách Cún cưng</t>
        </is>
      </c>
      <c r="R421" s="6" t="inlineStr">
        <is>
          <t>Khay vệ sinh chung cư (Indoor Potty) + Thảm cỏ ban công (Grass Patch) + Đồ chơi</t>
        </is>
      </c>
      <c r="S421" s="6" t="inlineStr">
        <is>
          <t>Tuyệt đối không đưa vào CRM (Vi phạm Bộ lọc Âm tính Mục 5)</t>
        </is>
      </c>
    </row>
    <row r="422">
      <c r="A422" s="59" t="n">
        <v>2644</v>
      </c>
      <c r="B422" s="15" t="inlineStr">
        <is>
          <t>Protectora de Animales y Plantas de Ceuta</t>
        </is>
      </c>
      <c r="C422" s="60" t="inlineStr">
        <is>
          <t>https://www.facebook.com/protectoradeanimalesyplantasdeceuta</t>
        </is>
      </c>
      <c r="D422" s="9" t="inlineStr">
        <is>
          <t>Cần quét Bio Fanpage</t>
        </is>
      </c>
      <c r="E422" s="59" t="inlineStr">
        <is>
          <t>12/10/2026 21:31:06</t>
        </is>
      </c>
      <c r="F422" s="59" t="inlineStr">
        <is>
          <t>8 giờ trước</t>
        </is>
      </c>
      <c r="G422" s="61" t="n">
        <v>0.33</v>
      </c>
      <c r="H422" s="62" t="n">
        <v>32</v>
      </c>
      <c r="I422" s="9" t="inlineStr">
        <is>
          <t>Pet Owner / Cộng đồng nuôi cún (10đ)</t>
        </is>
      </c>
      <c r="J422" s="62" t="n">
        <v>10</v>
      </c>
      <c r="K422" s="9" t="inlineStr">
        <is>
          <t>Chưa rõ giống (Cần quét Bio)</t>
        </is>
      </c>
      <c r="L422" s="62" t="n">
        <v>0</v>
      </c>
      <c r="M422" s="62" t="n">
        <v>0</v>
      </c>
      <c r="N422" s="9" t="inlineStr">
        <is>
          <t>Amazon link not found</t>
        </is>
      </c>
      <c r="O422" s="62">
        <f>IF(N422="Selling pet toys + Artificial grass/Pet toilets (TARGET)",15,IF(N422="Selling artificial grass/pet toilets (TARGET)",10,IF(N422="Selling pet toys",7,IF(N422="There's an Amazon link, but no target sales.",3,0))))</f>
        <v/>
      </c>
      <c r="P422" s="67">
        <f>H422+J422+L422+M422+O422</f>
        <v/>
      </c>
      <c r="Q422" s="70" t="inlineStr">
        <is>
          <t>Excluded: Trang Chung / Không rõ Ngách Cún cưng</t>
        </is>
      </c>
      <c r="R422" s="9" t="inlineStr">
        <is>
          <t>Khay vệ sinh chung cư (Indoor Potty) + Thảm cỏ ban công (Grass Patch) + Đồ chơi</t>
        </is>
      </c>
      <c r="S422" s="9" t="inlineStr">
        <is>
          <t>Tuyệt đối không đưa vào CRM (Vi phạm Bộ lọc Âm tính Mục 5)</t>
        </is>
      </c>
    </row>
    <row r="423">
      <c r="A423" s="53" t="n">
        <v>2059</v>
      </c>
      <c r="B423" s="12" t="inlineStr">
        <is>
          <t>LoveAnimalsUK</t>
        </is>
      </c>
      <c r="C423" s="54" t="inlineStr">
        <is>
          <t>https://www.facebook.com/LoveAnimalsUK</t>
        </is>
      </c>
      <c r="D423" s="6" t="inlineStr">
        <is>
          <t>Cần quét Bio Fanpage</t>
        </is>
      </c>
      <c r="E423" s="53" t="inlineStr">
        <is>
          <t>12/10/2026 21:18:49</t>
        </is>
      </c>
      <c r="F423" s="53" t="inlineStr">
        <is>
          <t>7 giờ trước</t>
        </is>
      </c>
      <c r="G423" s="55" t="n">
        <v>0.29</v>
      </c>
      <c r="H423" s="56" t="n">
        <v>32</v>
      </c>
      <c r="I423" s="6" t="inlineStr">
        <is>
          <t>Pet Owner / Cộng đồng nuôi cún (10đ)</t>
        </is>
      </c>
      <c r="J423" s="56" t="n">
        <v>10</v>
      </c>
      <c r="K423" s="6" t="inlineStr">
        <is>
          <t>Chưa rõ giống (Cần quét Bio)</t>
        </is>
      </c>
      <c r="L423" s="56" t="n">
        <v>0</v>
      </c>
      <c r="M423" s="56" t="n">
        <v>0</v>
      </c>
      <c r="N423" s="6" t="inlineStr">
        <is>
          <t>Amazon link not found</t>
        </is>
      </c>
      <c r="O423" s="56">
        <f>IF(N423="Selling pet toys + Artificial grass/Pet toilets (TARGET)",15,IF(N423="Selling artificial grass/pet toilets (TARGET)",10,IF(N423="Selling pet toys",7,IF(N423="There's an Amazon link, but no target sales.",3,0))))</f>
        <v/>
      </c>
      <c r="P423" s="65">
        <f>H423+J423+L423+M423+O423</f>
        <v/>
      </c>
      <c r="Q423" s="71" t="inlineStr">
        <is>
          <t>Excluded: Trang Chung / Không rõ Ngách Cún cưng</t>
        </is>
      </c>
      <c r="R423" s="6" t="inlineStr">
        <is>
          <t>Khay vệ sinh chung cư (Indoor Potty) + Thảm cỏ ban công (Grass Patch) + Đồ chơi</t>
        </is>
      </c>
      <c r="S423" s="6" t="inlineStr">
        <is>
          <t>Tuyệt đối không đưa vào CRM (Vi phạm Bộ lọc Âm tính Mục 5)</t>
        </is>
      </c>
    </row>
    <row r="424">
      <c r="A424" s="59" t="n">
        <v>3415</v>
      </c>
      <c r="B424" s="15" t="inlineStr">
        <is>
          <t>Wild and Wonderful Veterinary Service</t>
        </is>
      </c>
      <c r="C424" s="60" t="inlineStr">
        <is>
          <t>https://www.facebook.com/profile.php?id=100052160273441</t>
        </is>
      </c>
      <c r="D424" s="9" t="inlineStr">
        <is>
          <t>Cần quét Bio Fanpage</t>
        </is>
      </c>
      <c r="E424" s="59" t="inlineStr">
        <is>
          <t>12/10/2026 21:17:08</t>
        </is>
      </c>
      <c r="F424" s="59" t="inlineStr">
        <is>
          <t>9 giờ trước</t>
        </is>
      </c>
      <c r="G424" s="61" t="n">
        <v>0.38</v>
      </c>
      <c r="H424" s="62" t="n">
        <v>32</v>
      </c>
      <c r="I424" s="9" t="inlineStr">
        <is>
          <t>Pet Owner / Cộng đồng nuôi cún (10đ)</t>
        </is>
      </c>
      <c r="J424" s="62" t="n">
        <v>10</v>
      </c>
      <c r="K424" s="9" t="inlineStr">
        <is>
          <t>Chưa rõ giống (Cần quét Bio)</t>
        </is>
      </c>
      <c r="L424" s="62" t="n">
        <v>0</v>
      </c>
      <c r="M424" s="62" t="n">
        <v>0</v>
      </c>
      <c r="N424" s="9" t="inlineStr">
        <is>
          <t>Amazon link not found</t>
        </is>
      </c>
      <c r="O424" s="62">
        <f>IF(N424="Selling pet toys + Artificial grass/Pet toilets (TARGET)",15,IF(N424="Selling artificial grass/pet toilets (TARGET)",10,IF(N424="Selling pet toys",7,IF(N424="There's an Amazon link, but no target sales.",3,0))))</f>
        <v/>
      </c>
      <c r="P424" s="67">
        <f>H424+J424+L424+M424+O424</f>
        <v/>
      </c>
      <c r="Q424" s="70" t="inlineStr">
        <is>
          <t>Excluded: Công ty Gen DNA &amp; Thú y (Mục 5.4)</t>
        </is>
      </c>
      <c r="R424" s="9" t="inlineStr">
        <is>
          <t>Khay vệ sinh chung cư (Indoor Potty) + Thảm cỏ ban công (Grass Patch) + Đồ chơi</t>
        </is>
      </c>
      <c r="S424" s="9" t="inlineStr">
        <is>
          <t>Tuyệt đối không đưa vào CRM (Vi phạm Bộ lọc Âm tính Mục 5)</t>
        </is>
      </c>
    </row>
    <row r="425">
      <c r="A425" s="53" t="n">
        <v>1372</v>
      </c>
      <c r="B425" s="12" t="inlineStr">
        <is>
          <t>fetchgreenville</t>
        </is>
      </c>
      <c r="C425" s="54" t="inlineStr">
        <is>
          <t>https://www.facebook.com/fetchgreenville</t>
        </is>
      </c>
      <c r="D425" s="6" t="inlineStr">
        <is>
          <t>Cần quét Bio Fanpage</t>
        </is>
      </c>
      <c r="E425" s="53" t="inlineStr">
        <is>
          <t>12/10/2026 21:13:35</t>
        </is>
      </c>
      <c r="F425" s="53" t="inlineStr">
        <is>
          <t>6 giờ trước</t>
        </is>
      </c>
      <c r="G425" s="55" t="n">
        <v>0.25</v>
      </c>
      <c r="H425" s="56" t="n">
        <v>32</v>
      </c>
      <c r="I425" s="6" t="inlineStr">
        <is>
          <t>Pet Owner / Cộng đồng nuôi cún (10đ)</t>
        </is>
      </c>
      <c r="J425" s="56" t="n">
        <v>10</v>
      </c>
      <c r="K425" s="6" t="inlineStr">
        <is>
          <t>Chưa rõ giống (Cần quét Bio)</t>
        </is>
      </c>
      <c r="L425" s="56" t="n">
        <v>0</v>
      </c>
      <c r="M425" s="56" t="n">
        <v>0</v>
      </c>
      <c r="N425" s="6" t="inlineStr">
        <is>
          <t>Amazon link not found</t>
        </is>
      </c>
      <c r="O425" s="56">
        <f>IF(N425="Selling pet toys + Artificial grass/Pet toilets (TARGET)",15,IF(N425="Selling artificial grass/pet toilets (TARGET)",10,IF(N425="Selling pet toys",7,IF(N425="There's an Amazon link, but no target sales.",3,0))))</f>
        <v/>
      </c>
      <c r="P425" s="65">
        <f>H425+J425+L425+M425+O425</f>
        <v/>
      </c>
      <c r="Q425" s="71" t="inlineStr">
        <is>
          <t>Excluded: Trang Chung / Không rõ Ngách Cún cưng</t>
        </is>
      </c>
      <c r="R425" s="6" t="inlineStr">
        <is>
          <t>Khay vệ sinh chung cư (Indoor Potty) + Thảm cỏ ban công (Grass Patch) + Đồ chơi</t>
        </is>
      </c>
      <c r="S425" s="6" t="inlineStr">
        <is>
          <t>Tuyệt đối không đưa vào CRM (Vi phạm Bộ lọc Âm tính Mục 5)</t>
        </is>
      </c>
    </row>
    <row r="426">
      <c r="A426" s="59" t="n">
        <v>2161</v>
      </c>
      <c r="B426" s="15" t="inlineStr">
        <is>
          <t>Merging Vets and Players</t>
        </is>
      </c>
      <c r="C426" s="60" t="inlineStr">
        <is>
          <t>https://www.facebook.com/MVPMergingVetsandPlayers</t>
        </is>
      </c>
      <c r="D426" s="9" t="inlineStr">
        <is>
          <t>Cần quét Bio Fanpage</t>
        </is>
      </c>
      <c r="E426" s="59" t="inlineStr">
        <is>
          <t>12/10/2026 21:10:03</t>
        </is>
      </c>
      <c r="F426" s="59" t="inlineStr">
        <is>
          <t>7 giờ trước</t>
        </is>
      </c>
      <c r="G426" s="61" t="n">
        <v>0.29</v>
      </c>
      <c r="H426" s="62" t="n">
        <v>32</v>
      </c>
      <c r="I426" s="9" t="inlineStr">
        <is>
          <t>Pet Owner / Cộng đồng nuôi cún (10đ)</t>
        </is>
      </c>
      <c r="J426" s="62" t="n">
        <v>10</v>
      </c>
      <c r="K426" s="9" t="inlineStr">
        <is>
          <t>Chưa rõ giống (Cần quét Bio)</t>
        </is>
      </c>
      <c r="L426" s="62" t="n">
        <v>0</v>
      </c>
      <c r="M426" s="62" t="n">
        <v>0</v>
      </c>
      <c r="N426" s="9" t="inlineStr">
        <is>
          <t>Amazon link not found</t>
        </is>
      </c>
      <c r="O426" s="62">
        <f>IF(N426="Selling pet toys + Artificial grass/Pet toilets (TARGET)",15,IF(N426="Selling artificial grass/pet toilets (TARGET)",10,IF(N426="Selling pet toys",7,IF(N426="There's an Amazon link, but no target sales.",3,0))))</f>
        <v/>
      </c>
      <c r="P426" s="67">
        <f>H426+J426+L426+M426+O426</f>
        <v/>
      </c>
      <c r="Q426" s="70" t="inlineStr">
        <is>
          <t>Excluded: Trang Chung / Không rõ Ngách Cún cưng</t>
        </is>
      </c>
      <c r="R426" s="9" t="inlineStr">
        <is>
          <t>Khay vệ sinh chung cư (Indoor Potty) + Thảm cỏ ban công (Grass Patch) + Đồ chơi</t>
        </is>
      </c>
      <c r="S426" s="9" t="inlineStr">
        <is>
          <t>Tuyệt đối không đưa vào CRM (Vi phạm Bộ lọc Âm tính Mục 5)</t>
        </is>
      </c>
    </row>
    <row r="427">
      <c r="A427" s="53" t="n">
        <v>918</v>
      </c>
      <c r="B427" s="12" t="inlineStr">
        <is>
          <t>Clínica Veterinaria Mediterránea</t>
        </is>
      </c>
      <c r="C427" s="54" t="inlineStr">
        <is>
          <t>https://www.facebook.com/ClinicaVeterinariaMediterranea</t>
        </is>
      </c>
      <c r="D427" s="6" t="inlineStr">
        <is>
          <t>Cần quét Bio Fanpage</t>
        </is>
      </c>
      <c r="E427" s="53" t="inlineStr">
        <is>
          <t>12/10/2026 21:07:05</t>
        </is>
      </c>
      <c r="F427" s="53" t="inlineStr">
        <is>
          <t>5 giờ trước</t>
        </is>
      </c>
      <c r="G427" s="55" t="n">
        <v>0.21</v>
      </c>
      <c r="H427" s="56" t="n">
        <v>32</v>
      </c>
      <c r="I427" s="6" t="inlineStr">
        <is>
          <t>Pet Owner / Cộng đồng nuôi cún (10đ)</t>
        </is>
      </c>
      <c r="J427" s="56" t="n">
        <v>10</v>
      </c>
      <c r="K427" s="6" t="inlineStr">
        <is>
          <t>Chưa rõ giống (Cần quét Bio)</t>
        </is>
      </c>
      <c r="L427" s="56" t="n">
        <v>0</v>
      </c>
      <c r="M427" s="56" t="n">
        <v>0</v>
      </c>
      <c r="N427" s="6" t="inlineStr">
        <is>
          <t>Amazon link not found</t>
        </is>
      </c>
      <c r="O427" s="56">
        <f>IF(N427="Selling pet toys + Artificial grass/Pet toilets (TARGET)",15,IF(N427="Selling artificial grass/pet toilets (TARGET)",10,IF(N427="Selling pet toys",7,IF(N427="There's an Amazon link, but no target sales.",3,0))))</f>
        <v/>
      </c>
      <c r="P427" s="65">
        <f>H427+J427+L427+M427+O427</f>
        <v/>
      </c>
      <c r="Q427" s="71" t="inlineStr">
        <is>
          <t>Excluded: Công ty Gen DNA &amp; Thú y (Mục 5.4)</t>
        </is>
      </c>
      <c r="R427" s="6" t="inlineStr">
        <is>
          <t>Khay vệ sinh chung cư (Indoor Potty) + Thảm cỏ ban công (Grass Patch) + Đồ chơi</t>
        </is>
      </c>
      <c r="S427" s="6" t="inlineStr">
        <is>
          <t>Tuyệt đối không đưa vào CRM (Vi phạm Bộ lọc Âm tính Mục 5)</t>
        </is>
      </c>
    </row>
    <row r="428">
      <c r="A428" s="59" t="n">
        <v>2585</v>
      </c>
      <c r="B428" s="15" t="inlineStr">
        <is>
          <t>Pleasant Valley Animal Hospital</t>
        </is>
      </c>
      <c r="C428" s="60" t="inlineStr">
        <is>
          <t>https://www.facebook.com/PleasantValleyAnimalHosp</t>
        </is>
      </c>
      <c r="D428" s="9" t="inlineStr">
        <is>
          <t>Cần quét Bio Fanpage</t>
        </is>
      </c>
      <c r="E428" s="59" t="inlineStr">
        <is>
          <t>12/10/2026 21:02:44</t>
        </is>
      </c>
      <c r="F428" s="59" t="inlineStr">
        <is>
          <t>8 giờ trước</t>
        </is>
      </c>
      <c r="G428" s="61" t="n">
        <v>0.33</v>
      </c>
      <c r="H428" s="62" t="n">
        <v>32</v>
      </c>
      <c r="I428" s="9" t="inlineStr">
        <is>
          <t>Pet Owner / Cộng đồng nuôi cún (10đ)</t>
        </is>
      </c>
      <c r="J428" s="62" t="n">
        <v>10</v>
      </c>
      <c r="K428" s="9" t="inlineStr">
        <is>
          <t>Chưa rõ giống (Cần quét Bio)</t>
        </is>
      </c>
      <c r="L428" s="62" t="n">
        <v>0</v>
      </c>
      <c r="M428" s="62" t="n">
        <v>0</v>
      </c>
      <c r="N428" s="9" t="inlineStr">
        <is>
          <t>Amazon link not found</t>
        </is>
      </c>
      <c r="O428" s="62">
        <f>IF(N428="Selling pet toys + Artificial grass/Pet toilets (TARGET)",15,IF(N428="Selling artificial grass/pet toilets (TARGET)",10,IF(N428="Selling pet toys",7,IF(N428="There's an Amazon link, but no target sales.",3,0))))</f>
        <v/>
      </c>
      <c r="P428" s="67">
        <f>H428+J428+L428+M428+O428</f>
        <v/>
      </c>
      <c r="Q428" s="70" t="inlineStr">
        <is>
          <t>Excluded: Công ty Gen DNA &amp; Thú y (Mục 5.4)</t>
        </is>
      </c>
      <c r="R428" s="9" t="inlineStr">
        <is>
          <t>Khay vệ sinh chung cư (Indoor Potty) + Thảm cỏ ban công (Grass Patch) + Đồ chơi</t>
        </is>
      </c>
      <c r="S428" s="9" t="inlineStr">
        <is>
          <t>Tuyệt đối không đưa vào CRM (Vi phạm Bộ lọc Âm tính Mục 5)</t>
        </is>
      </c>
    </row>
    <row r="429">
      <c r="A429" s="53" t="n">
        <v>406</v>
      </c>
      <c r="B429" s="12" t="inlineStr">
        <is>
          <t>American Animal Hospital Association (AAHA)</t>
        </is>
      </c>
      <c r="C429" s="54" t="inlineStr">
        <is>
          <t>https://www.facebook.com/AAHAHealthyPet</t>
        </is>
      </c>
      <c r="D429" s="6" t="inlineStr">
        <is>
          <t>Cần quét Bio Fanpage</t>
        </is>
      </c>
      <c r="E429" s="53" t="inlineStr">
        <is>
          <t>12/10/2026 21:00:40</t>
        </is>
      </c>
      <c r="F429" s="53" t="inlineStr">
        <is>
          <t>4 giờ trước</t>
        </is>
      </c>
      <c r="G429" s="55" t="n">
        <v>0.17</v>
      </c>
      <c r="H429" s="56" t="n">
        <v>32</v>
      </c>
      <c r="I429" s="6" t="inlineStr">
        <is>
          <t>Pet Owner / Cộng đồng nuôi cún (10đ)</t>
        </is>
      </c>
      <c r="J429" s="56" t="n">
        <v>10</v>
      </c>
      <c r="K429" s="6" t="inlineStr">
        <is>
          <t>Chưa rõ giống (Cần quét Bio)</t>
        </is>
      </c>
      <c r="L429" s="56" t="n">
        <v>0</v>
      </c>
      <c r="M429" s="56" t="n">
        <v>0</v>
      </c>
      <c r="N429" s="6" t="inlineStr">
        <is>
          <t>Amazon link not found</t>
        </is>
      </c>
      <c r="O429" s="56">
        <f>IF(N429="Selling pet toys + Artificial grass/Pet toilets (TARGET)",15,IF(N429="Selling artificial grass/pet toilets (TARGET)",10,IF(N429="Selling pet toys",7,IF(N429="There's an Amazon link, but no target sales.",3,0))))</f>
        <v/>
      </c>
      <c r="P429" s="65">
        <f>H429+J429+L429+M429+O429</f>
        <v/>
      </c>
      <c r="Q429" s="71" t="inlineStr">
        <is>
          <t>Excluded: Công ty Gen DNA &amp; Thú y (Mục 5.4)</t>
        </is>
      </c>
      <c r="R429" s="6" t="inlineStr">
        <is>
          <t>Khay vệ sinh chung cư (Indoor Potty) + Thảm cỏ ban công (Grass Patch) + Đồ chơi</t>
        </is>
      </c>
      <c r="S429" s="6" t="inlineStr">
        <is>
          <t>Tuyệt đối không đưa vào CRM (Vi phạm Bộ lọc Âm tính Mục 5)</t>
        </is>
      </c>
    </row>
    <row r="430">
      <c r="A430" s="59" t="n">
        <v>2548</v>
      </c>
      <c r="B430" s="15" t="inlineStr">
        <is>
          <t>PetSmart (Kelowna, BC, Canada)</t>
        </is>
      </c>
      <c r="C430" s="60" t="inlineStr">
        <is>
          <t>https://www.facebook.com/PetSmartKelownaBC</t>
        </is>
      </c>
      <c r="D430" s="9" t="inlineStr">
        <is>
          <t>Cần quét Bio Fanpage</t>
        </is>
      </c>
      <c r="E430" s="59" t="inlineStr">
        <is>
          <t>12/10/2026 21:00:00</t>
        </is>
      </c>
      <c r="F430" s="59" t="inlineStr">
        <is>
          <t>8 giờ trước</t>
        </is>
      </c>
      <c r="G430" s="61" t="n">
        <v>0.33</v>
      </c>
      <c r="H430" s="62" t="n">
        <v>32</v>
      </c>
      <c r="I430" s="9" t="inlineStr">
        <is>
          <t>Pet Owner / Cộng đồng nuôi cún (10đ)</t>
        </is>
      </c>
      <c r="J430" s="62" t="n">
        <v>10</v>
      </c>
      <c r="K430" s="9" t="inlineStr">
        <is>
          <t>Chưa rõ giống (Cần quét Bio)</t>
        </is>
      </c>
      <c r="L430" s="62" t="n">
        <v>0</v>
      </c>
      <c r="M430" s="62" t="n">
        <v>0</v>
      </c>
      <c r="N430" s="9" t="inlineStr">
        <is>
          <t>Amazon link not found</t>
        </is>
      </c>
      <c r="O430" s="62">
        <f>IF(N430="Selling pet toys + Artificial grass/Pet toilets (TARGET)",15,IF(N430="Selling artificial grass/pet toilets (TARGET)",10,IF(N430="Selling pet toys",7,IF(N430="There's an Amazon link, but no target sales.",3,0))))</f>
        <v/>
      </c>
      <c r="P430" s="67">
        <f>H430+J430+L430+M430+O430</f>
        <v/>
      </c>
      <c r="Q430" s="70" t="inlineStr">
        <is>
          <t>Excluded: Chuỗi Siêu thị Bán lẻ Lớn (Mục 5.2)</t>
        </is>
      </c>
      <c r="R430" s="9" t="inlineStr">
        <is>
          <t>Khay vệ sinh chung cư (Indoor Potty) + Thảm cỏ ban công (Grass Patch) + Đồ chơi</t>
        </is>
      </c>
      <c r="S430" s="9" t="inlineStr">
        <is>
          <t>Tuyệt đối không đưa vào CRM (Vi phạm Bộ lọc Âm tính Mục 5)</t>
        </is>
      </c>
    </row>
    <row r="431">
      <c r="A431" s="53" t="n">
        <v>2932</v>
      </c>
      <c r="B431" s="12" t="inlineStr">
        <is>
          <t>Solution Nutrition Animale</t>
        </is>
      </c>
      <c r="C431" s="54" t="inlineStr">
        <is>
          <t>https://www.facebook.com/Solutionnutritionanimale</t>
        </is>
      </c>
      <c r="D431" s="6" t="inlineStr">
        <is>
          <t>Cần quét Bio Fanpage</t>
        </is>
      </c>
      <c r="E431" s="53" t="inlineStr">
        <is>
          <t>12/10/2026 20:56:56</t>
        </is>
      </c>
      <c r="F431" s="53" t="inlineStr">
        <is>
          <t>9 giờ trước</t>
        </is>
      </c>
      <c r="G431" s="55" t="n">
        <v>0.38</v>
      </c>
      <c r="H431" s="56" t="n">
        <v>32</v>
      </c>
      <c r="I431" s="6" t="inlineStr">
        <is>
          <t>Pet Owner / Cộng đồng nuôi cún (10đ)</t>
        </is>
      </c>
      <c r="J431" s="56" t="n">
        <v>10</v>
      </c>
      <c r="K431" s="6" t="inlineStr">
        <is>
          <t>Chưa rõ giống (Cần quét Bio)</t>
        </is>
      </c>
      <c r="L431" s="56" t="n">
        <v>0</v>
      </c>
      <c r="M431" s="56" t="n">
        <v>0</v>
      </c>
      <c r="N431" s="6" t="inlineStr">
        <is>
          <t>Amazon link not found</t>
        </is>
      </c>
      <c r="O431" s="56">
        <f>IF(N431="Selling pet toys + Artificial grass/Pet toilets (TARGET)",15,IF(N431="Selling artificial grass/pet toilets (TARGET)",10,IF(N431="Selling pet toys",7,IF(N431="There's an Amazon link, but no target sales.",3,0))))</f>
        <v/>
      </c>
      <c r="P431" s="65">
        <f>H431+J431+L431+M431+O431</f>
        <v/>
      </c>
      <c r="Q431" s="71" t="inlineStr">
        <is>
          <t>Excluded: Trang Chung / Không rõ Ngách Cún cưng</t>
        </is>
      </c>
      <c r="R431" s="6" t="inlineStr">
        <is>
          <t>Khay vệ sinh chung cư (Indoor Potty) + Thảm cỏ ban công (Grass Patch) + Đồ chơi</t>
        </is>
      </c>
      <c r="S431" s="6" t="inlineStr">
        <is>
          <t>Tuyệt đối không đưa vào CRM (Vi phạm Bộ lọc Âm tính Mục 5)</t>
        </is>
      </c>
    </row>
    <row r="432">
      <c r="A432" s="59" t="n">
        <v>444</v>
      </c>
      <c r="B432" s="15" t="inlineStr">
        <is>
          <t>AnimalAidUnlimited</t>
        </is>
      </c>
      <c r="C432" s="60" t="inlineStr">
        <is>
          <t>https://www.facebook.com/AnimalAidUnlimited</t>
        </is>
      </c>
      <c r="D432" s="9" t="inlineStr">
        <is>
          <t>Cần quét Bio Fanpage</t>
        </is>
      </c>
      <c r="E432" s="59" t="inlineStr">
        <is>
          <t>12/10/2026 20:33:10</t>
        </is>
      </c>
      <c r="F432" s="59" t="inlineStr">
        <is>
          <t>5 giờ trước</t>
        </is>
      </c>
      <c r="G432" s="61" t="n">
        <v>0.21</v>
      </c>
      <c r="H432" s="62" t="n">
        <v>32</v>
      </c>
      <c r="I432" s="9" t="inlineStr">
        <is>
          <t>Pet Owner / Cộng đồng nuôi cún (10đ)</t>
        </is>
      </c>
      <c r="J432" s="62" t="n">
        <v>10</v>
      </c>
      <c r="K432" s="9" t="inlineStr">
        <is>
          <t>Chưa rõ giống (Cần quét Bio)</t>
        </is>
      </c>
      <c r="L432" s="62" t="n">
        <v>0</v>
      </c>
      <c r="M432" s="62" t="n">
        <v>0</v>
      </c>
      <c r="N432" s="9" t="inlineStr">
        <is>
          <t>Amazon link not found</t>
        </is>
      </c>
      <c r="O432" s="62">
        <f>IF(N432="Selling pet toys + Artificial grass/Pet toilets (TARGET)",15,IF(N432="Selling artificial grass/pet toilets (TARGET)",10,IF(N432="Selling pet toys",7,IF(N432="There's an Amazon link, but no target sales.",3,0))))</f>
        <v/>
      </c>
      <c r="P432" s="67">
        <f>H432+J432+L432+M432+O432</f>
        <v/>
      </c>
      <c r="Q432" s="70" t="inlineStr">
        <is>
          <t>Excluded: Trang Chung / Không rõ Ngách Cún cưng</t>
        </is>
      </c>
      <c r="R432" s="9" t="inlineStr">
        <is>
          <t>Khay vệ sinh chung cư (Indoor Potty) + Thảm cỏ ban công (Grass Patch) + Đồ chơi</t>
        </is>
      </c>
      <c r="S432" s="9" t="inlineStr">
        <is>
          <t>Tuyệt đối không đưa vào CRM (Vi phạm Bộ lọc Âm tính Mục 5)</t>
        </is>
      </c>
    </row>
    <row r="433">
      <c r="A433" s="53" t="n">
        <v>3118</v>
      </c>
      <c r="B433" s="12" t="inlineStr">
        <is>
          <t>The Farmhouse Chic Home</t>
        </is>
      </c>
      <c r="C433" s="54" t="inlineStr">
        <is>
          <t>https://www.facebook.com/Farmhousechictables</t>
        </is>
      </c>
      <c r="D433" s="6" t="inlineStr">
        <is>
          <t>Cần quét Bio Fanpage</t>
        </is>
      </c>
      <c r="E433" s="53" t="inlineStr">
        <is>
          <t>12/10/2026 20:29:57</t>
        </is>
      </c>
      <c r="F433" s="53" t="inlineStr">
        <is>
          <t>10 giờ trước</t>
        </is>
      </c>
      <c r="G433" s="55" t="n">
        <v>0.42</v>
      </c>
      <c r="H433" s="56" t="n">
        <v>32</v>
      </c>
      <c r="I433" s="6" t="inlineStr">
        <is>
          <t>Pet Owner / Cộng đồng nuôi cún (10đ)</t>
        </is>
      </c>
      <c r="J433" s="56" t="n">
        <v>10</v>
      </c>
      <c r="K433" s="6" t="inlineStr">
        <is>
          <t>Chưa rõ giống (Cần quét Bio)</t>
        </is>
      </c>
      <c r="L433" s="56" t="n">
        <v>0</v>
      </c>
      <c r="M433" s="56" t="n">
        <v>0</v>
      </c>
      <c r="N433" s="6" t="inlineStr">
        <is>
          <t>Amazon link not found</t>
        </is>
      </c>
      <c r="O433" s="56">
        <f>IF(N433="Selling pet toys + Artificial grass/Pet toilets (TARGET)",15,IF(N433="Selling artificial grass/pet toilets (TARGET)",10,IF(N433="Selling pet toys",7,IF(N433="There's an Amazon link, but no target sales.",3,0))))</f>
        <v/>
      </c>
      <c r="P433" s="65">
        <f>H433+J433+L433+M433+O433</f>
        <v/>
      </c>
      <c r="Q433" s="71" t="inlineStr">
        <is>
          <t>Excluded: Trang Chung / Không rõ Ngách Cún cưng</t>
        </is>
      </c>
      <c r="R433" s="6" t="inlineStr">
        <is>
          <t>Khay vệ sinh chung cư (Indoor Potty) + Thảm cỏ ban công (Grass Patch) + Đồ chơi</t>
        </is>
      </c>
      <c r="S433" s="6" t="inlineStr">
        <is>
          <t>Tuyệt đối không đưa vào CRM (Vi phạm Bộ lọc Âm tính Mục 5)</t>
        </is>
      </c>
    </row>
    <row r="434">
      <c r="A434" s="59" t="n">
        <v>100</v>
      </c>
      <c r="B434" s="15" t="inlineStr">
        <is>
          <t>animaltalesbywaggle</t>
        </is>
      </c>
      <c r="C434" s="60" t="inlineStr">
        <is>
          <t>https://www.facebook.com/animaltalesbywaggle</t>
        </is>
      </c>
      <c r="D434" s="9" t="inlineStr">
        <is>
          <t>Cần quét Bio Fanpage</t>
        </is>
      </c>
      <c r="E434" s="59" t="inlineStr">
        <is>
          <t>12/10/2026 20:29:52</t>
        </is>
      </c>
      <c r="F434" s="59" t="inlineStr">
        <is>
          <t>4 giờ trước</t>
        </is>
      </c>
      <c r="G434" s="61" t="n">
        <v>0.17</v>
      </c>
      <c r="H434" s="62" t="n">
        <v>32</v>
      </c>
      <c r="I434" s="9" t="inlineStr">
        <is>
          <t>Pet Owner / Kênh cá nhân thú cưng (10đ)</t>
        </is>
      </c>
      <c r="J434" s="62" t="n">
        <v>10</v>
      </c>
      <c r="K434" s="9" t="inlineStr">
        <is>
          <t>Chưa rõ giống (Cần quét Bio)</t>
        </is>
      </c>
      <c r="L434" s="62" t="n">
        <v>0</v>
      </c>
      <c r="M434" s="62" t="n">
        <v>0</v>
      </c>
      <c r="N434" s="9" t="inlineStr">
        <is>
          <t>Amazon link not found</t>
        </is>
      </c>
      <c r="O434" s="62">
        <f>IF(N434="Selling pet toys + Artificial grass/Pet toilets (TARGET)",15,IF(N434="Selling artificial grass/pet toilets (TARGET)",10,IF(N434="Selling pet toys",7,IF(N434="There's an Amazon link, but no target sales.",3,0))))</f>
        <v/>
      </c>
      <c r="P434" s="67">
        <f>H434+J434+L434+M434+O434</f>
        <v/>
      </c>
      <c r="Q434" s="70" t="inlineStr">
        <is>
          <t>Excluded: Trang Chung / Không rõ Ngách Cún cưng</t>
        </is>
      </c>
      <c r="R434" s="9" t="inlineStr">
        <is>
          <t>Khay vệ sinh trong nhà (Indoor Dog Potty) + Đồ chơi thú cưng lẻ</t>
        </is>
      </c>
      <c r="S434" s="9" t="inlineStr">
        <is>
          <t>Tuyệt đối không đưa vào CRM (Vi phạm Bộ lọc Âm tính Mục 5)</t>
        </is>
      </c>
    </row>
    <row r="435">
      <c r="A435" s="53" t="n">
        <v>1341</v>
      </c>
      <c r="B435" s="12" t="inlineStr">
        <is>
          <t>Farmer Froberg</t>
        </is>
      </c>
      <c r="C435" s="54" t="inlineStr">
        <is>
          <t>https://www.facebook.com/profile.php?id=100070159218126</t>
        </is>
      </c>
      <c r="D435" s="6" t="inlineStr">
        <is>
          <t>Cần quét Bio Fanpage</t>
        </is>
      </c>
      <c r="E435" s="53" t="inlineStr">
        <is>
          <t>12/10/2026 20:22:59</t>
        </is>
      </c>
      <c r="F435" s="53" t="inlineStr">
        <is>
          <t>6 giờ trước</t>
        </is>
      </c>
      <c r="G435" s="55" t="n">
        <v>0.25</v>
      </c>
      <c r="H435" s="56" t="n">
        <v>32</v>
      </c>
      <c r="I435" s="6" t="inlineStr">
        <is>
          <t>Pet Owner / Cộng đồng nuôi cún (10đ)</t>
        </is>
      </c>
      <c r="J435" s="56" t="n">
        <v>10</v>
      </c>
      <c r="K435" s="6" t="inlineStr">
        <is>
          <t>Chưa rõ giống (Cần quét Bio)</t>
        </is>
      </c>
      <c r="L435" s="56" t="n">
        <v>0</v>
      </c>
      <c r="M435" s="56" t="n">
        <v>0</v>
      </c>
      <c r="N435" s="6" t="inlineStr">
        <is>
          <t>Amazon link not found</t>
        </is>
      </c>
      <c r="O435" s="56">
        <f>IF(N435="Selling pet toys + Artificial grass/Pet toilets (TARGET)",15,IF(N435="Selling artificial grass/pet toilets (TARGET)",10,IF(N435="Selling pet toys",7,IF(N435="There's an Amazon link, but no target sales.",3,0))))</f>
        <v/>
      </c>
      <c r="P435" s="65">
        <f>H435+J435+L435+M435+O435</f>
        <v/>
      </c>
      <c r="Q435" s="71" t="inlineStr">
        <is>
          <t>Excluded: Trang Chung / Không rõ Ngách Cún cưng</t>
        </is>
      </c>
      <c r="R435" s="6" t="inlineStr">
        <is>
          <t>Khay vệ sinh chung cư (Indoor Potty) + Thảm cỏ ban công (Grass Patch) + Đồ chơi</t>
        </is>
      </c>
      <c r="S435" s="6" t="inlineStr">
        <is>
          <t>Tuyệt đối không đưa vào CRM (Vi phạm Bộ lọc Âm tính Mục 5)</t>
        </is>
      </c>
    </row>
    <row r="436">
      <c r="A436" s="59" t="n">
        <v>124</v>
      </c>
      <c r="B436" s="15" t="inlineStr">
        <is>
          <t>Facebook User</t>
        </is>
      </c>
      <c r="C436" s="60" t="inlineStr">
        <is>
          <t>https://www.facebook.com/profile.php?id=100092528859480</t>
        </is>
      </c>
      <c r="D436" s="9" t="inlineStr">
        <is>
          <t>Cần quét Bio Fanpage</t>
        </is>
      </c>
      <c r="E436" s="59" t="inlineStr">
        <is>
          <t>12/10/2026 20:20:32</t>
        </is>
      </c>
      <c r="F436" s="59" t="inlineStr">
        <is>
          <t>4 giờ trước</t>
        </is>
      </c>
      <c r="G436" s="61" t="n">
        <v>0.17</v>
      </c>
      <c r="H436" s="62" t="n">
        <v>32</v>
      </c>
      <c r="I436" s="9" t="inlineStr">
        <is>
          <t>Pet Owner / Cộng đồng nuôi cún (10đ)</t>
        </is>
      </c>
      <c r="J436" s="62" t="n">
        <v>10</v>
      </c>
      <c r="K436" s="9" t="inlineStr">
        <is>
          <t>Chưa rõ giống (Cần quét Bio)</t>
        </is>
      </c>
      <c r="L436" s="62" t="n">
        <v>0</v>
      </c>
      <c r="M436" s="62" t="n">
        <v>0</v>
      </c>
      <c r="N436" s="9" t="inlineStr">
        <is>
          <t>Amazon link not found</t>
        </is>
      </c>
      <c r="O436" s="62">
        <f>IF(N436="Selling pet toys + Artificial grass/Pet toilets (TARGET)",15,IF(N436="Selling artificial grass/pet toilets (TARGET)",10,IF(N436="Selling pet toys",7,IF(N436="There's an Amazon link, but no target sales.",3,0))))</f>
        <v/>
      </c>
      <c r="P436" s="67">
        <f>H436+J436+L436+M436+O436</f>
        <v/>
      </c>
      <c r="Q436" s="70" t="inlineStr">
        <is>
          <t>Excluded: Hồ sơ Ẩn danh (Facebook User)</t>
        </is>
      </c>
      <c r="R436" s="9" t="inlineStr">
        <is>
          <t>Khay vệ sinh chung cư (Indoor Potty) + Thảm cỏ ban công (Grass Patch) + Đồ chơi</t>
        </is>
      </c>
      <c r="S436" s="9" t="inlineStr">
        <is>
          <t>Tuyệt đối không đưa vào CRM (Vi phạm Bộ lọc Âm tính Mục 5)</t>
        </is>
      </c>
    </row>
    <row r="437">
      <c r="A437" s="53" t="n">
        <v>2639</v>
      </c>
      <c r="B437" s="12" t="inlineStr">
        <is>
          <t>Protectora Animales USKAR</t>
        </is>
      </c>
      <c r="C437" s="54" t="inlineStr">
        <is>
          <t>https://www.facebook.com/protectoraUSKAR</t>
        </is>
      </c>
      <c r="D437" s="6" t="inlineStr">
        <is>
          <t>Cần quét Bio Fanpage</t>
        </is>
      </c>
      <c r="E437" s="53" t="inlineStr">
        <is>
          <t>12/10/2026 20:19:03</t>
        </is>
      </c>
      <c r="F437" s="53" t="inlineStr">
        <is>
          <t>9 giờ trước</t>
        </is>
      </c>
      <c r="G437" s="55" t="n">
        <v>0.38</v>
      </c>
      <c r="H437" s="56" t="n">
        <v>32</v>
      </c>
      <c r="I437" s="6" t="inlineStr">
        <is>
          <t>Pet Owner / Cộng đồng nuôi cún (10đ)</t>
        </is>
      </c>
      <c r="J437" s="56" t="n">
        <v>10</v>
      </c>
      <c r="K437" s="6" t="inlineStr">
        <is>
          <t>Chưa rõ giống (Cần quét Bio)</t>
        </is>
      </c>
      <c r="L437" s="56" t="n">
        <v>0</v>
      </c>
      <c r="M437" s="56" t="n">
        <v>0</v>
      </c>
      <c r="N437" s="6" t="inlineStr">
        <is>
          <t>Amazon link not found</t>
        </is>
      </c>
      <c r="O437" s="56">
        <f>IF(N437="Selling pet toys + Artificial grass/Pet toilets (TARGET)",15,IF(N437="Selling artificial grass/pet toilets (TARGET)",10,IF(N437="Selling pet toys",7,IF(N437="There's an Amazon link, but no target sales.",3,0))))</f>
        <v/>
      </c>
      <c r="P437" s="65">
        <f>H437+J437+L437+M437+O437</f>
        <v/>
      </c>
      <c r="Q437" s="71" t="inlineStr">
        <is>
          <t>Excluded: Trang Chung / Không rõ Ngách Cún cưng</t>
        </is>
      </c>
      <c r="R437" s="6" t="inlineStr">
        <is>
          <t>Khay vệ sinh chung cư (Indoor Potty) + Thảm cỏ ban công (Grass Patch) + Đồ chơi</t>
        </is>
      </c>
      <c r="S437" s="6" t="inlineStr">
        <is>
          <t>Tuyệt đối không đưa vào CRM (Vi phạm Bộ lọc Âm tính Mục 5)</t>
        </is>
      </c>
    </row>
    <row r="438">
      <c r="A438" s="59" t="n">
        <v>286</v>
      </c>
      <c r="B438" s="15" t="inlineStr">
        <is>
          <t>Facebook User</t>
        </is>
      </c>
      <c r="C438" s="60" t="inlineStr">
        <is>
          <t>https://www.facebook.com/profile.php?id=61551125551932</t>
        </is>
      </c>
      <c r="D438" s="9" t="inlineStr">
        <is>
          <t>Cần quét Bio Fanpage</t>
        </is>
      </c>
      <c r="E438" s="59" t="inlineStr">
        <is>
          <t>12/10/2026 20:10:06</t>
        </is>
      </c>
      <c r="F438" s="59" t="inlineStr">
        <is>
          <t>5 giờ trước</t>
        </is>
      </c>
      <c r="G438" s="61" t="n">
        <v>0.21</v>
      </c>
      <c r="H438" s="62" t="n">
        <v>32</v>
      </c>
      <c r="I438" s="9" t="inlineStr">
        <is>
          <t>Pet Owner / Cộng đồng nuôi cún (10đ)</t>
        </is>
      </c>
      <c r="J438" s="62" t="n">
        <v>10</v>
      </c>
      <c r="K438" s="9" t="inlineStr">
        <is>
          <t>Chưa rõ giống (Cần quét Bio)</t>
        </is>
      </c>
      <c r="L438" s="62" t="n">
        <v>0</v>
      </c>
      <c r="M438" s="62" t="n">
        <v>0</v>
      </c>
      <c r="N438" s="9" t="inlineStr">
        <is>
          <t>Amazon link not found</t>
        </is>
      </c>
      <c r="O438" s="62">
        <f>IF(N438="Selling pet toys + Artificial grass/Pet toilets (TARGET)",15,IF(N438="Selling artificial grass/pet toilets (TARGET)",10,IF(N438="Selling pet toys",7,IF(N438="There's an Amazon link, but no target sales.",3,0))))</f>
        <v/>
      </c>
      <c r="P438" s="67">
        <f>H438+J438+L438+M438+O438</f>
        <v/>
      </c>
      <c r="Q438" s="70" t="inlineStr">
        <is>
          <t>Excluded: Hồ sơ Ẩn danh (Facebook User)</t>
        </is>
      </c>
      <c r="R438" s="9" t="inlineStr">
        <is>
          <t>Khay vệ sinh chung cư (Indoor Potty) + Thảm cỏ ban công (Grass Patch) + Đồ chơi</t>
        </is>
      </c>
      <c r="S438" s="9" t="inlineStr">
        <is>
          <t>Tuyệt đối không đưa vào CRM (Vi phạm Bộ lọc Âm tính Mục 5)</t>
        </is>
      </c>
    </row>
    <row r="439">
      <c r="A439" s="53" t="n">
        <v>2063</v>
      </c>
      <c r="B439" s="12" t="inlineStr">
        <is>
          <t>MCV.LoveTV</t>
        </is>
      </c>
      <c r="C439" s="54" t="inlineStr">
        <is>
          <t>https://www.facebook.com/MCV.LoveTV</t>
        </is>
      </c>
      <c r="D439" s="6" t="inlineStr">
        <is>
          <t>Cần quét Bio Fanpage</t>
        </is>
      </c>
      <c r="E439" s="53" t="inlineStr">
        <is>
          <t>12/10/2026 20:02:47</t>
        </is>
      </c>
      <c r="F439" s="53" t="inlineStr">
        <is>
          <t>8 giờ trước</t>
        </is>
      </c>
      <c r="G439" s="55" t="n">
        <v>0.33</v>
      </c>
      <c r="H439" s="56" t="n">
        <v>32</v>
      </c>
      <c r="I439" s="6" t="inlineStr">
        <is>
          <t>Pet Owner / Cộng đồng nuôi cún (10đ)</t>
        </is>
      </c>
      <c r="J439" s="56" t="n">
        <v>10</v>
      </c>
      <c r="K439" s="6" t="inlineStr">
        <is>
          <t>Chưa rõ giống (Cần quét Bio)</t>
        </is>
      </c>
      <c r="L439" s="56" t="n">
        <v>0</v>
      </c>
      <c r="M439" s="56" t="n">
        <v>0</v>
      </c>
      <c r="N439" s="6" t="inlineStr">
        <is>
          <t>Amazon link not found</t>
        </is>
      </c>
      <c r="O439" s="56">
        <f>IF(N439="Selling pet toys + Artificial grass/Pet toilets (TARGET)",15,IF(N439="Selling artificial grass/pet toilets (TARGET)",10,IF(N439="Selling pet toys",7,IF(N439="There's an Amazon link, but no target sales.",3,0))))</f>
        <v/>
      </c>
      <c r="P439" s="65">
        <f>H439+J439+L439+M439+O439</f>
        <v/>
      </c>
      <c r="Q439" s="71" t="inlineStr">
        <is>
          <t>Excluded: Trang Chung / Không rõ Ngách Cún cưng</t>
        </is>
      </c>
      <c r="R439" s="6" t="inlineStr">
        <is>
          <t>Khay vệ sinh chung cư (Indoor Potty) + Thảm cỏ ban công (Grass Patch) + Đồ chơi</t>
        </is>
      </c>
      <c r="S439" s="6" t="inlineStr">
        <is>
          <t>Tuyệt đối không đưa vào CRM (Vi phạm Bộ lọc Âm tính Mục 5)</t>
        </is>
      </c>
    </row>
    <row r="440">
      <c r="A440" s="59" t="n">
        <v>832</v>
      </c>
      <c r="B440" s="15" t="inlineStr">
        <is>
          <t>Capital Care Plumbing</t>
        </is>
      </c>
      <c r="C440" s="60" t="inlineStr">
        <is>
          <t>https://www.facebook.com/CapitalCarePlumbing</t>
        </is>
      </c>
      <c r="D440" s="9" t="inlineStr">
        <is>
          <t>Cần quét Bio Fanpage</t>
        </is>
      </c>
      <c r="E440" s="59" t="inlineStr">
        <is>
          <t>12/10/2026 20:02:43</t>
        </is>
      </c>
      <c r="F440" s="59" t="inlineStr">
        <is>
          <t>6 giờ trước</t>
        </is>
      </c>
      <c r="G440" s="61" t="n">
        <v>0.25</v>
      </c>
      <c r="H440" s="62" t="n">
        <v>32</v>
      </c>
      <c r="I440" s="9" t="inlineStr">
        <is>
          <t>Pet Owner / Cộng đồng nuôi cún (10đ)</t>
        </is>
      </c>
      <c r="J440" s="62" t="n">
        <v>10</v>
      </c>
      <c r="K440" s="9" t="inlineStr">
        <is>
          <t>Chưa rõ giống (Cần quét Bio)</t>
        </is>
      </c>
      <c r="L440" s="62" t="n">
        <v>0</v>
      </c>
      <c r="M440" s="62" t="n">
        <v>0</v>
      </c>
      <c r="N440" s="9" t="inlineStr">
        <is>
          <t>Amazon link not found</t>
        </is>
      </c>
      <c r="O440" s="62">
        <f>IF(N440="Selling pet toys + Artificial grass/Pet toilets (TARGET)",15,IF(N440="Selling artificial grass/pet toilets (TARGET)",10,IF(N440="Selling pet toys",7,IF(N440="There's an Amazon link, but no target sales.",3,0))))</f>
        <v/>
      </c>
      <c r="P440" s="67">
        <f>H440+J440+L440+M440+O440</f>
        <v/>
      </c>
      <c r="Q440" s="70" t="inlineStr">
        <is>
          <t>Excluded: Trang Chung / Không rõ Ngách Cún cưng</t>
        </is>
      </c>
      <c r="R440" s="9" t="inlineStr">
        <is>
          <t>Khay vệ sinh chung cư (Indoor Potty) + Thảm cỏ ban công (Grass Patch) + Đồ chơi</t>
        </is>
      </c>
      <c r="S440" s="9" t="inlineStr">
        <is>
          <t>Tuyệt đối không đưa vào CRM (Vi phạm Bộ lọc Âm tính Mục 5)</t>
        </is>
      </c>
    </row>
    <row r="441">
      <c r="A441" s="53" t="n">
        <v>1793</v>
      </c>
      <c r="B441" s="12" t="inlineStr">
        <is>
          <t>Juno Veterinary</t>
        </is>
      </c>
      <c r="C441" s="54" t="inlineStr">
        <is>
          <t>https://www.facebook.com/junovet</t>
        </is>
      </c>
      <c r="D441" s="6" t="inlineStr">
        <is>
          <t>Cần quét Bio Fanpage</t>
        </is>
      </c>
      <c r="E441" s="53" t="inlineStr">
        <is>
          <t>12/10/2026 20:01:29</t>
        </is>
      </c>
      <c r="F441" s="53" t="inlineStr">
        <is>
          <t>8 giờ trước</t>
        </is>
      </c>
      <c r="G441" s="55" t="n">
        <v>0.33</v>
      </c>
      <c r="H441" s="56" t="n">
        <v>32</v>
      </c>
      <c r="I441" s="6" t="inlineStr">
        <is>
          <t>Pet Owner / Cộng đồng nuôi cún (10đ)</t>
        </is>
      </c>
      <c r="J441" s="56" t="n">
        <v>10</v>
      </c>
      <c r="K441" s="6" t="inlineStr">
        <is>
          <t>Chưa rõ giống (Cần quét Bio)</t>
        </is>
      </c>
      <c r="L441" s="56" t="n">
        <v>0</v>
      </c>
      <c r="M441" s="56" t="n">
        <v>0</v>
      </c>
      <c r="N441" s="6" t="inlineStr">
        <is>
          <t>Amazon link not found</t>
        </is>
      </c>
      <c r="O441" s="56">
        <f>IF(N441="Selling pet toys + Artificial grass/Pet toilets (TARGET)",15,IF(N441="Selling artificial grass/pet toilets (TARGET)",10,IF(N441="Selling pet toys",7,IF(N441="There's an Amazon link, but no target sales.",3,0))))</f>
        <v/>
      </c>
      <c r="P441" s="65">
        <f>H441+J441+L441+M441+O441</f>
        <v/>
      </c>
      <c r="Q441" s="71" t="inlineStr">
        <is>
          <t>Excluded: Công ty Gen DNA &amp; Thú y (Mục 5.4)</t>
        </is>
      </c>
      <c r="R441" s="6" t="inlineStr">
        <is>
          <t>Khay vệ sinh chung cư (Indoor Potty) + Thảm cỏ ban công (Grass Patch) + Đồ chơi</t>
        </is>
      </c>
      <c r="S441" s="6" t="inlineStr">
        <is>
          <t>Tuyệt đối không đưa vào CRM (Vi phạm Bộ lọc Âm tính Mục 5)</t>
        </is>
      </c>
    </row>
    <row r="442">
      <c r="A442" s="59" t="n">
        <v>1781</v>
      </c>
      <c r="B442" s="15" t="inlineStr">
        <is>
          <t>avmajournals</t>
        </is>
      </c>
      <c r="C442" s="60" t="inlineStr">
        <is>
          <t>https://www.facebook.com/avmajournals</t>
        </is>
      </c>
      <c r="D442" s="9" t="inlineStr">
        <is>
          <t>Cần quét Bio Fanpage</t>
        </is>
      </c>
      <c r="E442" s="59" t="inlineStr">
        <is>
          <t>12/10/2026 20:00:49</t>
        </is>
      </c>
      <c r="F442" s="59" t="inlineStr">
        <is>
          <t>8 giờ trước</t>
        </is>
      </c>
      <c r="G442" s="61" t="n">
        <v>0.33</v>
      </c>
      <c r="H442" s="62" t="n">
        <v>32</v>
      </c>
      <c r="I442" s="9" t="inlineStr">
        <is>
          <t>Pet Owner / Cộng đồng nuôi cún (10đ)</t>
        </is>
      </c>
      <c r="J442" s="62" t="n">
        <v>10</v>
      </c>
      <c r="K442" s="9" t="inlineStr">
        <is>
          <t>Chưa rõ giống (Cần quét Bio)</t>
        </is>
      </c>
      <c r="L442" s="62" t="n">
        <v>0</v>
      </c>
      <c r="M442" s="62" t="n">
        <v>0</v>
      </c>
      <c r="N442" s="9" t="inlineStr">
        <is>
          <t>Amazon link not found</t>
        </is>
      </c>
      <c r="O442" s="62">
        <f>IF(N442="Selling pet toys + Artificial grass/Pet toilets (TARGET)",15,IF(N442="Selling artificial grass/pet toilets (TARGET)",10,IF(N442="Selling pet toys",7,IF(N442="There's an Amazon link, but no target sales.",3,0))))</f>
        <v/>
      </c>
      <c r="P442" s="67">
        <f>H442+J442+L442+M442+O442</f>
        <v/>
      </c>
      <c r="Q442" s="70" t="inlineStr">
        <is>
          <t>Excluded: Trang Chung / Không rõ Ngách Cún cưng</t>
        </is>
      </c>
      <c r="R442" s="9" t="inlineStr">
        <is>
          <t>Khay vệ sinh chung cư (Indoor Potty) + Thảm cỏ ban công (Grass Patch) + Đồ chơi</t>
        </is>
      </c>
      <c r="S442" s="9" t="inlineStr">
        <is>
          <t>Tuyệt đối không đưa vào CRM (Vi phạm Bộ lọc Âm tính Mục 5)</t>
        </is>
      </c>
    </row>
    <row r="443">
      <c r="A443" s="53" t="n">
        <v>774</v>
      </c>
      <c r="B443" s="12" t="inlineStr">
        <is>
          <t>Bryan Road Animal Hospital</t>
        </is>
      </c>
      <c r="C443" s="54" t="inlineStr">
        <is>
          <t>https://www.facebook.com/bryanroadvets</t>
        </is>
      </c>
      <c r="D443" s="6" t="inlineStr">
        <is>
          <t>Cần quét Bio Fanpage</t>
        </is>
      </c>
      <c r="E443" s="53" t="inlineStr">
        <is>
          <t>12/10/2026 20:00:35</t>
        </is>
      </c>
      <c r="F443" s="53" t="inlineStr">
        <is>
          <t>6 giờ trước</t>
        </is>
      </c>
      <c r="G443" s="55" t="n">
        <v>0.25</v>
      </c>
      <c r="H443" s="56" t="n">
        <v>32</v>
      </c>
      <c r="I443" s="6" t="inlineStr">
        <is>
          <t>Pet Owner / Cộng đồng nuôi cún (10đ)</t>
        </is>
      </c>
      <c r="J443" s="56" t="n">
        <v>10</v>
      </c>
      <c r="K443" s="6" t="inlineStr">
        <is>
          <t>Chưa rõ giống (Cần quét Bio)</t>
        </is>
      </c>
      <c r="L443" s="56" t="n">
        <v>0</v>
      </c>
      <c r="M443" s="56" t="n">
        <v>0</v>
      </c>
      <c r="N443" s="6" t="inlineStr">
        <is>
          <t>Amazon link not found</t>
        </is>
      </c>
      <c r="O443" s="56">
        <f>IF(N443="Selling pet toys + Artificial grass/Pet toilets (TARGET)",15,IF(N443="Selling artificial grass/pet toilets (TARGET)",10,IF(N443="Selling pet toys",7,IF(N443="There's an Amazon link, but no target sales.",3,0))))</f>
        <v/>
      </c>
      <c r="P443" s="65">
        <f>H443+J443+L443+M443+O443</f>
        <v/>
      </c>
      <c r="Q443" s="71" t="inlineStr">
        <is>
          <t>Excluded: Công ty Gen DNA &amp; Thú y (Mục 5.4)</t>
        </is>
      </c>
      <c r="R443" s="6" t="inlineStr">
        <is>
          <t>Khay vệ sinh chung cư (Indoor Potty) + Thảm cỏ ban công (Grass Patch) + Đồ chơi</t>
        </is>
      </c>
      <c r="S443" s="6" t="inlineStr">
        <is>
          <t>Tuyệt đối không đưa vào CRM (Vi phạm Bộ lọc Âm tính Mục 5)</t>
        </is>
      </c>
    </row>
    <row r="444">
      <c r="A444" s="59" t="n">
        <v>2210</v>
      </c>
      <c r="B444" s="15" t="inlineStr">
        <is>
          <t>More Than Farmers</t>
        </is>
      </c>
      <c r="C444" s="60" t="inlineStr">
        <is>
          <t>https://www.facebook.com/MoreThanFarmers</t>
        </is>
      </c>
      <c r="D444" s="9" t="inlineStr">
        <is>
          <t>Cần quét Bio Fanpage</t>
        </is>
      </c>
      <c r="E444" s="59" t="inlineStr">
        <is>
          <t>12/10/2026 20:00:29</t>
        </is>
      </c>
      <c r="F444" s="59" t="inlineStr">
        <is>
          <t>8 giờ trước</t>
        </is>
      </c>
      <c r="G444" s="61" t="n">
        <v>0.33</v>
      </c>
      <c r="H444" s="62" t="n">
        <v>32</v>
      </c>
      <c r="I444" s="9" t="inlineStr">
        <is>
          <t>Pet Owner / Cộng đồng nuôi cún (10đ)</t>
        </is>
      </c>
      <c r="J444" s="62" t="n">
        <v>10</v>
      </c>
      <c r="K444" s="9" t="inlineStr">
        <is>
          <t>Chưa rõ giống (Cần quét Bio)</t>
        </is>
      </c>
      <c r="L444" s="62" t="n">
        <v>0</v>
      </c>
      <c r="M444" s="62" t="n">
        <v>0</v>
      </c>
      <c r="N444" s="9" t="inlineStr">
        <is>
          <t>Amazon link not found</t>
        </is>
      </c>
      <c r="O444" s="62">
        <f>IF(N444="Selling pet toys + Artificial grass/Pet toilets (TARGET)",15,IF(N444="Selling artificial grass/pet toilets (TARGET)",10,IF(N444="Selling pet toys",7,IF(N444="There's an Amazon link, but no target sales.",3,0))))</f>
        <v/>
      </c>
      <c r="P444" s="67">
        <f>H444+J444+L444+M444+O444</f>
        <v/>
      </c>
      <c r="Q444" s="70" t="inlineStr">
        <is>
          <t>Excluded: Trang Chung / Không rõ Ngách Cún cưng</t>
        </is>
      </c>
      <c r="R444" s="9" t="inlineStr">
        <is>
          <t>Khay vệ sinh chung cư (Indoor Potty) + Thảm cỏ ban công (Grass Patch) + Đồ chơi</t>
        </is>
      </c>
      <c r="S444" s="9" t="inlineStr">
        <is>
          <t>Tuyệt đối không đưa vào CRM (Vi phạm Bộ lọc Âm tính Mục 5)</t>
        </is>
      </c>
    </row>
    <row r="445">
      <c r="A445" s="53" t="n">
        <v>1197</v>
      </c>
      <c r="B445" s="12" t="inlineStr">
        <is>
          <t>Dogster</t>
        </is>
      </c>
      <c r="C445" s="54" t="inlineStr">
        <is>
          <t>https://www.facebook.com/dogster</t>
        </is>
      </c>
      <c r="D445" s="6" t="inlineStr">
        <is>
          <t>Cần quét Bio Fanpage</t>
        </is>
      </c>
      <c r="E445" s="53" t="inlineStr">
        <is>
          <t>12/10/2026 20:00:25</t>
        </is>
      </c>
      <c r="F445" s="53" t="inlineStr">
        <is>
          <t>7 giờ trước</t>
        </is>
      </c>
      <c r="G445" s="55" t="n">
        <v>0.29</v>
      </c>
      <c r="H445" s="56" t="n">
        <v>32</v>
      </c>
      <c r="I445" s="6" t="inlineStr">
        <is>
          <t>Pet Owner / Cộng đồng nuôi cún (10đ)</t>
        </is>
      </c>
      <c r="J445" s="56" t="n">
        <v>10</v>
      </c>
      <c r="K445" s="6" t="inlineStr">
        <is>
          <t>Chưa rõ giống (Cần quét Bio)</t>
        </is>
      </c>
      <c r="L445" s="56" t="n">
        <v>0</v>
      </c>
      <c r="M445" s="56" t="n">
        <v>0</v>
      </c>
      <c r="N445" s="6" t="inlineStr">
        <is>
          <t>Amazon link not found</t>
        </is>
      </c>
      <c r="O445" s="56">
        <f>IF(N445="Selling pet toys + Artificial grass/Pet toilets (TARGET)",15,IF(N445="Selling artificial grass/pet toilets (TARGET)",10,IF(N445="Selling pet toys",7,IF(N445="There's an Amazon link, but no target sales.",3,0))))</f>
        <v/>
      </c>
      <c r="P445" s="65">
        <f>H445+J445+L445+M445+O445</f>
        <v/>
      </c>
      <c r="Q445" s="71" t="inlineStr">
        <is>
          <t>Excluded: Kênh Tin tức, Tạp chí &amp; Giải trí (Mục 5.3)</t>
        </is>
      </c>
      <c r="R445" s="6" t="inlineStr">
        <is>
          <t>Khay vệ sinh chung cư (Indoor Potty) + Thảm cỏ ban công (Grass Patch) + Đồ chơi</t>
        </is>
      </c>
      <c r="S445" s="6" t="inlineStr">
        <is>
          <t>Tuyệt đối không đưa vào CRM (Vi phạm Bộ lọc Âm tính Mục 5)</t>
        </is>
      </c>
    </row>
    <row r="446">
      <c r="A446" s="59" t="n">
        <v>265</v>
      </c>
      <c r="B446" s="15" t="inlineStr">
        <is>
          <t>Sociedad Protectora de Animales y Plantas de Málaga</t>
        </is>
      </c>
      <c r="C446" s="60" t="inlineStr">
        <is>
          <t>https://www.facebook.com/spapma</t>
        </is>
      </c>
      <c r="D446" s="9" t="inlineStr">
        <is>
          <t>Cần quét Bio Fanpage</t>
        </is>
      </c>
      <c r="E446" s="59" t="inlineStr">
        <is>
          <t>12/10/2026 20:00:21</t>
        </is>
      </c>
      <c r="F446" s="59" t="inlineStr">
        <is>
          <t>5 giờ trước</t>
        </is>
      </c>
      <c r="G446" s="61" t="n">
        <v>0.21</v>
      </c>
      <c r="H446" s="62" t="n">
        <v>32</v>
      </c>
      <c r="I446" s="9" t="inlineStr">
        <is>
          <t>Pet Owner / Cộng đồng nuôi cún (10đ)</t>
        </is>
      </c>
      <c r="J446" s="62" t="n">
        <v>10</v>
      </c>
      <c r="K446" s="9" t="inlineStr">
        <is>
          <t>Chưa rõ giống (Cần quét Bio)</t>
        </is>
      </c>
      <c r="L446" s="62" t="n">
        <v>0</v>
      </c>
      <c r="M446" s="62" t="n">
        <v>0</v>
      </c>
      <c r="N446" s="9" t="inlineStr">
        <is>
          <t>Amazon link not found</t>
        </is>
      </c>
      <c r="O446" s="62">
        <f>IF(N446="Selling pet toys + Artificial grass/Pet toilets (TARGET)",15,IF(N446="Selling artificial grass/pet toilets (TARGET)",10,IF(N446="Selling pet toys",7,IF(N446="There's an Amazon link, but no target sales.",3,0))))</f>
        <v/>
      </c>
      <c r="P446" s="67">
        <f>H446+J446+L446+M446+O446</f>
        <v/>
      </c>
      <c r="Q446" s="70" t="inlineStr">
        <is>
          <t>Excluded: Trang Chung / Không rõ Ngách Cún cưng</t>
        </is>
      </c>
      <c r="R446" s="9" t="inlineStr">
        <is>
          <t>Khay vệ sinh chung cư (Indoor Potty) + Thảm cỏ ban công (Grass Patch) + Đồ chơi</t>
        </is>
      </c>
      <c r="S446" s="9" t="inlineStr">
        <is>
          <t>Tuyệt đối không đưa vào CRM (Vi phạm Bộ lọc Âm tính Mục 5)</t>
        </is>
      </c>
    </row>
    <row r="447">
      <c r="A447" s="53" t="n">
        <v>1</v>
      </c>
      <c r="B447" s="12" t="inlineStr">
        <is>
          <t>AmericanKennelClub</t>
        </is>
      </c>
      <c r="C447" s="54" t="inlineStr">
        <is>
          <t>https://www.facebook.com/AmericanKennelClub</t>
        </is>
      </c>
      <c r="D447" s="6" t="inlineStr">
        <is>
          <t>Cần quét Bio Fanpage</t>
        </is>
      </c>
      <c r="E447" s="53" t="inlineStr">
        <is>
          <t>12/10/2026 20:00:18</t>
        </is>
      </c>
      <c r="F447" s="53" t="inlineStr">
        <is>
          <t>4 giờ trước</t>
        </is>
      </c>
      <c r="G447" s="55" t="n">
        <v>0.17</v>
      </c>
      <c r="H447" s="56" t="n">
        <v>32</v>
      </c>
      <c r="I447" s="6" t="inlineStr">
        <is>
          <t>Pet Owner / Cộng đồng nuôi cún (10đ)</t>
        </is>
      </c>
      <c r="J447" s="56" t="n">
        <v>10</v>
      </c>
      <c r="K447" s="6" t="inlineStr">
        <is>
          <t>Chưa rõ giống (Cần quét Bio)</t>
        </is>
      </c>
      <c r="L447" s="56" t="n">
        <v>0</v>
      </c>
      <c r="M447" s="56" t="n">
        <v>0</v>
      </c>
      <c r="N447" s="6" t="inlineStr">
        <is>
          <t>Amazon link not found</t>
        </is>
      </c>
      <c r="O447" s="56">
        <f>IF(N447="Selling pet toys + Artificial grass/Pet toilets (TARGET)",15,IF(N447="Selling artificial grass/pet toilets (TARGET)",10,IF(N447="Selling pet toys",7,IF(N447="There's an Amazon link, but no target sales.",3,0))))</f>
        <v/>
      </c>
      <c r="P447" s="65">
        <f>H447+J447+L447+M447+O447</f>
        <v/>
      </c>
      <c r="Q447" s="71" t="inlineStr">
        <is>
          <t>Excluded: Hiệp hội &amp; CLB Phả hệ (Mục 5.1)</t>
        </is>
      </c>
      <c r="R447" s="6" t="inlineStr">
        <is>
          <t>Khay vệ sinh chung cư (Indoor Potty) + Thảm cỏ ban công (Grass Patch) + Đồ chơi</t>
        </is>
      </c>
      <c r="S447" s="6" t="inlineStr">
        <is>
          <t>Tuyệt đối không đưa vào CRM (Vi phạm Bộ lọc Âm tính Mục 5)</t>
        </is>
      </c>
    </row>
    <row r="448">
      <c r="A448" s="59" t="n">
        <v>1260</v>
      </c>
      <c r="B448" s="15" t="inlineStr">
        <is>
          <t>Eastern Maine Emergency Veterinary Clinic</t>
        </is>
      </c>
      <c r="C448" s="60" t="inlineStr">
        <is>
          <t>https://www.facebook.com/EMEVC</t>
        </is>
      </c>
      <c r="D448" s="9" t="inlineStr">
        <is>
          <t>Cần quét Bio Fanpage</t>
        </is>
      </c>
      <c r="E448" s="59" t="inlineStr">
        <is>
          <t>12/10/2026 19:53:01</t>
        </is>
      </c>
      <c r="F448" s="59" t="inlineStr">
        <is>
          <t>7 giờ trước</t>
        </is>
      </c>
      <c r="G448" s="61" t="n">
        <v>0.29</v>
      </c>
      <c r="H448" s="62" t="n">
        <v>32</v>
      </c>
      <c r="I448" s="9" t="inlineStr">
        <is>
          <t>Pet Owner / Cộng đồng nuôi cún (10đ)</t>
        </is>
      </c>
      <c r="J448" s="62" t="n">
        <v>10</v>
      </c>
      <c r="K448" s="9" t="inlineStr">
        <is>
          <t>Chưa rõ giống (Cần quét Bio)</t>
        </is>
      </c>
      <c r="L448" s="62" t="n">
        <v>0</v>
      </c>
      <c r="M448" s="62" t="n">
        <v>0</v>
      </c>
      <c r="N448" s="9" t="inlineStr">
        <is>
          <t>Amazon link not found</t>
        </is>
      </c>
      <c r="O448" s="62">
        <f>IF(N448="Selling pet toys + Artificial grass/Pet toilets (TARGET)",15,IF(N448="Selling artificial grass/pet toilets (TARGET)",10,IF(N448="Selling pet toys",7,IF(N448="There's an Amazon link, but no target sales.",3,0))))</f>
        <v/>
      </c>
      <c r="P448" s="67">
        <f>H448+J448+L448+M448+O448</f>
        <v/>
      </c>
      <c r="Q448" s="70" t="inlineStr">
        <is>
          <t>Excluded: Công ty Gen DNA &amp; Thú y (Mục 5.4)</t>
        </is>
      </c>
      <c r="R448" s="9" t="inlineStr">
        <is>
          <t>Khay vệ sinh chung cư (Indoor Potty) + Thảm cỏ ban công (Grass Patch) + Đồ chơi</t>
        </is>
      </c>
      <c r="S448" s="9" t="inlineStr">
        <is>
          <t>Tuyệt đối không đưa vào CRM (Vi phạm Bộ lọc Âm tính Mục 5)</t>
        </is>
      </c>
    </row>
    <row r="449">
      <c r="A449" s="53" t="n">
        <v>187</v>
      </c>
      <c r="B449" s="12" t="inlineStr">
        <is>
          <t>HOOPE Bienestar animal</t>
        </is>
      </c>
      <c r="C449" s="54" t="inlineStr">
        <is>
          <t>https://www.facebook.com/hoope.ong</t>
        </is>
      </c>
      <c r="D449" s="6" t="inlineStr">
        <is>
          <t>Cần quét Bio Fanpage</t>
        </is>
      </c>
      <c r="E449" s="53" t="inlineStr">
        <is>
          <t>12/10/2026 19:51:46</t>
        </is>
      </c>
      <c r="F449" s="53" t="inlineStr">
        <is>
          <t>5 giờ trước</t>
        </is>
      </c>
      <c r="G449" s="55" t="n">
        <v>0.21</v>
      </c>
      <c r="H449" s="56" t="n">
        <v>32</v>
      </c>
      <c r="I449" s="6" t="inlineStr">
        <is>
          <t>Pet Owner / Cộng đồng nuôi cún (10đ)</t>
        </is>
      </c>
      <c r="J449" s="56" t="n">
        <v>10</v>
      </c>
      <c r="K449" s="6" t="inlineStr">
        <is>
          <t>Chưa rõ giống (Cần quét Bio)</t>
        </is>
      </c>
      <c r="L449" s="56" t="n">
        <v>0</v>
      </c>
      <c r="M449" s="56" t="n">
        <v>0</v>
      </c>
      <c r="N449" s="6" t="inlineStr">
        <is>
          <t>Amazon link not found</t>
        </is>
      </c>
      <c r="O449" s="56">
        <f>IF(N449="Selling pet toys + Artificial grass/Pet toilets (TARGET)",15,IF(N449="Selling artificial grass/pet toilets (TARGET)",10,IF(N449="Selling pet toys",7,IF(N449="There's an Amazon link, but no target sales.",3,0))))</f>
        <v/>
      </c>
      <c r="P449" s="65">
        <f>H449+J449+L449+M449+O449</f>
        <v/>
      </c>
      <c r="Q449" s="71" t="inlineStr">
        <is>
          <t>Excluded: Trang Chung / Không rõ Ngách Cún cưng</t>
        </is>
      </c>
      <c r="R449" s="6" t="inlineStr">
        <is>
          <t>Khay vệ sinh chung cư (Indoor Potty) + Thảm cỏ ban công (Grass Patch) + Đồ chơi</t>
        </is>
      </c>
      <c r="S449" s="6" t="inlineStr">
        <is>
          <t>Tuyệt đối không đưa vào CRM (Vi phạm Bộ lọc Âm tính Mục 5)</t>
        </is>
      </c>
    </row>
    <row r="450">
      <c r="A450" s="59" t="n">
        <v>433</v>
      </c>
      <c r="B450" s="15" t="inlineStr">
        <is>
          <t>Andre The Farmer</t>
        </is>
      </c>
      <c r="C450" s="60" t="inlineStr">
        <is>
          <t>https://www.facebook.com/andrethefarmer</t>
        </is>
      </c>
      <c r="D450" s="9" t="inlineStr">
        <is>
          <t>Cần quét Bio Fanpage</t>
        </is>
      </c>
      <c r="E450" s="59" t="inlineStr">
        <is>
          <t>12/10/2026 19:39:18</t>
        </is>
      </c>
      <c r="F450" s="59" t="inlineStr">
        <is>
          <t>6 giờ trước</t>
        </is>
      </c>
      <c r="G450" s="61" t="n">
        <v>0.25</v>
      </c>
      <c r="H450" s="62" t="n">
        <v>32</v>
      </c>
      <c r="I450" s="9" t="inlineStr">
        <is>
          <t>Pet Owner / Cộng đồng nuôi cún (10đ)</t>
        </is>
      </c>
      <c r="J450" s="62" t="n">
        <v>10</v>
      </c>
      <c r="K450" s="9" t="inlineStr">
        <is>
          <t>Chưa rõ giống (Cần quét Bio)</t>
        </is>
      </c>
      <c r="L450" s="62" t="n">
        <v>0</v>
      </c>
      <c r="M450" s="62" t="n">
        <v>0</v>
      </c>
      <c r="N450" s="9" t="inlineStr">
        <is>
          <t>Amazon link not found</t>
        </is>
      </c>
      <c r="O450" s="62">
        <f>IF(N450="Selling pet toys + Artificial grass/Pet toilets (TARGET)",15,IF(N450="Selling artificial grass/pet toilets (TARGET)",10,IF(N450="Selling pet toys",7,IF(N450="There's an Amazon link, but no target sales.",3,0))))</f>
        <v/>
      </c>
      <c r="P450" s="67">
        <f>H450+J450+L450+M450+O450</f>
        <v/>
      </c>
      <c r="Q450" s="70" t="inlineStr">
        <is>
          <t>Excluded: Trang Chung / Không rõ Ngách Cún cưng</t>
        </is>
      </c>
      <c r="R450" s="9" t="inlineStr">
        <is>
          <t>Khay vệ sinh chung cư (Indoor Potty) + Thảm cỏ ban công (Grass Patch) + Đồ chơi</t>
        </is>
      </c>
      <c r="S450" s="9" t="inlineStr">
        <is>
          <t>Tuyệt đối không đưa vào CRM (Vi phạm Bộ lọc Âm tính Mục 5)</t>
        </is>
      </c>
    </row>
    <row r="451">
      <c r="A451" s="53" t="n">
        <v>1787</v>
      </c>
      <c r="B451" s="12" t="inlineStr">
        <is>
          <t>Julfacer</t>
        </is>
      </c>
      <c r="C451" s="54" t="inlineStr">
        <is>
          <t>https://www.facebook.com/Julfacer</t>
        </is>
      </c>
      <c r="D451" s="6" t="inlineStr">
        <is>
          <t>Cần quét Bio Fanpage</t>
        </is>
      </c>
      <c r="E451" s="53" t="inlineStr">
        <is>
          <t>12/10/2026 19:39:05</t>
        </is>
      </c>
      <c r="F451" s="53" t="inlineStr">
        <is>
          <t>8 giờ trước</t>
        </is>
      </c>
      <c r="G451" s="55" t="n">
        <v>0.33</v>
      </c>
      <c r="H451" s="56" t="n">
        <v>32</v>
      </c>
      <c r="I451" s="6" t="inlineStr">
        <is>
          <t>Pet Owner / Cộng đồng nuôi cún (10đ)</t>
        </is>
      </c>
      <c r="J451" s="56" t="n">
        <v>10</v>
      </c>
      <c r="K451" s="6" t="inlineStr">
        <is>
          <t>Chưa rõ giống (Cần quét Bio)</t>
        </is>
      </c>
      <c r="L451" s="56" t="n">
        <v>0</v>
      </c>
      <c r="M451" s="56" t="n">
        <v>0</v>
      </c>
      <c r="N451" s="6" t="inlineStr">
        <is>
          <t>Amazon link not found</t>
        </is>
      </c>
      <c r="O451" s="56">
        <f>IF(N451="Selling pet toys + Artificial grass/Pet toilets (TARGET)",15,IF(N451="Selling artificial grass/pet toilets (TARGET)",10,IF(N451="Selling pet toys",7,IF(N451="There's an Amazon link, but no target sales.",3,0))))</f>
        <v/>
      </c>
      <c r="P451" s="65">
        <f>H451+J451+L451+M451+O451</f>
        <v/>
      </c>
      <c r="Q451" s="71" t="inlineStr">
        <is>
          <t>Excluded: Trang Chung / Không rõ Ngách Cún cưng</t>
        </is>
      </c>
      <c r="R451" s="6" t="inlineStr">
        <is>
          <t>Khay vệ sinh chung cư (Indoor Potty) + Thảm cỏ ban công (Grass Patch) + Đồ chơi</t>
        </is>
      </c>
      <c r="S451" s="6" t="inlineStr">
        <is>
          <t>Tuyệt đối không đưa vào CRM (Vi phạm Bộ lọc Âm tính Mục 5)</t>
        </is>
      </c>
    </row>
    <row r="452">
      <c r="A452" s="59" t="n">
        <v>2292</v>
      </c>
      <c r="B452" s="15" t="inlineStr">
        <is>
          <t>Nicholas Animal Hospital</t>
        </is>
      </c>
      <c r="C452" s="60" t="inlineStr">
        <is>
          <t>https://www.facebook.com/profile.php?id=100046519757044</t>
        </is>
      </c>
      <c r="D452" s="9" t="inlineStr">
        <is>
          <t>Cần quét Bio Fanpage</t>
        </is>
      </c>
      <c r="E452" s="59" t="inlineStr">
        <is>
          <t>12/10/2026 19:31:06</t>
        </is>
      </c>
      <c r="F452" s="59" t="inlineStr">
        <is>
          <t>9 giờ trước</t>
        </is>
      </c>
      <c r="G452" s="61" t="n">
        <v>0.38</v>
      </c>
      <c r="H452" s="62" t="n">
        <v>32</v>
      </c>
      <c r="I452" s="9" t="inlineStr">
        <is>
          <t>Pet Owner / Cộng đồng nuôi cún (10đ)</t>
        </is>
      </c>
      <c r="J452" s="62" t="n">
        <v>10</v>
      </c>
      <c r="K452" s="9" t="inlineStr">
        <is>
          <t>Chưa rõ giống (Cần quét Bio)</t>
        </is>
      </c>
      <c r="L452" s="62" t="n">
        <v>0</v>
      </c>
      <c r="M452" s="62" t="n">
        <v>0</v>
      </c>
      <c r="N452" s="9" t="inlineStr">
        <is>
          <t>Amazon link not found</t>
        </is>
      </c>
      <c r="O452" s="62">
        <f>IF(N452="Selling pet toys + Artificial grass/Pet toilets (TARGET)",15,IF(N452="Selling artificial grass/pet toilets (TARGET)",10,IF(N452="Selling pet toys",7,IF(N452="There's an Amazon link, but no target sales.",3,0))))</f>
        <v/>
      </c>
      <c r="P452" s="67">
        <f>H452+J452+L452+M452+O452</f>
        <v/>
      </c>
      <c r="Q452" s="70" t="inlineStr">
        <is>
          <t>Excluded: Công ty Gen DNA &amp; Thú y (Mục 5.4)</t>
        </is>
      </c>
      <c r="R452" s="9" t="inlineStr">
        <is>
          <t>Khay vệ sinh chung cư (Indoor Potty) + Thảm cỏ ban công (Grass Patch) + Đồ chơi</t>
        </is>
      </c>
      <c r="S452" s="9" t="inlineStr">
        <is>
          <t>Tuyệt đối không đưa vào CRM (Vi phạm Bộ lọc Âm tính Mục 5)</t>
        </is>
      </c>
    </row>
    <row r="453">
      <c r="A453" s="53" t="n">
        <v>2152</v>
      </c>
      <c r="B453" s="12" t="inlineStr">
        <is>
          <t>Meadowood Veterinary Hospital</t>
        </is>
      </c>
      <c r="C453" s="54" t="inlineStr">
        <is>
          <t>https://www.facebook.com/meadowoodveterinaryhospital</t>
        </is>
      </c>
      <c r="D453" s="6" t="inlineStr">
        <is>
          <t>Cần quét Bio Fanpage</t>
        </is>
      </c>
      <c r="E453" s="53" t="inlineStr">
        <is>
          <t>12/10/2026 19:30:07</t>
        </is>
      </c>
      <c r="F453" s="53" t="inlineStr">
        <is>
          <t>9 giờ trước</t>
        </is>
      </c>
      <c r="G453" s="55" t="n">
        <v>0.38</v>
      </c>
      <c r="H453" s="56" t="n">
        <v>32</v>
      </c>
      <c r="I453" s="6" t="inlineStr">
        <is>
          <t>Pet Owner / Cộng đồng nuôi cún (10đ)</t>
        </is>
      </c>
      <c r="J453" s="56" t="n">
        <v>10</v>
      </c>
      <c r="K453" s="6" t="inlineStr">
        <is>
          <t>Chưa rõ giống (Cần quét Bio)</t>
        </is>
      </c>
      <c r="L453" s="56" t="n">
        <v>0</v>
      </c>
      <c r="M453" s="56" t="n">
        <v>0</v>
      </c>
      <c r="N453" s="6" t="inlineStr">
        <is>
          <t>Amazon link not found</t>
        </is>
      </c>
      <c r="O453" s="56">
        <f>IF(N453="Selling pet toys + Artificial grass/Pet toilets (TARGET)",15,IF(N453="Selling artificial grass/pet toilets (TARGET)",10,IF(N453="Selling pet toys",7,IF(N453="There's an Amazon link, but no target sales.",3,0))))</f>
        <v/>
      </c>
      <c r="P453" s="65">
        <f>H453+J453+L453+M453+O453</f>
        <v/>
      </c>
      <c r="Q453" s="71" t="inlineStr">
        <is>
          <t>Excluded: Công ty Gen DNA &amp; Thú y (Mục 5.4)</t>
        </is>
      </c>
      <c r="R453" s="6" t="inlineStr">
        <is>
          <t>Khay vệ sinh chung cư (Indoor Potty) + Thảm cỏ ban công (Grass Patch) + Đồ chơi</t>
        </is>
      </c>
      <c r="S453" s="6" t="inlineStr">
        <is>
          <t>Tuyệt đối không đưa vào CRM (Vi phạm Bộ lọc Âm tính Mục 5)</t>
        </is>
      </c>
    </row>
    <row r="454">
      <c r="A454" s="59" t="n">
        <v>2637</v>
      </c>
      <c r="B454" s="15" t="inlineStr">
        <is>
          <t>Propatas Protectora de Animales</t>
        </is>
      </c>
      <c r="C454" s="60" t="inlineStr">
        <is>
          <t>https://www.facebook.com/propatas.va</t>
        </is>
      </c>
      <c r="D454" s="9" t="inlineStr">
        <is>
          <t>Cần quét Bio Fanpage</t>
        </is>
      </c>
      <c r="E454" s="59" t="inlineStr">
        <is>
          <t>12/10/2026 19:28:01</t>
        </is>
      </c>
      <c r="F454" s="59" t="inlineStr">
        <is>
          <t>10 giờ trước</t>
        </is>
      </c>
      <c r="G454" s="61" t="n">
        <v>0.42</v>
      </c>
      <c r="H454" s="62" t="n">
        <v>32</v>
      </c>
      <c r="I454" s="9" t="inlineStr">
        <is>
          <t>Pet Owner / Cộng đồng nuôi cún (10đ)</t>
        </is>
      </c>
      <c r="J454" s="62" t="n">
        <v>10</v>
      </c>
      <c r="K454" s="9" t="inlineStr">
        <is>
          <t>Chưa rõ giống (Cần quét Bio)</t>
        </is>
      </c>
      <c r="L454" s="62" t="n">
        <v>0</v>
      </c>
      <c r="M454" s="62" t="n">
        <v>0</v>
      </c>
      <c r="N454" s="9" t="inlineStr">
        <is>
          <t>Amazon link not found</t>
        </is>
      </c>
      <c r="O454" s="62">
        <f>IF(N454="Selling pet toys + Artificial grass/Pet toilets (TARGET)",15,IF(N454="Selling artificial grass/pet toilets (TARGET)",10,IF(N454="Selling pet toys",7,IF(N454="There's an Amazon link, but no target sales.",3,0))))</f>
        <v/>
      </c>
      <c r="P454" s="67">
        <f>H454+J454+L454+M454+O454</f>
        <v/>
      </c>
      <c r="Q454" s="70" t="inlineStr">
        <is>
          <t>Excluded: Trang Chung / Không rõ Ngách Cún cưng</t>
        </is>
      </c>
      <c r="R454" s="9" t="inlineStr">
        <is>
          <t>Khay vệ sinh chung cư (Indoor Potty) + Thảm cỏ ban công (Grass Patch) + Đồ chơi</t>
        </is>
      </c>
      <c r="S454" s="9" t="inlineStr">
        <is>
          <t>Tuyệt đối không đưa vào CRM (Vi phạm Bộ lọc Âm tính Mục 5)</t>
        </is>
      </c>
    </row>
    <row r="455">
      <c r="A455" s="53" t="n">
        <v>467</v>
      </c>
      <c r="B455" s="12" t="inlineStr">
        <is>
          <t>Animal Lover Gaza</t>
        </is>
      </c>
      <c r="C455" s="54" t="inlineStr">
        <is>
          <t>https://www.facebook.com/animallovergaza</t>
        </is>
      </c>
      <c r="D455" s="6" t="inlineStr">
        <is>
          <t>Cần quét Bio Fanpage</t>
        </is>
      </c>
      <c r="E455" s="53" t="inlineStr">
        <is>
          <t>12/10/2026 19:09:06</t>
        </is>
      </c>
      <c r="F455" s="53" t="inlineStr">
        <is>
          <t>6 giờ trước</t>
        </is>
      </c>
      <c r="G455" s="55" t="n">
        <v>0.25</v>
      </c>
      <c r="H455" s="56" t="n">
        <v>32</v>
      </c>
      <c r="I455" s="6" t="inlineStr">
        <is>
          <t>Pet Owner / Kênh cá nhân thú cưng (10đ)</t>
        </is>
      </c>
      <c r="J455" s="56" t="n">
        <v>10</v>
      </c>
      <c r="K455" s="6" t="inlineStr">
        <is>
          <t>Chưa rõ giống (Cần quét Bio)</t>
        </is>
      </c>
      <c r="L455" s="56" t="n">
        <v>0</v>
      </c>
      <c r="M455" s="56" t="n">
        <v>0</v>
      </c>
      <c r="N455" s="6" t="inlineStr">
        <is>
          <t>Amazon link not found</t>
        </is>
      </c>
      <c r="O455" s="56">
        <f>IF(N455="Selling pet toys + Artificial grass/Pet toilets (TARGET)",15,IF(N455="Selling artificial grass/pet toilets (TARGET)",10,IF(N455="Selling pet toys",7,IF(N455="There's an Amazon link, but no target sales.",3,0))))</f>
        <v/>
      </c>
      <c r="P455" s="65">
        <f>H455+J455+L455+M455+O455</f>
        <v/>
      </c>
      <c r="Q455" s="71" t="inlineStr">
        <is>
          <t>Excluded: Trang Chung / Không rõ Ngách Cún cưng</t>
        </is>
      </c>
      <c r="R455" s="6" t="inlineStr">
        <is>
          <t>Khay vệ sinh trong nhà (Indoor Dog Potty) + Đồ chơi thú cưng lẻ</t>
        </is>
      </c>
      <c r="S455" s="6" t="inlineStr">
        <is>
          <t>Tuyệt đối không đưa vào CRM (Vi phạm Bộ lọc Âm tính Mục 5)</t>
        </is>
      </c>
    </row>
    <row r="456">
      <c r="A456" s="59" t="n">
        <v>3471</v>
      </c>
      <c r="B456" s="15" t="inlineStr">
        <is>
          <t>Your Dog</t>
        </is>
      </c>
      <c r="C456" s="60" t="inlineStr">
        <is>
          <t>https://www.facebook.com/yourdogmagazine</t>
        </is>
      </c>
      <c r="D456" s="9" t="inlineStr">
        <is>
          <t>Cần quét Bio Fanpage</t>
        </is>
      </c>
      <c r="E456" s="59" t="inlineStr">
        <is>
          <t>12/10/2026 19:03:25</t>
        </is>
      </c>
      <c r="F456" s="59" t="inlineStr">
        <is>
          <t>12 giờ trước</t>
        </is>
      </c>
      <c r="G456" s="61" t="n">
        <v>0.5</v>
      </c>
      <c r="H456" s="62" t="n">
        <v>32</v>
      </c>
      <c r="I456" s="9" t="inlineStr">
        <is>
          <t>Pet Owner / Cộng đồng nuôi cún (10đ)</t>
        </is>
      </c>
      <c r="J456" s="62" t="n">
        <v>10</v>
      </c>
      <c r="K456" s="9" t="inlineStr">
        <is>
          <t>Chưa rõ giống (Cần quét Bio)</t>
        </is>
      </c>
      <c r="L456" s="62" t="n">
        <v>0</v>
      </c>
      <c r="M456" s="62" t="n">
        <v>0</v>
      </c>
      <c r="N456" s="9" t="inlineStr">
        <is>
          <t>Amazon link not found</t>
        </is>
      </c>
      <c r="O456" s="62">
        <f>IF(N456="Selling pet toys + Artificial grass/Pet toilets (TARGET)",15,IF(N456="Selling artificial grass/pet toilets (TARGET)",10,IF(N456="Selling pet toys",7,IF(N456="There's an Amazon link, but no target sales.",3,0))))</f>
        <v/>
      </c>
      <c r="P456" s="67">
        <f>H456+J456+L456+M456+O456</f>
        <v/>
      </c>
      <c r="Q456" s="70" t="inlineStr">
        <is>
          <t>Excluded: Kênh Tin tức, Tạp chí &amp; Giải trí (Mục 5.3)</t>
        </is>
      </c>
      <c r="R456" s="9" t="inlineStr">
        <is>
          <t>Khay vệ sinh chung cư (Indoor Potty) + Thảm cỏ ban công (Grass Patch) + Đồ chơi</t>
        </is>
      </c>
      <c r="S456" s="9" t="inlineStr">
        <is>
          <t>Tuyệt đối không đưa vào CRM (Vi phạm Bộ lọc Âm tính Mục 5)</t>
        </is>
      </c>
    </row>
    <row r="457">
      <c r="A457" s="53" t="n">
        <v>768</v>
      </c>
      <c r="B457" s="12" t="inlineStr">
        <is>
          <t>Brookeside Veterinary Hospital</t>
        </is>
      </c>
      <c r="C457" s="54" t="inlineStr">
        <is>
          <t>https://www.facebook.com/profile.php?id=61575833181480</t>
        </is>
      </c>
      <c r="D457" s="6" t="inlineStr">
        <is>
          <t>Cần quét Bio Fanpage</t>
        </is>
      </c>
      <c r="E457" s="53" t="inlineStr">
        <is>
          <t>12/10/2026 19:00:13</t>
        </is>
      </c>
      <c r="F457" s="53" t="inlineStr">
        <is>
          <t>7 giờ trước</t>
        </is>
      </c>
      <c r="G457" s="55" t="n">
        <v>0.29</v>
      </c>
      <c r="H457" s="56" t="n">
        <v>32</v>
      </c>
      <c r="I457" s="6" t="inlineStr">
        <is>
          <t>Pet Owner / Cộng đồng nuôi cún (10đ)</t>
        </is>
      </c>
      <c r="J457" s="56" t="n">
        <v>10</v>
      </c>
      <c r="K457" s="6" t="inlineStr">
        <is>
          <t>Chưa rõ giống (Cần quét Bio)</t>
        </is>
      </c>
      <c r="L457" s="56" t="n">
        <v>0</v>
      </c>
      <c r="M457" s="56" t="n">
        <v>0</v>
      </c>
      <c r="N457" s="6" t="inlineStr">
        <is>
          <t>Amazon link not found</t>
        </is>
      </c>
      <c r="O457" s="56">
        <f>IF(N457="Selling pet toys + Artificial grass/Pet toilets (TARGET)",15,IF(N457="Selling artificial grass/pet toilets (TARGET)",10,IF(N457="Selling pet toys",7,IF(N457="There's an Amazon link, but no target sales.",3,0))))</f>
        <v/>
      </c>
      <c r="P457" s="65">
        <f>H457+J457+L457+M457+O457</f>
        <v/>
      </c>
      <c r="Q457" s="71" t="inlineStr">
        <is>
          <t>Excluded: Công ty Gen DNA &amp; Thú y (Mục 5.4)</t>
        </is>
      </c>
      <c r="R457" s="6" t="inlineStr">
        <is>
          <t>Khay vệ sinh chung cư (Indoor Potty) + Thảm cỏ ban công (Grass Patch) + Đồ chơi</t>
        </is>
      </c>
      <c r="S457" s="6" t="inlineStr">
        <is>
          <t>Tuyệt đối không đưa vào CRM (Vi phạm Bộ lọc Âm tính Mục 5)</t>
        </is>
      </c>
    </row>
    <row r="458">
      <c r="A458" s="59" t="n">
        <v>839</v>
      </c>
      <c r="B458" s="15" t="inlineStr">
        <is>
          <t>Carecantinasy Farolito</t>
        </is>
      </c>
      <c r="C458" s="60" t="inlineStr">
        <is>
          <t>https://www.facebook.com/profile.php?id=100095379756431</t>
        </is>
      </c>
      <c r="D458" s="9" t="inlineStr">
        <is>
          <t>Cần quét Bio Fanpage</t>
        </is>
      </c>
      <c r="E458" s="59" t="inlineStr">
        <is>
          <t>12/10/2026 18:49:08</t>
        </is>
      </c>
      <c r="F458" s="59" t="inlineStr">
        <is>
          <t>7 giờ trước</t>
        </is>
      </c>
      <c r="G458" s="61" t="n">
        <v>0.29</v>
      </c>
      <c r="H458" s="62" t="n">
        <v>32</v>
      </c>
      <c r="I458" s="9" t="inlineStr">
        <is>
          <t>Pet Owner / Cộng đồng nuôi cún (10đ)</t>
        </is>
      </c>
      <c r="J458" s="62" t="n">
        <v>10</v>
      </c>
      <c r="K458" s="9" t="inlineStr">
        <is>
          <t>Chưa rõ giống (Cần quét Bio)</t>
        </is>
      </c>
      <c r="L458" s="62" t="n">
        <v>0</v>
      </c>
      <c r="M458" s="62" t="n">
        <v>0</v>
      </c>
      <c r="N458" s="9" t="inlineStr">
        <is>
          <t>Amazon link not found</t>
        </is>
      </c>
      <c r="O458" s="62">
        <f>IF(N458="Selling pet toys + Artificial grass/Pet toilets (TARGET)",15,IF(N458="Selling artificial grass/pet toilets (TARGET)",10,IF(N458="Selling pet toys",7,IF(N458="There's an Amazon link, but no target sales.",3,0))))</f>
        <v/>
      </c>
      <c r="P458" s="67">
        <f>H458+J458+L458+M458+O458</f>
        <v/>
      </c>
      <c r="Q458" s="70" t="inlineStr">
        <is>
          <t>Excluded: Trang Chung / Không rõ Ngách Cún cưng</t>
        </is>
      </c>
      <c r="R458" s="9" t="inlineStr">
        <is>
          <t>Khay vệ sinh chung cư (Indoor Potty) + Thảm cỏ ban công (Grass Patch) + Đồ chơi</t>
        </is>
      </c>
      <c r="S458" s="9" t="inlineStr">
        <is>
          <t>Tuyệt đối không đưa vào CRM (Vi phạm Bộ lọc Âm tính Mục 5)</t>
        </is>
      </c>
    </row>
    <row r="459">
      <c r="A459" s="53" t="n">
        <v>2718</v>
      </c>
      <c r="B459" s="12" t="inlineStr">
        <is>
          <t>Refugio de Animales El Cortijillo De La Lola</t>
        </is>
      </c>
      <c r="C459" s="54" t="inlineStr">
        <is>
          <t>https://www.facebook.com/refugioelcortijillodelalola</t>
        </is>
      </c>
      <c r="D459" s="6" t="inlineStr">
        <is>
          <t>Cần quét Bio Fanpage</t>
        </is>
      </c>
      <c r="E459" s="53" t="inlineStr">
        <is>
          <t>12/10/2026 18:37:30</t>
        </is>
      </c>
      <c r="F459" s="53" t="inlineStr">
        <is>
          <t>11 giờ trước</t>
        </is>
      </c>
      <c r="G459" s="55" t="n">
        <v>0.46</v>
      </c>
      <c r="H459" s="56" t="n">
        <v>32</v>
      </c>
      <c r="I459" s="6" t="inlineStr">
        <is>
          <t>Pet Owner / Cộng đồng nuôi cún (10đ)</t>
        </is>
      </c>
      <c r="J459" s="56" t="n">
        <v>10</v>
      </c>
      <c r="K459" s="6" t="inlineStr">
        <is>
          <t>Chưa rõ giống (Cần quét Bio)</t>
        </is>
      </c>
      <c r="L459" s="56" t="n">
        <v>0</v>
      </c>
      <c r="M459" s="56" t="n">
        <v>0</v>
      </c>
      <c r="N459" s="6" t="inlineStr">
        <is>
          <t>Amazon link not found</t>
        </is>
      </c>
      <c r="O459" s="56">
        <f>IF(N459="Selling pet toys + Artificial grass/Pet toilets (TARGET)",15,IF(N459="Selling artificial grass/pet toilets (TARGET)",10,IF(N459="Selling pet toys",7,IF(N459="There's an Amazon link, but no target sales.",3,0))))</f>
        <v/>
      </c>
      <c r="P459" s="65">
        <f>H459+J459+L459+M459+O459</f>
        <v/>
      </c>
      <c r="Q459" s="71" t="inlineStr">
        <is>
          <t>Excluded: Trang Chung / Không rõ Ngách Cún cưng</t>
        </is>
      </c>
      <c r="R459" s="6" t="inlineStr">
        <is>
          <t>Khay vệ sinh chung cư (Indoor Potty) + Thảm cỏ ban công (Grass Patch) + Đồ chơi</t>
        </is>
      </c>
      <c r="S459" s="6" t="inlineStr">
        <is>
          <t>Tuyệt đối không đưa vào CRM (Vi phạm Bộ lọc Âm tính Mục 5)</t>
        </is>
      </c>
    </row>
    <row r="460">
      <c r="A460" s="59" t="n">
        <v>253</v>
      </c>
      <c r="B460" s="15" t="inlineStr">
        <is>
          <t>Ribble Vets</t>
        </is>
      </c>
      <c r="C460" s="60" t="inlineStr">
        <is>
          <t>https://www.facebook.com/RibbleVets</t>
        </is>
      </c>
      <c r="D460" s="9" t="inlineStr">
        <is>
          <t>Cần quét Bio Fanpage</t>
        </is>
      </c>
      <c r="E460" s="59" t="inlineStr">
        <is>
          <t>12/10/2026 18:33:13</t>
        </is>
      </c>
      <c r="F460" s="59" t="inlineStr">
        <is>
          <t>6 giờ trước</t>
        </is>
      </c>
      <c r="G460" s="61" t="n">
        <v>0.25</v>
      </c>
      <c r="H460" s="62" t="n">
        <v>32</v>
      </c>
      <c r="I460" s="9" t="inlineStr">
        <is>
          <t>Pet Owner / Cộng đồng nuôi cún (10đ)</t>
        </is>
      </c>
      <c r="J460" s="62" t="n">
        <v>10</v>
      </c>
      <c r="K460" s="9" t="inlineStr">
        <is>
          <t>Chưa rõ giống (Cần quét Bio)</t>
        </is>
      </c>
      <c r="L460" s="62" t="n">
        <v>0</v>
      </c>
      <c r="M460" s="62" t="n">
        <v>0</v>
      </c>
      <c r="N460" s="9" t="inlineStr">
        <is>
          <t>Amazon link not found</t>
        </is>
      </c>
      <c r="O460" s="62">
        <f>IF(N460="Selling pet toys + Artificial grass/Pet toilets (TARGET)",15,IF(N460="Selling artificial grass/pet toilets (TARGET)",10,IF(N460="Selling pet toys",7,IF(N460="There's an Amazon link, but no target sales.",3,0))))</f>
        <v/>
      </c>
      <c r="P460" s="67">
        <f>H460+J460+L460+M460+O460</f>
        <v/>
      </c>
      <c r="Q460" s="70" t="inlineStr">
        <is>
          <t>Excluded: Trang Chung / Không rõ Ngách Cún cưng</t>
        </is>
      </c>
      <c r="R460" s="9" t="inlineStr">
        <is>
          <t>Khay vệ sinh chung cư (Indoor Potty) + Thảm cỏ ban công (Grass Patch) + Đồ chơi</t>
        </is>
      </c>
      <c r="S460" s="9" t="inlineStr">
        <is>
          <t>Tuyệt đối không đưa vào CRM (Vi phạm Bộ lọc Âm tính Mục 5)</t>
        </is>
      </c>
    </row>
    <row r="461">
      <c r="A461" s="53" t="n">
        <v>451</v>
      </c>
      <c r="B461" s="12" t="inlineStr">
        <is>
          <t>Animal Clinic Northview</t>
        </is>
      </c>
      <c r="C461" s="54" t="inlineStr">
        <is>
          <t>https://www.facebook.com/AnimalClinicNorthview</t>
        </is>
      </c>
      <c r="D461" s="6" t="inlineStr">
        <is>
          <t>Cần quét Bio Fanpage</t>
        </is>
      </c>
      <c r="E461" s="53" t="inlineStr">
        <is>
          <t>12/10/2026 18:23:21</t>
        </is>
      </c>
      <c r="F461" s="53" t="inlineStr">
        <is>
          <t>7 giờ trước</t>
        </is>
      </c>
      <c r="G461" s="55" t="n">
        <v>0.29</v>
      </c>
      <c r="H461" s="56" t="n">
        <v>32</v>
      </c>
      <c r="I461" s="6" t="inlineStr">
        <is>
          <t>Pet Owner / Cộng đồng nuôi cún (10đ)</t>
        </is>
      </c>
      <c r="J461" s="56" t="n">
        <v>10</v>
      </c>
      <c r="K461" s="6" t="inlineStr">
        <is>
          <t>Chưa rõ giống (Cần quét Bio)</t>
        </is>
      </c>
      <c r="L461" s="56" t="n">
        <v>0</v>
      </c>
      <c r="M461" s="56" t="n">
        <v>0</v>
      </c>
      <c r="N461" s="6" t="inlineStr">
        <is>
          <t>Amazon link not found</t>
        </is>
      </c>
      <c r="O461" s="56">
        <f>IF(N461="Selling pet toys + Artificial grass/Pet toilets (TARGET)",15,IF(N461="Selling artificial grass/pet toilets (TARGET)",10,IF(N461="Selling pet toys",7,IF(N461="There's an Amazon link, but no target sales.",3,0))))</f>
        <v/>
      </c>
      <c r="P461" s="65">
        <f>H461+J461+L461+M461+O461</f>
        <v/>
      </c>
      <c r="Q461" s="71" t="inlineStr">
        <is>
          <t>Excluded: Công ty Gen DNA &amp; Thú y (Mục 5.4)</t>
        </is>
      </c>
      <c r="R461" s="6" t="inlineStr">
        <is>
          <t>Khay vệ sinh chung cư (Indoor Potty) + Thảm cỏ ban công (Grass Patch) + Đồ chơi</t>
        </is>
      </c>
      <c r="S461" s="6" t="inlineStr">
        <is>
          <t>Tuyệt đối không đưa vào CRM (Vi phạm Bộ lọc Âm tính Mục 5)</t>
        </is>
      </c>
    </row>
    <row r="462">
      <c r="A462" s="59" t="n">
        <v>299</v>
      </c>
      <c r="B462" s="15" t="inlineStr">
        <is>
          <t>113 motivo animales</t>
        </is>
      </c>
      <c r="C462" s="60" t="inlineStr">
        <is>
          <t>https://www.facebook.com/113motivoanimales</t>
        </is>
      </c>
      <c r="D462" s="9" t="inlineStr">
        <is>
          <t>Cần quét Bio Fanpage</t>
        </is>
      </c>
      <c r="E462" s="59" t="inlineStr">
        <is>
          <t>12/10/2026 17:40:37</t>
        </is>
      </c>
      <c r="F462" s="59" t="inlineStr">
        <is>
          <t>7 giờ trước</t>
        </is>
      </c>
      <c r="G462" s="61" t="n">
        <v>0.29</v>
      </c>
      <c r="H462" s="62" t="n">
        <v>32</v>
      </c>
      <c r="I462" s="9" t="inlineStr">
        <is>
          <t>Pet Owner / Cộng đồng nuôi cún (10đ)</t>
        </is>
      </c>
      <c r="J462" s="62" t="n">
        <v>10</v>
      </c>
      <c r="K462" s="9" t="inlineStr">
        <is>
          <t>Chưa rõ giống (Cần quét Bio)</t>
        </is>
      </c>
      <c r="L462" s="62" t="n">
        <v>0</v>
      </c>
      <c r="M462" s="62" t="n">
        <v>0</v>
      </c>
      <c r="N462" s="9" t="inlineStr">
        <is>
          <t>Amazon link not found</t>
        </is>
      </c>
      <c r="O462" s="62">
        <f>IF(N462="Selling pet toys + Artificial grass/Pet toilets (TARGET)",15,IF(N462="Selling artificial grass/pet toilets (TARGET)",10,IF(N462="Selling pet toys",7,IF(N462="There's an Amazon link, but no target sales.",3,0))))</f>
        <v/>
      </c>
      <c r="P462" s="67">
        <f>H462+J462+L462+M462+O462</f>
        <v/>
      </c>
      <c r="Q462" s="70" t="inlineStr">
        <is>
          <t>Excluded: Trang Chung / Không rõ Ngách Cún cưng</t>
        </is>
      </c>
      <c r="R462" s="9" t="inlineStr">
        <is>
          <t>Khay vệ sinh chung cư (Indoor Potty) + Thảm cỏ ban công (Grass Patch) + Đồ chơi</t>
        </is>
      </c>
      <c r="S462" s="9" t="inlineStr">
        <is>
          <t>Tuyệt đối không đưa vào CRM (Vi phạm Bộ lọc Âm tính Mục 5)</t>
        </is>
      </c>
    </row>
    <row r="463">
      <c r="A463" s="53" t="n">
        <v>3303</v>
      </c>
      <c r="B463" s="12" t="inlineStr">
        <is>
          <t>veturgentysveterinairedegardetoulouse</t>
        </is>
      </c>
      <c r="C463" s="54" t="inlineStr">
        <is>
          <t>https://www.facebook.com/veturgentysveterinairedegardetoulouse</t>
        </is>
      </c>
      <c r="D463" s="6" t="inlineStr">
        <is>
          <t>Cần quét Bio Fanpage</t>
        </is>
      </c>
      <c r="E463" s="53" t="inlineStr">
        <is>
          <t>12/10/2026 17:30:23</t>
        </is>
      </c>
      <c r="F463" s="53" t="inlineStr">
        <is>
          <t>13 giờ trước</t>
        </is>
      </c>
      <c r="G463" s="55" t="n">
        <v>0.54</v>
      </c>
      <c r="H463" s="56" t="n">
        <v>32</v>
      </c>
      <c r="I463" s="6" t="inlineStr">
        <is>
          <t>Pet Owner / Cộng đồng nuôi cún (10đ)</t>
        </is>
      </c>
      <c r="J463" s="56" t="n">
        <v>10</v>
      </c>
      <c r="K463" s="6" t="inlineStr">
        <is>
          <t>Chưa rõ giống (Cần quét Bio)</t>
        </is>
      </c>
      <c r="L463" s="56" t="n">
        <v>0</v>
      </c>
      <c r="M463" s="56" t="n">
        <v>0</v>
      </c>
      <c r="N463" s="6" t="inlineStr">
        <is>
          <t>Amazon link not found</t>
        </is>
      </c>
      <c r="O463" s="56">
        <f>IF(N463="Selling pet toys + Artificial grass/Pet toilets (TARGET)",15,IF(N463="Selling artificial grass/pet toilets (TARGET)",10,IF(N463="Selling pet toys",7,IF(N463="There's an Amazon link, but no target sales.",3,0))))</f>
        <v/>
      </c>
      <c r="P463" s="65">
        <f>H463+J463+L463+M463+O463</f>
        <v/>
      </c>
      <c r="Q463" s="71" t="inlineStr">
        <is>
          <t>Excluded: Trang Chung / Không rõ Ngách Cún cưng</t>
        </is>
      </c>
      <c r="R463" s="6" t="inlineStr">
        <is>
          <t>Khay vệ sinh chung cư (Indoor Potty) + Thảm cỏ ban công (Grass Patch) + Đồ chơi</t>
        </is>
      </c>
      <c r="S463" s="6" t="inlineStr">
        <is>
          <t>Tuyệt đối không đưa vào CRM (Vi phạm Bộ lọc Âm tính Mục 5)</t>
        </is>
      </c>
    </row>
    <row r="464">
      <c r="A464" s="59" t="n">
        <v>469</v>
      </c>
      <c r="B464" s="15" t="inlineStr">
        <is>
          <t>Animal max</t>
        </is>
      </c>
      <c r="C464" s="60" t="inlineStr">
        <is>
          <t>https://www.facebook.com/profile.php?id=61594281756131</t>
        </is>
      </c>
      <c r="D464" s="9" t="inlineStr">
        <is>
          <t>Cần quét Bio Fanpage</t>
        </is>
      </c>
      <c r="E464" s="59" t="inlineStr">
        <is>
          <t>12/10/2026 17:23:54</t>
        </is>
      </c>
      <c r="F464" s="59" t="inlineStr">
        <is>
          <t>8 giờ trước</t>
        </is>
      </c>
      <c r="G464" s="61" t="n">
        <v>0.33</v>
      </c>
      <c r="H464" s="62" t="n">
        <v>32</v>
      </c>
      <c r="I464" s="9" t="inlineStr">
        <is>
          <t>Pet Owner / Cộng đồng nuôi cún (10đ)</t>
        </is>
      </c>
      <c r="J464" s="62" t="n">
        <v>10</v>
      </c>
      <c r="K464" s="9" t="inlineStr">
        <is>
          <t>Chưa rõ giống (Cần quét Bio)</t>
        </is>
      </c>
      <c r="L464" s="62" t="n">
        <v>0</v>
      </c>
      <c r="M464" s="62" t="n">
        <v>0</v>
      </c>
      <c r="N464" s="9" t="inlineStr">
        <is>
          <t>Amazon link not found</t>
        </is>
      </c>
      <c r="O464" s="62">
        <f>IF(N464="Selling pet toys + Artificial grass/Pet toilets (TARGET)",15,IF(N464="Selling artificial grass/pet toilets (TARGET)",10,IF(N464="Selling pet toys",7,IF(N464="There's an Amazon link, but no target sales.",3,0))))</f>
        <v/>
      </c>
      <c r="P464" s="67">
        <f>H464+J464+L464+M464+O464</f>
        <v/>
      </c>
      <c r="Q464" s="70" t="inlineStr">
        <is>
          <t>Excluded: Trang Chung / Không rõ Ngách Cún cưng</t>
        </is>
      </c>
      <c r="R464" s="9" t="inlineStr">
        <is>
          <t>Khay vệ sinh chung cư (Indoor Potty) + Thảm cỏ ban công (Grass Patch) + Đồ chơi</t>
        </is>
      </c>
      <c r="S464" s="9" t="inlineStr">
        <is>
          <t>Tuyệt đối không đưa vào CRM (Vi phạm Bộ lọc Âm tính Mục 5)</t>
        </is>
      </c>
    </row>
    <row r="465">
      <c r="A465" s="53" t="n">
        <v>2719</v>
      </c>
      <c r="B465" s="12" t="inlineStr">
        <is>
          <t>Refugio de animales Sierra Nevada</t>
        </is>
      </c>
      <c r="C465" s="54" t="inlineStr">
        <is>
          <t>https://www.facebook.com/AsociacionRefugioSierraNevada</t>
        </is>
      </c>
      <c r="D465" s="6" t="inlineStr">
        <is>
          <t>Cần quét Bio Fanpage</t>
        </is>
      </c>
      <c r="E465" s="53" t="inlineStr">
        <is>
          <t>12/10/2026 17:05:12</t>
        </is>
      </c>
      <c r="F465" s="53" t="inlineStr">
        <is>
          <t>12 giờ trước</t>
        </is>
      </c>
      <c r="G465" s="55" t="n">
        <v>0.5</v>
      </c>
      <c r="H465" s="56" t="n">
        <v>32</v>
      </c>
      <c r="I465" s="6" t="inlineStr">
        <is>
          <t>Pet Owner / Cộng đồng nuôi cún (10đ)</t>
        </is>
      </c>
      <c r="J465" s="56" t="n">
        <v>10</v>
      </c>
      <c r="K465" s="6" t="inlineStr">
        <is>
          <t>Chưa rõ giống (Cần quét Bio)</t>
        </is>
      </c>
      <c r="L465" s="56" t="n">
        <v>0</v>
      </c>
      <c r="M465" s="56" t="n">
        <v>0</v>
      </c>
      <c r="N465" s="6" t="inlineStr">
        <is>
          <t>Amazon link not found</t>
        </is>
      </c>
      <c r="O465" s="56">
        <f>IF(N465="Selling pet toys + Artificial grass/Pet toilets (TARGET)",15,IF(N465="Selling artificial grass/pet toilets (TARGET)",10,IF(N465="Selling pet toys",7,IF(N465="There's an Amazon link, but no target sales.",3,0))))</f>
        <v/>
      </c>
      <c r="P465" s="65">
        <f>H465+J465+L465+M465+O465</f>
        <v/>
      </c>
      <c r="Q465" s="71" t="inlineStr">
        <is>
          <t>Excluded: Trang Chung / Không rõ Ngách Cún cưng</t>
        </is>
      </c>
      <c r="R465" s="6" t="inlineStr">
        <is>
          <t>Khay vệ sinh chung cư (Indoor Potty) + Thảm cỏ ban công (Grass Patch) + Đồ chơi</t>
        </is>
      </c>
      <c r="S465" s="6" t="inlineStr">
        <is>
          <t>Tuyệt đối không đưa vào CRM (Vi phạm Bộ lọc Âm tính Mục 5)</t>
        </is>
      </c>
    </row>
    <row r="466">
      <c r="A466" s="59" t="n">
        <v>1353</v>
      </c>
      <c r="B466" s="15" t="inlineStr">
        <is>
          <t>Farmina Ukraine</t>
        </is>
      </c>
      <c r="C466" s="60" t="inlineStr">
        <is>
          <t>https://www.facebook.com/FarminaUkraine</t>
        </is>
      </c>
      <c r="D466" s="9" t="inlineStr">
        <is>
          <t>Cần quét Bio Fanpage</t>
        </is>
      </c>
      <c r="E466" s="59" t="inlineStr">
        <is>
          <t>12/10/2026 16:52:17</t>
        </is>
      </c>
      <c r="F466" s="59" t="inlineStr">
        <is>
          <t>10 giờ trước</t>
        </is>
      </c>
      <c r="G466" s="61" t="n">
        <v>0.42</v>
      </c>
      <c r="H466" s="62" t="n">
        <v>32</v>
      </c>
      <c r="I466" s="9" t="inlineStr">
        <is>
          <t>Pet Owner / Cộng đồng nuôi cún (10đ)</t>
        </is>
      </c>
      <c r="J466" s="62" t="n">
        <v>10</v>
      </c>
      <c r="K466" s="9" t="inlineStr">
        <is>
          <t>Chưa rõ giống (Cần quét Bio)</t>
        </is>
      </c>
      <c r="L466" s="62" t="n">
        <v>0</v>
      </c>
      <c r="M466" s="62" t="n">
        <v>0</v>
      </c>
      <c r="N466" s="9" t="inlineStr">
        <is>
          <t>Amazon link not found</t>
        </is>
      </c>
      <c r="O466" s="62">
        <f>IF(N466="Selling pet toys + Artificial grass/Pet toilets (TARGET)",15,IF(N466="Selling artificial grass/pet toilets (TARGET)",10,IF(N466="Selling pet toys",7,IF(N466="There's an Amazon link, but no target sales.",3,0))))</f>
        <v/>
      </c>
      <c r="P466" s="67">
        <f>H466+J466+L466+M466+O466</f>
        <v/>
      </c>
      <c r="Q466" s="70" t="inlineStr">
        <is>
          <t>Excluded: Trang Chung / Không rõ Ngách Cún cưng</t>
        </is>
      </c>
      <c r="R466" s="9" t="inlineStr">
        <is>
          <t>Khay vệ sinh chung cư (Indoor Potty) + Thảm cỏ ban công (Grass Patch) + Đồ chơi</t>
        </is>
      </c>
      <c r="S466" s="9" t="inlineStr">
        <is>
          <t>Tuyệt đối không đưa vào CRM (Vi phạm Bộ lọc Âm tính Mục 5)</t>
        </is>
      </c>
    </row>
    <row r="467">
      <c r="A467" s="53" t="n">
        <v>345</v>
      </c>
      <c r="B467" s="12" t="inlineStr">
        <is>
          <t>ADSL Care</t>
        </is>
      </c>
      <c r="C467" s="54" t="inlineStr">
        <is>
          <t>https://www.facebook.com/profile.php?id=61584352616389</t>
        </is>
      </c>
      <c r="D467" s="6" t="inlineStr">
        <is>
          <t>Cần quét Bio Fanpage</t>
        </is>
      </c>
      <c r="E467" s="53" t="inlineStr">
        <is>
          <t>12/10/2026 16:51:45</t>
        </is>
      </c>
      <c r="F467" s="53" t="inlineStr">
        <is>
          <t>8 giờ trước</t>
        </is>
      </c>
      <c r="G467" s="55" t="n">
        <v>0.33</v>
      </c>
      <c r="H467" s="56" t="n">
        <v>32</v>
      </c>
      <c r="I467" s="6" t="inlineStr">
        <is>
          <t>Pet Owner / Cộng đồng nuôi cún (10đ)</t>
        </is>
      </c>
      <c r="J467" s="56" t="n">
        <v>10</v>
      </c>
      <c r="K467" s="6" t="inlineStr">
        <is>
          <t>Chưa rõ giống (Cần quét Bio)</t>
        </is>
      </c>
      <c r="L467" s="56" t="n">
        <v>0</v>
      </c>
      <c r="M467" s="56" t="n">
        <v>0</v>
      </c>
      <c r="N467" s="6" t="inlineStr">
        <is>
          <t>Amazon link not found</t>
        </is>
      </c>
      <c r="O467" s="56">
        <f>IF(N467="Selling pet toys + Artificial grass/Pet toilets (TARGET)",15,IF(N467="Selling artificial grass/pet toilets (TARGET)",10,IF(N467="Selling pet toys",7,IF(N467="There's an Amazon link, but no target sales.",3,0))))</f>
        <v/>
      </c>
      <c r="P467" s="65">
        <f>H467+J467+L467+M467+O467</f>
        <v/>
      </c>
      <c r="Q467" s="71" t="inlineStr">
        <is>
          <t>Excluded: Trang Chung / Không rõ Ngách Cún cưng</t>
        </is>
      </c>
      <c r="R467" s="6" t="inlineStr">
        <is>
          <t>Khay vệ sinh chung cư (Indoor Potty) + Thảm cỏ ban công (Grass Patch) + Đồ chơi</t>
        </is>
      </c>
      <c r="S467" s="6" t="inlineStr">
        <is>
          <t>Tuyệt đối không đưa vào CRM (Vi phạm Bộ lọc Âm tính Mục 5)</t>
        </is>
      </c>
    </row>
    <row r="468">
      <c r="A468" s="59" t="n">
        <v>3241</v>
      </c>
      <c r="B468" s="15" t="inlineStr">
        <is>
          <t>Troy Animal Hospital</t>
        </is>
      </c>
      <c r="C468" s="60" t="inlineStr">
        <is>
          <t>https://www.facebook.com/TroyAnimalHospital</t>
        </is>
      </c>
      <c r="D468" s="9" t="inlineStr">
        <is>
          <t>Cần quét Bio Fanpage</t>
        </is>
      </c>
      <c r="E468" s="59" t="inlineStr">
        <is>
          <t>12/10/2026 16:45:02</t>
        </is>
      </c>
      <c r="F468" s="59" t="inlineStr">
        <is>
          <t>14 giờ trước</t>
        </is>
      </c>
      <c r="G468" s="61" t="n">
        <v>0.58</v>
      </c>
      <c r="H468" s="62" t="n">
        <v>32</v>
      </c>
      <c r="I468" s="9" t="inlineStr">
        <is>
          <t>Pet Owner / Cộng đồng nuôi cún (10đ)</t>
        </is>
      </c>
      <c r="J468" s="62" t="n">
        <v>10</v>
      </c>
      <c r="K468" s="9" t="inlineStr">
        <is>
          <t>Chưa rõ giống (Cần quét Bio)</t>
        </is>
      </c>
      <c r="L468" s="62" t="n">
        <v>0</v>
      </c>
      <c r="M468" s="62" t="n">
        <v>0</v>
      </c>
      <c r="N468" s="9" t="inlineStr">
        <is>
          <t>Amazon link not found</t>
        </is>
      </c>
      <c r="O468" s="62">
        <f>IF(N468="Selling pet toys + Artificial grass/Pet toilets (TARGET)",15,IF(N468="Selling artificial grass/pet toilets (TARGET)",10,IF(N468="Selling pet toys",7,IF(N468="There's an Amazon link, but no target sales.",3,0))))</f>
        <v/>
      </c>
      <c r="P468" s="67">
        <f>H468+J468+L468+M468+O468</f>
        <v/>
      </c>
      <c r="Q468" s="70" t="inlineStr">
        <is>
          <t>Excluded: Công ty Gen DNA &amp; Thú y (Mục 5.4)</t>
        </is>
      </c>
      <c r="R468" s="9" t="inlineStr">
        <is>
          <t>Khay vệ sinh chung cư (Indoor Potty) + Thảm cỏ ban công (Grass Patch) + Đồ chơi</t>
        </is>
      </c>
      <c r="S468" s="9" t="inlineStr">
        <is>
          <t>Tuyệt đối không đưa vào CRM (Vi phạm Bộ lọc Âm tính Mục 5)</t>
        </is>
      </c>
    </row>
    <row r="469">
      <c r="A469" s="53" t="n">
        <v>3510</v>
      </c>
      <c r="B469" s="12" t="inlineStr">
        <is>
          <t>MornuimnimClinic</t>
        </is>
      </c>
      <c r="C469" s="54" t="inlineStr">
        <is>
          <t>https://www.facebook.com/MornuimnimClinic</t>
        </is>
      </c>
      <c r="D469" s="6" t="inlineStr">
        <is>
          <t>Cần quét Bio Fanpage</t>
        </is>
      </c>
      <c r="E469" s="53" t="inlineStr">
        <is>
          <t>12/10/2026 16:44:51</t>
        </is>
      </c>
      <c r="F469" s="53" t="inlineStr">
        <is>
          <t>14 giờ trước</t>
        </is>
      </c>
      <c r="G469" s="55" t="n">
        <v>0.58</v>
      </c>
      <c r="H469" s="56" t="n">
        <v>32</v>
      </c>
      <c r="I469" s="6" t="inlineStr">
        <is>
          <t>Pet Owner / Cộng đồng nuôi cún (10đ)</t>
        </is>
      </c>
      <c r="J469" s="56" t="n">
        <v>10</v>
      </c>
      <c r="K469" s="6" t="inlineStr">
        <is>
          <t>Chưa rõ giống (Cần quét Bio)</t>
        </is>
      </c>
      <c r="L469" s="56" t="n">
        <v>0</v>
      </c>
      <c r="M469" s="56" t="n">
        <v>0</v>
      </c>
      <c r="N469" s="6" t="inlineStr">
        <is>
          <t>Amazon link not found</t>
        </is>
      </c>
      <c r="O469" s="56">
        <f>IF(N469="Selling pet toys + Artificial grass/Pet toilets (TARGET)",15,IF(N469="Selling artificial grass/pet toilets (TARGET)",10,IF(N469="Selling pet toys",7,IF(N469="There's an Amazon link, but no target sales.",3,0))))</f>
        <v/>
      </c>
      <c r="P469" s="65">
        <f>H469+J469+L469+M469+O469</f>
        <v/>
      </c>
      <c r="Q469" s="71" t="inlineStr">
        <is>
          <t>Excluded: Trang Chung / Không rõ Ngách Cún cưng</t>
        </is>
      </c>
      <c r="R469" s="6" t="inlineStr">
        <is>
          <t>Khay vệ sinh chung cư (Indoor Potty) + Thảm cỏ ban công (Grass Patch) + Đồ chơi</t>
        </is>
      </c>
      <c r="S469" s="6" t="inlineStr">
        <is>
          <t>Tuyệt đối không đưa vào CRM (Vi phạm Bộ lọc Âm tính Mục 5)</t>
        </is>
      </c>
    </row>
    <row r="470">
      <c r="A470" s="59" t="n">
        <v>2084</v>
      </c>
      <c r="B470" s="15" t="inlineStr">
        <is>
          <t>M Med Clinic Phitsanulok</t>
        </is>
      </c>
      <c r="C470" s="60" t="inlineStr">
        <is>
          <t>https://www.facebook.com/mmedphisanulok</t>
        </is>
      </c>
      <c r="D470" s="9" t="inlineStr">
        <is>
          <t>Cần quét Bio Fanpage</t>
        </is>
      </c>
      <c r="E470" s="59" t="inlineStr">
        <is>
          <t>12/10/2026 15:05:29</t>
        </is>
      </c>
      <c r="F470" s="59" t="inlineStr">
        <is>
          <t>13 giờ trước</t>
        </is>
      </c>
      <c r="G470" s="61" t="n">
        <v>0.54</v>
      </c>
      <c r="H470" s="62" t="n">
        <v>32</v>
      </c>
      <c r="I470" s="9" t="inlineStr">
        <is>
          <t>Pet Owner / Cộng đồng nuôi cún (10đ)</t>
        </is>
      </c>
      <c r="J470" s="62" t="n">
        <v>10</v>
      </c>
      <c r="K470" s="9" t="inlineStr">
        <is>
          <t>Chưa rõ giống (Cần quét Bio)</t>
        </is>
      </c>
      <c r="L470" s="62" t="n">
        <v>0</v>
      </c>
      <c r="M470" s="62" t="n">
        <v>0</v>
      </c>
      <c r="N470" s="9" t="inlineStr">
        <is>
          <t>Amazon link not found</t>
        </is>
      </c>
      <c r="O470" s="62">
        <f>IF(N470="Selling pet toys + Artificial grass/Pet toilets (TARGET)",15,IF(N470="Selling artificial grass/pet toilets (TARGET)",10,IF(N470="Selling pet toys",7,IF(N470="There's an Amazon link, but no target sales.",3,0))))</f>
        <v/>
      </c>
      <c r="P470" s="67">
        <f>H470+J470+L470+M470+O470</f>
        <v/>
      </c>
      <c r="Q470" s="70" t="inlineStr">
        <is>
          <t>Excluded: Trang Chung / Không rõ Ngách Cún cưng</t>
        </is>
      </c>
      <c r="R470" s="9" t="inlineStr">
        <is>
          <t>Khay vệ sinh chung cư (Indoor Potty) + Thảm cỏ ban công (Grass Patch) + Đồ chơi</t>
        </is>
      </c>
      <c r="S470" s="9" t="inlineStr">
        <is>
          <t>Tuyệt đối không đưa vào CRM (Vi phạm Bộ lọc Âm tính Mục 5)</t>
        </is>
      </c>
    </row>
    <row r="471">
      <c r="A471" s="53" t="n">
        <v>2853</v>
      </c>
      <c r="B471" s="12" t="inlineStr">
        <is>
          <t>Seixovet Clínica Veterinaria</t>
        </is>
      </c>
      <c r="C471" s="54" t="inlineStr">
        <is>
          <t>https://www.facebook.com/Seixovet</t>
        </is>
      </c>
      <c r="D471" s="6" t="inlineStr">
        <is>
          <t>Cần quét Bio Fanpage</t>
        </is>
      </c>
      <c r="E471" s="53" t="inlineStr">
        <is>
          <t>12/10/2026 15:02:05</t>
        </is>
      </c>
      <c r="F471" s="53" t="inlineStr">
        <is>
          <t>15 giờ trước</t>
        </is>
      </c>
      <c r="G471" s="55" t="n">
        <v>0.62</v>
      </c>
      <c r="H471" s="56" t="n">
        <v>32</v>
      </c>
      <c r="I471" s="6" t="inlineStr">
        <is>
          <t>Pet Owner / Cộng đồng nuôi cún (10đ)</t>
        </is>
      </c>
      <c r="J471" s="56" t="n">
        <v>10</v>
      </c>
      <c r="K471" s="6" t="inlineStr">
        <is>
          <t>Chưa rõ giống (Cần quét Bio)</t>
        </is>
      </c>
      <c r="L471" s="56" t="n">
        <v>0</v>
      </c>
      <c r="M471" s="56" t="n">
        <v>0</v>
      </c>
      <c r="N471" s="6" t="inlineStr">
        <is>
          <t>Amazon link not found</t>
        </is>
      </c>
      <c r="O471" s="56">
        <f>IF(N471="Selling pet toys + Artificial grass/Pet toilets (TARGET)",15,IF(N471="Selling artificial grass/pet toilets (TARGET)",10,IF(N471="Selling pet toys",7,IF(N471="There's an Amazon link, but no target sales.",3,0))))</f>
        <v/>
      </c>
      <c r="P471" s="65">
        <f>H471+J471+L471+M471+O471</f>
        <v/>
      </c>
      <c r="Q471" s="71" t="inlineStr">
        <is>
          <t>Excluded: Công ty Gen DNA &amp; Thú y (Mục 5.4)</t>
        </is>
      </c>
      <c r="R471" s="6" t="inlineStr">
        <is>
          <t>Khay vệ sinh chung cư (Indoor Potty) + Thảm cỏ ban công (Grass Patch) + Đồ chơi</t>
        </is>
      </c>
      <c r="S471" s="6" t="inlineStr">
        <is>
          <t>Tuyệt đối không đưa vào CRM (Vi phạm Bộ lọc Âm tính Mục 5)</t>
        </is>
      </c>
    </row>
    <row r="472">
      <c r="A472" s="59" t="n">
        <v>917</v>
      </c>
      <c r="B472" s="15" t="inlineStr">
        <is>
          <t>Clínica Veterinaria Bichopolis</t>
        </is>
      </c>
      <c r="C472" s="60" t="inlineStr">
        <is>
          <t>https://www.facebook.com/ClinicaBichopolis</t>
        </is>
      </c>
      <c r="D472" s="9" t="inlineStr">
        <is>
          <t>Cần quét Bio Fanpage</t>
        </is>
      </c>
      <c r="E472" s="59" t="inlineStr">
        <is>
          <t>12/10/2026 15:01:54</t>
        </is>
      </c>
      <c r="F472" s="59" t="inlineStr">
        <is>
          <t>11 giờ trước</t>
        </is>
      </c>
      <c r="G472" s="61" t="n">
        <v>0.46</v>
      </c>
      <c r="H472" s="62" t="n">
        <v>32</v>
      </c>
      <c r="I472" s="9" t="inlineStr">
        <is>
          <t>Pet Owner / Cộng đồng nuôi cún (10đ)</t>
        </is>
      </c>
      <c r="J472" s="62" t="n">
        <v>10</v>
      </c>
      <c r="K472" s="9" t="inlineStr">
        <is>
          <t>Chưa rõ giống (Cần quét Bio)</t>
        </is>
      </c>
      <c r="L472" s="62" t="n">
        <v>0</v>
      </c>
      <c r="M472" s="62" t="n">
        <v>0</v>
      </c>
      <c r="N472" s="9" t="inlineStr">
        <is>
          <t>Amazon link not found</t>
        </is>
      </c>
      <c r="O472" s="62">
        <f>IF(N472="Selling pet toys + Artificial grass/Pet toilets (TARGET)",15,IF(N472="Selling artificial grass/pet toilets (TARGET)",10,IF(N472="Selling pet toys",7,IF(N472="There's an Amazon link, but no target sales.",3,0))))</f>
        <v/>
      </c>
      <c r="P472" s="67">
        <f>H472+J472+L472+M472+O472</f>
        <v/>
      </c>
      <c r="Q472" s="70" t="inlineStr">
        <is>
          <t>Excluded: Công ty Gen DNA &amp; Thú y (Mục 5.4)</t>
        </is>
      </c>
      <c r="R472" s="9" t="inlineStr">
        <is>
          <t>Khay vệ sinh chung cư (Indoor Potty) + Thảm cỏ ban công (Grass Patch) + Đồ chơi</t>
        </is>
      </c>
      <c r="S472" s="9" t="inlineStr">
        <is>
          <t>Tuyệt đối không đưa vào CRM (Vi phạm Bộ lọc Âm tính Mục 5)</t>
        </is>
      </c>
    </row>
    <row r="473">
      <c r="A473" s="53" t="n">
        <v>1401</v>
      </c>
      <c r="B473" s="12" t="inlineStr">
        <is>
          <t>Florenza Clinic - หุ่นดีดูแลโดยแพทย์</t>
        </is>
      </c>
      <c r="C473" s="54" t="inlineStr">
        <is>
          <t>https://www.facebook.com/FlorenzaCilnicRamintra2</t>
        </is>
      </c>
      <c r="D473" s="6" t="inlineStr">
        <is>
          <t>Cần quét Bio Fanpage</t>
        </is>
      </c>
      <c r="E473" s="53" t="inlineStr">
        <is>
          <t>12/10/2026 15:01:21</t>
        </is>
      </c>
      <c r="F473" s="53" t="inlineStr">
        <is>
          <t>12 giờ trước</t>
        </is>
      </c>
      <c r="G473" s="55" t="n">
        <v>0.5</v>
      </c>
      <c r="H473" s="56" t="n">
        <v>32</v>
      </c>
      <c r="I473" s="6" t="inlineStr">
        <is>
          <t>Pet Owner / Cộng đồng nuôi cún (10đ)</t>
        </is>
      </c>
      <c r="J473" s="56" t="n">
        <v>10</v>
      </c>
      <c r="K473" s="6" t="inlineStr">
        <is>
          <t>Chưa rõ giống (Cần quét Bio)</t>
        </is>
      </c>
      <c r="L473" s="56" t="n">
        <v>0</v>
      </c>
      <c r="M473" s="56" t="n">
        <v>0</v>
      </c>
      <c r="N473" s="6" t="inlineStr">
        <is>
          <t>Amazon link not found</t>
        </is>
      </c>
      <c r="O473" s="56">
        <f>IF(N473="Selling pet toys + Artificial grass/Pet toilets (TARGET)",15,IF(N473="Selling artificial grass/pet toilets (TARGET)",10,IF(N473="Selling pet toys",7,IF(N473="There's an Amazon link, but no target sales.",3,0))))</f>
        <v/>
      </c>
      <c r="P473" s="65">
        <f>H473+J473+L473+M473+O473</f>
        <v/>
      </c>
      <c r="Q473" s="71" t="inlineStr">
        <is>
          <t>Excluded: Trang Chung / Không rõ Ngách Cún cưng</t>
        </is>
      </c>
      <c r="R473" s="6" t="inlineStr">
        <is>
          <t>Khay vệ sinh chung cư (Indoor Potty) + Thảm cỏ ban công (Grass Patch) + Đồ chơi</t>
        </is>
      </c>
      <c r="S473" s="6" t="inlineStr">
        <is>
          <t>Tuyệt đối không đưa vào CRM (Vi phạm Bộ lọc Âm tính Mục 5)</t>
        </is>
      </c>
    </row>
    <row r="474">
      <c r="A474" s="59" t="n">
        <v>931</v>
      </c>
      <c r="B474" s="15" t="inlineStr">
        <is>
          <t>communication animale Anna Evans</t>
        </is>
      </c>
      <c r="C474" s="60" t="inlineStr">
        <is>
          <t>https://www.facebook.com/communicationanimaleannaevans</t>
        </is>
      </c>
      <c r="D474" s="9" t="inlineStr">
        <is>
          <t>Cần quét Bio Fanpage</t>
        </is>
      </c>
      <c r="E474" s="59" t="inlineStr">
        <is>
          <t>12/10/2026 15:00:26</t>
        </is>
      </c>
      <c r="F474" s="59" t="inlineStr">
        <is>
          <t>11 giờ trước</t>
        </is>
      </c>
      <c r="G474" s="61" t="n">
        <v>0.46</v>
      </c>
      <c r="H474" s="62" t="n">
        <v>32</v>
      </c>
      <c r="I474" s="9" t="inlineStr">
        <is>
          <t>Pet Owner / Cộng đồng nuôi cún (10đ)</t>
        </is>
      </c>
      <c r="J474" s="62" t="n">
        <v>10</v>
      </c>
      <c r="K474" s="9" t="inlineStr">
        <is>
          <t>Chưa rõ giống (Cần quét Bio)</t>
        </is>
      </c>
      <c r="L474" s="62" t="n">
        <v>0</v>
      </c>
      <c r="M474" s="62" t="n">
        <v>0</v>
      </c>
      <c r="N474" s="9" t="inlineStr">
        <is>
          <t>Amazon link not found</t>
        </is>
      </c>
      <c r="O474" s="62">
        <f>IF(N474="Selling pet toys + Artificial grass/Pet toilets (TARGET)",15,IF(N474="Selling artificial grass/pet toilets (TARGET)",10,IF(N474="Selling pet toys",7,IF(N474="There's an Amazon link, but no target sales.",3,0))))</f>
        <v/>
      </c>
      <c r="P474" s="67">
        <f>H474+J474+L474+M474+O474</f>
        <v/>
      </c>
      <c r="Q474" s="70" t="inlineStr">
        <is>
          <t>Excluded: Trang Chung / Không rõ Ngách Cún cưng</t>
        </is>
      </c>
      <c r="R474" s="9" t="inlineStr">
        <is>
          <t>Khay vệ sinh chung cư (Indoor Potty) + Thảm cỏ ban công (Grass Patch) + Đồ chơi</t>
        </is>
      </c>
      <c r="S474" s="9" t="inlineStr">
        <is>
          <t>Tuyệt đối không đưa vào CRM (Vi phạm Bộ lọc Âm tính Mục 5)</t>
        </is>
      </c>
    </row>
    <row r="475">
      <c r="A475" s="53" t="n">
        <v>3205</v>
      </c>
      <c r="B475" s="12" t="inlineStr">
        <is>
          <t>Tolman Self Care</t>
        </is>
      </c>
      <c r="C475" s="54" t="inlineStr">
        <is>
          <t>https://www.facebook.com/TolmanSelfCare</t>
        </is>
      </c>
      <c r="D475" s="6" t="inlineStr">
        <is>
          <t>Cần quét Bio Fanpage</t>
        </is>
      </c>
      <c r="E475" s="53" t="inlineStr">
        <is>
          <t>12/10/2026 14:41:35</t>
        </is>
      </c>
      <c r="F475" s="53" t="inlineStr">
        <is>
          <t>15 giờ trước</t>
        </is>
      </c>
      <c r="G475" s="55" t="n">
        <v>0.62</v>
      </c>
      <c r="H475" s="56" t="n">
        <v>32</v>
      </c>
      <c r="I475" s="6" t="inlineStr">
        <is>
          <t>Pet Owner / Cộng đồng nuôi cún (10đ)</t>
        </is>
      </c>
      <c r="J475" s="56" t="n">
        <v>10</v>
      </c>
      <c r="K475" s="6" t="inlineStr">
        <is>
          <t>Chưa rõ giống (Cần quét Bio)</t>
        </is>
      </c>
      <c r="L475" s="56" t="n">
        <v>0</v>
      </c>
      <c r="M475" s="56" t="n">
        <v>0</v>
      </c>
      <c r="N475" s="6" t="inlineStr">
        <is>
          <t>Amazon link not found</t>
        </is>
      </c>
      <c r="O475" s="56">
        <f>IF(N475="Selling pet toys + Artificial grass/Pet toilets (TARGET)",15,IF(N475="Selling artificial grass/pet toilets (TARGET)",10,IF(N475="Selling pet toys",7,IF(N475="There's an Amazon link, but no target sales.",3,0))))</f>
        <v/>
      </c>
      <c r="P475" s="65">
        <f>H475+J475+L475+M475+O475</f>
        <v/>
      </c>
      <c r="Q475" s="71" t="inlineStr">
        <is>
          <t>Excluded: Trang Chung / Không rõ Ngách Cún cưng</t>
        </is>
      </c>
      <c r="R475" s="6" t="inlineStr">
        <is>
          <t>Khay vệ sinh chung cư (Indoor Potty) + Thảm cỏ ban công (Grass Patch) + Đồ chơi</t>
        </is>
      </c>
      <c r="S475" s="6" t="inlineStr">
        <is>
          <t>Tuyệt đối không đưa vào CRM (Vi phạm Bộ lọc Âm tính Mục 5)</t>
        </is>
      </c>
    </row>
    <row r="476">
      <c r="A476" s="59" t="n">
        <v>577</v>
      </c>
      <c r="B476" s="15" t="inlineStr">
        <is>
          <t>Bakewell Veterinary Clinic</t>
        </is>
      </c>
      <c r="C476" s="60" t="inlineStr">
        <is>
          <t>https://www.facebook.com/bakewellvets</t>
        </is>
      </c>
      <c r="D476" s="9" t="inlineStr">
        <is>
          <t>Cần quét Bio Fanpage</t>
        </is>
      </c>
      <c r="E476" s="59" t="inlineStr">
        <is>
          <t>12/10/2026 14:39:38</t>
        </is>
      </c>
      <c r="F476" s="59" t="inlineStr">
        <is>
          <t>11 giờ trước</t>
        </is>
      </c>
      <c r="G476" s="61" t="n">
        <v>0.46</v>
      </c>
      <c r="H476" s="62" t="n">
        <v>32</v>
      </c>
      <c r="I476" s="9" t="inlineStr">
        <is>
          <t>Pet Owner / Cộng đồng nuôi cún (10đ)</t>
        </is>
      </c>
      <c r="J476" s="62" t="n">
        <v>10</v>
      </c>
      <c r="K476" s="9" t="inlineStr">
        <is>
          <t>Chưa rõ giống (Cần quét Bio)</t>
        </is>
      </c>
      <c r="L476" s="62" t="n">
        <v>0</v>
      </c>
      <c r="M476" s="62" t="n">
        <v>0</v>
      </c>
      <c r="N476" s="9" t="inlineStr">
        <is>
          <t>Amazon link not found</t>
        </is>
      </c>
      <c r="O476" s="62">
        <f>IF(N476="Selling pet toys + Artificial grass/Pet toilets (TARGET)",15,IF(N476="Selling artificial grass/pet toilets (TARGET)",10,IF(N476="Selling pet toys",7,IF(N476="There's an Amazon link, but no target sales.",3,0))))</f>
        <v/>
      </c>
      <c r="P476" s="67">
        <f>H476+J476+L476+M476+O476</f>
        <v/>
      </c>
      <c r="Q476" s="70" t="inlineStr">
        <is>
          <t>Excluded: Công ty Gen DNA &amp; Thú y (Mục 5.4)</t>
        </is>
      </c>
      <c r="R476" s="9" t="inlineStr">
        <is>
          <t>Khay vệ sinh chung cư (Indoor Potty) + Thảm cỏ ban công (Grass Patch) + Đồ chơi</t>
        </is>
      </c>
      <c r="S476" s="9" t="inlineStr">
        <is>
          <t>Tuyệt đối không đưa vào CRM (Vi phạm Bộ lọc Âm tính Mục 5)</t>
        </is>
      </c>
    </row>
    <row r="477">
      <c r="A477" s="53" t="n">
        <v>837</v>
      </c>
      <c r="B477" s="12" t="inlineStr">
        <is>
          <t>Care apple phone ผ่อนไอโฟน อนุมัติไว สาขาลพบุรี</t>
        </is>
      </c>
      <c r="C477" s="54" t="inlineStr">
        <is>
          <t>https://www.facebook.com/profile.php?id=61568642579193</t>
        </is>
      </c>
      <c r="D477" s="6" t="inlineStr">
        <is>
          <t>Cần quét Bio Fanpage</t>
        </is>
      </c>
      <c r="E477" s="53" t="inlineStr">
        <is>
          <t>12/10/2026 14:12:21</t>
        </is>
      </c>
      <c r="F477" s="53" t="inlineStr">
        <is>
          <t>12 giờ trước</t>
        </is>
      </c>
      <c r="G477" s="55" t="n">
        <v>0.5</v>
      </c>
      <c r="H477" s="56" t="n">
        <v>32</v>
      </c>
      <c r="I477" s="6" t="inlineStr">
        <is>
          <t>Pet Owner / Cộng đồng nuôi cún (10đ)</t>
        </is>
      </c>
      <c r="J477" s="56" t="n">
        <v>10</v>
      </c>
      <c r="K477" s="6" t="inlineStr">
        <is>
          <t>Chưa rõ giống (Cần quét Bio)</t>
        </is>
      </c>
      <c r="L477" s="56" t="n">
        <v>0</v>
      </c>
      <c r="M477" s="56" t="n">
        <v>0</v>
      </c>
      <c r="N477" s="6" t="inlineStr">
        <is>
          <t>Amazon link not found</t>
        </is>
      </c>
      <c r="O477" s="56">
        <f>IF(N477="Selling pet toys + Artificial grass/Pet toilets (TARGET)",15,IF(N477="Selling artificial grass/pet toilets (TARGET)",10,IF(N477="Selling pet toys",7,IF(N477="There's an Amazon link, but no target sales.",3,0))))</f>
        <v/>
      </c>
      <c r="P477" s="65">
        <f>H477+J477+L477+M477+O477</f>
        <v/>
      </c>
      <c r="Q477" s="71" t="inlineStr">
        <is>
          <t>Excluded: Trang Chung / Không rõ Ngách Cún cưng</t>
        </is>
      </c>
      <c r="R477" s="6" t="inlineStr">
        <is>
          <t>Khay vệ sinh chung cư (Indoor Potty) + Thảm cỏ ban công (Grass Patch) + Đồ chơi</t>
        </is>
      </c>
      <c r="S477" s="6" t="inlineStr">
        <is>
          <t>Tuyệt đối không đưa vào CRM (Vi phạm Bộ lọc Âm tính Mục 5)</t>
        </is>
      </c>
    </row>
    <row r="478">
      <c r="A478" s="59" t="n">
        <v>260</v>
      </c>
      <c r="B478" s="15" t="inlineStr">
        <is>
          <t>Ryedale Vets</t>
        </is>
      </c>
      <c r="C478" s="60" t="inlineStr">
        <is>
          <t>https://www.facebook.com/RyedaleVets</t>
        </is>
      </c>
      <c r="D478" s="9" t="inlineStr">
        <is>
          <t>Cần quét Bio Fanpage</t>
        </is>
      </c>
      <c r="E478" s="59" t="inlineStr">
        <is>
          <t>12/10/2026 13:30:58</t>
        </is>
      </c>
      <c r="F478" s="59" t="inlineStr">
        <is>
          <t>11 giờ trước</t>
        </is>
      </c>
      <c r="G478" s="61" t="n">
        <v>0.46</v>
      </c>
      <c r="H478" s="62" t="n">
        <v>32</v>
      </c>
      <c r="I478" s="9" t="inlineStr">
        <is>
          <t>Pet Owner / Cộng đồng nuôi cún (10đ)</t>
        </is>
      </c>
      <c r="J478" s="62" t="n">
        <v>10</v>
      </c>
      <c r="K478" s="9" t="inlineStr">
        <is>
          <t>Chưa rõ giống (Cần quét Bio)</t>
        </is>
      </c>
      <c r="L478" s="62" t="n">
        <v>0</v>
      </c>
      <c r="M478" s="62" t="n">
        <v>0</v>
      </c>
      <c r="N478" s="9" t="inlineStr">
        <is>
          <t>Amazon link not found</t>
        </is>
      </c>
      <c r="O478" s="62">
        <f>IF(N478="Selling pet toys + Artificial grass/Pet toilets (TARGET)",15,IF(N478="Selling artificial grass/pet toilets (TARGET)",10,IF(N478="Selling pet toys",7,IF(N478="There's an Amazon link, but no target sales.",3,0))))</f>
        <v/>
      </c>
      <c r="P478" s="67">
        <f>H478+J478+L478+M478+O478</f>
        <v/>
      </c>
      <c r="Q478" s="70" t="inlineStr">
        <is>
          <t>Excluded: Trang Chung / Không rõ Ngách Cún cưng</t>
        </is>
      </c>
      <c r="R478" s="9" t="inlineStr">
        <is>
          <t>Khay vệ sinh chung cư (Indoor Potty) + Thảm cỏ ban công (Grass Patch) + Đồ chơi</t>
        </is>
      </c>
      <c r="S478" s="9" t="inlineStr">
        <is>
          <t>Tuyệt đối không đưa vào CRM (Vi phạm Bộ lọc Âm tính Mục 5)</t>
        </is>
      </c>
    </row>
    <row r="479">
      <c r="A479" s="53" t="n">
        <v>1758</v>
      </c>
      <c r="B479" s="12" t="inlineStr">
        <is>
          <t>Jeanette Carey</t>
        </is>
      </c>
      <c r="C479" s="54" t="inlineStr">
        <is>
          <t>https://www.facebook.com/jeanette.carey.478885</t>
        </is>
      </c>
      <c r="D479" s="6" t="inlineStr">
        <is>
          <t>Cần quét Bio Fanpage</t>
        </is>
      </c>
      <c r="E479" s="53" t="inlineStr">
        <is>
          <t>12/10/2026 13:14:27</t>
        </is>
      </c>
      <c r="F479" s="53" t="inlineStr">
        <is>
          <t>14 giờ trước</t>
        </is>
      </c>
      <c r="G479" s="55" t="n">
        <v>0.58</v>
      </c>
      <c r="H479" s="56" t="n">
        <v>32</v>
      </c>
      <c r="I479" s="6" t="inlineStr">
        <is>
          <t>Pet Owner / Cộng đồng nuôi cún (10đ)</t>
        </is>
      </c>
      <c r="J479" s="56" t="n">
        <v>10</v>
      </c>
      <c r="K479" s="6" t="inlineStr">
        <is>
          <t>Chưa rõ giống (Cần quét Bio)</t>
        </is>
      </c>
      <c r="L479" s="56" t="n">
        <v>0</v>
      </c>
      <c r="M479" s="56" t="n">
        <v>0</v>
      </c>
      <c r="N479" s="6" t="inlineStr">
        <is>
          <t>Amazon link not found</t>
        </is>
      </c>
      <c r="O479" s="56">
        <f>IF(N479="Selling pet toys + Artificial grass/Pet toilets (TARGET)",15,IF(N479="Selling artificial grass/pet toilets (TARGET)",10,IF(N479="Selling pet toys",7,IF(N479="There's an Amazon link, but no target sales.",3,0))))</f>
        <v/>
      </c>
      <c r="P479" s="65">
        <f>H479+J479+L479+M479+O479</f>
        <v/>
      </c>
      <c r="Q479" s="71" t="inlineStr">
        <is>
          <t>Excluded: Trang Chung / Không rõ Ngách Cún cưng</t>
        </is>
      </c>
      <c r="R479" s="6" t="inlineStr">
        <is>
          <t>Khay vệ sinh chung cư (Indoor Potty) + Thảm cỏ ban công (Grass Patch) + Đồ chơi</t>
        </is>
      </c>
      <c r="S479" s="6" t="inlineStr">
        <is>
          <t>Tuyệt đối không đưa vào CRM (Vi phạm Bộ lọc Âm tính Mục 5)</t>
        </is>
      </c>
    </row>
    <row r="480">
      <c r="A480" s="59" t="n">
        <v>3309</v>
      </c>
      <c r="B480" s="15" t="inlineStr">
        <is>
          <t>Veterina Čunovo</t>
        </is>
      </c>
      <c r="C480" s="60" t="inlineStr">
        <is>
          <t>https://www.facebook.com/veterinacunovo</t>
        </is>
      </c>
      <c r="D480" s="9" t="inlineStr">
        <is>
          <t>Cần quét Bio Fanpage</t>
        </is>
      </c>
      <c r="E480" s="59" t="inlineStr">
        <is>
          <t>12/10/2026 13:04:54</t>
        </is>
      </c>
      <c r="F480" s="59" t="inlineStr">
        <is>
          <t>17 giờ trước</t>
        </is>
      </c>
      <c r="G480" s="61" t="n">
        <v>0.71</v>
      </c>
      <c r="H480" s="62" t="n">
        <v>32</v>
      </c>
      <c r="I480" s="9" t="inlineStr">
        <is>
          <t>Pet Owner / Cộng đồng nuôi cún (10đ)</t>
        </is>
      </c>
      <c r="J480" s="62" t="n">
        <v>10</v>
      </c>
      <c r="K480" s="9" t="inlineStr">
        <is>
          <t>Chưa rõ giống (Cần quét Bio)</t>
        </is>
      </c>
      <c r="L480" s="62" t="n">
        <v>0</v>
      </c>
      <c r="M480" s="62" t="n">
        <v>0</v>
      </c>
      <c r="N480" s="9" t="inlineStr">
        <is>
          <t>Amazon link not found</t>
        </is>
      </c>
      <c r="O480" s="62">
        <f>IF(N480="Selling pet toys + Artificial grass/Pet toilets (TARGET)",15,IF(N480="Selling artificial grass/pet toilets (TARGET)",10,IF(N480="Selling pet toys",7,IF(N480="There's an Amazon link, but no target sales.",3,0))))</f>
        <v/>
      </c>
      <c r="P480" s="67">
        <f>H480+J480+L480+M480+O480</f>
        <v/>
      </c>
      <c r="Q480" s="70" t="inlineStr">
        <is>
          <t>Excluded: Trang Chung / Không rõ Ngách Cún cưng</t>
        </is>
      </c>
      <c r="R480" s="9" t="inlineStr">
        <is>
          <t>Khay vệ sinh chung cư (Indoor Potty) + Thảm cỏ ban công (Grass Patch) + Đồ chơi</t>
        </is>
      </c>
      <c r="S480" s="9" t="inlineStr">
        <is>
          <t>Tuyệt đối không đưa vào CRM (Vi phạm Bộ lọc Âm tính Mục 5)</t>
        </is>
      </c>
    </row>
    <row r="481">
      <c r="A481" s="53" t="n">
        <v>298</v>
      </c>
      <c r="B481" s="12" t="inlineStr">
        <is>
          <t>102 Pet Friends Animal Hospital</t>
        </is>
      </c>
      <c r="C481" s="54" t="inlineStr">
        <is>
          <t>https://www.facebook.com/102petfriends</t>
        </is>
      </c>
      <c r="D481" s="6" t="inlineStr">
        <is>
          <t>Cần quét Bio Fanpage</t>
        </is>
      </c>
      <c r="E481" s="53" t="inlineStr">
        <is>
          <t>12/10/2026 12:52:56</t>
        </is>
      </c>
      <c r="F481" s="53" t="inlineStr">
        <is>
          <t>12 giờ trước</t>
        </is>
      </c>
      <c r="G481" s="55" t="n">
        <v>0.5</v>
      </c>
      <c r="H481" s="56" t="n">
        <v>32</v>
      </c>
      <c r="I481" s="6" t="inlineStr">
        <is>
          <t>Pet Owner / Cộng đồng nuôi cún (10đ)</t>
        </is>
      </c>
      <c r="J481" s="56" t="n">
        <v>10</v>
      </c>
      <c r="K481" s="6" t="inlineStr">
        <is>
          <t>Chưa rõ giống (Cần quét Bio)</t>
        </is>
      </c>
      <c r="L481" s="56" t="n">
        <v>0</v>
      </c>
      <c r="M481" s="56" t="n">
        <v>0</v>
      </c>
      <c r="N481" s="6" t="inlineStr">
        <is>
          <t>Amazon link not found</t>
        </is>
      </c>
      <c r="O481" s="56">
        <f>IF(N481="Selling pet toys + Artificial grass/Pet toilets (TARGET)",15,IF(N481="Selling artificial grass/pet toilets (TARGET)",10,IF(N481="Selling pet toys",7,IF(N481="There's an Amazon link, but no target sales.",3,0))))</f>
        <v/>
      </c>
      <c r="P481" s="65">
        <f>H481+J481+L481+M481+O481</f>
        <v/>
      </c>
      <c r="Q481" s="71" t="inlineStr">
        <is>
          <t>Excluded: Công ty Gen DNA &amp; Thú y (Mục 5.4)</t>
        </is>
      </c>
      <c r="R481" s="6" t="inlineStr">
        <is>
          <t>Khay vệ sinh chung cư (Indoor Potty) + Thảm cỏ ban công (Grass Patch) + Đồ chơi</t>
        </is>
      </c>
      <c r="S481" s="6" t="inlineStr">
        <is>
          <t>Tuyệt đối không đưa vào CRM (Vi phạm Bộ lọc Âm tính Mục 5)</t>
        </is>
      </c>
    </row>
    <row r="482">
      <c r="A482" s="59" t="n">
        <v>2191</v>
      </c>
      <c r="B482" s="15" t="inlineStr">
        <is>
          <t>Minifarm</t>
        </is>
      </c>
      <c r="C482" s="60" t="inlineStr">
        <is>
          <t>https://www.facebook.com/ponikaland</t>
        </is>
      </c>
      <c r="D482" s="9" t="inlineStr">
        <is>
          <t>Cần quét Bio Fanpage</t>
        </is>
      </c>
      <c r="E482" s="59" t="inlineStr">
        <is>
          <t>12/10/2026 12:28:58</t>
        </is>
      </c>
      <c r="F482" s="59" t="inlineStr">
        <is>
          <t>16 giờ trước</t>
        </is>
      </c>
      <c r="G482" s="61" t="n">
        <v>0.67</v>
      </c>
      <c r="H482" s="62" t="n">
        <v>32</v>
      </c>
      <c r="I482" s="9" t="inlineStr">
        <is>
          <t>Pet Owner / Cộng đồng nuôi cún (10đ)</t>
        </is>
      </c>
      <c r="J482" s="62" t="n">
        <v>10</v>
      </c>
      <c r="K482" s="9" t="inlineStr">
        <is>
          <t>Chưa rõ giống (Cần quét Bio)</t>
        </is>
      </c>
      <c r="L482" s="62" t="n">
        <v>0</v>
      </c>
      <c r="M482" s="62" t="n">
        <v>0</v>
      </c>
      <c r="N482" s="9" t="inlineStr">
        <is>
          <t>Amazon link not found</t>
        </is>
      </c>
      <c r="O482" s="62">
        <f>IF(N482="Selling pet toys + Artificial grass/Pet toilets (TARGET)",15,IF(N482="Selling artificial grass/pet toilets (TARGET)",10,IF(N482="Selling pet toys",7,IF(N482="There's an Amazon link, but no target sales.",3,0))))</f>
        <v/>
      </c>
      <c r="P482" s="67">
        <f>H482+J482+L482+M482+O482</f>
        <v/>
      </c>
      <c r="Q482" s="70" t="inlineStr">
        <is>
          <t>Excluded: Trang Chung / Không rõ Ngách Cún cưng</t>
        </is>
      </c>
      <c r="R482" s="9" t="inlineStr">
        <is>
          <t>Khay vệ sinh chung cư (Indoor Potty) + Thảm cỏ ban công (Grass Patch) + Đồ chơi</t>
        </is>
      </c>
      <c r="S482" s="9" t="inlineStr">
        <is>
          <t>Tuyệt đối không đưa vào CRM (Vi phạm Bộ lọc Âm tính Mục 5)</t>
        </is>
      </c>
    </row>
    <row r="483">
      <c r="A483" s="53" t="n">
        <v>493</v>
      </c>
      <c r="B483" s="12" t="inlineStr">
        <is>
          <t>Animals of Wow</t>
        </is>
      </c>
      <c r="C483" s="54" t="inlineStr">
        <is>
          <t>https://www.facebook.com/profile.php?id=100077335196252</t>
        </is>
      </c>
      <c r="D483" s="6" t="inlineStr">
        <is>
          <t>Cần quét Bio Fanpage</t>
        </is>
      </c>
      <c r="E483" s="53" t="inlineStr">
        <is>
          <t>12/10/2026 12:25:02</t>
        </is>
      </c>
      <c r="F483" s="53" t="inlineStr">
        <is>
          <t>13 giờ trước</t>
        </is>
      </c>
      <c r="G483" s="55" t="n">
        <v>0.54</v>
      </c>
      <c r="H483" s="56" t="n">
        <v>32</v>
      </c>
      <c r="I483" s="6" t="inlineStr">
        <is>
          <t>Pet Owner / Cộng đồng nuôi cún (10đ)</t>
        </is>
      </c>
      <c r="J483" s="56" t="n">
        <v>10</v>
      </c>
      <c r="K483" s="6" t="inlineStr">
        <is>
          <t>Chưa rõ giống (Cần quét Bio)</t>
        </is>
      </c>
      <c r="L483" s="56" t="n">
        <v>0</v>
      </c>
      <c r="M483" s="56" t="n">
        <v>0</v>
      </c>
      <c r="N483" s="6" t="inlineStr">
        <is>
          <t>Amazon link not found</t>
        </is>
      </c>
      <c r="O483" s="56">
        <f>IF(N483="Selling pet toys + Artificial grass/Pet toilets (TARGET)",15,IF(N483="Selling artificial grass/pet toilets (TARGET)",10,IF(N483="Selling pet toys",7,IF(N483="There's an Amazon link, but no target sales.",3,0))))</f>
        <v/>
      </c>
      <c r="P483" s="65">
        <f>H483+J483+L483+M483+O483</f>
        <v/>
      </c>
      <c r="Q483" s="71" t="inlineStr">
        <is>
          <t>Excluded: Trang Chung / Không rõ Ngách Cún cưng</t>
        </is>
      </c>
      <c r="R483" s="6" t="inlineStr">
        <is>
          <t>Khay vệ sinh chung cư (Indoor Potty) + Thảm cỏ ban công (Grass Patch) + Đồ chơi</t>
        </is>
      </c>
      <c r="S483" s="6" t="inlineStr">
        <is>
          <t>Tuyệt đối không đưa vào CRM (Vi phạm Bộ lọc Âm tính Mục 5)</t>
        </is>
      </c>
    </row>
    <row r="484">
      <c r="A484" s="59" t="n">
        <v>174</v>
      </c>
      <c r="B484" s="15" t="inlineStr">
        <is>
          <t>French Bull Dog Club Of America</t>
        </is>
      </c>
      <c r="C484" s="60" t="inlineStr">
        <is>
          <t>https://www.facebook.com/frenchbulldogclubofamerica</t>
        </is>
      </c>
      <c r="D484" s="9" t="inlineStr">
        <is>
          <t>Cần quét Bio Fanpage</t>
        </is>
      </c>
      <c r="E484" s="59" t="inlineStr">
        <is>
          <t>12/10/2026 12:19:55</t>
        </is>
      </c>
      <c r="F484" s="59" t="inlineStr">
        <is>
          <t>12 giờ trước</t>
        </is>
      </c>
      <c r="G484" s="61" t="n">
        <v>0.5</v>
      </c>
      <c r="H484" s="62" t="n">
        <v>32</v>
      </c>
      <c r="I484" s="9" t="inlineStr">
        <is>
          <t>Pet Owner / Cộng đồng nuôi cún (10đ)</t>
        </is>
      </c>
      <c r="J484" s="62" t="n">
        <v>10</v>
      </c>
      <c r="K484" s="9" t="inlineStr">
        <is>
          <t>Chưa rõ giống (Cần quét Bio)</t>
        </is>
      </c>
      <c r="L484" s="62" t="n">
        <v>0</v>
      </c>
      <c r="M484" s="62" t="n">
        <v>0</v>
      </c>
      <c r="N484" s="9" t="inlineStr">
        <is>
          <t>Amazon link not found</t>
        </is>
      </c>
      <c r="O484" s="62">
        <f>IF(N484="Selling pet toys + Artificial grass/Pet toilets (TARGET)",15,IF(N484="Selling artificial grass/pet toilets (TARGET)",10,IF(N484="Selling pet toys",7,IF(N484="There's an Amazon link, but no target sales.",3,0))))</f>
        <v/>
      </c>
      <c r="P484" s="67">
        <f>H484+J484+L484+M484+O484</f>
        <v/>
      </c>
      <c r="Q484" s="70" t="inlineStr">
        <is>
          <t>Excluded: Hiệp hội &amp; CLB Phả hệ (Mục 5.1)</t>
        </is>
      </c>
      <c r="R484" s="9" t="inlineStr">
        <is>
          <t>Khay vệ sinh chung cư (Indoor Potty) + Thảm cỏ ban công (Grass Patch) + Đồ chơi</t>
        </is>
      </c>
      <c r="S484" s="9" t="inlineStr">
        <is>
          <t>Tuyệt đối không đưa vào CRM (Vi phạm Bộ lọc Âm tính Mục 5)</t>
        </is>
      </c>
    </row>
    <row r="485">
      <c r="A485" s="53" t="n">
        <v>2006</v>
      </c>
      <c r="B485" s="12" t="inlineStr">
        <is>
          <t>lenoraclinic</t>
        </is>
      </c>
      <c r="C485" s="54" t="inlineStr">
        <is>
          <t>https://www.facebook.com/lenoraclinic</t>
        </is>
      </c>
      <c r="D485" s="6" t="inlineStr">
        <is>
          <t>Cần quét Bio Fanpage</t>
        </is>
      </c>
      <c r="E485" s="53" t="inlineStr">
        <is>
          <t>12/10/2026 12:01:01</t>
        </is>
      </c>
      <c r="F485" s="53" t="inlineStr">
        <is>
          <t>16 giờ trước</t>
        </is>
      </c>
      <c r="G485" s="55" t="n">
        <v>0.67</v>
      </c>
      <c r="H485" s="56" t="n">
        <v>32</v>
      </c>
      <c r="I485" s="6" t="inlineStr">
        <is>
          <t>Pet Owner / Cộng đồng nuôi cún (10đ)</t>
        </is>
      </c>
      <c r="J485" s="56" t="n">
        <v>10</v>
      </c>
      <c r="K485" s="6" t="inlineStr">
        <is>
          <t>Chưa rõ giống (Cần quét Bio)</t>
        </is>
      </c>
      <c r="L485" s="56" t="n">
        <v>0</v>
      </c>
      <c r="M485" s="56" t="n">
        <v>0</v>
      </c>
      <c r="N485" s="6" t="inlineStr">
        <is>
          <t>Amazon link not found</t>
        </is>
      </c>
      <c r="O485" s="56">
        <f>IF(N485="Selling pet toys + Artificial grass/Pet toilets (TARGET)",15,IF(N485="Selling artificial grass/pet toilets (TARGET)",10,IF(N485="Selling pet toys",7,IF(N485="There's an Amazon link, but no target sales.",3,0))))</f>
        <v/>
      </c>
      <c r="P485" s="65">
        <f>H485+J485+L485+M485+O485</f>
        <v/>
      </c>
      <c r="Q485" s="71" t="inlineStr">
        <is>
          <t>Excluded: Trang Chung / Không rõ Ngách Cún cưng</t>
        </is>
      </c>
      <c r="R485" s="6" t="inlineStr">
        <is>
          <t>Khay vệ sinh chung cư (Indoor Potty) + Thảm cỏ ban công (Grass Patch) + Đồ chơi</t>
        </is>
      </c>
      <c r="S485" s="6" t="inlineStr">
        <is>
          <t>Tuyệt đối không đưa vào CRM (Vi phạm Bộ lọc Âm tính Mục 5)</t>
        </is>
      </c>
    </row>
    <row r="486">
      <c r="A486" s="59" t="n">
        <v>803</v>
      </c>
      <c r="B486" s="15" t="inlineStr">
        <is>
          <t>C.A.N.C. - Centro Animali Non Convenzionali di Torino</t>
        </is>
      </c>
      <c r="C486" s="60" t="inlineStr">
        <is>
          <t>https://www.facebook.com/CANC.CentroAnimaliNonConvenzionali</t>
        </is>
      </c>
      <c r="D486" s="9" t="inlineStr">
        <is>
          <t>Cần quét Bio Fanpage</t>
        </is>
      </c>
      <c r="E486" s="59" t="inlineStr">
        <is>
          <t>12/10/2026 11:29:49</t>
        </is>
      </c>
      <c r="F486" s="59" t="inlineStr">
        <is>
          <t>14 giờ trước</t>
        </is>
      </c>
      <c r="G486" s="61" t="n">
        <v>0.58</v>
      </c>
      <c r="H486" s="62" t="n">
        <v>32</v>
      </c>
      <c r="I486" s="9" t="inlineStr">
        <is>
          <t>Pet Owner / Cộng đồng nuôi cún (10đ)</t>
        </is>
      </c>
      <c r="J486" s="62" t="n">
        <v>10</v>
      </c>
      <c r="K486" s="9" t="inlineStr">
        <is>
          <t>Chưa rõ giống (Cần quét Bio)</t>
        </is>
      </c>
      <c r="L486" s="62" t="n">
        <v>0</v>
      </c>
      <c r="M486" s="62" t="n">
        <v>0</v>
      </c>
      <c r="N486" s="9" t="inlineStr">
        <is>
          <t>Amazon link not found</t>
        </is>
      </c>
      <c r="O486" s="62">
        <f>IF(N486="Selling pet toys + Artificial grass/Pet toilets (TARGET)",15,IF(N486="Selling artificial grass/pet toilets (TARGET)",10,IF(N486="Selling pet toys",7,IF(N486="There's an Amazon link, but no target sales.",3,0))))</f>
        <v/>
      </c>
      <c r="P486" s="67">
        <f>H486+J486+L486+M486+O486</f>
        <v/>
      </c>
      <c r="Q486" s="70" t="inlineStr">
        <is>
          <t>Excluded: Trang Chung / Không rõ Ngách Cún cưng</t>
        </is>
      </c>
      <c r="R486" s="9" t="inlineStr">
        <is>
          <t>Khay vệ sinh chung cư (Indoor Potty) + Thảm cỏ ban công (Grass Patch) + Đồ chơi</t>
        </is>
      </c>
      <c r="S486" s="9" t="inlineStr">
        <is>
          <t>Tuyệt đối không đưa vào CRM (Vi phạm Bộ lọc Âm tính Mục 5)</t>
        </is>
      </c>
    </row>
    <row r="487">
      <c r="A487" s="53" t="n">
        <v>1484</v>
      </c>
      <c r="B487" s="12" t="inlineStr">
        <is>
          <t>Gallagher Animal Management</t>
        </is>
      </c>
      <c r="C487" s="54" t="inlineStr">
        <is>
          <t>https://www.facebook.com/GallagherAnimalManagementNorthAmerica</t>
        </is>
      </c>
      <c r="D487" s="6" t="inlineStr">
        <is>
          <t>Cần quét Bio Fanpage</t>
        </is>
      </c>
      <c r="E487" s="53" t="inlineStr">
        <is>
          <t>12/10/2026 10:02:38</t>
        </is>
      </c>
      <c r="F487" s="53" t="inlineStr">
        <is>
          <t>17 giờ trước</t>
        </is>
      </c>
      <c r="G487" s="55" t="n">
        <v>0.71</v>
      </c>
      <c r="H487" s="56" t="n">
        <v>32</v>
      </c>
      <c r="I487" s="6" t="inlineStr">
        <is>
          <t>Pet Owner / Cộng đồng nuôi cún (10đ)</t>
        </is>
      </c>
      <c r="J487" s="56" t="n">
        <v>10</v>
      </c>
      <c r="K487" s="6" t="inlineStr">
        <is>
          <t>Chưa rõ giống (Cần quét Bio)</t>
        </is>
      </c>
      <c r="L487" s="56" t="n">
        <v>0</v>
      </c>
      <c r="M487" s="56" t="n">
        <v>0</v>
      </c>
      <c r="N487" s="6" t="inlineStr">
        <is>
          <t>Amazon link not found</t>
        </is>
      </c>
      <c r="O487" s="56">
        <f>IF(N487="Selling pet toys + Artificial grass/Pet toilets (TARGET)",15,IF(N487="Selling artificial grass/pet toilets (TARGET)",10,IF(N487="Selling pet toys",7,IF(N487="There's an Amazon link, but no target sales.",3,0))))</f>
        <v/>
      </c>
      <c r="P487" s="65">
        <f>H487+J487+L487+M487+O487</f>
        <v/>
      </c>
      <c r="Q487" s="71" t="inlineStr">
        <is>
          <t>Excluded: Trang Chung / Không rõ Ngách Cún cưng</t>
        </is>
      </c>
      <c r="R487" s="6" t="inlineStr">
        <is>
          <t>Khay vệ sinh chung cư (Indoor Potty) + Thảm cỏ ban công (Grass Patch) + Đồ chơi</t>
        </is>
      </c>
      <c r="S487" s="6" t="inlineStr">
        <is>
          <t>Tuyệt đối không đưa vào CRM (Vi phạm Bộ lọc Âm tính Mục 5)</t>
        </is>
      </c>
    </row>
    <row r="488">
      <c r="A488" s="59" t="n">
        <v>2742</v>
      </c>
      <c r="B488" s="15" t="inlineStr">
        <is>
          <t>Richfield Veterinary Clinic</t>
        </is>
      </c>
      <c r="C488" s="60" t="inlineStr">
        <is>
          <t>https://www.facebook.com/RichfieldVeterinaryClinic</t>
        </is>
      </c>
      <c r="D488" s="9" t="inlineStr">
        <is>
          <t>Cần quét Bio Fanpage</t>
        </is>
      </c>
      <c r="E488" s="59" t="inlineStr">
        <is>
          <t>12/10/2026 09:10:08</t>
        </is>
      </c>
      <c r="F488" s="59" t="inlineStr">
        <is>
          <t>20 giờ trước</t>
        </is>
      </c>
      <c r="G488" s="61" t="n">
        <v>0.83</v>
      </c>
      <c r="H488" s="62" t="n">
        <v>32</v>
      </c>
      <c r="I488" s="9" t="inlineStr">
        <is>
          <t>Pet Owner / Cộng đồng nuôi cún (10đ)</t>
        </is>
      </c>
      <c r="J488" s="62" t="n">
        <v>10</v>
      </c>
      <c r="K488" s="9" t="inlineStr">
        <is>
          <t>Chưa rõ giống (Cần quét Bio)</t>
        </is>
      </c>
      <c r="L488" s="62" t="n">
        <v>0</v>
      </c>
      <c r="M488" s="62" t="n">
        <v>0</v>
      </c>
      <c r="N488" s="9" t="inlineStr">
        <is>
          <t>Amazon link not found</t>
        </is>
      </c>
      <c r="O488" s="62">
        <f>IF(N488="Selling pet toys + Artificial grass/Pet toilets (TARGET)",15,IF(N488="Selling artificial grass/pet toilets (TARGET)",10,IF(N488="Selling pet toys",7,IF(N488="There's an Amazon link, but no target sales.",3,0))))</f>
        <v/>
      </c>
      <c r="P488" s="67">
        <f>H488+J488+L488+M488+O488</f>
        <v/>
      </c>
      <c r="Q488" s="70" t="inlineStr">
        <is>
          <t>Excluded: Công ty Gen DNA &amp; Thú y (Mục 5.4)</t>
        </is>
      </c>
      <c r="R488" s="9" t="inlineStr">
        <is>
          <t>Khay vệ sinh chung cư (Indoor Potty) + Thảm cỏ ban công (Grass Patch) + Đồ chơi</t>
        </is>
      </c>
      <c r="S488" s="9" t="inlineStr">
        <is>
          <t>Tuyệt đối không đưa vào CRM (Vi phạm Bộ lọc Âm tính Mục 5)</t>
        </is>
      </c>
    </row>
    <row r="489">
      <c r="A489" s="53" t="n">
        <v>3517</v>
      </c>
      <c r="B489" s="12" t="inlineStr">
        <is>
          <t>โรงพยาบาลสัตว์เขาตอง Khao Tong Animal Hospital</t>
        </is>
      </c>
      <c r="C489" s="54" t="inlineStr">
        <is>
          <t>https://www.facebook.com/profile.php?id=100084195026591</t>
        </is>
      </c>
      <c r="D489" s="6" t="inlineStr">
        <is>
          <t>Cần quét Bio Fanpage</t>
        </is>
      </c>
      <c r="E489" s="53" t="inlineStr">
        <is>
          <t>12/10/2026 08:12:53</t>
        </is>
      </c>
      <c r="F489" s="53" t="inlineStr">
        <is>
          <t>23 giờ trước</t>
        </is>
      </c>
      <c r="G489" s="55" t="n">
        <v>0.96</v>
      </c>
      <c r="H489" s="56" t="n">
        <v>32</v>
      </c>
      <c r="I489" s="6" t="inlineStr">
        <is>
          <t>Pet Owner / Cộng đồng nuôi cún (10đ)</t>
        </is>
      </c>
      <c r="J489" s="56" t="n">
        <v>10</v>
      </c>
      <c r="K489" s="6" t="inlineStr">
        <is>
          <t>Chưa rõ giống (Cần quét Bio)</t>
        </is>
      </c>
      <c r="L489" s="56" t="n">
        <v>0</v>
      </c>
      <c r="M489" s="56" t="n">
        <v>0</v>
      </c>
      <c r="N489" s="6" t="inlineStr">
        <is>
          <t>Amazon link not found</t>
        </is>
      </c>
      <c r="O489" s="56">
        <f>IF(N489="Selling pet toys + Artificial grass/Pet toilets (TARGET)",15,IF(N489="Selling artificial grass/pet toilets (TARGET)",10,IF(N489="Selling pet toys",7,IF(N489="There's an Amazon link, but no target sales.",3,0))))</f>
        <v/>
      </c>
      <c r="P489" s="65">
        <f>H489+J489+L489+M489+O489</f>
        <v/>
      </c>
      <c r="Q489" s="71" t="inlineStr">
        <is>
          <t>Excluded: Công ty Gen DNA &amp; Thú y (Mục 5.4)</t>
        </is>
      </c>
      <c r="R489" s="6" t="inlineStr">
        <is>
          <t>Khay vệ sinh chung cư (Indoor Potty) + Thảm cỏ ban công (Grass Patch) + Đồ chơi</t>
        </is>
      </c>
      <c r="S489" s="6" t="inlineStr">
        <is>
          <t>Tuyệt đối không đưa vào CRM (Vi phạm Bộ lọc Âm tính Mục 5)</t>
        </is>
      </c>
    </row>
    <row r="490">
      <c r="A490" s="59" t="n">
        <v>2403</v>
      </c>
      <c r="B490" s="15" t="inlineStr">
        <is>
          <t>PatrickNauPhotography</t>
        </is>
      </c>
      <c r="C490" s="60" t="inlineStr">
        <is>
          <t>https://www.facebook.com/PatrickNauPhotography</t>
        </is>
      </c>
      <c r="D490" s="9" t="inlineStr">
        <is>
          <t>Cần quét Bio Fanpage</t>
        </is>
      </c>
      <c r="E490" s="59" t="inlineStr">
        <is>
          <t>12/10/2026 07:07:08</t>
        </is>
      </c>
      <c r="F490" s="59" t="inlineStr">
        <is>
          <t>22 giờ trước</t>
        </is>
      </c>
      <c r="G490" s="61" t="n">
        <v>0.92</v>
      </c>
      <c r="H490" s="62" t="n">
        <v>32</v>
      </c>
      <c r="I490" s="9" t="inlineStr">
        <is>
          <t>Pet Owner / Cộng đồng nuôi cún (10đ)</t>
        </is>
      </c>
      <c r="J490" s="62" t="n">
        <v>10</v>
      </c>
      <c r="K490" s="9" t="inlineStr">
        <is>
          <t>Chưa rõ giống (Cần quét Bio)</t>
        </is>
      </c>
      <c r="L490" s="62" t="n">
        <v>0</v>
      </c>
      <c r="M490" s="62" t="n">
        <v>0</v>
      </c>
      <c r="N490" s="9" t="inlineStr">
        <is>
          <t>Amazon link not found</t>
        </is>
      </c>
      <c r="O490" s="62">
        <f>IF(N490="Selling pet toys + Artificial grass/Pet toilets (TARGET)",15,IF(N490="Selling artificial grass/pet toilets (TARGET)",10,IF(N490="Selling pet toys",7,IF(N490="There's an Amazon link, but no target sales.",3,0))))</f>
        <v/>
      </c>
      <c r="P490" s="67">
        <f>H490+J490+L490+M490+O490</f>
        <v/>
      </c>
      <c r="Q490" s="70" t="inlineStr">
        <is>
          <t>Excluded: Trang Chung / Không rõ Ngách Cún cưng</t>
        </is>
      </c>
      <c r="R490" s="9" t="inlineStr">
        <is>
          <t>Khay vệ sinh chung cư (Indoor Potty) + Thảm cỏ ban công (Grass Patch) + Đồ chơi</t>
        </is>
      </c>
      <c r="S490" s="9" t="inlineStr">
        <is>
          <t>Tuyệt đối không đưa vào CRM (Vi phạm Bộ lọc Âm tính Mục 5)</t>
        </is>
      </c>
    </row>
    <row r="491">
      <c r="A491" s="53" t="n">
        <v>2479</v>
      </c>
      <c r="B491" s="12" t="inlineStr">
        <is>
          <t>Petbarn</t>
        </is>
      </c>
      <c r="C491" s="54" t="inlineStr">
        <is>
          <t>https://www.facebook.com/petbarn</t>
        </is>
      </c>
      <c r="D491" s="6" t="inlineStr">
        <is>
          <t>Cần quét Bio Fanpage</t>
        </is>
      </c>
      <c r="E491" s="53" t="inlineStr">
        <is>
          <t>12/10/2026 07:00:01</t>
        </is>
      </c>
      <c r="F491" s="53" t="inlineStr">
        <is>
          <t>22 giờ trước</t>
        </is>
      </c>
      <c r="G491" s="55" t="n">
        <v>0.92</v>
      </c>
      <c r="H491" s="56" t="n">
        <v>32</v>
      </c>
      <c r="I491" s="6" t="inlineStr">
        <is>
          <t>Pet Owner / Cộng đồng nuôi cún (10đ)</t>
        </is>
      </c>
      <c r="J491" s="56" t="n">
        <v>10</v>
      </c>
      <c r="K491" s="6" t="inlineStr">
        <is>
          <t>Chưa rõ giống (Cần quét Bio)</t>
        </is>
      </c>
      <c r="L491" s="56" t="n">
        <v>0</v>
      </c>
      <c r="M491" s="56" t="n">
        <v>0</v>
      </c>
      <c r="N491" s="6" t="inlineStr">
        <is>
          <t>Amazon link not found</t>
        </is>
      </c>
      <c r="O491" s="56">
        <f>IF(N491="Selling pet toys + Artificial grass/Pet toilets (TARGET)",15,IF(N491="Selling artificial grass/pet toilets (TARGET)",10,IF(N491="Selling pet toys",7,IF(N491="There's an Amazon link, but no target sales.",3,0))))</f>
        <v/>
      </c>
      <c r="P491" s="65">
        <f>H491+J491+L491+M491+O491</f>
        <v/>
      </c>
      <c r="Q491" s="71" t="inlineStr">
        <is>
          <t>Excluded: Chuỗi Siêu thị Bán lẻ Lớn (Mục 5.2)</t>
        </is>
      </c>
      <c r="R491" s="6" t="inlineStr">
        <is>
          <t>Khay vệ sinh chung cư (Indoor Potty) + Thảm cỏ ban công (Grass Patch) + Đồ chơi</t>
        </is>
      </c>
      <c r="S491" s="6" t="inlineStr">
        <is>
          <t>Tuyệt đối không đưa vào CRM (Vi phạm Bộ lọc Âm tính Mục 5)</t>
        </is>
      </c>
    </row>
    <row r="492">
      <c r="A492" s="59" t="n">
        <v>1556</v>
      </c>
      <c r="B492" s="15" t="inlineStr">
        <is>
          <t>Greater Panama City Dog Fanciers Association</t>
        </is>
      </c>
      <c r="C492" s="60" t="inlineStr">
        <is>
          <t>https://www.facebook.com/profile.php?id=100063465705959</t>
        </is>
      </c>
      <c r="D492" s="9" t="inlineStr">
        <is>
          <t>Cần quét Bio Fanpage</t>
        </is>
      </c>
      <c r="E492" s="59" t="inlineStr">
        <is>
          <t>12/10/2026 06:25:17</t>
        </is>
      </c>
      <c r="F492" s="59" t="inlineStr">
        <is>
          <t>21 giờ trước</t>
        </is>
      </c>
      <c r="G492" s="61" t="n">
        <v>0.88</v>
      </c>
      <c r="H492" s="62" t="n">
        <v>32</v>
      </c>
      <c r="I492" s="9" t="inlineStr">
        <is>
          <t>Pet Owner / Cộng đồng nuôi cún (10đ)</t>
        </is>
      </c>
      <c r="J492" s="62" t="n">
        <v>10</v>
      </c>
      <c r="K492" s="9" t="inlineStr">
        <is>
          <t>Chưa rõ giống (Cần quét Bio)</t>
        </is>
      </c>
      <c r="L492" s="62" t="n">
        <v>0</v>
      </c>
      <c r="M492" s="62" t="n">
        <v>0</v>
      </c>
      <c r="N492" s="9" t="inlineStr">
        <is>
          <t>Amazon link not found</t>
        </is>
      </c>
      <c r="O492" s="62">
        <f>IF(N492="Selling pet toys + Artificial grass/Pet toilets (TARGET)",15,IF(N492="Selling artificial grass/pet toilets (TARGET)",10,IF(N492="Selling pet toys",7,IF(N492="There's an Amazon link, but no target sales.",3,0))))</f>
        <v/>
      </c>
      <c r="P492" s="67">
        <f>H492+J492+L492+M492+O492</f>
        <v/>
      </c>
      <c r="Q492" s="70" t="inlineStr">
        <is>
          <t>Excluded: Kênh Tin tức, Tạp chí &amp; Giải trí (Mục 5.3)</t>
        </is>
      </c>
      <c r="R492" s="9" t="inlineStr">
        <is>
          <t>Khay vệ sinh chung cư (Indoor Potty) + Thảm cỏ ban công (Grass Patch) + Đồ chơi</t>
        </is>
      </c>
      <c r="S492" s="9" t="inlineStr">
        <is>
          <t>Tuyệt đối không đưa vào CRM (Vi phạm Bộ lọc Âm tính Mục 5)</t>
        </is>
      </c>
    </row>
    <row r="493">
      <c r="A493" s="53" t="n">
        <v>1618</v>
      </c>
      <c r="B493" s="12" t="inlineStr">
        <is>
          <t>Harrison Animal Hospital</t>
        </is>
      </c>
      <c r="C493" s="54" t="inlineStr">
        <is>
          <t>https://www.facebook.com/HarrisonAnimalHosp</t>
        </is>
      </c>
      <c r="D493" s="6" t="inlineStr">
        <is>
          <t>Cần quét Bio Fanpage</t>
        </is>
      </c>
      <c r="E493" s="53" t="inlineStr">
        <is>
          <t>12/10/2026 05:49:42</t>
        </is>
      </c>
      <c r="F493" s="53" t="inlineStr">
        <is>
          <t>22 giờ trước</t>
        </is>
      </c>
      <c r="G493" s="55" t="n">
        <v>0.92</v>
      </c>
      <c r="H493" s="56" t="n">
        <v>32</v>
      </c>
      <c r="I493" s="6" t="inlineStr">
        <is>
          <t>Pet Owner / Cộng đồng nuôi cún (10đ)</t>
        </is>
      </c>
      <c r="J493" s="56" t="n">
        <v>10</v>
      </c>
      <c r="K493" s="6" t="inlineStr">
        <is>
          <t>Chưa rõ giống (Cần quét Bio)</t>
        </is>
      </c>
      <c r="L493" s="56" t="n">
        <v>0</v>
      </c>
      <c r="M493" s="56" t="n">
        <v>0</v>
      </c>
      <c r="N493" s="6" t="inlineStr">
        <is>
          <t>Amazon link not found</t>
        </is>
      </c>
      <c r="O493" s="56">
        <f>IF(N493="Selling pet toys + Artificial grass/Pet toilets (TARGET)",15,IF(N493="Selling artificial grass/pet toilets (TARGET)",10,IF(N493="Selling pet toys",7,IF(N493="There's an Amazon link, but no target sales.",3,0))))</f>
        <v/>
      </c>
      <c r="P493" s="65">
        <f>H493+J493+L493+M493+O493</f>
        <v/>
      </c>
      <c r="Q493" s="71" t="inlineStr">
        <is>
          <t>Excluded: Công ty Gen DNA &amp; Thú y (Mục 5.4)</t>
        </is>
      </c>
      <c r="R493" s="6" t="inlineStr">
        <is>
          <t>Khay vệ sinh chung cư (Indoor Potty) + Thảm cỏ ban công (Grass Patch) + Đồ chơi</t>
        </is>
      </c>
      <c r="S493" s="6" t="inlineStr">
        <is>
          <t>Tuyệt đối không đưa vào CRM (Vi phạm Bộ lọc Âm tính Mục 5)</t>
        </is>
      </c>
    </row>
    <row r="494">
      <c r="A494" s="59" t="n">
        <v>1731</v>
      </c>
      <c r="B494" s="15" t="inlineStr">
        <is>
          <t>IowaDairyFarmer</t>
        </is>
      </c>
      <c r="C494" s="60" t="inlineStr">
        <is>
          <t>https://www.facebook.com/IowaDairyFarmer</t>
        </is>
      </c>
      <c r="D494" s="9" t="inlineStr">
        <is>
          <t>Cần quét Bio Fanpage</t>
        </is>
      </c>
      <c r="E494" s="59" t="inlineStr">
        <is>
          <t>12/10/2026 04:23:02</t>
        </is>
      </c>
      <c r="F494" s="59" t="inlineStr">
        <is>
          <t>23 giờ trước</t>
        </is>
      </c>
      <c r="G494" s="61" t="n">
        <v>0.96</v>
      </c>
      <c r="H494" s="62" t="n">
        <v>32</v>
      </c>
      <c r="I494" s="9" t="inlineStr">
        <is>
          <t>Pet Owner / Cộng đồng nuôi cún (10đ)</t>
        </is>
      </c>
      <c r="J494" s="62" t="n">
        <v>10</v>
      </c>
      <c r="K494" s="9" t="inlineStr">
        <is>
          <t>Chưa rõ giống (Cần quét Bio)</t>
        </is>
      </c>
      <c r="L494" s="62" t="n">
        <v>0</v>
      </c>
      <c r="M494" s="62" t="n">
        <v>0</v>
      </c>
      <c r="N494" s="9" t="inlineStr">
        <is>
          <t>Amazon link not found</t>
        </is>
      </c>
      <c r="O494" s="62">
        <f>IF(N494="Selling pet toys + Artificial grass/Pet toilets (TARGET)",15,IF(N494="Selling artificial grass/pet toilets (TARGET)",10,IF(N494="Selling pet toys",7,IF(N494="There's an Amazon link, but no target sales.",3,0))))</f>
        <v/>
      </c>
      <c r="P494" s="67">
        <f>H494+J494+L494+M494+O494</f>
        <v/>
      </c>
      <c r="Q494" s="70" t="inlineStr">
        <is>
          <t>Excluded: Trang Chung / Không rõ Ngách Cún cưng</t>
        </is>
      </c>
      <c r="R494" s="9" t="inlineStr">
        <is>
          <t>Khay vệ sinh chung cư (Indoor Potty) + Thảm cỏ ban công (Grass Patch) + Đồ chơi</t>
        </is>
      </c>
      <c r="S494" s="9" t="inlineStr">
        <is>
          <t>Tuyệt đối không đưa vào CRM (Vi phạm Bộ lọc Âm tính Mục 5)</t>
        </is>
      </c>
    </row>
    <row r="495">
      <c r="A495" s="53" t="n">
        <v>730</v>
      </c>
      <c r="B495" s="12" t="inlineStr">
        <is>
          <t>Border Animal Mission</t>
        </is>
      </c>
      <c r="C495" s="54" t="inlineStr">
        <is>
          <t>https://www.facebook.com/profile.php?id=61577264640966</t>
        </is>
      </c>
      <c r="D495" s="6" t="inlineStr">
        <is>
          <t>Cần quét Bio Fanpage</t>
        </is>
      </c>
      <c r="E495" s="53" t="inlineStr">
        <is>
          <t>12/10/2026 04:18:57</t>
        </is>
      </c>
      <c r="F495" s="53" t="inlineStr">
        <is>
          <t>21 giờ trước</t>
        </is>
      </c>
      <c r="G495" s="55" t="n">
        <v>0.88</v>
      </c>
      <c r="H495" s="56" t="n">
        <v>32</v>
      </c>
      <c r="I495" s="6" t="inlineStr">
        <is>
          <t>Pet Owner / Cộng đồng nuôi cún (10đ)</t>
        </is>
      </c>
      <c r="J495" s="56" t="n">
        <v>10</v>
      </c>
      <c r="K495" s="6" t="inlineStr">
        <is>
          <t>Chưa rõ giống (Cần quét Bio)</t>
        </is>
      </c>
      <c r="L495" s="56" t="n">
        <v>0</v>
      </c>
      <c r="M495" s="56" t="n">
        <v>0</v>
      </c>
      <c r="N495" s="6" t="inlineStr">
        <is>
          <t>Amazon link not found</t>
        </is>
      </c>
      <c r="O495" s="56">
        <f>IF(N495="Selling pet toys + Artificial grass/Pet toilets (TARGET)",15,IF(N495="Selling artificial grass/pet toilets (TARGET)",10,IF(N495="Selling pet toys",7,IF(N495="There's an Amazon link, but no target sales.",3,0))))</f>
        <v/>
      </c>
      <c r="P495" s="65">
        <f>H495+J495+L495+M495+O495</f>
        <v/>
      </c>
      <c r="Q495" s="71" t="inlineStr">
        <is>
          <t>Excluded: Trang Chung / Không rõ Ngách Cún cưng</t>
        </is>
      </c>
      <c r="R495" s="6" t="inlineStr">
        <is>
          <t>Khay vệ sinh chung cư (Indoor Potty) + Thảm cỏ ban công (Grass Patch) + Đồ chơi</t>
        </is>
      </c>
      <c r="S495" s="6" t="inlineStr">
        <is>
          <t>Tuyệt đối không đưa vào CRM (Vi phạm Bộ lọc Âm tính Mục 5)</t>
        </is>
      </c>
    </row>
    <row r="496">
      <c r="A496" s="59" t="n">
        <v>2345</v>
      </c>
      <c r="B496" s="15" t="inlineStr">
        <is>
          <t>OKC Animal Welfare</t>
        </is>
      </c>
      <c r="C496" s="60" t="inlineStr">
        <is>
          <t>https://www.facebook.com/OKCanimalwelfare</t>
        </is>
      </c>
      <c r="D496" s="9" t="inlineStr">
        <is>
          <t>Cần quét Bio Fanpage</t>
        </is>
      </c>
      <c r="E496" s="59" t="inlineStr">
        <is>
          <t>12/10/2026 04:00:16</t>
        </is>
      </c>
      <c r="F496" s="59" t="inlineStr">
        <is>
          <t>1 ngày trước</t>
        </is>
      </c>
      <c r="G496" s="61" t="n">
        <v>1</v>
      </c>
      <c r="H496" s="62" t="n">
        <v>28</v>
      </c>
      <c r="I496" s="9" t="inlineStr">
        <is>
          <t>Pet Rescue / Trạm cứu trợ (14-16đ)</t>
        </is>
      </c>
      <c r="J496" s="62" t="n">
        <v>14</v>
      </c>
      <c r="K496" s="9" t="inlineStr">
        <is>
          <t>Chưa rõ giống (Cần quét Bio)</t>
        </is>
      </c>
      <c r="L496" s="62" t="n">
        <v>0</v>
      </c>
      <c r="M496" s="62" t="n">
        <v>0</v>
      </c>
      <c r="N496" s="9" t="inlineStr">
        <is>
          <t>Amazon link not found</t>
        </is>
      </c>
      <c r="O496" s="62">
        <f>IF(N496="Selling pet toys + Artificial grass/Pet toilets (TARGET)",15,IF(N496="Selling artificial grass/pet toilets (TARGET)",10,IF(N496="Selling pet toys",7,IF(N496="There's an Amazon link, but no target sales.",3,0))))</f>
        <v/>
      </c>
      <c r="P496" s="67">
        <f>H496+J496+L496+M496+O496</f>
        <v/>
      </c>
      <c r="Q496" s="70" t="inlineStr">
        <is>
          <t>Excluded: Trang Chung / Không rõ Ngách Cún cưng</t>
        </is>
      </c>
      <c r="R496" s="9" t="inlineStr">
        <is>
          <t>Nhà vệ sinh &amp; Tã lót (Potty Tray / Pee Pads) + Cỏ nhân tạo lót chuồng</t>
        </is>
      </c>
      <c r="S496" s="9" t="inlineStr">
        <is>
          <t>Tuyệt đối không đưa vào CRM (Vi phạm Bộ lọc Âm tính Mục 5)</t>
        </is>
      </c>
    </row>
    <row r="497">
      <c r="A497" s="53" t="n">
        <v>1305</v>
      </c>
      <c r="B497" s="12" t="inlineStr">
        <is>
          <t>Evette Ramirez</t>
        </is>
      </c>
      <c r="C497" s="54" t="inlineStr">
        <is>
          <t>https://www.facebook.com/profile.php?id=61590725226473</t>
        </is>
      </c>
      <c r="D497" s="6" t="inlineStr">
        <is>
          <t>Cần quét Bio Fanpage</t>
        </is>
      </c>
      <c r="E497" s="53" t="inlineStr">
        <is>
          <t>12/10/2026 03:51:12</t>
        </is>
      </c>
      <c r="F497" s="53" t="inlineStr">
        <is>
          <t>23 giờ trước</t>
        </is>
      </c>
      <c r="G497" s="55" t="n">
        <v>0.96</v>
      </c>
      <c r="H497" s="56" t="n">
        <v>32</v>
      </c>
      <c r="I497" s="6" t="inlineStr">
        <is>
          <t>Pet Owner / Cộng đồng nuôi cún (10đ)</t>
        </is>
      </c>
      <c r="J497" s="56" t="n">
        <v>10</v>
      </c>
      <c r="K497" s="6" t="inlineStr">
        <is>
          <t>Chưa rõ giống (Cần quét Bio)</t>
        </is>
      </c>
      <c r="L497" s="56" t="n">
        <v>0</v>
      </c>
      <c r="M497" s="56" t="n">
        <v>0</v>
      </c>
      <c r="N497" s="6" t="inlineStr">
        <is>
          <t>Amazon link not found</t>
        </is>
      </c>
      <c r="O497" s="56">
        <f>IF(N497="Selling pet toys + Artificial grass/Pet toilets (TARGET)",15,IF(N497="Selling artificial grass/pet toilets (TARGET)",10,IF(N497="Selling pet toys",7,IF(N497="There's an Amazon link, but no target sales.",3,0))))</f>
        <v/>
      </c>
      <c r="P497" s="65">
        <f>H497+J497+L497+M497+O497</f>
        <v/>
      </c>
      <c r="Q497" s="71" t="inlineStr">
        <is>
          <t>Excluded: Trang Chung / Không rõ Ngách Cún cưng</t>
        </is>
      </c>
      <c r="R497" s="6" t="inlineStr">
        <is>
          <t>Khay vệ sinh chung cư (Indoor Potty) + Thảm cỏ ban công (Grass Patch) + Đồ chơi</t>
        </is>
      </c>
      <c r="S497" s="6" t="inlineStr">
        <is>
          <t>Tuyệt đối không đưa vào CRM (Vi phạm Bộ lọc Âm tính Mục 5)</t>
        </is>
      </c>
    </row>
    <row r="498">
      <c r="A498" s="59" t="n">
        <v>56</v>
      </c>
      <c r="B498" s="15" t="inlineStr">
        <is>
          <t>ohkaytacos</t>
        </is>
      </c>
      <c r="C498" s="60" t="inlineStr">
        <is>
          <t>https://www.facebook.com/ohkaytacos</t>
        </is>
      </c>
      <c r="D498" s="9" t="inlineStr">
        <is>
          <t>Cần quét Bio Fanpage</t>
        </is>
      </c>
      <c r="E498" s="59" t="inlineStr">
        <is>
          <t>12/10/2026 02:30:38</t>
        </is>
      </c>
      <c r="F498" s="59" t="inlineStr">
        <is>
          <t>22 giờ trước</t>
        </is>
      </c>
      <c r="G498" s="61" t="n">
        <v>0.92</v>
      </c>
      <c r="H498" s="62" t="n">
        <v>32</v>
      </c>
      <c r="I498" s="9" t="inlineStr">
        <is>
          <t>Pet Owner / Cộng đồng nuôi cún (10đ)</t>
        </is>
      </c>
      <c r="J498" s="62" t="n">
        <v>10</v>
      </c>
      <c r="K498" s="9" t="inlineStr">
        <is>
          <t>Chưa rõ giống (Cần quét Bio)</t>
        </is>
      </c>
      <c r="L498" s="62" t="n">
        <v>0</v>
      </c>
      <c r="M498" s="62" t="n">
        <v>0</v>
      </c>
      <c r="N498" s="9" t="inlineStr">
        <is>
          <t>Amazon link not found</t>
        </is>
      </c>
      <c r="O498" s="62">
        <f>IF(N498="Selling pet toys + Artificial grass/Pet toilets (TARGET)",15,IF(N498="Selling artificial grass/pet toilets (TARGET)",10,IF(N498="Selling pet toys",7,IF(N498="There's an Amazon link, but no target sales.",3,0))))</f>
        <v/>
      </c>
      <c r="P498" s="67">
        <f>H498+J498+L498+M498+O498</f>
        <v/>
      </c>
      <c r="Q498" s="70" t="inlineStr">
        <is>
          <t>Excluded: Trang Chung / Không rõ Ngách Cún cưng</t>
        </is>
      </c>
      <c r="R498" s="9" t="inlineStr">
        <is>
          <t>Khay vệ sinh chung cư (Indoor Potty) + Thảm cỏ ban công (Grass Patch) + Đồ chơi</t>
        </is>
      </c>
      <c r="S498" s="9" t="inlineStr">
        <is>
          <t>Tuyệt đối không đưa vào CRM (Vi phạm Bộ lọc Âm tính Mục 5)</t>
        </is>
      </c>
    </row>
    <row r="499">
      <c r="A499" s="53" t="n">
        <v>11</v>
      </c>
      <c r="B499" s="12" t="inlineStr">
        <is>
          <t>PetSmart</t>
        </is>
      </c>
      <c r="C499" s="54" t="inlineStr">
        <is>
          <t>https://www.facebook.com/PetSmart</t>
        </is>
      </c>
      <c r="D499" s="6" t="inlineStr">
        <is>
          <t>Cần quét Bio Fanpage</t>
        </is>
      </c>
      <c r="E499" s="53" t="inlineStr">
        <is>
          <t>12/10/2026 02:20:38</t>
        </is>
      </c>
      <c r="F499" s="53" t="inlineStr">
        <is>
          <t>22 giờ trước</t>
        </is>
      </c>
      <c r="G499" s="55" t="n">
        <v>0.92</v>
      </c>
      <c r="H499" s="56" t="n">
        <v>32</v>
      </c>
      <c r="I499" s="6" t="inlineStr">
        <is>
          <t>Pet Owner / Cộng đồng nuôi cún (10đ)</t>
        </is>
      </c>
      <c r="J499" s="56" t="n">
        <v>10</v>
      </c>
      <c r="K499" s="6" t="inlineStr">
        <is>
          <t>Chưa rõ giống (Cần quét Bio)</t>
        </is>
      </c>
      <c r="L499" s="56" t="n">
        <v>0</v>
      </c>
      <c r="M499" s="56" t="n">
        <v>0</v>
      </c>
      <c r="N499" s="6" t="inlineStr">
        <is>
          <t>Amazon link not found</t>
        </is>
      </c>
      <c r="O499" s="56">
        <f>IF(N499="Selling pet toys + Artificial grass/Pet toilets (TARGET)",15,IF(N499="Selling artificial grass/pet toilets (TARGET)",10,IF(N499="Selling pet toys",7,IF(N499="There's an Amazon link, but no target sales.",3,0))))</f>
        <v/>
      </c>
      <c r="P499" s="65">
        <f>H499+J499+L499+M499+O499</f>
        <v/>
      </c>
      <c r="Q499" s="71" t="inlineStr">
        <is>
          <t>Excluded: Chuỗi Siêu thị Bán lẻ Lớn (Mục 5.2)</t>
        </is>
      </c>
      <c r="R499" s="6" t="inlineStr">
        <is>
          <t>Khay vệ sinh chung cư (Indoor Potty) + Thảm cỏ ban công (Grass Patch) + Đồ chơi</t>
        </is>
      </c>
      <c r="S499" s="6" t="inlineStr">
        <is>
          <t>Tuyệt đối không đưa vào CRM (Vi phạm Bộ lọc Âm tính Mục 5)</t>
        </is>
      </c>
    </row>
    <row r="500">
      <c r="A500" s="59" t="n">
        <v>2339</v>
      </c>
      <c r="B500" s="15" t="inlineStr">
        <is>
          <t>Off The Grid Animal Sanctuary</t>
        </is>
      </c>
      <c r="C500" s="60" t="inlineStr">
        <is>
          <t>https://www.facebook.com/profile.php?id=100087638511525</t>
        </is>
      </c>
      <c r="D500" s="9" t="inlineStr">
        <is>
          <t>Cần quét Bio Fanpage</t>
        </is>
      </c>
      <c r="E500" s="59" t="inlineStr">
        <is>
          <t>11/10/2026 23:27:28</t>
        </is>
      </c>
      <c r="F500" s="59" t="inlineStr">
        <is>
          <t>1 ngày trước</t>
        </is>
      </c>
      <c r="G500" s="61" t="n">
        <v>1</v>
      </c>
      <c r="H500" s="62" t="n">
        <v>28</v>
      </c>
      <c r="I500" s="9" t="inlineStr">
        <is>
          <t>Pet Rescue / Trạm cứu trợ (14-16đ)</t>
        </is>
      </c>
      <c r="J500" s="62" t="n">
        <v>14</v>
      </c>
      <c r="K500" s="9" t="inlineStr">
        <is>
          <t>Chưa rõ giống (Cần quét Bio)</t>
        </is>
      </c>
      <c r="L500" s="62" t="n">
        <v>0</v>
      </c>
      <c r="M500" s="62" t="n">
        <v>0</v>
      </c>
      <c r="N500" s="9" t="inlineStr">
        <is>
          <t>Amazon link not found</t>
        </is>
      </c>
      <c r="O500" s="62">
        <f>IF(N500="Selling pet toys + Artificial grass/Pet toilets (TARGET)",15,IF(N500="Selling artificial grass/pet toilets (TARGET)",10,IF(N500="Selling pet toys",7,IF(N500="There's an Amazon link, but no target sales.",3,0))))</f>
        <v/>
      </c>
      <c r="P500" s="67">
        <f>H500+J500+L500+M500+O500</f>
        <v/>
      </c>
      <c r="Q500" s="70" t="inlineStr">
        <is>
          <t>Excluded: Trang Chung / Không rõ Ngách Cún cưng</t>
        </is>
      </c>
      <c r="R500" s="9" t="inlineStr">
        <is>
          <t>Nhà vệ sinh &amp; Tã lót (Potty Tray / Pee Pads) + Cỏ nhân tạo lót chuồng</t>
        </is>
      </c>
      <c r="S500" s="9" t="inlineStr">
        <is>
          <t>Tuyệt đối không đưa vào CRM (Vi phạm Bộ lọc Âm tính Mục 5)</t>
        </is>
      </c>
    </row>
    <row r="501">
      <c r="A501" s="53" t="n">
        <v>442</v>
      </c>
      <c r="B501" s="12" t="inlineStr">
        <is>
          <t>Animal Aid for Vermilion Area (AAVA)</t>
        </is>
      </c>
      <c r="C501" s="54" t="inlineStr">
        <is>
          <t>https://www.facebook.com/AnimalAidVerm</t>
        </is>
      </c>
      <c r="D501" s="6" t="inlineStr">
        <is>
          <t>Cần quét Bio Fanpage</t>
        </is>
      </c>
      <c r="E501" s="53" t="inlineStr">
        <is>
          <t>11/10/2026 21:22:04</t>
        </is>
      </c>
      <c r="F501" s="53" t="inlineStr">
        <is>
          <t>1 ngày trước</t>
        </is>
      </c>
      <c r="G501" s="55" t="n">
        <v>1</v>
      </c>
      <c r="H501" s="56" t="n">
        <v>28</v>
      </c>
      <c r="I501" s="6" t="inlineStr">
        <is>
          <t>Pet Rescue / Trạm cứu trợ (14-16đ)</t>
        </is>
      </c>
      <c r="J501" s="56" t="n">
        <v>14</v>
      </c>
      <c r="K501" s="6" t="inlineStr">
        <is>
          <t>Chưa rõ giống (Cần quét Bio)</t>
        </is>
      </c>
      <c r="L501" s="56" t="n">
        <v>0</v>
      </c>
      <c r="M501" s="56" t="n">
        <v>0</v>
      </c>
      <c r="N501" s="6" t="inlineStr">
        <is>
          <t>Amazon link not found</t>
        </is>
      </c>
      <c r="O501" s="56">
        <f>IF(N501="Selling pet toys + Artificial grass/Pet toilets (TARGET)",15,IF(N501="Selling artificial grass/pet toilets (TARGET)",10,IF(N501="Selling pet toys",7,IF(N501="There's an Amazon link, but no target sales.",3,0))))</f>
        <v/>
      </c>
      <c r="P501" s="65">
        <f>H501+J501+L501+M501+O501</f>
        <v/>
      </c>
      <c r="Q501" s="71" t="inlineStr">
        <is>
          <t>Excluded: Trang Chung / Không rõ Ngách Cún cưng</t>
        </is>
      </c>
      <c r="R501" s="6" t="inlineStr">
        <is>
          <t>Nhà vệ sinh &amp; Tã lót (Potty Tray / Pee Pads) + Cỏ nhân tạo lót chuồng</t>
        </is>
      </c>
      <c r="S501" s="6" t="inlineStr">
        <is>
          <t>Tuyệt đối không đưa vào CRM (Vi phạm Bộ lọc Âm tính Mục 5)</t>
        </is>
      </c>
    </row>
    <row r="502">
      <c r="A502" s="59" t="n">
        <v>2214</v>
      </c>
      <c r="B502" s="15" t="inlineStr">
        <is>
          <t>Morris Animal Foundation</t>
        </is>
      </c>
      <c r="C502" s="60" t="inlineStr">
        <is>
          <t>https://www.facebook.com/morrisanimal</t>
        </is>
      </c>
      <c r="D502" s="9" t="inlineStr">
        <is>
          <t>Cần quét Bio Fanpage</t>
        </is>
      </c>
      <c r="E502" s="59" t="inlineStr">
        <is>
          <t>10/10/2026 03:19:02</t>
        </is>
      </c>
      <c r="F502" s="59" t="inlineStr">
        <is>
          <t>3 ngày trước</t>
        </is>
      </c>
      <c r="G502" s="61" t="n">
        <v>3</v>
      </c>
      <c r="H502" s="62" t="n">
        <v>28</v>
      </c>
      <c r="I502" s="9" t="inlineStr">
        <is>
          <t>Pet Rescue / Trạm cứu trợ (14-16đ)</t>
        </is>
      </c>
      <c r="J502" s="62" t="n">
        <v>14</v>
      </c>
      <c r="K502" s="9" t="inlineStr">
        <is>
          <t>Chưa rõ giống (Cần quét Bio)</t>
        </is>
      </c>
      <c r="L502" s="62" t="n">
        <v>0</v>
      </c>
      <c r="M502" s="62" t="n">
        <v>0</v>
      </c>
      <c r="N502" s="9" t="inlineStr">
        <is>
          <t>Amazon link not found</t>
        </is>
      </c>
      <c r="O502" s="62">
        <f>IF(N502="Selling pet toys + Artificial grass/Pet toilets (TARGET)",15,IF(N502="Selling artificial grass/pet toilets (TARGET)",10,IF(N502="Selling pet toys",7,IF(N502="There's an Amazon link, but no target sales.",3,0))))</f>
        <v/>
      </c>
      <c r="P502" s="67">
        <f>H502+J502+L502+M502+O502</f>
        <v/>
      </c>
      <c r="Q502" s="70" t="inlineStr">
        <is>
          <t>Excluded: Trang Chung / Không rõ Ngách Cún cưng</t>
        </is>
      </c>
      <c r="R502" s="9" t="inlineStr">
        <is>
          <t>Nhà vệ sinh &amp; Tã lót (Potty Tray / Pee Pads) + Cỏ nhân tạo lót chuồng</t>
        </is>
      </c>
      <c r="S502" s="9" t="inlineStr">
        <is>
          <t>Tuyệt đối không đưa vào CRM (Vi phạm Bộ lọc Âm tính Mục 5)</t>
        </is>
      </c>
    </row>
    <row r="503">
      <c r="A503" s="53" t="n">
        <v>3473</v>
      </c>
      <c r="B503" s="12" t="inlineStr">
        <is>
          <t>Yucca Veterinary Medical Center</t>
        </is>
      </c>
      <c r="C503" s="54" t="inlineStr">
        <is>
          <t>https://www.facebook.com/yuccaveterinary</t>
        </is>
      </c>
      <c r="D503" s="6" t="inlineStr">
        <is>
          <t>Cần quét Bio Fanpage</t>
        </is>
      </c>
      <c r="E503" s="53" t="inlineStr">
        <is>
          <t>24/09/2026 23:21:03</t>
        </is>
      </c>
      <c r="F503" s="53" t="inlineStr">
        <is>
          <t>2 tuần trước</t>
        </is>
      </c>
      <c r="G503" s="55" t="n">
        <v>14</v>
      </c>
      <c r="H503" s="56" t="n">
        <v>15</v>
      </c>
      <c r="I503" s="6" t="inlineStr">
        <is>
          <t>Pet Boarding / Huấn luyện K9 &amp; Dịch vụ (20-22đ)</t>
        </is>
      </c>
      <c r="J503" s="56" t="n">
        <v>22</v>
      </c>
      <c r="K503" s="6" t="inlineStr">
        <is>
          <t>Chưa rõ giống (Cần quét Bio)</t>
        </is>
      </c>
      <c r="L503" s="56" t="n">
        <v>0</v>
      </c>
      <c r="M503" s="56" t="n">
        <v>5</v>
      </c>
      <c r="N503" s="6" t="inlineStr">
        <is>
          <t>Amazon link not found</t>
        </is>
      </c>
      <c r="O503" s="56">
        <f>IF(N503="Selling pet toys + Artificial grass/Pet toilets (TARGET)",15,IF(N503="Selling artificial grass/pet toilets (TARGET)",10,IF(N503="Selling pet toys",7,IF(N503="There's an Amazon link, but no target sales.",3,0))))</f>
        <v/>
      </c>
      <c r="P503" s="65">
        <f>H503+J503+L503+M503+O503</f>
        <v/>
      </c>
      <c r="Q503" s="71" t="inlineStr">
        <is>
          <t>Excluded: Công ty Gen DNA &amp; Thú y (Mục 5.4)</t>
        </is>
      </c>
      <c r="R503" s="6" t="inlineStr">
        <is>
          <t>Cỏ nhân tạo sân chơi/huấn luyện (Dog Turf) + Đồ chơi nhai chịu lực (KONG/Chew Toys)</t>
        </is>
      </c>
      <c r="S503" s="6" t="inlineStr">
        <is>
          <t>Tuyệt đối không đưa vào CRM (Vi phạm Bộ lọc Âm tính Mục 5)</t>
        </is>
      </c>
    </row>
    <row r="504">
      <c r="A504" s="59" t="n">
        <v>2331</v>
      </c>
      <c r="B504" s="15" t="inlineStr">
        <is>
          <t>Nuisance Farm and Sanctuary</t>
        </is>
      </c>
      <c r="C504" s="60" t="inlineStr">
        <is>
          <t>https://www.facebook.com/nuisancefarm</t>
        </is>
      </c>
      <c r="D504" s="9" t="inlineStr">
        <is>
          <t>Cần quét Bio Fanpage</t>
        </is>
      </c>
      <c r="E504" s="59" t="inlineStr">
        <is>
          <t>01/10/2026 22:52:39</t>
        </is>
      </c>
      <c r="F504" s="59" t="inlineStr">
        <is>
          <t>1 tuần trước</t>
        </is>
      </c>
      <c r="G504" s="61" t="n">
        <v>7</v>
      </c>
      <c r="H504" s="62" t="n">
        <v>20</v>
      </c>
      <c r="I504" s="9" t="inlineStr">
        <is>
          <t>Pet Rescue / Trạm cứu trợ (14-16đ)</t>
        </is>
      </c>
      <c r="J504" s="62" t="n">
        <v>16</v>
      </c>
      <c r="K504" s="9" t="inlineStr">
        <is>
          <t>Chưa rõ giống (Cần quét Bio)</t>
        </is>
      </c>
      <c r="L504" s="62" t="n">
        <v>0</v>
      </c>
      <c r="M504" s="62" t="n">
        <v>5</v>
      </c>
      <c r="N504" s="9" t="inlineStr">
        <is>
          <t>Amazon link not found</t>
        </is>
      </c>
      <c r="O504" s="62">
        <f>IF(N504="Selling pet toys + Artificial grass/Pet toilets (TARGET)",15,IF(N504="Selling artificial grass/pet toilets (TARGET)",10,IF(N504="Selling pet toys",7,IF(N504="There's an Amazon link, but no target sales.",3,0))))</f>
        <v/>
      </c>
      <c r="P504" s="67">
        <f>H504+J504+L504+M504+O504</f>
        <v/>
      </c>
      <c r="Q504" s="70" t="inlineStr">
        <is>
          <t>Excluded: Trang Chung / Không rõ Ngách Cún cưng</t>
        </is>
      </c>
      <c r="R504" s="9" t="inlineStr">
        <is>
          <t>Nhà vệ sinh &amp; Tã lót (Potty Tray / Pee Pads) + Cỏ nhân tạo lót chuồng</t>
        </is>
      </c>
      <c r="S504" s="9" t="inlineStr">
        <is>
          <t>Tuyệt đối không đưa vào CRM (Vi phạm Bộ lọc Âm tính Mục 5)</t>
        </is>
      </c>
    </row>
    <row r="505">
      <c r="A505" s="53" t="n">
        <v>1362</v>
      </c>
      <c r="B505" s="12" t="inlineStr">
        <is>
          <t>Feathered Minion Farms</t>
        </is>
      </c>
      <c r="C505" s="54" t="inlineStr">
        <is>
          <t>https://www.facebook.com/profile.php?id=61554872740925</t>
        </is>
      </c>
      <c r="D505" s="6" t="inlineStr">
        <is>
          <t>Cần quét Bio Fanpage</t>
        </is>
      </c>
      <c r="E505" s="53" t="inlineStr">
        <is>
          <t>21/09/2026 15:25:26</t>
        </is>
      </c>
      <c r="F505" s="53" t="inlineStr">
        <is>
          <t>3 tuần trước</t>
        </is>
      </c>
      <c r="G505" s="55" t="n">
        <v>21</v>
      </c>
      <c r="H505" s="56" t="n">
        <v>8</v>
      </c>
      <c r="I505" s="6" t="inlineStr">
        <is>
          <t>Dog Breeder / Trại nhân giống (28-30đ)</t>
        </is>
      </c>
      <c r="J505" s="56" t="n">
        <v>28</v>
      </c>
      <c r="K505" s="6" t="inlineStr">
        <is>
          <t>Chưa rõ giống (Cần quét Bio)</t>
        </is>
      </c>
      <c r="L505" s="56" t="n">
        <v>0</v>
      </c>
      <c r="M505" s="56" t="n">
        <v>5</v>
      </c>
      <c r="N505" s="6" t="inlineStr">
        <is>
          <t>Amazon link not found</t>
        </is>
      </c>
      <c r="O505" s="56">
        <f>IF(N505="Selling pet toys + Artificial grass/Pet toilets (TARGET)",15,IF(N505="Selling artificial grass/pet toilets (TARGET)",10,IF(N505="Selling pet toys",7,IF(N505="There's an Amazon link, but no target sales.",3,0))))</f>
        <v/>
      </c>
      <c r="P505" s="65">
        <f>H505+J505+L505+M505+O505</f>
        <v/>
      </c>
      <c r="Q505" s="71" t="inlineStr">
        <is>
          <t>Excluded: Trang Chung / Không rõ Ngách Cún cưng</t>
        </is>
      </c>
      <c r="R505" s="6" t="inlineStr">
        <is>
          <t>Trọn gói Take-Home Starter Kit V2/V3 (Cỏ nhân tạo + Khay Potty + Đồ chơi cún con)</t>
        </is>
      </c>
      <c r="S505" s="6" t="inlineStr">
        <is>
          <t>Tuyệt đối không đưa vào CRM (Vi phạm Bộ lọc Âm tính Mục 5)</t>
        </is>
      </c>
    </row>
    <row r="506">
      <c r="A506" s="59" t="n">
        <v>2394</v>
      </c>
      <c r="B506" s="15" t="inlineStr">
        <is>
          <t>Painted Pines Farm</t>
        </is>
      </c>
      <c r="C506" s="60" t="inlineStr">
        <is>
          <t>https://www.facebook.com/paintedpinesfarm</t>
        </is>
      </c>
      <c r="D506" s="9" t="inlineStr">
        <is>
          <t>Cần quét Bio Fanpage</t>
        </is>
      </c>
      <c r="E506" s="59" t="inlineStr">
        <is>
          <t>20/09/2026 08:44:07</t>
        </is>
      </c>
      <c r="F506" s="59" t="inlineStr">
        <is>
          <t>3 tuần trước</t>
        </is>
      </c>
      <c r="G506" s="61" t="n">
        <v>21</v>
      </c>
      <c r="H506" s="62" t="n">
        <v>8</v>
      </c>
      <c r="I506" s="9" t="inlineStr">
        <is>
          <t>Dog Breeder / Trại nhân giống (28-30đ)</t>
        </is>
      </c>
      <c r="J506" s="62" t="n">
        <v>28</v>
      </c>
      <c r="K506" s="9" t="inlineStr">
        <is>
          <t>Chưa rõ giống (Cần quét Bio)</t>
        </is>
      </c>
      <c r="L506" s="62" t="n">
        <v>0</v>
      </c>
      <c r="M506" s="62" t="n">
        <v>5</v>
      </c>
      <c r="N506" s="9" t="inlineStr">
        <is>
          <t>Amazon link not found</t>
        </is>
      </c>
      <c r="O506" s="62">
        <f>IF(N506="Selling pet toys + Artificial grass/Pet toilets (TARGET)",15,IF(N506="Selling artificial grass/pet toilets (TARGET)",10,IF(N506="Selling pet toys",7,IF(N506="There's an Amazon link, but no target sales.",3,0))))</f>
        <v/>
      </c>
      <c r="P506" s="67">
        <f>H506+J506+L506+M506+O506</f>
        <v/>
      </c>
      <c r="Q506" s="70" t="inlineStr">
        <is>
          <t>Excluded: Trang Chung / Không rõ Ngách Cún cưng</t>
        </is>
      </c>
      <c r="R506" s="9" t="inlineStr">
        <is>
          <t>Trọn gói Take-Home Starter Kit V2/V3 (Cỏ nhân tạo + Khay Potty + Đồ chơi cún con)</t>
        </is>
      </c>
      <c r="S506" s="9" t="inlineStr">
        <is>
          <t>Tuyệt đối không đưa vào CRM (Vi phạm Bộ lọc Âm tính Mục 5)</t>
        </is>
      </c>
    </row>
    <row r="507">
      <c r="A507" s="53" t="n">
        <v>393</v>
      </c>
      <c r="B507" s="12" t="inlineStr">
        <is>
          <t>Alpaka Farm Pap</t>
        </is>
      </c>
      <c r="C507" s="54" t="inlineStr">
        <is>
          <t>https://www.facebook.com/profile.php?id=61555632366891</t>
        </is>
      </c>
      <c r="D507" s="6" t="inlineStr">
        <is>
          <t>Cần quét Bio Fanpage</t>
        </is>
      </c>
      <c r="E507" s="53" t="inlineStr">
        <is>
          <t>19/09/2026 02:16:14</t>
        </is>
      </c>
      <c r="F507" s="53" t="inlineStr">
        <is>
          <t>3 tuần trước</t>
        </is>
      </c>
      <c r="G507" s="55" t="n">
        <v>21</v>
      </c>
      <c r="H507" s="56" t="n">
        <v>8</v>
      </c>
      <c r="I507" s="6" t="inlineStr">
        <is>
          <t>Dog Breeder / Trại nhân giống (28-30đ)</t>
        </is>
      </c>
      <c r="J507" s="56" t="n">
        <v>28</v>
      </c>
      <c r="K507" s="6" t="inlineStr">
        <is>
          <t>Chưa rõ giống (Cần quét Bio)</t>
        </is>
      </c>
      <c r="L507" s="56" t="n">
        <v>0</v>
      </c>
      <c r="M507" s="56" t="n">
        <v>5</v>
      </c>
      <c r="N507" s="6" t="inlineStr">
        <is>
          <t>Amazon link not found</t>
        </is>
      </c>
      <c r="O507" s="56">
        <f>IF(N507="Selling pet toys + Artificial grass/Pet toilets (TARGET)",15,IF(N507="Selling artificial grass/pet toilets (TARGET)",10,IF(N507="Selling pet toys",7,IF(N507="There's an Amazon link, but no target sales.",3,0))))</f>
        <v/>
      </c>
      <c r="P507" s="65">
        <f>H507+J507+L507+M507+O507</f>
        <v/>
      </c>
      <c r="Q507" s="71" t="inlineStr">
        <is>
          <t>Excluded: Trang Chung / Không rõ Ngách Cún cưng</t>
        </is>
      </c>
      <c r="R507" s="6" t="inlineStr">
        <is>
          <t>Trọn gói Take-Home Starter Kit V2/V3 (Cỏ nhân tạo + Khay Potty + Đồ chơi cún con)</t>
        </is>
      </c>
      <c r="S507" s="6" t="inlineStr">
        <is>
          <t>Tuyệt đối không đưa vào CRM (Vi phạm Bộ lọc Âm tính Mục 5)</t>
        </is>
      </c>
    </row>
    <row r="508">
      <c r="A508" s="59" t="n">
        <v>1516</v>
      </c>
      <c r="B508" s="15" t="inlineStr">
        <is>
          <t>Godfrey's Farm</t>
        </is>
      </c>
      <c r="C508" s="60" t="inlineStr">
        <is>
          <t>https://www.facebook.com/profile.php?id=100063668825286</t>
        </is>
      </c>
      <c r="D508" s="9" t="inlineStr">
        <is>
          <t>Cần quét Bio Fanpage</t>
        </is>
      </c>
      <c r="E508" s="59" t="inlineStr">
        <is>
          <t>18/09/2026 00:23:08</t>
        </is>
      </c>
      <c r="F508" s="59" t="inlineStr">
        <is>
          <t>3 tuần trước</t>
        </is>
      </c>
      <c r="G508" s="61" t="n">
        <v>21</v>
      </c>
      <c r="H508" s="62" t="n">
        <v>8</v>
      </c>
      <c r="I508" s="9" t="inlineStr">
        <is>
          <t>Dog Breeder / Trại nhân giống (28-30đ)</t>
        </is>
      </c>
      <c r="J508" s="62" t="n">
        <v>28</v>
      </c>
      <c r="K508" s="9" t="inlineStr">
        <is>
          <t>Chưa rõ giống (Cần quét Bio)</t>
        </is>
      </c>
      <c r="L508" s="62" t="n">
        <v>0</v>
      </c>
      <c r="M508" s="62" t="n">
        <v>5</v>
      </c>
      <c r="N508" s="9" t="inlineStr">
        <is>
          <t>Amazon link not found</t>
        </is>
      </c>
      <c r="O508" s="62">
        <f>IF(N508="Selling pet toys + Artificial grass/Pet toilets (TARGET)",15,IF(N508="Selling artificial grass/pet toilets (TARGET)",10,IF(N508="Selling pet toys",7,IF(N508="There's an Amazon link, but no target sales.",3,0))))</f>
        <v/>
      </c>
      <c r="P508" s="67">
        <f>H508+J508+L508+M508+O508</f>
        <v/>
      </c>
      <c r="Q508" s="70" t="inlineStr">
        <is>
          <t>Excluded: Trang Chung / Không rõ Ngách Cún cưng</t>
        </is>
      </c>
      <c r="R508" s="9" t="inlineStr">
        <is>
          <t>Trọn gói Take-Home Starter Kit V2/V3 (Cỏ nhân tạo + Khay Potty + Đồ chơi cún con)</t>
        </is>
      </c>
      <c r="S508" s="9" t="inlineStr">
        <is>
          <t>Tuyệt đối không đưa vào CRM (Vi phạm Bộ lọc Âm tính Mục 5)</t>
        </is>
      </c>
    </row>
    <row r="509">
      <c r="A509" s="53" t="n">
        <v>190</v>
      </c>
      <c r="B509" s="12" t="inlineStr">
        <is>
          <t>Huntington Farm</t>
        </is>
      </c>
      <c r="C509" s="54" t="inlineStr">
        <is>
          <t>https://www.facebook.com/profile.php?id=100057222559668</t>
        </is>
      </c>
      <c r="D509" s="6" t="inlineStr">
        <is>
          <t>Cần quét Bio Fanpage</t>
        </is>
      </c>
      <c r="E509" s="53" t="inlineStr">
        <is>
          <t>17/09/2026 00:14:41</t>
        </is>
      </c>
      <c r="F509" s="53" t="inlineStr">
        <is>
          <t>3 tuần trước</t>
        </is>
      </c>
      <c r="G509" s="55" t="n">
        <v>21</v>
      </c>
      <c r="H509" s="56" t="n">
        <v>8</v>
      </c>
      <c r="I509" s="6" t="inlineStr">
        <is>
          <t>Dog Breeder / Trại nhân giống (28-30đ)</t>
        </is>
      </c>
      <c r="J509" s="56" t="n">
        <v>28</v>
      </c>
      <c r="K509" s="6" t="inlineStr">
        <is>
          <t>Chưa rõ giống (Cần quét Bio)</t>
        </is>
      </c>
      <c r="L509" s="56" t="n">
        <v>0</v>
      </c>
      <c r="M509" s="56" t="n">
        <v>5</v>
      </c>
      <c r="N509" s="6" t="inlineStr">
        <is>
          <t>Amazon link not found</t>
        </is>
      </c>
      <c r="O509" s="56">
        <f>IF(N509="Selling pet toys + Artificial grass/Pet toilets (TARGET)",15,IF(N509="Selling artificial grass/pet toilets (TARGET)",10,IF(N509="Selling pet toys",7,IF(N509="There's an Amazon link, but no target sales.",3,0))))</f>
        <v/>
      </c>
      <c r="P509" s="65">
        <f>H509+J509+L509+M509+O509</f>
        <v/>
      </c>
      <c r="Q509" s="71" t="inlineStr">
        <is>
          <t>Excluded: Trang Chung / Không rõ Ngách Cún cưng</t>
        </is>
      </c>
      <c r="R509" s="6" t="inlineStr">
        <is>
          <t>Trọn gói Take-Home Starter Kit V2/V3 (Cỏ nhân tạo + Khay Potty + Đồ chơi cún con)</t>
        </is>
      </c>
      <c r="S509" s="6" t="inlineStr">
        <is>
          <t>Tuyệt đối không đưa vào CRM (Vi phạm Bộ lọc Âm tính Mục 5)</t>
        </is>
      </c>
    </row>
    <row r="510">
      <c r="A510" s="59" t="n">
        <v>415</v>
      </c>
      <c r="B510" s="15" t="inlineStr">
        <is>
          <t>American Veterinary Society of Animal Behavior - AVSAB</t>
        </is>
      </c>
      <c r="C510" s="60" t="inlineStr">
        <is>
          <t>https://www.facebook.com/avsabfb</t>
        </is>
      </c>
      <c r="D510" s="9" t="inlineStr">
        <is>
          <t>Cần quét Bio Fanpage</t>
        </is>
      </c>
      <c r="E510" s="59" t="inlineStr">
        <is>
          <t>05/10/2026 19:31:03</t>
        </is>
      </c>
      <c r="F510" s="59" t="inlineStr">
        <is>
          <t>1 tuần trước</t>
        </is>
      </c>
      <c r="G510" s="61" t="n">
        <v>7</v>
      </c>
      <c r="H510" s="62" t="n">
        <v>20</v>
      </c>
      <c r="I510" s="9" t="inlineStr">
        <is>
          <t>Pet Boarding / Huấn luyện K9 &amp; Dịch vụ (20-22đ)</t>
        </is>
      </c>
      <c r="J510" s="62" t="n">
        <v>20</v>
      </c>
      <c r="K510" s="9" t="inlineStr">
        <is>
          <t>Chưa rõ giống (Cần quét Bio)</t>
        </is>
      </c>
      <c r="L510" s="62" t="n">
        <v>0</v>
      </c>
      <c r="M510" s="62" t="n">
        <v>0</v>
      </c>
      <c r="N510" s="9" t="inlineStr">
        <is>
          <t>Amazon link not found</t>
        </is>
      </c>
      <c r="O510" s="62">
        <f>IF(N510="Selling pet toys + Artificial grass/Pet toilets (TARGET)",15,IF(N510="Selling artificial grass/pet toilets (TARGET)",10,IF(N510="Selling pet toys",7,IF(N510="There's an Amazon link, but no target sales.",3,0))))</f>
        <v/>
      </c>
      <c r="P510" s="67">
        <f>H510+J510+L510+M510+O510</f>
        <v/>
      </c>
      <c r="Q510" s="70" t="inlineStr">
        <is>
          <t>Excluded: Công ty Gen DNA &amp; Thú y (Mục 5.4)</t>
        </is>
      </c>
      <c r="R510" s="9" t="inlineStr">
        <is>
          <t>Cỏ nhân tạo sân chơi/huấn luyện (Dog Turf) + Đồ chơi nhai chịu lực (KONG/Chew Toys)</t>
        </is>
      </c>
      <c r="S510" s="9" t="inlineStr">
        <is>
          <t>Tuyệt đối không đưa vào CRM (Vi phạm Bộ lọc Âm tính Mục 5)</t>
        </is>
      </c>
    </row>
    <row r="511">
      <c r="A511" s="53" t="n">
        <v>1402</v>
      </c>
      <c r="B511" s="12" t="inlineStr">
        <is>
          <t>Florida Association of Kennel Clubs</t>
        </is>
      </c>
      <c r="C511" s="54" t="inlineStr">
        <is>
          <t>https://www.facebook.com/FAKC.org</t>
        </is>
      </c>
      <c r="D511" s="6" t="inlineStr">
        <is>
          <t>Cần quét Bio Fanpage</t>
        </is>
      </c>
      <c r="E511" s="53" t="inlineStr">
        <is>
          <t>09/09/2026 01:13:34</t>
        </is>
      </c>
      <c r="F511" s="53" t="inlineStr">
        <is>
          <t>1 tháng trước</t>
        </is>
      </c>
      <c r="G511" s="55" t="n">
        <v>30</v>
      </c>
      <c r="H511" s="56" t="n">
        <v>0</v>
      </c>
      <c r="I511" s="6" t="inlineStr">
        <is>
          <t>Dog Breeder / Trại chó chuyên nghiệp (28-30đ)</t>
        </is>
      </c>
      <c r="J511" s="56" t="n">
        <v>30</v>
      </c>
      <c r="K511" s="6" t="inlineStr">
        <is>
          <t>Chưa rõ giống (Cần quét Bio)</t>
        </is>
      </c>
      <c r="L511" s="56" t="n">
        <v>0</v>
      </c>
      <c r="M511" s="56" t="n">
        <v>10</v>
      </c>
      <c r="N511" s="6" t="inlineStr">
        <is>
          <t>Amazon link not found</t>
        </is>
      </c>
      <c r="O511" s="56">
        <f>IF(N511="Selling pet toys + Artificial grass/Pet toilets (TARGET)",15,IF(N511="Selling artificial grass/pet toilets (TARGET)",10,IF(N511="Selling pet toys",7,IF(N511="There's an Amazon link, but no target sales.",3,0))))</f>
        <v/>
      </c>
      <c r="P511" s="65">
        <f>H511+J511+L511+M511+O511</f>
        <v/>
      </c>
      <c r="Q511" s="71" t="inlineStr">
        <is>
          <t>Excluded: Hiệp hội &amp; CLB Phả hệ (Mục 5.1)</t>
        </is>
      </c>
      <c r="R511" s="6" t="inlineStr">
        <is>
          <t>Trọn gói Take-Home Starter Kit V2/V3 (Cỏ nhân tạo + Khay Potty + Đồ chơi Teething/Snuggle)</t>
        </is>
      </c>
      <c r="S511" s="6" t="inlineStr">
        <is>
          <t>Tuyệt đối không đưa vào CRM (Vi phạm Bộ lọc Âm tính Mục 5)</t>
        </is>
      </c>
    </row>
    <row r="512">
      <c r="A512" s="59" t="n">
        <v>1392</v>
      </c>
      <c r="B512" s="15" t="inlineStr">
        <is>
          <t>Fitbull FCI Miniature Bull terrier kennel</t>
        </is>
      </c>
      <c r="C512" s="60" t="inlineStr">
        <is>
          <t>https://www.facebook.com/FitbullFCI</t>
        </is>
      </c>
      <c r="D512" s="9" t="inlineStr">
        <is>
          <t>Cần quét Bio Fanpage</t>
        </is>
      </c>
      <c r="E512" s="59" t="inlineStr">
        <is>
          <t>13/06/2025 15:12:46</t>
        </is>
      </c>
      <c r="F512" s="59" t="inlineStr">
        <is>
          <t>1 năm trước</t>
        </is>
      </c>
      <c r="G512" s="61" t="n">
        <v>365</v>
      </c>
      <c r="H512" s="62" t="n">
        <v>0</v>
      </c>
      <c r="I512" s="9" t="inlineStr">
        <is>
          <t>Dog Breeder / Trại chó chuyên nghiệp (28-30đ)</t>
        </is>
      </c>
      <c r="J512" s="62" t="n">
        <v>30</v>
      </c>
      <c r="K512" s="9" t="inlineStr">
        <is>
          <t>Terrier (Jack Russell/Yorkie/Boston/Staffy)</t>
        </is>
      </c>
      <c r="L512" s="62" t="n">
        <v>5</v>
      </c>
      <c r="M512" s="62" t="n">
        <v>5</v>
      </c>
      <c r="N512" s="9" t="inlineStr">
        <is>
          <t>Amazon link not found</t>
        </is>
      </c>
      <c r="O512" s="62">
        <f>IF(N512="Selling pet toys + Artificial grass/Pet toilets (TARGET)",15,IF(N512="Selling artificial grass/pet toilets (TARGET)",10,IF(N512="Selling pet toys",7,IF(N512="There's an Amazon link, but no target sales.",3,0))))</f>
        <v/>
      </c>
      <c r="P512" s="67">
        <f>H512+J512+L512+M512+O512</f>
        <v/>
      </c>
      <c r="Q512" s="70" t="inlineStr">
        <is>
          <t>Excluded: Hiệp hội &amp; CLB Phả hệ (Mục 5.1)</t>
        </is>
      </c>
      <c r="R512" s="9" t="inlineStr">
        <is>
          <t>Trọn gói Take-Home Starter Kit V2/V3 (Cỏ nhân tạo + Khay Potty + Đồ chơi Teething/Snuggle)</t>
        </is>
      </c>
      <c r="S512" s="9" t="inlineStr">
        <is>
          <t>Tuyệt đối không đưa vào CRM (Vi phạm Bộ lọc Âm tính Mục 5)</t>
        </is>
      </c>
    </row>
    <row r="513">
      <c r="A513" s="53" t="n">
        <v>1643</v>
      </c>
      <c r="B513" s="12" t="inlineStr">
        <is>
          <t>Helvetica Vallis FCI Kennel - Bernese Mountain Dog</t>
        </is>
      </c>
      <c r="C513" s="54" t="inlineStr">
        <is>
          <t>https://www.facebook.com/helveticavalliskennel</t>
        </is>
      </c>
      <c r="D513" s="6" t="inlineStr">
        <is>
          <t>Cần quét Bio Fanpage</t>
        </is>
      </c>
      <c r="E513" s="53" t="inlineStr">
        <is>
          <t>31/01/2025 13:23:08</t>
        </is>
      </c>
      <c r="F513" s="53" t="inlineStr">
        <is>
          <t>1 năm trước</t>
        </is>
      </c>
      <c r="G513" s="55" t="n">
        <v>365</v>
      </c>
      <c r="H513" s="56" t="n">
        <v>0</v>
      </c>
      <c r="I513" s="6" t="inlineStr">
        <is>
          <t>Dog Breeder / Trại chó chuyên nghiệp (28-30đ)</t>
        </is>
      </c>
      <c r="J513" s="56" t="n">
        <v>30</v>
      </c>
      <c r="K513" s="6" t="inlineStr">
        <is>
          <t>Bernese Mountain Dog</t>
        </is>
      </c>
      <c r="L513" s="56" t="n">
        <v>5</v>
      </c>
      <c r="M513" s="56" t="n">
        <v>5</v>
      </c>
      <c r="N513" s="6" t="inlineStr">
        <is>
          <t>Amazon link not found</t>
        </is>
      </c>
      <c r="O513" s="56">
        <f>IF(N513="Selling pet toys + Artificial grass/Pet toilets (TARGET)",15,IF(N513="Selling artificial grass/pet toilets (TARGET)",10,IF(N513="Selling pet toys",7,IF(N513="There's an Amazon link, but no target sales.",3,0))))</f>
        <v/>
      </c>
      <c r="P513" s="65">
        <f>H513+J513+L513+M513+O513</f>
        <v/>
      </c>
      <c r="Q513" s="71" t="inlineStr">
        <is>
          <t>Excluded: Hiệp hội &amp; CLB Phả hệ (Mục 5.1)</t>
        </is>
      </c>
      <c r="R513" s="6" t="inlineStr">
        <is>
          <t>Trọn gói Take-Home Starter Kit V2/V3 (Cỏ nhân tạo + Khay Potty + Đồ chơi Teething/Snuggle)</t>
        </is>
      </c>
      <c r="S513" s="6" t="inlineStr">
        <is>
          <t>Tuyệt đối không đưa vào CRM (Vi phạm Bộ lọc Âm tính Mục 5)</t>
        </is>
      </c>
    </row>
    <row r="514">
      <c r="A514" s="59" t="n">
        <v>1750</v>
      </c>
      <c r="B514" s="15" t="inlineStr">
        <is>
          <t>Jack russell terrier Kennel FCI "Omri Relizan"</t>
        </is>
      </c>
      <c r="C514" s="60" t="inlineStr">
        <is>
          <t>https://www.facebook.com/omrirelizan</t>
        </is>
      </c>
      <c r="D514" s="9" t="inlineStr">
        <is>
          <t>Cần quét Bio Fanpage</t>
        </is>
      </c>
      <c r="E514" s="59" t="inlineStr">
        <is>
          <t>12/12/2022 15:05:06</t>
        </is>
      </c>
      <c r="F514" s="59" t="inlineStr">
        <is>
          <t>3 năm trước</t>
        </is>
      </c>
      <c r="G514" s="61" t="n">
        <v>1095</v>
      </c>
      <c r="H514" s="62" t="n">
        <v>0</v>
      </c>
      <c r="I514" s="9" t="inlineStr">
        <is>
          <t>Dog Breeder / Trại chó chuyên nghiệp (28-30đ)</t>
        </is>
      </c>
      <c r="J514" s="62" t="n">
        <v>30</v>
      </c>
      <c r="K514" s="9" t="inlineStr">
        <is>
          <t>Terrier (Jack Russell/Yorkie/Boston/Staffy)</t>
        </is>
      </c>
      <c r="L514" s="62" t="n">
        <v>5</v>
      </c>
      <c r="M514" s="62" t="n">
        <v>5</v>
      </c>
      <c r="N514" s="9" t="inlineStr">
        <is>
          <t>Amazon link not found</t>
        </is>
      </c>
      <c r="O514" s="62">
        <f>IF(N514="Selling pet toys + Artificial grass/Pet toilets (TARGET)",15,IF(N514="Selling artificial grass/pet toilets (TARGET)",10,IF(N514="Selling pet toys",7,IF(N514="There's an Amazon link, but no target sales.",3,0))))</f>
        <v/>
      </c>
      <c r="P514" s="67">
        <f>H514+J514+L514+M514+O514</f>
        <v/>
      </c>
      <c r="Q514" s="70" t="inlineStr">
        <is>
          <t>Excluded: Hiệp hội &amp; CLB Phả hệ (Mục 5.1)</t>
        </is>
      </c>
      <c r="R514" s="9" t="inlineStr">
        <is>
          <t>Trọn gói Take-Home Starter Kit V2/V3 (Cỏ nhân tạo + Khay Potty + Đồ chơi Teething/Snuggle)</t>
        </is>
      </c>
      <c r="S514" s="9" t="inlineStr">
        <is>
          <t>Tuyệt đối không đưa vào CRM (Vi phạm Bộ lọc Âm tính Mục 5)</t>
        </is>
      </c>
    </row>
    <row r="515">
      <c r="A515" s="53" t="n">
        <v>646</v>
      </c>
      <c r="B515" s="12" t="inlineStr">
        <is>
          <t>Bernese Mountain Dog Kennel FCI - "Favorit Timbernes"</t>
        </is>
      </c>
      <c r="C515" s="54" t="inlineStr">
        <is>
          <t>https://www.facebook.com/FavoritTimbernes</t>
        </is>
      </c>
      <c r="D515" s="6" t="inlineStr">
        <is>
          <t>Cần quét Bio Fanpage</t>
        </is>
      </c>
      <c r="E515" s="53" t="inlineStr">
        <is>
          <t>Không tìm thấy bài viết</t>
        </is>
      </c>
      <c r="F515" s="53" t="inlineStr">
        <is>
          <t>Không có bài</t>
        </is>
      </c>
      <c r="G515" s="55" t="n">
        <v>999</v>
      </c>
      <c r="H515" s="56" t="n">
        <v>0</v>
      </c>
      <c r="I515" s="6" t="inlineStr">
        <is>
          <t>Dog Breeder / Trại chó chuyên nghiệp (28-30đ)</t>
        </is>
      </c>
      <c r="J515" s="56" t="n">
        <v>30</v>
      </c>
      <c r="K515" s="6" t="inlineStr">
        <is>
          <t>Bernese Mountain Dog</t>
        </is>
      </c>
      <c r="L515" s="56" t="n">
        <v>5</v>
      </c>
      <c r="M515" s="56" t="n">
        <v>5</v>
      </c>
      <c r="N515" s="6" t="inlineStr">
        <is>
          <t>Amazon link not found</t>
        </is>
      </c>
      <c r="O515" s="56">
        <f>IF(N515="Selling pet toys + Artificial grass/Pet toilets (TARGET)",15,IF(N515="Selling artificial grass/pet toilets (TARGET)",10,IF(N515="Selling pet toys",7,IF(N515="There's an Amazon link, but no target sales.",3,0))))</f>
        <v/>
      </c>
      <c r="P515" s="65">
        <f>H515+J515+L515+M515+O515</f>
        <v/>
      </c>
      <c r="Q515" s="71" t="inlineStr">
        <is>
          <t>Excluded: Hiệp hội &amp; CLB Phả hệ (Mục 5.1)</t>
        </is>
      </c>
      <c r="R515" s="6" t="inlineStr">
        <is>
          <t>Trọn gói Take-Home Starter Kit V2/V3 (Cỏ nhân tạo + Khay Potty + Đồ chơi Teething/Snuggle)</t>
        </is>
      </c>
      <c r="S515" s="6" t="inlineStr">
        <is>
          <t>Tuyệt đối không đưa vào CRM (Vi phạm Bộ lọc Âm tính Mục 5)</t>
        </is>
      </c>
    </row>
    <row r="516">
      <c r="A516" s="59" t="n">
        <v>1922</v>
      </c>
      <c r="B516" s="15" t="inlineStr">
        <is>
          <t>Kerman Animal Services</t>
        </is>
      </c>
      <c r="C516" s="60" t="inlineStr">
        <is>
          <t>https://www.facebook.com/KermanAnimalServices</t>
        </is>
      </c>
      <c r="D516" s="9" t="inlineStr">
        <is>
          <t>Cần quét Bio Fanpage</t>
        </is>
      </c>
      <c r="E516" s="59" t="inlineStr">
        <is>
          <t>09/10/2026 04:03:10</t>
        </is>
      </c>
      <c r="F516" s="59" t="inlineStr">
        <is>
          <t>4 ngày trước</t>
        </is>
      </c>
      <c r="G516" s="61" t="n">
        <v>4</v>
      </c>
      <c r="H516" s="62" t="n">
        <v>20</v>
      </c>
      <c r="I516" s="9" t="inlineStr">
        <is>
          <t>Pet Rescue / Trạm cứu trợ (14-16đ)</t>
        </is>
      </c>
      <c r="J516" s="62" t="n">
        <v>14</v>
      </c>
      <c r="K516" s="9" t="inlineStr">
        <is>
          <t>Chưa rõ giống (Cần quét Bio)</t>
        </is>
      </c>
      <c r="L516" s="62" t="n">
        <v>0</v>
      </c>
      <c r="M516" s="62" t="n">
        <v>5</v>
      </c>
      <c r="N516" s="9" t="inlineStr">
        <is>
          <t>Amazon link not found</t>
        </is>
      </c>
      <c r="O516" s="62">
        <f>IF(N516="Selling pet toys + Artificial grass/Pet toilets (TARGET)",15,IF(N516="Selling artificial grass/pet toilets (TARGET)",10,IF(N516="Selling pet toys",7,IF(N516="There's an Amazon link, but no target sales.",3,0))))</f>
        <v/>
      </c>
      <c r="P516" s="67">
        <f>H516+J516+L516+M516+O516</f>
        <v/>
      </c>
      <c r="Q516" s="70" t="inlineStr">
        <is>
          <t>Excluded: Trang Chung / Không rõ Ngách Cún cưng</t>
        </is>
      </c>
      <c r="R516" s="9" t="inlineStr">
        <is>
          <t>Nhà vệ sinh &amp; Tã lót (Potty Tray / Pee Pads) + Cỏ nhân tạo lót chuồng</t>
        </is>
      </c>
      <c r="S516" s="9" t="inlineStr">
        <is>
          <t>Tuyệt đối không đưa vào CRM (Vi phạm Bộ lọc Âm tính Mục 5)</t>
        </is>
      </c>
    </row>
    <row r="517">
      <c r="A517" s="53" t="n">
        <v>3326</v>
      </c>
      <c r="B517" s="12" t="inlineStr">
        <is>
          <t>Ville de Givet</t>
        </is>
      </c>
      <c r="C517" s="54" t="inlineStr">
        <is>
          <t>https://www.facebook.com/villegivet</t>
        </is>
      </c>
      <c r="D517" s="6" t="inlineStr">
        <is>
          <t>Cần quét Bio Fanpage</t>
        </is>
      </c>
      <c r="E517" s="53" t="inlineStr">
        <is>
          <t>12/10/2026 03:16:35</t>
        </is>
      </c>
      <c r="F517" s="53" t="inlineStr">
        <is>
          <t>1 ngày trước</t>
        </is>
      </c>
      <c r="G517" s="55" t="n">
        <v>1</v>
      </c>
      <c r="H517" s="56" t="n">
        <v>28</v>
      </c>
      <c r="I517" s="6" t="inlineStr">
        <is>
          <t>Pet Owner / Cộng đồng nuôi cún (10đ)</t>
        </is>
      </c>
      <c r="J517" s="56" t="n">
        <v>10</v>
      </c>
      <c r="K517" s="6" t="inlineStr">
        <is>
          <t>Chưa rõ giống (Cần quét Bio)</t>
        </is>
      </c>
      <c r="L517" s="56" t="n">
        <v>0</v>
      </c>
      <c r="M517" s="56" t="n">
        <v>0</v>
      </c>
      <c r="N517" s="6" t="inlineStr">
        <is>
          <t>Amazon link not found</t>
        </is>
      </c>
      <c r="O517" s="56">
        <f>IF(N517="Selling pet toys + Artificial grass/Pet toilets (TARGET)",15,IF(N517="Selling artificial grass/pet toilets (TARGET)",10,IF(N517="Selling pet toys",7,IF(N517="There's an Amazon link, but no target sales.",3,0))))</f>
        <v/>
      </c>
      <c r="P517" s="65">
        <f>H517+J517+L517+M517+O517</f>
        <v/>
      </c>
      <c r="Q517" s="71" t="inlineStr">
        <is>
          <t>Excluded: Trang Chung / Không rõ Ngách Cún cưng</t>
        </is>
      </c>
      <c r="R517" s="6" t="inlineStr">
        <is>
          <t>Khay vệ sinh chung cư (Indoor Potty) + Thảm cỏ ban công (Grass Patch) + Đồ chơi</t>
        </is>
      </c>
      <c r="S517" s="6" t="inlineStr">
        <is>
          <t>Tuyệt đối không đưa vào CRM (Vi phạm Bộ lọc Âm tính Mục 5)</t>
        </is>
      </c>
    </row>
    <row r="518">
      <c r="A518" s="59" t="n">
        <v>2547</v>
      </c>
      <c r="B518" s="15" t="inlineStr">
        <is>
          <t>PetSmart</t>
        </is>
      </c>
      <c r="C518" s="60" t="inlineStr">
        <is>
          <t>https://www.facebook.com/PetSmartCanada</t>
        </is>
      </c>
      <c r="D518" s="9" t="inlineStr">
        <is>
          <t>Cần quét Bio Fanpage</t>
        </is>
      </c>
      <c r="E518" s="59" t="inlineStr">
        <is>
          <t>12/10/2026 02:20:38</t>
        </is>
      </c>
      <c r="F518" s="59" t="inlineStr">
        <is>
          <t>1 ngày trước</t>
        </is>
      </c>
      <c r="G518" s="61" t="n">
        <v>1</v>
      </c>
      <c r="H518" s="62" t="n">
        <v>28</v>
      </c>
      <c r="I518" s="9" t="inlineStr">
        <is>
          <t>Pet Owner / Cộng đồng nuôi cún (10đ)</t>
        </is>
      </c>
      <c r="J518" s="62" t="n">
        <v>10</v>
      </c>
      <c r="K518" s="9" t="inlineStr">
        <is>
          <t>Chưa rõ giống (Cần quét Bio)</t>
        </is>
      </c>
      <c r="L518" s="62" t="n">
        <v>0</v>
      </c>
      <c r="M518" s="62" t="n">
        <v>0</v>
      </c>
      <c r="N518" s="9" t="inlineStr">
        <is>
          <t>Amazon link not found</t>
        </is>
      </c>
      <c r="O518" s="62">
        <f>IF(N518="Selling pet toys + Artificial grass/Pet toilets (TARGET)",15,IF(N518="Selling artificial grass/pet toilets (TARGET)",10,IF(N518="Selling pet toys",7,IF(N518="There's an Amazon link, but no target sales.",3,0))))</f>
        <v/>
      </c>
      <c r="P518" s="67">
        <f>H518+J518+L518+M518+O518</f>
        <v/>
      </c>
      <c r="Q518" s="70" t="inlineStr">
        <is>
          <t>Excluded: Chuỗi Siêu thị Bán lẻ Lớn (Mục 5.2)</t>
        </is>
      </c>
      <c r="R518" s="9" t="inlineStr">
        <is>
          <t>Khay vệ sinh chung cư (Indoor Potty) + Thảm cỏ ban công (Grass Patch) + Đồ chơi</t>
        </is>
      </c>
      <c r="S518" s="9" t="inlineStr">
        <is>
          <t>Tuyệt đối không đưa vào CRM (Vi phạm Bộ lọc Âm tính Mục 5)</t>
        </is>
      </c>
    </row>
    <row r="519">
      <c r="A519" s="53" t="n">
        <v>812</v>
      </c>
      <c r="B519" s="12" t="inlineStr">
        <is>
          <t>Camille H. Photographie - Photographe animalière</t>
        </is>
      </c>
      <c r="C519" s="54" t="inlineStr">
        <is>
          <t>https://www.facebook.com/camillehphotographie</t>
        </is>
      </c>
      <c r="D519" s="6" t="inlineStr">
        <is>
          <t>Cần quét Bio Fanpage</t>
        </is>
      </c>
      <c r="E519" s="53" t="inlineStr">
        <is>
          <t>12/10/2026 02:00:18</t>
        </is>
      </c>
      <c r="F519" s="53" t="inlineStr">
        <is>
          <t>1 ngày trước</t>
        </is>
      </c>
      <c r="G519" s="55" t="n">
        <v>1</v>
      </c>
      <c r="H519" s="56" t="n">
        <v>28</v>
      </c>
      <c r="I519" s="6" t="inlineStr">
        <is>
          <t>Pet Owner / Cộng đồng nuôi cún (10đ)</t>
        </is>
      </c>
      <c r="J519" s="56" t="n">
        <v>10</v>
      </c>
      <c r="K519" s="6" t="inlineStr">
        <is>
          <t>Chưa rõ giống (Cần quét Bio)</t>
        </is>
      </c>
      <c r="L519" s="56" t="n">
        <v>0</v>
      </c>
      <c r="M519" s="56" t="n">
        <v>0</v>
      </c>
      <c r="N519" s="6" t="inlineStr">
        <is>
          <t>Amazon link not found</t>
        </is>
      </c>
      <c r="O519" s="56">
        <f>IF(N519="Selling pet toys + Artificial grass/Pet toilets (TARGET)",15,IF(N519="Selling artificial grass/pet toilets (TARGET)",10,IF(N519="Selling pet toys",7,IF(N519="There's an Amazon link, but no target sales.",3,0))))</f>
        <v/>
      </c>
      <c r="P519" s="65">
        <f>H519+J519+L519+M519+O519</f>
        <v/>
      </c>
      <c r="Q519" s="71" t="inlineStr">
        <is>
          <t>Excluded: Trang Chung / Không rõ Ngách Cún cưng</t>
        </is>
      </c>
      <c r="R519" s="6" t="inlineStr">
        <is>
          <t>Khay vệ sinh chung cư (Indoor Potty) + Thảm cỏ ban công (Grass Patch) + Đồ chơi</t>
        </is>
      </c>
      <c r="S519" s="6" t="inlineStr">
        <is>
          <t>Tuyệt đối không đưa vào CRM (Vi phạm Bộ lọc Âm tính Mục 5)</t>
        </is>
      </c>
    </row>
    <row r="520">
      <c r="A520" s="59" t="n">
        <v>610</v>
      </c>
      <c r="B520" s="15" t="inlineStr">
        <is>
          <t>Beach Road Vet Clinic</t>
        </is>
      </c>
      <c r="C520" s="60" t="inlineStr">
        <is>
          <t>https://www.facebook.com/beachroadvet</t>
        </is>
      </c>
      <c r="D520" s="9" t="inlineStr">
        <is>
          <t>Cần quét Bio Fanpage</t>
        </is>
      </c>
      <c r="E520" s="59" t="inlineStr">
        <is>
          <t>12/10/2026 02:00:15</t>
        </is>
      </c>
      <c r="F520" s="59" t="inlineStr">
        <is>
          <t>1 ngày trước</t>
        </is>
      </c>
      <c r="G520" s="61" t="n">
        <v>1</v>
      </c>
      <c r="H520" s="62" t="n">
        <v>28</v>
      </c>
      <c r="I520" s="9" t="inlineStr">
        <is>
          <t>Pet Owner / Cộng đồng nuôi cún (10đ)</t>
        </is>
      </c>
      <c r="J520" s="62" t="n">
        <v>10</v>
      </c>
      <c r="K520" s="9" t="inlineStr">
        <is>
          <t>Chưa rõ giống (Cần quét Bio)</t>
        </is>
      </c>
      <c r="L520" s="62" t="n">
        <v>0</v>
      </c>
      <c r="M520" s="62" t="n">
        <v>0</v>
      </c>
      <c r="N520" s="9" t="inlineStr">
        <is>
          <t>Amazon link not found</t>
        </is>
      </c>
      <c r="O520" s="62">
        <f>IF(N520="Selling pet toys + Artificial grass/Pet toilets (TARGET)",15,IF(N520="Selling artificial grass/pet toilets (TARGET)",10,IF(N520="Selling pet toys",7,IF(N520="There's an Amazon link, but no target sales.",3,0))))</f>
        <v/>
      </c>
      <c r="P520" s="67">
        <f>H520+J520+L520+M520+O520</f>
        <v/>
      </c>
      <c r="Q520" s="70" t="inlineStr">
        <is>
          <t>Excluded: Công ty Gen DNA &amp; Thú y (Mục 5.4)</t>
        </is>
      </c>
      <c r="R520" s="9" t="inlineStr">
        <is>
          <t>Khay vệ sinh chung cư (Indoor Potty) + Thảm cỏ ban công (Grass Patch) + Đồ chơi</t>
        </is>
      </c>
      <c r="S520" s="9" t="inlineStr">
        <is>
          <t>Tuyệt đối không đưa vào CRM (Vi phạm Bộ lọc Âm tính Mục 5)</t>
        </is>
      </c>
    </row>
    <row r="521">
      <c r="A521" s="53" t="n">
        <v>1227</v>
      </c>
      <c r="B521" s="12" t="inlineStr">
        <is>
          <t>Dr. Tannetje Crocker- Veterinarian</t>
        </is>
      </c>
      <c r="C521" s="54" t="inlineStr">
        <is>
          <t>https://www.facebook.com/dr.tannetje.crocker</t>
        </is>
      </c>
      <c r="D521" s="6" t="inlineStr">
        <is>
          <t>Cần quét Bio Fanpage</t>
        </is>
      </c>
      <c r="E521" s="53" t="inlineStr">
        <is>
          <t>12/10/2026 00:39:02</t>
        </is>
      </c>
      <c r="F521" s="53" t="inlineStr">
        <is>
          <t>1 ngày trước</t>
        </is>
      </c>
      <c r="G521" s="55" t="n">
        <v>1</v>
      </c>
      <c r="H521" s="56" t="n">
        <v>28</v>
      </c>
      <c r="I521" s="6" t="inlineStr">
        <is>
          <t>Pet Owner / Cộng đồng nuôi cún (10đ)</t>
        </is>
      </c>
      <c r="J521" s="56" t="n">
        <v>10</v>
      </c>
      <c r="K521" s="6" t="inlineStr">
        <is>
          <t>Chưa rõ giống (Cần quét Bio)</t>
        </is>
      </c>
      <c r="L521" s="56" t="n">
        <v>0</v>
      </c>
      <c r="M521" s="56" t="n">
        <v>0</v>
      </c>
      <c r="N521" s="6" t="inlineStr">
        <is>
          <t>Amazon link not found</t>
        </is>
      </c>
      <c r="O521" s="56">
        <f>IF(N521="Selling pet toys + Artificial grass/Pet toilets (TARGET)",15,IF(N521="Selling artificial grass/pet toilets (TARGET)",10,IF(N521="Selling pet toys",7,IF(N521="There's an Amazon link, but no target sales.",3,0))))</f>
        <v/>
      </c>
      <c r="P521" s="65">
        <f>H521+J521+L521+M521+O521</f>
        <v/>
      </c>
      <c r="Q521" s="71" t="inlineStr">
        <is>
          <t>Excluded: Công ty Gen DNA &amp; Thú y (Mục 5.4)</t>
        </is>
      </c>
      <c r="R521" s="6" t="inlineStr">
        <is>
          <t>Khay vệ sinh chung cư (Indoor Potty) + Thảm cỏ ban công (Grass Patch) + Đồ chơi</t>
        </is>
      </c>
      <c r="S521" s="6" t="inlineStr">
        <is>
          <t>Tuyệt đối không đưa vào CRM (Vi phạm Bộ lọc Âm tính Mục 5)</t>
        </is>
      </c>
    </row>
    <row r="522">
      <c r="A522" s="59" t="n">
        <v>1018</v>
      </c>
      <c r="B522" s="15" t="inlineStr">
        <is>
          <t>Deer Run Farmstand</t>
        </is>
      </c>
      <c r="C522" s="60" t="inlineStr">
        <is>
          <t>https://www.facebook.com/DeerRunFarmstand02</t>
        </is>
      </c>
      <c r="D522" s="9" t="inlineStr">
        <is>
          <t>Cần quét Bio Fanpage</t>
        </is>
      </c>
      <c r="E522" s="59" t="inlineStr">
        <is>
          <t>11/10/2026 23:36:08</t>
        </is>
      </c>
      <c r="F522" s="59" t="inlineStr">
        <is>
          <t>1 ngày trước</t>
        </is>
      </c>
      <c r="G522" s="61" t="n">
        <v>1</v>
      </c>
      <c r="H522" s="62" t="n">
        <v>28</v>
      </c>
      <c r="I522" s="9" t="inlineStr">
        <is>
          <t>Pet Owner / Cộng đồng nuôi cún (10đ)</t>
        </is>
      </c>
      <c r="J522" s="62" t="n">
        <v>10</v>
      </c>
      <c r="K522" s="9" t="inlineStr">
        <is>
          <t>Chưa rõ giống (Cần quét Bio)</t>
        </is>
      </c>
      <c r="L522" s="62" t="n">
        <v>0</v>
      </c>
      <c r="M522" s="62" t="n">
        <v>0</v>
      </c>
      <c r="N522" s="9" t="inlineStr">
        <is>
          <t>Amazon link not found</t>
        </is>
      </c>
      <c r="O522" s="62">
        <f>IF(N522="Selling pet toys + Artificial grass/Pet toilets (TARGET)",15,IF(N522="Selling artificial grass/pet toilets (TARGET)",10,IF(N522="Selling pet toys",7,IF(N522="There's an Amazon link, but no target sales.",3,0))))</f>
        <v/>
      </c>
      <c r="P522" s="67">
        <f>H522+J522+L522+M522+O522</f>
        <v/>
      </c>
      <c r="Q522" s="70" t="inlineStr">
        <is>
          <t>Excluded: Trang Chung / Không rõ Ngách Cún cưng</t>
        </is>
      </c>
      <c r="R522" s="9" t="inlineStr">
        <is>
          <t>Khay vệ sinh chung cư (Indoor Potty) + Thảm cỏ ban công (Grass Patch) + Đồ chơi</t>
        </is>
      </c>
      <c r="S522" s="9" t="inlineStr">
        <is>
          <t>Tuyệt đối không đưa vào CRM (Vi phạm Bộ lọc Âm tính Mục 5)</t>
        </is>
      </c>
    </row>
    <row r="523">
      <c r="A523" s="53" t="n">
        <v>1936</v>
      </c>
      <c r="B523" s="12" t="inlineStr">
        <is>
          <t>KnuckleBumpFarms</t>
        </is>
      </c>
      <c r="C523" s="54" t="inlineStr">
        <is>
          <t>https://www.facebook.com/KnuckleBumpFarms</t>
        </is>
      </c>
      <c r="D523" s="6" t="inlineStr">
        <is>
          <t>Cần quét Bio Fanpage</t>
        </is>
      </c>
      <c r="E523" s="53" t="inlineStr">
        <is>
          <t>11/10/2026 23:11:17</t>
        </is>
      </c>
      <c r="F523" s="53" t="inlineStr">
        <is>
          <t>1 ngày trước</t>
        </is>
      </c>
      <c r="G523" s="55" t="n">
        <v>1</v>
      </c>
      <c r="H523" s="56" t="n">
        <v>28</v>
      </c>
      <c r="I523" s="6" t="inlineStr">
        <is>
          <t>Pet Owner / Cộng đồng nuôi cún (10đ)</t>
        </is>
      </c>
      <c r="J523" s="56" t="n">
        <v>10</v>
      </c>
      <c r="K523" s="6" t="inlineStr">
        <is>
          <t>Chưa rõ giống (Cần quét Bio)</t>
        </is>
      </c>
      <c r="L523" s="56" t="n">
        <v>0</v>
      </c>
      <c r="M523" s="56" t="n">
        <v>0</v>
      </c>
      <c r="N523" s="6" t="inlineStr">
        <is>
          <t>Amazon link not found</t>
        </is>
      </c>
      <c r="O523" s="56">
        <f>IF(N523="Selling pet toys + Artificial grass/Pet toilets (TARGET)",15,IF(N523="Selling artificial grass/pet toilets (TARGET)",10,IF(N523="Selling pet toys",7,IF(N523="There's an Amazon link, but no target sales.",3,0))))</f>
        <v/>
      </c>
      <c r="P523" s="65">
        <f>H523+J523+L523+M523+O523</f>
        <v/>
      </c>
      <c r="Q523" s="71" t="inlineStr">
        <is>
          <t>Excluded: Trang Chung / Không rõ Ngách Cún cưng</t>
        </is>
      </c>
      <c r="R523" s="6" t="inlineStr">
        <is>
          <t>Khay vệ sinh chung cư (Indoor Potty) + Thảm cỏ ban công (Grass Patch) + Đồ chơi</t>
        </is>
      </c>
      <c r="S523" s="6" t="inlineStr">
        <is>
          <t>Tuyệt đối không đưa vào CRM (Vi phạm Bộ lọc Âm tính Mục 5)</t>
        </is>
      </c>
    </row>
    <row r="524">
      <c r="A524" s="59" t="n">
        <v>3131</v>
      </c>
      <c r="B524" s="15" t="inlineStr">
        <is>
          <t>The Honest Vet</t>
        </is>
      </c>
      <c r="C524" s="60" t="inlineStr">
        <is>
          <t>https://www.facebook.com/thehonestvet</t>
        </is>
      </c>
      <c r="D524" s="9" t="inlineStr">
        <is>
          <t>Cần quét Bio Fanpage</t>
        </is>
      </c>
      <c r="E524" s="59" t="inlineStr">
        <is>
          <t>11/10/2026 23:09:01</t>
        </is>
      </c>
      <c r="F524" s="59" t="inlineStr">
        <is>
          <t>1 ngày trước</t>
        </is>
      </c>
      <c r="G524" s="61" t="n">
        <v>1</v>
      </c>
      <c r="H524" s="62" t="n">
        <v>28</v>
      </c>
      <c r="I524" s="9" t="inlineStr">
        <is>
          <t>Pet Owner / Cộng đồng nuôi cún (10đ)</t>
        </is>
      </c>
      <c r="J524" s="62" t="n">
        <v>10</v>
      </c>
      <c r="K524" s="9" t="inlineStr">
        <is>
          <t>Chưa rõ giống (Cần quét Bio)</t>
        </is>
      </c>
      <c r="L524" s="62" t="n">
        <v>0</v>
      </c>
      <c r="M524" s="62" t="n">
        <v>0</v>
      </c>
      <c r="N524" s="9" t="inlineStr">
        <is>
          <t>Amazon link not found</t>
        </is>
      </c>
      <c r="O524" s="62">
        <f>IF(N524="Selling pet toys + Artificial grass/Pet toilets (TARGET)",15,IF(N524="Selling artificial grass/pet toilets (TARGET)",10,IF(N524="Selling pet toys",7,IF(N524="There's an Amazon link, but no target sales.",3,0))))</f>
        <v/>
      </c>
      <c r="P524" s="67">
        <f>H524+J524+L524+M524+O524</f>
        <v/>
      </c>
      <c r="Q524" s="70" t="inlineStr">
        <is>
          <t>Excluded: Trang Chung / Không rõ Ngách Cún cưng</t>
        </is>
      </c>
      <c r="R524" s="9" t="inlineStr">
        <is>
          <t>Khay vệ sinh chung cư (Indoor Potty) + Thảm cỏ ban công (Grass Patch) + Đồ chơi</t>
        </is>
      </c>
      <c r="S524" s="9" t="inlineStr">
        <is>
          <t>Tuyệt đối không đưa vào CRM (Vi phạm Bộ lọc Âm tính Mục 5)</t>
        </is>
      </c>
    </row>
    <row r="525">
      <c r="A525" s="53" t="n">
        <v>3177</v>
      </c>
      <c r="B525" s="12" t="inlineStr">
        <is>
          <t>thecussingfarmers</t>
        </is>
      </c>
      <c r="C525" s="54" t="inlineStr">
        <is>
          <t>https://www.facebook.com/profile.php?id=61575572335408</t>
        </is>
      </c>
      <c r="D525" s="6" t="inlineStr">
        <is>
          <t>Cần quét Bio Fanpage</t>
        </is>
      </c>
      <c r="E525" s="53" t="inlineStr">
        <is>
          <t>11/10/2026 23:08:04</t>
        </is>
      </c>
      <c r="F525" s="53" t="inlineStr">
        <is>
          <t>1 ngày trước</t>
        </is>
      </c>
      <c r="G525" s="55" t="n">
        <v>1</v>
      </c>
      <c r="H525" s="56" t="n">
        <v>28</v>
      </c>
      <c r="I525" s="6" t="inlineStr">
        <is>
          <t>Pet Owner / Cộng đồng nuôi cún (10đ)</t>
        </is>
      </c>
      <c r="J525" s="56" t="n">
        <v>10</v>
      </c>
      <c r="K525" s="6" t="inlineStr">
        <is>
          <t>Chưa rõ giống (Cần quét Bio)</t>
        </is>
      </c>
      <c r="L525" s="56" t="n">
        <v>0</v>
      </c>
      <c r="M525" s="56" t="n">
        <v>0</v>
      </c>
      <c r="N525" s="6" t="inlineStr">
        <is>
          <t>Amazon link not found</t>
        </is>
      </c>
      <c r="O525" s="56">
        <f>IF(N525="Selling pet toys + Artificial grass/Pet toilets (TARGET)",15,IF(N525="Selling artificial grass/pet toilets (TARGET)",10,IF(N525="Selling pet toys",7,IF(N525="There's an Amazon link, but no target sales.",3,0))))</f>
        <v/>
      </c>
      <c r="P525" s="65">
        <f>H525+J525+L525+M525+O525</f>
        <v/>
      </c>
      <c r="Q525" s="71" t="inlineStr">
        <is>
          <t>Excluded: Trang Chung / Không rõ Ngách Cún cưng</t>
        </is>
      </c>
      <c r="R525" s="6" t="inlineStr">
        <is>
          <t>Khay vệ sinh chung cư (Indoor Potty) + Thảm cỏ ban công (Grass Patch) + Đồ chơi</t>
        </is>
      </c>
      <c r="S525" s="6" t="inlineStr">
        <is>
          <t>Tuyệt đối không đưa vào CRM (Vi phạm Bộ lọc Âm tính Mục 5)</t>
        </is>
      </c>
    </row>
    <row r="526">
      <c r="A526" s="59" t="n">
        <v>1861</v>
      </c>
      <c r="B526" s="15" t="inlineStr">
        <is>
          <t>Kelowna Farmers' and Crafters' Market</t>
        </is>
      </c>
      <c r="C526" s="60" t="inlineStr">
        <is>
          <t>https://www.facebook.com/kelownafarmersandcraftersmarket</t>
        </is>
      </c>
      <c r="D526" s="9" t="inlineStr">
        <is>
          <t>Cần quét Bio Fanpage</t>
        </is>
      </c>
      <c r="E526" s="59" t="inlineStr">
        <is>
          <t>11/10/2026 22:58:37</t>
        </is>
      </c>
      <c r="F526" s="59" t="inlineStr">
        <is>
          <t>1 ngày trước</t>
        </is>
      </c>
      <c r="G526" s="61" t="n">
        <v>1</v>
      </c>
      <c r="H526" s="62" t="n">
        <v>28</v>
      </c>
      <c r="I526" s="9" t="inlineStr">
        <is>
          <t>Pet Owner / Cộng đồng nuôi cún (10đ)</t>
        </is>
      </c>
      <c r="J526" s="62" t="n">
        <v>10</v>
      </c>
      <c r="K526" s="9" t="inlineStr">
        <is>
          <t>Chưa rõ giống (Cần quét Bio)</t>
        </is>
      </c>
      <c r="L526" s="62" t="n">
        <v>0</v>
      </c>
      <c r="M526" s="62" t="n">
        <v>0</v>
      </c>
      <c r="N526" s="9" t="inlineStr">
        <is>
          <t>Amazon link not found</t>
        </is>
      </c>
      <c r="O526" s="62">
        <f>IF(N526="Selling pet toys + Artificial grass/Pet toilets (TARGET)",15,IF(N526="Selling artificial grass/pet toilets (TARGET)",10,IF(N526="Selling pet toys",7,IF(N526="There's an Amazon link, but no target sales.",3,0))))</f>
        <v/>
      </c>
      <c r="P526" s="67">
        <f>H526+J526+L526+M526+O526</f>
        <v/>
      </c>
      <c r="Q526" s="70" t="inlineStr">
        <is>
          <t>Excluded: Trang Chung / Không rõ Ngách Cún cưng</t>
        </is>
      </c>
      <c r="R526" s="9" t="inlineStr">
        <is>
          <t>Khay vệ sinh chung cư (Indoor Potty) + Thảm cỏ ban công (Grass Patch) + Đồ chơi</t>
        </is>
      </c>
      <c r="S526" s="9" t="inlineStr">
        <is>
          <t>Tuyệt đối không đưa vào CRM (Vi phạm Bộ lọc Âm tính Mục 5)</t>
        </is>
      </c>
    </row>
    <row r="527">
      <c r="A527" s="53" t="n">
        <v>463</v>
      </c>
      <c r="B527" s="12" t="inlineStr">
        <is>
          <t>Animal Lifeline of Iowa</t>
        </is>
      </c>
      <c r="C527" s="54" t="inlineStr">
        <is>
          <t>https://www.facebook.com/animallifelineofiowa</t>
        </is>
      </c>
      <c r="D527" s="6" t="inlineStr">
        <is>
          <t>Cần quét Bio Fanpage</t>
        </is>
      </c>
      <c r="E527" s="53" t="inlineStr">
        <is>
          <t>11/10/2026 22:43:30</t>
        </is>
      </c>
      <c r="F527" s="53" t="inlineStr">
        <is>
          <t>1 ngày trước</t>
        </is>
      </c>
      <c r="G527" s="55" t="n">
        <v>1</v>
      </c>
      <c r="H527" s="56" t="n">
        <v>28</v>
      </c>
      <c r="I527" s="6" t="inlineStr">
        <is>
          <t>Pet Owner / Cộng đồng nuôi cún (10đ)</t>
        </is>
      </c>
      <c r="J527" s="56" t="n">
        <v>10</v>
      </c>
      <c r="K527" s="6" t="inlineStr">
        <is>
          <t>Chưa rõ giống (Cần quét Bio)</t>
        </is>
      </c>
      <c r="L527" s="56" t="n">
        <v>0</v>
      </c>
      <c r="M527" s="56" t="n">
        <v>0</v>
      </c>
      <c r="N527" s="6" t="inlineStr">
        <is>
          <t>Amazon link not found</t>
        </is>
      </c>
      <c r="O527" s="56">
        <f>IF(N527="Selling pet toys + Artificial grass/Pet toilets (TARGET)",15,IF(N527="Selling artificial grass/pet toilets (TARGET)",10,IF(N527="Selling pet toys",7,IF(N527="There's an Amazon link, but no target sales.",3,0))))</f>
        <v/>
      </c>
      <c r="P527" s="65">
        <f>H527+J527+L527+M527+O527</f>
        <v/>
      </c>
      <c r="Q527" s="71" t="inlineStr">
        <is>
          <t>Excluded: Trang Chung / Không rõ Ngách Cún cưng</t>
        </is>
      </c>
      <c r="R527" s="6" t="inlineStr">
        <is>
          <t>Khay vệ sinh chung cư (Indoor Potty) + Thảm cỏ ban công (Grass Patch) + Đồ chơi</t>
        </is>
      </c>
      <c r="S527" s="6" t="inlineStr">
        <is>
          <t>Tuyệt đối không đưa vào CRM (Vi phạm Bộ lọc Âm tính Mục 5)</t>
        </is>
      </c>
    </row>
    <row r="528">
      <c r="A528" s="59" t="n">
        <v>52</v>
      </c>
      <c r="B528" s="15" t="inlineStr">
        <is>
          <t>bestfriendsanimalsociety</t>
        </is>
      </c>
      <c r="C528" s="60" t="inlineStr">
        <is>
          <t>https://www.facebook.com/bestfriendsanimalsociety</t>
        </is>
      </c>
      <c r="D528" s="9" t="inlineStr">
        <is>
          <t>Cần quét Bio Fanpage</t>
        </is>
      </c>
      <c r="E528" s="59" t="inlineStr">
        <is>
          <t>11/10/2026 22:00:54</t>
        </is>
      </c>
      <c r="F528" s="59" t="inlineStr">
        <is>
          <t>1 ngày trước</t>
        </is>
      </c>
      <c r="G528" s="61" t="n">
        <v>1</v>
      </c>
      <c r="H528" s="62" t="n">
        <v>28</v>
      </c>
      <c r="I528" s="9" t="inlineStr">
        <is>
          <t>Pet Owner / Cộng đồng nuôi cún (10đ)</t>
        </is>
      </c>
      <c r="J528" s="62" t="n">
        <v>10</v>
      </c>
      <c r="K528" s="9" t="inlineStr">
        <is>
          <t>Chưa rõ giống (Cần quét Bio)</t>
        </is>
      </c>
      <c r="L528" s="62" t="n">
        <v>0</v>
      </c>
      <c r="M528" s="62" t="n">
        <v>0</v>
      </c>
      <c r="N528" s="9" t="inlineStr">
        <is>
          <t>Amazon link not found</t>
        </is>
      </c>
      <c r="O528" s="62">
        <f>IF(N528="Selling pet toys + Artificial grass/Pet toilets (TARGET)",15,IF(N528="Selling artificial grass/pet toilets (TARGET)",10,IF(N528="Selling pet toys",7,IF(N528="There's an Amazon link, but no target sales.",3,0))))</f>
        <v/>
      </c>
      <c r="P528" s="67">
        <f>H528+J528+L528+M528+O528</f>
        <v/>
      </c>
      <c r="Q528" s="70" t="inlineStr">
        <is>
          <t>Excluded: Trang Chung / Không rõ Ngách Cún cưng</t>
        </is>
      </c>
      <c r="R528" s="9" t="inlineStr">
        <is>
          <t>Khay vệ sinh chung cư (Indoor Potty) + Thảm cỏ ban công (Grass Patch) + Đồ chơi</t>
        </is>
      </c>
      <c r="S528" s="9" t="inlineStr">
        <is>
          <t>Tuyệt đối không đưa vào CRM (Vi phạm Bộ lọc Âm tính Mục 5)</t>
        </is>
      </c>
    </row>
    <row r="529">
      <c r="A529" s="53" t="n">
        <v>1513</v>
      </c>
      <c r="B529" s="12" t="inlineStr">
        <is>
          <t>Facebook User</t>
        </is>
      </c>
      <c r="C529" s="54" t="inlineStr">
        <is>
          <t>https://www.facebook.com/profile.php?id=100064000988872</t>
        </is>
      </c>
      <c r="D529" s="6" t="inlineStr">
        <is>
          <t>Cần quét Bio Fanpage</t>
        </is>
      </c>
      <c r="E529" s="53" t="inlineStr">
        <is>
          <t>11/10/2026 21:50:05</t>
        </is>
      </c>
      <c r="F529" s="53" t="inlineStr">
        <is>
          <t>1 ngày trước</t>
        </is>
      </c>
      <c r="G529" s="55" t="n">
        <v>1</v>
      </c>
      <c r="H529" s="56" t="n">
        <v>28</v>
      </c>
      <c r="I529" s="6" t="inlineStr">
        <is>
          <t>Pet Owner / Cộng đồng nuôi cún (10đ)</t>
        </is>
      </c>
      <c r="J529" s="56" t="n">
        <v>10</v>
      </c>
      <c r="K529" s="6" t="inlineStr">
        <is>
          <t>Chưa rõ giống (Cần quét Bio)</t>
        </is>
      </c>
      <c r="L529" s="56" t="n">
        <v>0</v>
      </c>
      <c r="M529" s="56" t="n">
        <v>0</v>
      </c>
      <c r="N529" s="6" t="inlineStr">
        <is>
          <t>Amazon link not found</t>
        </is>
      </c>
      <c r="O529" s="56">
        <f>IF(N529="Selling pet toys + Artificial grass/Pet toilets (TARGET)",15,IF(N529="Selling artificial grass/pet toilets (TARGET)",10,IF(N529="Selling pet toys",7,IF(N529="There's an Amazon link, but no target sales.",3,0))))</f>
        <v/>
      </c>
      <c r="P529" s="65">
        <f>H529+J529+L529+M529+O529</f>
        <v/>
      </c>
      <c r="Q529" s="71" t="inlineStr">
        <is>
          <t>Excluded: Hồ sơ Ẩn danh (Facebook User)</t>
        </is>
      </c>
      <c r="R529" s="6" t="inlineStr">
        <is>
          <t>Khay vệ sinh chung cư (Indoor Potty) + Thảm cỏ ban công (Grass Patch) + Đồ chơi</t>
        </is>
      </c>
      <c r="S529" s="6" t="inlineStr">
        <is>
          <t>Tuyệt đối không đưa vào CRM (Vi phạm Bộ lọc Âm tính Mục 5)</t>
        </is>
      </c>
    </row>
    <row r="530">
      <c r="A530" s="59" t="n">
        <v>448</v>
      </c>
      <c r="B530" s="15" t="inlineStr">
        <is>
          <t>Animal Caring</t>
        </is>
      </c>
      <c r="C530" s="60" t="inlineStr">
        <is>
          <t>https://www.facebook.com/profile.php?id=61594854891237</t>
        </is>
      </c>
      <c r="D530" s="9" t="inlineStr">
        <is>
          <t>Cần quét Bio Fanpage</t>
        </is>
      </c>
      <c r="E530" s="59" t="inlineStr">
        <is>
          <t>11/10/2026 21:11:54</t>
        </is>
      </c>
      <c r="F530" s="59" t="inlineStr">
        <is>
          <t>1 ngày trước</t>
        </is>
      </c>
      <c r="G530" s="61" t="n">
        <v>1</v>
      </c>
      <c r="H530" s="62" t="n">
        <v>28</v>
      </c>
      <c r="I530" s="9" t="inlineStr">
        <is>
          <t>Pet Owner / Cộng đồng nuôi cún (10đ)</t>
        </is>
      </c>
      <c r="J530" s="62" t="n">
        <v>10</v>
      </c>
      <c r="K530" s="9" t="inlineStr">
        <is>
          <t>Chưa rõ giống (Cần quét Bio)</t>
        </is>
      </c>
      <c r="L530" s="62" t="n">
        <v>0</v>
      </c>
      <c r="M530" s="62" t="n">
        <v>0</v>
      </c>
      <c r="N530" s="9" t="inlineStr">
        <is>
          <t>Amazon link not found</t>
        </is>
      </c>
      <c r="O530" s="62">
        <f>IF(N530="Selling pet toys + Artificial grass/Pet toilets (TARGET)",15,IF(N530="Selling artificial grass/pet toilets (TARGET)",10,IF(N530="Selling pet toys",7,IF(N530="There's an Amazon link, but no target sales.",3,0))))</f>
        <v/>
      </c>
      <c r="P530" s="67">
        <f>H530+J530+L530+M530+O530</f>
        <v/>
      </c>
      <c r="Q530" s="70" t="inlineStr">
        <is>
          <t>Excluded: Trang Chung / Không rõ Ngách Cún cưng</t>
        </is>
      </c>
      <c r="R530" s="9" t="inlineStr">
        <is>
          <t>Khay vệ sinh chung cư (Indoor Potty) + Thảm cỏ ban công (Grass Patch) + Đồ chơi</t>
        </is>
      </c>
      <c r="S530" s="9" t="inlineStr">
        <is>
          <t>Tuyệt đối không đưa vào CRM (Vi phạm Bộ lọc Âm tính Mục 5)</t>
        </is>
      </c>
    </row>
    <row r="531">
      <c r="A531" s="53" t="n">
        <v>754</v>
      </c>
      <c r="B531" s="12" t="inlineStr">
        <is>
          <t>Briar Patch Veterinary Hospital</t>
        </is>
      </c>
      <c r="C531" s="54" t="inlineStr">
        <is>
          <t>https://www.facebook.com/BriarPatchVet</t>
        </is>
      </c>
      <c r="D531" s="6" t="inlineStr">
        <is>
          <t>Cần quét Bio Fanpage</t>
        </is>
      </c>
      <c r="E531" s="53" t="inlineStr">
        <is>
          <t>11/10/2026 21:07:09</t>
        </is>
      </c>
      <c r="F531" s="53" t="inlineStr">
        <is>
          <t>1 ngày trước</t>
        </is>
      </c>
      <c r="G531" s="55" t="n">
        <v>1</v>
      </c>
      <c r="H531" s="56" t="n">
        <v>28</v>
      </c>
      <c r="I531" s="6" t="inlineStr">
        <is>
          <t>Pet Owner / Cộng đồng nuôi cún (10đ)</t>
        </is>
      </c>
      <c r="J531" s="56" t="n">
        <v>10</v>
      </c>
      <c r="K531" s="6" t="inlineStr">
        <is>
          <t>Chưa rõ giống (Cần quét Bio)</t>
        </is>
      </c>
      <c r="L531" s="56" t="n">
        <v>0</v>
      </c>
      <c r="M531" s="56" t="n">
        <v>0</v>
      </c>
      <c r="N531" s="6" t="inlineStr">
        <is>
          <t>Amazon link not found</t>
        </is>
      </c>
      <c r="O531" s="56">
        <f>IF(N531="Selling pet toys + Artificial grass/Pet toilets (TARGET)",15,IF(N531="Selling artificial grass/pet toilets (TARGET)",10,IF(N531="Selling pet toys",7,IF(N531="There's an Amazon link, but no target sales.",3,0))))</f>
        <v/>
      </c>
      <c r="P531" s="65">
        <f>H531+J531+L531+M531+O531</f>
        <v/>
      </c>
      <c r="Q531" s="71" t="inlineStr">
        <is>
          <t>Excluded: Công ty Gen DNA &amp; Thú y (Mục 5.4)</t>
        </is>
      </c>
      <c r="R531" s="6" t="inlineStr">
        <is>
          <t>Khay vệ sinh chung cư (Indoor Potty) + Thảm cỏ ban công (Grass Patch) + Đồ chơi</t>
        </is>
      </c>
      <c r="S531" s="6" t="inlineStr">
        <is>
          <t>Tuyệt đối không đưa vào CRM (Vi phạm Bộ lọc Âm tính Mục 5)</t>
        </is>
      </c>
    </row>
    <row r="532">
      <c r="A532" s="59" t="n">
        <v>1019</v>
      </c>
      <c r="B532" s="15" t="inlineStr">
        <is>
          <t>Deerfield Veterinary Clinic New Hampshire</t>
        </is>
      </c>
      <c r="C532" s="60" t="inlineStr">
        <is>
          <t>https://www.facebook.com/DVCNH</t>
        </is>
      </c>
      <c r="D532" s="9" t="inlineStr">
        <is>
          <t>Cần quét Bio Fanpage</t>
        </is>
      </c>
      <c r="E532" s="59" t="inlineStr">
        <is>
          <t>11/10/2026 20:44:24</t>
        </is>
      </c>
      <c r="F532" s="59" t="inlineStr">
        <is>
          <t>1 ngày trước</t>
        </is>
      </c>
      <c r="G532" s="61" t="n">
        <v>1</v>
      </c>
      <c r="H532" s="62" t="n">
        <v>28</v>
      </c>
      <c r="I532" s="9" t="inlineStr">
        <is>
          <t>Pet Owner / Cộng đồng nuôi cún (10đ)</t>
        </is>
      </c>
      <c r="J532" s="62" t="n">
        <v>10</v>
      </c>
      <c r="K532" s="9" t="inlineStr">
        <is>
          <t>Chưa rõ giống (Cần quét Bio)</t>
        </is>
      </c>
      <c r="L532" s="62" t="n">
        <v>0</v>
      </c>
      <c r="M532" s="62" t="n">
        <v>0</v>
      </c>
      <c r="N532" s="9" t="inlineStr">
        <is>
          <t>Amazon link not found</t>
        </is>
      </c>
      <c r="O532" s="62">
        <f>IF(N532="Selling pet toys + Artificial grass/Pet toilets (TARGET)",15,IF(N532="Selling artificial grass/pet toilets (TARGET)",10,IF(N532="Selling pet toys",7,IF(N532="There's an Amazon link, but no target sales.",3,0))))</f>
        <v/>
      </c>
      <c r="P532" s="67">
        <f>H532+J532+L532+M532+O532</f>
        <v/>
      </c>
      <c r="Q532" s="70" t="inlineStr">
        <is>
          <t>Excluded: Công ty Gen DNA &amp; Thú y (Mục 5.4)</t>
        </is>
      </c>
      <c r="R532" s="9" t="inlineStr">
        <is>
          <t>Khay vệ sinh chung cư (Indoor Potty) + Thảm cỏ ban công (Grass Patch) + Đồ chơi</t>
        </is>
      </c>
      <c r="S532" s="9" t="inlineStr">
        <is>
          <t>Tuyệt đối không đưa vào CRM (Vi phạm Bộ lọc Âm tính Mục 5)</t>
        </is>
      </c>
    </row>
    <row r="533">
      <c r="A533" s="53" t="n">
        <v>536</v>
      </c>
      <c r="B533" s="12" t="inlineStr">
        <is>
          <t>Asociación Andaluza contra la Intolerancia Animal</t>
        </is>
      </c>
      <c r="C533" s="54" t="inlineStr">
        <is>
          <t>https://www.facebook.com/contralaintoleranciaanimal</t>
        </is>
      </c>
      <c r="D533" s="6" t="inlineStr">
        <is>
          <t>Cần quét Bio Fanpage</t>
        </is>
      </c>
      <c r="E533" s="53" t="inlineStr">
        <is>
          <t>11/10/2026 20:44:18</t>
        </is>
      </c>
      <c r="F533" s="53" t="inlineStr">
        <is>
          <t>1 ngày trước</t>
        </is>
      </c>
      <c r="G533" s="55" t="n">
        <v>1</v>
      </c>
      <c r="H533" s="56" t="n">
        <v>28</v>
      </c>
      <c r="I533" s="6" t="inlineStr">
        <is>
          <t>Pet Owner / Cộng đồng nuôi cún (10đ)</t>
        </is>
      </c>
      <c r="J533" s="56" t="n">
        <v>10</v>
      </c>
      <c r="K533" s="6" t="inlineStr">
        <is>
          <t>Chưa rõ giống (Cần quét Bio)</t>
        </is>
      </c>
      <c r="L533" s="56" t="n">
        <v>0</v>
      </c>
      <c r="M533" s="56" t="n">
        <v>0</v>
      </c>
      <c r="N533" s="6" t="inlineStr">
        <is>
          <t>Amazon link not found</t>
        </is>
      </c>
      <c r="O533" s="56">
        <f>IF(N533="Selling pet toys + Artificial grass/Pet toilets (TARGET)",15,IF(N533="Selling artificial grass/pet toilets (TARGET)",10,IF(N533="Selling pet toys",7,IF(N533="There's an Amazon link, but no target sales.",3,0))))</f>
        <v/>
      </c>
      <c r="P533" s="65">
        <f>H533+J533+L533+M533+O533</f>
        <v/>
      </c>
      <c r="Q533" s="71" t="inlineStr">
        <is>
          <t>Excluded: Trang Chung / Không rõ Ngách Cún cưng</t>
        </is>
      </c>
      <c r="R533" s="6" t="inlineStr">
        <is>
          <t>Khay vệ sinh chung cư (Indoor Potty) + Thảm cỏ ban công (Grass Patch) + Đồ chơi</t>
        </is>
      </c>
      <c r="S533" s="6" t="inlineStr">
        <is>
          <t>Tuyệt đối không đưa vào CRM (Vi phạm Bộ lọc Âm tính Mục 5)</t>
        </is>
      </c>
    </row>
    <row r="534">
      <c r="A534" s="59" t="n">
        <v>3307</v>
      </c>
      <c r="B534" s="15" t="inlineStr">
        <is>
          <t>Veteran Owned Business Directory</t>
        </is>
      </c>
      <c r="C534" s="60" t="inlineStr">
        <is>
          <t>https://www.facebook.com/VeteranOwnedBusiness</t>
        </is>
      </c>
      <c r="D534" s="9" t="inlineStr">
        <is>
          <t>Cần quét Bio Fanpage</t>
        </is>
      </c>
      <c r="E534" s="59" t="inlineStr">
        <is>
          <t>11/10/2026 20:27:12</t>
        </is>
      </c>
      <c r="F534" s="59" t="inlineStr">
        <is>
          <t>1 ngày trước</t>
        </is>
      </c>
      <c r="G534" s="61" t="n">
        <v>1</v>
      </c>
      <c r="H534" s="62" t="n">
        <v>28</v>
      </c>
      <c r="I534" s="9" t="inlineStr">
        <is>
          <t>Pet Owner / Cộng đồng nuôi cún (10đ)</t>
        </is>
      </c>
      <c r="J534" s="62" t="n">
        <v>10</v>
      </c>
      <c r="K534" s="9" t="inlineStr">
        <is>
          <t>Chưa rõ giống (Cần quét Bio)</t>
        </is>
      </c>
      <c r="L534" s="62" t="n">
        <v>0</v>
      </c>
      <c r="M534" s="62" t="n">
        <v>0</v>
      </c>
      <c r="N534" s="9" t="inlineStr">
        <is>
          <t>Amazon link not found</t>
        </is>
      </c>
      <c r="O534" s="62">
        <f>IF(N534="Selling pet toys + Artificial grass/Pet toilets (TARGET)",15,IF(N534="Selling artificial grass/pet toilets (TARGET)",10,IF(N534="Selling pet toys",7,IF(N534="There's an Amazon link, but no target sales.",3,0))))</f>
        <v/>
      </c>
      <c r="P534" s="67">
        <f>H534+J534+L534+M534+O534</f>
        <v/>
      </c>
      <c r="Q534" s="70" t="inlineStr">
        <is>
          <t>Excluded: Trang Chung / Không rõ Ngách Cún cưng</t>
        </is>
      </c>
      <c r="R534" s="9" t="inlineStr">
        <is>
          <t>Khay vệ sinh chung cư (Indoor Potty) + Thảm cỏ ban công (Grass Patch) + Đồ chơi</t>
        </is>
      </c>
      <c r="S534" s="9" t="inlineStr">
        <is>
          <t>Tuyệt đối không đưa vào CRM (Vi phạm Bộ lọc Âm tính Mục 5)</t>
        </is>
      </c>
    </row>
    <row r="535">
      <c r="A535" s="53" t="n">
        <v>8</v>
      </c>
      <c r="B535" s="12" t="inlineStr">
        <is>
          <t>Revival Animal Health</t>
        </is>
      </c>
      <c r="C535" s="54" t="inlineStr">
        <is>
          <t>https://www.facebook.com/revivalanimal</t>
        </is>
      </c>
      <c r="D535" s="6" t="inlineStr">
        <is>
          <t>Cần quét Bio Fanpage</t>
        </is>
      </c>
      <c r="E535" s="53" t="inlineStr">
        <is>
          <t>11/10/2026 20:00:27</t>
        </is>
      </c>
      <c r="F535" s="53" t="inlineStr">
        <is>
          <t>1 ngày trước</t>
        </is>
      </c>
      <c r="G535" s="55" t="n">
        <v>1</v>
      </c>
      <c r="H535" s="56" t="n">
        <v>28</v>
      </c>
      <c r="I535" s="6" t="inlineStr">
        <is>
          <t>Pet Owner / Cộng đồng nuôi cún (10đ)</t>
        </is>
      </c>
      <c r="J535" s="56" t="n">
        <v>10</v>
      </c>
      <c r="K535" s="6" t="inlineStr">
        <is>
          <t>Chưa rõ giống (Cần quét Bio)</t>
        </is>
      </c>
      <c r="L535" s="56" t="n">
        <v>0</v>
      </c>
      <c r="M535" s="56" t="n">
        <v>0</v>
      </c>
      <c r="N535" s="6" t="inlineStr">
        <is>
          <t>Amazon link not found</t>
        </is>
      </c>
      <c r="O535" s="56">
        <f>IF(N535="Selling pet toys + Artificial grass/Pet toilets (TARGET)",15,IF(N535="Selling artificial grass/pet toilets (TARGET)",10,IF(N535="Selling pet toys",7,IF(N535="There's an Amazon link, but no target sales.",3,0))))</f>
        <v/>
      </c>
      <c r="P535" s="65">
        <f>H535+J535+L535+M535+O535</f>
        <v/>
      </c>
      <c r="Q535" s="71" t="inlineStr">
        <is>
          <t>Excluded: Công ty Gen DNA &amp; Thú y (Mục 5.4)</t>
        </is>
      </c>
      <c r="R535" s="6" t="inlineStr">
        <is>
          <t>Khay vệ sinh chung cư (Indoor Potty) + Thảm cỏ ban công (Grass Patch) + Đồ chơi</t>
        </is>
      </c>
      <c r="S535" s="6" t="inlineStr">
        <is>
          <t>Tuyệt đối không đưa vào CRM (Vi phạm Bộ lọc Âm tính Mục 5)</t>
        </is>
      </c>
    </row>
    <row r="536">
      <c r="A536" s="59" t="n">
        <v>3516</v>
      </c>
      <c r="B536" s="15" t="inlineStr">
        <is>
          <t>Facebook User</t>
        </is>
      </c>
      <c r="C536" s="60" t="inlineStr">
        <is>
          <t>https://www.facebook.com/profile.php?id=61577955770995</t>
        </is>
      </c>
      <c r="D536" s="9" t="inlineStr">
        <is>
          <t>Cần quét Bio Fanpage</t>
        </is>
      </c>
      <c r="E536" s="59" t="inlineStr">
        <is>
          <t>11/10/2026 19:57:29</t>
        </is>
      </c>
      <c r="F536" s="59" t="inlineStr">
        <is>
          <t>1 ngày trước</t>
        </is>
      </c>
      <c r="G536" s="61" t="n">
        <v>1</v>
      </c>
      <c r="H536" s="62" t="n">
        <v>28</v>
      </c>
      <c r="I536" s="9" t="inlineStr">
        <is>
          <t>Pet Owner / Cộng đồng nuôi cún (10đ)</t>
        </is>
      </c>
      <c r="J536" s="62" t="n">
        <v>10</v>
      </c>
      <c r="K536" s="9" t="inlineStr">
        <is>
          <t>Chưa rõ giống (Cần quét Bio)</t>
        </is>
      </c>
      <c r="L536" s="62" t="n">
        <v>0</v>
      </c>
      <c r="M536" s="62" t="n">
        <v>0</v>
      </c>
      <c r="N536" s="9" t="inlineStr">
        <is>
          <t>Amazon link not found</t>
        </is>
      </c>
      <c r="O536" s="62">
        <f>IF(N536="Selling pet toys + Artificial grass/Pet toilets (TARGET)",15,IF(N536="Selling artificial grass/pet toilets (TARGET)",10,IF(N536="Selling pet toys",7,IF(N536="There's an Amazon link, but no target sales.",3,0))))</f>
        <v/>
      </c>
      <c r="P536" s="67">
        <f>H536+J536+L536+M536+O536</f>
        <v/>
      </c>
      <c r="Q536" s="70" t="inlineStr">
        <is>
          <t>Excluded: Hồ sơ Ẩn danh (Facebook User)</t>
        </is>
      </c>
      <c r="R536" s="9" t="inlineStr">
        <is>
          <t>Khay vệ sinh chung cư (Indoor Potty) + Thảm cỏ ban công (Grass Patch) + Đồ chơi</t>
        </is>
      </c>
      <c r="S536" s="9" t="inlineStr">
        <is>
          <t>Tuyệt đối không đưa vào CRM (Vi phạm Bộ lọc Âm tính Mục 5)</t>
        </is>
      </c>
    </row>
    <row r="537">
      <c r="A537" s="53" t="n">
        <v>31</v>
      </c>
      <c r="B537" s="12" t="inlineStr">
        <is>
          <t>The Forever Dog</t>
        </is>
      </c>
      <c r="C537" s="54" t="inlineStr">
        <is>
          <t>https://www.facebook.com/ForeverDogBook</t>
        </is>
      </c>
      <c r="D537" s="6" t="inlineStr">
        <is>
          <t>Cần quét Bio Fanpage</t>
        </is>
      </c>
      <c r="E537" s="53" t="inlineStr">
        <is>
          <t>11/10/2026 19:57:09</t>
        </is>
      </c>
      <c r="F537" s="53" t="inlineStr">
        <is>
          <t>1 ngày trước</t>
        </is>
      </c>
      <c r="G537" s="55" t="n">
        <v>1</v>
      </c>
      <c r="H537" s="56" t="n">
        <v>28</v>
      </c>
      <c r="I537" s="6" t="inlineStr">
        <is>
          <t>Pet Owner / Cộng đồng nuôi cún (10đ)</t>
        </is>
      </c>
      <c r="J537" s="56" t="n">
        <v>10</v>
      </c>
      <c r="K537" s="6" t="inlineStr">
        <is>
          <t>Chưa rõ giống (Cần quét Bio)</t>
        </is>
      </c>
      <c r="L537" s="56" t="n">
        <v>0</v>
      </c>
      <c r="M537" s="56" t="n">
        <v>0</v>
      </c>
      <c r="N537" s="6" t="inlineStr">
        <is>
          <t>Amazon link not found</t>
        </is>
      </c>
      <c r="O537" s="56">
        <f>IF(N537="Selling pet toys + Artificial grass/Pet toilets (TARGET)",15,IF(N537="Selling artificial grass/pet toilets (TARGET)",10,IF(N537="Selling pet toys",7,IF(N537="There's an Amazon link, but no target sales.",3,0))))</f>
        <v/>
      </c>
      <c r="P537" s="65">
        <f>H537+J537+L537+M537+O537</f>
        <v/>
      </c>
      <c r="Q537" s="71" t="inlineStr">
        <is>
          <t>Excluded: Kênh Tin tức, Tạp chí &amp; Giải trí (Mục 5.3)</t>
        </is>
      </c>
      <c r="R537" s="6" t="inlineStr">
        <is>
          <t>Khay vệ sinh chung cư (Indoor Potty) + Thảm cỏ ban công (Grass Patch) + Đồ chơi</t>
        </is>
      </c>
      <c r="S537" s="6" t="inlineStr">
        <is>
          <t>Tuyệt đối không đưa vào CRM (Vi phạm Bộ lọc Âm tính Mục 5)</t>
        </is>
      </c>
    </row>
    <row r="538">
      <c r="A538" s="59" t="n">
        <v>279</v>
      </c>
      <c r="B538" s="15" t="inlineStr">
        <is>
          <t>The Forever Dog LIFE</t>
        </is>
      </c>
      <c r="C538" s="60" t="inlineStr">
        <is>
          <t>https://www.facebook.com/ForeverDogLife</t>
        </is>
      </c>
      <c r="D538" s="9" t="inlineStr">
        <is>
          <t>Cần quét Bio Fanpage</t>
        </is>
      </c>
      <c r="E538" s="59" t="inlineStr">
        <is>
          <t>11/10/2026 19:56:55</t>
        </is>
      </c>
      <c r="F538" s="59" t="inlineStr">
        <is>
          <t>1 ngày trước</t>
        </is>
      </c>
      <c r="G538" s="61" t="n">
        <v>1</v>
      </c>
      <c r="H538" s="62" t="n">
        <v>28</v>
      </c>
      <c r="I538" s="9" t="inlineStr">
        <is>
          <t>Pet Owner / Kênh cá nhân thú cưng (10đ)</t>
        </is>
      </c>
      <c r="J538" s="62" t="n">
        <v>10</v>
      </c>
      <c r="K538" s="9" t="inlineStr">
        <is>
          <t>Chưa rõ giống (Cần quét Bio)</t>
        </is>
      </c>
      <c r="L538" s="62" t="n">
        <v>0</v>
      </c>
      <c r="M538" s="62" t="n">
        <v>0</v>
      </c>
      <c r="N538" s="9" t="inlineStr">
        <is>
          <t>Amazon link not found</t>
        </is>
      </c>
      <c r="O538" s="62">
        <f>IF(N538="Selling pet toys + Artificial grass/Pet toilets (TARGET)",15,IF(N538="Selling artificial grass/pet toilets (TARGET)",10,IF(N538="Selling pet toys",7,IF(N538="There's an Amazon link, but no target sales.",3,0))))</f>
        <v/>
      </c>
      <c r="P538" s="67">
        <f>H538+J538+L538+M538+O538</f>
        <v/>
      </c>
      <c r="Q538" s="70" t="inlineStr">
        <is>
          <t>Excluded: Kênh Tin tức, Tạp chí &amp; Giải trí (Mục 5.3)</t>
        </is>
      </c>
      <c r="R538" s="9" t="inlineStr">
        <is>
          <t>Khay vệ sinh trong nhà (Indoor Dog Potty) + Đồ chơi thú cưng lẻ</t>
        </is>
      </c>
      <c r="S538" s="9" t="inlineStr">
        <is>
          <t>Tuyệt đối không đưa vào CRM (Vi phạm Bộ lọc Âm tính Mục 5)</t>
        </is>
      </c>
    </row>
    <row r="539">
      <c r="A539" s="53" t="n">
        <v>2194</v>
      </c>
      <c r="B539" s="12" t="inlineStr">
        <is>
          <t>Mironenko Svetlana  (Thai Silk)</t>
        </is>
      </c>
      <c r="C539" s="54" t="inlineStr">
        <is>
          <t>https://www.facebook.com/mironenko.svetlana</t>
        </is>
      </c>
      <c r="D539" s="6" t="inlineStr">
        <is>
          <t>Cần quét Bio Fanpage</t>
        </is>
      </c>
      <c r="E539" s="53" t="inlineStr">
        <is>
          <t>11/10/2026 19:17:26</t>
        </is>
      </c>
      <c r="F539" s="53" t="inlineStr">
        <is>
          <t>1 ngày trước</t>
        </is>
      </c>
      <c r="G539" s="55" t="n">
        <v>1</v>
      </c>
      <c r="H539" s="56" t="n">
        <v>28</v>
      </c>
      <c r="I539" s="6" t="inlineStr">
        <is>
          <t>Pet Owner / Cộng đồng nuôi cún (10đ)</t>
        </is>
      </c>
      <c r="J539" s="56" t="n">
        <v>10</v>
      </c>
      <c r="K539" s="6" t="inlineStr">
        <is>
          <t>Chưa rõ giống (Cần quét Bio)</t>
        </is>
      </c>
      <c r="L539" s="56" t="n">
        <v>0</v>
      </c>
      <c r="M539" s="56" t="n">
        <v>0</v>
      </c>
      <c r="N539" s="6" t="inlineStr">
        <is>
          <t>Amazon link not found</t>
        </is>
      </c>
      <c r="O539" s="56">
        <f>IF(N539="Selling pet toys + Artificial grass/Pet toilets (TARGET)",15,IF(N539="Selling artificial grass/pet toilets (TARGET)",10,IF(N539="Selling pet toys",7,IF(N539="There's an Amazon link, but no target sales.",3,0))))</f>
        <v/>
      </c>
      <c r="P539" s="65">
        <f>H539+J539+L539+M539+O539</f>
        <v/>
      </c>
      <c r="Q539" s="71" t="inlineStr">
        <is>
          <t>Excluded: Trang Chung / Không rõ Ngách Cún cưng</t>
        </is>
      </c>
      <c r="R539" s="6" t="inlineStr">
        <is>
          <t>Khay vệ sinh chung cư (Indoor Potty) + Thảm cỏ ban công (Grass Patch) + Đồ chơi</t>
        </is>
      </c>
      <c r="S539" s="6" t="inlineStr">
        <is>
          <t>Tuyệt đối không đưa vào CRM (Vi phạm Bộ lọc Âm tính Mục 5)</t>
        </is>
      </c>
    </row>
    <row r="540">
      <c r="A540" s="59" t="n">
        <v>3013</v>
      </c>
      <c r="B540" s="15" t="inlineStr">
        <is>
          <t>Styben Arias - Conciencia Animal</t>
        </is>
      </c>
      <c r="C540" s="60" t="inlineStr">
        <is>
          <t>https://www.facebook.com/concienciaanimalcr</t>
        </is>
      </c>
      <c r="D540" s="9" t="inlineStr">
        <is>
          <t>Cần quét Bio Fanpage</t>
        </is>
      </c>
      <c r="E540" s="59" t="inlineStr">
        <is>
          <t>11/10/2026 19:06:04</t>
        </is>
      </c>
      <c r="F540" s="59" t="inlineStr">
        <is>
          <t>1 ngày trước</t>
        </is>
      </c>
      <c r="G540" s="61" t="n">
        <v>1</v>
      </c>
      <c r="H540" s="62" t="n">
        <v>28</v>
      </c>
      <c r="I540" s="9" t="inlineStr">
        <is>
          <t>Pet Owner / Cộng đồng nuôi cún (10đ)</t>
        </is>
      </c>
      <c r="J540" s="62" t="n">
        <v>10</v>
      </c>
      <c r="K540" s="9" t="inlineStr">
        <is>
          <t>Chưa rõ giống (Cần quét Bio)</t>
        </is>
      </c>
      <c r="L540" s="62" t="n">
        <v>0</v>
      </c>
      <c r="M540" s="62" t="n">
        <v>0</v>
      </c>
      <c r="N540" s="9" t="inlineStr">
        <is>
          <t>Amazon link not found</t>
        </is>
      </c>
      <c r="O540" s="62">
        <f>IF(N540="Selling pet toys + Artificial grass/Pet toilets (TARGET)",15,IF(N540="Selling artificial grass/pet toilets (TARGET)",10,IF(N540="Selling pet toys",7,IF(N540="There's an Amazon link, but no target sales.",3,0))))</f>
        <v/>
      </c>
      <c r="P540" s="67">
        <f>H540+J540+L540+M540+O540</f>
        <v/>
      </c>
      <c r="Q540" s="70" t="inlineStr">
        <is>
          <t>Excluded: Trang Chung / Không rõ Ngách Cún cưng</t>
        </is>
      </c>
      <c r="R540" s="9" t="inlineStr">
        <is>
          <t>Khay vệ sinh chung cư (Indoor Potty) + Thảm cỏ ban công (Grass Patch) + Đồ chơi</t>
        </is>
      </c>
      <c r="S540" s="9" t="inlineStr">
        <is>
          <t>Tuyệt đối không đưa vào CRM (Vi phạm Bộ lọc Âm tính Mục 5)</t>
        </is>
      </c>
    </row>
    <row r="541">
      <c r="A541" s="53" t="n">
        <v>751</v>
      </c>
      <c r="B541" s="12" t="inlineStr">
        <is>
          <t>Brandywine Valley Veterinary Hospital</t>
        </is>
      </c>
      <c r="C541" s="54" t="inlineStr">
        <is>
          <t>https://www.facebook.com/BrandywineValleyVeterinaryhospital</t>
        </is>
      </c>
      <c r="D541" s="6" t="inlineStr">
        <is>
          <t>Cần quét Bio Fanpage</t>
        </is>
      </c>
      <c r="E541" s="53" t="inlineStr">
        <is>
          <t>11/10/2026 19:01:07</t>
        </is>
      </c>
      <c r="F541" s="53" t="inlineStr">
        <is>
          <t>1 ngày trước</t>
        </is>
      </c>
      <c r="G541" s="55" t="n">
        <v>1</v>
      </c>
      <c r="H541" s="56" t="n">
        <v>28</v>
      </c>
      <c r="I541" s="6" t="inlineStr">
        <is>
          <t>Pet Owner / Cộng đồng nuôi cún (10đ)</t>
        </is>
      </c>
      <c r="J541" s="56" t="n">
        <v>10</v>
      </c>
      <c r="K541" s="6" t="inlineStr">
        <is>
          <t>Chưa rõ giống (Cần quét Bio)</t>
        </is>
      </c>
      <c r="L541" s="56" t="n">
        <v>0</v>
      </c>
      <c r="M541" s="56" t="n">
        <v>0</v>
      </c>
      <c r="N541" s="6" t="inlineStr">
        <is>
          <t>Amazon link not found</t>
        </is>
      </c>
      <c r="O541" s="56">
        <f>IF(N541="Selling pet toys + Artificial grass/Pet toilets (TARGET)",15,IF(N541="Selling artificial grass/pet toilets (TARGET)",10,IF(N541="Selling pet toys",7,IF(N541="There's an Amazon link, but no target sales.",3,0))))</f>
        <v/>
      </c>
      <c r="P541" s="65">
        <f>H541+J541+L541+M541+O541</f>
        <v/>
      </c>
      <c r="Q541" s="71" t="inlineStr">
        <is>
          <t>Excluded: Công ty Gen DNA &amp; Thú y (Mục 5.4)</t>
        </is>
      </c>
      <c r="R541" s="6" t="inlineStr">
        <is>
          <t>Khay vệ sinh chung cư (Indoor Potty) + Thảm cỏ ban công (Grass Patch) + Đồ chơi</t>
        </is>
      </c>
      <c r="S541" s="6" t="inlineStr">
        <is>
          <t>Tuyệt đối không đưa vào CRM (Vi phạm Bộ lọc Âm tính Mục 5)</t>
        </is>
      </c>
    </row>
    <row r="542">
      <c r="A542" s="59" t="n">
        <v>1238</v>
      </c>
      <c r="B542" s="15" t="inlineStr">
        <is>
          <t>DrVet Le An</t>
        </is>
      </c>
      <c r="C542" s="60" t="inlineStr">
        <is>
          <t>https://www.facebook.com/drvet.lean</t>
        </is>
      </c>
      <c r="D542" s="9" t="inlineStr">
        <is>
          <t>Cần quét Bio Fanpage</t>
        </is>
      </c>
      <c r="E542" s="59" t="inlineStr">
        <is>
          <t>11/10/2026 18:16:00</t>
        </is>
      </c>
      <c r="F542" s="59" t="inlineStr">
        <is>
          <t>1 ngày trước</t>
        </is>
      </c>
      <c r="G542" s="61" t="n">
        <v>1</v>
      </c>
      <c r="H542" s="62" t="n">
        <v>28</v>
      </c>
      <c r="I542" s="9" t="inlineStr">
        <is>
          <t>Pet Owner / Cộng đồng nuôi cún (10đ)</t>
        </is>
      </c>
      <c r="J542" s="62" t="n">
        <v>10</v>
      </c>
      <c r="K542" s="9" t="inlineStr">
        <is>
          <t>Chưa rõ giống (Cần quét Bio)</t>
        </is>
      </c>
      <c r="L542" s="62" t="n">
        <v>0</v>
      </c>
      <c r="M542" s="62" t="n">
        <v>0</v>
      </c>
      <c r="N542" s="9" t="inlineStr">
        <is>
          <t>Amazon link not found</t>
        </is>
      </c>
      <c r="O542" s="62">
        <f>IF(N542="Selling pet toys + Artificial grass/Pet toilets (TARGET)",15,IF(N542="Selling artificial grass/pet toilets (TARGET)",10,IF(N542="Selling pet toys",7,IF(N542="There's an Amazon link, but no target sales.",3,0))))</f>
        <v/>
      </c>
      <c r="P542" s="67">
        <f>H542+J542+L542+M542+O542</f>
        <v/>
      </c>
      <c r="Q542" s="70" t="inlineStr">
        <is>
          <t>Excluded: Trang Chung / Không rõ Ngách Cún cưng</t>
        </is>
      </c>
      <c r="R542" s="9" t="inlineStr">
        <is>
          <t>Khay vệ sinh chung cư (Indoor Potty) + Thảm cỏ ban công (Grass Patch) + Đồ chơi</t>
        </is>
      </c>
      <c r="S542" s="9" t="inlineStr">
        <is>
          <t>Tuyệt đối không đưa vào CRM (Vi phạm Bộ lọc Âm tính Mục 5)</t>
        </is>
      </c>
    </row>
    <row r="543">
      <c r="A543" s="53" t="n">
        <v>457</v>
      </c>
      <c r="B543" s="12" t="inlineStr">
        <is>
          <t>Animal Food - Ospedale Veterinario</t>
        </is>
      </c>
      <c r="C543" s="54" t="inlineStr">
        <is>
          <t>https://www.facebook.com/AnimalFood</t>
        </is>
      </c>
      <c r="D543" s="6" t="inlineStr">
        <is>
          <t>Cần quét Bio Fanpage</t>
        </is>
      </c>
      <c r="E543" s="53" t="inlineStr">
        <is>
          <t>11/10/2026 18:00:05</t>
        </is>
      </c>
      <c r="F543" s="53" t="inlineStr">
        <is>
          <t>1 ngày trước</t>
        </is>
      </c>
      <c r="G543" s="55" t="n">
        <v>1</v>
      </c>
      <c r="H543" s="56" t="n">
        <v>28</v>
      </c>
      <c r="I543" s="6" t="inlineStr">
        <is>
          <t>Pet Owner / Cộng đồng nuôi cún (10đ)</t>
        </is>
      </c>
      <c r="J543" s="56" t="n">
        <v>10</v>
      </c>
      <c r="K543" s="6" t="inlineStr">
        <is>
          <t>Chưa rõ giống (Cần quét Bio)</t>
        </is>
      </c>
      <c r="L543" s="56" t="n">
        <v>0</v>
      </c>
      <c r="M543" s="56" t="n">
        <v>0</v>
      </c>
      <c r="N543" s="6" t="inlineStr">
        <is>
          <t>Amazon link not found</t>
        </is>
      </c>
      <c r="O543" s="56">
        <f>IF(N543="Selling pet toys + Artificial grass/Pet toilets (TARGET)",15,IF(N543="Selling artificial grass/pet toilets (TARGET)",10,IF(N543="Selling pet toys",7,IF(N543="There's an Amazon link, but no target sales.",3,0))))</f>
        <v/>
      </c>
      <c r="P543" s="65">
        <f>H543+J543+L543+M543+O543</f>
        <v/>
      </c>
      <c r="Q543" s="71" t="inlineStr">
        <is>
          <t>Excluded: Công ty Gen DNA &amp; Thú y (Mục 5.4)</t>
        </is>
      </c>
      <c r="R543" s="6" t="inlineStr">
        <is>
          <t>Khay vệ sinh chung cư (Indoor Potty) + Thảm cỏ ban công (Grass Patch) + Đồ chơi</t>
        </is>
      </c>
      <c r="S543" s="6" t="inlineStr">
        <is>
          <t>Tuyệt đối không đưa vào CRM (Vi phạm Bộ lọc Âm tính Mục 5)</t>
        </is>
      </c>
    </row>
    <row r="544">
      <c r="A544" s="59" t="n">
        <v>3515</v>
      </c>
      <c r="B544" s="15" t="inlineStr">
        <is>
          <t>โรงพยาบาลสัตว์ กาญจนบุรี KanVet</t>
        </is>
      </c>
      <c r="C544" s="60" t="inlineStr">
        <is>
          <t>https://www.facebook.com/KANVETDRK</t>
        </is>
      </c>
      <c r="D544" s="9" t="inlineStr">
        <is>
          <t>Cần quét Bio Fanpage</t>
        </is>
      </c>
      <c r="E544" s="59" t="inlineStr">
        <is>
          <t>11/10/2026 16:27:37</t>
        </is>
      </c>
      <c r="F544" s="59" t="inlineStr">
        <is>
          <t>1 ngày trước</t>
        </is>
      </c>
      <c r="G544" s="61" t="n">
        <v>1</v>
      </c>
      <c r="H544" s="62" t="n">
        <v>28</v>
      </c>
      <c r="I544" s="9" t="inlineStr">
        <is>
          <t>Pet Owner / Cộng đồng nuôi cún (10đ)</t>
        </is>
      </c>
      <c r="J544" s="62" t="n">
        <v>10</v>
      </c>
      <c r="K544" s="9" t="inlineStr">
        <is>
          <t>Chưa rõ giống (Cần quét Bio)</t>
        </is>
      </c>
      <c r="L544" s="62" t="n">
        <v>0</v>
      </c>
      <c r="M544" s="62" t="n">
        <v>0</v>
      </c>
      <c r="N544" s="9" t="inlineStr">
        <is>
          <t>Amazon link not found</t>
        </is>
      </c>
      <c r="O544" s="62">
        <f>IF(N544="Selling pet toys + Artificial grass/Pet toilets (TARGET)",15,IF(N544="Selling artificial grass/pet toilets (TARGET)",10,IF(N544="Selling pet toys",7,IF(N544="There's an Amazon link, but no target sales.",3,0))))</f>
        <v/>
      </c>
      <c r="P544" s="67">
        <f>H544+J544+L544+M544+O544</f>
        <v/>
      </c>
      <c r="Q544" s="70" t="inlineStr">
        <is>
          <t>Excluded: Trang Chung / Không rõ Ngách Cún cưng</t>
        </is>
      </c>
      <c r="R544" s="9" t="inlineStr">
        <is>
          <t>Khay vệ sinh chung cư (Indoor Potty) + Thảm cỏ ban công (Grass Patch) + Đồ chơi</t>
        </is>
      </c>
      <c r="S544" s="9" t="inlineStr">
        <is>
          <t>Tuyệt đối không đưa vào CRM (Vi phạm Bộ lọc Âm tính Mục 5)</t>
        </is>
      </c>
    </row>
    <row r="545">
      <c r="A545" s="53" t="n">
        <v>1718</v>
      </c>
      <c r="B545" s="12" t="inlineStr">
        <is>
          <t>Il Rifugio Pecorella - PURA smart veg farmhouse</t>
        </is>
      </c>
      <c r="C545" s="54" t="inlineStr">
        <is>
          <t>https://www.facebook.com/ilrifugiopecorella</t>
        </is>
      </c>
      <c r="D545" s="6" t="inlineStr">
        <is>
          <t>Cần quét Bio Fanpage</t>
        </is>
      </c>
      <c r="E545" s="53" t="inlineStr">
        <is>
          <t>11/10/2026 16:00:22</t>
        </is>
      </c>
      <c r="F545" s="53" t="inlineStr">
        <is>
          <t>1 ngày trước</t>
        </is>
      </c>
      <c r="G545" s="55" t="n">
        <v>1</v>
      </c>
      <c r="H545" s="56" t="n">
        <v>28</v>
      </c>
      <c r="I545" s="6" t="inlineStr">
        <is>
          <t>Pet Owner / Cộng đồng nuôi cún (10đ)</t>
        </is>
      </c>
      <c r="J545" s="56" t="n">
        <v>10</v>
      </c>
      <c r="K545" s="6" t="inlineStr">
        <is>
          <t>Chưa rõ giống (Cần quét Bio)</t>
        </is>
      </c>
      <c r="L545" s="56" t="n">
        <v>0</v>
      </c>
      <c r="M545" s="56" t="n">
        <v>0</v>
      </c>
      <c r="N545" s="6" t="inlineStr">
        <is>
          <t>Amazon link not found</t>
        </is>
      </c>
      <c r="O545" s="56">
        <f>IF(N545="Selling pet toys + Artificial grass/Pet toilets (TARGET)",15,IF(N545="Selling artificial grass/pet toilets (TARGET)",10,IF(N545="Selling pet toys",7,IF(N545="There's an Amazon link, but no target sales.",3,0))))</f>
        <v/>
      </c>
      <c r="P545" s="65">
        <f>H545+J545+L545+M545+O545</f>
        <v/>
      </c>
      <c r="Q545" s="71" t="inlineStr">
        <is>
          <t>Excluded: Trang Chung / Không rõ Ngách Cún cưng</t>
        </is>
      </c>
      <c r="R545" s="6" t="inlineStr">
        <is>
          <t>Khay vệ sinh chung cư (Indoor Potty) + Thảm cỏ ban công (Grass Patch) + Đồ chơi</t>
        </is>
      </c>
      <c r="S545" s="6" t="inlineStr">
        <is>
          <t>Tuyệt đối không đưa vào CRM (Vi phạm Bộ lọc Âm tính Mục 5)</t>
        </is>
      </c>
    </row>
    <row r="546">
      <c r="A546" s="59" t="n">
        <v>551</v>
      </c>
      <c r="B546" s="15" t="inlineStr">
        <is>
          <t>Au Toutou Canin • Bien-Être Animal &amp; Énergie Douce</t>
        </is>
      </c>
      <c r="C546" s="60" t="inlineStr">
        <is>
          <t>https://www.facebook.com/AuToutouCanin00</t>
        </is>
      </c>
      <c r="D546" s="9" t="inlineStr">
        <is>
          <t>Cần quét Bio Fanpage</t>
        </is>
      </c>
      <c r="E546" s="59" t="inlineStr">
        <is>
          <t>11/10/2026 14:30:50</t>
        </is>
      </c>
      <c r="F546" s="59" t="inlineStr">
        <is>
          <t>1 ngày trước</t>
        </is>
      </c>
      <c r="G546" s="61" t="n">
        <v>1</v>
      </c>
      <c r="H546" s="62" t="n">
        <v>28</v>
      </c>
      <c r="I546" s="9" t="inlineStr">
        <is>
          <t>Pet Owner / Cộng đồng nuôi cún (10đ)</t>
        </is>
      </c>
      <c r="J546" s="62" t="n">
        <v>10</v>
      </c>
      <c r="K546" s="9" t="inlineStr">
        <is>
          <t>Chưa rõ giống (Cần quét Bio)</t>
        </is>
      </c>
      <c r="L546" s="62" t="n">
        <v>0</v>
      </c>
      <c r="M546" s="62" t="n">
        <v>0</v>
      </c>
      <c r="N546" s="9" t="inlineStr">
        <is>
          <t>Amazon link not found</t>
        </is>
      </c>
      <c r="O546" s="62">
        <f>IF(N546="Selling pet toys + Artificial grass/Pet toilets (TARGET)",15,IF(N546="Selling artificial grass/pet toilets (TARGET)",10,IF(N546="Selling pet toys",7,IF(N546="There's an Amazon link, but no target sales.",3,0))))</f>
        <v/>
      </c>
      <c r="P546" s="67">
        <f>H546+J546+L546+M546+O546</f>
        <v/>
      </c>
      <c r="Q546" s="70" t="inlineStr">
        <is>
          <t>Excluded: Trang Chung / Không rõ Ngách Cún cưng</t>
        </is>
      </c>
      <c r="R546" s="9" t="inlineStr">
        <is>
          <t>Khay vệ sinh chung cư (Indoor Potty) + Thảm cỏ ban công (Grass Patch) + Đồ chơi</t>
        </is>
      </c>
      <c r="S546" s="9" t="inlineStr">
        <is>
          <t>Tuyệt đối không đưa vào CRM (Vi phạm Bộ lọc Âm tính Mục 5)</t>
        </is>
      </c>
    </row>
    <row r="547">
      <c r="A547" s="53" t="n">
        <v>2224</v>
      </c>
      <c r="B547" s="12" t="inlineStr">
        <is>
          <t>Moves D Clinic ลาดพร้าว ศูนย์รักษาข้อเข่าเสื่อมแบบไม่ผ่าตัด</t>
        </is>
      </c>
      <c r="C547" s="54" t="inlineStr">
        <is>
          <t>https://www.facebook.com/MovesDClinic</t>
        </is>
      </c>
      <c r="D547" s="6" t="inlineStr">
        <is>
          <t>Cần quét Bio Fanpage</t>
        </is>
      </c>
      <c r="E547" s="53" t="inlineStr">
        <is>
          <t>11/10/2026 12:22:18</t>
        </is>
      </c>
      <c r="F547" s="53" t="inlineStr">
        <is>
          <t>1 ngày trước</t>
        </is>
      </c>
      <c r="G547" s="55" t="n">
        <v>1</v>
      </c>
      <c r="H547" s="56" t="n">
        <v>28</v>
      </c>
      <c r="I547" s="6" t="inlineStr">
        <is>
          <t>Pet Owner / Cộng đồng nuôi cún (10đ)</t>
        </is>
      </c>
      <c r="J547" s="56" t="n">
        <v>10</v>
      </c>
      <c r="K547" s="6" t="inlineStr">
        <is>
          <t>Chưa rõ giống (Cần quét Bio)</t>
        </is>
      </c>
      <c r="L547" s="56" t="n">
        <v>0</v>
      </c>
      <c r="M547" s="56" t="n">
        <v>0</v>
      </c>
      <c r="N547" s="6" t="inlineStr">
        <is>
          <t>Amazon link not found</t>
        </is>
      </c>
      <c r="O547" s="56">
        <f>IF(N547="Selling pet toys + Artificial grass/Pet toilets (TARGET)",15,IF(N547="Selling artificial grass/pet toilets (TARGET)",10,IF(N547="Selling pet toys",7,IF(N547="There's an Amazon link, but no target sales.",3,0))))</f>
        <v/>
      </c>
      <c r="P547" s="65">
        <f>H547+J547+L547+M547+O547</f>
        <v/>
      </c>
      <c r="Q547" s="71" t="inlineStr">
        <is>
          <t>Excluded: Trang Chung / Không rõ Ngách Cún cưng</t>
        </is>
      </c>
      <c r="R547" s="6" t="inlineStr">
        <is>
          <t>Khay vệ sinh chung cư (Indoor Potty) + Thảm cỏ ban công (Grass Patch) + Đồ chơi</t>
        </is>
      </c>
      <c r="S547" s="6" t="inlineStr">
        <is>
          <t>Tuyệt đối không đưa vào CRM (Vi phạm Bộ lọc Âm tính Mục 5)</t>
        </is>
      </c>
    </row>
    <row r="548">
      <c r="A548" s="59" t="n">
        <v>2545</v>
      </c>
      <c r="B548" s="15" t="inlineStr">
        <is>
          <t>Facebook User</t>
        </is>
      </c>
      <c r="C548" s="60" t="inlineStr">
        <is>
          <t>https://www.facebook.com/profile.php?id=61575804271155</t>
        </is>
      </c>
      <c r="D548" s="9" t="inlineStr">
        <is>
          <t>Cần quét Bio Fanpage</t>
        </is>
      </c>
      <c r="E548" s="59" t="inlineStr">
        <is>
          <t>11/10/2026 12:12:31</t>
        </is>
      </c>
      <c r="F548" s="59" t="inlineStr">
        <is>
          <t>1 ngày trước</t>
        </is>
      </c>
      <c r="G548" s="61" t="n">
        <v>1</v>
      </c>
      <c r="H548" s="62" t="n">
        <v>28</v>
      </c>
      <c r="I548" s="9" t="inlineStr">
        <is>
          <t>Pet Owner / Cộng đồng nuôi cún (10đ)</t>
        </is>
      </c>
      <c r="J548" s="62" t="n">
        <v>10</v>
      </c>
      <c r="K548" s="9" t="inlineStr">
        <is>
          <t>Chưa rõ giống (Cần quét Bio)</t>
        </is>
      </c>
      <c r="L548" s="62" t="n">
        <v>0</v>
      </c>
      <c r="M548" s="62" t="n">
        <v>0</v>
      </c>
      <c r="N548" s="9" t="inlineStr">
        <is>
          <t>Amazon link not found</t>
        </is>
      </c>
      <c r="O548" s="62">
        <f>IF(N548="Selling pet toys + Artificial grass/Pet toilets (TARGET)",15,IF(N548="Selling artificial grass/pet toilets (TARGET)",10,IF(N548="Selling pet toys",7,IF(N548="There's an Amazon link, but no target sales.",3,0))))</f>
        <v/>
      </c>
      <c r="P548" s="67">
        <f>H548+J548+L548+M548+O548</f>
        <v/>
      </c>
      <c r="Q548" s="70" t="inlineStr">
        <is>
          <t>Excluded: Hồ sơ Ẩn danh (Facebook User)</t>
        </is>
      </c>
      <c r="R548" s="9" t="inlineStr">
        <is>
          <t>Khay vệ sinh chung cư (Indoor Potty) + Thảm cỏ ban công (Grass Patch) + Đồ chơi</t>
        </is>
      </c>
      <c r="S548" s="9" t="inlineStr">
        <is>
          <t>Tuyệt đối không đưa vào CRM (Vi phạm Bộ lọc Âm tính Mục 5)</t>
        </is>
      </c>
    </row>
    <row r="549">
      <c r="A549" s="53" t="n">
        <v>795</v>
      </c>
      <c r="B549" s="12" t="inlineStr">
        <is>
          <t>Burch Bear Holistic Care</t>
        </is>
      </c>
      <c r="C549" s="54" t="inlineStr">
        <is>
          <t>https://www.facebook.com/profile.php?id=61550238596088</t>
        </is>
      </c>
      <c r="D549" s="6" t="inlineStr">
        <is>
          <t>Cần quét Bio Fanpage</t>
        </is>
      </c>
      <c r="E549" s="53" t="inlineStr">
        <is>
          <t>11/10/2026 10:21:51</t>
        </is>
      </c>
      <c r="F549" s="53" t="inlineStr">
        <is>
          <t>1 ngày trước</t>
        </is>
      </c>
      <c r="G549" s="55" t="n">
        <v>1</v>
      </c>
      <c r="H549" s="56" t="n">
        <v>28</v>
      </c>
      <c r="I549" s="6" t="inlineStr">
        <is>
          <t>Pet Owner / Cộng đồng nuôi cún (10đ)</t>
        </is>
      </c>
      <c r="J549" s="56" t="n">
        <v>10</v>
      </c>
      <c r="K549" s="6" t="inlineStr">
        <is>
          <t>Chưa rõ giống (Cần quét Bio)</t>
        </is>
      </c>
      <c r="L549" s="56" t="n">
        <v>0</v>
      </c>
      <c r="M549" s="56" t="n">
        <v>0</v>
      </c>
      <c r="N549" s="6" t="inlineStr">
        <is>
          <t>Amazon link not found</t>
        </is>
      </c>
      <c r="O549" s="56">
        <f>IF(N549="Selling pet toys + Artificial grass/Pet toilets (TARGET)",15,IF(N549="Selling artificial grass/pet toilets (TARGET)",10,IF(N549="Selling pet toys",7,IF(N549="There's an Amazon link, but no target sales.",3,0))))</f>
        <v/>
      </c>
      <c r="P549" s="65">
        <f>H549+J549+L549+M549+O549</f>
        <v/>
      </c>
      <c r="Q549" s="71" t="inlineStr">
        <is>
          <t>Excluded: Trang Chung / Không rõ Ngách Cún cưng</t>
        </is>
      </c>
      <c r="R549" s="6" t="inlineStr">
        <is>
          <t>Khay vệ sinh chung cư (Indoor Potty) + Thảm cỏ ban công (Grass Patch) + Đồ chơi</t>
        </is>
      </c>
      <c r="S549" s="6" t="inlineStr">
        <is>
          <t>Tuyệt đối không đưa vào CRM (Vi phạm Bộ lọc Âm tính Mục 5)</t>
        </is>
      </c>
    </row>
    <row r="550">
      <c r="A550" s="59" t="n">
        <v>865</v>
      </c>
      <c r="B550" s="15" t="inlineStr">
        <is>
          <t>Cedarwood Veterinary &amp; Animal Emergency Hospital</t>
        </is>
      </c>
      <c r="C550" s="60" t="inlineStr">
        <is>
          <t>https://www.facebook.com/cedarwoodvethospital</t>
        </is>
      </c>
      <c r="D550" s="9" t="inlineStr">
        <is>
          <t>Cần quét Bio Fanpage</t>
        </is>
      </c>
      <c r="E550" s="59" t="inlineStr">
        <is>
          <t>11/10/2026 09:00:47</t>
        </is>
      </c>
      <c r="F550" s="59" t="inlineStr">
        <is>
          <t>1 ngày trước</t>
        </is>
      </c>
      <c r="G550" s="61" t="n">
        <v>1</v>
      </c>
      <c r="H550" s="62" t="n">
        <v>28</v>
      </c>
      <c r="I550" s="9" t="inlineStr">
        <is>
          <t>Pet Owner / Cộng đồng nuôi cún (10đ)</t>
        </is>
      </c>
      <c r="J550" s="62" t="n">
        <v>10</v>
      </c>
      <c r="K550" s="9" t="inlineStr">
        <is>
          <t>Chưa rõ giống (Cần quét Bio)</t>
        </is>
      </c>
      <c r="L550" s="62" t="n">
        <v>0</v>
      </c>
      <c r="M550" s="62" t="n">
        <v>0</v>
      </c>
      <c r="N550" s="9" t="inlineStr">
        <is>
          <t>Amazon link not found</t>
        </is>
      </c>
      <c r="O550" s="62">
        <f>IF(N550="Selling pet toys + Artificial grass/Pet toilets (TARGET)",15,IF(N550="Selling artificial grass/pet toilets (TARGET)",10,IF(N550="Selling pet toys",7,IF(N550="There's an Amazon link, but no target sales.",3,0))))</f>
        <v/>
      </c>
      <c r="P550" s="67">
        <f>H550+J550+L550+M550+O550</f>
        <v/>
      </c>
      <c r="Q550" s="70" t="inlineStr">
        <is>
          <t>Excluded: Công ty Gen DNA &amp; Thú y (Mục 5.4)</t>
        </is>
      </c>
      <c r="R550" s="9" t="inlineStr">
        <is>
          <t>Khay vệ sinh chung cư (Indoor Potty) + Thảm cỏ ban công (Grass Patch) + Đồ chơi</t>
        </is>
      </c>
      <c r="S550" s="9" t="inlineStr">
        <is>
          <t>Tuyệt đối không đưa vào CRM (Vi phạm Bộ lọc Âm tính Mục 5)</t>
        </is>
      </c>
    </row>
    <row r="551">
      <c r="A551" s="53" t="n">
        <v>886</v>
      </c>
      <c r="B551" s="12" t="inlineStr">
        <is>
          <t>Cherrystone Veterinary Hospital</t>
        </is>
      </c>
      <c r="C551" s="54" t="inlineStr">
        <is>
          <t>https://www.facebook.com/profile.php?id=100044169532830</t>
        </is>
      </c>
      <c r="D551" s="6" t="inlineStr">
        <is>
          <t>Cần quét Bio Fanpage</t>
        </is>
      </c>
      <c r="E551" s="53" t="inlineStr">
        <is>
          <t>11/10/2026 07:22:16</t>
        </is>
      </c>
      <c r="F551" s="53" t="inlineStr">
        <is>
          <t>1 ngày trước</t>
        </is>
      </c>
      <c r="G551" s="55" t="n">
        <v>1</v>
      </c>
      <c r="H551" s="56" t="n">
        <v>28</v>
      </c>
      <c r="I551" s="6" t="inlineStr">
        <is>
          <t>Pet Owner / Cộng đồng nuôi cún (10đ)</t>
        </is>
      </c>
      <c r="J551" s="56" t="n">
        <v>10</v>
      </c>
      <c r="K551" s="6" t="inlineStr">
        <is>
          <t>Chưa rõ giống (Cần quét Bio)</t>
        </is>
      </c>
      <c r="L551" s="56" t="n">
        <v>0</v>
      </c>
      <c r="M551" s="56" t="n">
        <v>0</v>
      </c>
      <c r="N551" s="6" t="inlineStr">
        <is>
          <t>Amazon link not found</t>
        </is>
      </c>
      <c r="O551" s="56">
        <f>IF(N551="Selling pet toys + Artificial grass/Pet toilets (TARGET)",15,IF(N551="Selling artificial grass/pet toilets (TARGET)",10,IF(N551="Selling pet toys",7,IF(N551="There's an Amazon link, but no target sales.",3,0))))</f>
        <v/>
      </c>
      <c r="P551" s="65">
        <f>H551+J551+L551+M551+O551</f>
        <v/>
      </c>
      <c r="Q551" s="71" t="inlineStr">
        <is>
          <t>Excluded: Công ty Gen DNA &amp; Thú y (Mục 5.4)</t>
        </is>
      </c>
      <c r="R551" s="6" t="inlineStr">
        <is>
          <t>Khay vệ sinh chung cư (Indoor Potty) + Thảm cỏ ban công (Grass Patch) + Đồ chơi</t>
        </is>
      </c>
      <c r="S551" s="6" t="inlineStr">
        <is>
          <t>Tuyệt đối không đưa vào CRM (Vi phạm Bộ lọc Âm tính Mục 5)</t>
        </is>
      </c>
    </row>
    <row r="552">
      <c r="A552" s="59" t="n">
        <v>462</v>
      </c>
      <c r="B552" s="15" t="inlineStr">
        <is>
          <t>Animal House Cincy</t>
        </is>
      </c>
      <c r="C552" s="60" t="inlineStr">
        <is>
          <t>https://www.facebook.com/profile.php?id=61569052695747</t>
        </is>
      </c>
      <c r="D552" s="9" t="inlineStr">
        <is>
          <t>Cần quét Bio Fanpage</t>
        </is>
      </c>
      <c r="E552" s="59" t="inlineStr">
        <is>
          <t>11/10/2026 06:32:57</t>
        </is>
      </c>
      <c r="F552" s="59" t="inlineStr">
        <is>
          <t>1 ngày trước</t>
        </is>
      </c>
      <c r="G552" s="61" t="n">
        <v>1</v>
      </c>
      <c r="H552" s="62" t="n">
        <v>28</v>
      </c>
      <c r="I552" s="9" t="inlineStr">
        <is>
          <t>Pet Owner / Cộng đồng nuôi cún (10đ)</t>
        </is>
      </c>
      <c r="J552" s="62" t="n">
        <v>10</v>
      </c>
      <c r="K552" s="9" t="inlineStr">
        <is>
          <t>Chưa rõ giống (Cần quét Bio)</t>
        </is>
      </c>
      <c r="L552" s="62" t="n">
        <v>0</v>
      </c>
      <c r="M552" s="62" t="n">
        <v>0</v>
      </c>
      <c r="N552" s="9" t="inlineStr">
        <is>
          <t>Amazon link not found</t>
        </is>
      </c>
      <c r="O552" s="62">
        <f>IF(N552="Selling pet toys + Artificial grass/Pet toilets (TARGET)",15,IF(N552="Selling artificial grass/pet toilets (TARGET)",10,IF(N552="Selling pet toys",7,IF(N552="There's an Amazon link, but no target sales.",3,0))))</f>
        <v/>
      </c>
      <c r="P552" s="67">
        <f>H552+J552+L552+M552+O552</f>
        <v/>
      </c>
      <c r="Q552" s="70" t="inlineStr">
        <is>
          <t>Excluded: Trang Chung / Không rõ Ngách Cún cưng</t>
        </is>
      </c>
      <c r="R552" s="9" t="inlineStr">
        <is>
          <t>Khay vệ sinh chung cư (Indoor Potty) + Thảm cỏ ban công (Grass Patch) + Đồ chơi</t>
        </is>
      </c>
      <c r="S552" s="9" t="inlineStr">
        <is>
          <t>Tuyệt đối không đưa vào CRM (Vi phạm Bộ lọc Âm tính Mục 5)</t>
        </is>
      </c>
    </row>
    <row r="553">
      <c r="A553" s="53" t="n">
        <v>3265</v>
      </c>
      <c r="B553" s="12" t="inlineStr">
        <is>
          <t>Unique Fitness Farmingville</t>
        </is>
      </c>
      <c r="C553" s="54" t="inlineStr">
        <is>
          <t>https://www.facebook.com/UniqueFitnessFarmingville</t>
        </is>
      </c>
      <c r="D553" s="6" t="inlineStr">
        <is>
          <t>Cần quét Bio Fanpage</t>
        </is>
      </c>
      <c r="E553" s="53" t="inlineStr">
        <is>
          <t>11/10/2026 06:02:30</t>
        </is>
      </c>
      <c r="F553" s="53" t="inlineStr">
        <is>
          <t>2 ngày trước</t>
        </is>
      </c>
      <c r="G553" s="55" t="n">
        <v>2</v>
      </c>
      <c r="H553" s="56" t="n">
        <v>28</v>
      </c>
      <c r="I553" s="6" t="inlineStr">
        <is>
          <t>Pet Owner / Cộng đồng nuôi cún (10đ)</t>
        </is>
      </c>
      <c r="J553" s="56" t="n">
        <v>10</v>
      </c>
      <c r="K553" s="6" t="inlineStr">
        <is>
          <t>Chưa rõ giống (Cần quét Bio)</t>
        </is>
      </c>
      <c r="L553" s="56" t="n">
        <v>0</v>
      </c>
      <c r="M553" s="56" t="n">
        <v>0</v>
      </c>
      <c r="N553" s="6" t="inlineStr">
        <is>
          <t>Amazon link not found</t>
        </is>
      </c>
      <c r="O553" s="56">
        <f>IF(N553="Selling pet toys + Artificial grass/Pet toilets (TARGET)",15,IF(N553="Selling artificial grass/pet toilets (TARGET)",10,IF(N553="Selling pet toys",7,IF(N553="There's an Amazon link, but no target sales.",3,0))))</f>
        <v/>
      </c>
      <c r="P553" s="65">
        <f>H553+J553+L553+M553+O553</f>
        <v/>
      </c>
      <c r="Q553" s="71" t="inlineStr">
        <is>
          <t>Excluded: Trang Chung / Không rõ Ngách Cún cưng</t>
        </is>
      </c>
      <c r="R553" s="6" t="inlineStr">
        <is>
          <t>Khay vệ sinh chung cư (Indoor Potty) + Thảm cỏ ban công (Grass Patch) + Đồ chơi</t>
        </is>
      </c>
      <c r="S553" s="6" t="inlineStr">
        <is>
          <t>Tuyệt đối không đưa vào CRM (Vi phạm Bộ lọc Âm tính Mục 5)</t>
        </is>
      </c>
    </row>
    <row r="554">
      <c r="A554" s="59" t="n">
        <v>428</v>
      </c>
      <c r="B554" s="15" t="inlineStr">
        <is>
          <t>Anchorage Animal Care and Control</t>
        </is>
      </c>
      <c r="C554" s="60" t="inlineStr">
        <is>
          <t>https://www.facebook.com/AnchorageAnimalCareAndControl</t>
        </is>
      </c>
      <c r="D554" s="9" t="inlineStr">
        <is>
          <t>Cần quét Bio Fanpage</t>
        </is>
      </c>
      <c r="E554" s="59" t="inlineStr">
        <is>
          <t>11/10/2026 04:57:19</t>
        </is>
      </c>
      <c r="F554" s="59" t="inlineStr">
        <is>
          <t>1 ngày trước</t>
        </is>
      </c>
      <c r="G554" s="61" t="n">
        <v>1</v>
      </c>
      <c r="H554" s="62" t="n">
        <v>28</v>
      </c>
      <c r="I554" s="9" t="inlineStr">
        <is>
          <t>Pet Owner / Cộng đồng nuôi cún (10đ)</t>
        </is>
      </c>
      <c r="J554" s="62" t="n">
        <v>10</v>
      </c>
      <c r="K554" s="9" t="inlineStr">
        <is>
          <t>Chưa rõ giống (Cần quét Bio)</t>
        </is>
      </c>
      <c r="L554" s="62" t="n">
        <v>0</v>
      </c>
      <c r="M554" s="62" t="n">
        <v>0</v>
      </c>
      <c r="N554" s="9" t="inlineStr">
        <is>
          <t>Amazon link not found</t>
        </is>
      </c>
      <c r="O554" s="62">
        <f>IF(N554="Selling pet toys + Artificial grass/Pet toilets (TARGET)",15,IF(N554="Selling artificial grass/pet toilets (TARGET)",10,IF(N554="Selling pet toys",7,IF(N554="There's an Amazon link, but no target sales.",3,0))))</f>
        <v/>
      </c>
      <c r="P554" s="67">
        <f>H554+J554+L554+M554+O554</f>
        <v/>
      </c>
      <c r="Q554" s="70" t="inlineStr">
        <is>
          <t>Excluded: Trang Chung / Không rõ Ngách Cún cưng</t>
        </is>
      </c>
      <c r="R554" s="9" t="inlineStr">
        <is>
          <t>Khay vệ sinh chung cư (Indoor Potty) + Thảm cỏ ban công (Grass Patch) + Đồ chơi</t>
        </is>
      </c>
      <c r="S554" s="9" t="inlineStr">
        <is>
          <t>Tuyệt đối không đưa vào CRM (Vi phạm Bộ lọc Âm tính Mục 5)</t>
        </is>
      </c>
    </row>
    <row r="555">
      <c r="A555" s="53" t="n">
        <v>926</v>
      </c>
      <c r="B555" s="12" t="inlineStr">
        <is>
          <t>College of Integrative Veterinary Therapies</t>
        </is>
      </c>
      <c r="C555" s="54" t="inlineStr">
        <is>
          <t>https://www.facebook.com/civtedu</t>
        </is>
      </c>
      <c r="D555" s="6" t="inlineStr">
        <is>
          <t>Cần quét Bio Fanpage</t>
        </is>
      </c>
      <c r="E555" s="53" t="inlineStr">
        <is>
          <t>11/10/2026 04:41:38</t>
        </is>
      </c>
      <c r="F555" s="53" t="inlineStr">
        <is>
          <t>1 ngày trước</t>
        </is>
      </c>
      <c r="G555" s="55" t="n">
        <v>1</v>
      </c>
      <c r="H555" s="56" t="n">
        <v>28</v>
      </c>
      <c r="I555" s="6" t="inlineStr">
        <is>
          <t>Pet Owner / Cộng đồng nuôi cún (10đ)</t>
        </is>
      </c>
      <c r="J555" s="56" t="n">
        <v>10</v>
      </c>
      <c r="K555" s="6" t="inlineStr">
        <is>
          <t>Chưa rõ giống (Cần quét Bio)</t>
        </is>
      </c>
      <c r="L555" s="56" t="n">
        <v>0</v>
      </c>
      <c r="M555" s="56" t="n">
        <v>0</v>
      </c>
      <c r="N555" s="6" t="inlineStr">
        <is>
          <t>Amazon link not found</t>
        </is>
      </c>
      <c r="O555" s="56">
        <f>IF(N555="Selling pet toys + Artificial grass/Pet toilets (TARGET)",15,IF(N555="Selling artificial grass/pet toilets (TARGET)",10,IF(N555="Selling pet toys",7,IF(N555="There's an Amazon link, but no target sales.",3,0))))</f>
        <v/>
      </c>
      <c r="P555" s="65">
        <f>H555+J555+L555+M555+O555</f>
        <v/>
      </c>
      <c r="Q555" s="71" t="inlineStr">
        <is>
          <t>Excluded: Công ty Gen DNA &amp; Thú y (Mục 5.4)</t>
        </is>
      </c>
      <c r="R555" s="6" t="inlineStr">
        <is>
          <t>Khay vệ sinh chung cư (Indoor Potty) + Thảm cỏ ban công (Grass Patch) + Đồ chơi</t>
        </is>
      </c>
      <c r="S555" s="6" t="inlineStr">
        <is>
          <t>Tuyệt đối không đưa vào CRM (Vi phạm Bộ lọc Âm tính Mục 5)</t>
        </is>
      </c>
    </row>
    <row r="556">
      <c r="A556" s="59" t="n">
        <v>842</v>
      </c>
      <c r="B556" s="15" t="inlineStr">
        <is>
          <t>Caring Hearts Animal Hospital</t>
        </is>
      </c>
      <c r="C556" s="60" t="inlineStr">
        <is>
          <t>https://www.facebook.com/Caring.Hearts.Animal.Hospital</t>
        </is>
      </c>
      <c r="D556" s="9" t="inlineStr">
        <is>
          <t>Cần quét Bio Fanpage</t>
        </is>
      </c>
      <c r="E556" s="59" t="inlineStr">
        <is>
          <t>11/10/2026 03:02:50</t>
        </is>
      </c>
      <c r="F556" s="59" t="inlineStr">
        <is>
          <t>1 ngày trước</t>
        </is>
      </c>
      <c r="G556" s="61" t="n">
        <v>1</v>
      </c>
      <c r="H556" s="62" t="n">
        <v>28</v>
      </c>
      <c r="I556" s="9" t="inlineStr">
        <is>
          <t>Pet Owner / Cộng đồng nuôi cún (10đ)</t>
        </is>
      </c>
      <c r="J556" s="62" t="n">
        <v>10</v>
      </c>
      <c r="K556" s="9" t="inlineStr">
        <is>
          <t>Chưa rõ giống (Cần quét Bio)</t>
        </is>
      </c>
      <c r="L556" s="62" t="n">
        <v>0</v>
      </c>
      <c r="M556" s="62" t="n">
        <v>0</v>
      </c>
      <c r="N556" s="9" t="inlineStr">
        <is>
          <t>Amazon link not found</t>
        </is>
      </c>
      <c r="O556" s="62">
        <f>IF(N556="Selling pet toys + Artificial grass/Pet toilets (TARGET)",15,IF(N556="Selling artificial grass/pet toilets (TARGET)",10,IF(N556="Selling pet toys",7,IF(N556="There's an Amazon link, but no target sales.",3,0))))</f>
        <v/>
      </c>
      <c r="P556" s="67">
        <f>H556+J556+L556+M556+O556</f>
        <v/>
      </c>
      <c r="Q556" s="70" t="inlineStr">
        <is>
          <t>Excluded: Công ty Gen DNA &amp; Thú y (Mục 5.4)</t>
        </is>
      </c>
      <c r="R556" s="9" t="inlineStr">
        <is>
          <t>Khay vệ sinh chung cư (Indoor Potty) + Thảm cỏ ban công (Grass Patch) + Đồ chơi</t>
        </is>
      </c>
      <c r="S556" s="9" t="inlineStr">
        <is>
          <t>Tuyệt đối không đưa vào CRM (Vi phạm Bộ lọc Âm tính Mục 5)</t>
        </is>
      </c>
    </row>
    <row r="557">
      <c r="A557" s="53" t="n">
        <v>1001</v>
      </c>
      <c r="B557" s="12" t="inlineStr">
        <is>
          <t>Darlington Court care home</t>
        </is>
      </c>
      <c r="C557" s="54" t="inlineStr">
        <is>
          <t>https://www.facebook.com/DarlingtonCourt</t>
        </is>
      </c>
      <c r="D557" s="6" t="inlineStr">
        <is>
          <t>Cần quét Bio Fanpage</t>
        </is>
      </c>
      <c r="E557" s="53" t="inlineStr">
        <is>
          <t>11/10/2026 01:58:27</t>
        </is>
      </c>
      <c r="F557" s="53" t="inlineStr">
        <is>
          <t>2 ngày trước</t>
        </is>
      </c>
      <c r="G557" s="55" t="n">
        <v>2</v>
      </c>
      <c r="H557" s="56" t="n">
        <v>28</v>
      </c>
      <c r="I557" s="6" t="inlineStr">
        <is>
          <t>Pet Owner / Cộng đồng nuôi cún (10đ)</t>
        </is>
      </c>
      <c r="J557" s="56" t="n">
        <v>10</v>
      </c>
      <c r="K557" s="6" t="inlineStr">
        <is>
          <t>Chưa rõ giống (Cần quét Bio)</t>
        </is>
      </c>
      <c r="L557" s="56" t="n">
        <v>0</v>
      </c>
      <c r="M557" s="56" t="n">
        <v>0</v>
      </c>
      <c r="N557" s="6" t="inlineStr">
        <is>
          <t>Amazon link not found</t>
        </is>
      </c>
      <c r="O557" s="56">
        <f>IF(N557="Selling pet toys + Artificial grass/Pet toilets (TARGET)",15,IF(N557="Selling artificial grass/pet toilets (TARGET)",10,IF(N557="Selling pet toys",7,IF(N557="There's an Amazon link, but no target sales.",3,0))))</f>
        <v/>
      </c>
      <c r="P557" s="65">
        <f>H557+J557+L557+M557+O557</f>
        <v/>
      </c>
      <c r="Q557" s="71" t="inlineStr">
        <is>
          <t>Excluded: Trang Chung / Không rõ Ngách Cún cưng</t>
        </is>
      </c>
      <c r="R557" s="6" t="inlineStr">
        <is>
          <t>Khay vệ sinh chung cư (Indoor Potty) + Thảm cỏ ban công (Grass Patch) + Đồ chơi</t>
        </is>
      </c>
      <c r="S557" s="6" t="inlineStr">
        <is>
          <t>Tuyệt đối không đưa vào CRM (Vi phạm Bộ lọc Âm tính Mục 5)</t>
        </is>
      </c>
    </row>
    <row r="558">
      <c r="A558" s="59" t="n">
        <v>2350</v>
      </c>
      <c r="B558" s="15" t="inlineStr">
        <is>
          <t>Old farmhouse lovers</t>
        </is>
      </c>
      <c r="C558" s="60" t="inlineStr">
        <is>
          <t>https://www.facebook.com/profile.php?id=61576127954844</t>
        </is>
      </c>
      <c r="D558" s="9" t="inlineStr">
        <is>
          <t>Cần quét Bio Fanpage</t>
        </is>
      </c>
      <c r="E558" s="59" t="inlineStr">
        <is>
          <t>11/10/2026 01:43:17</t>
        </is>
      </c>
      <c r="F558" s="59" t="inlineStr">
        <is>
          <t>2 ngày trước</t>
        </is>
      </c>
      <c r="G558" s="61" t="n">
        <v>2</v>
      </c>
      <c r="H558" s="62" t="n">
        <v>28</v>
      </c>
      <c r="I558" s="9" t="inlineStr">
        <is>
          <t>Pet Owner / Kênh cá nhân thú cưng (10đ)</t>
        </is>
      </c>
      <c r="J558" s="62" t="n">
        <v>10</v>
      </c>
      <c r="K558" s="9" t="inlineStr">
        <is>
          <t>Chưa rõ giống (Cần quét Bio)</t>
        </is>
      </c>
      <c r="L558" s="62" t="n">
        <v>0</v>
      </c>
      <c r="M558" s="62" t="n">
        <v>0</v>
      </c>
      <c r="N558" s="9" t="inlineStr">
        <is>
          <t>Amazon link not found</t>
        </is>
      </c>
      <c r="O558" s="62">
        <f>IF(N558="Selling pet toys + Artificial grass/Pet toilets (TARGET)",15,IF(N558="Selling artificial grass/pet toilets (TARGET)",10,IF(N558="Selling pet toys",7,IF(N558="There's an Amazon link, but no target sales.",3,0))))</f>
        <v/>
      </c>
      <c r="P558" s="67">
        <f>H558+J558+L558+M558+O558</f>
        <v/>
      </c>
      <c r="Q558" s="70" t="inlineStr">
        <is>
          <t>Excluded: Trang Chung / Không rõ Ngách Cún cưng</t>
        </is>
      </c>
      <c r="R558" s="9" t="inlineStr">
        <is>
          <t>Khay vệ sinh trong nhà (Indoor Dog Potty) + Đồ chơi thú cưng lẻ</t>
        </is>
      </c>
      <c r="S558" s="9" t="inlineStr">
        <is>
          <t>Tuyệt đối không đưa vào CRM (Vi phạm Bộ lọc Âm tính Mục 5)</t>
        </is>
      </c>
    </row>
    <row r="559">
      <c r="A559" s="53" t="n">
        <v>3282</v>
      </c>
      <c r="B559" s="12" t="inlineStr">
        <is>
          <t>Van Isle Veterinary Hospital</t>
        </is>
      </c>
      <c r="C559" s="54" t="inlineStr">
        <is>
          <t>https://www.facebook.com/vanislevet</t>
        </is>
      </c>
      <c r="D559" s="6" t="inlineStr">
        <is>
          <t>Cần quét Bio Fanpage</t>
        </is>
      </c>
      <c r="E559" s="53" t="inlineStr">
        <is>
          <t>11/10/2026 01:35:10</t>
        </is>
      </c>
      <c r="F559" s="53" t="inlineStr">
        <is>
          <t>2 ngày trước</t>
        </is>
      </c>
      <c r="G559" s="55" t="n">
        <v>2</v>
      </c>
      <c r="H559" s="56" t="n">
        <v>28</v>
      </c>
      <c r="I559" s="6" t="inlineStr">
        <is>
          <t>Pet Owner / Cộng đồng nuôi cún (10đ)</t>
        </is>
      </c>
      <c r="J559" s="56" t="n">
        <v>10</v>
      </c>
      <c r="K559" s="6" t="inlineStr">
        <is>
          <t>Chưa rõ giống (Cần quét Bio)</t>
        </is>
      </c>
      <c r="L559" s="56" t="n">
        <v>0</v>
      </c>
      <c r="M559" s="56" t="n">
        <v>0</v>
      </c>
      <c r="N559" s="6" t="inlineStr">
        <is>
          <t>Amazon link not found</t>
        </is>
      </c>
      <c r="O559" s="56">
        <f>IF(N559="Selling pet toys + Artificial grass/Pet toilets (TARGET)",15,IF(N559="Selling artificial grass/pet toilets (TARGET)",10,IF(N559="Selling pet toys",7,IF(N559="There's an Amazon link, but no target sales.",3,0))))</f>
        <v/>
      </c>
      <c r="P559" s="65">
        <f>H559+J559+L559+M559+O559</f>
        <v/>
      </c>
      <c r="Q559" s="71" t="inlineStr">
        <is>
          <t>Excluded: Công ty Gen DNA &amp; Thú y (Mục 5.4)</t>
        </is>
      </c>
      <c r="R559" s="6" t="inlineStr">
        <is>
          <t>Khay vệ sinh chung cư (Indoor Potty) + Thảm cỏ ban công (Grass Patch) + Đồ chơi</t>
        </is>
      </c>
      <c r="S559" s="6" t="inlineStr">
        <is>
          <t>Tuyệt đối không đưa vào CRM (Vi phạm Bộ lọc Âm tính Mục 5)</t>
        </is>
      </c>
    </row>
    <row r="560">
      <c r="A560" s="59" t="n">
        <v>93</v>
      </c>
      <c r="B560" s="15" t="inlineStr">
        <is>
          <t>agrotonomy</t>
        </is>
      </c>
      <c r="C560" s="60" t="inlineStr">
        <is>
          <t>https://www.facebook.com/agrotonomy</t>
        </is>
      </c>
      <c r="D560" s="9" t="inlineStr">
        <is>
          <t>Cần quét Bio Fanpage</t>
        </is>
      </c>
      <c r="E560" s="59" t="inlineStr">
        <is>
          <t>11/10/2026 01:07:34</t>
        </is>
      </c>
      <c r="F560" s="59" t="inlineStr">
        <is>
          <t>1 ngày trước</t>
        </is>
      </c>
      <c r="G560" s="61" t="n">
        <v>1</v>
      </c>
      <c r="H560" s="62" t="n">
        <v>28</v>
      </c>
      <c r="I560" s="9" t="inlineStr">
        <is>
          <t>Pet Owner / Cộng đồng nuôi cún (10đ)</t>
        </is>
      </c>
      <c r="J560" s="62" t="n">
        <v>10</v>
      </c>
      <c r="K560" s="9" t="inlineStr">
        <is>
          <t>Chưa rõ giống (Cần quét Bio)</t>
        </is>
      </c>
      <c r="L560" s="62" t="n">
        <v>0</v>
      </c>
      <c r="M560" s="62" t="n">
        <v>0</v>
      </c>
      <c r="N560" s="9" t="inlineStr">
        <is>
          <t>Amazon link not found</t>
        </is>
      </c>
      <c r="O560" s="62">
        <f>IF(N560="Selling pet toys + Artificial grass/Pet toilets (TARGET)",15,IF(N560="Selling artificial grass/pet toilets (TARGET)",10,IF(N560="Selling pet toys",7,IF(N560="There's an Amazon link, but no target sales.",3,0))))</f>
        <v/>
      </c>
      <c r="P560" s="67">
        <f>H560+J560+L560+M560+O560</f>
        <v/>
      </c>
      <c r="Q560" s="70" t="inlineStr">
        <is>
          <t>Excluded: Trang Chung / Không rõ Ngách Cún cưng</t>
        </is>
      </c>
      <c r="R560" s="9" t="inlineStr">
        <is>
          <t>Khay vệ sinh chung cư (Indoor Potty) + Thảm cỏ ban công (Grass Patch) + Đồ chơi</t>
        </is>
      </c>
      <c r="S560" s="9" t="inlineStr">
        <is>
          <t>Tuyệt đối không đưa vào CRM (Vi phạm Bộ lọc Âm tính Mục 5)</t>
        </is>
      </c>
    </row>
    <row r="561">
      <c r="A561" s="53" t="n">
        <v>2014</v>
      </c>
      <c r="B561" s="12" t="inlineStr">
        <is>
          <t>Lickety Split Animal Ultrasound Scanning and Microchipping.</t>
        </is>
      </c>
      <c r="C561" s="54" t="inlineStr">
        <is>
          <t>https://www.facebook.com/licketysplitmobilescanning</t>
        </is>
      </c>
      <c r="D561" s="6" t="inlineStr">
        <is>
          <t>Cần quét Bio Fanpage</t>
        </is>
      </c>
      <c r="E561" s="53" t="inlineStr">
        <is>
          <t>11/10/2026 00:57:11</t>
        </is>
      </c>
      <c r="F561" s="53" t="inlineStr">
        <is>
          <t>2 ngày trước</t>
        </is>
      </c>
      <c r="G561" s="55" t="n">
        <v>2</v>
      </c>
      <c r="H561" s="56" t="n">
        <v>28</v>
      </c>
      <c r="I561" s="6" t="inlineStr">
        <is>
          <t>Pet Owner / Cộng đồng nuôi cún (10đ)</t>
        </is>
      </c>
      <c r="J561" s="56" t="n">
        <v>10</v>
      </c>
      <c r="K561" s="6" t="inlineStr">
        <is>
          <t>Chưa rõ giống (Cần quét Bio)</t>
        </is>
      </c>
      <c r="L561" s="56" t="n">
        <v>0</v>
      </c>
      <c r="M561" s="56" t="n">
        <v>0</v>
      </c>
      <c r="N561" s="6" t="inlineStr">
        <is>
          <t>Amazon link not found</t>
        </is>
      </c>
      <c r="O561" s="56">
        <f>IF(N561="Selling pet toys + Artificial grass/Pet toilets (TARGET)",15,IF(N561="Selling artificial grass/pet toilets (TARGET)",10,IF(N561="Selling pet toys",7,IF(N561="There's an Amazon link, but no target sales.",3,0))))</f>
        <v/>
      </c>
      <c r="P561" s="65">
        <f>H561+J561+L561+M561+O561</f>
        <v/>
      </c>
      <c r="Q561" s="71" t="inlineStr">
        <is>
          <t>Excluded: Trang Chung / Không rõ Ngách Cún cưng</t>
        </is>
      </c>
      <c r="R561" s="6" t="inlineStr">
        <is>
          <t>Khay vệ sinh chung cư (Indoor Potty) + Thảm cỏ ban công (Grass Patch) + Đồ chơi</t>
        </is>
      </c>
      <c r="S561" s="6" t="inlineStr">
        <is>
          <t>Tuyệt đối không đưa vào CRM (Vi phạm Bộ lọc Âm tính Mục 5)</t>
        </is>
      </c>
    </row>
    <row r="562">
      <c r="A562" s="59" t="n">
        <v>1613</v>
      </c>
      <c r="B562" s="15" t="inlineStr">
        <is>
          <t>Facebook User</t>
        </is>
      </c>
      <c r="C562" s="60" t="inlineStr">
        <is>
          <t>https://www.facebook.com/profile.php?id=61569386473592</t>
        </is>
      </c>
      <c r="D562" s="9" t="inlineStr">
        <is>
          <t>Cần quét Bio Fanpage</t>
        </is>
      </c>
      <c r="E562" s="59" t="inlineStr">
        <is>
          <t>11/10/2026 00:34:47</t>
        </is>
      </c>
      <c r="F562" s="59" t="inlineStr">
        <is>
          <t>2 ngày trước</t>
        </is>
      </c>
      <c r="G562" s="61" t="n">
        <v>2</v>
      </c>
      <c r="H562" s="62" t="n">
        <v>28</v>
      </c>
      <c r="I562" s="9" t="inlineStr">
        <is>
          <t>Pet Owner / Cộng đồng nuôi cún (10đ)</t>
        </is>
      </c>
      <c r="J562" s="62" t="n">
        <v>10</v>
      </c>
      <c r="K562" s="9" t="inlineStr">
        <is>
          <t>Chưa rõ giống (Cần quét Bio)</t>
        </is>
      </c>
      <c r="L562" s="62" t="n">
        <v>0</v>
      </c>
      <c r="M562" s="62" t="n">
        <v>0</v>
      </c>
      <c r="N562" s="9" t="inlineStr">
        <is>
          <t>Amazon link not found</t>
        </is>
      </c>
      <c r="O562" s="62">
        <f>IF(N562="Selling pet toys + Artificial grass/Pet toilets (TARGET)",15,IF(N562="Selling artificial grass/pet toilets (TARGET)",10,IF(N562="Selling pet toys",7,IF(N562="There's an Amazon link, but no target sales.",3,0))))</f>
        <v/>
      </c>
      <c r="P562" s="67">
        <f>H562+J562+L562+M562+O562</f>
        <v/>
      </c>
      <c r="Q562" s="70" t="inlineStr">
        <is>
          <t>Excluded: Hồ sơ Ẩn danh (Facebook User)</t>
        </is>
      </c>
      <c r="R562" s="9" t="inlineStr">
        <is>
          <t>Khay vệ sinh chung cư (Indoor Potty) + Thảm cỏ ban công (Grass Patch) + Đồ chơi</t>
        </is>
      </c>
      <c r="S562" s="9" t="inlineStr">
        <is>
          <t>Tuyệt đối không đưa vào CRM (Vi phạm Bộ lọc Âm tính Mục 5)</t>
        </is>
      </c>
    </row>
    <row r="563">
      <c r="A563" s="53" t="n">
        <v>2483</v>
      </c>
      <c r="B563" s="12" t="inlineStr">
        <is>
          <t>Petco Love</t>
        </is>
      </c>
      <c r="C563" s="54" t="inlineStr">
        <is>
          <t>https://www.facebook.com/PetcoLove</t>
        </is>
      </c>
      <c r="D563" s="6" t="inlineStr">
        <is>
          <t>Cần quét Bio Fanpage</t>
        </is>
      </c>
      <c r="E563" s="53" t="inlineStr">
        <is>
          <t>11/10/2026 00:00:08</t>
        </is>
      </c>
      <c r="F563" s="53" t="inlineStr">
        <is>
          <t>2 ngày trước</t>
        </is>
      </c>
      <c r="G563" s="55" t="n">
        <v>2</v>
      </c>
      <c r="H563" s="56" t="n">
        <v>28</v>
      </c>
      <c r="I563" s="6" t="inlineStr">
        <is>
          <t>Pet Owner / Cộng đồng nuôi cún (10đ)</t>
        </is>
      </c>
      <c r="J563" s="56" t="n">
        <v>10</v>
      </c>
      <c r="K563" s="6" t="inlineStr">
        <is>
          <t>Chưa rõ giống (Cần quét Bio)</t>
        </is>
      </c>
      <c r="L563" s="56" t="n">
        <v>0</v>
      </c>
      <c r="M563" s="56" t="n">
        <v>0</v>
      </c>
      <c r="N563" s="6" t="inlineStr">
        <is>
          <t>Amazon link not found</t>
        </is>
      </c>
      <c r="O563" s="56">
        <f>IF(N563="Selling pet toys + Artificial grass/Pet toilets (TARGET)",15,IF(N563="Selling artificial grass/pet toilets (TARGET)",10,IF(N563="Selling pet toys",7,IF(N563="There's an Amazon link, but no target sales.",3,0))))</f>
        <v/>
      </c>
      <c r="P563" s="65">
        <f>H563+J563+L563+M563+O563</f>
        <v/>
      </c>
      <c r="Q563" s="71" t="inlineStr">
        <is>
          <t>Excluded: Chuỗi Siêu thị Bán lẻ Lớn (Mục 5.2)</t>
        </is>
      </c>
      <c r="R563" s="6" t="inlineStr">
        <is>
          <t>Khay vệ sinh chung cư (Indoor Potty) + Thảm cỏ ban công (Grass Patch) + Đồ chơi</t>
        </is>
      </c>
      <c r="S563" s="6" t="inlineStr">
        <is>
          <t>Tuyệt đối không đưa vào CRM (Vi phạm Bộ lọc Âm tính Mục 5)</t>
        </is>
      </c>
    </row>
    <row r="564">
      <c r="A564" s="59" t="n">
        <v>1920</v>
      </c>
      <c r="B564" s="15" t="inlineStr">
        <is>
          <t>Kenora &amp; District Dog Club</t>
        </is>
      </c>
      <c r="C564" s="60" t="inlineStr">
        <is>
          <t>https://www.facebook.com/profile.php?id=100057189801247</t>
        </is>
      </c>
      <c r="D564" s="9" t="inlineStr">
        <is>
          <t>Cần quét Bio Fanpage</t>
        </is>
      </c>
      <c r="E564" s="59" t="inlineStr">
        <is>
          <t>10/10/2026 23:53:24</t>
        </is>
      </c>
      <c r="F564" s="59" t="inlineStr">
        <is>
          <t>2 ngày trước</t>
        </is>
      </c>
      <c r="G564" s="61" t="n">
        <v>2</v>
      </c>
      <c r="H564" s="62" t="n">
        <v>28</v>
      </c>
      <c r="I564" s="9" t="inlineStr">
        <is>
          <t>Pet Owner / Cộng đồng nuôi cún (10đ)</t>
        </is>
      </c>
      <c r="J564" s="62" t="n">
        <v>10</v>
      </c>
      <c r="K564" s="9" t="inlineStr">
        <is>
          <t>Chưa rõ giống (Cần quét Bio)</t>
        </is>
      </c>
      <c r="L564" s="62" t="n">
        <v>0</v>
      </c>
      <c r="M564" s="62" t="n">
        <v>0</v>
      </c>
      <c r="N564" s="9" t="inlineStr">
        <is>
          <t>Amazon link not found</t>
        </is>
      </c>
      <c r="O564" s="62">
        <f>IF(N564="Selling pet toys + Artificial grass/Pet toilets (TARGET)",15,IF(N564="Selling artificial grass/pet toilets (TARGET)",10,IF(N564="Selling pet toys",7,IF(N564="There's an Amazon link, but no target sales.",3,0))))</f>
        <v/>
      </c>
      <c r="P564" s="67">
        <f>H564+J564+L564+M564+O564</f>
        <v/>
      </c>
      <c r="Q564" s="70" t="inlineStr">
        <is>
          <t>Excluded: Hiệp hội &amp; CLB Phả hệ (Mục 5.1)</t>
        </is>
      </c>
      <c r="R564" s="9" t="inlineStr">
        <is>
          <t>Khay vệ sinh chung cư (Indoor Potty) + Thảm cỏ ban công (Grass Patch) + Đồ chơi</t>
        </is>
      </c>
      <c r="S564" s="9" t="inlineStr">
        <is>
          <t>Tuyệt đối không đưa vào CRM (Vi phạm Bộ lọc Âm tính Mục 5)</t>
        </is>
      </c>
    </row>
    <row r="565">
      <c r="A565" s="53" t="n">
        <v>3242</v>
      </c>
      <c r="B565" s="12" t="inlineStr">
        <is>
          <t>Troy Waterfront Farmers Market</t>
        </is>
      </c>
      <c r="C565" s="54" t="inlineStr">
        <is>
          <t>https://www.facebook.com/TroyWaterfrontFarmersMarket</t>
        </is>
      </c>
      <c r="D565" s="6" t="inlineStr">
        <is>
          <t>Cần quét Bio Fanpage</t>
        </is>
      </c>
      <c r="E565" s="53" t="inlineStr">
        <is>
          <t>10/10/2026 22:20:14</t>
        </is>
      </c>
      <c r="F565" s="53" t="inlineStr">
        <is>
          <t>2 ngày trước</t>
        </is>
      </c>
      <c r="G565" s="55" t="n">
        <v>2</v>
      </c>
      <c r="H565" s="56" t="n">
        <v>28</v>
      </c>
      <c r="I565" s="6" t="inlineStr">
        <is>
          <t>Pet Owner / Cộng đồng nuôi cún (10đ)</t>
        </is>
      </c>
      <c r="J565" s="56" t="n">
        <v>10</v>
      </c>
      <c r="K565" s="6" t="inlineStr">
        <is>
          <t>Chưa rõ giống (Cần quét Bio)</t>
        </is>
      </c>
      <c r="L565" s="56" t="n">
        <v>0</v>
      </c>
      <c r="M565" s="56" t="n">
        <v>0</v>
      </c>
      <c r="N565" s="6" t="inlineStr">
        <is>
          <t>Amazon link not found</t>
        </is>
      </c>
      <c r="O565" s="56">
        <f>IF(N565="Selling pet toys + Artificial grass/Pet toilets (TARGET)",15,IF(N565="Selling artificial grass/pet toilets (TARGET)",10,IF(N565="Selling pet toys",7,IF(N565="There's an Amazon link, but no target sales.",3,0))))</f>
        <v/>
      </c>
      <c r="P565" s="65">
        <f>H565+J565+L565+M565+O565</f>
        <v/>
      </c>
      <c r="Q565" s="71" t="inlineStr">
        <is>
          <t>Excluded: Ngành nghề Khác (Phi Cún cưng)</t>
        </is>
      </c>
      <c r="R565" s="6" t="inlineStr">
        <is>
          <t>Khay vệ sinh chung cư (Indoor Potty) + Thảm cỏ ban công (Grass Patch) + Đồ chơi</t>
        </is>
      </c>
      <c r="S565" s="6" t="inlineStr">
        <is>
          <t>Tuyệt đối không đưa vào CRM (Vi phạm Bộ lọc Âm tính Mục 5)</t>
        </is>
      </c>
    </row>
    <row r="566">
      <c r="A566" s="59" t="n">
        <v>1511</v>
      </c>
      <c r="B566" s="15" t="inlineStr">
        <is>
          <t>GLOBALCANZARAGOZA</t>
        </is>
      </c>
      <c r="C566" s="60" t="inlineStr">
        <is>
          <t>https://www.facebook.com/GLOBALCANZARAGOZA</t>
        </is>
      </c>
      <c r="D566" s="9" t="inlineStr">
        <is>
          <t>Cần quét Bio Fanpage</t>
        </is>
      </c>
      <c r="E566" s="59" t="inlineStr">
        <is>
          <t>10/10/2026 21:56:49</t>
        </is>
      </c>
      <c r="F566" s="59" t="inlineStr">
        <is>
          <t>2 ngày trước</t>
        </is>
      </c>
      <c r="G566" s="61" t="n">
        <v>2</v>
      </c>
      <c r="H566" s="62" t="n">
        <v>28</v>
      </c>
      <c r="I566" s="9" t="inlineStr">
        <is>
          <t>Pet Owner / Cộng đồng nuôi cún (10đ)</t>
        </is>
      </c>
      <c r="J566" s="62" t="n">
        <v>10</v>
      </c>
      <c r="K566" s="9" t="inlineStr">
        <is>
          <t>Chưa rõ giống (Cần quét Bio)</t>
        </is>
      </c>
      <c r="L566" s="62" t="n">
        <v>0</v>
      </c>
      <c r="M566" s="62" t="n">
        <v>0</v>
      </c>
      <c r="N566" s="9" t="inlineStr">
        <is>
          <t>Amazon link not found</t>
        </is>
      </c>
      <c r="O566" s="62">
        <f>IF(N566="Selling pet toys + Artificial grass/Pet toilets (TARGET)",15,IF(N566="Selling artificial grass/pet toilets (TARGET)",10,IF(N566="Selling pet toys",7,IF(N566="There's an Amazon link, but no target sales.",3,0))))</f>
        <v/>
      </c>
      <c r="P566" s="67">
        <f>H566+J566+L566+M566+O566</f>
        <v/>
      </c>
      <c r="Q566" s="70" t="inlineStr">
        <is>
          <t>Excluded: Trang Chung / Không rõ Ngách Cún cưng</t>
        </is>
      </c>
      <c r="R566" s="9" t="inlineStr">
        <is>
          <t>Khay vệ sinh chung cư (Indoor Potty) + Thảm cỏ ban công (Grass Patch) + Đồ chơi</t>
        </is>
      </c>
      <c r="S566" s="9" t="inlineStr">
        <is>
          <t>Tuyệt đối không đưa vào CRM (Vi phạm Bộ lọc Âm tính Mục 5)</t>
        </is>
      </c>
    </row>
    <row r="567">
      <c r="A567" s="53" t="n">
        <v>3000</v>
      </c>
      <c r="B567" s="12" t="inlineStr">
        <is>
          <t>Stock dogs Unleashed Podcast</t>
        </is>
      </c>
      <c r="C567" s="54" t="inlineStr">
        <is>
          <t>https://www.facebook.com/profile.php?id=61573739884302</t>
        </is>
      </c>
      <c r="D567" s="6" t="inlineStr">
        <is>
          <t>Cần quét Bio Fanpage</t>
        </is>
      </c>
      <c r="E567" s="53" t="inlineStr">
        <is>
          <t>10/10/2026 21:36:24</t>
        </is>
      </c>
      <c r="F567" s="53" t="inlineStr">
        <is>
          <t>2 ngày trước</t>
        </is>
      </c>
      <c r="G567" s="55" t="n">
        <v>2</v>
      </c>
      <c r="H567" s="56" t="n">
        <v>28</v>
      </c>
      <c r="I567" s="6" t="inlineStr">
        <is>
          <t>Pet Owner / Cộng đồng nuôi cún (10đ)</t>
        </is>
      </c>
      <c r="J567" s="56" t="n">
        <v>10</v>
      </c>
      <c r="K567" s="6" t="inlineStr">
        <is>
          <t>Chưa rõ giống (Cần quét Bio)</t>
        </is>
      </c>
      <c r="L567" s="56" t="n">
        <v>0</v>
      </c>
      <c r="M567" s="56" t="n">
        <v>0</v>
      </c>
      <c r="N567" s="6" t="inlineStr">
        <is>
          <t>Amazon link not found</t>
        </is>
      </c>
      <c r="O567" s="56">
        <f>IF(N567="Selling pet toys + Artificial grass/Pet toilets (TARGET)",15,IF(N567="Selling artificial grass/pet toilets (TARGET)",10,IF(N567="Selling pet toys",7,IF(N567="There's an Amazon link, but no target sales.",3,0))))</f>
        <v/>
      </c>
      <c r="P567" s="65">
        <f>H567+J567+L567+M567+O567</f>
        <v/>
      </c>
      <c r="Q567" s="71" t="inlineStr">
        <is>
          <t>Excluded: Kênh Tin tức, Tạp chí &amp; Giải trí (Mục 5.3)</t>
        </is>
      </c>
      <c r="R567" s="6" t="inlineStr">
        <is>
          <t>Khay vệ sinh chung cư (Indoor Potty) + Thảm cỏ ban công (Grass Patch) + Đồ chơi</t>
        </is>
      </c>
      <c r="S567" s="6" t="inlineStr">
        <is>
          <t>Tuyệt đối không đưa vào CRM (Vi phạm Bộ lọc Âm tính Mục 5)</t>
        </is>
      </c>
    </row>
    <row r="568">
      <c r="A568" s="59" t="n">
        <v>2913</v>
      </c>
      <c r="B568" s="15" t="inlineStr">
        <is>
          <t>Skinvet Gabinet Weterynaryjny Marcelina Nalaskowska</t>
        </is>
      </c>
      <c r="C568" s="60" t="inlineStr">
        <is>
          <t>https://www.facebook.com/profile.php?id=61590569886151</t>
        </is>
      </c>
      <c r="D568" s="9" t="inlineStr">
        <is>
          <t>Cần quét Bio Fanpage</t>
        </is>
      </c>
      <c r="E568" s="59" t="inlineStr">
        <is>
          <t>10/10/2026 21:13:41</t>
        </is>
      </c>
      <c r="F568" s="59" t="inlineStr">
        <is>
          <t>2 ngày trước</t>
        </is>
      </c>
      <c r="G568" s="61" t="n">
        <v>2</v>
      </c>
      <c r="H568" s="62" t="n">
        <v>28</v>
      </c>
      <c r="I568" s="9" t="inlineStr">
        <is>
          <t>Pet Owner / Cộng đồng nuôi cún (10đ)</t>
        </is>
      </c>
      <c r="J568" s="62" t="n">
        <v>10</v>
      </c>
      <c r="K568" s="9" t="inlineStr">
        <is>
          <t>Chưa rõ giống (Cần quét Bio)</t>
        </is>
      </c>
      <c r="L568" s="62" t="n">
        <v>0</v>
      </c>
      <c r="M568" s="62" t="n">
        <v>0</v>
      </c>
      <c r="N568" s="9" t="inlineStr">
        <is>
          <t>Amazon link not found</t>
        </is>
      </c>
      <c r="O568" s="62">
        <f>IF(N568="Selling pet toys + Artificial grass/Pet toilets (TARGET)",15,IF(N568="Selling artificial grass/pet toilets (TARGET)",10,IF(N568="Selling pet toys",7,IF(N568="There's an Amazon link, but no target sales.",3,0))))</f>
        <v/>
      </c>
      <c r="P568" s="67">
        <f>H568+J568+L568+M568+O568</f>
        <v/>
      </c>
      <c r="Q568" s="70" t="inlineStr">
        <is>
          <t>Excluded: Trang Chung / Không rõ Ngách Cún cưng</t>
        </is>
      </c>
      <c r="R568" s="9" t="inlineStr">
        <is>
          <t>Khay vệ sinh chung cư (Indoor Potty) + Thảm cỏ ban công (Grass Patch) + Đồ chơi</t>
        </is>
      </c>
      <c r="S568" s="9" t="inlineStr">
        <is>
          <t>Tuyệt đối không đưa vào CRM (Vi phạm Bộ lọc Âm tính Mục 5)</t>
        </is>
      </c>
    </row>
    <row r="569">
      <c r="A569" s="53" t="n">
        <v>854</v>
      </c>
      <c r="B569" s="12" t="inlineStr">
        <is>
          <t>Cascade Hospital for Animals</t>
        </is>
      </c>
      <c r="C569" s="54" t="inlineStr">
        <is>
          <t>https://www.facebook.com/CascadeHospitalandBretonVillageAnimalClinic</t>
        </is>
      </c>
      <c r="D569" s="6" t="inlineStr">
        <is>
          <t>Cần quét Bio Fanpage</t>
        </is>
      </c>
      <c r="E569" s="53" t="inlineStr">
        <is>
          <t>10/10/2026 21:00:29</t>
        </is>
      </c>
      <c r="F569" s="53" t="inlineStr">
        <is>
          <t>2 ngày trước</t>
        </is>
      </c>
      <c r="G569" s="55" t="n">
        <v>2</v>
      </c>
      <c r="H569" s="56" t="n">
        <v>28</v>
      </c>
      <c r="I569" s="6" t="inlineStr">
        <is>
          <t>Pet Owner / Cộng đồng nuôi cún (10đ)</t>
        </is>
      </c>
      <c r="J569" s="56" t="n">
        <v>10</v>
      </c>
      <c r="K569" s="6" t="inlineStr">
        <is>
          <t>Chưa rõ giống (Cần quét Bio)</t>
        </is>
      </c>
      <c r="L569" s="56" t="n">
        <v>0</v>
      </c>
      <c r="M569" s="56" t="n">
        <v>0</v>
      </c>
      <c r="N569" s="6" t="inlineStr">
        <is>
          <t>Amazon link not found</t>
        </is>
      </c>
      <c r="O569" s="56">
        <f>IF(N569="Selling pet toys + Artificial grass/Pet toilets (TARGET)",15,IF(N569="Selling artificial grass/pet toilets (TARGET)",10,IF(N569="Selling pet toys",7,IF(N569="There's an Amazon link, but no target sales.",3,0))))</f>
        <v/>
      </c>
      <c r="P569" s="65">
        <f>H569+J569+L569+M569+O569</f>
        <v/>
      </c>
      <c r="Q569" s="71" t="inlineStr">
        <is>
          <t>Excluded: Trang Chung / Không rõ Ngách Cún cưng</t>
        </is>
      </c>
      <c r="R569" s="6" t="inlineStr">
        <is>
          <t>Khay vệ sinh chung cư (Indoor Potty) + Thảm cỏ ban công (Grass Patch) + Đồ chơi</t>
        </is>
      </c>
      <c r="S569" s="6" t="inlineStr">
        <is>
          <t>Tuyệt đối không đưa vào CRM (Vi phạm Bộ lọc Âm tính Mục 5)</t>
        </is>
      </c>
    </row>
    <row r="570">
      <c r="A570" s="59" t="n">
        <v>2258</v>
      </c>
      <c r="B570" s="15" t="inlineStr">
        <is>
          <t>Natalie SkinClinic</t>
        </is>
      </c>
      <c r="C570" s="60" t="inlineStr">
        <is>
          <t>https://www.facebook.com/NatalieSkinAesthetics</t>
        </is>
      </c>
      <c r="D570" s="9" t="inlineStr">
        <is>
          <t>Cần quét Bio Fanpage</t>
        </is>
      </c>
      <c r="E570" s="59" t="inlineStr">
        <is>
          <t>10/10/2026 20:46:14</t>
        </is>
      </c>
      <c r="F570" s="59" t="inlineStr">
        <is>
          <t>2 ngày trước</t>
        </is>
      </c>
      <c r="G570" s="61" t="n">
        <v>2</v>
      </c>
      <c r="H570" s="62" t="n">
        <v>28</v>
      </c>
      <c r="I570" s="9" t="inlineStr">
        <is>
          <t>Pet Owner / Cộng đồng nuôi cún (10đ)</t>
        </is>
      </c>
      <c r="J570" s="62" t="n">
        <v>10</v>
      </c>
      <c r="K570" s="9" t="inlineStr">
        <is>
          <t>Chưa rõ giống (Cần quét Bio)</t>
        </is>
      </c>
      <c r="L570" s="62" t="n">
        <v>0</v>
      </c>
      <c r="M570" s="62" t="n">
        <v>0</v>
      </c>
      <c r="N570" s="9" t="inlineStr">
        <is>
          <t>Amazon link not found</t>
        </is>
      </c>
      <c r="O570" s="62">
        <f>IF(N570="Selling pet toys + Artificial grass/Pet toilets (TARGET)",15,IF(N570="Selling artificial grass/pet toilets (TARGET)",10,IF(N570="Selling pet toys",7,IF(N570="There's an Amazon link, but no target sales.",3,0))))</f>
        <v/>
      </c>
      <c r="P570" s="67">
        <f>H570+J570+L570+M570+O570</f>
        <v/>
      </c>
      <c r="Q570" s="70" t="inlineStr">
        <is>
          <t>Excluded: Trang Chung / Không rõ Ngách Cún cưng</t>
        </is>
      </c>
      <c r="R570" s="9" t="inlineStr">
        <is>
          <t>Khay vệ sinh chung cư (Indoor Potty) + Thảm cỏ ban công (Grass Patch) + Đồ chơi</t>
        </is>
      </c>
      <c r="S570" s="9" t="inlineStr">
        <is>
          <t>Tuyệt đối không đưa vào CRM (Vi phạm Bộ lọc Âm tính Mục 5)</t>
        </is>
      </c>
    </row>
    <row r="571">
      <c r="A571" s="53" t="n">
        <v>1501</v>
      </c>
      <c r="B571" s="12" t="inlineStr">
        <is>
          <t>Gilbert Farmers Market</t>
        </is>
      </c>
      <c r="C571" s="54" t="inlineStr">
        <is>
          <t>https://www.facebook.com/GilbertMarket</t>
        </is>
      </c>
      <c r="D571" s="6" t="inlineStr">
        <is>
          <t>Cần quét Bio Fanpage</t>
        </is>
      </c>
      <c r="E571" s="53" t="inlineStr">
        <is>
          <t>10/10/2026 20:18:20</t>
        </is>
      </c>
      <c r="F571" s="53" t="inlineStr">
        <is>
          <t>2 ngày trước</t>
        </is>
      </c>
      <c r="G571" s="55" t="n">
        <v>2</v>
      </c>
      <c r="H571" s="56" t="n">
        <v>28</v>
      </c>
      <c r="I571" s="6" t="inlineStr">
        <is>
          <t>Pet Owner / Cộng đồng nuôi cún (10đ)</t>
        </is>
      </c>
      <c r="J571" s="56" t="n">
        <v>10</v>
      </c>
      <c r="K571" s="6" t="inlineStr">
        <is>
          <t>Chưa rõ giống (Cần quét Bio)</t>
        </is>
      </c>
      <c r="L571" s="56" t="n">
        <v>0</v>
      </c>
      <c r="M571" s="56" t="n">
        <v>0</v>
      </c>
      <c r="N571" s="6" t="inlineStr">
        <is>
          <t>Amazon link not found</t>
        </is>
      </c>
      <c r="O571" s="56">
        <f>IF(N571="Selling pet toys + Artificial grass/Pet toilets (TARGET)",15,IF(N571="Selling artificial grass/pet toilets (TARGET)",10,IF(N571="Selling pet toys",7,IF(N571="There's an Amazon link, but no target sales.",3,0))))</f>
        <v/>
      </c>
      <c r="P571" s="65">
        <f>H571+J571+L571+M571+O571</f>
        <v/>
      </c>
      <c r="Q571" s="71" t="inlineStr">
        <is>
          <t>Excluded: Ngành nghề Khác (Phi Cún cưng)</t>
        </is>
      </c>
      <c r="R571" s="6" t="inlineStr">
        <is>
          <t>Khay vệ sinh chung cư (Indoor Potty) + Thảm cỏ ban công (Grass Patch) + Đồ chơi</t>
        </is>
      </c>
      <c r="S571" s="6" t="inlineStr">
        <is>
          <t>Tuyệt đối không đưa vào CRM (Vi phạm Bộ lọc Âm tính Mục 5)</t>
        </is>
      </c>
    </row>
    <row r="572">
      <c r="A572" s="59" t="n">
        <v>2129</v>
      </c>
      <c r="B572" s="15" t="inlineStr">
        <is>
          <t>Maryville Farmers Market</t>
        </is>
      </c>
      <c r="C572" s="60" t="inlineStr">
        <is>
          <t>https://www.facebook.com/MaryvilleFarmersMarket</t>
        </is>
      </c>
      <c r="D572" s="9" t="inlineStr">
        <is>
          <t>Cần quét Bio Fanpage</t>
        </is>
      </c>
      <c r="E572" s="59" t="inlineStr">
        <is>
          <t>10/10/2026 20:16:22</t>
        </is>
      </c>
      <c r="F572" s="59" t="inlineStr">
        <is>
          <t>2 ngày trước</t>
        </is>
      </c>
      <c r="G572" s="61" t="n">
        <v>2</v>
      </c>
      <c r="H572" s="62" t="n">
        <v>28</v>
      </c>
      <c r="I572" s="9" t="inlineStr">
        <is>
          <t>Pet Owner / Cộng đồng nuôi cún (10đ)</t>
        </is>
      </c>
      <c r="J572" s="62" t="n">
        <v>10</v>
      </c>
      <c r="K572" s="9" t="inlineStr">
        <is>
          <t>Chưa rõ giống (Cần quét Bio)</t>
        </is>
      </c>
      <c r="L572" s="62" t="n">
        <v>0</v>
      </c>
      <c r="M572" s="62" t="n">
        <v>0</v>
      </c>
      <c r="N572" s="9" t="inlineStr">
        <is>
          <t>Amazon link not found</t>
        </is>
      </c>
      <c r="O572" s="62">
        <f>IF(N572="Selling pet toys + Artificial grass/Pet toilets (TARGET)",15,IF(N572="Selling artificial grass/pet toilets (TARGET)",10,IF(N572="Selling pet toys",7,IF(N572="There's an Amazon link, but no target sales.",3,0))))</f>
        <v/>
      </c>
      <c r="P572" s="67">
        <f>H572+J572+L572+M572+O572</f>
        <v/>
      </c>
      <c r="Q572" s="70" t="inlineStr">
        <is>
          <t>Excluded: Ngành nghề Khác (Phi Cún cưng)</t>
        </is>
      </c>
      <c r="R572" s="9" t="inlineStr">
        <is>
          <t>Khay vệ sinh chung cư (Indoor Potty) + Thảm cỏ ban công (Grass Patch) + Đồ chơi</t>
        </is>
      </c>
      <c r="S572" s="9" t="inlineStr">
        <is>
          <t>Tuyệt đối không đưa vào CRM (Vi phạm Bộ lọc Âm tính Mục 5)</t>
        </is>
      </c>
    </row>
    <row r="573">
      <c r="A573" s="53" t="n">
        <v>1340</v>
      </c>
      <c r="B573" s="12" t="inlineStr">
        <is>
          <t>Farmcraft</t>
        </is>
      </c>
      <c r="C573" s="54" t="inlineStr">
        <is>
          <t>https://www.facebook.com/farmcraftraw</t>
        </is>
      </c>
      <c r="D573" s="6" t="inlineStr">
        <is>
          <t>Cần quét Bio Fanpage</t>
        </is>
      </c>
      <c r="E573" s="53" t="inlineStr">
        <is>
          <t>10/10/2026 20:01:26</t>
        </is>
      </c>
      <c r="F573" s="53" t="inlineStr">
        <is>
          <t>2 ngày trước</t>
        </is>
      </c>
      <c r="G573" s="55" t="n">
        <v>2</v>
      </c>
      <c r="H573" s="56" t="n">
        <v>28</v>
      </c>
      <c r="I573" s="6" t="inlineStr">
        <is>
          <t>Pet Owner / Cộng đồng nuôi cún (10đ)</t>
        </is>
      </c>
      <c r="J573" s="56" t="n">
        <v>10</v>
      </c>
      <c r="K573" s="6" t="inlineStr">
        <is>
          <t>Chưa rõ giống (Cần quét Bio)</t>
        </is>
      </c>
      <c r="L573" s="56" t="n">
        <v>0</v>
      </c>
      <c r="M573" s="56" t="n">
        <v>0</v>
      </c>
      <c r="N573" s="6" t="inlineStr">
        <is>
          <t>Amazon link not found</t>
        </is>
      </c>
      <c r="O573" s="56">
        <f>IF(N573="Selling pet toys + Artificial grass/Pet toilets (TARGET)",15,IF(N573="Selling artificial grass/pet toilets (TARGET)",10,IF(N573="Selling pet toys",7,IF(N573="There's an Amazon link, but no target sales.",3,0))))</f>
        <v/>
      </c>
      <c r="P573" s="65">
        <f>H573+J573+L573+M573+O573</f>
        <v/>
      </c>
      <c r="Q573" s="71" t="inlineStr">
        <is>
          <t>Excluded: Trang Chung / Không rõ Ngách Cún cưng</t>
        </is>
      </c>
      <c r="R573" s="6" t="inlineStr">
        <is>
          <t>Khay vệ sinh chung cư (Indoor Potty) + Thảm cỏ ban công (Grass Patch) + Đồ chơi</t>
        </is>
      </c>
      <c r="S573" s="6" t="inlineStr">
        <is>
          <t>Tuyệt đối không đưa vào CRM (Vi phạm Bộ lọc Âm tính Mục 5)</t>
        </is>
      </c>
    </row>
    <row r="574">
      <c r="A574" s="59" t="n">
        <v>101</v>
      </c>
      <c r="B574" s="15" t="inlineStr">
        <is>
          <t>animalsdoingthings</t>
        </is>
      </c>
      <c r="C574" s="60" t="inlineStr">
        <is>
          <t>https://www.facebook.com/animalsdoingthings</t>
        </is>
      </c>
      <c r="D574" s="9" t="inlineStr">
        <is>
          <t>Cần quét Bio Fanpage</t>
        </is>
      </c>
      <c r="E574" s="59" t="inlineStr">
        <is>
          <t>10/10/2026 20:00:00</t>
        </is>
      </c>
      <c r="F574" s="59" t="inlineStr">
        <is>
          <t>2 ngày trước</t>
        </is>
      </c>
      <c r="G574" s="61" t="n">
        <v>2</v>
      </c>
      <c r="H574" s="62" t="n">
        <v>28</v>
      </c>
      <c r="I574" s="9" t="inlineStr">
        <is>
          <t>Pet Owner / Cộng đồng nuôi cún (10đ)</t>
        </is>
      </c>
      <c r="J574" s="62" t="n">
        <v>10</v>
      </c>
      <c r="K574" s="9" t="inlineStr">
        <is>
          <t>Chưa rõ giống (Cần quét Bio)</t>
        </is>
      </c>
      <c r="L574" s="62" t="n">
        <v>0</v>
      </c>
      <c r="M574" s="62" t="n">
        <v>0</v>
      </c>
      <c r="N574" s="9" t="inlineStr">
        <is>
          <t>Amazon link not found</t>
        </is>
      </c>
      <c r="O574" s="62">
        <f>IF(N574="Selling pet toys + Artificial grass/Pet toilets (TARGET)",15,IF(N574="Selling artificial grass/pet toilets (TARGET)",10,IF(N574="Selling pet toys",7,IF(N574="There's an Amazon link, but no target sales.",3,0))))</f>
        <v/>
      </c>
      <c r="P574" s="67">
        <f>H574+J574+L574+M574+O574</f>
        <v/>
      </c>
      <c r="Q574" s="70" t="inlineStr">
        <is>
          <t>Excluded: Trang Chung / Không rõ Ngách Cún cưng</t>
        </is>
      </c>
      <c r="R574" s="9" t="inlineStr">
        <is>
          <t>Khay vệ sinh chung cư (Indoor Potty) + Thảm cỏ ban công (Grass Patch) + Đồ chơi</t>
        </is>
      </c>
      <c r="S574" s="9" t="inlineStr">
        <is>
          <t>Tuyệt đối không đưa vào CRM (Vi phạm Bộ lọc Âm tính Mục 5)</t>
        </is>
      </c>
    </row>
    <row r="575">
      <c r="A575" s="53" t="n">
        <v>1980</v>
      </c>
      <c r="B575" s="12" t="inlineStr">
        <is>
          <t>Lance Animal Hospital</t>
        </is>
      </c>
      <c r="C575" s="54" t="inlineStr">
        <is>
          <t>https://www.facebook.com/LanceAnimalHospital</t>
        </is>
      </c>
      <c r="D575" s="6" t="inlineStr">
        <is>
          <t>Cần quét Bio Fanpage</t>
        </is>
      </c>
      <c r="E575" s="53" t="inlineStr">
        <is>
          <t>10/10/2026 19:08:13</t>
        </is>
      </c>
      <c r="F575" s="53" t="inlineStr">
        <is>
          <t>2 ngày trước</t>
        </is>
      </c>
      <c r="G575" s="55" t="n">
        <v>2</v>
      </c>
      <c r="H575" s="56" t="n">
        <v>28</v>
      </c>
      <c r="I575" s="6" t="inlineStr">
        <is>
          <t>Pet Owner / Cộng đồng nuôi cún (10đ)</t>
        </is>
      </c>
      <c r="J575" s="56" t="n">
        <v>10</v>
      </c>
      <c r="K575" s="6" t="inlineStr">
        <is>
          <t>Chưa rõ giống (Cần quét Bio)</t>
        </is>
      </c>
      <c r="L575" s="56" t="n">
        <v>0</v>
      </c>
      <c r="M575" s="56" t="n">
        <v>0</v>
      </c>
      <c r="N575" s="6" t="inlineStr">
        <is>
          <t>Amazon link not found</t>
        </is>
      </c>
      <c r="O575" s="56">
        <f>IF(N575="Selling pet toys + Artificial grass/Pet toilets (TARGET)",15,IF(N575="Selling artificial grass/pet toilets (TARGET)",10,IF(N575="Selling pet toys",7,IF(N575="There's an Amazon link, but no target sales.",3,0))))</f>
        <v/>
      </c>
      <c r="P575" s="65">
        <f>H575+J575+L575+M575+O575</f>
        <v/>
      </c>
      <c r="Q575" s="71" t="inlineStr">
        <is>
          <t>Excluded: Công ty Gen DNA &amp; Thú y (Mục 5.4)</t>
        </is>
      </c>
      <c r="R575" s="6" t="inlineStr">
        <is>
          <t>Khay vệ sinh chung cư (Indoor Potty) + Thảm cỏ ban công (Grass Patch) + Đồ chơi</t>
        </is>
      </c>
      <c r="S575" s="6" t="inlineStr">
        <is>
          <t>Tuyệt đối không đưa vào CRM (Vi phạm Bộ lọc Âm tính Mục 5)</t>
        </is>
      </c>
    </row>
    <row r="576">
      <c r="A576" s="59" t="n">
        <v>2575</v>
      </c>
      <c r="B576" s="15" t="inlineStr">
        <is>
          <t>Pine Bluff Animal Hospital</t>
        </is>
      </c>
      <c r="C576" s="60" t="inlineStr">
        <is>
          <t>https://www.facebook.com/PineBluffAnimalHospitalMorris</t>
        </is>
      </c>
      <c r="D576" s="9" t="inlineStr">
        <is>
          <t>Cần quét Bio Fanpage</t>
        </is>
      </c>
      <c r="E576" s="59" t="inlineStr">
        <is>
          <t>10/10/2026 19:00:33</t>
        </is>
      </c>
      <c r="F576" s="59" t="inlineStr">
        <is>
          <t>2 ngày trước</t>
        </is>
      </c>
      <c r="G576" s="61" t="n">
        <v>2</v>
      </c>
      <c r="H576" s="62" t="n">
        <v>28</v>
      </c>
      <c r="I576" s="9" t="inlineStr">
        <is>
          <t>Pet Owner / Cộng đồng nuôi cún (10đ)</t>
        </is>
      </c>
      <c r="J576" s="62" t="n">
        <v>10</v>
      </c>
      <c r="K576" s="9" t="inlineStr">
        <is>
          <t>Chưa rõ giống (Cần quét Bio)</t>
        </is>
      </c>
      <c r="L576" s="62" t="n">
        <v>0</v>
      </c>
      <c r="M576" s="62" t="n">
        <v>0</v>
      </c>
      <c r="N576" s="9" t="inlineStr">
        <is>
          <t>Amazon link not found</t>
        </is>
      </c>
      <c r="O576" s="62">
        <f>IF(N576="Selling pet toys + Artificial grass/Pet toilets (TARGET)",15,IF(N576="Selling artificial grass/pet toilets (TARGET)",10,IF(N576="Selling pet toys",7,IF(N576="There's an Amazon link, but no target sales.",3,0))))</f>
        <v/>
      </c>
      <c r="P576" s="67">
        <f>H576+J576+L576+M576+O576</f>
        <v/>
      </c>
      <c r="Q576" s="70" t="inlineStr">
        <is>
          <t>Excluded: Công ty Gen DNA &amp; Thú y (Mục 5.4)</t>
        </is>
      </c>
      <c r="R576" s="9" t="inlineStr">
        <is>
          <t>Khay vệ sinh chung cư (Indoor Potty) + Thảm cỏ ban công (Grass Patch) + Đồ chơi</t>
        </is>
      </c>
      <c r="S576" s="9" t="inlineStr">
        <is>
          <t>Tuyệt đối không đưa vào CRM (Vi phạm Bộ lọc Âm tính Mục 5)</t>
        </is>
      </c>
    </row>
    <row r="577">
      <c r="A577" s="53" t="n">
        <v>2757</v>
      </c>
      <c r="B577" s="12" t="inlineStr">
        <is>
          <t>Riverbank Animal Hospital, PA</t>
        </is>
      </c>
      <c r="C577" s="54" t="inlineStr">
        <is>
          <t>https://www.facebook.com/RiverbankAH</t>
        </is>
      </c>
      <c r="D577" s="6" t="inlineStr">
        <is>
          <t>Cần quét Bio Fanpage</t>
        </is>
      </c>
      <c r="E577" s="53" t="inlineStr">
        <is>
          <t>10/10/2026 18:01:30</t>
        </is>
      </c>
      <c r="F577" s="53" t="inlineStr">
        <is>
          <t>2 ngày trước</t>
        </is>
      </c>
      <c r="G577" s="55" t="n">
        <v>2</v>
      </c>
      <c r="H577" s="56" t="n">
        <v>28</v>
      </c>
      <c r="I577" s="6" t="inlineStr">
        <is>
          <t>Pet Owner / Cộng đồng nuôi cún (10đ)</t>
        </is>
      </c>
      <c r="J577" s="56" t="n">
        <v>10</v>
      </c>
      <c r="K577" s="6" t="inlineStr">
        <is>
          <t>Chưa rõ giống (Cần quét Bio)</t>
        </is>
      </c>
      <c r="L577" s="56" t="n">
        <v>0</v>
      </c>
      <c r="M577" s="56" t="n">
        <v>0</v>
      </c>
      <c r="N577" s="6" t="inlineStr">
        <is>
          <t>Amazon link not found</t>
        </is>
      </c>
      <c r="O577" s="56">
        <f>IF(N577="Selling pet toys + Artificial grass/Pet toilets (TARGET)",15,IF(N577="Selling artificial grass/pet toilets (TARGET)",10,IF(N577="Selling pet toys",7,IF(N577="There's an Amazon link, but no target sales.",3,0))))</f>
        <v/>
      </c>
      <c r="P577" s="65">
        <f>H577+J577+L577+M577+O577</f>
        <v/>
      </c>
      <c r="Q577" s="71" t="inlineStr">
        <is>
          <t>Excluded: Công ty Gen DNA &amp; Thú y (Mục 5.4)</t>
        </is>
      </c>
      <c r="R577" s="6" t="inlineStr">
        <is>
          <t>Khay vệ sinh chung cư (Indoor Potty) + Thảm cỏ ban công (Grass Patch) + Đồ chơi</t>
        </is>
      </c>
      <c r="S577" s="6" t="inlineStr">
        <is>
          <t>Tuyệt đối không đưa vào CRM (Vi phạm Bộ lọc Âm tính Mục 5)</t>
        </is>
      </c>
    </row>
    <row r="578">
      <c r="A578" s="59" t="n">
        <v>2175</v>
      </c>
      <c r="B578" s="15" t="inlineStr">
        <is>
          <t>Midland Veterinary Surgery</t>
        </is>
      </c>
      <c r="C578" s="60" t="inlineStr">
        <is>
          <t>https://www.facebook.com/MidlandVeterinarySurgery</t>
        </is>
      </c>
      <c r="D578" s="9" t="inlineStr">
        <is>
          <t>Cần quét Bio Fanpage</t>
        </is>
      </c>
      <c r="E578" s="59" t="inlineStr">
        <is>
          <t>10/10/2026 18:00:59</t>
        </is>
      </c>
      <c r="F578" s="59" t="inlineStr">
        <is>
          <t>2 ngày trước</t>
        </is>
      </c>
      <c r="G578" s="61" t="n">
        <v>2</v>
      </c>
      <c r="H578" s="62" t="n">
        <v>28</v>
      </c>
      <c r="I578" s="9" t="inlineStr">
        <is>
          <t>Pet Owner / Cộng đồng nuôi cún (10đ)</t>
        </is>
      </c>
      <c r="J578" s="62" t="n">
        <v>10</v>
      </c>
      <c r="K578" s="9" t="inlineStr">
        <is>
          <t>Chưa rõ giống (Cần quét Bio)</t>
        </is>
      </c>
      <c r="L578" s="62" t="n">
        <v>0</v>
      </c>
      <c r="M578" s="62" t="n">
        <v>0</v>
      </c>
      <c r="N578" s="9" t="inlineStr">
        <is>
          <t>Amazon link not found</t>
        </is>
      </c>
      <c r="O578" s="62">
        <f>IF(N578="Selling pet toys + Artificial grass/Pet toilets (TARGET)",15,IF(N578="Selling artificial grass/pet toilets (TARGET)",10,IF(N578="Selling pet toys",7,IF(N578="There's an Amazon link, but no target sales.",3,0))))</f>
        <v/>
      </c>
      <c r="P578" s="67">
        <f>H578+J578+L578+M578+O578</f>
        <v/>
      </c>
      <c r="Q578" s="70" t="inlineStr">
        <is>
          <t>Excluded: Công ty Gen DNA &amp; Thú y (Mục 5.4)</t>
        </is>
      </c>
      <c r="R578" s="9" t="inlineStr">
        <is>
          <t>Khay vệ sinh chung cư (Indoor Potty) + Thảm cỏ ban công (Grass Patch) + Đồ chơi</t>
        </is>
      </c>
      <c r="S578" s="9" t="inlineStr">
        <is>
          <t>Tuyệt đối không đưa vào CRM (Vi phạm Bộ lọc Âm tính Mục 5)</t>
        </is>
      </c>
    </row>
    <row r="579">
      <c r="A579" s="53" t="n">
        <v>1741</v>
      </c>
      <c r="B579" s="12" t="inlineStr">
        <is>
          <t>Issarayut Marc I-CareClinic</t>
        </is>
      </c>
      <c r="C579" s="54" t="inlineStr">
        <is>
          <t>https://www.facebook.com/issarayut.luesiripanich.5</t>
        </is>
      </c>
      <c r="D579" s="6" t="inlineStr">
        <is>
          <t>Cần quét Bio Fanpage</t>
        </is>
      </c>
      <c r="E579" s="53" t="inlineStr">
        <is>
          <t>10/10/2026 13:29:02</t>
        </is>
      </c>
      <c r="F579" s="53" t="inlineStr">
        <is>
          <t>2 ngày trước</t>
        </is>
      </c>
      <c r="G579" s="55" t="n">
        <v>2</v>
      </c>
      <c r="H579" s="56" t="n">
        <v>28</v>
      </c>
      <c r="I579" s="6" t="inlineStr">
        <is>
          <t>Pet Owner / Cộng đồng nuôi cún (10đ)</t>
        </is>
      </c>
      <c r="J579" s="56" t="n">
        <v>10</v>
      </c>
      <c r="K579" s="6" t="inlineStr">
        <is>
          <t>Chưa rõ giống (Cần quét Bio)</t>
        </is>
      </c>
      <c r="L579" s="56" t="n">
        <v>0</v>
      </c>
      <c r="M579" s="56" t="n">
        <v>0</v>
      </c>
      <c r="N579" s="6" t="inlineStr">
        <is>
          <t>Amazon link not found</t>
        </is>
      </c>
      <c r="O579" s="56">
        <f>IF(N579="Selling pet toys + Artificial grass/Pet toilets (TARGET)",15,IF(N579="Selling artificial grass/pet toilets (TARGET)",10,IF(N579="Selling pet toys",7,IF(N579="There's an Amazon link, but no target sales.",3,0))))</f>
        <v/>
      </c>
      <c r="P579" s="65">
        <f>H579+J579+L579+M579+O579</f>
        <v/>
      </c>
      <c r="Q579" s="71" t="inlineStr">
        <is>
          <t>Excluded: Trang Chung / Không rõ Ngách Cún cưng</t>
        </is>
      </c>
      <c r="R579" s="6" t="inlineStr">
        <is>
          <t>Khay vệ sinh chung cư (Indoor Potty) + Thảm cỏ ban công (Grass Patch) + Đồ chơi</t>
        </is>
      </c>
      <c r="S579" s="6" t="inlineStr">
        <is>
          <t>Tuyệt đối không đưa vào CRM (Vi phạm Bộ lọc Âm tính Mục 5)</t>
        </is>
      </c>
    </row>
    <row r="580">
      <c r="A580" s="59" t="n">
        <v>2549</v>
      </c>
      <c r="B580" s="15" t="inlineStr">
        <is>
          <t>PetSmart Charities</t>
        </is>
      </c>
      <c r="C580" s="60" t="inlineStr">
        <is>
          <t>https://www.facebook.com/PetSmartCharities</t>
        </is>
      </c>
      <c r="D580" s="9" t="inlineStr">
        <is>
          <t>Cần quét Bio Fanpage</t>
        </is>
      </c>
      <c r="E580" s="59" t="inlineStr">
        <is>
          <t>10/10/2026 07:38:20</t>
        </is>
      </c>
      <c r="F580" s="59" t="inlineStr">
        <is>
          <t>2 ngày trước</t>
        </is>
      </c>
      <c r="G580" s="61" t="n">
        <v>2</v>
      </c>
      <c r="H580" s="62" t="n">
        <v>28</v>
      </c>
      <c r="I580" s="9" t="inlineStr">
        <is>
          <t>Pet Owner / Cộng đồng nuôi cún (10đ)</t>
        </is>
      </c>
      <c r="J580" s="62" t="n">
        <v>10</v>
      </c>
      <c r="K580" s="9" t="inlineStr">
        <is>
          <t>Chưa rõ giống (Cần quét Bio)</t>
        </is>
      </c>
      <c r="L580" s="62" t="n">
        <v>0</v>
      </c>
      <c r="M580" s="62" t="n">
        <v>0</v>
      </c>
      <c r="N580" s="9" t="inlineStr">
        <is>
          <t>Amazon link not found</t>
        </is>
      </c>
      <c r="O580" s="62">
        <f>IF(N580="Selling pet toys + Artificial grass/Pet toilets (TARGET)",15,IF(N580="Selling artificial grass/pet toilets (TARGET)",10,IF(N580="Selling pet toys",7,IF(N580="There's an Amazon link, but no target sales.",3,0))))</f>
        <v/>
      </c>
      <c r="P580" s="67">
        <f>H580+J580+L580+M580+O580</f>
        <v/>
      </c>
      <c r="Q580" s="70" t="inlineStr">
        <is>
          <t>Excluded: Chuỗi Siêu thị Bán lẻ Lớn (Mục 5.2)</t>
        </is>
      </c>
      <c r="R580" s="9" t="inlineStr">
        <is>
          <t>Khay vệ sinh chung cư (Indoor Potty) + Thảm cỏ ban công (Grass Patch) + Đồ chơi</t>
        </is>
      </c>
      <c r="S580" s="9" t="inlineStr">
        <is>
          <t>Tuyệt đối không đưa vào CRM (Vi phạm Bộ lọc Âm tính Mục 5)</t>
        </is>
      </c>
    </row>
    <row r="581">
      <c r="A581" s="53" t="n">
        <v>767</v>
      </c>
      <c r="B581" s="12" t="inlineStr">
        <is>
          <t>Brooke Colvin Farmers Insurance</t>
        </is>
      </c>
      <c r="C581" s="54" t="inlineStr">
        <is>
          <t>https://www.facebook.com/bcfarmersinsurance</t>
        </is>
      </c>
      <c r="D581" s="6" t="inlineStr">
        <is>
          <t>Cần quét Bio Fanpage</t>
        </is>
      </c>
      <c r="E581" s="53" t="inlineStr">
        <is>
          <t>10/10/2026 06:00:25</t>
        </is>
      </c>
      <c r="F581" s="53" t="inlineStr">
        <is>
          <t>2 ngày trước</t>
        </is>
      </c>
      <c r="G581" s="55" t="n">
        <v>2</v>
      </c>
      <c r="H581" s="56" t="n">
        <v>28</v>
      </c>
      <c r="I581" s="6" t="inlineStr">
        <is>
          <t>Pet Owner / Cộng đồng nuôi cún (10đ)</t>
        </is>
      </c>
      <c r="J581" s="56" t="n">
        <v>10</v>
      </c>
      <c r="K581" s="6" t="inlineStr">
        <is>
          <t>Chưa rõ giống (Cần quét Bio)</t>
        </is>
      </c>
      <c r="L581" s="56" t="n">
        <v>0</v>
      </c>
      <c r="M581" s="56" t="n">
        <v>0</v>
      </c>
      <c r="N581" s="6" t="inlineStr">
        <is>
          <t>Amazon link not found</t>
        </is>
      </c>
      <c r="O581" s="56">
        <f>IF(N581="Selling pet toys + Artificial grass/Pet toilets (TARGET)",15,IF(N581="Selling artificial grass/pet toilets (TARGET)",10,IF(N581="Selling pet toys",7,IF(N581="There's an Amazon link, but no target sales.",3,0))))</f>
        <v/>
      </c>
      <c r="P581" s="65">
        <f>H581+J581+L581+M581+O581</f>
        <v/>
      </c>
      <c r="Q581" s="71" t="inlineStr">
        <is>
          <t>Excluded: Ngành nghề Khác (Phi Cún cưng)</t>
        </is>
      </c>
      <c r="R581" s="6" t="inlineStr">
        <is>
          <t>Khay vệ sinh chung cư (Indoor Potty) + Thảm cỏ ban công (Grass Patch) + Đồ chơi</t>
        </is>
      </c>
      <c r="S581" s="6" t="inlineStr">
        <is>
          <t>Tuyệt đối không đưa vào CRM (Vi phạm Bộ lọc Âm tính Mục 5)</t>
        </is>
      </c>
    </row>
    <row r="582">
      <c r="A582" s="59" t="n">
        <v>3129</v>
      </c>
      <c r="B582" s="15" t="inlineStr">
        <is>
          <t>The Healthy Eating Clinic (Woden)</t>
        </is>
      </c>
      <c r="C582" s="60" t="inlineStr">
        <is>
          <t>https://www.facebook.com/healthyeatingclinicwoden</t>
        </is>
      </c>
      <c r="D582" s="9" t="inlineStr">
        <is>
          <t>Cần quét Bio Fanpage</t>
        </is>
      </c>
      <c r="E582" s="59" t="inlineStr">
        <is>
          <t>10/10/2026 06:00:13</t>
        </is>
      </c>
      <c r="F582" s="59" t="inlineStr">
        <is>
          <t>3 ngày trước</t>
        </is>
      </c>
      <c r="G582" s="61" t="n">
        <v>3</v>
      </c>
      <c r="H582" s="62" t="n">
        <v>28</v>
      </c>
      <c r="I582" s="9" t="inlineStr">
        <is>
          <t>Pet Owner / Cộng đồng nuôi cún (10đ)</t>
        </is>
      </c>
      <c r="J582" s="62" t="n">
        <v>10</v>
      </c>
      <c r="K582" s="9" t="inlineStr">
        <is>
          <t>Chưa rõ giống (Cần quét Bio)</t>
        </is>
      </c>
      <c r="L582" s="62" t="n">
        <v>0</v>
      </c>
      <c r="M582" s="62" t="n">
        <v>0</v>
      </c>
      <c r="N582" s="9" t="inlineStr">
        <is>
          <t>Amazon link not found</t>
        </is>
      </c>
      <c r="O582" s="62">
        <f>IF(N582="Selling pet toys + Artificial grass/Pet toilets (TARGET)",15,IF(N582="Selling artificial grass/pet toilets (TARGET)",10,IF(N582="Selling pet toys",7,IF(N582="There's an Amazon link, but no target sales.",3,0))))</f>
        <v/>
      </c>
      <c r="P582" s="67">
        <f>H582+J582+L582+M582+O582</f>
        <v/>
      </c>
      <c r="Q582" s="70" t="inlineStr">
        <is>
          <t>Excluded: Trang Chung / Không rõ Ngách Cún cưng</t>
        </is>
      </c>
      <c r="R582" s="9" t="inlineStr">
        <is>
          <t>Khay vệ sinh chung cư (Indoor Potty) + Thảm cỏ ban công (Grass Patch) + Đồ chơi</t>
        </is>
      </c>
      <c r="S582" s="9" t="inlineStr">
        <is>
          <t>Tuyệt đối không đưa vào CRM (Vi phạm Bộ lọc Âm tính Mục 5)</t>
        </is>
      </c>
    </row>
    <row r="583">
      <c r="A583" s="53" t="n">
        <v>2424</v>
      </c>
      <c r="B583" s="12" t="inlineStr">
        <is>
          <t>Peak Veterinary Health</t>
        </is>
      </c>
      <c r="C583" s="54" t="inlineStr">
        <is>
          <t>https://www.facebook.com/profile.php?id=100063484034090</t>
        </is>
      </c>
      <c r="D583" s="6" t="inlineStr">
        <is>
          <t>Cần quét Bio Fanpage</t>
        </is>
      </c>
      <c r="E583" s="53" t="inlineStr">
        <is>
          <t>10/10/2026 05:46:52</t>
        </is>
      </c>
      <c r="F583" s="53" t="inlineStr">
        <is>
          <t>2 ngày trước</t>
        </is>
      </c>
      <c r="G583" s="55" t="n">
        <v>2</v>
      </c>
      <c r="H583" s="56" t="n">
        <v>28</v>
      </c>
      <c r="I583" s="6" t="inlineStr">
        <is>
          <t>Pet Owner / Cộng đồng nuôi cún (10đ)</t>
        </is>
      </c>
      <c r="J583" s="56" t="n">
        <v>10</v>
      </c>
      <c r="K583" s="6" t="inlineStr">
        <is>
          <t>Chưa rõ giống (Cần quét Bio)</t>
        </is>
      </c>
      <c r="L583" s="56" t="n">
        <v>0</v>
      </c>
      <c r="M583" s="56" t="n">
        <v>0</v>
      </c>
      <c r="N583" s="6" t="inlineStr">
        <is>
          <t>Amazon link not found</t>
        </is>
      </c>
      <c r="O583" s="56">
        <f>IF(N583="Selling pet toys + Artificial grass/Pet toilets (TARGET)",15,IF(N583="Selling artificial grass/pet toilets (TARGET)",10,IF(N583="Selling pet toys",7,IF(N583="There's an Amazon link, but no target sales.",3,0))))</f>
        <v/>
      </c>
      <c r="P583" s="65">
        <f>H583+J583+L583+M583+O583</f>
        <v/>
      </c>
      <c r="Q583" s="71" t="inlineStr">
        <is>
          <t>Excluded: Công ty Gen DNA &amp; Thú y (Mục 5.4)</t>
        </is>
      </c>
      <c r="R583" s="6" t="inlineStr">
        <is>
          <t>Khay vệ sinh chung cư (Indoor Potty) + Thảm cỏ ban công (Grass Patch) + Đồ chơi</t>
        </is>
      </c>
      <c r="S583" s="6" t="inlineStr">
        <is>
          <t>Tuyệt đối không đưa vào CRM (Vi phạm Bộ lọc Âm tính Mục 5)</t>
        </is>
      </c>
    </row>
    <row r="584">
      <c r="A584" s="59" t="n">
        <v>841</v>
      </c>
      <c r="B584" s="15" t="inlineStr">
        <is>
          <t>carexdesigntours</t>
        </is>
      </c>
      <c r="C584" s="60" t="inlineStr">
        <is>
          <t>https://www.facebook.com/carexdesigntours</t>
        </is>
      </c>
      <c r="D584" s="9" t="inlineStr">
        <is>
          <t>Cần quét Bio Fanpage</t>
        </is>
      </c>
      <c r="E584" s="59" t="inlineStr">
        <is>
          <t>10/10/2026 03:23:24</t>
        </is>
      </c>
      <c r="F584" s="59" t="inlineStr">
        <is>
          <t>2 ngày trước</t>
        </is>
      </c>
      <c r="G584" s="61" t="n">
        <v>2</v>
      </c>
      <c r="H584" s="62" t="n">
        <v>28</v>
      </c>
      <c r="I584" s="9" t="inlineStr">
        <is>
          <t>Pet Owner / Cộng đồng nuôi cún (10đ)</t>
        </is>
      </c>
      <c r="J584" s="62" t="n">
        <v>10</v>
      </c>
      <c r="K584" s="9" t="inlineStr">
        <is>
          <t>Chưa rõ giống (Cần quét Bio)</t>
        </is>
      </c>
      <c r="L584" s="62" t="n">
        <v>0</v>
      </c>
      <c r="M584" s="62" t="n">
        <v>0</v>
      </c>
      <c r="N584" s="9" t="inlineStr">
        <is>
          <t>Amazon link not found</t>
        </is>
      </c>
      <c r="O584" s="62">
        <f>IF(N584="Selling pet toys + Artificial grass/Pet toilets (TARGET)",15,IF(N584="Selling artificial grass/pet toilets (TARGET)",10,IF(N584="Selling pet toys",7,IF(N584="There's an Amazon link, but no target sales.",3,0))))</f>
        <v/>
      </c>
      <c r="P584" s="67">
        <f>H584+J584+L584+M584+O584</f>
        <v/>
      </c>
      <c r="Q584" s="70" t="inlineStr">
        <is>
          <t>Excluded: Trang Chung / Không rõ Ngách Cún cưng</t>
        </is>
      </c>
      <c r="R584" s="9" t="inlineStr">
        <is>
          <t>Khay vệ sinh chung cư (Indoor Potty) + Thảm cỏ ban công (Grass Patch) + Đồ chơi</t>
        </is>
      </c>
      <c r="S584" s="9" t="inlineStr">
        <is>
          <t>Tuyệt đối không đưa vào CRM (Vi phạm Bộ lọc Âm tính Mục 5)</t>
        </is>
      </c>
    </row>
    <row r="585">
      <c r="A585" s="53" t="n">
        <v>871</v>
      </c>
      <c r="B585" s="12" t="inlineStr">
        <is>
          <t>Centro de Control Animal - CCA Esperanza Canina y Felina</t>
        </is>
      </c>
      <c r="C585" s="54" t="inlineStr">
        <is>
          <t>https://www.facebook.com/CCAEsperanzaCanina</t>
        </is>
      </c>
      <c r="D585" s="6" t="inlineStr">
        <is>
          <t>Cần quét Bio Fanpage</t>
        </is>
      </c>
      <c r="E585" s="53" t="inlineStr">
        <is>
          <t>10/10/2026 02:53:55</t>
        </is>
      </c>
      <c r="F585" s="53" t="inlineStr">
        <is>
          <t>2 ngày trước</t>
        </is>
      </c>
      <c r="G585" s="55" t="n">
        <v>2</v>
      </c>
      <c r="H585" s="56" t="n">
        <v>28</v>
      </c>
      <c r="I585" s="6" t="inlineStr">
        <is>
          <t>Pet Owner / Cộng đồng nuôi cún (10đ)</t>
        </is>
      </c>
      <c r="J585" s="56" t="n">
        <v>10</v>
      </c>
      <c r="K585" s="6" t="inlineStr">
        <is>
          <t>Chưa rõ giống (Cần quét Bio)</t>
        </is>
      </c>
      <c r="L585" s="56" t="n">
        <v>0</v>
      </c>
      <c r="M585" s="56" t="n">
        <v>0</v>
      </c>
      <c r="N585" s="6" t="inlineStr">
        <is>
          <t>Amazon link not found</t>
        </is>
      </c>
      <c r="O585" s="56">
        <f>IF(N585="Selling pet toys + Artificial grass/Pet toilets (TARGET)",15,IF(N585="Selling artificial grass/pet toilets (TARGET)",10,IF(N585="Selling pet toys",7,IF(N585="There's an Amazon link, but no target sales.",3,0))))</f>
        <v/>
      </c>
      <c r="P585" s="65">
        <f>H585+J585+L585+M585+O585</f>
        <v/>
      </c>
      <c r="Q585" s="71" t="inlineStr">
        <is>
          <t>Excluded: Trang Chung / Không rõ Ngách Cún cưng</t>
        </is>
      </c>
      <c r="R585" s="6" t="inlineStr">
        <is>
          <t>Khay vệ sinh chung cư (Indoor Potty) + Thảm cỏ ban công (Grass Patch) + Đồ chơi</t>
        </is>
      </c>
      <c r="S585" s="6" t="inlineStr">
        <is>
          <t>Tuyệt đối không đưa vào CRM (Vi phạm Bộ lọc Âm tính Mục 5)</t>
        </is>
      </c>
    </row>
    <row r="586">
      <c r="A586" s="59" t="n">
        <v>1316</v>
      </c>
      <c r="B586" s="15" t="inlineStr">
        <is>
          <t>Fairfield Glade Veterinary Hospital</t>
        </is>
      </c>
      <c r="C586" s="60" t="inlineStr">
        <is>
          <t>https://www.facebook.com/profile.php?id=61559130059736</t>
        </is>
      </c>
      <c r="D586" s="9" t="inlineStr">
        <is>
          <t>Cần quét Bio Fanpage</t>
        </is>
      </c>
      <c r="E586" s="59" t="inlineStr">
        <is>
          <t>10/10/2026 02:47:20</t>
        </is>
      </c>
      <c r="F586" s="59" t="inlineStr">
        <is>
          <t>3 ngày trước</t>
        </is>
      </c>
      <c r="G586" s="61" t="n">
        <v>3</v>
      </c>
      <c r="H586" s="62" t="n">
        <v>28</v>
      </c>
      <c r="I586" s="9" t="inlineStr">
        <is>
          <t>Pet Owner / Cộng đồng nuôi cún (10đ)</t>
        </is>
      </c>
      <c r="J586" s="62" t="n">
        <v>10</v>
      </c>
      <c r="K586" s="9" t="inlineStr">
        <is>
          <t>Chưa rõ giống (Cần quét Bio)</t>
        </is>
      </c>
      <c r="L586" s="62" t="n">
        <v>0</v>
      </c>
      <c r="M586" s="62" t="n">
        <v>0</v>
      </c>
      <c r="N586" s="9" t="inlineStr">
        <is>
          <t>Amazon link not found</t>
        </is>
      </c>
      <c r="O586" s="62">
        <f>IF(N586="Selling pet toys + Artificial grass/Pet toilets (TARGET)",15,IF(N586="Selling artificial grass/pet toilets (TARGET)",10,IF(N586="Selling pet toys",7,IF(N586="There's an Amazon link, but no target sales.",3,0))))</f>
        <v/>
      </c>
      <c r="P586" s="67">
        <f>H586+J586+L586+M586+O586</f>
        <v/>
      </c>
      <c r="Q586" s="70" t="inlineStr">
        <is>
          <t>Excluded: Công ty Gen DNA &amp; Thú y (Mục 5.4)</t>
        </is>
      </c>
      <c r="R586" s="9" t="inlineStr">
        <is>
          <t>Khay vệ sinh chung cư (Indoor Potty) + Thảm cỏ ban công (Grass Patch) + Đồ chơi</t>
        </is>
      </c>
      <c r="S586" s="9" t="inlineStr">
        <is>
          <t>Tuyệt đối không đưa vào CRM (Vi phạm Bộ lọc Âm tính Mục 5)</t>
        </is>
      </c>
    </row>
    <row r="587">
      <c r="A587" s="53" t="n">
        <v>325</v>
      </c>
      <c r="B587" s="12" t="inlineStr">
        <is>
          <t>Abejitas Veterinaria</t>
        </is>
      </c>
      <c r="C587" s="54" t="inlineStr">
        <is>
          <t>https://www.facebook.com/Abejitasvet</t>
        </is>
      </c>
      <c r="D587" s="6" t="inlineStr">
        <is>
          <t>Cần quét Bio Fanpage</t>
        </is>
      </c>
      <c r="E587" s="53" t="inlineStr">
        <is>
          <t>10/10/2026 01:25:09</t>
        </is>
      </c>
      <c r="F587" s="53" t="inlineStr">
        <is>
          <t>3 ngày trước</t>
        </is>
      </c>
      <c r="G587" s="55" t="n">
        <v>3</v>
      </c>
      <c r="H587" s="56" t="n">
        <v>28</v>
      </c>
      <c r="I587" s="6" t="inlineStr">
        <is>
          <t>Pet Owner / Cộng đồng nuôi cún (10đ)</t>
        </is>
      </c>
      <c r="J587" s="56" t="n">
        <v>10</v>
      </c>
      <c r="K587" s="6" t="inlineStr">
        <is>
          <t>Chưa rõ giống (Cần quét Bio)</t>
        </is>
      </c>
      <c r="L587" s="56" t="n">
        <v>0</v>
      </c>
      <c r="M587" s="56" t="n">
        <v>0</v>
      </c>
      <c r="N587" s="6" t="inlineStr">
        <is>
          <t>Amazon link not found</t>
        </is>
      </c>
      <c r="O587" s="56">
        <f>IF(N587="Selling pet toys + Artificial grass/Pet toilets (TARGET)",15,IF(N587="Selling artificial grass/pet toilets (TARGET)",10,IF(N587="Selling pet toys",7,IF(N587="There's an Amazon link, but no target sales.",3,0))))</f>
        <v/>
      </c>
      <c r="P587" s="65">
        <f>H587+J587+L587+M587+O587</f>
        <v/>
      </c>
      <c r="Q587" s="71" t="inlineStr">
        <is>
          <t>Excluded: Công ty Gen DNA &amp; Thú y (Mục 5.4)</t>
        </is>
      </c>
      <c r="R587" s="6" t="inlineStr">
        <is>
          <t>Khay vệ sinh chung cư (Indoor Potty) + Thảm cỏ ban công (Grass Patch) + Đồ chơi</t>
        </is>
      </c>
      <c r="S587" s="6" t="inlineStr">
        <is>
          <t>Tuyệt đối không đưa vào CRM (Vi phạm Bộ lọc Âm tính Mục 5)</t>
        </is>
      </c>
    </row>
    <row r="588">
      <c r="A588" s="59" t="n">
        <v>2974</v>
      </c>
      <c r="B588" s="15" t="inlineStr">
        <is>
          <t>Sporting Dog Club of Tennessee</t>
        </is>
      </c>
      <c r="C588" s="60" t="inlineStr">
        <is>
          <t>https://www.facebook.com/profile.php?id=61552781390199</t>
        </is>
      </c>
      <c r="D588" s="9" t="inlineStr">
        <is>
          <t>Cần quét Bio Fanpage</t>
        </is>
      </c>
      <c r="E588" s="59" t="inlineStr">
        <is>
          <t>10/10/2026 01:15:04</t>
        </is>
      </c>
      <c r="F588" s="59" t="inlineStr">
        <is>
          <t>3 ngày trước</t>
        </is>
      </c>
      <c r="G588" s="61" t="n">
        <v>3</v>
      </c>
      <c r="H588" s="62" t="n">
        <v>28</v>
      </c>
      <c r="I588" s="9" t="inlineStr">
        <is>
          <t>Pet Owner / Cộng đồng nuôi cún (10đ)</t>
        </is>
      </c>
      <c r="J588" s="62" t="n">
        <v>10</v>
      </c>
      <c r="K588" s="9" t="inlineStr">
        <is>
          <t>Chưa rõ giống (Cần quét Bio)</t>
        </is>
      </c>
      <c r="L588" s="62" t="n">
        <v>0</v>
      </c>
      <c r="M588" s="62" t="n">
        <v>0</v>
      </c>
      <c r="N588" s="9" t="inlineStr">
        <is>
          <t>Amazon link not found</t>
        </is>
      </c>
      <c r="O588" s="62">
        <f>IF(N588="Selling pet toys + Artificial grass/Pet toilets (TARGET)",15,IF(N588="Selling artificial grass/pet toilets (TARGET)",10,IF(N588="Selling pet toys",7,IF(N588="There's an Amazon link, but no target sales.",3,0))))</f>
        <v/>
      </c>
      <c r="P588" s="67">
        <f>H588+J588+L588+M588+O588</f>
        <v/>
      </c>
      <c r="Q588" s="70" t="inlineStr">
        <is>
          <t>Excluded: Hiệp hội &amp; CLB Phả hệ (Mục 5.1)</t>
        </is>
      </c>
      <c r="R588" s="9" t="inlineStr">
        <is>
          <t>Khay vệ sinh chung cư (Indoor Potty) + Thảm cỏ ban công (Grass Patch) + Đồ chơi</t>
        </is>
      </c>
      <c r="S588" s="9" t="inlineStr">
        <is>
          <t>Tuyệt đối không đưa vào CRM (Vi phạm Bộ lọc Âm tính Mục 5)</t>
        </is>
      </c>
    </row>
    <row r="589">
      <c r="A589" s="53" t="n">
        <v>807</v>
      </c>
      <c r="B589" s="12" t="inlineStr">
        <is>
          <t>Calhoun County Animal Hospital</t>
        </is>
      </c>
      <c r="C589" s="54" t="inlineStr">
        <is>
          <t>https://www.facebook.com/calhouncountyanimalhospital</t>
        </is>
      </c>
      <c r="D589" s="6" t="inlineStr">
        <is>
          <t>Cần quét Bio Fanpage</t>
        </is>
      </c>
      <c r="E589" s="53" t="inlineStr">
        <is>
          <t>10/10/2026 01:12:17</t>
        </is>
      </c>
      <c r="F589" s="53" t="inlineStr">
        <is>
          <t>3 ngày trước</t>
        </is>
      </c>
      <c r="G589" s="55" t="n">
        <v>3</v>
      </c>
      <c r="H589" s="56" t="n">
        <v>28</v>
      </c>
      <c r="I589" s="6" t="inlineStr">
        <is>
          <t>Pet Owner / Cộng đồng nuôi cún (10đ)</t>
        </is>
      </c>
      <c r="J589" s="56" t="n">
        <v>10</v>
      </c>
      <c r="K589" s="6" t="inlineStr">
        <is>
          <t>Chưa rõ giống (Cần quét Bio)</t>
        </is>
      </c>
      <c r="L589" s="56" t="n">
        <v>0</v>
      </c>
      <c r="M589" s="56" t="n">
        <v>0</v>
      </c>
      <c r="N589" s="6" t="inlineStr">
        <is>
          <t>Amazon link not found</t>
        </is>
      </c>
      <c r="O589" s="56">
        <f>IF(N589="Selling pet toys + Artificial grass/Pet toilets (TARGET)",15,IF(N589="Selling artificial grass/pet toilets (TARGET)",10,IF(N589="Selling pet toys",7,IF(N589="There's an Amazon link, but no target sales.",3,0))))</f>
        <v/>
      </c>
      <c r="P589" s="65">
        <f>H589+J589+L589+M589+O589</f>
        <v/>
      </c>
      <c r="Q589" s="71" t="inlineStr">
        <is>
          <t>Excluded: Công ty Gen DNA &amp; Thú y (Mục 5.4)</t>
        </is>
      </c>
      <c r="R589" s="6" t="inlineStr">
        <is>
          <t>Khay vệ sinh chung cư (Indoor Potty) + Thảm cỏ ban công (Grass Patch) + Đồ chơi</t>
        </is>
      </c>
      <c r="S589" s="6" t="inlineStr">
        <is>
          <t>Tuyệt đối không đưa vào CRM (Vi phạm Bộ lọc Âm tính Mục 5)</t>
        </is>
      </c>
    </row>
    <row r="590">
      <c r="A590" s="59" t="n">
        <v>2819</v>
      </c>
      <c r="B590" s="15" t="inlineStr">
        <is>
          <t>San Tan Animal Hospital</t>
        </is>
      </c>
      <c r="C590" s="60" t="inlineStr">
        <is>
          <t>https://www.facebook.com/santananimalhospital</t>
        </is>
      </c>
      <c r="D590" s="9" t="inlineStr">
        <is>
          <t>Cần quét Bio Fanpage</t>
        </is>
      </c>
      <c r="E590" s="59" t="inlineStr">
        <is>
          <t>10/10/2026 00:04:55</t>
        </is>
      </c>
      <c r="F590" s="59" t="inlineStr">
        <is>
          <t>3 ngày trước</t>
        </is>
      </c>
      <c r="G590" s="61" t="n">
        <v>3</v>
      </c>
      <c r="H590" s="62" t="n">
        <v>28</v>
      </c>
      <c r="I590" s="9" t="inlineStr">
        <is>
          <t>Pet Owner / Cộng đồng nuôi cún (10đ)</t>
        </is>
      </c>
      <c r="J590" s="62" t="n">
        <v>10</v>
      </c>
      <c r="K590" s="9" t="inlineStr">
        <is>
          <t>Chưa rõ giống (Cần quét Bio)</t>
        </is>
      </c>
      <c r="L590" s="62" t="n">
        <v>0</v>
      </c>
      <c r="M590" s="62" t="n">
        <v>0</v>
      </c>
      <c r="N590" s="9" t="inlineStr">
        <is>
          <t>Amazon link not found</t>
        </is>
      </c>
      <c r="O590" s="62">
        <f>IF(N590="Selling pet toys + Artificial grass/Pet toilets (TARGET)",15,IF(N590="Selling artificial grass/pet toilets (TARGET)",10,IF(N590="Selling pet toys",7,IF(N590="There's an Amazon link, but no target sales.",3,0))))</f>
        <v/>
      </c>
      <c r="P590" s="67">
        <f>H590+J590+L590+M590+O590</f>
        <v/>
      </c>
      <c r="Q590" s="70" t="inlineStr">
        <is>
          <t>Excluded: Công ty Gen DNA &amp; Thú y (Mục 5.4)</t>
        </is>
      </c>
      <c r="R590" s="9" t="inlineStr">
        <is>
          <t>Khay vệ sinh chung cư (Indoor Potty) + Thảm cỏ ban công (Grass Patch) + Đồ chơi</t>
        </is>
      </c>
      <c r="S590" s="9" t="inlineStr">
        <is>
          <t>Tuyệt đối không đưa vào CRM (Vi phạm Bộ lọc Âm tính Mục 5)</t>
        </is>
      </c>
    </row>
    <row r="591">
      <c r="A591" s="53" t="n">
        <v>3283</v>
      </c>
      <c r="B591" s="12" t="inlineStr">
        <is>
          <t>Vancouver Farmers Market</t>
        </is>
      </c>
      <c r="C591" s="54" t="inlineStr">
        <is>
          <t>https://www.facebook.com/vancouverfarmersmarket</t>
        </is>
      </c>
      <c r="D591" s="6" t="inlineStr">
        <is>
          <t>Cần quét Bio Fanpage</t>
        </is>
      </c>
      <c r="E591" s="53" t="inlineStr">
        <is>
          <t>09/10/2026 23:00:32</t>
        </is>
      </c>
      <c r="F591" s="53" t="inlineStr">
        <is>
          <t>3 ngày trước</t>
        </is>
      </c>
      <c r="G591" s="55" t="n">
        <v>3</v>
      </c>
      <c r="H591" s="56" t="n">
        <v>28</v>
      </c>
      <c r="I591" s="6" t="inlineStr">
        <is>
          <t>Pet Owner / Cộng đồng nuôi cún (10đ)</t>
        </is>
      </c>
      <c r="J591" s="56" t="n">
        <v>10</v>
      </c>
      <c r="K591" s="6" t="inlineStr">
        <is>
          <t>Chưa rõ giống (Cần quét Bio)</t>
        </is>
      </c>
      <c r="L591" s="56" t="n">
        <v>0</v>
      </c>
      <c r="M591" s="56" t="n">
        <v>0</v>
      </c>
      <c r="N591" s="6" t="inlineStr">
        <is>
          <t>Amazon link not found</t>
        </is>
      </c>
      <c r="O591" s="56">
        <f>IF(N591="Selling pet toys + Artificial grass/Pet toilets (TARGET)",15,IF(N591="Selling artificial grass/pet toilets (TARGET)",10,IF(N591="Selling pet toys",7,IF(N591="There's an Amazon link, but no target sales.",3,0))))</f>
        <v/>
      </c>
      <c r="P591" s="65">
        <f>H591+J591+L591+M591+O591</f>
        <v/>
      </c>
      <c r="Q591" s="71" t="inlineStr">
        <is>
          <t>Excluded: Ngành nghề Khác (Phi Cún cưng)</t>
        </is>
      </c>
      <c r="R591" s="6" t="inlineStr">
        <is>
          <t>Khay vệ sinh chung cư (Indoor Potty) + Thảm cỏ ban công (Grass Patch) + Đồ chơi</t>
        </is>
      </c>
      <c r="S591" s="6" t="inlineStr">
        <is>
          <t>Tuyệt đối không đưa vào CRM (Vi phạm Bộ lọc Âm tính Mục 5)</t>
        </is>
      </c>
    </row>
    <row r="592">
      <c r="A592" s="59" t="n">
        <v>3334</v>
      </c>
      <c r="B592" s="15" t="inlineStr">
        <is>
          <t>Vitality Animal Chiropractic</t>
        </is>
      </c>
      <c r="C592" s="60" t="inlineStr">
        <is>
          <t>https://www.facebook.com/vitalityanimalchiropractic</t>
        </is>
      </c>
      <c r="D592" s="9" t="inlineStr">
        <is>
          <t>Cần quét Bio Fanpage</t>
        </is>
      </c>
      <c r="E592" s="59" t="inlineStr">
        <is>
          <t>09/10/2026 21:36:26</t>
        </is>
      </c>
      <c r="F592" s="59" t="inlineStr">
        <is>
          <t>3 ngày trước</t>
        </is>
      </c>
      <c r="G592" s="61" t="n">
        <v>3</v>
      </c>
      <c r="H592" s="62" t="n">
        <v>28</v>
      </c>
      <c r="I592" s="9" t="inlineStr">
        <is>
          <t>Pet Owner / Cộng đồng nuôi cún (10đ)</t>
        </is>
      </c>
      <c r="J592" s="62" t="n">
        <v>10</v>
      </c>
      <c r="K592" s="9" t="inlineStr">
        <is>
          <t>Chưa rõ giống (Cần quét Bio)</t>
        </is>
      </c>
      <c r="L592" s="62" t="n">
        <v>0</v>
      </c>
      <c r="M592" s="62" t="n">
        <v>0</v>
      </c>
      <c r="N592" s="9" t="inlineStr">
        <is>
          <t>Amazon link not found</t>
        </is>
      </c>
      <c r="O592" s="62">
        <f>IF(N592="Selling pet toys + Artificial grass/Pet toilets (TARGET)",15,IF(N592="Selling artificial grass/pet toilets (TARGET)",10,IF(N592="Selling pet toys",7,IF(N592="There's an Amazon link, but no target sales.",3,0))))</f>
        <v/>
      </c>
      <c r="P592" s="67">
        <f>H592+J592+L592+M592+O592</f>
        <v/>
      </c>
      <c r="Q592" s="70" t="inlineStr">
        <is>
          <t>Excluded: Trang Chung / Không rõ Ngách Cún cưng</t>
        </is>
      </c>
      <c r="R592" s="9" t="inlineStr">
        <is>
          <t>Khay vệ sinh chung cư (Indoor Potty) + Thảm cỏ ban công (Grass Patch) + Đồ chơi</t>
        </is>
      </c>
      <c r="S592" s="9" t="inlineStr">
        <is>
          <t>Tuyệt đối không đưa vào CRM (Vi phạm Bộ lọc Âm tính Mục 5)</t>
        </is>
      </c>
    </row>
    <row r="593">
      <c r="A593" s="53" t="n">
        <v>2938</v>
      </c>
      <c r="B593" s="12" t="inlineStr">
        <is>
          <t>SOS Animal Galicia</t>
        </is>
      </c>
      <c r="C593" s="54" t="inlineStr">
        <is>
          <t>https://www.facebook.com/sosanimalgalicia.es</t>
        </is>
      </c>
      <c r="D593" s="6" t="inlineStr">
        <is>
          <t>Cần quét Bio Fanpage</t>
        </is>
      </c>
      <c r="E593" s="53" t="inlineStr">
        <is>
          <t>09/10/2026 21:17:57</t>
        </is>
      </c>
      <c r="F593" s="53" t="inlineStr">
        <is>
          <t>3 ngày trước</t>
        </is>
      </c>
      <c r="G593" s="55" t="n">
        <v>3</v>
      </c>
      <c r="H593" s="56" t="n">
        <v>28</v>
      </c>
      <c r="I593" s="6" t="inlineStr">
        <is>
          <t>Pet Owner / Cộng đồng nuôi cún (10đ)</t>
        </is>
      </c>
      <c r="J593" s="56" t="n">
        <v>10</v>
      </c>
      <c r="K593" s="6" t="inlineStr">
        <is>
          <t>Chưa rõ giống (Cần quét Bio)</t>
        </is>
      </c>
      <c r="L593" s="56" t="n">
        <v>0</v>
      </c>
      <c r="M593" s="56" t="n">
        <v>0</v>
      </c>
      <c r="N593" s="6" t="inlineStr">
        <is>
          <t>Amazon link not found</t>
        </is>
      </c>
      <c r="O593" s="56">
        <f>IF(N593="Selling pet toys + Artificial grass/Pet toilets (TARGET)",15,IF(N593="Selling artificial grass/pet toilets (TARGET)",10,IF(N593="Selling pet toys",7,IF(N593="There's an Amazon link, but no target sales.",3,0))))</f>
        <v/>
      </c>
      <c r="P593" s="65">
        <f>H593+J593+L593+M593+O593</f>
        <v/>
      </c>
      <c r="Q593" s="71" t="inlineStr">
        <is>
          <t>Excluded: Trang Chung / Không rõ Ngách Cún cưng</t>
        </is>
      </c>
      <c r="R593" s="6" t="inlineStr">
        <is>
          <t>Khay vệ sinh chung cư (Indoor Potty) + Thảm cỏ ban công (Grass Patch) + Đồ chơi</t>
        </is>
      </c>
      <c r="S593" s="6" t="inlineStr">
        <is>
          <t>Tuyệt đối không đưa vào CRM (Vi phạm Bộ lọc Âm tính Mục 5)</t>
        </is>
      </c>
    </row>
    <row r="594">
      <c r="A594" s="59" t="n">
        <v>188</v>
      </c>
      <c r="B594" s="15" t="inlineStr">
        <is>
          <t>Hope Animal Clinic</t>
        </is>
      </c>
      <c r="C594" s="60" t="inlineStr">
        <is>
          <t>https://www.facebook.com/MyHopeAC</t>
        </is>
      </c>
      <c r="D594" s="9" t="inlineStr">
        <is>
          <t>Cần quét Bio Fanpage</t>
        </is>
      </c>
      <c r="E594" s="59" t="inlineStr">
        <is>
          <t>09/10/2026 21:01:58</t>
        </is>
      </c>
      <c r="F594" s="59" t="inlineStr">
        <is>
          <t>3 ngày trước</t>
        </is>
      </c>
      <c r="G594" s="61" t="n">
        <v>3</v>
      </c>
      <c r="H594" s="62" t="n">
        <v>28</v>
      </c>
      <c r="I594" s="9" t="inlineStr">
        <is>
          <t>Pet Owner / Cộng đồng nuôi cún (10đ)</t>
        </is>
      </c>
      <c r="J594" s="62" t="n">
        <v>10</v>
      </c>
      <c r="K594" s="9" t="inlineStr">
        <is>
          <t>Chưa rõ giống (Cần quét Bio)</t>
        </is>
      </c>
      <c r="L594" s="62" t="n">
        <v>0</v>
      </c>
      <c r="M594" s="62" t="n">
        <v>0</v>
      </c>
      <c r="N594" s="9" t="inlineStr">
        <is>
          <t>Amazon link not found</t>
        </is>
      </c>
      <c r="O594" s="62">
        <f>IF(N594="Selling pet toys + Artificial grass/Pet toilets (TARGET)",15,IF(N594="Selling artificial grass/pet toilets (TARGET)",10,IF(N594="Selling pet toys",7,IF(N594="There's an Amazon link, but no target sales.",3,0))))</f>
        <v/>
      </c>
      <c r="P594" s="67">
        <f>H594+J594+L594+M594+O594</f>
        <v/>
      </c>
      <c r="Q594" s="70" t="inlineStr">
        <is>
          <t>Excluded: Công ty Gen DNA &amp; Thú y (Mục 5.4)</t>
        </is>
      </c>
      <c r="R594" s="9" t="inlineStr">
        <is>
          <t>Khay vệ sinh chung cư (Indoor Potty) + Thảm cỏ ban công (Grass Patch) + Đồ chơi</t>
        </is>
      </c>
      <c r="S594" s="9" t="inlineStr">
        <is>
          <t>Tuyệt đối không đưa vào CRM (Vi phạm Bộ lọc Âm tính Mục 5)</t>
        </is>
      </c>
    </row>
    <row r="595">
      <c r="A595" s="53" t="n">
        <v>481</v>
      </c>
      <c r="B595" s="12" t="inlineStr">
        <is>
          <t>Animalerie Chez Chanel</t>
        </is>
      </c>
      <c r="C595" s="54" t="inlineStr">
        <is>
          <t>https://www.facebook.com/chezchanel</t>
        </is>
      </c>
      <c r="D595" s="6" t="inlineStr">
        <is>
          <t>Cần quét Bio Fanpage</t>
        </is>
      </c>
      <c r="E595" s="53" t="inlineStr">
        <is>
          <t>09/10/2026 21:01:49</t>
        </is>
      </c>
      <c r="F595" s="53" t="inlineStr">
        <is>
          <t>3 ngày trước</t>
        </is>
      </c>
      <c r="G595" s="55" t="n">
        <v>3</v>
      </c>
      <c r="H595" s="56" t="n">
        <v>28</v>
      </c>
      <c r="I595" s="6" t="inlineStr">
        <is>
          <t>Pet Owner / Cộng đồng nuôi cún (10đ)</t>
        </is>
      </c>
      <c r="J595" s="56" t="n">
        <v>10</v>
      </c>
      <c r="K595" s="6" t="inlineStr">
        <is>
          <t>Chưa rõ giống (Cần quét Bio)</t>
        </is>
      </c>
      <c r="L595" s="56" t="n">
        <v>0</v>
      </c>
      <c r="M595" s="56" t="n">
        <v>0</v>
      </c>
      <c r="N595" s="6" t="inlineStr">
        <is>
          <t>Amazon link not found</t>
        </is>
      </c>
      <c r="O595" s="56">
        <f>IF(N595="Selling pet toys + Artificial grass/Pet toilets (TARGET)",15,IF(N595="Selling artificial grass/pet toilets (TARGET)",10,IF(N595="Selling pet toys",7,IF(N595="There's an Amazon link, but no target sales.",3,0))))</f>
        <v/>
      </c>
      <c r="P595" s="65">
        <f>H595+J595+L595+M595+O595</f>
        <v/>
      </c>
      <c r="Q595" s="71" t="inlineStr">
        <is>
          <t>Excluded: Trang Chung / Không rõ Ngách Cún cưng</t>
        </is>
      </c>
      <c r="R595" s="6" t="inlineStr">
        <is>
          <t>Khay vệ sinh chung cư (Indoor Potty) + Thảm cỏ ban công (Grass Patch) + Đồ chơi</t>
        </is>
      </c>
      <c r="S595" s="6" t="inlineStr">
        <is>
          <t>Tuyệt đối không đưa vào CRM (Vi phạm Bộ lọc Âm tính Mục 5)</t>
        </is>
      </c>
    </row>
    <row r="596">
      <c r="A596" s="59" t="n">
        <v>2877</v>
      </c>
      <c r="B596" s="15" t="inlineStr">
        <is>
          <t>Shaver Road Animal Hospital</t>
        </is>
      </c>
      <c r="C596" s="60" t="inlineStr">
        <is>
          <t>https://www.facebook.com/ShaverRoadAnimalHospital</t>
        </is>
      </c>
      <c r="D596" s="9" t="inlineStr">
        <is>
          <t>Cần quét Bio Fanpage</t>
        </is>
      </c>
      <c r="E596" s="59" t="inlineStr">
        <is>
          <t>09/10/2026 20:00:24</t>
        </is>
      </c>
      <c r="F596" s="59" t="inlineStr">
        <is>
          <t>3 ngày trước</t>
        </is>
      </c>
      <c r="G596" s="61" t="n">
        <v>3</v>
      </c>
      <c r="H596" s="62" t="n">
        <v>28</v>
      </c>
      <c r="I596" s="9" t="inlineStr">
        <is>
          <t>Pet Owner / Cộng đồng nuôi cún (10đ)</t>
        </is>
      </c>
      <c r="J596" s="62" t="n">
        <v>10</v>
      </c>
      <c r="K596" s="9" t="inlineStr">
        <is>
          <t>Chưa rõ giống (Cần quét Bio)</t>
        </is>
      </c>
      <c r="L596" s="62" t="n">
        <v>0</v>
      </c>
      <c r="M596" s="62" t="n">
        <v>0</v>
      </c>
      <c r="N596" s="9" t="inlineStr">
        <is>
          <t>Amazon link not found</t>
        </is>
      </c>
      <c r="O596" s="62">
        <f>IF(N596="Selling pet toys + Artificial grass/Pet toilets (TARGET)",15,IF(N596="Selling artificial grass/pet toilets (TARGET)",10,IF(N596="Selling pet toys",7,IF(N596="There's an Amazon link, but no target sales.",3,0))))</f>
        <v/>
      </c>
      <c r="P596" s="67">
        <f>H596+J596+L596+M596+O596</f>
        <v/>
      </c>
      <c r="Q596" s="70" t="inlineStr">
        <is>
          <t>Excluded: Công ty Gen DNA &amp; Thú y (Mục 5.4)</t>
        </is>
      </c>
      <c r="R596" s="9" t="inlineStr">
        <is>
          <t>Khay vệ sinh chung cư (Indoor Potty) + Thảm cỏ ban công (Grass Patch) + Đồ chơi</t>
        </is>
      </c>
      <c r="S596" s="9" t="inlineStr">
        <is>
          <t>Tuyệt đối không đưa vào CRM (Vi phạm Bộ lọc Âm tính Mục 5)</t>
        </is>
      </c>
    </row>
    <row r="597">
      <c r="A597" s="53" t="n">
        <v>876</v>
      </c>
      <c r="B597" s="12" t="inlineStr">
        <is>
          <t>Centro Veterinario y Reproductivo La Arena</t>
        </is>
      </c>
      <c r="C597" s="54" t="inlineStr">
        <is>
          <t>https://www.facebook.com/LAARENACLONE</t>
        </is>
      </c>
      <c r="D597" s="6" t="inlineStr">
        <is>
          <t>Cần quét Bio Fanpage</t>
        </is>
      </c>
      <c r="E597" s="53" t="inlineStr">
        <is>
          <t>09/10/2026 19:58:03</t>
        </is>
      </c>
      <c r="F597" s="53" t="inlineStr">
        <is>
          <t>3 ngày trước</t>
        </is>
      </c>
      <c r="G597" s="55" t="n">
        <v>3</v>
      </c>
      <c r="H597" s="56" t="n">
        <v>28</v>
      </c>
      <c r="I597" s="6" t="inlineStr">
        <is>
          <t>Pet Owner / Cộng đồng nuôi cún (10đ)</t>
        </is>
      </c>
      <c r="J597" s="56" t="n">
        <v>10</v>
      </c>
      <c r="K597" s="6" t="inlineStr">
        <is>
          <t>Chưa rõ giống (Cần quét Bio)</t>
        </is>
      </c>
      <c r="L597" s="56" t="n">
        <v>0</v>
      </c>
      <c r="M597" s="56" t="n">
        <v>0</v>
      </c>
      <c r="N597" s="6" t="inlineStr">
        <is>
          <t>Amazon link not found</t>
        </is>
      </c>
      <c r="O597" s="56">
        <f>IF(N597="Selling pet toys + Artificial grass/Pet toilets (TARGET)",15,IF(N597="Selling artificial grass/pet toilets (TARGET)",10,IF(N597="Selling pet toys",7,IF(N597="There's an Amazon link, but no target sales.",3,0))))</f>
        <v/>
      </c>
      <c r="P597" s="65">
        <f>H597+J597+L597+M597+O597</f>
        <v/>
      </c>
      <c r="Q597" s="71" t="inlineStr">
        <is>
          <t>Excluded: Công ty Gen DNA &amp; Thú y (Mục 5.4)</t>
        </is>
      </c>
      <c r="R597" s="6" t="inlineStr">
        <is>
          <t>Khay vệ sinh chung cư (Indoor Potty) + Thảm cỏ ban công (Grass Patch) + Đồ chơi</t>
        </is>
      </c>
      <c r="S597" s="6" t="inlineStr">
        <is>
          <t>Tuyệt đối không đưa vào CRM (Vi phạm Bộ lọc Âm tính Mục 5)</t>
        </is>
      </c>
    </row>
    <row r="598">
      <c r="A598" s="59" t="n">
        <v>106</v>
      </c>
      <c r="B598" s="15" t="inlineStr">
        <is>
          <t>Aurora Biofarma</t>
        </is>
      </c>
      <c r="C598" s="60" t="inlineStr">
        <is>
          <t>https://www.facebook.com/aurorabiofarma</t>
        </is>
      </c>
      <c r="D598" s="9" t="inlineStr">
        <is>
          <t>Cần quét Bio Fanpage</t>
        </is>
      </c>
      <c r="E598" s="59" t="inlineStr">
        <is>
          <t>09/10/2026 19:00:54</t>
        </is>
      </c>
      <c r="F598" s="59" t="inlineStr">
        <is>
          <t>3 ngày trước</t>
        </is>
      </c>
      <c r="G598" s="61" t="n">
        <v>3</v>
      </c>
      <c r="H598" s="62" t="n">
        <v>28</v>
      </c>
      <c r="I598" s="9" t="inlineStr">
        <is>
          <t>Pet Owner / Cộng đồng nuôi cún (10đ)</t>
        </is>
      </c>
      <c r="J598" s="62" t="n">
        <v>10</v>
      </c>
      <c r="K598" s="9" t="inlineStr">
        <is>
          <t>Chưa rõ giống (Cần quét Bio)</t>
        </is>
      </c>
      <c r="L598" s="62" t="n">
        <v>0</v>
      </c>
      <c r="M598" s="62" t="n">
        <v>0</v>
      </c>
      <c r="N598" s="9" t="inlineStr">
        <is>
          <t>Amazon link not found</t>
        </is>
      </c>
      <c r="O598" s="62">
        <f>IF(N598="Selling pet toys + Artificial grass/Pet toilets (TARGET)",15,IF(N598="Selling artificial grass/pet toilets (TARGET)",10,IF(N598="Selling pet toys",7,IF(N598="There's an Amazon link, but no target sales.",3,0))))</f>
        <v/>
      </c>
      <c r="P598" s="67">
        <f>H598+J598+L598+M598+O598</f>
        <v/>
      </c>
      <c r="Q598" s="70" t="inlineStr">
        <is>
          <t>Excluded: Trang Chung / Không rõ Ngách Cún cưng</t>
        </is>
      </c>
      <c r="R598" s="9" t="inlineStr">
        <is>
          <t>Khay vệ sinh chung cư (Indoor Potty) + Thảm cỏ ban công (Grass Patch) + Đồ chơi</t>
        </is>
      </c>
      <c r="S598" s="9" t="inlineStr">
        <is>
          <t>Tuyệt đối không đưa vào CRM (Vi phạm Bộ lọc Âm tính Mục 5)</t>
        </is>
      </c>
    </row>
    <row r="599">
      <c r="A599" s="53" t="n">
        <v>2620</v>
      </c>
      <c r="B599" s="12" t="inlineStr">
        <is>
          <t>Premium Equine Hoof Care - Remek Borowski</t>
        </is>
      </c>
      <c r="C599" s="54" t="inlineStr">
        <is>
          <t>https://www.facebook.com/premium.equine.hoof.care</t>
        </is>
      </c>
      <c r="D599" s="6" t="inlineStr">
        <is>
          <t>Cần quét Bio Fanpage</t>
        </is>
      </c>
      <c r="E599" s="53" t="inlineStr">
        <is>
          <t>09/10/2026 16:04:33</t>
        </is>
      </c>
      <c r="F599" s="53" t="inlineStr">
        <is>
          <t>3 ngày trước</t>
        </is>
      </c>
      <c r="G599" s="55" t="n">
        <v>3</v>
      </c>
      <c r="H599" s="56" t="n">
        <v>28</v>
      </c>
      <c r="I599" s="6" t="inlineStr">
        <is>
          <t>Pet Owner / Cộng đồng nuôi cún (10đ)</t>
        </is>
      </c>
      <c r="J599" s="56" t="n">
        <v>10</v>
      </c>
      <c r="K599" s="6" t="inlineStr">
        <is>
          <t>Chưa rõ giống (Cần quét Bio)</t>
        </is>
      </c>
      <c r="L599" s="56" t="n">
        <v>0</v>
      </c>
      <c r="M599" s="56" t="n">
        <v>0</v>
      </c>
      <c r="N599" s="6" t="inlineStr">
        <is>
          <t>Amazon link not found</t>
        </is>
      </c>
      <c r="O599" s="56">
        <f>IF(N599="Selling pet toys + Artificial grass/Pet toilets (TARGET)",15,IF(N599="Selling artificial grass/pet toilets (TARGET)",10,IF(N599="Selling pet toys",7,IF(N599="There's an Amazon link, but no target sales.",3,0))))</f>
        <v/>
      </c>
      <c r="P599" s="65">
        <f>H599+J599+L599+M599+O599</f>
        <v/>
      </c>
      <c r="Q599" s="71" t="inlineStr">
        <is>
          <t>Excluded: Ngành nghề Khác (Phi Cún cưng)</t>
        </is>
      </c>
      <c r="R599" s="6" t="inlineStr">
        <is>
          <t>Khay vệ sinh chung cư (Indoor Potty) + Thảm cỏ ban công (Grass Patch) + Đồ chơi</t>
        </is>
      </c>
      <c r="S599" s="6" t="inlineStr">
        <is>
          <t>Tuyệt đối không đưa vào CRM (Vi phạm Bộ lọc Âm tính Mục 5)</t>
        </is>
      </c>
    </row>
    <row r="600">
      <c r="A600" s="59" t="n">
        <v>2755</v>
      </c>
      <c r="B600" s="15" t="inlineStr">
        <is>
          <t>River Road Veterinary Clinic</t>
        </is>
      </c>
      <c r="C600" s="60" t="inlineStr">
        <is>
          <t>https://www.facebook.com/profile.php?id=61568507566761</t>
        </is>
      </c>
      <c r="D600" s="9" t="inlineStr">
        <is>
          <t>Cần quét Bio Fanpage</t>
        </is>
      </c>
      <c r="E600" s="59" t="inlineStr">
        <is>
          <t>09/10/2026 10:40:00</t>
        </is>
      </c>
      <c r="F600" s="59" t="inlineStr">
        <is>
          <t>3 ngày trước</t>
        </is>
      </c>
      <c r="G600" s="61" t="n">
        <v>3</v>
      </c>
      <c r="H600" s="62" t="n">
        <v>28</v>
      </c>
      <c r="I600" s="9" t="inlineStr">
        <is>
          <t>Pet Owner / Cộng đồng nuôi cún (10đ)</t>
        </is>
      </c>
      <c r="J600" s="62" t="n">
        <v>10</v>
      </c>
      <c r="K600" s="9" t="inlineStr">
        <is>
          <t>Chưa rõ giống (Cần quét Bio)</t>
        </is>
      </c>
      <c r="L600" s="62" t="n">
        <v>0</v>
      </c>
      <c r="M600" s="62" t="n">
        <v>0</v>
      </c>
      <c r="N600" s="9" t="inlineStr">
        <is>
          <t>Amazon link not found</t>
        </is>
      </c>
      <c r="O600" s="62">
        <f>IF(N600="Selling pet toys + Artificial grass/Pet toilets (TARGET)",15,IF(N600="Selling artificial grass/pet toilets (TARGET)",10,IF(N600="Selling pet toys",7,IF(N600="There's an Amazon link, but no target sales.",3,0))))</f>
        <v/>
      </c>
      <c r="P600" s="67">
        <f>H600+J600+L600+M600+O600</f>
        <v/>
      </c>
      <c r="Q600" s="70" t="inlineStr">
        <is>
          <t>Excluded: Công ty Gen DNA &amp; Thú y (Mục 5.4)</t>
        </is>
      </c>
      <c r="R600" s="9" t="inlineStr">
        <is>
          <t>Khay vệ sinh chung cư (Indoor Potty) + Thảm cỏ ban công (Grass Patch) + Đồ chơi</t>
        </is>
      </c>
      <c r="S600" s="9" t="inlineStr">
        <is>
          <t>Tuyệt đối không đưa vào CRM (Vi phạm Bộ lọc Âm tính Mục 5)</t>
        </is>
      </c>
    </row>
    <row r="601">
      <c r="A601" s="53" t="n">
        <v>2061</v>
      </c>
      <c r="B601" s="12" t="inlineStr">
        <is>
          <t>Love Is Life Veterinary Clinic</t>
        </is>
      </c>
      <c r="C601" s="54" t="inlineStr">
        <is>
          <t>https://www.facebook.com/profile.php?id=61573566494129</t>
        </is>
      </c>
      <c r="D601" s="6" t="inlineStr">
        <is>
          <t>Cần quét Bio Fanpage</t>
        </is>
      </c>
      <c r="E601" s="53" t="inlineStr">
        <is>
          <t>09/10/2026 09:29:43</t>
        </is>
      </c>
      <c r="F601" s="53" t="inlineStr">
        <is>
          <t>3 ngày trước</t>
        </is>
      </c>
      <c r="G601" s="55" t="n">
        <v>3</v>
      </c>
      <c r="H601" s="56" t="n">
        <v>28</v>
      </c>
      <c r="I601" s="6" t="inlineStr">
        <is>
          <t>Pet Owner / Kênh cá nhân thú cưng (10đ)</t>
        </is>
      </c>
      <c r="J601" s="56" t="n">
        <v>10</v>
      </c>
      <c r="K601" s="6" t="inlineStr">
        <is>
          <t>Chưa rõ giống (Cần quét Bio)</t>
        </is>
      </c>
      <c r="L601" s="56" t="n">
        <v>0</v>
      </c>
      <c r="M601" s="56" t="n">
        <v>0</v>
      </c>
      <c r="N601" s="6" t="inlineStr">
        <is>
          <t>Amazon link not found</t>
        </is>
      </c>
      <c r="O601" s="56">
        <f>IF(N601="Selling pet toys + Artificial grass/Pet toilets (TARGET)",15,IF(N601="Selling artificial grass/pet toilets (TARGET)",10,IF(N601="Selling pet toys",7,IF(N601="There's an Amazon link, but no target sales.",3,0))))</f>
        <v/>
      </c>
      <c r="P601" s="65">
        <f>H601+J601+L601+M601+O601</f>
        <v/>
      </c>
      <c r="Q601" s="71" t="inlineStr">
        <is>
          <t>Excluded: Công ty Gen DNA &amp; Thú y (Mục 5.4)</t>
        </is>
      </c>
      <c r="R601" s="6" t="inlineStr">
        <is>
          <t>Khay vệ sinh trong nhà (Indoor Dog Potty) + Đồ chơi thú cưng lẻ</t>
        </is>
      </c>
      <c r="S601" s="6" t="inlineStr">
        <is>
          <t>Tuyệt đối không đưa vào CRM (Vi phạm Bộ lọc Âm tính Mục 5)</t>
        </is>
      </c>
    </row>
    <row r="602">
      <c r="A602" s="59" t="n">
        <v>2164</v>
      </c>
      <c r="B602" s="15" t="inlineStr">
        <is>
          <t>MetDaanAnimals</t>
        </is>
      </c>
      <c r="C602" s="60" t="inlineStr">
        <is>
          <t>https://www.facebook.com/MetDaanAnimals</t>
        </is>
      </c>
      <c r="D602" s="9" t="inlineStr">
        <is>
          <t>Cần quét Bio Fanpage</t>
        </is>
      </c>
      <c r="E602" s="59" t="inlineStr">
        <is>
          <t>09/10/2026 06:34:06</t>
        </is>
      </c>
      <c r="F602" s="59" t="inlineStr">
        <is>
          <t>3 ngày trước</t>
        </is>
      </c>
      <c r="G602" s="61" t="n">
        <v>3</v>
      </c>
      <c r="H602" s="62" t="n">
        <v>28</v>
      </c>
      <c r="I602" s="9" t="inlineStr">
        <is>
          <t>Pet Owner / Cộng đồng nuôi cún (10đ)</t>
        </is>
      </c>
      <c r="J602" s="62" t="n">
        <v>10</v>
      </c>
      <c r="K602" s="9" t="inlineStr">
        <is>
          <t>Chưa rõ giống (Cần quét Bio)</t>
        </is>
      </c>
      <c r="L602" s="62" t="n">
        <v>0</v>
      </c>
      <c r="M602" s="62" t="n">
        <v>0</v>
      </c>
      <c r="N602" s="9" t="inlineStr">
        <is>
          <t>Amazon link not found</t>
        </is>
      </c>
      <c r="O602" s="62">
        <f>IF(N602="Selling pet toys + Artificial grass/Pet toilets (TARGET)",15,IF(N602="Selling artificial grass/pet toilets (TARGET)",10,IF(N602="Selling pet toys",7,IF(N602="There's an Amazon link, but no target sales.",3,0))))</f>
        <v/>
      </c>
      <c r="P602" s="67">
        <f>H602+J602+L602+M602+O602</f>
        <v/>
      </c>
      <c r="Q602" s="70" t="inlineStr">
        <is>
          <t>Excluded: Trang Chung / Không rõ Ngách Cún cưng</t>
        </is>
      </c>
      <c r="R602" s="9" t="inlineStr">
        <is>
          <t>Khay vệ sinh chung cư (Indoor Potty) + Thảm cỏ ban công (Grass Patch) + Đồ chơi</t>
        </is>
      </c>
      <c r="S602" s="9" t="inlineStr">
        <is>
          <t>Tuyệt đối không đưa vào CRM (Vi phạm Bộ lọc Âm tính Mục 5)</t>
        </is>
      </c>
    </row>
    <row r="603">
      <c r="A603" s="53" t="n">
        <v>353</v>
      </c>
      <c r="B603" s="12" t="inlineStr">
        <is>
          <t>Aimee Mundy-Ellison, Agent, Farm Bureau Financial Services</t>
        </is>
      </c>
      <c r="C603" s="54" t="inlineStr">
        <is>
          <t>https://www.facebook.com/GlobeMiamiFarmBureau</t>
        </is>
      </c>
      <c r="D603" s="6" t="inlineStr">
        <is>
          <t>Cần quét Bio Fanpage</t>
        </is>
      </c>
      <c r="E603" s="53" t="inlineStr">
        <is>
          <t>11/09/2026 05:45:30</t>
        </is>
      </c>
      <c r="F603" s="53" t="inlineStr">
        <is>
          <t>1 tháng trước</t>
        </is>
      </c>
      <c r="G603" s="55" t="n">
        <v>30</v>
      </c>
      <c r="H603" s="56" t="n">
        <v>0</v>
      </c>
      <c r="I603" s="6" t="inlineStr">
        <is>
          <t>Dog Breeder / Trại nhân giống (28-30đ)</t>
        </is>
      </c>
      <c r="J603" s="56" t="n">
        <v>28</v>
      </c>
      <c r="K603" s="6" t="inlineStr">
        <is>
          <t>Chưa rõ giống (Cần quét Bio)</t>
        </is>
      </c>
      <c r="L603" s="56" t="n">
        <v>0</v>
      </c>
      <c r="M603" s="56" t="n">
        <v>10</v>
      </c>
      <c r="N603" s="6" t="inlineStr">
        <is>
          <t>Amazon link not found</t>
        </is>
      </c>
      <c r="O603" s="56">
        <f>IF(N603="Selling pet toys + Artificial grass/Pet toilets (TARGET)",15,IF(N603="Selling artificial grass/pet toilets (TARGET)",10,IF(N603="Selling pet toys",7,IF(N603="There's an Amazon link, but no target sales.",3,0))))</f>
        <v/>
      </c>
      <c r="P603" s="65">
        <f>H603+J603+L603+M603+O603</f>
        <v/>
      </c>
      <c r="Q603" s="71" t="inlineStr">
        <is>
          <t>Excluded: Trang Chung / Không rõ Ngách Cún cưng</t>
        </is>
      </c>
      <c r="R603" s="6" t="inlineStr">
        <is>
          <t>Trọn gói Take-Home Starter Kit V2/V3 (Cỏ nhân tạo + Khay Potty + Đồ chơi cún con)</t>
        </is>
      </c>
      <c r="S603" s="6" t="inlineStr">
        <is>
          <t>Tuyệt đối không đưa vào CRM (Vi phạm Bộ lọc Âm tính Mục 5)</t>
        </is>
      </c>
    </row>
    <row r="604">
      <c r="A604" s="59" t="n">
        <v>862</v>
      </c>
      <c r="B604" s="15" t="inlineStr">
        <is>
          <t>Cedar Creek Mini Nubian Farm</t>
        </is>
      </c>
      <c r="C604" s="60" t="inlineStr">
        <is>
          <t>https://www.facebook.com/MiniNubians.org</t>
        </is>
      </c>
      <c r="D604" s="9" t="inlineStr">
        <is>
          <t>Cần quét Bio Fanpage</t>
        </is>
      </c>
      <c r="E604" s="59" t="inlineStr">
        <is>
          <t>31/08/2026 20:01:35</t>
        </is>
      </c>
      <c r="F604" s="59" t="inlineStr">
        <is>
          <t>1 tháng trước</t>
        </is>
      </c>
      <c r="G604" s="61" t="n">
        <v>30</v>
      </c>
      <c r="H604" s="62" t="n">
        <v>0</v>
      </c>
      <c r="I604" s="9" t="inlineStr">
        <is>
          <t>Dog Breeder / Trại nhân giống (28-30đ)</t>
        </is>
      </c>
      <c r="J604" s="62" t="n">
        <v>28</v>
      </c>
      <c r="K604" s="9" t="inlineStr">
        <is>
          <t>Chưa rõ giống (Cần quét Bio)</t>
        </is>
      </c>
      <c r="L604" s="62" t="n">
        <v>0</v>
      </c>
      <c r="M604" s="62" t="n">
        <v>10</v>
      </c>
      <c r="N604" s="9" t="inlineStr">
        <is>
          <t>Amazon link not found</t>
        </is>
      </c>
      <c r="O604" s="62">
        <f>IF(N604="Selling pet toys + Artificial grass/Pet toilets (TARGET)",15,IF(N604="Selling artificial grass/pet toilets (TARGET)",10,IF(N604="Selling pet toys",7,IF(N604="There's an Amazon link, but no target sales.",3,0))))</f>
        <v/>
      </c>
      <c r="P604" s="67">
        <f>H604+J604+L604+M604+O604</f>
        <v/>
      </c>
      <c r="Q604" s="70" t="inlineStr">
        <is>
          <t>Excluded: Trang Chung / Không rõ Ngách Cún cưng</t>
        </is>
      </c>
      <c r="R604" s="9" t="inlineStr">
        <is>
          <t>Trọn gói Take-Home Starter Kit V2/V3 (Cỏ nhân tạo + Khay Potty + Đồ chơi cún con)</t>
        </is>
      </c>
      <c r="S604" s="9" t="inlineStr">
        <is>
          <t>Tuyệt đối không đưa vào CRM (Vi phạm Bộ lọc Âm tính Mục 5)</t>
        </is>
      </c>
    </row>
    <row r="605">
      <c r="A605" s="53" t="n">
        <v>2357</v>
      </c>
      <c r="B605" s="12" t="inlineStr">
        <is>
          <t>Oli-Dori Bulldog's Residence FCI</t>
        </is>
      </c>
      <c r="C605" s="54" t="inlineStr">
        <is>
          <t>https://www.facebook.com/OliDoriBulldogsResidence</t>
        </is>
      </c>
      <c r="D605" s="6" t="inlineStr">
        <is>
          <t>Cần quét Bio Fanpage</t>
        </is>
      </c>
      <c r="E605" s="53" t="inlineStr">
        <is>
          <t>18/08/2026 00:53:52</t>
        </is>
      </c>
      <c r="F605" s="53" t="inlineStr">
        <is>
          <t>1 tháng trước</t>
        </is>
      </c>
      <c r="G605" s="55" t="n">
        <v>30</v>
      </c>
      <c r="H605" s="56" t="n">
        <v>0</v>
      </c>
      <c r="I605" s="6" t="inlineStr">
        <is>
          <t>Dog Breeder / Trại nhân giống (28-30đ)</t>
        </is>
      </c>
      <c r="J605" s="56" t="n">
        <v>28</v>
      </c>
      <c r="K605" s="6" t="inlineStr">
        <is>
          <t>English Bulldog</t>
        </is>
      </c>
      <c r="L605" s="56" t="n">
        <v>10</v>
      </c>
      <c r="M605" s="56" t="n">
        <v>0</v>
      </c>
      <c r="N605" s="6" t="inlineStr">
        <is>
          <t>Amazon link not found</t>
        </is>
      </c>
      <c r="O605" s="56">
        <f>IF(N605="Selling pet toys + Artificial grass/Pet toilets (TARGET)",15,IF(N605="Selling artificial grass/pet toilets (TARGET)",10,IF(N605="Selling pet toys",7,IF(N605="There's an Amazon link, but no target sales.",3,0))))</f>
        <v/>
      </c>
      <c r="P605" s="65">
        <f>H605+J605+L605+M605+O605</f>
        <v/>
      </c>
      <c r="Q605" s="71" t="inlineStr">
        <is>
          <t>Excluded: Hiệp hội &amp; CLB Phả hệ (Mục 5.1)</t>
        </is>
      </c>
      <c r="R605" s="6" t="inlineStr">
        <is>
          <t>Trọn gói Take-Home Starter Kit V2/V3 (Cỏ nhân tạo + Khay Potty + Đồ chơi cún con)</t>
        </is>
      </c>
      <c r="S605" s="6" t="inlineStr">
        <is>
          <t>Tuyệt đối không đưa vào CRM (Vi phạm Bộ lọc Âm tính Mục 5)</t>
        </is>
      </c>
    </row>
    <row r="606">
      <c r="A606" s="59" t="n">
        <v>1494</v>
      </c>
      <c r="B606" s="15" t="inlineStr">
        <is>
          <t>German Shepherd Dog Club of America</t>
        </is>
      </c>
      <c r="C606" s="60" t="inlineStr">
        <is>
          <t>https://www.facebook.com/GermanShepherdDogClubofAmerica</t>
        </is>
      </c>
      <c r="D606" s="9" t="inlineStr">
        <is>
          <t>Cần quét Bio Fanpage</t>
        </is>
      </c>
      <c r="E606" s="59" t="inlineStr">
        <is>
          <t>16/08/2026 23:07:43</t>
        </is>
      </c>
      <c r="F606" s="59" t="inlineStr">
        <is>
          <t>1 tháng trước</t>
        </is>
      </c>
      <c r="G606" s="61" t="n">
        <v>30</v>
      </c>
      <c r="H606" s="62" t="n">
        <v>0</v>
      </c>
      <c r="I606" s="9" t="inlineStr">
        <is>
          <t>Dog Breeder / Trại nhân giống (28-30đ)</t>
        </is>
      </c>
      <c r="J606" s="62" t="n">
        <v>28</v>
      </c>
      <c r="K606" s="9" t="inlineStr">
        <is>
          <t>German Shepherd</t>
        </is>
      </c>
      <c r="L606" s="62" t="n">
        <v>10</v>
      </c>
      <c r="M606" s="62" t="n">
        <v>0</v>
      </c>
      <c r="N606" s="9" t="inlineStr">
        <is>
          <t>Amazon link not found</t>
        </is>
      </c>
      <c r="O606" s="62">
        <f>IF(N606="Selling pet toys + Artificial grass/Pet toilets (TARGET)",15,IF(N606="Selling artificial grass/pet toilets (TARGET)",10,IF(N606="Selling pet toys",7,IF(N606="There's an Amazon link, but no target sales.",3,0))))</f>
        <v/>
      </c>
      <c r="P606" s="67">
        <f>H606+J606+L606+M606+O606</f>
        <v/>
      </c>
      <c r="Q606" s="70" t="inlineStr">
        <is>
          <t>Excluded: Hiệp hội &amp; CLB Phả hệ (Mục 5.1)</t>
        </is>
      </c>
      <c r="R606" s="9" t="inlineStr">
        <is>
          <t>Trọn gói Take-Home Starter Kit V2/V3 (Cỏ nhân tạo + Khay Potty + Đồ chơi cún con)</t>
        </is>
      </c>
      <c r="S606" s="9" t="inlineStr">
        <is>
          <t>Tuyệt đối không đưa vào CRM (Vi phạm Bộ lọc Âm tính Mục 5)</t>
        </is>
      </c>
    </row>
    <row r="607">
      <c r="A607" s="53" t="n">
        <v>1436</v>
      </c>
      <c r="B607" s="12" t="inlineStr">
        <is>
          <t>French Bulldog Club QLD</t>
        </is>
      </c>
      <c r="C607" s="54" t="inlineStr">
        <is>
          <t>https://www.facebook.com/FrenchBulldogClubOfQld</t>
        </is>
      </c>
      <c r="D607" s="6" t="inlineStr">
        <is>
          <t>Cần quét Bio Fanpage</t>
        </is>
      </c>
      <c r="E607" s="53" t="inlineStr">
        <is>
          <t>14/08/2026 02:20:35</t>
        </is>
      </c>
      <c r="F607" s="53" t="inlineStr">
        <is>
          <t>2 tháng trước</t>
        </is>
      </c>
      <c r="G607" s="55" t="n">
        <v>60</v>
      </c>
      <c r="H607" s="56" t="n">
        <v>0</v>
      </c>
      <c r="I607" s="6" t="inlineStr">
        <is>
          <t>Dog Breeder / Trại nhân giống (28-30đ)</t>
        </is>
      </c>
      <c r="J607" s="56" t="n">
        <v>28</v>
      </c>
      <c r="K607" s="6" t="inlineStr">
        <is>
          <t>French Bulldog</t>
        </is>
      </c>
      <c r="L607" s="56" t="n">
        <v>10</v>
      </c>
      <c r="M607" s="56" t="n">
        <v>0</v>
      </c>
      <c r="N607" s="6" t="inlineStr">
        <is>
          <t>Amazon link not found</t>
        </is>
      </c>
      <c r="O607" s="56">
        <f>IF(N607="Selling pet toys + Artificial grass/Pet toilets (TARGET)",15,IF(N607="Selling artificial grass/pet toilets (TARGET)",10,IF(N607="Selling pet toys",7,IF(N607="There's an Amazon link, but no target sales.",3,0))))</f>
        <v/>
      </c>
      <c r="P607" s="65">
        <f>H607+J607+L607+M607+O607</f>
        <v/>
      </c>
      <c r="Q607" s="71" t="inlineStr">
        <is>
          <t>Excluded: Hiệp hội &amp; CLB Phả hệ (Mục 5.1)</t>
        </is>
      </c>
      <c r="R607" s="6" t="inlineStr">
        <is>
          <t>Trọn gói Take-Home Starter Kit V2/V3 (Cỏ nhân tạo + Khay Potty + Đồ chơi cún con)</t>
        </is>
      </c>
      <c r="S607" s="6" t="inlineStr">
        <is>
          <t>Tuyệt đối không đưa vào CRM (Vi phạm Bộ lọc Âm tính Mục 5)</t>
        </is>
      </c>
    </row>
    <row r="608">
      <c r="A608" s="59" t="n">
        <v>1332</v>
      </c>
      <c r="B608" s="15" t="inlineStr">
        <is>
          <t>Farm &amp; Yard Products</t>
        </is>
      </c>
      <c r="C608" s="60" t="inlineStr">
        <is>
          <t>https://www.facebook.com/farmandyardproducts</t>
        </is>
      </c>
      <c r="D608" s="9" t="inlineStr">
        <is>
          <t>Cần quét Bio Fanpage</t>
        </is>
      </c>
      <c r="E608" s="59" t="inlineStr">
        <is>
          <t>04/08/2026 08:18:37</t>
        </is>
      </c>
      <c r="F608" s="59" t="inlineStr">
        <is>
          <t>2 tháng trước</t>
        </is>
      </c>
      <c r="G608" s="61" t="n">
        <v>60</v>
      </c>
      <c r="H608" s="62" t="n">
        <v>0</v>
      </c>
      <c r="I608" s="9" t="inlineStr">
        <is>
          <t>Dog Breeder / Trại nhân giống (28-30đ)</t>
        </is>
      </c>
      <c r="J608" s="62" t="n">
        <v>28</v>
      </c>
      <c r="K608" s="9" t="inlineStr">
        <is>
          <t>Chưa rõ giống (Cần quét Bio)</t>
        </is>
      </c>
      <c r="L608" s="62" t="n">
        <v>0</v>
      </c>
      <c r="M608" s="62" t="n">
        <v>10</v>
      </c>
      <c r="N608" s="9" t="inlineStr">
        <is>
          <t>Amazon link not found</t>
        </is>
      </c>
      <c r="O608" s="62">
        <f>IF(N608="Selling pet toys + Artificial grass/Pet toilets (TARGET)",15,IF(N608="Selling artificial grass/pet toilets (TARGET)",10,IF(N608="Selling pet toys",7,IF(N608="There's an Amazon link, but no target sales.",3,0))))</f>
        <v/>
      </c>
      <c r="P608" s="67">
        <f>H608+J608+L608+M608+O608</f>
        <v/>
      </c>
      <c r="Q608" s="70" t="inlineStr">
        <is>
          <t>Excluded: Trang Chung / Không rõ Ngách Cún cưng</t>
        </is>
      </c>
      <c r="R608" s="9" t="inlineStr">
        <is>
          <t>Trọn gói Take-Home Starter Kit V2/V3 (Cỏ nhân tạo + Khay Potty + Đồ chơi cún con)</t>
        </is>
      </c>
      <c r="S608" s="9" t="inlineStr">
        <is>
          <t>Tuyệt đối không đưa vào CRM (Vi phạm Bộ lọc Âm tính Mục 5)</t>
        </is>
      </c>
    </row>
    <row r="609">
      <c r="A609" s="53" t="n">
        <v>1934</v>
      </c>
      <c r="B609" s="12" t="inlineStr">
        <is>
          <t>Kleinschmit Veterinary Services, LLC</t>
        </is>
      </c>
      <c r="C609" s="54" t="inlineStr">
        <is>
          <t>https://www.facebook.com/kvsdoc</t>
        </is>
      </c>
      <c r="D609" s="6" t="inlineStr">
        <is>
          <t>Cần quét Bio Fanpage</t>
        </is>
      </c>
      <c r="E609" s="53" t="inlineStr">
        <is>
          <t>26/06/2026 21:12:23</t>
        </is>
      </c>
      <c r="F609" s="53" t="inlineStr">
        <is>
          <t>3 tháng trước</t>
        </is>
      </c>
      <c r="G609" s="55" t="n">
        <v>90</v>
      </c>
      <c r="H609" s="56" t="n">
        <v>0</v>
      </c>
      <c r="I609" s="6" t="inlineStr">
        <is>
          <t>Dog Breeder / Trại nhân giống (28-30đ)</t>
        </is>
      </c>
      <c r="J609" s="56" t="n">
        <v>28</v>
      </c>
      <c r="K609" s="6" t="inlineStr">
        <is>
          <t>Chưa rõ giống (Cần quét Bio)</t>
        </is>
      </c>
      <c r="L609" s="56" t="n">
        <v>0</v>
      </c>
      <c r="M609" s="56" t="n">
        <v>10</v>
      </c>
      <c r="N609" s="6" t="inlineStr">
        <is>
          <t>Amazon link not found</t>
        </is>
      </c>
      <c r="O609" s="56">
        <f>IF(N609="Selling pet toys + Artificial grass/Pet toilets (TARGET)",15,IF(N609="Selling artificial grass/pet toilets (TARGET)",10,IF(N609="Selling pet toys",7,IF(N609="There's an Amazon link, but no target sales.",3,0))))</f>
        <v/>
      </c>
      <c r="P609" s="65">
        <f>H609+J609+L609+M609+O609</f>
        <v/>
      </c>
      <c r="Q609" s="71" t="inlineStr">
        <is>
          <t>Excluded: Công ty Gen DNA &amp; Thú y (Mục 5.4)</t>
        </is>
      </c>
      <c r="R609" s="6" t="inlineStr">
        <is>
          <t>Trọn gói Take-Home Starter Kit V2/V3 (Cỏ nhân tạo + Khay Potty + Đồ chơi cún con)</t>
        </is>
      </c>
      <c r="S609" s="6" t="inlineStr">
        <is>
          <t>Tuyệt đối không đưa vào CRM (Vi phạm Bộ lọc Âm tính Mục 5)</t>
        </is>
      </c>
    </row>
    <row r="610">
      <c r="A610" s="59" t="n">
        <v>654</v>
      </c>
      <c r="B610" s="15" t="inlineStr">
        <is>
          <t>Berrybrook Bullies</t>
        </is>
      </c>
      <c r="C610" s="60" t="inlineStr">
        <is>
          <t>https://www.facebook.com/berrybrookbullies</t>
        </is>
      </c>
      <c r="D610" s="9" t="inlineStr">
        <is>
          <t>Cần quét Bio Fanpage</t>
        </is>
      </c>
      <c r="E610" s="59" t="inlineStr">
        <is>
          <t>07/02/2026 21:25:49</t>
        </is>
      </c>
      <c r="F610" s="59" t="inlineStr">
        <is>
          <t>8 tháng trước</t>
        </is>
      </c>
      <c r="G610" s="61" t="n">
        <v>240</v>
      </c>
      <c r="H610" s="62" t="n">
        <v>0</v>
      </c>
      <c r="I610" s="9" t="inlineStr">
        <is>
          <t>Dog Breeder / Trại chó chuyên nghiệp (28-30đ)</t>
        </is>
      </c>
      <c r="J610" s="62" t="n">
        <v>28</v>
      </c>
      <c r="K610" s="9" t="inlineStr">
        <is>
          <t>American Bully / Bully</t>
        </is>
      </c>
      <c r="L610" s="62" t="n">
        <v>10</v>
      </c>
      <c r="M610" s="62" t="n">
        <v>0</v>
      </c>
      <c r="N610" s="9" t="inlineStr">
        <is>
          <t>Amazon link not found</t>
        </is>
      </c>
      <c r="O610" s="62">
        <f>IF(N610="Selling pet toys + Artificial grass/Pet toilets (TARGET)",15,IF(N610="Selling artificial grass/pet toilets (TARGET)",10,IF(N610="Selling pet toys",7,IF(N610="There's an Amazon link, but no target sales.",3,0))))</f>
        <v/>
      </c>
      <c r="P610" s="67">
        <f>H610+J610+L610+M610+O610</f>
        <v/>
      </c>
      <c r="Q610" s="70" t="inlineStr">
        <is>
          <t>Excluded: Ngành nghề Khác (Phi Cún cưng)</t>
        </is>
      </c>
      <c r="R610" s="9" t="inlineStr">
        <is>
          <t>Trọn gói Take-Home Starter Kit V2/V3 (Cỏ nhân tạo + Khay Potty + Đồ chơi Teething/Snuggle)</t>
        </is>
      </c>
      <c r="S610" s="9" t="inlineStr">
        <is>
          <t>Tuyệt đối không đưa vào CRM (Vi phạm Bộ lọc Âm tính Mục 5)</t>
        </is>
      </c>
    </row>
    <row r="611">
      <c r="A611" s="53" t="n">
        <v>554</v>
      </c>
      <c r="B611" s="12" t="inlineStr">
        <is>
          <t>Auckland Bulldog Club</t>
        </is>
      </c>
      <c r="C611" s="54" t="inlineStr">
        <is>
          <t>https://www.facebook.com/akldbulldogs</t>
        </is>
      </c>
      <c r="D611" s="6" t="inlineStr">
        <is>
          <t>Cần quét Bio Fanpage</t>
        </is>
      </c>
      <c r="E611" s="53" t="inlineStr">
        <is>
          <t>11/10/2025 05:23:21</t>
        </is>
      </c>
      <c r="F611" s="53" t="inlineStr">
        <is>
          <t>1 năm trước</t>
        </is>
      </c>
      <c r="G611" s="55" t="n">
        <v>365</v>
      </c>
      <c r="H611" s="56" t="n">
        <v>0</v>
      </c>
      <c r="I611" s="6" t="inlineStr">
        <is>
          <t>Dog Breeder / Trại nhân giống (28-30đ)</t>
        </is>
      </c>
      <c r="J611" s="56" t="n">
        <v>28</v>
      </c>
      <c r="K611" s="6" t="inlineStr">
        <is>
          <t>English Bulldog</t>
        </is>
      </c>
      <c r="L611" s="56" t="n">
        <v>10</v>
      </c>
      <c r="M611" s="56" t="n">
        <v>0</v>
      </c>
      <c r="N611" s="6" t="inlineStr">
        <is>
          <t>Amazon link not found</t>
        </is>
      </c>
      <c r="O611" s="56">
        <f>IF(N611="Selling pet toys + Artificial grass/Pet toilets (TARGET)",15,IF(N611="Selling artificial grass/pet toilets (TARGET)",10,IF(N611="Selling pet toys",7,IF(N611="There's an Amazon link, but no target sales.",3,0))))</f>
        <v/>
      </c>
      <c r="P611" s="65">
        <f>H611+J611+L611+M611+O611</f>
        <v/>
      </c>
      <c r="Q611" s="71" t="inlineStr">
        <is>
          <t>Excluded: Hiệp hội &amp; CLB Phả hệ (Mục 5.1)</t>
        </is>
      </c>
      <c r="R611" s="6" t="inlineStr">
        <is>
          <t>Trọn gói Take-Home Starter Kit V2/V3 (Cỏ nhân tạo + Khay Potty + Đồ chơi cún con)</t>
        </is>
      </c>
      <c r="S611" s="6" t="inlineStr">
        <is>
          <t>Tuyệt đối không đưa vào CRM (Vi phạm Bộ lọc Âm tính Mục 5)</t>
        </is>
      </c>
    </row>
    <row r="612">
      <c r="A612" s="59" t="n">
        <v>1286</v>
      </c>
      <c r="B612" s="15" t="inlineStr">
        <is>
          <t>English - French Bulldogs Fci-Akc</t>
        </is>
      </c>
      <c r="C612" s="60" t="inlineStr">
        <is>
          <t>https://www.facebook.com/profile.php?id=100049612569537</t>
        </is>
      </c>
      <c r="D612" s="9" t="inlineStr">
        <is>
          <t>Cần quét Bio Fanpage</t>
        </is>
      </c>
      <c r="E612" s="59" t="inlineStr">
        <is>
          <t>10/12/2020 06:34:00</t>
        </is>
      </c>
      <c r="F612" s="59" t="inlineStr">
        <is>
          <t>5 năm trước</t>
        </is>
      </c>
      <c r="G612" s="61" t="n">
        <v>1825</v>
      </c>
      <c r="H612" s="62" t="n">
        <v>0</v>
      </c>
      <c r="I612" s="9" t="inlineStr">
        <is>
          <t>Dog Breeder / Trại chó chuyên nghiệp (28-30đ)</t>
        </is>
      </c>
      <c r="J612" s="62" t="n">
        <v>28</v>
      </c>
      <c r="K612" s="9" t="inlineStr">
        <is>
          <t>French Bulldog</t>
        </is>
      </c>
      <c r="L612" s="62" t="n">
        <v>10</v>
      </c>
      <c r="M612" s="62" t="n">
        <v>0</v>
      </c>
      <c r="N612" s="9" t="inlineStr">
        <is>
          <t>Amazon link not found</t>
        </is>
      </c>
      <c r="O612" s="62">
        <f>IF(N612="Selling pet toys + Artificial grass/Pet toilets (TARGET)",15,IF(N612="Selling artificial grass/pet toilets (TARGET)",10,IF(N612="Selling pet toys",7,IF(N612="There's an Amazon link, but no target sales.",3,0))))</f>
        <v/>
      </c>
      <c r="P612" s="67">
        <f>H612+J612+L612+M612+O612</f>
        <v/>
      </c>
      <c r="Q612" s="70" t="inlineStr">
        <is>
          <t>Excluded: Hiệp hội &amp; CLB Phả hệ (Mục 5.1)</t>
        </is>
      </c>
      <c r="R612" s="9" t="inlineStr">
        <is>
          <t>Trọn gói Take-Home Starter Kit V2/V3 (Cỏ nhân tạo + Khay Potty + Đồ chơi Teething/Snuggle)</t>
        </is>
      </c>
      <c r="S612" s="9" t="inlineStr">
        <is>
          <t>Tuyệt đối không đưa vào CRM (Vi phạm Bộ lọc Âm tính Mục 5)</t>
        </is>
      </c>
    </row>
    <row r="613">
      <c r="A613" s="53" t="n">
        <v>2616</v>
      </c>
      <c r="B613" s="12" t="inlineStr">
        <is>
          <t>Precision Veterinary Services</t>
        </is>
      </c>
      <c r="C613" s="54" t="inlineStr">
        <is>
          <t>https://www.facebook.com/profile.php?id=61591493286268</t>
        </is>
      </c>
      <c r="D613" s="6" t="inlineStr">
        <is>
          <t>Cần quét Bio Fanpage</t>
        </is>
      </c>
      <c r="E613" s="53" t="inlineStr">
        <is>
          <t>08/10/2026 01:08:47</t>
        </is>
      </c>
      <c r="F613" s="53" t="inlineStr">
        <is>
          <t>5 ngày trước</t>
        </is>
      </c>
      <c r="G613" s="55" t="n">
        <v>5</v>
      </c>
      <c r="H613" s="56" t="n">
        <v>20</v>
      </c>
      <c r="I613" s="6" t="inlineStr">
        <is>
          <t>Pet Owner / Cộng đồng nuôi cún (10đ)</t>
        </is>
      </c>
      <c r="J613" s="56" t="n">
        <v>10</v>
      </c>
      <c r="K613" s="6" t="inlineStr">
        <is>
          <t>Chưa rõ giống (Cần quét Bio)</t>
        </is>
      </c>
      <c r="L613" s="56" t="n">
        <v>0</v>
      </c>
      <c r="M613" s="56" t="n">
        <v>5</v>
      </c>
      <c r="N613" s="6" t="inlineStr">
        <is>
          <t>Amazon link not found</t>
        </is>
      </c>
      <c r="O613" s="56">
        <f>IF(N613="Selling pet toys + Artificial grass/Pet toilets (TARGET)",15,IF(N613="Selling artificial grass/pet toilets (TARGET)",10,IF(N613="Selling pet toys",7,IF(N613="There's an Amazon link, but no target sales.",3,0))))</f>
        <v/>
      </c>
      <c r="P613" s="65">
        <f>H613+J613+L613+M613+O613</f>
        <v/>
      </c>
      <c r="Q613" s="71" t="inlineStr">
        <is>
          <t>Excluded: Công ty Gen DNA &amp; Thú y (Mục 5.4)</t>
        </is>
      </c>
      <c r="R613" s="6" t="inlineStr">
        <is>
          <t>Khay vệ sinh chung cư (Indoor Potty) + Thảm cỏ ban công (Grass Patch) + Đồ chơi</t>
        </is>
      </c>
      <c r="S613" s="6" t="inlineStr">
        <is>
          <t>Tuyệt đối không đưa vào CRM (Vi phạm Bộ lọc Âm tính Mục 5)</t>
        </is>
      </c>
    </row>
    <row r="614">
      <c r="A614" s="59" t="n">
        <v>1929</v>
      </c>
      <c r="B614" s="15" t="inlineStr">
        <is>
          <t>Kindred Soul Veterinary Services</t>
        </is>
      </c>
      <c r="C614" s="60" t="inlineStr">
        <is>
          <t>https://www.facebook.com/profile.php?id=61582596458072</t>
        </is>
      </c>
      <c r="D614" s="9" t="inlineStr">
        <is>
          <t>Cần quét Bio Fanpage</t>
        </is>
      </c>
      <c r="E614" s="59" t="inlineStr">
        <is>
          <t>07/10/2026 04:04:20</t>
        </is>
      </c>
      <c r="F614" s="59" t="inlineStr">
        <is>
          <t>6 ngày trước</t>
        </is>
      </c>
      <c r="G614" s="61" t="n">
        <v>6</v>
      </c>
      <c r="H614" s="62" t="n">
        <v>20</v>
      </c>
      <c r="I614" s="9" t="inlineStr">
        <is>
          <t>Pet Owner / Cộng đồng nuôi cún (10đ)</t>
        </is>
      </c>
      <c r="J614" s="62" t="n">
        <v>10</v>
      </c>
      <c r="K614" s="9" t="inlineStr">
        <is>
          <t>Chưa rõ giống (Cần quét Bio)</t>
        </is>
      </c>
      <c r="L614" s="62" t="n">
        <v>0</v>
      </c>
      <c r="M614" s="62" t="n">
        <v>5</v>
      </c>
      <c r="N614" s="9" t="inlineStr">
        <is>
          <t>Amazon link not found</t>
        </is>
      </c>
      <c r="O614" s="62">
        <f>IF(N614="Selling pet toys + Artificial grass/Pet toilets (TARGET)",15,IF(N614="Selling artificial grass/pet toilets (TARGET)",10,IF(N614="Selling pet toys",7,IF(N614="There's an Amazon link, but no target sales.",3,0))))</f>
        <v/>
      </c>
      <c r="P614" s="67">
        <f>H614+J614+L614+M614+O614</f>
        <v/>
      </c>
      <c r="Q614" s="70" t="inlineStr">
        <is>
          <t>Excluded: Công ty Gen DNA &amp; Thú y (Mục 5.4)</t>
        </is>
      </c>
      <c r="R614" s="9" t="inlineStr">
        <is>
          <t>Khay vệ sinh chung cư (Indoor Potty) + Thảm cỏ ban công (Grass Patch) + Đồ chơi</t>
        </is>
      </c>
      <c r="S614" s="9" t="inlineStr">
        <is>
          <t>Tuyệt đối không đưa vào CRM (Vi phạm Bộ lọc Âm tính Mục 5)</t>
        </is>
      </c>
    </row>
    <row r="615">
      <c r="A615" s="53" t="n">
        <v>2774</v>
      </c>
      <c r="B615" s="12" t="inlineStr">
        <is>
          <t>Rolling Hills Veterinary Services, PC</t>
        </is>
      </c>
      <c r="C615" s="54" t="inlineStr">
        <is>
          <t>https://www.facebook.com/profile.php?id=100060537705713</t>
        </is>
      </c>
      <c r="D615" s="6" t="inlineStr">
        <is>
          <t>Cần quét Bio Fanpage</t>
        </is>
      </c>
      <c r="E615" s="53" t="inlineStr">
        <is>
          <t>01/10/2026 23:30:57</t>
        </is>
      </c>
      <c r="F615" s="53" t="inlineStr">
        <is>
          <t>1 tuần trước</t>
        </is>
      </c>
      <c r="G615" s="55" t="n">
        <v>7</v>
      </c>
      <c r="H615" s="56" t="n">
        <v>20</v>
      </c>
      <c r="I615" s="6" t="inlineStr">
        <is>
          <t>Pet Owner / Cộng đồng nuôi cún (10đ)</t>
        </is>
      </c>
      <c r="J615" s="56" t="n">
        <v>10</v>
      </c>
      <c r="K615" s="6" t="inlineStr">
        <is>
          <t>Chưa rõ giống (Cần quét Bio)</t>
        </is>
      </c>
      <c r="L615" s="56" t="n">
        <v>0</v>
      </c>
      <c r="M615" s="56" t="n">
        <v>5</v>
      </c>
      <c r="N615" s="6" t="inlineStr">
        <is>
          <t>Amazon link not found</t>
        </is>
      </c>
      <c r="O615" s="56">
        <f>IF(N615="Selling pet toys + Artificial grass/Pet toilets (TARGET)",15,IF(N615="Selling artificial grass/pet toilets (TARGET)",10,IF(N615="Selling pet toys",7,IF(N615="There's an Amazon link, but no target sales.",3,0))))</f>
        <v/>
      </c>
      <c r="P615" s="65">
        <f>H615+J615+L615+M615+O615</f>
        <v/>
      </c>
      <c r="Q615" s="71" t="inlineStr">
        <is>
          <t>Excluded: Công ty Gen DNA &amp; Thú y (Mục 5.4)</t>
        </is>
      </c>
      <c r="R615" s="6" t="inlineStr">
        <is>
          <t>Khay vệ sinh chung cư (Indoor Potty) + Thảm cỏ ban công (Grass Patch) + Đồ chơi</t>
        </is>
      </c>
      <c r="S615" s="6" t="inlineStr">
        <is>
          <t>Tuyệt đối không đưa vào CRM (Vi phạm Bộ lọc Âm tính Mục 5)</t>
        </is>
      </c>
    </row>
    <row r="616">
      <c r="A616" s="59" t="n">
        <v>2937</v>
      </c>
      <c r="B616" s="15" t="inlineStr">
        <is>
          <t>Sookjai Goatmilk Organicfarm</t>
        </is>
      </c>
      <c r="C616" s="60" t="inlineStr">
        <is>
          <t>https://www.facebook.com/sookjai.goatmilk.organicfarm</t>
        </is>
      </c>
      <c r="D616" s="9" t="inlineStr">
        <is>
          <t>Cần quét Bio Fanpage</t>
        </is>
      </c>
      <c r="E616" s="59" t="inlineStr">
        <is>
          <t>30/09/2026 18:14:31</t>
        </is>
      </c>
      <c r="F616" s="59" t="inlineStr">
        <is>
          <t>1 tuần trước</t>
        </is>
      </c>
      <c r="G616" s="61" t="n">
        <v>7</v>
      </c>
      <c r="H616" s="62" t="n">
        <v>20</v>
      </c>
      <c r="I616" s="9" t="inlineStr">
        <is>
          <t>Pet Owner / Cộng đồng nuôi cún (10đ)</t>
        </is>
      </c>
      <c r="J616" s="62" t="n">
        <v>10</v>
      </c>
      <c r="K616" s="9" t="inlineStr">
        <is>
          <t>Chưa rõ giống (Cần quét Bio)</t>
        </is>
      </c>
      <c r="L616" s="62" t="n">
        <v>0</v>
      </c>
      <c r="M616" s="62" t="n">
        <v>5</v>
      </c>
      <c r="N616" s="9" t="inlineStr">
        <is>
          <t>Amazon link not found</t>
        </is>
      </c>
      <c r="O616" s="62">
        <f>IF(N616="Selling pet toys + Artificial grass/Pet toilets (TARGET)",15,IF(N616="Selling artificial grass/pet toilets (TARGET)",10,IF(N616="Selling pet toys",7,IF(N616="There's an Amazon link, but no target sales.",3,0))))</f>
        <v/>
      </c>
      <c r="P616" s="67">
        <f>H616+J616+L616+M616+O616</f>
        <v/>
      </c>
      <c r="Q616" s="70" t="inlineStr">
        <is>
          <t>Excluded: Trang Chung / Không rõ Ngách Cún cưng</t>
        </is>
      </c>
      <c r="R616" s="9" t="inlineStr">
        <is>
          <t>Khay vệ sinh chung cư (Indoor Potty) + Thảm cỏ ban công (Grass Patch) + Đồ chơi</t>
        </is>
      </c>
      <c r="S616" s="9" t="inlineStr">
        <is>
          <t>Tuyệt đối không đưa vào CRM (Vi phạm Bộ lọc Âm tính Mục 5)</t>
        </is>
      </c>
    </row>
    <row r="617">
      <c r="A617" s="53" t="n">
        <v>1673</v>
      </c>
      <c r="B617" s="12" t="inlineStr">
        <is>
          <t>Homeward Bound Animal Transport Services</t>
        </is>
      </c>
      <c r="C617" s="54" t="inlineStr">
        <is>
          <t>https://www.facebook.com/Homewardbound2021</t>
        </is>
      </c>
      <c r="D617" s="6" t="inlineStr">
        <is>
          <t>Cần quét Bio Fanpage</t>
        </is>
      </c>
      <c r="E617" s="53" t="inlineStr">
        <is>
          <t>29/09/2026 15:21:19</t>
        </is>
      </c>
      <c r="F617" s="53" t="inlineStr">
        <is>
          <t>1 tuần trước</t>
        </is>
      </c>
      <c r="G617" s="55" t="n">
        <v>7</v>
      </c>
      <c r="H617" s="56" t="n">
        <v>20</v>
      </c>
      <c r="I617" s="6" t="inlineStr">
        <is>
          <t>Pet Owner / Cộng đồng nuôi cún (10đ)</t>
        </is>
      </c>
      <c r="J617" s="56" t="n">
        <v>10</v>
      </c>
      <c r="K617" s="6" t="inlineStr">
        <is>
          <t>Chưa rõ giống (Cần quét Bio)</t>
        </is>
      </c>
      <c r="L617" s="56" t="n">
        <v>0</v>
      </c>
      <c r="M617" s="56" t="n">
        <v>5</v>
      </c>
      <c r="N617" s="6" t="inlineStr">
        <is>
          <t>Amazon link not found</t>
        </is>
      </c>
      <c r="O617" s="56">
        <f>IF(N617="Selling pet toys + Artificial grass/Pet toilets (TARGET)",15,IF(N617="Selling artificial grass/pet toilets (TARGET)",10,IF(N617="Selling pet toys",7,IF(N617="There's an Amazon link, but no target sales.",3,0))))</f>
        <v/>
      </c>
      <c r="P617" s="65">
        <f>H617+J617+L617+M617+O617</f>
        <v/>
      </c>
      <c r="Q617" s="71" t="inlineStr">
        <is>
          <t>Excluded: Trang Chung / Không rõ Ngách Cún cưng</t>
        </is>
      </c>
      <c r="R617" s="6" t="inlineStr">
        <is>
          <t>Khay vệ sinh chung cư (Indoor Potty) + Thảm cỏ ban công (Grass Patch) + Đồ chơi</t>
        </is>
      </c>
      <c r="S617" s="6" t="inlineStr">
        <is>
          <t>Tuyệt đối không đưa vào CRM (Vi phạm Bộ lọc Âm tính Mục 5)</t>
        </is>
      </c>
    </row>
    <row r="618">
      <c r="A618" s="59" t="n">
        <v>3090</v>
      </c>
      <c r="B618" s="15" t="inlineStr">
        <is>
          <t>The Bulldog Club Incorporated</t>
        </is>
      </c>
      <c r="C618" s="60" t="inlineStr">
        <is>
          <t>https://www.facebook.com/thebulldogclubincorporated</t>
        </is>
      </c>
      <c r="D618" s="9" t="inlineStr">
        <is>
          <t>Cần quét Bio Fanpage</t>
        </is>
      </c>
      <c r="E618" s="59" t="inlineStr">
        <is>
          <t>22/09/2026 22:34:18</t>
        </is>
      </c>
      <c r="F618" s="59" t="inlineStr">
        <is>
          <t>2 tuần trước</t>
        </is>
      </c>
      <c r="G618" s="61" t="n">
        <v>14</v>
      </c>
      <c r="H618" s="62" t="n">
        <v>15</v>
      </c>
      <c r="I618" s="9" t="inlineStr">
        <is>
          <t>Pet Owner / Kênh cá nhân thú cưng (10đ)</t>
        </is>
      </c>
      <c r="J618" s="62" t="n">
        <v>10</v>
      </c>
      <c r="K618" s="9" t="inlineStr">
        <is>
          <t>English Bulldog</t>
        </is>
      </c>
      <c r="L618" s="62" t="n">
        <v>10</v>
      </c>
      <c r="M618" s="62" t="n">
        <v>0</v>
      </c>
      <c r="N618" s="9" t="inlineStr">
        <is>
          <t>Amazon link not found</t>
        </is>
      </c>
      <c r="O618" s="62">
        <f>IF(N618="Selling pet toys + Artificial grass/Pet toilets (TARGET)",15,IF(N618="Selling artificial grass/pet toilets (TARGET)",10,IF(N618="Selling pet toys",7,IF(N618="There's an Amazon link, but no target sales.",3,0))))</f>
        <v/>
      </c>
      <c r="P618" s="67">
        <f>H618+J618+L618+M618+O618</f>
        <v/>
      </c>
      <c r="Q618" s="70" t="inlineStr">
        <is>
          <t>Excluded: Hiệp hội &amp; CLB Phả hệ (Mục 5.1)</t>
        </is>
      </c>
      <c r="R618" s="9" t="inlineStr">
        <is>
          <t>Khay vệ sinh trong nhà (Indoor Dog Potty) + Đồ chơi thú cưng lẻ</t>
        </is>
      </c>
      <c r="S618" s="9" t="inlineStr">
        <is>
          <t>Tuyệt đối không đưa vào CRM (Vi phạm Bộ lọc Âm tính Mục 5)</t>
        </is>
      </c>
    </row>
    <row r="619">
      <c r="A619" s="53" t="n">
        <v>2256</v>
      </c>
      <c r="B619" s="12" t="inlineStr">
        <is>
          <t>Nashville Kennel Club</t>
        </is>
      </c>
      <c r="C619" s="54" t="inlineStr">
        <is>
          <t>https://www.facebook.com/NashvilleKennelClub</t>
        </is>
      </c>
      <c r="D619" s="6" t="inlineStr">
        <is>
          <t>Cần quét Bio Fanpage</t>
        </is>
      </c>
      <c r="E619" s="53" t="inlineStr">
        <is>
          <t>01/09/2026 21:00:35</t>
        </is>
      </c>
      <c r="F619" s="53" t="inlineStr">
        <is>
          <t>1 tháng trước</t>
        </is>
      </c>
      <c r="G619" s="55" t="n">
        <v>30</v>
      </c>
      <c r="H619" s="56" t="n">
        <v>0</v>
      </c>
      <c r="I619" s="6" t="inlineStr">
        <is>
          <t>Dog Breeder / Trại chó chuyên nghiệp (28-30đ)</t>
        </is>
      </c>
      <c r="J619" s="56" t="n">
        <v>30</v>
      </c>
      <c r="K619" s="6" t="inlineStr">
        <is>
          <t>Chưa rõ giống (Cần quét Bio)</t>
        </is>
      </c>
      <c r="L619" s="56" t="n">
        <v>0</v>
      </c>
      <c r="M619" s="56" t="n">
        <v>5</v>
      </c>
      <c r="N619" s="6" t="inlineStr">
        <is>
          <t>Amazon link not found</t>
        </is>
      </c>
      <c r="O619" s="56">
        <f>IF(N619="Selling pet toys + Artificial grass/Pet toilets (TARGET)",15,IF(N619="Selling artificial grass/pet toilets (TARGET)",10,IF(N619="Selling pet toys",7,IF(N619="There's an Amazon link, but no target sales.",3,0))))</f>
        <v/>
      </c>
      <c r="P619" s="65">
        <f>H619+J619+L619+M619+O619</f>
        <v/>
      </c>
      <c r="Q619" s="71" t="inlineStr">
        <is>
          <t>Excluded: Hiệp hội &amp; CLB Phả hệ (Mục 5.1)</t>
        </is>
      </c>
      <c r="R619" s="6" t="inlineStr">
        <is>
          <t>Trọn gói Take-Home Starter Kit V2/V3 (Cỏ nhân tạo + Khay Potty + Đồ chơi Teething/Snuggle)</t>
        </is>
      </c>
      <c r="S619" s="6" t="inlineStr">
        <is>
          <t>Tuyệt đối không đưa vào CRM (Vi phạm Bộ lọc Âm tính Mục 5)</t>
        </is>
      </c>
    </row>
    <row r="620">
      <c r="A620" s="59" t="n">
        <v>1248</v>
      </c>
      <c r="B620" s="15" t="inlineStr">
        <is>
          <t>Durham Kennel Club</t>
        </is>
      </c>
      <c r="C620" s="60" t="inlineStr">
        <is>
          <t>https://www.facebook.com/DurhamKennelClub</t>
        </is>
      </c>
      <c r="D620" s="9" t="inlineStr">
        <is>
          <t>Cần quét Bio Fanpage</t>
        </is>
      </c>
      <c r="E620" s="59" t="inlineStr">
        <is>
          <t>25/08/2026 17:25:39</t>
        </is>
      </c>
      <c r="F620" s="59" t="inlineStr">
        <is>
          <t>1 tháng trước</t>
        </is>
      </c>
      <c r="G620" s="61" t="n">
        <v>30</v>
      </c>
      <c r="H620" s="62" t="n">
        <v>0</v>
      </c>
      <c r="I620" s="9" t="inlineStr">
        <is>
          <t>Dog Breeder / Trại chó chuyên nghiệp (28-30đ)</t>
        </is>
      </c>
      <c r="J620" s="62" t="n">
        <v>30</v>
      </c>
      <c r="K620" s="9" t="inlineStr">
        <is>
          <t>Chưa rõ giống (Cần quét Bio)</t>
        </is>
      </c>
      <c r="L620" s="62" t="n">
        <v>0</v>
      </c>
      <c r="M620" s="62" t="n">
        <v>5</v>
      </c>
      <c r="N620" s="9" t="inlineStr">
        <is>
          <t>Amazon link not found</t>
        </is>
      </c>
      <c r="O620" s="62">
        <f>IF(N620="Selling pet toys + Artificial grass/Pet toilets (TARGET)",15,IF(N620="Selling artificial grass/pet toilets (TARGET)",10,IF(N620="Selling pet toys",7,IF(N620="There's an Amazon link, but no target sales.",3,0))))</f>
        <v/>
      </c>
      <c r="P620" s="67">
        <f>H620+J620+L620+M620+O620</f>
        <v/>
      </c>
      <c r="Q620" s="70" t="inlineStr">
        <is>
          <t>Excluded: Hiệp hội &amp; CLB Phả hệ (Mục 5.1)</t>
        </is>
      </c>
      <c r="R620" s="9" t="inlineStr">
        <is>
          <t>Trọn gói Take-Home Starter Kit V2/V3 (Cỏ nhân tạo + Khay Potty + Đồ chơi Teething/Snuggle)</t>
        </is>
      </c>
      <c r="S620" s="9" t="inlineStr">
        <is>
          <t>Tuyệt đối không đưa vào CRM (Vi phạm Bộ lọc Âm tính Mục 5)</t>
        </is>
      </c>
    </row>
    <row r="621">
      <c r="A621" s="53" t="n">
        <v>517</v>
      </c>
      <c r="B621" s="12" t="inlineStr">
        <is>
          <t>Arkansas Kennel Club</t>
        </is>
      </c>
      <c r="C621" s="54" t="inlineStr">
        <is>
          <t>https://www.facebook.com/ArkansasKennelClub</t>
        </is>
      </c>
      <c r="D621" s="6" t="inlineStr">
        <is>
          <t>Cần quét Bio Fanpage</t>
        </is>
      </c>
      <c r="E621" s="53" t="inlineStr">
        <is>
          <t>19/08/2026 00:27:54</t>
        </is>
      </c>
      <c r="F621" s="53" t="inlineStr">
        <is>
          <t>1 tháng trước</t>
        </is>
      </c>
      <c r="G621" s="55" t="n">
        <v>30</v>
      </c>
      <c r="H621" s="56" t="n">
        <v>0</v>
      </c>
      <c r="I621" s="6" t="inlineStr">
        <is>
          <t>Dog Breeder / Trại chó chuyên nghiệp (28-30đ)</t>
        </is>
      </c>
      <c r="J621" s="56" t="n">
        <v>30</v>
      </c>
      <c r="K621" s="6" t="inlineStr">
        <is>
          <t>Chưa rõ giống (Cần quét Bio)</t>
        </is>
      </c>
      <c r="L621" s="56" t="n">
        <v>0</v>
      </c>
      <c r="M621" s="56" t="n">
        <v>5</v>
      </c>
      <c r="N621" s="6" t="inlineStr">
        <is>
          <t>Amazon link not found</t>
        </is>
      </c>
      <c r="O621" s="56">
        <f>IF(N621="Selling pet toys + Artificial grass/Pet toilets (TARGET)",15,IF(N621="Selling artificial grass/pet toilets (TARGET)",10,IF(N621="Selling pet toys",7,IF(N621="There's an Amazon link, but no target sales.",3,0))))</f>
        <v/>
      </c>
      <c r="P621" s="65">
        <f>H621+J621+L621+M621+O621</f>
        <v/>
      </c>
      <c r="Q621" s="71" t="inlineStr">
        <is>
          <t>Excluded: Hiệp hội &amp; CLB Phả hệ (Mục 5.1)</t>
        </is>
      </c>
      <c r="R621" s="6" t="inlineStr">
        <is>
          <t>Trọn gói Take-Home Starter Kit V2/V3 (Cỏ nhân tạo + Khay Potty + Đồ chơi Teething/Snuggle)</t>
        </is>
      </c>
      <c r="S621" s="6" t="inlineStr">
        <is>
          <t>Tuyệt đối không đưa vào CRM (Vi phạm Bộ lọc Âm tính Mục 5)</t>
        </is>
      </c>
    </row>
    <row r="622">
      <c r="A622" s="59" t="n">
        <v>431</v>
      </c>
      <c r="B622" s="15" t="inlineStr">
        <is>
          <t>Anderson Kennel Club, Inc</t>
        </is>
      </c>
      <c r="C622" s="60" t="inlineStr">
        <is>
          <t>https://www.facebook.com/andersonkennelclub</t>
        </is>
      </c>
      <c r="D622" s="9" t="inlineStr">
        <is>
          <t>Cần quét Bio Fanpage</t>
        </is>
      </c>
      <c r="E622" s="59" t="inlineStr">
        <is>
          <t>12/08/2026 20:00:31</t>
        </is>
      </c>
      <c r="F622" s="59" t="inlineStr">
        <is>
          <t>2 tháng trước</t>
        </is>
      </c>
      <c r="G622" s="61" t="n">
        <v>60</v>
      </c>
      <c r="H622" s="62" t="n">
        <v>0</v>
      </c>
      <c r="I622" s="9" t="inlineStr">
        <is>
          <t>Dog Breeder / Trại chó chuyên nghiệp (28-30đ)</t>
        </is>
      </c>
      <c r="J622" s="62" t="n">
        <v>30</v>
      </c>
      <c r="K622" s="9" t="inlineStr">
        <is>
          <t>Chưa rõ giống (Cần quét Bio)</t>
        </is>
      </c>
      <c r="L622" s="62" t="n">
        <v>0</v>
      </c>
      <c r="M622" s="62" t="n">
        <v>5</v>
      </c>
      <c r="N622" s="9" t="inlineStr">
        <is>
          <t>Amazon link not found</t>
        </is>
      </c>
      <c r="O622" s="62">
        <f>IF(N622="Selling pet toys + Artificial grass/Pet toilets (TARGET)",15,IF(N622="Selling artificial grass/pet toilets (TARGET)",10,IF(N622="Selling pet toys",7,IF(N622="There's an Amazon link, but no target sales.",3,0))))</f>
        <v/>
      </c>
      <c r="P622" s="67">
        <f>H622+J622+L622+M622+O622</f>
        <v/>
      </c>
      <c r="Q622" s="70" t="inlineStr">
        <is>
          <t>Excluded: Hiệp hội &amp; CLB Phả hệ (Mục 5.1)</t>
        </is>
      </c>
      <c r="R622" s="9" t="inlineStr">
        <is>
          <t>Trọn gói Take-Home Starter Kit V2/V3 (Cỏ nhân tạo + Khay Potty + Đồ chơi Teething/Snuggle)</t>
        </is>
      </c>
      <c r="S622" s="9" t="inlineStr">
        <is>
          <t>Tuyệt đối không đưa vào CRM (Vi phạm Bộ lọc Âm tính Mục 5)</t>
        </is>
      </c>
    </row>
    <row r="623">
      <c r="A623" s="53" t="n">
        <v>3256</v>
      </c>
      <c r="B623" s="12" t="inlineStr">
        <is>
          <t>Tuscaloosa Kennel Club</t>
        </is>
      </c>
      <c r="C623" s="54" t="inlineStr">
        <is>
          <t>https://www.facebook.com/TuscaloosaKennelClub</t>
        </is>
      </c>
      <c r="D623" s="6" t="inlineStr">
        <is>
          <t>Cần quét Bio Fanpage</t>
        </is>
      </c>
      <c r="E623" s="53" t="inlineStr">
        <is>
          <t>17/07/2026 02:07:20</t>
        </is>
      </c>
      <c r="F623" s="53" t="inlineStr">
        <is>
          <t>2 tháng trước</t>
        </is>
      </c>
      <c r="G623" s="55" t="n">
        <v>60</v>
      </c>
      <c r="H623" s="56" t="n">
        <v>0</v>
      </c>
      <c r="I623" s="6" t="inlineStr">
        <is>
          <t>Dog Breeder / Trại chó chuyên nghiệp (28-30đ)</t>
        </is>
      </c>
      <c r="J623" s="56" t="n">
        <v>30</v>
      </c>
      <c r="K623" s="6" t="inlineStr">
        <is>
          <t>Chưa rõ giống (Cần quét Bio)</t>
        </is>
      </c>
      <c r="L623" s="56" t="n">
        <v>0</v>
      </c>
      <c r="M623" s="56" t="n">
        <v>5</v>
      </c>
      <c r="N623" s="6" t="inlineStr">
        <is>
          <t>Amazon link not found</t>
        </is>
      </c>
      <c r="O623" s="56">
        <f>IF(N623="Selling pet toys + Artificial grass/Pet toilets (TARGET)",15,IF(N623="Selling artificial grass/pet toilets (TARGET)",10,IF(N623="Selling pet toys",7,IF(N623="There's an Amazon link, but no target sales.",3,0))))</f>
        <v/>
      </c>
      <c r="P623" s="65">
        <f>H623+J623+L623+M623+O623</f>
        <v/>
      </c>
      <c r="Q623" s="71" t="inlineStr">
        <is>
          <t>Excluded: Hiệp hội &amp; CLB Phả hệ (Mục 5.1)</t>
        </is>
      </c>
      <c r="R623" s="6" t="inlineStr">
        <is>
          <t>Trọn gói Take-Home Starter Kit V2/V3 (Cỏ nhân tạo + Khay Potty + Đồ chơi Teething/Snuggle)</t>
        </is>
      </c>
      <c r="S623" s="6" t="inlineStr">
        <is>
          <t>Tuyệt đối không đưa vào CRM (Vi phạm Bộ lọc Âm tính Mục 5)</t>
        </is>
      </c>
    </row>
    <row r="624">
      <c r="A624" s="59" t="n">
        <v>1989</v>
      </c>
      <c r="B624" s="15" t="inlineStr">
        <is>
          <t>Latgales Regional Kennel Club Lkf/Fci)</t>
        </is>
      </c>
      <c r="C624" s="60" t="inlineStr">
        <is>
          <t>https://www.facebook.com/latgaledog</t>
        </is>
      </c>
      <c r="D624" s="9" t="inlineStr">
        <is>
          <t>Cần quét Bio Fanpage</t>
        </is>
      </c>
      <c r="E624" s="59" t="inlineStr">
        <is>
          <t>07/07/2026 02:39:37</t>
        </is>
      </c>
      <c r="F624" s="59" t="inlineStr">
        <is>
          <t>3 tháng trước</t>
        </is>
      </c>
      <c r="G624" s="61" t="n">
        <v>90</v>
      </c>
      <c r="H624" s="62" t="n">
        <v>0</v>
      </c>
      <c r="I624" s="9" t="inlineStr">
        <is>
          <t>Dog Breeder / Trại chó chuyên nghiệp (28-30đ)</t>
        </is>
      </c>
      <c r="J624" s="62" t="n">
        <v>30</v>
      </c>
      <c r="K624" s="9" t="inlineStr">
        <is>
          <t>Chưa rõ giống (Cần quét Bio)</t>
        </is>
      </c>
      <c r="L624" s="62" t="n">
        <v>0</v>
      </c>
      <c r="M624" s="62" t="n">
        <v>5</v>
      </c>
      <c r="N624" s="9" t="inlineStr">
        <is>
          <t>Amazon link not found</t>
        </is>
      </c>
      <c r="O624" s="62">
        <f>IF(N624="Selling pet toys + Artificial grass/Pet toilets (TARGET)",15,IF(N624="Selling artificial grass/pet toilets (TARGET)",10,IF(N624="Selling pet toys",7,IF(N624="There's an Amazon link, but no target sales.",3,0))))</f>
        <v/>
      </c>
      <c r="P624" s="67">
        <f>H624+J624+L624+M624+O624</f>
        <v/>
      </c>
      <c r="Q624" s="70" t="inlineStr">
        <is>
          <t>Excluded: Hiệp hội &amp; CLB Phả hệ (Mục 5.1)</t>
        </is>
      </c>
      <c r="R624" s="9" t="inlineStr">
        <is>
          <t>Trọn gói Take-Home Starter Kit V2/V3 (Cỏ nhân tạo + Khay Potty + Đồ chơi Teething/Snuggle)</t>
        </is>
      </c>
      <c r="S624" s="9" t="inlineStr">
        <is>
          <t>Tuyệt đối không đưa vào CRM (Vi phạm Bộ lọc Âm tính Mục 5)</t>
        </is>
      </c>
    </row>
    <row r="625">
      <c r="A625" s="53" t="n">
        <v>1557</v>
      </c>
      <c r="B625" s="12" t="inlineStr">
        <is>
          <t>Greeley Kennel Club</t>
        </is>
      </c>
      <c r="C625" s="54" t="inlineStr">
        <is>
          <t>https://www.facebook.com/profile.php?id=100057459048004</t>
        </is>
      </c>
      <c r="D625" s="6" t="inlineStr">
        <is>
          <t>Cần quét Bio Fanpage</t>
        </is>
      </c>
      <c r="E625" s="53" t="inlineStr">
        <is>
          <t>03/06/2026 22:53:37</t>
        </is>
      </c>
      <c r="F625" s="53" t="inlineStr">
        <is>
          <t>4 tháng trước</t>
        </is>
      </c>
      <c r="G625" s="55" t="n">
        <v>120</v>
      </c>
      <c r="H625" s="56" t="n">
        <v>0</v>
      </c>
      <c r="I625" s="6" t="inlineStr">
        <is>
          <t>Dog Breeder / Trại chó chuyên nghiệp (28-30đ)</t>
        </is>
      </c>
      <c r="J625" s="56" t="n">
        <v>30</v>
      </c>
      <c r="K625" s="6" t="inlineStr">
        <is>
          <t>Chưa rõ giống (Cần quét Bio)</t>
        </is>
      </c>
      <c r="L625" s="56" t="n">
        <v>0</v>
      </c>
      <c r="M625" s="56" t="n">
        <v>5</v>
      </c>
      <c r="N625" s="6" t="inlineStr">
        <is>
          <t>Amazon link not found</t>
        </is>
      </c>
      <c r="O625" s="56">
        <f>IF(N625="Selling pet toys + Artificial grass/Pet toilets (TARGET)",15,IF(N625="Selling artificial grass/pet toilets (TARGET)",10,IF(N625="Selling pet toys",7,IF(N625="There's an Amazon link, but no target sales.",3,0))))</f>
        <v/>
      </c>
      <c r="P625" s="65">
        <f>H625+J625+L625+M625+O625</f>
        <v/>
      </c>
      <c r="Q625" s="71" t="inlineStr">
        <is>
          <t>Excluded: Hiệp hội &amp; CLB Phả hệ (Mục 5.1)</t>
        </is>
      </c>
      <c r="R625" s="6" t="inlineStr">
        <is>
          <t>Trọn gói Take-Home Starter Kit V2/V3 (Cỏ nhân tạo + Khay Potty + Đồ chơi Teething/Snuggle)</t>
        </is>
      </c>
      <c r="S625" s="6" t="inlineStr">
        <is>
          <t>Tuyệt đối không đưa vào CRM (Vi phạm Bộ lọc Âm tính Mục 5)</t>
        </is>
      </c>
    </row>
    <row r="626">
      <c r="A626" s="59" t="n">
        <v>780</v>
      </c>
      <c r="B626" s="15" t="inlineStr">
        <is>
          <t>Bucks County Kennel Club</t>
        </is>
      </c>
      <c r="C626" s="60" t="inlineStr">
        <is>
          <t>https://www.facebook.com/Buckscountykennelclub</t>
        </is>
      </c>
      <c r="D626" s="9" t="inlineStr">
        <is>
          <t>Cần quét Bio Fanpage</t>
        </is>
      </c>
      <c r="E626" s="59" t="inlineStr">
        <is>
          <t>03/05/2026 21:03:50</t>
        </is>
      </c>
      <c r="F626" s="59" t="inlineStr">
        <is>
          <t>5 tháng trước</t>
        </is>
      </c>
      <c r="G626" s="61" t="n">
        <v>150</v>
      </c>
      <c r="H626" s="62" t="n">
        <v>0</v>
      </c>
      <c r="I626" s="9" t="inlineStr">
        <is>
          <t>Dog Breeder / Trại chó chuyên nghiệp (28-30đ)</t>
        </is>
      </c>
      <c r="J626" s="62" t="n">
        <v>30</v>
      </c>
      <c r="K626" s="9" t="inlineStr">
        <is>
          <t>Chưa rõ giống (Cần quét Bio)</t>
        </is>
      </c>
      <c r="L626" s="62" t="n">
        <v>0</v>
      </c>
      <c r="M626" s="62" t="n">
        <v>5</v>
      </c>
      <c r="N626" s="9" t="inlineStr">
        <is>
          <t>Amazon link not found</t>
        </is>
      </c>
      <c r="O626" s="62">
        <f>IF(N626="Selling pet toys + Artificial grass/Pet toilets (TARGET)",15,IF(N626="Selling artificial grass/pet toilets (TARGET)",10,IF(N626="Selling pet toys",7,IF(N626="There's an Amazon link, but no target sales.",3,0))))</f>
        <v/>
      </c>
      <c r="P626" s="67">
        <f>H626+J626+L626+M626+O626</f>
        <v/>
      </c>
      <c r="Q626" s="70" t="inlineStr">
        <is>
          <t>Excluded: Hiệp hội &amp; CLB Phả hệ (Mục 5.1)</t>
        </is>
      </c>
      <c r="R626" s="9" t="inlineStr">
        <is>
          <t>Trọn gói Take-Home Starter Kit V2/V3 (Cỏ nhân tạo + Khay Potty + Đồ chơi Teething/Snuggle)</t>
        </is>
      </c>
      <c r="S626" s="9" t="inlineStr">
        <is>
          <t>Tuyệt đối không đưa vào CRM (Vi phạm Bộ lọc Âm tính Mục 5)</t>
        </is>
      </c>
    </row>
    <row r="627">
      <c r="A627" s="53" t="n">
        <v>2192</v>
      </c>
      <c r="B627" s="12" t="inlineStr">
        <is>
          <t>Minneapolis Kennel Club</t>
        </is>
      </c>
      <c r="C627" s="54" t="inlineStr">
        <is>
          <t>https://www.facebook.com/mplskennelclub</t>
        </is>
      </c>
      <c r="D627" s="6" t="inlineStr">
        <is>
          <t>Cần quét Bio Fanpage</t>
        </is>
      </c>
      <c r="E627" s="53" t="inlineStr">
        <is>
          <t>23/03/2026 03:40:23</t>
        </is>
      </c>
      <c r="F627" s="53" t="inlineStr">
        <is>
          <t>6 tháng trước</t>
        </is>
      </c>
      <c r="G627" s="55" t="n">
        <v>180</v>
      </c>
      <c r="H627" s="56" t="n">
        <v>0</v>
      </c>
      <c r="I627" s="6" t="inlineStr">
        <is>
          <t>Dog Breeder / Trại chó chuyên nghiệp (28-30đ)</t>
        </is>
      </c>
      <c r="J627" s="56" t="n">
        <v>30</v>
      </c>
      <c r="K627" s="6" t="inlineStr">
        <is>
          <t>Chưa rõ giống (Cần quét Bio)</t>
        </is>
      </c>
      <c r="L627" s="56" t="n">
        <v>0</v>
      </c>
      <c r="M627" s="56" t="n">
        <v>5</v>
      </c>
      <c r="N627" s="6" t="inlineStr">
        <is>
          <t>Amazon link not found</t>
        </is>
      </c>
      <c r="O627" s="56">
        <f>IF(N627="Selling pet toys + Artificial grass/Pet toilets (TARGET)",15,IF(N627="Selling artificial grass/pet toilets (TARGET)",10,IF(N627="Selling pet toys",7,IF(N627="There's an Amazon link, but no target sales.",3,0))))</f>
        <v/>
      </c>
      <c r="P627" s="65">
        <f>H627+J627+L627+M627+O627</f>
        <v/>
      </c>
      <c r="Q627" s="71" t="inlineStr">
        <is>
          <t>Excluded: Hiệp hội &amp; CLB Phả hệ (Mục 5.1)</t>
        </is>
      </c>
      <c r="R627" s="6" t="inlineStr">
        <is>
          <t>Trọn gói Take-Home Starter Kit V2/V3 (Cỏ nhân tạo + Khay Potty + Đồ chơi Teething/Snuggle)</t>
        </is>
      </c>
      <c r="S627" s="6" t="inlineStr">
        <is>
          <t>Tuyệt đối không đưa vào CRM (Vi phạm Bộ lọc Âm tính Mục 5)</t>
        </is>
      </c>
    </row>
    <row r="628">
      <c r="A628" s="59" t="n">
        <v>523</v>
      </c>
      <c r="B628" s="15" t="inlineStr">
        <is>
          <t>Arrowhead Kennel Club - All Breed Club</t>
        </is>
      </c>
      <c r="C628" s="60" t="inlineStr">
        <is>
          <t>https://www.facebook.com/arrowheadkennelclub</t>
        </is>
      </c>
      <c r="D628" s="9" t="inlineStr">
        <is>
          <t>Cần quét Bio Fanpage</t>
        </is>
      </c>
      <c r="E628" s="59" t="inlineStr">
        <is>
          <t>29/01/2026 10:36:44</t>
        </is>
      </c>
      <c r="F628" s="59" t="inlineStr">
        <is>
          <t>8 tháng trước</t>
        </is>
      </c>
      <c r="G628" s="61" t="n">
        <v>240</v>
      </c>
      <c r="H628" s="62" t="n">
        <v>0</v>
      </c>
      <c r="I628" s="9" t="inlineStr">
        <is>
          <t>Dog Breeder / Trại chó chuyên nghiệp (28-30đ)</t>
        </is>
      </c>
      <c r="J628" s="62" t="n">
        <v>30</v>
      </c>
      <c r="K628" s="9" t="inlineStr">
        <is>
          <t>Chưa rõ giống (Cần quét Bio)</t>
        </is>
      </c>
      <c r="L628" s="62" t="n">
        <v>0</v>
      </c>
      <c r="M628" s="62" t="n">
        <v>5</v>
      </c>
      <c r="N628" s="9" t="inlineStr">
        <is>
          <t>Amazon link not found</t>
        </is>
      </c>
      <c r="O628" s="62">
        <f>IF(N628="Selling pet toys + Artificial grass/Pet toilets (TARGET)",15,IF(N628="Selling artificial grass/pet toilets (TARGET)",10,IF(N628="Selling pet toys",7,IF(N628="There's an Amazon link, but no target sales.",3,0))))</f>
        <v/>
      </c>
      <c r="P628" s="67">
        <f>H628+J628+L628+M628+O628</f>
        <v/>
      </c>
      <c r="Q628" s="70" t="inlineStr">
        <is>
          <t>Excluded: Hiệp hội &amp; CLB Phả hệ (Mục 5.1)</t>
        </is>
      </c>
      <c r="R628" s="9" t="inlineStr">
        <is>
          <t>Trọn gói Take-Home Starter Kit V2/V3 (Cỏ nhân tạo + Khay Potty + Đồ chơi Teething/Snuggle)</t>
        </is>
      </c>
      <c r="S628" s="9" t="inlineStr">
        <is>
          <t>Tuyệt đối không đưa vào CRM (Vi phạm Bộ lọc Âm tính Mục 5)</t>
        </is>
      </c>
    </row>
    <row r="629">
      <c r="A629" s="53" t="n">
        <v>2569</v>
      </c>
      <c r="B629" s="12" t="inlineStr">
        <is>
          <t>Piedmont Kennel Club</t>
        </is>
      </c>
      <c r="C629" s="54" t="inlineStr">
        <is>
          <t>https://www.facebook.com/PiedmontKennelClub</t>
        </is>
      </c>
      <c r="D629" s="6" t="inlineStr">
        <is>
          <t>Cần quét Bio Fanpage</t>
        </is>
      </c>
      <c r="E629" s="53" t="inlineStr">
        <is>
          <t>04/07/2024 14:16:24</t>
        </is>
      </c>
      <c r="F629" s="53" t="inlineStr">
        <is>
          <t>2 năm trước</t>
        </is>
      </c>
      <c r="G629" s="55" t="n">
        <v>730</v>
      </c>
      <c r="H629" s="56" t="n">
        <v>0</v>
      </c>
      <c r="I629" s="6" t="inlineStr">
        <is>
          <t>Dog Breeder / Trại chó chuyên nghiệp (28-30đ)</t>
        </is>
      </c>
      <c r="J629" s="56" t="n">
        <v>30</v>
      </c>
      <c r="K629" s="6" t="inlineStr">
        <is>
          <t>Chưa rõ giống (Cần quét Bio)</t>
        </is>
      </c>
      <c r="L629" s="56" t="n">
        <v>0</v>
      </c>
      <c r="M629" s="56" t="n">
        <v>5</v>
      </c>
      <c r="N629" s="6" t="inlineStr">
        <is>
          <t>Amazon link not found</t>
        </is>
      </c>
      <c r="O629" s="56">
        <f>IF(N629="Selling pet toys + Artificial grass/Pet toilets (TARGET)",15,IF(N629="Selling artificial grass/pet toilets (TARGET)",10,IF(N629="Selling pet toys",7,IF(N629="There's an Amazon link, but no target sales.",3,0))))</f>
        <v/>
      </c>
      <c r="P629" s="65">
        <f>H629+J629+L629+M629+O629</f>
        <v/>
      </c>
      <c r="Q629" s="71" t="inlineStr">
        <is>
          <t>Excluded: Hiệp hội &amp; CLB Phả hệ (Mục 5.1)</t>
        </is>
      </c>
      <c r="R629" s="6" t="inlineStr">
        <is>
          <t>Trọn gói Take-Home Starter Kit V2/V3 (Cỏ nhân tạo + Khay Potty + Đồ chơi Teething/Snuggle)</t>
        </is>
      </c>
      <c r="S629" s="6" t="inlineStr">
        <is>
          <t>Tuyệt đối không đưa vào CRM (Vi phạm Bộ lọc Âm tính Mục 5)</t>
        </is>
      </c>
    </row>
    <row r="630">
      <c r="A630" s="59" t="n">
        <v>1267</v>
      </c>
      <c r="B630" s="15" t="inlineStr">
        <is>
          <t>EKF - Egyptian Kennel Federation</t>
        </is>
      </c>
      <c r="C630" s="60" t="inlineStr">
        <is>
          <t>https://www.facebook.com/EKF.FCI</t>
        </is>
      </c>
      <c r="D630" s="9" t="inlineStr">
        <is>
          <t>Cần quét Bio Fanpage</t>
        </is>
      </c>
      <c r="E630" s="59" t="inlineStr">
        <is>
          <t>11/03/2024 17:53:51</t>
        </is>
      </c>
      <c r="F630" s="59" t="inlineStr">
        <is>
          <t>2 năm trước</t>
        </is>
      </c>
      <c r="G630" s="61" t="n">
        <v>730</v>
      </c>
      <c r="H630" s="62" t="n">
        <v>0</v>
      </c>
      <c r="I630" s="9" t="inlineStr">
        <is>
          <t>Dog Breeder / Trại chó chuyên nghiệp (28-30đ)</t>
        </is>
      </c>
      <c r="J630" s="62" t="n">
        <v>30</v>
      </c>
      <c r="K630" s="9" t="inlineStr">
        <is>
          <t>Chưa rõ giống (Cần quét Bio)</t>
        </is>
      </c>
      <c r="L630" s="62" t="n">
        <v>0</v>
      </c>
      <c r="M630" s="62" t="n">
        <v>5</v>
      </c>
      <c r="N630" s="9" t="inlineStr">
        <is>
          <t>Amazon link not found</t>
        </is>
      </c>
      <c r="O630" s="62">
        <f>IF(N630="Selling pet toys + Artificial grass/Pet toilets (TARGET)",15,IF(N630="Selling artificial grass/pet toilets (TARGET)",10,IF(N630="Selling pet toys",7,IF(N630="There's an Amazon link, but no target sales.",3,0))))</f>
        <v/>
      </c>
      <c r="P630" s="67">
        <f>H630+J630+L630+M630+O630</f>
        <v/>
      </c>
      <c r="Q630" s="70" t="inlineStr">
        <is>
          <t>Excluded: Hiệp hội &amp; CLB Phả hệ (Mục 5.1)</t>
        </is>
      </c>
      <c r="R630" s="9" t="inlineStr">
        <is>
          <t>Trọn gói Take-Home Starter Kit V2/V3 (Cỏ nhân tạo + Khay Potty + Đồ chơi Teething/Snuggle)</t>
        </is>
      </c>
      <c r="S630" s="9" t="inlineStr">
        <is>
          <t>Tuyệt đối không đưa vào CRM (Vi phạm Bộ lọc Âm tính Mục 5)</t>
        </is>
      </c>
    </row>
    <row r="631">
      <c r="A631" s="53" t="n">
        <v>411</v>
      </c>
      <c r="B631" s="12" t="inlineStr">
        <is>
          <t>American Kennel Club Library &amp; Archives</t>
        </is>
      </c>
      <c r="C631" s="54" t="inlineStr">
        <is>
          <t>https://www.facebook.com/akclibrary</t>
        </is>
      </c>
      <c r="D631" s="6" t="inlineStr">
        <is>
          <t>Cần quét Bio Fanpage</t>
        </is>
      </c>
      <c r="E631" s="53" t="inlineStr">
        <is>
          <t>07/03/2022 22:38:19</t>
        </is>
      </c>
      <c r="F631" s="53" t="inlineStr">
        <is>
          <t>4 năm trước</t>
        </is>
      </c>
      <c r="G631" s="55" t="n">
        <v>1460</v>
      </c>
      <c r="H631" s="56" t="n">
        <v>0</v>
      </c>
      <c r="I631" s="6" t="inlineStr">
        <is>
          <t>Dog Breeder / Trại chó chuyên nghiệp (28-30đ)</t>
        </is>
      </c>
      <c r="J631" s="56" t="n">
        <v>30</v>
      </c>
      <c r="K631" s="6" t="inlineStr">
        <is>
          <t>Chưa rõ giống (Cần quét Bio)</t>
        </is>
      </c>
      <c r="L631" s="56" t="n">
        <v>0</v>
      </c>
      <c r="M631" s="56" t="n">
        <v>5</v>
      </c>
      <c r="N631" s="6" t="inlineStr">
        <is>
          <t>Amazon link not found</t>
        </is>
      </c>
      <c r="O631" s="56">
        <f>IF(N631="Selling pet toys + Artificial grass/Pet toilets (TARGET)",15,IF(N631="Selling artificial grass/pet toilets (TARGET)",10,IF(N631="Selling pet toys",7,IF(N631="There's an Amazon link, but no target sales.",3,0))))</f>
        <v/>
      </c>
      <c r="P631" s="65">
        <f>H631+J631+L631+M631+O631</f>
        <v/>
      </c>
      <c r="Q631" s="71" t="inlineStr">
        <is>
          <t>Excluded: Hiệp hội &amp; CLB Phả hệ (Mục 5.1)</t>
        </is>
      </c>
      <c r="R631" s="6" t="inlineStr">
        <is>
          <t>Trọn gói Take-Home Starter Kit V2/V3 (Cỏ nhân tạo + Khay Potty + Đồ chơi Teething/Snuggle)</t>
        </is>
      </c>
      <c r="S631" s="6" t="inlineStr">
        <is>
          <t>Tuyệt đối không đưa vào CRM (Vi phạm Bộ lọc Âm tính Mục 5)</t>
        </is>
      </c>
    </row>
    <row r="632">
      <c r="A632" s="59" t="n">
        <v>2965</v>
      </c>
      <c r="B632" s="15" t="inlineStr">
        <is>
          <t>Spinny&amp;Twisty kennel FCI</t>
        </is>
      </c>
      <c r="C632" s="60" t="inlineStr">
        <is>
          <t>https://www.facebook.com/jrt.spinnyandtwisty</t>
        </is>
      </c>
      <c r="D632" s="9" t="inlineStr">
        <is>
          <t>Cần quét Bio Fanpage</t>
        </is>
      </c>
      <c r="E632" s="59" t="inlineStr">
        <is>
          <t>08/11/2021 00:25:50</t>
        </is>
      </c>
      <c r="F632" s="59" t="inlineStr">
        <is>
          <t>4 năm trước</t>
        </is>
      </c>
      <c r="G632" s="61" t="n">
        <v>1460</v>
      </c>
      <c r="H632" s="62" t="n">
        <v>0</v>
      </c>
      <c r="I632" s="9" t="inlineStr">
        <is>
          <t>Dog Breeder / Trại chó chuyên nghiệp (28-30đ)</t>
        </is>
      </c>
      <c r="J632" s="62" t="n">
        <v>30</v>
      </c>
      <c r="K632" s="9" t="inlineStr">
        <is>
          <t>Chưa rõ giống (Cần quét Bio)</t>
        </is>
      </c>
      <c r="L632" s="62" t="n">
        <v>0</v>
      </c>
      <c r="M632" s="62" t="n">
        <v>5</v>
      </c>
      <c r="N632" s="9" t="inlineStr">
        <is>
          <t>Amazon link not found</t>
        </is>
      </c>
      <c r="O632" s="62">
        <f>IF(N632="Selling pet toys + Artificial grass/Pet toilets (TARGET)",15,IF(N632="Selling artificial grass/pet toilets (TARGET)",10,IF(N632="Selling pet toys",7,IF(N632="There's an Amazon link, but no target sales.",3,0))))</f>
        <v/>
      </c>
      <c r="P632" s="67">
        <f>H632+J632+L632+M632+O632</f>
        <v/>
      </c>
      <c r="Q632" s="70" t="inlineStr">
        <is>
          <t>Excluded: Hiệp hội &amp; CLB Phả hệ (Mục 5.1)</t>
        </is>
      </c>
      <c r="R632" s="9" t="inlineStr">
        <is>
          <t>Trọn gói Take-Home Starter Kit V2/V3 (Cỏ nhân tạo + Khay Potty + Đồ chơi Teething/Snuggle)</t>
        </is>
      </c>
      <c r="S632" s="9" t="inlineStr">
        <is>
          <t>Tuyệt đối không đưa vào CRM (Vi phạm Bộ lọc Âm tính Mục 5)</t>
        </is>
      </c>
    </row>
    <row r="633">
      <c r="A633" s="53" t="n">
        <v>1424</v>
      </c>
      <c r="B633" s="12" t="inlineStr">
        <is>
          <t>Foster Creek Veterinary Hospital</t>
        </is>
      </c>
      <c r="C633" s="54" t="inlineStr">
        <is>
          <t>https://www.facebook.com/fostercreekveterinaryhospital</t>
        </is>
      </c>
      <c r="D633" s="6" t="inlineStr">
        <is>
          <t>Cần quét Bio Fanpage</t>
        </is>
      </c>
      <c r="E633" s="53" t="inlineStr">
        <is>
          <t>02/10/2026 23:01:20</t>
        </is>
      </c>
      <c r="F633" s="53" t="inlineStr">
        <is>
          <t>1 tuần trước</t>
        </is>
      </c>
      <c r="G633" s="55" t="n">
        <v>7</v>
      </c>
      <c r="H633" s="56" t="n">
        <v>20</v>
      </c>
      <c r="I633" s="6" t="inlineStr">
        <is>
          <t>Pet Rescue / Trạm cứu trợ (14-16đ)</t>
        </is>
      </c>
      <c r="J633" s="56" t="n">
        <v>14</v>
      </c>
      <c r="K633" s="6" t="inlineStr">
        <is>
          <t>Chưa rõ giống (Cần quét Bio)</t>
        </is>
      </c>
      <c r="L633" s="56" t="n">
        <v>0</v>
      </c>
      <c r="M633" s="56" t="n">
        <v>0</v>
      </c>
      <c r="N633" s="6" t="inlineStr">
        <is>
          <t>Amazon link not found</t>
        </is>
      </c>
      <c r="O633" s="56">
        <f>IF(N633="Selling pet toys + Artificial grass/Pet toilets (TARGET)",15,IF(N633="Selling artificial grass/pet toilets (TARGET)",10,IF(N633="Selling pet toys",7,IF(N633="There's an Amazon link, but no target sales.",3,0))))</f>
        <v/>
      </c>
      <c r="P633" s="65">
        <f>H633+J633+L633+M633+O633</f>
        <v/>
      </c>
      <c r="Q633" s="71" t="inlineStr">
        <is>
          <t>Excluded: Công ty Gen DNA &amp; Thú y (Mục 5.4)</t>
        </is>
      </c>
      <c r="R633" s="6" t="inlineStr">
        <is>
          <t>Nhà vệ sinh &amp; Tã lót (Potty Tray / Pee Pads) + Cỏ nhân tạo lót chuồng</t>
        </is>
      </c>
      <c r="S633" s="6" t="inlineStr">
        <is>
          <t>Tuyệt đối không đưa vào CRM (Vi phạm Bộ lọc Âm tính Mục 5)</t>
        </is>
      </c>
    </row>
    <row r="634">
      <c r="A634" s="59" t="n">
        <v>902</v>
      </c>
      <c r="B634" s="15" t="inlineStr">
        <is>
          <t>City of Selma Animal Services</t>
        </is>
      </c>
      <c r="C634" s="60" t="inlineStr">
        <is>
          <t>https://www.facebook.com/cityofselmaanimalservices</t>
        </is>
      </c>
      <c r="D634" s="9" t="inlineStr">
        <is>
          <t>Cần quét Bio Fanpage</t>
        </is>
      </c>
      <c r="E634" s="59" t="inlineStr">
        <is>
          <t>23/09/2026 22:32:51</t>
        </is>
      </c>
      <c r="F634" s="59" t="inlineStr">
        <is>
          <t>2 tuần trước</t>
        </is>
      </c>
      <c r="G634" s="61" t="n">
        <v>14</v>
      </c>
      <c r="H634" s="62" t="n">
        <v>15</v>
      </c>
      <c r="I634" s="9" t="inlineStr">
        <is>
          <t>Pet Rescue / Trạm cứu trợ (14-16đ)</t>
        </is>
      </c>
      <c r="J634" s="62" t="n">
        <v>14</v>
      </c>
      <c r="K634" s="9" t="inlineStr">
        <is>
          <t>Chưa rõ giống (Cần quét Bio)</t>
        </is>
      </c>
      <c r="L634" s="62" t="n">
        <v>0</v>
      </c>
      <c r="M634" s="62" t="n">
        <v>5</v>
      </c>
      <c r="N634" s="9" t="inlineStr">
        <is>
          <t>Amazon link not found</t>
        </is>
      </c>
      <c r="O634" s="62">
        <f>IF(N634="Selling pet toys + Artificial grass/Pet toilets (TARGET)",15,IF(N634="Selling artificial grass/pet toilets (TARGET)",10,IF(N634="Selling pet toys",7,IF(N634="There's an Amazon link, but no target sales.",3,0))))</f>
        <v/>
      </c>
      <c r="P634" s="67">
        <f>H634+J634+L634+M634+O634</f>
        <v/>
      </c>
      <c r="Q634" s="70" t="inlineStr">
        <is>
          <t>Excluded: Trang Chung / Không rõ Ngách Cún cưng</t>
        </is>
      </c>
      <c r="R634" s="9" t="inlineStr">
        <is>
          <t>Nhà vệ sinh &amp; Tã lót (Potty Tray / Pee Pads) + Cỏ nhân tạo lót chuồng</t>
        </is>
      </c>
      <c r="S634" s="9" t="inlineStr">
        <is>
          <t>Tuyệt đối không đưa vào CRM (Vi phạm Bộ lọc Âm tính Mục 5)</t>
        </is>
      </c>
    </row>
    <row r="635">
      <c r="A635" s="53" t="n">
        <v>3163</v>
      </c>
      <c r="B635" s="12" t="inlineStr">
        <is>
          <t>The Switchback Farm</t>
        </is>
      </c>
      <c r="C635" s="54" t="inlineStr">
        <is>
          <t>https://www.facebook.com/ORGANICVEGGIES1</t>
        </is>
      </c>
      <c r="D635" s="6" t="inlineStr">
        <is>
          <t>Cần quét Bio Fanpage</t>
        </is>
      </c>
      <c r="E635" s="53" t="inlineStr">
        <is>
          <t>13/09/2026 05:45:45</t>
        </is>
      </c>
      <c r="F635" s="53" t="inlineStr">
        <is>
          <t>1 tháng trước</t>
        </is>
      </c>
      <c r="G635" s="55" t="n">
        <v>30</v>
      </c>
      <c r="H635" s="56" t="n">
        <v>0</v>
      </c>
      <c r="I635" s="6" t="inlineStr">
        <is>
          <t>Dog Breeder / Trại nhân giống (28-30đ)</t>
        </is>
      </c>
      <c r="J635" s="56" t="n">
        <v>28</v>
      </c>
      <c r="K635" s="6" t="inlineStr">
        <is>
          <t>Chưa rõ giống (Cần quét Bio)</t>
        </is>
      </c>
      <c r="L635" s="56" t="n">
        <v>0</v>
      </c>
      <c r="M635" s="56" t="n">
        <v>5</v>
      </c>
      <c r="N635" s="6" t="inlineStr">
        <is>
          <t>Amazon link not found</t>
        </is>
      </c>
      <c r="O635" s="56">
        <f>IF(N635="Selling pet toys + Artificial grass/Pet toilets (TARGET)",15,IF(N635="Selling artificial grass/pet toilets (TARGET)",10,IF(N635="Selling pet toys",7,IF(N635="There's an Amazon link, but no target sales.",3,0))))</f>
        <v/>
      </c>
      <c r="P635" s="65">
        <f>H635+J635+L635+M635+O635</f>
        <v/>
      </c>
      <c r="Q635" s="71" t="inlineStr">
        <is>
          <t>Excluded: Trang Chung / Không rõ Ngách Cún cưng</t>
        </is>
      </c>
      <c r="R635" s="6" t="inlineStr">
        <is>
          <t>Trọn gói Take-Home Starter Kit V2/V3 (Cỏ nhân tạo + Khay Potty + Đồ chơi cún con)</t>
        </is>
      </c>
      <c r="S635" s="6" t="inlineStr">
        <is>
          <t>Tuyệt đối không đưa vào CRM (Vi phạm Bộ lọc Âm tính Mục 5)</t>
        </is>
      </c>
    </row>
    <row r="636">
      <c r="A636" s="59" t="n">
        <v>3401</v>
      </c>
      <c r="B636" s="15" t="inlineStr">
        <is>
          <t>Whispering Pines Farm</t>
        </is>
      </c>
      <c r="C636" s="60" t="inlineStr">
        <is>
          <t>https://www.facebook.com/profile.php?id=100063737822507</t>
        </is>
      </c>
      <c r="D636" s="9" t="inlineStr">
        <is>
          <t>Cần quét Bio Fanpage</t>
        </is>
      </c>
      <c r="E636" s="59" t="inlineStr">
        <is>
          <t>13/09/2026 04:58:00</t>
        </is>
      </c>
      <c r="F636" s="59" t="inlineStr">
        <is>
          <t>1 tháng trước</t>
        </is>
      </c>
      <c r="G636" s="61" t="n">
        <v>30</v>
      </c>
      <c r="H636" s="62" t="n">
        <v>0</v>
      </c>
      <c r="I636" s="9" t="inlineStr">
        <is>
          <t>Dog Breeder / Trại nhân giống (28-30đ)</t>
        </is>
      </c>
      <c r="J636" s="62" t="n">
        <v>28</v>
      </c>
      <c r="K636" s="9" t="inlineStr">
        <is>
          <t>Chưa rõ giống (Cần quét Bio)</t>
        </is>
      </c>
      <c r="L636" s="62" t="n">
        <v>0</v>
      </c>
      <c r="M636" s="62" t="n">
        <v>5</v>
      </c>
      <c r="N636" s="9" t="inlineStr">
        <is>
          <t>Amazon link not found</t>
        </is>
      </c>
      <c r="O636" s="62">
        <f>IF(N636="Selling pet toys + Artificial grass/Pet toilets (TARGET)",15,IF(N636="Selling artificial grass/pet toilets (TARGET)",10,IF(N636="Selling pet toys",7,IF(N636="There's an Amazon link, but no target sales.",3,0))))</f>
        <v/>
      </c>
      <c r="P636" s="67">
        <f>H636+J636+L636+M636+O636</f>
        <v/>
      </c>
      <c r="Q636" s="70" t="inlineStr">
        <is>
          <t>Excluded: Trang Chung / Không rõ Ngách Cún cưng</t>
        </is>
      </c>
      <c r="R636" s="9" t="inlineStr">
        <is>
          <t>Trọn gói Take-Home Starter Kit V2/V3 (Cỏ nhân tạo + Khay Potty + Đồ chơi cún con)</t>
        </is>
      </c>
      <c r="S636" s="9" t="inlineStr">
        <is>
          <t>Tuyệt đối không đưa vào CRM (Vi phạm Bộ lọc Âm tính Mục 5)</t>
        </is>
      </c>
    </row>
    <row r="637">
      <c r="A637" s="53" t="n">
        <v>2353</v>
      </c>
      <c r="B637" s="12" t="inlineStr">
        <is>
          <t>Old Silo Farm</t>
        </is>
      </c>
      <c r="C637" s="54" t="inlineStr">
        <is>
          <t>https://www.facebook.com/oldsilofarm904</t>
        </is>
      </c>
      <c r="D637" s="6" t="inlineStr">
        <is>
          <t>Cần quét Bio Fanpage</t>
        </is>
      </c>
      <c r="E637" s="53" t="inlineStr">
        <is>
          <t>12/09/2026 10:06:54</t>
        </is>
      </c>
      <c r="F637" s="53" t="inlineStr">
        <is>
          <t>1 tháng trước</t>
        </is>
      </c>
      <c r="G637" s="55" t="n">
        <v>30</v>
      </c>
      <c r="H637" s="56" t="n">
        <v>0</v>
      </c>
      <c r="I637" s="6" t="inlineStr">
        <is>
          <t>Dog Breeder / Trại nhân giống (28-30đ)</t>
        </is>
      </c>
      <c r="J637" s="56" t="n">
        <v>28</v>
      </c>
      <c r="K637" s="6" t="inlineStr">
        <is>
          <t>Chưa rõ giống (Cần quét Bio)</t>
        </is>
      </c>
      <c r="L637" s="56" t="n">
        <v>0</v>
      </c>
      <c r="M637" s="56" t="n">
        <v>5</v>
      </c>
      <c r="N637" s="6" t="inlineStr">
        <is>
          <t>Amazon link not found</t>
        </is>
      </c>
      <c r="O637" s="56">
        <f>IF(N637="Selling pet toys + Artificial grass/Pet toilets (TARGET)",15,IF(N637="Selling artificial grass/pet toilets (TARGET)",10,IF(N637="Selling pet toys",7,IF(N637="There's an Amazon link, but no target sales.",3,0))))</f>
        <v/>
      </c>
      <c r="P637" s="65">
        <f>H637+J637+L637+M637+O637</f>
        <v/>
      </c>
      <c r="Q637" s="71" t="inlineStr">
        <is>
          <t>Excluded: Trang Chung / Không rõ Ngách Cún cưng</t>
        </is>
      </c>
      <c r="R637" s="6" t="inlineStr">
        <is>
          <t>Trọn gói Take-Home Starter Kit V2/V3 (Cỏ nhân tạo + Khay Potty + Đồ chơi cún con)</t>
        </is>
      </c>
      <c r="S637" s="6" t="inlineStr">
        <is>
          <t>Tuyệt đối không đưa vào CRM (Vi phạm Bộ lọc Âm tính Mục 5)</t>
        </is>
      </c>
    </row>
    <row r="638">
      <c r="A638" s="59" t="n">
        <v>1366</v>
      </c>
      <c r="B638" s="15" t="inlineStr">
        <is>
          <t>Fenner Forest Farm</t>
        </is>
      </c>
      <c r="C638" s="60" t="inlineStr">
        <is>
          <t>https://www.facebook.com/FennerForestFarm</t>
        </is>
      </c>
      <c r="D638" s="9" t="inlineStr">
        <is>
          <t>Cần quét Bio Fanpage</t>
        </is>
      </c>
      <c r="E638" s="59" t="inlineStr">
        <is>
          <t>09/09/2026 22:23:13</t>
        </is>
      </c>
      <c r="F638" s="59" t="inlineStr">
        <is>
          <t>1 tháng trước</t>
        </is>
      </c>
      <c r="G638" s="61" t="n">
        <v>30</v>
      </c>
      <c r="H638" s="62" t="n">
        <v>0</v>
      </c>
      <c r="I638" s="9" t="inlineStr">
        <is>
          <t>Dog Breeder / Trại nhân giống (28-30đ)</t>
        </is>
      </c>
      <c r="J638" s="62" t="n">
        <v>28</v>
      </c>
      <c r="K638" s="9" t="inlineStr">
        <is>
          <t>Chưa rõ giống (Cần quét Bio)</t>
        </is>
      </c>
      <c r="L638" s="62" t="n">
        <v>0</v>
      </c>
      <c r="M638" s="62" t="n">
        <v>5</v>
      </c>
      <c r="N638" s="9" t="inlineStr">
        <is>
          <t>Amazon link not found</t>
        </is>
      </c>
      <c r="O638" s="62">
        <f>IF(N638="Selling pet toys + Artificial grass/Pet toilets (TARGET)",15,IF(N638="Selling artificial grass/pet toilets (TARGET)",10,IF(N638="Selling pet toys",7,IF(N638="There's an Amazon link, but no target sales.",3,0))))</f>
        <v/>
      </c>
      <c r="P638" s="67">
        <f>H638+J638+L638+M638+O638</f>
        <v/>
      </c>
      <c r="Q638" s="70" t="inlineStr">
        <is>
          <t>Excluded: Trang Chung / Không rõ Ngách Cún cưng</t>
        </is>
      </c>
      <c r="R638" s="9" t="inlineStr">
        <is>
          <t>Trọn gói Take-Home Starter Kit V2/V3 (Cỏ nhân tạo + Khay Potty + Đồ chơi cún con)</t>
        </is>
      </c>
      <c r="S638" s="9" t="inlineStr">
        <is>
          <t>Tuyệt đối không đưa vào CRM (Vi phạm Bộ lọc Âm tính Mục 5)</t>
        </is>
      </c>
    </row>
    <row r="639">
      <c r="A639" s="53" t="n">
        <v>2720</v>
      </c>
      <c r="B639" s="12" t="inlineStr">
        <is>
          <t>Regenerative Farming Collective Inc</t>
        </is>
      </c>
      <c r="C639" s="54" t="inlineStr">
        <is>
          <t>https://www.facebook.com/regenfarmingcollective</t>
        </is>
      </c>
      <c r="D639" s="6" t="inlineStr">
        <is>
          <t>Cần quét Bio Fanpage</t>
        </is>
      </c>
      <c r="E639" s="53" t="inlineStr">
        <is>
          <t>09/09/2026 16:54:38</t>
        </is>
      </c>
      <c r="F639" s="53" t="inlineStr">
        <is>
          <t>1 tháng trước</t>
        </is>
      </c>
      <c r="G639" s="55" t="n">
        <v>30</v>
      </c>
      <c r="H639" s="56" t="n">
        <v>0</v>
      </c>
      <c r="I639" s="6" t="inlineStr">
        <is>
          <t>Dog Breeder / Trại nhân giống (28-30đ)</t>
        </is>
      </c>
      <c r="J639" s="56" t="n">
        <v>28</v>
      </c>
      <c r="K639" s="6" t="inlineStr">
        <is>
          <t>Chưa rõ giống (Cần quét Bio)</t>
        </is>
      </c>
      <c r="L639" s="56" t="n">
        <v>0</v>
      </c>
      <c r="M639" s="56" t="n">
        <v>5</v>
      </c>
      <c r="N639" s="6" t="inlineStr">
        <is>
          <t>Amazon link not found</t>
        </is>
      </c>
      <c r="O639" s="56">
        <f>IF(N639="Selling pet toys + Artificial grass/Pet toilets (TARGET)",15,IF(N639="Selling artificial grass/pet toilets (TARGET)",10,IF(N639="Selling pet toys",7,IF(N639="There's an Amazon link, but no target sales.",3,0))))</f>
        <v/>
      </c>
      <c r="P639" s="65">
        <f>H639+J639+L639+M639+O639</f>
        <v/>
      </c>
      <c r="Q639" s="71" t="inlineStr">
        <is>
          <t>Excluded: Trang Chung / Không rõ Ngách Cún cưng</t>
        </is>
      </c>
      <c r="R639" s="6" t="inlineStr">
        <is>
          <t>Trọn gói Take-Home Starter Kit V2/V3 (Cỏ nhân tạo + Khay Potty + Đồ chơi cún con)</t>
        </is>
      </c>
      <c r="S639" s="6" t="inlineStr">
        <is>
          <t>Tuyệt đối không đưa vào CRM (Vi phạm Bộ lọc Âm tính Mục 5)</t>
        </is>
      </c>
    </row>
    <row r="640">
      <c r="A640" s="59" t="n">
        <v>120</v>
      </c>
      <c r="B640" s="15" t="inlineStr">
        <is>
          <t>Bradley Farms</t>
        </is>
      </c>
      <c r="C640" s="60" t="inlineStr">
        <is>
          <t>https://www.facebook.com/bradleyshrops</t>
        </is>
      </c>
      <c r="D640" s="9" t="inlineStr">
        <is>
          <t>Cần quét Bio Fanpage</t>
        </is>
      </c>
      <c r="E640" s="59" t="inlineStr">
        <is>
          <t>09/09/2026 13:45:38</t>
        </is>
      </c>
      <c r="F640" s="59" t="inlineStr">
        <is>
          <t>1 tháng trước</t>
        </is>
      </c>
      <c r="G640" s="61" t="n">
        <v>30</v>
      </c>
      <c r="H640" s="62" t="n">
        <v>0</v>
      </c>
      <c r="I640" s="9" t="inlineStr">
        <is>
          <t>Dog Breeder / Trại nhân giống (28-30đ)</t>
        </is>
      </c>
      <c r="J640" s="62" t="n">
        <v>28</v>
      </c>
      <c r="K640" s="9" t="inlineStr">
        <is>
          <t>Chưa rõ giống (Cần quét Bio)</t>
        </is>
      </c>
      <c r="L640" s="62" t="n">
        <v>0</v>
      </c>
      <c r="M640" s="62" t="n">
        <v>5</v>
      </c>
      <c r="N640" s="9" t="inlineStr">
        <is>
          <t>Amazon link not found</t>
        </is>
      </c>
      <c r="O640" s="62">
        <f>IF(N640="Selling pet toys + Artificial grass/Pet toilets (TARGET)",15,IF(N640="Selling artificial grass/pet toilets (TARGET)",10,IF(N640="Selling pet toys",7,IF(N640="There's an Amazon link, but no target sales.",3,0))))</f>
        <v/>
      </c>
      <c r="P640" s="67">
        <f>H640+J640+L640+M640+O640</f>
        <v/>
      </c>
      <c r="Q640" s="70" t="inlineStr">
        <is>
          <t>Excluded: Trang Chung / Không rõ Ngách Cún cưng</t>
        </is>
      </c>
      <c r="R640" s="9" t="inlineStr">
        <is>
          <t>Trọn gói Take-Home Starter Kit V2/V3 (Cỏ nhân tạo + Khay Potty + Đồ chơi cún con)</t>
        </is>
      </c>
      <c r="S640" s="9" t="inlineStr">
        <is>
          <t>Tuyệt đối không đưa vào CRM (Vi phạm Bộ lọc Âm tính Mục 5)</t>
        </is>
      </c>
    </row>
    <row r="641">
      <c r="A641" s="53" t="n">
        <v>3048</v>
      </c>
      <c r="B641" s="12" t="inlineStr">
        <is>
          <t>T&amp;T Farms</t>
        </is>
      </c>
      <c r="C641" s="54" t="inlineStr">
        <is>
          <t>https://www.facebook.com/profile.php?id=61562035596532</t>
        </is>
      </c>
      <c r="D641" s="6" t="inlineStr">
        <is>
          <t>Cần quét Bio Fanpage</t>
        </is>
      </c>
      <c r="E641" s="53" t="inlineStr">
        <is>
          <t>01/09/2026 20:30:17</t>
        </is>
      </c>
      <c r="F641" s="53" t="inlineStr">
        <is>
          <t>1 tháng trước</t>
        </is>
      </c>
      <c r="G641" s="55" t="n">
        <v>30</v>
      </c>
      <c r="H641" s="56" t="n">
        <v>0</v>
      </c>
      <c r="I641" s="6" t="inlineStr">
        <is>
          <t>Dog Breeder / Trại nhân giống (28-30đ)</t>
        </is>
      </c>
      <c r="J641" s="56" t="n">
        <v>28</v>
      </c>
      <c r="K641" s="6" t="inlineStr">
        <is>
          <t>Chưa rõ giống (Cần quét Bio)</t>
        </is>
      </c>
      <c r="L641" s="56" t="n">
        <v>0</v>
      </c>
      <c r="M641" s="56" t="n">
        <v>5</v>
      </c>
      <c r="N641" s="6" t="inlineStr">
        <is>
          <t>Amazon link not found</t>
        </is>
      </c>
      <c r="O641" s="56">
        <f>IF(N641="Selling pet toys + Artificial grass/Pet toilets (TARGET)",15,IF(N641="Selling artificial grass/pet toilets (TARGET)",10,IF(N641="Selling pet toys",7,IF(N641="There's an Amazon link, but no target sales.",3,0))))</f>
        <v/>
      </c>
      <c r="P641" s="65">
        <f>H641+J641+L641+M641+O641</f>
        <v/>
      </c>
      <c r="Q641" s="71" t="inlineStr">
        <is>
          <t>Excluded: Trang Chung / Không rõ Ngách Cún cưng</t>
        </is>
      </c>
      <c r="R641" s="6" t="inlineStr">
        <is>
          <t>Trọn gói Take-Home Starter Kit V2/V3 (Cỏ nhân tạo + Khay Potty + Đồ chơi cún con)</t>
        </is>
      </c>
      <c r="S641" s="6" t="inlineStr">
        <is>
          <t>Tuyệt đối không đưa vào CRM (Vi phạm Bộ lọc Âm tính Mục 5)</t>
        </is>
      </c>
    </row>
    <row r="642">
      <c r="A642" s="59" t="n">
        <v>641</v>
      </c>
      <c r="B642" s="15" t="inlineStr">
        <is>
          <t>Bernese Mountain Dog Club of Northeastern Illinois</t>
        </is>
      </c>
      <c r="C642" s="60" t="inlineStr">
        <is>
          <t>https://www.facebook.com/BMDCNI</t>
        </is>
      </c>
      <c r="D642" s="9" t="inlineStr">
        <is>
          <t>Cần quét Bio Fanpage</t>
        </is>
      </c>
      <c r="E642" s="59" t="inlineStr">
        <is>
          <t>26/08/2026 07:25:57</t>
        </is>
      </c>
      <c r="F642" s="59" t="inlineStr">
        <is>
          <t>1 tháng trước</t>
        </is>
      </c>
      <c r="G642" s="61" t="n">
        <v>30</v>
      </c>
      <c r="H642" s="62" t="n">
        <v>0</v>
      </c>
      <c r="I642" s="9" t="inlineStr">
        <is>
          <t>Dog Breeder / Trại chó chuyên nghiệp (28-30đ)</t>
        </is>
      </c>
      <c r="J642" s="62" t="n">
        <v>28</v>
      </c>
      <c r="K642" s="9" t="inlineStr">
        <is>
          <t>Bernese Mountain Dog</t>
        </is>
      </c>
      <c r="L642" s="62" t="n">
        <v>5</v>
      </c>
      <c r="M642" s="62" t="n">
        <v>0</v>
      </c>
      <c r="N642" s="9" t="inlineStr">
        <is>
          <t>Amazon link not found</t>
        </is>
      </c>
      <c r="O642" s="62">
        <f>IF(N642="Selling pet toys + Artificial grass/Pet toilets (TARGET)",15,IF(N642="Selling artificial grass/pet toilets (TARGET)",10,IF(N642="Selling pet toys",7,IF(N642="There's an Amazon link, but no target sales.",3,0))))</f>
        <v/>
      </c>
      <c r="P642" s="67">
        <f>H642+J642+L642+M642+O642</f>
        <v/>
      </c>
      <c r="Q642" s="70" t="inlineStr">
        <is>
          <t>Excluded: Hiệp hội &amp; CLB Phả hệ (Mục 5.1)</t>
        </is>
      </c>
      <c r="R642" s="9" t="inlineStr">
        <is>
          <t>Trọn gói Take-Home Starter Kit V2/V3 (Cỏ nhân tạo + Khay Potty + Đồ chơi Teething/Snuggle)</t>
        </is>
      </c>
      <c r="S642" s="9" t="inlineStr">
        <is>
          <t>Tuyệt đối không đưa vào CRM (Vi phạm Bộ lọc Âm tính Mục 5)</t>
        </is>
      </c>
    </row>
    <row r="643">
      <c r="A643" s="53" t="n">
        <v>3304</v>
      </c>
      <c r="B643" s="12" t="inlineStr">
        <is>
          <t>Vetbeddinguk</t>
        </is>
      </c>
      <c r="C643" s="54" t="inlineStr">
        <is>
          <t>https://www.facebook.com/vetbeddinguk.co.uk</t>
        </is>
      </c>
      <c r="D643" s="6" t="inlineStr">
        <is>
          <t>Cần quét Bio Fanpage</t>
        </is>
      </c>
      <c r="E643" s="53" t="inlineStr">
        <is>
          <t>24/08/2026 19:41:44</t>
        </is>
      </c>
      <c r="F643" s="53" t="inlineStr">
        <is>
          <t>1 tháng trước</t>
        </is>
      </c>
      <c r="G643" s="55" t="n">
        <v>30</v>
      </c>
      <c r="H643" s="56" t="n">
        <v>0</v>
      </c>
      <c r="I643" s="6" t="inlineStr">
        <is>
          <t>Dog Breeder / Trại nhân giống (28-30đ)</t>
        </is>
      </c>
      <c r="J643" s="56" t="n">
        <v>28</v>
      </c>
      <c r="K643" s="6" t="inlineStr">
        <is>
          <t>Chưa rõ giống (Cần quét Bio)</t>
        </is>
      </c>
      <c r="L643" s="56" t="n">
        <v>0</v>
      </c>
      <c r="M643" s="56" t="n">
        <v>5</v>
      </c>
      <c r="N643" s="6" t="inlineStr">
        <is>
          <t>Amazon link not found</t>
        </is>
      </c>
      <c r="O643" s="56">
        <f>IF(N643="Selling pet toys + Artificial grass/Pet toilets (TARGET)",15,IF(N643="Selling artificial grass/pet toilets (TARGET)",10,IF(N643="Selling pet toys",7,IF(N643="There's an Amazon link, but no target sales.",3,0))))</f>
        <v/>
      </c>
      <c r="P643" s="65">
        <f>H643+J643+L643+M643+O643</f>
        <v/>
      </c>
      <c r="Q643" s="71" t="inlineStr">
        <is>
          <t>Excluded: Trang Chung / Không rõ Ngách Cún cưng</t>
        </is>
      </c>
      <c r="R643" s="6" t="inlineStr">
        <is>
          <t>Trọn gói Take-Home Starter Kit V2/V3 (Cỏ nhân tạo + Khay Potty + Đồ chơi cún con)</t>
        </is>
      </c>
      <c r="S643" s="6" t="inlineStr">
        <is>
          <t>Tuyệt đối không đưa vào CRM (Vi phạm Bộ lọc Âm tính Mục 5)</t>
        </is>
      </c>
    </row>
    <row r="644">
      <c r="A644" s="59" t="n">
        <v>1393</v>
      </c>
      <c r="B644" s="15" t="inlineStr">
        <is>
          <t>Fitch Farm</t>
        </is>
      </c>
      <c r="C644" s="60" t="inlineStr">
        <is>
          <t>https://www.facebook.com/ourfitchfarm</t>
        </is>
      </c>
      <c r="D644" s="9" t="inlineStr">
        <is>
          <t>Cần quét Bio Fanpage</t>
        </is>
      </c>
      <c r="E644" s="59" t="inlineStr">
        <is>
          <t>23/08/2026 06:57:22</t>
        </is>
      </c>
      <c r="F644" s="59" t="inlineStr">
        <is>
          <t>1 tháng trước</t>
        </is>
      </c>
      <c r="G644" s="61" t="n">
        <v>30</v>
      </c>
      <c r="H644" s="62" t="n">
        <v>0</v>
      </c>
      <c r="I644" s="9" t="inlineStr">
        <is>
          <t>Dog Breeder / Trại nhân giống (28-30đ)</t>
        </is>
      </c>
      <c r="J644" s="62" t="n">
        <v>28</v>
      </c>
      <c r="K644" s="9" t="inlineStr">
        <is>
          <t>Chưa rõ giống (Cần quét Bio)</t>
        </is>
      </c>
      <c r="L644" s="62" t="n">
        <v>0</v>
      </c>
      <c r="M644" s="62" t="n">
        <v>5</v>
      </c>
      <c r="N644" s="9" t="inlineStr">
        <is>
          <t>Amazon link not found</t>
        </is>
      </c>
      <c r="O644" s="62">
        <f>IF(N644="Selling pet toys + Artificial grass/Pet toilets (TARGET)",15,IF(N644="Selling artificial grass/pet toilets (TARGET)",10,IF(N644="Selling pet toys",7,IF(N644="There's an Amazon link, but no target sales.",3,0))))</f>
        <v/>
      </c>
      <c r="P644" s="67">
        <f>H644+J644+L644+M644+O644</f>
        <v/>
      </c>
      <c r="Q644" s="70" t="inlineStr">
        <is>
          <t>Excluded: Trang Chung / Không rõ Ngách Cún cưng</t>
        </is>
      </c>
      <c r="R644" s="9" t="inlineStr">
        <is>
          <t>Trọn gói Take-Home Starter Kit V2/V3 (Cỏ nhân tạo + Khay Potty + Đồ chơi cún con)</t>
        </is>
      </c>
      <c r="S644" s="9" t="inlineStr">
        <is>
          <t>Tuyệt đối không đưa vào CRM (Vi phạm Bộ lọc Âm tính Mục 5)</t>
        </is>
      </c>
    </row>
    <row r="645">
      <c r="A645" s="53" t="n">
        <v>3024</v>
      </c>
      <c r="B645" s="12" t="inlineStr">
        <is>
          <t>Sunshine's Farm</t>
        </is>
      </c>
      <c r="C645" s="54" t="inlineStr">
        <is>
          <t>https://www.facebook.com/SunshinesFarmStand</t>
        </is>
      </c>
      <c r="D645" s="6" t="inlineStr">
        <is>
          <t>Cần quét Bio Fanpage</t>
        </is>
      </c>
      <c r="E645" s="53" t="inlineStr">
        <is>
          <t>22/08/2026 08:04:20</t>
        </is>
      </c>
      <c r="F645" s="53" t="inlineStr">
        <is>
          <t>1 tháng trước</t>
        </is>
      </c>
      <c r="G645" s="55" t="n">
        <v>30</v>
      </c>
      <c r="H645" s="56" t="n">
        <v>0</v>
      </c>
      <c r="I645" s="6" t="inlineStr">
        <is>
          <t>Dog Breeder / Trại nhân giống (28-30đ)</t>
        </is>
      </c>
      <c r="J645" s="56" t="n">
        <v>28</v>
      </c>
      <c r="K645" s="6" t="inlineStr">
        <is>
          <t>Chưa rõ giống (Cần quét Bio)</t>
        </is>
      </c>
      <c r="L645" s="56" t="n">
        <v>0</v>
      </c>
      <c r="M645" s="56" t="n">
        <v>5</v>
      </c>
      <c r="N645" s="6" t="inlineStr">
        <is>
          <t>Amazon link not found</t>
        </is>
      </c>
      <c r="O645" s="56">
        <f>IF(N645="Selling pet toys + Artificial grass/Pet toilets (TARGET)",15,IF(N645="Selling artificial grass/pet toilets (TARGET)",10,IF(N645="Selling pet toys",7,IF(N645="There's an Amazon link, but no target sales.",3,0))))</f>
        <v/>
      </c>
      <c r="P645" s="65">
        <f>H645+J645+L645+M645+O645</f>
        <v/>
      </c>
      <c r="Q645" s="71" t="inlineStr">
        <is>
          <t>Excluded: Trang Chung / Không rõ Ngách Cún cưng</t>
        </is>
      </c>
      <c r="R645" s="6" t="inlineStr">
        <is>
          <t>Trọn gói Take-Home Starter Kit V2/V3 (Cỏ nhân tạo + Khay Potty + Đồ chơi cún con)</t>
        </is>
      </c>
      <c r="S645" s="6" t="inlineStr">
        <is>
          <t>Tuyệt đối không đưa vào CRM (Vi phạm Bộ lọc Âm tính Mục 5)</t>
        </is>
      </c>
    </row>
    <row r="646">
      <c r="A646" s="59" t="n">
        <v>2044</v>
      </c>
      <c r="B646" s="15" t="inlineStr">
        <is>
          <t>Lockbriar Farms</t>
        </is>
      </c>
      <c r="C646" s="60" t="inlineStr">
        <is>
          <t>https://www.facebook.com/lockbriarfarms</t>
        </is>
      </c>
      <c r="D646" s="9" t="inlineStr">
        <is>
          <t>Cần quét Bio Fanpage</t>
        </is>
      </c>
      <c r="E646" s="59" t="inlineStr">
        <is>
          <t>21/08/2026 03:19:22</t>
        </is>
      </c>
      <c r="F646" s="59" t="inlineStr">
        <is>
          <t>1 tháng trước</t>
        </is>
      </c>
      <c r="G646" s="61" t="n">
        <v>30</v>
      </c>
      <c r="H646" s="62" t="n">
        <v>0</v>
      </c>
      <c r="I646" s="9" t="inlineStr">
        <is>
          <t>Dog Breeder / Trại nhân giống (28-30đ)</t>
        </is>
      </c>
      <c r="J646" s="62" t="n">
        <v>28</v>
      </c>
      <c r="K646" s="9" t="inlineStr">
        <is>
          <t>Chưa rõ giống (Cần quét Bio)</t>
        </is>
      </c>
      <c r="L646" s="62" t="n">
        <v>0</v>
      </c>
      <c r="M646" s="62" t="n">
        <v>5</v>
      </c>
      <c r="N646" s="9" t="inlineStr">
        <is>
          <t>Amazon link not found</t>
        </is>
      </c>
      <c r="O646" s="62">
        <f>IF(N646="Selling pet toys + Artificial grass/Pet toilets (TARGET)",15,IF(N646="Selling artificial grass/pet toilets (TARGET)",10,IF(N646="Selling pet toys",7,IF(N646="There's an Amazon link, but no target sales.",3,0))))</f>
        <v/>
      </c>
      <c r="P646" s="67">
        <f>H646+J646+L646+M646+O646</f>
        <v/>
      </c>
      <c r="Q646" s="70" t="inlineStr">
        <is>
          <t>Excluded: Trang Chung / Không rõ Ngách Cún cưng</t>
        </is>
      </c>
      <c r="R646" s="9" t="inlineStr">
        <is>
          <t>Trọn gói Take-Home Starter Kit V2/V3 (Cỏ nhân tạo + Khay Potty + Đồ chơi cún con)</t>
        </is>
      </c>
      <c r="S646" s="9" t="inlineStr">
        <is>
          <t>Tuyệt đối không đưa vào CRM (Vi phạm Bộ lọc Âm tính Mục 5)</t>
        </is>
      </c>
    </row>
    <row r="647">
      <c r="A647" s="53" t="n">
        <v>2130</v>
      </c>
      <c r="B647" s="12" t="inlineStr">
        <is>
          <t>Mason-Dixon Bernese Mountain Dog Club</t>
        </is>
      </c>
      <c r="C647" s="54" t="inlineStr">
        <is>
          <t>https://www.facebook.com/MDBMDC</t>
        </is>
      </c>
      <c r="D647" s="6" t="inlineStr">
        <is>
          <t>Cần quét Bio Fanpage</t>
        </is>
      </c>
      <c r="E647" s="53" t="inlineStr">
        <is>
          <t>19/08/2026 19:44:16</t>
        </is>
      </c>
      <c r="F647" s="53" t="inlineStr">
        <is>
          <t>1 tháng trước</t>
        </is>
      </c>
      <c r="G647" s="55" t="n">
        <v>30</v>
      </c>
      <c r="H647" s="56" t="n">
        <v>0</v>
      </c>
      <c r="I647" s="6" t="inlineStr">
        <is>
          <t>Dog Breeder / Trại chó chuyên nghiệp (28-30đ)</t>
        </is>
      </c>
      <c r="J647" s="56" t="n">
        <v>28</v>
      </c>
      <c r="K647" s="6" t="inlineStr">
        <is>
          <t>Bernese Mountain Dog</t>
        </is>
      </c>
      <c r="L647" s="56" t="n">
        <v>5</v>
      </c>
      <c r="M647" s="56" t="n">
        <v>0</v>
      </c>
      <c r="N647" s="6" t="inlineStr">
        <is>
          <t>Amazon link not found</t>
        </is>
      </c>
      <c r="O647" s="56">
        <f>IF(N647="Selling pet toys + Artificial grass/Pet toilets (TARGET)",15,IF(N647="Selling artificial grass/pet toilets (TARGET)",10,IF(N647="Selling pet toys",7,IF(N647="There's an Amazon link, but no target sales.",3,0))))</f>
        <v/>
      </c>
      <c r="P647" s="65">
        <f>H647+J647+L647+M647+O647</f>
        <v/>
      </c>
      <c r="Q647" s="71" t="inlineStr">
        <is>
          <t>Excluded: Hiệp hội &amp; CLB Phả hệ (Mục 5.1)</t>
        </is>
      </c>
      <c r="R647" s="6" t="inlineStr">
        <is>
          <t>Trọn gói Take-Home Starter Kit V2/V3 (Cỏ nhân tạo + Khay Potty + Đồ chơi Teething/Snuggle)</t>
        </is>
      </c>
      <c r="S647" s="6" t="inlineStr">
        <is>
          <t>Tuyệt đối không đưa vào CRM (Vi phạm Bộ lọc Âm tính Mục 5)</t>
        </is>
      </c>
    </row>
    <row r="648">
      <c r="A648" s="59" t="n">
        <v>3248</v>
      </c>
      <c r="B648" s="15" t="inlineStr">
        <is>
          <t>Trust &amp; Obey Companion Care LLC</t>
        </is>
      </c>
      <c r="C648" s="60" t="inlineStr">
        <is>
          <t>https://www.facebook.com/profile.php?id=61592603230666</t>
        </is>
      </c>
      <c r="D648" s="9" t="inlineStr">
        <is>
          <t>Cần quét Bio Fanpage</t>
        </is>
      </c>
      <c r="E648" s="59" t="inlineStr">
        <is>
          <t>19/08/2026 10:21:19</t>
        </is>
      </c>
      <c r="F648" s="59" t="inlineStr">
        <is>
          <t>1 tháng trước</t>
        </is>
      </c>
      <c r="G648" s="61" t="n">
        <v>30</v>
      </c>
      <c r="H648" s="62" t="n">
        <v>0</v>
      </c>
      <c r="I648" s="9" t="inlineStr">
        <is>
          <t>Dog Breeder / Trại nhân giống (28-30đ)</t>
        </is>
      </c>
      <c r="J648" s="62" t="n">
        <v>28</v>
      </c>
      <c r="K648" s="9" t="inlineStr">
        <is>
          <t>Chưa rõ giống (Cần quét Bio)</t>
        </is>
      </c>
      <c r="L648" s="62" t="n">
        <v>0</v>
      </c>
      <c r="M648" s="62" t="n">
        <v>5</v>
      </c>
      <c r="N648" s="9" t="inlineStr">
        <is>
          <t>Amazon link not found</t>
        </is>
      </c>
      <c r="O648" s="62">
        <f>IF(N648="Selling pet toys + Artificial grass/Pet toilets (TARGET)",15,IF(N648="Selling artificial grass/pet toilets (TARGET)",10,IF(N648="Selling pet toys",7,IF(N648="There's an Amazon link, but no target sales.",3,0))))</f>
        <v/>
      </c>
      <c r="P648" s="67">
        <f>H648+J648+L648+M648+O648</f>
        <v/>
      </c>
      <c r="Q648" s="70" t="inlineStr">
        <is>
          <t>Excluded: Trang Chung / Không rõ Ngách Cún cưng</t>
        </is>
      </c>
      <c r="R648" s="9" t="inlineStr">
        <is>
          <t>Trọn gói Take-Home Starter Kit V2/V3 (Cỏ nhân tạo + Khay Potty + Đồ chơi cún con)</t>
        </is>
      </c>
      <c r="S648" s="9" t="inlineStr">
        <is>
          <t>Tuyệt đối không đưa vào CRM (Vi phạm Bộ lọc Âm tính Mục 5)</t>
        </is>
      </c>
    </row>
    <row r="649">
      <c r="A649" s="53" t="n">
        <v>936</v>
      </c>
      <c r="B649" s="12" t="inlineStr">
        <is>
          <t>Connetts Farm</t>
        </is>
      </c>
      <c r="C649" s="54" t="inlineStr">
        <is>
          <t>https://www.facebook.com/ConnettsFarm</t>
        </is>
      </c>
      <c r="D649" s="6" t="inlineStr">
        <is>
          <t>Cần quét Bio Fanpage</t>
        </is>
      </c>
      <c r="E649" s="53" t="inlineStr">
        <is>
          <t>17/08/2026 17:41:57</t>
        </is>
      </c>
      <c r="F649" s="53" t="inlineStr">
        <is>
          <t>1 tháng trước</t>
        </is>
      </c>
      <c r="G649" s="55" t="n">
        <v>30</v>
      </c>
      <c r="H649" s="56" t="n">
        <v>0</v>
      </c>
      <c r="I649" s="6" t="inlineStr">
        <is>
          <t>Dog Breeder / Trại nhân giống (28-30đ)</t>
        </is>
      </c>
      <c r="J649" s="56" t="n">
        <v>28</v>
      </c>
      <c r="K649" s="6" t="inlineStr">
        <is>
          <t>Chưa rõ giống (Cần quét Bio)</t>
        </is>
      </c>
      <c r="L649" s="56" t="n">
        <v>0</v>
      </c>
      <c r="M649" s="56" t="n">
        <v>5</v>
      </c>
      <c r="N649" s="6" t="inlineStr">
        <is>
          <t>Amazon link not found</t>
        </is>
      </c>
      <c r="O649" s="56">
        <f>IF(N649="Selling pet toys + Artificial grass/Pet toilets (TARGET)",15,IF(N649="Selling artificial grass/pet toilets (TARGET)",10,IF(N649="Selling pet toys",7,IF(N649="There's an Amazon link, but no target sales.",3,0))))</f>
        <v/>
      </c>
      <c r="P649" s="65">
        <f>H649+J649+L649+M649+O649</f>
        <v/>
      </c>
      <c r="Q649" s="71" t="inlineStr">
        <is>
          <t>Excluded: Trang Chung / Không rõ Ngách Cún cưng</t>
        </is>
      </c>
      <c r="R649" s="6" t="inlineStr">
        <is>
          <t>Trọn gói Take-Home Starter Kit V2/V3 (Cỏ nhân tạo + Khay Potty + Đồ chơi cún con)</t>
        </is>
      </c>
      <c r="S649" s="6" t="inlineStr">
        <is>
          <t>Tuyệt đối không đưa vào CRM (Vi phạm Bộ lọc Âm tính Mục 5)</t>
        </is>
      </c>
    </row>
    <row r="650">
      <c r="A650" s="59" t="n">
        <v>1979</v>
      </c>
      <c r="B650" s="15" t="inlineStr">
        <is>
          <t>Lambing at Mossy Meadow Farm</t>
        </is>
      </c>
      <c r="C650" s="60" t="inlineStr">
        <is>
          <t>https://www.facebook.com/profile.php?id=61555289218072</t>
        </is>
      </c>
      <c r="D650" s="9" t="inlineStr">
        <is>
          <t>Cần quét Bio Fanpage</t>
        </is>
      </c>
      <c r="E650" s="59" t="inlineStr">
        <is>
          <t>15/08/2026 01:28:52</t>
        </is>
      </c>
      <c r="F650" s="59" t="inlineStr">
        <is>
          <t>1 tháng trước</t>
        </is>
      </c>
      <c r="G650" s="61" t="n">
        <v>30</v>
      </c>
      <c r="H650" s="62" t="n">
        <v>0</v>
      </c>
      <c r="I650" s="9" t="inlineStr">
        <is>
          <t>Dog Breeder / Trại nhân giống (28-30đ)</t>
        </is>
      </c>
      <c r="J650" s="62" t="n">
        <v>28</v>
      </c>
      <c r="K650" s="9" t="inlineStr">
        <is>
          <t>Chưa rõ giống (Cần quét Bio)</t>
        </is>
      </c>
      <c r="L650" s="62" t="n">
        <v>0</v>
      </c>
      <c r="M650" s="62" t="n">
        <v>5</v>
      </c>
      <c r="N650" s="9" t="inlineStr">
        <is>
          <t>Amazon link not found</t>
        </is>
      </c>
      <c r="O650" s="62">
        <f>IF(N650="Selling pet toys + Artificial grass/Pet toilets (TARGET)",15,IF(N650="Selling artificial grass/pet toilets (TARGET)",10,IF(N650="Selling pet toys",7,IF(N650="There's an Amazon link, but no target sales.",3,0))))</f>
        <v/>
      </c>
      <c r="P650" s="67">
        <f>H650+J650+L650+M650+O650</f>
        <v/>
      </c>
      <c r="Q650" s="70" t="inlineStr">
        <is>
          <t>Excluded: Trang Chung / Không rõ Ngách Cún cưng</t>
        </is>
      </c>
      <c r="R650" s="9" t="inlineStr">
        <is>
          <t>Trọn gói Take-Home Starter Kit V2/V3 (Cỏ nhân tạo + Khay Potty + Đồ chơi cún con)</t>
        </is>
      </c>
      <c r="S650" s="9" t="inlineStr">
        <is>
          <t>Tuyệt đối không đưa vào CRM (Vi phạm Bộ lọc Âm tính Mục 5)</t>
        </is>
      </c>
    </row>
    <row r="651">
      <c r="A651" s="53" t="n">
        <v>139</v>
      </c>
      <c r="B651" s="12" t="inlineStr">
        <is>
          <t>Cox Cactus Farm</t>
        </is>
      </c>
      <c r="C651" s="54" t="inlineStr">
        <is>
          <t>https://www.facebook.com/profile.php?id=100091142142735</t>
        </is>
      </c>
      <c r="D651" s="6" t="inlineStr">
        <is>
          <t>Cần quét Bio Fanpage</t>
        </is>
      </c>
      <c r="E651" s="53" t="inlineStr">
        <is>
          <t>12/08/2026 21:18:45</t>
        </is>
      </c>
      <c r="F651" s="53" t="inlineStr">
        <is>
          <t>2 tháng trước</t>
        </is>
      </c>
      <c r="G651" s="55" t="n">
        <v>60</v>
      </c>
      <c r="H651" s="56" t="n">
        <v>0</v>
      </c>
      <c r="I651" s="6" t="inlineStr">
        <is>
          <t>Dog Breeder / Trại nhân giống (28-30đ)</t>
        </is>
      </c>
      <c r="J651" s="56" t="n">
        <v>28</v>
      </c>
      <c r="K651" s="6" t="inlineStr">
        <is>
          <t>Chưa rõ giống (Cần quét Bio)</t>
        </is>
      </c>
      <c r="L651" s="56" t="n">
        <v>0</v>
      </c>
      <c r="M651" s="56" t="n">
        <v>5</v>
      </c>
      <c r="N651" s="6" t="inlineStr">
        <is>
          <t>Amazon link not found</t>
        </is>
      </c>
      <c r="O651" s="56">
        <f>IF(N651="Selling pet toys + Artificial grass/Pet toilets (TARGET)",15,IF(N651="Selling artificial grass/pet toilets (TARGET)",10,IF(N651="Selling pet toys",7,IF(N651="There's an Amazon link, but no target sales.",3,0))))</f>
        <v/>
      </c>
      <c r="P651" s="65">
        <f>H651+J651+L651+M651+O651</f>
        <v/>
      </c>
      <c r="Q651" s="71" t="inlineStr">
        <is>
          <t>Excluded: Trang Chung / Không rõ Ngách Cún cưng</t>
        </is>
      </c>
      <c r="R651" s="6" t="inlineStr">
        <is>
          <t>Trọn gói Take-Home Starter Kit V2/V3 (Cỏ nhân tạo + Khay Potty + Đồ chơi cún con)</t>
        </is>
      </c>
      <c r="S651" s="6" t="inlineStr">
        <is>
          <t>Tuyệt đối không đưa vào CRM (Vi phạm Bộ lọc Âm tính Mục 5)</t>
        </is>
      </c>
    </row>
    <row r="652">
      <c r="A652" s="59" t="n">
        <v>365</v>
      </c>
      <c r="B652" s="15" t="inlineStr">
        <is>
          <t>Alchemist Farm &amp; Garden</t>
        </is>
      </c>
      <c r="C652" s="60" t="inlineStr">
        <is>
          <t>https://www.facebook.com/alchemistfarm</t>
        </is>
      </c>
      <c r="D652" s="9" t="inlineStr">
        <is>
          <t>Cần quét Bio Fanpage</t>
        </is>
      </c>
      <c r="E652" s="59" t="inlineStr">
        <is>
          <t>06/08/2026 21:40:44</t>
        </is>
      </c>
      <c r="F652" s="59" t="inlineStr">
        <is>
          <t>2 tháng trước</t>
        </is>
      </c>
      <c r="G652" s="61" t="n">
        <v>60</v>
      </c>
      <c r="H652" s="62" t="n">
        <v>0</v>
      </c>
      <c r="I652" s="9" t="inlineStr">
        <is>
          <t>Dog Breeder / Trại nhân giống (28-30đ)</t>
        </is>
      </c>
      <c r="J652" s="62" t="n">
        <v>28</v>
      </c>
      <c r="K652" s="9" t="inlineStr">
        <is>
          <t>Chưa rõ giống (Cần quét Bio)</t>
        </is>
      </c>
      <c r="L652" s="62" t="n">
        <v>0</v>
      </c>
      <c r="M652" s="62" t="n">
        <v>5</v>
      </c>
      <c r="N652" s="9" t="inlineStr">
        <is>
          <t>Amazon link not found</t>
        </is>
      </c>
      <c r="O652" s="62">
        <f>IF(N652="Selling pet toys + Artificial grass/Pet toilets (TARGET)",15,IF(N652="Selling artificial grass/pet toilets (TARGET)",10,IF(N652="Selling pet toys",7,IF(N652="There's an Amazon link, but no target sales.",3,0))))</f>
        <v/>
      </c>
      <c r="P652" s="67">
        <f>H652+J652+L652+M652+O652</f>
        <v/>
      </c>
      <c r="Q652" s="70" t="inlineStr">
        <is>
          <t>Excluded: Trang Chung / Không rõ Ngách Cún cưng</t>
        </is>
      </c>
      <c r="R652" s="9" t="inlineStr">
        <is>
          <t>Trọn gói Take-Home Starter Kit V2/V3 (Cỏ nhân tạo + Khay Potty + Đồ chơi cún con)</t>
        </is>
      </c>
      <c r="S652" s="9" t="inlineStr">
        <is>
          <t>Tuyệt đối không đưa vào CRM (Vi phạm Bộ lọc Âm tính Mục 5)</t>
        </is>
      </c>
    </row>
    <row r="653">
      <c r="A653" s="53" t="n">
        <v>51</v>
      </c>
      <c r="B653" s="12" t="inlineStr">
        <is>
          <t>Bernese Mountain Dog Club of Canada</t>
        </is>
      </c>
      <c r="C653" s="54" t="inlineStr">
        <is>
          <t>https://www.facebook.com/BMDCC</t>
        </is>
      </c>
      <c r="D653" s="6" t="inlineStr">
        <is>
          <t>Cần quét Bio Fanpage</t>
        </is>
      </c>
      <c r="E653" s="53" t="inlineStr">
        <is>
          <t>05/08/2026 22:43:00</t>
        </is>
      </c>
      <c r="F653" s="53" t="inlineStr">
        <is>
          <t>2 tháng trước</t>
        </is>
      </c>
      <c r="G653" s="55" t="n">
        <v>60</v>
      </c>
      <c r="H653" s="56" t="n">
        <v>0</v>
      </c>
      <c r="I653" s="6" t="inlineStr">
        <is>
          <t>Dog Breeder / Trại chó chuyên nghiệp (28-30đ)</t>
        </is>
      </c>
      <c r="J653" s="56" t="n">
        <v>28</v>
      </c>
      <c r="K653" s="6" t="inlineStr">
        <is>
          <t>Bernese Mountain Dog</t>
        </is>
      </c>
      <c r="L653" s="56" t="n">
        <v>5</v>
      </c>
      <c r="M653" s="56" t="n">
        <v>0</v>
      </c>
      <c r="N653" s="6" t="inlineStr">
        <is>
          <t>Amazon link not found</t>
        </is>
      </c>
      <c r="O653" s="56">
        <f>IF(N653="Selling pet toys + Artificial grass/Pet toilets (TARGET)",15,IF(N653="Selling artificial grass/pet toilets (TARGET)",10,IF(N653="Selling pet toys",7,IF(N653="There's an Amazon link, but no target sales.",3,0))))</f>
        <v/>
      </c>
      <c r="P653" s="65">
        <f>H653+J653+L653+M653+O653</f>
        <v/>
      </c>
      <c r="Q653" s="71" t="inlineStr">
        <is>
          <t>Excluded: Hiệp hội &amp; CLB Phả hệ (Mục 5.1)</t>
        </is>
      </c>
      <c r="R653" s="6" t="inlineStr">
        <is>
          <t>Trọn gói Take-Home Starter Kit V2/V3 (Cỏ nhân tạo + Khay Potty + Đồ chơi Teething/Snuggle)</t>
        </is>
      </c>
      <c r="S653" s="6" t="inlineStr">
        <is>
          <t>Tuyệt đối không đưa vào CRM (Vi phạm Bộ lọc Âm tính Mục 5)</t>
        </is>
      </c>
    </row>
    <row r="654">
      <c r="A654" s="59" t="n">
        <v>1338</v>
      </c>
      <c r="B654" s="15" t="inlineStr">
        <is>
          <t>Farm-Flanagan</t>
        </is>
      </c>
      <c r="C654" s="60" t="inlineStr">
        <is>
          <t>https://www.facebook.com/FarmFlanagan</t>
        </is>
      </c>
      <c r="D654" s="9" t="inlineStr">
        <is>
          <t>Cần quét Bio Fanpage</t>
        </is>
      </c>
      <c r="E654" s="59" t="inlineStr">
        <is>
          <t>04/08/2026 02:24:45</t>
        </is>
      </c>
      <c r="F654" s="59" t="inlineStr">
        <is>
          <t>2 tháng trước</t>
        </is>
      </c>
      <c r="G654" s="61" t="n">
        <v>60</v>
      </c>
      <c r="H654" s="62" t="n">
        <v>0</v>
      </c>
      <c r="I654" s="9" t="inlineStr">
        <is>
          <t>Dog Breeder / Trại nhân giống (28-30đ)</t>
        </is>
      </c>
      <c r="J654" s="62" t="n">
        <v>28</v>
      </c>
      <c r="K654" s="9" t="inlineStr">
        <is>
          <t>Chưa rõ giống (Cần quét Bio)</t>
        </is>
      </c>
      <c r="L654" s="62" t="n">
        <v>0</v>
      </c>
      <c r="M654" s="62" t="n">
        <v>5</v>
      </c>
      <c r="N654" s="9" t="inlineStr">
        <is>
          <t>Amazon link not found</t>
        </is>
      </c>
      <c r="O654" s="62">
        <f>IF(N654="Selling pet toys + Artificial grass/Pet toilets (TARGET)",15,IF(N654="Selling artificial grass/pet toilets (TARGET)",10,IF(N654="Selling pet toys",7,IF(N654="There's an Amazon link, but no target sales.",3,0))))</f>
        <v/>
      </c>
      <c r="P654" s="67">
        <f>H654+J654+L654+M654+O654</f>
        <v/>
      </c>
      <c r="Q654" s="70" t="inlineStr">
        <is>
          <t>Excluded: Trang Chung / Không rõ Ngách Cún cưng</t>
        </is>
      </c>
      <c r="R654" s="9" t="inlineStr">
        <is>
          <t>Trọn gói Take-Home Starter Kit V2/V3 (Cỏ nhân tạo + Khay Potty + Đồ chơi cún con)</t>
        </is>
      </c>
      <c r="S654" s="9" t="inlineStr">
        <is>
          <t>Tuyệt đối không đưa vào CRM (Vi phạm Bộ lọc Âm tính Mục 5)</t>
        </is>
      </c>
    </row>
    <row r="655">
      <c r="A655" s="53" t="n">
        <v>3165</v>
      </c>
      <c r="B655" s="12" t="inlineStr">
        <is>
          <t>The Tree Farm</t>
        </is>
      </c>
      <c r="C655" s="54" t="inlineStr">
        <is>
          <t>https://www.facebook.com/profile.php?id=100065049428925</t>
        </is>
      </c>
      <c r="D655" s="6" t="inlineStr">
        <is>
          <t>Cần quét Bio Fanpage</t>
        </is>
      </c>
      <c r="E655" s="53" t="inlineStr">
        <is>
          <t>01/08/2026 22:45:03</t>
        </is>
      </c>
      <c r="F655" s="53" t="inlineStr">
        <is>
          <t>2 tháng trước</t>
        </is>
      </c>
      <c r="G655" s="55" t="n">
        <v>60</v>
      </c>
      <c r="H655" s="56" t="n">
        <v>0</v>
      </c>
      <c r="I655" s="6" t="inlineStr">
        <is>
          <t>Dog Breeder / Trại nhân giống (28-30đ)</t>
        </is>
      </c>
      <c r="J655" s="56" t="n">
        <v>28</v>
      </c>
      <c r="K655" s="6" t="inlineStr">
        <is>
          <t>Chưa rõ giống (Cần quét Bio)</t>
        </is>
      </c>
      <c r="L655" s="56" t="n">
        <v>0</v>
      </c>
      <c r="M655" s="56" t="n">
        <v>5</v>
      </c>
      <c r="N655" s="6" t="inlineStr">
        <is>
          <t>Amazon link not found</t>
        </is>
      </c>
      <c r="O655" s="56">
        <f>IF(N655="Selling pet toys + Artificial grass/Pet toilets (TARGET)",15,IF(N655="Selling artificial grass/pet toilets (TARGET)",10,IF(N655="Selling pet toys",7,IF(N655="There's an Amazon link, but no target sales.",3,0))))</f>
        <v/>
      </c>
      <c r="P655" s="65">
        <f>H655+J655+L655+M655+O655</f>
        <v/>
      </c>
      <c r="Q655" s="71" t="inlineStr">
        <is>
          <t>Excluded: Ngành nghề Khác (Phi Cún cưng)</t>
        </is>
      </c>
      <c r="R655" s="6" t="inlineStr">
        <is>
          <t>Trọn gói Take-Home Starter Kit V2/V3 (Cỏ nhân tạo + Khay Potty + Đồ chơi cún con)</t>
        </is>
      </c>
      <c r="S655" s="6" t="inlineStr">
        <is>
          <t>Tuyệt đối không đưa vào CRM (Vi phạm Bộ lọc Âm tính Mục 5)</t>
        </is>
      </c>
    </row>
    <row r="656">
      <c r="A656" s="59" t="n">
        <v>2744</v>
      </c>
      <c r="B656" s="15" t="inlineStr">
        <is>
          <t>Ridge Haven Farm, LLC</t>
        </is>
      </c>
      <c r="C656" s="60" t="inlineStr">
        <is>
          <t>https://www.facebook.com/profile.php?id=61560253328981</t>
        </is>
      </c>
      <c r="D656" s="9" t="inlineStr">
        <is>
          <t>Cần quét Bio Fanpage</t>
        </is>
      </c>
      <c r="E656" s="59" t="inlineStr">
        <is>
          <t>29/07/2026 08:40:22</t>
        </is>
      </c>
      <c r="F656" s="59" t="inlineStr">
        <is>
          <t>2 tháng trước</t>
        </is>
      </c>
      <c r="G656" s="61" t="n">
        <v>60</v>
      </c>
      <c r="H656" s="62" t="n">
        <v>0</v>
      </c>
      <c r="I656" s="9" t="inlineStr">
        <is>
          <t>Dog Breeder / Trại nhân giống (28-30đ)</t>
        </is>
      </c>
      <c r="J656" s="62" t="n">
        <v>28</v>
      </c>
      <c r="K656" s="9" t="inlineStr">
        <is>
          <t>Chưa rõ giống (Cần quét Bio)</t>
        </is>
      </c>
      <c r="L656" s="62" t="n">
        <v>0</v>
      </c>
      <c r="M656" s="62" t="n">
        <v>5</v>
      </c>
      <c r="N656" s="9" t="inlineStr">
        <is>
          <t>Amazon link not found</t>
        </is>
      </c>
      <c r="O656" s="62">
        <f>IF(N656="Selling pet toys + Artificial grass/Pet toilets (TARGET)",15,IF(N656="Selling artificial grass/pet toilets (TARGET)",10,IF(N656="Selling pet toys",7,IF(N656="There's an Amazon link, but no target sales.",3,0))))</f>
        <v/>
      </c>
      <c r="P656" s="67">
        <f>H656+J656+L656+M656+O656</f>
        <v/>
      </c>
      <c r="Q656" s="70" t="inlineStr">
        <is>
          <t>Excluded: Trang Chung / Không rõ Ngách Cún cưng</t>
        </is>
      </c>
      <c r="R656" s="9" t="inlineStr">
        <is>
          <t>Trọn gói Take-Home Starter Kit V2/V3 (Cỏ nhân tạo + Khay Potty + Đồ chơi cún con)</t>
        </is>
      </c>
      <c r="S656" s="9" t="inlineStr">
        <is>
          <t>Tuyệt đối không đưa vào CRM (Vi phạm Bộ lọc Âm tính Mục 5)</t>
        </is>
      </c>
    </row>
    <row r="657">
      <c r="A657" s="53" t="n">
        <v>3009</v>
      </c>
      <c r="B657" s="12" t="inlineStr">
        <is>
          <t>Streeter Heritage Farms</t>
        </is>
      </c>
      <c r="C657" s="54" t="inlineStr">
        <is>
          <t>https://www.facebook.com/Streeterheritagefarms</t>
        </is>
      </c>
      <c r="D657" s="6" t="inlineStr">
        <is>
          <t>Cần quét Bio Fanpage</t>
        </is>
      </c>
      <c r="E657" s="53" t="inlineStr">
        <is>
          <t>26/07/2026 06:46:43</t>
        </is>
      </c>
      <c r="F657" s="53" t="inlineStr">
        <is>
          <t>2 tháng trước</t>
        </is>
      </c>
      <c r="G657" s="55" t="n">
        <v>60</v>
      </c>
      <c r="H657" s="56" t="n">
        <v>0</v>
      </c>
      <c r="I657" s="6" t="inlineStr">
        <is>
          <t>Dog Breeder / Trại nhân giống (28-30đ)</t>
        </is>
      </c>
      <c r="J657" s="56" t="n">
        <v>28</v>
      </c>
      <c r="K657" s="6" t="inlineStr">
        <is>
          <t>Chưa rõ giống (Cần quét Bio)</t>
        </is>
      </c>
      <c r="L657" s="56" t="n">
        <v>0</v>
      </c>
      <c r="M657" s="56" t="n">
        <v>5</v>
      </c>
      <c r="N657" s="6" t="inlineStr">
        <is>
          <t>Amazon link not found</t>
        </is>
      </c>
      <c r="O657" s="56">
        <f>IF(N657="Selling pet toys + Artificial grass/Pet toilets (TARGET)",15,IF(N657="Selling artificial grass/pet toilets (TARGET)",10,IF(N657="Selling pet toys",7,IF(N657="There's an Amazon link, but no target sales.",3,0))))</f>
        <v/>
      </c>
      <c r="P657" s="65">
        <f>H657+J657+L657+M657+O657</f>
        <v/>
      </c>
      <c r="Q657" s="71" t="inlineStr">
        <is>
          <t>Excluded: Trang Chung / Không rõ Ngách Cún cưng</t>
        </is>
      </c>
      <c r="R657" s="6" t="inlineStr">
        <is>
          <t>Trọn gói Take-Home Starter Kit V2/V3 (Cỏ nhân tạo + Khay Potty + Đồ chơi cún con)</t>
        </is>
      </c>
      <c r="S657" s="6" t="inlineStr">
        <is>
          <t>Tuyệt đối không đưa vào CRM (Vi phạm Bộ lọc Âm tính Mục 5)</t>
        </is>
      </c>
    </row>
    <row r="658">
      <c r="A658" s="59" t="n">
        <v>2095</v>
      </c>
      <c r="B658" s="15" t="inlineStr">
        <is>
          <t>Made New Farmstead</t>
        </is>
      </c>
      <c r="C658" s="60" t="inlineStr">
        <is>
          <t>https://www.facebook.com/profile.php?id=61557295079830</t>
        </is>
      </c>
      <c r="D658" s="9" t="inlineStr">
        <is>
          <t>Cần quét Bio Fanpage</t>
        </is>
      </c>
      <c r="E658" s="59" t="inlineStr">
        <is>
          <t>13/07/2026 22:11:14</t>
        </is>
      </c>
      <c r="F658" s="59" t="inlineStr">
        <is>
          <t>3 tháng trước</t>
        </is>
      </c>
      <c r="G658" s="61" t="n">
        <v>90</v>
      </c>
      <c r="H658" s="62" t="n">
        <v>0</v>
      </c>
      <c r="I658" s="9" t="inlineStr">
        <is>
          <t>Dog Breeder / Trại nhân giống (28-30đ)</t>
        </is>
      </c>
      <c r="J658" s="62" t="n">
        <v>28</v>
      </c>
      <c r="K658" s="9" t="inlineStr">
        <is>
          <t>Chưa rõ giống (Cần quét Bio)</t>
        </is>
      </c>
      <c r="L658" s="62" t="n">
        <v>0</v>
      </c>
      <c r="M658" s="62" t="n">
        <v>5</v>
      </c>
      <c r="N658" s="9" t="inlineStr">
        <is>
          <t>Amazon link not found</t>
        </is>
      </c>
      <c r="O658" s="62">
        <f>IF(N658="Selling pet toys + Artificial grass/Pet toilets (TARGET)",15,IF(N658="Selling artificial grass/pet toilets (TARGET)",10,IF(N658="Selling pet toys",7,IF(N658="There's an Amazon link, but no target sales.",3,0))))</f>
        <v/>
      </c>
      <c r="P658" s="67">
        <f>H658+J658+L658+M658+O658</f>
        <v/>
      </c>
      <c r="Q658" s="70" t="inlineStr">
        <is>
          <t>Excluded: Trang Chung / Không rõ Ngách Cún cưng</t>
        </is>
      </c>
      <c r="R658" s="9" t="inlineStr">
        <is>
          <t>Trọn gói Take-Home Starter Kit V2/V3 (Cỏ nhân tạo + Khay Potty + Đồ chơi cún con)</t>
        </is>
      </c>
      <c r="S658" s="9" t="inlineStr">
        <is>
          <t>Tuyệt đối không đưa vào CRM (Vi phạm Bộ lọc Âm tính Mục 5)</t>
        </is>
      </c>
    </row>
    <row r="659">
      <c r="A659" s="53" t="n">
        <v>2836</v>
      </c>
      <c r="B659" s="12" t="inlineStr">
        <is>
          <t>Savvy Self Care, LLC</t>
        </is>
      </c>
      <c r="C659" s="54" t="inlineStr">
        <is>
          <t>https://www.facebook.com/profile.php?id=61560611279587</t>
        </is>
      </c>
      <c r="D659" s="6" t="inlineStr">
        <is>
          <t>Cần quét Bio Fanpage</t>
        </is>
      </c>
      <c r="E659" s="53" t="inlineStr">
        <is>
          <t>05/07/2026 04:35:08</t>
        </is>
      </c>
      <c r="F659" s="53" t="inlineStr">
        <is>
          <t>3 tháng trước</t>
        </is>
      </c>
      <c r="G659" s="55" t="n">
        <v>90</v>
      </c>
      <c r="H659" s="56" t="n">
        <v>0</v>
      </c>
      <c r="I659" s="6" t="inlineStr">
        <is>
          <t>Dog Breeder / Trại nhân giống (28-30đ)</t>
        </is>
      </c>
      <c r="J659" s="56" t="n">
        <v>28</v>
      </c>
      <c r="K659" s="6" t="inlineStr">
        <is>
          <t>Chưa rõ giống (Cần quét Bio)</t>
        </is>
      </c>
      <c r="L659" s="56" t="n">
        <v>0</v>
      </c>
      <c r="M659" s="56" t="n">
        <v>5</v>
      </c>
      <c r="N659" s="6" t="inlineStr">
        <is>
          <t>Amazon link not found</t>
        </is>
      </c>
      <c r="O659" s="56">
        <f>IF(N659="Selling pet toys + Artificial grass/Pet toilets (TARGET)",15,IF(N659="Selling artificial grass/pet toilets (TARGET)",10,IF(N659="Selling pet toys",7,IF(N659="There's an Amazon link, but no target sales.",3,0))))</f>
        <v/>
      </c>
      <c r="P659" s="65">
        <f>H659+J659+L659+M659+O659</f>
        <v/>
      </c>
      <c r="Q659" s="71" t="inlineStr">
        <is>
          <t>Excluded: Trang Chung / Không rõ Ngách Cún cưng</t>
        </is>
      </c>
      <c r="R659" s="6" t="inlineStr">
        <is>
          <t>Trọn gói Take-Home Starter Kit V2/V3 (Cỏ nhân tạo + Khay Potty + Đồ chơi cún con)</t>
        </is>
      </c>
      <c r="S659" s="6" t="inlineStr">
        <is>
          <t>Tuyệt đối không đưa vào CRM (Vi phạm Bộ lọc Âm tính Mục 5)</t>
        </is>
      </c>
    </row>
    <row r="660">
      <c r="A660" s="59" t="n">
        <v>953</v>
      </c>
      <c r="B660" s="15" t="inlineStr">
        <is>
          <t>Cove Springs Farm</t>
        </is>
      </c>
      <c r="C660" s="60" t="inlineStr">
        <is>
          <t>https://www.facebook.com/covespringsfarmky</t>
        </is>
      </c>
      <c r="D660" s="9" t="inlineStr">
        <is>
          <t>Cần quét Bio Fanpage</t>
        </is>
      </c>
      <c r="E660" s="59" t="inlineStr">
        <is>
          <t>04/07/2026 23:08:02</t>
        </is>
      </c>
      <c r="F660" s="59" t="inlineStr">
        <is>
          <t>3 tháng trước</t>
        </is>
      </c>
      <c r="G660" s="61" t="n">
        <v>90</v>
      </c>
      <c r="H660" s="62" t="n">
        <v>0</v>
      </c>
      <c r="I660" s="9" t="inlineStr">
        <is>
          <t>Dog Breeder / Trại nhân giống (28-30đ)</t>
        </is>
      </c>
      <c r="J660" s="62" t="n">
        <v>28</v>
      </c>
      <c r="K660" s="9" t="inlineStr">
        <is>
          <t>Chưa rõ giống (Cần quét Bio)</t>
        </is>
      </c>
      <c r="L660" s="62" t="n">
        <v>0</v>
      </c>
      <c r="M660" s="62" t="n">
        <v>5</v>
      </c>
      <c r="N660" s="9" t="inlineStr">
        <is>
          <t>Amazon link not found</t>
        </is>
      </c>
      <c r="O660" s="62">
        <f>IF(N660="Selling pet toys + Artificial grass/Pet toilets (TARGET)",15,IF(N660="Selling artificial grass/pet toilets (TARGET)",10,IF(N660="Selling pet toys",7,IF(N660="There's an Amazon link, but no target sales.",3,0))))</f>
        <v/>
      </c>
      <c r="P660" s="67">
        <f>H660+J660+L660+M660+O660</f>
        <v/>
      </c>
      <c r="Q660" s="70" t="inlineStr">
        <is>
          <t>Excluded: Trang Chung / Không rõ Ngách Cún cưng</t>
        </is>
      </c>
      <c r="R660" s="9" t="inlineStr">
        <is>
          <t>Trọn gói Take-Home Starter Kit V2/V3 (Cỏ nhân tạo + Khay Potty + Đồ chơi cún con)</t>
        </is>
      </c>
      <c r="S660" s="9" t="inlineStr">
        <is>
          <t>Tuyệt đối không đưa vào CRM (Vi phạm Bộ lọc Âm tính Mục 5)</t>
        </is>
      </c>
    </row>
    <row r="661">
      <c r="A661" s="53" t="n">
        <v>2988</v>
      </c>
      <c r="B661" s="12" t="inlineStr">
        <is>
          <t>Stallings Farms</t>
        </is>
      </c>
      <c r="C661" s="54" t="inlineStr">
        <is>
          <t>https://www.facebook.com/Stallingspoultry</t>
        </is>
      </c>
      <c r="D661" s="6" t="inlineStr">
        <is>
          <t>Cần quét Bio Fanpage</t>
        </is>
      </c>
      <c r="E661" s="53" t="inlineStr">
        <is>
          <t>21/06/2026 00:16:09</t>
        </is>
      </c>
      <c r="F661" s="53" t="inlineStr">
        <is>
          <t>3 tháng trước</t>
        </is>
      </c>
      <c r="G661" s="55" t="n">
        <v>90</v>
      </c>
      <c r="H661" s="56" t="n">
        <v>0</v>
      </c>
      <c r="I661" s="6" t="inlineStr">
        <is>
          <t>Dog Breeder / Trại nhân giống (28-30đ)</t>
        </is>
      </c>
      <c r="J661" s="56" t="n">
        <v>28</v>
      </c>
      <c r="K661" s="6" t="inlineStr">
        <is>
          <t>Chưa rõ giống (Cần quét Bio)</t>
        </is>
      </c>
      <c r="L661" s="56" t="n">
        <v>0</v>
      </c>
      <c r="M661" s="56" t="n">
        <v>5</v>
      </c>
      <c r="N661" s="6" t="inlineStr">
        <is>
          <t>Amazon link not found</t>
        </is>
      </c>
      <c r="O661" s="56">
        <f>IF(N661="Selling pet toys + Artificial grass/Pet toilets (TARGET)",15,IF(N661="Selling artificial grass/pet toilets (TARGET)",10,IF(N661="Selling pet toys",7,IF(N661="There's an Amazon link, but no target sales.",3,0))))</f>
        <v/>
      </c>
      <c r="P661" s="65">
        <f>H661+J661+L661+M661+O661</f>
        <v/>
      </c>
      <c r="Q661" s="71" t="inlineStr">
        <is>
          <t>Excluded: Trang Chung / Không rõ Ngách Cún cưng</t>
        </is>
      </c>
      <c r="R661" s="6" t="inlineStr">
        <is>
          <t>Trọn gói Take-Home Starter Kit V2/V3 (Cỏ nhân tạo + Khay Potty + Đồ chơi cún con)</t>
        </is>
      </c>
      <c r="S661" s="6" t="inlineStr">
        <is>
          <t>Tuyệt đối không đưa vào CRM (Vi phạm Bộ lọc Âm tính Mục 5)</t>
        </is>
      </c>
    </row>
    <row r="662">
      <c r="A662" s="59" t="n">
        <v>941</v>
      </c>
      <c r="B662" s="15" t="inlineStr">
        <is>
          <t>Corbett Farms</t>
        </is>
      </c>
      <c r="C662" s="60" t="inlineStr">
        <is>
          <t>https://www.facebook.com/thecorbettfarms</t>
        </is>
      </c>
      <c r="D662" s="9" t="inlineStr">
        <is>
          <t>Cần quét Bio Fanpage</t>
        </is>
      </c>
      <c r="E662" s="59" t="inlineStr">
        <is>
          <t>18/06/2026 23:33:50</t>
        </is>
      </c>
      <c r="F662" s="59" t="inlineStr">
        <is>
          <t>3 tháng trước</t>
        </is>
      </c>
      <c r="G662" s="61" t="n">
        <v>90</v>
      </c>
      <c r="H662" s="62" t="n">
        <v>0</v>
      </c>
      <c r="I662" s="9" t="inlineStr">
        <is>
          <t>Dog Breeder / Trại nhân giống (28-30đ)</t>
        </is>
      </c>
      <c r="J662" s="62" t="n">
        <v>28</v>
      </c>
      <c r="K662" s="9" t="inlineStr">
        <is>
          <t>Chưa rõ giống (Cần quét Bio)</t>
        </is>
      </c>
      <c r="L662" s="62" t="n">
        <v>0</v>
      </c>
      <c r="M662" s="62" t="n">
        <v>5</v>
      </c>
      <c r="N662" s="9" t="inlineStr">
        <is>
          <t>Amazon link not found</t>
        </is>
      </c>
      <c r="O662" s="62">
        <f>IF(N662="Selling pet toys + Artificial grass/Pet toilets (TARGET)",15,IF(N662="Selling artificial grass/pet toilets (TARGET)",10,IF(N662="Selling pet toys",7,IF(N662="There's an Amazon link, but no target sales.",3,0))))</f>
        <v/>
      </c>
      <c r="P662" s="67">
        <f>H662+J662+L662+M662+O662</f>
        <v/>
      </c>
      <c r="Q662" s="70" t="inlineStr">
        <is>
          <t>Excluded: Trang Chung / Không rõ Ngách Cún cưng</t>
        </is>
      </c>
      <c r="R662" s="9" t="inlineStr">
        <is>
          <t>Trọn gói Take-Home Starter Kit V2/V3 (Cỏ nhân tạo + Khay Potty + Đồ chơi cún con)</t>
        </is>
      </c>
      <c r="S662" s="9" t="inlineStr">
        <is>
          <t>Tuyệt đối không đưa vào CRM (Vi phạm Bộ lọc Âm tính Mục 5)</t>
        </is>
      </c>
    </row>
    <row r="663">
      <c r="A663" s="53" t="n">
        <v>1860</v>
      </c>
      <c r="B663" s="12" t="inlineStr">
        <is>
          <t>Kelley Krew Farmstead</t>
        </is>
      </c>
      <c r="C663" s="54" t="inlineStr">
        <is>
          <t>https://www.facebook.com/profile.php?id=100082121467212</t>
        </is>
      </c>
      <c r="D663" s="6" t="inlineStr">
        <is>
          <t>Cần quét Bio Fanpage</t>
        </is>
      </c>
      <c r="E663" s="53" t="inlineStr">
        <is>
          <t>15/06/2026 06:17:45</t>
        </is>
      </c>
      <c r="F663" s="53" t="inlineStr">
        <is>
          <t>3 tháng trước</t>
        </is>
      </c>
      <c r="G663" s="55" t="n">
        <v>90</v>
      </c>
      <c r="H663" s="56" t="n">
        <v>0</v>
      </c>
      <c r="I663" s="6" t="inlineStr">
        <is>
          <t>Dog Breeder / Trại nhân giống (28-30đ)</t>
        </is>
      </c>
      <c r="J663" s="56" t="n">
        <v>28</v>
      </c>
      <c r="K663" s="6" t="inlineStr">
        <is>
          <t>Chưa rõ giống (Cần quét Bio)</t>
        </is>
      </c>
      <c r="L663" s="56" t="n">
        <v>0</v>
      </c>
      <c r="M663" s="56" t="n">
        <v>5</v>
      </c>
      <c r="N663" s="6" t="inlineStr">
        <is>
          <t>Amazon link not found</t>
        </is>
      </c>
      <c r="O663" s="56">
        <f>IF(N663="Selling pet toys + Artificial grass/Pet toilets (TARGET)",15,IF(N663="Selling artificial grass/pet toilets (TARGET)",10,IF(N663="Selling pet toys",7,IF(N663="There's an Amazon link, but no target sales.",3,0))))</f>
        <v/>
      </c>
      <c r="P663" s="65">
        <f>H663+J663+L663+M663+O663</f>
        <v/>
      </c>
      <c r="Q663" s="71" t="inlineStr">
        <is>
          <t>Excluded: Trang Chung / Không rõ Ngách Cún cưng</t>
        </is>
      </c>
      <c r="R663" s="6" t="inlineStr">
        <is>
          <t>Trọn gói Take-Home Starter Kit V2/V3 (Cỏ nhân tạo + Khay Potty + Đồ chơi cún con)</t>
        </is>
      </c>
      <c r="S663" s="6" t="inlineStr">
        <is>
          <t>Tuyệt đối không đưa vào CRM (Vi phạm Bộ lọc Âm tính Mục 5)</t>
        </is>
      </c>
    </row>
    <row r="664">
      <c r="A664" s="59" t="n">
        <v>2573</v>
      </c>
      <c r="B664" s="15" t="inlineStr">
        <is>
          <t>Pike's Bird Farm</t>
        </is>
      </c>
      <c r="C664" s="60" t="inlineStr">
        <is>
          <t>https://www.facebook.com/profile.php?id=100069148134756</t>
        </is>
      </c>
      <c r="D664" s="9" t="inlineStr">
        <is>
          <t>Cần quét Bio Fanpage</t>
        </is>
      </c>
      <c r="E664" s="59" t="inlineStr">
        <is>
          <t>09/06/2026 03:24:21</t>
        </is>
      </c>
      <c r="F664" s="59" t="inlineStr">
        <is>
          <t>4 tháng trước</t>
        </is>
      </c>
      <c r="G664" s="61" t="n">
        <v>120</v>
      </c>
      <c r="H664" s="62" t="n">
        <v>0</v>
      </c>
      <c r="I664" s="9" t="inlineStr">
        <is>
          <t>Dog Breeder / Trại nhân giống (28-30đ)</t>
        </is>
      </c>
      <c r="J664" s="62" t="n">
        <v>28</v>
      </c>
      <c r="K664" s="9" t="inlineStr">
        <is>
          <t>Chưa rõ giống (Cần quét Bio)</t>
        </is>
      </c>
      <c r="L664" s="62" t="n">
        <v>0</v>
      </c>
      <c r="M664" s="62" t="n">
        <v>5</v>
      </c>
      <c r="N664" s="9" t="inlineStr">
        <is>
          <t>Amazon link not found</t>
        </is>
      </c>
      <c r="O664" s="62">
        <f>IF(N664="Selling pet toys + Artificial grass/Pet toilets (TARGET)",15,IF(N664="Selling artificial grass/pet toilets (TARGET)",10,IF(N664="Selling pet toys",7,IF(N664="There's an Amazon link, but no target sales.",3,0))))</f>
        <v/>
      </c>
      <c r="P664" s="67">
        <f>H664+J664+L664+M664+O664</f>
        <v/>
      </c>
      <c r="Q664" s="70" t="inlineStr">
        <is>
          <t>Excluded: Trang Chung / Không rõ Ngách Cún cưng</t>
        </is>
      </c>
      <c r="R664" s="9" t="inlineStr">
        <is>
          <t>Trọn gói Take-Home Starter Kit V2/V3 (Cỏ nhân tạo + Khay Potty + Đồ chơi cún con)</t>
        </is>
      </c>
      <c r="S664" s="9" t="inlineStr">
        <is>
          <t>Tuyệt đối không đưa vào CRM (Vi phạm Bộ lọc Âm tính Mục 5)</t>
        </is>
      </c>
    </row>
    <row r="665">
      <c r="A665" s="53" t="n">
        <v>694</v>
      </c>
      <c r="B665" s="12" t="inlineStr">
        <is>
          <t>Blake's Exotic Animal Ranch</t>
        </is>
      </c>
      <c r="C665" s="54" t="inlineStr">
        <is>
          <t>https://www.facebook.com/Videoswithai</t>
        </is>
      </c>
      <c r="D665" s="6" t="inlineStr">
        <is>
          <t>Cần quét Bio Fanpage</t>
        </is>
      </c>
      <c r="E665" s="53" t="inlineStr">
        <is>
          <t>09/04/2026 20:15:19</t>
        </is>
      </c>
      <c r="F665" s="53" t="inlineStr">
        <is>
          <t>6 tháng trước</t>
        </is>
      </c>
      <c r="G665" s="55" t="n">
        <v>180</v>
      </c>
      <c r="H665" s="56" t="n">
        <v>0</v>
      </c>
      <c r="I665" s="6" t="inlineStr">
        <is>
          <t>Dog Breeder / Trại nhân giống (28-30đ)</t>
        </is>
      </c>
      <c r="J665" s="56" t="n">
        <v>28</v>
      </c>
      <c r="K665" s="6" t="inlineStr">
        <is>
          <t>Chưa rõ giống (Cần quét Bio)</t>
        </is>
      </c>
      <c r="L665" s="56" t="n">
        <v>0</v>
      </c>
      <c r="M665" s="56" t="n">
        <v>5</v>
      </c>
      <c r="N665" s="6" t="inlineStr">
        <is>
          <t>Amazon link not found</t>
        </is>
      </c>
      <c r="O665" s="56">
        <f>IF(N665="Selling pet toys + Artificial grass/Pet toilets (TARGET)",15,IF(N665="Selling artificial grass/pet toilets (TARGET)",10,IF(N665="Selling pet toys",7,IF(N665="There's an Amazon link, but no target sales.",3,0))))</f>
        <v/>
      </c>
      <c r="P665" s="65">
        <f>H665+J665+L665+M665+O665</f>
        <v/>
      </c>
      <c r="Q665" s="71" t="inlineStr">
        <is>
          <t>Excluded: Trang Chung / Không rõ Ngách Cún cưng</t>
        </is>
      </c>
      <c r="R665" s="6" t="inlineStr">
        <is>
          <t>Trọn gói Take-Home Starter Kit V2/V3 (Cỏ nhân tạo + Khay Potty + Đồ chơi cún con)</t>
        </is>
      </c>
      <c r="S665" s="6" t="inlineStr">
        <is>
          <t>Tuyệt đối không đưa vào CRM (Vi phạm Bộ lọc Âm tính Mục 5)</t>
        </is>
      </c>
    </row>
    <row r="666">
      <c r="A666" s="59" t="n">
        <v>1553</v>
      </c>
      <c r="B666" s="15" t="inlineStr">
        <is>
          <t>Greater Miami Dog Club, Inc.,</t>
        </is>
      </c>
      <c r="C666" s="60" t="inlineStr">
        <is>
          <t>https://www.facebook.com/profile.php?id=100064494350269</t>
        </is>
      </c>
      <c r="D666" s="9" t="inlineStr">
        <is>
          <t>Cần quét Bio Fanpage</t>
        </is>
      </c>
      <c r="E666" s="59" t="inlineStr">
        <is>
          <t>05/04/2026 22:57:07</t>
        </is>
      </c>
      <c r="F666" s="59" t="inlineStr">
        <is>
          <t>6 tháng trước</t>
        </is>
      </c>
      <c r="G666" s="61" t="n">
        <v>180</v>
      </c>
      <c r="H666" s="62" t="n">
        <v>0</v>
      </c>
      <c r="I666" s="9" t="inlineStr">
        <is>
          <t>Dog Breeder / Trại nhân giống (28-30đ)</t>
        </is>
      </c>
      <c r="J666" s="62" t="n">
        <v>28</v>
      </c>
      <c r="K666" s="9" t="inlineStr">
        <is>
          <t>Chưa rõ giống (Cần quét Bio)</t>
        </is>
      </c>
      <c r="L666" s="62" t="n">
        <v>0</v>
      </c>
      <c r="M666" s="62" t="n">
        <v>5</v>
      </c>
      <c r="N666" s="9" t="inlineStr">
        <is>
          <t>Amazon link not found</t>
        </is>
      </c>
      <c r="O666" s="62">
        <f>IF(N666="Selling pet toys + Artificial grass/Pet toilets (TARGET)",15,IF(N666="Selling artificial grass/pet toilets (TARGET)",10,IF(N666="Selling pet toys",7,IF(N666="There's an Amazon link, but no target sales.",3,0))))</f>
        <v/>
      </c>
      <c r="P666" s="67">
        <f>H666+J666+L666+M666+O666</f>
        <v/>
      </c>
      <c r="Q666" s="70" t="inlineStr">
        <is>
          <t>Excluded: Hiệp hội &amp; CLB Phả hệ (Mục 5.1)</t>
        </is>
      </c>
      <c r="R666" s="9" t="inlineStr">
        <is>
          <t>Trọn gói Take-Home Starter Kit V2/V3 (Cỏ nhân tạo + Khay Potty + Đồ chơi cún con)</t>
        </is>
      </c>
      <c r="S666" s="9" t="inlineStr">
        <is>
          <t>Tuyệt đối không đưa vào CRM (Vi phạm Bộ lọc Âm tính Mục 5)</t>
        </is>
      </c>
    </row>
    <row r="667">
      <c r="A667" s="53" t="n">
        <v>1652</v>
      </c>
      <c r="B667" s="12" t="inlineStr">
        <is>
          <t>Hewett's Honey Farm</t>
        </is>
      </c>
      <c r="C667" s="54" t="inlineStr">
        <is>
          <t>https://www.facebook.com/HewettsHoney</t>
        </is>
      </c>
      <c r="D667" s="6" t="inlineStr">
        <is>
          <t>Cần quét Bio Fanpage</t>
        </is>
      </c>
      <c r="E667" s="53" t="inlineStr">
        <is>
          <t>01/04/2026 02:18:26</t>
        </is>
      </c>
      <c r="F667" s="53" t="inlineStr">
        <is>
          <t>6 tháng trước</t>
        </is>
      </c>
      <c r="G667" s="55" t="n">
        <v>180</v>
      </c>
      <c r="H667" s="56" t="n">
        <v>0</v>
      </c>
      <c r="I667" s="6" t="inlineStr">
        <is>
          <t>Dog Breeder / Trại nhân giống (28-30đ)</t>
        </is>
      </c>
      <c r="J667" s="56" t="n">
        <v>28</v>
      </c>
      <c r="K667" s="6" t="inlineStr">
        <is>
          <t>Chưa rõ giống (Cần quét Bio)</t>
        </is>
      </c>
      <c r="L667" s="56" t="n">
        <v>0</v>
      </c>
      <c r="M667" s="56" t="n">
        <v>5</v>
      </c>
      <c r="N667" s="6" t="inlineStr">
        <is>
          <t>Amazon link not found</t>
        </is>
      </c>
      <c r="O667" s="56">
        <f>IF(N667="Selling pet toys + Artificial grass/Pet toilets (TARGET)",15,IF(N667="Selling artificial grass/pet toilets (TARGET)",10,IF(N667="Selling pet toys",7,IF(N667="There's an Amazon link, but no target sales.",3,0))))</f>
        <v/>
      </c>
      <c r="P667" s="65">
        <f>H667+J667+L667+M667+O667</f>
        <v/>
      </c>
      <c r="Q667" s="71" t="inlineStr">
        <is>
          <t>Excluded: Trang Chung / Không rõ Ngách Cún cưng</t>
        </is>
      </c>
      <c r="R667" s="6" t="inlineStr">
        <is>
          <t>Trọn gói Take-Home Starter Kit V2/V3 (Cỏ nhân tạo + Khay Potty + Đồ chơi cún con)</t>
        </is>
      </c>
      <c r="S667" s="6" t="inlineStr">
        <is>
          <t>Tuyệt đối không đưa vào CRM (Vi phạm Bộ lọc Âm tính Mục 5)</t>
        </is>
      </c>
    </row>
    <row r="668">
      <c r="A668" s="59" t="n">
        <v>1377</v>
      </c>
      <c r="B668" s="15" t="inlineStr">
        <is>
          <t>Fifteen81 Farm</t>
        </is>
      </c>
      <c r="C668" s="60" t="inlineStr">
        <is>
          <t>https://www.facebook.com/profile.php?id=100094686165833</t>
        </is>
      </c>
      <c r="D668" s="9" t="inlineStr">
        <is>
          <t>Cần quét Bio Fanpage</t>
        </is>
      </c>
      <c r="E668" s="59" t="inlineStr">
        <is>
          <t>06/03/2026 16:58:36</t>
        </is>
      </c>
      <c r="F668" s="59" t="inlineStr">
        <is>
          <t>7 tháng trước</t>
        </is>
      </c>
      <c r="G668" s="61" t="n">
        <v>210</v>
      </c>
      <c r="H668" s="62" t="n">
        <v>0</v>
      </c>
      <c r="I668" s="9" t="inlineStr">
        <is>
          <t>Dog Breeder / Trại nhân giống (28-30đ)</t>
        </is>
      </c>
      <c r="J668" s="62" t="n">
        <v>28</v>
      </c>
      <c r="K668" s="9" t="inlineStr">
        <is>
          <t>Chưa rõ giống (Cần quét Bio)</t>
        </is>
      </c>
      <c r="L668" s="62" t="n">
        <v>0</v>
      </c>
      <c r="M668" s="62" t="n">
        <v>5</v>
      </c>
      <c r="N668" s="9" t="inlineStr">
        <is>
          <t>Amazon link not found</t>
        </is>
      </c>
      <c r="O668" s="62">
        <f>IF(N668="Selling pet toys + Artificial grass/Pet toilets (TARGET)",15,IF(N668="Selling artificial grass/pet toilets (TARGET)",10,IF(N668="Selling pet toys",7,IF(N668="There's an Amazon link, but no target sales.",3,0))))</f>
        <v/>
      </c>
      <c r="P668" s="67">
        <f>H668+J668+L668+M668+O668</f>
        <v/>
      </c>
      <c r="Q668" s="70" t="inlineStr">
        <is>
          <t>Excluded: Trang Chung / Không rõ Ngách Cún cưng</t>
        </is>
      </c>
      <c r="R668" s="9" t="inlineStr">
        <is>
          <t>Trọn gói Take-Home Starter Kit V2/V3 (Cỏ nhân tạo + Khay Potty + Đồ chơi cún con)</t>
        </is>
      </c>
      <c r="S668" s="9" t="inlineStr">
        <is>
          <t>Tuyệt đối không đưa vào CRM (Vi phạm Bộ lọc Âm tính Mục 5)</t>
        </is>
      </c>
    </row>
    <row r="669">
      <c r="A669" s="53" t="n">
        <v>2944</v>
      </c>
      <c r="B669" s="12" t="inlineStr">
        <is>
          <t>Sourwood Branch Bee Farm</t>
        </is>
      </c>
      <c r="C669" s="54" t="inlineStr">
        <is>
          <t>https://www.facebook.com/profile.php?id=100064970642538</t>
        </is>
      </c>
      <c r="D669" s="6" t="inlineStr">
        <is>
          <t>Cần quét Bio Fanpage</t>
        </is>
      </c>
      <c r="E669" s="53" t="inlineStr">
        <is>
          <t>23/02/2026 04:35:26</t>
        </is>
      </c>
      <c r="F669" s="53" t="inlineStr">
        <is>
          <t>7 tháng trước</t>
        </is>
      </c>
      <c r="G669" s="55" t="n">
        <v>210</v>
      </c>
      <c r="H669" s="56" t="n">
        <v>0</v>
      </c>
      <c r="I669" s="6" t="inlineStr">
        <is>
          <t>Dog Breeder / Trại nhân giống (28-30đ)</t>
        </is>
      </c>
      <c r="J669" s="56" t="n">
        <v>28</v>
      </c>
      <c r="K669" s="6" t="inlineStr">
        <is>
          <t>Chưa rõ giống (Cần quét Bio)</t>
        </is>
      </c>
      <c r="L669" s="56" t="n">
        <v>0</v>
      </c>
      <c r="M669" s="56" t="n">
        <v>5</v>
      </c>
      <c r="N669" s="6" t="inlineStr">
        <is>
          <t>Amazon link not found</t>
        </is>
      </c>
      <c r="O669" s="56">
        <f>IF(N669="Selling pet toys + Artificial grass/Pet toilets (TARGET)",15,IF(N669="Selling artificial grass/pet toilets (TARGET)",10,IF(N669="Selling pet toys",7,IF(N669="There's an Amazon link, but no target sales.",3,0))))</f>
        <v/>
      </c>
      <c r="P669" s="65">
        <f>H669+J669+L669+M669+O669</f>
        <v/>
      </c>
      <c r="Q669" s="71" t="inlineStr">
        <is>
          <t>Excluded: Trang Chung / Không rõ Ngách Cún cưng</t>
        </is>
      </c>
      <c r="R669" s="6" t="inlineStr">
        <is>
          <t>Trọn gói Take-Home Starter Kit V2/V3 (Cỏ nhân tạo + Khay Potty + Đồ chơi cún con)</t>
        </is>
      </c>
      <c r="S669" s="6" t="inlineStr">
        <is>
          <t>Tuyệt đối không đưa vào CRM (Vi phạm Bộ lọc Âm tính Mục 5)</t>
        </is>
      </c>
    </row>
    <row r="670">
      <c r="A670" s="59" t="n">
        <v>798</v>
      </c>
      <c r="B670" s="15" t="inlineStr">
        <is>
          <t>Buttercup Farm</t>
        </is>
      </c>
      <c r="C670" s="60" t="inlineStr">
        <is>
          <t>https://www.facebook.com/BristerButtercupFarm</t>
        </is>
      </c>
      <c r="D670" s="9" t="inlineStr">
        <is>
          <t>Cần quét Bio Fanpage</t>
        </is>
      </c>
      <c r="E670" s="59" t="inlineStr">
        <is>
          <t>17/02/2026 06:36:56</t>
        </is>
      </c>
      <c r="F670" s="59" t="inlineStr">
        <is>
          <t>7 tháng trước</t>
        </is>
      </c>
      <c r="G670" s="61" t="n">
        <v>210</v>
      </c>
      <c r="H670" s="62" t="n">
        <v>0</v>
      </c>
      <c r="I670" s="9" t="inlineStr">
        <is>
          <t>Dog Breeder / Trại nhân giống (28-30đ)</t>
        </is>
      </c>
      <c r="J670" s="62" t="n">
        <v>28</v>
      </c>
      <c r="K670" s="9" t="inlineStr">
        <is>
          <t>Chưa rõ giống (Cần quét Bio)</t>
        </is>
      </c>
      <c r="L670" s="62" t="n">
        <v>0</v>
      </c>
      <c r="M670" s="62" t="n">
        <v>5</v>
      </c>
      <c r="N670" s="9" t="inlineStr">
        <is>
          <t>Amazon link not found</t>
        </is>
      </c>
      <c r="O670" s="62">
        <f>IF(N670="Selling pet toys + Artificial grass/Pet toilets (TARGET)",15,IF(N670="Selling artificial grass/pet toilets (TARGET)",10,IF(N670="Selling pet toys",7,IF(N670="There's an Amazon link, but no target sales.",3,0))))</f>
        <v/>
      </c>
      <c r="P670" s="67">
        <f>H670+J670+L670+M670+O670</f>
        <v/>
      </c>
      <c r="Q670" s="70" t="inlineStr">
        <is>
          <t>Excluded: Trang Chung / Không rõ Ngách Cún cưng</t>
        </is>
      </c>
      <c r="R670" s="9" t="inlineStr">
        <is>
          <t>Trọn gói Take-Home Starter Kit V2/V3 (Cỏ nhân tạo + Khay Potty + Đồ chơi cún con)</t>
        </is>
      </c>
      <c r="S670" s="9" t="inlineStr">
        <is>
          <t>Tuyệt đối không đưa vào CRM (Vi phạm Bộ lọc Âm tính Mục 5)</t>
        </is>
      </c>
    </row>
    <row r="671">
      <c r="A671" s="53" t="n">
        <v>640</v>
      </c>
      <c r="B671" s="12" t="inlineStr">
        <is>
          <t>Bernese Mountain Dog Club of Central Virginia</t>
        </is>
      </c>
      <c r="C671" s="54" t="inlineStr">
        <is>
          <t>https://www.facebook.com/profile.php?id=100064816113645</t>
        </is>
      </c>
      <c r="D671" s="6" t="inlineStr">
        <is>
          <t>Cần quét Bio Fanpage</t>
        </is>
      </c>
      <c r="E671" s="53" t="inlineStr">
        <is>
          <t>14/01/2026 00:55:25</t>
        </is>
      </c>
      <c r="F671" s="53" t="inlineStr">
        <is>
          <t>9 tháng trước</t>
        </is>
      </c>
      <c r="G671" s="55" t="n">
        <v>270</v>
      </c>
      <c r="H671" s="56" t="n">
        <v>0</v>
      </c>
      <c r="I671" s="6" t="inlineStr">
        <is>
          <t>Dog Breeder / Trại chó chuyên nghiệp (28-30đ)</t>
        </is>
      </c>
      <c r="J671" s="56" t="n">
        <v>28</v>
      </c>
      <c r="K671" s="6" t="inlineStr">
        <is>
          <t>Bernese Mountain Dog</t>
        </is>
      </c>
      <c r="L671" s="56" t="n">
        <v>5</v>
      </c>
      <c r="M671" s="56" t="n">
        <v>0</v>
      </c>
      <c r="N671" s="6" t="inlineStr">
        <is>
          <t>Amazon link not found</t>
        </is>
      </c>
      <c r="O671" s="56">
        <f>IF(N671="Selling pet toys + Artificial grass/Pet toilets (TARGET)",15,IF(N671="Selling artificial grass/pet toilets (TARGET)",10,IF(N671="Selling pet toys",7,IF(N671="There's an Amazon link, but no target sales.",3,0))))</f>
        <v/>
      </c>
      <c r="P671" s="65">
        <f>H671+J671+L671+M671+O671</f>
        <v/>
      </c>
      <c r="Q671" s="71" t="inlineStr">
        <is>
          <t>Excluded: Hiệp hội &amp; CLB Phả hệ (Mục 5.1)</t>
        </is>
      </c>
      <c r="R671" s="6" t="inlineStr">
        <is>
          <t>Trọn gói Take-Home Starter Kit V2/V3 (Cỏ nhân tạo + Khay Potty + Đồ chơi Teething/Snuggle)</t>
        </is>
      </c>
      <c r="S671" s="6" t="inlineStr">
        <is>
          <t>Tuyệt đối không đưa vào CRM (Vi phạm Bộ lọc Âm tính Mục 5)</t>
        </is>
      </c>
    </row>
    <row r="672">
      <c r="A672" s="59" t="n">
        <v>579</v>
      </c>
      <c r="B672" s="15" t="inlineStr">
        <is>
          <t>Balsam Hill Farm</t>
        </is>
      </c>
      <c r="C672" s="60" t="inlineStr">
        <is>
          <t>https://www.facebook.com/profile.php?id=100063504485150</t>
        </is>
      </c>
      <c r="D672" s="9" t="inlineStr">
        <is>
          <t>Cần quét Bio Fanpage</t>
        </is>
      </c>
      <c r="E672" s="59" t="inlineStr">
        <is>
          <t>20/12/2025 02:31:55</t>
        </is>
      </c>
      <c r="F672" s="59" t="inlineStr">
        <is>
          <t>9 tháng trước</t>
        </is>
      </c>
      <c r="G672" s="61" t="n">
        <v>270</v>
      </c>
      <c r="H672" s="62" t="n">
        <v>0</v>
      </c>
      <c r="I672" s="9" t="inlineStr">
        <is>
          <t>Dog Breeder / Trại nhân giống (28-30đ)</t>
        </is>
      </c>
      <c r="J672" s="62" t="n">
        <v>28</v>
      </c>
      <c r="K672" s="9" t="inlineStr">
        <is>
          <t>Chưa rõ giống (Cần quét Bio)</t>
        </is>
      </c>
      <c r="L672" s="62" t="n">
        <v>0</v>
      </c>
      <c r="M672" s="62" t="n">
        <v>5</v>
      </c>
      <c r="N672" s="9" t="inlineStr">
        <is>
          <t>Amazon link not found</t>
        </is>
      </c>
      <c r="O672" s="62">
        <f>IF(N672="Selling pet toys + Artificial grass/Pet toilets (TARGET)",15,IF(N672="Selling artificial grass/pet toilets (TARGET)",10,IF(N672="Selling pet toys",7,IF(N672="There's an Amazon link, but no target sales.",3,0))))</f>
        <v/>
      </c>
      <c r="P672" s="67">
        <f>H672+J672+L672+M672+O672</f>
        <v/>
      </c>
      <c r="Q672" s="70" t="inlineStr">
        <is>
          <t>Excluded: Trang Chung / Không rõ Ngách Cún cưng</t>
        </is>
      </c>
      <c r="R672" s="9" t="inlineStr">
        <is>
          <t>Trọn gói Take-Home Starter Kit V2/V3 (Cỏ nhân tạo + Khay Potty + Đồ chơi cún con)</t>
        </is>
      </c>
      <c r="S672" s="9" t="inlineStr">
        <is>
          <t>Tuyệt đối không đưa vào CRM (Vi phạm Bộ lọc Âm tính Mục 5)</t>
        </is>
      </c>
    </row>
    <row r="673">
      <c r="A673" s="53" t="n">
        <v>2564</v>
      </c>
      <c r="B673" s="12" t="inlineStr">
        <is>
          <t>Phillips Farm MAS</t>
        </is>
      </c>
      <c r="C673" s="54" t="inlineStr">
        <is>
          <t>https://www.facebook.com/PhillipsfarmMAS</t>
        </is>
      </c>
      <c r="D673" s="6" t="inlineStr">
        <is>
          <t>Cần quét Bio Fanpage</t>
        </is>
      </c>
      <c r="E673" s="53" t="inlineStr">
        <is>
          <t>16/12/2025 04:43:19</t>
        </is>
      </c>
      <c r="F673" s="53" t="inlineStr">
        <is>
          <t>10 tháng trước</t>
        </is>
      </c>
      <c r="G673" s="55" t="n">
        <v>300</v>
      </c>
      <c r="H673" s="56" t="n">
        <v>0</v>
      </c>
      <c r="I673" s="6" t="inlineStr">
        <is>
          <t>Dog Breeder / Trại nhân giống (28-30đ)</t>
        </is>
      </c>
      <c r="J673" s="56" t="n">
        <v>28</v>
      </c>
      <c r="K673" s="6" t="inlineStr">
        <is>
          <t>Chưa rõ giống (Cần quét Bio)</t>
        </is>
      </c>
      <c r="L673" s="56" t="n">
        <v>0</v>
      </c>
      <c r="M673" s="56" t="n">
        <v>5</v>
      </c>
      <c r="N673" s="6" t="inlineStr">
        <is>
          <t>Amazon link not found</t>
        </is>
      </c>
      <c r="O673" s="56">
        <f>IF(N673="Selling pet toys + Artificial grass/Pet toilets (TARGET)",15,IF(N673="Selling artificial grass/pet toilets (TARGET)",10,IF(N673="Selling pet toys",7,IF(N673="There's an Amazon link, but no target sales.",3,0))))</f>
        <v/>
      </c>
      <c r="P673" s="65">
        <f>H673+J673+L673+M673+O673</f>
        <v/>
      </c>
      <c r="Q673" s="71" t="inlineStr">
        <is>
          <t>Excluded: Trang Chung / Không rõ Ngách Cún cưng</t>
        </is>
      </c>
      <c r="R673" s="6" t="inlineStr">
        <is>
          <t>Trọn gói Take-Home Starter Kit V2/V3 (Cỏ nhân tạo + Khay Potty + Đồ chơi cún con)</t>
        </is>
      </c>
      <c r="S673" s="6" t="inlineStr">
        <is>
          <t>Tuyệt đối không đưa vào CRM (Vi phạm Bộ lọc Âm tính Mục 5)</t>
        </is>
      </c>
    </row>
    <row r="674">
      <c r="A674" s="59" t="n">
        <v>1470</v>
      </c>
      <c r="B674" s="15" t="inlineStr">
        <is>
          <t>Front Range Veteran Woodworks LLC</t>
        </is>
      </c>
      <c r="C674" s="60" t="inlineStr">
        <is>
          <t>https://www.facebook.com/profile.php?id=100083638290657</t>
        </is>
      </c>
      <c r="D674" s="9" t="inlineStr">
        <is>
          <t>Cần quét Bio Fanpage</t>
        </is>
      </c>
      <c r="E674" s="59" t="inlineStr">
        <is>
          <t>07/11/2025 01:21:02</t>
        </is>
      </c>
      <c r="F674" s="59" t="inlineStr">
        <is>
          <t>11 tháng trước</t>
        </is>
      </c>
      <c r="G674" s="61" t="n">
        <v>330</v>
      </c>
      <c r="H674" s="62" t="n">
        <v>0</v>
      </c>
      <c r="I674" s="9" t="inlineStr">
        <is>
          <t>Dog Breeder / Trại nhân giống (28-30đ)</t>
        </is>
      </c>
      <c r="J674" s="62" t="n">
        <v>28</v>
      </c>
      <c r="K674" s="9" t="inlineStr">
        <is>
          <t>Chưa rõ giống (Cần quét Bio)</t>
        </is>
      </c>
      <c r="L674" s="62" t="n">
        <v>0</v>
      </c>
      <c r="M674" s="62" t="n">
        <v>5</v>
      </c>
      <c r="N674" s="9" t="inlineStr">
        <is>
          <t>Amazon link not found</t>
        </is>
      </c>
      <c r="O674" s="62">
        <f>IF(N674="Selling pet toys + Artificial grass/Pet toilets (TARGET)",15,IF(N674="Selling artificial grass/pet toilets (TARGET)",10,IF(N674="Selling pet toys",7,IF(N674="There's an Amazon link, but no target sales.",3,0))))</f>
        <v/>
      </c>
      <c r="P674" s="67">
        <f>H674+J674+L674+M674+O674</f>
        <v/>
      </c>
      <c r="Q674" s="70" t="inlineStr">
        <is>
          <t>Excluded: Trang Chung / Không rõ Ngách Cún cưng</t>
        </is>
      </c>
      <c r="R674" s="9" t="inlineStr">
        <is>
          <t>Trọn gói Take-Home Starter Kit V2/V3 (Cỏ nhân tạo + Khay Potty + Đồ chơi cún con)</t>
        </is>
      </c>
      <c r="S674" s="9" t="inlineStr">
        <is>
          <t>Tuyệt đối không đưa vào CRM (Vi phạm Bộ lọc Âm tính Mục 5)</t>
        </is>
      </c>
    </row>
    <row r="675">
      <c r="A675" s="53" t="n">
        <v>179</v>
      </c>
      <c r="B675" s="12" t="inlineStr">
        <is>
          <t>Green Hills Sod Farm, Inc</t>
        </is>
      </c>
      <c r="C675" s="54" t="inlineStr">
        <is>
          <t>https://www.facebook.com/greenhillssod</t>
        </is>
      </c>
      <c r="D675" s="6" t="inlineStr">
        <is>
          <t>Cần quét Bio Fanpage</t>
        </is>
      </c>
      <c r="E675" s="53" t="inlineStr">
        <is>
          <t>26/09/2025 21:07:13</t>
        </is>
      </c>
      <c r="F675" s="53" t="inlineStr">
        <is>
          <t>1 năm trước</t>
        </is>
      </c>
      <c r="G675" s="55" t="n">
        <v>365</v>
      </c>
      <c r="H675" s="56" t="n">
        <v>0</v>
      </c>
      <c r="I675" s="6" t="inlineStr">
        <is>
          <t>Dog Breeder / Trại nhân giống (28-30đ)</t>
        </is>
      </c>
      <c r="J675" s="56" t="n">
        <v>28</v>
      </c>
      <c r="K675" s="6" t="inlineStr">
        <is>
          <t>Chưa rõ giống (Cần quét Bio)</t>
        </is>
      </c>
      <c r="L675" s="56" t="n">
        <v>0</v>
      </c>
      <c r="M675" s="56" t="n">
        <v>5</v>
      </c>
      <c r="N675" s="6" t="inlineStr">
        <is>
          <t>Amazon link not found</t>
        </is>
      </c>
      <c r="O675" s="56">
        <f>IF(N675="Selling pet toys + Artificial grass/Pet toilets (TARGET)",15,IF(N675="Selling artificial grass/pet toilets (TARGET)",10,IF(N675="Selling pet toys",7,IF(N675="There's an Amazon link, but no target sales.",3,0))))</f>
        <v/>
      </c>
      <c r="P675" s="65">
        <f>H675+J675+L675+M675+O675</f>
        <v/>
      </c>
      <c r="Q675" s="71" t="inlineStr">
        <is>
          <t>Excluded: Trang Chung / Không rõ Ngách Cún cưng</t>
        </is>
      </c>
      <c r="R675" s="6" t="inlineStr">
        <is>
          <t>Trọn gói Take-Home Starter Kit V2/V3 (Cỏ nhân tạo + Khay Potty + Đồ chơi cún con)</t>
        </is>
      </c>
      <c r="S675" s="6" t="inlineStr">
        <is>
          <t>Tuyệt đối không đưa vào CRM (Vi phạm Bộ lọc Âm tính Mục 5)</t>
        </is>
      </c>
    </row>
    <row r="676">
      <c r="A676" s="59" t="n">
        <v>1649</v>
      </c>
      <c r="B676" s="15" t="inlineStr">
        <is>
          <t>Heritage Angus Farms</t>
        </is>
      </c>
      <c r="C676" s="60" t="inlineStr">
        <is>
          <t>https://www.facebook.com/heritageangusfarms</t>
        </is>
      </c>
      <c r="D676" s="9" t="inlineStr">
        <is>
          <t>Cần quét Bio Fanpage</t>
        </is>
      </c>
      <c r="E676" s="59" t="inlineStr">
        <is>
          <t>08/09/2025 23:09:37</t>
        </is>
      </c>
      <c r="F676" s="59" t="inlineStr">
        <is>
          <t>1 năm trước</t>
        </is>
      </c>
      <c r="G676" s="61" t="n">
        <v>365</v>
      </c>
      <c r="H676" s="62" t="n">
        <v>0</v>
      </c>
      <c r="I676" s="9" t="inlineStr">
        <is>
          <t>Dog Breeder / Trại nhân giống (28-30đ)</t>
        </is>
      </c>
      <c r="J676" s="62" t="n">
        <v>28</v>
      </c>
      <c r="K676" s="9" t="inlineStr">
        <is>
          <t>Chưa rõ giống (Cần quét Bio)</t>
        </is>
      </c>
      <c r="L676" s="62" t="n">
        <v>0</v>
      </c>
      <c r="M676" s="62" t="n">
        <v>5</v>
      </c>
      <c r="N676" s="9" t="inlineStr">
        <is>
          <t>Amazon link not found</t>
        </is>
      </c>
      <c r="O676" s="62">
        <f>IF(N676="Selling pet toys + Artificial grass/Pet toilets (TARGET)",15,IF(N676="Selling artificial grass/pet toilets (TARGET)",10,IF(N676="Selling pet toys",7,IF(N676="There's an Amazon link, but no target sales.",3,0))))</f>
        <v/>
      </c>
      <c r="P676" s="67">
        <f>H676+J676+L676+M676+O676</f>
        <v/>
      </c>
      <c r="Q676" s="70" t="inlineStr">
        <is>
          <t>Excluded: Trang Chung / Không rõ Ngách Cún cưng</t>
        </is>
      </c>
      <c r="R676" s="9" t="inlineStr">
        <is>
          <t>Trọn gói Take-Home Starter Kit V2/V3 (Cỏ nhân tạo + Khay Potty + Đồ chơi cún con)</t>
        </is>
      </c>
      <c r="S676" s="9" t="inlineStr">
        <is>
          <t>Tuyệt đối không đưa vào CRM (Vi phạm Bộ lọc Âm tính Mục 5)</t>
        </is>
      </c>
    </row>
    <row r="677">
      <c r="A677" s="53" t="n">
        <v>1389</v>
      </c>
      <c r="B677" s="12" t="inlineStr">
        <is>
          <t>Fischer Farm Family</t>
        </is>
      </c>
      <c r="C677" s="54" t="inlineStr">
        <is>
          <t>https://www.facebook.com/profile.php?id=100066273442648</t>
        </is>
      </c>
      <c r="D677" s="6" t="inlineStr">
        <is>
          <t>Cần quét Bio Fanpage</t>
        </is>
      </c>
      <c r="E677" s="53" t="inlineStr">
        <is>
          <t>08/09/2025 00:51:06</t>
        </is>
      </c>
      <c r="F677" s="53" t="inlineStr">
        <is>
          <t>1 năm trước</t>
        </is>
      </c>
      <c r="G677" s="55" t="n">
        <v>365</v>
      </c>
      <c r="H677" s="56" t="n">
        <v>0</v>
      </c>
      <c r="I677" s="6" t="inlineStr">
        <is>
          <t>Dog Breeder / Trại nhân giống (28-30đ)</t>
        </is>
      </c>
      <c r="J677" s="56" t="n">
        <v>28</v>
      </c>
      <c r="K677" s="6" t="inlineStr">
        <is>
          <t>Chưa rõ giống (Cần quét Bio)</t>
        </is>
      </c>
      <c r="L677" s="56" t="n">
        <v>0</v>
      </c>
      <c r="M677" s="56" t="n">
        <v>5</v>
      </c>
      <c r="N677" s="6" t="inlineStr">
        <is>
          <t>Amazon link not found</t>
        </is>
      </c>
      <c r="O677" s="56">
        <f>IF(N677="Selling pet toys + Artificial grass/Pet toilets (TARGET)",15,IF(N677="Selling artificial grass/pet toilets (TARGET)",10,IF(N677="Selling pet toys",7,IF(N677="There's an Amazon link, but no target sales.",3,0))))</f>
        <v/>
      </c>
      <c r="P677" s="65">
        <f>H677+J677+L677+M677+O677</f>
        <v/>
      </c>
      <c r="Q677" s="71" t="inlineStr">
        <is>
          <t>Excluded: Trang Chung / Không rõ Ngách Cún cưng</t>
        </is>
      </c>
      <c r="R677" s="6" t="inlineStr">
        <is>
          <t>Trọn gói Take-Home Starter Kit V2/V3 (Cỏ nhân tạo + Khay Potty + Đồ chơi cún con)</t>
        </is>
      </c>
      <c r="S677" s="6" t="inlineStr">
        <is>
          <t>Tuyệt đối không đưa vào CRM (Vi phạm Bộ lọc Âm tính Mục 5)</t>
        </is>
      </c>
    </row>
    <row r="678">
      <c r="A678" s="59" t="n">
        <v>1554</v>
      </c>
      <c r="B678" s="15" t="inlineStr">
        <is>
          <t>Greater Ocala Dog Club, Inc.</t>
        </is>
      </c>
      <c r="C678" s="60" t="inlineStr">
        <is>
          <t>https://www.facebook.com/GreaterOcalaDogClub</t>
        </is>
      </c>
      <c r="D678" s="9" t="inlineStr">
        <is>
          <t>Cần quét Bio Fanpage</t>
        </is>
      </c>
      <c r="E678" s="59" t="inlineStr">
        <is>
          <t>05/05/2025 04:29:15</t>
        </is>
      </c>
      <c r="F678" s="59" t="inlineStr">
        <is>
          <t>1 năm trước</t>
        </is>
      </c>
      <c r="G678" s="61" t="n">
        <v>365</v>
      </c>
      <c r="H678" s="62" t="n">
        <v>0</v>
      </c>
      <c r="I678" s="9" t="inlineStr">
        <is>
          <t>Dog Breeder / Trại nhân giống (28-30đ)</t>
        </is>
      </c>
      <c r="J678" s="62" t="n">
        <v>28</v>
      </c>
      <c r="K678" s="9" t="inlineStr">
        <is>
          <t>Chưa rõ giống (Cần quét Bio)</t>
        </is>
      </c>
      <c r="L678" s="62" t="n">
        <v>0</v>
      </c>
      <c r="M678" s="62" t="n">
        <v>5</v>
      </c>
      <c r="N678" s="9" t="inlineStr">
        <is>
          <t>Amazon link not found</t>
        </is>
      </c>
      <c r="O678" s="62">
        <f>IF(N678="Selling pet toys + Artificial grass/Pet toilets (TARGET)",15,IF(N678="Selling artificial grass/pet toilets (TARGET)",10,IF(N678="Selling pet toys",7,IF(N678="There's an Amazon link, but no target sales.",3,0))))</f>
        <v/>
      </c>
      <c r="P678" s="67">
        <f>H678+J678+L678+M678+O678</f>
        <v/>
      </c>
      <c r="Q678" s="70" t="inlineStr">
        <is>
          <t>Excluded: Hiệp hội &amp; CLB Phả hệ (Mục 5.1)</t>
        </is>
      </c>
      <c r="R678" s="9" t="inlineStr">
        <is>
          <t>Trọn gói Take-Home Starter Kit V2/V3 (Cỏ nhân tạo + Khay Potty + Đồ chơi cún con)</t>
        </is>
      </c>
      <c r="S678" s="9" t="inlineStr">
        <is>
          <t>Tuyệt đối không đưa vào CRM (Vi phạm Bộ lọc Âm tính Mục 5)</t>
        </is>
      </c>
    </row>
    <row r="679">
      <c r="A679" s="53" t="n">
        <v>986</v>
      </c>
      <c r="B679" s="12" t="inlineStr">
        <is>
          <t>D'Artagnan Farm</t>
        </is>
      </c>
      <c r="C679" s="54" t="inlineStr">
        <is>
          <t>https://www.facebook.com/artagnan.farm</t>
        </is>
      </c>
      <c r="D679" s="6" t="inlineStr">
        <is>
          <t>Cần quét Bio Fanpage</t>
        </is>
      </c>
      <c r="E679" s="53" t="inlineStr">
        <is>
          <t>27/04/2025 06:20:51</t>
        </is>
      </c>
      <c r="F679" s="53" t="inlineStr">
        <is>
          <t>1 năm trước</t>
        </is>
      </c>
      <c r="G679" s="55" t="n">
        <v>365</v>
      </c>
      <c r="H679" s="56" t="n">
        <v>0</v>
      </c>
      <c r="I679" s="6" t="inlineStr">
        <is>
          <t>Dog Breeder / Trại nhân giống (28-30đ)</t>
        </is>
      </c>
      <c r="J679" s="56" t="n">
        <v>28</v>
      </c>
      <c r="K679" s="6" t="inlineStr">
        <is>
          <t>Chưa rõ giống (Cần quét Bio)</t>
        </is>
      </c>
      <c r="L679" s="56" t="n">
        <v>0</v>
      </c>
      <c r="M679" s="56" t="n">
        <v>5</v>
      </c>
      <c r="N679" s="6" t="inlineStr">
        <is>
          <t>Amazon link not found</t>
        </is>
      </c>
      <c r="O679" s="56">
        <f>IF(N679="Selling pet toys + Artificial grass/Pet toilets (TARGET)",15,IF(N679="Selling artificial grass/pet toilets (TARGET)",10,IF(N679="Selling pet toys",7,IF(N679="There's an Amazon link, but no target sales.",3,0))))</f>
        <v/>
      </c>
      <c r="P679" s="65">
        <f>H679+J679+L679+M679+O679</f>
        <v/>
      </c>
      <c r="Q679" s="71" t="inlineStr">
        <is>
          <t>Excluded: Trang Chung / Không rõ Ngách Cún cưng</t>
        </is>
      </c>
      <c r="R679" s="6" t="inlineStr">
        <is>
          <t>Trọn gói Take-Home Starter Kit V2/V3 (Cỏ nhân tạo + Khay Potty + Đồ chơi cún con)</t>
        </is>
      </c>
      <c r="S679" s="6" t="inlineStr">
        <is>
          <t>Tuyệt đối không đưa vào CRM (Vi phạm Bộ lọc Âm tính Mục 5)</t>
        </is>
      </c>
    </row>
    <row r="680">
      <c r="A680" s="59" t="n">
        <v>508</v>
      </c>
      <c r="B680" s="15" t="inlineStr">
        <is>
          <t>Archangel Farms LLC</t>
        </is>
      </c>
      <c r="C680" s="60" t="inlineStr">
        <is>
          <t>https://www.facebook.com/profile.php?id=100083336301203</t>
        </is>
      </c>
      <c r="D680" s="9" t="inlineStr">
        <is>
          <t>Cần quét Bio Fanpage</t>
        </is>
      </c>
      <c r="E680" s="59" t="inlineStr">
        <is>
          <t>01/03/2025 23:26:16</t>
        </is>
      </c>
      <c r="F680" s="59" t="inlineStr">
        <is>
          <t>1 năm trước</t>
        </is>
      </c>
      <c r="G680" s="61" t="n">
        <v>365</v>
      </c>
      <c r="H680" s="62" t="n">
        <v>0</v>
      </c>
      <c r="I680" s="9" t="inlineStr">
        <is>
          <t>Dog Breeder / Trại nhân giống (28-30đ)</t>
        </is>
      </c>
      <c r="J680" s="62" t="n">
        <v>28</v>
      </c>
      <c r="K680" s="9" t="inlineStr">
        <is>
          <t>Chưa rõ giống (Cần quét Bio)</t>
        </is>
      </c>
      <c r="L680" s="62" t="n">
        <v>0</v>
      </c>
      <c r="M680" s="62" t="n">
        <v>5</v>
      </c>
      <c r="N680" s="9" t="inlineStr">
        <is>
          <t>Amazon link not found</t>
        </is>
      </c>
      <c r="O680" s="62">
        <f>IF(N680="Selling pet toys + Artificial grass/Pet toilets (TARGET)",15,IF(N680="Selling artificial grass/pet toilets (TARGET)",10,IF(N680="Selling pet toys",7,IF(N680="There's an Amazon link, but no target sales.",3,0))))</f>
        <v/>
      </c>
      <c r="P680" s="67">
        <f>H680+J680+L680+M680+O680</f>
        <v/>
      </c>
      <c r="Q680" s="70" t="inlineStr">
        <is>
          <t>Excluded: Trang Chung / Không rõ Ngách Cún cưng</t>
        </is>
      </c>
      <c r="R680" s="9" t="inlineStr">
        <is>
          <t>Trọn gói Take-Home Starter Kit V2/V3 (Cỏ nhân tạo + Khay Potty + Đồ chơi cún con)</t>
        </is>
      </c>
      <c r="S680" s="9" t="inlineStr">
        <is>
          <t>Tuyệt đối không đưa vào CRM (Vi phạm Bộ lọc Âm tính Mục 5)</t>
        </is>
      </c>
    </row>
    <row r="681">
      <c r="A681" s="53" t="n">
        <v>3418</v>
      </c>
      <c r="B681" s="12" t="inlineStr">
        <is>
          <t>Wilder Mountain Farm</t>
        </is>
      </c>
      <c r="C681" s="54" t="inlineStr">
        <is>
          <t>https://www.facebook.com/WilderMountainFarm</t>
        </is>
      </c>
      <c r="D681" s="6" t="inlineStr">
        <is>
          <t>Cần quét Bio Fanpage</t>
        </is>
      </c>
      <c r="E681" s="53" t="inlineStr">
        <is>
          <t>23/02/2025 05:20:50</t>
        </is>
      </c>
      <c r="F681" s="53" t="inlineStr">
        <is>
          <t>1 năm trước</t>
        </is>
      </c>
      <c r="G681" s="55" t="n">
        <v>365</v>
      </c>
      <c r="H681" s="56" t="n">
        <v>0</v>
      </c>
      <c r="I681" s="6" t="inlineStr">
        <is>
          <t>Dog Breeder / Trại nhân giống (28-30đ)</t>
        </is>
      </c>
      <c r="J681" s="56" t="n">
        <v>28</v>
      </c>
      <c r="K681" s="6" t="inlineStr">
        <is>
          <t>Chưa rõ giống (Cần quét Bio)</t>
        </is>
      </c>
      <c r="L681" s="56" t="n">
        <v>0</v>
      </c>
      <c r="M681" s="56" t="n">
        <v>5</v>
      </c>
      <c r="N681" s="6" t="inlineStr">
        <is>
          <t>Amazon link not found</t>
        </is>
      </c>
      <c r="O681" s="56">
        <f>IF(N681="Selling pet toys + Artificial grass/Pet toilets (TARGET)",15,IF(N681="Selling artificial grass/pet toilets (TARGET)",10,IF(N681="Selling pet toys",7,IF(N681="There's an Amazon link, but no target sales.",3,0))))</f>
        <v/>
      </c>
      <c r="P681" s="65">
        <f>H681+J681+L681+M681+O681</f>
        <v/>
      </c>
      <c r="Q681" s="71" t="inlineStr">
        <is>
          <t>Excluded: Trang Chung / Không rõ Ngách Cún cưng</t>
        </is>
      </c>
      <c r="R681" s="6" t="inlineStr">
        <is>
          <t>Trọn gói Take-Home Starter Kit V2/V3 (Cỏ nhân tạo + Khay Potty + Đồ chơi cún con)</t>
        </is>
      </c>
      <c r="S681" s="6" t="inlineStr">
        <is>
          <t>Tuyệt đối không đưa vào CRM (Vi phạm Bộ lọc Âm tính Mục 5)</t>
        </is>
      </c>
    </row>
    <row r="682">
      <c r="A682" s="59" t="n">
        <v>1686</v>
      </c>
      <c r="B682" s="15" t="inlineStr">
        <is>
          <t>Horse &amp; Hound Therapy</t>
        </is>
      </c>
      <c r="C682" s="60" t="inlineStr">
        <is>
          <t>https://www.facebook.com/profile.php?id=61564573297225</t>
        </is>
      </c>
      <c r="D682" s="9" t="inlineStr">
        <is>
          <t>Cần quét Bio Fanpage</t>
        </is>
      </c>
      <c r="E682" s="59" t="inlineStr">
        <is>
          <t>22/02/2025 13:46:41</t>
        </is>
      </c>
      <c r="F682" s="59" t="inlineStr">
        <is>
          <t>1 năm trước</t>
        </is>
      </c>
      <c r="G682" s="61" t="n">
        <v>365</v>
      </c>
      <c r="H682" s="62" t="n">
        <v>0</v>
      </c>
      <c r="I682" s="9" t="inlineStr">
        <is>
          <t>Dog Breeder / Trại nhân giống (28-30đ)</t>
        </is>
      </c>
      <c r="J682" s="62" t="n">
        <v>28</v>
      </c>
      <c r="K682" s="9" t="inlineStr">
        <is>
          <t>Hound / Beagle / Basset</t>
        </is>
      </c>
      <c r="L682" s="62" t="n">
        <v>5</v>
      </c>
      <c r="M682" s="62" t="n">
        <v>0</v>
      </c>
      <c r="N682" s="9" t="inlineStr">
        <is>
          <t>Amazon link not found</t>
        </is>
      </c>
      <c r="O682" s="62">
        <f>IF(N682="Selling pet toys + Artificial grass/Pet toilets (TARGET)",15,IF(N682="Selling artificial grass/pet toilets (TARGET)",10,IF(N682="Selling pet toys",7,IF(N682="There's an Amazon link, but no target sales.",3,0))))</f>
        <v/>
      </c>
      <c r="P682" s="67">
        <f>H682+J682+L682+M682+O682</f>
        <v/>
      </c>
      <c r="Q682" s="70" t="inlineStr">
        <is>
          <t>Excluded: Kênh Tin tức, Tạp chí &amp; Giải trí (Mục 5.3)</t>
        </is>
      </c>
      <c r="R682" s="9" t="inlineStr">
        <is>
          <t>Trọn gói Take-Home Starter Kit V2/V3 (Cỏ nhân tạo + Khay Potty + Đồ chơi cún con)</t>
        </is>
      </c>
      <c r="S682" s="9" t="inlineStr">
        <is>
          <t>Tuyệt đối không đưa vào CRM (Vi phạm Bộ lọc Âm tính Mục 5)</t>
        </is>
      </c>
    </row>
    <row r="683">
      <c r="A683" s="53" t="n">
        <v>1666</v>
      </c>
      <c r="B683" s="12" t="inlineStr">
        <is>
          <t>Holland Törpekecske Farm</t>
        </is>
      </c>
      <c r="C683" s="54" t="inlineStr">
        <is>
          <t>https://www.facebook.com/profile.php?id=100076758854002</t>
        </is>
      </c>
      <c r="D683" s="6" t="inlineStr">
        <is>
          <t>Cần quét Bio Fanpage</t>
        </is>
      </c>
      <c r="E683" s="53" t="inlineStr">
        <is>
          <t>28/12/2024 23:46:03</t>
        </is>
      </c>
      <c r="F683" s="53" t="inlineStr">
        <is>
          <t>1 năm trước</t>
        </is>
      </c>
      <c r="G683" s="55" t="n">
        <v>365</v>
      </c>
      <c r="H683" s="56" t="n">
        <v>0</v>
      </c>
      <c r="I683" s="6" t="inlineStr">
        <is>
          <t>Dog Breeder / Trại nhân giống (28-30đ)</t>
        </is>
      </c>
      <c r="J683" s="56" t="n">
        <v>28</v>
      </c>
      <c r="K683" s="6" t="inlineStr">
        <is>
          <t>Chưa rõ giống (Cần quét Bio)</t>
        </is>
      </c>
      <c r="L683" s="56" t="n">
        <v>0</v>
      </c>
      <c r="M683" s="56" t="n">
        <v>5</v>
      </c>
      <c r="N683" s="6" t="inlineStr">
        <is>
          <t>Amazon link not found</t>
        </is>
      </c>
      <c r="O683" s="56">
        <f>IF(N683="Selling pet toys + Artificial grass/Pet toilets (TARGET)",15,IF(N683="Selling artificial grass/pet toilets (TARGET)",10,IF(N683="Selling pet toys",7,IF(N683="There's an Amazon link, but no target sales.",3,0))))</f>
        <v/>
      </c>
      <c r="P683" s="65">
        <f>H683+J683+L683+M683+O683</f>
        <v/>
      </c>
      <c r="Q683" s="71" t="inlineStr">
        <is>
          <t>Excluded: Trang Chung / Không rõ Ngách Cún cưng</t>
        </is>
      </c>
      <c r="R683" s="6" t="inlineStr">
        <is>
          <t>Trọn gói Take-Home Starter Kit V2/V3 (Cỏ nhân tạo + Khay Potty + Đồ chơi cún con)</t>
        </is>
      </c>
      <c r="S683" s="6" t="inlineStr">
        <is>
          <t>Tuyệt đối không đưa vào CRM (Vi phạm Bộ lọc Âm tính Mục 5)</t>
        </is>
      </c>
    </row>
    <row r="684">
      <c r="A684" s="59" t="n">
        <v>1704</v>
      </c>
      <c r="B684" s="15" t="inlineStr">
        <is>
          <t>Hycottage Farm</t>
        </is>
      </c>
      <c r="C684" s="60" t="inlineStr">
        <is>
          <t>https://www.facebook.com/profile.php?id=100069742002387</t>
        </is>
      </c>
      <c r="D684" s="9" t="inlineStr">
        <is>
          <t>Cần quét Bio Fanpage</t>
        </is>
      </c>
      <c r="E684" s="59" t="inlineStr">
        <is>
          <t>10/12/2024 09:56:35</t>
        </is>
      </c>
      <c r="F684" s="59" t="inlineStr">
        <is>
          <t>1 năm trước</t>
        </is>
      </c>
      <c r="G684" s="61" t="n">
        <v>365</v>
      </c>
      <c r="H684" s="62" t="n">
        <v>0</v>
      </c>
      <c r="I684" s="9" t="inlineStr">
        <is>
          <t>Dog Breeder / Trại nhân giống (28-30đ)</t>
        </is>
      </c>
      <c r="J684" s="62" t="n">
        <v>28</v>
      </c>
      <c r="K684" s="9" t="inlineStr">
        <is>
          <t>Chưa rõ giống (Cần quét Bio)</t>
        </is>
      </c>
      <c r="L684" s="62" t="n">
        <v>0</v>
      </c>
      <c r="M684" s="62" t="n">
        <v>5</v>
      </c>
      <c r="N684" s="9" t="inlineStr">
        <is>
          <t>Amazon link not found</t>
        </is>
      </c>
      <c r="O684" s="62">
        <f>IF(N684="Selling pet toys + Artificial grass/Pet toilets (TARGET)",15,IF(N684="Selling artificial grass/pet toilets (TARGET)",10,IF(N684="Selling pet toys",7,IF(N684="There's an Amazon link, but no target sales.",3,0))))</f>
        <v/>
      </c>
      <c r="P684" s="67">
        <f>H684+J684+L684+M684+O684</f>
        <v/>
      </c>
      <c r="Q684" s="70" t="inlineStr">
        <is>
          <t>Excluded: Trang Chung / Không rõ Ngách Cún cưng</t>
        </is>
      </c>
      <c r="R684" s="9" t="inlineStr">
        <is>
          <t>Trọn gói Take-Home Starter Kit V2/V3 (Cỏ nhân tạo + Khay Potty + Đồ chơi cún con)</t>
        </is>
      </c>
      <c r="S684" s="9" t="inlineStr">
        <is>
          <t>Tuyệt đối không đưa vào CRM (Vi phạm Bộ lọc Âm tính Mục 5)</t>
        </is>
      </c>
    </row>
    <row r="685">
      <c r="A685" s="53" t="n">
        <v>2625</v>
      </c>
      <c r="B685" s="12" t="inlineStr">
        <is>
          <t>Preston County Farm Crawl</t>
        </is>
      </c>
      <c r="C685" s="54" t="inlineStr">
        <is>
          <t>https://www.facebook.com/prestoncofarmcrawl</t>
        </is>
      </c>
      <c r="D685" s="6" t="inlineStr">
        <is>
          <t>Cần quét Bio Fanpage</t>
        </is>
      </c>
      <c r="E685" s="53" t="inlineStr">
        <is>
          <t>14/07/2024 08:50:03</t>
        </is>
      </c>
      <c r="F685" s="53" t="inlineStr">
        <is>
          <t>2 năm trước</t>
        </is>
      </c>
      <c r="G685" s="55" t="n">
        <v>730</v>
      </c>
      <c r="H685" s="56" t="n">
        <v>0</v>
      </c>
      <c r="I685" s="6" t="inlineStr">
        <is>
          <t>Dog Breeder / Trại nhân giống (28-30đ)</t>
        </is>
      </c>
      <c r="J685" s="56" t="n">
        <v>28</v>
      </c>
      <c r="K685" s="6" t="inlineStr">
        <is>
          <t>Chưa rõ giống (Cần quét Bio)</t>
        </is>
      </c>
      <c r="L685" s="56" t="n">
        <v>0</v>
      </c>
      <c r="M685" s="56" t="n">
        <v>5</v>
      </c>
      <c r="N685" s="6" t="inlineStr">
        <is>
          <t>Amazon link not found</t>
        </is>
      </c>
      <c r="O685" s="56">
        <f>IF(N685="Selling pet toys + Artificial grass/Pet toilets (TARGET)",15,IF(N685="Selling artificial grass/pet toilets (TARGET)",10,IF(N685="Selling pet toys",7,IF(N685="There's an Amazon link, but no target sales.",3,0))))</f>
        <v/>
      </c>
      <c r="P685" s="65">
        <f>H685+J685+L685+M685+O685</f>
        <v/>
      </c>
      <c r="Q685" s="71" t="inlineStr">
        <is>
          <t>Excluded: Trang Chung / Không rõ Ngách Cún cưng</t>
        </is>
      </c>
      <c r="R685" s="6" t="inlineStr">
        <is>
          <t>Trọn gói Take-Home Starter Kit V2/V3 (Cỏ nhân tạo + Khay Potty + Đồ chơi cún con)</t>
        </is>
      </c>
      <c r="S685" s="6" t="inlineStr">
        <is>
          <t>Tuyệt đối không đưa vào CRM (Vi phạm Bộ lọc Âm tính Mục 5)</t>
        </is>
      </c>
    </row>
    <row r="686">
      <c r="A686" s="59" t="n">
        <v>2960</v>
      </c>
      <c r="B686" s="15" t="inlineStr">
        <is>
          <t>Southwind Farmstead Cheese</t>
        </is>
      </c>
      <c r="C686" s="60" t="inlineStr">
        <is>
          <t>https://www.facebook.com/profile.php?id=100068905699033</t>
        </is>
      </c>
      <c r="D686" s="9" t="inlineStr">
        <is>
          <t>Cần quét Bio Fanpage</t>
        </is>
      </c>
      <c r="E686" s="59" t="inlineStr">
        <is>
          <t>02/06/2024 20:09:09</t>
        </is>
      </c>
      <c r="F686" s="59" t="inlineStr">
        <is>
          <t>2 năm trước</t>
        </is>
      </c>
      <c r="G686" s="61" t="n">
        <v>730</v>
      </c>
      <c r="H686" s="62" t="n">
        <v>0</v>
      </c>
      <c r="I686" s="9" t="inlineStr">
        <is>
          <t>Dog Breeder / Trại nhân giống (28-30đ)</t>
        </is>
      </c>
      <c r="J686" s="62" t="n">
        <v>28</v>
      </c>
      <c r="K686" s="9" t="inlineStr">
        <is>
          <t>Chưa rõ giống (Cần quét Bio)</t>
        </is>
      </c>
      <c r="L686" s="62" t="n">
        <v>0</v>
      </c>
      <c r="M686" s="62" t="n">
        <v>5</v>
      </c>
      <c r="N686" s="9" t="inlineStr">
        <is>
          <t>Amazon link not found</t>
        </is>
      </c>
      <c r="O686" s="62">
        <f>IF(N686="Selling pet toys + Artificial grass/Pet toilets (TARGET)",15,IF(N686="Selling artificial grass/pet toilets (TARGET)",10,IF(N686="Selling pet toys",7,IF(N686="There's an Amazon link, but no target sales.",3,0))))</f>
        <v/>
      </c>
      <c r="P686" s="67">
        <f>H686+J686+L686+M686+O686</f>
        <v/>
      </c>
      <c r="Q686" s="70" t="inlineStr">
        <is>
          <t>Excluded: Trang Chung / Không rõ Ngách Cún cưng</t>
        </is>
      </c>
      <c r="R686" s="9" t="inlineStr">
        <is>
          <t>Trọn gói Take-Home Starter Kit V2/V3 (Cỏ nhân tạo + Khay Potty + Đồ chơi cún con)</t>
        </is>
      </c>
      <c r="S686" s="9" t="inlineStr">
        <is>
          <t>Tuyệt đối không đưa vào CRM (Vi phạm Bộ lọc Âm tính Mục 5)</t>
        </is>
      </c>
    </row>
    <row r="687">
      <c r="A687" s="53" t="n">
        <v>930</v>
      </c>
      <c r="B687" s="12" t="inlineStr">
        <is>
          <t>ColourFast Farm</t>
        </is>
      </c>
      <c r="C687" s="54" t="inlineStr">
        <is>
          <t>https://www.facebook.com/colourfastfarm</t>
        </is>
      </c>
      <c r="D687" s="6" t="inlineStr">
        <is>
          <t>Cần quét Bio Fanpage</t>
        </is>
      </c>
      <c r="E687" s="53" t="inlineStr">
        <is>
          <t>24/04/2024 03:35:51</t>
        </is>
      </c>
      <c r="F687" s="53" t="inlineStr">
        <is>
          <t>2 năm trước</t>
        </is>
      </c>
      <c r="G687" s="55" t="n">
        <v>730</v>
      </c>
      <c r="H687" s="56" t="n">
        <v>0</v>
      </c>
      <c r="I687" s="6" t="inlineStr">
        <is>
          <t>Dog Breeder / Trại nhân giống (28-30đ)</t>
        </is>
      </c>
      <c r="J687" s="56" t="n">
        <v>28</v>
      </c>
      <c r="K687" s="6" t="inlineStr">
        <is>
          <t>Chưa rõ giống (Cần quét Bio)</t>
        </is>
      </c>
      <c r="L687" s="56" t="n">
        <v>0</v>
      </c>
      <c r="M687" s="56" t="n">
        <v>5</v>
      </c>
      <c r="N687" s="6" t="inlineStr">
        <is>
          <t>Amazon link not found</t>
        </is>
      </c>
      <c r="O687" s="56">
        <f>IF(N687="Selling pet toys + Artificial grass/Pet toilets (TARGET)",15,IF(N687="Selling artificial grass/pet toilets (TARGET)",10,IF(N687="Selling pet toys",7,IF(N687="There's an Amazon link, but no target sales.",3,0))))</f>
        <v/>
      </c>
      <c r="P687" s="65">
        <f>H687+J687+L687+M687+O687</f>
        <v/>
      </c>
      <c r="Q687" s="71" t="inlineStr">
        <is>
          <t>Excluded: Trang Chung / Không rõ Ngách Cún cưng</t>
        </is>
      </c>
      <c r="R687" s="6" t="inlineStr">
        <is>
          <t>Trọn gói Take-Home Starter Kit V2/V3 (Cỏ nhân tạo + Khay Potty + Đồ chơi cún con)</t>
        </is>
      </c>
      <c r="S687" s="6" t="inlineStr">
        <is>
          <t>Tuyệt đối không đưa vào CRM (Vi phạm Bộ lọc Âm tính Mục 5)</t>
        </is>
      </c>
    </row>
    <row r="688">
      <c r="A688" s="59" t="n">
        <v>2395</v>
      </c>
      <c r="B688" s="15" t="inlineStr">
        <is>
          <t>Palm Beach County Dog Fanciers Association Inc.</t>
        </is>
      </c>
      <c r="C688" s="60" t="inlineStr">
        <is>
          <t>https://www.facebook.com/pbcdfa</t>
        </is>
      </c>
      <c r="D688" s="9" t="inlineStr">
        <is>
          <t>Cần quét Bio Fanpage</t>
        </is>
      </c>
      <c r="E688" s="59" t="inlineStr">
        <is>
          <t>15/04/2024 19:47:40</t>
        </is>
      </c>
      <c r="F688" s="59" t="inlineStr">
        <is>
          <t>2 năm trước</t>
        </is>
      </c>
      <c r="G688" s="61" t="n">
        <v>730</v>
      </c>
      <c r="H688" s="62" t="n">
        <v>0</v>
      </c>
      <c r="I688" s="9" t="inlineStr">
        <is>
          <t>Dog Breeder / Trại nhân giống (28-30đ)</t>
        </is>
      </c>
      <c r="J688" s="62" t="n">
        <v>28</v>
      </c>
      <c r="K688" s="9" t="inlineStr">
        <is>
          <t>Chưa rõ giống (Cần quét Bio)</t>
        </is>
      </c>
      <c r="L688" s="62" t="n">
        <v>0</v>
      </c>
      <c r="M688" s="62" t="n">
        <v>5</v>
      </c>
      <c r="N688" s="9" t="inlineStr">
        <is>
          <t>Amazon link not found</t>
        </is>
      </c>
      <c r="O688" s="62">
        <f>IF(N688="Selling pet toys + Artificial grass/Pet toilets (TARGET)",15,IF(N688="Selling artificial grass/pet toilets (TARGET)",10,IF(N688="Selling pet toys",7,IF(N688="There's an Amazon link, but no target sales.",3,0))))</f>
        <v/>
      </c>
      <c r="P688" s="67">
        <f>H688+J688+L688+M688+O688</f>
        <v/>
      </c>
      <c r="Q688" s="70" t="inlineStr">
        <is>
          <t>Excluded: Kênh Tin tức, Tạp chí &amp; Giải trí (Mục 5.3)</t>
        </is>
      </c>
      <c r="R688" s="9" t="inlineStr">
        <is>
          <t>Trọn gói Take-Home Starter Kit V2/V3 (Cỏ nhân tạo + Khay Potty + Đồ chơi cún con)</t>
        </is>
      </c>
      <c r="S688" s="9" t="inlineStr">
        <is>
          <t>Tuyệt đối không đưa vào CRM (Vi phạm Bộ lọc Âm tính Mục 5)</t>
        </is>
      </c>
    </row>
    <row r="689">
      <c r="A689" s="53" t="n">
        <v>3251</v>
      </c>
      <c r="B689" s="12" t="inlineStr">
        <is>
          <t>TTNKS FARM</t>
        </is>
      </c>
      <c r="C689" s="54" t="inlineStr">
        <is>
          <t>https://www.facebook.com/profile.php?id=100076206463675</t>
        </is>
      </c>
      <c r="D689" s="6" t="inlineStr">
        <is>
          <t>Cần quét Bio Fanpage</t>
        </is>
      </c>
      <c r="E689" s="53" t="inlineStr">
        <is>
          <t>22/02/2024 12:22:49</t>
        </is>
      </c>
      <c r="F689" s="53" t="inlineStr">
        <is>
          <t>2 năm trước</t>
        </is>
      </c>
      <c r="G689" s="55" t="n">
        <v>730</v>
      </c>
      <c r="H689" s="56" t="n">
        <v>0</v>
      </c>
      <c r="I689" s="6" t="inlineStr">
        <is>
          <t>Dog Breeder / Trại nhân giống (28-30đ)</t>
        </is>
      </c>
      <c r="J689" s="56" t="n">
        <v>28</v>
      </c>
      <c r="K689" s="6" t="inlineStr">
        <is>
          <t>Chưa rõ giống (Cần quét Bio)</t>
        </is>
      </c>
      <c r="L689" s="56" t="n">
        <v>0</v>
      </c>
      <c r="M689" s="56" t="n">
        <v>5</v>
      </c>
      <c r="N689" s="6" t="inlineStr">
        <is>
          <t>Amazon link not found</t>
        </is>
      </c>
      <c r="O689" s="56">
        <f>IF(N689="Selling pet toys + Artificial grass/Pet toilets (TARGET)",15,IF(N689="Selling artificial grass/pet toilets (TARGET)",10,IF(N689="Selling pet toys",7,IF(N689="There's an Amazon link, but no target sales.",3,0))))</f>
        <v/>
      </c>
      <c r="P689" s="65">
        <f>H689+J689+L689+M689+O689</f>
        <v/>
      </c>
      <c r="Q689" s="71" t="inlineStr">
        <is>
          <t>Excluded: Trang Chung / Không rõ Ngách Cún cưng</t>
        </is>
      </c>
      <c r="R689" s="6" t="inlineStr">
        <is>
          <t>Trọn gói Take-Home Starter Kit V2/V3 (Cỏ nhân tạo + Khay Potty + Đồ chơi cún con)</t>
        </is>
      </c>
      <c r="S689" s="6" t="inlineStr">
        <is>
          <t>Tuyệt đối không đưa vào CRM (Vi phạm Bộ lọc Âm tính Mục 5)</t>
        </is>
      </c>
    </row>
    <row r="690">
      <c r="A690" s="59" t="n">
        <v>2273</v>
      </c>
      <c r="B690" s="15" t="inlineStr">
        <is>
          <t>Naturligt Farm &amp; Forest</t>
        </is>
      </c>
      <c r="C690" s="60" t="inlineStr">
        <is>
          <t>https://www.facebook.com/naturligtfarmandforest</t>
        </is>
      </c>
      <c r="D690" s="9" t="inlineStr">
        <is>
          <t>Cần quét Bio Fanpage</t>
        </is>
      </c>
      <c r="E690" s="59" t="inlineStr">
        <is>
          <t>30/01/2024 01:00:04</t>
        </is>
      </c>
      <c r="F690" s="59" t="inlineStr">
        <is>
          <t>2 năm trước</t>
        </is>
      </c>
      <c r="G690" s="61" t="n">
        <v>730</v>
      </c>
      <c r="H690" s="62" t="n">
        <v>0</v>
      </c>
      <c r="I690" s="9" t="inlineStr">
        <is>
          <t>Dog Breeder / Trại nhân giống (28-30đ)</t>
        </is>
      </c>
      <c r="J690" s="62" t="n">
        <v>28</v>
      </c>
      <c r="K690" s="9" t="inlineStr">
        <is>
          <t>Chưa rõ giống (Cần quét Bio)</t>
        </is>
      </c>
      <c r="L690" s="62" t="n">
        <v>0</v>
      </c>
      <c r="M690" s="62" t="n">
        <v>5</v>
      </c>
      <c r="N690" s="9" t="inlineStr">
        <is>
          <t>Amazon link not found</t>
        </is>
      </c>
      <c r="O690" s="62">
        <f>IF(N690="Selling pet toys + Artificial grass/Pet toilets (TARGET)",15,IF(N690="Selling artificial grass/pet toilets (TARGET)",10,IF(N690="Selling pet toys",7,IF(N690="There's an Amazon link, but no target sales.",3,0))))</f>
        <v/>
      </c>
      <c r="P690" s="67">
        <f>H690+J690+L690+M690+O690</f>
        <v/>
      </c>
      <c r="Q690" s="70" t="inlineStr">
        <is>
          <t>Excluded: Trang Chung / Không rõ Ngách Cún cưng</t>
        </is>
      </c>
      <c r="R690" s="9" t="inlineStr">
        <is>
          <t>Trọn gói Take-Home Starter Kit V2/V3 (Cỏ nhân tạo + Khay Potty + Đồ chơi cún con)</t>
        </is>
      </c>
      <c r="S690" s="9" t="inlineStr">
        <is>
          <t>Tuyệt đối không đưa vào CRM (Vi phạm Bộ lọc Âm tính Mục 5)</t>
        </is>
      </c>
    </row>
    <row r="691">
      <c r="A691" s="53" t="n">
        <v>1983</v>
      </c>
      <c r="B691" s="12" t="inlineStr">
        <is>
          <t>Lane Tiny Farm</t>
        </is>
      </c>
      <c r="C691" s="54" t="inlineStr">
        <is>
          <t>https://www.facebook.com/lanetinyfarm</t>
        </is>
      </c>
      <c r="D691" s="6" t="inlineStr">
        <is>
          <t>Cần quét Bio Fanpage</t>
        </is>
      </c>
      <c r="E691" s="53" t="inlineStr">
        <is>
          <t>18/12/2023 05:13:39</t>
        </is>
      </c>
      <c r="F691" s="53" t="inlineStr">
        <is>
          <t>2 năm trước</t>
        </is>
      </c>
      <c r="G691" s="55" t="n">
        <v>730</v>
      </c>
      <c r="H691" s="56" t="n">
        <v>0</v>
      </c>
      <c r="I691" s="6" t="inlineStr">
        <is>
          <t>Dog Breeder / Trại nhân giống (28-30đ)</t>
        </is>
      </c>
      <c r="J691" s="56" t="n">
        <v>28</v>
      </c>
      <c r="K691" s="6" t="inlineStr">
        <is>
          <t>Chưa rõ giống (Cần quét Bio)</t>
        </is>
      </c>
      <c r="L691" s="56" t="n">
        <v>0</v>
      </c>
      <c r="M691" s="56" t="n">
        <v>5</v>
      </c>
      <c r="N691" s="6" t="inlineStr">
        <is>
          <t>Amazon link not found</t>
        </is>
      </c>
      <c r="O691" s="56">
        <f>IF(N691="Selling pet toys + Artificial grass/Pet toilets (TARGET)",15,IF(N691="Selling artificial grass/pet toilets (TARGET)",10,IF(N691="Selling pet toys",7,IF(N691="There's an Amazon link, but no target sales.",3,0))))</f>
        <v/>
      </c>
      <c r="P691" s="65">
        <f>H691+J691+L691+M691+O691</f>
        <v/>
      </c>
      <c r="Q691" s="71" t="inlineStr">
        <is>
          <t>Excluded: Trang Chung / Không rõ Ngách Cún cưng</t>
        </is>
      </c>
      <c r="R691" s="6" t="inlineStr">
        <is>
          <t>Trọn gói Take-Home Starter Kit V2/V3 (Cỏ nhân tạo + Khay Potty + Đồ chơi cún con)</t>
        </is>
      </c>
      <c r="S691" s="6" t="inlineStr">
        <is>
          <t>Tuyệt đối không đưa vào CRM (Vi phạm Bộ lọc Âm tính Mục 5)</t>
        </is>
      </c>
    </row>
    <row r="692">
      <c r="A692" s="59" t="n">
        <v>3075</v>
      </c>
      <c r="B692" s="15" t="inlineStr">
        <is>
          <t>Terrible Farm</t>
        </is>
      </c>
      <c r="C692" s="60" t="inlineStr">
        <is>
          <t>https://www.facebook.com/terriblefarm</t>
        </is>
      </c>
      <c r="D692" s="9" t="inlineStr">
        <is>
          <t>Cần quét Bio Fanpage</t>
        </is>
      </c>
      <c r="E692" s="59" t="inlineStr">
        <is>
          <t>28/09/2023 23:35:07</t>
        </is>
      </c>
      <c r="F692" s="59" t="inlineStr">
        <is>
          <t>3 năm trước</t>
        </is>
      </c>
      <c r="G692" s="61" t="n">
        <v>1095</v>
      </c>
      <c r="H692" s="62" t="n">
        <v>0</v>
      </c>
      <c r="I692" s="9" t="inlineStr">
        <is>
          <t>Dog Breeder / Trại nhân giống (28-30đ)</t>
        </is>
      </c>
      <c r="J692" s="62" t="n">
        <v>28</v>
      </c>
      <c r="K692" s="9" t="inlineStr">
        <is>
          <t>Chưa rõ giống (Cần quét Bio)</t>
        </is>
      </c>
      <c r="L692" s="62" t="n">
        <v>0</v>
      </c>
      <c r="M692" s="62" t="n">
        <v>5</v>
      </c>
      <c r="N692" s="9" t="inlineStr">
        <is>
          <t>Amazon link not found</t>
        </is>
      </c>
      <c r="O692" s="62">
        <f>IF(N692="Selling pet toys + Artificial grass/Pet toilets (TARGET)",15,IF(N692="Selling artificial grass/pet toilets (TARGET)",10,IF(N692="Selling pet toys",7,IF(N692="There's an Amazon link, but no target sales.",3,0))))</f>
        <v/>
      </c>
      <c r="P692" s="67">
        <f>H692+J692+L692+M692+O692</f>
        <v/>
      </c>
      <c r="Q692" s="70" t="inlineStr">
        <is>
          <t>Excluded: Trang Chung / Không rõ Ngách Cún cưng</t>
        </is>
      </c>
      <c r="R692" s="9" t="inlineStr">
        <is>
          <t>Trọn gói Take-Home Starter Kit V2/V3 (Cỏ nhân tạo + Khay Potty + Đồ chơi cún con)</t>
        </is>
      </c>
      <c r="S692" s="9" t="inlineStr">
        <is>
          <t>Tuyệt đối không đưa vào CRM (Vi phạm Bộ lọc Âm tính Mục 5)</t>
        </is>
      </c>
    </row>
    <row r="693">
      <c r="A693" s="53" t="n">
        <v>1302</v>
      </c>
      <c r="B693" s="12" t="inlineStr">
        <is>
          <t>Everfield Farm</t>
        </is>
      </c>
      <c r="C693" s="54" t="inlineStr">
        <is>
          <t>https://www.facebook.com/EverfieldFarmNC</t>
        </is>
      </c>
      <c r="D693" s="6" t="inlineStr">
        <is>
          <t>Cần quét Bio Fanpage</t>
        </is>
      </c>
      <c r="E693" s="53" t="inlineStr">
        <is>
          <t>02/08/2023 18:50:20</t>
        </is>
      </c>
      <c r="F693" s="53" t="inlineStr">
        <is>
          <t>3 năm trước</t>
        </is>
      </c>
      <c r="G693" s="55" t="n">
        <v>1095</v>
      </c>
      <c r="H693" s="56" t="n">
        <v>0</v>
      </c>
      <c r="I693" s="6" t="inlineStr">
        <is>
          <t>Dog Breeder / Trại nhân giống (28-30đ)</t>
        </is>
      </c>
      <c r="J693" s="56" t="n">
        <v>28</v>
      </c>
      <c r="K693" s="6" t="inlineStr">
        <is>
          <t>Chưa rõ giống (Cần quét Bio)</t>
        </is>
      </c>
      <c r="L693" s="56" t="n">
        <v>0</v>
      </c>
      <c r="M693" s="56" t="n">
        <v>5</v>
      </c>
      <c r="N693" s="6" t="inlineStr">
        <is>
          <t>Amazon link not found</t>
        </is>
      </c>
      <c r="O693" s="56">
        <f>IF(N693="Selling pet toys + Artificial grass/Pet toilets (TARGET)",15,IF(N693="Selling artificial grass/pet toilets (TARGET)",10,IF(N693="Selling pet toys",7,IF(N693="There's an Amazon link, but no target sales.",3,0))))</f>
        <v/>
      </c>
      <c r="P693" s="65">
        <f>H693+J693+L693+M693+O693</f>
        <v/>
      </c>
      <c r="Q693" s="71" t="inlineStr">
        <is>
          <t>Excluded: Trang Chung / Không rõ Ngách Cún cưng</t>
        </is>
      </c>
      <c r="R693" s="6" t="inlineStr">
        <is>
          <t>Trọn gói Take-Home Starter Kit V2/V3 (Cỏ nhân tạo + Khay Potty + Đồ chơi cún con)</t>
        </is>
      </c>
      <c r="S693" s="6" t="inlineStr">
        <is>
          <t>Tuyệt đối không đưa vào CRM (Vi phạm Bộ lọc Âm tính Mục 5)</t>
        </is>
      </c>
    </row>
    <row r="694">
      <c r="A694" s="59" t="n">
        <v>3117</v>
      </c>
      <c r="B694" s="15" t="inlineStr">
        <is>
          <t>The Farm House</t>
        </is>
      </c>
      <c r="C694" s="60" t="inlineStr">
        <is>
          <t>https://www.facebook.com/thefarmhouse9</t>
        </is>
      </c>
      <c r="D694" s="9" t="inlineStr">
        <is>
          <t>Cần quét Bio Fanpage</t>
        </is>
      </c>
      <c r="E694" s="59" t="inlineStr">
        <is>
          <t>01/06/2023 18:47:53</t>
        </is>
      </c>
      <c r="F694" s="59" t="inlineStr">
        <is>
          <t>3 năm trước</t>
        </is>
      </c>
      <c r="G694" s="61" t="n">
        <v>1095</v>
      </c>
      <c r="H694" s="62" t="n">
        <v>0</v>
      </c>
      <c r="I694" s="9" t="inlineStr">
        <is>
          <t>Dog Breeder / Trại nhân giống (28-30đ)</t>
        </is>
      </c>
      <c r="J694" s="62" t="n">
        <v>28</v>
      </c>
      <c r="K694" s="9" t="inlineStr">
        <is>
          <t>Chưa rõ giống (Cần quét Bio)</t>
        </is>
      </c>
      <c r="L694" s="62" t="n">
        <v>0</v>
      </c>
      <c r="M694" s="62" t="n">
        <v>5</v>
      </c>
      <c r="N694" s="9" t="inlineStr">
        <is>
          <t>Amazon link not found</t>
        </is>
      </c>
      <c r="O694" s="62">
        <f>IF(N694="Selling pet toys + Artificial grass/Pet toilets (TARGET)",15,IF(N694="Selling artificial grass/pet toilets (TARGET)",10,IF(N694="Selling pet toys",7,IF(N694="There's an Amazon link, but no target sales.",3,0))))</f>
        <v/>
      </c>
      <c r="P694" s="67">
        <f>H694+J694+L694+M694+O694</f>
        <v/>
      </c>
      <c r="Q694" s="70" t="inlineStr">
        <is>
          <t>Excluded: Trang Chung / Không rõ Ngách Cún cưng</t>
        </is>
      </c>
      <c r="R694" s="9" t="inlineStr">
        <is>
          <t>Trọn gói Take-Home Starter Kit V2/V3 (Cỏ nhân tạo + Khay Potty + Đồ chơi cún con)</t>
        </is>
      </c>
      <c r="S694" s="9" t="inlineStr">
        <is>
          <t>Tuyệt đối không đưa vào CRM (Vi phạm Bộ lọc Âm tính Mục 5)</t>
        </is>
      </c>
    </row>
    <row r="695">
      <c r="A695" s="53" t="n">
        <v>2591</v>
      </c>
      <c r="B695" s="12" t="inlineStr">
        <is>
          <t>Point Reyes Farmstead Cheese Co.</t>
        </is>
      </c>
      <c r="C695" s="54" t="inlineStr">
        <is>
          <t>https://www.facebook.com/profile.php?id=100091253686790</t>
        </is>
      </c>
      <c r="D695" s="6" t="inlineStr">
        <is>
          <t>Cần quét Bio Fanpage</t>
        </is>
      </c>
      <c r="E695" s="53" t="inlineStr">
        <is>
          <t>29/03/2023 06:12:02</t>
        </is>
      </c>
      <c r="F695" s="53" t="inlineStr">
        <is>
          <t>3 năm trước</t>
        </is>
      </c>
      <c r="G695" s="55" t="n">
        <v>1095</v>
      </c>
      <c r="H695" s="56" t="n">
        <v>0</v>
      </c>
      <c r="I695" s="6" t="inlineStr">
        <is>
          <t>Dog Breeder / Trại nhân giống (28-30đ)</t>
        </is>
      </c>
      <c r="J695" s="56" t="n">
        <v>28</v>
      </c>
      <c r="K695" s="6" t="inlineStr">
        <is>
          <t>Chưa rõ giống (Cần quét Bio)</t>
        </is>
      </c>
      <c r="L695" s="56" t="n">
        <v>0</v>
      </c>
      <c r="M695" s="56" t="n">
        <v>5</v>
      </c>
      <c r="N695" s="6" t="inlineStr">
        <is>
          <t>Amazon link not found</t>
        </is>
      </c>
      <c r="O695" s="56">
        <f>IF(N695="Selling pet toys + Artificial grass/Pet toilets (TARGET)",15,IF(N695="Selling artificial grass/pet toilets (TARGET)",10,IF(N695="Selling pet toys",7,IF(N695="There's an Amazon link, but no target sales.",3,0))))</f>
        <v/>
      </c>
      <c r="P695" s="65">
        <f>H695+J695+L695+M695+O695</f>
        <v/>
      </c>
      <c r="Q695" s="71" t="inlineStr">
        <is>
          <t>Excluded: Trang Chung / Không rõ Ngách Cún cưng</t>
        </is>
      </c>
      <c r="R695" s="6" t="inlineStr">
        <is>
          <t>Trọn gói Take-Home Starter Kit V2/V3 (Cỏ nhân tạo + Khay Potty + Đồ chơi cún con)</t>
        </is>
      </c>
      <c r="S695" s="6" t="inlineStr">
        <is>
          <t>Tuyệt đối không đưa vào CRM (Vi phạm Bộ lọc Âm tính Mục 5)</t>
        </is>
      </c>
    </row>
    <row r="696">
      <c r="A696" s="59" t="n">
        <v>1773</v>
      </c>
      <c r="B696" s="15" t="inlineStr">
        <is>
          <t>Jones Farm Suite</t>
        </is>
      </c>
      <c r="C696" s="60" t="inlineStr">
        <is>
          <t>https://www.facebook.com/jonesfarmsuite</t>
        </is>
      </c>
      <c r="D696" s="9" t="inlineStr">
        <is>
          <t>Cần quét Bio Fanpage</t>
        </is>
      </c>
      <c r="E696" s="59" t="inlineStr">
        <is>
          <t>25/08/2021 04:35:10</t>
        </is>
      </c>
      <c r="F696" s="59" t="inlineStr">
        <is>
          <t>5 năm trước</t>
        </is>
      </c>
      <c r="G696" s="61" t="n">
        <v>1825</v>
      </c>
      <c r="H696" s="62" t="n">
        <v>0</v>
      </c>
      <c r="I696" s="9" t="inlineStr">
        <is>
          <t>Dog Breeder / Trại nhân giống (28-30đ)</t>
        </is>
      </c>
      <c r="J696" s="62" t="n">
        <v>28</v>
      </c>
      <c r="K696" s="9" t="inlineStr">
        <is>
          <t>Chưa rõ giống (Cần quét Bio)</t>
        </is>
      </c>
      <c r="L696" s="62" t="n">
        <v>0</v>
      </c>
      <c r="M696" s="62" t="n">
        <v>5</v>
      </c>
      <c r="N696" s="9" t="inlineStr">
        <is>
          <t>Amazon link not found</t>
        </is>
      </c>
      <c r="O696" s="62">
        <f>IF(N696="Selling pet toys + Artificial grass/Pet toilets (TARGET)",15,IF(N696="Selling artificial grass/pet toilets (TARGET)",10,IF(N696="Selling pet toys",7,IF(N696="There's an Amazon link, but no target sales.",3,0))))</f>
        <v/>
      </c>
      <c r="P696" s="67">
        <f>H696+J696+L696+M696+O696</f>
        <v/>
      </c>
      <c r="Q696" s="70" t="inlineStr">
        <is>
          <t>Excluded: Trang Chung / Không rõ Ngách Cún cưng</t>
        </is>
      </c>
      <c r="R696" s="9" t="inlineStr">
        <is>
          <t>Trọn gói Take-Home Starter Kit V2/V3 (Cỏ nhân tạo + Khay Potty + Đồ chơi cún con)</t>
        </is>
      </c>
      <c r="S696" s="9" t="inlineStr">
        <is>
          <t>Tuyệt đối không đưa vào CRM (Vi phạm Bộ lọc Âm tính Mục 5)</t>
        </is>
      </c>
    </row>
    <row r="697">
      <c r="A697" s="53" t="n">
        <v>181</v>
      </c>
      <c r="B697" s="12" t="inlineStr">
        <is>
          <t>GunDogMag</t>
        </is>
      </c>
      <c r="C697" s="54" t="inlineStr">
        <is>
          <t>https://www.facebook.com/GunDogMag</t>
        </is>
      </c>
      <c r="D697" s="6" t="inlineStr">
        <is>
          <t>Cần quét Bio Fanpage</t>
        </is>
      </c>
      <c r="E697" s="53" t="inlineStr">
        <is>
          <t>Không tìm thấy bài viết</t>
        </is>
      </c>
      <c r="F697" s="53" t="inlineStr">
        <is>
          <t>Không có bài</t>
        </is>
      </c>
      <c r="G697" s="55" t="n">
        <v>999</v>
      </c>
      <c r="H697" s="56" t="n">
        <v>0</v>
      </c>
      <c r="I697" s="6" t="inlineStr">
        <is>
          <t>Dog Breeder / Trại nhân giống (28-30đ)</t>
        </is>
      </c>
      <c r="J697" s="56" t="n">
        <v>28</v>
      </c>
      <c r="K697" s="6" t="inlineStr">
        <is>
          <t>Spaniel / Gun Dog / Retriever</t>
        </is>
      </c>
      <c r="L697" s="56" t="n">
        <v>5</v>
      </c>
      <c r="M697" s="56" t="n">
        <v>0</v>
      </c>
      <c r="N697" s="6" t="inlineStr">
        <is>
          <t>Amazon link not found</t>
        </is>
      </c>
      <c r="O697" s="56">
        <f>IF(N697="Selling pet toys + Artificial grass/Pet toilets (TARGET)",15,IF(N697="Selling artificial grass/pet toilets (TARGET)",10,IF(N697="Selling pet toys",7,IF(N697="There's an Amazon link, but no target sales.",3,0))))</f>
        <v/>
      </c>
      <c r="P697" s="65">
        <f>H697+J697+L697+M697+O697</f>
        <v/>
      </c>
      <c r="Q697" s="71" t="inlineStr">
        <is>
          <t>Excluded: Kênh Tin tức, Tạp chí &amp; Giải trí (Mục 5.3)</t>
        </is>
      </c>
      <c r="R697" s="6" t="inlineStr">
        <is>
          <t>Trọn gói Take-Home Starter Kit V2/V3 (Cỏ nhân tạo + Khay Potty + Đồ chơi cún con)</t>
        </is>
      </c>
      <c r="S697" s="6" t="inlineStr">
        <is>
          <t>Tuyệt đối không đưa vào CRM (Vi phạm Bộ lọc Âm tính Mục 5)</t>
        </is>
      </c>
    </row>
    <row r="698">
      <c r="A698" s="59" t="n">
        <v>765</v>
      </c>
      <c r="B698" s="15" t="inlineStr">
        <is>
          <t>Broad Arrow Farm</t>
        </is>
      </c>
      <c r="C698" s="60" t="inlineStr">
        <is>
          <t>https://www.facebook.com/profile.php?id=100069050642500</t>
        </is>
      </c>
      <c r="D698" s="9" t="inlineStr">
        <is>
          <t>Cần quét Bio Fanpage</t>
        </is>
      </c>
      <c r="E698" s="59" t="inlineStr">
        <is>
          <t>Không tìm thấy bài viết</t>
        </is>
      </c>
      <c r="F698" s="59" t="inlineStr">
        <is>
          <t>Không có bài</t>
        </is>
      </c>
      <c r="G698" s="61" t="n">
        <v>999</v>
      </c>
      <c r="H698" s="62" t="n">
        <v>0</v>
      </c>
      <c r="I698" s="9" t="inlineStr">
        <is>
          <t>Dog Breeder / Trại nhân giống (28-30đ)</t>
        </is>
      </c>
      <c r="J698" s="62" t="n">
        <v>28</v>
      </c>
      <c r="K698" s="9" t="inlineStr">
        <is>
          <t>Chưa rõ giống (Cần quét Bio)</t>
        </is>
      </c>
      <c r="L698" s="62" t="n">
        <v>0</v>
      </c>
      <c r="M698" s="62" t="n">
        <v>5</v>
      </c>
      <c r="N698" s="9" t="inlineStr">
        <is>
          <t>Amazon link not found</t>
        </is>
      </c>
      <c r="O698" s="62">
        <f>IF(N698="Selling pet toys + Artificial grass/Pet toilets (TARGET)",15,IF(N698="Selling artificial grass/pet toilets (TARGET)",10,IF(N698="Selling pet toys",7,IF(N698="There's an Amazon link, but no target sales.",3,0))))</f>
        <v/>
      </c>
      <c r="P698" s="67">
        <f>H698+J698+L698+M698+O698</f>
        <v/>
      </c>
      <c r="Q698" s="70" t="inlineStr">
        <is>
          <t>Excluded: Trang Chung / Không rõ Ngách Cún cưng</t>
        </is>
      </c>
      <c r="R698" s="9" t="inlineStr">
        <is>
          <t>Trọn gói Take-Home Starter Kit V2/V3 (Cỏ nhân tạo + Khay Potty + Đồ chơi cún con)</t>
        </is>
      </c>
      <c r="S698" s="9" t="inlineStr">
        <is>
          <t>Tuyệt đối không đưa vào CRM (Vi phạm Bộ lọc Âm tính Mục 5)</t>
        </is>
      </c>
    </row>
    <row r="699">
      <c r="A699" s="53" t="n">
        <v>2071</v>
      </c>
      <c r="B699" s="12" t="inlineStr">
        <is>
          <t>Lucky Duck Homestead &amp; Lawn Care LLC</t>
        </is>
      </c>
      <c r="C699" s="54" t="inlineStr">
        <is>
          <t>https://www.facebook.com/profile.php?id=100090402927733</t>
        </is>
      </c>
      <c r="D699" s="6" t="inlineStr">
        <is>
          <t>Cần quét Bio Fanpage</t>
        </is>
      </c>
      <c r="E699" s="53" t="inlineStr">
        <is>
          <t>29/07/2026 20:53:33</t>
        </is>
      </c>
      <c r="F699" s="53" t="inlineStr">
        <is>
          <t>2 tháng trước</t>
        </is>
      </c>
      <c r="G699" s="55" t="n">
        <v>60</v>
      </c>
      <c r="H699" s="56" t="n">
        <v>0</v>
      </c>
      <c r="I699" s="6" t="inlineStr">
        <is>
          <t>Pet Boarding / Huấn luyện K9 &amp; Dịch vụ (20-22đ)</t>
        </is>
      </c>
      <c r="J699" s="56" t="n">
        <v>22</v>
      </c>
      <c r="K699" s="6" t="inlineStr">
        <is>
          <t>Chưa rõ giống (Cần quét Bio)</t>
        </is>
      </c>
      <c r="L699" s="56" t="n">
        <v>0</v>
      </c>
      <c r="M699" s="56" t="n">
        <v>10</v>
      </c>
      <c r="N699" s="6" t="inlineStr">
        <is>
          <t>Amazon link not found</t>
        </is>
      </c>
      <c r="O699" s="56">
        <f>IF(N699="Selling pet toys + Artificial grass/Pet toilets (TARGET)",15,IF(N699="Selling artificial grass/pet toilets (TARGET)",10,IF(N699="Selling pet toys",7,IF(N699="There's an Amazon link, but no target sales.",3,0))))</f>
        <v/>
      </c>
      <c r="P699" s="65">
        <f>H699+J699+L699+M699+O699</f>
        <v/>
      </c>
      <c r="Q699" s="71" t="inlineStr">
        <is>
          <t>Excluded: Ngành nghề Khác (Phi Cún cưng)</t>
        </is>
      </c>
      <c r="R699" s="6" t="inlineStr">
        <is>
          <t>Cỏ nhân tạo sân chơi/huấn luyện (Dog Turf) + Đồ chơi nhai chịu lực (KONG/Chew Toys)</t>
        </is>
      </c>
      <c r="S699" s="6" t="inlineStr">
        <is>
          <t>Tuyệt đối không đưa vào CRM (Vi phạm Bộ lọc Âm tính Mục 5)</t>
        </is>
      </c>
    </row>
    <row r="700">
      <c r="A700" s="59" t="n">
        <v>2994</v>
      </c>
      <c r="B700" s="15" t="inlineStr">
        <is>
          <t>State Road Farm Yard &amp; Garden Center</t>
        </is>
      </c>
      <c r="C700" s="60" t="inlineStr">
        <is>
          <t>https://www.facebook.com/Stateroadfarmyardgardencenter</t>
        </is>
      </c>
      <c r="D700" s="9" t="inlineStr">
        <is>
          <t>Cần quét Bio Fanpage</t>
        </is>
      </c>
      <c r="E700" s="59" t="inlineStr">
        <is>
          <t>12/08/2025 19:48:56</t>
        </is>
      </c>
      <c r="F700" s="59" t="inlineStr">
        <is>
          <t>1 năm trước</t>
        </is>
      </c>
      <c r="G700" s="61" t="n">
        <v>365</v>
      </c>
      <c r="H700" s="62" t="n">
        <v>0</v>
      </c>
      <c r="I700" s="9" t="inlineStr">
        <is>
          <t>Pet Boarding / Huấn luyện K9 &amp; Dịch vụ (20-22đ)</t>
        </is>
      </c>
      <c r="J700" s="62" t="n">
        <v>22</v>
      </c>
      <c r="K700" s="9" t="inlineStr">
        <is>
          <t>Chưa rõ giống (Cần quét Bio)</t>
        </is>
      </c>
      <c r="L700" s="62" t="n">
        <v>0</v>
      </c>
      <c r="M700" s="62" t="n">
        <v>10</v>
      </c>
      <c r="N700" s="9" t="inlineStr">
        <is>
          <t>Amazon link not found</t>
        </is>
      </c>
      <c r="O700" s="62">
        <f>IF(N700="Selling pet toys + Artificial grass/Pet toilets (TARGET)",15,IF(N700="Selling artificial grass/pet toilets (TARGET)",10,IF(N700="Selling pet toys",7,IF(N700="There's an Amazon link, but no target sales.",3,0))))</f>
        <v/>
      </c>
      <c r="P700" s="67">
        <f>H700+J700+L700+M700+O700</f>
        <v/>
      </c>
      <c r="Q700" s="70" t="inlineStr">
        <is>
          <t>Excluded: Trang Chung / Không rõ Ngách Cún cưng</t>
        </is>
      </c>
      <c r="R700" s="9" t="inlineStr">
        <is>
          <t>Cỏ nhân tạo sân chơi/huấn luyện (Dog Turf) + Đồ chơi nhai chịu lực (KONG/Chew Toys)</t>
        </is>
      </c>
      <c r="S700" s="9" t="inlineStr">
        <is>
          <t>Tuyệt đối không đưa vào CRM (Vi phạm Bộ lọc Âm tính Mục 5)</t>
        </is>
      </c>
    </row>
    <row r="701">
      <c r="A701" s="53" t="n">
        <v>3169</v>
      </c>
      <c r="B701" s="12" t="inlineStr">
        <is>
          <t>The Vet Clinic</t>
        </is>
      </c>
      <c r="C701" s="54" t="inlineStr">
        <is>
          <t>https://www.facebook.com/thevetclinicangaston</t>
        </is>
      </c>
      <c r="D701" s="6" t="inlineStr">
        <is>
          <t>Cần quét Bio Fanpage</t>
        </is>
      </c>
      <c r="E701" s="53" t="inlineStr">
        <is>
          <t>09/10/2026 06:07:57</t>
        </is>
      </c>
      <c r="F701" s="53" t="inlineStr">
        <is>
          <t>4 ngày trước</t>
        </is>
      </c>
      <c r="G701" s="55" t="n">
        <v>4</v>
      </c>
      <c r="H701" s="56" t="n">
        <v>20</v>
      </c>
      <c r="I701" s="6" t="inlineStr">
        <is>
          <t>Pet Owner / Cộng đồng nuôi cún (10đ)</t>
        </is>
      </c>
      <c r="J701" s="56" t="n">
        <v>10</v>
      </c>
      <c r="K701" s="6" t="inlineStr">
        <is>
          <t>Chưa rõ giống (Cần quét Bio)</t>
        </is>
      </c>
      <c r="L701" s="56" t="n">
        <v>0</v>
      </c>
      <c r="M701" s="56" t="n">
        <v>0</v>
      </c>
      <c r="N701" s="6" t="inlineStr">
        <is>
          <t>Amazon link not found</t>
        </is>
      </c>
      <c r="O701" s="56">
        <f>IF(N701="Selling pet toys + Artificial grass/Pet toilets (TARGET)",15,IF(N701="Selling artificial grass/pet toilets (TARGET)",10,IF(N701="Selling pet toys",7,IF(N701="There's an Amazon link, but no target sales.",3,0))))</f>
        <v/>
      </c>
      <c r="P701" s="65">
        <f>H701+J701+L701+M701+O701</f>
        <v/>
      </c>
      <c r="Q701" s="71" t="inlineStr">
        <is>
          <t>Excluded: Công ty Gen DNA &amp; Thú y (Mục 5.4)</t>
        </is>
      </c>
      <c r="R701" s="6" t="inlineStr">
        <is>
          <t>Khay vệ sinh chung cư (Indoor Potty) + Thảm cỏ ban công (Grass Patch) + Đồ chơi</t>
        </is>
      </c>
      <c r="S701" s="6" t="inlineStr">
        <is>
          <t>Tuyệt đối không đưa vào CRM (Vi phạm Bộ lọc Âm tính Mục 5)</t>
        </is>
      </c>
    </row>
    <row r="702">
      <c r="A702" s="59" t="n">
        <v>2624</v>
      </c>
      <c r="B702" s="15" t="inlineStr">
        <is>
          <t>Prestige Vets</t>
        </is>
      </c>
      <c r="C702" s="60" t="inlineStr">
        <is>
          <t>https://www.facebook.com/prestigevets</t>
        </is>
      </c>
      <c r="D702" s="9" t="inlineStr">
        <is>
          <t>Cần quét Bio Fanpage</t>
        </is>
      </c>
      <c r="E702" s="59" t="inlineStr">
        <is>
          <t>09/10/2026 04:35:45</t>
        </is>
      </c>
      <c r="F702" s="59" t="inlineStr">
        <is>
          <t>4 ngày trước</t>
        </is>
      </c>
      <c r="G702" s="61" t="n">
        <v>4</v>
      </c>
      <c r="H702" s="62" t="n">
        <v>20</v>
      </c>
      <c r="I702" s="9" t="inlineStr">
        <is>
          <t>Pet Owner / Cộng đồng nuôi cún (10đ)</t>
        </is>
      </c>
      <c r="J702" s="62" t="n">
        <v>10</v>
      </c>
      <c r="K702" s="9" t="inlineStr">
        <is>
          <t>Chưa rõ giống (Cần quét Bio)</t>
        </is>
      </c>
      <c r="L702" s="62" t="n">
        <v>0</v>
      </c>
      <c r="M702" s="62" t="n">
        <v>0</v>
      </c>
      <c r="N702" s="9" t="inlineStr">
        <is>
          <t>Amazon link not found</t>
        </is>
      </c>
      <c r="O702" s="62">
        <f>IF(N702="Selling pet toys + Artificial grass/Pet toilets (TARGET)",15,IF(N702="Selling artificial grass/pet toilets (TARGET)",10,IF(N702="Selling pet toys",7,IF(N702="There's an Amazon link, but no target sales.",3,0))))</f>
        <v/>
      </c>
      <c r="P702" s="67">
        <f>H702+J702+L702+M702+O702</f>
        <v/>
      </c>
      <c r="Q702" s="70" t="inlineStr">
        <is>
          <t>Excluded: Trang Chung / Không rõ Ngách Cún cưng</t>
        </is>
      </c>
      <c r="R702" s="9" t="inlineStr">
        <is>
          <t>Khay vệ sinh chung cư (Indoor Potty) + Thảm cỏ ban công (Grass Patch) + Đồ chơi</t>
        </is>
      </c>
      <c r="S702" s="9" t="inlineStr">
        <is>
          <t>Tuyệt đối không đưa vào CRM (Vi phạm Bộ lọc Âm tính Mục 5)</t>
        </is>
      </c>
    </row>
    <row r="703">
      <c r="A703" s="53" t="n">
        <v>3290</v>
      </c>
      <c r="B703" s="12" t="inlineStr">
        <is>
          <t>VCA Delaware Valley Animal Hospital</t>
        </is>
      </c>
      <c r="C703" s="54" t="inlineStr">
        <is>
          <t>https://www.facebook.com/VCADelawareValleyAnimalHospital</t>
        </is>
      </c>
      <c r="D703" s="6" t="inlineStr">
        <is>
          <t>Cần quét Bio Fanpage</t>
        </is>
      </c>
      <c r="E703" s="53" t="inlineStr">
        <is>
          <t>09/10/2026 04:30:39</t>
        </is>
      </c>
      <c r="F703" s="53" t="inlineStr">
        <is>
          <t>4 ngày trước</t>
        </is>
      </c>
      <c r="G703" s="55" t="n">
        <v>4</v>
      </c>
      <c r="H703" s="56" t="n">
        <v>20</v>
      </c>
      <c r="I703" s="6" t="inlineStr">
        <is>
          <t>Pet Owner / Cộng đồng nuôi cún (10đ)</t>
        </is>
      </c>
      <c r="J703" s="56" t="n">
        <v>10</v>
      </c>
      <c r="K703" s="6" t="inlineStr">
        <is>
          <t>Chưa rõ giống (Cần quét Bio)</t>
        </is>
      </c>
      <c r="L703" s="56" t="n">
        <v>0</v>
      </c>
      <c r="M703" s="56" t="n">
        <v>0</v>
      </c>
      <c r="N703" s="6" t="inlineStr">
        <is>
          <t>Amazon link not found</t>
        </is>
      </c>
      <c r="O703" s="56">
        <f>IF(N703="Selling pet toys + Artificial grass/Pet toilets (TARGET)",15,IF(N703="Selling artificial grass/pet toilets (TARGET)",10,IF(N703="Selling pet toys",7,IF(N703="There's an Amazon link, but no target sales.",3,0))))</f>
        <v/>
      </c>
      <c r="P703" s="65">
        <f>H703+J703+L703+M703+O703</f>
        <v/>
      </c>
      <c r="Q703" s="71" t="inlineStr">
        <is>
          <t>Excluded: Công ty Gen DNA &amp; Thú y (Mục 5.4)</t>
        </is>
      </c>
      <c r="R703" s="6" t="inlineStr">
        <is>
          <t>Khay vệ sinh chung cư (Indoor Potty) + Thảm cỏ ban công (Grass Patch) + Đồ chơi</t>
        </is>
      </c>
      <c r="S703" s="6" t="inlineStr">
        <is>
          <t>Tuyệt đối không đưa vào CRM (Vi phạm Bộ lọc Âm tính Mục 5)</t>
        </is>
      </c>
    </row>
    <row r="704">
      <c r="A704" s="59" t="n">
        <v>2397</v>
      </c>
      <c r="B704" s="15" t="inlineStr">
        <is>
          <t>PAMA-Plataforma Animalista Marina Alta - Festa Sense Animals</t>
        </is>
      </c>
      <c r="C704" s="60" t="inlineStr">
        <is>
          <t>https://www.facebook.com/plataformaanimalistamarinaalta</t>
        </is>
      </c>
      <c r="D704" s="9" t="inlineStr">
        <is>
          <t>Cần quét Bio Fanpage</t>
        </is>
      </c>
      <c r="E704" s="59" t="inlineStr">
        <is>
          <t>09/10/2026 03:38:47</t>
        </is>
      </c>
      <c r="F704" s="59" t="inlineStr">
        <is>
          <t>4 ngày trước</t>
        </is>
      </c>
      <c r="G704" s="61" t="n">
        <v>4</v>
      </c>
      <c r="H704" s="62" t="n">
        <v>20</v>
      </c>
      <c r="I704" s="9" t="inlineStr">
        <is>
          <t>Pet Owner / Cộng đồng nuôi cún (10đ)</t>
        </is>
      </c>
      <c r="J704" s="62" t="n">
        <v>10</v>
      </c>
      <c r="K704" s="9" t="inlineStr">
        <is>
          <t>Chưa rõ giống (Cần quét Bio)</t>
        </is>
      </c>
      <c r="L704" s="62" t="n">
        <v>0</v>
      </c>
      <c r="M704" s="62" t="n">
        <v>0</v>
      </c>
      <c r="N704" s="9" t="inlineStr">
        <is>
          <t>Amazon link not found</t>
        </is>
      </c>
      <c r="O704" s="62">
        <f>IF(N704="Selling pet toys + Artificial grass/Pet toilets (TARGET)",15,IF(N704="Selling artificial grass/pet toilets (TARGET)",10,IF(N704="Selling pet toys",7,IF(N704="There's an Amazon link, but no target sales.",3,0))))</f>
        <v/>
      </c>
      <c r="P704" s="67">
        <f>H704+J704+L704+M704+O704</f>
        <v/>
      </c>
      <c r="Q704" s="70" t="inlineStr">
        <is>
          <t>Excluded: Trang Chung / Không rõ Ngách Cún cưng</t>
        </is>
      </c>
      <c r="R704" s="9" t="inlineStr">
        <is>
          <t>Khay vệ sinh chung cư (Indoor Potty) + Thảm cỏ ban công (Grass Patch) + Đồ chơi</t>
        </is>
      </c>
      <c r="S704" s="9" t="inlineStr">
        <is>
          <t>Tuyệt đối không đưa vào CRM (Vi phạm Bộ lọc Âm tính Mục 5)</t>
        </is>
      </c>
    </row>
    <row r="705">
      <c r="A705" s="53" t="n">
        <v>2183</v>
      </c>
      <c r="B705" s="12" t="inlineStr">
        <is>
          <t>Miller Animal Hospital</t>
        </is>
      </c>
      <c r="C705" s="54" t="inlineStr">
        <is>
          <t>https://www.facebook.com/MillerAnimalHospitalNC</t>
        </is>
      </c>
      <c r="D705" s="6" t="inlineStr">
        <is>
          <t>Cần quét Bio Fanpage</t>
        </is>
      </c>
      <c r="E705" s="53" t="inlineStr">
        <is>
          <t>09/10/2026 02:43:38</t>
        </is>
      </c>
      <c r="F705" s="53" t="inlineStr">
        <is>
          <t>4 ngày trước</t>
        </is>
      </c>
      <c r="G705" s="55" t="n">
        <v>4</v>
      </c>
      <c r="H705" s="56" t="n">
        <v>20</v>
      </c>
      <c r="I705" s="6" t="inlineStr">
        <is>
          <t>Pet Owner / Cộng đồng nuôi cún (10đ)</t>
        </is>
      </c>
      <c r="J705" s="56" t="n">
        <v>10</v>
      </c>
      <c r="K705" s="6" t="inlineStr">
        <is>
          <t>Chưa rõ giống (Cần quét Bio)</t>
        </is>
      </c>
      <c r="L705" s="56" t="n">
        <v>0</v>
      </c>
      <c r="M705" s="56" t="n">
        <v>0</v>
      </c>
      <c r="N705" s="6" t="inlineStr">
        <is>
          <t>Amazon link not found</t>
        </is>
      </c>
      <c r="O705" s="56">
        <f>IF(N705="Selling pet toys + Artificial grass/Pet toilets (TARGET)",15,IF(N705="Selling artificial grass/pet toilets (TARGET)",10,IF(N705="Selling pet toys",7,IF(N705="There's an Amazon link, but no target sales.",3,0))))</f>
        <v/>
      </c>
      <c r="P705" s="65">
        <f>H705+J705+L705+M705+O705</f>
        <v/>
      </c>
      <c r="Q705" s="71" t="inlineStr">
        <is>
          <t>Excluded: Công ty Gen DNA &amp; Thú y (Mục 5.4)</t>
        </is>
      </c>
      <c r="R705" s="6" t="inlineStr">
        <is>
          <t>Khay vệ sinh chung cư (Indoor Potty) + Thảm cỏ ban công (Grass Patch) + Đồ chơi</t>
        </is>
      </c>
      <c r="S705" s="6" t="inlineStr">
        <is>
          <t>Tuyệt đối không đưa vào CRM (Vi phạm Bộ lọc Âm tính Mục 5)</t>
        </is>
      </c>
    </row>
    <row r="706">
      <c r="A706" s="59" t="n">
        <v>2043</v>
      </c>
      <c r="B706" s="15" t="inlineStr">
        <is>
          <t>Lobi Siempre Fiel Asoc Protec Animales y Plantas.</t>
        </is>
      </c>
      <c r="C706" s="60" t="inlineStr">
        <is>
          <t>https://www.facebook.com/lobisiemprefielasociacionprotectoraanimales</t>
        </is>
      </c>
      <c r="D706" s="9" t="inlineStr">
        <is>
          <t>Cần quét Bio Fanpage</t>
        </is>
      </c>
      <c r="E706" s="59" t="inlineStr">
        <is>
          <t>09/10/2026 02:24:55</t>
        </is>
      </c>
      <c r="F706" s="59" t="inlineStr">
        <is>
          <t>4 ngày trước</t>
        </is>
      </c>
      <c r="G706" s="61" t="n">
        <v>4</v>
      </c>
      <c r="H706" s="62" t="n">
        <v>20</v>
      </c>
      <c r="I706" s="9" t="inlineStr">
        <is>
          <t>Pet Owner / Cộng đồng nuôi cún (10đ)</t>
        </is>
      </c>
      <c r="J706" s="62" t="n">
        <v>10</v>
      </c>
      <c r="K706" s="9" t="inlineStr">
        <is>
          <t>Chưa rõ giống (Cần quét Bio)</t>
        </is>
      </c>
      <c r="L706" s="62" t="n">
        <v>0</v>
      </c>
      <c r="M706" s="62" t="n">
        <v>0</v>
      </c>
      <c r="N706" s="9" t="inlineStr">
        <is>
          <t>Amazon link not found</t>
        </is>
      </c>
      <c r="O706" s="62">
        <f>IF(N706="Selling pet toys + Artificial grass/Pet toilets (TARGET)",15,IF(N706="Selling artificial grass/pet toilets (TARGET)",10,IF(N706="Selling pet toys",7,IF(N706="There's an Amazon link, but no target sales.",3,0))))</f>
        <v/>
      </c>
      <c r="P706" s="67">
        <f>H706+J706+L706+M706+O706</f>
        <v/>
      </c>
      <c r="Q706" s="70" t="inlineStr">
        <is>
          <t>Excluded: Trang Chung / Không rõ Ngách Cún cưng</t>
        </is>
      </c>
      <c r="R706" s="9" t="inlineStr">
        <is>
          <t>Khay vệ sinh chung cư (Indoor Potty) + Thảm cỏ ban công (Grass Patch) + Đồ chơi</t>
        </is>
      </c>
      <c r="S706" s="9" t="inlineStr">
        <is>
          <t>Tuyệt đối không đưa vào CRM (Vi phạm Bộ lọc Âm tính Mục 5)</t>
        </is>
      </c>
    </row>
    <row r="707">
      <c r="A707" s="53" t="n">
        <v>3306</v>
      </c>
      <c r="B707" s="12" t="inlineStr">
        <is>
          <t>Veteran Auto Sales  (Sales And Service)</t>
        </is>
      </c>
      <c r="C707" s="54" t="inlineStr">
        <is>
          <t>https://www.facebook.com/veteranauto207</t>
        </is>
      </c>
      <c r="D707" s="6" t="inlineStr">
        <is>
          <t>Cần quét Bio Fanpage</t>
        </is>
      </c>
      <c r="E707" s="53" t="inlineStr">
        <is>
          <t>09/10/2026 01:30:22</t>
        </is>
      </c>
      <c r="F707" s="53" t="inlineStr">
        <is>
          <t>4 ngày trước</t>
        </is>
      </c>
      <c r="G707" s="55" t="n">
        <v>4</v>
      </c>
      <c r="H707" s="56" t="n">
        <v>20</v>
      </c>
      <c r="I707" s="6" t="inlineStr">
        <is>
          <t>Pet Owner / Cộng đồng nuôi cún (10đ)</t>
        </is>
      </c>
      <c r="J707" s="56" t="n">
        <v>10</v>
      </c>
      <c r="K707" s="6" t="inlineStr">
        <is>
          <t>Chưa rõ giống (Cần quét Bio)</t>
        </is>
      </c>
      <c r="L707" s="56" t="n">
        <v>0</v>
      </c>
      <c r="M707" s="56" t="n">
        <v>0</v>
      </c>
      <c r="N707" s="6" t="inlineStr">
        <is>
          <t>Amazon link not found</t>
        </is>
      </c>
      <c r="O707" s="56">
        <f>IF(N707="Selling pet toys + Artificial grass/Pet toilets (TARGET)",15,IF(N707="Selling artificial grass/pet toilets (TARGET)",10,IF(N707="Selling pet toys",7,IF(N707="There's an Amazon link, but no target sales.",3,0))))</f>
        <v/>
      </c>
      <c r="P707" s="65">
        <f>H707+J707+L707+M707+O707</f>
        <v/>
      </c>
      <c r="Q707" s="71" t="inlineStr">
        <is>
          <t>Excluded: Trang Chung / Không rõ Ngách Cún cưng</t>
        </is>
      </c>
      <c r="R707" s="6" t="inlineStr">
        <is>
          <t>Khay vệ sinh chung cư (Indoor Potty) + Thảm cỏ ban công (Grass Patch) + Đồ chơi</t>
        </is>
      </c>
      <c r="S707" s="6" t="inlineStr">
        <is>
          <t>Tuyệt đối không đưa vào CRM (Vi phạm Bộ lọc Âm tính Mục 5)</t>
        </is>
      </c>
    </row>
    <row r="708">
      <c r="A708" s="59" t="n">
        <v>1715</v>
      </c>
      <c r="B708" s="15" t="inlineStr">
        <is>
          <t>I-20 Animal Hospital</t>
        </is>
      </c>
      <c r="C708" s="60" t="inlineStr">
        <is>
          <t>https://www.facebook.com/I20.Animal.Hospital</t>
        </is>
      </c>
      <c r="D708" s="9" t="inlineStr">
        <is>
          <t>Cần quét Bio Fanpage</t>
        </is>
      </c>
      <c r="E708" s="59" t="inlineStr">
        <is>
          <t>09/10/2026 01:23:16</t>
        </is>
      </c>
      <c r="F708" s="59" t="inlineStr">
        <is>
          <t>4 ngày trước</t>
        </is>
      </c>
      <c r="G708" s="61" t="n">
        <v>4</v>
      </c>
      <c r="H708" s="62" t="n">
        <v>20</v>
      </c>
      <c r="I708" s="9" t="inlineStr">
        <is>
          <t>Pet Owner / Cộng đồng nuôi cún (10đ)</t>
        </is>
      </c>
      <c r="J708" s="62" t="n">
        <v>10</v>
      </c>
      <c r="K708" s="9" t="inlineStr">
        <is>
          <t>Chưa rõ giống (Cần quét Bio)</t>
        </is>
      </c>
      <c r="L708" s="62" t="n">
        <v>0</v>
      </c>
      <c r="M708" s="62" t="n">
        <v>0</v>
      </c>
      <c r="N708" s="9" t="inlineStr">
        <is>
          <t>Amazon link not found</t>
        </is>
      </c>
      <c r="O708" s="62">
        <f>IF(N708="Selling pet toys + Artificial grass/Pet toilets (TARGET)",15,IF(N708="Selling artificial grass/pet toilets (TARGET)",10,IF(N708="Selling pet toys",7,IF(N708="There's an Amazon link, but no target sales.",3,0))))</f>
        <v/>
      </c>
      <c r="P708" s="67">
        <f>H708+J708+L708+M708+O708</f>
        <v/>
      </c>
      <c r="Q708" s="70" t="inlineStr">
        <is>
          <t>Excluded: Công ty Gen DNA &amp; Thú y (Mục 5.4)</t>
        </is>
      </c>
      <c r="R708" s="9" t="inlineStr">
        <is>
          <t>Khay vệ sinh chung cư (Indoor Potty) + Thảm cỏ ban công (Grass Patch) + Đồ chơi</t>
        </is>
      </c>
      <c r="S708" s="9" t="inlineStr">
        <is>
          <t>Tuyệt đối không đưa vào CRM (Vi phạm Bộ lọc Âm tính Mục 5)</t>
        </is>
      </c>
    </row>
    <row r="709">
      <c r="A709" s="53" t="n">
        <v>2074</v>
      </c>
      <c r="B709" s="12" t="inlineStr">
        <is>
          <t>Luna Gonzalez Perez, Animal Communicator</t>
        </is>
      </c>
      <c r="C709" s="54" t="inlineStr">
        <is>
          <t>https://www.facebook.com/profile.php?id=61588716046784</t>
        </is>
      </c>
      <c r="D709" s="6" t="inlineStr">
        <is>
          <t>Cần quét Bio Fanpage</t>
        </is>
      </c>
      <c r="E709" s="53" t="inlineStr">
        <is>
          <t>09/10/2026 00:24:29</t>
        </is>
      </c>
      <c r="F709" s="53" t="inlineStr">
        <is>
          <t>4 ngày trước</t>
        </is>
      </c>
      <c r="G709" s="55" t="n">
        <v>4</v>
      </c>
      <c r="H709" s="56" t="n">
        <v>20</v>
      </c>
      <c r="I709" s="6" t="inlineStr">
        <is>
          <t>Pet Owner / Cộng đồng nuôi cún (10đ)</t>
        </is>
      </c>
      <c r="J709" s="56" t="n">
        <v>10</v>
      </c>
      <c r="K709" s="6" t="inlineStr">
        <is>
          <t>Chưa rõ giống (Cần quét Bio)</t>
        </is>
      </c>
      <c r="L709" s="56" t="n">
        <v>0</v>
      </c>
      <c r="M709" s="56" t="n">
        <v>0</v>
      </c>
      <c r="N709" s="6" t="inlineStr">
        <is>
          <t>Amazon link not found</t>
        </is>
      </c>
      <c r="O709" s="56">
        <f>IF(N709="Selling pet toys + Artificial grass/Pet toilets (TARGET)",15,IF(N709="Selling artificial grass/pet toilets (TARGET)",10,IF(N709="Selling pet toys",7,IF(N709="There's an Amazon link, but no target sales.",3,0))))</f>
        <v/>
      </c>
      <c r="P709" s="65">
        <f>H709+J709+L709+M709+O709</f>
        <v/>
      </c>
      <c r="Q709" s="71" t="inlineStr">
        <is>
          <t>Excluded: Trang Chung / Không rõ Ngách Cún cưng</t>
        </is>
      </c>
      <c r="R709" s="6" t="inlineStr">
        <is>
          <t>Khay vệ sinh chung cư (Indoor Potty) + Thảm cỏ ban công (Grass Patch) + Đồ chơi</t>
        </is>
      </c>
      <c r="S709" s="6" t="inlineStr">
        <is>
          <t>Tuyệt đối không đưa vào CRM (Vi phạm Bộ lọc Âm tính Mục 5)</t>
        </is>
      </c>
    </row>
    <row r="710">
      <c r="A710" s="59" t="n">
        <v>3314</v>
      </c>
      <c r="B710" s="15" t="inlineStr">
        <is>
          <t>techs4clefts</t>
        </is>
      </c>
      <c r="C710" s="60" t="inlineStr">
        <is>
          <t>https://www.facebook.com/techs4clefts</t>
        </is>
      </c>
      <c r="D710" s="9" t="inlineStr">
        <is>
          <t>Cần quét Bio Fanpage</t>
        </is>
      </c>
      <c r="E710" s="59" t="inlineStr">
        <is>
          <t>08/10/2026 23:40:37</t>
        </is>
      </c>
      <c r="F710" s="59" t="inlineStr">
        <is>
          <t>4 ngày trước</t>
        </is>
      </c>
      <c r="G710" s="61" t="n">
        <v>4</v>
      </c>
      <c r="H710" s="62" t="n">
        <v>20</v>
      </c>
      <c r="I710" s="9" t="inlineStr">
        <is>
          <t>Pet Owner / Cộng đồng nuôi cún (10đ)</t>
        </is>
      </c>
      <c r="J710" s="62" t="n">
        <v>10</v>
      </c>
      <c r="K710" s="9" t="inlineStr">
        <is>
          <t>Chưa rõ giống (Cần quét Bio)</t>
        </is>
      </c>
      <c r="L710" s="62" t="n">
        <v>0</v>
      </c>
      <c r="M710" s="62" t="n">
        <v>0</v>
      </c>
      <c r="N710" s="9" t="inlineStr">
        <is>
          <t>Amazon link not found</t>
        </is>
      </c>
      <c r="O710" s="62">
        <f>IF(N710="Selling pet toys + Artificial grass/Pet toilets (TARGET)",15,IF(N710="Selling artificial grass/pet toilets (TARGET)",10,IF(N710="Selling pet toys",7,IF(N710="There's an Amazon link, but no target sales.",3,0))))</f>
        <v/>
      </c>
      <c r="P710" s="67">
        <f>H710+J710+L710+M710+O710</f>
        <v/>
      </c>
      <c r="Q710" s="70" t="inlineStr">
        <is>
          <t>Excluded: Trang Chung / Không rõ Ngách Cún cưng</t>
        </is>
      </c>
      <c r="R710" s="9" t="inlineStr">
        <is>
          <t>Khay vệ sinh chung cư (Indoor Potty) + Thảm cỏ ban công (Grass Patch) + Đồ chơi</t>
        </is>
      </c>
      <c r="S710" s="9" t="inlineStr">
        <is>
          <t>Tuyệt đối không đưa vào CRM (Vi phạm Bộ lọc Âm tính Mục 5)</t>
        </is>
      </c>
    </row>
    <row r="711">
      <c r="A711" s="53" t="n">
        <v>1935</v>
      </c>
      <c r="B711" s="12" t="inlineStr">
        <is>
          <t>Knowle Park care home (Cranleigh)</t>
        </is>
      </c>
      <c r="C711" s="54" t="inlineStr">
        <is>
          <t>https://www.facebook.com/KnowleParkCareUK</t>
        </is>
      </c>
      <c r="D711" s="6" t="inlineStr">
        <is>
          <t>Cần quét Bio Fanpage</t>
        </is>
      </c>
      <c r="E711" s="53" t="inlineStr">
        <is>
          <t>08/10/2026 23:23:22</t>
        </is>
      </c>
      <c r="F711" s="53" t="inlineStr">
        <is>
          <t>4 ngày trước</t>
        </is>
      </c>
      <c r="G711" s="55" t="n">
        <v>4</v>
      </c>
      <c r="H711" s="56" t="n">
        <v>20</v>
      </c>
      <c r="I711" s="6" t="inlineStr">
        <is>
          <t>Pet Owner / Cộng đồng nuôi cún (10đ)</t>
        </is>
      </c>
      <c r="J711" s="56" t="n">
        <v>10</v>
      </c>
      <c r="K711" s="6" t="inlineStr">
        <is>
          <t>Chưa rõ giống (Cần quét Bio)</t>
        </is>
      </c>
      <c r="L711" s="56" t="n">
        <v>0</v>
      </c>
      <c r="M711" s="56" t="n">
        <v>0</v>
      </c>
      <c r="N711" s="6" t="inlineStr">
        <is>
          <t>Amazon link not found</t>
        </is>
      </c>
      <c r="O711" s="56">
        <f>IF(N711="Selling pet toys + Artificial grass/Pet toilets (TARGET)",15,IF(N711="Selling artificial grass/pet toilets (TARGET)",10,IF(N711="Selling pet toys",7,IF(N711="There's an Amazon link, but no target sales.",3,0))))</f>
        <v/>
      </c>
      <c r="P711" s="65">
        <f>H711+J711+L711+M711+O711</f>
        <v/>
      </c>
      <c r="Q711" s="71" t="inlineStr">
        <is>
          <t>Excluded: Trang Chung / Không rõ Ngách Cún cưng</t>
        </is>
      </c>
      <c r="R711" s="6" t="inlineStr">
        <is>
          <t>Khay vệ sinh chung cư (Indoor Potty) + Thảm cỏ ban công (Grass Patch) + Đồ chơi</t>
        </is>
      </c>
      <c r="S711" s="6" t="inlineStr">
        <is>
          <t>Tuyệt đối không đưa vào CRM (Vi phạm Bộ lọc Âm tính Mục 5)</t>
        </is>
      </c>
    </row>
    <row r="712">
      <c r="A712" s="59" t="n">
        <v>1313</v>
      </c>
      <c r="B712" s="15" t="inlineStr">
        <is>
          <t>FAA - Fundación de Ayuda a los Animales</t>
        </is>
      </c>
      <c r="C712" s="60" t="inlineStr">
        <is>
          <t>https://www.facebook.com/FAAFundacionDeAyudaALosAnimales</t>
        </is>
      </c>
      <c r="D712" s="9" t="inlineStr">
        <is>
          <t>Cần quét Bio Fanpage</t>
        </is>
      </c>
      <c r="E712" s="59" t="inlineStr">
        <is>
          <t>08/10/2026 22:37:22</t>
        </is>
      </c>
      <c r="F712" s="59" t="inlineStr">
        <is>
          <t>4 ngày trước</t>
        </is>
      </c>
      <c r="G712" s="61" t="n">
        <v>4</v>
      </c>
      <c r="H712" s="62" t="n">
        <v>20</v>
      </c>
      <c r="I712" s="9" t="inlineStr">
        <is>
          <t>Pet Owner / Cộng đồng nuôi cún (10đ)</t>
        </is>
      </c>
      <c r="J712" s="62" t="n">
        <v>10</v>
      </c>
      <c r="K712" s="9" t="inlineStr">
        <is>
          <t>Chưa rõ giống (Cần quét Bio)</t>
        </is>
      </c>
      <c r="L712" s="62" t="n">
        <v>0</v>
      </c>
      <c r="M712" s="62" t="n">
        <v>0</v>
      </c>
      <c r="N712" s="9" t="inlineStr">
        <is>
          <t>Amazon link not found</t>
        </is>
      </c>
      <c r="O712" s="62">
        <f>IF(N712="Selling pet toys + Artificial grass/Pet toilets (TARGET)",15,IF(N712="Selling artificial grass/pet toilets (TARGET)",10,IF(N712="Selling pet toys",7,IF(N712="There's an Amazon link, but no target sales.",3,0))))</f>
        <v/>
      </c>
      <c r="P712" s="67">
        <f>H712+J712+L712+M712+O712</f>
        <v/>
      </c>
      <c r="Q712" s="70" t="inlineStr">
        <is>
          <t>Excluded: Trang Chung / Không rõ Ngách Cún cưng</t>
        </is>
      </c>
      <c r="R712" s="9" t="inlineStr">
        <is>
          <t>Khay vệ sinh chung cư (Indoor Potty) + Thảm cỏ ban công (Grass Patch) + Đồ chơi</t>
        </is>
      </c>
      <c r="S712" s="9" t="inlineStr">
        <is>
          <t>Tuyệt đối không đưa vào CRM (Vi phạm Bộ lọc Âm tính Mục 5)</t>
        </is>
      </c>
    </row>
    <row r="713">
      <c r="A713" s="53" t="n">
        <v>888</v>
      </c>
      <c r="B713" s="12" t="inlineStr">
        <is>
          <t>Chestertown Farmers' Market</t>
        </is>
      </c>
      <c r="C713" s="54" t="inlineStr">
        <is>
          <t>https://www.facebook.com/ChestertownFarmersMarketMD</t>
        </is>
      </c>
      <c r="D713" s="6" t="inlineStr">
        <is>
          <t>Cần quét Bio Fanpage</t>
        </is>
      </c>
      <c r="E713" s="53" t="inlineStr">
        <is>
          <t>08/10/2026 21:57:57</t>
        </is>
      </c>
      <c r="F713" s="53" t="inlineStr">
        <is>
          <t>4 ngày trước</t>
        </is>
      </c>
      <c r="G713" s="55" t="n">
        <v>4</v>
      </c>
      <c r="H713" s="56" t="n">
        <v>20</v>
      </c>
      <c r="I713" s="6" t="inlineStr">
        <is>
          <t>Pet Owner / Cộng đồng nuôi cún (10đ)</t>
        </is>
      </c>
      <c r="J713" s="56" t="n">
        <v>10</v>
      </c>
      <c r="K713" s="6" t="inlineStr">
        <is>
          <t>Chưa rõ giống (Cần quét Bio)</t>
        </is>
      </c>
      <c r="L713" s="56" t="n">
        <v>0</v>
      </c>
      <c r="M713" s="56" t="n">
        <v>0</v>
      </c>
      <c r="N713" s="6" t="inlineStr">
        <is>
          <t>Amazon link not found</t>
        </is>
      </c>
      <c r="O713" s="56">
        <f>IF(N713="Selling pet toys + Artificial grass/Pet toilets (TARGET)",15,IF(N713="Selling artificial grass/pet toilets (TARGET)",10,IF(N713="Selling pet toys",7,IF(N713="There's an Amazon link, but no target sales.",3,0))))</f>
        <v/>
      </c>
      <c r="P713" s="65">
        <f>H713+J713+L713+M713+O713</f>
        <v/>
      </c>
      <c r="Q713" s="71" t="inlineStr">
        <is>
          <t>Excluded: Trang Chung / Không rõ Ngách Cún cưng</t>
        </is>
      </c>
      <c r="R713" s="6" t="inlineStr">
        <is>
          <t>Khay vệ sinh chung cư (Indoor Potty) + Thảm cỏ ban công (Grass Patch) + Đồ chơi</t>
        </is>
      </c>
      <c r="S713" s="6" t="inlineStr">
        <is>
          <t>Tuyệt đối không đưa vào CRM (Vi phạm Bộ lọc Âm tính Mục 5)</t>
        </is>
      </c>
    </row>
    <row r="714">
      <c r="A714" s="59" t="n">
        <v>3060</v>
      </c>
      <c r="B714" s="15" t="inlineStr">
        <is>
          <t>Taragui Agroveterinaria</t>
        </is>
      </c>
      <c r="C714" s="60" t="inlineStr">
        <is>
          <t>https://www.facebook.com/agrovet.taragui</t>
        </is>
      </c>
      <c r="D714" s="9" t="inlineStr">
        <is>
          <t>Cần quét Bio Fanpage</t>
        </is>
      </c>
      <c r="E714" s="59" t="inlineStr">
        <is>
          <t>08/10/2026 20:09:17</t>
        </is>
      </c>
      <c r="F714" s="59" t="inlineStr">
        <is>
          <t>4 ngày trước</t>
        </is>
      </c>
      <c r="G714" s="61" t="n">
        <v>4</v>
      </c>
      <c r="H714" s="62" t="n">
        <v>20</v>
      </c>
      <c r="I714" s="9" t="inlineStr">
        <is>
          <t>Pet Owner / Cộng đồng nuôi cún (10đ)</t>
        </is>
      </c>
      <c r="J714" s="62" t="n">
        <v>10</v>
      </c>
      <c r="K714" s="9" t="inlineStr">
        <is>
          <t>Chưa rõ giống (Cần quét Bio)</t>
        </is>
      </c>
      <c r="L714" s="62" t="n">
        <v>0</v>
      </c>
      <c r="M714" s="62" t="n">
        <v>0</v>
      </c>
      <c r="N714" s="9" t="inlineStr">
        <is>
          <t>Amazon link not found</t>
        </is>
      </c>
      <c r="O714" s="62">
        <f>IF(N714="Selling pet toys + Artificial grass/Pet toilets (TARGET)",15,IF(N714="Selling artificial grass/pet toilets (TARGET)",10,IF(N714="Selling pet toys",7,IF(N714="There's an Amazon link, but no target sales.",3,0))))</f>
        <v/>
      </c>
      <c r="P714" s="67">
        <f>H714+J714+L714+M714+O714</f>
        <v/>
      </c>
      <c r="Q714" s="70" t="inlineStr">
        <is>
          <t>Excluded: Công ty Gen DNA &amp; Thú y (Mục 5.4)</t>
        </is>
      </c>
      <c r="R714" s="9" t="inlineStr">
        <is>
          <t>Khay vệ sinh chung cư (Indoor Potty) + Thảm cỏ ban công (Grass Patch) + Đồ chơi</t>
        </is>
      </c>
      <c r="S714" s="9" t="inlineStr">
        <is>
          <t>Tuyệt đối không đưa vào CRM (Vi phạm Bộ lọc Âm tính Mục 5)</t>
        </is>
      </c>
    </row>
    <row r="715">
      <c r="A715" s="53" t="n">
        <v>1939</v>
      </c>
      <c r="B715" s="12" t="inlineStr">
        <is>
          <t>Kompatas by Vidanimal</t>
        </is>
      </c>
      <c r="C715" s="54" t="inlineStr">
        <is>
          <t>https://www.facebook.com/kompatasbyvidanimal</t>
        </is>
      </c>
      <c r="D715" s="6" t="inlineStr">
        <is>
          <t>Cần quét Bio Fanpage</t>
        </is>
      </c>
      <c r="E715" s="53" t="inlineStr">
        <is>
          <t>08/10/2026 19:55:39</t>
        </is>
      </c>
      <c r="F715" s="53" t="inlineStr">
        <is>
          <t>4 ngày trước</t>
        </is>
      </c>
      <c r="G715" s="55" t="n">
        <v>4</v>
      </c>
      <c r="H715" s="56" t="n">
        <v>20</v>
      </c>
      <c r="I715" s="6" t="inlineStr">
        <is>
          <t>Pet Owner / Cộng đồng nuôi cún (10đ)</t>
        </is>
      </c>
      <c r="J715" s="56" t="n">
        <v>10</v>
      </c>
      <c r="K715" s="6" t="inlineStr">
        <is>
          <t>Chưa rõ giống (Cần quét Bio)</t>
        </is>
      </c>
      <c r="L715" s="56" t="n">
        <v>0</v>
      </c>
      <c r="M715" s="56" t="n">
        <v>0</v>
      </c>
      <c r="N715" s="6" t="inlineStr">
        <is>
          <t>Amazon link not found</t>
        </is>
      </c>
      <c r="O715" s="56">
        <f>IF(N715="Selling pet toys + Artificial grass/Pet toilets (TARGET)",15,IF(N715="Selling artificial grass/pet toilets (TARGET)",10,IF(N715="Selling pet toys",7,IF(N715="There's an Amazon link, but no target sales.",3,0))))</f>
        <v/>
      </c>
      <c r="P715" s="65">
        <f>H715+J715+L715+M715+O715</f>
        <v/>
      </c>
      <c r="Q715" s="71" t="inlineStr">
        <is>
          <t>Excluded: Trang Chung / Không rõ Ngách Cún cưng</t>
        </is>
      </c>
      <c r="R715" s="6" t="inlineStr">
        <is>
          <t>Khay vệ sinh chung cư (Indoor Potty) + Thảm cỏ ban công (Grass Patch) + Đồ chơi</t>
        </is>
      </c>
      <c r="S715" s="6" t="inlineStr">
        <is>
          <t>Tuyệt đối không đưa vào CRM (Vi phạm Bộ lọc Âm tính Mục 5)</t>
        </is>
      </c>
    </row>
    <row r="716">
      <c r="A716" s="59" t="n">
        <v>534</v>
      </c>
      <c r="B716" s="15" t="inlineStr">
        <is>
          <t>Ashford Farmers Market</t>
        </is>
      </c>
      <c r="C716" s="60" t="inlineStr">
        <is>
          <t>https://www.facebook.com/ashfordfarmersmarketct</t>
        </is>
      </c>
      <c r="D716" s="9" t="inlineStr">
        <is>
          <t>Cần quét Bio Fanpage</t>
        </is>
      </c>
      <c r="E716" s="59" t="inlineStr">
        <is>
          <t>08/10/2026 19:17:10</t>
        </is>
      </c>
      <c r="F716" s="59" t="inlineStr">
        <is>
          <t>4 ngày trước</t>
        </is>
      </c>
      <c r="G716" s="61" t="n">
        <v>4</v>
      </c>
      <c r="H716" s="62" t="n">
        <v>20</v>
      </c>
      <c r="I716" s="9" t="inlineStr">
        <is>
          <t>Pet Owner / Cộng đồng nuôi cún (10đ)</t>
        </is>
      </c>
      <c r="J716" s="62" t="n">
        <v>10</v>
      </c>
      <c r="K716" s="9" t="inlineStr">
        <is>
          <t>Chưa rõ giống (Cần quét Bio)</t>
        </is>
      </c>
      <c r="L716" s="62" t="n">
        <v>0</v>
      </c>
      <c r="M716" s="62" t="n">
        <v>0</v>
      </c>
      <c r="N716" s="9" t="inlineStr">
        <is>
          <t>Amazon link not found</t>
        </is>
      </c>
      <c r="O716" s="62">
        <f>IF(N716="Selling pet toys + Artificial grass/Pet toilets (TARGET)",15,IF(N716="Selling artificial grass/pet toilets (TARGET)",10,IF(N716="Selling pet toys",7,IF(N716="There's an Amazon link, but no target sales.",3,0))))</f>
        <v/>
      </c>
      <c r="P716" s="67">
        <f>H716+J716+L716+M716+O716</f>
        <v/>
      </c>
      <c r="Q716" s="70" t="inlineStr">
        <is>
          <t>Excluded: Ngành nghề Khác (Phi Cún cưng)</t>
        </is>
      </c>
      <c r="R716" s="9" t="inlineStr">
        <is>
          <t>Khay vệ sinh chung cư (Indoor Potty) + Thảm cỏ ban công (Grass Patch) + Đồ chơi</t>
        </is>
      </c>
      <c r="S716" s="9" t="inlineStr">
        <is>
          <t>Tuyệt đối không đưa vào CRM (Vi phạm Bộ lọc Âm tính Mục 5)</t>
        </is>
      </c>
    </row>
    <row r="717">
      <c r="A717" s="53" t="n">
        <v>1956</v>
      </c>
      <c r="B717" s="12" t="inlineStr">
        <is>
          <t>La Madrileña Asociación Protectora de Animales</t>
        </is>
      </c>
      <c r="C717" s="54" t="inlineStr">
        <is>
          <t>https://www.facebook.com/ProtectoraLaMadrilena</t>
        </is>
      </c>
      <c r="D717" s="6" t="inlineStr">
        <is>
          <t>Cần quét Bio Fanpage</t>
        </is>
      </c>
      <c r="E717" s="53" t="inlineStr">
        <is>
          <t>08/10/2026 18:55:25</t>
        </is>
      </c>
      <c r="F717" s="53" t="inlineStr">
        <is>
          <t>4 ngày trước</t>
        </is>
      </c>
      <c r="G717" s="55" t="n">
        <v>4</v>
      </c>
      <c r="H717" s="56" t="n">
        <v>20</v>
      </c>
      <c r="I717" s="6" t="inlineStr">
        <is>
          <t>Pet Owner / Cộng đồng nuôi cún (10đ)</t>
        </is>
      </c>
      <c r="J717" s="56" t="n">
        <v>10</v>
      </c>
      <c r="K717" s="6" t="inlineStr">
        <is>
          <t>Chưa rõ giống (Cần quét Bio)</t>
        </is>
      </c>
      <c r="L717" s="56" t="n">
        <v>0</v>
      </c>
      <c r="M717" s="56" t="n">
        <v>0</v>
      </c>
      <c r="N717" s="6" t="inlineStr">
        <is>
          <t>Amazon link not found</t>
        </is>
      </c>
      <c r="O717" s="56">
        <f>IF(N717="Selling pet toys + Artificial grass/Pet toilets (TARGET)",15,IF(N717="Selling artificial grass/pet toilets (TARGET)",10,IF(N717="Selling pet toys",7,IF(N717="There's an Amazon link, but no target sales.",3,0))))</f>
        <v/>
      </c>
      <c r="P717" s="65">
        <f>H717+J717+L717+M717+O717</f>
        <v/>
      </c>
      <c r="Q717" s="71" t="inlineStr">
        <is>
          <t>Excluded: Trang Chung / Không rõ Ngách Cún cưng</t>
        </is>
      </c>
      <c r="R717" s="6" t="inlineStr">
        <is>
          <t>Khay vệ sinh chung cư (Indoor Potty) + Thảm cỏ ban công (Grass Patch) + Đồ chơi</t>
        </is>
      </c>
      <c r="S717" s="6" t="inlineStr">
        <is>
          <t>Tuyệt đối không đưa vào CRM (Vi phạm Bộ lọc Âm tính Mục 5)</t>
        </is>
      </c>
    </row>
    <row r="718">
      <c r="A718" s="59" t="n">
        <v>472</v>
      </c>
      <c r="B718" s="15" t="inlineStr">
        <is>
          <t>Animal Poisons Helpline</t>
        </is>
      </c>
      <c r="C718" s="60" t="inlineStr">
        <is>
          <t>https://www.facebook.com/animalpoisonshelpline</t>
        </is>
      </c>
      <c r="D718" s="9" t="inlineStr">
        <is>
          <t>Cần quét Bio Fanpage</t>
        </is>
      </c>
      <c r="E718" s="59" t="inlineStr">
        <is>
          <t>08/10/2026 12:21:10</t>
        </is>
      </c>
      <c r="F718" s="59" t="inlineStr">
        <is>
          <t>4 ngày trước</t>
        </is>
      </c>
      <c r="G718" s="61" t="n">
        <v>4</v>
      </c>
      <c r="H718" s="62" t="n">
        <v>20</v>
      </c>
      <c r="I718" s="9" t="inlineStr">
        <is>
          <t>Pet Owner / Cộng đồng nuôi cún (10đ)</t>
        </is>
      </c>
      <c r="J718" s="62" t="n">
        <v>10</v>
      </c>
      <c r="K718" s="9" t="inlineStr">
        <is>
          <t>Chưa rõ giống (Cần quét Bio)</t>
        </is>
      </c>
      <c r="L718" s="62" t="n">
        <v>0</v>
      </c>
      <c r="M718" s="62" t="n">
        <v>0</v>
      </c>
      <c r="N718" s="9" t="inlineStr">
        <is>
          <t>Amazon link not found</t>
        </is>
      </c>
      <c r="O718" s="62">
        <f>IF(N718="Selling pet toys + Artificial grass/Pet toilets (TARGET)",15,IF(N718="Selling artificial grass/pet toilets (TARGET)",10,IF(N718="Selling pet toys",7,IF(N718="There's an Amazon link, but no target sales.",3,0))))</f>
        <v/>
      </c>
      <c r="P718" s="67">
        <f>H718+J718+L718+M718+O718</f>
        <v/>
      </c>
      <c r="Q718" s="70" t="inlineStr">
        <is>
          <t>Excluded: Trang Chung / Không rõ Ngách Cún cưng</t>
        </is>
      </c>
      <c r="R718" s="9" t="inlineStr">
        <is>
          <t>Khay vệ sinh chung cư (Indoor Potty) + Thảm cỏ ban công (Grass Patch) + Đồ chơi</t>
        </is>
      </c>
      <c r="S718" s="9" t="inlineStr">
        <is>
          <t>Tuyệt đối không đưa vào CRM (Vi phạm Bộ lọc Âm tính Mục 5)</t>
        </is>
      </c>
    </row>
    <row r="719">
      <c r="A719" s="53" t="n">
        <v>3132</v>
      </c>
      <c r="B719" s="12" t="inlineStr">
        <is>
          <t>The Human Animal Bond.</t>
        </is>
      </c>
      <c r="C719" s="54" t="inlineStr">
        <is>
          <t>https://www.facebook.com/Thehumananimalbond</t>
        </is>
      </c>
      <c r="D719" s="6" t="inlineStr">
        <is>
          <t>Cần quét Bio Fanpage</t>
        </is>
      </c>
      <c r="E719" s="53" t="inlineStr">
        <is>
          <t>08/10/2026 09:05:33</t>
        </is>
      </c>
      <c r="F719" s="53" t="inlineStr">
        <is>
          <t>4 ngày trước</t>
        </is>
      </c>
      <c r="G719" s="55" t="n">
        <v>4</v>
      </c>
      <c r="H719" s="56" t="n">
        <v>20</v>
      </c>
      <c r="I719" s="6" t="inlineStr">
        <is>
          <t>Pet Owner / Cộng đồng nuôi cún (10đ)</t>
        </is>
      </c>
      <c r="J719" s="56" t="n">
        <v>10</v>
      </c>
      <c r="K719" s="6" t="inlineStr">
        <is>
          <t>Chưa rõ giống (Cần quét Bio)</t>
        </is>
      </c>
      <c r="L719" s="56" t="n">
        <v>0</v>
      </c>
      <c r="M719" s="56" t="n">
        <v>0</v>
      </c>
      <c r="N719" s="6" t="inlineStr">
        <is>
          <t>Amazon link not found</t>
        </is>
      </c>
      <c r="O719" s="56">
        <f>IF(N719="Selling pet toys + Artificial grass/Pet toilets (TARGET)",15,IF(N719="Selling artificial grass/pet toilets (TARGET)",10,IF(N719="Selling pet toys",7,IF(N719="There's an Amazon link, but no target sales.",3,0))))</f>
        <v/>
      </c>
      <c r="P719" s="65">
        <f>H719+J719+L719+M719+O719</f>
        <v/>
      </c>
      <c r="Q719" s="71" t="inlineStr">
        <is>
          <t>Excluded: Trang Chung / Không rõ Ngách Cún cưng</t>
        </is>
      </c>
      <c r="R719" s="6" t="inlineStr">
        <is>
          <t>Khay vệ sinh chung cư (Indoor Potty) + Thảm cỏ ban công (Grass Patch) + Đồ chơi</t>
        </is>
      </c>
      <c r="S719" s="6" t="inlineStr">
        <is>
          <t>Tuyệt đối không đưa vào CRM (Vi phạm Bộ lọc Âm tính Mục 5)</t>
        </is>
      </c>
    </row>
    <row r="720">
      <c r="A720" s="59" t="n">
        <v>6</v>
      </c>
      <c r="B720" s="15" t="inlineStr">
        <is>
          <t>Things Dog Handlers Say</t>
        </is>
      </c>
      <c r="C720" s="60" t="inlineStr">
        <is>
          <t>https://www.facebook.com/thingsdoghandlerssay</t>
        </is>
      </c>
      <c r="D720" s="9" t="inlineStr">
        <is>
          <t>Cần quét Bio Fanpage</t>
        </is>
      </c>
      <c r="E720" s="59" t="inlineStr">
        <is>
          <t>08/10/2026 05:40:38</t>
        </is>
      </c>
      <c r="F720" s="59" t="inlineStr">
        <is>
          <t>4 ngày trước</t>
        </is>
      </c>
      <c r="G720" s="61" t="n">
        <v>4</v>
      </c>
      <c r="H720" s="62" t="n">
        <v>20</v>
      </c>
      <c r="I720" s="9" t="inlineStr">
        <is>
          <t>Pet Owner / Cộng đồng nuôi cún (10đ)</t>
        </is>
      </c>
      <c r="J720" s="62" t="n">
        <v>10</v>
      </c>
      <c r="K720" s="9" t="inlineStr">
        <is>
          <t>Chưa rõ giống (Cần quét Bio)</t>
        </is>
      </c>
      <c r="L720" s="62" t="n">
        <v>0</v>
      </c>
      <c r="M720" s="62" t="n">
        <v>0</v>
      </c>
      <c r="N720" s="9" t="inlineStr">
        <is>
          <t>Amazon link not found</t>
        </is>
      </c>
      <c r="O720" s="62">
        <f>IF(N720="Selling pet toys + Artificial grass/Pet toilets (TARGET)",15,IF(N720="Selling artificial grass/pet toilets (TARGET)",10,IF(N720="Selling pet toys",7,IF(N720="There's an Amazon link, but no target sales.",3,0))))</f>
        <v/>
      </c>
      <c r="P720" s="67">
        <f>H720+J720+L720+M720+O720</f>
        <v/>
      </c>
      <c r="Q720" s="70" t="inlineStr">
        <is>
          <t>Excluded: Kênh Tin tức, Tạp chí &amp; Giải trí (Mục 5.3)</t>
        </is>
      </c>
      <c r="R720" s="9" t="inlineStr">
        <is>
          <t>Khay vệ sinh chung cư (Indoor Potty) + Thảm cỏ ban công (Grass Patch) + Đồ chơi</t>
        </is>
      </c>
      <c r="S720" s="9" t="inlineStr">
        <is>
          <t>Tuyệt đối không đưa vào CRM (Vi phạm Bộ lọc Âm tính Mục 5)</t>
        </is>
      </c>
    </row>
    <row r="721">
      <c r="A721" s="53" t="n">
        <v>1615</v>
      </c>
      <c r="B721" s="12" t="inlineStr">
        <is>
          <t>Harmony Mobile Veterinary Clinic, PLLC</t>
        </is>
      </c>
      <c r="C721" s="54" t="inlineStr">
        <is>
          <t>https://www.facebook.com/HarmonyMobileVet</t>
        </is>
      </c>
      <c r="D721" s="6" t="inlineStr">
        <is>
          <t>Cần quét Bio Fanpage</t>
        </is>
      </c>
      <c r="E721" s="53" t="inlineStr">
        <is>
          <t>08/10/2026 03:28:42</t>
        </is>
      </c>
      <c r="F721" s="53" t="inlineStr">
        <is>
          <t>5 ngày trước</t>
        </is>
      </c>
      <c r="G721" s="55" t="n">
        <v>5</v>
      </c>
      <c r="H721" s="56" t="n">
        <v>20</v>
      </c>
      <c r="I721" s="6" t="inlineStr">
        <is>
          <t>Pet Owner / Cộng đồng nuôi cún (10đ)</t>
        </is>
      </c>
      <c r="J721" s="56" t="n">
        <v>10</v>
      </c>
      <c r="K721" s="6" t="inlineStr">
        <is>
          <t>Chưa rõ giống (Cần quét Bio)</t>
        </is>
      </c>
      <c r="L721" s="56" t="n">
        <v>0</v>
      </c>
      <c r="M721" s="56" t="n">
        <v>0</v>
      </c>
      <c r="N721" s="6" t="inlineStr">
        <is>
          <t>Amazon link not found</t>
        </is>
      </c>
      <c r="O721" s="56">
        <f>IF(N721="Selling pet toys + Artificial grass/Pet toilets (TARGET)",15,IF(N721="Selling artificial grass/pet toilets (TARGET)",10,IF(N721="Selling pet toys",7,IF(N721="There's an Amazon link, but no target sales.",3,0))))</f>
        <v/>
      </c>
      <c r="P721" s="65">
        <f>H721+J721+L721+M721+O721</f>
        <v/>
      </c>
      <c r="Q721" s="71" t="inlineStr">
        <is>
          <t>Excluded: Công ty Gen DNA &amp; Thú y (Mục 5.4)</t>
        </is>
      </c>
      <c r="R721" s="6" t="inlineStr">
        <is>
          <t>Khay vệ sinh chung cư (Indoor Potty) + Thảm cỏ ban công (Grass Patch) + Đồ chơi</t>
        </is>
      </c>
      <c r="S721" s="6" t="inlineStr">
        <is>
          <t>Tuyệt đối không đưa vào CRM (Vi phạm Bộ lọc Âm tính Mục 5)</t>
        </is>
      </c>
    </row>
    <row r="722">
      <c r="A722" s="59" t="n">
        <v>2037</v>
      </c>
      <c r="B722" s="15" t="inlineStr">
        <is>
          <t>Live Oak Veterinary Clinic</t>
        </is>
      </c>
      <c r="C722" s="60" t="inlineStr">
        <is>
          <t>https://www.facebook.com/liveoakveterinaryclinic</t>
        </is>
      </c>
      <c r="D722" s="9" t="inlineStr">
        <is>
          <t>Cần quét Bio Fanpage</t>
        </is>
      </c>
      <c r="E722" s="59" t="inlineStr">
        <is>
          <t>07/10/2026 23:50:32</t>
        </is>
      </c>
      <c r="F722" s="59" t="inlineStr">
        <is>
          <t>5 ngày trước</t>
        </is>
      </c>
      <c r="G722" s="61" t="n">
        <v>5</v>
      </c>
      <c r="H722" s="62" t="n">
        <v>20</v>
      </c>
      <c r="I722" s="9" t="inlineStr">
        <is>
          <t>Pet Owner / Cộng đồng nuôi cún (10đ)</t>
        </is>
      </c>
      <c r="J722" s="62" t="n">
        <v>10</v>
      </c>
      <c r="K722" s="9" t="inlineStr">
        <is>
          <t>Chưa rõ giống (Cần quét Bio)</t>
        </is>
      </c>
      <c r="L722" s="62" t="n">
        <v>0</v>
      </c>
      <c r="M722" s="62" t="n">
        <v>0</v>
      </c>
      <c r="N722" s="9" t="inlineStr">
        <is>
          <t>Amazon link not found</t>
        </is>
      </c>
      <c r="O722" s="62">
        <f>IF(N722="Selling pet toys + Artificial grass/Pet toilets (TARGET)",15,IF(N722="Selling artificial grass/pet toilets (TARGET)",10,IF(N722="Selling pet toys",7,IF(N722="There's an Amazon link, but no target sales.",3,0))))</f>
        <v/>
      </c>
      <c r="P722" s="67">
        <f>H722+J722+L722+M722+O722</f>
        <v/>
      </c>
      <c r="Q722" s="70" t="inlineStr">
        <is>
          <t>Excluded: Công ty Gen DNA &amp; Thú y (Mục 5.4)</t>
        </is>
      </c>
      <c r="R722" s="9" t="inlineStr">
        <is>
          <t>Khay vệ sinh chung cư (Indoor Potty) + Thảm cỏ ban công (Grass Patch) + Đồ chơi</t>
        </is>
      </c>
      <c r="S722" s="9" t="inlineStr">
        <is>
          <t>Tuyệt đối không đưa vào CRM (Vi phạm Bộ lọc Âm tính Mục 5)</t>
        </is>
      </c>
    </row>
    <row r="723">
      <c r="A723" s="53" t="n">
        <v>4</v>
      </c>
      <c r="B723" s="12" t="inlineStr">
        <is>
          <t>Embark Vet</t>
        </is>
      </c>
      <c r="C723" s="54" t="inlineStr">
        <is>
          <t>https://www.facebook.com/EmbarkVet</t>
        </is>
      </c>
      <c r="D723" s="6" t="inlineStr">
        <is>
          <t>Cần quét Bio Fanpage</t>
        </is>
      </c>
      <c r="E723" s="53" t="inlineStr">
        <is>
          <t>07/10/2026 20:25:07</t>
        </is>
      </c>
      <c r="F723" s="53" t="inlineStr">
        <is>
          <t>5 ngày trước</t>
        </is>
      </c>
      <c r="G723" s="55" t="n">
        <v>5</v>
      </c>
      <c r="H723" s="56" t="n">
        <v>20</v>
      </c>
      <c r="I723" s="6" t="inlineStr">
        <is>
          <t>Pet Owner / Cộng đồng nuôi cún (10đ)</t>
        </is>
      </c>
      <c r="J723" s="56" t="n">
        <v>10</v>
      </c>
      <c r="K723" s="6" t="inlineStr">
        <is>
          <t>Chưa rõ giống (Cần quét Bio)</t>
        </is>
      </c>
      <c r="L723" s="56" t="n">
        <v>0</v>
      </c>
      <c r="M723" s="56" t="n">
        <v>0</v>
      </c>
      <c r="N723" s="6" t="inlineStr">
        <is>
          <t>Amazon link not found</t>
        </is>
      </c>
      <c r="O723" s="56">
        <f>IF(N723="Selling pet toys + Artificial grass/Pet toilets (TARGET)",15,IF(N723="Selling artificial grass/pet toilets (TARGET)",10,IF(N723="Selling pet toys",7,IF(N723="There's an Amazon link, but no target sales.",3,0))))</f>
        <v/>
      </c>
      <c r="P723" s="65">
        <f>H723+J723+L723+M723+O723</f>
        <v/>
      </c>
      <c r="Q723" s="71" t="inlineStr">
        <is>
          <t>Excluded: Công ty Gen DNA &amp; Thú y (Mục 5.4)</t>
        </is>
      </c>
      <c r="R723" s="6" t="inlineStr">
        <is>
          <t>Khay vệ sinh chung cư (Indoor Potty) + Thảm cỏ ban công (Grass Patch) + Đồ chơi</t>
        </is>
      </c>
      <c r="S723" s="6" t="inlineStr">
        <is>
          <t>Tuyệt đối không đưa vào CRM (Vi phạm Bộ lọc Âm tính Mục 5)</t>
        </is>
      </c>
    </row>
    <row r="724">
      <c r="A724" s="59" t="n">
        <v>1224</v>
      </c>
      <c r="B724" s="15" t="inlineStr">
        <is>
          <t>Dr. Melissa Magnuson, The Conscious Vet</t>
        </is>
      </c>
      <c r="C724" s="60" t="inlineStr">
        <is>
          <t>https://www.facebook.com/drmelissamagnuson</t>
        </is>
      </c>
      <c r="D724" s="9" t="inlineStr">
        <is>
          <t>Cần quét Bio Fanpage</t>
        </is>
      </c>
      <c r="E724" s="59" t="inlineStr">
        <is>
          <t>07/10/2026 20:01:08</t>
        </is>
      </c>
      <c r="F724" s="59" t="inlineStr">
        <is>
          <t>5 ngày trước</t>
        </is>
      </c>
      <c r="G724" s="61" t="n">
        <v>5</v>
      </c>
      <c r="H724" s="62" t="n">
        <v>20</v>
      </c>
      <c r="I724" s="9" t="inlineStr">
        <is>
          <t>Pet Owner / Cộng đồng nuôi cún (10đ)</t>
        </is>
      </c>
      <c r="J724" s="62" t="n">
        <v>10</v>
      </c>
      <c r="K724" s="9" t="inlineStr">
        <is>
          <t>Chưa rõ giống (Cần quét Bio)</t>
        </is>
      </c>
      <c r="L724" s="62" t="n">
        <v>0</v>
      </c>
      <c r="M724" s="62" t="n">
        <v>0</v>
      </c>
      <c r="N724" s="9" t="inlineStr">
        <is>
          <t>Amazon link not found</t>
        </is>
      </c>
      <c r="O724" s="62">
        <f>IF(N724="Selling pet toys + Artificial grass/Pet toilets (TARGET)",15,IF(N724="Selling artificial grass/pet toilets (TARGET)",10,IF(N724="Selling pet toys",7,IF(N724="There's an Amazon link, but no target sales.",3,0))))</f>
        <v/>
      </c>
      <c r="P724" s="67">
        <f>H724+J724+L724+M724+O724</f>
        <v/>
      </c>
      <c r="Q724" s="70" t="inlineStr">
        <is>
          <t>Excluded: Trang Chung / Không rõ Ngách Cún cưng</t>
        </is>
      </c>
      <c r="R724" s="9" t="inlineStr">
        <is>
          <t>Khay vệ sinh chung cư (Indoor Potty) + Thảm cỏ ban công (Grass Patch) + Đồ chơi</t>
        </is>
      </c>
      <c r="S724" s="9" t="inlineStr">
        <is>
          <t>Tuyệt đối không đưa vào CRM (Vi phạm Bộ lọc Âm tính Mục 5)</t>
        </is>
      </c>
    </row>
    <row r="725">
      <c r="A725" s="53" t="n">
        <v>757</v>
      </c>
      <c r="B725" s="12" t="inlineStr">
        <is>
          <t>Bridgewater Veterinary Clinic</t>
        </is>
      </c>
      <c r="C725" s="54" t="inlineStr">
        <is>
          <t>https://www.facebook.com/profile.php?id=100063703863324</t>
        </is>
      </c>
      <c r="D725" s="6" t="inlineStr">
        <is>
          <t>Cần quét Bio Fanpage</t>
        </is>
      </c>
      <c r="E725" s="53" t="inlineStr">
        <is>
          <t>07/10/2026 18:26:44</t>
        </is>
      </c>
      <c r="F725" s="53" t="inlineStr">
        <is>
          <t>5 ngày trước</t>
        </is>
      </c>
      <c r="G725" s="55" t="n">
        <v>5</v>
      </c>
      <c r="H725" s="56" t="n">
        <v>20</v>
      </c>
      <c r="I725" s="6" t="inlineStr">
        <is>
          <t>Pet Owner / Cộng đồng nuôi cún (10đ)</t>
        </is>
      </c>
      <c r="J725" s="56" t="n">
        <v>10</v>
      </c>
      <c r="K725" s="6" t="inlineStr">
        <is>
          <t>Chưa rõ giống (Cần quét Bio)</t>
        </is>
      </c>
      <c r="L725" s="56" t="n">
        <v>0</v>
      </c>
      <c r="M725" s="56" t="n">
        <v>0</v>
      </c>
      <c r="N725" s="6" t="inlineStr">
        <is>
          <t>Amazon link not found</t>
        </is>
      </c>
      <c r="O725" s="56">
        <f>IF(N725="Selling pet toys + Artificial grass/Pet toilets (TARGET)",15,IF(N725="Selling artificial grass/pet toilets (TARGET)",10,IF(N725="Selling pet toys",7,IF(N725="There's an Amazon link, but no target sales.",3,0))))</f>
        <v/>
      </c>
      <c r="P725" s="65">
        <f>H725+J725+L725+M725+O725</f>
        <v/>
      </c>
      <c r="Q725" s="71" t="inlineStr">
        <is>
          <t>Excluded: Công ty Gen DNA &amp; Thú y (Mục 5.4)</t>
        </is>
      </c>
      <c r="R725" s="6" t="inlineStr">
        <is>
          <t>Khay vệ sinh chung cư (Indoor Potty) + Thảm cỏ ban công (Grass Patch) + Đồ chơi</t>
        </is>
      </c>
      <c r="S725" s="6" t="inlineStr">
        <is>
          <t>Tuyệt đối không đưa vào CRM (Vi phạm Bộ lọc Âm tính Mục 5)</t>
        </is>
      </c>
    </row>
    <row r="726">
      <c r="A726" s="59" t="n">
        <v>3277</v>
      </c>
      <c r="B726" s="15" t="inlineStr">
        <is>
          <t>UWPA - Union Wallonne pour la Protection Animale</t>
        </is>
      </c>
      <c r="C726" s="60" t="inlineStr">
        <is>
          <t>https://www.facebook.com/UWPA.be</t>
        </is>
      </c>
      <c r="D726" s="9" t="inlineStr">
        <is>
          <t>Cần quét Bio Fanpage</t>
        </is>
      </c>
      <c r="E726" s="59" t="inlineStr">
        <is>
          <t>07/10/2026 17:29:03</t>
        </is>
      </c>
      <c r="F726" s="59" t="inlineStr">
        <is>
          <t>5 ngày trước</t>
        </is>
      </c>
      <c r="G726" s="61" t="n">
        <v>5</v>
      </c>
      <c r="H726" s="62" t="n">
        <v>20</v>
      </c>
      <c r="I726" s="9" t="inlineStr">
        <is>
          <t>Pet Owner / Cộng đồng nuôi cún (10đ)</t>
        </is>
      </c>
      <c r="J726" s="62" t="n">
        <v>10</v>
      </c>
      <c r="K726" s="9" t="inlineStr">
        <is>
          <t>Chưa rõ giống (Cần quét Bio)</t>
        </is>
      </c>
      <c r="L726" s="62" t="n">
        <v>0</v>
      </c>
      <c r="M726" s="62" t="n">
        <v>0</v>
      </c>
      <c r="N726" s="9" t="inlineStr">
        <is>
          <t>Amazon link not found</t>
        </is>
      </c>
      <c r="O726" s="62">
        <f>IF(N726="Selling pet toys + Artificial grass/Pet toilets (TARGET)",15,IF(N726="Selling artificial grass/pet toilets (TARGET)",10,IF(N726="Selling pet toys",7,IF(N726="There's an Amazon link, but no target sales.",3,0))))</f>
        <v/>
      </c>
      <c r="P726" s="67">
        <f>H726+J726+L726+M726+O726</f>
        <v/>
      </c>
      <c r="Q726" s="70" t="inlineStr">
        <is>
          <t>Excluded: Trang Chung / Không rõ Ngách Cún cưng</t>
        </is>
      </c>
      <c r="R726" s="9" t="inlineStr">
        <is>
          <t>Khay vệ sinh chung cư (Indoor Potty) + Thảm cỏ ban công (Grass Patch) + Đồ chơi</t>
        </is>
      </c>
      <c r="S726" s="9" t="inlineStr">
        <is>
          <t>Tuyệt đối không đưa vào CRM (Vi phạm Bộ lọc Âm tính Mục 5)</t>
        </is>
      </c>
    </row>
    <row r="727">
      <c r="A727" s="53" t="n">
        <v>1430</v>
      </c>
      <c r="B727" s="12" t="inlineStr">
        <is>
          <t>Franklin Camilo Carela</t>
        </is>
      </c>
      <c r="C727" s="54" t="inlineStr">
        <is>
          <t>https://www.facebook.com/franklin.camilocarela</t>
        </is>
      </c>
      <c r="D727" s="6" t="inlineStr">
        <is>
          <t>Cần quét Bio Fanpage</t>
        </is>
      </c>
      <c r="E727" s="53" t="inlineStr">
        <is>
          <t>07/10/2026 17:16:44</t>
        </is>
      </c>
      <c r="F727" s="53" t="inlineStr">
        <is>
          <t>5 ngày trước</t>
        </is>
      </c>
      <c r="G727" s="55" t="n">
        <v>5</v>
      </c>
      <c r="H727" s="56" t="n">
        <v>20</v>
      </c>
      <c r="I727" s="6" t="inlineStr">
        <is>
          <t>Pet Owner / Cộng đồng nuôi cún (10đ)</t>
        </is>
      </c>
      <c r="J727" s="56" t="n">
        <v>10</v>
      </c>
      <c r="K727" s="6" t="inlineStr">
        <is>
          <t>Chưa rõ giống (Cần quét Bio)</t>
        </is>
      </c>
      <c r="L727" s="56" t="n">
        <v>0</v>
      </c>
      <c r="M727" s="56" t="n">
        <v>0</v>
      </c>
      <c r="N727" s="6" t="inlineStr">
        <is>
          <t>Amazon link not found</t>
        </is>
      </c>
      <c r="O727" s="56">
        <f>IF(N727="Selling pet toys + Artificial grass/Pet toilets (TARGET)",15,IF(N727="Selling artificial grass/pet toilets (TARGET)",10,IF(N727="Selling pet toys",7,IF(N727="There's an Amazon link, but no target sales.",3,0))))</f>
        <v/>
      </c>
      <c r="P727" s="65">
        <f>H727+J727+L727+M727+O727</f>
        <v/>
      </c>
      <c r="Q727" s="71" t="inlineStr">
        <is>
          <t>Excluded: Trang Chung / Không rõ Ngách Cún cưng</t>
        </is>
      </c>
      <c r="R727" s="6" t="inlineStr">
        <is>
          <t>Khay vệ sinh chung cư (Indoor Potty) + Thảm cỏ ban công (Grass Patch) + Đồ chơi</t>
        </is>
      </c>
      <c r="S727" s="6" t="inlineStr">
        <is>
          <t>Tuyệt đối không đưa vào CRM (Vi phạm Bộ lọc Âm tính Mục 5)</t>
        </is>
      </c>
    </row>
    <row r="728">
      <c r="A728" s="59" t="n">
        <v>3501</v>
      </c>
      <c r="B728" s="15" t="inlineStr">
        <is>
          <t>khunjomanimal</t>
        </is>
      </c>
      <c r="C728" s="60" t="inlineStr">
        <is>
          <t>https://www.facebook.com/khunjomanimal</t>
        </is>
      </c>
      <c r="D728" s="9" t="inlineStr">
        <is>
          <t>Cần quét Bio Fanpage</t>
        </is>
      </c>
      <c r="E728" s="59" t="inlineStr">
        <is>
          <t>07/10/2026 16:28:45</t>
        </is>
      </c>
      <c r="F728" s="59" t="inlineStr">
        <is>
          <t>5 ngày trước</t>
        </is>
      </c>
      <c r="G728" s="61" t="n">
        <v>5</v>
      </c>
      <c r="H728" s="62" t="n">
        <v>20</v>
      </c>
      <c r="I728" s="9" t="inlineStr">
        <is>
          <t>Pet Owner / Cộng đồng nuôi cún (10đ)</t>
        </is>
      </c>
      <c r="J728" s="62" t="n">
        <v>10</v>
      </c>
      <c r="K728" s="9" t="inlineStr">
        <is>
          <t>Chưa rõ giống (Cần quét Bio)</t>
        </is>
      </c>
      <c r="L728" s="62" t="n">
        <v>0</v>
      </c>
      <c r="M728" s="62" t="n">
        <v>0</v>
      </c>
      <c r="N728" s="9" t="inlineStr">
        <is>
          <t>Amazon link not found</t>
        </is>
      </c>
      <c r="O728" s="62">
        <f>IF(N728="Selling pet toys + Artificial grass/Pet toilets (TARGET)",15,IF(N728="Selling artificial grass/pet toilets (TARGET)",10,IF(N728="Selling pet toys",7,IF(N728="There's an Amazon link, but no target sales.",3,0))))</f>
        <v/>
      </c>
      <c r="P728" s="67">
        <f>H728+J728+L728+M728+O728</f>
        <v/>
      </c>
      <c r="Q728" s="70" t="inlineStr">
        <is>
          <t>Excluded: Trang Chung / Không rõ Ngách Cún cưng</t>
        </is>
      </c>
      <c r="R728" s="9" t="inlineStr">
        <is>
          <t>Khay vệ sinh chung cư (Indoor Potty) + Thảm cỏ ban công (Grass Patch) + Đồ chơi</t>
        </is>
      </c>
      <c r="S728" s="9" t="inlineStr">
        <is>
          <t>Tuyệt đối không đưa vào CRM (Vi phạm Bộ lọc Âm tính Mục 5)</t>
        </is>
      </c>
    </row>
    <row r="729">
      <c r="A729" s="53" t="n">
        <v>3096</v>
      </c>
      <c r="B729" s="12" t="inlineStr">
        <is>
          <t>The Community Vet Project</t>
        </is>
      </c>
      <c r="C729" s="54" t="inlineStr">
        <is>
          <t>https://www.facebook.com/communityvetproject</t>
        </is>
      </c>
      <c r="D729" s="6" t="inlineStr">
        <is>
          <t>Cần quét Bio Fanpage</t>
        </is>
      </c>
      <c r="E729" s="53" t="inlineStr">
        <is>
          <t>07/10/2026 13:01:02</t>
        </is>
      </c>
      <c r="F729" s="53" t="inlineStr">
        <is>
          <t>5 ngày trước</t>
        </is>
      </c>
      <c r="G729" s="55" t="n">
        <v>5</v>
      </c>
      <c r="H729" s="56" t="n">
        <v>20</v>
      </c>
      <c r="I729" s="6" t="inlineStr">
        <is>
          <t>Pet Owner / Cộng đồng nuôi cún (10đ)</t>
        </is>
      </c>
      <c r="J729" s="56" t="n">
        <v>10</v>
      </c>
      <c r="K729" s="6" t="inlineStr">
        <is>
          <t>Chưa rõ giống (Cần quét Bio)</t>
        </is>
      </c>
      <c r="L729" s="56" t="n">
        <v>0</v>
      </c>
      <c r="M729" s="56" t="n">
        <v>0</v>
      </c>
      <c r="N729" s="6" t="inlineStr">
        <is>
          <t>Amazon link not found</t>
        </is>
      </c>
      <c r="O729" s="56">
        <f>IF(N729="Selling pet toys + Artificial grass/Pet toilets (TARGET)",15,IF(N729="Selling artificial grass/pet toilets (TARGET)",10,IF(N729="Selling pet toys",7,IF(N729="There's an Amazon link, but no target sales.",3,0))))</f>
        <v/>
      </c>
      <c r="P729" s="65">
        <f>H729+J729+L729+M729+O729</f>
        <v/>
      </c>
      <c r="Q729" s="71" t="inlineStr">
        <is>
          <t>Excluded: Trang Chung / Không rõ Ngách Cún cưng</t>
        </is>
      </c>
      <c r="R729" s="6" t="inlineStr">
        <is>
          <t>Khay vệ sinh chung cư (Indoor Potty) + Thảm cỏ ban công (Grass Patch) + Đồ chơi</t>
        </is>
      </c>
      <c r="S729" s="6" t="inlineStr">
        <is>
          <t>Tuyệt đối không đưa vào CRM (Vi phạm Bộ lọc Âm tính Mục 5)</t>
        </is>
      </c>
    </row>
    <row r="730">
      <c r="A730" s="59" t="n">
        <v>1317</v>
      </c>
      <c r="B730" s="15" t="inlineStr">
        <is>
          <t>Fairview Animal Hospital</t>
        </is>
      </c>
      <c r="C730" s="60" t="inlineStr">
        <is>
          <t>https://www.facebook.com/FairviewAnimalHosp</t>
        </is>
      </c>
      <c r="D730" s="9" t="inlineStr">
        <is>
          <t>Cần quét Bio Fanpage</t>
        </is>
      </c>
      <c r="E730" s="59" t="inlineStr">
        <is>
          <t>07/10/2026 08:04:43</t>
        </is>
      </c>
      <c r="F730" s="59" t="inlineStr">
        <is>
          <t>5 ngày trước</t>
        </is>
      </c>
      <c r="G730" s="61" t="n">
        <v>5</v>
      </c>
      <c r="H730" s="62" t="n">
        <v>20</v>
      </c>
      <c r="I730" s="9" t="inlineStr">
        <is>
          <t>Pet Owner / Cộng đồng nuôi cún (10đ)</t>
        </is>
      </c>
      <c r="J730" s="62" t="n">
        <v>10</v>
      </c>
      <c r="K730" s="9" t="inlineStr">
        <is>
          <t>Chưa rõ giống (Cần quét Bio)</t>
        </is>
      </c>
      <c r="L730" s="62" t="n">
        <v>0</v>
      </c>
      <c r="M730" s="62" t="n">
        <v>0</v>
      </c>
      <c r="N730" s="9" t="inlineStr">
        <is>
          <t>Amazon link not found</t>
        </is>
      </c>
      <c r="O730" s="62">
        <f>IF(N730="Selling pet toys + Artificial grass/Pet toilets (TARGET)",15,IF(N730="Selling artificial grass/pet toilets (TARGET)",10,IF(N730="Selling pet toys",7,IF(N730="There's an Amazon link, but no target sales.",3,0))))</f>
        <v/>
      </c>
      <c r="P730" s="67">
        <f>H730+J730+L730+M730+O730</f>
        <v/>
      </c>
      <c r="Q730" s="70" t="inlineStr">
        <is>
          <t>Excluded: Công ty Gen DNA &amp; Thú y (Mục 5.4)</t>
        </is>
      </c>
      <c r="R730" s="9" t="inlineStr">
        <is>
          <t>Khay vệ sinh chung cư (Indoor Potty) + Thảm cỏ ban công (Grass Patch) + Đồ chơi</t>
        </is>
      </c>
      <c r="S730" s="9" t="inlineStr">
        <is>
          <t>Tuyệt đối không đưa vào CRM (Vi phạm Bộ lọc Âm tính Mục 5)</t>
        </is>
      </c>
    </row>
    <row r="731">
      <c r="A731" s="53" t="n">
        <v>1598</v>
      </c>
      <c r="B731" s="12" t="inlineStr">
        <is>
          <t>Hanging Rock Animal Hospital</t>
        </is>
      </c>
      <c r="C731" s="54" t="inlineStr">
        <is>
          <t>https://www.facebook.com/4HRAH</t>
        </is>
      </c>
      <c r="D731" s="6" t="inlineStr">
        <is>
          <t>Cần quét Bio Fanpage</t>
        </is>
      </c>
      <c r="E731" s="53" t="inlineStr">
        <is>
          <t>07/10/2026 04:54:45</t>
        </is>
      </c>
      <c r="F731" s="53" t="inlineStr">
        <is>
          <t>5 ngày trước</t>
        </is>
      </c>
      <c r="G731" s="55" t="n">
        <v>5</v>
      </c>
      <c r="H731" s="56" t="n">
        <v>20</v>
      </c>
      <c r="I731" s="6" t="inlineStr">
        <is>
          <t>Pet Owner / Cộng đồng nuôi cún (10đ)</t>
        </is>
      </c>
      <c r="J731" s="56" t="n">
        <v>10</v>
      </c>
      <c r="K731" s="6" t="inlineStr">
        <is>
          <t>Chưa rõ giống (Cần quét Bio)</t>
        </is>
      </c>
      <c r="L731" s="56" t="n">
        <v>0</v>
      </c>
      <c r="M731" s="56" t="n">
        <v>0</v>
      </c>
      <c r="N731" s="6" t="inlineStr">
        <is>
          <t>Amazon link not found</t>
        </is>
      </c>
      <c r="O731" s="56">
        <f>IF(N731="Selling pet toys + Artificial grass/Pet toilets (TARGET)",15,IF(N731="Selling artificial grass/pet toilets (TARGET)",10,IF(N731="Selling pet toys",7,IF(N731="There's an Amazon link, but no target sales.",3,0))))</f>
        <v/>
      </c>
      <c r="P731" s="65">
        <f>H731+J731+L731+M731+O731</f>
        <v/>
      </c>
      <c r="Q731" s="71" t="inlineStr">
        <is>
          <t>Excluded: Công ty Gen DNA &amp; Thú y (Mục 5.4)</t>
        </is>
      </c>
      <c r="R731" s="6" t="inlineStr">
        <is>
          <t>Khay vệ sinh chung cư (Indoor Potty) + Thảm cỏ ban công (Grass Patch) + Đồ chơi</t>
        </is>
      </c>
      <c r="S731" s="6" t="inlineStr">
        <is>
          <t>Tuyệt đối không đưa vào CRM (Vi phạm Bộ lọc Âm tính Mục 5)</t>
        </is>
      </c>
    </row>
    <row r="732">
      <c r="A732" s="59" t="n">
        <v>1633</v>
      </c>
      <c r="B732" s="15" t="inlineStr">
        <is>
          <t>Healing Care Animal Hospital</t>
        </is>
      </c>
      <c r="C732" s="60" t="inlineStr">
        <is>
          <t>https://www.facebook.com/healingcareanimalhospital</t>
        </is>
      </c>
      <c r="D732" s="9" t="inlineStr">
        <is>
          <t>Cần quét Bio Fanpage</t>
        </is>
      </c>
      <c r="E732" s="59" t="inlineStr">
        <is>
          <t>07/10/2026 03:05:53</t>
        </is>
      </c>
      <c r="F732" s="59" t="inlineStr">
        <is>
          <t>6 ngày trước</t>
        </is>
      </c>
      <c r="G732" s="61" t="n">
        <v>6</v>
      </c>
      <c r="H732" s="62" t="n">
        <v>20</v>
      </c>
      <c r="I732" s="9" t="inlineStr">
        <is>
          <t>Pet Owner / Cộng đồng nuôi cún (10đ)</t>
        </is>
      </c>
      <c r="J732" s="62" t="n">
        <v>10</v>
      </c>
      <c r="K732" s="9" t="inlineStr">
        <is>
          <t>Chưa rõ giống (Cần quét Bio)</t>
        </is>
      </c>
      <c r="L732" s="62" t="n">
        <v>0</v>
      </c>
      <c r="M732" s="62" t="n">
        <v>0</v>
      </c>
      <c r="N732" s="9" t="inlineStr">
        <is>
          <t>Amazon link not found</t>
        </is>
      </c>
      <c r="O732" s="62">
        <f>IF(N732="Selling pet toys + Artificial grass/Pet toilets (TARGET)",15,IF(N732="Selling artificial grass/pet toilets (TARGET)",10,IF(N732="Selling pet toys",7,IF(N732="There's an Amazon link, but no target sales.",3,0))))</f>
        <v/>
      </c>
      <c r="P732" s="67">
        <f>H732+J732+L732+M732+O732</f>
        <v/>
      </c>
      <c r="Q732" s="70" t="inlineStr">
        <is>
          <t>Excluded: Công ty Gen DNA &amp; Thú y (Mục 5.4)</t>
        </is>
      </c>
      <c r="R732" s="9" t="inlineStr">
        <is>
          <t>Khay vệ sinh chung cư (Indoor Potty) + Thảm cỏ ban công (Grass Patch) + Đồ chơi</t>
        </is>
      </c>
      <c r="S732" s="9" t="inlineStr">
        <is>
          <t>Tuyệt đối không đưa vào CRM (Vi phạm Bộ lọc Âm tính Mục 5)</t>
        </is>
      </c>
    </row>
    <row r="733">
      <c r="A733" s="53" t="n">
        <v>2919</v>
      </c>
      <c r="B733" s="12" t="inlineStr">
        <is>
          <t>Slaton Veterinary Hospital</t>
        </is>
      </c>
      <c r="C733" s="54" t="inlineStr">
        <is>
          <t>https://www.facebook.com/profile.php?id=100088866156306</t>
        </is>
      </c>
      <c r="D733" s="6" t="inlineStr">
        <is>
          <t>Cần quét Bio Fanpage</t>
        </is>
      </c>
      <c r="E733" s="53" t="inlineStr">
        <is>
          <t>07/10/2026 02:46:49</t>
        </is>
      </c>
      <c r="F733" s="53" t="inlineStr">
        <is>
          <t>6 ngày trước</t>
        </is>
      </c>
      <c r="G733" s="55" t="n">
        <v>6</v>
      </c>
      <c r="H733" s="56" t="n">
        <v>20</v>
      </c>
      <c r="I733" s="6" t="inlineStr">
        <is>
          <t>Pet Owner / Cộng đồng nuôi cún (10đ)</t>
        </is>
      </c>
      <c r="J733" s="56" t="n">
        <v>10</v>
      </c>
      <c r="K733" s="6" t="inlineStr">
        <is>
          <t>Chưa rõ giống (Cần quét Bio)</t>
        </is>
      </c>
      <c r="L733" s="56" t="n">
        <v>0</v>
      </c>
      <c r="M733" s="56" t="n">
        <v>0</v>
      </c>
      <c r="N733" s="6" t="inlineStr">
        <is>
          <t>Amazon link not found</t>
        </is>
      </c>
      <c r="O733" s="56">
        <f>IF(N733="Selling pet toys + Artificial grass/Pet toilets (TARGET)",15,IF(N733="Selling artificial grass/pet toilets (TARGET)",10,IF(N733="Selling pet toys",7,IF(N733="There's an Amazon link, but no target sales.",3,0))))</f>
        <v/>
      </c>
      <c r="P733" s="65">
        <f>H733+J733+L733+M733+O733</f>
        <v/>
      </c>
      <c r="Q733" s="71" t="inlineStr">
        <is>
          <t>Excluded: Công ty Gen DNA &amp; Thú y (Mục 5.4)</t>
        </is>
      </c>
      <c r="R733" s="6" t="inlineStr">
        <is>
          <t>Khay vệ sinh chung cư (Indoor Potty) + Thảm cỏ ban công (Grass Patch) + Đồ chơi</t>
        </is>
      </c>
      <c r="S733" s="6" t="inlineStr">
        <is>
          <t>Tuyệt đối không đưa vào CRM (Vi phạm Bộ lọc Âm tính Mục 5)</t>
        </is>
      </c>
    </row>
    <row r="734">
      <c r="A734" s="59" t="n">
        <v>1482</v>
      </c>
      <c r="B734" s="15" t="inlineStr">
        <is>
          <t>Gabinet Weterynaryjny Animal-Vet Zasole</t>
        </is>
      </c>
      <c r="C734" s="60" t="inlineStr">
        <is>
          <t>https://www.facebook.com/profile.php?id=100057447848518</t>
        </is>
      </c>
      <c r="D734" s="9" t="inlineStr">
        <is>
          <t>Cần quét Bio Fanpage</t>
        </is>
      </c>
      <c r="E734" s="59" t="inlineStr">
        <is>
          <t>06/10/2026 23:08:37</t>
        </is>
      </c>
      <c r="F734" s="59" t="inlineStr">
        <is>
          <t>6 ngày trước</t>
        </is>
      </c>
      <c r="G734" s="61" t="n">
        <v>6</v>
      </c>
      <c r="H734" s="62" t="n">
        <v>20</v>
      </c>
      <c r="I734" s="9" t="inlineStr">
        <is>
          <t>Pet Owner / Cộng đồng nuôi cún (10đ)</t>
        </is>
      </c>
      <c r="J734" s="62" t="n">
        <v>10</v>
      </c>
      <c r="K734" s="9" t="inlineStr">
        <is>
          <t>Chưa rõ giống (Cần quét Bio)</t>
        </is>
      </c>
      <c r="L734" s="62" t="n">
        <v>0</v>
      </c>
      <c r="M734" s="62" t="n">
        <v>0</v>
      </c>
      <c r="N734" s="9" t="inlineStr">
        <is>
          <t>Amazon link not found</t>
        </is>
      </c>
      <c r="O734" s="62">
        <f>IF(N734="Selling pet toys + Artificial grass/Pet toilets (TARGET)",15,IF(N734="Selling artificial grass/pet toilets (TARGET)",10,IF(N734="Selling pet toys",7,IF(N734="There's an Amazon link, but no target sales.",3,0))))</f>
        <v/>
      </c>
      <c r="P734" s="67">
        <f>H734+J734+L734+M734+O734</f>
        <v/>
      </c>
      <c r="Q734" s="70" t="inlineStr">
        <is>
          <t>Excluded: Trang Chung / Không rõ Ngách Cún cưng</t>
        </is>
      </c>
      <c r="R734" s="9" t="inlineStr">
        <is>
          <t>Khay vệ sinh chung cư (Indoor Potty) + Thảm cỏ ban công (Grass Patch) + Đồ chơi</t>
        </is>
      </c>
      <c r="S734" s="9" t="inlineStr">
        <is>
          <t>Tuyệt đối không đưa vào CRM (Vi phạm Bộ lọc Âm tính Mục 5)</t>
        </is>
      </c>
    </row>
    <row r="735">
      <c r="A735" s="53" t="n">
        <v>943</v>
      </c>
      <c r="B735" s="12" t="inlineStr">
        <is>
          <t>Cornell University Veterinary Specialists</t>
        </is>
      </c>
      <c r="C735" s="54" t="inlineStr">
        <is>
          <t>https://www.facebook.com/CornellUniversityVeterinarySpecialists</t>
        </is>
      </c>
      <c r="D735" s="6" t="inlineStr">
        <is>
          <t>Cần quét Bio Fanpage</t>
        </is>
      </c>
      <c r="E735" s="53" t="inlineStr">
        <is>
          <t>06/10/2026 22:26:35</t>
        </is>
      </c>
      <c r="F735" s="53" t="inlineStr">
        <is>
          <t>6 ngày trước</t>
        </is>
      </c>
      <c r="G735" s="55" t="n">
        <v>6</v>
      </c>
      <c r="H735" s="56" t="n">
        <v>20</v>
      </c>
      <c r="I735" s="6" t="inlineStr">
        <is>
          <t>Pet Owner / Cộng đồng nuôi cún (10đ)</t>
        </is>
      </c>
      <c r="J735" s="56" t="n">
        <v>10</v>
      </c>
      <c r="K735" s="6" t="inlineStr">
        <is>
          <t>Chưa rõ giống (Cần quét Bio)</t>
        </is>
      </c>
      <c r="L735" s="56" t="n">
        <v>0</v>
      </c>
      <c r="M735" s="56" t="n">
        <v>0</v>
      </c>
      <c r="N735" s="6" t="inlineStr">
        <is>
          <t>Amazon link not found</t>
        </is>
      </c>
      <c r="O735" s="56">
        <f>IF(N735="Selling pet toys + Artificial grass/Pet toilets (TARGET)",15,IF(N735="Selling artificial grass/pet toilets (TARGET)",10,IF(N735="Selling pet toys",7,IF(N735="There's an Amazon link, but no target sales.",3,0))))</f>
        <v/>
      </c>
      <c r="P735" s="65">
        <f>H735+J735+L735+M735+O735</f>
        <v/>
      </c>
      <c r="Q735" s="71" t="inlineStr">
        <is>
          <t>Excluded: Công ty Gen DNA &amp; Thú y (Mục 5.4)</t>
        </is>
      </c>
      <c r="R735" s="6" t="inlineStr">
        <is>
          <t>Khay vệ sinh chung cư (Indoor Potty) + Thảm cỏ ban công (Grass Patch) + Đồ chơi</t>
        </is>
      </c>
      <c r="S735" s="6" t="inlineStr">
        <is>
          <t>Tuyệt đối không đưa vào CRM (Vi phạm Bộ lọc Âm tính Mục 5)</t>
        </is>
      </c>
    </row>
    <row r="736">
      <c r="A736" s="59" t="n">
        <v>569</v>
      </c>
      <c r="B736" s="15" t="inlineStr">
        <is>
          <t>B-Cos We Care</t>
        </is>
      </c>
      <c r="C736" s="60" t="inlineStr">
        <is>
          <t>https://www.facebook.com/profile.php?id=61577781384294</t>
        </is>
      </c>
      <c r="D736" s="9" t="inlineStr">
        <is>
          <t>Cần quét Bio Fanpage</t>
        </is>
      </c>
      <c r="E736" s="59" t="inlineStr">
        <is>
          <t>06/10/2026 22:10:01</t>
        </is>
      </c>
      <c r="F736" s="59" t="inlineStr">
        <is>
          <t>6 ngày trước</t>
        </is>
      </c>
      <c r="G736" s="61" t="n">
        <v>6</v>
      </c>
      <c r="H736" s="62" t="n">
        <v>20</v>
      </c>
      <c r="I736" s="9" t="inlineStr">
        <is>
          <t>Pet Owner / Cộng đồng nuôi cún (10đ)</t>
        </is>
      </c>
      <c r="J736" s="62" t="n">
        <v>10</v>
      </c>
      <c r="K736" s="9" t="inlineStr">
        <is>
          <t>Chưa rõ giống (Cần quét Bio)</t>
        </is>
      </c>
      <c r="L736" s="62" t="n">
        <v>0</v>
      </c>
      <c r="M736" s="62" t="n">
        <v>0</v>
      </c>
      <c r="N736" s="9" t="inlineStr">
        <is>
          <t>Amazon link not found</t>
        </is>
      </c>
      <c r="O736" s="62">
        <f>IF(N736="Selling pet toys + Artificial grass/Pet toilets (TARGET)",15,IF(N736="Selling artificial grass/pet toilets (TARGET)",10,IF(N736="Selling pet toys",7,IF(N736="There's an Amazon link, but no target sales.",3,0))))</f>
        <v/>
      </c>
      <c r="P736" s="67">
        <f>H736+J736+L736+M736+O736</f>
        <v/>
      </c>
      <c r="Q736" s="70" t="inlineStr">
        <is>
          <t>Excluded: Trang Chung / Không rõ Ngách Cún cưng</t>
        </is>
      </c>
      <c r="R736" s="9" t="inlineStr">
        <is>
          <t>Khay vệ sinh chung cư (Indoor Potty) + Thảm cỏ ban công (Grass Patch) + Đồ chơi</t>
        </is>
      </c>
      <c r="S736" s="9" t="inlineStr">
        <is>
          <t>Tuyệt đối không đưa vào CRM (Vi phạm Bộ lọc Âm tính Mục 5)</t>
        </is>
      </c>
    </row>
    <row r="737">
      <c r="A737" s="53" t="n">
        <v>2626</v>
      </c>
      <c r="B737" s="12" t="inlineStr">
        <is>
          <t>Preston Vets</t>
        </is>
      </c>
      <c r="C737" s="54" t="inlineStr">
        <is>
          <t>https://www.facebook.com/profile.php?id=61565083858443</t>
        </is>
      </c>
      <c r="D737" s="6" t="inlineStr">
        <is>
          <t>Cần quét Bio Fanpage</t>
        </is>
      </c>
      <c r="E737" s="53" t="inlineStr">
        <is>
          <t>06/10/2026 18:38:37</t>
        </is>
      </c>
      <c r="F737" s="53" t="inlineStr">
        <is>
          <t>6 ngày trước</t>
        </is>
      </c>
      <c r="G737" s="55" t="n">
        <v>6</v>
      </c>
      <c r="H737" s="56" t="n">
        <v>20</v>
      </c>
      <c r="I737" s="6" t="inlineStr">
        <is>
          <t>Pet Owner / Cộng đồng nuôi cún (10đ)</t>
        </is>
      </c>
      <c r="J737" s="56" t="n">
        <v>10</v>
      </c>
      <c r="K737" s="6" t="inlineStr">
        <is>
          <t>Chưa rõ giống (Cần quét Bio)</t>
        </is>
      </c>
      <c r="L737" s="56" t="n">
        <v>0</v>
      </c>
      <c r="M737" s="56" t="n">
        <v>0</v>
      </c>
      <c r="N737" s="6" t="inlineStr">
        <is>
          <t>Amazon link not found</t>
        </is>
      </c>
      <c r="O737" s="56">
        <f>IF(N737="Selling pet toys + Artificial grass/Pet toilets (TARGET)",15,IF(N737="Selling artificial grass/pet toilets (TARGET)",10,IF(N737="Selling pet toys",7,IF(N737="There's an Amazon link, but no target sales.",3,0))))</f>
        <v/>
      </c>
      <c r="P737" s="65">
        <f>H737+J737+L737+M737+O737</f>
        <v/>
      </c>
      <c r="Q737" s="71" t="inlineStr">
        <is>
          <t>Excluded: Trang Chung / Không rõ Ngách Cún cưng</t>
        </is>
      </c>
      <c r="R737" s="6" t="inlineStr">
        <is>
          <t>Khay vệ sinh chung cư (Indoor Potty) + Thảm cỏ ban công (Grass Patch) + Đồ chơi</t>
        </is>
      </c>
      <c r="S737" s="6" t="inlineStr">
        <is>
          <t>Tuyệt đối không đưa vào CRM (Vi phạm Bộ lọc Âm tính Mục 5)</t>
        </is>
      </c>
    </row>
    <row r="738">
      <c r="A738" s="59" t="n">
        <v>2980</v>
      </c>
      <c r="B738" s="15" t="inlineStr">
        <is>
          <t>Springs Careers - Colorado Springs</t>
        </is>
      </c>
      <c r="C738" s="60" t="inlineStr">
        <is>
          <t>https://www.facebook.com/SpringsCareers</t>
        </is>
      </c>
      <c r="D738" s="9" t="inlineStr">
        <is>
          <t>Cần quét Bio Fanpage</t>
        </is>
      </c>
      <c r="E738" s="59" t="inlineStr">
        <is>
          <t>06/10/2026 10:38:14</t>
        </is>
      </c>
      <c r="F738" s="59" t="inlineStr">
        <is>
          <t>6 ngày trước</t>
        </is>
      </c>
      <c r="G738" s="61" t="n">
        <v>6</v>
      </c>
      <c r="H738" s="62" t="n">
        <v>20</v>
      </c>
      <c r="I738" s="9" t="inlineStr">
        <is>
          <t>Pet Owner / Cộng đồng nuôi cún (10đ)</t>
        </is>
      </c>
      <c r="J738" s="62" t="n">
        <v>10</v>
      </c>
      <c r="K738" s="9" t="inlineStr">
        <is>
          <t>Chưa rõ giống (Cần quét Bio)</t>
        </is>
      </c>
      <c r="L738" s="62" t="n">
        <v>0</v>
      </c>
      <c r="M738" s="62" t="n">
        <v>0</v>
      </c>
      <c r="N738" s="9" t="inlineStr">
        <is>
          <t>Amazon link not found</t>
        </is>
      </c>
      <c r="O738" s="62">
        <f>IF(N738="Selling pet toys + Artificial grass/Pet toilets (TARGET)",15,IF(N738="Selling artificial grass/pet toilets (TARGET)",10,IF(N738="Selling pet toys",7,IF(N738="There's an Amazon link, but no target sales.",3,0))))</f>
        <v/>
      </c>
      <c r="P738" s="67">
        <f>H738+J738+L738+M738+O738</f>
        <v/>
      </c>
      <c r="Q738" s="70" t="inlineStr">
        <is>
          <t>Excluded: Trang Chung / Không rõ Ngách Cún cưng</t>
        </is>
      </c>
      <c r="R738" s="9" t="inlineStr">
        <is>
          <t>Khay vệ sinh chung cư (Indoor Potty) + Thảm cỏ ban công (Grass Patch) + Đồ chơi</t>
        </is>
      </c>
      <c r="S738" s="9" t="inlineStr">
        <is>
          <t>Tuyệt đối không đưa vào CRM (Vi phạm Bộ lọc Âm tính Mục 5)</t>
        </is>
      </c>
    </row>
    <row r="739">
      <c r="A739" s="53" t="n">
        <v>331</v>
      </c>
      <c r="B739" s="12" t="inlineStr">
        <is>
          <t>Acacia Veterinary Surgery</t>
        </is>
      </c>
      <c r="C739" s="54" t="inlineStr">
        <is>
          <t>https://www.facebook.com/AcaciaVeterinarySurgery</t>
        </is>
      </c>
      <c r="D739" s="6" t="inlineStr">
        <is>
          <t>Cần quét Bio Fanpage</t>
        </is>
      </c>
      <c r="E739" s="53" t="inlineStr">
        <is>
          <t>06/10/2026 02:42:20</t>
        </is>
      </c>
      <c r="F739" s="53" t="inlineStr">
        <is>
          <t>6 ngày trước</t>
        </is>
      </c>
      <c r="G739" s="55" t="n">
        <v>6</v>
      </c>
      <c r="H739" s="56" t="n">
        <v>20</v>
      </c>
      <c r="I739" s="6" t="inlineStr">
        <is>
          <t>Pet Owner / Cộng đồng nuôi cún (10đ)</t>
        </is>
      </c>
      <c r="J739" s="56" t="n">
        <v>10</v>
      </c>
      <c r="K739" s="6" t="inlineStr">
        <is>
          <t>Chưa rõ giống (Cần quét Bio)</t>
        </is>
      </c>
      <c r="L739" s="56" t="n">
        <v>0</v>
      </c>
      <c r="M739" s="56" t="n">
        <v>0</v>
      </c>
      <c r="N739" s="6" t="inlineStr">
        <is>
          <t>Amazon link not found</t>
        </is>
      </c>
      <c r="O739" s="56">
        <f>IF(N739="Selling pet toys + Artificial grass/Pet toilets (TARGET)",15,IF(N739="Selling artificial grass/pet toilets (TARGET)",10,IF(N739="Selling pet toys",7,IF(N739="There's an Amazon link, but no target sales.",3,0))))</f>
        <v/>
      </c>
      <c r="P739" s="65">
        <f>H739+J739+L739+M739+O739</f>
        <v/>
      </c>
      <c r="Q739" s="71" t="inlineStr">
        <is>
          <t>Excluded: Công ty Gen DNA &amp; Thú y (Mục 5.4)</t>
        </is>
      </c>
      <c r="R739" s="6" t="inlineStr">
        <is>
          <t>Khay vệ sinh chung cư (Indoor Potty) + Thảm cỏ ban công (Grass Patch) + Đồ chơi</t>
        </is>
      </c>
      <c r="S739" s="6" t="inlineStr">
        <is>
          <t>Tuyệt đối không đưa vào CRM (Vi phạm Bộ lọc Âm tính Mục 5)</t>
        </is>
      </c>
    </row>
    <row r="740">
      <c r="A740" s="59" t="n">
        <v>21</v>
      </c>
      <c r="B740" s="15" t="inlineStr">
        <is>
          <t>Dogs Naturally Magazine</t>
        </is>
      </c>
      <c r="C740" s="60" t="inlineStr">
        <is>
          <t>https://www.facebook.com/DogsNaturallyMagazine</t>
        </is>
      </c>
      <c r="D740" s="9" t="inlineStr">
        <is>
          <t>Cần quét Bio Fanpage</t>
        </is>
      </c>
      <c r="E740" s="59" t="inlineStr">
        <is>
          <t>06/10/2026 02:11:03</t>
        </is>
      </c>
      <c r="F740" s="59" t="inlineStr">
        <is>
          <t>6 ngày trước</t>
        </is>
      </c>
      <c r="G740" s="61" t="n">
        <v>6</v>
      </c>
      <c r="H740" s="62" t="n">
        <v>20</v>
      </c>
      <c r="I740" s="9" t="inlineStr">
        <is>
          <t>Pet Owner / Cộng đồng nuôi cún (10đ)</t>
        </is>
      </c>
      <c r="J740" s="62" t="n">
        <v>10</v>
      </c>
      <c r="K740" s="9" t="inlineStr">
        <is>
          <t>Chưa rõ giống (Cần quét Bio)</t>
        </is>
      </c>
      <c r="L740" s="62" t="n">
        <v>0</v>
      </c>
      <c r="M740" s="62" t="n">
        <v>0</v>
      </c>
      <c r="N740" s="9" t="inlineStr">
        <is>
          <t>Amazon link not found</t>
        </is>
      </c>
      <c r="O740" s="62">
        <f>IF(N740="Selling pet toys + Artificial grass/Pet toilets (TARGET)",15,IF(N740="Selling artificial grass/pet toilets (TARGET)",10,IF(N740="Selling pet toys",7,IF(N740="There's an Amazon link, but no target sales.",3,0))))</f>
        <v/>
      </c>
      <c r="P740" s="67">
        <f>H740+J740+L740+M740+O740</f>
        <v/>
      </c>
      <c r="Q740" s="70" t="inlineStr">
        <is>
          <t>Excluded: Kênh Tin tức, Tạp chí &amp; Giải trí (Mục 5.3)</t>
        </is>
      </c>
      <c r="R740" s="9" t="inlineStr">
        <is>
          <t>Khay vệ sinh chung cư (Indoor Potty) + Thảm cỏ ban công (Grass Patch) + Đồ chơi</t>
        </is>
      </c>
      <c r="S740" s="9" t="inlineStr">
        <is>
          <t>Tuyệt đối không đưa vào CRM (Vi phạm Bộ lọc Âm tính Mục 5)</t>
        </is>
      </c>
    </row>
    <row r="741">
      <c r="A741" s="53" t="n">
        <v>2157</v>
      </c>
      <c r="B741" s="12" t="inlineStr">
        <is>
          <t>Medivet Leckhampton</t>
        </is>
      </c>
      <c r="C741" s="54" t="inlineStr">
        <is>
          <t>https://www.facebook.com/MedivetLeckhampton</t>
        </is>
      </c>
      <c r="D741" s="6" t="inlineStr">
        <is>
          <t>Cần quét Bio Fanpage</t>
        </is>
      </c>
      <c r="E741" s="53" t="inlineStr">
        <is>
          <t>06/10/2026 00:14:07</t>
        </is>
      </c>
      <c r="F741" s="53" t="inlineStr">
        <is>
          <t>1 tuần trước</t>
        </is>
      </c>
      <c r="G741" s="55" t="n">
        <v>7</v>
      </c>
      <c r="H741" s="56" t="n">
        <v>20</v>
      </c>
      <c r="I741" s="6" t="inlineStr">
        <is>
          <t>Pet Owner / Cộng đồng nuôi cún (10đ)</t>
        </is>
      </c>
      <c r="J741" s="56" t="n">
        <v>10</v>
      </c>
      <c r="K741" s="6" t="inlineStr">
        <is>
          <t>Chưa rõ giống (Cần quét Bio)</t>
        </is>
      </c>
      <c r="L741" s="56" t="n">
        <v>0</v>
      </c>
      <c r="M741" s="56" t="n">
        <v>0</v>
      </c>
      <c r="N741" s="6" t="inlineStr">
        <is>
          <t>Amazon link not found</t>
        </is>
      </c>
      <c r="O741" s="56">
        <f>IF(N741="Selling pet toys + Artificial grass/Pet toilets (TARGET)",15,IF(N741="Selling artificial grass/pet toilets (TARGET)",10,IF(N741="Selling pet toys",7,IF(N741="There's an Amazon link, but no target sales.",3,0))))</f>
        <v/>
      </c>
      <c r="P741" s="65">
        <f>H741+J741+L741+M741+O741</f>
        <v/>
      </c>
      <c r="Q741" s="71" t="inlineStr">
        <is>
          <t>Excluded: Trang Chung / Không rõ Ngách Cún cưng</t>
        </is>
      </c>
      <c r="R741" s="6" t="inlineStr">
        <is>
          <t>Khay vệ sinh chung cư (Indoor Potty) + Thảm cỏ ban công (Grass Patch) + Đồ chơi</t>
        </is>
      </c>
      <c r="S741" s="6" t="inlineStr">
        <is>
          <t>Tuyệt đối không đưa vào CRM (Vi phạm Bộ lọc Âm tính Mục 5)</t>
        </is>
      </c>
    </row>
    <row r="742">
      <c r="A742" s="59" t="n">
        <v>98</v>
      </c>
      <c r="B742" s="15" t="inlineStr">
        <is>
          <t>Animal Casting - Atlanta</t>
        </is>
      </c>
      <c r="C742" s="60" t="inlineStr">
        <is>
          <t>https://www.facebook.com/ANIMALCASTINGATLANTA</t>
        </is>
      </c>
      <c r="D742" s="9" t="inlineStr">
        <is>
          <t>Cần quét Bio Fanpage</t>
        </is>
      </c>
      <c r="E742" s="59" t="inlineStr">
        <is>
          <t>05/10/2026 20:56:11</t>
        </is>
      </c>
      <c r="F742" s="59" t="inlineStr">
        <is>
          <t>1 tuần trước</t>
        </is>
      </c>
      <c r="G742" s="61" t="n">
        <v>7</v>
      </c>
      <c r="H742" s="62" t="n">
        <v>20</v>
      </c>
      <c r="I742" s="9" t="inlineStr">
        <is>
          <t>Pet Owner / Cộng đồng nuôi cún (10đ)</t>
        </is>
      </c>
      <c r="J742" s="62" t="n">
        <v>10</v>
      </c>
      <c r="K742" s="9" t="inlineStr">
        <is>
          <t>Chưa rõ giống (Cần quét Bio)</t>
        </is>
      </c>
      <c r="L742" s="62" t="n">
        <v>0</v>
      </c>
      <c r="M742" s="62" t="n">
        <v>0</v>
      </c>
      <c r="N742" s="9" t="inlineStr">
        <is>
          <t>Amazon link not found</t>
        </is>
      </c>
      <c r="O742" s="62">
        <f>IF(N742="Selling pet toys + Artificial grass/Pet toilets (TARGET)",15,IF(N742="Selling artificial grass/pet toilets (TARGET)",10,IF(N742="Selling pet toys",7,IF(N742="There's an Amazon link, but no target sales.",3,0))))</f>
        <v/>
      </c>
      <c r="P742" s="67">
        <f>H742+J742+L742+M742+O742</f>
        <v/>
      </c>
      <c r="Q742" s="70" t="inlineStr">
        <is>
          <t>Excluded: Trang Chung / Không rõ Ngách Cún cưng</t>
        </is>
      </c>
      <c r="R742" s="9" t="inlineStr">
        <is>
          <t>Khay vệ sinh chung cư (Indoor Potty) + Thảm cỏ ban công (Grass Patch) + Đồ chơi</t>
        </is>
      </c>
      <c r="S742" s="9" t="inlineStr">
        <is>
          <t>Tuyệt đối không đưa vào CRM (Vi phạm Bộ lọc Âm tính Mục 5)</t>
        </is>
      </c>
    </row>
    <row r="743">
      <c r="A743" s="53" t="n">
        <v>458</v>
      </c>
      <c r="B743" s="12" t="inlineStr">
        <is>
          <t>Animal Fostering Hub NZ</t>
        </is>
      </c>
      <c r="C743" s="54" t="inlineStr">
        <is>
          <t>https://www.facebook.com/afhnz</t>
        </is>
      </c>
      <c r="D743" s="6" t="inlineStr">
        <is>
          <t>Cần quét Bio Fanpage</t>
        </is>
      </c>
      <c r="E743" s="53" t="inlineStr">
        <is>
          <t>05/10/2026 13:55:27</t>
        </is>
      </c>
      <c r="F743" s="53" t="inlineStr">
        <is>
          <t>1 tuần trước</t>
        </is>
      </c>
      <c r="G743" s="55" t="n">
        <v>7</v>
      </c>
      <c r="H743" s="56" t="n">
        <v>20</v>
      </c>
      <c r="I743" s="6" t="inlineStr">
        <is>
          <t>Pet Owner / Cộng đồng nuôi cún (10đ)</t>
        </is>
      </c>
      <c r="J743" s="56" t="n">
        <v>10</v>
      </c>
      <c r="K743" s="6" t="inlineStr">
        <is>
          <t>Chưa rõ giống (Cần quét Bio)</t>
        </is>
      </c>
      <c r="L743" s="56" t="n">
        <v>0</v>
      </c>
      <c r="M743" s="56" t="n">
        <v>0</v>
      </c>
      <c r="N743" s="6" t="inlineStr">
        <is>
          <t>Amazon link not found</t>
        </is>
      </c>
      <c r="O743" s="56">
        <f>IF(N743="Selling pet toys + Artificial grass/Pet toilets (TARGET)",15,IF(N743="Selling artificial grass/pet toilets (TARGET)",10,IF(N743="Selling pet toys",7,IF(N743="There's an Amazon link, but no target sales.",3,0))))</f>
        <v/>
      </c>
      <c r="P743" s="65">
        <f>H743+J743+L743+M743+O743</f>
        <v/>
      </c>
      <c r="Q743" s="71" t="inlineStr">
        <is>
          <t>Excluded: Trang Chung / Không rõ Ngách Cún cưng</t>
        </is>
      </c>
      <c r="R743" s="6" t="inlineStr">
        <is>
          <t>Khay vệ sinh chung cư (Indoor Potty) + Thảm cỏ ban công (Grass Patch) + Đồ chơi</t>
        </is>
      </c>
      <c r="S743" s="6" t="inlineStr">
        <is>
          <t>Tuyệt đối không đưa vào CRM (Vi phạm Bộ lọc Âm tính Mục 5)</t>
        </is>
      </c>
    </row>
    <row r="744">
      <c r="A744" s="59" t="n">
        <v>999</v>
      </c>
      <c r="B744" s="15" t="inlineStr">
        <is>
          <t>Facebook User</t>
        </is>
      </c>
      <c r="C744" s="60" t="inlineStr">
        <is>
          <t>https://www.facebook.com/profile.php?id=100094061432471</t>
        </is>
      </c>
      <c r="D744" s="9" t="inlineStr">
        <is>
          <t>Cần quét Bio Fanpage</t>
        </is>
      </c>
      <c r="E744" s="59" t="inlineStr">
        <is>
          <t>05/10/2026 09:24:19</t>
        </is>
      </c>
      <c r="F744" s="59" t="inlineStr">
        <is>
          <t>1 tuần trước</t>
        </is>
      </c>
      <c r="G744" s="61" t="n">
        <v>7</v>
      </c>
      <c r="H744" s="62" t="n">
        <v>20</v>
      </c>
      <c r="I744" s="9" t="inlineStr">
        <is>
          <t>Pet Owner / Cộng đồng nuôi cún (10đ)</t>
        </is>
      </c>
      <c r="J744" s="62" t="n">
        <v>10</v>
      </c>
      <c r="K744" s="9" t="inlineStr">
        <is>
          <t>Chưa rõ giống (Cần quét Bio)</t>
        </is>
      </c>
      <c r="L744" s="62" t="n">
        <v>0</v>
      </c>
      <c r="M744" s="62" t="n">
        <v>0</v>
      </c>
      <c r="N744" s="9" t="inlineStr">
        <is>
          <t>Amazon link not found</t>
        </is>
      </c>
      <c r="O744" s="62">
        <f>IF(N744="Selling pet toys + Artificial grass/Pet toilets (TARGET)",15,IF(N744="Selling artificial grass/pet toilets (TARGET)",10,IF(N744="Selling pet toys",7,IF(N744="There's an Amazon link, but no target sales.",3,0))))</f>
        <v/>
      </c>
      <c r="P744" s="67">
        <f>H744+J744+L744+M744+O744</f>
        <v/>
      </c>
      <c r="Q744" s="70" t="inlineStr">
        <is>
          <t>Excluded: Hồ sơ Ẩn danh (Facebook User)</t>
        </is>
      </c>
      <c r="R744" s="9" t="inlineStr">
        <is>
          <t>Khay vệ sinh chung cư (Indoor Potty) + Thảm cỏ ban công (Grass Patch) + Đồ chơi</t>
        </is>
      </c>
      <c r="S744" s="9" t="inlineStr">
        <is>
          <t>Tuyệt đối không đưa vào CRM (Vi phạm Bộ lọc Âm tính Mục 5)</t>
        </is>
      </c>
    </row>
    <row r="745">
      <c r="A745" s="53" t="n">
        <v>3071</v>
      </c>
      <c r="B745" s="12" t="inlineStr">
        <is>
          <t>Tecnovet SRL</t>
        </is>
      </c>
      <c r="C745" s="54" t="inlineStr">
        <is>
          <t>https://www.facebook.com/TecnovetSRL</t>
        </is>
      </c>
      <c r="D745" s="6" t="inlineStr">
        <is>
          <t>Cần quét Bio Fanpage</t>
        </is>
      </c>
      <c r="E745" s="53" t="inlineStr">
        <is>
          <t>05/10/2026 05:37:02</t>
        </is>
      </c>
      <c r="F745" s="53" t="inlineStr">
        <is>
          <t>1 tuần trước</t>
        </is>
      </c>
      <c r="G745" s="55" t="n">
        <v>7</v>
      </c>
      <c r="H745" s="56" t="n">
        <v>20</v>
      </c>
      <c r="I745" s="6" t="inlineStr">
        <is>
          <t>Pet Owner / Cộng đồng nuôi cún (10đ)</t>
        </is>
      </c>
      <c r="J745" s="56" t="n">
        <v>10</v>
      </c>
      <c r="K745" s="6" t="inlineStr">
        <is>
          <t>Chưa rõ giống (Cần quét Bio)</t>
        </is>
      </c>
      <c r="L745" s="56" t="n">
        <v>0</v>
      </c>
      <c r="M745" s="56" t="n">
        <v>0</v>
      </c>
      <c r="N745" s="6" t="inlineStr">
        <is>
          <t>Amazon link not found</t>
        </is>
      </c>
      <c r="O745" s="56">
        <f>IF(N745="Selling pet toys + Artificial grass/Pet toilets (TARGET)",15,IF(N745="Selling artificial grass/pet toilets (TARGET)",10,IF(N745="Selling pet toys",7,IF(N745="There's an Amazon link, but no target sales.",3,0))))</f>
        <v/>
      </c>
      <c r="P745" s="65">
        <f>H745+J745+L745+M745+O745</f>
        <v/>
      </c>
      <c r="Q745" s="71" t="inlineStr">
        <is>
          <t>Excluded: Trang Chung / Không rõ Ngách Cún cưng</t>
        </is>
      </c>
      <c r="R745" s="6" t="inlineStr">
        <is>
          <t>Khay vệ sinh chung cư (Indoor Potty) + Thảm cỏ ban công (Grass Patch) + Đồ chơi</t>
        </is>
      </c>
      <c r="S745" s="6" t="inlineStr">
        <is>
          <t>Tuyệt đối không đưa vào CRM (Vi phạm Bộ lọc Âm tính Mục 5)</t>
        </is>
      </c>
    </row>
    <row r="746">
      <c r="A746" s="59" t="n">
        <v>648</v>
      </c>
      <c r="B746" s="15" t="inlineStr">
        <is>
          <t>Facebook User</t>
        </is>
      </c>
      <c r="C746" s="60" t="inlineStr">
        <is>
          <t>https://www.facebook.com/profile.php?id=100048562002112</t>
        </is>
      </c>
      <c r="D746" s="9" t="inlineStr">
        <is>
          <t>Cần quét Bio Fanpage</t>
        </is>
      </c>
      <c r="E746" s="59" t="inlineStr">
        <is>
          <t>05/10/2026 01:30:26</t>
        </is>
      </c>
      <c r="F746" s="59" t="inlineStr">
        <is>
          <t>1 tuần trước</t>
        </is>
      </c>
      <c r="G746" s="61" t="n">
        <v>7</v>
      </c>
      <c r="H746" s="62" t="n">
        <v>20</v>
      </c>
      <c r="I746" s="9" t="inlineStr">
        <is>
          <t>Pet Owner / Cộng đồng nuôi cún (10đ)</t>
        </is>
      </c>
      <c r="J746" s="62" t="n">
        <v>10</v>
      </c>
      <c r="K746" s="9" t="inlineStr">
        <is>
          <t>Chưa rõ giống (Cần quét Bio)</t>
        </is>
      </c>
      <c r="L746" s="62" t="n">
        <v>0</v>
      </c>
      <c r="M746" s="62" t="n">
        <v>0</v>
      </c>
      <c r="N746" s="9" t="inlineStr">
        <is>
          <t>Amazon link not found</t>
        </is>
      </c>
      <c r="O746" s="62">
        <f>IF(N746="Selling pet toys + Artificial grass/Pet toilets (TARGET)",15,IF(N746="Selling artificial grass/pet toilets (TARGET)",10,IF(N746="Selling pet toys",7,IF(N746="There's an Amazon link, but no target sales.",3,0))))</f>
        <v/>
      </c>
      <c r="P746" s="67">
        <f>H746+J746+L746+M746+O746</f>
        <v/>
      </c>
      <c r="Q746" s="70" t="inlineStr">
        <is>
          <t>Excluded: Hồ sơ Ẩn danh (Facebook User)</t>
        </is>
      </c>
      <c r="R746" s="9" t="inlineStr">
        <is>
          <t>Khay vệ sinh chung cư (Indoor Potty) + Thảm cỏ ban công (Grass Patch) + Đồ chơi</t>
        </is>
      </c>
      <c r="S746" s="9" t="inlineStr">
        <is>
          <t>Tuyệt đối không đưa vào CRM (Vi phạm Bộ lọc Âm tính Mục 5)</t>
        </is>
      </c>
    </row>
    <row r="747">
      <c r="A747" s="53" t="n">
        <v>2640</v>
      </c>
      <c r="B747" s="12" t="inlineStr">
        <is>
          <t>Protectora de animales ARUME</t>
        </is>
      </c>
      <c r="C747" s="54" t="inlineStr">
        <is>
          <t>https://www.facebook.com/Protectora.Arume</t>
        </is>
      </c>
      <c r="D747" s="6" t="inlineStr">
        <is>
          <t>Cần quét Bio Fanpage</t>
        </is>
      </c>
      <c r="E747" s="53" t="inlineStr">
        <is>
          <t>05/10/2026 01:10:28</t>
        </is>
      </c>
      <c r="F747" s="53" t="inlineStr">
        <is>
          <t>1 tuần trước</t>
        </is>
      </c>
      <c r="G747" s="55" t="n">
        <v>7</v>
      </c>
      <c r="H747" s="56" t="n">
        <v>20</v>
      </c>
      <c r="I747" s="6" t="inlineStr">
        <is>
          <t>Pet Owner / Cộng đồng nuôi cún (10đ)</t>
        </is>
      </c>
      <c r="J747" s="56" t="n">
        <v>10</v>
      </c>
      <c r="K747" s="6" t="inlineStr">
        <is>
          <t>Chưa rõ giống (Cần quét Bio)</t>
        </is>
      </c>
      <c r="L747" s="56" t="n">
        <v>0</v>
      </c>
      <c r="M747" s="56" t="n">
        <v>0</v>
      </c>
      <c r="N747" s="6" t="inlineStr">
        <is>
          <t>Amazon link not found</t>
        </is>
      </c>
      <c r="O747" s="56">
        <f>IF(N747="Selling pet toys + Artificial grass/Pet toilets (TARGET)",15,IF(N747="Selling artificial grass/pet toilets (TARGET)",10,IF(N747="Selling pet toys",7,IF(N747="There's an Amazon link, but no target sales.",3,0))))</f>
        <v/>
      </c>
      <c r="P747" s="65">
        <f>H747+J747+L747+M747+O747</f>
        <v/>
      </c>
      <c r="Q747" s="71" t="inlineStr">
        <is>
          <t>Excluded: Trang Chung / Không rõ Ngách Cún cưng</t>
        </is>
      </c>
      <c r="R747" s="6" t="inlineStr">
        <is>
          <t>Khay vệ sinh chung cư (Indoor Potty) + Thảm cỏ ban công (Grass Patch) + Đồ chơi</t>
        </is>
      </c>
      <c r="S747" s="6" t="inlineStr">
        <is>
          <t>Tuyệt đối không đưa vào CRM (Vi phạm Bộ lọc Âm tính Mục 5)</t>
        </is>
      </c>
    </row>
    <row r="748">
      <c r="A748" s="59" t="n">
        <v>1663</v>
      </c>
      <c r="B748" s="15" t="inlineStr">
        <is>
          <t>Hodowla Joanne's Happy dogs FCI</t>
        </is>
      </c>
      <c r="C748" s="60" t="inlineStr">
        <is>
          <t>https://www.facebook.com/profile.php?id=61559017763764</t>
        </is>
      </c>
      <c r="D748" s="9" t="inlineStr">
        <is>
          <t>Cần quét Bio Fanpage</t>
        </is>
      </c>
      <c r="E748" s="59" t="inlineStr">
        <is>
          <t>05/10/2026 00:29:47</t>
        </is>
      </c>
      <c r="F748" s="59" t="inlineStr">
        <is>
          <t>1 tuần trước</t>
        </is>
      </c>
      <c r="G748" s="61" t="n">
        <v>7</v>
      </c>
      <c r="H748" s="62" t="n">
        <v>20</v>
      </c>
      <c r="I748" s="9" t="inlineStr">
        <is>
          <t>Pet Owner / Cộng đồng nuôi cún (10đ)</t>
        </is>
      </c>
      <c r="J748" s="62" t="n">
        <v>10</v>
      </c>
      <c r="K748" s="9" t="inlineStr">
        <is>
          <t>Chưa rõ giống (Cần quét Bio)</t>
        </is>
      </c>
      <c r="L748" s="62" t="n">
        <v>0</v>
      </c>
      <c r="M748" s="62" t="n">
        <v>0</v>
      </c>
      <c r="N748" s="9" t="inlineStr">
        <is>
          <t>Amazon link not found</t>
        </is>
      </c>
      <c r="O748" s="62">
        <f>IF(N748="Selling pet toys + Artificial grass/Pet toilets (TARGET)",15,IF(N748="Selling artificial grass/pet toilets (TARGET)",10,IF(N748="Selling pet toys",7,IF(N748="There's an Amazon link, but no target sales.",3,0))))</f>
        <v/>
      </c>
      <c r="P748" s="67">
        <f>H748+J748+L748+M748+O748</f>
        <v/>
      </c>
      <c r="Q748" s="70" t="inlineStr">
        <is>
          <t>Excluded: Hiệp hội &amp; CLB Phả hệ (Mục 5.1)</t>
        </is>
      </c>
      <c r="R748" s="9" t="inlineStr">
        <is>
          <t>Khay vệ sinh chung cư (Indoor Potty) + Thảm cỏ ban công (Grass Patch) + Đồ chơi</t>
        </is>
      </c>
      <c r="S748" s="9" t="inlineStr">
        <is>
          <t>Tuyệt đối không đưa vào CRM (Vi phạm Bộ lọc Âm tính Mục 5)</t>
        </is>
      </c>
    </row>
    <row r="749">
      <c r="A749" s="53" t="n">
        <v>1239</v>
      </c>
      <c r="B749" s="12" t="inlineStr">
        <is>
          <t>Dryfe Vets</t>
        </is>
      </c>
      <c r="C749" s="54" t="inlineStr">
        <is>
          <t>https://www.facebook.com/DryfeVets</t>
        </is>
      </c>
      <c r="D749" s="6" t="inlineStr">
        <is>
          <t>Cần quét Bio Fanpage</t>
        </is>
      </c>
      <c r="E749" s="53" t="inlineStr">
        <is>
          <t>04/10/2026 22:27:10</t>
        </is>
      </c>
      <c r="F749" s="53" t="inlineStr">
        <is>
          <t>1 tuần trước</t>
        </is>
      </c>
      <c r="G749" s="55" t="n">
        <v>7</v>
      </c>
      <c r="H749" s="56" t="n">
        <v>20</v>
      </c>
      <c r="I749" s="6" t="inlineStr">
        <is>
          <t>Pet Owner / Cộng đồng nuôi cún (10đ)</t>
        </is>
      </c>
      <c r="J749" s="56" t="n">
        <v>10</v>
      </c>
      <c r="K749" s="6" t="inlineStr">
        <is>
          <t>Chưa rõ giống (Cần quét Bio)</t>
        </is>
      </c>
      <c r="L749" s="56" t="n">
        <v>0</v>
      </c>
      <c r="M749" s="56" t="n">
        <v>0</v>
      </c>
      <c r="N749" s="6" t="inlineStr">
        <is>
          <t>Amazon link not found</t>
        </is>
      </c>
      <c r="O749" s="56">
        <f>IF(N749="Selling pet toys + Artificial grass/Pet toilets (TARGET)",15,IF(N749="Selling artificial grass/pet toilets (TARGET)",10,IF(N749="Selling pet toys",7,IF(N749="There's an Amazon link, but no target sales.",3,0))))</f>
        <v/>
      </c>
      <c r="P749" s="65">
        <f>H749+J749+L749+M749+O749</f>
        <v/>
      </c>
      <c r="Q749" s="71" t="inlineStr">
        <is>
          <t>Excluded: Trang Chung / Không rõ Ngách Cún cưng</t>
        </is>
      </c>
      <c r="R749" s="6" t="inlineStr">
        <is>
          <t>Khay vệ sinh chung cư (Indoor Potty) + Thảm cỏ ban công (Grass Patch) + Đồ chơi</t>
        </is>
      </c>
      <c r="S749" s="6" t="inlineStr">
        <is>
          <t>Tuyệt đối không đưa vào CRM (Vi phạm Bộ lọc Âm tính Mục 5)</t>
        </is>
      </c>
    </row>
    <row r="750">
      <c r="A750" s="59" t="n">
        <v>1481</v>
      </c>
      <c r="B750" s="15" t="inlineStr">
        <is>
          <t>Gabinet Weterynaryjny "Medi-Vet"</t>
        </is>
      </c>
      <c r="C750" s="60" t="inlineStr">
        <is>
          <t>https://www.facebook.com/GabinetMediVet</t>
        </is>
      </c>
      <c r="D750" s="9" t="inlineStr">
        <is>
          <t>Cần quét Bio Fanpage</t>
        </is>
      </c>
      <c r="E750" s="59" t="inlineStr">
        <is>
          <t>04/10/2026 02:31:57</t>
        </is>
      </c>
      <c r="F750" s="59" t="inlineStr">
        <is>
          <t>1 tuần trước</t>
        </is>
      </c>
      <c r="G750" s="61" t="n">
        <v>7</v>
      </c>
      <c r="H750" s="62" t="n">
        <v>20</v>
      </c>
      <c r="I750" s="9" t="inlineStr">
        <is>
          <t>Pet Owner / Cộng đồng nuôi cún (10đ)</t>
        </is>
      </c>
      <c r="J750" s="62" t="n">
        <v>10</v>
      </c>
      <c r="K750" s="9" t="inlineStr">
        <is>
          <t>Chưa rõ giống (Cần quét Bio)</t>
        </is>
      </c>
      <c r="L750" s="62" t="n">
        <v>0</v>
      </c>
      <c r="M750" s="62" t="n">
        <v>0</v>
      </c>
      <c r="N750" s="9" t="inlineStr">
        <is>
          <t>Amazon link not found</t>
        </is>
      </c>
      <c r="O750" s="62">
        <f>IF(N750="Selling pet toys + Artificial grass/Pet toilets (TARGET)",15,IF(N750="Selling artificial grass/pet toilets (TARGET)",10,IF(N750="Selling pet toys",7,IF(N750="There's an Amazon link, but no target sales.",3,0))))</f>
        <v/>
      </c>
      <c r="P750" s="67">
        <f>H750+J750+L750+M750+O750</f>
        <v/>
      </c>
      <c r="Q750" s="70" t="inlineStr">
        <is>
          <t>Excluded: Trang Chung / Không rõ Ngách Cún cưng</t>
        </is>
      </c>
      <c r="R750" s="9" t="inlineStr">
        <is>
          <t>Khay vệ sinh chung cư (Indoor Potty) + Thảm cỏ ban công (Grass Patch) + Đồ chơi</t>
        </is>
      </c>
      <c r="S750" s="9" t="inlineStr">
        <is>
          <t>Tuyệt đối không đưa vào CRM (Vi phạm Bộ lọc Âm tính Mục 5)</t>
        </is>
      </c>
    </row>
    <row r="751">
      <c r="A751" s="53" t="n">
        <v>1368</v>
      </c>
      <c r="B751" s="12" t="inlineStr">
        <is>
          <t>Facebook User</t>
        </is>
      </c>
      <c r="C751" s="54" t="inlineStr">
        <is>
          <t>https://www.facebook.com/profile.php?id=100064620584106</t>
        </is>
      </c>
      <c r="D751" s="6" t="inlineStr">
        <is>
          <t>Cần quét Bio Fanpage</t>
        </is>
      </c>
      <c r="E751" s="53" t="inlineStr">
        <is>
          <t>03/10/2026 23:06:50</t>
        </is>
      </c>
      <c r="F751" s="53" t="inlineStr">
        <is>
          <t>1 tuần trước</t>
        </is>
      </c>
      <c r="G751" s="55" t="n">
        <v>7</v>
      </c>
      <c r="H751" s="56" t="n">
        <v>20</v>
      </c>
      <c r="I751" s="6" t="inlineStr">
        <is>
          <t>Pet Owner / Cộng đồng nuôi cún (10đ)</t>
        </is>
      </c>
      <c r="J751" s="56" t="n">
        <v>10</v>
      </c>
      <c r="K751" s="6" t="inlineStr">
        <is>
          <t>Chưa rõ giống (Cần quét Bio)</t>
        </is>
      </c>
      <c r="L751" s="56" t="n">
        <v>0</v>
      </c>
      <c r="M751" s="56" t="n">
        <v>0</v>
      </c>
      <c r="N751" s="6" t="inlineStr">
        <is>
          <t>Amazon link not found</t>
        </is>
      </c>
      <c r="O751" s="56">
        <f>IF(N751="Selling pet toys + Artificial grass/Pet toilets (TARGET)",15,IF(N751="Selling artificial grass/pet toilets (TARGET)",10,IF(N751="Selling pet toys",7,IF(N751="There's an Amazon link, but no target sales.",3,0))))</f>
        <v/>
      </c>
      <c r="P751" s="65">
        <f>H751+J751+L751+M751+O751</f>
        <v/>
      </c>
      <c r="Q751" s="71" t="inlineStr">
        <is>
          <t>Excluded: Hồ sơ Ẩn danh (Facebook User)</t>
        </is>
      </c>
      <c r="R751" s="6" t="inlineStr">
        <is>
          <t>Khay vệ sinh chung cư (Indoor Potty) + Thảm cỏ ban công (Grass Patch) + Đồ chơi</t>
        </is>
      </c>
      <c r="S751" s="6" t="inlineStr">
        <is>
          <t>Tuyệt đối không đưa vào CRM (Vi phạm Bộ lọc Âm tính Mục 5)</t>
        </is>
      </c>
    </row>
    <row r="752">
      <c r="A752" s="59" t="n">
        <v>1843</v>
      </c>
      <c r="B752" s="15" t="inlineStr">
        <is>
          <t>Karen Carey</t>
        </is>
      </c>
      <c r="C752" s="60" t="inlineStr">
        <is>
          <t>https://www.facebook.com/karen.carey.1272</t>
        </is>
      </c>
      <c r="D752" s="9" t="inlineStr">
        <is>
          <t>Cần quét Bio Fanpage</t>
        </is>
      </c>
      <c r="E752" s="59" t="inlineStr">
        <is>
          <t>03/10/2026 22:24:34</t>
        </is>
      </c>
      <c r="F752" s="59" t="inlineStr">
        <is>
          <t>1 tuần trước</t>
        </is>
      </c>
      <c r="G752" s="61" t="n">
        <v>7</v>
      </c>
      <c r="H752" s="62" t="n">
        <v>20</v>
      </c>
      <c r="I752" s="9" t="inlineStr">
        <is>
          <t>Pet Owner / Cộng đồng nuôi cún (10đ)</t>
        </is>
      </c>
      <c r="J752" s="62" t="n">
        <v>10</v>
      </c>
      <c r="K752" s="9" t="inlineStr">
        <is>
          <t>Chưa rõ giống (Cần quét Bio)</t>
        </is>
      </c>
      <c r="L752" s="62" t="n">
        <v>0</v>
      </c>
      <c r="M752" s="62" t="n">
        <v>0</v>
      </c>
      <c r="N752" s="9" t="inlineStr">
        <is>
          <t>Amazon link not found</t>
        </is>
      </c>
      <c r="O752" s="62">
        <f>IF(N752="Selling pet toys + Artificial grass/Pet toilets (TARGET)",15,IF(N752="Selling artificial grass/pet toilets (TARGET)",10,IF(N752="Selling pet toys",7,IF(N752="There's an Amazon link, but no target sales.",3,0))))</f>
        <v/>
      </c>
      <c r="P752" s="67">
        <f>H752+J752+L752+M752+O752</f>
        <v/>
      </c>
      <c r="Q752" s="70" t="inlineStr">
        <is>
          <t>Excluded: Trang Chung / Không rõ Ngách Cún cưng</t>
        </is>
      </c>
      <c r="R752" s="9" t="inlineStr">
        <is>
          <t>Khay vệ sinh chung cư (Indoor Potty) + Thảm cỏ ban công (Grass Patch) + Đồ chơi</t>
        </is>
      </c>
      <c r="S752" s="9" t="inlineStr">
        <is>
          <t>Tuyệt đối không đưa vào CRM (Vi phạm Bộ lọc Âm tính Mục 5)</t>
        </is>
      </c>
    </row>
    <row r="753">
      <c r="A753" s="53" t="n">
        <v>872</v>
      </c>
      <c r="B753" s="12" t="inlineStr">
        <is>
          <t>Centro Veterinario Animalia</t>
        </is>
      </c>
      <c r="C753" s="54" t="inlineStr">
        <is>
          <t>https://www.facebook.com/centro.veterinario.animalia.valladolid</t>
        </is>
      </c>
      <c r="D753" s="6" t="inlineStr">
        <is>
          <t>Cần quét Bio Fanpage</t>
        </is>
      </c>
      <c r="E753" s="53" t="inlineStr">
        <is>
          <t>03/10/2026 20:48:42</t>
        </is>
      </c>
      <c r="F753" s="53" t="inlineStr">
        <is>
          <t>1 tuần trước</t>
        </is>
      </c>
      <c r="G753" s="55" t="n">
        <v>7</v>
      </c>
      <c r="H753" s="56" t="n">
        <v>20</v>
      </c>
      <c r="I753" s="6" t="inlineStr">
        <is>
          <t>Pet Owner / Cộng đồng nuôi cún (10đ)</t>
        </is>
      </c>
      <c r="J753" s="56" t="n">
        <v>10</v>
      </c>
      <c r="K753" s="6" t="inlineStr">
        <is>
          <t>Chưa rõ giống (Cần quét Bio)</t>
        </is>
      </c>
      <c r="L753" s="56" t="n">
        <v>0</v>
      </c>
      <c r="M753" s="56" t="n">
        <v>0</v>
      </c>
      <c r="N753" s="6" t="inlineStr">
        <is>
          <t>Amazon link not found</t>
        </is>
      </c>
      <c r="O753" s="56">
        <f>IF(N753="Selling pet toys + Artificial grass/Pet toilets (TARGET)",15,IF(N753="Selling artificial grass/pet toilets (TARGET)",10,IF(N753="Selling pet toys",7,IF(N753="There's an Amazon link, but no target sales.",3,0))))</f>
        <v/>
      </c>
      <c r="P753" s="65">
        <f>H753+J753+L753+M753+O753</f>
        <v/>
      </c>
      <c r="Q753" s="71" t="inlineStr">
        <is>
          <t>Excluded: Công ty Gen DNA &amp; Thú y (Mục 5.4)</t>
        </is>
      </c>
      <c r="R753" s="6" t="inlineStr">
        <is>
          <t>Khay vệ sinh chung cư (Indoor Potty) + Thảm cỏ ban công (Grass Patch) + Đồ chơi</t>
        </is>
      </c>
      <c r="S753" s="6" t="inlineStr">
        <is>
          <t>Tuyệt đối không đưa vào CRM (Vi phạm Bộ lọc Âm tính Mục 5)</t>
        </is>
      </c>
    </row>
    <row r="754">
      <c r="A754" s="59" t="n">
        <v>1252</v>
      </c>
      <c r="B754" s="15" t="inlineStr">
        <is>
          <t>ToneMarcoJoel</t>
        </is>
      </c>
      <c r="C754" s="60" t="inlineStr">
        <is>
          <t>https://www.facebook.com/ToneMarcoJoel</t>
        </is>
      </c>
      <c r="D754" s="9" t="inlineStr">
        <is>
          <t>Cần quét Bio Fanpage</t>
        </is>
      </c>
      <c r="E754" s="59" t="inlineStr">
        <is>
          <t>03/10/2026 17:22:05</t>
        </is>
      </c>
      <c r="F754" s="59" t="inlineStr">
        <is>
          <t>1 tuần trước</t>
        </is>
      </c>
      <c r="G754" s="61" t="n">
        <v>7</v>
      </c>
      <c r="H754" s="62" t="n">
        <v>20</v>
      </c>
      <c r="I754" s="9" t="inlineStr">
        <is>
          <t>Pet Owner / Cộng đồng nuôi cún (10đ)</t>
        </is>
      </c>
      <c r="J754" s="62" t="n">
        <v>10</v>
      </c>
      <c r="K754" s="9" t="inlineStr">
        <is>
          <t>Chưa rõ giống (Cần quét Bio)</t>
        </is>
      </c>
      <c r="L754" s="62" t="n">
        <v>0</v>
      </c>
      <c r="M754" s="62" t="n">
        <v>0</v>
      </c>
      <c r="N754" s="9" t="inlineStr">
        <is>
          <t>Amazon link not found</t>
        </is>
      </c>
      <c r="O754" s="62">
        <f>IF(N754="Selling pet toys + Artificial grass/Pet toilets (TARGET)",15,IF(N754="Selling artificial grass/pet toilets (TARGET)",10,IF(N754="Selling pet toys",7,IF(N754="There's an Amazon link, but no target sales.",3,0))))</f>
        <v/>
      </c>
      <c r="P754" s="67">
        <f>H754+J754+L754+M754+O754</f>
        <v/>
      </c>
      <c r="Q754" s="70" t="inlineStr">
        <is>
          <t>Excluded: Trang Chung / Không rõ Ngách Cún cưng</t>
        </is>
      </c>
      <c r="R754" s="9" t="inlineStr">
        <is>
          <t>Khay vệ sinh chung cư (Indoor Potty) + Thảm cỏ ban công (Grass Patch) + Đồ chơi</t>
        </is>
      </c>
      <c r="S754" s="9" t="inlineStr">
        <is>
          <t>Tuyệt đối không đưa vào CRM (Vi phạm Bộ lọc Âm tính Mục 5)</t>
        </is>
      </c>
    </row>
    <row r="755">
      <c r="A755" s="53" t="n">
        <v>881</v>
      </c>
      <c r="B755" s="12" t="inlineStr">
        <is>
          <t>Charlotte Vincent - Ostéopathe animalier</t>
        </is>
      </c>
      <c r="C755" s="54" t="inlineStr">
        <is>
          <t>https://www.facebook.com/profile.php?id=61577645070352</t>
        </is>
      </c>
      <c r="D755" s="6" t="inlineStr">
        <is>
          <t>Cần quét Bio Fanpage</t>
        </is>
      </c>
      <c r="E755" s="53" t="inlineStr">
        <is>
          <t>03/10/2026 13:05:50</t>
        </is>
      </c>
      <c r="F755" s="53" t="inlineStr">
        <is>
          <t>1 tuần trước</t>
        </is>
      </c>
      <c r="G755" s="55" t="n">
        <v>7</v>
      </c>
      <c r="H755" s="56" t="n">
        <v>20</v>
      </c>
      <c r="I755" s="6" t="inlineStr">
        <is>
          <t>Pet Owner / Cộng đồng nuôi cún (10đ)</t>
        </is>
      </c>
      <c r="J755" s="56" t="n">
        <v>10</v>
      </c>
      <c r="K755" s="6" t="inlineStr">
        <is>
          <t>Chưa rõ giống (Cần quét Bio)</t>
        </is>
      </c>
      <c r="L755" s="56" t="n">
        <v>0</v>
      </c>
      <c r="M755" s="56" t="n">
        <v>0</v>
      </c>
      <c r="N755" s="6" t="inlineStr">
        <is>
          <t>Amazon link not found</t>
        </is>
      </c>
      <c r="O755" s="56">
        <f>IF(N755="Selling pet toys + Artificial grass/Pet toilets (TARGET)",15,IF(N755="Selling artificial grass/pet toilets (TARGET)",10,IF(N755="Selling pet toys",7,IF(N755="There's an Amazon link, but no target sales.",3,0))))</f>
        <v/>
      </c>
      <c r="P755" s="65">
        <f>H755+J755+L755+M755+O755</f>
        <v/>
      </c>
      <c r="Q755" s="71" t="inlineStr">
        <is>
          <t>Excluded: Trang Chung / Không rõ Ngách Cún cưng</t>
        </is>
      </c>
      <c r="R755" s="6" t="inlineStr">
        <is>
          <t>Khay vệ sinh chung cư (Indoor Potty) + Thảm cỏ ban công (Grass Patch) + Đồ chơi</t>
        </is>
      </c>
      <c r="S755" s="6" t="inlineStr">
        <is>
          <t>Tuyệt đối không đưa vào CRM (Vi phạm Bộ lọc Âm tính Mục 5)</t>
        </is>
      </c>
    </row>
    <row r="756">
      <c r="A756" s="59" t="n">
        <v>350</v>
      </c>
      <c r="B756" s="15" t="inlineStr">
        <is>
          <t>agnewvrs</t>
        </is>
      </c>
      <c r="C756" s="60" t="inlineStr">
        <is>
          <t>https://www.facebook.com/agnewvrs</t>
        </is>
      </c>
      <c r="D756" s="9" t="inlineStr">
        <is>
          <t>Cần quét Bio Fanpage</t>
        </is>
      </c>
      <c r="E756" s="59" t="inlineStr">
        <is>
          <t>03/10/2026 07:37:47</t>
        </is>
      </c>
      <c r="F756" s="59" t="inlineStr">
        <is>
          <t>1 tuần trước</t>
        </is>
      </c>
      <c r="G756" s="61" t="n">
        <v>7</v>
      </c>
      <c r="H756" s="62" t="n">
        <v>20</v>
      </c>
      <c r="I756" s="9" t="inlineStr">
        <is>
          <t>Pet Owner / Cộng đồng nuôi cún (10đ)</t>
        </is>
      </c>
      <c r="J756" s="62" t="n">
        <v>10</v>
      </c>
      <c r="K756" s="9" t="inlineStr">
        <is>
          <t>Chưa rõ giống (Cần quét Bio)</t>
        </is>
      </c>
      <c r="L756" s="62" t="n">
        <v>0</v>
      </c>
      <c r="M756" s="62" t="n">
        <v>0</v>
      </c>
      <c r="N756" s="9" t="inlineStr">
        <is>
          <t>Amazon link not found</t>
        </is>
      </c>
      <c r="O756" s="62">
        <f>IF(N756="Selling pet toys + Artificial grass/Pet toilets (TARGET)",15,IF(N756="Selling artificial grass/pet toilets (TARGET)",10,IF(N756="Selling pet toys",7,IF(N756="There's an Amazon link, but no target sales.",3,0))))</f>
        <v/>
      </c>
      <c r="P756" s="67">
        <f>H756+J756+L756+M756+O756</f>
        <v/>
      </c>
      <c r="Q756" s="70" t="inlineStr">
        <is>
          <t>Excluded: Trang Chung / Không rõ Ngách Cún cưng</t>
        </is>
      </c>
      <c r="R756" s="9" t="inlineStr">
        <is>
          <t>Khay vệ sinh chung cư (Indoor Potty) + Thảm cỏ ban công (Grass Patch) + Đồ chơi</t>
        </is>
      </c>
      <c r="S756" s="9" t="inlineStr">
        <is>
          <t>Tuyệt đối không đưa vào CRM (Vi phạm Bộ lọc Âm tính Mục 5)</t>
        </is>
      </c>
    </row>
    <row r="757">
      <c r="A757" s="53" t="n">
        <v>3301</v>
      </c>
      <c r="B757" s="12" t="inlineStr">
        <is>
          <t>Vet Med Corner</t>
        </is>
      </c>
      <c r="C757" s="54" t="inlineStr">
        <is>
          <t>https://www.facebook.com/vetmedcornerpage</t>
        </is>
      </c>
      <c r="D757" s="6" t="inlineStr">
        <is>
          <t>Cần quét Bio Fanpage</t>
        </is>
      </c>
      <c r="E757" s="53" t="inlineStr">
        <is>
          <t>03/10/2026 05:15:38</t>
        </is>
      </c>
      <c r="F757" s="53" t="inlineStr">
        <is>
          <t>1 tuần trước</t>
        </is>
      </c>
      <c r="G757" s="55" t="n">
        <v>7</v>
      </c>
      <c r="H757" s="56" t="n">
        <v>20</v>
      </c>
      <c r="I757" s="6" t="inlineStr">
        <is>
          <t>Pet Owner / Cộng đồng nuôi cún (10đ)</t>
        </is>
      </c>
      <c r="J757" s="56" t="n">
        <v>10</v>
      </c>
      <c r="K757" s="6" t="inlineStr">
        <is>
          <t>Chưa rõ giống (Cần quét Bio)</t>
        </is>
      </c>
      <c r="L757" s="56" t="n">
        <v>0</v>
      </c>
      <c r="M757" s="56" t="n">
        <v>0</v>
      </c>
      <c r="N757" s="6" t="inlineStr">
        <is>
          <t>Amazon link not found</t>
        </is>
      </c>
      <c r="O757" s="56">
        <f>IF(N757="Selling pet toys + Artificial grass/Pet toilets (TARGET)",15,IF(N757="Selling artificial grass/pet toilets (TARGET)",10,IF(N757="Selling pet toys",7,IF(N757="There's an Amazon link, but no target sales.",3,0))))</f>
        <v/>
      </c>
      <c r="P757" s="65">
        <f>H757+J757+L757+M757+O757</f>
        <v/>
      </c>
      <c r="Q757" s="71" t="inlineStr">
        <is>
          <t>Excluded: Trang Chung / Không rõ Ngách Cún cưng</t>
        </is>
      </c>
      <c r="R757" s="6" t="inlineStr">
        <is>
          <t>Khay vệ sinh chung cư (Indoor Potty) + Thảm cỏ ban công (Grass Patch) + Đồ chơi</t>
        </is>
      </c>
      <c r="S757" s="6" t="inlineStr">
        <is>
          <t>Tuyệt đối không đưa vào CRM (Vi phạm Bộ lọc Âm tính Mục 5)</t>
        </is>
      </c>
    </row>
    <row r="758">
      <c r="A758" s="59" t="n">
        <v>1725</v>
      </c>
      <c r="B758" s="15" t="inlineStr">
        <is>
          <t>Instituto Municipal del Cuidado Animal Corregidora</t>
        </is>
      </c>
      <c r="C758" s="60" t="inlineStr">
        <is>
          <t>https://www.facebook.com/imcacorregidora</t>
        </is>
      </c>
      <c r="D758" s="9" t="inlineStr">
        <is>
          <t>Cần quét Bio Fanpage</t>
        </is>
      </c>
      <c r="E758" s="59" t="inlineStr">
        <is>
          <t>03/10/2026 03:30:27</t>
        </is>
      </c>
      <c r="F758" s="59" t="inlineStr">
        <is>
          <t>1 tuần trước</t>
        </is>
      </c>
      <c r="G758" s="61" t="n">
        <v>7</v>
      </c>
      <c r="H758" s="62" t="n">
        <v>20</v>
      </c>
      <c r="I758" s="9" t="inlineStr">
        <is>
          <t>Pet Owner / Cộng đồng nuôi cún (10đ)</t>
        </is>
      </c>
      <c r="J758" s="62" t="n">
        <v>10</v>
      </c>
      <c r="K758" s="9" t="inlineStr">
        <is>
          <t>Chưa rõ giống (Cần quét Bio)</t>
        </is>
      </c>
      <c r="L758" s="62" t="n">
        <v>0</v>
      </c>
      <c r="M758" s="62" t="n">
        <v>0</v>
      </c>
      <c r="N758" s="9" t="inlineStr">
        <is>
          <t>Amazon link not found</t>
        </is>
      </c>
      <c r="O758" s="62">
        <f>IF(N758="Selling pet toys + Artificial grass/Pet toilets (TARGET)",15,IF(N758="Selling artificial grass/pet toilets (TARGET)",10,IF(N758="Selling pet toys",7,IF(N758="There's an Amazon link, but no target sales.",3,0))))</f>
        <v/>
      </c>
      <c r="P758" s="67">
        <f>H758+J758+L758+M758+O758</f>
        <v/>
      </c>
      <c r="Q758" s="70" t="inlineStr">
        <is>
          <t>Excluded: Trang Chung / Không rõ Ngách Cún cưng</t>
        </is>
      </c>
      <c r="R758" s="9" t="inlineStr">
        <is>
          <t>Khay vệ sinh chung cư (Indoor Potty) + Thảm cỏ ban công (Grass Patch) + Đồ chơi</t>
        </is>
      </c>
      <c r="S758" s="9" t="inlineStr">
        <is>
          <t>Tuyệt đối không đưa vào CRM (Vi phạm Bộ lọc Âm tính Mục 5)</t>
        </is>
      </c>
    </row>
    <row r="759">
      <c r="A759" s="53" t="n">
        <v>530</v>
      </c>
      <c r="B759" s="12" t="inlineStr">
        <is>
          <t>Asa Animalista</t>
        </is>
      </c>
      <c r="C759" s="54" t="inlineStr">
        <is>
          <t>https://www.facebook.com/asa.animalista.5</t>
        </is>
      </c>
      <c r="D759" s="6" t="inlineStr">
        <is>
          <t>Cần quét Bio Fanpage</t>
        </is>
      </c>
      <c r="E759" s="53" t="inlineStr">
        <is>
          <t>03/10/2026 00:30:18</t>
        </is>
      </c>
      <c r="F759" s="53" t="inlineStr">
        <is>
          <t>1 tuần trước</t>
        </is>
      </c>
      <c r="G759" s="55" t="n">
        <v>7</v>
      </c>
      <c r="H759" s="56" t="n">
        <v>20</v>
      </c>
      <c r="I759" s="6" t="inlineStr">
        <is>
          <t>Pet Owner / Cộng đồng nuôi cún (10đ)</t>
        </is>
      </c>
      <c r="J759" s="56" t="n">
        <v>10</v>
      </c>
      <c r="K759" s="6" t="inlineStr">
        <is>
          <t>Chưa rõ giống (Cần quét Bio)</t>
        </is>
      </c>
      <c r="L759" s="56" t="n">
        <v>0</v>
      </c>
      <c r="M759" s="56" t="n">
        <v>0</v>
      </c>
      <c r="N759" s="6" t="inlineStr">
        <is>
          <t>Amazon link not found</t>
        </is>
      </c>
      <c r="O759" s="56">
        <f>IF(N759="Selling pet toys + Artificial grass/Pet toilets (TARGET)",15,IF(N759="Selling artificial grass/pet toilets (TARGET)",10,IF(N759="Selling pet toys",7,IF(N759="There's an Amazon link, but no target sales.",3,0))))</f>
        <v/>
      </c>
      <c r="P759" s="65">
        <f>H759+J759+L759+M759+O759</f>
        <v/>
      </c>
      <c r="Q759" s="71" t="inlineStr">
        <is>
          <t>Excluded: Trang Chung / Không rõ Ngách Cún cưng</t>
        </is>
      </c>
      <c r="R759" s="6" t="inlineStr">
        <is>
          <t>Khay vệ sinh chung cư (Indoor Potty) + Thảm cỏ ban công (Grass Patch) + Đồ chơi</t>
        </is>
      </c>
      <c r="S759" s="6" t="inlineStr">
        <is>
          <t>Tuyệt đối không đưa vào CRM (Vi phạm Bộ lọc Âm tính Mục 5)</t>
        </is>
      </c>
    </row>
    <row r="760">
      <c r="A760" s="59" t="n">
        <v>19</v>
      </c>
      <c r="B760" s="15" t="inlineStr">
        <is>
          <t>Blue Ridge Veterinary Imaging</t>
        </is>
      </c>
      <c r="C760" s="60" t="inlineStr">
        <is>
          <t>https://www.facebook.com/BlueRidgeVeterinaryImaging</t>
        </is>
      </c>
      <c r="D760" s="9" t="inlineStr">
        <is>
          <t>Cần quét Bio Fanpage</t>
        </is>
      </c>
      <c r="E760" s="59" t="inlineStr">
        <is>
          <t>02/10/2026 22:31:46</t>
        </is>
      </c>
      <c r="F760" s="59" t="inlineStr">
        <is>
          <t>1 tuần trước</t>
        </is>
      </c>
      <c r="G760" s="61" t="n">
        <v>7</v>
      </c>
      <c r="H760" s="62" t="n">
        <v>20</v>
      </c>
      <c r="I760" s="9" t="inlineStr">
        <is>
          <t>Pet Owner / Cộng đồng nuôi cún (10đ)</t>
        </is>
      </c>
      <c r="J760" s="62" t="n">
        <v>10</v>
      </c>
      <c r="K760" s="9" t="inlineStr">
        <is>
          <t>Chưa rõ giống (Cần quét Bio)</t>
        </is>
      </c>
      <c r="L760" s="62" t="n">
        <v>0</v>
      </c>
      <c r="M760" s="62" t="n">
        <v>0</v>
      </c>
      <c r="N760" s="9" t="inlineStr">
        <is>
          <t>Amazon link not found</t>
        </is>
      </c>
      <c r="O760" s="62">
        <f>IF(N760="Selling pet toys + Artificial grass/Pet toilets (TARGET)",15,IF(N760="Selling artificial grass/pet toilets (TARGET)",10,IF(N760="Selling pet toys",7,IF(N760="There's an Amazon link, but no target sales.",3,0))))</f>
        <v/>
      </c>
      <c r="P760" s="67">
        <f>H760+J760+L760+M760+O760</f>
        <v/>
      </c>
      <c r="Q760" s="70" t="inlineStr">
        <is>
          <t>Excluded: Công ty Gen DNA &amp; Thú y (Mục 5.4)</t>
        </is>
      </c>
      <c r="R760" s="9" t="inlineStr">
        <is>
          <t>Khay vệ sinh chung cư (Indoor Potty) + Thảm cỏ ban công (Grass Patch) + Đồ chơi</t>
        </is>
      </c>
      <c r="S760" s="9" t="inlineStr">
        <is>
          <t>Tuyệt đối không đưa vào CRM (Vi phạm Bộ lọc Âm tính Mục 5)</t>
        </is>
      </c>
    </row>
    <row r="761">
      <c r="A761" s="53" t="n">
        <v>460</v>
      </c>
      <c r="B761" s="12" t="inlineStr">
        <is>
          <t>Animal Genetics</t>
        </is>
      </c>
      <c r="C761" s="54" t="inlineStr">
        <is>
          <t>https://www.facebook.com/profile.php?id=100086544026168</t>
        </is>
      </c>
      <c r="D761" s="6" t="inlineStr">
        <is>
          <t>Cần quét Bio Fanpage</t>
        </is>
      </c>
      <c r="E761" s="53" t="inlineStr">
        <is>
          <t>02/10/2026 06:00:02</t>
        </is>
      </c>
      <c r="F761" s="53" t="inlineStr">
        <is>
          <t>1 tuần trước</t>
        </is>
      </c>
      <c r="G761" s="55" t="n">
        <v>7</v>
      </c>
      <c r="H761" s="56" t="n">
        <v>20</v>
      </c>
      <c r="I761" s="6" t="inlineStr">
        <is>
          <t>Pet Owner / Cộng đồng nuôi cún (10đ)</t>
        </is>
      </c>
      <c r="J761" s="56" t="n">
        <v>10</v>
      </c>
      <c r="K761" s="6" t="inlineStr">
        <is>
          <t>Chưa rõ giống (Cần quét Bio)</t>
        </is>
      </c>
      <c r="L761" s="56" t="n">
        <v>0</v>
      </c>
      <c r="M761" s="56" t="n">
        <v>0</v>
      </c>
      <c r="N761" s="6" t="inlineStr">
        <is>
          <t>Amazon link not found</t>
        </is>
      </c>
      <c r="O761" s="56">
        <f>IF(N761="Selling pet toys + Artificial grass/Pet toilets (TARGET)",15,IF(N761="Selling artificial grass/pet toilets (TARGET)",10,IF(N761="Selling pet toys",7,IF(N761="There's an Amazon link, but no target sales.",3,0))))</f>
        <v/>
      </c>
      <c r="P761" s="65">
        <f>H761+J761+L761+M761+O761</f>
        <v/>
      </c>
      <c r="Q761" s="71" t="inlineStr">
        <is>
          <t>Excluded: Trang Chung / Không rõ Ngách Cún cưng</t>
        </is>
      </c>
      <c r="R761" s="6" t="inlineStr">
        <is>
          <t>Khay vệ sinh chung cư (Indoor Potty) + Thảm cỏ ban công (Grass Patch) + Đồ chơi</t>
        </is>
      </c>
      <c r="S761" s="6" t="inlineStr">
        <is>
          <t>Tuyệt đối không đưa vào CRM (Vi phạm Bộ lọc Âm tính Mục 5)</t>
        </is>
      </c>
    </row>
    <row r="762">
      <c r="A762" s="59" t="n">
        <v>1775</v>
      </c>
      <c r="B762" s="15" t="inlineStr">
        <is>
          <t>Jordan Bay Animal Hospital</t>
        </is>
      </c>
      <c r="C762" s="60" t="inlineStr">
        <is>
          <t>https://www.facebook.com/profile.php?id=100063807601155</t>
        </is>
      </c>
      <c r="D762" s="9" t="inlineStr">
        <is>
          <t>Cần quét Bio Fanpage</t>
        </is>
      </c>
      <c r="E762" s="59" t="inlineStr">
        <is>
          <t>02/10/2026 03:36:57</t>
        </is>
      </c>
      <c r="F762" s="59" t="inlineStr">
        <is>
          <t>1 tuần trước</t>
        </is>
      </c>
      <c r="G762" s="61" t="n">
        <v>7</v>
      </c>
      <c r="H762" s="62" t="n">
        <v>20</v>
      </c>
      <c r="I762" s="9" t="inlineStr">
        <is>
          <t>Pet Owner / Cộng đồng nuôi cún (10đ)</t>
        </is>
      </c>
      <c r="J762" s="62" t="n">
        <v>10</v>
      </c>
      <c r="K762" s="9" t="inlineStr">
        <is>
          <t>Chưa rõ giống (Cần quét Bio)</t>
        </is>
      </c>
      <c r="L762" s="62" t="n">
        <v>0</v>
      </c>
      <c r="M762" s="62" t="n">
        <v>0</v>
      </c>
      <c r="N762" s="9" t="inlineStr">
        <is>
          <t>Amazon link not found</t>
        </is>
      </c>
      <c r="O762" s="62">
        <f>IF(N762="Selling pet toys + Artificial grass/Pet toilets (TARGET)",15,IF(N762="Selling artificial grass/pet toilets (TARGET)",10,IF(N762="Selling pet toys",7,IF(N762="There's an Amazon link, but no target sales.",3,0))))</f>
        <v/>
      </c>
      <c r="P762" s="67">
        <f>H762+J762+L762+M762+O762</f>
        <v/>
      </c>
      <c r="Q762" s="70" t="inlineStr">
        <is>
          <t>Excluded: Công ty Gen DNA &amp; Thú y (Mục 5.4)</t>
        </is>
      </c>
      <c r="R762" s="9" t="inlineStr">
        <is>
          <t>Khay vệ sinh chung cư (Indoor Potty) + Thảm cỏ ban công (Grass Patch) + Đồ chơi</t>
        </is>
      </c>
      <c r="S762" s="9" t="inlineStr">
        <is>
          <t>Tuyệt đối không đưa vào CRM (Vi phạm Bộ lọc Âm tính Mục 5)</t>
        </is>
      </c>
    </row>
    <row r="763">
      <c r="A763" s="53" t="n">
        <v>2621</v>
      </c>
      <c r="B763" s="12" t="inlineStr">
        <is>
          <t>Prepared Not Scared with Tanya</t>
        </is>
      </c>
      <c r="C763" s="54" t="inlineStr">
        <is>
          <t>https://www.facebook.com/profile.php?id=61591334337361</t>
        </is>
      </c>
      <c r="D763" s="6" t="inlineStr">
        <is>
          <t>Cần quét Bio Fanpage</t>
        </is>
      </c>
      <c r="E763" s="53" t="inlineStr">
        <is>
          <t>02/10/2026 03:07:38</t>
        </is>
      </c>
      <c r="F763" s="53" t="inlineStr">
        <is>
          <t>1 tuần trước</t>
        </is>
      </c>
      <c r="G763" s="55" t="n">
        <v>7</v>
      </c>
      <c r="H763" s="56" t="n">
        <v>20</v>
      </c>
      <c r="I763" s="6" t="inlineStr">
        <is>
          <t>Pet Owner / Cộng đồng nuôi cún (10đ)</t>
        </is>
      </c>
      <c r="J763" s="56" t="n">
        <v>10</v>
      </c>
      <c r="K763" s="6" t="inlineStr">
        <is>
          <t>Chưa rõ giống (Cần quét Bio)</t>
        </is>
      </c>
      <c r="L763" s="56" t="n">
        <v>0</v>
      </c>
      <c r="M763" s="56" t="n">
        <v>0</v>
      </c>
      <c r="N763" s="6" t="inlineStr">
        <is>
          <t>Amazon link not found</t>
        </is>
      </c>
      <c r="O763" s="56">
        <f>IF(N763="Selling pet toys + Artificial grass/Pet toilets (TARGET)",15,IF(N763="Selling artificial grass/pet toilets (TARGET)",10,IF(N763="Selling pet toys",7,IF(N763="There's an Amazon link, but no target sales.",3,0))))</f>
        <v/>
      </c>
      <c r="P763" s="65">
        <f>H763+J763+L763+M763+O763</f>
        <v/>
      </c>
      <c r="Q763" s="71" t="inlineStr">
        <is>
          <t>Excluded: Trang Chung / Không rõ Ngách Cún cưng</t>
        </is>
      </c>
      <c r="R763" s="6" t="inlineStr">
        <is>
          <t>Khay vệ sinh chung cư (Indoor Potty) + Thảm cỏ ban công (Grass Patch) + Đồ chơi</t>
        </is>
      </c>
      <c r="S763" s="6" t="inlineStr">
        <is>
          <t>Tuyệt đối không đưa vào CRM (Vi phạm Bộ lọc Âm tính Mục 5)</t>
        </is>
      </c>
    </row>
    <row r="764">
      <c r="A764" s="59" t="n">
        <v>1339</v>
      </c>
      <c r="B764" s="15" t="inlineStr">
        <is>
          <t>Farmacia Favia - Calefati 123</t>
        </is>
      </c>
      <c r="C764" s="60" t="inlineStr">
        <is>
          <t>https://www.facebook.com/farmaciafavia</t>
        </is>
      </c>
      <c r="D764" s="9" t="inlineStr">
        <is>
          <t>Cần quét Bio Fanpage</t>
        </is>
      </c>
      <c r="E764" s="59" t="inlineStr">
        <is>
          <t>01/10/2026 19:20:57</t>
        </is>
      </c>
      <c r="F764" s="59" t="inlineStr">
        <is>
          <t>1 tuần trước</t>
        </is>
      </c>
      <c r="G764" s="61" t="n">
        <v>7</v>
      </c>
      <c r="H764" s="62" t="n">
        <v>20</v>
      </c>
      <c r="I764" s="9" t="inlineStr">
        <is>
          <t>Pet Owner / Cộng đồng nuôi cún (10đ)</t>
        </is>
      </c>
      <c r="J764" s="62" t="n">
        <v>10</v>
      </c>
      <c r="K764" s="9" t="inlineStr">
        <is>
          <t>Chưa rõ giống (Cần quét Bio)</t>
        </is>
      </c>
      <c r="L764" s="62" t="n">
        <v>0</v>
      </c>
      <c r="M764" s="62" t="n">
        <v>0</v>
      </c>
      <c r="N764" s="9" t="inlineStr">
        <is>
          <t>Amazon link not found</t>
        </is>
      </c>
      <c r="O764" s="62">
        <f>IF(N764="Selling pet toys + Artificial grass/Pet toilets (TARGET)",15,IF(N764="Selling artificial grass/pet toilets (TARGET)",10,IF(N764="Selling pet toys",7,IF(N764="There's an Amazon link, but no target sales.",3,0))))</f>
        <v/>
      </c>
      <c r="P764" s="67">
        <f>H764+J764+L764+M764+O764</f>
        <v/>
      </c>
      <c r="Q764" s="70" t="inlineStr">
        <is>
          <t>Excluded: Trang Chung / Không rõ Ngách Cún cưng</t>
        </is>
      </c>
      <c r="R764" s="9" t="inlineStr">
        <is>
          <t>Khay vệ sinh chung cư (Indoor Potty) + Thảm cỏ ban công (Grass Patch) + Đồ chơi</t>
        </is>
      </c>
      <c r="S764" s="9" t="inlineStr">
        <is>
          <t>Tuyệt đối không đưa vào CRM (Vi phạm Bộ lọc Âm tính Mục 5)</t>
        </is>
      </c>
    </row>
    <row r="765">
      <c r="A765" s="53" t="n">
        <v>873</v>
      </c>
      <c r="B765" s="12" t="inlineStr">
        <is>
          <t>Centro Veterinario Axarvet</t>
        </is>
      </c>
      <c r="C765" s="54" t="inlineStr">
        <is>
          <t>https://www.facebook.com/centroveterinarioaxarvet</t>
        </is>
      </c>
      <c r="D765" s="6" t="inlineStr">
        <is>
          <t>Cần quét Bio Fanpage</t>
        </is>
      </c>
      <c r="E765" s="53" t="inlineStr">
        <is>
          <t>01/10/2026 14:41:42</t>
        </is>
      </c>
      <c r="F765" s="53" t="inlineStr">
        <is>
          <t>1 tuần trước</t>
        </is>
      </c>
      <c r="G765" s="55" t="n">
        <v>7</v>
      </c>
      <c r="H765" s="56" t="n">
        <v>20</v>
      </c>
      <c r="I765" s="6" t="inlineStr">
        <is>
          <t>Pet Owner / Cộng đồng nuôi cún (10đ)</t>
        </is>
      </c>
      <c r="J765" s="56" t="n">
        <v>10</v>
      </c>
      <c r="K765" s="6" t="inlineStr">
        <is>
          <t>Chưa rõ giống (Cần quét Bio)</t>
        </is>
      </c>
      <c r="L765" s="56" t="n">
        <v>0</v>
      </c>
      <c r="M765" s="56" t="n">
        <v>0</v>
      </c>
      <c r="N765" s="6" t="inlineStr">
        <is>
          <t>Amazon link not found</t>
        </is>
      </c>
      <c r="O765" s="56">
        <f>IF(N765="Selling pet toys + Artificial grass/Pet toilets (TARGET)",15,IF(N765="Selling artificial grass/pet toilets (TARGET)",10,IF(N765="Selling pet toys",7,IF(N765="There's an Amazon link, but no target sales.",3,0))))</f>
        <v/>
      </c>
      <c r="P765" s="65">
        <f>H765+J765+L765+M765+O765</f>
        <v/>
      </c>
      <c r="Q765" s="71" t="inlineStr">
        <is>
          <t>Excluded: Công ty Gen DNA &amp; Thú y (Mục 5.4)</t>
        </is>
      </c>
      <c r="R765" s="6" t="inlineStr">
        <is>
          <t>Khay vệ sinh chung cư (Indoor Potty) + Thảm cỏ ban công (Grass Patch) + Đồ chơi</t>
        </is>
      </c>
      <c r="S765" s="6" t="inlineStr">
        <is>
          <t>Tuyệt đối không đưa vào CRM (Vi phạm Bộ lọc Âm tính Mục 5)</t>
        </is>
      </c>
    </row>
    <row r="766">
      <c r="A766" s="59" t="n">
        <v>3020</v>
      </c>
      <c r="B766" s="15" t="inlineStr">
        <is>
          <t>Sunshine Coast Mobile Vets</t>
        </is>
      </c>
      <c r="C766" s="60" t="inlineStr">
        <is>
          <t>https://www.facebook.com/scmvets</t>
        </is>
      </c>
      <c r="D766" s="9" t="inlineStr">
        <is>
          <t>Cần quét Bio Fanpage</t>
        </is>
      </c>
      <c r="E766" s="59" t="inlineStr">
        <is>
          <t>01/10/2026 11:32:47</t>
        </is>
      </c>
      <c r="F766" s="59" t="inlineStr">
        <is>
          <t>1 tuần trước</t>
        </is>
      </c>
      <c r="G766" s="61" t="n">
        <v>7</v>
      </c>
      <c r="H766" s="62" t="n">
        <v>20</v>
      </c>
      <c r="I766" s="9" t="inlineStr">
        <is>
          <t>Pet Owner / Cộng đồng nuôi cún (10đ)</t>
        </is>
      </c>
      <c r="J766" s="62" t="n">
        <v>10</v>
      </c>
      <c r="K766" s="9" t="inlineStr">
        <is>
          <t>Chưa rõ giống (Cần quét Bio)</t>
        </is>
      </c>
      <c r="L766" s="62" t="n">
        <v>0</v>
      </c>
      <c r="M766" s="62" t="n">
        <v>0</v>
      </c>
      <c r="N766" s="9" t="inlineStr">
        <is>
          <t>Amazon link not found</t>
        </is>
      </c>
      <c r="O766" s="62">
        <f>IF(N766="Selling pet toys + Artificial grass/Pet toilets (TARGET)",15,IF(N766="Selling artificial grass/pet toilets (TARGET)",10,IF(N766="Selling pet toys",7,IF(N766="There's an Amazon link, but no target sales.",3,0))))</f>
        <v/>
      </c>
      <c r="P766" s="67">
        <f>H766+J766+L766+M766+O766</f>
        <v/>
      </c>
      <c r="Q766" s="70" t="inlineStr">
        <is>
          <t>Excluded: Trang Chung / Không rõ Ngách Cún cưng</t>
        </is>
      </c>
      <c r="R766" s="9" t="inlineStr">
        <is>
          <t>Khay vệ sinh chung cư (Indoor Potty) + Thảm cỏ ban công (Grass Patch) + Đồ chơi</t>
        </is>
      </c>
      <c r="S766" s="9" t="inlineStr">
        <is>
          <t>Tuyệt đối không đưa vào CRM (Vi phạm Bộ lọc Âm tính Mục 5)</t>
        </is>
      </c>
    </row>
    <row r="767">
      <c r="A767" s="53" t="n">
        <v>1246</v>
      </c>
      <c r="B767" s="12" t="inlineStr">
        <is>
          <t>Duke St Vet</t>
        </is>
      </c>
      <c r="C767" s="54" t="inlineStr">
        <is>
          <t>https://www.facebook.com/Bentstreetvet</t>
        </is>
      </c>
      <c r="D767" s="6" t="inlineStr">
        <is>
          <t>Cần quét Bio Fanpage</t>
        </is>
      </c>
      <c r="E767" s="53" t="inlineStr">
        <is>
          <t>01/10/2026 06:59:22</t>
        </is>
      </c>
      <c r="F767" s="53" t="inlineStr">
        <is>
          <t>1 tuần trước</t>
        </is>
      </c>
      <c r="G767" s="55" t="n">
        <v>7</v>
      </c>
      <c r="H767" s="56" t="n">
        <v>20</v>
      </c>
      <c r="I767" s="6" t="inlineStr">
        <is>
          <t>Pet Owner / Cộng đồng nuôi cún (10đ)</t>
        </is>
      </c>
      <c r="J767" s="56" t="n">
        <v>10</v>
      </c>
      <c r="K767" s="6" t="inlineStr">
        <is>
          <t>Chưa rõ giống (Cần quét Bio)</t>
        </is>
      </c>
      <c r="L767" s="56" t="n">
        <v>0</v>
      </c>
      <c r="M767" s="56" t="n">
        <v>0</v>
      </c>
      <c r="N767" s="6" t="inlineStr">
        <is>
          <t>Amazon link not found</t>
        </is>
      </c>
      <c r="O767" s="56">
        <f>IF(N767="Selling pet toys + Artificial grass/Pet toilets (TARGET)",15,IF(N767="Selling artificial grass/pet toilets (TARGET)",10,IF(N767="Selling pet toys",7,IF(N767="There's an Amazon link, but no target sales.",3,0))))</f>
        <v/>
      </c>
      <c r="P767" s="65">
        <f>H767+J767+L767+M767+O767</f>
        <v/>
      </c>
      <c r="Q767" s="71" t="inlineStr">
        <is>
          <t>Excluded: Trang Chung / Không rõ Ngách Cún cưng</t>
        </is>
      </c>
      <c r="R767" s="6" t="inlineStr">
        <is>
          <t>Khay vệ sinh chung cư (Indoor Potty) + Thảm cỏ ban công (Grass Patch) + Đồ chơi</t>
        </is>
      </c>
      <c r="S767" s="6" t="inlineStr">
        <is>
          <t>Tuyệt đối không đưa vào CRM (Vi phạm Bộ lọc Âm tính Mục 5)</t>
        </is>
      </c>
    </row>
    <row r="768">
      <c r="A768" s="59" t="n">
        <v>2606</v>
      </c>
      <c r="B768" s="15" t="inlineStr">
        <is>
          <t>Facebook User</t>
        </is>
      </c>
      <c r="C768" s="60" t="inlineStr">
        <is>
          <t>https://www.facebook.com/profile.php?id=100089576508254</t>
        </is>
      </c>
      <c r="D768" s="9" t="inlineStr">
        <is>
          <t>Cần quét Bio Fanpage</t>
        </is>
      </c>
      <c r="E768" s="59" t="inlineStr">
        <is>
          <t>01/10/2026 02:53:11</t>
        </is>
      </c>
      <c r="F768" s="59" t="inlineStr">
        <is>
          <t>1 tuần trước</t>
        </is>
      </c>
      <c r="G768" s="61" t="n">
        <v>7</v>
      </c>
      <c r="H768" s="62" t="n">
        <v>20</v>
      </c>
      <c r="I768" s="9" t="inlineStr">
        <is>
          <t>Pet Owner / Cộng đồng nuôi cún (10đ)</t>
        </is>
      </c>
      <c r="J768" s="62" t="n">
        <v>10</v>
      </c>
      <c r="K768" s="9" t="inlineStr">
        <is>
          <t>Chưa rõ giống (Cần quét Bio)</t>
        </is>
      </c>
      <c r="L768" s="62" t="n">
        <v>0</v>
      </c>
      <c r="M768" s="62" t="n">
        <v>0</v>
      </c>
      <c r="N768" s="9" t="inlineStr">
        <is>
          <t>Amazon link not found</t>
        </is>
      </c>
      <c r="O768" s="62">
        <f>IF(N768="Selling pet toys + Artificial grass/Pet toilets (TARGET)",15,IF(N768="Selling artificial grass/pet toilets (TARGET)",10,IF(N768="Selling pet toys",7,IF(N768="There's an Amazon link, but no target sales.",3,0))))</f>
        <v/>
      </c>
      <c r="P768" s="67">
        <f>H768+J768+L768+M768+O768</f>
        <v/>
      </c>
      <c r="Q768" s="70" t="inlineStr">
        <is>
          <t>Excluded: Hồ sơ Ẩn danh (Facebook User)</t>
        </is>
      </c>
      <c r="R768" s="9" t="inlineStr">
        <is>
          <t>Khay vệ sinh chung cư (Indoor Potty) + Thảm cỏ ban công (Grass Patch) + Đồ chơi</t>
        </is>
      </c>
      <c r="S768" s="9" t="inlineStr">
        <is>
          <t>Tuyệt đối không đưa vào CRM (Vi phạm Bộ lọc Âm tính Mục 5)</t>
        </is>
      </c>
    </row>
    <row r="769">
      <c r="A769" s="53" t="n">
        <v>2313</v>
      </c>
      <c r="B769" s="12" t="inlineStr">
        <is>
          <t>North Pole Veterinary Hospital</t>
        </is>
      </c>
      <c r="C769" s="54" t="inlineStr">
        <is>
          <t>https://www.facebook.com/profile.php?id=100063646778136</t>
        </is>
      </c>
      <c r="D769" s="6" t="inlineStr">
        <is>
          <t>Cần quét Bio Fanpage</t>
        </is>
      </c>
      <c r="E769" s="53" t="inlineStr">
        <is>
          <t>01/10/2026 00:46:51</t>
        </is>
      </c>
      <c r="F769" s="53" t="inlineStr">
        <is>
          <t>1 tuần trước</t>
        </is>
      </c>
      <c r="G769" s="55" t="n">
        <v>7</v>
      </c>
      <c r="H769" s="56" t="n">
        <v>20</v>
      </c>
      <c r="I769" s="6" t="inlineStr">
        <is>
          <t>Pet Owner / Cộng đồng nuôi cún (10đ)</t>
        </is>
      </c>
      <c r="J769" s="56" t="n">
        <v>10</v>
      </c>
      <c r="K769" s="6" t="inlineStr">
        <is>
          <t>Chưa rõ giống (Cần quét Bio)</t>
        </is>
      </c>
      <c r="L769" s="56" t="n">
        <v>0</v>
      </c>
      <c r="M769" s="56" t="n">
        <v>0</v>
      </c>
      <c r="N769" s="6" t="inlineStr">
        <is>
          <t>Amazon link not found</t>
        </is>
      </c>
      <c r="O769" s="56">
        <f>IF(N769="Selling pet toys + Artificial grass/Pet toilets (TARGET)",15,IF(N769="Selling artificial grass/pet toilets (TARGET)",10,IF(N769="Selling pet toys",7,IF(N769="There's an Amazon link, but no target sales.",3,0))))</f>
        <v/>
      </c>
      <c r="P769" s="65">
        <f>H769+J769+L769+M769+O769</f>
        <v/>
      </c>
      <c r="Q769" s="71" t="inlineStr">
        <is>
          <t>Excluded: Công ty Gen DNA &amp; Thú y (Mục 5.4)</t>
        </is>
      </c>
      <c r="R769" s="6" t="inlineStr">
        <is>
          <t>Khay vệ sinh chung cư (Indoor Potty) + Thảm cỏ ban công (Grass Patch) + Đồ chơi</t>
        </is>
      </c>
      <c r="S769" s="6" t="inlineStr">
        <is>
          <t>Tuyệt đối không đưa vào CRM (Vi phạm Bộ lọc Âm tính Mục 5)</t>
        </is>
      </c>
    </row>
    <row r="770">
      <c r="A770" s="59" t="n">
        <v>749</v>
      </c>
      <c r="B770" s="15" t="inlineStr">
        <is>
          <t>Bradshaw - Sporting Dog Veterinarian</t>
        </is>
      </c>
      <c r="C770" s="60" t="inlineStr">
        <is>
          <t>https://www.facebook.com/bradshawdvm</t>
        </is>
      </c>
      <c r="D770" s="9" t="inlineStr">
        <is>
          <t>Cần quét Bio Fanpage</t>
        </is>
      </c>
      <c r="E770" s="59" t="inlineStr">
        <is>
          <t>30/09/2026 19:47:02</t>
        </is>
      </c>
      <c r="F770" s="59" t="inlineStr">
        <is>
          <t>1 tuần trước</t>
        </is>
      </c>
      <c r="G770" s="61" t="n">
        <v>7</v>
      </c>
      <c r="H770" s="62" t="n">
        <v>20</v>
      </c>
      <c r="I770" s="9" t="inlineStr">
        <is>
          <t>Pet Owner / Cộng đồng nuôi cún (10đ)</t>
        </is>
      </c>
      <c r="J770" s="62" t="n">
        <v>10</v>
      </c>
      <c r="K770" s="9" t="inlineStr">
        <is>
          <t>Chưa rõ giống (Cần quét Bio)</t>
        </is>
      </c>
      <c r="L770" s="62" t="n">
        <v>0</v>
      </c>
      <c r="M770" s="62" t="n">
        <v>0</v>
      </c>
      <c r="N770" s="9" t="inlineStr">
        <is>
          <t>Amazon link not found</t>
        </is>
      </c>
      <c r="O770" s="62">
        <f>IF(N770="Selling pet toys + Artificial grass/Pet toilets (TARGET)",15,IF(N770="Selling artificial grass/pet toilets (TARGET)",10,IF(N770="Selling pet toys",7,IF(N770="There's an Amazon link, but no target sales.",3,0))))</f>
        <v/>
      </c>
      <c r="P770" s="67">
        <f>H770+J770+L770+M770+O770</f>
        <v/>
      </c>
      <c r="Q770" s="70" t="inlineStr">
        <is>
          <t>Excluded: Công ty Gen DNA &amp; Thú y (Mục 5.4)</t>
        </is>
      </c>
      <c r="R770" s="9" t="inlineStr">
        <is>
          <t>Khay vệ sinh chung cư (Indoor Potty) + Thảm cỏ ban công (Grass Patch) + Đồ chơi</t>
        </is>
      </c>
      <c r="S770" s="9" t="inlineStr">
        <is>
          <t>Tuyệt đối không đưa vào CRM (Vi phạm Bộ lọc Âm tính Mục 5)</t>
        </is>
      </c>
    </row>
    <row r="771">
      <c r="A771" s="53" t="n">
        <v>801</v>
      </c>
      <c r="B771" s="12" t="inlineStr">
        <is>
          <t>Byland Animal Hospital</t>
        </is>
      </c>
      <c r="C771" s="54" t="inlineStr">
        <is>
          <t>https://www.facebook.com/profile.php?id=100063821372470</t>
        </is>
      </c>
      <c r="D771" s="6" t="inlineStr">
        <is>
          <t>Cần quét Bio Fanpage</t>
        </is>
      </c>
      <c r="E771" s="53" t="inlineStr">
        <is>
          <t>30/09/2026 19:13:31</t>
        </is>
      </c>
      <c r="F771" s="53" t="inlineStr">
        <is>
          <t>1 tuần trước</t>
        </is>
      </c>
      <c r="G771" s="55" t="n">
        <v>7</v>
      </c>
      <c r="H771" s="56" t="n">
        <v>20</v>
      </c>
      <c r="I771" s="6" t="inlineStr">
        <is>
          <t>Pet Owner / Cộng đồng nuôi cún (10đ)</t>
        </is>
      </c>
      <c r="J771" s="56" t="n">
        <v>10</v>
      </c>
      <c r="K771" s="6" t="inlineStr">
        <is>
          <t>Chưa rõ giống (Cần quét Bio)</t>
        </is>
      </c>
      <c r="L771" s="56" t="n">
        <v>0</v>
      </c>
      <c r="M771" s="56" t="n">
        <v>0</v>
      </c>
      <c r="N771" s="6" t="inlineStr">
        <is>
          <t>Amazon link not found</t>
        </is>
      </c>
      <c r="O771" s="56">
        <f>IF(N771="Selling pet toys + Artificial grass/Pet toilets (TARGET)",15,IF(N771="Selling artificial grass/pet toilets (TARGET)",10,IF(N771="Selling pet toys",7,IF(N771="There's an Amazon link, but no target sales.",3,0))))</f>
        <v/>
      </c>
      <c r="P771" s="65">
        <f>H771+J771+L771+M771+O771</f>
        <v/>
      </c>
      <c r="Q771" s="71" t="inlineStr">
        <is>
          <t>Excluded: Công ty Gen DNA &amp; Thú y (Mục 5.4)</t>
        </is>
      </c>
      <c r="R771" s="6" t="inlineStr">
        <is>
          <t>Khay vệ sinh chung cư (Indoor Potty) + Thảm cỏ ban công (Grass Patch) + Đồ chơi</t>
        </is>
      </c>
      <c r="S771" s="6" t="inlineStr">
        <is>
          <t>Tuyệt đối không đưa vào CRM (Vi phạm Bộ lọc Âm tính Mục 5)</t>
        </is>
      </c>
    </row>
    <row r="772">
      <c r="A772" s="59" t="n">
        <v>588</v>
      </c>
      <c r="B772" s="15" t="inlineStr">
        <is>
          <t>Barakaldo Tienda Veterinaria</t>
        </is>
      </c>
      <c r="C772" s="60" t="inlineStr">
        <is>
          <t>https://www.facebook.com/barakaldotiendaveterinaria</t>
        </is>
      </c>
      <c r="D772" s="9" t="inlineStr">
        <is>
          <t>Cần quét Bio Fanpage</t>
        </is>
      </c>
      <c r="E772" s="59" t="inlineStr">
        <is>
          <t>30/09/2026 17:03:51</t>
        </is>
      </c>
      <c r="F772" s="59" t="inlineStr">
        <is>
          <t>1 tuần trước</t>
        </is>
      </c>
      <c r="G772" s="61" t="n">
        <v>7</v>
      </c>
      <c r="H772" s="62" t="n">
        <v>20</v>
      </c>
      <c r="I772" s="9" t="inlineStr">
        <is>
          <t>Pet Owner / Cộng đồng nuôi cún (10đ)</t>
        </is>
      </c>
      <c r="J772" s="62" t="n">
        <v>10</v>
      </c>
      <c r="K772" s="9" t="inlineStr">
        <is>
          <t>Chưa rõ giống (Cần quét Bio)</t>
        </is>
      </c>
      <c r="L772" s="62" t="n">
        <v>0</v>
      </c>
      <c r="M772" s="62" t="n">
        <v>0</v>
      </c>
      <c r="N772" s="9" t="inlineStr">
        <is>
          <t>Amazon link not found</t>
        </is>
      </c>
      <c r="O772" s="62">
        <f>IF(N772="Selling pet toys + Artificial grass/Pet toilets (TARGET)",15,IF(N772="Selling artificial grass/pet toilets (TARGET)",10,IF(N772="Selling pet toys",7,IF(N772="There's an Amazon link, but no target sales.",3,0))))</f>
        <v/>
      </c>
      <c r="P772" s="67">
        <f>H772+J772+L772+M772+O772</f>
        <v/>
      </c>
      <c r="Q772" s="70" t="inlineStr">
        <is>
          <t>Excluded: Công ty Gen DNA &amp; Thú y (Mục 5.4)</t>
        </is>
      </c>
      <c r="R772" s="9" t="inlineStr">
        <is>
          <t>Khay vệ sinh chung cư (Indoor Potty) + Thảm cỏ ban công (Grass Patch) + Đồ chơi</t>
        </is>
      </c>
      <c r="S772" s="9" t="inlineStr">
        <is>
          <t>Tuyệt đối không đưa vào CRM (Vi phạm Bộ lọc Âm tính Mục 5)</t>
        </is>
      </c>
    </row>
    <row r="773">
      <c r="A773" s="53" t="n">
        <v>486</v>
      </c>
      <c r="B773" s="12" t="inlineStr">
        <is>
          <t>Animales perdidos y encontrados Valladolid</t>
        </is>
      </c>
      <c r="C773" s="54" t="inlineStr">
        <is>
          <t>https://www.facebook.com/profile.php?id=61560148902031</t>
        </is>
      </c>
      <c r="D773" s="6" t="inlineStr">
        <is>
          <t>Cần quét Bio Fanpage</t>
        </is>
      </c>
      <c r="E773" s="53" t="inlineStr">
        <is>
          <t>30/09/2026 04:40:46</t>
        </is>
      </c>
      <c r="F773" s="53" t="inlineStr">
        <is>
          <t>1 tuần trước</t>
        </is>
      </c>
      <c r="G773" s="55" t="n">
        <v>7</v>
      </c>
      <c r="H773" s="56" t="n">
        <v>20</v>
      </c>
      <c r="I773" s="6" t="inlineStr">
        <is>
          <t>Pet Owner / Cộng đồng nuôi cún (10đ)</t>
        </is>
      </c>
      <c r="J773" s="56" t="n">
        <v>10</v>
      </c>
      <c r="K773" s="6" t="inlineStr">
        <is>
          <t>Chưa rõ giống (Cần quét Bio)</t>
        </is>
      </c>
      <c r="L773" s="56" t="n">
        <v>0</v>
      </c>
      <c r="M773" s="56" t="n">
        <v>0</v>
      </c>
      <c r="N773" s="6" t="inlineStr">
        <is>
          <t>Amazon link not found</t>
        </is>
      </c>
      <c r="O773" s="56">
        <f>IF(N773="Selling pet toys + Artificial grass/Pet toilets (TARGET)",15,IF(N773="Selling artificial grass/pet toilets (TARGET)",10,IF(N773="Selling pet toys",7,IF(N773="There's an Amazon link, but no target sales.",3,0))))</f>
        <v/>
      </c>
      <c r="P773" s="65">
        <f>H773+J773+L773+M773+O773</f>
        <v/>
      </c>
      <c r="Q773" s="71" t="inlineStr">
        <is>
          <t>Excluded: Trang Chung / Không rõ Ngách Cún cưng</t>
        </is>
      </c>
      <c r="R773" s="6" t="inlineStr">
        <is>
          <t>Khay vệ sinh chung cư (Indoor Potty) + Thảm cỏ ban công (Grass Patch) + Đồ chơi</t>
        </is>
      </c>
      <c r="S773" s="6" t="inlineStr">
        <is>
          <t>Tuyệt đối không đưa vào CRM (Vi phạm Bộ lọc Âm tính Mục 5)</t>
        </is>
      </c>
    </row>
    <row r="774">
      <c r="A774" s="59" t="n">
        <v>2641</v>
      </c>
      <c r="B774" s="15" t="inlineStr">
        <is>
          <t>Protectora de Animales de Baeza. Al-Bayyasa</t>
        </is>
      </c>
      <c r="C774" s="60" t="inlineStr">
        <is>
          <t>https://www.facebook.com/protectorabaeza</t>
        </is>
      </c>
      <c r="D774" s="9" t="inlineStr">
        <is>
          <t>Cần quét Bio Fanpage</t>
        </is>
      </c>
      <c r="E774" s="59" t="inlineStr">
        <is>
          <t>30/09/2026 03:36:00</t>
        </is>
      </c>
      <c r="F774" s="59" t="inlineStr">
        <is>
          <t>1 tuần trước</t>
        </is>
      </c>
      <c r="G774" s="61" t="n">
        <v>7</v>
      </c>
      <c r="H774" s="62" t="n">
        <v>20</v>
      </c>
      <c r="I774" s="9" t="inlineStr">
        <is>
          <t>Pet Owner / Cộng đồng nuôi cún (10đ)</t>
        </is>
      </c>
      <c r="J774" s="62" t="n">
        <v>10</v>
      </c>
      <c r="K774" s="9" t="inlineStr">
        <is>
          <t>Chưa rõ giống (Cần quét Bio)</t>
        </is>
      </c>
      <c r="L774" s="62" t="n">
        <v>0</v>
      </c>
      <c r="M774" s="62" t="n">
        <v>0</v>
      </c>
      <c r="N774" s="9" t="inlineStr">
        <is>
          <t>Amazon link not found</t>
        </is>
      </c>
      <c r="O774" s="62">
        <f>IF(N774="Selling pet toys + Artificial grass/Pet toilets (TARGET)",15,IF(N774="Selling artificial grass/pet toilets (TARGET)",10,IF(N774="Selling pet toys",7,IF(N774="There's an Amazon link, but no target sales.",3,0))))</f>
        <v/>
      </c>
      <c r="P774" s="67">
        <f>H774+J774+L774+M774+O774</f>
        <v/>
      </c>
      <c r="Q774" s="70" t="inlineStr">
        <is>
          <t>Excluded: Trang Chung / Không rõ Ngách Cún cưng</t>
        </is>
      </c>
      <c r="R774" s="9" t="inlineStr">
        <is>
          <t>Khay vệ sinh chung cư (Indoor Potty) + Thảm cỏ ban công (Grass Patch) + Đồ chơi</t>
        </is>
      </c>
      <c r="S774" s="9" t="inlineStr">
        <is>
          <t>Tuyệt đối không đưa vào CRM (Vi phạm Bộ lọc Âm tính Mục 5)</t>
        </is>
      </c>
    </row>
    <row r="775">
      <c r="A775" s="53" t="n">
        <v>3062</v>
      </c>
      <c r="B775" s="12" t="inlineStr">
        <is>
          <t>Tarrytown Vet</t>
        </is>
      </c>
      <c r="C775" s="54" t="inlineStr">
        <is>
          <t>https://www.facebook.com/profile.php?id=61581259141821</t>
        </is>
      </c>
      <c r="D775" s="6" t="inlineStr">
        <is>
          <t>Cần quét Bio Fanpage</t>
        </is>
      </c>
      <c r="E775" s="53" t="inlineStr">
        <is>
          <t>30/09/2026 02:35:41</t>
        </is>
      </c>
      <c r="F775" s="53" t="inlineStr">
        <is>
          <t>1 tuần trước</t>
        </is>
      </c>
      <c r="G775" s="55" t="n">
        <v>7</v>
      </c>
      <c r="H775" s="56" t="n">
        <v>20</v>
      </c>
      <c r="I775" s="6" t="inlineStr">
        <is>
          <t>Pet Owner / Cộng đồng nuôi cún (10đ)</t>
        </is>
      </c>
      <c r="J775" s="56" t="n">
        <v>10</v>
      </c>
      <c r="K775" s="6" t="inlineStr">
        <is>
          <t>Chưa rõ giống (Cần quét Bio)</t>
        </is>
      </c>
      <c r="L775" s="56" t="n">
        <v>0</v>
      </c>
      <c r="M775" s="56" t="n">
        <v>0</v>
      </c>
      <c r="N775" s="6" t="inlineStr">
        <is>
          <t>Amazon link not found</t>
        </is>
      </c>
      <c r="O775" s="56">
        <f>IF(N775="Selling pet toys + Artificial grass/Pet toilets (TARGET)",15,IF(N775="Selling artificial grass/pet toilets (TARGET)",10,IF(N775="Selling pet toys",7,IF(N775="There's an Amazon link, but no target sales.",3,0))))</f>
        <v/>
      </c>
      <c r="P775" s="65">
        <f>H775+J775+L775+M775+O775</f>
        <v/>
      </c>
      <c r="Q775" s="71" t="inlineStr">
        <is>
          <t>Excluded: Trang Chung / Không rõ Ngách Cún cưng</t>
        </is>
      </c>
      <c r="R775" s="6" t="inlineStr">
        <is>
          <t>Khay vệ sinh chung cư (Indoor Potty) + Thảm cỏ ban công (Grass Patch) + Đồ chơi</t>
        </is>
      </c>
      <c r="S775" s="6" t="inlineStr">
        <is>
          <t>Tuyệt đối không đưa vào CRM (Vi phạm Bộ lọc Âm tính Mục 5)</t>
        </is>
      </c>
    </row>
    <row r="776">
      <c r="A776" s="59" t="n">
        <v>912</v>
      </c>
      <c r="B776" s="15" t="inlineStr">
        <is>
          <t>Clinique Vétérinaire Ophtavet</t>
        </is>
      </c>
      <c r="C776" s="60" t="inlineStr">
        <is>
          <t>https://www.facebook.com/Ophtavet</t>
        </is>
      </c>
      <c r="D776" s="9" t="inlineStr">
        <is>
          <t>Cần quét Bio Fanpage</t>
        </is>
      </c>
      <c r="E776" s="59" t="inlineStr">
        <is>
          <t>29/09/2026 19:36:16</t>
        </is>
      </c>
      <c r="F776" s="59" t="inlineStr">
        <is>
          <t>1 tuần trước</t>
        </is>
      </c>
      <c r="G776" s="61" t="n">
        <v>7</v>
      </c>
      <c r="H776" s="62" t="n">
        <v>20</v>
      </c>
      <c r="I776" s="9" t="inlineStr">
        <is>
          <t>Pet Owner / Cộng đồng nuôi cún (10đ)</t>
        </is>
      </c>
      <c r="J776" s="62" t="n">
        <v>10</v>
      </c>
      <c r="K776" s="9" t="inlineStr">
        <is>
          <t>Chưa rõ giống (Cần quét Bio)</t>
        </is>
      </c>
      <c r="L776" s="62" t="n">
        <v>0</v>
      </c>
      <c r="M776" s="62" t="n">
        <v>0</v>
      </c>
      <c r="N776" s="9" t="inlineStr">
        <is>
          <t>Amazon link not found</t>
        </is>
      </c>
      <c r="O776" s="62">
        <f>IF(N776="Selling pet toys + Artificial grass/Pet toilets (TARGET)",15,IF(N776="Selling artificial grass/pet toilets (TARGET)",10,IF(N776="Selling pet toys",7,IF(N776="There's an Amazon link, but no target sales.",3,0))))</f>
        <v/>
      </c>
      <c r="P776" s="67">
        <f>H776+J776+L776+M776+O776</f>
        <v/>
      </c>
      <c r="Q776" s="70" t="inlineStr">
        <is>
          <t>Excluded: Trang Chung / Không rõ Ngách Cún cưng</t>
        </is>
      </c>
      <c r="R776" s="9" t="inlineStr">
        <is>
          <t>Khay vệ sinh chung cư (Indoor Potty) + Thảm cỏ ban công (Grass Patch) + Đồ chơi</t>
        </is>
      </c>
      <c r="S776" s="9" t="inlineStr">
        <is>
          <t>Tuyệt đối không đưa vào CRM (Vi phạm Bộ lọc Âm tính Mục 5)</t>
        </is>
      </c>
    </row>
    <row r="777">
      <c r="A777" s="53" t="n">
        <v>2011</v>
      </c>
      <c r="B777" s="12" t="inlineStr">
        <is>
          <t>Lewis and Clark Veterinary Clinic</t>
        </is>
      </c>
      <c r="C777" s="54" t="inlineStr">
        <is>
          <t>https://www.facebook.com/lewisandclarkvet</t>
        </is>
      </c>
      <c r="D777" s="6" t="inlineStr">
        <is>
          <t>Cần quét Bio Fanpage</t>
        </is>
      </c>
      <c r="E777" s="53" t="inlineStr">
        <is>
          <t>29/09/2026 19:02:12</t>
        </is>
      </c>
      <c r="F777" s="53" t="inlineStr">
        <is>
          <t>1 tuần trước</t>
        </is>
      </c>
      <c r="G777" s="55" t="n">
        <v>7</v>
      </c>
      <c r="H777" s="56" t="n">
        <v>20</v>
      </c>
      <c r="I777" s="6" t="inlineStr">
        <is>
          <t>Pet Owner / Cộng đồng nuôi cún (10đ)</t>
        </is>
      </c>
      <c r="J777" s="56" t="n">
        <v>10</v>
      </c>
      <c r="K777" s="6" t="inlineStr">
        <is>
          <t>Chưa rõ giống (Cần quét Bio)</t>
        </is>
      </c>
      <c r="L777" s="56" t="n">
        <v>0</v>
      </c>
      <c r="M777" s="56" t="n">
        <v>0</v>
      </c>
      <c r="N777" s="6" t="inlineStr">
        <is>
          <t>Amazon link not found</t>
        </is>
      </c>
      <c r="O777" s="56">
        <f>IF(N777="Selling pet toys + Artificial grass/Pet toilets (TARGET)",15,IF(N777="Selling artificial grass/pet toilets (TARGET)",10,IF(N777="Selling pet toys",7,IF(N777="There's an Amazon link, but no target sales.",3,0))))</f>
        <v/>
      </c>
      <c r="P777" s="65">
        <f>H777+J777+L777+M777+O777</f>
        <v/>
      </c>
      <c r="Q777" s="71" t="inlineStr">
        <is>
          <t>Excluded: Công ty Gen DNA &amp; Thú y (Mục 5.4)</t>
        </is>
      </c>
      <c r="R777" s="6" t="inlineStr">
        <is>
          <t>Khay vệ sinh chung cư (Indoor Potty) + Thảm cỏ ban công (Grass Patch) + Đồ chơi</t>
        </is>
      </c>
      <c r="S777" s="6" t="inlineStr">
        <is>
          <t>Tuyệt đối không đưa vào CRM (Vi phạm Bộ lọc Âm tính Mục 5)</t>
        </is>
      </c>
    </row>
    <row r="778">
      <c r="A778" s="59" t="n">
        <v>3037</v>
      </c>
      <c r="B778" s="15" t="inlineStr">
        <is>
          <t>Svetomir Djurdjevic</t>
        </is>
      </c>
      <c r="C778" s="60" t="inlineStr">
        <is>
          <t>https://www.facebook.com/svetomirdj</t>
        </is>
      </c>
      <c r="D778" s="9" t="inlineStr">
        <is>
          <t>Cần quét Bio Fanpage</t>
        </is>
      </c>
      <c r="E778" s="59" t="inlineStr">
        <is>
          <t>29/09/2026 18:33:35</t>
        </is>
      </c>
      <c r="F778" s="59" t="inlineStr">
        <is>
          <t>1 tuần trước</t>
        </is>
      </c>
      <c r="G778" s="61" t="n">
        <v>7</v>
      </c>
      <c r="H778" s="62" t="n">
        <v>20</v>
      </c>
      <c r="I778" s="9" t="inlineStr">
        <is>
          <t>Pet Owner / Cộng đồng nuôi cún (10đ)</t>
        </is>
      </c>
      <c r="J778" s="62" t="n">
        <v>10</v>
      </c>
      <c r="K778" s="9" t="inlineStr">
        <is>
          <t>Chưa rõ giống (Cần quét Bio)</t>
        </is>
      </c>
      <c r="L778" s="62" t="n">
        <v>0</v>
      </c>
      <c r="M778" s="62" t="n">
        <v>0</v>
      </c>
      <c r="N778" s="9" t="inlineStr">
        <is>
          <t>Amazon link not found</t>
        </is>
      </c>
      <c r="O778" s="62">
        <f>IF(N778="Selling pet toys + Artificial grass/Pet toilets (TARGET)",15,IF(N778="Selling artificial grass/pet toilets (TARGET)",10,IF(N778="Selling pet toys",7,IF(N778="There's an Amazon link, but no target sales.",3,0))))</f>
        <v/>
      </c>
      <c r="P778" s="67">
        <f>H778+J778+L778+M778+O778</f>
        <v/>
      </c>
      <c r="Q778" s="70" t="inlineStr">
        <is>
          <t>Excluded: Trang Chung / Không rõ Ngách Cún cưng</t>
        </is>
      </c>
      <c r="R778" s="9" t="inlineStr">
        <is>
          <t>Khay vệ sinh chung cư (Indoor Potty) + Thảm cỏ ban công (Grass Patch) + Đồ chơi</t>
        </is>
      </c>
      <c r="S778" s="9" t="inlineStr">
        <is>
          <t>Tuyệt đối không đưa vào CRM (Vi phạm Bộ lọc Âm tính Mục 5)</t>
        </is>
      </c>
    </row>
    <row r="779">
      <c r="A779" s="53" t="n">
        <v>949</v>
      </c>
      <c r="B779" s="12" t="inlineStr">
        <is>
          <t>Countryside Veterinary Services</t>
        </is>
      </c>
      <c r="C779" s="54" t="inlineStr">
        <is>
          <t>https://www.facebook.com/countrysidevetservices</t>
        </is>
      </c>
      <c r="D779" s="6" t="inlineStr">
        <is>
          <t>Cần quét Bio Fanpage</t>
        </is>
      </c>
      <c r="E779" s="53" t="inlineStr">
        <is>
          <t>24/09/2026 04:18:19</t>
        </is>
      </c>
      <c r="F779" s="53" t="inlineStr">
        <is>
          <t>2 tuần trước</t>
        </is>
      </c>
      <c r="G779" s="55" t="n">
        <v>14</v>
      </c>
      <c r="H779" s="56" t="n">
        <v>15</v>
      </c>
      <c r="I779" s="6" t="inlineStr">
        <is>
          <t>Pet Owner / Cộng đồng nuôi cún (10đ)</t>
        </is>
      </c>
      <c r="J779" s="56" t="n">
        <v>10</v>
      </c>
      <c r="K779" s="6" t="inlineStr">
        <is>
          <t>Chưa rõ giống (Cần quét Bio)</t>
        </is>
      </c>
      <c r="L779" s="56" t="n">
        <v>0</v>
      </c>
      <c r="M779" s="56" t="n">
        <v>5</v>
      </c>
      <c r="N779" s="6" t="inlineStr">
        <is>
          <t>Amazon link not found</t>
        </is>
      </c>
      <c r="O779" s="56">
        <f>IF(N779="Selling pet toys + Artificial grass/Pet toilets (TARGET)",15,IF(N779="Selling artificial grass/pet toilets (TARGET)",10,IF(N779="Selling pet toys",7,IF(N779="There's an Amazon link, but no target sales.",3,0))))</f>
        <v/>
      </c>
      <c r="P779" s="65">
        <f>H779+J779+L779+M779+O779</f>
        <v/>
      </c>
      <c r="Q779" s="71" t="inlineStr">
        <is>
          <t>Excluded: Công ty Gen DNA &amp; Thú y (Mục 5.4)</t>
        </is>
      </c>
      <c r="R779" s="6" t="inlineStr">
        <is>
          <t>Khay vệ sinh chung cư (Indoor Potty) + Thảm cỏ ban công (Grass Patch) + Đồ chơi</t>
        </is>
      </c>
      <c r="S779" s="6" t="inlineStr">
        <is>
          <t>Tuyệt đối không đưa vào CRM (Vi phạm Bộ lọc Âm tính Mục 5)</t>
        </is>
      </c>
    </row>
    <row r="780">
      <c r="A780" s="59" t="n">
        <v>38</v>
      </c>
      <c r="B780" s="15" t="inlineStr">
        <is>
          <t>Dogs of Instagram</t>
        </is>
      </c>
      <c r="C780" s="60" t="inlineStr">
        <is>
          <t>https://www.facebook.com/dogsofinstagram</t>
        </is>
      </c>
      <c r="D780" s="9" t="inlineStr">
        <is>
          <t>Cần quét Bio Fanpage</t>
        </is>
      </c>
      <c r="E780" s="59" t="inlineStr">
        <is>
          <t>12/06/2025 21:40:05</t>
        </is>
      </c>
      <c r="F780" s="59" t="inlineStr">
        <is>
          <t>1 năm trước</t>
        </is>
      </c>
      <c r="G780" s="61" t="n">
        <v>365</v>
      </c>
      <c r="H780" s="62" t="n">
        <v>0</v>
      </c>
      <c r="I780" s="9" t="inlineStr">
        <is>
          <t>Dog Breeder / Trại chó chuyên nghiệp (28-30đ)</t>
        </is>
      </c>
      <c r="J780" s="62" t="n">
        <v>28</v>
      </c>
      <c r="K780" s="9" t="inlineStr">
        <is>
          <t>Chưa rõ giống (Cần quét Bio)</t>
        </is>
      </c>
      <c r="L780" s="62" t="n">
        <v>0</v>
      </c>
      <c r="M780" s="62" t="n">
        <v>0</v>
      </c>
      <c r="N780" s="9" t="inlineStr">
        <is>
          <t>Amazon link not found</t>
        </is>
      </c>
      <c r="O780" s="62">
        <f>IF(N780="Selling pet toys + Artificial grass/Pet toilets (TARGET)",15,IF(N780="Selling artificial grass/pet toilets (TARGET)",10,IF(N780="Selling pet toys",7,IF(N780="There's an Amazon link, but no target sales.",3,0))))</f>
        <v/>
      </c>
      <c r="P780" s="67">
        <f>H780+J780+L780+M780+O780</f>
        <v/>
      </c>
      <c r="Q780" s="70" t="inlineStr">
        <is>
          <t>Excluded: Kênh Tin tức, Tạp chí &amp; Giải trí (Mục 5.3)</t>
        </is>
      </c>
      <c r="R780" s="9" t="inlineStr">
        <is>
          <t>Trọn gói Take-Home Starter Kit V2/V3 (Cỏ nhân tạo + Khay Potty + Đồ chơi Teething/Snuggle)</t>
        </is>
      </c>
      <c r="S780" s="9" t="inlineStr">
        <is>
          <t>Tuyệt đối không đưa vào CRM (Vi phạm Bộ lọc Âm tính Mục 5)</t>
        </is>
      </c>
    </row>
    <row r="781">
      <c r="A781" s="53" t="n">
        <v>1694</v>
      </c>
      <c r="B781" s="12" t="inlineStr">
        <is>
          <t>HR Veterinary Procedures Center</t>
        </is>
      </c>
      <c r="C781" s="54" t="inlineStr">
        <is>
          <t>https://www.facebook.com/profile.php?id=61553493219921</t>
        </is>
      </c>
      <c r="D781" s="6" t="inlineStr">
        <is>
          <t>Cần quét Bio Fanpage</t>
        </is>
      </c>
      <c r="E781" s="53" t="inlineStr">
        <is>
          <t>28/08/2026 20:52:48</t>
        </is>
      </c>
      <c r="F781" s="53" t="inlineStr">
        <is>
          <t>1 tháng trước</t>
        </is>
      </c>
      <c r="G781" s="55" t="n">
        <v>30</v>
      </c>
      <c r="H781" s="56" t="n">
        <v>0</v>
      </c>
      <c r="I781" s="6" t="inlineStr">
        <is>
          <t>Pet Boarding / Huấn luyện K9 &amp; Dịch vụ (20-22đ)</t>
        </is>
      </c>
      <c r="J781" s="56" t="n">
        <v>22</v>
      </c>
      <c r="K781" s="6" t="inlineStr">
        <is>
          <t>Chưa rõ giống (Cần quét Bio)</t>
        </is>
      </c>
      <c r="L781" s="56" t="n">
        <v>0</v>
      </c>
      <c r="M781" s="56" t="n">
        <v>5</v>
      </c>
      <c r="N781" s="6" t="inlineStr">
        <is>
          <t>Amazon link not found</t>
        </is>
      </c>
      <c r="O781" s="56">
        <f>IF(N781="Selling pet toys + Artificial grass/Pet toilets (TARGET)",15,IF(N781="Selling artificial grass/pet toilets (TARGET)",10,IF(N781="Selling pet toys",7,IF(N781="There's an Amazon link, but no target sales.",3,0))))</f>
        <v/>
      </c>
      <c r="P781" s="65">
        <f>H781+J781+L781+M781+O781</f>
        <v/>
      </c>
      <c r="Q781" s="71" t="inlineStr">
        <is>
          <t>Excluded: Công ty Gen DNA &amp; Thú y (Mục 5.4)</t>
        </is>
      </c>
      <c r="R781" s="6" t="inlineStr">
        <is>
          <t>Cỏ nhân tạo sân chơi/huấn luyện (Dog Turf) + Đồ chơi nhai chịu lực (KONG/Chew Toys)</t>
        </is>
      </c>
      <c r="S781" s="6" t="inlineStr">
        <is>
          <t>Tuyệt đối không đưa vào CRM (Vi phạm Bộ lọc Âm tính Mục 5)</t>
        </is>
      </c>
    </row>
    <row r="782">
      <c r="A782" s="59" t="n">
        <v>3419</v>
      </c>
      <c r="B782" s="15" t="inlineStr">
        <is>
          <t>Wildside - Avian and Exotic Animal Health Center</t>
        </is>
      </c>
      <c r="C782" s="60" t="inlineStr">
        <is>
          <t>https://www.facebook.com/wildside.vet</t>
        </is>
      </c>
      <c r="D782" s="9" t="inlineStr">
        <is>
          <t>Cần quét Bio Fanpage</t>
        </is>
      </c>
      <c r="E782" s="59" t="inlineStr">
        <is>
          <t>25/02/2026 01:42:22</t>
        </is>
      </c>
      <c r="F782" s="59" t="inlineStr">
        <is>
          <t>7 tháng trước</t>
        </is>
      </c>
      <c r="G782" s="61" t="n">
        <v>210</v>
      </c>
      <c r="H782" s="62" t="n">
        <v>0</v>
      </c>
      <c r="I782" s="9" t="inlineStr">
        <is>
          <t>Pet Boarding / Huấn luyện K9 &amp; Dịch vụ (20-22đ)</t>
        </is>
      </c>
      <c r="J782" s="62" t="n">
        <v>22</v>
      </c>
      <c r="K782" s="9" t="inlineStr">
        <is>
          <t>Chưa rõ giống (Cần quét Bio)</t>
        </is>
      </c>
      <c r="L782" s="62" t="n">
        <v>0</v>
      </c>
      <c r="M782" s="62" t="n">
        <v>5</v>
      </c>
      <c r="N782" s="9" t="inlineStr">
        <is>
          <t>Amazon link not found</t>
        </is>
      </c>
      <c r="O782" s="62">
        <f>IF(N782="Selling pet toys + Artificial grass/Pet toilets (TARGET)",15,IF(N782="Selling artificial grass/pet toilets (TARGET)",10,IF(N782="Selling pet toys",7,IF(N782="There's an Amazon link, but no target sales.",3,0))))</f>
        <v/>
      </c>
      <c r="P782" s="67">
        <f>H782+J782+L782+M782+O782</f>
        <v/>
      </c>
      <c r="Q782" s="70" t="inlineStr">
        <is>
          <t>Excluded: Trang Chung / Không rõ Ngách Cún cưng</t>
        </is>
      </c>
      <c r="R782" s="9" t="inlineStr">
        <is>
          <t>Cỏ nhân tạo sân chơi/huấn luyện (Dog Turf) + Đồ chơi nhai chịu lực (KONG/Chew Toys)</t>
        </is>
      </c>
      <c r="S782" s="9" t="inlineStr">
        <is>
          <t>Tuyệt đối không đưa vào CRM (Vi phạm Bộ lọc Âm tính Mục 5)</t>
        </is>
      </c>
    </row>
    <row r="783">
      <c r="A783" s="53" t="n">
        <v>3313</v>
      </c>
      <c r="B783" s="12" t="inlineStr">
        <is>
          <t>Veterinary Orthopedic Center</t>
        </is>
      </c>
      <c r="C783" s="54" t="inlineStr">
        <is>
          <t>https://www.facebook.com/vetorthoctr</t>
        </is>
      </c>
      <c r="D783" s="6" t="inlineStr">
        <is>
          <t>Cần quét Bio Fanpage</t>
        </is>
      </c>
      <c r="E783" s="53" t="inlineStr">
        <is>
          <t>26/12/2025 23:00:23</t>
        </is>
      </c>
      <c r="F783" s="53" t="inlineStr">
        <is>
          <t>9 tháng trước</t>
        </is>
      </c>
      <c r="G783" s="55" t="n">
        <v>270</v>
      </c>
      <c r="H783" s="56" t="n">
        <v>0</v>
      </c>
      <c r="I783" s="6" t="inlineStr">
        <is>
          <t>Pet Boarding / Huấn luyện K9 &amp; Dịch vụ (20-22đ)</t>
        </is>
      </c>
      <c r="J783" s="56" t="n">
        <v>22</v>
      </c>
      <c r="K783" s="6" t="inlineStr">
        <is>
          <t>Chưa rõ giống (Cần quét Bio)</t>
        </is>
      </c>
      <c r="L783" s="56" t="n">
        <v>0</v>
      </c>
      <c r="M783" s="56" t="n">
        <v>5</v>
      </c>
      <c r="N783" s="6" t="inlineStr">
        <is>
          <t>Amazon link not found</t>
        </is>
      </c>
      <c r="O783" s="56">
        <f>IF(N783="Selling pet toys + Artificial grass/Pet toilets (TARGET)",15,IF(N783="Selling artificial grass/pet toilets (TARGET)",10,IF(N783="Selling pet toys",7,IF(N783="There's an Amazon link, but no target sales.",3,0))))</f>
        <v/>
      </c>
      <c r="P783" s="65">
        <f>H783+J783+L783+M783+O783</f>
        <v/>
      </c>
      <c r="Q783" s="71" t="inlineStr">
        <is>
          <t>Excluded: Công ty Gen DNA &amp; Thú y (Mục 5.4)</t>
        </is>
      </c>
      <c r="R783" s="6" t="inlineStr">
        <is>
          <t>Cỏ nhân tạo sân chơi/huấn luyện (Dog Turf) + Đồ chơi nhai chịu lực (KONG/Chew Toys)</t>
        </is>
      </c>
      <c r="S783" s="6" t="inlineStr">
        <is>
          <t>Tuyệt đối không đưa vào CRM (Vi phạm Bộ lọc Âm tính Mục 5)</t>
        </is>
      </c>
    </row>
    <row r="784">
      <c r="A784" s="59" t="n">
        <v>1440</v>
      </c>
      <c r="B784" s="15" t="inlineStr">
        <is>
          <t>French Creek Valley Christian Child Care Center</t>
        </is>
      </c>
      <c r="C784" s="60" t="inlineStr">
        <is>
          <t>https://www.facebook.com/profile.php?id=100067023396357</t>
        </is>
      </c>
      <c r="D784" s="9" t="inlineStr">
        <is>
          <t>Cần quét Bio Fanpage</t>
        </is>
      </c>
      <c r="E784" s="59" t="inlineStr">
        <is>
          <t>15/07/2016 03:53:00</t>
        </is>
      </c>
      <c r="F784" s="59" t="inlineStr">
        <is>
          <t>15 Tháng 7, 2016 lúc 03:53</t>
        </is>
      </c>
      <c r="G784" s="61" t="n">
        <v>365</v>
      </c>
      <c r="H784" s="62" t="n">
        <v>0</v>
      </c>
      <c r="I784" s="9" t="inlineStr">
        <is>
          <t>Pet Boarding / Huấn luyện K9 &amp; Dịch vụ (20-22đ)</t>
        </is>
      </c>
      <c r="J784" s="62" t="n">
        <v>22</v>
      </c>
      <c r="K784" s="9" t="inlineStr">
        <is>
          <t>Chưa rõ giống (Cần quét Bio)</t>
        </is>
      </c>
      <c r="L784" s="62" t="n">
        <v>0</v>
      </c>
      <c r="M784" s="62" t="n">
        <v>5</v>
      </c>
      <c r="N784" s="9" t="inlineStr">
        <is>
          <t>Amazon link not found</t>
        </is>
      </c>
      <c r="O784" s="62">
        <f>IF(N784="Selling pet toys + Artificial grass/Pet toilets (TARGET)",15,IF(N784="Selling artificial grass/pet toilets (TARGET)",10,IF(N784="Selling pet toys",7,IF(N784="There's an Amazon link, but no target sales.",3,0))))</f>
        <v/>
      </c>
      <c r="P784" s="67">
        <f>H784+J784+L784+M784+O784</f>
        <v/>
      </c>
      <c r="Q784" s="70" t="inlineStr">
        <is>
          <t>Excluded: Trang Chung / Không rõ Ngách Cún cưng</t>
        </is>
      </c>
      <c r="R784" s="9" t="inlineStr">
        <is>
          <t>Cỏ nhân tạo sân chơi/huấn luyện (Dog Turf) + Đồ chơi nhai chịu lực (KONG/Chew Toys)</t>
        </is>
      </c>
      <c r="S784" s="9" t="inlineStr">
        <is>
          <t>Tuyệt đối không đưa vào CRM (Vi phạm Bộ lọc Âm tính Mục 5)</t>
        </is>
      </c>
    </row>
    <row r="785">
      <c r="A785" s="53" t="n">
        <v>607</v>
      </c>
      <c r="B785" s="12" t="inlineStr">
        <is>
          <t>BDCN - Bordeaux Dog Club Nederland</t>
        </is>
      </c>
      <c r="C785" s="54" t="inlineStr">
        <is>
          <t>https://www.facebook.com/bordeauxdogclubnederland</t>
        </is>
      </c>
      <c r="D785" s="6" t="inlineStr">
        <is>
          <t>Cần quét Bio Fanpage</t>
        </is>
      </c>
      <c r="E785" s="53" t="inlineStr">
        <is>
          <t>28/09/2026 23:18:14</t>
        </is>
      </c>
      <c r="F785" s="53" t="inlineStr">
        <is>
          <t>2 tuần trước</t>
        </is>
      </c>
      <c r="G785" s="55" t="n">
        <v>14</v>
      </c>
      <c r="H785" s="56" t="n">
        <v>15</v>
      </c>
      <c r="I785" s="6" t="inlineStr">
        <is>
          <t>Pet Owner / Cộng đồng nuôi cún (10đ)</t>
        </is>
      </c>
      <c r="J785" s="56" t="n">
        <v>10</v>
      </c>
      <c r="K785" s="6" t="inlineStr">
        <is>
          <t>Chưa rõ giống (Cần quét Bio)</t>
        </is>
      </c>
      <c r="L785" s="56" t="n">
        <v>0</v>
      </c>
      <c r="M785" s="56" t="n">
        <v>0</v>
      </c>
      <c r="N785" s="6" t="inlineStr">
        <is>
          <t>Amazon link not found</t>
        </is>
      </c>
      <c r="O785" s="56">
        <f>IF(N785="Selling pet toys + Artificial grass/Pet toilets (TARGET)",15,IF(N785="Selling artificial grass/pet toilets (TARGET)",10,IF(N785="Selling pet toys",7,IF(N785="There's an Amazon link, but no target sales.",3,0))))</f>
        <v/>
      </c>
      <c r="P785" s="65">
        <f>H785+J785+L785+M785+O785</f>
        <v/>
      </c>
      <c r="Q785" s="71" t="inlineStr">
        <is>
          <t>Excluded: Hiệp hội &amp; CLB Phả hệ (Mục 5.1)</t>
        </is>
      </c>
      <c r="R785" s="6" t="inlineStr">
        <is>
          <t>Khay vệ sinh chung cư (Indoor Potty) + Thảm cỏ ban công (Grass Patch) + Đồ chơi</t>
        </is>
      </c>
      <c r="S785" s="6" t="inlineStr">
        <is>
          <t>Tuyệt đối không đưa vào CRM (Vi phạm Bộ lọc Âm tính Mục 5)</t>
        </is>
      </c>
    </row>
    <row r="786">
      <c r="A786" s="59" t="n">
        <v>487</v>
      </c>
      <c r="B786" s="15" t="inlineStr">
        <is>
          <t>Animales sin Suerte</t>
        </is>
      </c>
      <c r="C786" s="60" t="inlineStr">
        <is>
          <t>https://www.facebook.com/profile.php?id=100064907281266</t>
        </is>
      </c>
      <c r="D786" s="9" t="inlineStr">
        <is>
          <t>Cần quét Bio Fanpage</t>
        </is>
      </c>
      <c r="E786" s="59" t="inlineStr">
        <is>
          <t>28/09/2026 20:51:28</t>
        </is>
      </c>
      <c r="F786" s="59" t="inlineStr">
        <is>
          <t>2 tuần trước</t>
        </is>
      </c>
      <c r="G786" s="61" t="n">
        <v>14</v>
      </c>
      <c r="H786" s="62" t="n">
        <v>15</v>
      </c>
      <c r="I786" s="9" t="inlineStr">
        <is>
          <t>Pet Owner / Cộng đồng nuôi cún (10đ)</t>
        </is>
      </c>
      <c r="J786" s="62" t="n">
        <v>10</v>
      </c>
      <c r="K786" s="9" t="inlineStr">
        <is>
          <t>Chưa rõ giống (Cần quét Bio)</t>
        </is>
      </c>
      <c r="L786" s="62" t="n">
        <v>0</v>
      </c>
      <c r="M786" s="62" t="n">
        <v>0</v>
      </c>
      <c r="N786" s="9" t="inlineStr">
        <is>
          <t>Amazon link not found</t>
        </is>
      </c>
      <c r="O786" s="62">
        <f>IF(N786="Selling pet toys + Artificial grass/Pet toilets (TARGET)",15,IF(N786="Selling artificial grass/pet toilets (TARGET)",10,IF(N786="Selling pet toys",7,IF(N786="There's an Amazon link, but no target sales.",3,0))))</f>
        <v/>
      </c>
      <c r="P786" s="67">
        <f>H786+J786+L786+M786+O786</f>
        <v/>
      </c>
      <c r="Q786" s="70" t="inlineStr">
        <is>
          <t>Excluded: Trang Chung / Không rõ Ngách Cún cưng</t>
        </is>
      </c>
      <c r="R786" s="9" t="inlineStr">
        <is>
          <t>Khay vệ sinh chung cư (Indoor Potty) + Thảm cỏ ban công (Grass Patch) + Đồ chơi</t>
        </is>
      </c>
      <c r="S786" s="9" t="inlineStr">
        <is>
          <t>Tuyệt đối không đưa vào CRM (Vi phạm Bộ lọc Âm tính Mục 5)</t>
        </is>
      </c>
    </row>
    <row r="787">
      <c r="A787" s="53" t="n">
        <v>1848</v>
      </c>
      <c r="B787" s="12" t="inlineStr">
        <is>
          <t>Karuna Society for Animals and Nature</t>
        </is>
      </c>
      <c r="C787" s="54" t="inlineStr">
        <is>
          <t>https://www.facebook.com/KarunaSocietyforAnimalsandNature</t>
        </is>
      </c>
      <c r="D787" s="6" t="inlineStr">
        <is>
          <t>Cần quét Bio Fanpage</t>
        </is>
      </c>
      <c r="E787" s="53" t="inlineStr">
        <is>
          <t>28/09/2026 20:38:10</t>
        </is>
      </c>
      <c r="F787" s="53" t="inlineStr">
        <is>
          <t>2 tuần trước</t>
        </is>
      </c>
      <c r="G787" s="55" t="n">
        <v>14</v>
      </c>
      <c r="H787" s="56" t="n">
        <v>15</v>
      </c>
      <c r="I787" s="6" t="inlineStr">
        <is>
          <t>Pet Owner / Cộng đồng nuôi cún (10đ)</t>
        </is>
      </c>
      <c r="J787" s="56" t="n">
        <v>10</v>
      </c>
      <c r="K787" s="6" t="inlineStr">
        <is>
          <t>Chưa rõ giống (Cần quét Bio)</t>
        </is>
      </c>
      <c r="L787" s="56" t="n">
        <v>0</v>
      </c>
      <c r="M787" s="56" t="n">
        <v>0</v>
      </c>
      <c r="N787" s="6" t="inlineStr">
        <is>
          <t>Amazon link not found</t>
        </is>
      </c>
      <c r="O787" s="56">
        <f>IF(N787="Selling pet toys + Artificial grass/Pet toilets (TARGET)",15,IF(N787="Selling artificial grass/pet toilets (TARGET)",10,IF(N787="Selling pet toys",7,IF(N787="There's an Amazon link, but no target sales.",3,0))))</f>
        <v/>
      </c>
      <c r="P787" s="65">
        <f>H787+J787+L787+M787+O787</f>
        <v/>
      </c>
      <c r="Q787" s="71" t="inlineStr">
        <is>
          <t>Excluded: Trang Chung / Không rõ Ngách Cún cưng</t>
        </is>
      </c>
      <c r="R787" s="6" t="inlineStr">
        <is>
          <t>Khay vệ sinh chung cư (Indoor Potty) + Thảm cỏ ban công (Grass Patch) + Đồ chơi</t>
        </is>
      </c>
      <c r="S787" s="6" t="inlineStr">
        <is>
          <t>Tuyệt đối không đưa vào CRM (Vi phạm Bộ lọc Âm tính Mục 5)</t>
        </is>
      </c>
    </row>
    <row r="788">
      <c r="A788" s="59" t="n">
        <v>513</v>
      </c>
      <c r="B788" s="15" t="inlineStr">
        <is>
          <t>Ariane Bernier photographie animalière</t>
        </is>
      </c>
      <c r="C788" s="60" t="inlineStr">
        <is>
          <t>https://www.facebook.com/arianephotographeanimaliere</t>
        </is>
      </c>
      <c r="D788" s="9" t="inlineStr">
        <is>
          <t>Cần quét Bio Fanpage</t>
        </is>
      </c>
      <c r="E788" s="59" t="inlineStr">
        <is>
          <t>28/09/2026 19:11:07</t>
        </is>
      </c>
      <c r="F788" s="59" t="inlineStr">
        <is>
          <t>2 tuần trước</t>
        </is>
      </c>
      <c r="G788" s="61" t="n">
        <v>14</v>
      </c>
      <c r="H788" s="62" t="n">
        <v>15</v>
      </c>
      <c r="I788" s="9" t="inlineStr">
        <is>
          <t>Pet Owner / Cộng đồng nuôi cún (10đ)</t>
        </is>
      </c>
      <c r="J788" s="62" t="n">
        <v>10</v>
      </c>
      <c r="K788" s="9" t="inlineStr">
        <is>
          <t>Chưa rõ giống (Cần quét Bio)</t>
        </is>
      </c>
      <c r="L788" s="62" t="n">
        <v>0</v>
      </c>
      <c r="M788" s="62" t="n">
        <v>0</v>
      </c>
      <c r="N788" s="9" t="inlineStr">
        <is>
          <t>Amazon link not found</t>
        </is>
      </c>
      <c r="O788" s="62">
        <f>IF(N788="Selling pet toys + Artificial grass/Pet toilets (TARGET)",15,IF(N788="Selling artificial grass/pet toilets (TARGET)",10,IF(N788="Selling pet toys",7,IF(N788="There's an Amazon link, but no target sales.",3,0))))</f>
        <v/>
      </c>
      <c r="P788" s="67">
        <f>H788+J788+L788+M788+O788</f>
        <v/>
      </c>
      <c r="Q788" s="70" t="inlineStr">
        <is>
          <t>Excluded: Trang Chung / Không rõ Ngách Cún cưng</t>
        </is>
      </c>
      <c r="R788" s="9" t="inlineStr">
        <is>
          <t>Khay vệ sinh chung cư (Indoor Potty) + Thảm cỏ ban công (Grass Patch) + Đồ chơi</t>
        </is>
      </c>
      <c r="S788" s="9" t="inlineStr">
        <is>
          <t>Tuyệt đối không đưa vào CRM (Vi phạm Bộ lọc Âm tính Mục 5)</t>
        </is>
      </c>
    </row>
    <row r="789">
      <c r="A789" s="53" t="n">
        <v>163</v>
      </c>
      <c r="B789" s="12" t="inlineStr">
        <is>
          <t>Dvernitskiy Animal Photography</t>
        </is>
      </c>
      <c r="C789" s="54" t="inlineStr">
        <is>
          <t>https://www.facebook.com/DvernitskiyAleksandrPhotography</t>
        </is>
      </c>
      <c r="D789" s="6" t="inlineStr">
        <is>
          <t>Cần quét Bio Fanpage</t>
        </is>
      </c>
      <c r="E789" s="53" t="inlineStr">
        <is>
          <t>28/09/2026 18:32:42</t>
        </is>
      </c>
      <c r="F789" s="53" t="inlineStr">
        <is>
          <t>2 tuần trước</t>
        </is>
      </c>
      <c r="G789" s="55" t="n">
        <v>14</v>
      </c>
      <c r="H789" s="56" t="n">
        <v>15</v>
      </c>
      <c r="I789" s="6" t="inlineStr">
        <is>
          <t>Pet Owner / Cộng đồng nuôi cún (10đ)</t>
        </is>
      </c>
      <c r="J789" s="56" t="n">
        <v>10</v>
      </c>
      <c r="K789" s="6" t="inlineStr">
        <is>
          <t>Chưa rõ giống (Cần quét Bio)</t>
        </is>
      </c>
      <c r="L789" s="56" t="n">
        <v>0</v>
      </c>
      <c r="M789" s="56" t="n">
        <v>0</v>
      </c>
      <c r="N789" s="6" t="inlineStr">
        <is>
          <t>Amazon link not found</t>
        </is>
      </c>
      <c r="O789" s="56">
        <f>IF(N789="Selling pet toys + Artificial grass/Pet toilets (TARGET)",15,IF(N789="Selling artificial grass/pet toilets (TARGET)",10,IF(N789="Selling pet toys",7,IF(N789="There's an Amazon link, but no target sales.",3,0))))</f>
        <v/>
      </c>
      <c r="P789" s="65">
        <f>H789+J789+L789+M789+O789</f>
        <v/>
      </c>
      <c r="Q789" s="71" t="inlineStr">
        <is>
          <t>Excluded: Trang Chung / Không rõ Ngách Cún cưng</t>
        </is>
      </c>
      <c r="R789" s="6" t="inlineStr">
        <is>
          <t>Khay vệ sinh chung cư (Indoor Potty) + Thảm cỏ ban công (Grass Patch) + Đồ chơi</t>
        </is>
      </c>
      <c r="S789" s="6" t="inlineStr">
        <is>
          <t>Tuyệt đối không đưa vào CRM (Vi phạm Bộ lọc Âm tính Mục 5)</t>
        </is>
      </c>
    </row>
    <row r="790">
      <c r="A790" s="59" t="n">
        <v>1271</v>
      </c>
      <c r="B790" s="15" t="inlineStr">
        <is>
          <t>michaudville123</t>
        </is>
      </c>
      <c r="C790" s="60" t="inlineStr">
        <is>
          <t>https://www.facebook.com/michaudville123</t>
        </is>
      </c>
      <c r="D790" s="9" t="inlineStr">
        <is>
          <t>Cần quét Bio Fanpage</t>
        </is>
      </c>
      <c r="E790" s="59" t="inlineStr">
        <is>
          <t>28/09/2026 08:54:27</t>
        </is>
      </c>
      <c r="F790" s="59" t="inlineStr">
        <is>
          <t>2 tuần trước</t>
        </is>
      </c>
      <c r="G790" s="61" t="n">
        <v>14</v>
      </c>
      <c r="H790" s="62" t="n">
        <v>15</v>
      </c>
      <c r="I790" s="9" t="inlineStr">
        <is>
          <t>Pet Owner / Cộng đồng nuôi cún (10đ)</t>
        </is>
      </c>
      <c r="J790" s="62" t="n">
        <v>10</v>
      </c>
      <c r="K790" s="9" t="inlineStr">
        <is>
          <t>Chưa rõ giống (Cần quét Bio)</t>
        </is>
      </c>
      <c r="L790" s="62" t="n">
        <v>0</v>
      </c>
      <c r="M790" s="62" t="n">
        <v>0</v>
      </c>
      <c r="N790" s="9" t="inlineStr">
        <is>
          <t>Amazon link not found</t>
        </is>
      </c>
      <c r="O790" s="62">
        <f>IF(N790="Selling pet toys + Artificial grass/Pet toilets (TARGET)",15,IF(N790="Selling artificial grass/pet toilets (TARGET)",10,IF(N790="Selling pet toys",7,IF(N790="There's an Amazon link, but no target sales.",3,0))))</f>
        <v/>
      </c>
      <c r="P790" s="67">
        <f>H790+J790+L790+M790+O790</f>
        <v/>
      </c>
      <c r="Q790" s="70" t="inlineStr">
        <is>
          <t>Excluded: Trang Chung / Không rõ Ngách Cún cưng</t>
        </is>
      </c>
      <c r="R790" s="9" t="inlineStr">
        <is>
          <t>Khay vệ sinh chung cư (Indoor Potty) + Thảm cỏ ban công (Grass Patch) + Đồ chơi</t>
        </is>
      </c>
      <c r="S790" s="9" t="inlineStr">
        <is>
          <t>Tuyệt đối không đưa vào CRM (Vi phạm Bộ lọc Âm tính Mục 5)</t>
        </is>
      </c>
    </row>
    <row r="791">
      <c r="A791" s="53" t="n">
        <v>464</v>
      </c>
      <c r="B791" s="12" t="inlineStr">
        <is>
          <t>Animal Love</t>
        </is>
      </c>
      <c r="C791" s="54" t="inlineStr">
        <is>
          <t>https://www.facebook.com/profile.php?id=61591040716421</t>
        </is>
      </c>
      <c r="D791" s="6" t="inlineStr">
        <is>
          <t>Cần quét Bio Fanpage</t>
        </is>
      </c>
      <c r="E791" s="53" t="inlineStr">
        <is>
          <t>27/09/2026 23:23:38</t>
        </is>
      </c>
      <c r="F791" s="53" t="inlineStr">
        <is>
          <t>2 tuần trước</t>
        </is>
      </c>
      <c r="G791" s="55" t="n">
        <v>14</v>
      </c>
      <c r="H791" s="56" t="n">
        <v>15</v>
      </c>
      <c r="I791" s="6" t="inlineStr">
        <is>
          <t>Pet Owner / Cộng đồng nuôi cún (10đ)</t>
        </is>
      </c>
      <c r="J791" s="56" t="n">
        <v>10</v>
      </c>
      <c r="K791" s="6" t="inlineStr">
        <is>
          <t>Chưa rõ giống (Cần quét Bio)</t>
        </is>
      </c>
      <c r="L791" s="56" t="n">
        <v>0</v>
      </c>
      <c r="M791" s="56" t="n">
        <v>0</v>
      </c>
      <c r="N791" s="6" t="inlineStr">
        <is>
          <t>Amazon link not found</t>
        </is>
      </c>
      <c r="O791" s="56">
        <f>IF(N791="Selling pet toys + Artificial grass/Pet toilets (TARGET)",15,IF(N791="Selling artificial grass/pet toilets (TARGET)",10,IF(N791="Selling pet toys",7,IF(N791="There's an Amazon link, but no target sales.",3,0))))</f>
        <v/>
      </c>
      <c r="P791" s="65">
        <f>H791+J791+L791+M791+O791</f>
        <v/>
      </c>
      <c r="Q791" s="71" t="inlineStr">
        <is>
          <t>Excluded: Trang Chung / Không rõ Ngách Cún cưng</t>
        </is>
      </c>
      <c r="R791" s="6" t="inlineStr">
        <is>
          <t>Khay vệ sinh chung cư (Indoor Potty) + Thảm cỏ ban công (Grass Patch) + Đồ chơi</t>
        </is>
      </c>
      <c r="S791" s="6" t="inlineStr">
        <is>
          <t>Tuyệt đối không đưa vào CRM (Vi phạm Bộ lọc Âm tính Mục 5)</t>
        </is>
      </c>
    </row>
    <row r="792">
      <c r="A792" s="59" t="n">
        <v>3316</v>
      </c>
      <c r="B792" s="15" t="inlineStr">
        <is>
          <t>Vetson</t>
        </is>
      </c>
      <c r="C792" s="60" t="inlineStr">
        <is>
          <t>https://www.facebook.com/vetson.fi</t>
        </is>
      </c>
      <c r="D792" s="9" t="inlineStr">
        <is>
          <t>Cần quét Bio Fanpage</t>
        </is>
      </c>
      <c r="E792" s="59" t="inlineStr">
        <is>
          <t>26/09/2026 16:54:37</t>
        </is>
      </c>
      <c r="F792" s="59" t="inlineStr">
        <is>
          <t>2 tuần trước</t>
        </is>
      </c>
      <c r="G792" s="61" t="n">
        <v>14</v>
      </c>
      <c r="H792" s="62" t="n">
        <v>15</v>
      </c>
      <c r="I792" s="9" t="inlineStr">
        <is>
          <t>Pet Owner / Cộng đồng nuôi cún (10đ)</t>
        </is>
      </c>
      <c r="J792" s="62" t="n">
        <v>10</v>
      </c>
      <c r="K792" s="9" t="inlineStr">
        <is>
          <t>Chưa rõ giống (Cần quét Bio)</t>
        </is>
      </c>
      <c r="L792" s="62" t="n">
        <v>0</v>
      </c>
      <c r="M792" s="62" t="n">
        <v>0</v>
      </c>
      <c r="N792" s="9" t="inlineStr">
        <is>
          <t>Amazon link not found</t>
        </is>
      </c>
      <c r="O792" s="62">
        <f>IF(N792="Selling pet toys + Artificial grass/Pet toilets (TARGET)",15,IF(N792="Selling artificial grass/pet toilets (TARGET)",10,IF(N792="Selling pet toys",7,IF(N792="There's an Amazon link, but no target sales.",3,0))))</f>
        <v/>
      </c>
      <c r="P792" s="67">
        <f>H792+J792+L792+M792+O792</f>
        <v/>
      </c>
      <c r="Q792" s="70" t="inlineStr">
        <is>
          <t>Excluded: Trang Chung / Không rõ Ngách Cún cưng</t>
        </is>
      </c>
      <c r="R792" s="9" t="inlineStr">
        <is>
          <t>Khay vệ sinh chung cư (Indoor Potty) + Thảm cỏ ban công (Grass Patch) + Đồ chơi</t>
        </is>
      </c>
      <c r="S792" s="9" t="inlineStr">
        <is>
          <t>Tuyệt đối không đưa vào CRM (Vi phạm Bộ lọc Âm tính Mục 5)</t>
        </is>
      </c>
    </row>
    <row r="793">
      <c r="A793" s="53" t="n">
        <v>3479</v>
      </c>
      <c r="B793" s="12" t="inlineStr">
        <is>
          <t>ZAMPA Zona Anti Maltrattamento Protezione Animali</t>
        </is>
      </c>
      <c r="C793" s="54" t="inlineStr">
        <is>
          <t>https://www.facebook.com/zonantimaltrattamentoprotezioneanimali</t>
        </is>
      </c>
      <c r="D793" s="6" t="inlineStr">
        <is>
          <t>Cần quét Bio Fanpage</t>
        </is>
      </c>
      <c r="E793" s="53" t="inlineStr">
        <is>
          <t>26/09/2026 00:36:13</t>
        </is>
      </c>
      <c r="F793" s="53" t="inlineStr">
        <is>
          <t>2 tuần trước</t>
        </is>
      </c>
      <c r="G793" s="55" t="n">
        <v>14</v>
      </c>
      <c r="H793" s="56" t="n">
        <v>15</v>
      </c>
      <c r="I793" s="6" t="inlineStr">
        <is>
          <t>Pet Owner / Cộng đồng nuôi cún (10đ)</t>
        </is>
      </c>
      <c r="J793" s="56" t="n">
        <v>10</v>
      </c>
      <c r="K793" s="6" t="inlineStr">
        <is>
          <t>Chưa rõ giống (Cần quét Bio)</t>
        </is>
      </c>
      <c r="L793" s="56" t="n">
        <v>0</v>
      </c>
      <c r="M793" s="56" t="n">
        <v>0</v>
      </c>
      <c r="N793" s="6" t="inlineStr">
        <is>
          <t>Amazon link not found</t>
        </is>
      </c>
      <c r="O793" s="56">
        <f>IF(N793="Selling pet toys + Artificial grass/Pet toilets (TARGET)",15,IF(N793="Selling artificial grass/pet toilets (TARGET)",10,IF(N793="Selling pet toys",7,IF(N793="There's an Amazon link, but no target sales.",3,0))))</f>
        <v/>
      </c>
      <c r="P793" s="65">
        <f>H793+J793+L793+M793+O793</f>
        <v/>
      </c>
      <c r="Q793" s="71" t="inlineStr">
        <is>
          <t>Excluded: Trang Chung / Không rõ Ngách Cún cưng</t>
        </is>
      </c>
      <c r="R793" s="6" t="inlineStr">
        <is>
          <t>Khay vệ sinh chung cư (Indoor Potty) + Thảm cỏ ban công (Grass Patch) + Đồ chơi</t>
        </is>
      </c>
      <c r="S793" s="6" t="inlineStr">
        <is>
          <t>Tuyệt đối không đưa vào CRM (Vi phạm Bộ lọc Âm tính Mục 5)</t>
        </is>
      </c>
    </row>
    <row r="794">
      <c r="A794" s="59" t="n">
        <v>129</v>
      </c>
      <c r="B794" s="15" t="inlineStr">
        <is>
          <t>casafeyallevamento</t>
        </is>
      </c>
      <c r="C794" s="60" t="inlineStr">
        <is>
          <t>https://www.facebook.com/casafeyallevamento</t>
        </is>
      </c>
      <c r="D794" s="9" t="inlineStr">
        <is>
          <t>Cần quét Bio Fanpage</t>
        </is>
      </c>
      <c r="E794" s="59" t="inlineStr">
        <is>
          <t>26/09/2026 00:27:51</t>
        </is>
      </c>
      <c r="F794" s="59" t="inlineStr">
        <is>
          <t>2 tuần trước</t>
        </is>
      </c>
      <c r="G794" s="61" t="n">
        <v>14</v>
      </c>
      <c r="H794" s="62" t="n">
        <v>15</v>
      </c>
      <c r="I794" s="9" t="inlineStr">
        <is>
          <t>Pet Owner / Cộng đồng nuôi cún (10đ)</t>
        </is>
      </c>
      <c r="J794" s="62" t="n">
        <v>10</v>
      </c>
      <c r="K794" s="9" t="inlineStr">
        <is>
          <t>Chưa rõ giống (Cần quét Bio)</t>
        </is>
      </c>
      <c r="L794" s="62" t="n">
        <v>0</v>
      </c>
      <c r="M794" s="62" t="n">
        <v>0</v>
      </c>
      <c r="N794" s="9" t="inlineStr">
        <is>
          <t>Amazon link not found</t>
        </is>
      </c>
      <c r="O794" s="62">
        <f>IF(N794="Selling pet toys + Artificial grass/Pet toilets (TARGET)",15,IF(N794="Selling artificial grass/pet toilets (TARGET)",10,IF(N794="Selling pet toys",7,IF(N794="There's an Amazon link, but no target sales.",3,0))))</f>
        <v/>
      </c>
      <c r="P794" s="67">
        <f>H794+J794+L794+M794+O794</f>
        <v/>
      </c>
      <c r="Q794" s="70" t="inlineStr">
        <is>
          <t>Excluded: Trang Chung / Không rõ Ngách Cún cưng</t>
        </is>
      </c>
      <c r="R794" s="9" t="inlineStr">
        <is>
          <t>Khay vệ sinh chung cư (Indoor Potty) + Thảm cỏ ban công (Grass Patch) + Đồ chơi</t>
        </is>
      </c>
      <c r="S794" s="9" t="inlineStr">
        <is>
          <t>Tuyệt đối không đưa vào CRM (Vi phạm Bộ lọc Âm tính Mục 5)</t>
        </is>
      </c>
    </row>
    <row r="795">
      <c r="A795" s="53" t="n">
        <v>2830</v>
      </c>
      <c r="B795" s="12" t="inlineStr">
        <is>
          <t>Sarver Animal Hospital</t>
        </is>
      </c>
      <c r="C795" s="54" t="inlineStr">
        <is>
          <t>https://www.facebook.com/sarveranimalhospital</t>
        </is>
      </c>
      <c r="D795" s="6" t="inlineStr">
        <is>
          <t>Cần quét Bio Fanpage</t>
        </is>
      </c>
      <c r="E795" s="53" t="inlineStr">
        <is>
          <t>24/09/2026 20:00:20</t>
        </is>
      </c>
      <c r="F795" s="53" t="inlineStr">
        <is>
          <t>2 tuần trước</t>
        </is>
      </c>
      <c r="G795" s="55" t="n">
        <v>14</v>
      </c>
      <c r="H795" s="56" t="n">
        <v>15</v>
      </c>
      <c r="I795" s="6" t="inlineStr">
        <is>
          <t>Pet Owner / Cộng đồng nuôi cún (10đ)</t>
        </is>
      </c>
      <c r="J795" s="56" t="n">
        <v>10</v>
      </c>
      <c r="K795" s="6" t="inlineStr">
        <is>
          <t>Chưa rõ giống (Cần quét Bio)</t>
        </is>
      </c>
      <c r="L795" s="56" t="n">
        <v>0</v>
      </c>
      <c r="M795" s="56" t="n">
        <v>0</v>
      </c>
      <c r="N795" s="6" t="inlineStr">
        <is>
          <t>Amazon link not found</t>
        </is>
      </c>
      <c r="O795" s="56">
        <f>IF(N795="Selling pet toys + Artificial grass/Pet toilets (TARGET)",15,IF(N795="Selling artificial grass/pet toilets (TARGET)",10,IF(N795="Selling pet toys",7,IF(N795="There's an Amazon link, but no target sales.",3,0))))</f>
        <v/>
      </c>
      <c r="P795" s="65">
        <f>H795+J795+L795+M795+O795</f>
        <v/>
      </c>
      <c r="Q795" s="71" t="inlineStr">
        <is>
          <t>Excluded: Công ty Gen DNA &amp; Thú y (Mục 5.4)</t>
        </is>
      </c>
      <c r="R795" s="6" t="inlineStr">
        <is>
          <t>Khay vệ sinh chung cư (Indoor Potty) + Thảm cỏ ban công (Grass Patch) + Đồ chơi</t>
        </is>
      </c>
      <c r="S795" s="6" t="inlineStr">
        <is>
          <t>Tuyệt đối không đưa vào CRM (Vi phạm Bộ lọc Âm tính Mục 5)</t>
        </is>
      </c>
    </row>
    <row r="796">
      <c r="A796" s="59" t="n">
        <v>3414</v>
      </c>
      <c r="B796" s="15" t="inlineStr">
        <is>
          <t>Wil-o-paw Animal Hospital</t>
        </is>
      </c>
      <c r="C796" s="60" t="inlineStr">
        <is>
          <t>https://www.facebook.com/wilopawAH</t>
        </is>
      </c>
      <c r="D796" s="9" t="inlineStr">
        <is>
          <t>Cần quét Bio Fanpage</t>
        </is>
      </c>
      <c r="E796" s="59" t="inlineStr">
        <is>
          <t>24/09/2026 03:01:39</t>
        </is>
      </c>
      <c r="F796" s="59" t="inlineStr">
        <is>
          <t>2 tuần trước</t>
        </is>
      </c>
      <c r="G796" s="61" t="n">
        <v>14</v>
      </c>
      <c r="H796" s="62" t="n">
        <v>15</v>
      </c>
      <c r="I796" s="9" t="inlineStr">
        <is>
          <t>Pet Owner / Cộng đồng nuôi cún (10đ)</t>
        </is>
      </c>
      <c r="J796" s="62" t="n">
        <v>10</v>
      </c>
      <c r="K796" s="9" t="inlineStr">
        <is>
          <t>Chưa rõ giống (Cần quét Bio)</t>
        </is>
      </c>
      <c r="L796" s="62" t="n">
        <v>0</v>
      </c>
      <c r="M796" s="62" t="n">
        <v>0</v>
      </c>
      <c r="N796" s="9" t="inlineStr">
        <is>
          <t>Amazon link not found</t>
        </is>
      </c>
      <c r="O796" s="62">
        <f>IF(N796="Selling pet toys + Artificial grass/Pet toilets (TARGET)",15,IF(N796="Selling artificial grass/pet toilets (TARGET)",10,IF(N796="Selling pet toys",7,IF(N796="There's an Amazon link, but no target sales.",3,0))))</f>
        <v/>
      </c>
      <c r="P796" s="67">
        <f>H796+J796+L796+M796+O796</f>
        <v/>
      </c>
      <c r="Q796" s="70" t="inlineStr">
        <is>
          <t>Excluded: Công ty Gen DNA &amp; Thú y (Mục 5.4)</t>
        </is>
      </c>
      <c r="R796" s="9" t="inlineStr">
        <is>
          <t>Khay vệ sinh chung cư (Indoor Potty) + Thảm cỏ ban công (Grass Patch) + Đồ chơi</t>
        </is>
      </c>
      <c r="S796" s="9" t="inlineStr">
        <is>
          <t>Tuyệt đối không đưa vào CRM (Vi phạm Bộ lọc Âm tính Mục 5)</t>
        </is>
      </c>
    </row>
    <row r="797">
      <c r="A797" s="53" t="n">
        <v>893</v>
      </c>
      <c r="B797" s="12" t="inlineStr">
        <is>
          <t>Chloé Huard - Ostéopathie Animale</t>
        </is>
      </c>
      <c r="C797" s="54" t="inlineStr">
        <is>
          <t>https://www.facebook.com/profile.php?id=100051590719566</t>
        </is>
      </c>
      <c r="D797" s="6" t="inlineStr">
        <is>
          <t>Cần quét Bio Fanpage</t>
        </is>
      </c>
      <c r="E797" s="53" t="inlineStr">
        <is>
          <t>23/09/2026 14:39:24</t>
        </is>
      </c>
      <c r="F797" s="53" t="inlineStr">
        <is>
          <t>2 tuần trước</t>
        </is>
      </c>
      <c r="G797" s="55" t="n">
        <v>14</v>
      </c>
      <c r="H797" s="56" t="n">
        <v>15</v>
      </c>
      <c r="I797" s="6" t="inlineStr">
        <is>
          <t>Pet Owner / Cộng đồng nuôi cún (10đ)</t>
        </is>
      </c>
      <c r="J797" s="56" t="n">
        <v>10</v>
      </c>
      <c r="K797" s="6" t="inlineStr">
        <is>
          <t>Chưa rõ giống (Cần quét Bio)</t>
        </is>
      </c>
      <c r="L797" s="56" t="n">
        <v>0</v>
      </c>
      <c r="M797" s="56" t="n">
        <v>0</v>
      </c>
      <c r="N797" s="6" t="inlineStr">
        <is>
          <t>Amazon link not found</t>
        </is>
      </c>
      <c r="O797" s="56">
        <f>IF(N797="Selling pet toys + Artificial grass/Pet toilets (TARGET)",15,IF(N797="Selling artificial grass/pet toilets (TARGET)",10,IF(N797="Selling pet toys",7,IF(N797="There's an Amazon link, but no target sales.",3,0))))</f>
        <v/>
      </c>
      <c r="P797" s="65">
        <f>H797+J797+L797+M797+O797</f>
        <v/>
      </c>
      <c r="Q797" s="71" t="inlineStr">
        <is>
          <t>Excluded: Trang Chung / Không rõ Ngách Cún cưng</t>
        </is>
      </c>
      <c r="R797" s="6" t="inlineStr">
        <is>
          <t>Khay vệ sinh chung cư (Indoor Potty) + Thảm cỏ ban công (Grass Patch) + Đồ chơi</t>
        </is>
      </c>
      <c r="S797" s="6" t="inlineStr">
        <is>
          <t>Tuyệt đối không đưa vào CRM (Vi phạm Bộ lọc Âm tính Mục 5)</t>
        </is>
      </c>
    </row>
    <row r="798">
      <c r="A798" s="59" t="n">
        <v>3385</v>
      </c>
      <c r="B798" s="15" t="inlineStr">
        <is>
          <t>Wellington Eye Care</t>
        </is>
      </c>
      <c r="C798" s="60" t="inlineStr">
        <is>
          <t>https://www.facebook.com/WellingtonEyeCO</t>
        </is>
      </c>
      <c r="D798" s="9" t="inlineStr">
        <is>
          <t>Cần quét Bio Fanpage</t>
        </is>
      </c>
      <c r="E798" s="59" t="inlineStr">
        <is>
          <t>23/09/2026 05:24:45</t>
        </is>
      </c>
      <c r="F798" s="59" t="inlineStr">
        <is>
          <t>2 tuần trước</t>
        </is>
      </c>
      <c r="G798" s="61" t="n">
        <v>14</v>
      </c>
      <c r="H798" s="62" t="n">
        <v>15</v>
      </c>
      <c r="I798" s="9" t="inlineStr">
        <is>
          <t>Pet Owner / Cộng đồng nuôi cún (10đ)</t>
        </is>
      </c>
      <c r="J798" s="62" t="n">
        <v>10</v>
      </c>
      <c r="K798" s="9" t="inlineStr">
        <is>
          <t>Chưa rõ giống (Cần quét Bio)</t>
        </is>
      </c>
      <c r="L798" s="62" t="n">
        <v>0</v>
      </c>
      <c r="M798" s="62" t="n">
        <v>0</v>
      </c>
      <c r="N798" s="9" t="inlineStr">
        <is>
          <t>Amazon link not found</t>
        </is>
      </c>
      <c r="O798" s="62">
        <f>IF(N798="Selling pet toys + Artificial grass/Pet toilets (TARGET)",15,IF(N798="Selling artificial grass/pet toilets (TARGET)",10,IF(N798="Selling pet toys",7,IF(N798="There's an Amazon link, but no target sales.",3,0))))</f>
        <v/>
      </c>
      <c r="P798" s="67">
        <f>H798+J798+L798+M798+O798</f>
        <v/>
      </c>
      <c r="Q798" s="70" t="inlineStr">
        <is>
          <t>Excluded: Trang Chung / Không rõ Ngách Cún cưng</t>
        </is>
      </c>
      <c r="R798" s="9" t="inlineStr">
        <is>
          <t>Khay vệ sinh chung cư (Indoor Potty) + Thảm cỏ ban công (Grass Patch) + Đồ chơi</t>
        </is>
      </c>
      <c r="S798" s="9" t="inlineStr">
        <is>
          <t>Tuyệt đối không đưa vào CRM (Vi phạm Bộ lọc Âm tính Mục 5)</t>
        </is>
      </c>
    </row>
    <row r="799">
      <c r="A799" s="53" t="n">
        <v>2237</v>
      </c>
      <c r="B799" s="12" t="inlineStr">
        <is>
          <t>Mundão Animal</t>
        </is>
      </c>
      <c r="C799" s="54" t="inlineStr">
        <is>
          <t>https://www.facebook.com/MundaoAnimal</t>
        </is>
      </c>
      <c r="D799" s="6" t="inlineStr">
        <is>
          <t>Cần quét Bio Fanpage</t>
        </is>
      </c>
      <c r="E799" s="53" t="inlineStr">
        <is>
          <t>23/09/2026 04:00:32</t>
        </is>
      </c>
      <c r="F799" s="53" t="inlineStr">
        <is>
          <t>2 tuần trước</t>
        </is>
      </c>
      <c r="G799" s="55" t="n">
        <v>14</v>
      </c>
      <c r="H799" s="56" t="n">
        <v>15</v>
      </c>
      <c r="I799" s="6" t="inlineStr">
        <is>
          <t>Pet Owner / Cộng đồng nuôi cún (10đ)</t>
        </is>
      </c>
      <c r="J799" s="56" t="n">
        <v>10</v>
      </c>
      <c r="K799" s="6" t="inlineStr">
        <is>
          <t>Chưa rõ giống (Cần quét Bio)</t>
        </is>
      </c>
      <c r="L799" s="56" t="n">
        <v>0</v>
      </c>
      <c r="M799" s="56" t="n">
        <v>0</v>
      </c>
      <c r="N799" s="6" t="inlineStr">
        <is>
          <t>Amazon link not found</t>
        </is>
      </c>
      <c r="O799" s="56">
        <f>IF(N799="Selling pet toys + Artificial grass/Pet toilets (TARGET)",15,IF(N799="Selling artificial grass/pet toilets (TARGET)",10,IF(N799="Selling pet toys",7,IF(N799="There's an Amazon link, but no target sales.",3,0))))</f>
        <v/>
      </c>
      <c r="P799" s="65">
        <f>H799+J799+L799+M799+O799</f>
        <v/>
      </c>
      <c r="Q799" s="71" t="inlineStr">
        <is>
          <t>Excluded: Trang Chung / Không rõ Ngách Cún cưng</t>
        </is>
      </c>
      <c r="R799" s="6" t="inlineStr">
        <is>
          <t>Khay vệ sinh chung cư (Indoor Potty) + Thảm cỏ ban công (Grass Patch) + Đồ chơi</t>
        </is>
      </c>
      <c r="S799" s="6" t="inlineStr">
        <is>
          <t>Tuyệt đối không đưa vào CRM (Vi phạm Bộ lọc Âm tính Mục 5)</t>
        </is>
      </c>
    </row>
    <row r="800">
      <c r="A800" s="59" t="n">
        <v>2839</v>
      </c>
      <c r="B800" s="15" t="inlineStr">
        <is>
          <t>Scanvet Poland</t>
        </is>
      </c>
      <c r="C800" s="60" t="inlineStr">
        <is>
          <t>https://www.facebook.com/ScanvetPoland</t>
        </is>
      </c>
      <c r="D800" s="9" t="inlineStr">
        <is>
          <t>Cần quét Bio Fanpage</t>
        </is>
      </c>
      <c r="E800" s="59" t="inlineStr">
        <is>
          <t>23/09/2026 02:00:10</t>
        </is>
      </c>
      <c r="F800" s="59" t="inlineStr">
        <is>
          <t>2 tuần trước</t>
        </is>
      </c>
      <c r="G800" s="61" t="n">
        <v>14</v>
      </c>
      <c r="H800" s="62" t="n">
        <v>15</v>
      </c>
      <c r="I800" s="9" t="inlineStr">
        <is>
          <t>Pet Owner / Cộng đồng nuôi cún (10đ)</t>
        </is>
      </c>
      <c r="J800" s="62" t="n">
        <v>10</v>
      </c>
      <c r="K800" s="9" t="inlineStr">
        <is>
          <t>Chưa rõ giống (Cần quét Bio)</t>
        </is>
      </c>
      <c r="L800" s="62" t="n">
        <v>0</v>
      </c>
      <c r="M800" s="62" t="n">
        <v>0</v>
      </c>
      <c r="N800" s="9" t="inlineStr">
        <is>
          <t>Amazon link not found</t>
        </is>
      </c>
      <c r="O800" s="62">
        <f>IF(N800="Selling pet toys + Artificial grass/Pet toilets (TARGET)",15,IF(N800="Selling artificial grass/pet toilets (TARGET)",10,IF(N800="Selling pet toys",7,IF(N800="There's an Amazon link, but no target sales.",3,0))))</f>
        <v/>
      </c>
      <c r="P800" s="67">
        <f>H800+J800+L800+M800+O800</f>
        <v/>
      </c>
      <c r="Q800" s="70" t="inlineStr">
        <is>
          <t>Excluded: Trang Chung / Không rõ Ngách Cún cưng</t>
        </is>
      </c>
      <c r="R800" s="9" t="inlineStr">
        <is>
          <t>Khay vệ sinh chung cư (Indoor Potty) + Thảm cỏ ban công (Grass Patch) + Đồ chơi</t>
        </is>
      </c>
      <c r="S800" s="9" t="inlineStr">
        <is>
          <t>Tuyệt đối không đưa vào CRM (Vi phạm Bộ lọc Âm tính Mục 5)</t>
        </is>
      </c>
    </row>
    <row r="801">
      <c r="A801" s="53" t="n">
        <v>2009</v>
      </c>
      <c r="B801" s="12" t="inlineStr">
        <is>
          <t>Leurs Pattes, Ma Patte - Communication Animale</t>
        </is>
      </c>
      <c r="C801" s="54" t="inlineStr">
        <is>
          <t>https://www.facebook.com/Leurspattesmapatte</t>
        </is>
      </c>
      <c r="D801" s="6" t="inlineStr">
        <is>
          <t>Cần quét Bio Fanpage</t>
        </is>
      </c>
      <c r="E801" s="53" t="inlineStr">
        <is>
          <t>22/09/2026 22:33:15</t>
        </is>
      </c>
      <c r="F801" s="53" t="inlineStr">
        <is>
          <t>2 tuần trước</t>
        </is>
      </c>
      <c r="G801" s="55" t="n">
        <v>14</v>
      </c>
      <c r="H801" s="56" t="n">
        <v>15</v>
      </c>
      <c r="I801" s="6" t="inlineStr">
        <is>
          <t>Pet Owner / Cộng đồng nuôi cún (10đ)</t>
        </is>
      </c>
      <c r="J801" s="56" t="n">
        <v>10</v>
      </c>
      <c r="K801" s="6" t="inlineStr">
        <is>
          <t>Chưa rõ giống (Cần quét Bio)</t>
        </is>
      </c>
      <c r="L801" s="56" t="n">
        <v>0</v>
      </c>
      <c r="M801" s="56" t="n">
        <v>0</v>
      </c>
      <c r="N801" s="6" t="inlineStr">
        <is>
          <t>Amazon link not found</t>
        </is>
      </c>
      <c r="O801" s="56">
        <f>IF(N801="Selling pet toys + Artificial grass/Pet toilets (TARGET)",15,IF(N801="Selling artificial grass/pet toilets (TARGET)",10,IF(N801="Selling pet toys",7,IF(N801="There's an Amazon link, but no target sales.",3,0))))</f>
        <v/>
      </c>
      <c r="P801" s="65">
        <f>H801+J801+L801+M801+O801</f>
        <v/>
      </c>
      <c r="Q801" s="71" t="inlineStr">
        <is>
          <t>Excluded: Trang Chung / Không rõ Ngách Cún cưng</t>
        </is>
      </c>
      <c r="R801" s="6" t="inlineStr">
        <is>
          <t>Khay vệ sinh chung cư (Indoor Potty) + Thảm cỏ ban công (Grass Patch) + Đồ chơi</t>
        </is>
      </c>
      <c r="S801" s="6" t="inlineStr">
        <is>
          <t>Tuyệt đối không đưa vào CRM (Vi phạm Bộ lọc Âm tính Mục 5)</t>
        </is>
      </c>
    </row>
    <row r="802">
      <c r="A802" s="59" t="n">
        <v>1975</v>
      </c>
      <c r="B802" s="15" t="inlineStr">
        <is>
          <t>Lakeland Gundog Club</t>
        </is>
      </c>
      <c r="C802" s="60" t="inlineStr">
        <is>
          <t>https://www.facebook.com/LakelandGundogClub</t>
        </is>
      </c>
      <c r="D802" s="9" t="inlineStr">
        <is>
          <t>Cần quét Bio Fanpage</t>
        </is>
      </c>
      <c r="E802" s="59" t="inlineStr">
        <is>
          <t>25/03/2026 18:16:05</t>
        </is>
      </c>
      <c r="F802" s="59" t="inlineStr">
        <is>
          <t>6 tháng trước</t>
        </is>
      </c>
      <c r="G802" s="61" t="n">
        <v>180</v>
      </c>
      <c r="H802" s="62" t="n">
        <v>0</v>
      </c>
      <c r="I802" s="9" t="inlineStr">
        <is>
          <t>Pet Boarding / Huấn luyện K9 &amp; Dịch vụ (20-22đ)</t>
        </is>
      </c>
      <c r="J802" s="62" t="n">
        <v>20</v>
      </c>
      <c r="K802" s="9" t="inlineStr">
        <is>
          <t>Spaniel / Gun Dog / Retriever</t>
        </is>
      </c>
      <c r="L802" s="62" t="n">
        <v>5</v>
      </c>
      <c r="M802" s="62" t="n">
        <v>0</v>
      </c>
      <c r="N802" s="9" t="inlineStr">
        <is>
          <t>Amazon link not found</t>
        </is>
      </c>
      <c r="O802" s="62">
        <f>IF(N802="Selling pet toys + Artificial grass/Pet toilets (TARGET)",15,IF(N802="Selling artificial grass/pet toilets (TARGET)",10,IF(N802="Selling pet toys",7,IF(N802="There's an Amazon link, but no target sales.",3,0))))</f>
        <v/>
      </c>
      <c r="P802" s="67">
        <f>H802+J802+L802+M802+O802</f>
        <v/>
      </c>
      <c r="Q802" s="70" t="inlineStr">
        <is>
          <t>Excluded: Hiệp hội &amp; CLB Phả hệ (Mục 5.1)</t>
        </is>
      </c>
      <c r="R802" s="9" t="inlineStr">
        <is>
          <t>Cỏ nhân tạo sân chơi/huấn luyện (Dog Turf) + Đồ chơi nhai chịu lực (KONG/Chew Toys)</t>
        </is>
      </c>
      <c r="S802" s="9" t="inlineStr">
        <is>
          <t>Tuyệt đối không đưa vào CRM (Vi phạm Bộ lọc Âm tính Mục 5)</t>
        </is>
      </c>
    </row>
    <row r="803">
      <c r="A803" s="53" t="n">
        <v>732</v>
      </c>
      <c r="B803" s="12" t="inlineStr">
        <is>
          <t>Border Counties Gundog Club</t>
        </is>
      </c>
      <c r="C803" s="54" t="inlineStr">
        <is>
          <t>https://www.facebook.com/profile.php?id=100064783923859</t>
        </is>
      </c>
      <c r="D803" s="6" t="inlineStr">
        <is>
          <t>Cần quét Bio Fanpage</t>
        </is>
      </c>
      <c r="E803" s="53" t="inlineStr">
        <is>
          <t>25/04/2025 14:42:05</t>
        </is>
      </c>
      <c r="F803" s="53" t="inlineStr">
        <is>
          <t>1 năm trước</t>
        </is>
      </c>
      <c r="G803" s="55" t="n">
        <v>365</v>
      </c>
      <c r="H803" s="56" t="n">
        <v>0</v>
      </c>
      <c r="I803" s="6" t="inlineStr">
        <is>
          <t>Pet Boarding / Huấn luyện K9 &amp; Dịch vụ (20-22đ)</t>
        </is>
      </c>
      <c r="J803" s="56" t="n">
        <v>20</v>
      </c>
      <c r="K803" s="6" t="inlineStr">
        <is>
          <t>Spaniel / Gun Dog / Retriever</t>
        </is>
      </c>
      <c r="L803" s="56" t="n">
        <v>5</v>
      </c>
      <c r="M803" s="56" t="n">
        <v>0</v>
      </c>
      <c r="N803" s="6" t="inlineStr">
        <is>
          <t>Amazon link not found</t>
        </is>
      </c>
      <c r="O803" s="56">
        <f>IF(N803="Selling pet toys + Artificial grass/Pet toilets (TARGET)",15,IF(N803="Selling artificial grass/pet toilets (TARGET)",10,IF(N803="Selling pet toys",7,IF(N803="There's an Amazon link, but no target sales.",3,0))))</f>
        <v/>
      </c>
      <c r="P803" s="65">
        <f>H803+J803+L803+M803+O803</f>
        <v/>
      </c>
      <c r="Q803" s="71" t="inlineStr">
        <is>
          <t>Excluded: Hiệp hội &amp; CLB Phả hệ (Mục 5.1)</t>
        </is>
      </c>
      <c r="R803" s="6" t="inlineStr">
        <is>
          <t>Cỏ nhân tạo sân chơi/huấn luyện (Dog Turf) + Đồ chơi nhai chịu lực (KONG/Chew Toys)</t>
        </is>
      </c>
      <c r="S803" s="6" t="inlineStr">
        <is>
          <t>Tuyệt đối không đưa vào CRM (Vi phạm Bộ lọc Âm tính Mục 5)</t>
        </is>
      </c>
    </row>
    <row r="804">
      <c r="A804" s="59" t="n">
        <v>3063</v>
      </c>
      <c r="B804" s="15" t="inlineStr">
        <is>
          <t>TATE Animal Training Enterprises</t>
        </is>
      </c>
      <c r="C804" s="60" t="inlineStr">
        <is>
          <t>https://www.facebook.com/tateanimals</t>
        </is>
      </c>
      <c r="D804" s="9" t="inlineStr">
        <is>
          <t>Cần quét Bio Fanpage</t>
        </is>
      </c>
      <c r="E804" s="59" t="inlineStr">
        <is>
          <t>12/08/2026 07:43:17</t>
        </is>
      </c>
      <c r="F804" s="59" t="inlineStr">
        <is>
          <t>2 tháng trước</t>
        </is>
      </c>
      <c r="G804" s="61" t="n">
        <v>60</v>
      </c>
      <c r="H804" s="62" t="n">
        <v>0</v>
      </c>
      <c r="I804" s="9" t="inlineStr">
        <is>
          <t>Pet Boarding / Huấn luyện K9 &amp; Dịch vụ (20-22đ)</t>
        </is>
      </c>
      <c r="J804" s="62" t="n">
        <v>22</v>
      </c>
      <c r="K804" s="9" t="inlineStr">
        <is>
          <t>Chưa rõ giống (Cần quét Bio)</t>
        </is>
      </c>
      <c r="L804" s="62" t="n">
        <v>0</v>
      </c>
      <c r="M804" s="62" t="n">
        <v>0</v>
      </c>
      <c r="N804" s="9" t="inlineStr">
        <is>
          <t>Amazon link not found</t>
        </is>
      </c>
      <c r="O804" s="62">
        <f>IF(N804="Selling pet toys + Artificial grass/Pet toilets (TARGET)",15,IF(N804="Selling artificial grass/pet toilets (TARGET)",10,IF(N804="Selling pet toys",7,IF(N804="There's an Amazon link, but no target sales.",3,0))))</f>
        <v/>
      </c>
      <c r="P804" s="67">
        <f>H804+J804+L804+M804+O804</f>
        <v/>
      </c>
      <c r="Q804" s="70" t="inlineStr">
        <is>
          <t>Excluded: Trang Chung / Không rõ Ngách Cún cưng</t>
        </is>
      </c>
      <c r="R804" s="9" t="inlineStr">
        <is>
          <t>Cỏ nhân tạo sân chơi/huấn luyện (Dog Turf) + Đồ chơi nhai chịu lực (KONG/Chew Toys)</t>
        </is>
      </c>
      <c r="S804" s="9" t="inlineStr">
        <is>
          <t>Tuyệt đối không đưa vào CRM (Vi phạm Bộ lọc Âm tính Mục 5)</t>
        </is>
      </c>
    </row>
    <row r="805">
      <c r="A805" s="53" t="n">
        <v>1512</v>
      </c>
      <c r="B805" s="12" t="inlineStr">
        <is>
          <t>Global K9 Working Dog Club</t>
        </is>
      </c>
      <c r="C805" s="54" t="inlineStr">
        <is>
          <t>https://www.facebook.com/profile.php?id=61550639469003</t>
        </is>
      </c>
      <c r="D805" s="6" t="inlineStr">
        <is>
          <t>Cần quét Bio Fanpage</t>
        </is>
      </c>
      <c r="E805" s="53" t="inlineStr">
        <is>
          <t>28/04/2026 20:19:08</t>
        </is>
      </c>
      <c r="F805" s="53" t="inlineStr">
        <is>
          <t>5 tháng trước</t>
        </is>
      </c>
      <c r="G805" s="55" t="n">
        <v>150</v>
      </c>
      <c r="H805" s="56" t="n">
        <v>0</v>
      </c>
      <c r="I805" s="6" t="inlineStr">
        <is>
          <t>Pet Boarding / Huấn luyện K9 &amp; Dịch vụ (20-22đ)</t>
        </is>
      </c>
      <c r="J805" s="56" t="n">
        <v>22</v>
      </c>
      <c r="K805" s="6" t="inlineStr">
        <is>
          <t>Chưa rõ giống (Cần quét Bio)</t>
        </is>
      </c>
      <c r="L805" s="56" t="n">
        <v>0</v>
      </c>
      <c r="M805" s="56" t="n">
        <v>0</v>
      </c>
      <c r="N805" s="6" t="inlineStr">
        <is>
          <t>Amazon link not found</t>
        </is>
      </c>
      <c r="O805" s="56">
        <f>IF(N805="Selling pet toys + Artificial grass/Pet toilets (TARGET)",15,IF(N805="Selling artificial grass/pet toilets (TARGET)",10,IF(N805="Selling pet toys",7,IF(N805="There's an Amazon link, but no target sales.",3,0))))</f>
        <v/>
      </c>
      <c r="P805" s="65">
        <f>H805+J805+L805+M805+O805</f>
        <v/>
      </c>
      <c r="Q805" s="71" t="inlineStr">
        <is>
          <t>Excluded: Hiệp hội &amp; CLB Phả hệ (Mục 5.1)</t>
        </is>
      </c>
      <c r="R805" s="6" t="inlineStr">
        <is>
          <t>Cỏ nhân tạo sân chơi/huấn luyện (Dog Turf) + Đồ chơi nhai chịu lực (KONG/Chew Toys)</t>
        </is>
      </c>
      <c r="S805" s="6" t="inlineStr">
        <is>
          <t>Tuyệt đối không đưa vào CRM (Vi phạm Bộ lọc Âm tính Mục 5)</t>
        </is>
      </c>
    </row>
    <row r="806">
      <c r="A806" s="59" t="n">
        <v>2469</v>
      </c>
      <c r="B806" s="15" t="inlineStr">
        <is>
          <t>Pet Supplies Plus coupons</t>
        </is>
      </c>
      <c r="C806" s="60" t="inlineStr">
        <is>
          <t>https://www.facebook.com/PetSuppliesPlusCoupons</t>
        </is>
      </c>
      <c r="D806" s="9" t="inlineStr">
        <is>
          <t>Cần quét Bio Fanpage</t>
        </is>
      </c>
      <c r="E806" s="59" t="inlineStr">
        <is>
          <t>03/07/2021 06:00:59</t>
        </is>
      </c>
      <c r="F806" s="59" t="inlineStr">
        <is>
          <t>5 năm trước</t>
        </is>
      </c>
      <c r="G806" s="61" t="n">
        <v>1825</v>
      </c>
      <c r="H806" s="62" t="n">
        <v>0</v>
      </c>
      <c r="I806" s="9" t="inlineStr">
        <is>
          <t>Pet Owner / Cộng đồng nuôi cún (10đ)</t>
        </is>
      </c>
      <c r="J806" s="62" t="n">
        <v>10</v>
      </c>
      <c r="K806" s="9" t="inlineStr">
        <is>
          <t>Chưa rõ giống (Cần quét Bio)</t>
        </is>
      </c>
      <c r="L806" s="62" t="n">
        <v>0</v>
      </c>
      <c r="M806" s="62" t="n">
        <v>5</v>
      </c>
      <c r="N806" s="9" t="inlineStr">
        <is>
          <t>Selling pet toys</t>
        </is>
      </c>
      <c r="O806" s="62">
        <f>IF(N806="Selling pet toys + Artificial grass/Pet toilets (TARGET)",15,IF(N806="Selling artificial grass/pet toilets (TARGET)",10,IF(N806="Selling pet toys",7,IF(N806="There's an Amazon link, but no target sales.",3,0))))</f>
        <v/>
      </c>
      <c r="P806" s="67">
        <f>H806+J806+L806+M806+O806</f>
        <v/>
      </c>
      <c r="Q806" s="70" t="inlineStr">
        <is>
          <t>Excluded: Chuỗi Siêu thị Bán lẻ Lớn (Mục 5.2)</t>
        </is>
      </c>
      <c r="R806" s="9" t="inlineStr">
        <is>
          <t>Khay vệ sinh chung cư (Indoor Potty) + Thảm cỏ ban công (Grass Patch) + Đồ chơi</t>
        </is>
      </c>
      <c r="S806" s="9" t="inlineStr">
        <is>
          <t>Tuyệt đối không đưa vào CRM (Vi phạm Bộ lọc Âm tính Mục 5)</t>
        </is>
      </c>
    </row>
    <row r="807">
      <c r="A807" s="53" t="n">
        <v>3164</v>
      </c>
      <c r="B807" s="12" t="inlineStr">
        <is>
          <t>The Total Canine: Veterinary Sports Medicine &amp; Conditioning</t>
        </is>
      </c>
      <c r="C807" s="54" t="inlineStr">
        <is>
          <t>https://www.facebook.com/thetotalcanine</t>
        </is>
      </c>
      <c r="D807" s="6" t="inlineStr">
        <is>
          <t>Cần quét Bio Fanpage</t>
        </is>
      </c>
      <c r="E807" s="53" t="inlineStr">
        <is>
          <t>26/06/2026 05:45:48</t>
        </is>
      </c>
      <c r="F807" s="53" t="inlineStr">
        <is>
          <t>3 tháng trước</t>
        </is>
      </c>
      <c r="G807" s="55" t="n">
        <v>90</v>
      </c>
      <c r="H807" s="56" t="n">
        <v>0</v>
      </c>
      <c r="I807" s="6" t="inlineStr">
        <is>
          <t>Pet Boarding / Huấn luyện K9 &amp; Dịch vụ (20-22đ)</t>
        </is>
      </c>
      <c r="J807" s="56" t="n">
        <v>20</v>
      </c>
      <c r="K807" s="6" t="inlineStr">
        <is>
          <t>Chưa rõ giống (Cần quét Bio)</t>
        </is>
      </c>
      <c r="L807" s="56" t="n">
        <v>0</v>
      </c>
      <c r="M807" s="56" t="n">
        <v>0</v>
      </c>
      <c r="N807" s="6" t="inlineStr">
        <is>
          <t>Amazon link not found</t>
        </is>
      </c>
      <c r="O807" s="56">
        <f>IF(N807="Selling pet toys + Artificial grass/Pet toilets (TARGET)",15,IF(N807="Selling artificial grass/pet toilets (TARGET)",10,IF(N807="Selling pet toys",7,IF(N807="There's an Amazon link, but no target sales.",3,0))))</f>
        <v/>
      </c>
      <c r="P807" s="65">
        <f>H807+J807+L807+M807+O807</f>
        <v/>
      </c>
      <c r="Q807" s="71" t="inlineStr">
        <is>
          <t>Excluded: Công ty Gen DNA &amp; Thú y (Mục 5.4)</t>
        </is>
      </c>
      <c r="R807" s="6" t="inlineStr">
        <is>
          <t>Cỏ nhân tạo sân chơi/huấn luyện (Dog Turf) + Đồ chơi nhai chịu lực (KONG/Chew Toys)</t>
        </is>
      </c>
      <c r="S807" s="6" t="inlineStr">
        <is>
          <t>Tuyệt đối không đưa vào CRM (Vi phạm Bộ lọc Âm tính Mục 5)</t>
        </is>
      </c>
    </row>
    <row r="808">
      <c r="A808" s="59" t="n">
        <v>44</v>
      </c>
      <c r="B808" s="15" t="inlineStr">
        <is>
          <t>Orivet Genetic Pet Care</t>
        </is>
      </c>
      <c r="C808" s="60" t="inlineStr">
        <is>
          <t>https://www.facebook.com/orivetgenetics</t>
        </is>
      </c>
      <c r="D808" s="9" t="inlineStr">
        <is>
          <t>Cần quét Bio Fanpage</t>
        </is>
      </c>
      <c r="E808" s="59" t="inlineStr">
        <is>
          <t>25/04/2026 10:14:06</t>
        </is>
      </c>
      <c r="F808" s="59" t="inlineStr">
        <is>
          <t>5 tháng trước</t>
        </is>
      </c>
      <c r="G808" s="61" t="n">
        <v>150</v>
      </c>
      <c r="H808" s="62" t="n">
        <v>0</v>
      </c>
      <c r="I808" s="9" t="inlineStr">
        <is>
          <t>Pet Boarding / Huấn luyện K9 &amp; Dịch vụ (20-22đ)</t>
        </is>
      </c>
      <c r="J808" s="62" t="n">
        <v>20</v>
      </c>
      <c r="K808" s="9" t="inlineStr">
        <is>
          <t>Chưa rõ giống (Cần quét Bio)</t>
        </is>
      </c>
      <c r="L808" s="62" t="n">
        <v>0</v>
      </c>
      <c r="M808" s="62" t="n">
        <v>0</v>
      </c>
      <c r="N808" s="9" t="inlineStr">
        <is>
          <t>Amazon link not found</t>
        </is>
      </c>
      <c r="O808" s="62">
        <f>IF(N808="Selling pet toys + Artificial grass/Pet toilets (TARGET)",15,IF(N808="Selling artificial grass/pet toilets (TARGET)",10,IF(N808="Selling pet toys",7,IF(N808="There's an Amazon link, but no target sales.",3,0))))</f>
        <v/>
      </c>
      <c r="P808" s="67">
        <f>H808+J808+L808+M808+O808</f>
        <v/>
      </c>
      <c r="Q808" s="70" t="inlineStr">
        <is>
          <t>Excluded: Công ty Gen DNA &amp; Thú y (Mục 5.4)</t>
        </is>
      </c>
      <c r="R808" s="9" t="inlineStr">
        <is>
          <t>Cỏ nhân tạo sân chơi/huấn luyện (Dog Turf) + Đồ chơi nhai chịu lực (KONG/Chew Toys)</t>
        </is>
      </c>
      <c r="S808" s="9" t="inlineStr">
        <is>
          <t>Tuyệt đối không đưa vào CRM (Vi phạm Bộ lọc Âm tính Mục 5)</t>
        </is>
      </c>
    </row>
    <row r="809">
      <c r="A809" s="53" t="n">
        <v>957</v>
      </c>
      <c r="B809" s="12" t="inlineStr">
        <is>
          <t>Crazy Ladies Animal Services</t>
        </is>
      </c>
      <c r="C809" s="54" t="inlineStr">
        <is>
          <t>https://www.facebook.com/crazyladiesanimalservices</t>
        </is>
      </c>
      <c r="D809" s="6" t="inlineStr">
        <is>
          <t>Cần quét Bio Fanpage</t>
        </is>
      </c>
      <c r="E809" s="53" t="inlineStr">
        <is>
          <t>10/06/2026 23:43:13</t>
        </is>
      </c>
      <c r="F809" s="53" t="inlineStr">
        <is>
          <t>4 tháng trước</t>
        </is>
      </c>
      <c r="G809" s="55" t="n">
        <v>120</v>
      </c>
      <c r="H809" s="56" t="n">
        <v>0</v>
      </c>
      <c r="I809" s="6" t="inlineStr">
        <is>
          <t>Pet Rescue / Trạm cứu trợ (14-16đ)</t>
        </is>
      </c>
      <c r="J809" s="56" t="n">
        <v>14</v>
      </c>
      <c r="K809" s="6" t="inlineStr">
        <is>
          <t>Chưa rõ giống (Cần quét Bio)</t>
        </is>
      </c>
      <c r="L809" s="56" t="n">
        <v>0</v>
      </c>
      <c r="M809" s="56" t="n">
        <v>5</v>
      </c>
      <c r="N809" s="6" t="inlineStr">
        <is>
          <t>Amazon link not found</t>
        </is>
      </c>
      <c r="O809" s="56">
        <f>IF(N809="Selling pet toys + Artificial grass/Pet toilets (TARGET)",15,IF(N809="Selling artificial grass/pet toilets (TARGET)",10,IF(N809="Selling pet toys",7,IF(N809="There's an Amazon link, but no target sales.",3,0))))</f>
        <v/>
      </c>
      <c r="P809" s="65">
        <f>H809+J809+L809+M809+O809</f>
        <v/>
      </c>
      <c r="Q809" s="71" t="inlineStr">
        <is>
          <t>Excluded: Trang Chung / Không rõ Ngách Cún cưng</t>
        </is>
      </c>
      <c r="R809" s="6" t="inlineStr">
        <is>
          <t>Nhà vệ sinh &amp; Tã lót (Potty Tray / Pee Pads) + Cỏ nhân tạo lót chuồng</t>
        </is>
      </c>
      <c r="S809" s="6" t="inlineStr">
        <is>
          <t>Tuyệt đối không đưa vào CRM (Vi phạm Bộ lọc Âm tính Mục 5)</t>
        </is>
      </c>
    </row>
    <row r="810">
      <c r="A810" s="59" t="n">
        <v>1862</v>
      </c>
      <c r="B810" s="15" t="inlineStr">
        <is>
          <t>Kendall County Animal Control and Adoption Center</t>
        </is>
      </c>
      <c r="C810" s="60" t="inlineStr">
        <is>
          <t>https://www.facebook.com/profile.php?id=100068010770850</t>
        </is>
      </c>
      <c r="D810" s="9" t="inlineStr">
        <is>
          <t>Cần quét Bio Fanpage</t>
        </is>
      </c>
      <c r="E810" s="59" t="inlineStr">
        <is>
          <t>18/02/2026 03:31:28</t>
        </is>
      </c>
      <c r="F810" s="59" t="inlineStr">
        <is>
          <t>7 tháng trước</t>
        </is>
      </c>
      <c r="G810" s="61" t="n">
        <v>210</v>
      </c>
      <c r="H810" s="62" t="n">
        <v>0</v>
      </c>
      <c r="I810" s="9" t="inlineStr">
        <is>
          <t>Pet Rescue / Trạm cứu trợ (14-16đ)</t>
        </is>
      </c>
      <c r="J810" s="62" t="n">
        <v>14</v>
      </c>
      <c r="K810" s="9" t="inlineStr">
        <is>
          <t>Chưa rõ giống (Cần quét Bio)</t>
        </is>
      </c>
      <c r="L810" s="62" t="n">
        <v>0</v>
      </c>
      <c r="M810" s="62" t="n">
        <v>5</v>
      </c>
      <c r="N810" s="9" t="inlineStr">
        <is>
          <t>Amazon link not found</t>
        </is>
      </c>
      <c r="O810" s="62">
        <f>IF(N810="Selling pet toys + Artificial grass/Pet toilets (TARGET)",15,IF(N810="Selling artificial grass/pet toilets (TARGET)",10,IF(N810="Selling pet toys",7,IF(N810="There's an Amazon link, but no target sales.",3,0))))</f>
        <v/>
      </c>
      <c r="P810" s="67">
        <f>H810+J810+L810+M810+O810</f>
        <v/>
      </c>
      <c r="Q810" s="70" t="inlineStr">
        <is>
          <t>Excluded: Trang Chung / Không rõ Ngách Cún cưng</t>
        </is>
      </c>
      <c r="R810" s="9" t="inlineStr">
        <is>
          <t>Nhà vệ sinh &amp; Tã lót (Potty Tray / Pee Pads) + Cỏ nhân tạo lót chuồng</t>
        </is>
      </c>
      <c r="S810" s="9" t="inlineStr">
        <is>
          <t>Tuyệt đối không đưa vào CRM (Vi phạm Bộ lọc Âm tính Mục 5)</t>
        </is>
      </c>
    </row>
    <row r="811">
      <c r="A811" s="53" t="n">
        <v>915</v>
      </c>
      <c r="B811" s="12" t="inlineStr">
        <is>
          <t>Facebook User</t>
        </is>
      </c>
      <c r="C811" s="54" t="inlineStr">
        <is>
          <t>https://www.facebook.com/profile.php?id=100079910089515</t>
        </is>
      </c>
      <c r="D811" s="6" t="inlineStr">
        <is>
          <t>Cần quét Bio Fanpage</t>
        </is>
      </c>
      <c r="E811" s="53" t="inlineStr">
        <is>
          <t>20/09/2026 17:41:36</t>
        </is>
      </c>
      <c r="F811" s="53" t="inlineStr">
        <is>
          <t>3 tuần trước</t>
        </is>
      </c>
      <c r="G811" s="55" t="n">
        <v>21</v>
      </c>
      <c r="H811" s="56" t="n">
        <v>8</v>
      </c>
      <c r="I811" s="6" t="inlineStr">
        <is>
          <t>Pet Owner / Cộng đồng nuôi cún (10đ)</t>
        </is>
      </c>
      <c r="J811" s="56" t="n">
        <v>10</v>
      </c>
      <c r="K811" s="6" t="inlineStr">
        <is>
          <t>Chưa rõ giống (Cần quét Bio)</t>
        </is>
      </c>
      <c r="L811" s="56" t="n">
        <v>0</v>
      </c>
      <c r="M811" s="56" t="n">
        <v>0</v>
      </c>
      <c r="N811" s="6" t="inlineStr">
        <is>
          <t>Amazon link not found</t>
        </is>
      </c>
      <c r="O811" s="56">
        <f>IF(N811="Selling pet toys + Artificial grass/Pet toilets (TARGET)",15,IF(N811="Selling artificial grass/pet toilets (TARGET)",10,IF(N811="Selling pet toys",7,IF(N811="There's an Amazon link, but no target sales.",3,0))))</f>
        <v/>
      </c>
      <c r="P811" s="65">
        <f>H811+J811+L811+M811+O811</f>
        <v/>
      </c>
      <c r="Q811" s="71" t="inlineStr">
        <is>
          <t>Excluded: Hồ sơ Ẩn danh (Facebook User)</t>
        </is>
      </c>
      <c r="R811" s="6" t="inlineStr">
        <is>
          <t>Khay vệ sinh chung cư (Indoor Potty) + Thảm cỏ ban công (Grass Patch) + Đồ chơi</t>
        </is>
      </c>
      <c r="S811" s="6" t="inlineStr">
        <is>
          <t>Tuyệt đối không đưa vào CRM (Vi phạm Bộ lọc Âm tính Mục 5)</t>
        </is>
      </c>
    </row>
    <row r="812">
      <c r="A812" s="59" t="n">
        <v>180</v>
      </c>
      <c r="B812" s="15" t="inlineStr">
        <is>
          <t>Greenbank Veterinary Hospital</t>
        </is>
      </c>
      <c r="C812" s="60" t="inlineStr">
        <is>
          <t>https://www.facebook.com/Greenbankvet</t>
        </is>
      </c>
      <c r="D812" s="9" t="inlineStr">
        <is>
          <t>Cần quét Bio Fanpage</t>
        </is>
      </c>
      <c r="E812" s="59" t="inlineStr">
        <is>
          <t>18/09/2026 08:48:57</t>
        </is>
      </c>
      <c r="F812" s="59" t="inlineStr">
        <is>
          <t>3 tuần trước</t>
        </is>
      </c>
      <c r="G812" s="61" t="n">
        <v>21</v>
      </c>
      <c r="H812" s="62" t="n">
        <v>8</v>
      </c>
      <c r="I812" s="9" t="inlineStr">
        <is>
          <t>Pet Owner / Cộng đồng nuôi cún (10đ)</t>
        </is>
      </c>
      <c r="J812" s="62" t="n">
        <v>10</v>
      </c>
      <c r="K812" s="9" t="inlineStr">
        <is>
          <t>Chưa rõ giống (Cần quét Bio)</t>
        </is>
      </c>
      <c r="L812" s="62" t="n">
        <v>0</v>
      </c>
      <c r="M812" s="62" t="n">
        <v>0</v>
      </c>
      <c r="N812" s="9" t="inlineStr">
        <is>
          <t>Amazon link not found</t>
        </is>
      </c>
      <c r="O812" s="62">
        <f>IF(N812="Selling pet toys + Artificial grass/Pet toilets (TARGET)",15,IF(N812="Selling artificial grass/pet toilets (TARGET)",10,IF(N812="Selling pet toys",7,IF(N812="There's an Amazon link, but no target sales.",3,0))))</f>
        <v/>
      </c>
      <c r="P812" s="67">
        <f>H812+J812+L812+M812+O812</f>
        <v/>
      </c>
      <c r="Q812" s="70" t="inlineStr">
        <is>
          <t>Excluded: Công ty Gen DNA &amp; Thú y (Mục 5.4)</t>
        </is>
      </c>
      <c r="R812" s="9" t="inlineStr">
        <is>
          <t>Khay vệ sinh chung cư (Indoor Potty) + Thảm cỏ ban công (Grass Patch) + Đồ chơi</t>
        </is>
      </c>
      <c r="S812" s="9" t="inlineStr">
        <is>
          <t>Tuyệt đối không đưa vào CRM (Vi phạm Bộ lọc Âm tính Mục 5)</t>
        </is>
      </c>
    </row>
    <row r="813">
      <c r="A813" s="53" t="n">
        <v>473</v>
      </c>
      <c r="B813" s="12" t="inlineStr">
        <is>
          <t>Animal pride</t>
        </is>
      </c>
      <c r="C813" s="54" t="inlineStr">
        <is>
          <t>https://www.facebook.com/animalprideit</t>
        </is>
      </c>
      <c r="D813" s="6" t="inlineStr">
        <is>
          <t>Cần quét Bio Fanpage</t>
        </is>
      </c>
      <c r="E813" s="53" t="inlineStr">
        <is>
          <t>18/09/2026 06:45:50</t>
        </is>
      </c>
      <c r="F813" s="53" t="inlineStr">
        <is>
          <t>3 tuần trước</t>
        </is>
      </c>
      <c r="G813" s="55" t="n">
        <v>21</v>
      </c>
      <c r="H813" s="56" t="n">
        <v>8</v>
      </c>
      <c r="I813" s="6" t="inlineStr">
        <is>
          <t>Pet Owner / Cộng đồng nuôi cún (10đ)</t>
        </is>
      </c>
      <c r="J813" s="56" t="n">
        <v>10</v>
      </c>
      <c r="K813" s="6" t="inlineStr">
        <is>
          <t>Chưa rõ giống (Cần quét Bio)</t>
        </is>
      </c>
      <c r="L813" s="56" t="n">
        <v>0</v>
      </c>
      <c r="M813" s="56" t="n">
        <v>0</v>
      </c>
      <c r="N813" s="6" t="inlineStr">
        <is>
          <t>Amazon link not found</t>
        </is>
      </c>
      <c r="O813" s="56">
        <f>IF(N813="Selling pet toys + Artificial grass/Pet toilets (TARGET)",15,IF(N813="Selling artificial grass/pet toilets (TARGET)",10,IF(N813="Selling pet toys",7,IF(N813="There's an Amazon link, but no target sales.",3,0))))</f>
        <v/>
      </c>
      <c r="P813" s="65">
        <f>H813+J813+L813+M813+O813</f>
        <v/>
      </c>
      <c r="Q813" s="71" t="inlineStr">
        <is>
          <t>Excluded: Trang Chung / Không rõ Ngách Cún cưng</t>
        </is>
      </c>
      <c r="R813" s="6" t="inlineStr">
        <is>
          <t>Khay vệ sinh chung cư (Indoor Potty) + Thảm cỏ ban công (Grass Patch) + Đồ chơi</t>
        </is>
      </c>
      <c r="S813" s="6" t="inlineStr">
        <is>
          <t>Tuyệt đối không đưa vào CRM (Vi phạm Bộ lọc Âm tính Mục 5)</t>
        </is>
      </c>
    </row>
    <row r="814">
      <c r="A814" s="59" t="n">
        <v>2618</v>
      </c>
      <c r="B814" s="15" t="inlineStr">
        <is>
          <t>Premier Animal Housing Ltd</t>
        </is>
      </c>
      <c r="C814" s="60" t="inlineStr">
        <is>
          <t>https://www.facebook.com/premieranimalhousing</t>
        </is>
      </c>
      <c r="D814" s="9" t="inlineStr">
        <is>
          <t>Cần quét Bio Fanpage</t>
        </is>
      </c>
      <c r="E814" s="59" t="inlineStr">
        <is>
          <t>17/09/2026 16:12:35</t>
        </is>
      </c>
      <c r="F814" s="59" t="inlineStr">
        <is>
          <t>3 tuần trước</t>
        </is>
      </c>
      <c r="G814" s="61" t="n">
        <v>21</v>
      </c>
      <c r="H814" s="62" t="n">
        <v>8</v>
      </c>
      <c r="I814" s="9" t="inlineStr">
        <is>
          <t>Pet Owner / Cộng đồng nuôi cún (10đ)</t>
        </is>
      </c>
      <c r="J814" s="62" t="n">
        <v>10</v>
      </c>
      <c r="K814" s="9" t="inlineStr">
        <is>
          <t>Chưa rõ giống (Cần quét Bio)</t>
        </is>
      </c>
      <c r="L814" s="62" t="n">
        <v>0</v>
      </c>
      <c r="M814" s="62" t="n">
        <v>0</v>
      </c>
      <c r="N814" s="9" t="inlineStr">
        <is>
          <t>Amazon link not found</t>
        </is>
      </c>
      <c r="O814" s="62">
        <f>IF(N814="Selling pet toys + Artificial grass/Pet toilets (TARGET)",15,IF(N814="Selling artificial grass/pet toilets (TARGET)",10,IF(N814="Selling pet toys",7,IF(N814="There's an Amazon link, but no target sales.",3,0))))</f>
        <v/>
      </c>
      <c r="P814" s="67">
        <f>H814+J814+L814+M814+O814</f>
        <v/>
      </c>
      <c r="Q814" s="70" t="inlineStr">
        <is>
          <t>Excluded: Trang Chung / Không rõ Ngách Cún cưng</t>
        </is>
      </c>
      <c r="R814" s="9" t="inlineStr">
        <is>
          <t>Khay vệ sinh chung cư (Indoor Potty) + Thảm cỏ ban công (Grass Patch) + Đồ chơi</t>
        </is>
      </c>
      <c r="S814" s="9" t="inlineStr">
        <is>
          <t>Tuyệt đối không đưa vào CRM (Vi phạm Bộ lọc Âm tính Mục 5)</t>
        </is>
      </c>
    </row>
    <row r="815">
      <c r="A815" s="53" t="n">
        <v>1752</v>
      </c>
      <c r="B815" s="12" t="inlineStr">
        <is>
          <t>Jackson Tennessee Dog Fanciers Association</t>
        </is>
      </c>
      <c r="C815" s="54" t="inlineStr">
        <is>
          <t>https://www.facebook.com/profile.php?id=100077163384145</t>
        </is>
      </c>
      <c r="D815" s="6" t="inlineStr">
        <is>
          <t>Cần quét Bio Fanpage</t>
        </is>
      </c>
      <c r="E815" s="53" t="inlineStr">
        <is>
          <t>17/09/2026 04:10:12</t>
        </is>
      </c>
      <c r="F815" s="53" t="inlineStr">
        <is>
          <t>3 tuần trước</t>
        </is>
      </c>
      <c r="G815" s="55" t="n">
        <v>21</v>
      </c>
      <c r="H815" s="56" t="n">
        <v>8</v>
      </c>
      <c r="I815" s="6" t="inlineStr">
        <is>
          <t>Pet Owner / Cộng đồng nuôi cún (10đ)</t>
        </is>
      </c>
      <c r="J815" s="56" t="n">
        <v>10</v>
      </c>
      <c r="K815" s="6" t="inlineStr">
        <is>
          <t>Chưa rõ giống (Cần quét Bio)</t>
        </is>
      </c>
      <c r="L815" s="56" t="n">
        <v>0</v>
      </c>
      <c r="M815" s="56" t="n">
        <v>0</v>
      </c>
      <c r="N815" s="6" t="inlineStr">
        <is>
          <t>Amazon link not found</t>
        </is>
      </c>
      <c r="O815" s="56">
        <f>IF(N815="Selling pet toys + Artificial grass/Pet toilets (TARGET)",15,IF(N815="Selling artificial grass/pet toilets (TARGET)",10,IF(N815="Selling pet toys",7,IF(N815="There's an Amazon link, but no target sales.",3,0))))</f>
        <v/>
      </c>
      <c r="P815" s="65">
        <f>H815+J815+L815+M815+O815</f>
        <v/>
      </c>
      <c r="Q815" s="71" t="inlineStr">
        <is>
          <t>Excluded: Kênh Tin tức, Tạp chí &amp; Giải trí (Mục 5.3)</t>
        </is>
      </c>
      <c r="R815" s="6" t="inlineStr">
        <is>
          <t>Khay vệ sinh chung cư (Indoor Potty) + Thảm cỏ ban công (Grass Patch) + Đồ chơi</t>
        </is>
      </c>
      <c r="S815" s="6" t="inlineStr">
        <is>
          <t>Tuyệt đối không đưa vào CRM (Vi phạm Bộ lọc Âm tính Mục 5)</t>
        </is>
      </c>
    </row>
    <row r="816">
      <c r="A816" s="59" t="n">
        <v>1969</v>
      </c>
      <c r="B816" s="15" t="inlineStr">
        <is>
          <t>Lachy's Outdoor Care</t>
        </is>
      </c>
      <c r="C816" s="60" t="inlineStr">
        <is>
          <t>https://www.facebook.com/profile.php?id=61573383688910</t>
        </is>
      </c>
      <c r="D816" s="9" t="inlineStr">
        <is>
          <t>Cần quét Bio Fanpage</t>
        </is>
      </c>
      <c r="E816" s="59" t="inlineStr">
        <is>
          <t>16/09/2026 03:08:57</t>
        </is>
      </c>
      <c r="F816" s="59" t="inlineStr">
        <is>
          <t>3 tuần trước</t>
        </is>
      </c>
      <c r="G816" s="61" t="n">
        <v>21</v>
      </c>
      <c r="H816" s="62" t="n">
        <v>8</v>
      </c>
      <c r="I816" s="9" t="inlineStr">
        <is>
          <t>Pet Owner / Cộng đồng nuôi cún (10đ)</t>
        </is>
      </c>
      <c r="J816" s="62" t="n">
        <v>10</v>
      </c>
      <c r="K816" s="9" t="inlineStr">
        <is>
          <t>Chưa rõ giống (Cần quét Bio)</t>
        </is>
      </c>
      <c r="L816" s="62" t="n">
        <v>0</v>
      </c>
      <c r="M816" s="62" t="n">
        <v>0</v>
      </c>
      <c r="N816" s="9" t="inlineStr">
        <is>
          <t>Amazon link not found</t>
        </is>
      </c>
      <c r="O816" s="62">
        <f>IF(N816="Selling pet toys + Artificial grass/Pet toilets (TARGET)",15,IF(N816="Selling artificial grass/pet toilets (TARGET)",10,IF(N816="Selling pet toys",7,IF(N816="There's an Amazon link, but no target sales.",3,0))))</f>
        <v/>
      </c>
      <c r="P816" s="67">
        <f>H816+J816+L816+M816+O816</f>
        <v/>
      </c>
      <c r="Q816" s="70" t="inlineStr">
        <is>
          <t>Excluded: Trang Chung / Không rõ Ngách Cún cưng</t>
        </is>
      </c>
      <c r="R816" s="9" t="inlineStr">
        <is>
          <t>Khay vệ sinh chung cư (Indoor Potty) + Thảm cỏ ban công (Grass Patch) + Đồ chơi</t>
        </is>
      </c>
      <c r="S816" s="9" t="inlineStr">
        <is>
          <t>Tuyệt đối không đưa vào CRM (Vi phạm Bộ lọc Âm tính Mục 5)</t>
        </is>
      </c>
    </row>
    <row r="817">
      <c r="A817" s="53" t="n">
        <v>2879</v>
      </c>
      <c r="B817" s="12" t="inlineStr">
        <is>
          <t>Sheen Farmers Tug of War</t>
        </is>
      </c>
      <c r="C817" s="54" t="inlineStr">
        <is>
          <t>https://www.facebook.com/profile.php?id=61558552682037</t>
        </is>
      </c>
      <c r="D817" s="6" t="inlineStr">
        <is>
          <t>Cần quét Bio Fanpage</t>
        </is>
      </c>
      <c r="E817" s="53" t="inlineStr">
        <is>
          <t>15/09/2026 20:47:30</t>
        </is>
      </c>
      <c r="F817" s="53" t="inlineStr">
        <is>
          <t>3 tuần trước</t>
        </is>
      </c>
      <c r="G817" s="55" t="n">
        <v>21</v>
      </c>
      <c r="H817" s="56" t="n">
        <v>8</v>
      </c>
      <c r="I817" s="6" t="inlineStr">
        <is>
          <t>Pet Owner / Cộng đồng nuôi cún (10đ)</t>
        </is>
      </c>
      <c r="J817" s="56" t="n">
        <v>10</v>
      </c>
      <c r="K817" s="6" t="inlineStr">
        <is>
          <t>Chưa rõ giống (Cần quét Bio)</t>
        </is>
      </c>
      <c r="L817" s="56" t="n">
        <v>0</v>
      </c>
      <c r="M817" s="56" t="n">
        <v>0</v>
      </c>
      <c r="N817" s="6" t="inlineStr">
        <is>
          <t>Amazon link not found</t>
        </is>
      </c>
      <c r="O817" s="56">
        <f>IF(N817="Selling pet toys + Artificial grass/Pet toilets (TARGET)",15,IF(N817="Selling artificial grass/pet toilets (TARGET)",10,IF(N817="Selling pet toys",7,IF(N817="There's an Amazon link, but no target sales.",3,0))))</f>
        <v/>
      </c>
      <c r="P817" s="65">
        <f>H817+J817+L817+M817+O817</f>
        <v/>
      </c>
      <c r="Q817" s="71" t="inlineStr">
        <is>
          <t>Excluded: Trang Chung / Không rõ Ngách Cún cưng</t>
        </is>
      </c>
      <c r="R817" s="6" t="inlineStr">
        <is>
          <t>Khay vệ sinh chung cư (Indoor Potty) + Thảm cỏ ban công (Grass Patch) + Đồ chơi</t>
        </is>
      </c>
      <c r="S817" s="6" t="inlineStr">
        <is>
          <t>Tuyệt đối không đưa vào CRM (Vi phạm Bộ lọc Âm tính Mục 5)</t>
        </is>
      </c>
    </row>
    <row r="818">
      <c r="A818" s="59" t="n">
        <v>1360</v>
      </c>
      <c r="B818" s="15" t="inlineStr">
        <is>
          <t>FCI Dog Dancing World Championship</t>
        </is>
      </c>
      <c r="C818" s="60" t="inlineStr">
        <is>
          <t>https://www.facebook.com/DogdanceWorldchampionship</t>
        </is>
      </c>
      <c r="D818" s="9" t="inlineStr">
        <is>
          <t>Cần quét Bio Fanpage</t>
        </is>
      </c>
      <c r="E818" s="59" t="inlineStr">
        <is>
          <t>15/09/2026 16:35:25</t>
        </is>
      </c>
      <c r="F818" s="59" t="inlineStr">
        <is>
          <t>3 tuần trước</t>
        </is>
      </c>
      <c r="G818" s="61" t="n">
        <v>21</v>
      </c>
      <c r="H818" s="62" t="n">
        <v>8</v>
      </c>
      <c r="I818" s="9" t="inlineStr">
        <is>
          <t>Pet Owner / Cộng đồng nuôi cún (10đ)</t>
        </is>
      </c>
      <c r="J818" s="62" t="n">
        <v>10</v>
      </c>
      <c r="K818" s="9" t="inlineStr">
        <is>
          <t>Chưa rõ giống (Cần quét Bio)</t>
        </is>
      </c>
      <c r="L818" s="62" t="n">
        <v>0</v>
      </c>
      <c r="M818" s="62" t="n">
        <v>0</v>
      </c>
      <c r="N818" s="9" t="inlineStr">
        <is>
          <t>Amazon link not found</t>
        </is>
      </c>
      <c r="O818" s="62">
        <f>IF(N818="Selling pet toys + Artificial grass/Pet toilets (TARGET)",15,IF(N818="Selling artificial grass/pet toilets (TARGET)",10,IF(N818="Selling pet toys",7,IF(N818="There's an Amazon link, but no target sales.",3,0))))</f>
        <v/>
      </c>
      <c r="P818" s="67">
        <f>H818+J818+L818+M818+O818</f>
        <v/>
      </c>
      <c r="Q818" s="70" t="inlineStr">
        <is>
          <t>Excluded: Hiệp hội &amp; CLB Phả hệ (Mục 5.1)</t>
        </is>
      </c>
      <c r="R818" s="9" t="inlineStr">
        <is>
          <t>Khay vệ sinh chung cư (Indoor Potty) + Thảm cỏ ban công (Grass Patch) + Đồ chơi</t>
        </is>
      </c>
      <c r="S818" s="9" t="inlineStr">
        <is>
          <t>Tuyệt đối không đưa vào CRM (Vi phạm Bộ lọc Âm tính Mục 5)</t>
        </is>
      </c>
    </row>
    <row r="819">
      <c r="A819" s="53" t="n">
        <v>3010</v>
      </c>
      <c r="B819" s="12" t="inlineStr">
        <is>
          <t>Stroud Road Veterinary Surgery</t>
        </is>
      </c>
      <c r="C819" s="54" t="inlineStr">
        <is>
          <t>https://www.facebook.com/stroudroadvets</t>
        </is>
      </c>
      <c r="D819" s="6" t="inlineStr">
        <is>
          <t>Cần quét Bio Fanpage</t>
        </is>
      </c>
      <c r="E819" s="53" t="inlineStr">
        <is>
          <t>15/09/2026 00:32:13</t>
        </is>
      </c>
      <c r="F819" s="53" t="inlineStr">
        <is>
          <t>4 tuần trước</t>
        </is>
      </c>
      <c r="G819" s="55" t="n">
        <v>28</v>
      </c>
      <c r="H819" s="56" t="n">
        <v>8</v>
      </c>
      <c r="I819" s="6" t="inlineStr">
        <is>
          <t>Pet Owner / Cộng đồng nuôi cún (10đ)</t>
        </is>
      </c>
      <c r="J819" s="56" t="n">
        <v>10</v>
      </c>
      <c r="K819" s="6" t="inlineStr">
        <is>
          <t>Chưa rõ giống (Cần quét Bio)</t>
        </is>
      </c>
      <c r="L819" s="56" t="n">
        <v>0</v>
      </c>
      <c r="M819" s="56" t="n">
        <v>0</v>
      </c>
      <c r="N819" s="6" t="inlineStr">
        <is>
          <t>Amazon link not found</t>
        </is>
      </c>
      <c r="O819" s="56">
        <f>IF(N819="Selling pet toys + Artificial grass/Pet toilets (TARGET)",15,IF(N819="Selling artificial grass/pet toilets (TARGET)",10,IF(N819="Selling pet toys",7,IF(N819="There's an Amazon link, but no target sales.",3,0))))</f>
        <v/>
      </c>
      <c r="P819" s="65">
        <f>H819+J819+L819+M819+O819</f>
        <v/>
      </c>
      <c r="Q819" s="71" t="inlineStr">
        <is>
          <t>Excluded: Công ty Gen DNA &amp; Thú y (Mục 5.4)</t>
        </is>
      </c>
      <c r="R819" s="6" t="inlineStr">
        <is>
          <t>Khay vệ sinh chung cư (Indoor Potty) + Thảm cỏ ban công (Grass Patch) + Đồ chơi</t>
        </is>
      </c>
      <c r="S819" s="6" t="inlineStr">
        <is>
          <t>Tuyệt đối không đưa vào CRM (Vi phạm Bộ lọc Âm tính Mục 5)</t>
        </is>
      </c>
    </row>
    <row r="820">
      <c r="A820" s="59" t="n">
        <v>485</v>
      </c>
      <c r="B820" s="15" t="inlineStr">
        <is>
          <t>Animales Perdidos y Encontrados En Castilla y León</t>
        </is>
      </c>
      <c r="C820" s="60" t="inlineStr">
        <is>
          <t>https://www.facebook.com/perdidosencastillayleon</t>
        </is>
      </c>
      <c r="D820" s="9" t="inlineStr">
        <is>
          <t>Cần quét Bio Fanpage</t>
        </is>
      </c>
      <c r="E820" s="59" t="inlineStr">
        <is>
          <t>14/09/2026 17:18:39</t>
        </is>
      </c>
      <c r="F820" s="59" t="inlineStr">
        <is>
          <t>4 tuần trước</t>
        </is>
      </c>
      <c r="G820" s="61" t="n">
        <v>28</v>
      </c>
      <c r="H820" s="62" t="n">
        <v>8</v>
      </c>
      <c r="I820" s="9" t="inlineStr">
        <is>
          <t>Pet Owner / Cộng đồng nuôi cún (10đ)</t>
        </is>
      </c>
      <c r="J820" s="62" t="n">
        <v>10</v>
      </c>
      <c r="K820" s="9" t="inlineStr">
        <is>
          <t>Chưa rõ giống (Cần quét Bio)</t>
        </is>
      </c>
      <c r="L820" s="62" t="n">
        <v>0</v>
      </c>
      <c r="M820" s="62" t="n">
        <v>0</v>
      </c>
      <c r="N820" s="9" t="inlineStr">
        <is>
          <t>Amazon link not found</t>
        </is>
      </c>
      <c r="O820" s="62">
        <f>IF(N820="Selling pet toys + Artificial grass/Pet toilets (TARGET)",15,IF(N820="Selling artificial grass/pet toilets (TARGET)",10,IF(N820="Selling pet toys",7,IF(N820="There's an Amazon link, but no target sales.",3,0))))</f>
        <v/>
      </c>
      <c r="P820" s="67">
        <f>H820+J820+L820+M820+O820</f>
        <v/>
      </c>
      <c r="Q820" s="70" t="inlineStr">
        <is>
          <t>Excluded: Trang Chung / Không rõ Ngách Cún cưng</t>
        </is>
      </c>
      <c r="R820" s="9" t="inlineStr">
        <is>
          <t>Khay vệ sinh chung cư (Indoor Potty) + Thảm cỏ ban công (Grass Patch) + Đồ chơi</t>
        </is>
      </c>
      <c r="S820" s="9" t="inlineStr">
        <is>
          <t>Tuyệt đối không đưa vào CRM (Vi phạm Bộ lọc Âm tính Mục 5)</t>
        </is>
      </c>
    </row>
    <row r="821">
      <c r="A821" s="53" t="n">
        <v>3268</v>
      </c>
      <c r="B821" s="12" t="inlineStr">
        <is>
          <t>Universal Animals</t>
        </is>
      </c>
      <c r="C821" s="54" t="inlineStr">
        <is>
          <t>https://www.facebook.com/universalanimalsatl</t>
        </is>
      </c>
      <c r="D821" s="6" t="inlineStr">
        <is>
          <t>Cần quét Bio Fanpage</t>
        </is>
      </c>
      <c r="E821" s="53" t="inlineStr">
        <is>
          <t>14/09/2026 05:04:57</t>
        </is>
      </c>
      <c r="F821" s="53" t="inlineStr">
        <is>
          <t>4 tuần trước</t>
        </is>
      </c>
      <c r="G821" s="55" t="n">
        <v>28</v>
      </c>
      <c r="H821" s="56" t="n">
        <v>8</v>
      </c>
      <c r="I821" s="6" t="inlineStr">
        <is>
          <t>Pet Owner / Cộng đồng nuôi cún (10đ)</t>
        </is>
      </c>
      <c r="J821" s="56" t="n">
        <v>10</v>
      </c>
      <c r="K821" s="6" t="inlineStr">
        <is>
          <t>Chưa rõ giống (Cần quét Bio)</t>
        </is>
      </c>
      <c r="L821" s="56" t="n">
        <v>0</v>
      </c>
      <c r="M821" s="56" t="n">
        <v>0</v>
      </c>
      <c r="N821" s="6" t="inlineStr">
        <is>
          <t>Amazon link not found</t>
        </is>
      </c>
      <c r="O821" s="56">
        <f>IF(N821="Selling pet toys + Artificial grass/Pet toilets (TARGET)",15,IF(N821="Selling artificial grass/pet toilets (TARGET)",10,IF(N821="Selling pet toys",7,IF(N821="There's an Amazon link, but no target sales.",3,0))))</f>
        <v/>
      </c>
      <c r="P821" s="65">
        <f>H821+J821+L821+M821+O821</f>
        <v/>
      </c>
      <c r="Q821" s="71" t="inlineStr">
        <is>
          <t>Excluded: Trang Chung / Không rõ Ngách Cún cưng</t>
        </is>
      </c>
      <c r="R821" s="6" t="inlineStr">
        <is>
          <t>Khay vệ sinh chung cư (Indoor Potty) + Thảm cỏ ban công (Grass Patch) + Đồ chơi</t>
        </is>
      </c>
      <c r="S821" s="6" t="inlineStr">
        <is>
          <t>Tuyệt đối không đưa vào CRM (Vi phạm Bộ lọc Âm tính Mục 5)</t>
        </is>
      </c>
    </row>
    <row r="822">
      <c r="A822" s="59" t="n">
        <v>316</v>
      </c>
      <c r="B822" s="15" t="inlineStr">
        <is>
          <t>A Kind Heart Healthcare Services - Arizona</t>
        </is>
      </c>
      <c r="C822" s="60" t="inlineStr">
        <is>
          <t>https://www.facebook.com/AkindheartAZ</t>
        </is>
      </c>
      <c r="D822" s="9" t="inlineStr">
        <is>
          <t>Cần quét Bio Fanpage</t>
        </is>
      </c>
      <c r="E822" s="59" t="inlineStr">
        <is>
          <t>10/09/2026 03:45:38</t>
        </is>
      </c>
      <c r="F822" s="59" t="inlineStr">
        <is>
          <t>1 tháng trước</t>
        </is>
      </c>
      <c r="G822" s="61" t="n">
        <v>30</v>
      </c>
      <c r="H822" s="62" t="n">
        <v>0</v>
      </c>
      <c r="I822" s="9" t="inlineStr">
        <is>
          <t>Pet Owner / Cộng đồng nuôi cún (10đ)</t>
        </is>
      </c>
      <c r="J822" s="62" t="n">
        <v>10</v>
      </c>
      <c r="K822" s="9" t="inlineStr">
        <is>
          <t>Chưa rõ giống (Cần quét Bio)</t>
        </is>
      </c>
      <c r="L822" s="62" t="n">
        <v>0</v>
      </c>
      <c r="M822" s="62" t="n">
        <v>5</v>
      </c>
      <c r="N822" s="9" t="inlineStr">
        <is>
          <t>Amazon link not found</t>
        </is>
      </c>
      <c r="O822" s="62">
        <f>IF(N822="Selling pet toys + Artificial grass/Pet toilets (TARGET)",15,IF(N822="Selling artificial grass/pet toilets (TARGET)",10,IF(N822="Selling pet toys",7,IF(N822="There's an Amazon link, but no target sales.",3,0))))</f>
        <v/>
      </c>
      <c r="P822" s="67">
        <f>H822+J822+L822+M822+O822</f>
        <v/>
      </c>
      <c r="Q822" s="70" t="inlineStr">
        <is>
          <t>Excluded: Trang Chung / Không rõ Ngách Cún cưng</t>
        </is>
      </c>
      <c r="R822" s="9" t="inlineStr">
        <is>
          <t>Khay vệ sinh chung cư (Indoor Potty) + Thảm cỏ ban công (Grass Patch) + Đồ chơi</t>
        </is>
      </c>
      <c r="S822" s="9" t="inlineStr">
        <is>
          <t>Tuyệt đối không đưa vào CRM (Vi phạm Bộ lọc Âm tính Mục 5)</t>
        </is>
      </c>
    </row>
    <row r="823">
      <c r="A823" s="53" t="n">
        <v>480</v>
      </c>
      <c r="B823" s="12" t="inlineStr">
        <is>
          <t>Animal Vet Supply-สินค้าสำหรับปศุสัตว์</t>
        </is>
      </c>
      <c r="C823" s="54" t="inlineStr">
        <is>
          <t>https://www.facebook.com/profile.php?id=61579043523153</t>
        </is>
      </c>
      <c r="D823" s="6" t="inlineStr">
        <is>
          <t>Cần quét Bio Fanpage</t>
        </is>
      </c>
      <c r="E823" s="53" t="inlineStr">
        <is>
          <t>09/09/2026 14:29:40</t>
        </is>
      </c>
      <c r="F823" s="53" t="inlineStr">
        <is>
          <t>1 tháng trước</t>
        </is>
      </c>
      <c r="G823" s="55" t="n">
        <v>30</v>
      </c>
      <c r="H823" s="56" t="n">
        <v>0</v>
      </c>
      <c r="I823" s="6" t="inlineStr">
        <is>
          <t>Pet Owner / Cộng đồng nuôi cún (10đ)</t>
        </is>
      </c>
      <c r="J823" s="56" t="n">
        <v>10</v>
      </c>
      <c r="K823" s="6" t="inlineStr">
        <is>
          <t>Chưa rõ giống (Cần quét Bio)</t>
        </is>
      </c>
      <c r="L823" s="56" t="n">
        <v>0</v>
      </c>
      <c r="M823" s="56" t="n">
        <v>5</v>
      </c>
      <c r="N823" s="6" t="inlineStr">
        <is>
          <t>Amazon link not found</t>
        </is>
      </c>
      <c r="O823" s="56">
        <f>IF(N823="Selling pet toys + Artificial grass/Pet toilets (TARGET)",15,IF(N823="Selling artificial grass/pet toilets (TARGET)",10,IF(N823="Selling pet toys",7,IF(N823="There's an Amazon link, but no target sales.",3,0))))</f>
        <v/>
      </c>
      <c r="P823" s="65">
        <f>H823+J823+L823+M823+O823</f>
        <v/>
      </c>
      <c r="Q823" s="71" t="inlineStr">
        <is>
          <t>Excluded: Trang Chung / Không rõ Ngách Cún cưng</t>
        </is>
      </c>
      <c r="R823" s="6" t="inlineStr">
        <is>
          <t>Khay vệ sinh chung cư (Indoor Potty) + Thảm cỏ ban công (Grass Patch) + Đồ chơi</t>
        </is>
      </c>
      <c r="S823" s="6" t="inlineStr">
        <is>
          <t>Tuyệt đối không đưa vào CRM (Vi phạm Bộ lọc Âm tính Mục 5)</t>
        </is>
      </c>
    </row>
    <row r="824">
      <c r="A824" s="59" t="n">
        <v>479</v>
      </c>
      <c r="B824" s="15" t="inlineStr">
        <is>
          <t>Animal Trips</t>
        </is>
      </c>
      <c r="C824" s="60" t="inlineStr">
        <is>
          <t>https://www.facebook.com/animalstripsofficial</t>
        </is>
      </c>
      <c r="D824" s="9" t="inlineStr">
        <is>
          <t>Cần quét Bio Fanpage</t>
        </is>
      </c>
      <c r="E824" s="59" t="inlineStr">
        <is>
          <t>26/08/2026 13:00:51</t>
        </is>
      </c>
      <c r="F824" s="59" t="inlineStr">
        <is>
          <t>1 tháng trước</t>
        </is>
      </c>
      <c r="G824" s="61" t="n">
        <v>30</v>
      </c>
      <c r="H824" s="62" t="n">
        <v>0</v>
      </c>
      <c r="I824" s="9" t="inlineStr">
        <is>
          <t>Pet Owner / Cộng đồng nuôi cún (10đ)</t>
        </is>
      </c>
      <c r="J824" s="62" t="n">
        <v>10</v>
      </c>
      <c r="K824" s="9" t="inlineStr">
        <is>
          <t>Chưa rõ giống (Cần quét Bio)</t>
        </is>
      </c>
      <c r="L824" s="62" t="n">
        <v>0</v>
      </c>
      <c r="M824" s="62" t="n">
        <v>5</v>
      </c>
      <c r="N824" s="9" t="inlineStr">
        <is>
          <t>Amazon link not found</t>
        </is>
      </c>
      <c r="O824" s="62">
        <f>IF(N824="Selling pet toys + Artificial grass/Pet toilets (TARGET)",15,IF(N824="Selling artificial grass/pet toilets (TARGET)",10,IF(N824="Selling pet toys",7,IF(N824="There's an Amazon link, but no target sales.",3,0))))</f>
        <v/>
      </c>
      <c r="P824" s="67">
        <f>H824+J824+L824+M824+O824</f>
        <v/>
      </c>
      <c r="Q824" s="70" t="inlineStr">
        <is>
          <t>Excluded: Trang Chung / Không rõ Ngách Cún cưng</t>
        </is>
      </c>
      <c r="R824" s="9" t="inlineStr">
        <is>
          <t>Khay vệ sinh chung cư (Indoor Potty) + Thảm cỏ ban công (Grass Patch) + Đồ chơi</t>
        </is>
      </c>
      <c r="S824" s="9" t="inlineStr">
        <is>
          <t>Tuyệt đối không đưa vào CRM (Vi phạm Bộ lọc Âm tính Mục 5)</t>
        </is>
      </c>
    </row>
    <row r="825">
      <c r="A825" s="53" t="n">
        <v>2429</v>
      </c>
      <c r="B825" s="12" t="inlineStr">
        <is>
          <t>Percherones Mucare</t>
        </is>
      </c>
      <c r="C825" s="54" t="inlineStr">
        <is>
          <t>https://www.facebook.com/percheronesmucare.com.ar</t>
        </is>
      </c>
      <c r="D825" s="6" t="inlineStr">
        <is>
          <t>Cần quét Bio Fanpage</t>
        </is>
      </c>
      <c r="E825" s="53" t="inlineStr">
        <is>
          <t>18/07/2026 05:29:31</t>
        </is>
      </c>
      <c r="F825" s="53" t="inlineStr">
        <is>
          <t>2 tháng trước</t>
        </is>
      </c>
      <c r="G825" s="55" t="n">
        <v>60</v>
      </c>
      <c r="H825" s="56" t="n">
        <v>0</v>
      </c>
      <c r="I825" s="6" t="inlineStr">
        <is>
          <t>Pet Owner / Cộng đồng nuôi cún (10đ)</t>
        </is>
      </c>
      <c r="J825" s="56" t="n">
        <v>10</v>
      </c>
      <c r="K825" s="6" t="inlineStr">
        <is>
          <t>Chưa rõ giống (Cần quét Bio)</t>
        </is>
      </c>
      <c r="L825" s="56" t="n">
        <v>0</v>
      </c>
      <c r="M825" s="56" t="n">
        <v>5</v>
      </c>
      <c r="N825" s="6" t="inlineStr">
        <is>
          <t>Amazon link not found</t>
        </is>
      </c>
      <c r="O825" s="56">
        <f>IF(N825="Selling pet toys + Artificial grass/Pet toilets (TARGET)",15,IF(N825="Selling artificial grass/pet toilets (TARGET)",10,IF(N825="Selling pet toys",7,IF(N825="There's an Amazon link, but no target sales.",3,0))))</f>
        <v/>
      </c>
      <c r="P825" s="65">
        <f>H825+J825+L825+M825+O825</f>
        <v/>
      </c>
      <c r="Q825" s="71" t="inlineStr">
        <is>
          <t>Excluded: Trang Chung / Không rõ Ngách Cún cưng</t>
        </is>
      </c>
      <c r="R825" s="6" t="inlineStr">
        <is>
          <t>Khay vệ sinh chung cư (Indoor Potty) + Thảm cỏ ban công (Grass Patch) + Đồ chơi</t>
        </is>
      </c>
      <c r="S825" s="6" t="inlineStr">
        <is>
          <t>Tuyệt đối không đưa vào CRM (Vi phạm Bộ lọc Âm tính Mục 5)</t>
        </is>
      </c>
    </row>
    <row r="826">
      <c r="A826" s="59" t="n">
        <v>2763</v>
      </c>
      <c r="B826" s="15" t="inlineStr">
        <is>
          <t>Robinson Mobile Veterinary Services</t>
        </is>
      </c>
      <c r="C826" s="60" t="inlineStr">
        <is>
          <t>https://www.facebook.com/profile.php?id=61566375265489</t>
        </is>
      </c>
      <c r="D826" s="9" t="inlineStr">
        <is>
          <t>Cần quét Bio Fanpage</t>
        </is>
      </c>
      <c r="E826" s="59" t="inlineStr">
        <is>
          <t>11/05/2026 02:52:31</t>
        </is>
      </c>
      <c r="F826" s="59" t="inlineStr">
        <is>
          <t>5 tháng trước</t>
        </is>
      </c>
      <c r="G826" s="61" t="n">
        <v>150</v>
      </c>
      <c r="H826" s="62" t="n">
        <v>0</v>
      </c>
      <c r="I826" s="9" t="inlineStr">
        <is>
          <t>Pet Owner / Cộng đồng nuôi cún (10đ)</t>
        </is>
      </c>
      <c r="J826" s="62" t="n">
        <v>10</v>
      </c>
      <c r="K826" s="9" t="inlineStr">
        <is>
          <t>Chưa rõ giống (Cần quét Bio)</t>
        </is>
      </c>
      <c r="L826" s="62" t="n">
        <v>0</v>
      </c>
      <c r="M826" s="62" t="n">
        <v>5</v>
      </c>
      <c r="N826" s="9" t="inlineStr">
        <is>
          <t>Amazon link not found</t>
        </is>
      </c>
      <c r="O826" s="62">
        <f>IF(N826="Selling pet toys + Artificial grass/Pet toilets (TARGET)",15,IF(N826="Selling artificial grass/pet toilets (TARGET)",10,IF(N826="Selling pet toys",7,IF(N826="There's an Amazon link, but no target sales.",3,0))))</f>
        <v/>
      </c>
      <c r="P826" s="67">
        <f>H826+J826+L826+M826+O826</f>
        <v/>
      </c>
      <c r="Q826" s="70" t="inlineStr">
        <is>
          <t>Excluded: Công ty Gen DNA &amp; Thú y (Mục 5.4)</t>
        </is>
      </c>
      <c r="R826" s="9" t="inlineStr">
        <is>
          <t>Khay vệ sinh chung cư (Indoor Potty) + Thảm cỏ ban công (Grass Patch) + Đồ chơi</t>
        </is>
      </c>
      <c r="S826" s="9" t="inlineStr">
        <is>
          <t>Tuyệt đối không đưa vào CRM (Vi phạm Bộ lọc Âm tính Mục 5)</t>
        </is>
      </c>
    </row>
    <row r="827">
      <c r="A827" s="53" t="n">
        <v>2195</v>
      </c>
      <c r="B827" s="12" t="inlineStr">
        <is>
          <t>MisAnimalesOfficial</t>
        </is>
      </c>
      <c r="C827" s="54" t="inlineStr">
        <is>
          <t>https://www.facebook.com/MisAnimalesOfficial</t>
        </is>
      </c>
      <c r="D827" s="6" t="inlineStr">
        <is>
          <t>Cần quét Bio Fanpage</t>
        </is>
      </c>
      <c r="E827" s="53" t="inlineStr">
        <is>
          <t>08/05/2026 08:16:48</t>
        </is>
      </c>
      <c r="F827" s="53" t="inlineStr">
        <is>
          <t>5 tháng trước</t>
        </is>
      </c>
      <c r="G827" s="55" t="n">
        <v>150</v>
      </c>
      <c r="H827" s="56" t="n">
        <v>0</v>
      </c>
      <c r="I827" s="6" t="inlineStr">
        <is>
          <t>Pet Owner / Cộng đồng nuôi cún (10đ)</t>
        </is>
      </c>
      <c r="J827" s="56" t="n">
        <v>10</v>
      </c>
      <c r="K827" s="6" t="inlineStr">
        <is>
          <t>Chưa rõ giống (Cần quét Bio)</t>
        </is>
      </c>
      <c r="L827" s="56" t="n">
        <v>0</v>
      </c>
      <c r="M827" s="56" t="n">
        <v>5</v>
      </c>
      <c r="N827" s="6" t="inlineStr">
        <is>
          <t>Amazon link not found</t>
        </is>
      </c>
      <c r="O827" s="56">
        <f>IF(N827="Selling pet toys + Artificial grass/Pet toilets (TARGET)",15,IF(N827="Selling artificial grass/pet toilets (TARGET)",10,IF(N827="Selling pet toys",7,IF(N827="There's an Amazon link, but no target sales.",3,0))))</f>
        <v/>
      </c>
      <c r="P827" s="65">
        <f>H827+J827+L827+M827+O827</f>
        <v/>
      </c>
      <c r="Q827" s="71" t="inlineStr">
        <is>
          <t>Excluded: Trang Chung / Không rõ Ngách Cún cưng</t>
        </is>
      </c>
      <c r="R827" s="6" t="inlineStr">
        <is>
          <t>Khay vệ sinh chung cư (Indoor Potty) + Thảm cỏ ban công (Grass Patch) + Đồ chơi</t>
        </is>
      </c>
      <c r="S827" s="6" t="inlineStr">
        <is>
          <t>Tuyệt đối không đưa vào CRM (Vi phạm Bộ lọc Âm tính Mục 5)</t>
        </is>
      </c>
    </row>
    <row r="828">
      <c r="A828" s="59" t="n">
        <v>3185</v>
      </c>
      <c r="B828" s="15" t="inlineStr">
        <is>
          <t>VIETWONDER.Official</t>
        </is>
      </c>
      <c r="C828" s="60" t="inlineStr">
        <is>
          <t>https://www.facebook.com/VIETWONDER.Official</t>
        </is>
      </c>
      <c r="D828" s="9" t="inlineStr">
        <is>
          <t>Cần quét Bio Fanpage</t>
        </is>
      </c>
      <c r="E828" s="59" t="inlineStr">
        <is>
          <t>18/01/2026 00:13:01</t>
        </is>
      </c>
      <c r="F828" s="59" t="inlineStr">
        <is>
          <t>8 tháng trước</t>
        </is>
      </c>
      <c r="G828" s="61" t="n">
        <v>240</v>
      </c>
      <c r="H828" s="62" t="n">
        <v>0</v>
      </c>
      <c r="I828" s="9" t="inlineStr">
        <is>
          <t>Pet Owner / Cộng đồng nuôi cún (10đ)</t>
        </is>
      </c>
      <c r="J828" s="62" t="n">
        <v>10</v>
      </c>
      <c r="K828" s="9" t="inlineStr">
        <is>
          <t>Chưa rõ giống (Cần quét Bio)</t>
        </is>
      </c>
      <c r="L828" s="62" t="n">
        <v>0</v>
      </c>
      <c r="M828" s="62" t="n">
        <v>5</v>
      </c>
      <c r="N828" s="9" t="inlineStr">
        <is>
          <t>Amazon link not found</t>
        </is>
      </c>
      <c r="O828" s="62">
        <f>IF(N828="Selling pet toys + Artificial grass/Pet toilets (TARGET)",15,IF(N828="Selling artificial grass/pet toilets (TARGET)",10,IF(N828="Selling pet toys",7,IF(N828="There's an Amazon link, but no target sales.",3,0))))</f>
        <v/>
      </c>
      <c r="P828" s="67">
        <f>H828+J828+L828+M828+O828</f>
        <v/>
      </c>
      <c r="Q828" s="70" t="inlineStr">
        <is>
          <t>Excluded: Trang Chung / Không rõ Ngách Cún cưng</t>
        </is>
      </c>
      <c r="R828" s="9" t="inlineStr">
        <is>
          <t>Khay vệ sinh chung cư (Indoor Potty) + Thảm cỏ ban công (Grass Patch) + Đồ chơi</t>
        </is>
      </c>
      <c r="S828" s="9" t="inlineStr">
        <is>
          <t>Tuyệt đối không đưa vào CRM (Vi phạm Bộ lọc Âm tính Mục 5)</t>
        </is>
      </c>
    </row>
    <row r="829">
      <c r="A829" s="53" t="n">
        <v>746</v>
      </c>
      <c r="B829" s="12" t="inlineStr">
        <is>
          <t>Bovitec Agroveterinaria</t>
        </is>
      </c>
      <c r="C829" s="54" t="inlineStr">
        <is>
          <t>https://www.facebook.com/bovitec.com.ar</t>
        </is>
      </c>
      <c r="D829" s="6" t="inlineStr">
        <is>
          <t>Cần quét Bio Fanpage</t>
        </is>
      </c>
      <c r="E829" s="53" t="inlineStr">
        <is>
          <t>04/10/2025 18:23:04</t>
        </is>
      </c>
      <c r="F829" s="53" t="inlineStr">
        <is>
          <t>1 năm trước</t>
        </is>
      </c>
      <c r="G829" s="55" t="n">
        <v>365</v>
      </c>
      <c r="H829" s="56" t="n">
        <v>0</v>
      </c>
      <c r="I829" s="6" t="inlineStr">
        <is>
          <t>Pet Owner / Cộng đồng nuôi cún (10đ)</t>
        </is>
      </c>
      <c r="J829" s="56" t="n">
        <v>10</v>
      </c>
      <c r="K829" s="6" t="inlineStr">
        <is>
          <t>Chưa rõ giống (Cần quét Bio)</t>
        </is>
      </c>
      <c r="L829" s="56" t="n">
        <v>0</v>
      </c>
      <c r="M829" s="56" t="n">
        <v>5</v>
      </c>
      <c r="N829" s="6" t="inlineStr">
        <is>
          <t>Amazon link not found</t>
        </is>
      </c>
      <c r="O829" s="56">
        <f>IF(N829="Selling pet toys + Artificial grass/Pet toilets (TARGET)",15,IF(N829="Selling artificial grass/pet toilets (TARGET)",10,IF(N829="Selling pet toys",7,IF(N829="There's an Amazon link, but no target sales.",3,0))))</f>
        <v/>
      </c>
      <c r="P829" s="65">
        <f>H829+J829+L829+M829+O829</f>
        <v/>
      </c>
      <c r="Q829" s="71" t="inlineStr">
        <is>
          <t>Excluded: Công ty Gen DNA &amp; Thú y (Mục 5.4)</t>
        </is>
      </c>
      <c r="R829" s="6" t="inlineStr">
        <is>
          <t>Khay vệ sinh chung cư (Indoor Potty) + Thảm cỏ ban công (Grass Patch) + Đồ chơi</t>
        </is>
      </c>
      <c r="S829" s="6" t="inlineStr">
        <is>
          <t>Tuyệt đối không đưa vào CRM (Vi phạm Bộ lọc Âm tính Mục 5)</t>
        </is>
      </c>
    </row>
    <row r="830">
      <c r="A830" s="59" t="n">
        <v>3086</v>
      </c>
      <c r="B830" s="15" t="inlineStr">
        <is>
          <t>The Birkett-Smith Animal Sanctuary</t>
        </is>
      </c>
      <c r="C830" s="60" t="inlineStr">
        <is>
          <t>https://www.facebook.com/BSASanctuary</t>
        </is>
      </c>
      <c r="D830" s="9" t="inlineStr">
        <is>
          <t>Cần quét Bio Fanpage</t>
        </is>
      </c>
      <c r="E830" s="59" t="inlineStr">
        <is>
          <t>30/03/2026 22:57:44</t>
        </is>
      </c>
      <c r="F830" s="59" t="inlineStr">
        <is>
          <t>6 tháng trước</t>
        </is>
      </c>
      <c r="G830" s="61" t="n">
        <v>180</v>
      </c>
      <c r="H830" s="62" t="n">
        <v>0</v>
      </c>
      <c r="I830" s="9" t="inlineStr">
        <is>
          <t>Pet Rescue / Trạm cứu trợ (14-16đ)</t>
        </is>
      </c>
      <c r="J830" s="62" t="n">
        <v>14</v>
      </c>
      <c r="K830" s="9" t="inlineStr">
        <is>
          <t>Chưa rõ giống (Cần quét Bio)</t>
        </is>
      </c>
      <c r="L830" s="62" t="n">
        <v>0</v>
      </c>
      <c r="M830" s="62" t="n">
        <v>0</v>
      </c>
      <c r="N830" s="9" t="inlineStr">
        <is>
          <t>Amazon link not found</t>
        </is>
      </c>
      <c r="O830" s="62">
        <f>IF(N830="Selling pet toys + Artificial grass/Pet toilets (TARGET)",15,IF(N830="Selling artificial grass/pet toilets (TARGET)",10,IF(N830="Selling pet toys",7,IF(N830="There's an Amazon link, but no target sales.",3,0))))</f>
        <v/>
      </c>
      <c r="P830" s="67">
        <f>H830+J830+L830+M830+O830</f>
        <v/>
      </c>
      <c r="Q830" s="70" t="inlineStr">
        <is>
          <t>Excluded: Trang Chung / Không rõ Ngách Cún cưng</t>
        </is>
      </c>
      <c r="R830" s="9" t="inlineStr">
        <is>
          <t>Nhà vệ sinh &amp; Tã lót (Potty Tray / Pee Pads) + Cỏ nhân tạo lót chuồng</t>
        </is>
      </c>
      <c r="S830" s="9" t="inlineStr">
        <is>
          <t>Tuyệt đối không đưa vào CRM (Vi phạm Bộ lọc Âm tính Mục 5)</t>
        </is>
      </c>
    </row>
    <row r="831">
      <c r="A831" s="53" t="n">
        <v>1730</v>
      </c>
      <c r="B831" s="12" t="inlineStr">
        <is>
          <t>Iowa Animal Welfare Alliance</t>
        </is>
      </c>
      <c r="C831" s="54" t="inlineStr">
        <is>
          <t>https://www.facebook.com/profile.php?id=100064452199334</t>
        </is>
      </c>
      <c r="D831" s="6" t="inlineStr">
        <is>
          <t>Cần quét Bio Fanpage</t>
        </is>
      </c>
      <c r="E831" s="53" t="inlineStr">
        <is>
          <t>17/03/2024 22:56:13</t>
        </is>
      </c>
      <c r="F831" s="53" t="inlineStr">
        <is>
          <t>2 năm trước</t>
        </is>
      </c>
      <c r="G831" s="55" t="n">
        <v>730</v>
      </c>
      <c r="H831" s="56" t="n">
        <v>0</v>
      </c>
      <c r="I831" s="6" t="inlineStr">
        <is>
          <t>Pet Rescue / Trạm cứu trợ (14-16đ)</t>
        </is>
      </c>
      <c r="J831" s="56" t="n">
        <v>14</v>
      </c>
      <c r="K831" s="6" t="inlineStr">
        <is>
          <t>Chưa rõ giống (Cần quét Bio)</t>
        </is>
      </c>
      <c r="L831" s="56" t="n">
        <v>0</v>
      </c>
      <c r="M831" s="56" t="n">
        <v>0</v>
      </c>
      <c r="N831" s="6" t="inlineStr">
        <is>
          <t>Amazon link not found</t>
        </is>
      </c>
      <c r="O831" s="56">
        <f>IF(N831="Selling pet toys + Artificial grass/Pet toilets (TARGET)",15,IF(N831="Selling artificial grass/pet toilets (TARGET)",10,IF(N831="Selling pet toys",7,IF(N831="There's an Amazon link, but no target sales.",3,0))))</f>
        <v/>
      </c>
      <c r="P831" s="65">
        <f>H831+J831+L831+M831+O831</f>
        <v/>
      </c>
      <c r="Q831" s="71" t="inlineStr">
        <is>
          <t>Excluded: Trang Chung / Không rõ Ngách Cún cưng</t>
        </is>
      </c>
      <c r="R831" s="6" t="inlineStr">
        <is>
          <t>Nhà vệ sinh &amp; Tã lót (Potty Tray / Pee Pads) + Cỏ nhân tạo lót chuồng</t>
        </is>
      </c>
      <c r="S831" s="6" t="inlineStr">
        <is>
          <t>Tuyệt đối không đưa vào CRM (Vi phạm Bộ lọc Âm tính Mục 5)</t>
        </is>
      </c>
    </row>
    <row r="832">
      <c r="A832" s="59" t="n">
        <v>1468</v>
      </c>
      <c r="B832" s="15" t="inlineStr">
        <is>
          <t>Friends of The Greater Ocala Dog Club</t>
        </is>
      </c>
      <c r="C832" s="60" t="inlineStr">
        <is>
          <t>https://www.facebook.com/profile.php?id=100080073026064</t>
        </is>
      </c>
      <c r="D832" s="9" t="inlineStr">
        <is>
          <t>Cần quét Bio Fanpage</t>
        </is>
      </c>
      <c r="E832" s="59" t="inlineStr">
        <is>
          <t>14/09/2023 22:38:50</t>
        </is>
      </c>
      <c r="F832" s="59" t="inlineStr">
        <is>
          <t>3 năm trước</t>
        </is>
      </c>
      <c r="G832" s="61" t="n">
        <v>1095</v>
      </c>
      <c r="H832" s="62" t="n">
        <v>0</v>
      </c>
      <c r="I832" s="9" t="inlineStr">
        <is>
          <t>Pet Rescue / Trạm cứu trợ (14-16đ)</t>
        </is>
      </c>
      <c r="J832" s="62" t="n">
        <v>14</v>
      </c>
      <c r="K832" s="9" t="inlineStr">
        <is>
          <t>Chưa rõ giống (Cần quét Bio)</t>
        </is>
      </c>
      <c r="L832" s="62" t="n">
        <v>0</v>
      </c>
      <c r="M832" s="62" t="n">
        <v>0</v>
      </c>
      <c r="N832" s="9" t="inlineStr">
        <is>
          <t>Amazon link not found</t>
        </is>
      </c>
      <c r="O832" s="62">
        <f>IF(N832="Selling pet toys + Artificial grass/Pet toilets (TARGET)",15,IF(N832="Selling artificial grass/pet toilets (TARGET)",10,IF(N832="Selling pet toys",7,IF(N832="There's an Amazon link, but no target sales.",3,0))))</f>
        <v/>
      </c>
      <c r="P832" s="67">
        <f>H832+J832+L832+M832+O832</f>
        <v/>
      </c>
      <c r="Q832" s="70" t="inlineStr">
        <is>
          <t>Excluded: Hiệp hội &amp; CLB Phả hệ (Mục 5.1)</t>
        </is>
      </c>
      <c r="R832" s="9" t="inlineStr">
        <is>
          <t>Nhà vệ sinh &amp; Tã lót (Potty Tray / Pee Pads) + Cỏ nhân tạo lót chuồng</t>
        </is>
      </c>
      <c r="S832" s="9" t="inlineStr">
        <is>
          <t>Tuyệt đối không đưa vào CRM (Vi phạm Bộ lọc Âm tính Mục 5)</t>
        </is>
      </c>
    </row>
    <row r="833">
      <c r="A833" s="53" t="n">
        <v>2713</v>
      </c>
      <c r="B833" s="12" t="inlineStr">
        <is>
          <t>Red Rock Veterinary Health</t>
        </is>
      </c>
      <c r="C833" s="54" t="inlineStr">
        <is>
          <t>https://www.facebook.com/profile.php?id=61565871982717</t>
        </is>
      </c>
      <c r="D833" s="6" t="inlineStr">
        <is>
          <t>Cần quét Bio Fanpage</t>
        </is>
      </c>
      <c r="E833" s="53" t="inlineStr">
        <is>
          <t>12/09/2026 23:23:40</t>
        </is>
      </c>
      <c r="F833" s="53" t="inlineStr">
        <is>
          <t>1 tháng trước</t>
        </is>
      </c>
      <c r="G833" s="55" t="n">
        <v>30</v>
      </c>
      <c r="H833" s="56" t="n">
        <v>0</v>
      </c>
      <c r="I833" s="6" t="inlineStr">
        <is>
          <t>Pet Owner / Cộng đồng nuôi cún (10đ)</t>
        </is>
      </c>
      <c r="J833" s="56" t="n">
        <v>10</v>
      </c>
      <c r="K833" s="6" t="inlineStr">
        <is>
          <t>Chưa rõ giống (Cần quét Bio)</t>
        </is>
      </c>
      <c r="L833" s="56" t="n">
        <v>0</v>
      </c>
      <c r="M833" s="56" t="n">
        <v>0</v>
      </c>
      <c r="N833" s="6" t="inlineStr">
        <is>
          <t>Amazon link not found</t>
        </is>
      </c>
      <c r="O833" s="56">
        <f>IF(N833="Selling pet toys + Artificial grass/Pet toilets (TARGET)",15,IF(N833="Selling artificial grass/pet toilets (TARGET)",10,IF(N833="Selling pet toys",7,IF(N833="There's an Amazon link, but no target sales.",3,0))))</f>
        <v/>
      </c>
      <c r="P833" s="65">
        <f>H833+J833+L833+M833+O833</f>
        <v/>
      </c>
      <c r="Q833" s="71" t="inlineStr">
        <is>
          <t>Excluded: Công ty Gen DNA &amp; Thú y (Mục 5.4)</t>
        </is>
      </c>
      <c r="R833" s="6" t="inlineStr">
        <is>
          <t>Khay vệ sinh chung cư (Indoor Potty) + Thảm cỏ ban công (Grass Patch) + Đồ chơi</t>
        </is>
      </c>
      <c r="S833" s="6" t="inlineStr">
        <is>
          <t>Tuyệt đối không đưa vào CRM (Vi phạm Bộ lọc Âm tính Mục 5)</t>
        </is>
      </c>
    </row>
    <row r="834">
      <c r="A834" s="59" t="n">
        <v>2806</v>
      </c>
      <c r="B834" s="15" t="inlineStr">
        <is>
          <t>Facebook User</t>
        </is>
      </c>
      <c r="C834" s="60" t="inlineStr">
        <is>
          <t>https://www.facebook.com/profile.php?id=100072300284225</t>
        </is>
      </c>
      <c r="D834" s="9" t="inlineStr">
        <is>
          <t>Cần quét Bio Fanpage</t>
        </is>
      </c>
      <c r="E834" s="59" t="inlineStr">
        <is>
          <t>11/09/2026 17:57:35</t>
        </is>
      </c>
      <c r="F834" s="59" t="inlineStr">
        <is>
          <t>1 tháng trước</t>
        </is>
      </c>
      <c r="G834" s="61" t="n">
        <v>30</v>
      </c>
      <c r="H834" s="62" t="n">
        <v>0</v>
      </c>
      <c r="I834" s="9" t="inlineStr">
        <is>
          <t>Pet Owner / Cộng đồng nuôi cún (10đ)</t>
        </is>
      </c>
      <c r="J834" s="62" t="n">
        <v>10</v>
      </c>
      <c r="K834" s="9" t="inlineStr">
        <is>
          <t>Chưa rõ giống (Cần quét Bio)</t>
        </is>
      </c>
      <c r="L834" s="62" t="n">
        <v>0</v>
      </c>
      <c r="M834" s="62" t="n">
        <v>0</v>
      </c>
      <c r="N834" s="9" t="inlineStr">
        <is>
          <t>Amazon link not found</t>
        </is>
      </c>
      <c r="O834" s="62">
        <f>IF(N834="Selling pet toys + Artificial grass/Pet toilets (TARGET)",15,IF(N834="Selling artificial grass/pet toilets (TARGET)",10,IF(N834="Selling pet toys",7,IF(N834="There's an Amazon link, but no target sales.",3,0))))</f>
        <v/>
      </c>
      <c r="P834" s="67">
        <f>H834+J834+L834+M834+O834</f>
        <v/>
      </c>
      <c r="Q834" s="70" t="inlineStr">
        <is>
          <t>Excluded: Hồ sơ Ẩn danh (Facebook User)</t>
        </is>
      </c>
      <c r="R834" s="9" t="inlineStr">
        <is>
          <t>Khay vệ sinh chung cư (Indoor Potty) + Thảm cỏ ban công (Grass Patch) + Đồ chơi</t>
        </is>
      </c>
      <c r="S834" s="9" t="inlineStr">
        <is>
          <t>Tuyệt đối không đưa vào CRM (Vi phạm Bộ lọc Âm tính Mục 5)</t>
        </is>
      </c>
    </row>
    <row r="835">
      <c r="A835" s="53" t="n">
        <v>3494</v>
      </c>
      <c r="B835" s="12" t="inlineStr">
        <is>
          <t>Медична клініка Clinic Zakaria</t>
        </is>
      </c>
      <c r="C835" s="54" t="inlineStr">
        <is>
          <t>https://www.facebook.com/cliniczakaria</t>
        </is>
      </c>
      <c r="D835" s="6" t="inlineStr">
        <is>
          <t>Cần quét Bio Fanpage</t>
        </is>
      </c>
      <c r="E835" s="53" t="inlineStr">
        <is>
          <t>10/09/2026 22:53:43</t>
        </is>
      </c>
      <c r="F835" s="53" t="inlineStr">
        <is>
          <t>1 tháng trước</t>
        </is>
      </c>
      <c r="G835" s="55" t="n">
        <v>30</v>
      </c>
      <c r="H835" s="56" t="n">
        <v>0</v>
      </c>
      <c r="I835" s="6" t="inlineStr">
        <is>
          <t>Pet Owner / Cộng đồng nuôi cún (10đ)</t>
        </is>
      </c>
      <c r="J835" s="56" t="n">
        <v>10</v>
      </c>
      <c r="K835" s="6" t="inlineStr">
        <is>
          <t>Chưa rõ giống (Cần quét Bio)</t>
        </is>
      </c>
      <c r="L835" s="56" t="n">
        <v>0</v>
      </c>
      <c r="M835" s="56" t="n">
        <v>0</v>
      </c>
      <c r="N835" s="6" t="inlineStr">
        <is>
          <t>Amazon link not found</t>
        </is>
      </c>
      <c r="O835" s="56">
        <f>IF(N835="Selling pet toys + Artificial grass/Pet toilets (TARGET)",15,IF(N835="Selling artificial grass/pet toilets (TARGET)",10,IF(N835="Selling pet toys",7,IF(N835="There's an Amazon link, but no target sales.",3,0))))</f>
        <v/>
      </c>
      <c r="P835" s="65">
        <f>H835+J835+L835+M835+O835</f>
        <v/>
      </c>
      <c r="Q835" s="71" t="inlineStr">
        <is>
          <t>Excluded: Trang Chung / Không rõ Ngách Cún cưng</t>
        </is>
      </c>
      <c r="R835" s="6" t="inlineStr">
        <is>
          <t>Khay vệ sinh chung cư (Indoor Potty) + Thảm cỏ ban công (Grass Patch) + Đồ chơi</t>
        </is>
      </c>
      <c r="S835" s="6" t="inlineStr">
        <is>
          <t>Tuyệt đối không đưa vào CRM (Vi phạm Bộ lọc Âm tính Mục 5)</t>
        </is>
      </c>
    </row>
    <row r="836">
      <c r="A836" s="59" t="n">
        <v>2796</v>
      </c>
      <c r="B836" s="15" t="inlineStr">
        <is>
          <t>Russian Salon Dog Club of America</t>
        </is>
      </c>
      <c r="C836" s="60" t="inlineStr">
        <is>
          <t>https://www.facebook.com/profile.php?id=61574047695821</t>
        </is>
      </c>
      <c r="D836" s="9" t="inlineStr">
        <is>
          <t>Cần quét Bio Fanpage</t>
        </is>
      </c>
      <c r="E836" s="59" t="inlineStr">
        <is>
          <t>10/09/2026 00:23:54</t>
        </is>
      </c>
      <c r="F836" s="59" t="inlineStr">
        <is>
          <t>1 tháng trước</t>
        </is>
      </c>
      <c r="G836" s="61" t="n">
        <v>30</v>
      </c>
      <c r="H836" s="62" t="n">
        <v>0</v>
      </c>
      <c r="I836" s="9" t="inlineStr">
        <is>
          <t>Pet Owner / Cộng đồng nuôi cún (10đ)</t>
        </is>
      </c>
      <c r="J836" s="62" t="n">
        <v>10</v>
      </c>
      <c r="K836" s="9" t="inlineStr">
        <is>
          <t>Chưa rõ giống (Cần quét Bio)</t>
        </is>
      </c>
      <c r="L836" s="62" t="n">
        <v>0</v>
      </c>
      <c r="M836" s="62" t="n">
        <v>0</v>
      </c>
      <c r="N836" s="9" t="inlineStr">
        <is>
          <t>Amazon link not found</t>
        </is>
      </c>
      <c r="O836" s="62">
        <f>IF(N836="Selling pet toys + Artificial grass/Pet toilets (TARGET)",15,IF(N836="Selling artificial grass/pet toilets (TARGET)",10,IF(N836="Selling pet toys",7,IF(N836="There's an Amazon link, but no target sales.",3,0))))</f>
        <v/>
      </c>
      <c r="P836" s="67">
        <f>H836+J836+L836+M836+O836</f>
        <v/>
      </c>
      <c r="Q836" s="70" t="inlineStr">
        <is>
          <t>Excluded: Hiệp hội &amp; CLB Phả hệ (Mục 5.1)</t>
        </is>
      </c>
      <c r="R836" s="9" t="inlineStr">
        <is>
          <t>Khay vệ sinh chung cư (Indoor Potty) + Thảm cỏ ban công (Grass Patch) + Đồ chơi</t>
        </is>
      </c>
      <c r="S836" s="9" t="inlineStr">
        <is>
          <t>Tuyệt đối không đưa vào CRM (Vi phạm Bộ lọc Âm tính Mục 5)</t>
        </is>
      </c>
    </row>
    <row r="837">
      <c r="A837" s="53" t="n">
        <v>2253</v>
      </c>
      <c r="B837" s="12" t="inlineStr">
        <is>
          <t>Nanny, Housekeeper, Carer and Au pair jobs UK</t>
        </is>
      </c>
      <c r="C837" s="54" t="inlineStr">
        <is>
          <t>https://www.facebook.com/domesticjobsworldwide</t>
        </is>
      </c>
      <c r="D837" s="6" t="inlineStr">
        <is>
          <t>Cần quét Bio Fanpage</t>
        </is>
      </c>
      <c r="E837" s="53" t="inlineStr">
        <is>
          <t>09/09/2026 23:56:33</t>
        </is>
      </c>
      <c r="F837" s="53" t="inlineStr">
        <is>
          <t>1 tháng trước</t>
        </is>
      </c>
      <c r="G837" s="55" t="n">
        <v>30</v>
      </c>
      <c r="H837" s="56" t="n">
        <v>0</v>
      </c>
      <c r="I837" s="6" t="inlineStr">
        <is>
          <t>Pet Owner / Cộng đồng nuôi cún (10đ)</t>
        </is>
      </c>
      <c r="J837" s="56" t="n">
        <v>10</v>
      </c>
      <c r="K837" s="6" t="inlineStr">
        <is>
          <t>Chưa rõ giống (Cần quét Bio)</t>
        </is>
      </c>
      <c r="L837" s="56" t="n">
        <v>0</v>
      </c>
      <c r="M837" s="56" t="n">
        <v>0</v>
      </c>
      <c r="N837" s="6" t="inlineStr">
        <is>
          <t>Amazon link not found</t>
        </is>
      </c>
      <c r="O837" s="56">
        <f>IF(N837="Selling pet toys + Artificial grass/Pet toilets (TARGET)",15,IF(N837="Selling artificial grass/pet toilets (TARGET)",10,IF(N837="Selling pet toys",7,IF(N837="There's an Amazon link, but no target sales.",3,0))))</f>
        <v/>
      </c>
      <c r="P837" s="65">
        <f>H837+J837+L837+M837+O837</f>
        <v/>
      </c>
      <c r="Q837" s="71" t="inlineStr">
        <is>
          <t>Excluded: Trang Chung / Không rõ Ngách Cún cưng</t>
        </is>
      </c>
      <c r="R837" s="6" t="inlineStr">
        <is>
          <t>Khay vệ sinh chung cư (Indoor Potty) + Thảm cỏ ban công (Grass Patch) + Đồ chơi</t>
        </is>
      </c>
      <c r="S837" s="6" t="inlineStr">
        <is>
          <t>Tuyệt đối không đưa vào CRM (Vi phạm Bộ lọc Âm tính Mục 5)</t>
        </is>
      </c>
    </row>
    <row r="838">
      <c r="A838" s="59" t="n">
        <v>288</v>
      </c>
      <c r="B838" s="15" t="inlineStr">
        <is>
          <t>Veterinary Hospital of Centreville</t>
        </is>
      </c>
      <c r="C838" s="60" t="inlineStr">
        <is>
          <t>https://www.facebook.com/VetHCentreville</t>
        </is>
      </c>
      <c r="D838" s="9" t="inlineStr">
        <is>
          <t>Cần quét Bio Fanpage</t>
        </is>
      </c>
      <c r="E838" s="59" t="inlineStr">
        <is>
          <t>05/09/2026 03:25:04</t>
        </is>
      </c>
      <c r="F838" s="59" t="inlineStr">
        <is>
          <t>1 tháng trước</t>
        </is>
      </c>
      <c r="G838" s="61" t="n">
        <v>30</v>
      </c>
      <c r="H838" s="62" t="n">
        <v>0</v>
      </c>
      <c r="I838" s="9" t="inlineStr">
        <is>
          <t>Pet Owner / Cộng đồng nuôi cún (10đ)</t>
        </is>
      </c>
      <c r="J838" s="62" t="n">
        <v>10</v>
      </c>
      <c r="K838" s="9" t="inlineStr">
        <is>
          <t>Chưa rõ giống (Cần quét Bio)</t>
        </is>
      </c>
      <c r="L838" s="62" t="n">
        <v>0</v>
      </c>
      <c r="M838" s="62" t="n">
        <v>0</v>
      </c>
      <c r="N838" s="9" t="inlineStr">
        <is>
          <t>Amazon link not found</t>
        </is>
      </c>
      <c r="O838" s="62">
        <f>IF(N838="Selling pet toys + Artificial grass/Pet toilets (TARGET)",15,IF(N838="Selling artificial grass/pet toilets (TARGET)",10,IF(N838="Selling pet toys",7,IF(N838="There's an Amazon link, but no target sales.",3,0))))</f>
        <v/>
      </c>
      <c r="P838" s="67">
        <f>H838+J838+L838+M838+O838</f>
        <v/>
      </c>
      <c r="Q838" s="70" t="inlineStr">
        <is>
          <t>Excluded: Công ty Gen DNA &amp; Thú y (Mục 5.4)</t>
        </is>
      </c>
      <c r="R838" s="9" t="inlineStr">
        <is>
          <t>Khay vệ sinh chung cư (Indoor Potty) + Thảm cỏ ban công (Grass Patch) + Đồ chơi</t>
        </is>
      </c>
      <c r="S838" s="9" t="inlineStr">
        <is>
          <t>Tuyệt đối không đưa vào CRM (Vi phạm Bộ lọc Âm tính Mục 5)</t>
        </is>
      </c>
    </row>
    <row r="839">
      <c r="A839" s="53" t="n">
        <v>1270</v>
      </c>
      <c r="B839" s="12" t="inlineStr">
        <is>
          <t>Facebook User</t>
        </is>
      </c>
      <c r="C839" s="54" t="inlineStr">
        <is>
          <t>https://www.facebook.com/profile.php?id=100083003757267</t>
        </is>
      </c>
      <c r="D839" s="6" t="inlineStr">
        <is>
          <t>Cần quét Bio Fanpage</t>
        </is>
      </c>
      <c r="E839" s="53" t="inlineStr">
        <is>
          <t>05/09/2026 00:15:04</t>
        </is>
      </c>
      <c r="F839" s="53" t="inlineStr">
        <is>
          <t>1 tháng trước</t>
        </is>
      </c>
      <c r="G839" s="55" t="n">
        <v>30</v>
      </c>
      <c r="H839" s="56" t="n">
        <v>0</v>
      </c>
      <c r="I839" s="6" t="inlineStr">
        <is>
          <t>Pet Owner / Cộng đồng nuôi cún (10đ)</t>
        </is>
      </c>
      <c r="J839" s="56" t="n">
        <v>10</v>
      </c>
      <c r="K839" s="6" t="inlineStr">
        <is>
          <t>Chưa rõ giống (Cần quét Bio)</t>
        </is>
      </c>
      <c r="L839" s="56" t="n">
        <v>0</v>
      </c>
      <c r="M839" s="56" t="n">
        <v>0</v>
      </c>
      <c r="N839" s="6" t="inlineStr">
        <is>
          <t>Amazon link not found</t>
        </is>
      </c>
      <c r="O839" s="56">
        <f>IF(N839="Selling pet toys + Artificial grass/Pet toilets (TARGET)",15,IF(N839="Selling artificial grass/pet toilets (TARGET)",10,IF(N839="Selling pet toys",7,IF(N839="There's an Amazon link, but no target sales.",3,0))))</f>
        <v/>
      </c>
      <c r="P839" s="65">
        <f>H839+J839+L839+M839+O839</f>
        <v/>
      </c>
      <c r="Q839" s="71" t="inlineStr">
        <is>
          <t>Excluded: Hồ sơ Ẩn danh (Facebook User)</t>
        </is>
      </c>
      <c r="R839" s="6" t="inlineStr">
        <is>
          <t>Khay vệ sinh chung cư (Indoor Potty) + Thảm cỏ ban công (Grass Patch) + Đồ chơi</t>
        </is>
      </c>
      <c r="S839" s="6" t="inlineStr">
        <is>
          <t>Tuyệt đối không đưa vào CRM (Vi phạm Bộ lọc Âm tính Mục 5)</t>
        </is>
      </c>
    </row>
    <row r="840">
      <c r="A840" s="59" t="n">
        <v>2185</v>
      </c>
      <c r="B840" s="15" t="inlineStr">
        <is>
          <t>Milli Kelly - Veterinary Chiropractor</t>
        </is>
      </c>
      <c r="C840" s="60" t="inlineStr">
        <is>
          <t>https://www.facebook.com/profile.php?id=61552150933925</t>
        </is>
      </c>
      <c r="D840" s="9" t="inlineStr">
        <is>
          <t>Cần quét Bio Fanpage</t>
        </is>
      </c>
      <c r="E840" s="59" t="inlineStr">
        <is>
          <t>04/09/2026 13:24:00</t>
        </is>
      </c>
      <c r="F840" s="59" t="inlineStr">
        <is>
          <t>1 tháng trước</t>
        </is>
      </c>
      <c r="G840" s="61" t="n">
        <v>30</v>
      </c>
      <c r="H840" s="62" t="n">
        <v>0</v>
      </c>
      <c r="I840" s="9" t="inlineStr">
        <is>
          <t>Pet Owner / Cộng đồng nuôi cún (10đ)</t>
        </is>
      </c>
      <c r="J840" s="62" t="n">
        <v>10</v>
      </c>
      <c r="K840" s="9" t="inlineStr">
        <is>
          <t>Chưa rõ giống (Cần quét Bio)</t>
        </is>
      </c>
      <c r="L840" s="62" t="n">
        <v>0</v>
      </c>
      <c r="M840" s="62" t="n">
        <v>0</v>
      </c>
      <c r="N840" s="9" t="inlineStr">
        <is>
          <t>Amazon link not found</t>
        </is>
      </c>
      <c r="O840" s="62">
        <f>IF(N840="Selling pet toys + Artificial grass/Pet toilets (TARGET)",15,IF(N840="Selling artificial grass/pet toilets (TARGET)",10,IF(N840="Selling pet toys",7,IF(N840="There's an Amazon link, but no target sales.",3,0))))</f>
        <v/>
      </c>
      <c r="P840" s="67">
        <f>H840+J840+L840+M840+O840</f>
        <v/>
      </c>
      <c r="Q840" s="70" t="inlineStr">
        <is>
          <t>Excluded: Công ty Gen DNA &amp; Thú y (Mục 5.4)</t>
        </is>
      </c>
      <c r="R840" s="9" t="inlineStr">
        <is>
          <t>Khay vệ sinh chung cư (Indoor Potty) + Thảm cỏ ban công (Grass Patch) + Đồ chơi</t>
        </is>
      </c>
      <c r="S840" s="9" t="inlineStr">
        <is>
          <t>Tuyệt đối không đưa vào CRM (Vi phạm Bộ lọc Âm tính Mục 5)</t>
        </is>
      </c>
    </row>
    <row r="841">
      <c r="A841" s="53" t="n">
        <v>445</v>
      </c>
      <c r="B841" s="12" t="inlineStr">
        <is>
          <t>AnimalAnticsNewsflare</t>
        </is>
      </c>
      <c r="C841" s="54" t="inlineStr">
        <is>
          <t>https://www.facebook.com/AnimalAnticsNewsflare</t>
        </is>
      </c>
      <c r="D841" s="6" t="inlineStr">
        <is>
          <t>Cần quét Bio Fanpage</t>
        </is>
      </c>
      <c r="E841" s="53" t="inlineStr">
        <is>
          <t>04/09/2026 02:01:06</t>
        </is>
      </c>
      <c r="F841" s="53" t="inlineStr">
        <is>
          <t>1 tháng trước</t>
        </is>
      </c>
      <c r="G841" s="55" t="n">
        <v>30</v>
      </c>
      <c r="H841" s="56" t="n">
        <v>0</v>
      </c>
      <c r="I841" s="6" t="inlineStr">
        <is>
          <t>Pet Owner / Cộng đồng nuôi cún (10đ)</t>
        </is>
      </c>
      <c r="J841" s="56" t="n">
        <v>10</v>
      </c>
      <c r="K841" s="6" t="inlineStr">
        <is>
          <t>Chưa rõ giống (Cần quét Bio)</t>
        </is>
      </c>
      <c r="L841" s="56" t="n">
        <v>0</v>
      </c>
      <c r="M841" s="56" t="n">
        <v>0</v>
      </c>
      <c r="N841" s="6" t="inlineStr">
        <is>
          <t>Amazon link not found</t>
        </is>
      </c>
      <c r="O841" s="56">
        <f>IF(N841="Selling pet toys + Artificial grass/Pet toilets (TARGET)",15,IF(N841="Selling artificial grass/pet toilets (TARGET)",10,IF(N841="Selling pet toys",7,IF(N841="There's an Amazon link, but no target sales.",3,0))))</f>
        <v/>
      </c>
      <c r="P841" s="65">
        <f>H841+J841+L841+M841+O841</f>
        <v/>
      </c>
      <c r="Q841" s="71" t="inlineStr">
        <is>
          <t>Excluded: Trang Chung / Không rõ Ngách Cún cưng</t>
        </is>
      </c>
      <c r="R841" s="6" t="inlineStr">
        <is>
          <t>Khay vệ sinh chung cư (Indoor Potty) + Thảm cỏ ban công (Grass Patch) + Đồ chơi</t>
        </is>
      </c>
      <c r="S841" s="6" t="inlineStr">
        <is>
          <t>Tuyệt đối không đưa vào CRM (Vi phạm Bộ lọc Âm tính Mục 5)</t>
        </is>
      </c>
    </row>
    <row r="842">
      <c r="A842" s="59" t="n">
        <v>1493</v>
      </c>
      <c r="B842" s="15" t="inlineStr">
        <is>
          <t>Georgia Animal Actors</t>
        </is>
      </c>
      <c r="C842" s="60" t="inlineStr">
        <is>
          <t>https://www.facebook.com/georgiaanimalactors</t>
        </is>
      </c>
      <c r="D842" s="9" t="inlineStr">
        <is>
          <t>Cần quét Bio Fanpage</t>
        </is>
      </c>
      <c r="E842" s="59" t="inlineStr">
        <is>
          <t>04/09/2026 00:42:31</t>
        </is>
      </c>
      <c r="F842" s="59" t="inlineStr">
        <is>
          <t>1 tháng trước</t>
        </is>
      </c>
      <c r="G842" s="61" t="n">
        <v>30</v>
      </c>
      <c r="H842" s="62" t="n">
        <v>0</v>
      </c>
      <c r="I842" s="9" t="inlineStr">
        <is>
          <t>Pet Owner / Cộng đồng nuôi cún (10đ)</t>
        </is>
      </c>
      <c r="J842" s="62" t="n">
        <v>10</v>
      </c>
      <c r="K842" s="9" t="inlineStr">
        <is>
          <t>Chưa rõ giống (Cần quét Bio)</t>
        </is>
      </c>
      <c r="L842" s="62" t="n">
        <v>0</v>
      </c>
      <c r="M842" s="62" t="n">
        <v>0</v>
      </c>
      <c r="N842" s="9" t="inlineStr">
        <is>
          <t>Amazon link not found</t>
        </is>
      </c>
      <c r="O842" s="62">
        <f>IF(N842="Selling pet toys + Artificial grass/Pet toilets (TARGET)",15,IF(N842="Selling artificial grass/pet toilets (TARGET)",10,IF(N842="Selling pet toys",7,IF(N842="There's an Amazon link, but no target sales.",3,0))))</f>
        <v/>
      </c>
      <c r="P842" s="67">
        <f>H842+J842+L842+M842+O842</f>
        <v/>
      </c>
      <c r="Q842" s="70" t="inlineStr">
        <is>
          <t>Excluded: Trang Chung / Không rõ Ngách Cún cưng</t>
        </is>
      </c>
      <c r="R842" s="9" t="inlineStr">
        <is>
          <t>Khay vệ sinh chung cư (Indoor Potty) + Thảm cỏ ban công (Grass Patch) + Đồ chơi</t>
        </is>
      </c>
      <c r="S842" s="9" t="inlineStr">
        <is>
          <t>Tuyệt đối không đưa vào CRM (Vi phạm Bộ lọc Âm tính Mục 5)</t>
        </is>
      </c>
    </row>
    <row r="843">
      <c r="A843" s="53" t="n">
        <v>2436</v>
      </c>
      <c r="B843" s="12" t="inlineStr">
        <is>
          <t>Pesic Animal Hospital</t>
        </is>
      </c>
      <c r="C843" s="54" t="inlineStr">
        <is>
          <t>https://www.facebook.com/profile.php?id=100057324383533</t>
        </is>
      </c>
      <c r="D843" s="6" t="inlineStr">
        <is>
          <t>Cần quét Bio Fanpage</t>
        </is>
      </c>
      <c r="E843" s="53" t="inlineStr">
        <is>
          <t>03/09/2026 03:05:16</t>
        </is>
      </c>
      <c r="F843" s="53" t="inlineStr">
        <is>
          <t>1 tháng trước</t>
        </is>
      </c>
      <c r="G843" s="55" t="n">
        <v>30</v>
      </c>
      <c r="H843" s="56" t="n">
        <v>0</v>
      </c>
      <c r="I843" s="6" t="inlineStr">
        <is>
          <t>Pet Owner / Cộng đồng nuôi cún (10đ)</t>
        </is>
      </c>
      <c r="J843" s="56" t="n">
        <v>10</v>
      </c>
      <c r="K843" s="6" t="inlineStr">
        <is>
          <t>Chưa rõ giống (Cần quét Bio)</t>
        </is>
      </c>
      <c r="L843" s="56" t="n">
        <v>0</v>
      </c>
      <c r="M843" s="56" t="n">
        <v>0</v>
      </c>
      <c r="N843" s="6" t="inlineStr">
        <is>
          <t>Amazon link not found</t>
        </is>
      </c>
      <c r="O843" s="56">
        <f>IF(N843="Selling pet toys + Artificial grass/Pet toilets (TARGET)",15,IF(N843="Selling artificial grass/pet toilets (TARGET)",10,IF(N843="Selling pet toys",7,IF(N843="There's an Amazon link, but no target sales.",3,0))))</f>
        <v/>
      </c>
      <c r="P843" s="65">
        <f>H843+J843+L843+M843+O843</f>
        <v/>
      </c>
      <c r="Q843" s="71" t="inlineStr">
        <is>
          <t>Excluded: Công ty Gen DNA &amp; Thú y (Mục 5.4)</t>
        </is>
      </c>
      <c r="R843" s="6" t="inlineStr">
        <is>
          <t>Khay vệ sinh chung cư (Indoor Potty) + Thảm cỏ ban công (Grass Patch) + Đồ chơi</t>
        </is>
      </c>
      <c r="S843" s="6" t="inlineStr">
        <is>
          <t>Tuyệt đối không đưa vào CRM (Vi phạm Bộ lọc Âm tính Mục 5)</t>
        </is>
      </c>
    </row>
    <row r="844">
      <c r="A844" s="59" t="n">
        <v>2231</v>
      </c>
      <c r="B844" s="15" t="inlineStr">
        <is>
          <t>Mt. Washington Animal Clinic</t>
        </is>
      </c>
      <c r="C844" s="60" t="inlineStr">
        <is>
          <t>https://www.facebook.com/MWACvet</t>
        </is>
      </c>
      <c r="D844" s="9" t="inlineStr">
        <is>
          <t>Cần quét Bio Fanpage</t>
        </is>
      </c>
      <c r="E844" s="59" t="inlineStr">
        <is>
          <t>02/09/2026 23:34:21</t>
        </is>
      </c>
      <c r="F844" s="59" t="inlineStr">
        <is>
          <t>1 tháng trước</t>
        </is>
      </c>
      <c r="G844" s="61" t="n">
        <v>30</v>
      </c>
      <c r="H844" s="62" t="n">
        <v>0</v>
      </c>
      <c r="I844" s="9" t="inlineStr">
        <is>
          <t>Pet Owner / Cộng đồng nuôi cún (10đ)</t>
        </is>
      </c>
      <c r="J844" s="62" t="n">
        <v>10</v>
      </c>
      <c r="K844" s="9" t="inlineStr">
        <is>
          <t>Chưa rõ giống (Cần quét Bio)</t>
        </is>
      </c>
      <c r="L844" s="62" t="n">
        <v>0</v>
      </c>
      <c r="M844" s="62" t="n">
        <v>0</v>
      </c>
      <c r="N844" s="9" t="inlineStr">
        <is>
          <t>Amazon link not found</t>
        </is>
      </c>
      <c r="O844" s="62">
        <f>IF(N844="Selling pet toys + Artificial grass/Pet toilets (TARGET)",15,IF(N844="Selling artificial grass/pet toilets (TARGET)",10,IF(N844="Selling pet toys",7,IF(N844="There's an Amazon link, but no target sales.",3,0))))</f>
        <v/>
      </c>
      <c r="P844" s="67">
        <f>H844+J844+L844+M844+O844</f>
        <v/>
      </c>
      <c r="Q844" s="70" t="inlineStr">
        <is>
          <t>Excluded: Công ty Gen DNA &amp; Thú y (Mục 5.4)</t>
        </is>
      </c>
      <c r="R844" s="9" t="inlineStr">
        <is>
          <t>Khay vệ sinh chung cư (Indoor Potty) + Thảm cỏ ban công (Grass Patch) + Đồ chơi</t>
        </is>
      </c>
      <c r="S844" s="9" t="inlineStr">
        <is>
          <t>Tuyệt đối không đưa vào CRM (Vi phạm Bộ lọc Âm tính Mục 5)</t>
        </is>
      </c>
    </row>
    <row r="845">
      <c r="A845" s="53" t="n">
        <v>130</v>
      </c>
      <c r="B845" s="12" t="inlineStr">
        <is>
          <t>Centro Veterinario Bagnolese - Dott. Comba Fabrizio</t>
        </is>
      </c>
      <c r="C845" s="54" t="inlineStr">
        <is>
          <t>https://www.facebook.com/fabriziocombavet</t>
        </is>
      </c>
      <c r="D845" s="6" t="inlineStr">
        <is>
          <t>Cần quét Bio Fanpage</t>
        </is>
      </c>
      <c r="E845" s="53" t="inlineStr">
        <is>
          <t>01/09/2026 14:28:29</t>
        </is>
      </c>
      <c r="F845" s="53" t="inlineStr">
        <is>
          <t>1 tháng trước</t>
        </is>
      </c>
      <c r="G845" s="55" t="n">
        <v>30</v>
      </c>
      <c r="H845" s="56" t="n">
        <v>0</v>
      </c>
      <c r="I845" s="6" t="inlineStr">
        <is>
          <t>Pet Owner / Cộng đồng nuôi cún (10đ)</t>
        </is>
      </c>
      <c r="J845" s="56" t="n">
        <v>10</v>
      </c>
      <c r="K845" s="6" t="inlineStr">
        <is>
          <t>Chưa rõ giống (Cần quét Bio)</t>
        </is>
      </c>
      <c r="L845" s="56" t="n">
        <v>0</v>
      </c>
      <c r="M845" s="56" t="n">
        <v>0</v>
      </c>
      <c r="N845" s="6" t="inlineStr">
        <is>
          <t>Amazon link not found</t>
        </is>
      </c>
      <c r="O845" s="56">
        <f>IF(N845="Selling pet toys + Artificial grass/Pet toilets (TARGET)",15,IF(N845="Selling artificial grass/pet toilets (TARGET)",10,IF(N845="Selling pet toys",7,IF(N845="There's an Amazon link, but no target sales.",3,0))))</f>
        <v/>
      </c>
      <c r="P845" s="65">
        <f>H845+J845+L845+M845+O845</f>
        <v/>
      </c>
      <c r="Q845" s="71" t="inlineStr">
        <is>
          <t>Excluded: Công ty Gen DNA &amp; Thú y (Mục 5.4)</t>
        </is>
      </c>
      <c r="R845" s="6" t="inlineStr">
        <is>
          <t>Khay vệ sinh chung cư (Indoor Potty) + Thảm cỏ ban công (Grass Patch) + Đồ chơi</t>
        </is>
      </c>
      <c r="S845" s="6" t="inlineStr">
        <is>
          <t>Tuyệt đối không đưa vào CRM (Vi phạm Bộ lọc Âm tính Mục 5)</t>
        </is>
      </c>
    </row>
    <row r="846">
      <c r="A846" s="59" t="n">
        <v>3120</v>
      </c>
      <c r="B846" s="15" t="inlineStr">
        <is>
          <t>The Forever Dog Repair Manual</t>
        </is>
      </c>
      <c r="C846" s="60" t="inlineStr">
        <is>
          <t>https://www.facebook.com/ForeverDogRepairManual</t>
        </is>
      </c>
      <c r="D846" s="9" t="inlineStr">
        <is>
          <t>Cần quét Bio Fanpage</t>
        </is>
      </c>
      <c r="E846" s="59" t="inlineStr">
        <is>
          <t>28/08/2026 23:06:54</t>
        </is>
      </c>
      <c r="F846" s="59" t="inlineStr">
        <is>
          <t>1 tháng trước</t>
        </is>
      </c>
      <c r="G846" s="61" t="n">
        <v>30</v>
      </c>
      <c r="H846" s="62" t="n">
        <v>0</v>
      </c>
      <c r="I846" s="9" t="inlineStr">
        <is>
          <t>Pet Owner / Cộng đồng nuôi cún (10đ)</t>
        </is>
      </c>
      <c r="J846" s="62" t="n">
        <v>10</v>
      </c>
      <c r="K846" s="9" t="inlineStr">
        <is>
          <t>Chưa rõ giống (Cần quét Bio)</t>
        </is>
      </c>
      <c r="L846" s="62" t="n">
        <v>0</v>
      </c>
      <c r="M846" s="62" t="n">
        <v>0</v>
      </c>
      <c r="N846" s="9" t="inlineStr">
        <is>
          <t>Amazon link not found</t>
        </is>
      </c>
      <c r="O846" s="62">
        <f>IF(N846="Selling pet toys + Artificial grass/Pet toilets (TARGET)",15,IF(N846="Selling artificial grass/pet toilets (TARGET)",10,IF(N846="Selling pet toys",7,IF(N846="There's an Amazon link, but no target sales.",3,0))))</f>
        <v/>
      </c>
      <c r="P846" s="67">
        <f>H846+J846+L846+M846+O846</f>
        <v/>
      </c>
      <c r="Q846" s="70" t="inlineStr">
        <is>
          <t>Excluded: Kênh Tin tức, Tạp chí &amp; Giải trí (Mục 5.3)</t>
        </is>
      </c>
      <c r="R846" s="9" t="inlineStr">
        <is>
          <t>Khay vệ sinh chung cư (Indoor Potty) + Thảm cỏ ban công (Grass Patch) + Đồ chơi</t>
        </is>
      </c>
      <c r="S846" s="9" t="inlineStr">
        <is>
          <t>Tuyệt đối không đưa vào CRM (Vi phạm Bộ lọc Âm tính Mục 5)</t>
        </is>
      </c>
    </row>
    <row r="847">
      <c r="A847" s="53" t="n">
        <v>1253</v>
      </c>
      <c r="B847" s="12" t="inlineStr">
        <is>
          <t>DviKojoTes</t>
        </is>
      </c>
      <c r="C847" s="54" t="inlineStr">
        <is>
          <t>https://www.facebook.com/DviKojoTes</t>
        </is>
      </c>
      <c r="D847" s="6" t="inlineStr">
        <is>
          <t>Cần quét Bio Fanpage</t>
        </is>
      </c>
      <c r="E847" s="53" t="inlineStr">
        <is>
          <t>28/08/2026 14:29:21</t>
        </is>
      </c>
      <c r="F847" s="53" t="inlineStr">
        <is>
          <t>1 tháng trước</t>
        </is>
      </c>
      <c r="G847" s="55" t="n">
        <v>30</v>
      </c>
      <c r="H847" s="56" t="n">
        <v>0</v>
      </c>
      <c r="I847" s="6" t="inlineStr">
        <is>
          <t>Pet Owner / Cộng đồng nuôi cún (10đ)</t>
        </is>
      </c>
      <c r="J847" s="56" t="n">
        <v>10</v>
      </c>
      <c r="K847" s="6" t="inlineStr">
        <is>
          <t>Chưa rõ giống (Cần quét Bio)</t>
        </is>
      </c>
      <c r="L847" s="56" t="n">
        <v>0</v>
      </c>
      <c r="M847" s="56" t="n">
        <v>0</v>
      </c>
      <c r="N847" s="6" t="inlineStr">
        <is>
          <t>Amazon link not found</t>
        </is>
      </c>
      <c r="O847" s="56">
        <f>IF(N847="Selling pet toys + Artificial grass/Pet toilets (TARGET)",15,IF(N847="Selling artificial grass/pet toilets (TARGET)",10,IF(N847="Selling pet toys",7,IF(N847="There's an Amazon link, but no target sales.",3,0))))</f>
        <v/>
      </c>
      <c r="P847" s="65">
        <f>H847+J847+L847+M847+O847</f>
        <v/>
      </c>
      <c r="Q847" s="71" t="inlineStr">
        <is>
          <t>Excluded: Trang Chung / Không rõ Ngách Cún cưng</t>
        </is>
      </c>
      <c r="R847" s="6" t="inlineStr">
        <is>
          <t>Khay vệ sinh chung cư (Indoor Potty) + Thảm cỏ ban công (Grass Patch) + Đồ chơi</t>
        </is>
      </c>
      <c r="S847" s="6" t="inlineStr">
        <is>
          <t>Tuyệt đối không đưa vào CRM (Vi phạm Bộ lọc Âm tính Mục 5)</t>
        </is>
      </c>
    </row>
    <row r="848">
      <c r="A848" s="59" t="n">
        <v>1350</v>
      </c>
      <c r="B848" s="15" t="inlineStr">
        <is>
          <t>Farmhill Veterinary Clinic</t>
        </is>
      </c>
      <c r="C848" s="60" t="inlineStr">
        <is>
          <t>https://www.facebook.com/farmhillvets</t>
        </is>
      </c>
      <c r="D848" s="9" t="inlineStr">
        <is>
          <t>Cần quét Bio Fanpage</t>
        </is>
      </c>
      <c r="E848" s="59" t="inlineStr">
        <is>
          <t>22/08/2026 16:16:20</t>
        </is>
      </c>
      <c r="F848" s="59" t="inlineStr">
        <is>
          <t>1 tháng trước</t>
        </is>
      </c>
      <c r="G848" s="61" t="n">
        <v>30</v>
      </c>
      <c r="H848" s="62" t="n">
        <v>0</v>
      </c>
      <c r="I848" s="9" t="inlineStr">
        <is>
          <t>Pet Owner / Cộng đồng nuôi cún (10đ)</t>
        </is>
      </c>
      <c r="J848" s="62" t="n">
        <v>10</v>
      </c>
      <c r="K848" s="9" t="inlineStr">
        <is>
          <t>Chưa rõ giống (Cần quét Bio)</t>
        </is>
      </c>
      <c r="L848" s="62" t="n">
        <v>0</v>
      </c>
      <c r="M848" s="62" t="n">
        <v>0</v>
      </c>
      <c r="N848" s="9" t="inlineStr">
        <is>
          <t>Amazon link not found</t>
        </is>
      </c>
      <c r="O848" s="62">
        <f>IF(N848="Selling pet toys + Artificial grass/Pet toilets (TARGET)",15,IF(N848="Selling artificial grass/pet toilets (TARGET)",10,IF(N848="Selling pet toys",7,IF(N848="There's an Amazon link, but no target sales.",3,0))))</f>
        <v/>
      </c>
      <c r="P848" s="67">
        <f>H848+J848+L848+M848+O848</f>
        <v/>
      </c>
      <c r="Q848" s="70" t="inlineStr">
        <is>
          <t>Excluded: Công ty Gen DNA &amp; Thú y (Mục 5.4)</t>
        </is>
      </c>
      <c r="R848" s="9" t="inlineStr">
        <is>
          <t>Khay vệ sinh chung cư (Indoor Potty) + Thảm cỏ ban công (Grass Patch) + Đồ chơi</t>
        </is>
      </c>
      <c r="S848" s="9" t="inlineStr">
        <is>
          <t>Tuyệt đối không đưa vào CRM (Vi phạm Bộ lọc Âm tính Mục 5)</t>
        </is>
      </c>
    </row>
    <row r="849">
      <c r="A849" s="53" t="n">
        <v>2842</v>
      </c>
      <c r="B849" s="12" t="inlineStr">
        <is>
          <t>Schaefer Veterinary Service</t>
        </is>
      </c>
      <c r="C849" s="54" t="inlineStr">
        <is>
          <t>https://www.facebook.com/SchaeferVeterinaryService</t>
        </is>
      </c>
      <c r="D849" s="6" t="inlineStr">
        <is>
          <t>Cần quét Bio Fanpage</t>
        </is>
      </c>
      <c r="E849" s="53" t="inlineStr">
        <is>
          <t>15/08/2026 21:29:04</t>
        </is>
      </c>
      <c r="F849" s="53" t="inlineStr">
        <is>
          <t>1 tháng trước</t>
        </is>
      </c>
      <c r="G849" s="55" t="n">
        <v>30</v>
      </c>
      <c r="H849" s="56" t="n">
        <v>0</v>
      </c>
      <c r="I849" s="6" t="inlineStr">
        <is>
          <t>Pet Owner / Cộng đồng nuôi cún (10đ)</t>
        </is>
      </c>
      <c r="J849" s="56" t="n">
        <v>10</v>
      </c>
      <c r="K849" s="6" t="inlineStr">
        <is>
          <t>Chưa rõ giống (Cần quét Bio)</t>
        </is>
      </c>
      <c r="L849" s="56" t="n">
        <v>0</v>
      </c>
      <c r="M849" s="56" t="n">
        <v>0</v>
      </c>
      <c r="N849" s="6" t="inlineStr">
        <is>
          <t>Amazon link not found</t>
        </is>
      </c>
      <c r="O849" s="56">
        <f>IF(N849="Selling pet toys + Artificial grass/Pet toilets (TARGET)",15,IF(N849="Selling artificial grass/pet toilets (TARGET)",10,IF(N849="Selling pet toys",7,IF(N849="There's an Amazon link, but no target sales.",3,0))))</f>
        <v/>
      </c>
      <c r="P849" s="65">
        <f>H849+J849+L849+M849+O849</f>
        <v/>
      </c>
      <c r="Q849" s="71" t="inlineStr">
        <is>
          <t>Excluded: Công ty Gen DNA &amp; Thú y (Mục 5.4)</t>
        </is>
      </c>
      <c r="R849" s="6" t="inlineStr">
        <is>
          <t>Khay vệ sinh chung cư (Indoor Potty) + Thảm cỏ ban công (Grass Patch) + Đồ chơi</t>
        </is>
      </c>
      <c r="S849" s="6" t="inlineStr">
        <is>
          <t>Tuyệt đối không đưa vào CRM (Vi phạm Bộ lọc Âm tính Mục 5)</t>
        </is>
      </c>
    </row>
    <row r="850">
      <c r="A850" s="59" t="n">
        <v>402</v>
      </c>
      <c r="B850" s="15" t="inlineStr">
        <is>
          <t>Veterinariovelletri</t>
        </is>
      </c>
      <c r="C850" s="60" t="inlineStr">
        <is>
          <t>https://www.facebook.com/Veterinariovelletri</t>
        </is>
      </c>
      <c r="D850" s="9" t="inlineStr">
        <is>
          <t>Cần quét Bio Fanpage</t>
        </is>
      </c>
      <c r="E850" s="59" t="inlineStr">
        <is>
          <t>14/08/2026 23:55:11</t>
        </is>
      </c>
      <c r="F850" s="59" t="inlineStr">
        <is>
          <t>1 tháng trước</t>
        </is>
      </c>
      <c r="G850" s="61" t="n">
        <v>30</v>
      </c>
      <c r="H850" s="62" t="n">
        <v>0</v>
      </c>
      <c r="I850" s="9" t="inlineStr">
        <is>
          <t>Pet Owner / Cộng đồng nuôi cún (10đ)</t>
        </is>
      </c>
      <c r="J850" s="62" t="n">
        <v>10</v>
      </c>
      <c r="K850" s="9" t="inlineStr">
        <is>
          <t>Chưa rõ giống (Cần quét Bio)</t>
        </is>
      </c>
      <c r="L850" s="62" t="n">
        <v>0</v>
      </c>
      <c r="M850" s="62" t="n">
        <v>0</v>
      </c>
      <c r="N850" s="9" t="inlineStr">
        <is>
          <t>Amazon link not found</t>
        </is>
      </c>
      <c r="O850" s="62">
        <f>IF(N850="Selling pet toys + Artificial grass/Pet toilets (TARGET)",15,IF(N850="Selling artificial grass/pet toilets (TARGET)",10,IF(N850="Selling pet toys",7,IF(N850="There's an Amazon link, but no target sales.",3,0))))</f>
        <v/>
      </c>
      <c r="P850" s="67">
        <f>H850+J850+L850+M850+O850</f>
        <v/>
      </c>
      <c r="Q850" s="70" t="inlineStr">
        <is>
          <t>Excluded: Công ty Gen DNA &amp; Thú y (Mục 5.4)</t>
        </is>
      </c>
      <c r="R850" s="9" t="inlineStr">
        <is>
          <t>Khay vệ sinh chung cư (Indoor Potty) + Thảm cỏ ban công (Grass Patch) + Đồ chơi</t>
        </is>
      </c>
      <c r="S850" s="9" t="inlineStr">
        <is>
          <t>Tuyệt đối không đưa vào CRM (Vi phạm Bộ lọc Âm tính Mục 5)</t>
        </is>
      </c>
    </row>
    <row r="851">
      <c r="A851" s="53" t="n">
        <v>1218</v>
      </c>
      <c r="B851" s="12" t="inlineStr">
        <is>
          <t>Dr Caren Hull</t>
        </is>
      </c>
      <c r="C851" s="54" t="inlineStr">
        <is>
          <t>https://www.facebook.com/drcarenhull</t>
        </is>
      </c>
      <c r="D851" s="6" t="inlineStr">
        <is>
          <t>Cần quét Bio Fanpage</t>
        </is>
      </c>
      <c r="E851" s="53" t="inlineStr">
        <is>
          <t>13/08/2026 08:01:04</t>
        </is>
      </c>
      <c r="F851" s="53" t="inlineStr">
        <is>
          <t>2 tháng trước</t>
        </is>
      </c>
      <c r="G851" s="55" t="n">
        <v>60</v>
      </c>
      <c r="H851" s="56" t="n">
        <v>0</v>
      </c>
      <c r="I851" s="6" t="inlineStr">
        <is>
          <t>Pet Owner / Cộng đồng nuôi cún (10đ)</t>
        </is>
      </c>
      <c r="J851" s="56" t="n">
        <v>10</v>
      </c>
      <c r="K851" s="6" t="inlineStr">
        <is>
          <t>Chưa rõ giống (Cần quét Bio)</t>
        </is>
      </c>
      <c r="L851" s="56" t="n">
        <v>0</v>
      </c>
      <c r="M851" s="56" t="n">
        <v>0</v>
      </c>
      <c r="N851" s="6" t="inlineStr">
        <is>
          <t>Amazon link not found</t>
        </is>
      </c>
      <c r="O851" s="56">
        <f>IF(N851="Selling pet toys + Artificial grass/Pet toilets (TARGET)",15,IF(N851="Selling artificial grass/pet toilets (TARGET)",10,IF(N851="Selling pet toys",7,IF(N851="There's an Amazon link, but no target sales.",3,0))))</f>
        <v/>
      </c>
      <c r="P851" s="65">
        <f>H851+J851+L851+M851+O851</f>
        <v/>
      </c>
      <c r="Q851" s="71" t="inlineStr">
        <is>
          <t>Excluded: Trang Chung / Không rõ Ngách Cún cưng</t>
        </is>
      </c>
      <c r="R851" s="6" t="inlineStr">
        <is>
          <t>Khay vệ sinh chung cư (Indoor Potty) + Thảm cỏ ban công (Grass Patch) + Đồ chơi</t>
        </is>
      </c>
      <c r="S851" s="6" t="inlineStr">
        <is>
          <t>Tuyệt đối không đưa vào CRM (Vi phạm Bộ lọc Âm tính Mục 5)</t>
        </is>
      </c>
    </row>
    <row r="852">
      <c r="A852" s="59" t="n">
        <v>3122</v>
      </c>
      <c r="B852" s="15" t="inlineStr">
        <is>
          <t>TheGSDC</t>
        </is>
      </c>
      <c r="C852" s="60" t="inlineStr">
        <is>
          <t>https://www.facebook.com/TheGSDC</t>
        </is>
      </c>
      <c r="D852" s="9" t="inlineStr">
        <is>
          <t>Cần quét Bio Fanpage</t>
        </is>
      </c>
      <c r="E852" s="59" t="inlineStr">
        <is>
          <t>10/08/2026 08:16:28</t>
        </is>
      </c>
      <c r="F852" s="59" t="inlineStr">
        <is>
          <t>2 tháng trước</t>
        </is>
      </c>
      <c r="G852" s="61" t="n">
        <v>60</v>
      </c>
      <c r="H852" s="62" t="n">
        <v>0</v>
      </c>
      <c r="I852" s="9" t="inlineStr">
        <is>
          <t>Pet Owner / Cộng đồng nuôi cún (10đ)</t>
        </is>
      </c>
      <c r="J852" s="62" t="n">
        <v>10</v>
      </c>
      <c r="K852" s="9" t="inlineStr">
        <is>
          <t>Chưa rõ giống (Cần quét Bio)</t>
        </is>
      </c>
      <c r="L852" s="62" t="n">
        <v>0</v>
      </c>
      <c r="M852" s="62" t="n">
        <v>0</v>
      </c>
      <c r="N852" s="9" t="inlineStr">
        <is>
          <t>Amazon link not found</t>
        </is>
      </c>
      <c r="O852" s="62">
        <f>IF(N852="Selling pet toys + Artificial grass/Pet toilets (TARGET)",15,IF(N852="Selling artificial grass/pet toilets (TARGET)",10,IF(N852="Selling pet toys",7,IF(N852="There's an Amazon link, but no target sales.",3,0))))</f>
        <v/>
      </c>
      <c r="P852" s="67">
        <f>H852+J852+L852+M852+O852</f>
        <v/>
      </c>
      <c r="Q852" s="70" t="inlineStr">
        <is>
          <t>Excluded: Trang Chung / Không rõ Ngách Cún cưng</t>
        </is>
      </c>
      <c r="R852" s="9" t="inlineStr">
        <is>
          <t>Khay vệ sinh chung cư (Indoor Potty) + Thảm cỏ ban công (Grass Patch) + Đồ chơi</t>
        </is>
      </c>
      <c r="S852" s="9" t="inlineStr">
        <is>
          <t>Tuyệt đối không đưa vào CRM (Vi phạm Bộ lọc Âm tính Mục 5)</t>
        </is>
      </c>
    </row>
    <row r="853">
      <c r="A853" s="53" t="n">
        <v>2818</v>
      </c>
      <c r="B853" s="12" t="inlineStr">
        <is>
          <t>Samba de Gaveta</t>
        </is>
      </c>
      <c r="C853" s="54" t="inlineStr">
        <is>
          <t>https://www.facebook.com/sambadegaveta</t>
        </is>
      </c>
      <c r="D853" s="6" t="inlineStr">
        <is>
          <t>Cần quét Bio Fanpage</t>
        </is>
      </c>
      <c r="E853" s="53" t="inlineStr">
        <is>
          <t>06/08/2026 18:34:08</t>
        </is>
      </c>
      <c r="F853" s="53" t="inlineStr">
        <is>
          <t>2 tháng trước</t>
        </is>
      </c>
      <c r="G853" s="55" t="n">
        <v>60</v>
      </c>
      <c r="H853" s="56" t="n">
        <v>0</v>
      </c>
      <c r="I853" s="6" t="inlineStr">
        <is>
          <t>Pet Owner / Cộng đồng nuôi cún (10đ)</t>
        </is>
      </c>
      <c r="J853" s="56" t="n">
        <v>10</v>
      </c>
      <c r="K853" s="6" t="inlineStr">
        <is>
          <t>Chưa rõ giống (Cần quét Bio)</t>
        </is>
      </c>
      <c r="L853" s="56" t="n">
        <v>0</v>
      </c>
      <c r="M853" s="56" t="n">
        <v>0</v>
      </c>
      <c r="N853" s="6" t="inlineStr">
        <is>
          <t>Amazon link not found</t>
        </is>
      </c>
      <c r="O853" s="56">
        <f>IF(N853="Selling pet toys + Artificial grass/Pet toilets (TARGET)",15,IF(N853="Selling artificial grass/pet toilets (TARGET)",10,IF(N853="Selling pet toys",7,IF(N853="There's an Amazon link, but no target sales.",3,0))))</f>
        <v/>
      </c>
      <c r="P853" s="65">
        <f>H853+J853+L853+M853+O853</f>
        <v/>
      </c>
      <c r="Q853" s="71" t="inlineStr">
        <is>
          <t>Excluded: Trang Chung / Không rõ Ngách Cún cưng</t>
        </is>
      </c>
      <c r="R853" s="6" t="inlineStr">
        <is>
          <t>Khay vệ sinh chung cư (Indoor Potty) + Thảm cỏ ban công (Grass Patch) + Đồ chơi</t>
        </is>
      </c>
      <c r="S853" s="6" t="inlineStr">
        <is>
          <t>Tuyệt đối không đưa vào CRM (Vi phạm Bộ lọc Âm tính Mục 5)</t>
        </is>
      </c>
    </row>
    <row r="854">
      <c r="A854" s="59" t="n">
        <v>282</v>
      </c>
      <c r="B854" s="15" t="inlineStr">
        <is>
          <t>Toccare</t>
        </is>
      </c>
      <c r="C854" s="60" t="inlineStr">
        <is>
          <t>https://www.facebook.com/remedialmassageforhealth</t>
        </is>
      </c>
      <c r="D854" s="9" t="inlineStr">
        <is>
          <t>Cần quét Bio Fanpage</t>
        </is>
      </c>
      <c r="E854" s="59" t="inlineStr">
        <is>
          <t>02/08/2026 13:06:55</t>
        </is>
      </c>
      <c r="F854" s="59" t="inlineStr">
        <is>
          <t>2 tháng trước</t>
        </is>
      </c>
      <c r="G854" s="61" t="n">
        <v>60</v>
      </c>
      <c r="H854" s="62" t="n">
        <v>0</v>
      </c>
      <c r="I854" s="9" t="inlineStr">
        <is>
          <t>Pet Owner / Cộng đồng nuôi cún (10đ)</t>
        </is>
      </c>
      <c r="J854" s="62" t="n">
        <v>10</v>
      </c>
      <c r="K854" s="9" t="inlineStr">
        <is>
          <t>Chưa rõ giống (Cần quét Bio)</t>
        </is>
      </c>
      <c r="L854" s="62" t="n">
        <v>0</v>
      </c>
      <c r="M854" s="62" t="n">
        <v>0</v>
      </c>
      <c r="N854" s="9" t="inlineStr">
        <is>
          <t>Amazon link not found</t>
        </is>
      </c>
      <c r="O854" s="62">
        <f>IF(N854="Selling pet toys + Artificial grass/Pet toilets (TARGET)",15,IF(N854="Selling artificial grass/pet toilets (TARGET)",10,IF(N854="Selling pet toys",7,IF(N854="There's an Amazon link, but no target sales.",3,0))))</f>
        <v/>
      </c>
      <c r="P854" s="67">
        <f>H854+J854+L854+M854+O854</f>
        <v/>
      </c>
      <c r="Q854" s="70" t="inlineStr">
        <is>
          <t>Excluded: Trang Chung / Không rõ Ngách Cún cưng</t>
        </is>
      </c>
      <c r="R854" s="9" t="inlineStr">
        <is>
          <t>Khay vệ sinh chung cư (Indoor Potty) + Thảm cỏ ban công (Grass Patch) + Đồ chơi</t>
        </is>
      </c>
      <c r="S854" s="9" t="inlineStr">
        <is>
          <t>Tuyệt đối không đưa vào CRM (Vi phạm Bộ lọc Âm tính Mục 5)</t>
        </is>
      </c>
    </row>
    <row r="855">
      <c r="A855" s="53" t="n">
        <v>3338</v>
      </c>
      <c r="B855" s="12" t="inlineStr">
        <is>
          <t>Volontari Autonomi Animalisti di Siracusa</t>
        </is>
      </c>
      <c r="C855" s="54" t="inlineStr">
        <is>
          <t>https://www.facebook.com/profile.php?id=100066339559515</t>
        </is>
      </c>
      <c r="D855" s="6" t="inlineStr">
        <is>
          <t>Cần quét Bio Fanpage</t>
        </is>
      </c>
      <c r="E855" s="53" t="inlineStr">
        <is>
          <t>31/07/2026 19:33:35</t>
        </is>
      </c>
      <c r="F855" s="53" t="inlineStr">
        <is>
          <t>2 tháng trước</t>
        </is>
      </c>
      <c r="G855" s="55" t="n">
        <v>60</v>
      </c>
      <c r="H855" s="56" t="n">
        <v>0</v>
      </c>
      <c r="I855" s="6" t="inlineStr">
        <is>
          <t>Pet Owner / Cộng đồng nuôi cún (10đ)</t>
        </is>
      </c>
      <c r="J855" s="56" t="n">
        <v>10</v>
      </c>
      <c r="K855" s="6" t="inlineStr">
        <is>
          <t>Chưa rõ giống (Cần quét Bio)</t>
        </is>
      </c>
      <c r="L855" s="56" t="n">
        <v>0</v>
      </c>
      <c r="M855" s="56" t="n">
        <v>0</v>
      </c>
      <c r="N855" s="6" t="inlineStr">
        <is>
          <t>Amazon link not found</t>
        </is>
      </c>
      <c r="O855" s="56">
        <f>IF(N855="Selling pet toys + Artificial grass/Pet toilets (TARGET)",15,IF(N855="Selling artificial grass/pet toilets (TARGET)",10,IF(N855="Selling pet toys",7,IF(N855="There's an Amazon link, but no target sales.",3,0))))</f>
        <v/>
      </c>
      <c r="P855" s="65">
        <f>H855+J855+L855+M855+O855</f>
        <v/>
      </c>
      <c r="Q855" s="71" t="inlineStr">
        <is>
          <t>Excluded: Trang Chung / Không rõ Ngách Cún cưng</t>
        </is>
      </c>
      <c r="R855" s="6" t="inlineStr">
        <is>
          <t>Khay vệ sinh chung cư (Indoor Potty) + Thảm cỏ ban công (Grass Patch) + Đồ chơi</t>
        </is>
      </c>
      <c r="S855" s="6" t="inlineStr">
        <is>
          <t>Tuyệt đối không đưa vào CRM (Vi phạm Bộ lọc Âm tính Mục 5)</t>
        </is>
      </c>
    </row>
    <row r="856">
      <c r="A856" s="59" t="n">
        <v>446</v>
      </c>
      <c r="B856" s="15" t="inlineStr">
        <is>
          <t>Animal Care Clinic</t>
        </is>
      </c>
      <c r="C856" s="60" t="inlineStr">
        <is>
          <t>https://www.facebook.com/profile.php?id=100063526301621</t>
        </is>
      </c>
      <c r="D856" s="9" t="inlineStr">
        <is>
          <t>Cần quét Bio Fanpage</t>
        </is>
      </c>
      <c r="E856" s="59" t="inlineStr">
        <is>
          <t>31/07/2026 18:08:27</t>
        </is>
      </c>
      <c r="F856" s="59" t="inlineStr">
        <is>
          <t>2 tháng trước</t>
        </is>
      </c>
      <c r="G856" s="61" t="n">
        <v>60</v>
      </c>
      <c r="H856" s="62" t="n">
        <v>0</v>
      </c>
      <c r="I856" s="9" t="inlineStr">
        <is>
          <t>Pet Owner / Cộng đồng nuôi cún (10đ)</t>
        </is>
      </c>
      <c r="J856" s="62" t="n">
        <v>10</v>
      </c>
      <c r="K856" s="9" t="inlineStr">
        <is>
          <t>Chưa rõ giống (Cần quét Bio)</t>
        </is>
      </c>
      <c r="L856" s="62" t="n">
        <v>0</v>
      </c>
      <c r="M856" s="62" t="n">
        <v>0</v>
      </c>
      <c r="N856" s="9" t="inlineStr">
        <is>
          <t>Amazon link not found</t>
        </is>
      </c>
      <c r="O856" s="62">
        <f>IF(N856="Selling pet toys + Artificial grass/Pet toilets (TARGET)",15,IF(N856="Selling artificial grass/pet toilets (TARGET)",10,IF(N856="Selling pet toys",7,IF(N856="There's an Amazon link, but no target sales.",3,0))))</f>
        <v/>
      </c>
      <c r="P856" s="67">
        <f>H856+J856+L856+M856+O856</f>
        <v/>
      </c>
      <c r="Q856" s="70" t="inlineStr">
        <is>
          <t>Excluded: Trang Chung / Không rõ Ngách Cún cưng</t>
        </is>
      </c>
      <c r="R856" s="9" t="inlineStr">
        <is>
          <t>Khay vệ sinh chung cư (Indoor Potty) + Thảm cỏ ban công (Grass Patch) + Đồ chơi</t>
        </is>
      </c>
      <c r="S856" s="9" t="inlineStr">
        <is>
          <t>Tuyệt đối không đưa vào CRM (Vi phạm Bộ lọc Âm tính Mục 5)</t>
        </is>
      </c>
    </row>
    <row r="857">
      <c r="A857" s="53" t="n">
        <v>417</v>
      </c>
      <c r="B857" s="12" t="inlineStr">
        <is>
          <t>Amigos de los Animales</t>
        </is>
      </c>
      <c r="C857" s="54" t="inlineStr">
        <is>
          <t>https://www.facebook.com/Amigos.de.los.Animales.ADLA</t>
        </is>
      </c>
      <c r="D857" s="6" t="inlineStr">
        <is>
          <t>Cần quét Bio Fanpage</t>
        </is>
      </c>
      <c r="E857" s="53" t="inlineStr">
        <is>
          <t>31/07/2026 13:27:49</t>
        </is>
      </c>
      <c r="F857" s="53" t="inlineStr">
        <is>
          <t>2 tháng trước</t>
        </is>
      </c>
      <c r="G857" s="55" t="n">
        <v>60</v>
      </c>
      <c r="H857" s="56" t="n">
        <v>0</v>
      </c>
      <c r="I857" s="6" t="inlineStr">
        <is>
          <t>Pet Owner / Cộng đồng nuôi cún (10đ)</t>
        </is>
      </c>
      <c r="J857" s="56" t="n">
        <v>10</v>
      </c>
      <c r="K857" s="6" t="inlineStr">
        <is>
          <t>Chưa rõ giống (Cần quét Bio)</t>
        </is>
      </c>
      <c r="L857" s="56" t="n">
        <v>0</v>
      </c>
      <c r="M857" s="56" t="n">
        <v>0</v>
      </c>
      <c r="N857" s="6" t="inlineStr">
        <is>
          <t>Amazon link not found</t>
        </is>
      </c>
      <c r="O857" s="56">
        <f>IF(N857="Selling pet toys + Artificial grass/Pet toilets (TARGET)",15,IF(N857="Selling artificial grass/pet toilets (TARGET)",10,IF(N857="Selling pet toys",7,IF(N857="There's an Amazon link, but no target sales.",3,0))))</f>
        <v/>
      </c>
      <c r="P857" s="65">
        <f>H857+J857+L857+M857+O857</f>
        <v/>
      </c>
      <c r="Q857" s="71" t="inlineStr">
        <is>
          <t>Excluded: Trang Chung / Không rõ Ngách Cún cưng</t>
        </is>
      </c>
      <c r="R857" s="6" t="inlineStr">
        <is>
          <t>Khay vệ sinh chung cư (Indoor Potty) + Thảm cỏ ban công (Grass Patch) + Đồ chơi</t>
        </is>
      </c>
      <c r="S857" s="6" t="inlineStr">
        <is>
          <t>Tuyệt đối không đưa vào CRM (Vi phạm Bộ lọc Âm tính Mục 5)</t>
        </is>
      </c>
    </row>
    <row r="858">
      <c r="A858" s="59" t="n">
        <v>398</v>
      </c>
      <c r="B858" s="15" t="inlineStr">
        <is>
          <t>Alvet Dunării 22</t>
        </is>
      </c>
      <c r="C858" s="60" t="inlineStr">
        <is>
          <t>https://www.facebook.com/profile.php?id=100057143302446</t>
        </is>
      </c>
      <c r="D858" s="9" t="inlineStr">
        <is>
          <t>Cần quét Bio Fanpage</t>
        </is>
      </c>
      <c r="E858" s="59" t="inlineStr">
        <is>
          <t>30/07/2026 00:10:57</t>
        </is>
      </c>
      <c r="F858" s="59" t="inlineStr">
        <is>
          <t>2 tháng trước</t>
        </is>
      </c>
      <c r="G858" s="61" t="n">
        <v>60</v>
      </c>
      <c r="H858" s="62" t="n">
        <v>0</v>
      </c>
      <c r="I858" s="9" t="inlineStr">
        <is>
          <t>Pet Owner / Cộng đồng nuôi cún (10đ)</t>
        </is>
      </c>
      <c r="J858" s="62" t="n">
        <v>10</v>
      </c>
      <c r="K858" s="9" t="inlineStr">
        <is>
          <t>Chưa rõ giống (Cần quét Bio)</t>
        </is>
      </c>
      <c r="L858" s="62" t="n">
        <v>0</v>
      </c>
      <c r="M858" s="62" t="n">
        <v>0</v>
      </c>
      <c r="N858" s="9" t="inlineStr">
        <is>
          <t>Amazon link not found</t>
        </is>
      </c>
      <c r="O858" s="62">
        <f>IF(N858="Selling pet toys + Artificial grass/Pet toilets (TARGET)",15,IF(N858="Selling artificial grass/pet toilets (TARGET)",10,IF(N858="Selling pet toys",7,IF(N858="There's an Amazon link, but no target sales.",3,0))))</f>
        <v/>
      </c>
      <c r="P858" s="67">
        <f>H858+J858+L858+M858+O858</f>
        <v/>
      </c>
      <c r="Q858" s="70" t="inlineStr">
        <is>
          <t>Excluded: Trang Chung / Không rõ Ngách Cún cưng</t>
        </is>
      </c>
      <c r="R858" s="9" t="inlineStr">
        <is>
          <t>Khay vệ sinh chung cư (Indoor Potty) + Thảm cỏ ban công (Grass Patch) + Đồ chơi</t>
        </is>
      </c>
      <c r="S858" s="9" t="inlineStr">
        <is>
          <t>Tuyệt đối không đưa vào CRM (Vi phạm Bộ lọc Âm tính Mục 5)</t>
        </is>
      </c>
    </row>
    <row r="859">
      <c r="A859" s="53" t="n">
        <v>2075</v>
      </c>
      <c r="B859" s="12" t="inlineStr">
        <is>
          <t>Lusi's Stars FCI Buldog Angielski i Berneński Pies Pasterski</t>
        </is>
      </c>
      <c r="C859" s="54" t="inlineStr">
        <is>
          <t>https://www.facebook.com/Lusisstars</t>
        </is>
      </c>
      <c r="D859" s="6" t="inlineStr">
        <is>
          <t>Cần quét Bio Fanpage</t>
        </is>
      </c>
      <c r="E859" s="53" t="inlineStr">
        <is>
          <t>27/07/2026 04:24:22</t>
        </is>
      </c>
      <c r="F859" s="53" t="inlineStr">
        <is>
          <t>2 tháng trước</t>
        </is>
      </c>
      <c r="G859" s="55" t="n">
        <v>60</v>
      </c>
      <c r="H859" s="56" t="n">
        <v>0</v>
      </c>
      <c r="I859" s="6" t="inlineStr">
        <is>
          <t>Pet Owner / Cộng đồng nuôi cún (10đ)</t>
        </is>
      </c>
      <c r="J859" s="56" t="n">
        <v>10</v>
      </c>
      <c r="K859" s="6" t="inlineStr">
        <is>
          <t>Chưa rõ giống (Cần quét Bio)</t>
        </is>
      </c>
      <c r="L859" s="56" t="n">
        <v>0</v>
      </c>
      <c r="M859" s="56" t="n">
        <v>0</v>
      </c>
      <c r="N859" s="6" t="inlineStr">
        <is>
          <t>Amazon link not found</t>
        </is>
      </c>
      <c r="O859" s="56">
        <f>IF(N859="Selling pet toys + Artificial grass/Pet toilets (TARGET)",15,IF(N859="Selling artificial grass/pet toilets (TARGET)",10,IF(N859="Selling pet toys",7,IF(N859="There's an Amazon link, but no target sales.",3,0))))</f>
        <v/>
      </c>
      <c r="P859" s="65">
        <f>H859+J859+L859+M859+O859</f>
        <v/>
      </c>
      <c r="Q859" s="71" t="inlineStr">
        <is>
          <t>Excluded: Hiệp hội &amp; CLB Phả hệ (Mục 5.1)</t>
        </is>
      </c>
      <c r="R859" s="6" t="inlineStr">
        <is>
          <t>Khay vệ sinh chung cư (Indoor Potty) + Thảm cỏ ban công (Grass Patch) + Đồ chơi</t>
        </is>
      </c>
      <c r="S859" s="6" t="inlineStr">
        <is>
          <t>Tuyệt đối không đưa vào CRM (Vi phạm Bộ lọc Âm tính Mục 5)</t>
        </is>
      </c>
    </row>
    <row r="860">
      <c r="A860" s="59" t="n">
        <v>3470</v>
      </c>
      <c r="B860" s="15" t="inlineStr">
        <is>
          <t>Your Animals Best Friend</t>
        </is>
      </c>
      <c r="C860" s="60" t="inlineStr">
        <is>
          <t>https://www.facebook.com/profile.php?id=100063639486264</t>
        </is>
      </c>
      <c r="D860" s="9" t="inlineStr">
        <is>
          <t>Cần quét Bio Fanpage</t>
        </is>
      </c>
      <c r="E860" s="59" t="inlineStr">
        <is>
          <t>24/07/2026 03:22:15</t>
        </is>
      </c>
      <c r="F860" s="59" t="inlineStr">
        <is>
          <t>2 tháng trước</t>
        </is>
      </c>
      <c r="G860" s="61" t="n">
        <v>60</v>
      </c>
      <c r="H860" s="62" t="n">
        <v>0</v>
      </c>
      <c r="I860" s="9" t="inlineStr">
        <is>
          <t>Pet Owner / Cộng đồng nuôi cún (10đ)</t>
        </is>
      </c>
      <c r="J860" s="62" t="n">
        <v>10</v>
      </c>
      <c r="K860" s="9" t="inlineStr">
        <is>
          <t>Chưa rõ giống (Cần quét Bio)</t>
        </is>
      </c>
      <c r="L860" s="62" t="n">
        <v>0</v>
      </c>
      <c r="M860" s="62" t="n">
        <v>0</v>
      </c>
      <c r="N860" s="9" t="inlineStr">
        <is>
          <t>Amazon link not found</t>
        </is>
      </c>
      <c r="O860" s="62">
        <f>IF(N860="Selling pet toys + Artificial grass/Pet toilets (TARGET)",15,IF(N860="Selling artificial grass/pet toilets (TARGET)",10,IF(N860="Selling pet toys",7,IF(N860="There's an Amazon link, but no target sales.",3,0))))</f>
        <v/>
      </c>
      <c r="P860" s="67">
        <f>H860+J860+L860+M860+O860</f>
        <v/>
      </c>
      <c r="Q860" s="70" t="inlineStr">
        <is>
          <t>Excluded: Trang Chung / Không rõ Ngách Cún cưng</t>
        </is>
      </c>
      <c r="R860" s="9" t="inlineStr">
        <is>
          <t>Khay vệ sinh chung cư (Indoor Potty) + Thảm cỏ ban công (Grass Patch) + Đồ chơi</t>
        </is>
      </c>
      <c r="S860" s="9" t="inlineStr">
        <is>
          <t>Tuyệt đối không đưa vào CRM (Vi phạm Bộ lọc Âm tính Mục 5)</t>
        </is>
      </c>
    </row>
    <row r="861">
      <c r="A861" s="53" t="n">
        <v>1346</v>
      </c>
      <c r="B861" s="12" t="inlineStr">
        <is>
          <t>Farmers Market Lobster &amp; Crab NC</t>
        </is>
      </c>
      <c r="C861" s="54" t="inlineStr">
        <is>
          <t>https://www.facebook.com/FMLobsterNC</t>
        </is>
      </c>
      <c r="D861" s="6" t="inlineStr">
        <is>
          <t>Cần quét Bio Fanpage</t>
        </is>
      </c>
      <c r="E861" s="53" t="inlineStr">
        <is>
          <t>05/07/2026 04:53:23</t>
        </is>
      </c>
      <c r="F861" s="53" t="inlineStr">
        <is>
          <t>3 tháng trước</t>
        </is>
      </c>
      <c r="G861" s="55" t="n">
        <v>90</v>
      </c>
      <c r="H861" s="56" t="n">
        <v>0</v>
      </c>
      <c r="I861" s="6" t="inlineStr">
        <is>
          <t>Pet Owner / Cộng đồng nuôi cún (10đ)</t>
        </is>
      </c>
      <c r="J861" s="56" t="n">
        <v>10</v>
      </c>
      <c r="K861" s="6" t="inlineStr">
        <is>
          <t>Chưa rõ giống (Cần quét Bio)</t>
        </is>
      </c>
      <c r="L861" s="56" t="n">
        <v>0</v>
      </c>
      <c r="M861" s="56" t="n">
        <v>0</v>
      </c>
      <c r="N861" s="6" t="inlineStr">
        <is>
          <t>Amazon link not found</t>
        </is>
      </c>
      <c r="O861" s="56">
        <f>IF(N861="Selling pet toys + Artificial grass/Pet toilets (TARGET)",15,IF(N861="Selling artificial grass/pet toilets (TARGET)",10,IF(N861="Selling pet toys",7,IF(N861="There's an Amazon link, but no target sales.",3,0))))</f>
        <v/>
      </c>
      <c r="P861" s="65">
        <f>H861+J861+L861+M861+O861</f>
        <v/>
      </c>
      <c r="Q861" s="71" t="inlineStr">
        <is>
          <t>Excluded: Ngành nghề Khác (Phi Cún cưng)</t>
        </is>
      </c>
      <c r="R861" s="6" t="inlineStr">
        <is>
          <t>Khay vệ sinh chung cư (Indoor Potty) + Thảm cỏ ban công (Grass Patch) + Đồ chơi</t>
        </is>
      </c>
      <c r="S861" s="6" t="inlineStr">
        <is>
          <t>Tuyệt đối không đưa vào CRM (Vi phạm Bộ lọc Âm tính Mục 5)</t>
        </is>
      </c>
    </row>
    <row r="862">
      <c r="A862" s="59" t="n">
        <v>907</v>
      </c>
      <c r="B862" s="15" t="inlineStr">
        <is>
          <t>Clark Animal Hospital</t>
        </is>
      </c>
      <c r="C862" s="60" t="inlineStr">
        <is>
          <t>https://www.facebook.com/clarkanimalhospitalnj</t>
        </is>
      </c>
      <c r="D862" s="9" t="inlineStr">
        <is>
          <t>Cần quét Bio Fanpage</t>
        </is>
      </c>
      <c r="E862" s="59" t="inlineStr">
        <is>
          <t>04/07/2026 20:05:06</t>
        </is>
      </c>
      <c r="F862" s="59" t="inlineStr">
        <is>
          <t>3 tháng trước</t>
        </is>
      </c>
      <c r="G862" s="61" t="n">
        <v>90</v>
      </c>
      <c r="H862" s="62" t="n">
        <v>0</v>
      </c>
      <c r="I862" s="9" t="inlineStr">
        <is>
          <t>Pet Owner / Cộng đồng nuôi cún (10đ)</t>
        </is>
      </c>
      <c r="J862" s="62" t="n">
        <v>10</v>
      </c>
      <c r="K862" s="9" t="inlineStr">
        <is>
          <t>Chưa rõ giống (Cần quét Bio)</t>
        </is>
      </c>
      <c r="L862" s="62" t="n">
        <v>0</v>
      </c>
      <c r="M862" s="62" t="n">
        <v>0</v>
      </c>
      <c r="N862" s="9" t="inlineStr">
        <is>
          <t>Amazon link not found</t>
        </is>
      </c>
      <c r="O862" s="62">
        <f>IF(N862="Selling pet toys + Artificial grass/Pet toilets (TARGET)",15,IF(N862="Selling artificial grass/pet toilets (TARGET)",10,IF(N862="Selling pet toys",7,IF(N862="There's an Amazon link, but no target sales.",3,0))))</f>
        <v/>
      </c>
      <c r="P862" s="67">
        <f>H862+J862+L862+M862+O862</f>
        <v/>
      </c>
      <c r="Q862" s="70" t="inlineStr">
        <is>
          <t>Excluded: Công ty Gen DNA &amp; Thú y (Mục 5.4)</t>
        </is>
      </c>
      <c r="R862" s="9" t="inlineStr">
        <is>
          <t>Khay vệ sinh chung cư (Indoor Potty) + Thảm cỏ ban công (Grass Patch) + Đồ chơi</t>
        </is>
      </c>
      <c r="S862" s="9" t="inlineStr">
        <is>
          <t>Tuyệt đối không đưa vào CRM (Vi phạm Bộ lọc Âm tính Mục 5)</t>
        </is>
      </c>
    </row>
    <row r="863">
      <c r="A863" s="53" t="n">
        <v>470</v>
      </c>
      <c r="B863" s="12" t="inlineStr">
        <is>
          <t>Animal Memes</t>
        </is>
      </c>
      <c r="C863" s="54" t="inlineStr">
        <is>
          <t>https://www.facebook.com/PostingCuteness</t>
        </is>
      </c>
      <c r="D863" s="6" t="inlineStr">
        <is>
          <t>Cần quét Bio Fanpage</t>
        </is>
      </c>
      <c r="E863" s="53" t="inlineStr">
        <is>
          <t>26/06/2026 04:16:28</t>
        </is>
      </c>
      <c r="F863" s="53" t="inlineStr">
        <is>
          <t>3 tháng trước</t>
        </is>
      </c>
      <c r="G863" s="55" t="n">
        <v>90</v>
      </c>
      <c r="H863" s="56" t="n">
        <v>0</v>
      </c>
      <c r="I863" s="6" t="inlineStr">
        <is>
          <t>Pet Owner / Cộng đồng nuôi cún (10đ)</t>
        </is>
      </c>
      <c r="J863" s="56" t="n">
        <v>10</v>
      </c>
      <c r="K863" s="6" t="inlineStr">
        <is>
          <t>Chưa rõ giống (Cần quét Bio)</t>
        </is>
      </c>
      <c r="L863" s="56" t="n">
        <v>0</v>
      </c>
      <c r="M863" s="56" t="n">
        <v>0</v>
      </c>
      <c r="N863" s="6" t="inlineStr">
        <is>
          <t>Amazon link not found</t>
        </is>
      </c>
      <c r="O863" s="56">
        <f>IF(N863="Selling pet toys + Artificial grass/Pet toilets (TARGET)",15,IF(N863="Selling artificial grass/pet toilets (TARGET)",10,IF(N863="Selling pet toys",7,IF(N863="There's an Amazon link, but no target sales.",3,0))))</f>
        <v/>
      </c>
      <c r="P863" s="65">
        <f>H863+J863+L863+M863+O863</f>
        <v/>
      </c>
      <c r="Q863" s="71" t="inlineStr">
        <is>
          <t>Excluded: Trang Chung / Không rõ Ngách Cún cưng</t>
        </is>
      </c>
      <c r="R863" s="6" t="inlineStr">
        <is>
          <t>Khay vệ sinh chung cư (Indoor Potty) + Thảm cỏ ban công (Grass Patch) + Đồ chơi</t>
        </is>
      </c>
      <c r="S863" s="6" t="inlineStr">
        <is>
          <t>Tuyệt đối không đưa vào CRM (Vi phạm Bộ lọc Âm tính Mục 5)</t>
        </is>
      </c>
    </row>
    <row r="864">
      <c r="A864" s="59" t="n">
        <v>494</v>
      </c>
      <c r="B864" s="15" t="inlineStr">
        <is>
          <t>Animals smiles</t>
        </is>
      </c>
      <c r="C864" s="60" t="inlineStr">
        <is>
          <t>https://www.facebook.com/animalsmilesclips2023</t>
        </is>
      </c>
      <c r="D864" s="9" t="inlineStr">
        <is>
          <t>Cần quét Bio Fanpage</t>
        </is>
      </c>
      <c r="E864" s="59" t="inlineStr">
        <is>
          <t>25/06/2026 12:41:04</t>
        </is>
      </c>
      <c r="F864" s="59" t="inlineStr">
        <is>
          <t>3 tháng trước</t>
        </is>
      </c>
      <c r="G864" s="61" t="n">
        <v>90</v>
      </c>
      <c r="H864" s="62" t="n">
        <v>0</v>
      </c>
      <c r="I864" s="9" t="inlineStr">
        <is>
          <t>Pet Owner / Cộng đồng nuôi cún (10đ)</t>
        </is>
      </c>
      <c r="J864" s="62" t="n">
        <v>10</v>
      </c>
      <c r="K864" s="9" t="inlineStr">
        <is>
          <t>Chưa rõ giống (Cần quét Bio)</t>
        </is>
      </c>
      <c r="L864" s="62" t="n">
        <v>0</v>
      </c>
      <c r="M864" s="62" t="n">
        <v>0</v>
      </c>
      <c r="N864" s="9" t="inlineStr">
        <is>
          <t>Amazon link not found</t>
        </is>
      </c>
      <c r="O864" s="62">
        <f>IF(N864="Selling pet toys + Artificial grass/Pet toilets (TARGET)",15,IF(N864="Selling artificial grass/pet toilets (TARGET)",10,IF(N864="Selling pet toys",7,IF(N864="There's an Amazon link, but no target sales.",3,0))))</f>
        <v/>
      </c>
      <c r="P864" s="67">
        <f>H864+J864+L864+M864+O864</f>
        <v/>
      </c>
      <c r="Q864" s="70" t="inlineStr">
        <is>
          <t>Excluded: Trang Chung / Không rõ Ngách Cún cưng</t>
        </is>
      </c>
      <c r="R864" s="9" t="inlineStr">
        <is>
          <t>Khay vệ sinh chung cư (Indoor Potty) + Thảm cỏ ban công (Grass Patch) + Đồ chơi</t>
        </is>
      </c>
      <c r="S864" s="9" t="inlineStr">
        <is>
          <t>Tuyệt đối không đưa vào CRM (Vi phạm Bộ lọc Âm tính Mục 5)</t>
        </is>
      </c>
    </row>
    <row r="865">
      <c r="A865" s="53" t="n">
        <v>447</v>
      </c>
      <c r="B865" s="12" t="inlineStr">
        <is>
          <t>Animal Cargo Bus - Traslado de Mascotas</t>
        </is>
      </c>
      <c r="C865" s="54" t="inlineStr">
        <is>
          <t>https://www.facebook.com/AnimalCargoBus</t>
        </is>
      </c>
      <c r="D865" s="6" t="inlineStr">
        <is>
          <t>Cần quét Bio Fanpage</t>
        </is>
      </c>
      <c r="E865" s="53" t="inlineStr">
        <is>
          <t>16/06/2026 20:46:00</t>
        </is>
      </c>
      <c r="F865" s="53" t="inlineStr">
        <is>
          <t>3 tháng trước</t>
        </is>
      </c>
      <c r="G865" s="55" t="n">
        <v>90</v>
      </c>
      <c r="H865" s="56" t="n">
        <v>0</v>
      </c>
      <c r="I865" s="6" t="inlineStr">
        <is>
          <t>Pet Owner / Cộng đồng nuôi cún (10đ)</t>
        </is>
      </c>
      <c r="J865" s="56" t="n">
        <v>10</v>
      </c>
      <c r="K865" s="6" t="inlineStr">
        <is>
          <t>Chưa rõ giống (Cần quét Bio)</t>
        </is>
      </c>
      <c r="L865" s="56" t="n">
        <v>0</v>
      </c>
      <c r="M865" s="56" t="n">
        <v>0</v>
      </c>
      <c r="N865" s="6" t="inlineStr">
        <is>
          <t>Amazon link not found</t>
        </is>
      </c>
      <c r="O865" s="56">
        <f>IF(N865="Selling pet toys + Artificial grass/Pet toilets (TARGET)",15,IF(N865="Selling artificial grass/pet toilets (TARGET)",10,IF(N865="Selling pet toys",7,IF(N865="There's an Amazon link, but no target sales.",3,0))))</f>
        <v/>
      </c>
      <c r="P865" s="65">
        <f>H865+J865+L865+M865+O865</f>
        <v/>
      </c>
      <c r="Q865" s="71" t="inlineStr">
        <is>
          <t>Excluded: Trang Chung / Không rõ Ngách Cún cưng</t>
        </is>
      </c>
      <c r="R865" s="6" t="inlineStr">
        <is>
          <t>Khay vệ sinh chung cư (Indoor Potty) + Thảm cỏ ban công (Grass Patch) + Đồ chơi</t>
        </is>
      </c>
      <c r="S865" s="6" t="inlineStr">
        <is>
          <t>Tuyệt đối không đưa vào CRM (Vi phạm Bộ lọc Âm tính Mục 5)</t>
        </is>
      </c>
    </row>
    <row r="866">
      <c r="A866" s="59" t="n">
        <v>1039</v>
      </c>
      <c r="B866" s="15" t="inlineStr">
        <is>
          <t>Dingo Animal Taxi</t>
        </is>
      </c>
      <c r="C866" s="60" t="inlineStr">
        <is>
          <t>https://www.facebook.com/DingoAnimalTaxi</t>
        </is>
      </c>
      <c r="D866" s="9" t="inlineStr">
        <is>
          <t>Cần quét Bio Fanpage</t>
        </is>
      </c>
      <c r="E866" s="59" t="inlineStr">
        <is>
          <t>16/06/2026 18:30:47</t>
        </is>
      </c>
      <c r="F866" s="59" t="inlineStr">
        <is>
          <t>3 tháng trước</t>
        </is>
      </c>
      <c r="G866" s="61" t="n">
        <v>90</v>
      </c>
      <c r="H866" s="62" t="n">
        <v>0</v>
      </c>
      <c r="I866" s="9" t="inlineStr">
        <is>
          <t>Pet Owner / Cộng đồng nuôi cún (10đ)</t>
        </is>
      </c>
      <c r="J866" s="62" t="n">
        <v>10</v>
      </c>
      <c r="K866" s="9" t="inlineStr">
        <is>
          <t>Chưa rõ giống (Cần quét Bio)</t>
        </is>
      </c>
      <c r="L866" s="62" t="n">
        <v>0</v>
      </c>
      <c r="M866" s="62" t="n">
        <v>0</v>
      </c>
      <c r="N866" s="9" t="inlineStr">
        <is>
          <t>Amazon link not found</t>
        </is>
      </c>
      <c r="O866" s="62">
        <f>IF(N866="Selling pet toys + Artificial grass/Pet toilets (TARGET)",15,IF(N866="Selling artificial grass/pet toilets (TARGET)",10,IF(N866="Selling pet toys",7,IF(N866="There's an Amazon link, but no target sales.",3,0))))</f>
        <v/>
      </c>
      <c r="P866" s="67">
        <f>H866+J866+L866+M866+O866</f>
        <v/>
      </c>
      <c r="Q866" s="70" t="inlineStr">
        <is>
          <t>Excluded: Trang Chung / Không rõ Ngách Cún cưng</t>
        </is>
      </c>
      <c r="R866" s="9" t="inlineStr">
        <is>
          <t>Khay vệ sinh chung cư (Indoor Potty) + Thảm cỏ ban công (Grass Patch) + Đồ chơi</t>
        </is>
      </c>
      <c r="S866" s="9" t="inlineStr">
        <is>
          <t>Tuyệt đối không đưa vào CRM (Vi phạm Bộ lọc Âm tính Mục 5)</t>
        </is>
      </c>
    </row>
    <row r="867">
      <c r="A867" s="53" t="n">
        <v>459</v>
      </c>
      <c r="B867" s="12" t="inlineStr">
        <is>
          <t>Animal Found in Cuyahoga County</t>
        </is>
      </c>
      <c r="C867" s="54" t="inlineStr">
        <is>
          <t>https://www.facebook.com/profile.php?id=100057396551520</t>
        </is>
      </c>
      <c r="D867" s="6" t="inlineStr">
        <is>
          <t>Cần quét Bio Fanpage</t>
        </is>
      </c>
      <c r="E867" s="53" t="inlineStr">
        <is>
          <t>15/06/2026 01:47:29</t>
        </is>
      </c>
      <c r="F867" s="53" t="inlineStr">
        <is>
          <t>3 tháng trước</t>
        </is>
      </c>
      <c r="G867" s="55" t="n">
        <v>90</v>
      </c>
      <c r="H867" s="56" t="n">
        <v>0</v>
      </c>
      <c r="I867" s="6" t="inlineStr">
        <is>
          <t>Pet Owner / Cộng đồng nuôi cún (10đ)</t>
        </is>
      </c>
      <c r="J867" s="56" t="n">
        <v>10</v>
      </c>
      <c r="K867" s="6" t="inlineStr">
        <is>
          <t>Chưa rõ giống (Cần quét Bio)</t>
        </is>
      </c>
      <c r="L867" s="56" t="n">
        <v>0</v>
      </c>
      <c r="M867" s="56" t="n">
        <v>0</v>
      </c>
      <c r="N867" s="6" t="inlineStr">
        <is>
          <t>Amazon link not found</t>
        </is>
      </c>
      <c r="O867" s="56">
        <f>IF(N867="Selling pet toys + Artificial grass/Pet toilets (TARGET)",15,IF(N867="Selling artificial grass/pet toilets (TARGET)",10,IF(N867="Selling pet toys",7,IF(N867="There's an Amazon link, but no target sales.",3,0))))</f>
        <v/>
      </c>
      <c r="P867" s="65">
        <f>H867+J867+L867+M867+O867</f>
        <v/>
      </c>
      <c r="Q867" s="71" t="inlineStr">
        <is>
          <t>Excluded: Trang Chung / Không rõ Ngách Cún cưng</t>
        </is>
      </c>
      <c r="R867" s="6" t="inlineStr">
        <is>
          <t>Khay vệ sinh chung cư (Indoor Potty) + Thảm cỏ ban công (Grass Patch) + Đồ chơi</t>
        </is>
      </c>
      <c r="S867" s="6" t="inlineStr">
        <is>
          <t>Tuyệt đối không đưa vào CRM (Vi phạm Bộ lọc Âm tính Mục 5)</t>
        </is>
      </c>
    </row>
    <row r="868">
      <c r="A868" s="59" t="n">
        <v>874</v>
      </c>
      <c r="B868" s="15" t="inlineStr">
        <is>
          <t>Centro Veterinario Huércal Overa</t>
        </is>
      </c>
      <c r="C868" s="60" t="inlineStr">
        <is>
          <t>https://www.facebook.com/profile.php?id=100040267275754</t>
        </is>
      </c>
      <c r="D868" s="9" t="inlineStr">
        <is>
          <t>Cần quét Bio Fanpage</t>
        </is>
      </c>
      <c r="E868" s="59" t="inlineStr">
        <is>
          <t>12/06/2026 16:30:01</t>
        </is>
      </c>
      <c r="F868" s="59" t="inlineStr">
        <is>
          <t>4 tháng trước</t>
        </is>
      </c>
      <c r="G868" s="61" t="n">
        <v>120</v>
      </c>
      <c r="H868" s="62" t="n">
        <v>0</v>
      </c>
      <c r="I868" s="9" t="inlineStr">
        <is>
          <t>Pet Owner / Cộng đồng nuôi cún (10đ)</t>
        </is>
      </c>
      <c r="J868" s="62" t="n">
        <v>10</v>
      </c>
      <c r="K868" s="9" t="inlineStr">
        <is>
          <t>Chưa rõ giống (Cần quét Bio)</t>
        </is>
      </c>
      <c r="L868" s="62" t="n">
        <v>0</v>
      </c>
      <c r="M868" s="62" t="n">
        <v>0</v>
      </c>
      <c r="N868" s="9" t="inlineStr">
        <is>
          <t>Amazon link not found</t>
        </is>
      </c>
      <c r="O868" s="62">
        <f>IF(N868="Selling pet toys + Artificial grass/Pet toilets (TARGET)",15,IF(N868="Selling artificial grass/pet toilets (TARGET)",10,IF(N868="Selling pet toys",7,IF(N868="There's an Amazon link, but no target sales.",3,0))))</f>
        <v/>
      </c>
      <c r="P868" s="67">
        <f>H868+J868+L868+M868+O868</f>
        <v/>
      </c>
      <c r="Q868" s="70" t="inlineStr">
        <is>
          <t>Excluded: Công ty Gen DNA &amp; Thú y (Mục 5.4)</t>
        </is>
      </c>
      <c r="R868" s="9" t="inlineStr">
        <is>
          <t>Khay vệ sinh chung cư (Indoor Potty) + Thảm cỏ ban công (Grass Patch) + Đồ chơi</t>
        </is>
      </c>
      <c r="S868" s="9" t="inlineStr">
        <is>
          <t>Tuyệt đối không đưa vào CRM (Vi phạm Bộ lọc Âm tính Mục 5)</t>
        </is>
      </c>
    </row>
    <row r="869">
      <c r="A869" s="53" t="n">
        <v>3021</v>
      </c>
      <c r="B869" s="12" t="inlineStr">
        <is>
          <t>Sunshine Coast Veterinary Acupuncture</t>
        </is>
      </c>
      <c r="C869" s="54" t="inlineStr">
        <is>
          <t>https://www.facebook.com/profile.php?id=61572968593830</t>
        </is>
      </c>
      <c r="D869" s="6" t="inlineStr">
        <is>
          <t>Cần quét Bio Fanpage</t>
        </is>
      </c>
      <c r="E869" s="53" t="inlineStr">
        <is>
          <t>08/06/2026 08:44:38</t>
        </is>
      </c>
      <c r="F869" s="53" t="inlineStr">
        <is>
          <t>4 tháng trước</t>
        </is>
      </c>
      <c r="G869" s="55" t="n">
        <v>120</v>
      </c>
      <c r="H869" s="56" t="n">
        <v>0</v>
      </c>
      <c r="I869" s="6" t="inlineStr">
        <is>
          <t>Pet Owner / Cộng đồng nuôi cún (10đ)</t>
        </is>
      </c>
      <c r="J869" s="56" t="n">
        <v>10</v>
      </c>
      <c r="K869" s="6" t="inlineStr">
        <is>
          <t>Chưa rõ giống (Cần quét Bio)</t>
        </is>
      </c>
      <c r="L869" s="56" t="n">
        <v>0</v>
      </c>
      <c r="M869" s="56" t="n">
        <v>0</v>
      </c>
      <c r="N869" s="6" t="inlineStr">
        <is>
          <t>Amazon link not found</t>
        </is>
      </c>
      <c r="O869" s="56">
        <f>IF(N869="Selling pet toys + Artificial grass/Pet toilets (TARGET)",15,IF(N869="Selling artificial grass/pet toilets (TARGET)",10,IF(N869="Selling pet toys",7,IF(N869="There's an Amazon link, but no target sales.",3,0))))</f>
        <v/>
      </c>
      <c r="P869" s="65">
        <f>H869+J869+L869+M869+O869</f>
        <v/>
      </c>
      <c r="Q869" s="71" t="inlineStr">
        <is>
          <t>Excluded: Công ty Gen DNA &amp; Thú y (Mục 5.4)</t>
        </is>
      </c>
      <c r="R869" s="6" t="inlineStr">
        <is>
          <t>Khay vệ sinh chung cư (Indoor Potty) + Thảm cỏ ban công (Grass Patch) + Đồ chơi</t>
        </is>
      </c>
      <c r="S869" s="6" t="inlineStr">
        <is>
          <t>Tuyệt đối không đưa vào CRM (Vi phạm Bộ lọc Âm tính Mục 5)</t>
        </is>
      </c>
    </row>
    <row r="870">
      <c r="A870" s="59" t="n">
        <v>2864</v>
      </c>
      <c r="B870" s="15" t="inlineStr">
        <is>
          <t>Servei d'acollida d'animals de Girona</t>
        </is>
      </c>
      <c r="C870" s="60" t="inlineStr">
        <is>
          <t>https://www.facebook.com/ServeiAcollidaAnimalsGirona</t>
        </is>
      </c>
      <c r="D870" s="9" t="inlineStr">
        <is>
          <t>Cần quét Bio Fanpage</t>
        </is>
      </c>
      <c r="E870" s="59" t="inlineStr">
        <is>
          <t>26/05/2026 13:06:08</t>
        </is>
      </c>
      <c r="F870" s="59" t="inlineStr">
        <is>
          <t>4 tháng trước</t>
        </is>
      </c>
      <c r="G870" s="61" t="n">
        <v>120</v>
      </c>
      <c r="H870" s="62" t="n">
        <v>0</v>
      </c>
      <c r="I870" s="9" t="inlineStr">
        <is>
          <t>Pet Owner / Cộng đồng nuôi cún (10đ)</t>
        </is>
      </c>
      <c r="J870" s="62" t="n">
        <v>10</v>
      </c>
      <c r="K870" s="9" t="inlineStr">
        <is>
          <t>Chưa rõ giống (Cần quét Bio)</t>
        </is>
      </c>
      <c r="L870" s="62" t="n">
        <v>0</v>
      </c>
      <c r="M870" s="62" t="n">
        <v>0</v>
      </c>
      <c r="N870" s="9" t="inlineStr">
        <is>
          <t>Amazon link not found</t>
        </is>
      </c>
      <c r="O870" s="62">
        <f>IF(N870="Selling pet toys + Artificial grass/Pet toilets (TARGET)",15,IF(N870="Selling artificial grass/pet toilets (TARGET)",10,IF(N870="Selling pet toys",7,IF(N870="There's an Amazon link, but no target sales.",3,0))))</f>
        <v/>
      </c>
      <c r="P870" s="67">
        <f>H870+J870+L870+M870+O870</f>
        <v/>
      </c>
      <c r="Q870" s="70" t="inlineStr">
        <is>
          <t>Excluded: Trang Chung / Không rõ Ngách Cún cưng</t>
        </is>
      </c>
      <c r="R870" s="9" t="inlineStr">
        <is>
          <t>Khay vệ sinh chung cư (Indoor Potty) + Thảm cỏ ban công (Grass Patch) + Đồ chơi</t>
        </is>
      </c>
      <c r="S870" s="9" t="inlineStr">
        <is>
          <t>Tuyệt đối không đưa vào CRM (Vi phạm Bộ lọc Âm tính Mục 5)</t>
        </is>
      </c>
    </row>
    <row r="871">
      <c r="A871" s="53" t="n">
        <v>1357</v>
      </c>
      <c r="B871" s="12" t="inlineStr">
        <is>
          <t>Faro Mobile Care</t>
        </is>
      </c>
      <c r="C871" s="54" t="inlineStr">
        <is>
          <t>https://www.facebook.com/Faromobilebathanghai</t>
        </is>
      </c>
      <c r="D871" s="6" t="inlineStr">
        <is>
          <t>Cần quét Bio Fanpage</t>
        </is>
      </c>
      <c r="E871" s="53" t="inlineStr">
        <is>
          <t>25/05/2026 18:19:10</t>
        </is>
      </c>
      <c r="F871" s="53" t="inlineStr">
        <is>
          <t>4 tháng trước</t>
        </is>
      </c>
      <c r="G871" s="55" t="n">
        <v>120</v>
      </c>
      <c r="H871" s="56" t="n">
        <v>0</v>
      </c>
      <c r="I871" s="6" t="inlineStr">
        <is>
          <t>Pet Owner / Cộng đồng nuôi cún (10đ)</t>
        </is>
      </c>
      <c r="J871" s="56" t="n">
        <v>10</v>
      </c>
      <c r="K871" s="6" t="inlineStr">
        <is>
          <t>Chưa rõ giống (Cần quét Bio)</t>
        </is>
      </c>
      <c r="L871" s="56" t="n">
        <v>0</v>
      </c>
      <c r="M871" s="56" t="n">
        <v>0</v>
      </c>
      <c r="N871" s="6" t="inlineStr">
        <is>
          <t>Amazon link not found</t>
        </is>
      </c>
      <c r="O871" s="56">
        <f>IF(N871="Selling pet toys + Artificial grass/Pet toilets (TARGET)",15,IF(N871="Selling artificial grass/pet toilets (TARGET)",10,IF(N871="Selling pet toys",7,IF(N871="There's an Amazon link, but no target sales.",3,0))))</f>
        <v/>
      </c>
      <c r="P871" s="65">
        <f>H871+J871+L871+M871+O871</f>
        <v/>
      </c>
      <c r="Q871" s="71" t="inlineStr">
        <is>
          <t>Excluded: Trang Chung / Không rõ Ngách Cún cưng</t>
        </is>
      </c>
      <c r="R871" s="6" t="inlineStr">
        <is>
          <t>Khay vệ sinh chung cư (Indoor Potty) + Thảm cỏ ban công (Grass Patch) + Đồ chơi</t>
        </is>
      </c>
      <c r="S871" s="6" t="inlineStr">
        <is>
          <t>Tuyệt đối không đưa vào CRM (Vi phạm Bộ lọc Âm tính Mục 5)</t>
        </is>
      </c>
    </row>
    <row r="872">
      <c r="A872" s="59" t="n">
        <v>2645</v>
      </c>
      <c r="B872" s="15" t="inlineStr">
        <is>
          <t>Providence Veterinary Clinic</t>
        </is>
      </c>
      <c r="C872" s="60" t="inlineStr">
        <is>
          <t>https://www.facebook.com/providencescf</t>
        </is>
      </c>
      <c r="D872" s="9" t="inlineStr">
        <is>
          <t>Cần quét Bio Fanpage</t>
        </is>
      </c>
      <c r="E872" s="59" t="inlineStr">
        <is>
          <t>21/05/2026 03:09:54</t>
        </is>
      </c>
      <c r="F872" s="59" t="inlineStr">
        <is>
          <t>4 tháng trước</t>
        </is>
      </c>
      <c r="G872" s="61" t="n">
        <v>120</v>
      </c>
      <c r="H872" s="62" t="n">
        <v>0</v>
      </c>
      <c r="I872" s="9" t="inlineStr">
        <is>
          <t>Pet Owner / Cộng đồng nuôi cún (10đ)</t>
        </is>
      </c>
      <c r="J872" s="62" t="n">
        <v>10</v>
      </c>
      <c r="K872" s="9" t="inlineStr">
        <is>
          <t>Chưa rõ giống (Cần quét Bio)</t>
        </is>
      </c>
      <c r="L872" s="62" t="n">
        <v>0</v>
      </c>
      <c r="M872" s="62" t="n">
        <v>0</v>
      </c>
      <c r="N872" s="9" t="inlineStr">
        <is>
          <t>Amazon link not found</t>
        </is>
      </c>
      <c r="O872" s="62">
        <f>IF(N872="Selling pet toys + Artificial grass/Pet toilets (TARGET)",15,IF(N872="Selling artificial grass/pet toilets (TARGET)",10,IF(N872="Selling pet toys",7,IF(N872="There's an Amazon link, but no target sales.",3,0))))</f>
        <v/>
      </c>
      <c r="P872" s="67">
        <f>H872+J872+L872+M872+O872</f>
        <v/>
      </c>
      <c r="Q872" s="70" t="inlineStr">
        <is>
          <t>Excluded: Công ty Gen DNA &amp; Thú y (Mục 5.4)</t>
        </is>
      </c>
      <c r="R872" s="9" t="inlineStr">
        <is>
          <t>Khay vệ sinh chung cư (Indoor Potty) + Thảm cỏ ban công (Grass Patch) + Đồ chơi</t>
        </is>
      </c>
      <c r="S872" s="9" t="inlineStr">
        <is>
          <t>Tuyệt đối không đưa vào CRM (Vi phạm Bộ lọc Âm tính Mục 5)</t>
        </is>
      </c>
    </row>
    <row r="873">
      <c r="A873" s="53" t="n">
        <v>295</v>
      </c>
      <c r="B873" s="12" t="inlineStr">
        <is>
          <t>Zoetis Livestock Farming UK</t>
        </is>
      </c>
      <c r="C873" s="54" t="inlineStr">
        <is>
          <t>https://www.facebook.com/zoetislivestockfarminguk</t>
        </is>
      </c>
      <c r="D873" s="6" t="inlineStr">
        <is>
          <t>Cần quét Bio Fanpage</t>
        </is>
      </c>
      <c r="E873" s="53" t="inlineStr">
        <is>
          <t>15/05/2026 22:17:32</t>
        </is>
      </c>
      <c r="F873" s="53" t="inlineStr">
        <is>
          <t>5 tháng trước</t>
        </is>
      </c>
      <c r="G873" s="55" t="n">
        <v>150</v>
      </c>
      <c r="H873" s="56" t="n">
        <v>0</v>
      </c>
      <c r="I873" s="6" t="inlineStr">
        <is>
          <t>Pet Owner / Cộng đồng nuôi cún (10đ)</t>
        </is>
      </c>
      <c r="J873" s="56" t="n">
        <v>10</v>
      </c>
      <c r="K873" s="6" t="inlineStr">
        <is>
          <t>Chưa rõ giống (Cần quét Bio)</t>
        </is>
      </c>
      <c r="L873" s="56" t="n">
        <v>0</v>
      </c>
      <c r="M873" s="56" t="n">
        <v>0</v>
      </c>
      <c r="N873" s="6" t="inlineStr">
        <is>
          <t>Amazon link not found</t>
        </is>
      </c>
      <c r="O873" s="56">
        <f>IF(N873="Selling pet toys + Artificial grass/Pet toilets (TARGET)",15,IF(N873="Selling artificial grass/pet toilets (TARGET)",10,IF(N873="Selling pet toys",7,IF(N873="There's an Amazon link, but no target sales.",3,0))))</f>
        <v/>
      </c>
      <c r="P873" s="65">
        <f>H873+J873+L873+M873+O873</f>
        <v/>
      </c>
      <c r="Q873" s="71" t="inlineStr">
        <is>
          <t>Excluded: Công ty Gen DNA &amp; Thú y (Mục 5.4)</t>
        </is>
      </c>
      <c r="R873" s="6" t="inlineStr">
        <is>
          <t>Khay vệ sinh chung cư (Indoor Potty) + Thảm cỏ ban công (Grass Patch) + Đồ chơi</t>
        </is>
      </c>
      <c r="S873" s="6" t="inlineStr">
        <is>
          <t>Tuyệt đối không đưa vào CRM (Vi phạm Bộ lọc Âm tính Mục 5)</t>
        </is>
      </c>
    </row>
    <row r="874">
      <c r="A874" s="59" t="n">
        <v>1638</v>
      </c>
      <c r="B874" s="15" t="inlineStr">
        <is>
          <t>Facebook User</t>
        </is>
      </c>
      <c r="C874" s="60" t="inlineStr">
        <is>
          <t>https://www.facebook.com/profile.php?id=61558411727578</t>
        </is>
      </c>
      <c r="D874" s="9" t="inlineStr">
        <is>
          <t>Cần quét Bio Fanpage</t>
        </is>
      </c>
      <c r="E874" s="59" t="inlineStr">
        <is>
          <t>11/05/2026 15:32:11</t>
        </is>
      </c>
      <c r="F874" s="59" t="inlineStr">
        <is>
          <t>5 tháng trước</t>
        </is>
      </c>
      <c r="G874" s="61" t="n">
        <v>150</v>
      </c>
      <c r="H874" s="62" t="n">
        <v>0</v>
      </c>
      <c r="I874" s="9" t="inlineStr">
        <is>
          <t>Pet Owner / Cộng đồng nuôi cún (10đ)</t>
        </is>
      </c>
      <c r="J874" s="62" t="n">
        <v>10</v>
      </c>
      <c r="K874" s="9" t="inlineStr">
        <is>
          <t>Chưa rõ giống (Cần quét Bio)</t>
        </is>
      </c>
      <c r="L874" s="62" t="n">
        <v>0</v>
      </c>
      <c r="M874" s="62" t="n">
        <v>0</v>
      </c>
      <c r="N874" s="9" t="inlineStr">
        <is>
          <t>Amazon link not found</t>
        </is>
      </c>
      <c r="O874" s="62">
        <f>IF(N874="Selling pet toys + Artificial grass/Pet toilets (TARGET)",15,IF(N874="Selling artificial grass/pet toilets (TARGET)",10,IF(N874="Selling pet toys",7,IF(N874="There's an Amazon link, but no target sales.",3,0))))</f>
        <v/>
      </c>
      <c r="P874" s="67">
        <f>H874+J874+L874+M874+O874</f>
        <v/>
      </c>
      <c r="Q874" s="70" t="inlineStr">
        <is>
          <t>Excluded: Hồ sơ Ẩn danh (Facebook User)</t>
        </is>
      </c>
      <c r="R874" s="9" t="inlineStr">
        <is>
          <t>Khay vệ sinh chung cư (Indoor Potty) + Thảm cỏ ban công (Grass Patch) + Đồ chơi</t>
        </is>
      </c>
      <c r="S874" s="9" t="inlineStr">
        <is>
          <t>Tuyệt đối không đưa vào CRM (Vi phạm Bộ lọc Âm tính Mục 5)</t>
        </is>
      </c>
    </row>
    <row r="875">
      <c r="A875" s="53" t="n">
        <v>1932</v>
      </c>
      <c r="B875" s="12" t="inlineStr">
        <is>
          <t>Kiss KecskeFarm</t>
        </is>
      </c>
      <c r="C875" s="54" t="inlineStr">
        <is>
          <t>https://www.facebook.com/kisskecskefarm</t>
        </is>
      </c>
      <c r="D875" s="6" t="inlineStr">
        <is>
          <t>Cần quét Bio Fanpage</t>
        </is>
      </c>
      <c r="E875" s="53" t="inlineStr">
        <is>
          <t>08/05/2026 02:54:36</t>
        </is>
      </c>
      <c r="F875" s="53" t="inlineStr">
        <is>
          <t>5 tháng trước</t>
        </is>
      </c>
      <c r="G875" s="55" t="n">
        <v>150</v>
      </c>
      <c r="H875" s="56" t="n">
        <v>0</v>
      </c>
      <c r="I875" s="6" t="inlineStr">
        <is>
          <t>Pet Owner / Cộng đồng nuôi cún (10đ)</t>
        </is>
      </c>
      <c r="J875" s="56" t="n">
        <v>10</v>
      </c>
      <c r="K875" s="6" t="inlineStr">
        <is>
          <t>Chưa rõ giống (Cần quét Bio)</t>
        </is>
      </c>
      <c r="L875" s="56" t="n">
        <v>0</v>
      </c>
      <c r="M875" s="56" t="n">
        <v>0</v>
      </c>
      <c r="N875" s="6" t="inlineStr">
        <is>
          <t>Amazon link not found</t>
        </is>
      </c>
      <c r="O875" s="56">
        <f>IF(N875="Selling pet toys + Artificial grass/Pet toilets (TARGET)",15,IF(N875="Selling artificial grass/pet toilets (TARGET)",10,IF(N875="Selling pet toys",7,IF(N875="There's an Amazon link, but no target sales.",3,0))))</f>
        <v/>
      </c>
      <c r="P875" s="65">
        <f>H875+J875+L875+M875+O875</f>
        <v/>
      </c>
      <c r="Q875" s="71" t="inlineStr">
        <is>
          <t>Excluded: Trang Chung / Không rõ Ngách Cún cưng</t>
        </is>
      </c>
      <c r="R875" s="6" t="inlineStr">
        <is>
          <t>Khay vệ sinh chung cư (Indoor Potty) + Thảm cỏ ban công (Grass Patch) + Đồ chơi</t>
        </is>
      </c>
      <c r="S875" s="6" t="inlineStr">
        <is>
          <t>Tuyệt đối không đưa vào CRM (Vi phạm Bộ lọc Âm tính Mục 5)</t>
        </is>
      </c>
    </row>
    <row r="876">
      <c r="A876" s="59" t="n">
        <v>2347</v>
      </c>
      <c r="B876" s="15" t="inlineStr">
        <is>
          <t>Oknavet loomakliinik</t>
        </is>
      </c>
      <c r="C876" s="60" t="inlineStr">
        <is>
          <t>https://www.facebook.com/profile.php?id=100089005555617</t>
        </is>
      </c>
      <c r="D876" s="9" t="inlineStr">
        <is>
          <t>Cần quét Bio Fanpage</t>
        </is>
      </c>
      <c r="E876" s="59" t="inlineStr">
        <is>
          <t>22/04/2026 19:33:27</t>
        </is>
      </c>
      <c r="F876" s="59" t="inlineStr">
        <is>
          <t>5 tháng trước</t>
        </is>
      </c>
      <c r="G876" s="61" t="n">
        <v>150</v>
      </c>
      <c r="H876" s="62" t="n">
        <v>0</v>
      </c>
      <c r="I876" s="9" t="inlineStr">
        <is>
          <t>Pet Owner / Cộng đồng nuôi cún (10đ)</t>
        </is>
      </c>
      <c r="J876" s="62" t="n">
        <v>10</v>
      </c>
      <c r="K876" s="9" t="inlineStr">
        <is>
          <t>Chưa rõ giống (Cần quét Bio)</t>
        </is>
      </c>
      <c r="L876" s="62" t="n">
        <v>0</v>
      </c>
      <c r="M876" s="62" t="n">
        <v>0</v>
      </c>
      <c r="N876" s="9" t="inlineStr">
        <is>
          <t>Amazon link not found</t>
        </is>
      </c>
      <c r="O876" s="62">
        <f>IF(N876="Selling pet toys + Artificial grass/Pet toilets (TARGET)",15,IF(N876="Selling artificial grass/pet toilets (TARGET)",10,IF(N876="Selling pet toys",7,IF(N876="There's an Amazon link, but no target sales.",3,0))))</f>
        <v/>
      </c>
      <c r="P876" s="67">
        <f>H876+J876+L876+M876+O876</f>
        <v/>
      </c>
      <c r="Q876" s="70" t="inlineStr">
        <is>
          <t>Excluded: Trang Chung / Không rõ Ngách Cún cưng</t>
        </is>
      </c>
      <c r="R876" s="9" t="inlineStr">
        <is>
          <t>Khay vệ sinh chung cư (Indoor Potty) + Thảm cỏ ban công (Grass Patch) + Đồ chơi</t>
        </is>
      </c>
      <c r="S876" s="9" t="inlineStr">
        <is>
          <t>Tuyệt đối không đưa vào CRM (Vi phạm Bộ lọc Âm tính Mục 5)</t>
        </is>
      </c>
    </row>
    <row r="877">
      <c r="A877" s="53" t="n">
        <v>2332</v>
      </c>
      <c r="B877" s="12" t="inlineStr">
        <is>
          <t>Nurse for Care</t>
        </is>
      </c>
      <c r="C877" s="54" t="inlineStr">
        <is>
          <t>https://www.facebook.com/profile.php?id=61578539638528</t>
        </is>
      </c>
      <c r="D877" s="6" t="inlineStr">
        <is>
          <t>Cần quét Bio Fanpage</t>
        </is>
      </c>
      <c r="E877" s="53" t="inlineStr">
        <is>
          <t>15/04/2026 08:17:47</t>
        </is>
      </c>
      <c r="F877" s="53" t="inlineStr">
        <is>
          <t>6 tháng trước</t>
        </is>
      </c>
      <c r="G877" s="55" t="n">
        <v>180</v>
      </c>
      <c r="H877" s="56" t="n">
        <v>0</v>
      </c>
      <c r="I877" s="6" t="inlineStr">
        <is>
          <t>Pet Owner / Cộng đồng nuôi cún (10đ)</t>
        </is>
      </c>
      <c r="J877" s="56" t="n">
        <v>10</v>
      </c>
      <c r="K877" s="6" t="inlineStr">
        <is>
          <t>Chưa rõ giống (Cần quét Bio)</t>
        </is>
      </c>
      <c r="L877" s="56" t="n">
        <v>0</v>
      </c>
      <c r="M877" s="56" t="n">
        <v>0</v>
      </c>
      <c r="N877" s="6" t="inlineStr">
        <is>
          <t>Amazon link not found</t>
        </is>
      </c>
      <c r="O877" s="56">
        <f>IF(N877="Selling pet toys + Artificial grass/Pet toilets (TARGET)",15,IF(N877="Selling artificial grass/pet toilets (TARGET)",10,IF(N877="Selling pet toys",7,IF(N877="There's an Amazon link, but no target sales.",3,0))))</f>
        <v/>
      </c>
      <c r="P877" s="65">
        <f>H877+J877+L877+M877+O877</f>
        <v/>
      </c>
      <c r="Q877" s="71" t="inlineStr">
        <is>
          <t>Excluded: Trang Chung / Không rõ Ngách Cún cưng</t>
        </is>
      </c>
      <c r="R877" s="6" t="inlineStr">
        <is>
          <t>Khay vệ sinh chung cư (Indoor Potty) + Thảm cỏ ban công (Grass Patch) + Đồ chơi</t>
        </is>
      </c>
      <c r="S877" s="6" t="inlineStr">
        <is>
          <t>Tuyệt đối không đưa vào CRM (Vi phạm Bộ lọc Âm tính Mục 5)</t>
        </is>
      </c>
    </row>
    <row r="878">
      <c r="A878" s="59" t="n">
        <v>1243</v>
      </c>
      <c r="B878" s="15" t="inlineStr">
        <is>
          <t>Duck Creek Animal Hospital</t>
        </is>
      </c>
      <c r="C878" s="60" t="inlineStr">
        <is>
          <t>https://www.facebook.com/DuckCreekAnimalHospital</t>
        </is>
      </c>
      <c r="D878" s="9" t="inlineStr">
        <is>
          <t>Cần quét Bio Fanpage</t>
        </is>
      </c>
      <c r="E878" s="59" t="inlineStr">
        <is>
          <t>14/04/2026 23:00:45</t>
        </is>
      </c>
      <c r="F878" s="59" t="inlineStr">
        <is>
          <t>6 tháng trước</t>
        </is>
      </c>
      <c r="G878" s="61" t="n">
        <v>180</v>
      </c>
      <c r="H878" s="62" t="n">
        <v>0</v>
      </c>
      <c r="I878" s="9" t="inlineStr">
        <is>
          <t>Pet Owner / Cộng đồng nuôi cún (10đ)</t>
        </is>
      </c>
      <c r="J878" s="62" t="n">
        <v>10</v>
      </c>
      <c r="K878" s="9" t="inlineStr">
        <is>
          <t>Chưa rõ giống (Cần quét Bio)</t>
        </is>
      </c>
      <c r="L878" s="62" t="n">
        <v>0</v>
      </c>
      <c r="M878" s="62" t="n">
        <v>0</v>
      </c>
      <c r="N878" s="9" t="inlineStr">
        <is>
          <t>Amazon link not found</t>
        </is>
      </c>
      <c r="O878" s="62">
        <f>IF(N878="Selling pet toys + Artificial grass/Pet toilets (TARGET)",15,IF(N878="Selling artificial grass/pet toilets (TARGET)",10,IF(N878="Selling pet toys",7,IF(N878="There's an Amazon link, but no target sales.",3,0))))</f>
        <v/>
      </c>
      <c r="P878" s="67">
        <f>H878+J878+L878+M878+O878</f>
        <v/>
      </c>
      <c r="Q878" s="70" t="inlineStr">
        <is>
          <t>Excluded: Công ty Gen DNA &amp; Thú y (Mục 5.4)</t>
        </is>
      </c>
      <c r="R878" s="9" t="inlineStr">
        <is>
          <t>Khay vệ sinh chung cư (Indoor Potty) + Thảm cỏ ban công (Grass Patch) + Đồ chơi</t>
        </is>
      </c>
      <c r="S878" s="9" t="inlineStr">
        <is>
          <t>Tuyệt đối không đưa vào CRM (Vi phạm Bộ lọc Âm tính Mục 5)</t>
        </is>
      </c>
    </row>
    <row r="879">
      <c r="A879" s="53" t="n">
        <v>2617</v>
      </c>
      <c r="B879" s="12" t="inlineStr">
        <is>
          <t>PregnaVet</t>
        </is>
      </c>
      <c r="C879" s="54" t="inlineStr">
        <is>
          <t>https://www.facebook.com/PregnaVet</t>
        </is>
      </c>
      <c r="D879" s="6" t="inlineStr">
        <is>
          <t>Cần quét Bio Fanpage</t>
        </is>
      </c>
      <c r="E879" s="53" t="inlineStr">
        <is>
          <t>08/04/2026 15:55:16</t>
        </is>
      </c>
      <c r="F879" s="53" t="inlineStr">
        <is>
          <t>6 tháng trước</t>
        </is>
      </c>
      <c r="G879" s="55" t="n">
        <v>180</v>
      </c>
      <c r="H879" s="56" t="n">
        <v>0</v>
      </c>
      <c r="I879" s="6" t="inlineStr">
        <is>
          <t>Pet Owner / Cộng đồng nuôi cún (10đ)</t>
        </is>
      </c>
      <c r="J879" s="56" t="n">
        <v>10</v>
      </c>
      <c r="K879" s="6" t="inlineStr">
        <is>
          <t>Chưa rõ giống (Cần quét Bio)</t>
        </is>
      </c>
      <c r="L879" s="56" t="n">
        <v>0</v>
      </c>
      <c r="M879" s="56" t="n">
        <v>0</v>
      </c>
      <c r="N879" s="6" t="inlineStr">
        <is>
          <t>Amazon link not found</t>
        </is>
      </c>
      <c r="O879" s="56">
        <f>IF(N879="Selling pet toys + Artificial grass/Pet toilets (TARGET)",15,IF(N879="Selling artificial grass/pet toilets (TARGET)",10,IF(N879="Selling pet toys",7,IF(N879="There's an Amazon link, but no target sales.",3,0))))</f>
        <v/>
      </c>
      <c r="P879" s="65">
        <f>H879+J879+L879+M879+O879</f>
        <v/>
      </c>
      <c r="Q879" s="71" t="inlineStr">
        <is>
          <t>Excluded: Trang Chung / Không rõ Ngách Cún cưng</t>
        </is>
      </c>
      <c r="R879" s="6" t="inlineStr">
        <is>
          <t>Khay vệ sinh chung cư (Indoor Potty) + Thảm cỏ ban công (Grass Patch) + Đồ chơi</t>
        </is>
      </c>
      <c r="S879" s="6" t="inlineStr">
        <is>
          <t>Tuyệt đối không đưa vào CRM (Vi phạm Bộ lọc Âm tính Mục 5)</t>
        </is>
      </c>
    </row>
    <row r="880">
      <c r="A880" s="59" t="n">
        <v>3296</v>
      </c>
      <c r="B880" s="15" t="inlineStr">
        <is>
          <t>Velvet’s Royal Champions</t>
        </is>
      </c>
      <c r="C880" s="60" t="inlineStr">
        <is>
          <t>https://www.facebook.com/profile.php?id=61577199184985</t>
        </is>
      </c>
      <c r="D880" s="9" t="inlineStr">
        <is>
          <t>Cần quét Bio Fanpage</t>
        </is>
      </c>
      <c r="E880" s="59" t="inlineStr">
        <is>
          <t>02/04/2026 02:51:57</t>
        </is>
      </c>
      <c r="F880" s="59" t="inlineStr">
        <is>
          <t>6 tháng trước</t>
        </is>
      </c>
      <c r="G880" s="61" t="n">
        <v>180</v>
      </c>
      <c r="H880" s="62" t="n">
        <v>0</v>
      </c>
      <c r="I880" s="9" t="inlineStr">
        <is>
          <t>Pet Owner / Cộng đồng nuôi cún (10đ)</t>
        </is>
      </c>
      <c r="J880" s="62" t="n">
        <v>10</v>
      </c>
      <c r="K880" s="9" t="inlineStr">
        <is>
          <t>Chưa rõ giống (Cần quét Bio)</t>
        </is>
      </c>
      <c r="L880" s="62" t="n">
        <v>0</v>
      </c>
      <c r="M880" s="62" t="n">
        <v>0</v>
      </c>
      <c r="N880" s="9" t="inlineStr">
        <is>
          <t>Amazon link not found</t>
        </is>
      </c>
      <c r="O880" s="62">
        <f>IF(N880="Selling pet toys + Artificial grass/Pet toilets (TARGET)",15,IF(N880="Selling artificial grass/pet toilets (TARGET)",10,IF(N880="Selling pet toys",7,IF(N880="There's an Amazon link, but no target sales.",3,0))))</f>
        <v/>
      </c>
      <c r="P880" s="67">
        <f>H880+J880+L880+M880+O880</f>
        <v/>
      </c>
      <c r="Q880" s="70" t="inlineStr">
        <is>
          <t>Excluded: Trang Chung / Không rõ Ngách Cún cưng</t>
        </is>
      </c>
      <c r="R880" s="9" t="inlineStr">
        <is>
          <t>Khay vệ sinh chung cư (Indoor Potty) + Thảm cỏ ban công (Grass Patch) + Đồ chơi</t>
        </is>
      </c>
      <c r="S880" s="9" t="inlineStr">
        <is>
          <t>Tuyệt đối không đưa vào CRM (Vi phạm Bộ lọc Âm tính Mục 5)</t>
        </is>
      </c>
    </row>
    <row r="881">
      <c r="A881" s="53" t="n">
        <v>456</v>
      </c>
      <c r="B881" s="12" t="inlineStr">
        <is>
          <t>Animal Factory</t>
        </is>
      </c>
      <c r="C881" s="54" t="inlineStr">
        <is>
          <t>https://www.facebook.com/AnimalFactoryEuropa</t>
        </is>
      </c>
      <c r="D881" s="6" t="inlineStr">
        <is>
          <t>Cần quét Bio Fanpage</t>
        </is>
      </c>
      <c r="E881" s="53" t="inlineStr">
        <is>
          <t>23/03/2026 23:01:14</t>
        </is>
      </c>
      <c r="F881" s="53" t="inlineStr">
        <is>
          <t>6 tháng trước</t>
        </is>
      </c>
      <c r="G881" s="55" t="n">
        <v>180</v>
      </c>
      <c r="H881" s="56" t="n">
        <v>0</v>
      </c>
      <c r="I881" s="6" t="inlineStr">
        <is>
          <t>Pet Owner / Cộng đồng nuôi cún (10đ)</t>
        </is>
      </c>
      <c r="J881" s="56" t="n">
        <v>10</v>
      </c>
      <c r="K881" s="6" t="inlineStr">
        <is>
          <t>Chưa rõ giống (Cần quét Bio)</t>
        </is>
      </c>
      <c r="L881" s="56" t="n">
        <v>0</v>
      </c>
      <c r="M881" s="56" t="n">
        <v>0</v>
      </c>
      <c r="N881" s="6" t="inlineStr">
        <is>
          <t>Amazon link not found</t>
        </is>
      </c>
      <c r="O881" s="56">
        <f>IF(N881="Selling pet toys + Artificial grass/Pet toilets (TARGET)",15,IF(N881="Selling artificial grass/pet toilets (TARGET)",10,IF(N881="Selling pet toys",7,IF(N881="There's an Amazon link, but no target sales.",3,0))))</f>
        <v/>
      </c>
      <c r="P881" s="65">
        <f>H881+J881+L881+M881+O881</f>
        <v/>
      </c>
      <c r="Q881" s="71" t="inlineStr">
        <is>
          <t>Excluded: Trang Chung / Không rõ Ngách Cún cưng</t>
        </is>
      </c>
      <c r="R881" s="6" t="inlineStr">
        <is>
          <t>Khay vệ sinh chung cư (Indoor Potty) + Thảm cỏ ban công (Grass Patch) + Đồ chơi</t>
        </is>
      </c>
      <c r="S881" s="6" t="inlineStr">
        <is>
          <t>Tuyệt đối không đưa vào CRM (Vi phạm Bộ lọc Âm tính Mục 5)</t>
        </is>
      </c>
    </row>
    <row r="882">
      <c r="A882" s="59" t="n">
        <v>1423</v>
      </c>
      <c r="B882" s="15" t="inlineStr">
        <is>
          <t>Facebook User</t>
        </is>
      </c>
      <c r="C882" s="60" t="inlineStr">
        <is>
          <t>https://www.facebook.com/profile.php?id=100067181749849</t>
        </is>
      </c>
      <c r="D882" s="9" t="inlineStr">
        <is>
          <t>Cần quét Bio Fanpage</t>
        </is>
      </c>
      <c r="E882" s="59" t="inlineStr">
        <is>
          <t>15/03/2026 18:27:43</t>
        </is>
      </c>
      <c r="F882" s="59" t="inlineStr">
        <is>
          <t>7 tháng trước</t>
        </is>
      </c>
      <c r="G882" s="61" t="n">
        <v>210</v>
      </c>
      <c r="H882" s="62" t="n">
        <v>0</v>
      </c>
      <c r="I882" s="9" t="inlineStr">
        <is>
          <t>Pet Owner / Cộng đồng nuôi cún (10đ)</t>
        </is>
      </c>
      <c r="J882" s="62" t="n">
        <v>10</v>
      </c>
      <c r="K882" s="9" t="inlineStr">
        <is>
          <t>Chưa rõ giống (Cần quét Bio)</t>
        </is>
      </c>
      <c r="L882" s="62" t="n">
        <v>0</v>
      </c>
      <c r="M882" s="62" t="n">
        <v>0</v>
      </c>
      <c r="N882" s="9" t="inlineStr">
        <is>
          <t>Amazon link not found</t>
        </is>
      </c>
      <c r="O882" s="62">
        <f>IF(N882="Selling pet toys + Artificial grass/Pet toilets (TARGET)",15,IF(N882="Selling artificial grass/pet toilets (TARGET)",10,IF(N882="Selling pet toys",7,IF(N882="There's an Amazon link, but no target sales.",3,0))))</f>
        <v/>
      </c>
      <c r="P882" s="67">
        <f>H882+J882+L882+M882+O882</f>
        <v/>
      </c>
      <c r="Q882" s="70" t="inlineStr">
        <is>
          <t>Excluded: Hồ sơ Ẩn danh (Facebook User)</t>
        </is>
      </c>
      <c r="R882" s="9" t="inlineStr">
        <is>
          <t>Khay vệ sinh chung cư (Indoor Potty) + Thảm cỏ ban công (Grass Patch) + Đồ chơi</t>
        </is>
      </c>
      <c r="S882" s="9" t="inlineStr">
        <is>
          <t>Tuyệt đối không đưa vào CRM (Vi phạm Bộ lọc Âm tính Mục 5)</t>
        </is>
      </c>
    </row>
    <row r="883">
      <c r="A883" s="53" t="n">
        <v>2477</v>
      </c>
      <c r="B883" s="12" t="inlineStr">
        <is>
          <t>Petardeo FCI</t>
        </is>
      </c>
      <c r="C883" s="54" t="inlineStr">
        <is>
          <t>https://www.facebook.com/Petardeo</t>
        </is>
      </c>
      <c r="D883" s="6" t="inlineStr">
        <is>
          <t>Cần quét Bio Fanpage</t>
        </is>
      </c>
      <c r="E883" s="53" t="inlineStr">
        <is>
          <t>08/03/2026 19:15:37</t>
        </is>
      </c>
      <c r="F883" s="53" t="inlineStr">
        <is>
          <t>7 tháng trước</t>
        </is>
      </c>
      <c r="G883" s="55" t="n">
        <v>210</v>
      </c>
      <c r="H883" s="56" t="n">
        <v>0</v>
      </c>
      <c r="I883" s="6" t="inlineStr">
        <is>
          <t>Pet Owner / Cộng đồng nuôi cún (10đ)</t>
        </is>
      </c>
      <c r="J883" s="56" t="n">
        <v>10</v>
      </c>
      <c r="K883" s="6" t="inlineStr">
        <is>
          <t>Chưa rõ giống (Cần quét Bio)</t>
        </is>
      </c>
      <c r="L883" s="56" t="n">
        <v>0</v>
      </c>
      <c r="M883" s="56" t="n">
        <v>0</v>
      </c>
      <c r="N883" s="6" t="inlineStr">
        <is>
          <t>Amazon link not found</t>
        </is>
      </c>
      <c r="O883" s="56">
        <f>IF(N883="Selling pet toys + Artificial grass/Pet toilets (TARGET)",15,IF(N883="Selling artificial grass/pet toilets (TARGET)",10,IF(N883="Selling pet toys",7,IF(N883="There's an Amazon link, but no target sales.",3,0))))</f>
        <v/>
      </c>
      <c r="P883" s="65">
        <f>H883+J883+L883+M883+O883</f>
        <v/>
      </c>
      <c r="Q883" s="71" t="inlineStr">
        <is>
          <t>Excluded: Hiệp hội &amp; CLB Phả hệ (Mục 5.1)</t>
        </is>
      </c>
      <c r="R883" s="6" t="inlineStr">
        <is>
          <t>Khay vệ sinh chung cư (Indoor Potty) + Thảm cỏ ban công (Grass Patch) + Đồ chơi</t>
        </is>
      </c>
      <c r="S883" s="6" t="inlineStr">
        <is>
          <t>Tuyệt đối không đưa vào CRM (Vi phạm Bộ lọc Âm tính Mục 5)</t>
        </is>
      </c>
    </row>
    <row r="884">
      <c r="A884" s="59" t="n">
        <v>2809</v>
      </c>
      <c r="B884" s="15" t="inlineStr">
        <is>
          <t>Safari Wild Animal Park &amp; Preserve</t>
        </is>
      </c>
      <c r="C884" s="60" t="inlineStr">
        <is>
          <t>https://www.facebook.com/Safariwildanimalpark</t>
        </is>
      </c>
      <c r="D884" s="9" t="inlineStr">
        <is>
          <t>Cần quét Bio Fanpage</t>
        </is>
      </c>
      <c r="E884" s="59" t="inlineStr">
        <is>
          <t>06/03/2026 23:45:19</t>
        </is>
      </c>
      <c r="F884" s="59" t="inlineStr">
        <is>
          <t>7 tháng trước</t>
        </is>
      </c>
      <c r="G884" s="61" t="n">
        <v>210</v>
      </c>
      <c r="H884" s="62" t="n">
        <v>0</v>
      </c>
      <c r="I884" s="9" t="inlineStr">
        <is>
          <t>Pet Owner / Cộng đồng nuôi cún (10đ)</t>
        </is>
      </c>
      <c r="J884" s="62" t="n">
        <v>10</v>
      </c>
      <c r="K884" s="9" t="inlineStr">
        <is>
          <t>Chưa rõ giống (Cần quét Bio)</t>
        </is>
      </c>
      <c r="L884" s="62" t="n">
        <v>0</v>
      </c>
      <c r="M884" s="62" t="n">
        <v>0</v>
      </c>
      <c r="N884" s="9" t="inlineStr">
        <is>
          <t>Amazon link not found</t>
        </is>
      </c>
      <c r="O884" s="62">
        <f>IF(N884="Selling pet toys + Artificial grass/Pet toilets (TARGET)",15,IF(N884="Selling artificial grass/pet toilets (TARGET)",10,IF(N884="Selling pet toys",7,IF(N884="There's an Amazon link, but no target sales.",3,0))))</f>
        <v/>
      </c>
      <c r="P884" s="67">
        <f>H884+J884+L884+M884+O884</f>
        <v/>
      </c>
      <c r="Q884" s="70" t="inlineStr">
        <is>
          <t>Excluded: Trang Chung / Không rõ Ngách Cún cưng</t>
        </is>
      </c>
      <c r="R884" s="9" t="inlineStr">
        <is>
          <t>Khay vệ sinh chung cư (Indoor Potty) + Thảm cỏ ban công (Grass Patch) + Đồ chơi</t>
        </is>
      </c>
      <c r="S884" s="9" t="inlineStr">
        <is>
          <t>Tuyệt đối không đưa vào CRM (Vi phạm Bộ lọc Âm tính Mục 5)</t>
        </is>
      </c>
    </row>
    <row r="885">
      <c r="A885" s="53" t="n">
        <v>3476</v>
      </c>
      <c r="B885" s="12" t="inlineStr">
        <is>
          <t>Z Yard Care &amp; Landscaping</t>
        </is>
      </c>
      <c r="C885" s="54" t="inlineStr">
        <is>
          <t>https://www.facebook.com/profile.php?id=100090930706006</t>
        </is>
      </c>
      <c r="D885" s="6" t="inlineStr">
        <is>
          <t>Cần quét Bio Fanpage</t>
        </is>
      </c>
      <c r="E885" s="53" t="inlineStr">
        <is>
          <t>04/03/2026 05:33:08</t>
        </is>
      </c>
      <c r="F885" s="53" t="inlineStr">
        <is>
          <t>7 tháng trước</t>
        </is>
      </c>
      <c r="G885" s="55" t="n">
        <v>210</v>
      </c>
      <c r="H885" s="56" t="n">
        <v>0</v>
      </c>
      <c r="I885" s="6" t="inlineStr">
        <is>
          <t>Pet Owner / Cộng đồng nuôi cún (10đ)</t>
        </is>
      </c>
      <c r="J885" s="56" t="n">
        <v>10</v>
      </c>
      <c r="K885" s="6" t="inlineStr">
        <is>
          <t>Chưa rõ giống (Cần quét Bio)</t>
        </is>
      </c>
      <c r="L885" s="56" t="n">
        <v>0</v>
      </c>
      <c r="M885" s="56" t="n">
        <v>0</v>
      </c>
      <c r="N885" s="6" t="inlineStr">
        <is>
          <t>Amazon link not found</t>
        </is>
      </c>
      <c r="O885" s="56">
        <f>IF(N885="Selling pet toys + Artificial grass/Pet toilets (TARGET)",15,IF(N885="Selling artificial grass/pet toilets (TARGET)",10,IF(N885="Selling pet toys",7,IF(N885="There's an Amazon link, but no target sales.",3,0))))</f>
        <v/>
      </c>
      <c r="P885" s="65">
        <f>H885+J885+L885+M885+O885</f>
        <v/>
      </c>
      <c r="Q885" s="71" t="inlineStr">
        <is>
          <t>Excluded: Trang Chung / Không rõ Ngách Cún cưng</t>
        </is>
      </c>
      <c r="R885" s="6" t="inlineStr">
        <is>
          <t>Khay vệ sinh chung cư (Indoor Potty) + Thảm cỏ ban công (Grass Patch) + Đồ chơi</t>
        </is>
      </c>
      <c r="S885" s="6" t="inlineStr">
        <is>
          <t>Tuyệt đối không đưa vào CRM (Vi phạm Bộ lọc Âm tính Mục 5)</t>
        </is>
      </c>
    </row>
    <row r="886">
      <c r="A886" s="59" t="n">
        <v>2156</v>
      </c>
      <c r="B886" s="15" t="inlineStr">
        <is>
          <t>Medicina Veterinária Brasil</t>
        </is>
      </c>
      <c r="C886" s="60" t="inlineStr">
        <is>
          <t>https://www.facebook.com/medveterinariabrasil</t>
        </is>
      </c>
      <c r="D886" s="9" t="inlineStr">
        <is>
          <t>Cần quét Bio Fanpage</t>
        </is>
      </c>
      <c r="E886" s="59" t="inlineStr">
        <is>
          <t>24/02/2026 18:58:36</t>
        </is>
      </c>
      <c r="F886" s="59" t="inlineStr">
        <is>
          <t>7 tháng trước</t>
        </is>
      </c>
      <c r="G886" s="61" t="n">
        <v>210</v>
      </c>
      <c r="H886" s="62" t="n">
        <v>0</v>
      </c>
      <c r="I886" s="9" t="inlineStr">
        <is>
          <t>Pet Owner / Cộng đồng nuôi cún (10đ)</t>
        </is>
      </c>
      <c r="J886" s="62" t="n">
        <v>10</v>
      </c>
      <c r="K886" s="9" t="inlineStr">
        <is>
          <t>Chưa rõ giống (Cần quét Bio)</t>
        </is>
      </c>
      <c r="L886" s="62" t="n">
        <v>0</v>
      </c>
      <c r="M886" s="62" t="n">
        <v>0</v>
      </c>
      <c r="N886" s="9" t="inlineStr">
        <is>
          <t>Amazon link not found</t>
        </is>
      </c>
      <c r="O886" s="62">
        <f>IF(N886="Selling pet toys + Artificial grass/Pet toilets (TARGET)",15,IF(N886="Selling artificial grass/pet toilets (TARGET)",10,IF(N886="Selling pet toys",7,IF(N886="There's an Amazon link, but no target sales.",3,0))))</f>
        <v/>
      </c>
      <c r="P886" s="67">
        <f>H886+J886+L886+M886+O886</f>
        <v/>
      </c>
      <c r="Q886" s="70" t="inlineStr">
        <is>
          <t>Excluded: Công ty Gen DNA &amp; Thú y (Mục 5.4)</t>
        </is>
      </c>
      <c r="R886" s="9" t="inlineStr">
        <is>
          <t>Khay vệ sinh chung cư (Indoor Potty) + Thảm cỏ ban công (Grass Patch) + Đồ chơi</t>
        </is>
      </c>
      <c r="S886" s="9" t="inlineStr">
        <is>
          <t>Tuyệt đối không đưa vào CRM (Vi phạm Bộ lọc Âm tính Mục 5)</t>
        </is>
      </c>
    </row>
    <row r="887">
      <c r="A887" s="53" t="n">
        <v>495</v>
      </c>
      <c r="B887" s="12" t="inlineStr">
        <is>
          <t>Animaltalk Magazine</t>
        </is>
      </c>
      <c r="C887" s="54" t="inlineStr">
        <is>
          <t>https://www.facebook.com/AnimaltalkMagazine</t>
        </is>
      </c>
      <c r="D887" s="6" t="inlineStr">
        <is>
          <t>Cần quét Bio Fanpage</t>
        </is>
      </c>
      <c r="E887" s="53" t="inlineStr">
        <is>
          <t>16/02/2026 18:11:38</t>
        </is>
      </c>
      <c r="F887" s="53" t="inlineStr">
        <is>
          <t>7 tháng trước</t>
        </is>
      </c>
      <c r="G887" s="55" t="n">
        <v>210</v>
      </c>
      <c r="H887" s="56" t="n">
        <v>0</v>
      </c>
      <c r="I887" s="6" t="inlineStr">
        <is>
          <t>Pet Owner / Cộng đồng nuôi cún (10đ)</t>
        </is>
      </c>
      <c r="J887" s="56" t="n">
        <v>10</v>
      </c>
      <c r="K887" s="6" t="inlineStr">
        <is>
          <t>Chưa rõ giống (Cần quét Bio)</t>
        </is>
      </c>
      <c r="L887" s="56" t="n">
        <v>0</v>
      </c>
      <c r="M887" s="56" t="n">
        <v>0</v>
      </c>
      <c r="N887" s="6" t="inlineStr">
        <is>
          <t>Amazon link not found</t>
        </is>
      </c>
      <c r="O887" s="56">
        <f>IF(N887="Selling pet toys + Artificial grass/Pet toilets (TARGET)",15,IF(N887="Selling artificial grass/pet toilets (TARGET)",10,IF(N887="Selling pet toys",7,IF(N887="There's an Amazon link, but no target sales.",3,0))))</f>
        <v/>
      </c>
      <c r="P887" s="65">
        <f>H887+J887+L887+M887+O887</f>
        <v/>
      </c>
      <c r="Q887" s="71" t="inlineStr">
        <is>
          <t>Excluded: Kênh Tin tức, Tạp chí &amp; Giải trí (Mục 5.3)</t>
        </is>
      </c>
      <c r="R887" s="6" t="inlineStr">
        <is>
          <t>Khay vệ sinh chung cư (Indoor Potty) + Thảm cỏ ban công (Grass Patch) + Đồ chơi</t>
        </is>
      </c>
      <c r="S887" s="6" t="inlineStr">
        <is>
          <t>Tuyệt đối không đưa vào CRM (Vi phạm Bộ lọc Âm tính Mục 5)</t>
        </is>
      </c>
    </row>
    <row r="888">
      <c r="A888" s="59" t="n">
        <v>1764</v>
      </c>
      <c r="B888" s="15" t="inlineStr">
        <is>
          <t>JingaraFarm</t>
        </is>
      </c>
      <c r="C888" s="60" t="inlineStr">
        <is>
          <t>https://www.facebook.com/jingarafarm</t>
        </is>
      </c>
      <c r="D888" s="9" t="inlineStr">
        <is>
          <t>Cần quét Bio Fanpage</t>
        </is>
      </c>
      <c r="E888" s="59" t="inlineStr">
        <is>
          <t>19/01/2026 14:24:33</t>
        </is>
      </c>
      <c r="F888" s="59" t="inlineStr">
        <is>
          <t>8 tháng trước</t>
        </is>
      </c>
      <c r="G888" s="61" t="n">
        <v>240</v>
      </c>
      <c r="H888" s="62" t="n">
        <v>0</v>
      </c>
      <c r="I888" s="9" t="inlineStr">
        <is>
          <t>Pet Owner / Cộng đồng nuôi cún (10đ)</t>
        </is>
      </c>
      <c r="J888" s="62" t="n">
        <v>10</v>
      </c>
      <c r="K888" s="9" t="inlineStr">
        <is>
          <t>Chưa rõ giống (Cần quét Bio)</t>
        </is>
      </c>
      <c r="L888" s="62" t="n">
        <v>0</v>
      </c>
      <c r="M888" s="62" t="n">
        <v>0</v>
      </c>
      <c r="N888" s="9" t="inlineStr">
        <is>
          <t>Amazon link not found</t>
        </is>
      </c>
      <c r="O888" s="62">
        <f>IF(N888="Selling pet toys + Artificial grass/Pet toilets (TARGET)",15,IF(N888="Selling artificial grass/pet toilets (TARGET)",10,IF(N888="Selling pet toys",7,IF(N888="There's an Amazon link, but no target sales.",3,0))))</f>
        <v/>
      </c>
      <c r="P888" s="67">
        <f>H888+J888+L888+M888+O888</f>
        <v/>
      </c>
      <c r="Q888" s="70" t="inlineStr">
        <is>
          <t>Excluded: Trang Chung / Không rõ Ngách Cún cưng</t>
        </is>
      </c>
      <c r="R888" s="9" t="inlineStr">
        <is>
          <t>Khay vệ sinh chung cư (Indoor Potty) + Thảm cỏ ban công (Grass Patch) + Đồ chơi</t>
        </is>
      </c>
      <c r="S888" s="9" t="inlineStr">
        <is>
          <t>Tuyệt đối không đưa vào CRM (Vi phạm Bộ lọc Âm tính Mục 5)</t>
        </is>
      </c>
    </row>
    <row r="889">
      <c r="A889" s="53" t="n">
        <v>454</v>
      </c>
      <c r="B889" s="12" t="inlineStr">
        <is>
          <t>Animal EDventure Park At Bedners</t>
        </is>
      </c>
      <c r="C889" s="54" t="inlineStr">
        <is>
          <t>https://www.facebook.com/profile.php?id=100089107682994</t>
        </is>
      </c>
      <c r="D889" s="6" t="inlineStr">
        <is>
          <t>Cần quét Bio Fanpage</t>
        </is>
      </c>
      <c r="E889" s="53" t="inlineStr">
        <is>
          <t>06/01/2026 04:31:13</t>
        </is>
      </c>
      <c r="F889" s="53" t="inlineStr">
        <is>
          <t>9 tháng trước</t>
        </is>
      </c>
      <c r="G889" s="55" t="n">
        <v>270</v>
      </c>
      <c r="H889" s="56" t="n">
        <v>0</v>
      </c>
      <c r="I889" s="6" t="inlineStr">
        <is>
          <t>Pet Owner / Cộng đồng nuôi cún (10đ)</t>
        </is>
      </c>
      <c r="J889" s="56" t="n">
        <v>10</v>
      </c>
      <c r="K889" s="6" t="inlineStr">
        <is>
          <t>Chưa rõ giống (Cần quét Bio)</t>
        </is>
      </c>
      <c r="L889" s="56" t="n">
        <v>0</v>
      </c>
      <c r="M889" s="56" t="n">
        <v>0</v>
      </c>
      <c r="N889" s="6" t="inlineStr">
        <is>
          <t>Amazon link not found</t>
        </is>
      </c>
      <c r="O889" s="56">
        <f>IF(N889="Selling pet toys + Artificial grass/Pet toilets (TARGET)",15,IF(N889="Selling artificial grass/pet toilets (TARGET)",10,IF(N889="Selling pet toys",7,IF(N889="There's an Amazon link, but no target sales.",3,0))))</f>
        <v/>
      </c>
      <c r="P889" s="65">
        <f>H889+J889+L889+M889+O889</f>
        <v/>
      </c>
      <c r="Q889" s="71" t="inlineStr">
        <is>
          <t>Excluded: Trang Chung / Không rõ Ngách Cún cưng</t>
        </is>
      </c>
      <c r="R889" s="6" t="inlineStr">
        <is>
          <t>Khay vệ sinh chung cư (Indoor Potty) + Thảm cỏ ban công (Grass Patch) + Đồ chơi</t>
        </is>
      </c>
      <c r="S889" s="6" t="inlineStr">
        <is>
          <t>Tuyệt đối không đưa vào CRM (Vi phạm Bộ lọc Âm tính Mục 5)</t>
        </is>
      </c>
    </row>
    <row r="890">
      <c r="A890" s="59" t="n">
        <v>1279</v>
      </c>
      <c r="B890" s="15" t="inlineStr">
        <is>
          <t>emergencyvetsglasgow</t>
        </is>
      </c>
      <c r="C890" s="60" t="inlineStr">
        <is>
          <t>https://www.facebook.com/profile.php?id=100085573891347</t>
        </is>
      </c>
      <c r="D890" s="9" t="inlineStr">
        <is>
          <t>Cần quét Bio Fanpage</t>
        </is>
      </c>
      <c r="E890" s="59" t="inlineStr">
        <is>
          <t>27/12/2025 04:55:32</t>
        </is>
      </c>
      <c r="F890" s="59" t="inlineStr">
        <is>
          <t>9 tháng trước</t>
        </is>
      </c>
      <c r="G890" s="61" t="n">
        <v>270</v>
      </c>
      <c r="H890" s="62" t="n">
        <v>0</v>
      </c>
      <c r="I890" s="9" t="inlineStr">
        <is>
          <t>Pet Owner / Cộng đồng nuôi cún (10đ)</t>
        </is>
      </c>
      <c r="J890" s="62" t="n">
        <v>10</v>
      </c>
      <c r="K890" s="9" t="inlineStr">
        <is>
          <t>Chưa rõ giống (Cần quét Bio)</t>
        </is>
      </c>
      <c r="L890" s="62" t="n">
        <v>0</v>
      </c>
      <c r="M890" s="62" t="n">
        <v>0</v>
      </c>
      <c r="N890" s="9" t="inlineStr">
        <is>
          <t>Amazon link not found</t>
        </is>
      </c>
      <c r="O890" s="62">
        <f>IF(N890="Selling pet toys + Artificial grass/Pet toilets (TARGET)",15,IF(N890="Selling artificial grass/pet toilets (TARGET)",10,IF(N890="Selling pet toys",7,IF(N890="There's an Amazon link, but no target sales.",3,0))))</f>
        <v/>
      </c>
      <c r="P890" s="67">
        <f>H890+J890+L890+M890+O890</f>
        <v/>
      </c>
      <c r="Q890" s="70" t="inlineStr">
        <is>
          <t>Excluded: Trang Chung / Không rõ Ngách Cún cưng</t>
        </is>
      </c>
      <c r="R890" s="9" t="inlineStr">
        <is>
          <t>Khay vệ sinh chung cư (Indoor Potty) + Thảm cỏ ban công (Grass Patch) + Đồ chơi</t>
        </is>
      </c>
      <c r="S890" s="9" t="inlineStr">
        <is>
          <t>Tuyệt đối không đưa vào CRM (Vi phạm Bộ lọc Âm tính Mục 5)</t>
        </is>
      </c>
    </row>
    <row r="891">
      <c r="A891" s="53" t="n">
        <v>537</v>
      </c>
      <c r="B891" s="12" t="inlineStr">
        <is>
          <t>Asociación Animalista ProPeludos</t>
        </is>
      </c>
      <c r="C891" s="54" t="inlineStr">
        <is>
          <t>https://www.facebook.com/aapropeludos</t>
        </is>
      </c>
      <c r="D891" s="6" t="inlineStr">
        <is>
          <t>Cần quét Bio Fanpage</t>
        </is>
      </c>
      <c r="E891" s="53" t="inlineStr">
        <is>
          <t>09/12/2025 23:18:18</t>
        </is>
      </c>
      <c r="F891" s="53" t="inlineStr">
        <is>
          <t>10 tháng trước</t>
        </is>
      </c>
      <c r="G891" s="55" t="n">
        <v>300</v>
      </c>
      <c r="H891" s="56" t="n">
        <v>0</v>
      </c>
      <c r="I891" s="6" t="inlineStr">
        <is>
          <t>Pet Owner / Cộng đồng nuôi cún (10đ)</t>
        </is>
      </c>
      <c r="J891" s="56" t="n">
        <v>10</v>
      </c>
      <c r="K891" s="6" t="inlineStr">
        <is>
          <t>Chưa rõ giống (Cần quét Bio)</t>
        </is>
      </c>
      <c r="L891" s="56" t="n">
        <v>0</v>
      </c>
      <c r="M891" s="56" t="n">
        <v>0</v>
      </c>
      <c r="N891" s="6" t="inlineStr">
        <is>
          <t>Amazon link not found</t>
        </is>
      </c>
      <c r="O891" s="56">
        <f>IF(N891="Selling pet toys + Artificial grass/Pet toilets (TARGET)",15,IF(N891="Selling artificial grass/pet toilets (TARGET)",10,IF(N891="Selling pet toys",7,IF(N891="There's an Amazon link, but no target sales.",3,0))))</f>
        <v/>
      </c>
      <c r="P891" s="65">
        <f>H891+J891+L891+M891+O891</f>
        <v/>
      </c>
      <c r="Q891" s="71" t="inlineStr">
        <is>
          <t>Excluded: Trang Chung / Không rõ Ngách Cún cưng</t>
        </is>
      </c>
      <c r="R891" s="6" t="inlineStr">
        <is>
          <t>Khay vệ sinh chung cư (Indoor Potty) + Thảm cỏ ban công (Grass Patch) + Đồ chơi</t>
        </is>
      </c>
      <c r="S891" s="6" t="inlineStr">
        <is>
          <t>Tuyệt đối không đưa vào CRM (Vi phạm Bộ lọc Âm tính Mục 5)</t>
        </is>
      </c>
    </row>
    <row r="892">
      <c r="A892" s="59" t="n">
        <v>2150</v>
      </c>
      <c r="B892" s="15" t="inlineStr">
        <is>
          <t>Me Smile Dental Clinic-คลินิกทันตกรรมมีสไมล์</t>
        </is>
      </c>
      <c r="C892" s="60" t="inlineStr">
        <is>
          <t>https://www.facebook.com/mesmiledentalclinic</t>
        </is>
      </c>
      <c r="D892" s="9" t="inlineStr">
        <is>
          <t>Cần quét Bio Fanpage</t>
        </is>
      </c>
      <c r="E892" s="59" t="inlineStr">
        <is>
          <t>01/12/2025 11:11:35</t>
        </is>
      </c>
      <c r="F892" s="59" t="inlineStr">
        <is>
          <t>10 tháng trước</t>
        </is>
      </c>
      <c r="G892" s="61" t="n">
        <v>300</v>
      </c>
      <c r="H892" s="62" t="n">
        <v>0</v>
      </c>
      <c r="I892" s="9" t="inlineStr">
        <is>
          <t>Pet Owner / Cộng đồng nuôi cún (10đ)</t>
        </is>
      </c>
      <c r="J892" s="62" t="n">
        <v>10</v>
      </c>
      <c r="K892" s="9" t="inlineStr">
        <is>
          <t>Chưa rõ giống (Cần quét Bio)</t>
        </is>
      </c>
      <c r="L892" s="62" t="n">
        <v>0</v>
      </c>
      <c r="M892" s="62" t="n">
        <v>0</v>
      </c>
      <c r="N892" s="9" t="inlineStr">
        <is>
          <t>Amazon link not found</t>
        </is>
      </c>
      <c r="O892" s="62">
        <f>IF(N892="Selling pet toys + Artificial grass/Pet toilets (TARGET)",15,IF(N892="Selling artificial grass/pet toilets (TARGET)",10,IF(N892="Selling pet toys",7,IF(N892="There's an Amazon link, but no target sales.",3,0))))</f>
        <v/>
      </c>
      <c r="P892" s="67">
        <f>H892+J892+L892+M892+O892</f>
        <v/>
      </c>
      <c r="Q892" s="70" t="inlineStr">
        <is>
          <t>Excluded: Trang Chung / Không rõ Ngách Cún cưng</t>
        </is>
      </c>
      <c r="R892" s="9" t="inlineStr">
        <is>
          <t>Khay vệ sinh chung cư (Indoor Potty) + Thảm cỏ ban công (Grass Patch) + Đồ chơi</t>
        </is>
      </c>
      <c r="S892" s="9" t="inlineStr">
        <is>
          <t>Tuyệt đối không đưa vào CRM (Vi phạm Bộ lọc Âm tính Mục 5)</t>
        </is>
      </c>
    </row>
    <row r="893">
      <c r="A893" s="53" t="n">
        <v>483</v>
      </c>
      <c r="B893" s="12" t="inlineStr">
        <is>
          <t>Animales Discapacitados</t>
        </is>
      </c>
      <c r="C893" s="54" t="inlineStr">
        <is>
          <t>https://www.facebook.com/animalesdiscapacitados</t>
        </is>
      </c>
      <c r="D893" s="6" t="inlineStr">
        <is>
          <t>Cần quét Bio Fanpage</t>
        </is>
      </c>
      <c r="E893" s="53" t="inlineStr">
        <is>
          <t>15/11/2025 02:04:04</t>
        </is>
      </c>
      <c r="F893" s="53" t="inlineStr">
        <is>
          <t>11 tháng trước</t>
        </is>
      </c>
      <c r="G893" s="55" t="n">
        <v>330</v>
      </c>
      <c r="H893" s="56" t="n">
        <v>0</v>
      </c>
      <c r="I893" s="6" t="inlineStr">
        <is>
          <t>Pet Owner / Cộng đồng nuôi cún (10đ)</t>
        </is>
      </c>
      <c r="J893" s="56" t="n">
        <v>10</v>
      </c>
      <c r="K893" s="6" t="inlineStr">
        <is>
          <t>Chưa rõ giống (Cần quét Bio)</t>
        </is>
      </c>
      <c r="L893" s="56" t="n">
        <v>0</v>
      </c>
      <c r="M893" s="56" t="n">
        <v>0</v>
      </c>
      <c r="N893" s="6" t="inlineStr">
        <is>
          <t>Amazon link not found</t>
        </is>
      </c>
      <c r="O893" s="56">
        <f>IF(N893="Selling pet toys + Artificial grass/Pet toilets (TARGET)",15,IF(N893="Selling artificial grass/pet toilets (TARGET)",10,IF(N893="Selling pet toys",7,IF(N893="There's an Amazon link, but no target sales.",3,0))))</f>
        <v/>
      </c>
      <c r="P893" s="65">
        <f>H893+J893+L893+M893+O893</f>
        <v/>
      </c>
      <c r="Q893" s="71" t="inlineStr">
        <is>
          <t>Excluded: Trang Chung / Không rõ Ngách Cún cưng</t>
        </is>
      </c>
      <c r="R893" s="6" t="inlineStr">
        <is>
          <t>Khay vệ sinh chung cư (Indoor Potty) + Thảm cỏ ban công (Grass Patch) + Đồ chơi</t>
        </is>
      </c>
      <c r="S893" s="6" t="inlineStr">
        <is>
          <t>Tuyệt đối không đưa vào CRM (Vi phạm Bộ lọc Âm tính Mục 5)</t>
        </is>
      </c>
    </row>
    <row r="894">
      <c r="A894" s="59" t="n">
        <v>1792</v>
      </c>
      <c r="B894" s="15" t="inlineStr">
        <is>
          <t>Junior vet Exotics, Zoo and Wildlife International Congress</t>
        </is>
      </c>
      <c r="C894" s="60" t="inlineStr">
        <is>
          <t>https://www.facebook.com/TEZWIC</t>
        </is>
      </c>
      <c r="D894" s="9" t="inlineStr">
        <is>
          <t>Cần quét Bio Fanpage</t>
        </is>
      </c>
      <c r="E894" s="59" t="inlineStr">
        <is>
          <t>13/11/2025 22:08:12</t>
        </is>
      </c>
      <c r="F894" s="59" t="inlineStr">
        <is>
          <t>11 tháng trước</t>
        </is>
      </c>
      <c r="G894" s="61" t="n">
        <v>330</v>
      </c>
      <c r="H894" s="62" t="n">
        <v>0</v>
      </c>
      <c r="I894" s="9" t="inlineStr">
        <is>
          <t>Pet Owner / Cộng đồng nuôi cún (10đ)</t>
        </is>
      </c>
      <c r="J894" s="62" t="n">
        <v>10</v>
      </c>
      <c r="K894" s="9" t="inlineStr">
        <is>
          <t>Chưa rõ giống (Cần quét Bio)</t>
        </is>
      </c>
      <c r="L894" s="62" t="n">
        <v>0</v>
      </c>
      <c r="M894" s="62" t="n">
        <v>0</v>
      </c>
      <c r="N894" s="9" t="inlineStr">
        <is>
          <t>Amazon link not found</t>
        </is>
      </c>
      <c r="O894" s="62">
        <f>IF(N894="Selling pet toys + Artificial grass/Pet toilets (TARGET)",15,IF(N894="Selling artificial grass/pet toilets (TARGET)",10,IF(N894="Selling pet toys",7,IF(N894="There's an Amazon link, but no target sales.",3,0))))</f>
        <v/>
      </c>
      <c r="P894" s="67">
        <f>H894+J894+L894+M894+O894</f>
        <v/>
      </c>
      <c r="Q894" s="70" t="inlineStr">
        <is>
          <t>Excluded: Trang Chung / Không rõ Ngách Cún cưng</t>
        </is>
      </c>
      <c r="R894" s="9" t="inlineStr">
        <is>
          <t>Khay vệ sinh chung cư (Indoor Potty) + Thảm cỏ ban công (Grass Patch) + Đồ chơi</t>
        </is>
      </c>
      <c r="S894" s="9" t="inlineStr">
        <is>
          <t>Tuyệt đối không đưa vào CRM (Vi phạm Bộ lọc Âm tính Mục 5)</t>
        </is>
      </c>
    </row>
    <row r="895">
      <c r="A895" s="53" t="n">
        <v>2930</v>
      </c>
      <c r="B895" s="12" t="inlineStr">
        <is>
          <t>Sojourn Vet</t>
        </is>
      </c>
      <c r="C895" s="54" t="inlineStr">
        <is>
          <t>https://www.facebook.com/profile.php?id=61561991500276</t>
        </is>
      </c>
      <c r="D895" s="6" t="inlineStr">
        <is>
          <t>Cần quét Bio Fanpage</t>
        </is>
      </c>
      <c r="E895" s="53" t="inlineStr">
        <is>
          <t>01/11/2025 02:36:52</t>
        </is>
      </c>
      <c r="F895" s="53" t="inlineStr">
        <is>
          <t>11 tháng trước</t>
        </is>
      </c>
      <c r="G895" s="55" t="n">
        <v>330</v>
      </c>
      <c r="H895" s="56" t="n">
        <v>0</v>
      </c>
      <c r="I895" s="6" t="inlineStr">
        <is>
          <t>Pet Owner / Cộng đồng nuôi cún (10đ)</t>
        </is>
      </c>
      <c r="J895" s="56" t="n">
        <v>10</v>
      </c>
      <c r="K895" s="6" t="inlineStr">
        <is>
          <t>Chưa rõ giống (Cần quét Bio)</t>
        </is>
      </c>
      <c r="L895" s="56" t="n">
        <v>0</v>
      </c>
      <c r="M895" s="56" t="n">
        <v>0</v>
      </c>
      <c r="N895" s="6" t="inlineStr">
        <is>
          <t>Amazon link not found</t>
        </is>
      </c>
      <c r="O895" s="56">
        <f>IF(N895="Selling pet toys + Artificial grass/Pet toilets (TARGET)",15,IF(N895="Selling artificial grass/pet toilets (TARGET)",10,IF(N895="Selling pet toys",7,IF(N895="There's an Amazon link, but no target sales.",3,0))))</f>
        <v/>
      </c>
      <c r="P895" s="65">
        <f>H895+J895+L895+M895+O895</f>
        <v/>
      </c>
      <c r="Q895" s="71" t="inlineStr">
        <is>
          <t>Excluded: Trang Chung / Không rõ Ngách Cún cưng</t>
        </is>
      </c>
      <c r="R895" s="6" t="inlineStr">
        <is>
          <t>Khay vệ sinh chung cư (Indoor Potty) + Thảm cỏ ban công (Grass Patch) + Đồ chơi</t>
        </is>
      </c>
      <c r="S895" s="6" t="inlineStr">
        <is>
          <t>Tuyệt đối không đưa vào CRM (Vi phạm Bộ lọc Âm tính Mục 5)</t>
        </is>
      </c>
    </row>
    <row r="896">
      <c r="A896" s="59" t="n">
        <v>2936</v>
      </c>
      <c r="B896" s="15" t="inlineStr">
        <is>
          <t>Somers Point Farmers Market</t>
        </is>
      </c>
      <c r="C896" s="60" t="inlineStr">
        <is>
          <t>https://www.facebook.com/profile.php?id=100083167370933</t>
        </is>
      </c>
      <c r="D896" s="9" t="inlineStr">
        <is>
          <t>Cần quét Bio Fanpage</t>
        </is>
      </c>
      <c r="E896" s="59" t="inlineStr">
        <is>
          <t>17/10/2025 18:41:28</t>
        </is>
      </c>
      <c r="F896" s="59" t="inlineStr">
        <is>
          <t>12 tháng trước</t>
        </is>
      </c>
      <c r="G896" s="61" t="n">
        <v>360</v>
      </c>
      <c r="H896" s="62" t="n">
        <v>0</v>
      </c>
      <c r="I896" s="9" t="inlineStr">
        <is>
          <t>Pet Owner / Cộng đồng nuôi cún (10đ)</t>
        </is>
      </c>
      <c r="J896" s="62" t="n">
        <v>10</v>
      </c>
      <c r="K896" s="9" t="inlineStr">
        <is>
          <t>Chưa rõ giống (Cần quét Bio)</t>
        </is>
      </c>
      <c r="L896" s="62" t="n">
        <v>0</v>
      </c>
      <c r="M896" s="62" t="n">
        <v>0</v>
      </c>
      <c r="N896" s="9" t="inlineStr">
        <is>
          <t>Amazon link not found</t>
        </is>
      </c>
      <c r="O896" s="62">
        <f>IF(N896="Selling pet toys + Artificial grass/Pet toilets (TARGET)",15,IF(N896="Selling artificial grass/pet toilets (TARGET)",10,IF(N896="Selling pet toys",7,IF(N896="There's an Amazon link, but no target sales.",3,0))))</f>
        <v/>
      </c>
      <c r="P896" s="67">
        <f>H896+J896+L896+M896+O896</f>
        <v/>
      </c>
      <c r="Q896" s="70" t="inlineStr">
        <is>
          <t>Excluded: Ngành nghề Khác (Phi Cún cưng)</t>
        </is>
      </c>
      <c r="R896" s="9" t="inlineStr">
        <is>
          <t>Khay vệ sinh chung cư (Indoor Potty) + Thảm cỏ ban công (Grass Patch) + Đồ chơi</t>
        </is>
      </c>
      <c r="S896" s="9" t="inlineStr">
        <is>
          <t>Tuyệt đối không đưa vào CRM (Vi phạm Bộ lọc Âm tính Mục 5)</t>
        </is>
      </c>
    </row>
    <row r="897">
      <c r="A897" s="53" t="n">
        <v>478</v>
      </c>
      <c r="B897" s="12" t="inlineStr">
        <is>
          <t>AnimalStoriesVideos</t>
        </is>
      </c>
      <c r="C897" s="54" t="inlineStr">
        <is>
          <t>https://www.facebook.com/AnimalStoriesVideos</t>
        </is>
      </c>
      <c r="D897" s="6" t="inlineStr">
        <is>
          <t>Cần quét Bio Fanpage</t>
        </is>
      </c>
      <c r="E897" s="53" t="inlineStr">
        <is>
          <t>13/10/2025 17:00:51</t>
        </is>
      </c>
      <c r="F897" s="53" t="inlineStr">
        <is>
          <t>12 tháng trước</t>
        </is>
      </c>
      <c r="G897" s="55" t="n">
        <v>360</v>
      </c>
      <c r="H897" s="56" t="n">
        <v>0</v>
      </c>
      <c r="I897" s="6" t="inlineStr">
        <is>
          <t>Pet Owner / Cộng đồng nuôi cún (10đ)</t>
        </is>
      </c>
      <c r="J897" s="56" t="n">
        <v>10</v>
      </c>
      <c r="K897" s="6" t="inlineStr">
        <is>
          <t>Chưa rõ giống (Cần quét Bio)</t>
        </is>
      </c>
      <c r="L897" s="56" t="n">
        <v>0</v>
      </c>
      <c r="M897" s="56" t="n">
        <v>0</v>
      </c>
      <c r="N897" s="6" t="inlineStr">
        <is>
          <t>Amazon link not found</t>
        </is>
      </c>
      <c r="O897" s="56">
        <f>IF(N897="Selling pet toys + Artificial grass/Pet toilets (TARGET)",15,IF(N897="Selling artificial grass/pet toilets (TARGET)",10,IF(N897="Selling pet toys",7,IF(N897="There's an Amazon link, but no target sales.",3,0))))</f>
        <v/>
      </c>
      <c r="P897" s="65">
        <f>H897+J897+L897+M897+O897</f>
        <v/>
      </c>
      <c r="Q897" s="71" t="inlineStr">
        <is>
          <t>Excluded: Kênh Tin tức, Tạp chí &amp; Giải trí (Mục 5.3)</t>
        </is>
      </c>
      <c r="R897" s="6" t="inlineStr">
        <is>
          <t>Khay vệ sinh chung cư (Indoor Potty) + Thảm cỏ ban công (Grass Patch) + Đồ chơi</t>
        </is>
      </c>
      <c r="S897" s="6" t="inlineStr">
        <is>
          <t>Tuyệt đối không đưa vào CRM (Vi phạm Bộ lọc Âm tính Mục 5)</t>
        </is>
      </c>
    </row>
    <row r="898">
      <c r="A898" s="59" t="n">
        <v>452</v>
      </c>
      <c r="B898" s="15" t="inlineStr">
        <is>
          <t>Animal Diet Formulator</t>
        </is>
      </c>
      <c r="C898" s="60" t="inlineStr">
        <is>
          <t>https://www.facebook.com/animaldietformulator</t>
        </is>
      </c>
      <c r="D898" s="9" t="inlineStr">
        <is>
          <t>Cần quét Bio Fanpage</t>
        </is>
      </c>
      <c r="E898" s="59" t="inlineStr">
        <is>
          <t>16/09/2025 00:20:03</t>
        </is>
      </c>
      <c r="F898" s="59" t="inlineStr">
        <is>
          <t>1 năm trước</t>
        </is>
      </c>
      <c r="G898" s="61" t="n">
        <v>365</v>
      </c>
      <c r="H898" s="62" t="n">
        <v>0</v>
      </c>
      <c r="I898" s="9" t="inlineStr">
        <is>
          <t>Pet Owner / Cộng đồng nuôi cún (10đ)</t>
        </is>
      </c>
      <c r="J898" s="62" t="n">
        <v>10</v>
      </c>
      <c r="K898" s="9" t="inlineStr">
        <is>
          <t>Chưa rõ giống (Cần quét Bio)</t>
        </is>
      </c>
      <c r="L898" s="62" t="n">
        <v>0</v>
      </c>
      <c r="M898" s="62" t="n">
        <v>0</v>
      </c>
      <c r="N898" s="9" t="inlineStr">
        <is>
          <t>Amazon link not found</t>
        </is>
      </c>
      <c r="O898" s="62">
        <f>IF(N898="Selling pet toys + Artificial grass/Pet toilets (TARGET)",15,IF(N898="Selling artificial grass/pet toilets (TARGET)",10,IF(N898="Selling pet toys",7,IF(N898="There's an Amazon link, but no target sales.",3,0))))</f>
        <v/>
      </c>
      <c r="P898" s="67">
        <f>H898+J898+L898+M898+O898</f>
        <v/>
      </c>
      <c r="Q898" s="70" t="inlineStr">
        <is>
          <t>Excluded: Trang Chung / Không rõ Ngách Cún cưng</t>
        </is>
      </c>
      <c r="R898" s="9" t="inlineStr">
        <is>
          <t>Khay vệ sinh chung cư (Indoor Potty) + Thảm cỏ ban công (Grass Patch) + Đồ chơi</t>
        </is>
      </c>
      <c r="S898" s="9" t="inlineStr">
        <is>
          <t>Tuyệt đối không đưa vào CRM (Vi phạm Bộ lọc Âm tính Mục 5)</t>
        </is>
      </c>
    </row>
    <row r="899">
      <c r="A899" s="53" t="n">
        <v>3294</v>
      </c>
      <c r="B899" s="12" t="inlineStr">
        <is>
          <t>Velvet and Linen</t>
        </is>
      </c>
      <c r="C899" s="54" t="inlineStr">
        <is>
          <t>https://www.facebook.com/velvetandlinen</t>
        </is>
      </c>
      <c r="D899" s="6" t="inlineStr">
        <is>
          <t>Cần quét Bio Fanpage</t>
        </is>
      </c>
      <c r="E899" s="53" t="inlineStr">
        <is>
          <t>07/09/2025 22:14:05</t>
        </is>
      </c>
      <c r="F899" s="53" t="inlineStr">
        <is>
          <t>1 năm trước</t>
        </is>
      </c>
      <c r="G899" s="55" t="n">
        <v>365</v>
      </c>
      <c r="H899" s="56" t="n">
        <v>0</v>
      </c>
      <c r="I899" s="6" t="inlineStr">
        <is>
          <t>Pet Owner / Cộng đồng nuôi cún (10đ)</t>
        </is>
      </c>
      <c r="J899" s="56" t="n">
        <v>10</v>
      </c>
      <c r="K899" s="6" t="inlineStr">
        <is>
          <t>Chưa rõ giống (Cần quét Bio)</t>
        </is>
      </c>
      <c r="L899" s="56" t="n">
        <v>0</v>
      </c>
      <c r="M899" s="56" t="n">
        <v>0</v>
      </c>
      <c r="N899" s="6" t="inlineStr">
        <is>
          <t>Amazon link not found</t>
        </is>
      </c>
      <c r="O899" s="56">
        <f>IF(N899="Selling pet toys + Artificial grass/Pet toilets (TARGET)",15,IF(N899="Selling artificial grass/pet toilets (TARGET)",10,IF(N899="Selling pet toys",7,IF(N899="There's an Amazon link, but no target sales.",3,0))))</f>
        <v/>
      </c>
      <c r="P899" s="65">
        <f>H899+J899+L899+M899+O899</f>
        <v/>
      </c>
      <c r="Q899" s="71" t="inlineStr">
        <is>
          <t>Excluded: Trang Chung / Không rõ Ngách Cún cưng</t>
        </is>
      </c>
      <c r="R899" s="6" t="inlineStr">
        <is>
          <t>Khay vệ sinh chung cư (Indoor Potty) + Thảm cỏ ban công (Grass Patch) + Đồ chơi</t>
        </is>
      </c>
      <c r="S899" s="6" t="inlineStr">
        <is>
          <t>Tuyệt đối không đưa vào CRM (Vi phạm Bộ lọc Âm tính Mục 5)</t>
        </is>
      </c>
    </row>
    <row r="900">
      <c r="A900" s="59" t="n">
        <v>3311</v>
      </c>
      <c r="B900" s="15" t="inlineStr">
        <is>
          <t>Veterinariogratis</t>
        </is>
      </c>
      <c r="C900" s="60" t="inlineStr">
        <is>
          <t>https://www.facebook.com/veterinariogratisoficial</t>
        </is>
      </c>
      <c r="D900" s="9" t="inlineStr">
        <is>
          <t>Cần quét Bio Fanpage</t>
        </is>
      </c>
      <c r="E900" s="59" t="inlineStr">
        <is>
          <t>03/09/2025 02:45:37</t>
        </is>
      </c>
      <c r="F900" s="59" t="inlineStr">
        <is>
          <t>1 năm trước</t>
        </is>
      </c>
      <c r="G900" s="61" t="n">
        <v>365</v>
      </c>
      <c r="H900" s="62" t="n">
        <v>0</v>
      </c>
      <c r="I900" s="9" t="inlineStr">
        <is>
          <t>Pet Owner / Cộng đồng nuôi cún (10đ)</t>
        </is>
      </c>
      <c r="J900" s="62" t="n">
        <v>10</v>
      </c>
      <c r="K900" s="9" t="inlineStr">
        <is>
          <t>Chưa rõ giống (Cần quét Bio)</t>
        </is>
      </c>
      <c r="L900" s="62" t="n">
        <v>0</v>
      </c>
      <c r="M900" s="62" t="n">
        <v>0</v>
      </c>
      <c r="N900" s="9" t="inlineStr">
        <is>
          <t>Amazon link not found</t>
        </is>
      </c>
      <c r="O900" s="62">
        <f>IF(N900="Selling pet toys + Artificial grass/Pet toilets (TARGET)",15,IF(N900="Selling artificial grass/pet toilets (TARGET)",10,IF(N900="Selling pet toys",7,IF(N900="There's an Amazon link, but no target sales.",3,0))))</f>
        <v/>
      </c>
      <c r="P900" s="67">
        <f>H900+J900+L900+M900+O900</f>
        <v/>
      </c>
      <c r="Q900" s="70" t="inlineStr">
        <is>
          <t>Excluded: Công ty Gen DNA &amp; Thú y (Mục 5.4)</t>
        </is>
      </c>
      <c r="R900" s="9" t="inlineStr">
        <is>
          <t>Khay vệ sinh chung cư (Indoor Potty) + Thảm cỏ ban công (Grass Patch) + Đồ chơi</t>
        </is>
      </c>
      <c r="S900" s="9" t="inlineStr">
        <is>
          <t>Tuyệt đối không đưa vào CRM (Vi phạm Bộ lọc Âm tính Mục 5)</t>
        </is>
      </c>
    </row>
    <row r="901">
      <c r="A901" s="53" t="n">
        <v>3291</v>
      </c>
      <c r="B901" s="12" t="inlineStr">
        <is>
          <t>VCA Joliet Animal Hospital</t>
        </is>
      </c>
      <c r="C901" s="54" t="inlineStr">
        <is>
          <t>https://www.facebook.com/VCAJolietAnimalHospital</t>
        </is>
      </c>
      <c r="D901" s="6" t="inlineStr">
        <is>
          <t>Cần quét Bio Fanpage</t>
        </is>
      </c>
      <c r="E901" s="53" t="inlineStr">
        <is>
          <t>01/08/2025 00:00:01</t>
        </is>
      </c>
      <c r="F901" s="53" t="inlineStr">
        <is>
          <t>1 năm trước</t>
        </is>
      </c>
      <c r="G901" s="55" t="n">
        <v>365</v>
      </c>
      <c r="H901" s="56" t="n">
        <v>0</v>
      </c>
      <c r="I901" s="6" t="inlineStr">
        <is>
          <t>Pet Owner / Cộng đồng nuôi cún (10đ)</t>
        </is>
      </c>
      <c r="J901" s="56" t="n">
        <v>10</v>
      </c>
      <c r="K901" s="6" t="inlineStr">
        <is>
          <t>Chưa rõ giống (Cần quét Bio)</t>
        </is>
      </c>
      <c r="L901" s="56" t="n">
        <v>0</v>
      </c>
      <c r="M901" s="56" t="n">
        <v>0</v>
      </c>
      <c r="N901" s="6" t="inlineStr">
        <is>
          <t>Amazon link not found</t>
        </is>
      </c>
      <c r="O901" s="56">
        <f>IF(N901="Selling pet toys + Artificial grass/Pet toilets (TARGET)",15,IF(N901="Selling artificial grass/pet toilets (TARGET)",10,IF(N901="Selling pet toys",7,IF(N901="There's an Amazon link, but no target sales.",3,0))))</f>
        <v/>
      </c>
      <c r="P901" s="65">
        <f>H901+J901+L901+M901+O901</f>
        <v/>
      </c>
      <c r="Q901" s="71" t="inlineStr">
        <is>
          <t>Excluded: Công ty Gen DNA &amp; Thú y (Mục 5.4)</t>
        </is>
      </c>
      <c r="R901" s="6" t="inlineStr">
        <is>
          <t>Khay vệ sinh chung cư (Indoor Potty) + Thảm cỏ ban công (Grass Patch) + Đồ chơi</t>
        </is>
      </c>
      <c r="S901" s="6" t="inlineStr">
        <is>
          <t>Tuyệt đối không đưa vào CRM (Vi phạm Bộ lọc Âm tính Mục 5)</t>
        </is>
      </c>
    </row>
    <row r="902">
      <c r="A902" s="59" t="n">
        <v>3033</v>
      </c>
      <c r="B902" s="15" t="inlineStr">
        <is>
          <t>Svetlana Bezvoritnayay</t>
        </is>
      </c>
      <c r="C902" s="60" t="inlineStr">
        <is>
          <t>https://www.facebook.com/profile.php?id=100063583996391</t>
        </is>
      </c>
      <c r="D902" s="9" t="inlineStr">
        <is>
          <t>Cần quét Bio Fanpage</t>
        </is>
      </c>
      <c r="E902" s="59" t="inlineStr">
        <is>
          <t>13/03/2025 23:51:02</t>
        </is>
      </c>
      <c r="F902" s="59" t="inlineStr">
        <is>
          <t>1 năm trước</t>
        </is>
      </c>
      <c r="G902" s="61" t="n">
        <v>365</v>
      </c>
      <c r="H902" s="62" t="n">
        <v>0</v>
      </c>
      <c r="I902" s="9" t="inlineStr">
        <is>
          <t>Pet Owner / Cộng đồng nuôi cún (10đ)</t>
        </is>
      </c>
      <c r="J902" s="62" t="n">
        <v>10</v>
      </c>
      <c r="K902" s="9" t="inlineStr">
        <is>
          <t>Chưa rõ giống (Cần quét Bio)</t>
        </is>
      </c>
      <c r="L902" s="62" t="n">
        <v>0</v>
      </c>
      <c r="M902" s="62" t="n">
        <v>0</v>
      </c>
      <c r="N902" s="9" t="inlineStr">
        <is>
          <t>Amazon link not found</t>
        </is>
      </c>
      <c r="O902" s="62">
        <f>IF(N902="Selling pet toys + Artificial grass/Pet toilets (TARGET)",15,IF(N902="Selling artificial grass/pet toilets (TARGET)",10,IF(N902="Selling pet toys",7,IF(N902="There's an Amazon link, but no target sales.",3,0))))</f>
        <v/>
      </c>
      <c r="P902" s="67">
        <f>H902+J902+L902+M902+O902</f>
        <v/>
      </c>
      <c r="Q902" s="70" t="inlineStr">
        <is>
          <t>Excluded: Trang Chung / Không rõ Ngách Cún cưng</t>
        </is>
      </c>
      <c r="R902" s="9" t="inlineStr">
        <is>
          <t>Khay vệ sinh chung cư (Indoor Potty) + Thảm cỏ ban công (Grass Patch) + Đồ chơi</t>
        </is>
      </c>
      <c r="S902" s="9" t="inlineStr">
        <is>
          <t>Tuyệt đối không đưa vào CRM (Vi phạm Bộ lọc Âm tính Mục 5)</t>
        </is>
      </c>
    </row>
    <row r="903">
      <c r="A903" s="53" t="n">
        <v>2865</v>
      </c>
      <c r="B903" s="12" t="inlineStr">
        <is>
          <t>Service Animal de l'Estrie</t>
        </is>
      </c>
      <c r="C903" s="54" t="inlineStr">
        <is>
          <t>https://www.facebook.com/profile.php?id=61570891085894</t>
        </is>
      </c>
      <c r="D903" s="6" t="inlineStr">
        <is>
          <t>Cần quét Bio Fanpage</t>
        </is>
      </c>
      <c r="E903" s="53" t="inlineStr">
        <is>
          <t>05/01/2025 05:55:41</t>
        </is>
      </c>
      <c r="F903" s="53" t="inlineStr">
        <is>
          <t>1 năm trước</t>
        </is>
      </c>
      <c r="G903" s="55" t="n">
        <v>365</v>
      </c>
      <c r="H903" s="56" t="n">
        <v>0</v>
      </c>
      <c r="I903" s="6" t="inlineStr">
        <is>
          <t>Pet Owner / Cộng đồng nuôi cún (10đ)</t>
        </is>
      </c>
      <c r="J903" s="56" t="n">
        <v>10</v>
      </c>
      <c r="K903" s="6" t="inlineStr">
        <is>
          <t>Chưa rõ giống (Cần quét Bio)</t>
        </is>
      </c>
      <c r="L903" s="56" t="n">
        <v>0</v>
      </c>
      <c r="M903" s="56" t="n">
        <v>0</v>
      </c>
      <c r="N903" s="6" t="inlineStr">
        <is>
          <t>Amazon link not found</t>
        </is>
      </c>
      <c r="O903" s="56">
        <f>IF(N903="Selling pet toys + Artificial grass/Pet toilets (TARGET)",15,IF(N903="Selling artificial grass/pet toilets (TARGET)",10,IF(N903="Selling pet toys",7,IF(N903="There's an Amazon link, but no target sales.",3,0))))</f>
        <v/>
      </c>
      <c r="P903" s="65">
        <f>H903+J903+L903+M903+O903</f>
        <v/>
      </c>
      <c r="Q903" s="71" t="inlineStr">
        <is>
          <t>Excluded: Trang Chung / Không rõ Ngách Cún cưng</t>
        </is>
      </c>
      <c r="R903" s="6" t="inlineStr">
        <is>
          <t>Khay vệ sinh chung cư (Indoor Potty) + Thảm cỏ ban công (Grass Patch) + Đồ chơi</t>
        </is>
      </c>
      <c r="S903" s="6" t="inlineStr">
        <is>
          <t>Tuyệt đối không đưa vào CRM (Vi phạm Bộ lọc Âm tính Mục 5)</t>
        </is>
      </c>
    </row>
    <row r="904">
      <c r="A904" s="59" t="n">
        <v>1724</v>
      </c>
      <c r="B904" s="15" t="inlineStr">
        <is>
          <t>Innovavet</t>
        </is>
      </c>
      <c r="C904" s="60" t="inlineStr">
        <is>
          <t>https://www.facebook.com/liviavilelaultrassom</t>
        </is>
      </c>
      <c r="D904" s="9" t="inlineStr">
        <is>
          <t>Cần quét Bio Fanpage</t>
        </is>
      </c>
      <c r="E904" s="59" t="inlineStr">
        <is>
          <t>24/12/2024 21:46:14</t>
        </is>
      </c>
      <c r="F904" s="59" t="inlineStr">
        <is>
          <t>1 năm trước</t>
        </is>
      </c>
      <c r="G904" s="61" t="n">
        <v>365</v>
      </c>
      <c r="H904" s="62" t="n">
        <v>0</v>
      </c>
      <c r="I904" s="9" t="inlineStr">
        <is>
          <t>Pet Owner / Cộng đồng nuôi cún (10đ)</t>
        </is>
      </c>
      <c r="J904" s="62" t="n">
        <v>10</v>
      </c>
      <c r="K904" s="9" t="inlineStr">
        <is>
          <t>Chưa rõ giống (Cần quét Bio)</t>
        </is>
      </c>
      <c r="L904" s="62" t="n">
        <v>0</v>
      </c>
      <c r="M904" s="62" t="n">
        <v>0</v>
      </c>
      <c r="N904" s="9" t="inlineStr">
        <is>
          <t>Amazon link not found</t>
        </is>
      </c>
      <c r="O904" s="62">
        <f>IF(N904="Selling pet toys + Artificial grass/Pet toilets (TARGET)",15,IF(N904="Selling artificial grass/pet toilets (TARGET)",10,IF(N904="Selling pet toys",7,IF(N904="There's an Amazon link, but no target sales.",3,0))))</f>
        <v/>
      </c>
      <c r="P904" s="67">
        <f>H904+J904+L904+M904+O904</f>
        <v/>
      </c>
      <c r="Q904" s="70" t="inlineStr">
        <is>
          <t>Excluded: Trang Chung / Không rõ Ngách Cún cưng</t>
        </is>
      </c>
      <c r="R904" s="9" t="inlineStr">
        <is>
          <t>Khay vệ sinh chung cư (Indoor Potty) + Thảm cỏ ban công (Grass Patch) + Đồ chơi</t>
        </is>
      </c>
      <c r="S904" s="9" t="inlineStr">
        <is>
          <t>Tuyệt đối không đưa vào CRM (Vi phạm Bộ lọc Âm tính Mục 5)</t>
        </is>
      </c>
    </row>
    <row r="905">
      <c r="A905" s="53" t="n">
        <v>2236</v>
      </c>
      <c r="B905" s="12" t="inlineStr">
        <is>
          <t>mundoAnimalia</t>
        </is>
      </c>
      <c r="C905" s="54" t="inlineStr">
        <is>
          <t>https://www.facebook.com/mundoAnimalia</t>
        </is>
      </c>
      <c r="D905" s="6" t="inlineStr">
        <is>
          <t>Cần quét Bio Fanpage</t>
        </is>
      </c>
      <c r="E905" s="53" t="inlineStr">
        <is>
          <t>23/12/2024 16:00:33</t>
        </is>
      </c>
      <c r="F905" s="53" t="inlineStr">
        <is>
          <t>1 năm trước</t>
        </is>
      </c>
      <c r="G905" s="55" t="n">
        <v>365</v>
      </c>
      <c r="H905" s="56" t="n">
        <v>0</v>
      </c>
      <c r="I905" s="6" t="inlineStr">
        <is>
          <t>Pet Owner / Cộng đồng nuôi cún (10đ)</t>
        </is>
      </c>
      <c r="J905" s="56" t="n">
        <v>10</v>
      </c>
      <c r="K905" s="6" t="inlineStr">
        <is>
          <t>Chưa rõ giống (Cần quét Bio)</t>
        </is>
      </c>
      <c r="L905" s="56" t="n">
        <v>0</v>
      </c>
      <c r="M905" s="56" t="n">
        <v>0</v>
      </c>
      <c r="N905" s="6" t="inlineStr">
        <is>
          <t>Amazon link not found</t>
        </is>
      </c>
      <c r="O905" s="56">
        <f>IF(N905="Selling pet toys + Artificial grass/Pet toilets (TARGET)",15,IF(N905="Selling artificial grass/pet toilets (TARGET)",10,IF(N905="Selling pet toys",7,IF(N905="There's an Amazon link, but no target sales.",3,0))))</f>
        <v/>
      </c>
      <c r="P905" s="65">
        <f>H905+J905+L905+M905+O905</f>
        <v/>
      </c>
      <c r="Q905" s="71" t="inlineStr">
        <is>
          <t>Excluded: Trang Chung / Không rõ Ngách Cún cưng</t>
        </is>
      </c>
      <c r="R905" s="6" t="inlineStr">
        <is>
          <t>Khay vệ sinh chung cư (Indoor Potty) + Thảm cỏ ban công (Grass Patch) + Đồ chơi</t>
        </is>
      </c>
      <c r="S905" s="6" t="inlineStr">
        <is>
          <t>Tuyệt đối không đưa vào CRM (Vi phạm Bộ lọc Âm tính Mục 5)</t>
        </is>
      </c>
    </row>
    <row r="906">
      <c r="A906" s="59" t="n">
        <v>2962</v>
      </c>
      <c r="B906" s="15" t="inlineStr">
        <is>
          <t>Facebook User</t>
        </is>
      </c>
      <c r="C906" s="60" t="inlineStr">
        <is>
          <t>https://www.facebook.com/profile.php?id=100064141896216</t>
        </is>
      </c>
      <c r="D906" s="9" t="inlineStr">
        <is>
          <t>Cần quét Bio Fanpage</t>
        </is>
      </c>
      <c r="E906" s="59" t="inlineStr">
        <is>
          <t>21/10/2024 13:33:22</t>
        </is>
      </c>
      <c r="F906" s="59" t="inlineStr">
        <is>
          <t>1 năm trước</t>
        </is>
      </c>
      <c r="G906" s="61" t="n">
        <v>365</v>
      </c>
      <c r="H906" s="62" t="n">
        <v>0</v>
      </c>
      <c r="I906" s="9" t="inlineStr">
        <is>
          <t>Pet Owner / Cộng đồng nuôi cún (10đ)</t>
        </is>
      </c>
      <c r="J906" s="62" t="n">
        <v>10</v>
      </c>
      <c r="K906" s="9" t="inlineStr">
        <is>
          <t>Chưa rõ giống (Cần quét Bio)</t>
        </is>
      </c>
      <c r="L906" s="62" t="n">
        <v>0</v>
      </c>
      <c r="M906" s="62" t="n">
        <v>0</v>
      </c>
      <c r="N906" s="9" t="inlineStr">
        <is>
          <t>Amazon link not found</t>
        </is>
      </c>
      <c r="O906" s="62">
        <f>IF(N906="Selling pet toys + Artificial grass/Pet toilets (TARGET)",15,IF(N906="Selling artificial grass/pet toilets (TARGET)",10,IF(N906="Selling pet toys",7,IF(N906="There's an Amazon link, but no target sales.",3,0))))</f>
        <v/>
      </c>
      <c r="P906" s="67">
        <f>H906+J906+L906+M906+O906</f>
        <v/>
      </c>
      <c r="Q906" s="70" t="inlineStr">
        <is>
          <t>Excluded: Hồ sơ Ẩn danh (Facebook User)</t>
        </is>
      </c>
      <c r="R906" s="9" t="inlineStr">
        <is>
          <t>Khay vệ sinh chung cư (Indoor Potty) + Thảm cỏ ban công (Grass Patch) + Đồ chơi</t>
        </is>
      </c>
      <c r="S906" s="9" t="inlineStr">
        <is>
          <t>Tuyệt đối không đưa vào CRM (Vi phạm Bộ lọc Âm tính Mục 5)</t>
        </is>
      </c>
    </row>
    <row r="907">
      <c r="A907" s="53" t="n">
        <v>2041</v>
      </c>
      <c r="B907" s="12" t="inlineStr">
        <is>
          <t>Livros de Veterinária Grátis em PDF</t>
        </is>
      </c>
      <c r="C907" s="54" t="inlineStr">
        <is>
          <t>https://www.facebook.com/livrosvetgratis</t>
        </is>
      </c>
      <c r="D907" s="6" t="inlineStr">
        <is>
          <t>Cần quét Bio Fanpage</t>
        </is>
      </c>
      <c r="E907" s="53" t="inlineStr">
        <is>
          <t>11/09/2024 23:40:22</t>
        </is>
      </c>
      <c r="F907" s="53" t="inlineStr">
        <is>
          <t>2 năm trước</t>
        </is>
      </c>
      <c r="G907" s="55" t="n">
        <v>730</v>
      </c>
      <c r="H907" s="56" t="n">
        <v>0</v>
      </c>
      <c r="I907" s="6" t="inlineStr">
        <is>
          <t>Pet Owner / Cộng đồng nuôi cún (10đ)</t>
        </is>
      </c>
      <c r="J907" s="56" t="n">
        <v>10</v>
      </c>
      <c r="K907" s="6" t="inlineStr">
        <is>
          <t>Chưa rõ giống (Cần quét Bio)</t>
        </is>
      </c>
      <c r="L907" s="56" t="n">
        <v>0</v>
      </c>
      <c r="M907" s="56" t="n">
        <v>0</v>
      </c>
      <c r="N907" s="6" t="inlineStr">
        <is>
          <t>Amazon link not found</t>
        </is>
      </c>
      <c r="O907" s="56">
        <f>IF(N907="Selling pet toys + Artificial grass/Pet toilets (TARGET)",15,IF(N907="Selling artificial grass/pet toilets (TARGET)",10,IF(N907="Selling pet toys",7,IF(N907="There's an Amazon link, but no target sales.",3,0))))</f>
        <v/>
      </c>
      <c r="P907" s="65">
        <f>H907+J907+L907+M907+O907</f>
        <v/>
      </c>
      <c r="Q907" s="71" t="inlineStr">
        <is>
          <t>Excluded: Trang Chung / Không rõ Ngách Cún cưng</t>
        </is>
      </c>
      <c r="R907" s="6" t="inlineStr">
        <is>
          <t>Khay vệ sinh chung cư (Indoor Potty) + Thảm cỏ ban công (Grass Patch) + Đồ chơi</t>
        </is>
      </c>
      <c r="S907" s="6" t="inlineStr">
        <is>
          <t>Tuyệt đối không đưa vào CRM (Vi phạm Bộ lọc Âm tính Mục 5)</t>
        </is>
      </c>
    </row>
    <row r="908">
      <c r="A908" s="59" t="n">
        <v>1743</v>
      </c>
      <c r="B908" s="15" t="inlineStr">
        <is>
          <t>Ivette De Blanck  (Fundación De Blanck)</t>
        </is>
      </c>
      <c r="C908" s="60" t="inlineStr">
        <is>
          <t>https://www.facebook.com/FundacionDeBlanck</t>
        </is>
      </c>
      <c r="D908" s="9" t="inlineStr">
        <is>
          <t>Cần quét Bio Fanpage</t>
        </is>
      </c>
      <c r="E908" s="59" t="inlineStr">
        <is>
          <t>30/07/2024 10:57:47</t>
        </is>
      </c>
      <c r="F908" s="59" t="inlineStr">
        <is>
          <t>2 năm trước</t>
        </is>
      </c>
      <c r="G908" s="61" t="n">
        <v>730</v>
      </c>
      <c r="H908" s="62" t="n">
        <v>0</v>
      </c>
      <c r="I908" s="9" t="inlineStr">
        <is>
          <t>Pet Owner / Cộng đồng nuôi cún (10đ)</t>
        </is>
      </c>
      <c r="J908" s="62" t="n">
        <v>10</v>
      </c>
      <c r="K908" s="9" t="inlineStr">
        <is>
          <t>Chưa rõ giống (Cần quét Bio)</t>
        </is>
      </c>
      <c r="L908" s="62" t="n">
        <v>0</v>
      </c>
      <c r="M908" s="62" t="n">
        <v>0</v>
      </c>
      <c r="N908" s="9" t="inlineStr">
        <is>
          <t>Amazon link not found</t>
        </is>
      </c>
      <c r="O908" s="62">
        <f>IF(N908="Selling pet toys + Artificial grass/Pet toilets (TARGET)",15,IF(N908="Selling artificial grass/pet toilets (TARGET)",10,IF(N908="Selling pet toys",7,IF(N908="There's an Amazon link, but no target sales.",3,0))))</f>
        <v/>
      </c>
      <c r="P908" s="67">
        <f>H908+J908+L908+M908+O908</f>
        <v/>
      </c>
      <c r="Q908" s="70" t="inlineStr">
        <is>
          <t>Excluded: Trang Chung / Không rõ Ngách Cún cưng</t>
        </is>
      </c>
      <c r="R908" s="9" t="inlineStr">
        <is>
          <t>Khay vệ sinh chung cư (Indoor Potty) + Thảm cỏ ban công (Grass Patch) + Đồ chơi</t>
        </is>
      </c>
      <c r="S908" s="9" t="inlineStr">
        <is>
          <t>Tuyệt đối không đưa vào CRM (Vi phạm Bộ lọc Âm tính Mục 5)</t>
        </is>
      </c>
    </row>
    <row r="909">
      <c r="A909" s="53" t="n">
        <v>1234</v>
      </c>
      <c r="B909" s="12" t="inlineStr">
        <is>
          <t>DRNA.Southeastern</t>
        </is>
      </c>
      <c r="C909" s="54" t="inlineStr">
        <is>
          <t>https://www.facebook.com/DRNA.Southeastern</t>
        </is>
      </c>
      <c r="D909" s="6" t="inlineStr">
        <is>
          <t>Cần quét Bio Fanpage</t>
        </is>
      </c>
      <c r="E909" s="53" t="inlineStr">
        <is>
          <t>01/07/2024 06:07:13</t>
        </is>
      </c>
      <c r="F909" s="53" t="inlineStr">
        <is>
          <t>2 năm trước</t>
        </is>
      </c>
      <c r="G909" s="55" t="n">
        <v>730</v>
      </c>
      <c r="H909" s="56" t="n">
        <v>0</v>
      </c>
      <c r="I909" s="6" t="inlineStr">
        <is>
          <t>Pet Owner / Cộng đồng nuôi cún (10đ)</t>
        </is>
      </c>
      <c r="J909" s="56" t="n">
        <v>10</v>
      </c>
      <c r="K909" s="6" t="inlineStr">
        <is>
          <t>Chưa rõ giống (Cần quét Bio)</t>
        </is>
      </c>
      <c r="L909" s="56" t="n">
        <v>0</v>
      </c>
      <c r="M909" s="56" t="n">
        <v>0</v>
      </c>
      <c r="N909" s="6" t="inlineStr">
        <is>
          <t>Amazon link not found</t>
        </is>
      </c>
      <c r="O909" s="56">
        <f>IF(N909="Selling pet toys + Artificial grass/Pet toilets (TARGET)",15,IF(N909="Selling artificial grass/pet toilets (TARGET)",10,IF(N909="Selling pet toys",7,IF(N909="There's an Amazon link, but no target sales.",3,0))))</f>
        <v/>
      </c>
      <c r="P909" s="65">
        <f>H909+J909+L909+M909+O909</f>
        <v/>
      </c>
      <c r="Q909" s="71" t="inlineStr">
        <is>
          <t>Excluded: Trang Chung / Không rõ Ngách Cún cưng</t>
        </is>
      </c>
      <c r="R909" s="6" t="inlineStr">
        <is>
          <t>Khay vệ sinh chung cư (Indoor Potty) + Thảm cỏ ban công (Grass Patch) + Đồ chơi</t>
        </is>
      </c>
      <c r="S909" s="6" t="inlineStr">
        <is>
          <t>Tuyệt đối không đưa vào CRM (Vi phạm Bộ lọc Âm tính Mục 5)</t>
        </is>
      </c>
    </row>
    <row r="910">
      <c r="A910" s="59" t="n">
        <v>3468</v>
      </c>
      <c r="B910" s="15" t="inlineStr">
        <is>
          <t>Facebook User</t>
        </is>
      </c>
      <c r="C910" s="60" t="inlineStr">
        <is>
          <t>https://www.facebook.com/profile.php?id=100067098895308</t>
        </is>
      </c>
      <c r="D910" s="9" t="inlineStr">
        <is>
          <t>Cần quét Bio Fanpage</t>
        </is>
      </c>
      <c r="E910" s="59" t="inlineStr">
        <is>
          <t>20/06/2024 07:52:21</t>
        </is>
      </c>
      <c r="F910" s="59" t="inlineStr">
        <is>
          <t>2 năm trước</t>
        </is>
      </c>
      <c r="G910" s="61" t="n">
        <v>730</v>
      </c>
      <c r="H910" s="62" t="n">
        <v>0</v>
      </c>
      <c r="I910" s="9" t="inlineStr">
        <is>
          <t>Pet Owner / Cộng đồng nuôi cún (10đ)</t>
        </is>
      </c>
      <c r="J910" s="62" t="n">
        <v>10</v>
      </c>
      <c r="K910" s="9" t="inlineStr">
        <is>
          <t>Chưa rõ giống (Cần quét Bio)</t>
        </is>
      </c>
      <c r="L910" s="62" t="n">
        <v>0</v>
      </c>
      <c r="M910" s="62" t="n">
        <v>0</v>
      </c>
      <c r="N910" s="9" t="inlineStr">
        <is>
          <t>Amazon link not found</t>
        </is>
      </c>
      <c r="O910" s="62">
        <f>IF(N910="Selling pet toys + Artificial grass/Pet toilets (TARGET)",15,IF(N910="Selling artificial grass/pet toilets (TARGET)",10,IF(N910="Selling pet toys",7,IF(N910="There's an Amazon link, but no target sales.",3,0))))</f>
        <v/>
      </c>
      <c r="P910" s="67">
        <f>H910+J910+L910+M910+O910</f>
        <v/>
      </c>
      <c r="Q910" s="70" t="inlineStr">
        <is>
          <t>Excluded: Hồ sơ Ẩn danh (Facebook User)</t>
        </is>
      </c>
      <c r="R910" s="9" t="inlineStr">
        <is>
          <t>Khay vệ sinh chung cư (Indoor Potty) + Thảm cỏ ban công (Grass Patch) + Đồ chơi</t>
        </is>
      </c>
      <c r="S910" s="9" t="inlineStr">
        <is>
          <t>Tuyệt đối không đưa vào CRM (Vi phạm Bộ lọc Âm tính Mục 5)</t>
        </is>
      </c>
    </row>
    <row r="911">
      <c r="A911" s="53" t="n">
        <v>3049</v>
      </c>
      <c r="B911" s="12" t="inlineStr">
        <is>
          <t>TagametBenadrylCancerRemissionProtocol</t>
        </is>
      </c>
      <c r="C911" s="54" t="inlineStr">
        <is>
          <t>https://www.facebook.com/TagametBenadrylCancerRemissionProtocol</t>
        </is>
      </c>
      <c r="D911" s="6" t="inlineStr">
        <is>
          <t>Cần quét Bio Fanpage</t>
        </is>
      </c>
      <c r="E911" s="53" t="inlineStr">
        <is>
          <t>03/06/2024 18:34:37</t>
        </is>
      </c>
      <c r="F911" s="53" t="inlineStr">
        <is>
          <t>2 năm trước</t>
        </is>
      </c>
      <c r="G911" s="55" t="n">
        <v>730</v>
      </c>
      <c r="H911" s="56" t="n">
        <v>0</v>
      </c>
      <c r="I911" s="6" t="inlineStr">
        <is>
          <t>Pet Owner / Cộng đồng nuôi cún (10đ)</t>
        </is>
      </c>
      <c r="J911" s="56" t="n">
        <v>10</v>
      </c>
      <c r="K911" s="6" t="inlineStr">
        <is>
          <t>Chưa rõ giống (Cần quét Bio)</t>
        </is>
      </c>
      <c r="L911" s="56" t="n">
        <v>0</v>
      </c>
      <c r="M911" s="56" t="n">
        <v>0</v>
      </c>
      <c r="N911" s="6" t="inlineStr">
        <is>
          <t>Amazon link not found</t>
        </is>
      </c>
      <c r="O911" s="56">
        <f>IF(N911="Selling pet toys + Artificial grass/Pet toilets (TARGET)",15,IF(N911="Selling artificial grass/pet toilets (TARGET)",10,IF(N911="Selling pet toys",7,IF(N911="There's an Amazon link, but no target sales.",3,0))))</f>
        <v/>
      </c>
      <c r="P911" s="65">
        <f>H911+J911+L911+M911+O911</f>
        <v/>
      </c>
      <c r="Q911" s="71" t="inlineStr">
        <is>
          <t>Excluded: Trang Chung / Không rõ Ngách Cún cưng</t>
        </is>
      </c>
      <c r="R911" s="6" t="inlineStr">
        <is>
          <t>Khay vệ sinh chung cư (Indoor Potty) + Thảm cỏ ban công (Grass Patch) + Đồ chơi</t>
        </is>
      </c>
      <c r="S911" s="6" t="inlineStr">
        <is>
          <t>Tuyệt đối không đưa vào CRM (Vi phạm Bộ lọc Âm tính Mục 5)</t>
        </is>
      </c>
    </row>
    <row r="912">
      <c r="A912" s="59" t="n">
        <v>1552</v>
      </c>
      <c r="B912" s="15" t="inlineStr">
        <is>
          <t>Greater Fort Myers Dog Club</t>
        </is>
      </c>
      <c r="C912" s="60" t="inlineStr">
        <is>
          <t>https://www.facebook.com/GFMDogClub</t>
        </is>
      </c>
      <c r="D912" s="9" t="inlineStr">
        <is>
          <t>Cần quét Bio Fanpage</t>
        </is>
      </c>
      <c r="E912" s="59" t="inlineStr">
        <is>
          <t>30/05/2024 22:00:32</t>
        </is>
      </c>
      <c r="F912" s="59" t="inlineStr">
        <is>
          <t>2 năm trước</t>
        </is>
      </c>
      <c r="G912" s="61" t="n">
        <v>730</v>
      </c>
      <c r="H912" s="62" t="n">
        <v>0</v>
      </c>
      <c r="I912" s="9" t="inlineStr">
        <is>
          <t>Pet Owner / Cộng đồng nuôi cún (10đ)</t>
        </is>
      </c>
      <c r="J912" s="62" t="n">
        <v>10</v>
      </c>
      <c r="K912" s="9" t="inlineStr">
        <is>
          <t>Chưa rõ giống (Cần quét Bio)</t>
        </is>
      </c>
      <c r="L912" s="62" t="n">
        <v>0</v>
      </c>
      <c r="M912" s="62" t="n">
        <v>0</v>
      </c>
      <c r="N912" s="9" t="inlineStr">
        <is>
          <t>Amazon link not found</t>
        </is>
      </c>
      <c r="O912" s="62">
        <f>IF(N912="Selling pet toys + Artificial grass/Pet toilets (TARGET)",15,IF(N912="Selling artificial grass/pet toilets (TARGET)",10,IF(N912="Selling pet toys",7,IF(N912="There's an Amazon link, but no target sales.",3,0))))</f>
        <v/>
      </c>
      <c r="P912" s="67">
        <f>H912+J912+L912+M912+O912</f>
        <v/>
      </c>
      <c r="Q912" s="70" t="inlineStr">
        <is>
          <t>Excluded: Hiệp hội &amp; CLB Phả hệ (Mục 5.1)</t>
        </is>
      </c>
      <c r="R912" s="9" t="inlineStr">
        <is>
          <t>Khay vệ sinh chung cư (Indoor Potty) + Thảm cỏ ban công (Grass Patch) + Đồ chơi</t>
        </is>
      </c>
      <c r="S912" s="9" t="inlineStr">
        <is>
          <t>Tuyệt đối không đưa vào CRM (Vi phạm Bộ lọc Âm tính Mục 5)</t>
        </is>
      </c>
    </row>
    <row r="913">
      <c r="A913" s="53" t="n">
        <v>488</v>
      </c>
      <c r="B913" s="12" t="inlineStr">
        <is>
          <t>ANIMALI SENZA CONFINI ODV</t>
        </is>
      </c>
      <c r="C913" s="54" t="inlineStr">
        <is>
          <t>https://www.facebook.com/AnimaliSConfini</t>
        </is>
      </c>
      <c r="D913" s="6" t="inlineStr">
        <is>
          <t>Cần quét Bio Fanpage</t>
        </is>
      </c>
      <c r="E913" s="53" t="inlineStr">
        <is>
          <t>09/04/2024 14:57:52</t>
        </is>
      </c>
      <c r="F913" s="53" t="inlineStr">
        <is>
          <t>2 năm trước</t>
        </is>
      </c>
      <c r="G913" s="55" t="n">
        <v>730</v>
      </c>
      <c r="H913" s="56" t="n">
        <v>0</v>
      </c>
      <c r="I913" s="6" t="inlineStr">
        <is>
          <t>Pet Owner / Cộng đồng nuôi cún (10đ)</t>
        </is>
      </c>
      <c r="J913" s="56" t="n">
        <v>10</v>
      </c>
      <c r="K913" s="6" t="inlineStr">
        <is>
          <t>Chưa rõ giống (Cần quét Bio)</t>
        </is>
      </c>
      <c r="L913" s="56" t="n">
        <v>0</v>
      </c>
      <c r="M913" s="56" t="n">
        <v>0</v>
      </c>
      <c r="N913" s="6" t="inlineStr">
        <is>
          <t>Amazon link not found</t>
        </is>
      </c>
      <c r="O913" s="56">
        <f>IF(N913="Selling pet toys + Artificial grass/Pet toilets (TARGET)",15,IF(N913="Selling artificial grass/pet toilets (TARGET)",10,IF(N913="Selling pet toys",7,IF(N913="There's an Amazon link, but no target sales.",3,0))))</f>
        <v/>
      </c>
      <c r="P913" s="65">
        <f>H913+J913+L913+M913+O913</f>
        <v/>
      </c>
      <c r="Q913" s="71" t="inlineStr">
        <is>
          <t>Excluded: Trang Chung / Không rõ Ngách Cún cưng</t>
        </is>
      </c>
      <c r="R913" s="6" t="inlineStr">
        <is>
          <t>Khay vệ sinh chung cư (Indoor Potty) + Thảm cỏ ban công (Grass Patch) + Đồ chơi</t>
        </is>
      </c>
      <c r="S913" s="6" t="inlineStr">
        <is>
          <t>Tuyệt đối không đưa vào CRM (Vi phạm Bộ lọc Âm tính Mục 5)</t>
        </is>
      </c>
    </row>
    <row r="914">
      <c r="A914" s="59" t="n">
        <v>714</v>
      </c>
      <c r="B914" s="15" t="inlineStr">
        <is>
          <t>Body In Balance: Energetic Medicine for Animals</t>
        </is>
      </c>
      <c r="C914" s="60" t="inlineStr">
        <is>
          <t>https://www.facebook.com/profile.php?id=100088386670232</t>
        </is>
      </c>
      <c r="D914" s="9" t="inlineStr">
        <is>
          <t>Cần quét Bio Fanpage</t>
        </is>
      </c>
      <c r="E914" s="59" t="inlineStr">
        <is>
          <t>26/03/2024 07:44:15</t>
        </is>
      </c>
      <c r="F914" s="59" t="inlineStr">
        <is>
          <t>2 năm trước</t>
        </is>
      </c>
      <c r="G914" s="61" t="n">
        <v>730</v>
      </c>
      <c r="H914" s="62" t="n">
        <v>0</v>
      </c>
      <c r="I914" s="9" t="inlineStr">
        <is>
          <t>Pet Owner / Cộng đồng nuôi cún (10đ)</t>
        </is>
      </c>
      <c r="J914" s="62" t="n">
        <v>10</v>
      </c>
      <c r="K914" s="9" t="inlineStr">
        <is>
          <t>Chưa rõ giống (Cần quét Bio)</t>
        </is>
      </c>
      <c r="L914" s="62" t="n">
        <v>0</v>
      </c>
      <c r="M914" s="62" t="n">
        <v>0</v>
      </c>
      <c r="N914" s="9" t="inlineStr">
        <is>
          <t>Amazon link not found</t>
        </is>
      </c>
      <c r="O914" s="62">
        <f>IF(N914="Selling pet toys + Artificial grass/Pet toilets (TARGET)",15,IF(N914="Selling artificial grass/pet toilets (TARGET)",10,IF(N914="Selling pet toys",7,IF(N914="There's an Amazon link, but no target sales.",3,0))))</f>
        <v/>
      </c>
      <c r="P914" s="67">
        <f>H914+J914+L914+M914+O914</f>
        <v/>
      </c>
      <c r="Q914" s="70" t="inlineStr">
        <is>
          <t>Excluded: Trang Chung / Không rõ Ngách Cún cưng</t>
        </is>
      </c>
      <c r="R914" s="9" t="inlineStr">
        <is>
          <t>Khay vệ sinh chung cư (Indoor Potty) + Thảm cỏ ban công (Grass Patch) + Đồ chơi</t>
        </is>
      </c>
      <c r="S914" s="9" t="inlineStr">
        <is>
          <t>Tuyệt đối không đưa vào CRM (Vi phạm Bộ lọc Âm tính Mục 5)</t>
        </is>
      </c>
    </row>
    <row r="915">
      <c r="A915" s="53" t="n">
        <v>3032</v>
      </c>
      <c r="B915" s="12" t="inlineStr">
        <is>
          <t>Svetlana Bachurina</t>
        </is>
      </c>
      <c r="C915" s="54" t="inlineStr">
        <is>
          <t>https://www.facebook.com/SvitlanaBachurina82</t>
        </is>
      </c>
      <c r="D915" s="6" t="inlineStr">
        <is>
          <t>Cần quét Bio Fanpage</t>
        </is>
      </c>
      <c r="E915" s="53" t="inlineStr">
        <is>
          <t>02/03/2024 06:42:17</t>
        </is>
      </c>
      <c r="F915" s="53" t="inlineStr">
        <is>
          <t>2 năm trước</t>
        </is>
      </c>
      <c r="G915" s="55" t="n">
        <v>730</v>
      </c>
      <c r="H915" s="56" t="n">
        <v>0</v>
      </c>
      <c r="I915" s="6" t="inlineStr">
        <is>
          <t>Pet Owner / Cộng đồng nuôi cún (10đ)</t>
        </is>
      </c>
      <c r="J915" s="56" t="n">
        <v>10</v>
      </c>
      <c r="K915" s="6" t="inlineStr">
        <is>
          <t>Chưa rõ giống (Cần quét Bio)</t>
        </is>
      </c>
      <c r="L915" s="56" t="n">
        <v>0</v>
      </c>
      <c r="M915" s="56" t="n">
        <v>0</v>
      </c>
      <c r="N915" s="6" t="inlineStr">
        <is>
          <t>Amazon link not found</t>
        </is>
      </c>
      <c r="O915" s="56">
        <f>IF(N915="Selling pet toys + Artificial grass/Pet toilets (TARGET)",15,IF(N915="Selling artificial grass/pet toilets (TARGET)",10,IF(N915="Selling pet toys",7,IF(N915="There's an Amazon link, but no target sales.",3,0))))</f>
        <v/>
      </c>
      <c r="P915" s="65">
        <f>H915+J915+L915+M915+O915</f>
        <v/>
      </c>
      <c r="Q915" s="71" t="inlineStr">
        <is>
          <t>Excluded: Trang Chung / Không rõ Ngách Cún cưng</t>
        </is>
      </c>
      <c r="R915" s="6" t="inlineStr">
        <is>
          <t>Khay vệ sinh chung cư (Indoor Potty) + Thảm cỏ ban công (Grass Patch) + Đồ chơi</t>
        </is>
      </c>
      <c r="S915" s="6" t="inlineStr">
        <is>
          <t>Tuyệt đối không đưa vào CRM (Vi phạm Bộ lọc Âm tính Mục 5)</t>
        </is>
      </c>
    </row>
    <row r="916">
      <c r="A916" s="59" t="n">
        <v>3034</v>
      </c>
      <c r="B916" s="15" t="inlineStr">
        <is>
          <t>Svetlana Delonji Grand  (Svetlana Simankovich)</t>
        </is>
      </c>
      <c r="C916" s="60" t="inlineStr">
        <is>
          <t>https://www.facebook.com/svetlana.simankovich</t>
        </is>
      </c>
      <c r="D916" s="9" t="inlineStr">
        <is>
          <t>Cần quét Bio Fanpage</t>
        </is>
      </c>
      <c r="E916" s="59" t="inlineStr">
        <is>
          <t>27/02/2024 16:13:53</t>
        </is>
      </c>
      <c r="F916" s="59" t="inlineStr">
        <is>
          <t>2 năm trước</t>
        </is>
      </c>
      <c r="G916" s="61" t="n">
        <v>730</v>
      </c>
      <c r="H916" s="62" t="n">
        <v>0</v>
      </c>
      <c r="I916" s="9" t="inlineStr">
        <is>
          <t>Pet Owner / Cộng đồng nuôi cún (10đ)</t>
        </is>
      </c>
      <c r="J916" s="62" t="n">
        <v>10</v>
      </c>
      <c r="K916" s="9" t="inlineStr">
        <is>
          <t>Chưa rõ giống (Cần quét Bio)</t>
        </is>
      </c>
      <c r="L916" s="62" t="n">
        <v>0</v>
      </c>
      <c r="M916" s="62" t="n">
        <v>0</v>
      </c>
      <c r="N916" s="9" t="inlineStr">
        <is>
          <t>Amazon link not found</t>
        </is>
      </c>
      <c r="O916" s="62">
        <f>IF(N916="Selling pet toys + Artificial grass/Pet toilets (TARGET)",15,IF(N916="Selling artificial grass/pet toilets (TARGET)",10,IF(N916="Selling pet toys",7,IF(N916="There's an Amazon link, but no target sales.",3,0))))</f>
        <v/>
      </c>
      <c r="P916" s="67">
        <f>H916+J916+L916+M916+O916</f>
        <v/>
      </c>
      <c r="Q916" s="70" t="inlineStr">
        <is>
          <t>Excluded: Trang Chung / Không rõ Ngách Cún cưng</t>
        </is>
      </c>
      <c r="R916" s="9" t="inlineStr">
        <is>
          <t>Khay vệ sinh chung cư (Indoor Potty) + Thảm cỏ ban công (Grass Patch) + Đồ chơi</t>
        </is>
      </c>
      <c r="S916" s="9" t="inlineStr">
        <is>
          <t>Tuyệt đối không đưa vào CRM (Vi phạm Bộ lọc Âm tính Mục 5)</t>
        </is>
      </c>
    </row>
    <row r="917">
      <c r="A917" s="53" t="n">
        <v>3308</v>
      </c>
      <c r="B917" s="12" t="inlineStr">
        <is>
          <t>VETERIFARMA FARMACIA VETERINARIA</t>
        </is>
      </c>
      <c r="C917" s="54" t="inlineStr">
        <is>
          <t>https://www.facebook.com/veterifarmaalghero</t>
        </is>
      </c>
      <c r="D917" s="6" t="inlineStr">
        <is>
          <t>Cần quét Bio Fanpage</t>
        </is>
      </c>
      <c r="E917" s="53" t="inlineStr">
        <is>
          <t>20/02/2024 18:18:51</t>
        </is>
      </c>
      <c r="F917" s="53" t="inlineStr">
        <is>
          <t>2 năm trước</t>
        </is>
      </c>
      <c r="G917" s="55" t="n">
        <v>730</v>
      </c>
      <c r="H917" s="56" t="n">
        <v>0</v>
      </c>
      <c r="I917" s="6" t="inlineStr">
        <is>
          <t>Pet Owner / Cộng đồng nuôi cún (10đ)</t>
        </is>
      </c>
      <c r="J917" s="56" t="n">
        <v>10</v>
      </c>
      <c r="K917" s="6" t="inlineStr">
        <is>
          <t>Chưa rõ giống (Cần quét Bio)</t>
        </is>
      </c>
      <c r="L917" s="56" t="n">
        <v>0</v>
      </c>
      <c r="M917" s="56" t="n">
        <v>0</v>
      </c>
      <c r="N917" s="6" t="inlineStr">
        <is>
          <t>Amazon link not found</t>
        </is>
      </c>
      <c r="O917" s="56">
        <f>IF(N917="Selling pet toys + Artificial grass/Pet toilets (TARGET)",15,IF(N917="Selling artificial grass/pet toilets (TARGET)",10,IF(N917="Selling pet toys",7,IF(N917="There's an Amazon link, but no target sales.",3,0))))</f>
        <v/>
      </c>
      <c r="P917" s="65">
        <f>H917+J917+L917+M917+O917</f>
        <v/>
      </c>
      <c r="Q917" s="71" t="inlineStr">
        <is>
          <t>Excluded: Công ty Gen DNA &amp; Thú y (Mục 5.4)</t>
        </is>
      </c>
      <c r="R917" s="6" t="inlineStr">
        <is>
          <t>Khay vệ sinh chung cư (Indoor Potty) + Thảm cỏ ban công (Grass Patch) + Đồ chơi</t>
        </is>
      </c>
      <c r="S917" s="6" t="inlineStr">
        <is>
          <t>Tuyệt đối không đưa vào CRM (Vi phạm Bộ lọc Âm tính Mục 5)</t>
        </is>
      </c>
    </row>
    <row r="918">
      <c r="A918" s="59" t="n">
        <v>2899</v>
      </c>
      <c r="B918" s="15" t="inlineStr">
        <is>
          <t>silvana_calvet</t>
        </is>
      </c>
      <c r="C918" s="60" t="inlineStr">
        <is>
          <t>https://www.facebook.com/SilvaCalvet</t>
        </is>
      </c>
      <c r="D918" s="9" t="inlineStr">
        <is>
          <t>Cần quét Bio Fanpage</t>
        </is>
      </c>
      <c r="E918" s="59" t="inlineStr">
        <is>
          <t>30/12/2023 19:31:41</t>
        </is>
      </c>
      <c r="F918" s="59" t="inlineStr">
        <is>
          <t>2 năm trước</t>
        </is>
      </c>
      <c r="G918" s="61" t="n">
        <v>730</v>
      </c>
      <c r="H918" s="62" t="n">
        <v>0</v>
      </c>
      <c r="I918" s="9" t="inlineStr">
        <is>
          <t>Pet Owner / Cộng đồng nuôi cún (10đ)</t>
        </is>
      </c>
      <c r="J918" s="62" t="n">
        <v>10</v>
      </c>
      <c r="K918" s="9" t="inlineStr">
        <is>
          <t>Chưa rõ giống (Cần quét Bio)</t>
        </is>
      </c>
      <c r="L918" s="62" t="n">
        <v>0</v>
      </c>
      <c r="M918" s="62" t="n">
        <v>0</v>
      </c>
      <c r="N918" s="9" t="inlineStr">
        <is>
          <t>Amazon link not found</t>
        </is>
      </c>
      <c r="O918" s="62">
        <f>IF(N918="Selling pet toys + Artificial grass/Pet toilets (TARGET)",15,IF(N918="Selling artificial grass/pet toilets (TARGET)",10,IF(N918="Selling pet toys",7,IF(N918="There's an Amazon link, but no target sales.",3,0))))</f>
        <v/>
      </c>
      <c r="P918" s="67">
        <f>H918+J918+L918+M918+O918</f>
        <v/>
      </c>
      <c r="Q918" s="70" t="inlineStr">
        <is>
          <t>Excluded: Trang Chung / Không rõ Ngách Cún cưng</t>
        </is>
      </c>
      <c r="R918" s="9" t="inlineStr">
        <is>
          <t>Khay vệ sinh chung cư (Indoor Potty) + Thảm cỏ ban công (Grass Patch) + Đồ chơi</t>
        </is>
      </c>
      <c r="S918" s="9" t="inlineStr">
        <is>
          <t>Tuyệt đối không đưa vào CRM (Vi phạm Bộ lọc Âm tính Mục 5)</t>
        </is>
      </c>
    </row>
    <row r="919">
      <c r="A919" s="53" t="n">
        <v>450</v>
      </c>
      <c r="B919" s="12" t="inlineStr">
        <is>
          <t>Animal Clinic Citra</t>
        </is>
      </c>
      <c r="C919" s="54" t="inlineStr">
        <is>
          <t>https://www.facebook.com/100040275135206</t>
        </is>
      </c>
      <c r="D919" s="6" t="inlineStr">
        <is>
          <t>Cần quét Bio Fanpage</t>
        </is>
      </c>
      <c r="E919" s="53" t="inlineStr">
        <is>
          <t>05/12/2023 19:02:03</t>
        </is>
      </c>
      <c r="F919" s="53" t="inlineStr">
        <is>
          <t>2 năm trước</t>
        </is>
      </c>
      <c r="G919" s="55" t="n">
        <v>730</v>
      </c>
      <c r="H919" s="56" t="n">
        <v>0</v>
      </c>
      <c r="I919" s="6" t="inlineStr">
        <is>
          <t>Pet Owner / Cộng đồng nuôi cún (10đ)</t>
        </is>
      </c>
      <c r="J919" s="56" t="n">
        <v>10</v>
      </c>
      <c r="K919" s="6" t="inlineStr">
        <is>
          <t>Chưa rõ giống (Cần quét Bio)</t>
        </is>
      </c>
      <c r="L919" s="56" t="n">
        <v>0</v>
      </c>
      <c r="M919" s="56" t="n">
        <v>0</v>
      </c>
      <c r="N919" s="6" t="inlineStr">
        <is>
          <t>Amazon link not found</t>
        </is>
      </c>
      <c r="O919" s="56">
        <f>IF(N919="Selling pet toys + Artificial grass/Pet toilets (TARGET)",15,IF(N919="Selling artificial grass/pet toilets (TARGET)",10,IF(N919="Selling pet toys",7,IF(N919="There's an Amazon link, but no target sales.",3,0))))</f>
        <v/>
      </c>
      <c r="P919" s="65">
        <f>H919+J919+L919+M919+O919</f>
        <v/>
      </c>
      <c r="Q919" s="71" t="inlineStr">
        <is>
          <t>Excluded: Công ty Gen DNA &amp; Thú y (Mục 5.4)</t>
        </is>
      </c>
      <c r="R919" s="6" t="inlineStr">
        <is>
          <t>Khay vệ sinh chung cư (Indoor Potty) + Thảm cỏ ban công (Grass Patch) + Đồ chơi</t>
        </is>
      </c>
      <c r="S919" s="6" t="inlineStr">
        <is>
          <t>Tuyệt đối không đưa vào CRM (Vi phạm Bộ lọc Âm tính Mục 5)</t>
        </is>
      </c>
    </row>
    <row r="920">
      <c r="A920" s="59" t="n">
        <v>1217</v>
      </c>
      <c r="B920" s="15" t="inlineStr">
        <is>
          <t>Downtown Mesa Farmers Market</t>
        </is>
      </c>
      <c r="C920" s="60" t="inlineStr">
        <is>
          <t>https://www.facebook.com/mesafarmersmarket</t>
        </is>
      </c>
      <c r="D920" s="9" t="inlineStr">
        <is>
          <t>Cần quét Bio Fanpage</t>
        </is>
      </c>
      <c r="E920" s="59" t="inlineStr">
        <is>
          <t>01/12/2023 06:59:58</t>
        </is>
      </c>
      <c r="F920" s="59" t="inlineStr">
        <is>
          <t>2 năm trước</t>
        </is>
      </c>
      <c r="G920" s="61" t="n">
        <v>730</v>
      </c>
      <c r="H920" s="62" t="n">
        <v>0</v>
      </c>
      <c r="I920" s="9" t="inlineStr">
        <is>
          <t>Pet Owner / Cộng đồng nuôi cún (10đ)</t>
        </is>
      </c>
      <c r="J920" s="62" t="n">
        <v>10</v>
      </c>
      <c r="K920" s="9" t="inlineStr">
        <is>
          <t>Chưa rõ giống (Cần quét Bio)</t>
        </is>
      </c>
      <c r="L920" s="62" t="n">
        <v>0</v>
      </c>
      <c r="M920" s="62" t="n">
        <v>0</v>
      </c>
      <c r="N920" s="9" t="inlineStr">
        <is>
          <t>Amazon link not found</t>
        </is>
      </c>
      <c r="O920" s="62">
        <f>IF(N920="Selling pet toys + Artificial grass/Pet toilets (TARGET)",15,IF(N920="Selling artificial grass/pet toilets (TARGET)",10,IF(N920="Selling pet toys",7,IF(N920="There's an Amazon link, but no target sales.",3,0))))</f>
        <v/>
      </c>
      <c r="P920" s="67">
        <f>H920+J920+L920+M920+O920</f>
        <v/>
      </c>
      <c r="Q920" s="70" t="inlineStr">
        <is>
          <t>Excluded: Ngành nghề Khác (Phi Cún cưng)</t>
        </is>
      </c>
      <c r="R920" s="9" t="inlineStr">
        <is>
          <t>Khay vệ sinh chung cư (Indoor Potty) + Thảm cỏ ban công (Grass Patch) + Đồ chơi</t>
        </is>
      </c>
      <c r="S920" s="9" t="inlineStr">
        <is>
          <t>Tuyệt đối không đưa vào CRM (Vi phạm Bộ lọc Âm tính Mục 5)</t>
        </is>
      </c>
    </row>
    <row r="921">
      <c r="A921" s="53" t="n">
        <v>1617</v>
      </c>
      <c r="B921" s="12" t="inlineStr">
        <is>
          <t>HarrisParkwayAnimalHospital</t>
        </is>
      </c>
      <c r="C921" s="54" t="inlineStr">
        <is>
          <t>https://www.facebook.com/HarrisParkwayAnimalHospital</t>
        </is>
      </c>
      <c r="D921" s="6" t="inlineStr">
        <is>
          <t>Cần quét Bio Fanpage</t>
        </is>
      </c>
      <c r="E921" s="53" t="inlineStr">
        <is>
          <t>01/11/2023 22:58:44</t>
        </is>
      </c>
      <c r="F921" s="53" t="inlineStr">
        <is>
          <t>2 năm trước</t>
        </is>
      </c>
      <c r="G921" s="55" t="n">
        <v>730</v>
      </c>
      <c r="H921" s="56" t="n">
        <v>0</v>
      </c>
      <c r="I921" s="6" t="inlineStr">
        <is>
          <t>Pet Owner / Cộng đồng nuôi cún (10đ)</t>
        </is>
      </c>
      <c r="J921" s="56" t="n">
        <v>10</v>
      </c>
      <c r="K921" s="6" t="inlineStr">
        <is>
          <t>Chưa rõ giống (Cần quét Bio)</t>
        </is>
      </c>
      <c r="L921" s="56" t="n">
        <v>0</v>
      </c>
      <c r="M921" s="56" t="n">
        <v>0</v>
      </c>
      <c r="N921" s="6" t="inlineStr">
        <is>
          <t>Amazon link not found</t>
        </is>
      </c>
      <c r="O921" s="56">
        <f>IF(N921="Selling pet toys + Artificial grass/Pet toilets (TARGET)",15,IF(N921="Selling artificial grass/pet toilets (TARGET)",10,IF(N921="Selling pet toys",7,IF(N921="There's an Amazon link, but no target sales.",3,0))))</f>
        <v/>
      </c>
      <c r="P921" s="65">
        <f>H921+J921+L921+M921+O921</f>
        <v/>
      </c>
      <c r="Q921" s="71" t="inlineStr">
        <is>
          <t>Excluded: Trang Chung / Không rõ Ngách Cún cưng</t>
        </is>
      </c>
      <c r="R921" s="6" t="inlineStr">
        <is>
          <t>Khay vệ sinh chung cư (Indoor Potty) + Thảm cỏ ban công (Grass Patch) + Đồ chơi</t>
        </is>
      </c>
      <c r="S921" s="6" t="inlineStr">
        <is>
          <t>Tuyệt đối không đưa vào CRM (Vi phạm Bộ lọc Âm tính Mục 5)</t>
        </is>
      </c>
    </row>
    <row r="922">
      <c r="A922" s="59" t="n">
        <v>2032</v>
      </c>
      <c r="B922" s="15" t="inlineStr">
        <is>
          <t>Little Dog Veterinaria</t>
        </is>
      </c>
      <c r="C922" s="60" t="inlineStr">
        <is>
          <t>https://www.facebook.com/profile.php?id=100064709662642</t>
        </is>
      </c>
      <c r="D922" s="9" t="inlineStr">
        <is>
          <t>Cần quét Bio Fanpage</t>
        </is>
      </c>
      <c r="E922" s="59" t="inlineStr">
        <is>
          <t>24/10/2023 02:25:04</t>
        </is>
      </c>
      <c r="F922" s="59" t="inlineStr">
        <is>
          <t>2 năm trước</t>
        </is>
      </c>
      <c r="G922" s="61" t="n">
        <v>730</v>
      </c>
      <c r="H922" s="62" t="n">
        <v>0</v>
      </c>
      <c r="I922" s="9" t="inlineStr">
        <is>
          <t>Pet Owner / Cộng đồng nuôi cún (10đ)</t>
        </is>
      </c>
      <c r="J922" s="62" t="n">
        <v>10</v>
      </c>
      <c r="K922" s="9" t="inlineStr">
        <is>
          <t>Chưa rõ giống (Cần quét Bio)</t>
        </is>
      </c>
      <c r="L922" s="62" t="n">
        <v>0</v>
      </c>
      <c r="M922" s="62" t="n">
        <v>0</v>
      </c>
      <c r="N922" s="9" t="inlineStr">
        <is>
          <t>Amazon link not found</t>
        </is>
      </c>
      <c r="O922" s="62">
        <f>IF(N922="Selling pet toys + Artificial grass/Pet toilets (TARGET)",15,IF(N922="Selling artificial grass/pet toilets (TARGET)",10,IF(N922="Selling pet toys",7,IF(N922="There's an Amazon link, but no target sales.",3,0))))</f>
        <v/>
      </c>
      <c r="P922" s="67">
        <f>H922+J922+L922+M922+O922</f>
        <v/>
      </c>
      <c r="Q922" s="70" t="inlineStr">
        <is>
          <t>Excluded: Công ty Gen DNA &amp; Thú y (Mục 5.4)</t>
        </is>
      </c>
      <c r="R922" s="9" t="inlineStr">
        <is>
          <t>Khay vệ sinh chung cư (Indoor Potty) + Thảm cỏ ban công (Grass Patch) + Đồ chơi</t>
        </is>
      </c>
      <c r="S922" s="9" t="inlineStr">
        <is>
          <t>Tuyệt đối không đưa vào CRM (Vi phạm Bộ lọc Âm tính Mục 5)</t>
        </is>
      </c>
    </row>
    <row r="923">
      <c r="A923" s="53" t="n">
        <v>3271</v>
      </c>
      <c r="B923" s="12" t="inlineStr">
        <is>
          <t>Facebook User</t>
        </is>
      </c>
      <c r="C923" s="54" t="inlineStr">
        <is>
          <t>https://www.facebook.com/profile.php?id=100069465615090</t>
        </is>
      </c>
      <c r="D923" s="6" t="inlineStr">
        <is>
          <t>Cần quét Bio Fanpage</t>
        </is>
      </c>
      <c r="E923" s="53" t="inlineStr">
        <is>
          <t>25/08/2023 15:46:43</t>
        </is>
      </c>
      <c r="F923" s="53" t="inlineStr">
        <is>
          <t>3 năm trước</t>
        </is>
      </c>
      <c r="G923" s="55" t="n">
        <v>1095</v>
      </c>
      <c r="H923" s="56" t="n">
        <v>0</v>
      </c>
      <c r="I923" s="6" t="inlineStr">
        <is>
          <t>Pet Owner / Cộng đồng nuôi cún (10đ)</t>
        </is>
      </c>
      <c r="J923" s="56" t="n">
        <v>10</v>
      </c>
      <c r="K923" s="6" t="inlineStr">
        <is>
          <t>Chưa rõ giống (Cần quét Bio)</t>
        </is>
      </c>
      <c r="L923" s="56" t="n">
        <v>0</v>
      </c>
      <c r="M923" s="56" t="n">
        <v>0</v>
      </c>
      <c r="N923" s="6" t="inlineStr">
        <is>
          <t>Amazon link not found</t>
        </is>
      </c>
      <c r="O923" s="56">
        <f>IF(N923="Selling pet toys + Artificial grass/Pet toilets (TARGET)",15,IF(N923="Selling artificial grass/pet toilets (TARGET)",10,IF(N923="Selling pet toys",7,IF(N923="There's an Amazon link, but no target sales.",3,0))))</f>
        <v/>
      </c>
      <c r="P923" s="65">
        <f>H923+J923+L923+M923+O923</f>
        <v/>
      </c>
      <c r="Q923" s="71" t="inlineStr">
        <is>
          <t>Excluded: Hồ sơ Ẩn danh (Facebook User)</t>
        </is>
      </c>
      <c r="R923" s="6" t="inlineStr">
        <is>
          <t>Khay vệ sinh chung cư (Indoor Potty) + Thảm cỏ ban công (Grass Patch) + Đồ chơi</t>
        </is>
      </c>
      <c r="S923" s="6" t="inlineStr">
        <is>
          <t>Tuyệt đối không đưa vào CRM (Vi phạm Bộ lọc Âm tính Mục 5)</t>
        </is>
      </c>
    </row>
    <row r="924">
      <c r="A924" s="59" t="n">
        <v>1735</v>
      </c>
      <c r="B924" s="15" t="inlineStr">
        <is>
          <t>Ironhorse Veterinary Care</t>
        </is>
      </c>
      <c r="C924" s="60" t="inlineStr">
        <is>
          <t>https://www.facebook.com/IronhorseVeterinaryCare</t>
        </is>
      </c>
      <c r="D924" s="9" t="inlineStr">
        <is>
          <t>Cần quét Bio Fanpage</t>
        </is>
      </c>
      <c r="E924" s="59" t="inlineStr">
        <is>
          <t>28/06/2023 02:14:58</t>
        </is>
      </c>
      <c r="F924" s="59" t="inlineStr">
        <is>
          <t>3 năm trước</t>
        </is>
      </c>
      <c r="G924" s="61" t="n">
        <v>1095</v>
      </c>
      <c r="H924" s="62" t="n">
        <v>0</v>
      </c>
      <c r="I924" s="9" t="inlineStr">
        <is>
          <t>Pet Owner / Cộng đồng nuôi cún (10đ)</t>
        </is>
      </c>
      <c r="J924" s="62" t="n">
        <v>10</v>
      </c>
      <c r="K924" s="9" t="inlineStr">
        <is>
          <t>Chưa rõ giống (Cần quét Bio)</t>
        </is>
      </c>
      <c r="L924" s="62" t="n">
        <v>0</v>
      </c>
      <c r="M924" s="62" t="n">
        <v>0</v>
      </c>
      <c r="N924" s="9" t="inlineStr">
        <is>
          <t>Amazon link not found</t>
        </is>
      </c>
      <c r="O924" s="62">
        <f>IF(N924="Selling pet toys + Artificial grass/Pet toilets (TARGET)",15,IF(N924="Selling artificial grass/pet toilets (TARGET)",10,IF(N924="Selling pet toys",7,IF(N924="There's an Amazon link, but no target sales.",3,0))))</f>
        <v/>
      </c>
      <c r="P924" s="67">
        <f>H924+J924+L924+M924+O924</f>
        <v/>
      </c>
      <c r="Q924" s="70" t="inlineStr">
        <is>
          <t>Excluded: Công ty Gen DNA &amp; Thú y (Mục 5.4)</t>
        </is>
      </c>
      <c r="R924" s="9" t="inlineStr">
        <is>
          <t>Khay vệ sinh chung cư (Indoor Potty) + Thảm cỏ ban công (Grass Patch) + Đồ chơi</t>
        </is>
      </c>
      <c r="S924" s="9" t="inlineStr">
        <is>
          <t>Tuyệt đối không đưa vào CRM (Vi phạm Bộ lọc Âm tính Mục 5)</t>
        </is>
      </c>
    </row>
    <row r="925">
      <c r="A925" s="53" t="n">
        <v>1315</v>
      </c>
      <c r="B925" s="12" t="inlineStr">
        <is>
          <t>Facultad de Medicina Veterinaria y Zootecnia - UMSNH</t>
        </is>
      </c>
      <c r="C925" s="54" t="inlineStr">
        <is>
          <t>https://www.facebook.com/vetzooumsnh</t>
        </is>
      </c>
      <c r="D925" s="6" t="inlineStr">
        <is>
          <t>Cần quét Bio Fanpage</t>
        </is>
      </c>
      <c r="E925" s="53" t="inlineStr">
        <is>
          <t>06/05/2023 01:09:56</t>
        </is>
      </c>
      <c r="F925" s="53" t="inlineStr">
        <is>
          <t>3 năm trước</t>
        </is>
      </c>
      <c r="G925" s="55" t="n">
        <v>1095</v>
      </c>
      <c r="H925" s="56" t="n">
        <v>0</v>
      </c>
      <c r="I925" s="6" t="inlineStr">
        <is>
          <t>Pet Owner / Cộng đồng nuôi cún (10đ)</t>
        </is>
      </c>
      <c r="J925" s="56" t="n">
        <v>10</v>
      </c>
      <c r="K925" s="6" t="inlineStr">
        <is>
          <t>Chưa rõ giống (Cần quét Bio)</t>
        </is>
      </c>
      <c r="L925" s="56" t="n">
        <v>0</v>
      </c>
      <c r="M925" s="56" t="n">
        <v>0</v>
      </c>
      <c r="N925" s="6" t="inlineStr">
        <is>
          <t>Amazon link not found</t>
        </is>
      </c>
      <c r="O925" s="56">
        <f>IF(N925="Selling pet toys + Artificial grass/Pet toilets (TARGET)",15,IF(N925="Selling artificial grass/pet toilets (TARGET)",10,IF(N925="Selling pet toys",7,IF(N925="There's an Amazon link, but no target sales.",3,0))))</f>
        <v/>
      </c>
      <c r="P925" s="65">
        <f>H925+J925+L925+M925+O925</f>
        <v/>
      </c>
      <c r="Q925" s="71" t="inlineStr">
        <is>
          <t>Excluded: Công ty Gen DNA &amp; Thú y (Mục 5.4)</t>
        </is>
      </c>
      <c r="R925" s="6" t="inlineStr">
        <is>
          <t>Khay vệ sinh chung cư (Indoor Potty) + Thảm cỏ ban công (Grass Patch) + Đồ chơi</t>
        </is>
      </c>
      <c r="S925" s="6" t="inlineStr">
        <is>
          <t>Tuyệt đối không đưa vào CRM (Vi phạm Bộ lọc Âm tính Mục 5)</t>
        </is>
      </c>
    </row>
    <row r="926">
      <c r="A926" s="59" t="n">
        <v>2405</v>
      </c>
      <c r="B926" s="15" t="inlineStr">
        <is>
          <t>Patronato Protección Medio Ambiente y Animales</t>
        </is>
      </c>
      <c r="C926" s="60" t="inlineStr">
        <is>
          <t>https://www.facebook.com/papromaan</t>
        </is>
      </c>
      <c r="D926" s="9" t="inlineStr">
        <is>
          <t>Cần quét Bio Fanpage</t>
        </is>
      </c>
      <c r="E926" s="59" t="inlineStr">
        <is>
          <t>26/04/2023 02:57:57</t>
        </is>
      </c>
      <c r="F926" s="59" t="inlineStr">
        <is>
          <t>3 năm trước</t>
        </is>
      </c>
      <c r="G926" s="61" t="n">
        <v>1095</v>
      </c>
      <c r="H926" s="62" t="n">
        <v>0</v>
      </c>
      <c r="I926" s="9" t="inlineStr">
        <is>
          <t>Pet Owner / Cộng đồng nuôi cún (10đ)</t>
        </is>
      </c>
      <c r="J926" s="62" t="n">
        <v>10</v>
      </c>
      <c r="K926" s="9" t="inlineStr">
        <is>
          <t>Chưa rõ giống (Cần quét Bio)</t>
        </is>
      </c>
      <c r="L926" s="62" t="n">
        <v>0</v>
      </c>
      <c r="M926" s="62" t="n">
        <v>0</v>
      </c>
      <c r="N926" s="9" t="inlineStr">
        <is>
          <t>Amazon link not found</t>
        </is>
      </c>
      <c r="O926" s="62">
        <f>IF(N926="Selling pet toys + Artificial grass/Pet toilets (TARGET)",15,IF(N926="Selling artificial grass/pet toilets (TARGET)",10,IF(N926="Selling pet toys",7,IF(N926="There's an Amazon link, but no target sales.",3,0))))</f>
        <v/>
      </c>
      <c r="P926" s="67">
        <f>H926+J926+L926+M926+O926</f>
        <v/>
      </c>
      <c r="Q926" s="70" t="inlineStr">
        <is>
          <t>Excluded: Trang Chung / Không rõ Ngách Cún cưng</t>
        </is>
      </c>
      <c r="R926" s="9" t="inlineStr">
        <is>
          <t>Khay vệ sinh chung cư (Indoor Potty) + Thảm cỏ ban công (Grass Patch) + Đồ chơi</t>
        </is>
      </c>
      <c r="S926" s="9" t="inlineStr">
        <is>
          <t>Tuyệt đối không đưa vào CRM (Vi phạm Bộ lọc Âm tính Mục 5)</t>
        </is>
      </c>
    </row>
    <row r="927">
      <c r="A927" s="53" t="n">
        <v>997</v>
      </c>
      <c r="B927" s="12" t="inlineStr">
        <is>
          <t>Dan's Master Auto Care</t>
        </is>
      </c>
      <c r="C927" s="54" t="inlineStr">
        <is>
          <t>https://www.facebook.com/DansMasterAuto</t>
        </is>
      </c>
      <c r="D927" s="6" t="inlineStr">
        <is>
          <t>Cần quét Bio Fanpage</t>
        </is>
      </c>
      <c r="E927" s="53" t="inlineStr">
        <is>
          <t>23/04/2023 05:35:46</t>
        </is>
      </c>
      <c r="F927" s="53" t="inlineStr">
        <is>
          <t>3 năm trước</t>
        </is>
      </c>
      <c r="G927" s="55" t="n">
        <v>1095</v>
      </c>
      <c r="H927" s="56" t="n">
        <v>0</v>
      </c>
      <c r="I927" s="6" t="inlineStr">
        <is>
          <t>Pet Owner / Cộng đồng nuôi cún (10đ)</t>
        </is>
      </c>
      <c r="J927" s="56" t="n">
        <v>10</v>
      </c>
      <c r="K927" s="6" t="inlineStr">
        <is>
          <t>Chưa rõ giống (Cần quét Bio)</t>
        </is>
      </c>
      <c r="L927" s="56" t="n">
        <v>0</v>
      </c>
      <c r="M927" s="56" t="n">
        <v>0</v>
      </c>
      <c r="N927" s="6" t="inlineStr">
        <is>
          <t>Amazon link not found</t>
        </is>
      </c>
      <c r="O927" s="56">
        <f>IF(N927="Selling pet toys + Artificial grass/Pet toilets (TARGET)",15,IF(N927="Selling artificial grass/pet toilets (TARGET)",10,IF(N927="Selling pet toys",7,IF(N927="There's an Amazon link, but no target sales.",3,0))))</f>
        <v/>
      </c>
      <c r="P927" s="65">
        <f>H927+J927+L927+M927+O927</f>
        <v/>
      </c>
      <c r="Q927" s="71" t="inlineStr">
        <is>
          <t>Excluded: Trang Chung / Không rõ Ngách Cún cưng</t>
        </is>
      </c>
      <c r="R927" s="6" t="inlineStr">
        <is>
          <t>Khay vệ sinh chung cư (Indoor Potty) + Thảm cỏ ban công (Grass Patch) + Đồ chơi</t>
        </is>
      </c>
      <c r="S927" s="6" t="inlineStr">
        <is>
          <t>Tuyệt đối không đưa vào CRM (Vi phạm Bộ lọc Âm tính Mục 5)</t>
        </is>
      </c>
    </row>
    <row r="928">
      <c r="A928" s="59" t="n">
        <v>696</v>
      </c>
      <c r="B928" s="15" t="inlineStr">
        <is>
          <t>Bless the veterans</t>
        </is>
      </c>
      <c r="C928" s="60" t="inlineStr">
        <is>
          <t>https://www.facebook.com/profile.php?id=100069997883289</t>
        </is>
      </c>
      <c r="D928" s="9" t="inlineStr">
        <is>
          <t>Cần quét Bio Fanpage</t>
        </is>
      </c>
      <c r="E928" s="59" t="inlineStr">
        <is>
          <t>16/12/2022 03:42:36</t>
        </is>
      </c>
      <c r="F928" s="59" t="inlineStr">
        <is>
          <t>3 năm trước</t>
        </is>
      </c>
      <c r="G928" s="61" t="n">
        <v>1095</v>
      </c>
      <c r="H928" s="62" t="n">
        <v>0</v>
      </c>
      <c r="I928" s="9" t="inlineStr">
        <is>
          <t>Pet Owner / Cộng đồng nuôi cún (10đ)</t>
        </is>
      </c>
      <c r="J928" s="62" t="n">
        <v>10</v>
      </c>
      <c r="K928" s="9" t="inlineStr">
        <is>
          <t>Chưa rõ giống (Cần quét Bio)</t>
        </is>
      </c>
      <c r="L928" s="62" t="n">
        <v>0</v>
      </c>
      <c r="M928" s="62" t="n">
        <v>0</v>
      </c>
      <c r="N928" s="9" t="inlineStr">
        <is>
          <t>Amazon link not found</t>
        </is>
      </c>
      <c r="O928" s="62">
        <f>IF(N928="Selling pet toys + Artificial grass/Pet toilets (TARGET)",15,IF(N928="Selling artificial grass/pet toilets (TARGET)",10,IF(N928="Selling pet toys",7,IF(N928="There's an Amazon link, but no target sales.",3,0))))</f>
        <v/>
      </c>
      <c r="P928" s="67">
        <f>H928+J928+L928+M928+O928</f>
        <v/>
      </c>
      <c r="Q928" s="70" t="inlineStr">
        <is>
          <t>Excluded: Trang Chung / Không rõ Ngách Cún cưng</t>
        </is>
      </c>
      <c r="R928" s="9" t="inlineStr">
        <is>
          <t>Khay vệ sinh chung cư (Indoor Potty) + Thảm cỏ ban công (Grass Patch) + Đồ chơi</t>
        </is>
      </c>
      <c r="S928" s="9" t="inlineStr">
        <is>
          <t>Tuyệt đối không đưa vào CRM (Vi phạm Bộ lọc Âm tính Mục 5)</t>
        </is>
      </c>
    </row>
    <row r="929">
      <c r="A929" s="53" t="n">
        <v>491</v>
      </c>
      <c r="B929" s="12" t="inlineStr">
        <is>
          <t>Animals Are Angels</t>
        </is>
      </c>
      <c r="C929" s="54" t="inlineStr">
        <is>
          <t>https://www.facebook.com/NativeAmerican12</t>
        </is>
      </c>
      <c r="D929" s="6" t="inlineStr">
        <is>
          <t>Cần quét Bio Fanpage</t>
        </is>
      </c>
      <c r="E929" s="53" t="inlineStr">
        <is>
          <t>27/08/2022 17:31:50</t>
        </is>
      </c>
      <c r="F929" s="53" t="inlineStr">
        <is>
          <t>4 năm trước</t>
        </is>
      </c>
      <c r="G929" s="55" t="n">
        <v>1460</v>
      </c>
      <c r="H929" s="56" t="n">
        <v>0</v>
      </c>
      <c r="I929" s="6" t="inlineStr">
        <is>
          <t>Pet Owner / Cộng đồng nuôi cún (10đ)</t>
        </is>
      </c>
      <c r="J929" s="56" t="n">
        <v>10</v>
      </c>
      <c r="K929" s="6" t="inlineStr">
        <is>
          <t>Chưa rõ giống (Cần quét Bio)</t>
        </is>
      </c>
      <c r="L929" s="56" t="n">
        <v>0</v>
      </c>
      <c r="M929" s="56" t="n">
        <v>0</v>
      </c>
      <c r="N929" s="6" t="inlineStr">
        <is>
          <t>Amazon link not found</t>
        </is>
      </c>
      <c r="O929" s="56">
        <f>IF(N929="Selling pet toys + Artificial grass/Pet toilets (TARGET)",15,IF(N929="Selling artificial grass/pet toilets (TARGET)",10,IF(N929="Selling pet toys",7,IF(N929="There's an Amazon link, but no target sales.",3,0))))</f>
        <v/>
      </c>
      <c r="P929" s="65">
        <f>H929+J929+L929+M929+O929</f>
        <v/>
      </c>
      <c r="Q929" s="71" t="inlineStr">
        <is>
          <t>Excluded: Trang Chung / Không rõ Ngách Cún cưng</t>
        </is>
      </c>
      <c r="R929" s="6" t="inlineStr">
        <is>
          <t>Khay vệ sinh chung cư (Indoor Potty) + Thảm cỏ ban công (Grass Patch) + Đồ chơi</t>
        </is>
      </c>
      <c r="S929" s="6" t="inlineStr">
        <is>
          <t>Tuyệt đối không đưa vào CRM (Vi phạm Bộ lọc Âm tính Mục 5)</t>
        </is>
      </c>
    </row>
    <row r="930">
      <c r="A930" s="59" t="n">
        <v>920</v>
      </c>
      <c r="B930" s="15" t="inlineStr">
        <is>
          <t>Clínicas Veterinarias Solares y Villanueva</t>
        </is>
      </c>
      <c r="C930" s="60" t="inlineStr">
        <is>
          <t>https://www.facebook.com/clinicasveterinariassolaresyvillanueva</t>
        </is>
      </c>
      <c r="D930" s="9" t="inlineStr">
        <is>
          <t>Cần quét Bio Fanpage</t>
        </is>
      </c>
      <c r="E930" s="59" t="inlineStr">
        <is>
          <t>12/08/2022 16:49:30</t>
        </is>
      </c>
      <c r="F930" s="59" t="inlineStr">
        <is>
          <t>4 năm trước</t>
        </is>
      </c>
      <c r="G930" s="61" t="n">
        <v>1460</v>
      </c>
      <c r="H930" s="62" t="n">
        <v>0</v>
      </c>
      <c r="I930" s="9" t="inlineStr">
        <is>
          <t>Pet Owner / Cộng đồng nuôi cún (10đ)</t>
        </is>
      </c>
      <c r="J930" s="62" t="n">
        <v>10</v>
      </c>
      <c r="K930" s="9" t="inlineStr">
        <is>
          <t>Chưa rõ giống (Cần quét Bio)</t>
        </is>
      </c>
      <c r="L930" s="62" t="n">
        <v>0</v>
      </c>
      <c r="M930" s="62" t="n">
        <v>0</v>
      </c>
      <c r="N930" s="9" t="inlineStr">
        <is>
          <t>Amazon link not found</t>
        </is>
      </c>
      <c r="O930" s="62">
        <f>IF(N930="Selling pet toys + Artificial grass/Pet toilets (TARGET)",15,IF(N930="Selling artificial grass/pet toilets (TARGET)",10,IF(N930="Selling pet toys",7,IF(N930="There's an Amazon link, but no target sales.",3,0))))</f>
        <v/>
      </c>
      <c r="P930" s="67">
        <f>H930+J930+L930+M930+O930</f>
        <v/>
      </c>
      <c r="Q930" s="70" t="inlineStr">
        <is>
          <t>Excluded: Công ty Gen DNA &amp; Thú y (Mục 5.4)</t>
        </is>
      </c>
      <c r="R930" s="9" t="inlineStr">
        <is>
          <t>Khay vệ sinh chung cư (Indoor Potty) + Thảm cỏ ban công (Grass Patch) + Đồ chơi</t>
        </is>
      </c>
      <c r="S930" s="9" t="inlineStr">
        <is>
          <t>Tuyệt đối không đưa vào CRM (Vi phạm Bộ lọc Âm tính Mục 5)</t>
        </is>
      </c>
    </row>
    <row r="931">
      <c r="A931" s="53" t="n">
        <v>2671</v>
      </c>
      <c r="B931" s="12" t="inlineStr">
        <is>
          <t>Purina Pro Plan Veterinary Diets</t>
        </is>
      </c>
      <c r="C931" s="54" t="inlineStr">
        <is>
          <t>https://www.facebook.com/PurinaVeterinaryExchange</t>
        </is>
      </c>
      <c r="D931" s="6" t="inlineStr">
        <is>
          <t>Cần quét Bio Fanpage</t>
        </is>
      </c>
      <c r="E931" s="53" t="inlineStr">
        <is>
          <t>02/08/2022 03:26:06</t>
        </is>
      </c>
      <c r="F931" s="53" t="inlineStr">
        <is>
          <t>4 năm trước</t>
        </is>
      </c>
      <c r="G931" s="55" t="n">
        <v>1460</v>
      </c>
      <c r="H931" s="56" t="n">
        <v>0</v>
      </c>
      <c r="I931" s="6" t="inlineStr">
        <is>
          <t>Pet Owner / Cộng đồng nuôi cún (10đ)</t>
        </is>
      </c>
      <c r="J931" s="56" t="n">
        <v>10</v>
      </c>
      <c r="K931" s="6" t="inlineStr">
        <is>
          <t>Chưa rõ giống (Cần quét Bio)</t>
        </is>
      </c>
      <c r="L931" s="56" t="n">
        <v>0</v>
      </c>
      <c r="M931" s="56" t="n">
        <v>0</v>
      </c>
      <c r="N931" s="6" t="inlineStr">
        <is>
          <t>Amazon link not found</t>
        </is>
      </c>
      <c r="O931" s="56">
        <f>IF(N931="Selling pet toys + Artificial grass/Pet toilets (TARGET)",15,IF(N931="Selling artificial grass/pet toilets (TARGET)",10,IF(N931="Selling pet toys",7,IF(N931="There's an Amazon link, but no target sales.",3,0))))</f>
        <v/>
      </c>
      <c r="P931" s="65">
        <f>H931+J931+L931+M931+O931</f>
        <v/>
      </c>
      <c r="Q931" s="71" t="inlineStr">
        <is>
          <t>Excluded: Công ty Gen DNA &amp; Thú y (Mục 5.4)</t>
        </is>
      </c>
      <c r="R931" s="6" t="inlineStr">
        <is>
          <t>Khay vệ sinh chung cư (Indoor Potty) + Thảm cỏ ban công (Grass Patch) + Đồ chơi</t>
        </is>
      </c>
      <c r="S931" s="6" t="inlineStr">
        <is>
          <t>Tuyệt đối không đưa vào CRM (Vi phạm Bộ lọc Âm tính Mục 5)</t>
        </is>
      </c>
    </row>
    <row r="932">
      <c r="A932" s="59" t="n">
        <v>919</v>
      </c>
      <c r="B932" s="15" t="inlineStr">
        <is>
          <t>Clínica veterinária Dr. Tacio Simões Iembo</t>
        </is>
      </c>
      <c r="C932" s="60" t="inlineStr">
        <is>
          <t>https://www.facebook.com/drtacio</t>
        </is>
      </c>
      <c r="D932" s="9" t="inlineStr">
        <is>
          <t>Cần quét Bio Fanpage</t>
        </is>
      </c>
      <c r="E932" s="59" t="inlineStr">
        <is>
          <t>04/07/2022 19:12:20</t>
        </is>
      </c>
      <c r="F932" s="59" t="inlineStr">
        <is>
          <t>4 năm trước</t>
        </is>
      </c>
      <c r="G932" s="61" t="n">
        <v>1460</v>
      </c>
      <c r="H932" s="62" t="n">
        <v>0</v>
      </c>
      <c r="I932" s="9" t="inlineStr">
        <is>
          <t>Pet Owner / Cộng đồng nuôi cún (10đ)</t>
        </is>
      </c>
      <c r="J932" s="62" t="n">
        <v>10</v>
      </c>
      <c r="K932" s="9" t="inlineStr">
        <is>
          <t>Chưa rõ giống (Cần quét Bio)</t>
        </is>
      </c>
      <c r="L932" s="62" t="n">
        <v>0</v>
      </c>
      <c r="M932" s="62" t="n">
        <v>0</v>
      </c>
      <c r="N932" s="9" t="inlineStr">
        <is>
          <t>Amazon link not found</t>
        </is>
      </c>
      <c r="O932" s="62">
        <f>IF(N932="Selling pet toys + Artificial grass/Pet toilets (TARGET)",15,IF(N932="Selling artificial grass/pet toilets (TARGET)",10,IF(N932="Selling pet toys",7,IF(N932="There's an Amazon link, but no target sales.",3,0))))</f>
        <v/>
      </c>
      <c r="P932" s="67">
        <f>H932+J932+L932+M932+O932</f>
        <v/>
      </c>
      <c r="Q932" s="70" t="inlineStr">
        <is>
          <t>Excluded: Trang Chung / Không rõ Ngách Cún cưng</t>
        </is>
      </c>
      <c r="R932" s="9" t="inlineStr">
        <is>
          <t>Khay vệ sinh chung cư (Indoor Potty) + Thảm cỏ ban công (Grass Patch) + Đồ chơi</t>
        </is>
      </c>
      <c r="S932" s="9" t="inlineStr">
        <is>
          <t>Tuyệt đối không đưa vào CRM (Vi phạm Bộ lọc Âm tính Mục 5)</t>
        </is>
      </c>
    </row>
    <row r="933">
      <c r="A933" s="53" t="n">
        <v>2721</v>
      </c>
      <c r="B933" s="12" t="inlineStr">
        <is>
          <t>Regenvet</t>
        </is>
      </c>
      <c r="C933" s="54" t="inlineStr">
        <is>
          <t>https://www.facebook.com/Regenvet</t>
        </is>
      </c>
      <c r="D933" s="6" t="inlineStr">
        <is>
          <t>Cần quét Bio Fanpage</t>
        </is>
      </c>
      <c r="E933" s="53" t="inlineStr">
        <is>
          <t>05/06/2022 16:33:52</t>
        </is>
      </c>
      <c r="F933" s="53" t="inlineStr">
        <is>
          <t>4 năm trước</t>
        </is>
      </c>
      <c r="G933" s="55" t="n">
        <v>1460</v>
      </c>
      <c r="H933" s="56" t="n">
        <v>0</v>
      </c>
      <c r="I933" s="6" t="inlineStr">
        <is>
          <t>Pet Owner / Cộng đồng nuôi cún (10đ)</t>
        </is>
      </c>
      <c r="J933" s="56" t="n">
        <v>10</v>
      </c>
      <c r="K933" s="6" t="inlineStr">
        <is>
          <t>Chưa rõ giống (Cần quét Bio)</t>
        </is>
      </c>
      <c r="L933" s="56" t="n">
        <v>0</v>
      </c>
      <c r="M933" s="56" t="n">
        <v>0</v>
      </c>
      <c r="N933" s="6" t="inlineStr">
        <is>
          <t>Amazon link not found</t>
        </is>
      </c>
      <c r="O933" s="56">
        <f>IF(N933="Selling pet toys + Artificial grass/Pet toilets (TARGET)",15,IF(N933="Selling artificial grass/pet toilets (TARGET)",10,IF(N933="Selling pet toys",7,IF(N933="There's an Amazon link, but no target sales.",3,0))))</f>
        <v/>
      </c>
      <c r="P933" s="65">
        <f>H933+J933+L933+M933+O933</f>
        <v/>
      </c>
      <c r="Q933" s="71" t="inlineStr">
        <is>
          <t>Excluded: Trang Chung / Không rõ Ngách Cún cưng</t>
        </is>
      </c>
      <c r="R933" s="6" t="inlineStr">
        <is>
          <t>Khay vệ sinh chung cư (Indoor Potty) + Thảm cỏ ban công (Grass Patch) + Đồ chơi</t>
        </is>
      </c>
      <c r="S933" s="6" t="inlineStr">
        <is>
          <t>Tuyệt đối không đưa vào CRM (Vi phạm Bộ lọc Âm tính Mục 5)</t>
        </is>
      </c>
    </row>
    <row r="934">
      <c r="A934" s="59" t="n">
        <v>1539</v>
      </c>
      <c r="B934" s="15" t="inlineStr">
        <is>
          <t>Grafika dla zwierzaka - Graphic for Animal</t>
        </is>
      </c>
      <c r="C934" s="60" t="inlineStr">
        <is>
          <t>https://www.facebook.com/grafikadlazwierzaka</t>
        </is>
      </c>
      <c r="D934" s="9" t="inlineStr">
        <is>
          <t>Cần quét Bio Fanpage</t>
        </is>
      </c>
      <c r="E934" s="59" t="inlineStr">
        <is>
          <t>07/04/2022 02:54:10</t>
        </is>
      </c>
      <c r="F934" s="59" t="inlineStr">
        <is>
          <t>4 năm trước</t>
        </is>
      </c>
      <c r="G934" s="61" t="n">
        <v>1460</v>
      </c>
      <c r="H934" s="62" t="n">
        <v>0</v>
      </c>
      <c r="I934" s="9" t="inlineStr">
        <is>
          <t>Pet Owner / Cộng đồng nuôi cún (10đ)</t>
        </is>
      </c>
      <c r="J934" s="62" t="n">
        <v>10</v>
      </c>
      <c r="K934" s="9" t="inlineStr">
        <is>
          <t>Chưa rõ giống (Cần quét Bio)</t>
        </is>
      </c>
      <c r="L934" s="62" t="n">
        <v>0</v>
      </c>
      <c r="M934" s="62" t="n">
        <v>0</v>
      </c>
      <c r="N934" s="9" t="inlineStr">
        <is>
          <t>Amazon link not found</t>
        </is>
      </c>
      <c r="O934" s="62">
        <f>IF(N934="Selling pet toys + Artificial grass/Pet toilets (TARGET)",15,IF(N934="Selling artificial grass/pet toilets (TARGET)",10,IF(N934="Selling pet toys",7,IF(N934="There's an Amazon link, but no target sales.",3,0))))</f>
        <v/>
      </c>
      <c r="P934" s="67">
        <f>H934+J934+L934+M934+O934</f>
        <v/>
      </c>
      <c r="Q934" s="70" t="inlineStr">
        <is>
          <t>Excluded: Trang Chung / Không rõ Ngách Cún cưng</t>
        </is>
      </c>
      <c r="R934" s="9" t="inlineStr">
        <is>
          <t>Khay vệ sinh chung cư (Indoor Potty) + Thảm cỏ ban công (Grass Patch) + Đồ chơi</t>
        </is>
      </c>
      <c r="S934" s="9" t="inlineStr">
        <is>
          <t>Tuyệt đối không đưa vào CRM (Vi phạm Bộ lọc Âm tính Mục 5)</t>
        </is>
      </c>
    </row>
    <row r="935">
      <c r="A935" s="53" t="n">
        <v>3310</v>
      </c>
      <c r="B935" s="12" t="inlineStr">
        <is>
          <t>Veterinaria Bichos</t>
        </is>
      </c>
      <c r="C935" s="54" t="inlineStr">
        <is>
          <t>https://www.facebook.com/profile.php?id=100063602105636</t>
        </is>
      </c>
      <c r="D935" s="6" t="inlineStr">
        <is>
          <t>Cần quét Bio Fanpage</t>
        </is>
      </c>
      <c r="E935" s="53" t="inlineStr">
        <is>
          <t>18/01/2022 04:32:45</t>
        </is>
      </c>
      <c r="F935" s="53" t="inlineStr">
        <is>
          <t>4 năm trước</t>
        </is>
      </c>
      <c r="G935" s="55" t="n">
        <v>1460</v>
      </c>
      <c r="H935" s="56" t="n">
        <v>0</v>
      </c>
      <c r="I935" s="6" t="inlineStr">
        <is>
          <t>Pet Owner / Cộng đồng nuôi cún (10đ)</t>
        </is>
      </c>
      <c r="J935" s="56" t="n">
        <v>10</v>
      </c>
      <c r="K935" s="6" t="inlineStr">
        <is>
          <t>Chưa rõ giống (Cần quét Bio)</t>
        </is>
      </c>
      <c r="L935" s="56" t="n">
        <v>0</v>
      </c>
      <c r="M935" s="56" t="n">
        <v>0</v>
      </c>
      <c r="N935" s="6" t="inlineStr">
        <is>
          <t>Amazon link not found</t>
        </is>
      </c>
      <c r="O935" s="56">
        <f>IF(N935="Selling pet toys + Artificial grass/Pet toilets (TARGET)",15,IF(N935="Selling artificial grass/pet toilets (TARGET)",10,IF(N935="Selling pet toys",7,IF(N935="There's an Amazon link, but no target sales.",3,0))))</f>
        <v/>
      </c>
      <c r="P935" s="65">
        <f>H935+J935+L935+M935+O935</f>
        <v/>
      </c>
      <c r="Q935" s="71" t="inlineStr">
        <is>
          <t>Excluded: Công ty Gen DNA &amp; Thú y (Mục 5.4)</t>
        </is>
      </c>
      <c r="R935" s="6" t="inlineStr">
        <is>
          <t>Khay vệ sinh chung cư (Indoor Potty) + Thảm cỏ ban công (Grass Patch) + Đồ chơi</t>
        </is>
      </c>
      <c r="S935" s="6" t="inlineStr">
        <is>
          <t>Tuyệt đối không đưa vào CRM (Vi phạm Bộ lọc Âm tính Mục 5)</t>
        </is>
      </c>
    </row>
    <row r="936">
      <c r="A936" s="59" t="n">
        <v>321</v>
      </c>
      <c r="B936" s="15" t="inlineStr">
        <is>
          <t>AArgTPA</t>
        </is>
      </c>
      <c r="C936" s="60" t="inlineStr">
        <is>
          <t>https://www.facebook.com/AArgTPA</t>
        </is>
      </c>
      <c r="D936" s="9" t="inlineStr">
        <is>
          <t>Cần quét Bio Fanpage</t>
        </is>
      </c>
      <c r="E936" s="59" t="inlineStr">
        <is>
          <t>25/12/2021 07:20:59</t>
        </is>
      </c>
      <c r="F936" s="59" t="inlineStr">
        <is>
          <t>4 năm trước</t>
        </is>
      </c>
      <c r="G936" s="61" t="n">
        <v>1460</v>
      </c>
      <c r="H936" s="62" t="n">
        <v>0</v>
      </c>
      <c r="I936" s="9" t="inlineStr">
        <is>
          <t>Pet Owner / Cộng đồng nuôi cún (10đ)</t>
        </is>
      </c>
      <c r="J936" s="62" t="n">
        <v>10</v>
      </c>
      <c r="K936" s="9" t="inlineStr">
        <is>
          <t>Chưa rõ giống (Cần quét Bio)</t>
        </is>
      </c>
      <c r="L936" s="62" t="n">
        <v>0</v>
      </c>
      <c r="M936" s="62" t="n">
        <v>0</v>
      </c>
      <c r="N936" s="9" t="inlineStr">
        <is>
          <t>Amazon link not found</t>
        </is>
      </c>
      <c r="O936" s="62">
        <f>IF(N936="Selling pet toys + Artificial grass/Pet toilets (TARGET)",15,IF(N936="Selling artificial grass/pet toilets (TARGET)",10,IF(N936="Selling pet toys",7,IF(N936="There's an Amazon link, but no target sales.",3,0))))</f>
        <v/>
      </c>
      <c r="P936" s="67">
        <f>H936+J936+L936+M936+O936</f>
        <v/>
      </c>
      <c r="Q936" s="70" t="inlineStr">
        <is>
          <t>Excluded: Trang Chung / Không rõ Ngách Cún cưng</t>
        </is>
      </c>
      <c r="R936" s="9" t="inlineStr">
        <is>
          <t>Khay vệ sinh chung cư (Indoor Potty) + Thảm cỏ ban công (Grass Patch) + Đồ chơi</t>
        </is>
      </c>
      <c r="S936" s="9" t="inlineStr">
        <is>
          <t>Tuyệt đối không đưa vào CRM (Vi phạm Bộ lọc Âm tính Mục 5)</t>
        </is>
      </c>
    </row>
    <row r="937">
      <c r="A937" s="53" t="n">
        <v>3035</v>
      </c>
      <c r="B937" s="12" t="inlineStr">
        <is>
          <t>Svetlana Novikova</t>
        </is>
      </c>
      <c r="C937" s="54" t="inlineStr">
        <is>
          <t>https://www.facebook.com/villagecoon</t>
        </is>
      </c>
      <c r="D937" s="6" t="inlineStr">
        <is>
          <t>Cần quét Bio Fanpage</t>
        </is>
      </c>
      <c r="E937" s="53" t="inlineStr">
        <is>
          <t>26/11/2021 06:27:48</t>
        </is>
      </c>
      <c r="F937" s="53" t="inlineStr">
        <is>
          <t>4 năm trước</t>
        </is>
      </c>
      <c r="G937" s="55" t="n">
        <v>1460</v>
      </c>
      <c r="H937" s="56" t="n">
        <v>0</v>
      </c>
      <c r="I937" s="6" t="inlineStr">
        <is>
          <t>Pet Owner / Cộng đồng nuôi cún (10đ)</t>
        </is>
      </c>
      <c r="J937" s="56" t="n">
        <v>10</v>
      </c>
      <c r="K937" s="6" t="inlineStr">
        <is>
          <t>Chưa rõ giống (Cần quét Bio)</t>
        </is>
      </c>
      <c r="L937" s="56" t="n">
        <v>0</v>
      </c>
      <c r="M937" s="56" t="n">
        <v>0</v>
      </c>
      <c r="N937" s="6" t="inlineStr">
        <is>
          <t>Amazon link not found</t>
        </is>
      </c>
      <c r="O937" s="56">
        <f>IF(N937="Selling pet toys + Artificial grass/Pet toilets (TARGET)",15,IF(N937="Selling artificial grass/pet toilets (TARGET)",10,IF(N937="Selling pet toys",7,IF(N937="There's an Amazon link, but no target sales.",3,0))))</f>
        <v/>
      </c>
      <c r="P937" s="65">
        <f>H937+J937+L937+M937+O937</f>
        <v/>
      </c>
      <c r="Q937" s="71" t="inlineStr">
        <is>
          <t>Excluded: Trang Chung / Không rõ Ngách Cún cưng</t>
        </is>
      </c>
      <c r="R937" s="6" t="inlineStr">
        <is>
          <t>Khay vệ sinh chung cư (Indoor Potty) + Thảm cỏ ban công (Grass Patch) + Đồ chơi</t>
        </is>
      </c>
      <c r="S937" s="6" t="inlineStr">
        <is>
          <t>Tuyệt đối không đưa vào CRM (Vi phạm Bộ lọc Âm tính Mục 5)</t>
        </is>
      </c>
    </row>
    <row r="938">
      <c r="A938" s="59" t="n">
        <v>1309</v>
      </c>
      <c r="B938" s="15" t="inlineStr">
        <is>
          <t>Eye Care for Animals</t>
        </is>
      </c>
      <c r="C938" s="60" t="inlineStr">
        <is>
          <t>https://www.facebook.com/EyeCareforAnimals</t>
        </is>
      </c>
      <c r="D938" s="9" t="inlineStr">
        <is>
          <t>Cần quét Bio Fanpage</t>
        </is>
      </c>
      <c r="E938" s="59" t="inlineStr">
        <is>
          <t>18/10/2021 21:18:40</t>
        </is>
      </c>
      <c r="F938" s="59" t="inlineStr">
        <is>
          <t>4 năm trước</t>
        </is>
      </c>
      <c r="G938" s="61" t="n">
        <v>1460</v>
      </c>
      <c r="H938" s="62" t="n">
        <v>0</v>
      </c>
      <c r="I938" s="9" t="inlineStr">
        <is>
          <t>Pet Owner / Cộng đồng nuôi cún (10đ)</t>
        </is>
      </c>
      <c r="J938" s="62" t="n">
        <v>10</v>
      </c>
      <c r="K938" s="9" t="inlineStr">
        <is>
          <t>Chưa rõ giống (Cần quét Bio)</t>
        </is>
      </c>
      <c r="L938" s="62" t="n">
        <v>0</v>
      </c>
      <c r="M938" s="62" t="n">
        <v>0</v>
      </c>
      <c r="N938" s="9" t="inlineStr">
        <is>
          <t>Amazon link not found</t>
        </is>
      </c>
      <c r="O938" s="62">
        <f>IF(N938="Selling pet toys + Artificial grass/Pet toilets (TARGET)",15,IF(N938="Selling artificial grass/pet toilets (TARGET)",10,IF(N938="Selling pet toys",7,IF(N938="There's an Amazon link, but no target sales.",3,0))))</f>
        <v/>
      </c>
      <c r="P938" s="67">
        <f>H938+J938+L938+M938+O938</f>
        <v/>
      </c>
      <c r="Q938" s="70" t="inlineStr">
        <is>
          <t>Excluded: Trang Chung / Không rõ Ngách Cún cưng</t>
        </is>
      </c>
      <c r="R938" s="9" t="inlineStr">
        <is>
          <t>Khay vệ sinh chung cư (Indoor Potty) + Thảm cỏ ban công (Grass Patch) + Đồ chơi</t>
        </is>
      </c>
      <c r="S938" s="9" t="inlineStr">
        <is>
          <t>Tuyệt đối không đưa vào CRM (Vi phạm Bộ lọc Âm tính Mục 5)</t>
        </is>
      </c>
    </row>
    <row r="939">
      <c r="A939" s="53" t="n">
        <v>502</v>
      </c>
      <c r="B939" s="12" t="inlineStr">
        <is>
          <t>Anthem Farmers Market</t>
        </is>
      </c>
      <c r="C939" s="54" t="inlineStr">
        <is>
          <t>https://www.facebook.com/AnthemFarmersMarket</t>
        </is>
      </c>
      <c r="D939" s="6" t="inlineStr">
        <is>
          <t>Cần quét Bio Fanpage</t>
        </is>
      </c>
      <c r="E939" s="53" t="inlineStr">
        <is>
          <t>11/05/2021 22:52:32</t>
        </is>
      </c>
      <c r="F939" s="53" t="inlineStr">
        <is>
          <t>5 năm trước</t>
        </is>
      </c>
      <c r="G939" s="55" t="n">
        <v>1825</v>
      </c>
      <c r="H939" s="56" t="n">
        <v>0</v>
      </c>
      <c r="I939" s="6" t="inlineStr">
        <is>
          <t>Pet Owner / Cộng đồng nuôi cún (10đ)</t>
        </is>
      </c>
      <c r="J939" s="56" t="n">
        <v>10</v>
      </c>
      <c r="K939" s="6" t="inlineStr">
        <is>
          <t>Chưa rõ giống (Cần quét Bio)</t>
        </is>
      </c>
      <c r="L939" s="56" t="n">
        <v>0</v>
      </c>
      <c r="M939" s="56" t="n">
        <v>0</v>
      </c>
      <c r="N939" s="6" t="inlineStr">
        <is>
          <t>Amazon link not found</t>
        </is>
      </c>
      <c r="O939" s="56">
        <f>IF(N939="Selling pet toys + Artificial grass/Pet toilets (TARGET)",15,IF(N939="Selling artificial grass/pet toilets (TARGET)",10,IF(N939="Selling pet toys",7,IF(N939="There's an Amazon link, but no target sales.",3,0))))</f>
        <v/>
      </c>
      <c r="P939" s="65">
        <f>H939+J939+L939+M939+O939</f>
        <v/>
      </c>
      <c r="Q939" s="71" t="inlineStr">
        <is>
          <t>Excluded: Ngành nghề Khác (Phi Cún cưng)</t>
        </is>
      </c>
      <c r="R939" s="6" t="inlineStr">
        <is>
          <t>Khay vệ sinh chung cư (Indoor Potty) + Thảm cỏ ban công (Grass Patch) + Đồ chơi</t>
        </is>
      </c>
      <c r="S939" s="6" t="inlineStr">
        <is>
          <t>Tuyệt đối không đưa vào CRM (Vi phạm Bộ lọc Âm tính Mục 5)</t>
        </is>
      </c>
    </row>
    <row r="940">
      <c r="A940" s="59" t="n">
        <v>875</v>
      </c>
      <c r="B940" s="15" t="inlineStr">
        <is>
          <t>Centro Veterinario Lungonera - Veterinario Terni</t>
        </is>
      </c>
      <c r="C940" s="60" t="inlineStr">
        <is>
          <t>https://www.facebook.com/lungoneraveterinarioterni</t>
        </is>
      </c>
      <c r="D940" s="9" t="inlineStr">
        <is>
          <t>Cần quét Bio Fanpage</t>
        </is>
      </c>
      <c r="E940" s="59" t="inlineStr">
        <is>
          <t>07/05/2021 17:13:20</t>
        </is>
      </c>
      <c r="F940" s="59" t="inlineStr">
        <is>
          <t>5 năm trước</t>
        </is>
      </c>
      <c r="G940" s="61" t="n">
        <v>1825</v>
      </c>
      <c r="H940" s="62" t="n">
        <v>0</v>
      </c>
      <c r="I940" s="9" t="inlineStr">
        <is>
          <t>Pet Owner / Cộng đồng nuôi cún (10đ)</t>
        </is>
      </c>
      <c r="J940" s="62" t="n">
        <v>10</v>
      </c>
      <c r="K940" s="9" t="inlineStr">
        <is>
          <t>Chưa rõ giống (Cần quét Bio)</t>
        </is>
      </c>
      <c r="L940" s="62" t="n">
        <v>0</v>
      </c>
      <c r="M940" s="62" t="n">
        <v>0</v>
      </c>
      <c r="N940" s="9" t="inlineStr">
        <is>
          <t>Amazon link not found</t>
        </is>
      </c>
      <c r="O940" s="62">
        <f>IF(N940="Selling pet toys + Artificial grass/Pet toilets (TARGET)",15,IF(N940="Selling artificial grass/pet toilets (TARGET)",10,IF(N940="Selling pet toys",7,IF(N940="There's an Amazon link, but no target sales.",3,0))))</f>
        <v/>
      </c>
      <c r="P940" s="67">
        <f>H940+J940+L940+M940+O940</f>
        <v/>
      </c>
      <c r="Q940" s="70" t="inlineStr">
        <is>
          <t>Excluded: Công ty Gen DNA &amp; Thú y (Mục 5.4)</t>
        </is>
      </c>
      <c r="R940" s="9" t="inlineStr">
        <is>
          <t>Khay vệ sinh chung cư (Indoor Potty) + Thảm cỏ ban công (Grass Patch) + Đồ chơi</t>
        </is>
      </c>
      <c r="S940" s="9" t="inlineStr">
        <is>
          <t>Tuyệt đối không đưa vào CRM (Vi phạm Bộ lọc Âm tính Mục 5)</t>
        </is>
      </c>
    </row>
    <row r="941">
      <c r="A941" s="53" t="n">
        <v>492</v>
      </c>
      <c r="B941" s="12" t="inlineStr">
        <is>
          <t>Animals First</t>
        </is>
      </c>
      <c r="C941" s="54" t="inlineStr">
        <is>
          <t>https://www.facebook.com/animalsfirst</t>
        </is>
      </c>
      <c r="D941" s="6" t="inlineStr">
        <is>
          <t>Cần quét Bio Fanpage</t>
        </is>
      </c>
      <c r="E941" s="53" t="inlineStr">
        <is>
          <t>05/03/2021 16:38:15</t>
        </is>
      </c>
      <c r="F941" s="53" t="inlineStr">
        <is>
          <t>5 năm trước</t>
        </is>
      </c>
      <c r="G941" s="55" t="n">
        <v>1825</v>
      </c>
      <c r="H941" s="56" t="n">
        <v>0</v>
      </c>
      <c r="I941" s="6" t="inlineStr">
        <is>
          <t>Pet Owner / Cộng đồng nuôi cún (10đ)</t>
        </is>
      </c>
      <c r="J941" s="56" t="n">
        <v>10</v>
      </c>
      <c r="K941" s="6" t="inlineStr">
        <is>
          <t>Chưa rõ giống (Cần quét Bio)</t>
        </is>
      </c>
      <c r="L941" s="56" t="n">
        <v>0</v>
      </c>
      <c r="M941" s="56" t="n">
        <v>0</v>
      </c>
      <c r="N941" s="6" t="inlineStr">
        <is>
          <t>Amazon link not found</t>
        </is>
      </c>
      <c r="O941" s="56">
        <f>IF(N941="Selling pet toys + Artificial grass/Pet toilets (TARGET)",15,IF(N941="Selling artificial grass/pet toilets (TARGET)",10,IF(N941="Selling pet toys",7,IF(N941="There's an Amazon link, but no target sales.",3,0))))</f>
        <v/>
      </c>
      <c r="P941" s="65">
        <f>H941+J941+L941+M941+O941</f>
        <v/>
      </c>
      <c r="Q941" s="71" t="inlineStr">
        <is>
          <t>Excluded: Trang Chung / Không rõ Ngách Cún cưng</t>
        </is>
      </c>
      <c r="R941" s="6" t="inlineStr">
        <is>
          <t>Khay vệ sinh chung cư (Indoor Potty) + Thảm cỏ ban công (Grass Patch) + Đồ chơi</t>
        </is>
      </c>
      <c r="S941" s="6" t="inlineStr">
        <is>
          <t>Tuyệt đối không đưa vào CRM (Vi phạm Bộ lọc Âm tính Mục 5)</t>
        </is>
      </c>
    </row>
    <row r="942">
      <c r="A942" s="59" t="n">
        <v>1882</v>
      </c>
      <c r="B942" s="15" t="inlineStr">
        <is>
          <t>Facebook User</t>
        </is>
      </c>
      <c r="C942" s="60" t="inlineStr">
        <is>
          <t>https://www.facebook.com/profile.php?id=100063543731123</t>
        </is>
      </c>
      <c r="D942" s="9" t="inlineStr">
        <is>
          <t>Cần quét Bio Fanpage</t>
        </is>
      </c>
      <c r="E942" s="59" t="inlineStr">
        <is>
          <t>24/01/2020 07:03:28</t>
        </is>
      </c>
      <c r="F942" s="59" t="inlineStr">
        <is>
          <t>6 năm trước</t>
        </is>
      </c>
      <c r="G942" s="61" t="n">
        <v>2190</v>
      </c>
      <c r="H942" s="62" t="n">
        <v>0</v>
      </c>
      <c r="I942" s="9" t="inlineStr">
        <is>
          <t>Pet Owner / Cộng đồng nuôi cún (10đ)</t>
        </is>
      </c>
      <c r="J942" s="62" t="n">
        <v>10</v>
      </c>
      <c r="K942" s="9" t="inlineStr">
        <is>
          <t>Chưa rõ giống (Cần quét Bio)</t>
        </is>
      </c>
      <c r="L942" s="62" t="n">
        <v>0</v>
      </c>
      <c r="M942" s="62" t="n">
        <v>0</v>
      </c>
      <c r="N942" s="9" t="inlineStr">
        <is>
          <t>Amazon link not found</t>
        </is>
      </c>
      <c r="O942" s="62">
        <f>IF(N942="Selling pet toys + Artificial grass/Pet toilets (TARGET)",15,IF(N942="Selling artificial grass/pet toilets (TARGET)",10,IF(N942="Selling pet toys",7,IF(N942="There's an Amazon link, but no target sales.",3,0))))</f>
        <v/>
      </c>
      <c r="P942" s="67">
        <f>H942+J942+L942+M942+O942</f>
        <v/>
      </c>
      <c r="Q942" s="70" t="inlineStr">
        <is>
          <t>Excluded: Hồ sơ Ẩn danh (Facebook User)</t>
        </is>
      </c>
      <c r="R942" s="9" t="inlineStr">
        <is>
          <t>Khay vệ sinh chung cư (Indoor Potty) + Thảm cỏ ban công (Grass Patch) + Đồ chơi</t>
        </is>
      </c>
      <c r="S942" s="9" t="inlineStr">
        <is>
          <t>Tuyệt đối không đưa vào CRM (Vi phạm Bộ lọc Âm tính Mục 5)</t>
        </is>
      </c>
    </row>
    <row r="943">
      <c r="A943" s="53" t="n">
        <v>1477</v>
      </c>
      <c r="B943" s="12" t="inlineStr">
        <is>
          <t>Funny animals</t>
        </is>
      </c>
      <c r="C943" s="54" t="inlineStr">
        <is>
          <t>https://www.facebook.com/profile.php?id=100050180722596</t>
        </is>
      </c>
      <c r="D943" s="6" t="inlineStr">
        <is>
          <t>Cần quét Bio Fanpage</t>
        </is>
      </c>
      <c r="E943" s="53" t="inlineStr">
        <is>
          <t>20/10/2019 14:05:00</t>
        </is>
      </c>
      <c r="F943" s="53" t="inlineStr">
        <is>
          <t>20 Tháng 10, 2019 lúc 14:05</t>
        </is>
      </c>
      <c r="G943" s="55" t="n">
        <v>365</v>
      </c>
      <c r="H943" s="56" t="n">
        <v>0</v>
      </c>
      <c r="I943" s="6" t="inlineStr">
        <is>
          <t>Pet Owner / Cộng đồng nuôi cún (10đ)</t>
        </is>
      </c>
      <c r="J943" s="56" t="n">
        <v>10</v>
      </c>
      <c r="K943" s="6" t="inlineStr">
        <is>
          <t>Chưa rõ giống (Cần quét Bio)</t>
        </is>
      </c>
      <c r="L943" s="56" t="n">
        <v>0</v>
      </c>
      <c r="M943" s="56" t="n">
        <v>0</v>
      </c>
      <c r="N943" s="6" t="inlineStr">
        <is>
          <t>Amazon link not found</t>
        </is>
      </c>
      <c r="O943" s="56">
        <f>IF(N943="Selling pet toys + Artificial grass/Pet toilets (TARGET)",15,IF(N943="Selling artificial grass/pet toilets (TARGET)",10,IF(N943="Selling pet toys",7,IF(N943="There's an Amazon link, but no target sales.",3,0))))</f>
        <v/>
      </c>
      <c r="P943" s="65">
        <f>H943+J943+L943+M943+O943</f>
        <v/>
      </c>
      <c r="Q943" s="71" t="inlineStr">
        <is>
          <t>Excluded: Trang Chung / Không rõ Ngách Cún cưng</t>
        </is>
      </c>
      <c r="R943" s="6" t="inlineStr">
        <is>
          <t>Khay vệ sinh chung cư (Indoor Potty) + Thảm cỏ ban công (Grass Patch) + Đồ chơi</t>
        </is>
      </c>
      <c r="S943" s="6" t="inlineStr">
        <is>
          <t>Tuyệt đối không đưa vào CRM (Vi phạm Bộ lọc Âm tính Mục 5)</t>
        </is>
      </c>
    </row>
    <row r="944">
      <c r="A944" s="59" t="n">
        <v>3036</v>
      </c>
      <c r="B944" s="15" t="inlineStr">
        <is>
          <t>Svetlana Senicheva</t>
        </is>
      </c>
      <c r="C944" s="60" t="inlineStr">
        <is>
          <t>https://www.facebook.com/svetlana.senicheva.2025</t>
        </is>
      </c>
      <c r="D944" s="9" t="inlineStr">
        <is>
          <t>Cần quét Bio Fanpage</t>
        </is>
      </c>
      <c r="E944" s="59" t="inlineStr">
        <is>
          <t>05/01/2019 23:54:00</t>
        </is>
      </c>
      <c r="F944" s="59" t="inlineStr">
        <is>
          <t>5 Tháng 1, 2019 lúc 23:54</t>
        </is>
      </c>
      <c r="G944" s="61" t="n">
        <v>365</v>
      </c>
      <c r="H944" s="62" t="n">
        <v>0</v>
      </c>
      <c r="I944" s="9" t="inlineStr">
        <is>
          <t>Pet Owner / Cộng đồng nuôi cún (10đ)</t>
        </is>
      </c>
      <c r="J944" s="62" t="n">
        <v>10</v>
      </c>
      <c r="K944" s="9" t="inlineStr">
        <is>
          <t>Chưa rõ giống (Cần quét Bio)</t>
        </is>
      </c>
      <c r="L944" s="62" t="n">
        <v>0</v>
      </c>
      <c r="M944" s="62" t="n">
        <v>0</v>
      </c>
      <c r="N944" s="9" t="inlineStr">
        <is>
          <t>Amazon link not found</t>
        </is>
      </c>
      <c r="O944" s="62">
        <f>IF(N944="Selling pet toys + Artificial grass/Pet toilets (TARGET)",15,IF(N944="Selling artificial grass/pet toilets (TARGET)",10,IF(N944="Selling pet toys",7,IF(N944="There's an Amazon link, but no target sales.",3,0))))</f>
        <v/>
      </c>
      <c r="P944" s="67">
        <f>H944+J944+L944+M944+O944</f>
        <v/>
      </c>
      <c r="Q944" s="70" t="inlineStr">
        <is>
          <t>Excluded: Trang Chung / Không rõ Ngách Cún cưng</t>
        </is>
      </c>
      <c r="R944" s="9" t="inlineStr">
        <is>
          <t>Khay vệ sinh chung cư (Indoor Potty) + Thảm cỏ ban công (Grass Patch) + Đồ chơi</t>
        </is>
      </c>
      <c r="S944" s="9" t="inlineStr">
        <is>
          <t>Tuyệt đối không đưa vào CRM (Vi phạm Bộ lọc Âm tính Mục 5)</t>
        </is>
      </c>
    </row>
    <row r="945">
      <c r="A945" s="53" t="n">
        <v>2567</v>
      </c>
      <c r="B945" s="12" t="inlineStr">
        <is>
          <t>Phòng Khám Chuyên Trị Mụn Doctor Acne Care</t>
        </is>
      </c>
      <c r="C945" s="54" t="inlineStr">
        <is>
          <t>https://www.facebook.com/mwspachuyentrimun</t>
        </is>
      </c>
      <c r="D945" s="6" t="inlineStr">
        <is>
          <t>Cần quét Bio Fanpage</t>
        </is>
      </c>
      <c r="E945" s="53" t="inlineStr">
        <is>
          <t>09/12/2018 22:43:00</t>
        </is>
      </c>
      <c r="F945" s="53" t="inlineStr">
        <is>
          <t>9 Tháng 12, 2018 lúc 22:43</t>
        </is>
      </c>
      <c r="G945" s="55" t="n">
        <v>365</v>
      </c>
      <c r="H945" s="56" t="n">
        <v>0</v>
      </c>
      <c r="I945" s="6" t="inlineStr">
        <is>
          <t>Pet Owner / Cộng đồng nuôi cún (10đ)</t>
        </is>
      </c>
      <c r="J945" s="56" t="n">
        <v>10</v>
      </c>
      <c r="K945" s="6" t="inlineStr">
        <is>
          <t>Chưa rõ giống (Cần quét Bio)</t>
        </is>
      </c>
      <c r="L945" s="56" t="n">
        <v>0</v>
      </c>
      <c r="M945" s="56" t="n">
        <v>0</v>
      </c>
      <c r="N945" s="6" t="inlineStr">
        <is>
          <t>Amazon link not found</t>
        </is>
      </c>
      <c r="O945" s="56">
        <f>IF(N945="Selling pet toys + Artificial grass/Pet toilets (TARGET)",15,IF(N945="Selling artificial grass/pet toilets (TARGET)",10,IF(N945="Selling pet toys",7,IF(N945="There's an Amazon link, but no target sales.",3,0))))</f>
        <v/>
      </c>
      <c r="P945" s="65">
        <f>H945+J945+L945+M945+O945</f>
        <v/>
      </c>
      <c r="Q945" s="71" t="inlineStr">
        <is>
          <t>Excluded: Trang Chung / Không rõ Ngách Cún cưng</t>
        </is>
      </c>
      <c r="R945" s="6" t="inlineStr">
        <is>
          <t>Khay vệ sinh chung cư (Indoor Potty) + Thảm cỏ ban công (Grass Patch) + Đồ chơi</t>
        </is>
      </c>
      <c r="S945" s="6" t="inlineStr">
        <is>
          <t>Tuyệt đối không đưa vào CRM (Vi phạm Bộ lọc Âm tính Mục 5)</t>
        </is>
      </c>
    </row>
    <row r="946">
      <c r="A946" s="59" t="n">
        <v>146</v>
      </c>
      <c r="B946" s="15" t="inlineStr">
        <is>
          <t>Facebook User</t>
        </is>
      </c>
      <c r="C946" s="60" t="inlineStr">
        <is>
          <t>https://www.facebook.com/profile.php?id=100082737900281</t>
        </is>
      </c>
      <c r="D946" s="9" t="inlineStr">
        <is>
          <t>Cần quét Bio Fanpage</t>
        </is>
      </c>
      <c r="E946" s="59" t="inlineStr">
        <is>
          <t>Không tìm thấy bài viết</t>
        </is>
      </c>
      <c r="F946" s="59" t="inlineStr">
        <is>
          <t>Không có bài</t>
        </is>
      </c>
      <c r="G946" s="61" t="n">
        <v>999</v>
      </c>
      <c r="H946" s="62" t="n">
        <v>0</v>
      </c>
      <c r="I946" s="9" t="inlineStr">
        <is>
          <t>Pet Owner / Cộng đồng nuôi cún (10đ)</t>
        </is>
      </c>
      <c r="J946" s="62" t="n">
        <v>10</v>
      </c>
      <c r="K946" s="9" t="inlineStr">
        <is>
          <t>Chưa rõ giống (Cần quét Bio)</t>
        </is>
      </c>
      <c r="L946" s="62" t="n">
        <v>0</v>
      </c>
      <c r="M946" s="62" t="n">
        <v>0</v>
      </c>
      <c r="N946" s="9" t="inlineStr">
        <is>
          <t>Amazon link not found</t>
        </is>
      </c>
      <c r="O946" s="62">
        <f>IF(N946="Selling pet toys + Artificial grass/Pet toilets (TARGET)",15,IF(N946="Selling artificial grass/pet toilets (TARGET)",10,IF(N946="Selling pet toys",7,IF(N946="There's an Amazon link, but no target sales.",3,0))))</f>
        <v/>
      </c>
      <c r="P946" s="67">
        <f>H946+J946+L946+M946+O946</f>
        <v/>
      </c>
      <c r="Q946" s="70" t="inlineStr">
        <is>
          <t>Excluded: Hồ sơ Ẩn danh (Facebook User)</t>
        </is>
      </c>
      <c r="R946" s="9" t="inlineStr">
        <is>
          <t>Khay vệ sinh chung cư (Indoor Potty) + Thảm cỏ ban công (Grass Patch) + Đồ chơi</t>
        </is>
      </c>
      <c r="S946" s="9" t="inlineStr">
        <is>
          <t>Tuyệt đối không đưa vào CRM (Vi phạm Bộ lọc Âm tính Mục 5)</t>
        </is>
      </c>
    </row>
    <row r="947">
      <c r="A947" s="53" t="n">
        <v>404</v>
      </c>
      <c r="B947" s="12" t="inlineStr">
        <is>
          <t>Facebook User</t>
        </is>
      </c>
      <c r="C947" s="54" t="inlineStr">
        <is>
          <t>https://www.facebook.com/profile.php?id=61594627902046</t>
        </is>
      </c>
      <c r="D947" s="6" t="inlineStr">
        <is>
          <t>Cần quét Bio Fanpage</t>
        </is>
      </c>
      <c r="E947" s="53" t="inlineStr">
        <is>
          <t>Không tìm thấy bài viết</t>
        </is>
      </c>
      <c r="F947" s="53" t="inlineStr">
        <is>
          <t>Không có bài</t>
        </is>
      </c>
      <c r="G947" s="55" t="n">
        <v>999</v>
      </c>
      <c r="H947" s="56" t="n">
        <v>0</v>
      </c>
      <c r="I947" s="6" t="inlineStr">
        <is>
          <t>Pet Owner / Cộng đồng nuôi cún (10đ)</t>
        </is>
      </c>
      <c r="J947" s="56" t="n">
        <v>10</v>
      </c>
      <c r="K947" s="6" t="inlineStr">
        <is>
          <t>Chưa rõ giống (Cần quét Bio)</t>
        </is>
      </c>
      <c r="L947" s="56" t="n">
        <v>0</v>
      </c>
      <c r="M947" s="56" t="n">
        <v>0</v>
      </c>
      <c r="N947" s="6" t="inlineStr">
        <is>
          <t>Amazon link not found</t>
        </is>
      </c>
      <c r="O947" s="56">
        <f>IF(N947="Selling pet toys + Artificial grass/Pet toilets (TARGET)",15,IF(N947="Selling artificial grass/pet toilets (TARGET)",10,IF(N947="Selling pet toys",7,IF(N947="There's an Amazon link, but no target sales.",3,0))))</f>
        <v/>
      </c>
      <c r="P947" s="65">
        <f>H947+J947+L947+M947+O947</f>
        <v/>
      </c>
      <c r="Q947" s="71" t="inlineStr">
        <is>
          <t>Excluded: Hồ sơ Ẩn danh (Facebook User)</t>
        </is>
      </c>
      <c r="R947" s="6" t="inlineStr">
        <is>
          <t>Khay vệ sinh chung cư (Indoor Potty) + Thảm cỏ ban công (Grass Patch) + Đồ chơi</t>
        </is>
      </c>
      <c r="S947" s="6" t="inlineStr">
        <is>
          <t>Tuyệt đối không đưa vào CRM (Vi phạm Bộ lọc Âm tính Mục 5)</t>
        </is>
      </c>
    </row>
    <row r="948">
      <c r="A948" s="59" t="n">
        <v>695</v>
      </c>
      <c r="B948" s="15" t="inlineStr">
        <is>
          <t>Facebook User</t>
        </is>
      </c>
      <c r="C948" s="60" t="inlineStr">
        <is>
          <t>https://www.facebook.com/profile.php?id=100070662799191</t>
        </is>
      </c>
      <c r="D948" s="9" t="inlineStr">
        <is>
          <t>Cần quét Bio Fanpage</t>
        </is>
      </c>
      <c r="E948" s="59" t="inlineStr">
        <is>
          <t>Không tìm thấy bài viết</t>
        </is>
      </c>
      <c r="F948" s="59" t="inlineStr">
        <is>
          <t>Không có bài</t>
        </is>
      </c>
      <c r="G948" s="61" t="n">
        <v>999</v>
      </c>
      <c r="H948" s="62" t="n">
        <v>0</v>
      </c>
      <c r="I948" s="9" t="inlineStr">
        <is>
          <t>Pet Owner / Cộng đồng nuôi cún (10đ)</t>
        </is>
      </c>
      <c r="J948" s="62" t="n">
        <v>10</v>
      </c>
      <c r="K948" s="9" t="inlineStr">
        <is>
          <t>Chưa rõ giống (Cần quét Bio)</t>
        </is>
      </c>
      <c r="L948" s="62" t="n">
        <v>0</v>
      </c>
      <c r="M948" s="62" t="n">
        <v>0</v>
      </c>
      <c r="N948" s="9" t="inlineStr">
        <is>
          <t>Amazon link not found</t>
        </is>
      </c>
      <c r="O948" s="62">
        <f>IF(N948="Selling pet toys + Artificial grass/Pet toilets (TARGET)",15,IF(N948="Selling artificial grass/pet toilets (TARGET)",10,IF(N948="Selling pet toys",7,IF(N948="There's an Amazon link, but no target sales.",3,0))))</f>
        <v/>
      </c>
      <c r="P948" s="67">
        <f>H948+J948+L948+M948+O948</f>
        <v/>
      </c>
      <c r="Q948" s="70" t="inlineStr">
        <is>
          <t>Excluded: Hồ sơ Ẩn danh (Facebook User)</t>
        </is>
      </c>
      <c r="R948" s="9" t="inlineStr">
        <is>
          <t>Khay vệ sinh chung cư (Indoor Potty) + Thảm cỏ ban công (Grass Patch) + Đồ chơi</t>
        </is>
      </c>
      <c r="S948" s="9" t="inlineStr">
        <is>
          <t>Tuyệt đối không đưa vào CRM (Vi phạm Bộ lọc Âm tính Mục 5)</t>
        </is>
      </c>
    </row>
    <row r="949">
      <c r="A949" s="53" t="n">
        <v>728</v>
      </c>
      <c r="B949" s="12" t="inlineStr">
        <is>
          <t>Bordeauxdoggen Club Deutschland e. V.</t>
        </is>
      </c>
      <c r="C949" s="54" t="inlineStr">
        <is>
          <t>https://www.facebook.com/profile.php?id=100064677435223</t>
        </is>
      </c>
      <c r="D949" s="6" t="inlineStr">
        <is>
          <t>Cần quét Bio Fanpage</t>
        </is>
      </c>
      <c r="E949" s="53" t="inlineStr">
        <is>
          <t>Không tìm thấy bài viết</t>
        </is>
      </c>
      <c r="F949" s="53" t="inlineStr">
        <is>
          <t>Không có bài</t>
        </is>
      </c>
      <c r="G949" s="55" t="n">
        <v>999</v>
      </c>
      <c r="H949" s="56" t="n">
        <v>0</v>
      </c>
      <c r="I949" s="6" t="inlineStr">
        <is>
          <t>Pet Owner / Cộng đồng nuôi cún (10đ)</t>
        </is>
      </c>
      <c r="J949" s="56" t="n">
        <v>10</v>
      </c>
      <c r="K949" s="6" t="inlineStr">
        <is>
          <t>Chưa rõ giống (Cần quét Bio)</t>
        </is>
      </c>
      <c r="L949" s="56" t="n">
        <v>0</v>
      </c>
      <c r="M949" s="56" t="n">
        <v>0</v>
      </c>
      <c r="N949" s="6" t="inlineStr">
        <is>
          <t>Amazon link not found</t>
        </is>
      </c>
      <c r="O949" s="56">
        <f>IF(N949="Selling pet toys + Artificial grass/Pet toilets (TARGET)",15,IF(N949="Selling artificial grass/pet toilets (TARGET)",10,IF(N949="Selling pet toys",7,IF(N949="There's an Amazon link, but no target sales.",3,0))))</f>
        <v/>
      </c>
      <c r="P949" s="65">
        <f>H949+J949+L949+M949+O949</f>
        <v/>
      </c>
      <c r="Q949" s="71" t="inlineStr">
        <is>
          <t>Excluded: Hiệp hội &amp; CLB Phả hệ (Mục 5.1)</t>
        </is>
      </c>
      <c r="R949" s="6" t="inlineStr">
        <is>
          <t>Khay vệ sinh chung cư (Indoor Potty) + Thảm cỏ ban công (Grass Patch) + Đồ chơi</t>
        </is>
      </c>
      <c r="S949" s="6" t="inlineStr">
        <is>
          <t>Tuyệt đối không đưa vào CRM (Vi phạm Bộ lọc Âm tính Mục 5)</t>
        </is>
      </c>
    </row>
    <row r="950">
      <c r="A950" s="59" t="n">
        <v>806</v>
      </c>
      <c r="B950" s="15" t="inlineStr">
        <is>
          <t>Cabinet Veterinar Ramivet Baciu</t>
        </is>
      </c>
      <c r="C950" s="60" t="inlineStr">
        <is>
          <t>https://www.facebook.com/profile.php?id=100067784017873</t>
        </is>
      </c>
      <c r="D950" s="9" t="inlineStr">
        <is>
          <t>Cần quét Bio Fanpage</t>
        </is>
      </c>
      <c r="E950" s="59" t="inlineStr">
        <is>
          <t>Không tìm thấy bài viết</t>
        </is>
      </c>
      <c r="F950" s="59" t="inlineStr">
        <is>
          <t>Không có bài</t>
        </is>
      </c>
      <c r="G950" s="61" t="n">
        <v>999</v>
      </c>
      <c r="H950" s="62" t="n">
        <v>0</v>
      </c>
      <c r="I950" s="9" t="inlineStr">
        <is>
          <t>Pet Owner / Cộng đồng nuôi cún (10đ)</t>
        </is>
      </c>
      <c r="J950" s="62" t="n">
        <v>10</v>
      </c>
      <c r="K950" s="9" t="inlineStr">
        <is>
          <t>Chưa rõ giống (Cần quét Bio)</t>
        </is>
      </c>
      <c r="L950" s="62" t="n">
        <v>0</v>
      </c>
      <c r="M950" s="62" t="n">
        <v>0</v>
      </c>
      <c r="N950" s="9" t="inlineStr">
        <is>
          <t>Amazon link not found</t>
        </is>
      </c>
      <c r="O950" s="62">
        <f>IF(N950="Selling pet toys + Artificial grass/Pet toilets (TARGET)",15,IF(N950="Selling artificial grass/pet toilets (TARGET)",10,IF(N950="Selling pet toys",7,IF(N950="There's an Amazon link, but no target sales.",3,0))))</f>
        <v/>
      </c>
      <c r="P950" s="67">
        <f>H950+J950+L950+M950+O950</f>
        <v/>
      </c>
      <c r="Q950" s="70" t="inlineStr">
        <is>
          <t>Excluded: Công ty Gen DNA &amp; Thú y (Mục 5.4)</t>
        </is>
      </c>
      <c r="R950" s="9" t="inlineStr">
        <is>
          <t>Khay vệ sinh chung cư (Indoor Potty) + Thảm cỏ ban công (Grass Patch) + Đồ chơi</t>
        </is>
      </c>
      <c r="S950" s="9" t="inlineStr">
        <is>
          <t>Tuyệt đối không đưa vào CRM (Vi phạm Bộ lọc Âm tính Mục 5)</t>
        </is>
      </c>
    </row>
    <row r="951">
      <c r="A951" s="53" t="n">
        <v>1055</v>
      </c>
      <c r="B951" s="12" t="inlineStr">
        <is>
          <t>Facebook User</t>
        </is>
      </c>
      <c r="C951" s="54" t="inlineStr">
        <is>
          <t>https://www.facebook.com/profile.php?id=61586573000286</t>
        </is>
      </c>
      <c r="D951" s="6" t="inlineStr">
        <is>
          <t>Cần quét Bio Fanpage</t>
        </is>
      </c>
      <c r="E951" s="53" t="inlineStr">
        <is>
          <t>Không tìm thấy bài viết</t>
        </is>
      </c>
      <c r="F951" s="53" t="inlineStr">
        <is>
          <t>Không có bài</t>
        </is>
      </c>
      <c r="G951" s="55" t="n">
        <v>999</v>
      </c>
      <c r="H951" s="56" t="n">
        <v>0</v>
      </c>
      <c r="I951" s="6" t="inlineStr">
        <is>
          <t>Pet Owner / Cộng đồng nuôi cún (10đ)</t>
        </is>
      </c>
      <c r="J951" s="56" t="n">
        <v>10</v>
      </c>
      <c r="K951" s="6" t="inlineStr">
        <is>
          <t>Chưa rõ giống (Cần quét Bio)</t>
        </is>
      </c>
      <c r="L951" s="56" t="n">
        <v>0</v>
      </c>
      <c r="M951" s="56" t="n">
        <v>0</v>
      </c>
      <c r="N951" s="6" t="inlineStr">
        <is>
          <t>Amazon link not found</t>
        </is>
      </c>
      <c r="O951" s="56">
        <f>IF(N951="Selling pet toys + Artificial grass/Pet toilets (TARGET)",15,IF(N951="Selling artificial grass/pet toilets (TARGET)",10,IF(N951="Selling pet toys",7,IF(N951="There's an Amazon link, but no target sales.",3,0))))</f>
        <v/>
      </c>
      <c r="P951" s="65">
        <f>H951+J951+L951+M951+O951</f>
        <v/>
      </c>
      <c r="Q951" s="71" t="inlineStr">
        <is>
          <t>Excluded: Hồ sơ Ẩn danh (Facebook User)</t>
        </is>
      </c>
      <c r="R951" s="6" t="inlineStr">
        <is>
          <t>Khay vệ sinh chung cư (Indoor Potty) + Thảm cỏ ban công (Grass Patch) + Đồ chơi</t>
        </is>
      </c>
      <c r="S951" s="6" t="inlineStr">
        <is>
          <t>Tuyệt đối không đưa vào CRM (Vi phạm Bộ lọc Âm tính Mục 5)</t>
        </is>
      </c>
    </row>
    <row r="952">
      <c r="A952" s="59" t="n">
        <v>1418</v>
      </c>
      <c r="B952" s="15" t="inlineStr">
        <is>
          <t>Facebook User</t>
        </is>
      </c>
      <c r="C952" s="60" t="inlineStr">
        <is>
          <t>https://www.facebook.com/profile.php?id=61594242844957</t>
        </is>
      </c>
      <c r="D952" s="9" t="inlineStr">
        <is>
          <t>Cần quét Bio Fanpage</t>
        </is>
      </c>
      <c r="E952" s="59" t="inlineStr">
        <is>
          <t>Không tìm thấy bài viết</t>
        </is>
      </c>
      <c r="F952" s="59" t="inlineStr">
        <is>
          <t>Không có bài</t>
        </is>
      </c>
      <c r="G952" s="61" t="n">
        <v>999</v>
      </c>
      <c r="H952" s="62" t="n">
        <v>0</v>
      </c>
      <c r="I952" s="9" t="inlineStr">
        <is>
          <t>Pet Owner / Cộng đồng nuôi cún (10đ)</t>
        </is>
      </c>
      <c r="J952" s="62" t="n">
        <v>10</v>
      </c>
      <c r="K952" s="9" t="inlineStr">
        <is>
          <t>Chưa rõ giống (Cần quét Bio)</t>
        </is>
      </c>
      <c r="L952" s="62" t="n">
        <v>0</v>
      </c>
      <c r="M952" s="62" t="n">
        <v>0</v>
      </c>
      <c r="N952" s="9" t="inlineStr">
        <is>
          <t>Amazon link not found</t>
        </is>
      </c>
      <c r="O952" s="62">
        <f>IF(N952="Selling pet toys + Artificial grass/Pet toilets (TARGET)",15,IF(N952="Selling artificial grass/pet toilets (TARGET)",10,IF(N952="Selling pet toys",7,IF(N952="There's an Amazon link, but no target sales.",3,0))))</f>
        <v/>
      </c>
      <c r="P952" s="67">
        <f>H952+J952+L952+M952+O952</f>
        <v/>
      </c>
      <c r="Q952" s="70" t="inlineStr">
        <is>
          <t>Excluded: Hồ sơ Ẩn danh (Facebook User)</t>
        </is>
      </c>
      <c r="R952" s="9" t="inlineStr">
        <is>
          <t>Khay vệ sinh chung cư (Indoor Potty) + Thảm cỏ ban công (Grass Patch) + Đồ chơi</t>
        </is>
      </c>
      <c r="S952" s="9" t="inlineStr">
        <is>
          <t>Tuyệt đối không đưa vào CRM (Vi phạm Bộ lọc Âm tính Mục 5)</t>
        </is>
      </c>
    </row>
    <row r="953">
      <c r="A953" s="53" t="n">
        <v>1504</v>
      </c>
      <c r="B953" s="12" t="inlineStr">
        <is>
          <t>Giovanni Seccareccia</t>
        </is>
      </c>
      <c r="C953" s="54" t="inlineStr">
        <is>
          <t>https://www.facebook.com/allevamentodeiSeccarrccia</t>
        </is>
      </c>
      <c r="D953" s="6" t="inlineStr">
        <is>
          <t>Cần quét Bio Fanpage</t>
        </is>
      </c>
      <c r="E953" s="53" t="inlineStr">
        <is>
          <t>Không tìm thấy bài viết</t>
        </is>
      </c>
      <c r="F953" s="53" t="inlineStr">
        <is>
          <t>Không có bài</t>
        </is>
      </c>
      <c r="G953" s="55" t="n">
        <v>999</v>
      </c>
      <c r="H953" s="56" t="n">
        <v>0</v>
      </c>
      <c r="I953" s="6" t="inlineStr">
        <is>
          <t>Pet Owner / Cộng đồng nuôi cún (10đ)</t>
        </is>
      </c>
      <c r="J953" s="56" t="n">
        <v>10</v>
      </c>
      <c r="K953" s="6" t="inlineStr">
        <is>
          <t>Chưa rõ giống (Cần quét Bio)</t>
        </is>
      </c>
      <c r="L953" s="56" t="n">
        <v>0</v>
      </c>
      <c r="M953" s="56" t="n">
        <v>0</v>
      </c>
      <c r="N953" s="6" t="inlineStr">
        <is>
          <t>Amazon link not found</t>
        </is>
      </c>
      <c r="O953" s="56">
        <f>IF(N953="Selling pet toys + Artificial grass/Pet toilets (TARGET)",15,IF(N953="Selling artificial grass/pet toilets (TARGET)",10,IF(N953="Selling pet toys",7,IF(N953="There's an Amazon link, but no target sales.",3,0))))</f>
        <v/>
      </c>
      <c r="P953" s="65">
        <f>H953+J953+L953+M953+O953</f>
        <v/>
      </c>
      <c r="Q953" s="71" t="inlineStr">
        <is>
          <t>Excluded: Trang Chung / Không rõ Ngách Cún cưng</t>
        </is>
      </c>
      <c r="R953" s="6" t="inlineStr">
        <is>
          <t>Khay vệ sinh chung cư (Indoor Potty) + Thảm cỏ ban công (Grass Patch) + Đồ chơi</t>
        </is>
      </c>
      <c r="S953" s="6" t="inlineStr">
        <is>
          <t>Tuyệt đối không đưa vào CRM (Vi phạm Bộ lọc Âm tính Mục 5)</t>
        </is>
      </c>
    </row>
    <row r="954">
      <c r="A954" s="59" t="n">
        <v>1670</v>
      </c>
      <c r="B954" s="15" t="inlineStr">
        <is>
          <t>Facebook User</t>
        </is>
      </c>
      <c r="C954" s="60" t="inlineStr">
        <is>
          <t>https://www.facebook.com/profile.php?id=61592209383158</t>
        </is>
      </c>
      <c r="D954" s="9" t="inlineStr">
        <is>
          <t>Cần quét Bio Fanpage</t>
        </is>
      </c>
      <c r="E954" s="59" t="inlineStr">
        <is>
          <t>Không tìm thấy bài viết</t>
        </is>
      </c>
      <c r="F954" s="59" t="inlineStr">
        <is>
          <t>Không có bài</t>
        </is>
      </c>
      <c r="G954" s="61" t="n">
        <v>999</v>
      </c>
      <c r="H954" s="62" t="n">
        <v>0</v>
      </c>
      <c r="I954" s="9" t="inlineStr">
        <is>
          <t>Pet Owner / Cộng đồng nuôi cún (10đ)</t>
        </is>
      </c>
      <c r="J954" s="62" t="n">
        <v>10</v>
      </c>
      <c r="K954" s="9" t="inlineStr">
        <is>
          <t>Chưa rõ giống (Cần quét Bio)</t>
        </is>
      </c>
      <c r="L954" s="62" t="n">
        <v>0</v>
      </c>
      <c r="M954" s="62" t="n">
        <v>0</v>
      </c>
      <c r="N954" s="9" t="inlineStr">
        <is>
          <t>Amazon link not found</t>
        </is>
      </c>
      <c r="O954" s="62">
        <f>IF(N954="Selling pet toys + Artificial grass/Pet toilets (TARGET)",15,IF(N954="Selling artificial grass/pet toilets (TARGET)",10,IF(N954="Selling pet toys",7,IF(N954="There's an Amazon link, but no target sales.",3,0))))</f>
        <v/>
      </c>
      <c r="P954" s="67">
        <f>H954+J954+L954+M954+O954</f>
        <v/>
      </c>
      <c r="Q954" s="70" t="inlineStr">
        <is>
          <t>Excluded: Hồ sơ Ẩn danh (Facebook User)</t>
        </is>
      </c>
      <c r="R954" s="9" t="inlineStr">
        <is>
          <t>Khay vệ sinh chung cư (Indoor Potty) + Thảm cỏ ban công (Grass Patch) + Đồ chơi</t>
        </is>
      </c>
      <c r="S954" s="9" t="inlineStr">
        <is>
          <t>Tuyệt đối không đưa vào CRM (Vi phạm Bộ lọc Âm tính Mục 5)</t>
        </is>
      </c>
    </row>
    <row r="955">
      <c r="A955" s="53" t="n">
        <v>1684</v>
      </c>
      <c r="B955" s="12" t="inlineStr">
        <is>
          <t>Facebook User</t>
        </is>
      </c>
      <c r="C955" s="54" t="inlineStr">
        <is>
          <t>https://www.facebook.com/profile.php?id=61577225673064</t>
        </is>
      </c>
      <c r="D955" s="6" t="inlineStr">
        <is>
          <t>Cần quét Bio Fanpage</t>
        </is>
      </c>
      <c r="E955" s="53" t="inlineStr">
        <is>
          <t>Không tìm thấy bài viết</t>
        </is>
      </c>
      <c r="F955" s="53" t="inlineStr">
        <is>
          <t>Không có bài</t>
        </is>
      </c>
      <c r="G955" s="55" t="n">
        <v>999</v>
      </c>
      <c r="H955" s="56" t="n">
        <v>0</v>
      </c>
      <c r="I955" s="6" t="inlineStr">
        <is>
          <t>Pet Owner / Cộng đồng nuôi cún (10đ)</t>
        </is>
      </c>
      <c r="J955" s="56" t="n">
        <v>10</v>
      </c>
      <c r="K955" s="6" t="inlineStr">
        <is>
          <t>Chưa rõ giống (Cần quét Bio)</t>
        </is>
      </c>
      <c r="L955" s="56" t="n">
        <v>0</v>
      </c>
      <c r="M955" s="56" t="n">
        <v>0</v>
      </c>
      <c r="N955" s="6" t="inlineStr">
        <is>
          <t>Amazon link not found</t>
        </is>
      </c>
      <c r="O955" s="56">
        <f>IF(N955="Selling pet toys + Artificial grass/Pet toilets (TARGET)",15,IF(N955="Selling artificial grass/pet toilets (TARGET)",10,IF(N955="Selling pet toys",7,IF(N955="There's an Amazon link, but no target sales.",3,0))))</f>
        <v/>
      </c>
      <c r="P955" s="65">
        <f>H955+J955+L955+M955+O955</f>
        <v/>
      </c>
      <c r="Q955" s="71" t="inlineStr">
        <is>
          <t>Excluded: Hồ sơ Ẩn danh (Facebook User)</t>
        </is>
      </c>
      <c r="R955" s="6" t="inlineStr">
        <is>
          <t>Khay vệ sinh chung cư (Indoor Potty) + Thảm cỏ ban công (Grass Patch) + Đồ chơi</t>
        </is>
      </c>
      <c r="S955" s="6" t="inlineStr">
        <is>
          <t>Tuyệt đối không đưa vào CRM (Vi phạm Bộ lọc Âm tính Mục 5)</t>
        </is>
      </c>
    </row>
    <row r="956">
      <c r="A956" s="59" t="n">
        <v>1712</v>
      </c>
      <c r="B956" s="15" t="inlineStr">
        <is>
          <t>Facebook User</t>
        </is>
      </c>
      <c r="C956" s="60" t="inlineStr">
        <is>
          <t>https://www.facebook.com/profile.php?id=100092263547338</t>
        </is>
      </c>
      <c r="D956" s="9" t="inlineStr">
        <is>
          <t>Cần quét Bio Fanpage</t>
        </is>
      </c>
      <c r="E956" s="59" t="inlineStr">
        <is>
          <t>Không tìm thấy bài viết</t>
        </is>
      </c>
      <c r="F956" s="59" t="inlineStr">
        <is>
          <t>Không có bài</t>
        </is>
      </c>
      <c r="G956" s="61" t="n">
        <v>999</v>
      </c>
      <c r="H956" s="62" t="n">
        <v>0</v>
      </c>
      <c r="I956" s="9" t="inlineStr">
        <is>
          <t>Pet Owner / Cộng đồng nuôi cún (10đ)</t>
        </is>
      </c>
      <c r="J956" s="62" t="n">
        <v>10</v>
      </c>
      <c r="K956" s="9" t="inlineStr">
        <is>
          <t>Chưa rõ giống (Cần quét Bio)</t>
        </is>
      </c>
      <c r="L956" s="62" t="n">
        <v>0</v>
      </c>
      <c r="M956" s="62" t="n">
        <v>0</v>
      </c>
      <c r="N956" s="9" t="inlineStr">
        <is>
          <t>Amazon link not found</t>
        </is>
      </c>
      <c r="O956" s="62">
        <f>IF(N956="Selling pet toys + Artificial grass/Pet toilets (TARGET)",15,IF(N956="Selling artificial grass/pet toilets (TARGET)",10,IF(N956="Selling pet toys",7,IF(N956="There's an Amazon link, but no target sales.",3,0))))</f>
        <v/>
      </c>
      <c r="P956" s="67">
        <f>H956+J956+L956+M956+O956</f>
        <v/>
      </c>
      <c r="Q956" s="70" t="inlineStr">
        <is>
          <t>Excluded: Hồ sơ Ẩn danh (Facebook User)</t>
        </is>
      </c>
      <c r="R956" s="9" t="inlineStr">
        <is>
          <t>Khay vệ sinh chung cư (Indoor Potty) + Thảm cỏ ban công (Grass Patch) + Đồ chơi</t>
        </is>
      </c>
      <c r="S956" s="9" t="inlineStr">
        <is>
          <t>Tuyệt đối không đưa vào CRM (Vi phạm Bộ lọc Âm tính Mục 5)</t>
        </is>
      </c>
    </row>
    <row r="957">
      <c r="A957" s="53" t="n">
        <v>1953</v>
      </c>
      <c r="B957" s="12" t="inlineStr">
        <is>
          <t>L.A. Tails Pet Magazine</t>
        </is>
      </c>
      <c r="C957" s="54" t="inlineStr">
        <is>
          <t>https://www.facebook.com/L.A.Tails</t>
        </is>
      </c>
      <c r="D957" s="6" t="inlineStr">
        <is>
          <t>Cần quét Bio Fanpage</t>
        </is>
      </c>
      <c r="E957" s="53" t="inlineStr">
        <is>
          <t>Không tìm thấy bài viết</t>
        </is>
      </c>
      <c r="F957" s="53" t="inlineStr">
        <is>
          <t>Không có bài</t>
        </is>
      </c>
      <c r="G957" s="55" t="n">
        <v>999</v>
      </c>
      <c r="H957" s="56" t="n">
        <v>0</v>
      </c>
      <c r="I957" s="6" t="inlineStr">
        <is>
          <t>Pet Owner / Cộng đồng nuôi cún (10đ)</t>
        </is>
      </c>
      <c r="J957" s="56" t="n">
        <v>10</v>
      </c>
      <c r="K957" s="6" t="inlineStr">
        <is>
          <t>Chưa rõ giống (Cần quét Bio)</t>
        </is>
      </c>
      <c r="L957" s="56" t="n">
        <v>0</v>
      </c>
      <c r="M957" s="56" t="n">
        <v>0</v>
      </c>
      <c r="N957" s="6" t="inlineStr">
        <is>
          <t>Amazon link not found</t>
        </is>
      </c>
      <c r="O957" s="56">
        <f>IF(N957="Selling pet toys + Artificial grass/Pet toilets (TARGET)",15,IF(N957="Selling artificial grass/pet toilets (TARGET)",10,IF(N957="Selling pet toys",7,IF(N957="There's an Amazon link, but no target sales.",3,0))))</f>
        <v/>
      </c>
      <c r="P957" s="65">
        <f>H957+J957+L957+M957+O957</f>
        <v/>
      </c>
      <c r="Q957" s="71" t="inlineStr">
        <is>
          <t>Excluded: Kênh Tin tức, Tạp chí &amp; Giải trí (Mục 5.3)</t>
        </is>
      </c>
      <c r="R957" s="6" t="inlineStr">
        <is>
          <t>Khay vệ sinh chung cư (Indoor Potty) + Thảm cỏ ban công (Grass Patch) + Đồ chơi</t>
        </is>
      </c>
      <c r="S957" s="6" t="inlineStr">
        <is>
          <t>Tuyệt đối không đưa vào CRM (Vi phạm Bộ lọc Âm tính Mục 5)</t>
        </is>
      </c>
    </row>
    <row r="958">
      <c r="A958" s="59" t="n">
        <v>2030</v>
      </c>
      <c r="B958" s="15" t="inlineStr">
        <is>
          <t>Lisa Prosvetova</t>
        </is>
      </c>
      <c r="C958" s="60" t="inlineStr">
        <is>
          <t>https://www.facebook.com/profile.php?id=100066688197346</t>
        </is>
      </c>
      <c r="D958" s="9" t="inlineStr">
        <is>
          <t>Cần quét Bio Fanpage</t>
        </is>
      </c>
      <c r="E958" s="59" t="inlineStr">
        <is>
          <t>Không tìm thấy bài viết</t>
        </is>
      </c>
      <c r="F958" s="59" t="inlineStr">
        <is>
          <t>Không có bài</t>
        </is>
      </c>
      <c r="G958" s="61" t="n">
        <v>999</v>
      </c>
      <c r="H958" s="62" t="n">
        <v>0</v>
      </c>
      <c r="I958" s="9" t="inlineStr">
        <is>
          <t>Pet Owner / Cộng đồng nuôi cún (10đ)</t>
        </is>
      </c>
      <c r="J958" s="62" t="n">
        <v>10</v>
      </c>
      <c r="K958" s="9" t="inlineStr">
        <is>
          <t>Chưa rõ giống (Cần quét Bio)</t>
        </is>
      </c>
      <c r="L958" s="62" t="n">
        <v>0</v>
      </c>
      <c r="M958" s="62" t="n">
        <v>0</v>
      </c>
      <c r="N958" s="9" t="inlineStr">
        <is>
          <t>Amazon link not found</t>
        </is>
      </c>
      <c r="O958" s="62">
        <f>IF(N958="Selling pet toys + Artificial grass/Pet toilets (TARGET)",15,IF(N958="Selling artificial grass/pet toilets (TARGET)",10,IF(N958="Selling pet toys",7,IF(N958="There's an Amazon link, but no target sales.",3,0))))</f>
        <v/>
      </c>
      <c r="P958" s="67">
        <f>H958+J958+L958+M958+O958</f>
        <v/>
      </c>
      <c r="Q958" s="70" t="inlineStr">
        <is>
          <t>Excluded: Trang Chung / Không rõ Ngách Cún cưng</t>
        </is>
      </c>
      <c r="R958" s="9" t="inlineStr">
        <is>
          <t>Khay vệ sinh chung cư (Indoor Potty) + Thảm cỏ ban công (Grass Patch) + Đồ chơi</t>
        </is>
      </c>
      <c r="S958" s="9" t="inlineStr">
        <is>
          <t>Tuyệt đối không đưa vào CRM (Vi phạm Bộ lọc Âm tính Mục 5)</t>
        </is>
      </c>
    </row>
    <row r="959">
      <c r="A959" s="53" t="n">
        <v>2159</v>
      </c>
      <c r="B959" s="12" t="inlineStr">
        <is>
          <t>Facebook User</t>
        </is>
      </c>
      <c r="C959" s="54" t="inlineStr">
        <is>
          <t>https://www.facebook.com/profile.php?id=61587731259549</t>
        </is>
      </c>
      <c r="D959" s="6" t="inlineStr">
        <is>
          <t>Cần quét Bio Fanpage</t>
        </is>
      </c>
      <c r="E959" s="53" t="inlineStr">
        <is>
          <t>Không tìm thấy bài viết</t>
        </is>
      </c>
      <c r="F959" s="53" t="inlineStr">
        <is>
          <t>Không có bài</t>
        </is>
      </c>
      <c r="G959" s="55" t="n">
        <v>999</v>
      </c>
      <c r="H959" s="56" t="n">
        <v>0</v>
      </c>
      <c r="I959" s="6" t="inlineStr">
        <is>
          <t>Pet Owner / Cộng đồng nuôi cún (10đ)</t>
        </is>
      </c>
      <c r="J959" s="56" t="n">
        <v>10</v>
      </c>
      <c r="K959" s="6" t="inlineStr">
        <is>
          <t>Chưa rõ giống (Cần quét Bio)</t>
        </is>
      </c>
      <c r="L959" s="56" t="n">
        <v>0</v>
      </c>
      <c r="M959" s="56" t="n">
        <v>0</v>
      </c>
      <c r="N959" s="6" t="inlineStr">
        <is>
          <t>Amazon link not found</t>
        </is>
      </c>
      <c r="O959" s="56">
        <f>IF(N959="Selling pet toys + Artificial grass/Pet toilets (TARGET)",15,IF(N959="Selling artificial grass/pet toilets (TARGET)",10,IF(N959="Selling pet toys",7,IF(N959="There's an Amazon link, but no target sales.",3,0))))</f>
        <v/>
      </c>
      <c r="P959" s="65">
        <f>H959+J959+L959+M959+O959</f>
        <v/>
      </c>
      <c r="Q959" s="71" t="inlineStr">
        <is>
          <t>Excluded: Hồ sơ Ẩn danh (Facebook User)</t>
        </is>
      </c>
      <c r="R959" s="6" t="inlineStr">
        <is>
          <t>Khay vệ sinh chung cư (Indoor Potty) + Thảm cỏ ban công (Grass Patch) + Đồ chơi</t>
        </is>
      </c>
      <c r="S959" s="6" t="inlineStr">
        <is>
          <t>Tuyệt đối không đưa vào CRM (Vi phạm Bộ lọc Âm tính Mục 5)</t>
        </is>
      </c>
    </row>
    <row r="960">
      <c r="A960" s="59" t="n">
        <v>2454</v>
      </c>
      <c r="B960" s="15" t="inlineStr">
        <is>
          <t>Facebook User</t>
        </is>
      </c>
      <c r="C960" s="60" t="inlineStr">
        <is>
          <t>https://www.facebook.com/profile.php?id=61559962422137</t>
        </is>
      </c>
      <c r="D960" s="9" t="inlineStr">
        <is>
          <t>Cần quét Bio Fanpage</t>
        </is>
      </c>
      <c r="E960" s="59" t="inlineStr">
        <is>
          <t>Không tìm thấy bài viết</t>
        </is>
      </c>
      <c r="F960" s="59" t="inlineStr">
        <is>
          <t>Không có bài</t>
        </is>
      </c>
      <c r="G960" s="61" t="n">
        <v>999</v>
      </c>
      <c r="H960" s="62" t="n">
        <v>0</v>
      </c>
      <c r="I960" s="9" t="inlineStr">
        <is>
          <t>Pet Owner / Cộng đồng nuôi cún (10đ)</t>
        </is>
      </c>
      <c r="J960" s="62" t="n">
        <v>10</v>
      </c>
      <c r="K960" s="9" t="inlineStr">
        <is>
          <t>Chưa rõ giống (Cần quét Bio)</t>
        </is>
      </c>
      <c r="L960" s="62" t="n">
        <v>0</v>
      </c>
      <c r="M960" s="62" t="n">
        <v>0</v>
      </c>
      <c r="N960" s="9" t="inlineStr">
        <is>
          <t>Amazon link not found</t>
        </is>
      </c>
      <c r="O960" s="62">
        <f>IF(N960="Selling pet toys + Artificial grass/Pet toilets (TARGET)",15,IF(N960="Selling artificial grass/pet toilets (TARGET)",10,IF(N960="Selling pet toys",7,IF(N960="There's an Amazon link, but no target sales.",3,0))))</f>
        <v/>
      </c>
      <c r="P960" s="67">
        <f>H960+J960+L960+M960+O960</f>
        <v/>
      </c>
      <c r="Q960" s="70" t="inlineStr">
        <is>
          <t>Excluded: Hồ sơ Ẩn danh (Facebook User)</t>
        </is>
      </c>
      <c r="R960" s="9" t="inlineStr">
        <is>
          <t>Khay vệ sinh chung cư (Indoor Potty) + Thảm cỏ ban công (Grass Patch) + Đồ chơi</t>
        </is>
      </c>
      <c r="S960" s="9" t="inlineStr">
        <is>
          <t>Tuyệt đối không đưa vào CRM (Vi phạm Bộ lọc Âm tính Mục 5)</t>
        </is>
      </c>
    </row>
    <row r="961">
      <c r="A961" s="53" t="n">
        <v>2572</v>
      </c>
      <c r="B961" s="12" t="inlineStr">
        <is>
          <t>Facebook User</t>
        </is>
      </c>
      <c r="C961" s="54" t="inlineStr">
        <is>
          <t>https://www.facebook.com/profile.php?id=61573434686912</t>
        </is>
      </c>
      <c r="D961" s="6" t="inlineStr">
        <is>
          <t>Cần quét Bio Fanpage</t>
        </is>
      </c>
      <c r="E961" s="53" t="inlineStr">
        <is>
          <t>Không tìm thấy bài viết</t>
        </is>
      </c>
      <c r="F961" s="53" t="inlineStr">
        <is>
          <t>Không có bài</t>
        </is>
      </c>
      <c r="G961" s="55" t="n">
        <v>999</v>
      </c>
      <c r="H961" s="56" t="n">
        <v>0</v>
      </c>
      <c r="I961" s="6" t="inlineStr">
        <is>
          <t>Pet Owner / Cộng đồng nuôi cún (10đ)</t>
        </is>
      </c>
      <c r="J961" s="56" t="n">
        <v>10</v>
      </c>
      <c r="K961" s="6" t="inlineStr">
        <is>
          <t>Chưa rõ giống (Cần quét Bio)</t>
        </is>
      </c>
      <c r="L961" s="56" t="n">
        <v>0</v>
      </c>
      <c r="M961" s="56" t="n">
        <v>0</v>
      </c>
      <c r="N961" s="6" t="inlineStr">
        <is>
          <t>Amazon link not found</t>
        </is>
      </c>
      <c r="O961" s="56">
        <f>IF(N961="Selling pet toys + Artificial grass/Pet toilets (TARGET)",15,IF(N961="Selling artificial grass/pet toilets (TARGET)",10,IF(N961="Selling pet toys",7,IF(N961="There's an Amazon link, but no target sales.",3,0))))</f>
        <v/>
      </c>
      <c r="P961" s="65">
        <f>H961+J961+L961+M961+O961</f>
        <v/>
      </c>
      <c r="Q961" s="71" t="inlineStr">
        <is>
          <t>Excluded: Hồ sơ Ẩn danh (Facebook User)</t>
        </is>
      </c>
      <c r="R961" s="6" t="inlineStr">
        <is>
          <t>Khay vệ sinh chung cư (Indoor Potty) + Thảm cỏ ban công (Grass Patch) + Đồ chơi</t>
        </is>
      </c>
      <c r="S961" s="6" t="inlineStr">
        <is>
          <t>Tuyệt đối không đưa vào CRM (Vi phạm Bộ lọc Âm tính Mục 5)</t>
        </is>
      </c>
    </row>
    <row r="962">
      <c r="A962" s="59" t="n">
        <v>2966</v>
      </c>
      <c r="B962" s="15" t="inlineStr">
        <is>
          <t>SpiritAnimalsCollection</t>
        </is>
      </c>
      <c r="C962" s="60" t="inlineStr">
        <is>
          <t>https://www.facebook.com/SpiritAnimalsCollection</t>
        </is>
      </c>
      <c r="D962" s="9" t="inlineStr">
        <is>
          <t>Cần quét Bio Fanpage</t>
        </is>
      </c>
      <c r="E962" s="59" t="inlineStr">
        <is>
          <t>Không tìm thấy bài viết</t>
        </is>
      </c>
      <c r="F962" s="59" t="inlineStr">
        <is>
          <t>Không có bài</t>
        </is>
      </c>
      <c r="G962" s="61" t="n">
        <v>999</v>
      </c>
      <c r="H962" s="62" t="n">
        <v>0</v>
      </c>
      <c r="I962" s="9" t="inlineStr">
        <is>
          <t>Pet Owner / Cộng đồng nuôi cún (10đ)</t>
        </is>
      </c>
      <c r="J962" s="62" t="n">
        <v>10</v>
      </c>
      <c r="K962" s="9" t="inlineStr">
        <is>
          <t>Chưa rõ giống (Cần quét Bio)</t>
        </is>
      </c>
      <c r="L962" s="62" t="n">
        <v>0</v>
      </c>
      <c r="M962" s="62" t="n">
        <v>0</v>
      </c>
      <c r="N962" s="9" t="inlineStr">
        <is>
          <t>Amazon link not found</t>
        </is>
      </c>
      <c r="O962" s="62">
        <f>IF(N962="Selling pet toys + Artificial grass/Pet toilets (TARGET)",15,IF(N962="Selling artificial grass/pet toilets (TARGET)",10,IF(N962="Selling pet toys",7,IF(N962="There's an Amazon link, but no target sales.",3,0))))</f>
        <v/>
      </c>
      <c r="P962" s="67">
        <f>H962+J962+L962+M962+O962</f>
        <v/>
      </c>
      <c r="Q962" s="70" t="inlineStr">
        <is>
          <t>Excluded: Trang Chung / Không rõ Ngách Cún cưng</t>
        </is>
      </c>
      <c r="R962" s="9" t="inlineStr">
        <is>
          <t>Khay vệ sinh chung cư (Indoor Potty) + Thảm cỏ ban công (Grass Patch) + Đồ chơi</t>
        </is>
      </c>
      <c r="S962" s="9" t="inlineStr">
        <is>
          <t>Tuyệt đối không đưa vào CRM (Vi phạm Bộ lọc Âm tính Mục 5)</t>
        </is>
      </c>
    </row>
    <row r="963">
      <c r="A963" s="53" t="n">
        <v>3042</v>
      </c>
      <c r="B963" s="12" t="inlineStr">
        <is>
          <t>sweetfieldfarms</t>
        </is>
      </c>
      <c r="C963" s="54" t="inlineStr">
        <is>
          <t>https://www.facebook.com/sweetfieldfarms</t>
        </is>
      </c>
      <c r="D963" s="6" t="inlineStr">
        <is>
          <t>Cần quét Bio Fanpage</t>
        </is>
      </c>
      <c r="E963" s="53" t="inlineStr">
        <is>
          <t>Không tìm thấy bài viết</t>
        </is>
      </c>
      <c r="F963" s="53" t="inlineStr">
        <is>
          <t>Không có bài</t>
        </is>
      </c>
      <c r="G963" s="55" t="n">
        <v>999</v>
      </c>
      <c r="H963" s="56" t="n">
        <v>0</v>
      </c>
      <c r="I963" s="6" t="inlineStr">
        <is>
          <t>Pet Owner / Cộng đồng nuôi cún (10đ)</t>
        </is>
      </c>
      <c r="J963" s="56" t="n">
        <v>10</v>
      </c>
      <c r="K963" s="6" t="inlineStr">
        <is>
          <t>Chưa rõ giống (Cần quét Bio)</t>
        </is>
      </c>
      <c r="L963" s="56" t="n">
        <v>0</v>
      </c>
      <c r="M963" s="56" t="n">
        <v>0</v>
      </c>
      <c r="N963" s="6" t="inlineStr">
        <is>
          <t>Amazon link not found</t>
        </is>
      </c>
      <c r="O963" s="56">
        <f>IF(N963="Selling pet toys + Artificial grass/Pet toilets (TARGET)",15,IF(N963="Selling artificial grass/pet toilets (TARGET)",10,IF(N963="Selling pet toys",7,IF(N963="There's an Amazon link, but no target sales.",3,0))))</f>
        <v/>
      </c>
      <c r="P963" s="65">
        <f>H963+J963+L963+M963+O963</f>
        <v/>
      </c>
      <c r="Q963" s="71" t="inlineStr">
        <is>
          <t>Excluded: Trang Chung / Không rõ Ngách Cún cưng</t>
        </is>
      </c>
      <c r="R963" s="6" t="inlineStr">
        <is>
          <t>Khay vệ sinh chung cư (Indoor Potty) + Thảm cỏ ban công (Grass Patch) + Đồ chơi</t>
        </is>
      </c>
      <c r="S963" s="6" t="inlineStr">
        <is>
          <t>Tuyệt đối không đưa vào CRM (Vi phạm Bộ lọc Âm tính Mục 5)</t>
        </is>
      </c>
    </row>
    <row r="964">
      <c r="A964" s="59" t="n">
        <v>3237</v>
      </c>
      <c r="B964" s="15" t="inlineStr">
        <is>
          <t>TriplelakeFarms</t>
        </is>
      </c>
      <c r="C964" s="60" t="inlineStr">
        <is>
          <t>https://www.facebook.com/TriplelakeFarms</t>
        </is>
      </c>
      <c r="D964" s="9" t="inlineStr">
        <is>
          <t>Cần quét Bio Fanpage</t>
        </is>
      </c>
      <c r="E964" s="59" t="inlineStr">
        <is>
          <t>Không tìm thấy bài viết</t>
        </is>
      </c>
      <c r="F964" s="59" t="inlineStr">
        <is>
          <t>Không có bài</t>
        </is>
      </c>
      <c r="G964" s="61" t="n">
        <v>999</v>
      </c>
      <c r="H964" s="62" t="n">
        <v>0</v>
      </c>
      <c r="I964" s="9" t="inlineStr">
        <is>
          <t>Pet Owner / Cộng đồng nuôi cún (10đ)</t>
        </is>
      </c>
      <c r="J964" s="62" t="n">
        <v>10</v>
      </c>
      <c r="K964" s="9" t="inlineStr">
        <is>
          <t>Chưa rõ giống (Cần quét Bio)</t>
        </is>
      </c>
      <c r="L964" s="62" t="n">
        <v>0</v>
      </c>
      <c r="M964" s="62" t="n">
        <v>0</v>
      </c>
      <c r="N964" s="9" t="inlineStr">
        <is>
          <t>Amazon link not found</t>
        </is>
      </c>
      <c r="O964" s="62">
        <f>IF(N964="Selling pet toys + Artificial grass/Pet toilets (TARGET)",15,IF(N964="Selling artificial grass/pet toilets (TARGET)",10,IF(N964="Selling pet toys",7,IF(N964="There's an Amazon link, but no target sales.",3,0))))</f>
        <v/>
      </c>
      <c r="P964" s="67">
        <f>H964+J964+L964+M964+O964</f>
        <v/>
      </c>
      <c r="Q964" s="70" t="inlineStr">
        <is>
          <t>Excluded: Trang Chung / Không rõ Ngách Cún cưng</t>
        </is>
      </c>
      <c r="R964" s="9" t="inlineStr">
        <is>
          <t>Khay vệ sinh chung cư (Indoor Potty) + Thảm cỏ ban công (Grass Patch) + Đồ chơi</t>
        </is>
      </c>
      <c r="S964" s="9" t="inlineStr">
        <is>
          <t>Tuyệt đối không đưa vào CRM (Vi phạm Bộ lọc Âm tính Mục 5)</t>
        </is>
      </c>
    </row>
  </sheetData>
  <autoFilter ref="A4:S964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  <hyperlink xmlns:r="http://schemas.openxmlformats.org/officeDocument/2006/relationships" ref="C303" r:id="rId299"/>
    <hyperlink xmlns:r="http://schemas.openxmlformats.org/officeDocument/2006/relationships" ref="C304" r:id="rId300"/>
    <hyperlink xmlns:r="http://schemas.openxmlformats.org/officeDocument/2006/relationships" ref="C305" r:id="rId301"/>
    <hyperlink xmlns:r="http://schemas.openxmlformats.org/officeDocument/2006/relationships" ref="C306" r:id="rId302"/>
    <hyperlink xmlns:r="http://schemas.openxmlformats.org/officeDocument/2006/relationships" ref="C307" r:id="rId303"/>
    <hyperlink xmlns:r="http://schemas.openxmlformats.org/officeDocument/2006/relationships" ref="C308" r:id="rId304"/>
    <hyperlink xmlns:r="http://schemas.openxmlformats.org/officeDocument/2006/relationships" ref="C309" r:id="rId305"/>
    <hyperlink xmlns:r="http://schemas.openxmlformats.org/officeDocument/2006/relationships" ref="C310" r:id="rId306"/>
    <hyperlink xmlns:r="http://schemas.openxmlformats.org/officeDocument/2006/relationships" ref="C311" r:id="rId307"/>
    <hyperlink xmlns:r="http://schemas.openxmlformats.org/officeDocument/2006/relationships" ref="C312" r:id="rId308"/>
    <hyperlink xmlns:r="http://schemas.openxmlformats.org/officeDocument/2006/relationships" ref="C313" r:id="rId309"/>
    <hyperlink xmlns:r="http://schemas.openxmlformats.org/officeDocument/2006/relationships" ref="C314" r:id="rId310"/>
    <hyperlink xmlns:r="http://schemas.openxmlformats.org/officeDocument/2006/relationships" ref="C315" r:id="rId311"/>
    <hyperlink xmlns:r="http://schemas.openxmlformats.org/officeDocument/2006/relationships" ref="C316" r:id="rId312"/>
    <hyperlink xmlns:r="http://schemas.openxmlformats.org/officeDocument/2006/relationships" ref="C317" r:id="rId313"/>
    <hyperlink xmlns:r="http://schemas.openxmlformats.org/officeDocument/2006/relationships" ref="C318" r:id="rId314"/>
    <hyperlink xmlns:r="http://schemas.openxmlformats.org/officeDocument/2006/relationships" ref="C319" r:id="rId315"/>
    <hyperlink xmlns:r="http://schemas.openxmlformats.org/officeDocument/2006/relationships" ref="C320" r:id="rId316"/>
    <hyperlink xmlns:r="http://schemas.openxmlformats.org/officeDocument/2006/relationships" ref="C321" r:id="rId317"/>
    <hyperlink xmlns:r="http://schemas.openxmlformats.org/officeDocument/2006/relationships" ref="C322" r:id="rId318"/>
    <hyperlink xmlns:r="http://schemas.openxmlformats.org/officeDocument/2006/relationships" ref="C323" r:id="rId319"/>
    <hyperlink xmlns:r="http://schemas.openxmlformats.org/officeDocument/2006/relationships" ref="C324" r:id="rId320"/>
    <hyperlink xmlns:r="http://schemas.openxmlformats.org/officeDocument/2006/relationships" ref="C325" r:id="rId321"/>
    <hyperlink xmlns:r="http://schemas.openxmlformats.org/officeDocument/2006/relationships" ref="C326" r:id="rId322"/>
    <hyperlink xmlns:r="http://schemas.openxmlformats.org/officeDocument/2006/relationships" ref="C327" r:id="rId323"/>
    <hyperlink xmlns:r="http://schemas.openxmlformats.org/officeDocument/2006/relationships" ref="C328" r:id="rId324"/>
    <hyperlink xmlns:r="http://schemas.openxmlformats.org/officeDocument/2006/relationships" ref="C329" r:id="rId325"/>
    <hyperlink xmlns:r="http://schemas.openxmlformats.org/officeDocument/2006/relationships" ref="C330" r:id="rId326"/>
    <hyperlink xmlns:r="http://schemas.openxmlformats.org/officeDocument/2006/relationships" ref="C331" r:id="rId327"/>
    <hyperlink xmlns:r="http://schemas.openxmlformats.org/officeDocument/2006/relationships" ref="C332" r:id="rId328"/>
    <hyperlink xmlns:r="http://schemas.openxmlformats.org/officeDocument/2006/relationships" ref="C333" r:id="rId329"/>
    <hyperlink xmlns:r="http://schemas.openxmlformats.org/officeDocument/2006/relationships" ref="C334" r:id="rId330"/>
    <hyperlink xmlns:r="http://schemas.openxmlformats.org/officeDocument/2006/relationships" ref="C335" r:id="rId331"/>
    <hyperlink xmlns:r="http://schemas.openxmlformats.org/officeDocument/2006/relationships" ref="C336" r:id="rId332"/>
    <hyperlink xmlns:r="http://schemas.openxmlformats.org/officeDocument/2006/relationships" ref="C337" r:id="rId333"/>
    <hyperlink xmlns:r="http://schemas.openxmlformats.org/officeDocument/2006/relationships" ref="C338" r:id="rId334"/>
    <hyperlink xmlns:r="http://schemas.openxmlformats.org/officeDocument/2006/relationships" ref="C339" r:id="rId335"/>
    <hyperlink xmlns:r="http://schemas.openxmlformats.org/officeDocument/2006/relationships" ref="C340" r:id="rId336"/>
    <hyperlink xmlns:r="http://schemas.openxmlformats.org/officeDocument/2006/relationships" ref="C341" r:id="rId337"/>
    <hyperlink xmlns:r="http://schemas.openxmlformats.org/officeDocument/2006/relationships" ref="C342" r:id="rId338"/>
    <hyperlink xmlns:r="http://schemas.openxmlformats.org/officeDocument/2006/relationships" ref="C343" r:id="rId339"/>
    <hyperlink xmlns:r="http://schemas.openxmlformats.org/officeDocument/2006/relationships" ref="C344" r:id="rId340"/>
    <hyperlink xmlns:r="http://schemas.openxmlformats.org/officeDocument/2006/relationships" ref="C345" r:id="rId341"/>
    <hyperlink xmlns:r="http://schemas.openxmlformats.org/officeDocument/2006/relationships" ref="C346" r:id="rId342"/>
    <hyperlink xmlns:r="http://schemas.openxmlformats.org/officeDocument/2006/relationships" ref="C347" r:id="rId343"/>
    <hyperlink xmlns:r="http://schemas.openxmlformats.org/officeDocument/2006/relationships" ref="C348" r:id="rId344"/>
    <hyperlink xmlns:r="http://schemas.openxmlformats.org/officeDocument/2006/relationships" ref="C349" r:id="rId345"/>
    <hyperlink xmlns:r="http://schemas.openxmlformats.org/officeDocument/2006/relationships" ref="C350" r:id="rId346"/>
    <hyperlink xmlns:r="http://schemas.openxmlformats.org/officeDocument/2006/relationships" ref="C351" r:id="rId347"/>
    <hyperlink xmlns:r="http://schemas.openxmlformats.org/officeDocument/2006/relationships" ref="C352" r:id="rId348"/>
    <hyperlink xmlns:r="http://schemas.openxmlformats.org/officeDocument/2006/relationships" ref="C353" r:id="rId349"/>
    <hyperlink xmlns:r="http://schemas.openxmlformats.org/officeDocument/2006/relationships" ref="C354" r:id="rId350"/>
    <hyperlink xmlns:r="http://schemas.openxmlformats.org/officeDocument/2006/relationships" ref="C355" r:id="rId351"/>
    <hyperlink xmlns:r="http://schemas.openxmlformats.org/officeDocument/2006/relationships" ref="C356" r:id="rId352"/>
    <hyperlink xmlns:r="http://schemas.openxmlformats.org/officeDocument/2006/relationships" ref="C357" r:id="rId353"/>
    <hyperlink xmlns:r="http://schemas.openxmlformats.org/officeDocument/2006/relationships" ref="C358" r:id="rId354"/>
    <hyperlink xmlns:r="http://schemas.openxmlformats.org/officeDocument/2006/relationships" ref="C359" r:id="rId355"/>
    <hyperlink xmlns:r="http://schemas.openxmlformats.org/officeDocument/2006/relationships" ref="C360" r:id="rId356"/>
    <hyperlink xmlns:r="http://schemas.openxmlformats.org/officeDocument/2006/relationships" ref="C361" r:id="rId357"/>
    <hyperlink xmlns:r="http://schemas.openxmlformats.org/officeDocument/2006/relationships" ref="C362" r:id="rId358"/>
    <hyperlink xmlns:r="http://schemas.openxmlformats.org/officeDocument/2006/relationships" ref="C363" r:id="rId359"/>
    <hyperlink xmlns:r="http://schemas.openxmlformats.org/officeDocument/2006/relationships" ref="C364" r:id="rId360"/>
    <hyperlink xmlns:r="http://schemas.openxmlformats.org/officeDocument/2006/relationships" ref="C365" r:id="rId361"/>
    <hyperlink xmlns:r="http://schemas.openxmlformats.org/officeDocument/2006/relationships" ref="C366" r:id="rId362"/>
    <hyperlink xmlns:r="http://schemas.openxmlformats.org/officeDocument/2006/relationships" ref="C367" r:id="rId363"/>
    <hyperlink xmlns:r="http://schemas.openxmlformats.org/officeDocument/2006/relationships" ref="C368" r:id="rId364"/>
    <hyperlink xmlns:r="http://schemas.openxmlformats.org/officeDocument/2006/relationships" ref="C369" r:id="rId365"/>
    <hyperlink xmlns:r="http://schemas.openxmlformats.org/officeDocument/2006/relationships" ref="C370" r:id="rId366"/>
    <hyperlink xmlns:r="http://schemas.openxmlformats.org/officeDocument/2006/relationships" ref="C371" r:id="rId367"/>
    <hyperlink xmlns:r="http://schemas.openxmlformats.org/officeDocument/2006/relationships" ref="C372" r:id="rId368"/>
    <hyperlink xmlns:r="http://schemas.openxmlformats.org/officeDocument/2006/relationships" ref="C373" r:id="rId369"/>
    <hyperlink xmlns:r="http://schemas.openxmlformats.org/officeDocument/2006/relationships" ref="C374" r:id="rId370"/>
    <hyperlink xmlns:r="http://schemas.openxmlformats.org/officeDocument/2006/relationships" ref="C375" r:id="rId371"/>
    <hyperlink xmlns:r="http://schemas.openxmlformats.org/officeDocument/2006/relationships" ref="C376" r:id="rId372"/>
    <hyperlink xmlns:r="http://schemas.openxmlformats.org/officeDocument/2006/relationships" ref="C377" r:id="rId373"/>
    <hyperlink xmlns:r="http://schemas.openxmlformats.org/officeDocument/2006/relationships" ref="C378" r:id="rId374"/>
    <hyperlink xmlns:r="http://schemas.openxmlformats.org/officeDocument/2006/relationships" ref="C379" r:id="rId375"/>
    <hyperlink xmlns:r="http://schemas.openxmlformats.org/officeDocument/2006/relationships" ref="C380" r:id="rId376"/>
    <hyperlink xmlns:r="http://schemas.openxmlformats.org/officeDocument/2006/relationships" ref="C381" r:id="rId377"/>
    <hyperlink xmlns:r="http://schemas.openxmlformats.org/officeDocument/2006/relationships" ref="C382" r:id="rId378"/>
    <hyperlink xmlns:r="http://schemas.openxmlformats.org/officeDocument/2006/relationships" ref="C383" r:id="rId379"/>
    <hyperlink xmlns:r="http://schemas.openxmlformats.org/officeDocument/2006/relationships" ref="C384" r:id="rId380"/>
    <hyperlink xmlns:r="http://schemas.openxmlformats.org/officeDocument/2006/relationships" ref="C385" r:id="rId381"/>
    <hyperlink xmlns:r="http://schemas.openxmlformats.org/officeDocument/2006/relationships" ref="C386" r:id="rId382"/>
    <hyperlink xmlns:r="http://schemas.openxmlformats.org/officeDocument/2006/relationships" ref="C387" r:id="rId383"/>
    <hyperlink xmlns:r="http://schemas.openxmlformats.org/officeDocument/2006/relationships" ref="C388" r:id="rId384"/>
    <hyperlink xmlns:r="http://schemas.openxmlformats.org/officeDocument/2006/relationships" ref="C389" r:id="rId385"/>
    <hyperlink xmlns:r="http://schemas.openxmlformats.org/officeDocument/2006/relationships" ref="C390" r:id="rId386"/>
    <hyperlink xmlns:r="http://schemas.openxmlformats.org/officeDocument/2006/relationships" ref="C391" r:id="rId387"/>
    <hyperlink xmlns:r="http://schemas.openxmlformats.org/officeDocument/2006/relationships" ref="C392" r:id="rId388"/>
    <hyperlink xmlns:r="http://schemas.openxmlformats.org/officeDocument/2006/relationships" ref="C393" r:id="rId389"/>
    <hyperlink xmlns:r="http://schemas.openxmlformats.org/officeDocument/2006/relationships" ref="C394" r:id="rId390"/>
    <hyperlink xmlns:r="http://schemas.openxmlformats.org/officeDocument/2006/relationships" ref="C395" r:id="rId391"/>
    <hyperlink xmlns:r="http://schemas.openxmlformats.org/officeDocument/2006/relationships" ref="C396" r:id="rId392"/>
    <hyperlink xmlns:r="http://schemas.openxmlformats.org/officeDocument/2006/relationships" ref="C397" r:id="rId393"/>
    <hyperlink xmlns:r="http://schemas.openxmlformats.org/officeDocument/2006/relationships" ref="C398" r:id="rId394"/>
    <hyperlink xmlns:r="http://schemas.openxmlformats.org/officeDocument/2006/relationships" ref="C399" r:id="rId395"/>
    <hyperlink xmlns:r="http://schemas.openxmlformats.org/officeDocument/2006/relationships" ref="C400" r:id="rId396"/>
    <hyperlink xmlns:r="http://schemas.openxmlformats.org/officeDocument/2006/relationships" ref="C401" r:id="rId397"/>
    <hyperlink xmlns:r="http://schemas.openxmlformats.org/officeDocument/2006/relationships" ref="C402" r:id="rId398"/>
    <hyperlink xmlns:r="http://schemas.openxmlformats.org/officeDocument/2006/relationships" ref="C403" r:id="rId399"/>
    <hyperlink xmlns:r="http://schemas.openxmlformats.org/officeDocument/2006/relationships" ref="C404" r:id="rId400"/>
    <hyperlink xmlns:r="http://schemas.openxmlformats.org/officeDocument/2006/relationships" ref="C405" r:id="rId401"/>
    <hyperlink xmlns:r="http://schemas.openxmlformats.org/officeDocument/2006/relationships" ref="C406" r:id="rId402"/>
    <hyperlink xmlns:r="http://schemas.openxmlformats.org/officeDocument/2006/relationships" ref="C407" r:id="rId403"/>
    <hyperlink xmlns:r="http://schemas.openxmlformats.org/officeDocument/2006/relationships" ref="C408" r:id="rId404"/>
    <hyperlink xmlns:r="http://schemas.openxmlformats.org/officeDocument/2006/relationships" ref="C409" r:id="rId405"/>
    <hyperlink xmlns:r="http://schemas.openxmlformats.org/officeDocument/2006/relationships" ref="C410" r:id="rId406"/>
    <hyperlink xmlns:r="http://schemas.openxmlformats.org/officeDocument/2006/relationships" ref="C411" r:id="rId407"/>
    <hyperlink xmlns:r="http://schemas.openxmlformats.org/officeDocument/2006/relationships" ref="C412" r:id="rId408"/>
    <hyperlink xmlns:r="http://schemas.openxmlformats.org/officeDocument/2006/relationships" ref="C413" r:id="rId409"/>
    <hyperlink xmlns:r="http://schemas.openxmlformats.org/officeDocument/2006/relationships" ref="C414" r:id="rId410"/>
    <hyperlink xmlns:r="http://schemas.openxmlformats.org/officeDocument/2006/relationships" ref="C415" r:id="rId411"/>
    <hyperlink xmlns:r="http://schemas.openxmlformats.org/officeDocument/2006/relationships" ref="C416" r:id="rId412"/>
    <hyperlink xmlns:r="http://schemas.openxmlformats.org/officeDocument/2006/relationships" ref="C417" r:id="rId413"/>
    <hyperlink xmlns:r="http://schemas.openxmlformats.org/officeDocument/2006/relationships" ref="C418" r:id="rId414"/>
    <hyperlink xmlns:r="http://schemas.openxmlformats.org/officeDocument/2006/relationships" ref="C419" r:id="rId415"/>
    <hyperlink xmlns:r="http://schemas.openxmlformats.org/officeDocument/2006/relationships" ref="C420" r:id="rId416"/>
    <hyperlink xmlns:r="http://schemas.openxmlformats.org/officeDocument/2006/relationships" ref="C421" r:id="rId417"/>
    <hyperlink xmlns:r="http://schemas.openxmlformats.org/officeDocument/2006/relationships" ref="C422" r:id="rId418"/>
    <hyperlink xmlns:r="http://schemas.openxmlformats.org/officeDocument/2006/relationships" ref="C423" r:id="rId419"/>
    <hyperlink xmlns:r="http://schemas.openxmlformats.org/officeDocument/2006/relationships" ref="C424" r:id="rId420"/>
    <hyperlink xmlns:r="http://schemas.openxmlformats.org/officeDocument/2006/relationships" ref="C425" r:id="rId421"/>
    <hyperlink xmlns:r="http://schemas.openxmlformats.org/officeDocument/2006/relationships" ref="C426" r:id="rId422"/>
    <hyperlink xmlns:r="http://schemas.openxmlformats.org/officeDocument/2006/relationships" ref="C427" r:id="rId423"/>
    <hyperlink xmlns:r="http://schemas.openxmlformats.org/officeDocument/2006/relationships" ref="C428" r:id="rId424"/>
    <hyperlink xmlns:r="http://schemas.openxmlformats.org/officeDocument/2006/relationships" ref="C429" r:id="rId425"/>
    <hyperlink xmlns:r="http://schemas.openxmlformats.org/officeDocument/2006/relationships" ref="C430" r:id="rId426"/>
    <hyperlink xmlns:r="http://schemas.openxmlformats.org/officeDocument/2006/relationships" ref="C431" r:id="rId427"/>
    <hyperlink xmlns:r="http://schemas.openxmlformats.org/officeDocument/2006/relationships" ref="C432" r:id="rId428"/>
    <hyperlink xmlns:r="http://schemas.openxmlformats.org/officeDocument/2006/relationships" ref="C433" r:id="rId429"/>
    <hyperlink xmlns:r="http://schemas.openxmlformats.org/officeDocument/2006/relationships" ref="C434" r:id="rId430"/>
    <hyperlink xmlns:r="http://schemas.openxmlformats.org/officeDocument/2006/relationships" ref="C435" r:id="rId431"/>
    <hyperlink xmlns:r="http://schemas.openxmlformats.org/officeDocument/2006/relationships" ref="C436" r:id="rId432"/>
    <hyperlink xmlns:r="http://schemas.openxmlformats.org/officeDocument/2006/relationships" ref="C437" r:id="rId433"/>
    <hyperlink xmlns:r="http://schemas.openxmlformats.org/officeDocument/2006/relationships" ref="C438" r:id="rId434"/>
    <hyperlink xmlns:r="http://schemas.openxmlformats.org/officeDocument/2006/relationships" ref="C439" r:id="rId435"/>
    <hyperlink xmlns:r="http://schemas.openxmlformats.org/officeDocument/2006/relationships" ref="C440" r:id="rId436"/>
    <hyperlink xmlns:r="http://schemas.openxmlformats.org/officeDocument/2006/relationships" ref="C441" r:id="rId437"/>
    <hyperlink xmlns:r="http://schemas.openxmlformats.org/officeDocument/2006/relationships" ref="C442" r:id="rId438"/>
    <hyperlink xmlns:r="http://schemas.openxmlformats.org/officeDocument/2006/relationships" ref="C443" r:id="rId439"/>
    <hyperlink xmlns:r="http://schemas.openxmlformats.org/officeDocument/2006/relationships" ref="C444" r:id="rId440"/>
    <hyperlink xmlns:r="http://schemas.openxmlformats.org/officeDocument/2006/relationships" ref="C445" r:id="rId441"/>
    <hyperlink xmlns:r="http://schemas.openxmlformats.org/officeDocument/2006/relationships" ref="C446" r:id="rId442"/>
    <hyperlink xmlns:r="http://schemas.openxmlformats.org/officeDocument/2006/relationships" ref="C447" r:id="rId443"/>
    <hyperlink xmlns:r="http://schemas.openxmlformats.org/officeDocument/2006/relationships" ref="C448" r:id="rId444"/>
    <hyperlink xmlns:r="http://schemas.openxmlformats.org/officeDocument/2006/relationships" ref="C449" r:id="rId445"/>
    <hyperlink xmlns:r="http://schemas.openxmlformats.org/officeDocument/2006/relationships" ref="C450" r:id="rId446"/>
    <hyperlink xmlns:r="http://schemas.openxmlformats.org/officeDocument/2006/relationships" ref="C451" r:id="rId447"/>
    <hyperlink xmlns:r="http://schemas.openxmlformats.org/officeDocument/2006/relationships" ref="C452" r:id="rId448"/>
    <hyperlink xmlns:r="http://schemas.openxmlformats.org/officeDocument/2006/relationships" ref="C453" r:id="rId449"/>
    <hyperlink xmlns:r="http://schemas.openxmlformats.org/officeDocument/2006/relationships" ref="C454" r:id="rId450"/>
    <hyperlink xmlns:r="http://schemas.openxmlformats.org/officeDocument/2006/relationships" ref="C455" r:id="rId451"/>
    <hyperlink xmlns:r="http://schemas.openxmlformats.org/officeDocument/2006/relationships" ref="C456" r:id="rId452"/>
    <hyperlink xmlns:r="http://schemas.openxmlformats.org/officeDocument/2006/relationships" ref="C457" r:id="rId453"/>
    <hyperlink xmlns:r="http://schemas.openxmlformats.org/officeDocument/2006/relationships" ref="C458" r:id="rId454"/>
    <hyperlink xmlns:r="http://schemas.openxmlformats.org/officeDocument/2006/relationships" ref="C459" r:id="rId455"/>
    <hyperlink xmlns:r="http://schemas.openxmlformats.org/officeDocument/2006/relationships" ref="C460" r:id="rId456"/>
    <hyperlink xmlns:r="http://schemas.openxmlformats.org/officeDocument/2006/relationships" ref="C461" r:id="rId457"/>
    <hyperlink xmlns:r="http://schemas.openxmlformats.org/officeDocument/2006/relationships" ref="C462" r:id="rId458"/>
    <hyperlink xmlns:r="http://schemas.openxmlformats.org/officeDocument/2006/relationships" ref="C463" r:id="rId459"/>
    <hyperlink xmlns:r="http://schemas.openxmlformats.org/officeDocument/2006/relationships" ref="C464" r:id="rId460"/>
    <hyperlink xmlns:r="http://schemas.openxmlformats.org/officeDocument/2006/relationships" ref="C465" r:id="rId461"/>
    <hyperlink xmlns:r="http://schemas.openxmlformats.org/officeDocument/2006/relationships" ref="C466" r:id="rId462"/>
    <hyperlink xmlns:r="http://schemas.openxmlformats.org/officeDocument/2006/relationships" ref="C467" r:id="rId463"/>
    <hyperlink xmlns:r="http://schemas.openxmlformats.org/officeDocument/2006/relationships" ref="C468" r:id="rId464"/>
    <hyperlink xmlns:r="http://schemas.openxmlformats.org/officeDocument/2006/relationships" ref="C469" r:id="rId465"/>
    <hyperlink xmlns:r="http://schemas.openxmlformats.org/officeDocument/2006/relationships" ref="C470" r:id="rId466"/>
    <hyperlink xmlns:r="http://schemas.openxmlformats.org/officeDocument/2006/relationships" ref="C471" r:id="rId467"/>
    <hyperlink xmlns:r="http://schemas.openxmlformats.org/officeDocument/2006/relationships" ref="C472" r:id="rId468"/>
    <hyperlink xmlns:r="http://schemas.openxmlformats.org/officeDocument/2006/relationships" ref="C473" r:id="rId469"/>
    <hyperlink xmlns:r="http://schemas.openxmlformats.org/officeDocument/2006/relationships" ref="C474" r:id="rId470"/>
    <hyperlink xmlns:r="http://schemas.openxmlformats.org/officeDocument/2006/relationships" ref="C475" r:id="rId471"/>
    <hyperlink xmlns:r="http://schemas.openxmlformats.org/officeDocument/2006/relationships" ref="C476" r:id="rId472"/>
    <hyperlink xmlns:r="http://schemas.openxmlformats.org/officeDocument/2006/relationships" ref="C477" r:id="rId473"/>
    <hyperlink xmlns:r="http://schemas.openxmlformats.org/officeDocument/2006/relationships" ref="C478" r:id="rId474"/>
    <hyperlink xmlns:r="http://schemas.openxmlformats.org/officeDocument/2006/relationships" ref="C479" r:id="rId475"/>
    <hyperlink xmlns:r="http://schemas.openxmlformats.org/officeDocument/2006/relationships" ref="C480" r:id="rId476"/>
    <hyperlink xmlns:r="http://schemas.openxmlformats.org/officeDocument/2006/relationships" ref="C481" r:id="rId477"/>
    <hyperlink xmlns:r="http://schemas.openxmlformats.org/officeDocument/2006/relationships" ref="C482" r:id="rId478"/>
    <hyperlink xmlns:r="http://schemas.openxmlformats.org/officeDocument/2006/relationships" ref="C483" r:id="rId479"/>
    <hyperlink xmlns:r="http://schemas.openxmlformats.org/officeDocument/2006/relationships" ref="C484" r:id="rId480"/>
    <hyperlink xmlns:r="http://schemas.openxmlformats.org/officeDocument/2006/relationships" ref="C485" r:id="rId481"/>
    <hyperlink xmlns:r="http://schemas.openxmlformats.org/officeDocument/2006/relationships" ref="C486" r:id="rId482"/>
    <hyperlink xmlns:r="http://schemas.openxmlformats.org/officeDocument/2006/relationships" ref="C487" r:id="rId483"/>
    <hyperlink xmlns:r="http://schemas.openxmlformats.org/officeDocument/2006/relationships" ref="C488" r:id="rId484"/>
    <hyperlink xmlns:r="http://schemas.openxmlformats.org/officeDocument/2006/relationships" ref="C489" r:id="rId485"/>
    <hyperlink xmlns:r="http://schemas.openxmlformats.org/officeDocument/2006/relationships" ref="C490" r:id="rId486"/>
    <hyperlink xmlns:r="http://schemas.openxmlformats.org/officeDocument/2006/relationships" ref="C491" r:id="rId487"/>
    <hyperlink xmlns:r="http://schemas.openxmlformats.org/officeDocument/2006/relationships" ref="C492" r:id="rId488"/>
    <hyperlink xmlns:r="http://schemas.openxmlformats.org/officeDocument/2006/relationships" ref="C493" r:id="rId489"/>
    <hyperlink xmlns:r="http://schemas.openxmlformats.org/officeDocument/2006/relationships" ref="C494" r:id="rId490"/>
    <hyperlink xmlns:r="http://schemas.openxmlformats.org/officeDocument/2006/relationships" ref="C495" r:id="rId491"/>
    <hyperlink xmlns:r="http://schemas.openxmlformats.org/officeDocument/2006/relationships" ref="C496" r:id="rId492"/>
    <hyperlink xmlns:r="http://schemas.openxmlformats.org/officeDocument/2006/relationships" ref="C497" r:id="rId493"/>
    <hyperlink xmlns:r="http://schemas.openxmlformats.org/officeDocument/2006/relationships" ref="C498" r:id="rId494"/>
    <hyperlink xmlns:r="http://schemas.openxmlformats.org/officeDocument/2006/relationships" ref="C499" r:id="rId495"/>
    <hyperlink xmlns:r="http://schemas.openxmlformats.org/officeDocument/2006/relationships" ref="C500" r:id="rId496"/>
    <hyperlink xmlns:r="http://schemas.openxmlformats.org/officeDocument/2006/relationships" ref="C501" r:id="rId497"/>
    <hyperlink xmlns:r="http://schemas.openxmlformats.org/officeDocument/2006/relationships" ref="C502" r:id="rId498"/>
    <hyperlink xmlns:r="http://schemas.openxmlformats.org/officeDocument/2006/relationships" ref="C503" r:id="rId499"/>
    <hyperlink xmlns:r="http://schemas.openxmlformats.org/officeDocument/2006/relationships" ref="C504" r:id="rId500"/>
    <hyperlink xmlns:r="http://schemas.openxmlformats.org/officeDocument/2006/relationships" ref="C505" r:id="rId501"/>
    <hyperlink xmlns:r="http://schemas.openxmlformats.org/officeDocument/2006/relationships" ref="C506" r:id="rId502"/>
    <hyperlink xmlns:r="http://schemas.openxmlformats.org/officeDocument/2006/relationships" ref="C507" r:id="rId503"/>
    <hyperlink xmlns:r="http://schemas.openxmlformats.org/officeDocument/2006/relationships" ref="C508" r:id="rId504"/>
    <hyperlink xmlns:r="http://schemas.openxmlformats.org/officeDocument/2006/relationships" ref="C509" r:id="rId505"/>
    <hyperlink xmlns:r="http://schemas.openxmlformats.org/officeDocument/2006/relationships" ref="C510" r:id="rId506"/>
    <hyperlink xmlns:r="http://schemas.openxmlformats.org/officeDocument/2006/relationships" ref="C511" r:id="rId507"/>
    <hyperlink xmlns:r="http://schemas.openxmlformats.org/officeDocument/2006/relationships" ref="C512" r:id="rId508"/>
    <hyperlink xmlns:r="http://schemas.openxmlformats.org/officeDocument/2006/relationships" ref="C513" r:id="rId509"/>
    <hyperlink xmlns:r="http://schemas.openxmlformats.org/officeDocument/2006/relationships" ref="C514" r:id="rId510"/>
    <hyperlink xmlns:r="http://schemas.openxmlformats.org/officeDocument/2006/relationships" ref="C515" r:id="rId511"/>
    <hyperlink xmlns:r="http://schemas.openxmlformats.org/officeDocument/2006/relationships" ref="C516" r:id="rId512"/>
    <hyperlink xmlns:r="http://schemas.openxmlformats.org/officeDocument/2006/relationships" ref="C517" r:id="rId513"/>
    <hyperlink xmlns:r="http://schemas.openxmlformats.org/officeDocument/2006/relationships" ref="C518" r:id="rId514"/>
    <hyperlink xmlns:r="http://schemas.openxmlformats.org/officeDocument/2006/relationships" ref="C519" r:id="rId515"/>
    <hyperlink xmlns:r="http://schemas.openxmlformats.org/officeDocument/2006/relationships" ref="C520" r:id="rId516"/>
    <hyperlink xmlns:r="http://schemas.openxmlformats.org/officeDocument/2006/relationships" ref="C521" r:id="rId517"/>
    <hyperlink xmlns:r="http://schemas.openxmlformats.org/officeDocument/2006/relationships" ref="C522" r:id="rId518"/>
    <hyperlink xmlns:r="http://schemas.openxmlformats.org/officeDocument/2006/relationships" ref="C523" r:id="rId519"/>
    <hyperlink xmlns:r="http://schemas.openxmlformats.org/officeDocument/2006/relationships" ref="C524" r:id="rId520"/>
    <hyperlink xmlns:r="http://schemas.openxmlformats.org/officeDocument/2006/relationships" ref="C525" r:id="rId521"/>
    <hyperlink xmlns:r="http://schemas.openxmlformats.org/officeDocument/2006/relationships" ref="C526" r:id="rId522"/>
    <hyperlink xmlns:r="http://schemas.openxmlformats.org/officeDocument/2006/relationships" ref="C527" r:id="rId523"/>
    <hyperlink xmlns:r="http://schemas.openxmlformats.org/officeDocument/2006/relationships" ref="C528" r:id="rId524"/>
    <hyperlink xmlns:r="http://schemas.openxmlformats.org/officeDocument/2006/relationships" ref="C529" r:id="rId525"/>
    <hyperlink xmlns:r="http://schemas.openxmlformats.org/officeDocument/2006/relationships" ref="C530" r:id="rId526"/>
    <hyperlink xmlns:r="http://schemas.openxmlformats.org/officeDocument/2006/relationships" ref="C531" r:id="rId527"/>
    <hyperlink xmlns:r="http://schemas.openxmlformats.org/officeDocument/2006/relationships" ref="C532" r:id="rId528"/>
    <hyperlink xmlns:r="http://schemas.openxmlformats.org/officeDocument/2006/relationships" ref="C533" r:id="rId529"/>
    <hyperlink xmlns:r="http://schemas.openxmlformats.org/officeDocument/2006/relationships" ref="C534" r:id="rId530"/>
    <hyperlink xmlns:r="http://schemas.openxmlformats.org/officeDocument/2006/relationships" ref="C535" r:id="rId531"/>
    <hyperlink xmlns:r="http://schemas.openxmlformats.org/officeDocument/2006/relationships" ref="C536" r:id="rId532"/>
    <hyperlink xmlns:r="http://schemas.openxmlformats.org/officeDocument/2006/relationships" ref="C537" r:id="rId533"/>
    <hyperlink xmlns:r="http://schemas.openxmlformats.org/officeDocument/2006/relationships" ref="C538" r:id="rId534"/>
    <hyperlink xmlns:r="http://schemas.openxmlformats.org/officeDocument/2006/relationships" ref="C539" r:id="rId535"/>
    <hyperlink xmlns:r="http://schemas.openxmlformats.org/officeDocument/2006/relationships" ref="C540" r:id="rId536"/>
    <hyperlink xmlns:r="http://schemas.openxmlformats.org/officeDocument/2006/relationships" ref="C541" r:id="rId537"/>
    <hyperlink xmlns:r="http://schemas.openxmlformats.org/officeDocument/2006/relationships" ref="C542" r:id="rId538"/>
    <hyperlink xmlns:r="http://schemas.openxmlformats.org/officeDocument/2006/relationships" ref="C543" r:id="rId539"/>
    <hyperlink xmlns:r="http://schemas.openxmlformats.org/officeDocument/2006/relationships" ref="C544" r:id="rId540"/>
    <hyperlink xmlns:r="http://schemas.openxmlformats.org/officeDocument/2006/relationships" ref="C545" r:id="rId541"/>
    <hyperlink xmlns:r="http://schemas.openxmlformats.org/officeDocument/2006/relationships" ref="C546" r:id="rId542"/>
    <hyperlink xmlns:r="http://schemas.openxmlformats.org/officeDocument/2006/relationships" ref="C547" r:id="rId543"/>
    <hyperlink xmlns:r="http://schemas.openxmlformats.org/officeDocument/2006/relationships" ref="C548" r:id="rId544"/>
    <hyperlink xmlns:r="http://schemas.openxmlformats.org/officeDocument/2006/relationships" ref="C549" r:id="rId545"/>
    <hyperlink xmlns:r="http://schemas.openxmlformats.org/officeDocument/2006/relationships" ref="C550" r:id="rId546"/>
    <hyperlink xmlns:r="http://schemas.openxmlformats.org/officeDocument/2006/relationships" ref="C551" r:id="rId547"/>
    <hyperlink xmlns:r="http://schemas.openxmlformats.org/officeDocument/2006/relationships" ref="C552" r:id="rId548"/>
    <hyperlink xmlns:r="http://schemas.openxmlformats.org/officeDocument/2006/relationships" ref="C553" r:id="rId549"/>
    <hyperlink xmlns:r="http://schemas.openxmlformats.org/officeDocument/2006/relationships" ref="C554" r:id="rId550"/>
    <hyperlink xmlns:r="http://schemas.openxmlformats.org/officeDocument/2006/relationships" ref="C555" r:id="rId551"/>
    <hyperlink xmlns:r="http://schemas.openxmlformats.org/officeDocument/2006/relationships" ref="C556" r:id="rId552"/>
    <hyperlink xmlns:r="http://schemas.openxmlformats.org/officeDocument/2006/relationships" ref="C557" r:id="rId553"/>
    <hyperlink xmlns:r="http://schemas.openxmlformats.org/officeDocument/2006/relationships" ref="C558" r:id="rId554"/>
    <hyperlink xmlns:r="http://schemas.openxmlformats.org/officeDocument/2006/relationships" ref="C559" r:id="rId555"/>
    <hyperlink xmlns:r="http://schemas.openxmlformats.org/officeDocument/2006/relationships" ref="C560" r:id="rId556"/>
    <hyperlink xmlns:r="http://schemas.openxmlformats.org/officeDocument/2006/relationships" ref="C561" r:id="rId557"/>
    <hyperlink xmlns:r="http://schemas.openxmlformats.org/officeDocument/2006/relationships" ref="C562" r:id="rId558"/>
    <hyperlink xmlns:r="http://schemas.openxmlformats.org/officeDocument/2006/relationships" ref="C563" r:id="rId559"/>
    <hyperlink xmlns:r="http://schemas.openxmlformats.org/officeDocument/2006/relationships" ref="C564" r:id="rId560"/>
    <hyperlink xmlns:r="http://schemas.openxmlformats.org/officeDocument/2006/relationships" ref="C565" r:id="rId561"/>
    <hyperlink xmlns:r="http://schemas.openxmlformats.org/officeDocument/2006/relationships" ref="C566" r:id="rId562"/>
    <hyperlink xmlns:r="http://schemas.openxmlformats.org/officeDocument/2006/relationships" ref="C567" r:id="rId563"/>
    <hyperlink xmlns:r="http://schemas.openxmlformats.org/officeDocument/2006/relationships" ref="C568" r:id="rId564"/>
    <hyperlink xmlns:r="http://schemas.openxmlformats.org/officeDocument/2006/relationships" ref="C569" r:id="rId565"/>
    <hyperlink xmlns:r="http://schemas.openxmlformats.org/officeDocument/2006/relationships" ref="C570" r:id="rId566"/>
    <hyperlink xmlns:r="http://schemas.openxmlformats.org/officeDocument/2006/relationships" ref="C571" r:id="rId567"/>
    <hyperlink xmlns:r="http://schemas.openxmlformats.org/officeDocument/2006/relationships" ref="C572" r:id="rId568"/>
    <hyperlink xmlns:r="http://schemas.openxmlformats.org/officeDocument/2006/relationships" ref="C573" r:id="rId569"/>
    <hyperlink xmlns:r="http://schemas.openxmlformats.org/officeDocument/2006/relationships" ref="C574" r:id="rId570"/>
    <hyperlink xmlns:r="http://schemas.openxmlformats.org/officeDocument/2006/relationships" ref="C575" r:id="rId571"/>
    <hyperlink xmlns:r="http://schemas.openxmlformats.org/officeDocument/2006/relationships" ref="C576" r:id="rId572"/>
    <hyperlink xmlns:r="http://schemas.openxmlformats.org/officeDocument/2006/relationships" ref="C577" r:id="rId573"/>
    <hyperlink xmlns:r="http://schemas.openxmlformats.org/officeDocument/2006/relationships" ref="C578" r:id="rId574"/>
    <hyperlink xmlns:r="http://schemas.openxmlformats.org/officeDocument/2006/relationships" ref="C579" r:id="rId575"/>
    <hyperlink xmlns:r="http://schemas.openxmlformats.org/officeDocument/2006/relationships" ref="C580" r:id="rId576"/>
    <hyperlink xmlns:r="http://schemas.openxmlformats.org/officeDocument/2006/relationships" ref="C581" r:id="rId577"/>
    <hyperlink xmlns:r="http://schemas.openxmlformats.org/officeDocument/2006/relationships" ref="C582" r:id="rId578"/>
    <hyperlink xmlns:r="http://schemas.openxmlformats.org/officeDocument/2006/relationships" ref="C583" r:id="rId579"/>
    <hyperlink xmlns:r="http://schemas.openxmlformats.org/officeDocument/2006/relationships" ref="C584" r:id="rId580"/>
    <hyperlink xmlns:r="http://schemas.openxmlformats.org/officeDocument/2006/relationships" ref="C585" r:id="rId581"/>
    <hyperlink xmlns:r="http://schemas.openxmlformats.org/officeDocument/2006/relationships" ref="C586" r:id="rId582"/>
    <hyperlink xmlns:r="http://schemas.openxmlformats.org/officeDocument/2006/relationships" ref="C587" r:id="rId583"/>
    <hyperlink xmlns:r="http://schemas.openxmlformats.org/officeDocument/2006/relationships" ref="C588" r:id="rId584"/>
    <hyperlink xmlns:r="http://schemas.openxmlformats.org/officeDocument/2006/relationships" ref="C589" r:id="rId585"/>
    <hyperlink xmlns:r="http://schemas.openxmlformats.org/officeDocument/2006/relationships" ref="C590" r:id="rId586"/>
    <hyperlink xmlns:r="http://schemas.openxmlformats.org/officeDocument/2006/relationships" ref="C591" r:id="rId587"/>
    <hyperlink xmlns:r="http://schemas.openxmlformats.org/officeDocument/2006/relationships" ref="C592" r:id="rId588"/>
    <hyperlink xmlns:r="http://schemas.openxmlformats.org/officeDocument/2006/relationships" ref="C593" r:id="rId589"/>
    <hyperlink xmlns:r="http://schemas.openxmlformats.org/officeDocument/2006/relationships" ref="C594" r:id="rId590"/>
    <hyperlink xmlns:r="http://schemas.openxmlformats.org/officeDocument/2006/relationships" ref="C595" r:id="rId591"/>
    <hyperlink xmlns:r="http://schemas.openxmlformats.org/officeDocument/2006/relationships" ref="C596" r:id="rId592"/>
    <hyperlink xmlns:r="http://schemas.openxmlformats.org/officeDocument/2006/relationships" ref="C597" r:id="rId593"/>
    <hyperlink xmlns:r="http://schemas.openxmlformats.org/officeDocument/2006/relationships" ref="C598" r:id="rId594"/>
    <hyperlink xmlns:r="http://schemas.openxmlformats.org/officeDocument/2006/relationships" ref="C599" r:id="rId595"/>
    <hyperlink xmlns:r="http://schemas.openxmlformats.org/officeDocument/2006/relationships" ref="C600" r:id="rId596"/>
    <hyperlink xmlns:r="http://schemas.openxmlformats.org/officeDocument/2006/relationships" ref="C601" r:id="rId597"/>
    <hyperlink xmlns:r="http://schemas.openxmlformats.org/officeDocument/2006/relationships" ref="C602" r:id="rId598"/>
    <hyperlink xmlns:r="http://schemas.openxmlformats.org/officeDocument/2006/relationships" ref="C603" r:id="rId599"/>
    <hyperlink xmlns:r="http://schemas.openxmlformats.org/officeDocument/2006/relationships" ref="C604" r:id="rId600"/>
    <hyperlink xmlns:r="http://schemas.openxmlformats.org/officeDocument/2006/relationships" ref="C605" r:id="rId601"/>
    <hyperlink xmlns:r="http://schemas.openxmlformats.org/officeDocument/2006/relationships" ref="C606" r:id="rId602"/>
    <hyperlink xmlns:r="http://schemas.openxmlformats.org/officeDocument/2006/relationships" ref="C607" r:id="rId603"/>
    <hyperlink xmlns:r="http://schemas.openxmlformats.org/officeDocument/2006/relationships" ref="C608" r:id="rId604"/>
    <hyperlink xmlns:r="http://schemas.openxmlformats.org/officeDocument/2006/relationships" ref="C609" r:id="rId605"/>
    <hyperlink xmlns:r="http://schemas.openxmlformats.org/officeDocument/2006/relationships" ref="C610" r:id="rId606"/>
    <hyperlink xmlns:r="http://schemas.openxmlformats.org/officeDocument/2006/relationships" ref="C611" r:id="rId607"/>
    <hyperlink xmlns:r="http://schemas.openxmlformats.org/officeDocument/2006/relationships" ref="C612" r:id="rId608"/>
    <hyperlink xmlns:r="http://schemas.openxmlformats.org/officeDocument/2006/relationships" ref="C613" r:id="rId609"/>
    <hyperlink xmlns:r="http://schemas.openxmlformats.org/officeDocument/2006/relationships" ref="C614" r:id="rId610"/>
    <hyperlink xmlns:r="http://schemas.openxmlformats.org/officeDocument/2006/relationships" ref="C615" r:id="rId611"/>
    <hyperlink xmlns:r="http://schemas.openxmlformats.org/officeDocument/2006/relationships" ref="C616" r:id="rId612"/>
    <hyperlink xmlns:r="http://schemas.openxmlformats.org/officeDocument/2006/relationships" ref="C617" r:id="rId613"/>
    <hyperlink xmlns:r="http://schemas.openxmlformats.org/officeDocument/2006/relationships" ref="C618" r:id="rId614"/>
    <hyperlink xmlns:r="http://schemas.openxmlformats.org/officeDocument/2006/relationships" ref="C619" r:id="rId615"/>
    <hyperlink xmlns:r="http://schemas.openxmlformats.org/officeDocument/2006/relationships" ref="C620" r:id="rId616"/>
    <hyperlink xmlns:r="http://schemas.openxmlformats.org/officeDocument/2006/relationships" ref="C621" r:id="rId617"/>
    <hyperlink xmlns:r="http://schemas.openxmlformats.org/officeDocument/2006/relationships" ref="C622" r:id="rId618"/>
    <hyperlink xmlns:r="http://schemas.openxmlformats.org/officeDocument/2006/relationships" ref="C623" r:id="rId619"/>
    <hyperlink xmlns:r="http://schemas.openxmlformats.org/officeDocument/2006/relationships" ref="C624" r:id="rId620"/>
    <hyperlink xmlns:r="http://schemas.openxmlformats.org/officeDocument/2006/relationships" ref="C625" r:id="rId621"/>
    <hyperlink xmlns:r="http://schemas.openxmlformats.org/officeDocument/2006/relationships" ref="C626" r:id="rId622"/>
    <hyperlink xmlns:r="http://schemas.openxmlformats.org/officeDocument/2006/relationships" ref="C627" r:id="rId623"/>
    <hyperlink xmlns:r="http://schemas.openxmlformats.org/officeDocument/2006/relationships" ref="C628" r:id="rId624"/>
    <hyperlink xmlns:r="http://schemas.openxmlformats.org/officeDocument/2006/relationships" ref="C629" r:id="rId625"/>
    <hyperlink xmlns:r="http://schemas.openxmlformats.org/officeDocument/2006/relationships" ref="C630" r:id="rId626"/>
    <hyperlink xmlns:r="http://schemas.openxmlformats.org/officeDocument/2006/relationships" ref="C631" r:id="rId627"/>
    <hyperlink xmlns:r="http://schemas.openxmlformats.org/officeDocument/2006/relationships" ref="C632" r:id="rId628"/>
    <hyperlink xmlns:r="http://schemas.openxmlformats.org/officeDocument/2006/relationships" ref="C633" r:id="rId629"/>
    <hyperlink xmlns:r="http://schemas.openxmlformats.org/officeDocument/2006/relationships" ref="C634" r:id="rId630"/>
    <hyperlink xmlns:r="http://schemas.openxmlformats.org/officeDocument/2006/relationships" ref="C635" r:id="rId631"/>
    <hyperlink xmlns:r="http://schemas.openxmlformats.org/officeDocument/2006/relationships" ref="C636" r:id="rId632"/>
    <hyperlink xmlns:r="http://schemas.openxmlformats.org/officeDocument/2006/relationships" ref="C637" r:id="rId633"/>
    <hyperlink xmlns:r="http://schemas.openxmlformats.org/officeDocument/2006/relationships" ref="C638" r:id="rId634"/>
    <hyperlink xmlns:r="http://schemas.openxmlformats.org/officeDocument/2006/relationships" ref="C639" r:id="rId635"/>
    <hyperlink xmlns:r="http://schemas.openxmlformats.org/officeDocument/2006/relationships" ref="C640" r:id="rId636"/>
    <hyperlink xmlns:r="http://schemas.openxmlformats.org/officeDocument/2006/relationships" ref="C641" r:id="rId637"/>
    <hyperlink xmlns:r="http://schemas.openxmlformats.org/officeDocument/2006/relationships" ref="C642" r:id="rId638"/>
    <hyperlink xmlns:r="http://schemas.openxmlformats.org/officeDocument/2006/relationships" ref="C643" r:id="rId639"/>
    <hyperlink xmlns:r="http://schemas.openxmlformats.org/officeDocument/2006/relationships" ref="C644" r:id="rId640"/>
    <hyperlink xmlns:r="http://schemas.openxmlformats.org/officeDocument/2006/relationships" ref="C645" r:id="rId641"/>
    <hyperlink xmlns:r="http://schemas.openxmlformats.org/officeDocument/2006/relationships" ref="C646" r:id="rId642"/>
    <hyperlink xmlns:r="http://schemas.openxmlformats.org/officeDocument/2006/relationships" ref="C647" r:id="rId643"/>
    <hyperlink xmlns:r="http://schemas.openxmlformats.org/officeDocument/2006/relationships" ref="C648" r:id="rId644"/>
    <hyperlink xmlns:r="http://schemas.openxmlformats.org/officeDocument/2006/relationships" ref="C649" r:id="rId645"/>
    <hyperlink xmlns:r="http://schemas.openxmlformats.org/officeDocument/2006/relationships" ref="C650" r:id="rId646"/>
    <hyperlink xmlns:r="http://schemas.openxmlformats.org/officeDocument/2006/relationships" ref="C651" r:id="rId647"/>
    <hyperlink xmlns:r="http://schemas.openxmlformats.org/officeDocument/2006/relationships" ref="C652" r:id="rId648"/>
    <hyperlink xmlns:r="http://schemas.openxmlformats.org/officeDocument/2006/relationships" ref="C653" r:id="rId649"/>
    <hyperlink xmlns:r="http://schemas.openxmlformats.org/officeDocument/2006/relationships" ref="C654" r:id="rId650"/>
    <hyperlink xmlns:r="http://schemas.openxmlformats.org/officeDocument/2006/relationships" ref="C655" r:id="rId651"/>
    <hyperlink xmlns:r="http://schemas.openxmlformats.org/officeDocument/2006/relationships" ref="C656" r:id="rId652"/>
    <hyperlink xmlns:r="http://schemas.openxmlformats.org/officeDocument/2006/relationships" ref="C657" r:id="rId653"/>
    <hyperlink xmlns:r="http://schemas.openxmlformats.org/officeDocument/2006/relationships" ref="C658" r:id="rId654"/>
    <hyperlink xmlns:r="http://schemas.openxmlformats.org/officeDocument/2006/relationships" ref="C659" r:id="rId655"/>
    <hyperlink xmlns:r="http://schemas.openxmlformats.org/officeDocument/2006/relationships" ref="C660" r:id="rId656"/>
    <hyperlink xmlns:r="http://schemas.openxmlformats.org/officeDocument/2006/relationships" ref="C661" r:id="rId657"/>
    <hyperlink xmlns:r="http://schemas.openxmlformats.org/officeDocument/2006/relationships" ref="C662" r:id="rId658"/>
    <hyperlink xmlns:r="http://schemas.openxmlformats.org/officeDocument/2006/relationships" ref="C663" r:id="rId659"/>
    <hyperlink xmlns:r="http://schemas.openxmlformats.org/officeDocument/2006/relationships" ref="C664" r:id="rId660"/>
    <hyperlink xmlns:r="http://schemas.openxmlformats.org/officeDocument/2006/relationships" ref="C665" r:id="rId661"/>
    <hyperlink xmlns:r="http://schemas.openxmlformats.org/officeDocument/2006/relationships" ref="C666" r:id="rId662"/>
    <hyperlink xmlns:r="http://schemas.openxmlformats.org/officeDocument/2006/relationships" ref="C667" r:id="rId663"/>
    <hyperlink xmlns:r="http://schemas.openxmlformats.org/officeDocument/2006/relationships" ref="C668" r:id="rId664"/>
    <hyperlink xmlns:r="http://schemas.openxmlformats.org/officeDocument/2006/relationships" ref="C669" r:id="rId665"/>
    <hyperlink xmlns:r="http://schemas.openxmlformats.org/officeDocument/2006/relationships" ref="C670" r:id="rId666"/>
    <hyperlink xmlns:r="http://schemas.openxmlformats.org/officeDocument/2006/relationships" ref="C671" r:id="rId667"/>
    <hyperlink xmlns:r="http://schemas.openxmlformats.org/officeDocument/2006/relationships" ref="C672" r:id="rId668"/>
    <hyperlink xmlns:r="http://schemas.openxmlformats.org/officeDocument/2006/relationships" ref="C673" r:id="rId669"/>
    <hyperlink xmlns:r="http://schemas.openxmlformats.org/officeDocument/2006/relationships" ref="C674" r:id="rId670"/>
    <hyperlink xmlns:r="http://schemas.openxmlformats.org/officeDocument/2006/relationships" ref="C675" r:id="rId671"/>
    <hyperlink xmlns:r="http://schemas.openxmlformats.org/officeDocument/2006/relationships" ref="C676" r:id="rId672"/>
    <hyperlink xmlns:r="http://schemas.openxmlformats.org/officeDocument/2006/relationships" ref="C677" r:id="rId673"/>
    <hyperlink xmlns:r="http://schemas.openxmlformats.org/officeDocument/2006/relationships" ref="C678" r:id="rId674"/>
    <hyperlink xmlns:r="http://schemas.openxmlformats.org/officeDocument/2006/relationships" ref="C679" r:id="rId675"/>
    <hyperlink xmlns:r="http://schemas.openxmlformats.org/officeDocument/2006/relationships" ref="C680" r:id="rId676"/>
    <hyperlink xmlns:r="http://schemas.openxmlformats.org/officeDocument/2006/relationships" ref="C681" r:id="rId677"/>
    <hyperlink xmlns:r="http://schemas.openxmlformats.org/officeDocument/2006/relationships" ref="C682" r:id="rId678"/>
    <hyperlink xmlns:r="http://schemas.openxmlformats.org/officeDocument/2006/relationships" ref="C683" r:id="rId679"/>
    <hyperlink xmlns:r="http://schemas.openxmlformats.org/officeDocument/2006/relationships" ref="C684" r:id="rId680"/>
    <hyperlink xmlns:r="http://schemas.openxmlformats.org/officeDocument/2006/relationships" ref="C685" r:id="rId681"/>
    <hyperlink xmlns:r="http://schemas.openxmlformats.org/officeDocument/2006/relationships" ref="C686" r:id="rId682"/>
    <hyperlink xmlns:r="http://schemas.openxmlformats.org/officeDocument/2006/relationships" ref="C687" r:id="rId683"/>
    <hyperlink xmlns:r="http://schemas.openxmlformats.org/officeDocument/2006/relationships" ref="C688" r:id="rId684"/>
    <hyperlink xmlns:r="http://schemas.openxmlformats.org/officeDocument/2006/relationships" ref="C689" r:id="rId685"/>
    <hyperlink xmlns:r="http://schemas.openxmlformats.org/officeDocument/2006/relationships" ref="C690" r:id="rId686"/>
    <hyperlink xmlns:r="http://schemas.openxmlformats.org/officeDocument/2006/relationships" ref="C691" r:id="rId687"/>
    <hyperlink xmlns:r="http://schemas.openxmlformats.org/officeDocument/2006/relationships" ref="C692" r:id="rId688"/>
    <hyperlink xmlns:r="http://schemas.openxmlformats.org/officeDocument/2006/relationships" ref="C693" r:id="rId689"/>
    <hyperlink xmlns:r="http://schemas.openxmlformats.org/officeDocument/2006/relationships" ref="C694" r:id="rId690"/>
    <hyperlink xmlns:r="http://schemas.openxmlformats.org/officeDocument/2006/relationships" ref="C695" r:id="rId691"/>
    <hyperlink xmlns:r="http://schemas.openxmlformats.org/officeDocument/2006/relationships" ref="C696" r:id="rId692"/>
    <hyperlink xmlns:r="http://schemas.openxmlformats.org/officeDocument/2006/relationships" ref="C697" r:id="rId693"/>
    <hyperlink xmlns:r="http://schemas.openxmlformats.org/officeDocument/2006/relationships" ref="C698" r:id="rId694"/>
    <hyperlink xmlns:r="http://schemas.openxmlformats.org/officeDocument/2006/relationships" ref="C699" r:id="rId695"/>
    <hyperlink xmlns:r="http://schemas.openxmlformats.org/officeDocument/2006/relationships" ref="C700" r:id="rId696"/>
    <hyperlink xmlns:r="http://schemas.openxmlformats.org/officeDocument/2006/relationships" ref="C701" r:id="rId697"/>
    <hyperlink xmlns:r="http://schemas.openxmlformats.org/officeDocument/2006/relationships" ref="C702" r:id="rId698"/>
    <hyperlink xmlns:r="http://schemas.openxmlformats.org/officeDocument/2006/relationships" ref="C703" r:id="rId699"/>
    <hyperlink xmlns:r="http://schemas.openxmlformats.org/officeDocument/2006/relationships" ref="C704" r:id="rId700"/>
    <hyperlink xmlns:r="http://schemas.openxmlformats.org/officeDocument/2006/relationships" ref="C705" r:id="rId701"/>
    <hyperlink xmlns:r="http://schemas.openxmlformats.org/officeDocument/2006/relationships" ref="C706" r:id="rId702"/>
    <hyperlink xmlns:r="http://schemas.openxmlformats.org/officeDocument/2006/relationships" ref="C707" r:id="rId703"/>
    <hyperlink xmlns:r="http://schemas.openxmlformats.org/officeDocument/2006/relationships" ref="C708" r:id="rId704"/>
    <hyperlink xmlns:r="http://schemas.openxmlformats.org/officeDocument/2006/relationships" ref="C709" r:id="rId705"/>
    <hyperlink xmlns:r="http://schemas.openxmlformats.org/officeDocument/2006/relationships" ref="C710" r:id="rId706"/>
    <hyperlink xmlns:r="http://schemas.openxmlformats.org/officeDocument/2006/relationships" ref="C711" r:id="rId707"/>
    <hyperlink xmlns:r="http://schemas.openxmlformats.org/officeDocument/2006/relationships" ref="C712" r:id="rId708"/>
    <hyperlink xmlns:r="http://schemas.openxmlformats.org/officeDocument/2006/relationships" ref="C713" r:id="rId709"/>
    <hyperlink xmlns:r="http://schemas.openxmlformats.org/officeDocument/2006/relationships" ref="C714" r:id="rId710"/>
    <hyperlink xmlns:r="http://schemas.openxmlformats.org/officeDocument/2006/relationships" ref="C715" r:id="rId711"/>
    <hyperlink xmlns:r="http://schemas.openxmlformats.org/officeDocument/2006/relationships" ref="C716" r:id="rId712"/>
    <hyperlink xmlns:r="http://schemas.openxmlformats.org/officeDocument/2006/relationships" ref="C717" r:id="rId713"/>
    <hyperlink xmlns:r="http://schemas.openxmlformats.org/officeDocument/2006/relationships" ref="C718" r:id="rId714"/>
    <hyperlink xmlns:r="http://schemas.openxmlformats.org/officeDocument/2006/relationships" ref="C719" r:id="rId715"/>
    <hyperlink xmlns:r="http://schemas.openxmlformats.org/officeDocument/2006/relationships" ref="C720" r:id="rId716"/>
    <hyperlink xmlns:r="http://schemas.openxmlformats.org/officeDocument/2006/relationships" ref="C721" r:id="rId717"/>
    <hyperlink xmlns:r="http://schemas.openxmlformats.org/officeDocument/2006/relationships" ref="C722" r:id="rId718"/>
    <hyperlink xmlns:r="http://schemas.openxmlformats.org/officeDocument/2006/relationships" ref="C723" r:id="rId719"/>
    <hyperlink xmlns:r="http://schemas.openxmlformats.org/officeDocument/2006/relationships" ref="C724" r:id="rId720"/>
    <hyperlink xmlns:r="http://schemas.openxmlformats.org/officeDocument/2006/relationships" ref="C725" r:id="rId721"/>
    <hyperlink xmlns:r="http://schemas.openxmlformats.org/officeDocument/2006/relationships" ref="C726" r:id="rId722"/>
    <hyperlink xmlns:r="http://schemas.openxmlformats.org/officeDocument/2006/relationships" ref="C727" r:id="rId723"/>
    <hyperlink xmlns:r="http://schemas.openxmlformats.org/officeDocument/2006/relationships" ref="C728" r:id="rId724"/>
    <hyperlink xmlns:r="http://schemas.openxmlformats.org/officeDocument/2006/relationships" ref="C729" r:id="rId725"/>
    <hyperlink xmlns:r="http://schemas.openxmlformats.org/officeDocument/2006/relationships" ref="C730" r:id="rId726"/>
    <hyperlink xmlns:r="http://schemas.openxmlformats.org/officeDocument/2006/relationships" ref="C731" r:id="rId727"/>
    <hyperlink xmlns:r="http://schemas.openxmlformats.org/officeDocument/2006/relationships" ref="C732" r:id="rId728"/>
    <hyperlink xmlns:r="http://schemas.openxmlformats.org/officeDocument/2006/relationships" ref="C733" r:id="rId729"/>
    <hyperlink xmlns:r="http://schemas.openxmlformats.org/officeDocument/2006/relationships" ref="C734" r:id="rId730"/>
    <hyperlink xmlns:r="http://schemas.openxmlformats.org/officeDocument/2006/relationships" ref="C735" r:id="rId731"/>
    <hyperlink xmlns:r="http://schemas.openxmlformats.org/officeDocument/2006/relationships" ref="C736" r:id="rId732"/>
    <hyperlink xmlns:r="http://schemas.openxmlformats.org/officeDocument/2006/relationships" ref="C737" r:id="rId733"/>
    <hyperlink xmlns:r="http://schemas.openxmlformats.org/officeDocument/2006/relationships" ref="C738" r:id="rId734"/>
    <hyperlink xmlns:r="http://schemas.openxmlformats.org/officeDocument/2006/relationships" ref="C739" r:id="rId735"/>
    <hyperlink xmlns:r="http://schemas.openxmlformats.org/officeDocument/2006/relationships" ref="C740" r:id="rId736"/>
    <hyperlink xmlns:r="http://schemas.openxmlformats.org/officeDocument/2006/relationships" ref="C741" r:id="rId737"/>
    <hyperlink xmlns:r="http://schemas.openxmlformats.org/officeDocument/2006/relationships" ref="C742" r:id="rId738"/>
    <hyperlink xmlns:r="http://schemas.openxmlformats.org/officeDocument/2006/relationships" ref="C743" r:id="rId739"/>
    <hyperlink xmlns:r="http://schemas.openxmlformats.org/officeDocument/2006/relationships" ref="C744" r:id="rId740"/>
    <hyperlink xmlns:r="http://schemas.openxmlformats.org/officeDocument/2006/relationships" ref="C745" r:id="rId741"/>
    <hyperlink xmlns:r="http://schemas.openxmlformats.org/officeDocument/2006/relationships" ref="C746" r:id="rId742"/>
    <hyperlink xmlns:r="http://schemas.openxmlformats.org/officeDocument/2006/relationships" ref="C747" r:id="rId743"/>
    <hyperlink xmlns:r="http://schemas.openxmlformats.org/officeDocument/2006/relationships" ref="C748" r:id="rId744"/>
    <hyperlink xmlns:r="http://schemas.openxmlformats.org/officeDocument/2006/relationships" ref="C749" r:id="rId745"/>
    <hyperlink xmlns:r="http://schemas.openxmlformats.org/officeDocument/2006/relationships" ref="C750" r:id="rId746"/>
    <hyperlink xmlns:r="http://schemas.openxmlformats.org/officeDocument/2006/relationships" ref="C751" r:id="rId747"/>
    <hyperlink xmlns:r="http://schemas.openxmlformats.org/officeDocument/2006/relationships" ref="C752" r:id="rId748"/>
    <hyperlink xmlns:r="http://schemas.openxmlformats.org/officeDocument/2006/relationships" ref="C753" r:id="rId749"/>
    <hyperlink xmlns:r="http://schemas.openxmlformats.org/officeDocument/2006/relationships" ref="C754" r:id="rId750"/>
    <hyperlink xmlns:r="http://schemas.openxmlformats.org/officeDocument/2006/relationships" ref="C755" r:id="rId751"/>
    <hyperlink xmlns:r="http://schemas.openxmlformats.org/officeDocument/2006/relationships" ref="C756" r:id="rId752"/>
    <hyperlink xmlns:r="http://schemas.openxmlformats.org/officeDocument/2006/relationships" ref="C757" r:id="rId753"/>
    <hyperlink xmlns:r="http://schemas.openxmlformats.org/officeDocument/2006/relationships" ref="C758" r:id="rId754"/>
    <hyperlink xmlns:r="http://schemas.openxmlformats.org/officeDocument/2006/relationships" ref="C759" r:id="rId755"/>
    <hyperlink xmlns:r="http://schemas.openxmlformats.org/officeDocument/2006/relationships" ref="C760" r:id="rId756"/>
    <hyperlink xmlns:r="http://schemas.openxmlformats.org/officeDocument/2006/relationships" ref="C761" r:id="rId757"/>
    <hyperlink xmlns:r="http://schemas.openxmlformats.org/officeDocument/2006/relationships" ref="C762" r:id="rId758"/>
    <hyperlink xmlns:r="http://schemas.openxmlformats.org/officeDocument/2006/relationships" ref="C763" r:id="rId759"/>
    <hyperlink xmlns:r="http://schemas.openxmlformats.org/officeDocument/2006/relationships" ref="C764" r:id="rId760"/>
    <hyperlink xmlns:r="http://schemas.openxmlformats.org/officeDocument/2006/relationships" ref="C765" r:id="rId761"/>
    <hyperlink xmlns:r="http://schemas.openxmlformats.org/officeDocument/2006/relationships" ref="C766" r:id="rId762"/>
    <hyperlink xmlns:r="http://schemas.openxmlformats.org/officeDocument/2006/relationships" ref="C767" r:id="rId763"/>
    <hyperlink xmlns:r="http://schemas.openxmlformats.org/officeDocument/2006/relationships" ref="C768" r:id="rId764"/>
    <hyperlink xmlns:r="http://schemas.openxmlformats.org/officeDocument/2006/relationships" ref="C769" r:id="rId765"/>
    <hyperlink xmlns:r="http://schemas.openxmlformats.org/officeDocument/2006/relationships" ref="C770" r:id="rId766"/>
    <hyperlink xmlns:r="http://schemas.openxmlformats.org/officeDocument/2006/relationships" ref="C771" r:id="rId767"/>
    <hyperlink xmlns:r="http://schemas.openxmlformats.org/officeDocument/2006/relationships" ref="C772" r:id="rId768"/>
    <hyperlink xmlns:r="http://schemas.openxmlformats.org/officeDocument/2006/relationships" ref="C773" r:id="rId769"/>
    <hyperlink xmlns:r="http://schemas.openxmlformats.org/officeDocument/2006/relationships" ref="C774" r:id="rId770"/>
    <hyperlink xmlns:r="http://schemas.openxmlformats.org/officeDocument/2006/relationships" ref="C775" r:id="rId771"/>
    <hyperlink xmlns:r="http://schemas.openxmlformats.org/officeDocument/2006/relationships" ref="C776" r:id="rId772"/>
    <hyperlink xmlns:r="http://schemas.openxmlformats.org/officeDocument/2006/relationships" ref="C777" r:id="rId773"/>
    <hyperlink xmlns:r="http://schemas.openxmlformats.org/officeDocument/2006/relationships" ref="C778" r:id="rId774"/>
    <hyperlink xmlns:r="http://schemas.openxmlformats.org/officeDocument/2006/relationships" ref="C779" r:id="rId775"/>
    <hyperlink xmlns:r="http://schemas.openxmlformats.org/officeDocument/2006/relationships" ref="C780" r:id="rId776"/>
    <hyperlink xmlns:r="http://schemas.openxmlformats.org/officeDocument/2006/relationships" ref="C781" r:id="rId777"/>
    <hyperlink xmlns:r="http://schemas.openxmlformats.org/officeDocument/2006/relationships" ref="C782" r:id="rId778"/>
    <hyperlink xmlns:r="http://schemas.openxmlformats.org/officeDocument/2006/relationships" ref="C783" r:id="rId779"/>
    <hyperlink xmlns:r="http://schemas.openxmlformats.org/officeDocument/2006/relationships" ref="C784" r:id="rId780"/>
    <hyperlink xmlns:r="http://schemas.openxmlformats.org/officeDocument/2006/relationships" ref="C785" r:id="rId781"/>
    <hyperlink xmlns:r="http://schemas.openxmlformats.org/officeDocument/2006/relationships" ref="C786" r:id="rId782"/>
    <hyperlink xmlns:r="http://schemas.openxmlformats.org/officeDocument/2006/relationships" ref="C787" r:id="rId783"/>
    <hyperlink xmlns:r="http://schemas.openxmlformats.org/officeDocument/2006/relationships" ref="C788" r:id="rId784"/>
    <hyperlink xmlns:r="http://schemas.openxmlformats.org/officeDocument/2006/relationships" ref="C789" r:id="rId785"/>
    <hyperlink xmlns:r="http://schemas.openxmlformats.org/officeDocument/2006/relationships" ref="C790" r:id="rId786"/>
    <hyperlink xmlns:r="http://schemas.openxmlformats.org/officeDocument/2006/relationships" ref="C791" r:id="rId787"/>
    <hyperlink xmlns:r="http://schemas.openxmlformats.org/officeDocument/2006/relationships" ref="C792" r:id="rId788"/>
    <hyperlink xmlns:r="http://schemas.openxmlformats.org/officeDocument/2006/relationships" ref="C793" r:id="rId789"/>
    <hyperlink xmlns:r="http://schemas.openxmlformats.org/officeDocument/2006/relationships" ref="C794" r:id="rId790"/>
    <hyperlink xmlns:r="http://schemas.openxmlformats.org/officeDocument/2006/relationships" ref="C795" r:id="rId791"/>
    <hyperlink xmlns:r="http://schemas.openxmlformats.org/officeDocument/2006/relationships" ref="C796" r:id="rId792"/>
    <hyperlink xmlns:r="http://schemas.openxmlformats.org/officeDocument/2006/relationships" ref="C797" r:id="rId793"/>
    <hyperlink xmlns:r="http://schemas.openxmlformats.org/officeDocument/2006/relationships" ref="C798" r:id="rId794"/>
    <hyperlink xmlns:r="http://schemas.openxmlformats.org/officeDocument/2006/relationships" ref="C799" r:id="rId795"/>
    <hyperlink xmlns:r="http://schemas.openxmlformats.org/officeDocument/2006/relationships" ref="C800" r:id="rId796"/>
    <hyperlink xmlns:r="http://schemas.openxmlformats.org/officeDocument/2006/relationships" ref="C801" r:id="rId797"/>
    <hyperlink xmlns:r="http://schemas.openxmlformats.org/officeDocument/2006/relationships" ref="C802" r:id="rId798"/>
    <hyperlink xmlns:r="http://schemas.openxmlformats.org/officeDocument/2006/relationships" ref="C803" r:id="rId799"/>
    <hyperlink xmlns:r="http://schemas.openxmlformats.org/officeDocument/2006/relationships" ref="C804" r:id="rId800"/>
    <hyperlink xmlns:r="http://schemas.openxmlformats.org/officeDocument/2006/relationships" ref="C805" r:id="rId801"/>
    <hyperlink xmlns:r="http://schemas.openxmlformats.org/officeDocument/2006/relationships" ref="C806" r:id="rId802"/>
    <hyperlink xmlns:r="http://schemas.openxmlformats.org/officeDocument/2006/relationships" ref="C807" r:id="rId803"/>
    <hyperlink xmlns:r="http://schemas.openxmlformats.org/officeDocument/2006/relationships" ref="C808" r:id="rId804"/>
    <hyperlink xmlns:r="http://schemas.openxmlformats.org/officeDocument/2006/relationships" ref="C809" r:id="rId805"/>
    <hyperlink xmlns:r="http://schemas.openxmlformats.org/officeDocument/2006/relationships" ref="C810" r:id="rId806"/>
    <hyperlink xmlns:r="http://schemas.openxmlformats.org/officeDocument/2006/relationships" ref="C811" r:id="rId807"/>
    <hyperlink xmlns:r="http://schemas.openxmlformats.org/officeDocument/2006/relationships" ref="C812" r:id="rId808"/>
    <hyperlink xmlns:r="http://schemas.openxmlformats.org/officeDocument/2006/relationships" ref="C813" r:id="rId809"/>
    <hyperlink xmlns:r="http://schemas.openxmlformats.org/officeDocument/2006/relationships" ref="C814" r:id="rId810"/>
    <hyperlink xmlns:r="http://schemas.openxmlformats.org/officeDocument/2006/relationships" ref="C815" r:id="rId811"/>
    <hyperlink xmlns:r="http://schemas.openxmlformats.org/officeDocument/2006/relationships" ref="C816" r:id="rId812"/>
    <hyperlink xmlns:r="http://schemas.openxmlformats.org/officeDocument/2006/relationships" ref="C817" r:id="rId813"/>
    <hyperlink xmlns:r="http://schemas.openxmlformats.org/officeDocument/2006/relationships" ref="C818" r:id="rId814"/>
    <hyperlink xmlns:r="http://schemas.openxmlformats.org/officeDocument/2006/relationships" ref="C819" r:id="rId815"/>
    <hyperlink xmlns:r="http://schemas.openxmlformats.org/officeDocument/2006/relationships" ref="C820" r:id="rId816"/>
    <hyperlink xmlns:r="http://schemas.openxmlformats.org/officeDocument/2006/relationships" ref="C821" r:id="rId817"/>
    <hyperlink xmlns:r="http://schemas.openxmlformats.org/officeDocument/2006/relationships" ref="C822" r:id="rId818"/>
    <hyperlink xmlns:r="http://schemas.openxmlformats.org/officeDocument/2006/relationships" ref="C823" r:id="rId819"/>
    <hyperlink xmlns:r="http://schemas.openxmlformats.org/officeDocument/2006/relationships" ref="C824" r:id="rId820"/>
    <hyperlink xmlns:r="http://schemas.openxmlformats.org/officeDocument/2006/relationships" ref="C825" r:id="rId821"/>
    <hyperlink xmlns:r="http://schemas.openxmlformats.org/officeDocument/2006/relationships" ref="C826" r:id="rId822"/>
    <hyperlink xmlns:r="http://schemas.openxmlformats.org/officeDocument/2006/relationships" ref="C827" r:id="rId823"/>
    <hyperlink xmlns:r="http://schemas.openxmlformats.org/officeDocument/2006/relationships" ref="C828" r:id="rId824"/>
    <hyperlink xmlns:r="http://schemas.openxmlformats.org/officeDocument/2006/relationships" ref="C829" r:id="rId825"/>
    <hyperlink xmlns:r="http://schemas.openxmlformats.org/officeDocument/2006/relationships" ref="C830" r:id="rId826"/>
    <hyperlink xmlns:r="http://schemas.openxmlformats.org/officeDocument/2006/relationships" ref="C831" r:id="rId827"/>
    <hyperlink xmlns:r="http://schemas.openxmlformats.org/officeDocument/2006/relationships" ref="C832" r:id="rId828"/>
    <hyperlink xmlns:r="http://schemas.openxmlformats.org/officeDocument/2006/relationships" ref="C833" r:id="rId829"/>
    <hyperlink xmlns:r="http://schemas.openxmlformats.org/officeDocument/2006/relationships" ref="C834" r:id="rId830"/>
    <hyperlink xmlns:r="http://schemas.openxmlformats.org/officeDocument/2006/relationships" ref="C835" r:id="rId831"/>
    <hyperlink xmlns:r="http://schemas.openxmlformats.org/officeDocument/2006/relationships" ref="C836" r:id="rId832"/>
    <hyperlink xmlns:r="http://schemas.openxmlformats.org/officeDocument/2006/relationships" ref="C837" r:id="rId833"/>
    <hyperlink xmlns:r="http://schemas.openxmlformats.org/officeDocument/2006/relationships" ref="C838" r:id="rId834"/>
    <hyperlink xmlns:r="http://schemas.openxmlformats.org/officeDocument/2006/relationships" ref="C839" r:id="rId835"/>
    <hyperlink xmlns:r="http://schemas.openxmlformats.org/officeDocument/2006/relationships" ref="C840" r:id="rId836"/>
    <hyperlink xmlns:r="http://schemas.openxmlformats.org/officeDocument/2006/relationships" ref="C841" r:id="rId837"/>
    <hyperlink xmlns:r="http://schemas.openxmlformats.org/officeDocument/2006/relationships" ref="C842" r:id="rId838"/>
    <hyperlink xmlns:r="http://schemas.openxmlformats.org/officeDocument/2006/relationships" ref="C843" r:id="rId839"/>
    <hyperlink xmlns:r="http://schemas.openxmlformats.org/officeDocument/2006/relationships" ref="C844" r:id="rId840"/>
    <hyperlink xmlns:r="http://schemas.openxmlformats.org/officeDocument/2006/relationships" ref="C845" r:id="rId841"/>
    <hyperlink xmlns:r="http://schemas.openxmlformats.org/officeDocument/2006/relationships" ref="C846" r:id="rId842"/>
    <hyperlink xmlns:r="http://schemas.openxmlformats.org/officeDocument/2006/relationships" ref="C847" r:id="rId843"/>
    <hyperlink xmlns:r="http://schemas.openxmlformats.org/officeDocument/2006/relationships" ref="C848" r:id="rId844"/>
    <hyperlink xmlns:r="http://schemas.openxmlformats.org/officeDocument/2006/relationships" ref="C849" r:id="rId845"/>
    <hyperlink xmlns:r="http://schemas.openxmlformats.org/officeDocument/2006/relationships" ref="C850" r:id="rId846"/>
    <hyperlink xmlns:r="http://schemas.openxmlformats.org/officeDocument/2006/relationships" ref="C851" r:id="rId847"/>
    <hyperlink xmlns:r="http://schemas.openxmlformats.org/officeDocument/2006/relationships" ref="C852" r:id="rId848"/>
    <hyperlink xmlns:r="http://schemas.openxmlformats.org/officeDocument/2006/relationships" ref="C853" r:id="rId849"/>
    <hyperlink xmlns:r="http://schemas.openxmlformats.org/officeDocument/2006/relationships" ref="C854" r:id="rId850"/>
    <hyperlink xmlns:r="http://schemas.openxmlformats.org/officeDocument/2006/relationships" ref="C855" r:id="rId851"/>
    <hyperlink xmlns:r="http://schemas.openxmlformats.org/officeDocument/2006/relationships" ref="C856" r:id="rId852"/>
    <hyperlink xmlns:r="http://schemas.openxmlformats.org/officeDocument/2006/relationships" ref="C857" r:id="rId853"/>
    <hyperlink xmlns:r="http://schemas.openxmlformats.org/officeDocument/2006/relationships" ref="C858" r:id="rId854"/>
    <hyperlink xmlns:r="http://schemas.openxmlformats.org/officeDocument/2006/relationships" ref="C859" r:id="rId855"/>
    <hyperlink xmlns:r="http://schemas.openxmlformats.org/officeDocument/2006/relationships" ref="C860" r:id="rId856"/>
    <hyperlink xmlns:r="http://schemas.openxmlformats.org/officeDocument/2006/relationships" ref="C861" r:id="rId857"/>
    <hyperlink xmlns:r="http://schemas.openxmlformats.org/officeDocument/2006/relationships" ref="C862" r:id="rId858"/>
    <hyperlink xmlns:r="http://schemas.openxmlformats.org/officeDocument/2006/relationships" ref="C863" r:id="rId859"/>
    <hyperlink xmlns:r="http://schemas.openxmlformats.org/officeDocument/2006/relationships" ref="C864" r:id="rId860"/>
    <hyperlink xmlns:r="http://schemas.openxmlformats.org/officeDocument/2006/relationships" ref="C865" r:id="rId861"/>
    <hyperlink xmlns:r="http://schemas.openxmlformats.org/officeDocument/2006/relationships" ref="C866" r:id="rId862"/>
    <hyperlink xmlns:r="http://schemas.openxmlformats.org/officeDocument/2006/relationships" ref="C867" r:id="rId863"/>
    <hyperlink xmlns:r="http://schemas.openxmlformats.org/officeDocument/2006/relationships" ref="C868" r:id="rId864"/>
    <hyperlink xmlns:r="http://schemas.openxmlformats.org/officeDocument/2006/relationships" ref="C869" r:id="rId865"/>
    <hyperlink xmlns:r="http://schemas.openxmlformats.org/officeDocument/2006/relationships" ref="C870" r:id="rId866"/>
    <hyperlink xmlns:r="http://schemas.openxmlformats.org/officeDocument/2006/relationships" ref="C871" r:id="rId867"/>
    <hyperlink xmlns:r="http://schemas.openxmlformats.org/officeDocument/2006/relationships" ref="C872" r:id="rId868"/>
    <hyperlink xmlns:r="http://schemas.openxmlformats.org/officeDocument/2006/relationships" ref="C873" r:id="rId869"/>
    <hyperlink xmlns:r="http://schemas.openxmlformats.org/officeDocument/2006/relationships" ref="C874" r:id="rId870"/>
    <hyperlink xmlns:r="http://schemas.openxmlformats.org/officeDocument/2006/relationships" ref="C875" r:id="rId871"/>
    <hyperlink xmlns:r="http://schemas.openxmlformats.org/officeDocument/2006/relationships" ref="C876" r:id="rId872"/>
    <hyperlink xmlns:r="http://schemas.openxmlformats.org/officeDocument/2006/relationships" ref="C877" r:id="rId873"/>
    <hyperlink xmlns:r="http://schemas.openxmlformats.org/officeDocument/2006/relationships" ref="C878" r:id="rId874"/>
    <hyperlink xmlns:r="http://schemas.openxmlformats.org/officeDocument/2006/relationships" ref="C879" r:id="rId875"/>
    <hyperlink xmlns:r="http://schemas.openxmlformats.org/officeDocument/2006/relationships" ref="C880" r:id="rId876"/>
    <hyperlink xmlns:r="http://schemas.openxmlformats.org/officeDocument/2006/relationships" ref="C881" r:id="rId877"/>
    <hyperlink xmlns:r="http://schemas.openxmlformats.org/officeDocument/2006/relationships" ref="C882" r:id="rId878"/>
    <hyperlink xmlns:r="http://schemas.openxmlformats.org/officeDocument/2006/relationships" ref="C883" r:id="rId879"/>
    <hyperlink xmlns:r="http://schemas.openxmlformats.org/officeDocument/2006/relationships" ref="C884" r:id="rId880"/>
    <hyperlink xmlns:r="http://schemas.openxmlformats.org/officeDocument/2006/relationships" ref="C885" r:id="rId881"/>
    <hyperlink xmlns:r="http://schemas.openxmlformats.org/officeDocument/2006/relationships" ref="C886" r:id="rId882"/>
    <hyperlink xmlns:r="http://schemas.openxmlformats.org/officeDocument/2006/relationships" ref="C887" r:id="rId883"/>
    <hyperlink xmlns:r="http://schemas.openxmlformats.org/officeDocument/2006/relationships" ref="C888" r:id="rId884"/>
    <hyperlink xmlns:r="http://schemas.openxmlformats.org/officeDocument/2006/relationships" ref="C889" r:id="rId885"/>
    <hyperlink xmlns:r="http://schemas.openxmlformats.org/officeDocument/2006/relationships" ref="C890" r:id="rId886"/>
    <hyperlink xmlns:r="http://schemas.openxmlformats.org/officeDocument/2006/relationships" ref="C891" r:id="rId887"/>
    <hyperlink xmlns:r="http://schemas.openxmlformats.org/officeDocument/2006/relationships" ref="C892" r:id="rId888"/>
    <hyperlink xmlns:r="http://schemas.openxmlformats.org/officeDocument/2006/relationships" ref="C893" r:id="rId889"/>
    <hyperlink xmlns:r="http://schemas.openxmlformats.org/officeDocument/2006/relationships" ref="C894" r:id="rId890"/>
    <hyperlink xmlns:r="http://schemas.openxmlformats.org/officeDocument/2006/relationships" ref="C895" r:id="rId891"/>
    <hyperlink xmlns:r="http://schemas.openxmlformats.org/officeDocument/2006/relationships" ref="C896" r:id="rId892"/>
    <hyperlink xmlns:r="http://schemas.openxmlformats.org/officeDocument/2006/relationships" ref="C897" r:id="rId893"/>
    <hyperlink xmlns:r="http://schemas.openxmlformats.org/officeDocument/2006/relationships" ref="C898" r:id="rId894"/>
    <hyperlink xmlns:r="http://schemas.openxmlformats.org/officeDocument/2006/relationships" ref="C899" r:id="rId895"/>
    <hyperlink xmlns:r="http://schemas.openxmlformats.org/officeDocument/2006/relationships" ref="C900" r:id="rId896"/>
    <hyperlink xmlns:r="http://schemas.openxmlformats.org/officeDocument/2006/relationships" ref="C901" r:id="rId897"/>
    <hyperlink xmlns:r="http://schemas.openxmlformats.org/officeDocument/2006/relationships" ref="C902" r:id="rId898"/>
    <hyperlink xmlns:r="http://schemas.openxmlformats.org/officeDocument/2006/relationships" ref="C903" r:id="rId899"/>
    <hyperlink xmlns:r="http://schemas.openxmlformats.org/officeDocument/2006/relationships" ref="C904" r:id="rId900"/>
    <hyperlink xmlns:r="http://schemas.openxmlformats.org/officeDocument/2006/relationships" ref="C905" r:id="rId901"/>
    <hyperlink xmlns:r="http://schemas.openxmlformats.org/officeDocument/2006/relationships" ref="C906" r:id="rId902"/>
    <hyperlink xmlns:r="http://schemas.openxmlformats.org/officeDocument/2006/relationships" ref="C907" r:id="rId903"/>
    <hyperlink xmlns:r="http://schemas.openxmlformats.org/officeDocument/2006/relationships" ref="C908" r:id="rId904"/>
    <hyperlink xmlns:r="http://schemas.openxmlformats.org/officeDocument/2006/relationships" ref="C909" r:id="rId905"/>
    <hyperlink xmlns:r="http://schemas.openxmlformats.org/officeDocument/2006/relationships" ref="C910" r:id="rId906"/>
    <hyperlink xmlns:r="http://schemas.openxmlformats.org/officeDocument/2006/relationships" ref="C911" r:id="rId907"/>
    <hyperlink xmlns:r="http://schemas.openxmlformats.org/officeDocument/2006/relationships" ref="C912" r:id="rId908"/>
    <hyperlink xmlns:r="http://schemas.openxmlformats.org/officeDocument/2006/relationships" ref="C913" r:id="rId909"/>
    <hyperlink xmlns:r="http://schemas.openxmlformats.org/officeDocument/2006/relationships" ref="C914" r:id="rId910"/>
    <hyperlink xmlns:r="http://schemas.openxmlformats.org/officeDocument/2006/relationships" ref="C915" r:id="rId911"/>
    <hyperlink xmlns:r="http://schemas.openxmlformats.org/officeDocument/2006/relationships" ref="C916" r:id="rId912"/>
    <hyperlink xmlns:r="http://schemas.openxmlformats.org/officeDocument/2006/relationships" ref="C917" r:id="rId913"/>
    <hyperlink xmlns:r="http://schemas.openxmlformats.org/officeDocument/2006/relationships" ref="C918" r:id="rId914"/>
    <hyperlink xmlns:r="http://schemas.openxmlformats.org/officeDocument/2006/relationships" ref="C919" r:id="rId915"/>
    <hyperlink xmlns:r="http://schemas.openxmlformats.org/officeDocument/2006/relationships" ref="C920" r:id="rId916"/>
    <hyperlink xmlns:r="http://schemas.openxmlformats.org/officeDocument/2006/relationships" ref="C921" r:id="rId917"/>
    <hyperlink xmlns:r="http://schemas.openxmlformats.org/officeDocument/2006/relationships" ref="C922" r:id="rId918"/>
    <hyperlink xmlns:r="http://schemas.openxmlformats.org/officeDocument/2006/relationships" ref="C923" r:id="rId919"/>
    <hyperlink xmlns:r="http://schemas.openxmlformats.org/officeDocument/2006/relationships" ref="C924" r:id="rId920"/>
    <hyperlink xmlns:r="http://schemas.openxmlformats.org/officeDocument/2006/relationships" ref="C925" r:id="rId921"/>
    <hyperlink xmlns:r="http://schemas.openxmlformats.org/officeDocument/2006/relationships" ref="C926" r:id="rId922"/>
    <hyperlink xmlns:r="http://schemas.openxmlformats.org/officeDocument/2006/relationships" ref="C927" r:id="rId923"/>
    <hyperlink xmlns:r="http://schemas.openxmlformats.org/officeDocument/2006/relationships" ref="C928" r:id="rId924"/>
    <hyperlink xmlns:r="http://schemas.openxmlformats.org/officeDocument/2006/relationships" ref="C929" r:id="rId925"/>
    <hyperlink xmlns:r="http://schemas.openxmlformats.org/officeDocument/2006/relationships" ref="C930" r:id="rId926"/>
    <hyperlink xmlns:r="http://schemas.openxmlformats.org/officeDocument/2006/relationships" ref="C931" r:id="rId927"/>
    <hyperlink xmlns:r="http://schemas.openxmlformats.org/officeDocument/2006/relationships" ref="C932" r:id="rId928"/>
    <hyperlink xmlns:r="http://schemas.openxmlformats.org/officeDocument/2006/relationships" ref="C933" r:id="rId929"/>
    <hyperlink xmlns:r="http://schemas.openxmlformats.org/officeDocument/2006/relationships" ref="C934" r:id="rId930"/>
    <hyperlink xmlns:r="http://schemas.openxmlformats.org/officeDocument/2006/relationships" ref="C935" r:id="rId931"/>
    <hyperlink xmlns:r="http://schemas.openxmlformats.org/officeDocument/2006/relationships" ref="C936" r:id="rId932"/>
    <hyperlink xmlns:r="http://schemas.openxmlformats.org/officeDocument/2006/relationships" ref="C937" r:id="rId933"/>
    <hyperlink xmlns:r="http://schemas.openxmlformats.org/officeDocument/2006/relationships" ref="C938" r:id="rId934"/>
    <hyperlink xmlns:r="http://schemas.openxmlformats.org/officeDocument/2006/relationships" ref="C939" r:id="rId935"/>
    <hyperlink xmlns:r="http://schemas.openxmlformats.org/officeDocument/2006/relationships" ref="C940" r:id="rId936"/>
    <hyperlink xmlns:r="http://schemas.openxmlformats.org/officeDocument/2006/relationships" ref="C941" r:id="rId937"/>
    <hyperlink xmlns:r="http://schemas.openxmlformats.org/officeDocument/2006/relationships" ref="C942" r:id="rId938"/>
    <hyperlink xmlns:r="http://schemas.openxmlformats.org/officeDocument/2006/relationships" ref="C943" r:id="rId939"/>
    <hyperlink xmlns:r="http://schemas.openxmlformats.org/officeDocument/2006/relationships" ref="C944" r:id="rId940"/>
    <hyperlink xmlns:r="http://schemas.openxmlformats.org/officeDocument/2006/relationships" ref="C945" r:id="rId941"/>
    <hyperlink xmlns:r="http://schemas.openxmlformats.org/officeDocument/2006/relationships" ref="C946" r:id="rId942"/>
    <hyperlink xmlns:r="http://schemas.openxmlformats.org/officeDocument/2006/relationships" ref="C947" r:id="rId943"/>
    <hyperlink xmlns:r="http://schemas.openxmlformats.org/officeDocument/2006/relationships" ref="C948" r:id="rId944"/>
    <hyperlink xmlns:r="http://schemas.openxmlformats.org/officeDocument/2006/relationships" ref="C949" r:id="rId945"/>
    <hyperlink xmlns:r="http://schemas.openxmlformats.org/officeDocument/2006/relationships" ref="C950" r:id="rId946"/>
    <hyperlink xmlns:r="http://schemas.openxmlformats.org/officeDocument/2006/relationships" ref="C951" r:id="rId947"/>
    <hyperlink xmlns:r="http://schemas.openxmlformats.org/officeDocument/2006/relationships" ref="C952" r:id="rId948"/>
    <hyperlink xmlns:r="http://schemas.openxmlformats.org/officeDocument/2006/relationships" ref="C953" r:id="rId949"/>
    <hyperlink xmlns:r="http://schemas.openxmlformats.org/officeDocument/2006/relationships" ref="C954" r:id="rId950"/>
    <hyperlink xmlns:r="http://schemas.openxmlformats.org/officeDocument/2006/relationships" ref="C955" r:id="rId951"/>
    <hyperlink xmlns:r="http://schemas.openxmlformats.org/officeDocument/2006/relationships" ref="C956" r:id="rId952"/>
    <hyperlink xmlns:r="http://schemas.openxmlformats.org/officeDocument/2006/relationships" ref="C957" r:id="rId953"/>
    <hyperlink xmlns:r="http://schemas.openxmlformats.org/officeDocument/2006/relationships" ref="C958" r:id="rId954"/>
    <hyperlink xmlns:r="http://schemas.openxmlformats.org/officeDocument/2006/relationships" ref="C959" r:id="rId955"/>
    <hyperlink xmlns:r="http://schemas.openxmlformats.org/officeDocument/2006/relationships" ref="C960" r:id="rId956"/>
    <hyperlink xmlns:r="http://schemas.openxmlformats.org/officeDocument/2006/relationships" ref="C961" r:id="rId957"/>
    <hyperlink xmlns:r="http://schemas.openxmlformats.org/officeDocument/2006/relationships" ref="C962" r:id="rId958"/>
    <hyperlink xmlns:r="http://schemas.openxmlformats.org/officeDocument/2006/relationships" ref="C963" r:id="rId959"/>
    <hyperlink xmlns:r="http://schemas.openxmlformats.org/officeDocument/2006/relationships" ref="C964" r:id="rId9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2026-10-14T07:34:28Z</dcterms:created>
  <dcterms:modified xmlns:dcterms="http://purl.org/dc/terms/" xmlns:xsi="http://www.w3.org/2001/XMLSchema-instance" xsi:type="dcterms:W3CDTF">2026-10-14T07:34:38Z</dcterms:modified>
</cp:coreProperties>
</file>